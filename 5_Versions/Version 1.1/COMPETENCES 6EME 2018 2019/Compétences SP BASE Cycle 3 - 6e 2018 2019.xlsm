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ie-Odile\Dropbox\COMPETENCES 6EME 2018 2019\"/>
    </mc:Choice>
  </mc:AlternateContent>
  <xr:revisionPtr revIDLastSave="0" documentId="13_ncr:1_{F7DD105D-48BC-497F-B8DB-594489282D78}" xr6:coauthVersionLast="37" xr6:coauthVersionMax="37" xr10:uidLastSave="{00000000-0000-0000-0000-000000000000}"/>
  <bookViews>
    <workbookView xWindow="0" yWindow="0" windowWidth="19200" windowHeight="7110" tabRatio="711" firstSheet="2" activeTab="3" xr2:uid="{00000000-000D-0000-FFFF-FFFF00000000}"/>
  </bookViews>
  <sheets>
    <sheet name="Classe (6ème1)" sheetId="13" r:id="rId1"/>
    <sheet name="Elève (6ème1)" sheetId="14" r:id="rId2"/>
    <sheet name="Classe (6ème2)" sheetId="24" r:id="rId3"/>
    <sheet name="Elève (6ème2)" sheetId="25" r:id="rId4"/>
    <sheet name="Classe (6ème3)" sheetId="26" r:id="rId5"/>
    <sheet name="Elève (6ème3)" sheetId="27" r:id="rId6"/>
    <sheet name="Classe (6ème4)" sheetId="28" r:id="rId7"/>
    <sheet name="Elève (6ème4)" sheetId="29" r:id="rId8"/>
    <sheet name="Classe (6ème5)" sheetId="30" r:id="rId9"/>
    <sheet name="Elève (6ème5)" sheetId="31" r:id="rId10"/>
    <sheet name="Liste 6ème" sheetId="16" r:id="rId11"/>
    <sheet name="ref" sheetId="3" r:id="rId12"/>
  </sheets>
  <functionGroups builtInGroupCount="19"/>
  <definedNames>
    <definedName name="_xlnm._FilterDatabase" localSheetId="1" hidden="1">'Elève (6ème1)'!$A$2:$SR$23</definedName>
    <definedName name="_xlnm._FilterDatabase" localSheetId="3" hidden="1">'Elève (6ème2)'!$A$2:$SR$23</definedName>
    <definedName name="_xlnm._FilterDatabase" localSheetId="5" hidden="1">'Elève (6ème3)'!$A$2:$SR$23</definedName>
    <definedName name="_xlnm._FilterDatabase" localSheetId="7" hidden="1">'Elève (6ème4)'!$A$2:$SR$23</definedName>
    <definedName name="_xlnm._FilterDatabase" localSheetId="9" hidden="1">'Elève (6ème5)'!$A$2:$SR$23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2" i="31" l="1"/>
  <c r="SN20" i="31"/>
  <c r="SM20" i="31"/>
  <c r="SL20" i="31"/>
  <c r="SI20" i="31"/>
  <c r="SH20" i="31"/>
  <c r="SG20" i="31"/>
  <c r="SD20" i="31"/>
  <c r="SC20" i="31"/>
  <c r="SB20" i="31"/>
  <c r="RW20" i="31"/>
  <c r="RV20" i="31"/>
  <c r="RU20" i="31"/>
  <c r="RR20" i="31"/>
  <c r="RQ20" i="31"/>
  <c r="RP20" i="31"/>
  <c r="RM20" i="31"/>
  <c r="RL20" i="31"/>
  <c r="RK20" i="31"/>
  <c r="RF20" i="31"/>
  <c r="RE20" i="31"/>
  <c r="RD20" i="31"/>
  <c r="RA20" i="31"/>
  <c r="QZ20" i="31"/>
  <c r="QY20" i="31"/>
  <c r="QV20" i="31"/>
  <c r="QU20" i="31"/>
  <c r="QT20" i="31"/>
  <c r="QO20" i="31"/>
  <c r="QN20" i="31"/>
  <c r="QM20" i="31"/>
  <c r="QJ20" i="31"/>
  <c r="QI20" i="31"/>
  <c r="QH20" i="31"/>
  <c r="QE20" i="31"/>
  <c r="QD20" i="31"/>
  <c r="QC20" i="31"/>
  <c r="PX20" i="31"/>
  <c r="PW20" i="31"/>
  <c r="PV20" i="31"/>
  <c r="PS20" i="31"/>
  <c r="PR20" i="31"/>
  <c r="PQ20" i="31"/>
  <c r="PN20" i="31"/>
  <c r="PM20" i="31"/>
  <c r="PL20" i="31"/>
  <c r="PG20" i="31"/>
  <c r="PF20" i="31"/>
  <c r="PE20" i="31"/>
  <c r="PB20" i="31"/>
  <c r="PA20" i="31"/>
  <c r="OZ20" i="31"/>
  <c r="OW20" i="31"/>
  <c r="OV20" i="31"/>
  <c r="OU20" i="31"/>
  <c r="OP20" i="31"/>
  <c r="OO20" i="31"/>
  <c r="ON20" i="31"/>
  <c r="OK20" i="31"/>
  <c r="OJ20" i="31"/>
  <c r="OI20" i="31"/>
  <c r="OF20" i="31"/>
  <c r="OE20" i="31"/>
  <c r="OD20" i="31"/>
  <c r="NY20" i="31"/>
  <c r="NX20" i="31"/>
  <c r="NW20" i="31"/>
  <c r="NT20" i="31"/>
  <c r="NS20" i="31"/>
  <c r="NR20" i="31"/>
  <c r="NO20" i="31"/>
  <c r="NN20" i="31"/>
  <c r="NM20" i="31"/>
  <c r="NH20" i="31"/>
  <c r="NG20" i="31"/>
  <c r="NF20" i="31"/>
  <c r="NC20" i="31"/>
  <c r="NB20" i="31"/>
  <c r="NA20" i="31"/>
  <c r="MX20" i="31"/>
  <c r="MW20" i="31"/>
  <c r="MV20" i="31"/>
  <c r="MQ20" i="31"/>
  <c r="MP20" i="31"/>
  <c r="MO20" i="31"/>
  <c r="ML20" i="31"/>
  <c r="MK20" i="31"/>
  <c r="MJ20" i="31"/>
  <c r="MG20" i="31"/>
  <c r="MF20" i="31"/>
  <c r="ME20" i="31"/>
  <c r="LZ20" i="31"/>
  <c r="LY20" i="31"/>
  <c r="LX20" i="31"/>
  <c r="LU20" i="31"/>
  <c r="LT20" i="31"/>
  <c r="LS20" i="31"/>
  <c r="LP20" i="31"/>
  <c r="LO20" i="31"/>
  <c r="LN20" i="31"/>
  <c r="LI20" i="31"/>
  <c r="LH20" i="31"/>
  <c r="LG20" i="31"/>
  <c r="LD20" i="31"/>
  <c r="LC20" i="31"/>
  <c r="LB20" i="31"/>
  <c r="KY20" i="31"/>
  <c r="KX20" i="31"/>
  <c r="KW20" i="31"/>
  <c r="KR20" i="31"/>
  <c r="KQ20" i="31"/>
  <c r="KP20" i="31"/>
  <c r="KM20" i="31"/>
  <c r="KL20" i="31"/>
  <c r="KK20" i="31"/>
  <c r="KH20" i="31"/>
  <c r="KG20" i="31"/>
  <c r="KF20" i="31"/>
  <c r="KA20" i="31"/>
  <c r="JZ20" i="31"/>
  <c r="JY20" i="31"/>
  <c r="JV20" i="31"/>
  <c r="JU20" i="31"/>
  <c r="JT20" i="31"/>
  <c r="JQ20" i="31"/>
  <c r="JP20" i="31"/>
  <c r="JO20" i="31"/>
  <c r="JJ20" i="31"/>
  <c r="JI20" i="31"/>
  <c r="JH20" i="31"/>
  <c r="JE20" i="31"/>
  <c r="JD20" i="31"/>
  <c r="JC20" i="31"/>
  <c r="IZ20" i="31"/>
  <c r="IY20" i="31"/>
  <c r="IX20" i="31"/>
  <c r="IS20" i="31"/>
  <c r="IR20" i="31"/>
  <c r="IQ20" i="31"/>
  <c r="IN20" i="31"/>
  <c r="IM20" i="31"/>
  <c r="IL20" i="31"/>
  <c r="II20" i="31"/>
  <c r="IH20" i="31"/>
  <c r="IG20" i="31"/>
  <c r="IB20" i="31"/>
  <c r="IA20" i="31"/>
  <c r="HZ20" i="31"/>
  <c r="HW20" i="31"/>
  <c r="HV20" i="31"/>
  <c r="HU20" i="31"/>
  <c r="HR20" i="31"/>
  <c r="HQ20" i="31"/>
  <c r="HP20" i="31"/>
  <c r="HK20" i="31"/>
  <c r="HJ20" i="31"/>
  <c r="HI20" i="31"/>
  <c r="HF20" i="31"/>
  <c r="HE20" i="31"/>
  <c r="HD20" i="31"/>
  <c r="HA20" i="31"/>
  <c r="GZ20" i="31"/>
  <c r="GY20" i="31"/>
  <c r="GT20" i="31"/>
  <c r="GS20" i="31"/>
  <c r="GR20" i="31"/>
  <c r="GO20" i="31"/>
  <c r="GN20" i="31"/>
  <c r="GM20" i="31"/>
  <c r="GJ20" i="31"/>
  <c r="GI20" i="31"/>
  <c r="GH20" i="31"/>
  <c r="GC20" i="31"/>
  <c r="GB20" i="31"/>
  <c r="GA20" i="31"/>
  <c r="FX20" i="31"/>
  <c r="FW20" i="31"/>
  <c r="FV20" i="31"/>
  <c r="FS20" i="31"/>
  <c r="FR20" i="31"/>
  <c r="FQ20" i="31"/>
  <c r="FL20" i="31"/>
  <c r="FK20" i="31"/>
  <c r="FJ20" i="31"/>
  <c r="FG20" i="31"/>
  <c r="FF20" i="31"/>
  <c r="FE20" i="31"/>
  <c r="FB20" i="31"/>
  <c r="FA20" i="31"/>
  <c r="EZ20" i="31"/>
  <c r="EU20" i="31"/>
  <c r="ET20" i="31"/>
  <c r="ES20" i="31"/>
  <c r="EP20" i="31"/>
  <c r="EO20" i="31"/>
  <c r="EN20" i="31"/>
  <c r="EK20" i="31"/>
  <c r="EJ20" i="31"/>
  <c r="EI20" i="31"/>
  <c r="ED20" i="31"/>
  <c r="EC20" i="31"/>
  <c r="EB20" i="31"/>
  <c r="DY20" i="31"/>
  <c r="DX20" i="31"/>
  <c r="DW20" i="31"/>
  <c r="DT20" i="31"/>
  <c r="DS20" i="31"/>
  <c r="DR20" i="31"/>
  <c r="DM20" i="31"/>
  <c r="DL20" i="31"/>
  <c r="DK20" i="31"/>
  <c r="DH20" i="31"/>
  <c r="DG20" i="31"/>
  <c r="DF20" i="31"/>
  <c r="DC20" i="31"/>
  <c r="DB20" i="31"/>
  <c r="DA20" i="31"/>
  <c r="CV20" i="31"/>
  <c r="CU20" i="31"/>
  <c r="CT20" i="31"/>
  <c r="CQ20" i="31"/>
  <c r="CP20" i="31"/>
  <c r="CO20" i="31"/>
  <c r="CL20" i="31"/>
  <c r="CK20" i="31"/>
  <c r="CJ20" i="31"/>
  <c r="CE20" i="31"/>
  <c r="CD20" i="31"/>
  <c r="CC20" i="31"/>
  <c r="BZ20" i="31"/>
  <c r="BY20" i="31"/>
  <c r="BX20" i="31"/>
  <c r="BU20" i="31"/>
  <c r="BT20" i="31"/>
  <c r="BS20" i="31"/>
  <c r="BN20" i="31"/>
  <c r="BM20" i="31"/>
  <c r="BL20" i="31"/>
  <c r="BI20" i="31"/>
  <c r="BH20" i="31"/>
  <c r="BG20" i="31"/>
  <c r="BD20" i="31"/>
  <c r="BC20" i="31"/>
  <c r="BB20" i="31"/>
  <c r="AW20" i="31"/>
  <c r="AV20" i="31"/>
  <c r="AU20" i="31"/>
  <c r="AR20" i="31"/>
  <c r="AQ20" i="31"/>
  <c r="AP20" i="31"/>
  <c r="AM20" i="31"/>
  <c r="AL20" i="31"/>
  <c r="AK20" i="31"/>
  <c r="AF20" i="31"/>
  <c r="AE20" i="31"/>
  <c r="AD20" i="31"/>
  <c r="AA20" i="31"/>
  <c r="Z20" i="31"/>
  <c r="Y20" i="31"/>
  <c r="V20" i="31"/>
  <c r="U20" i="31"/>
  <c r="T20" i="31"/>
  <c r="O20" i="31"/>
  <c r="N20" i="31"/>
  <c r="M20" i="31"/>
  <c r="J20" i="31"/>
  <c r="I20" i="31"/>
  <c r="H20" i="31"/>
  <c r="E20" i="31"/>
  <c r="D20" i="31"/>
  <c r="C20" i="31"/>
  <c r="SO19" i="31"/>
  <c r="SP19" i="31" s="1"/>
  <c r="SJ19" i="31"/>
  <c r="SK19" i="31" s="1"/>
  <c r="SE19" i="31"/>
  <c r="RX19" i="31"/>
  <c r="RY19" i="31" s="1"/>
  <c r="RS19" i="31"/>
  <c r="RT19" i="31" s="1"/>
  <c r="RN19" i="31"/>
  <c r="RG19" i="31"/>
  <c r="RH19" i="31" s="1"/>
  <c r="RB19" i="31"/>
  <c r="RC19" i="31" s="1"/>
  <c r="QW19" i="31"/>
  <c r="QP19" i="31"/>
  <c r="QQ19" i="31" s="1"/>
  <c r="QK19" i="31"/>
  <c r="QL19" i="31" s="1"/>
  <c r="QF19" i="31"/>
  <c r="QG19" i="31" s="1"/>
  <c r="PY19" i="31"/>
  <c r="PZ19" i="31" s="1"/>
  <c r="PT19" i="31"/>
  <c r="PU19" i="31" s="1"/>
  <c r="PO19" i="31"/>
  <c r="PP19" i="31" s="1"/>
  <c r="PH19" i="31"/>
  <c r="PI19" i="31" s="1"/>
  <c r="PC19" i="31"/>
  <c r="PD19" i="31" s="1"/>
  <c r="OX19" i="31"/>
  <c r="OY19" i="31" s="1"/>
  <c r="OQ19" i="31"/>
  <c r="OR19" i="31" s="1"/>
  <c r="OL19" i="31"/>
  <c r="OM19" i="31" s="1"/>
  <c r="OG19" i="31"/>
  <c r="OH19" i="31" s="1"/>
  <c r="NZ19" i="31"/>
  <c r="OA19" i="31" s="1"/>
  <c r="NU19" i="31"/>
  <c r="NV19" i="31" s="1"/>
  <c r="NP19" i="31"/>
  <c r="NQ19" i="31" s="1"/>
  <c r="NI19" i="31"/>
  <c r="NJ19" i="31" s="1"/>
  <c r="ND19" i="31"/>
  <c r="NE19" i="31" s="1"/>
  <c r="MY19" i="31"/>
  <c r="MZ19" i="31" s="1"/>
  <c r="MR19" i="31"/>
  <c r="MS19" i="31" s="1"/>
  <c r="MM19" i="31"/>
  <c r="MN19" i="31" s="1"/>
  <c r="MH19" i="31"/>
  <c r="MI19" i="31" s="1"/>
  <c r="MA19" i="31"/>
  <c r="MB19" i="31" s="1"/>
  <c r="LV19" i="31"/>
  <c r="LW19" i="31" s="1"/>
  <c r="LQ19" i="31"/>
  <c r="LR19" i="31" s="1"/>
  <c r="LJ19" i="31"/>
  <c r="LK19" i="31" s="1"/>
  <c r="LE19" i="31"/>
  <c r="LF19" i="31" s="1"/>
  <c r="KZ19" i="31"/>
  <c r="LA19" i="31" s="1"/>
  <c r="KS19" i="31"/>
  <c r="KT19" i="31" s="1"/>
  <c r="KN19" i="31"/>
  <c r="KO19" i="31" s="1"/>
  <c r="KI19" i="31"/>
  <c r="KJ19" i="31" s="1"/>
  <c r="KB19" i="31"/>
  <c r="KC19" i="31" s="1"/>
  <c r="JW19" i="31"/>
  <c r="JX19" i="31" s="1"/>
  <c r="JR19" i="31"/>
  <c r="JS19" i="31" s="1"/>
  <c r="JK19" i="31"/>
  <c r="JL19" i="31" s="1"/>
  <c r="JF19" i="31"/>
  <c r="JG19" i="31" s="1"/>
  <c r="JA19" i="31"/>
  <c r="IT19" i="31"/>
  <c r="IU19" i="31" s="1"/>
  <c r="IO19" i="31"/>
  <c r="IP19" i="31" s="1"/>
  <c r="IJ19" i="31"/>
  <c r="IK19" i="31" s="1"/>
  <c r="IC19" i="31"/>
  <c r="ID19" i="31" s="1"/>
  <c r="HX19" i="31"/>
  <c r="HY19" i="31" s="1"/>
  <c r="HS19" i="31"/>
  <c r="HL19" i="31"/>
  <c r="HM19" i="31" s="1"/>
  <c r="HG19" i="31"/>
  <c r="HH19" i="31" s="1"/>
  <c r="HB19" i="31"/>
  <c r="HC19" i="31" s="1"/>
  <c r="GU19" i="31"/>
  <c r="GV19" i="31" s="1"/>
  <c r="GP19" i="31"/>
  <c r="GQ19" i="31" s="1"/>
  <c r="GK19" i="31"/>
  <c r="GL19" i="31" s="1"/>
  <c r="GD19" i="31"/>
  <c r="GE19" i="31" s="1"/>
  <c r="FY19" i="31"/>
  <c r="FZ19" i="31" s="1"/>
  <c r="FT19" i="31"/>
  <c r="FU19" i="31" s="1"/>
  <c r="FM19" i="31"/>
  <c r="FN19" i="31" s="1"/>
  <c r="FH19" i="31"/>
  <c r="FI19" i="31" s="1"/>
  <c r="FC19" i="31"/>
  <c r="FD19" i="31" s="1"/>
  <c r="EV19" i="31"/>
  <c r="EW19" i="31" s="1"/>
  <c r="EQ19" i="31"/>
  <c r="ER19" i="31" s="1"/>
  <c r="EL19" i="31"/>
  <c r="EM19" i="31" s="1"/>
  <c r="EE19" i="31"/>
  <c r="EF19" i="31" s="1"/>
  <c r="DZ19" i="31"/>
  <c r="EA19" i="31" s="1"/>
  <c r="DU19" i="31"/>
  <c r="DN19" i="31"/>
  <c r="DO19" i="31" s="1"/>
  <c r="DI19" i="31"/>
  <c r="DJ19" i="31" s="1"/>
  <c r="DD19" i="31"/>
  <c r="DE19" i="31" s="1"/>
  <c r="CW19" i="31"/>
  <c r="CX19" i="31" s="1"/>
  <c r="CR19" i="31"/>
  <c r="CS19" i="31" s="1"/>
  <c r="CM19" i="31"/>
  <c r="CF19" i="31"/>
  <c r="CG19" i="31" s="1"/>
  <c r="CA19" i="31"/>
  <c r="CB19" i="31" s="1"/>
  <c r="BV19" i="31"/>
  <c r="BW19" i="31" s="1"/>
  <c r="BO19" i="31"/>
  <c r="BP19" i="31" s="1"/>
  <c r="BJ19" i="31"/>
  <c r="BK19" i="31" s="1"/>
  <c r="BE19" i="31"/>
  <c r="BF19" i="31" s="1"/>
  <c r="AX19" i="31"/>
  <c r="AY19" i="31" s="1"/>
  <c r="AS19" i="31"/>
  <c r="AT19" i="31" s="1"/>
  <c r="AN19" i="31"/>
  <c r="AO19" i="31" s="1"/>
  <c r="AG19" i="31"/>
  <c r="AH19" i="31" s="1"/>
  <c r="AB19" i="31"/>
  <c r="AC19" i="31" s="1"/>
  <c r="W19" i="31"/>
  <c r="X19" i="31" s="1"/>
  <c r="P19" i="31"/>
  <c r="Q19" i="31" s="1"/>
  <c r="K19" i="31"/>
  <c r="L19" i="31" s="1"/>
  <c r="F19" i="31"/>
  <c r="G19" i="31" s="1"/>
  <c r="SQ18" i="31"/>
  <c r="SR18" i="31" s="1"/>
  <c r="SO18" i="31"/>
  <c r="SP18" i="31" s="1"/>
  <c r="SJ18" i="31"/>
  <c r="SK18" i="31" s="1"/>
  <c r="SE18" i="31"/>
  <c r="SF18" i="31" s="1"/>
  <c r="SA18" i="31"/>
  <c r="RZ18" i="31"/>
  <c r="RX18" i="31"/>
  <c r="RY18" i="31" s="1"/>
  <c r="RS18" i="31"/>
  <c r="RT18" i="31" s="1"/>
  <c r="RN18" i="31"/>
  <c r="RO18" i="31" s="1"/>
  <c r="RI18" i="31"/>
  <c r="RJ18" i="31" s="1"/>
  <c r="RG18" i="31"/>
  <c r="RH18" i="31" s="1"/>
  <c r="RB18" i="31"/>
  <c r="RC18" i="31" s="1"/>
  <c r="QW18" i="31"/>
  <c r="QX18" i="31" s="1"/>
  <c r="QR18" i="31"/>
  <c r="QS18" i="31" s="1"/>
  <c r="QP18" i="31"/>
  <c r="QQ18" i="31" s="1"/>
  <c r="QK18" i="31"/>
  <c r="QL18" i="31" s="1"/>
  <c r="QF18" i="31"/>
  <c r="QG18" i="31" s="1"/>
  <c r="QA18" i="31"/>
  <c r="QB18" i="31" s="1"/>
  <c r="PY18" i="31"/>
  <c r="PZ18" i="31" s="1"/>
  <c r="PT18" i="31"/>
  <c r="PU18" i="31" s="1"/>
  <c r="PO18" i="31"/>
  <c r="PP18" i="31" s="1"/>
  <c r="PJ18" i="31"/>
  <c r="PK18" i="31" s="1"/>
  <c r="PH18" i="31"/>
  <c r="PI18" i="31" s="1"/>
  <c r="PC18" i="31"/>
  <c r="PD18" i="31" s="1"/>
  <c r="OX18" i="31"/>
  <c r="OY18" i="31" s="1"/>
  <c r="OS18" i="31"/>
  <c r="OT18" i="31" s="1"/>
  <c r="OQ18" i="31"/>
  <c r="OR18" i="31" s="1"/>
  <c r="OL18" i="31"/>
  <c r="OM18" i="31" s="1"/>
  <c r="OG18" i="31"/>
  <c r="OH18" i="31" s="1"/>
  <c r="OB18" i="31"/>
  <c r="OC18" i="31" s="1"/>
  <c r="NZ18" i="31"/>
  <c r="OA18" i="31" s="1"/>
  <c r="NU18" i="31"/>
  <c r="NV18" i="31" s="1"/>
  <c r="NP18" i="31"/>
  <c r="NQ18" i="31" s="1"/>
  <c r="NK18" i="31"/>
  <c r="NL18" i="31" s="1"/>
  <c r="NI18" i="31"/>
  <c r="NJ18" i="31" s="1"/>
  <c r="ND18" i="31"/>
  <c r="NE18" i="31" s="1"/>
  <c r="MY18" i="31"/>
  <c r="MZ18" i="31" s="1"/>
  <c r="MT18" i="31"/>
  <c r="MU18" i="31" s="1"/>
  <c r="MR18" i="31"/>
  <c r="MS18" i="31" s="1"/>
  <c r="MN18" i="31"/>
  <c r="MM18" i="31"/>
  <c r="MH18" i="31"/>
  <c r="MI18" i="31" s="1"/>
  <c r="MC18" i="31"/>
  <c r="MD18" i="31" s="1"/>
  <c r="MA18" i="31"/>
  <c r="MB18" i="31" s="1"/>
  <c r="LV18" i="31"/>
  <c r="LW18" i="31" s="1"/>
  <c r="LQ18" i="31"/>
  <c r="LR18" i="31" s="1"/>
  <c r="LL18" i="31"/>
  <c r="LM18" i="31" s="1"/>
  <c r="LJ18" i="31"/>
  <c r="LK18" i="31" s="1"/>
  <c r="LE18" i="31"/>
  <c r="LF18" i="31" s="1"/>
  <c r="KZ18" i="31"/>
  <c r="LA18" i="31" s="1"/>
  <c r="KV18" i="31"/>
  <c r="KU18" i="31"/>
  <c r="KS18" i="31"/>
  <c r="KT18" i="31" s="1"/>
  <c r="KO18" i="31"/>
  <c r="KN18" i="31"/>
  <c r="KI18" i="31"/>
  <c r="KJ18" i="31" s="1"/>
  <c r="KD18" i="31"/>
  <c r="KE18" i="31" s="1"/>
  <c r="KB18" i="31"/>
  <c r="KC18" i="31" s="1"/>
  <c r="JW18" i="31"/>
  <c r="JX18" i="31" s="1"/>
  <c r="JR18" i="31"/>
  <c r="JS18" i="31" s="1"/>
  <c r="JM18" i="31"/>
  <c r="JN18" i="31" s="1"/>
  <c r="JK18" i="31"/>
  <c r="JL18" i="31" s="1"/>
  <c r="JF18" i="31"/>
  <c r="JG18" i="31" s="1"/>
  <c r="JA18" i="31"/>
  <c r="JB18" i="31" s="1"/>
  <c r="IV18" i="31"/>
  <c r="IW18" i="31" s="1"/>
  <c r="IT18" i="31"/>
  <c r="IU18" i="31" s="1"/>
  <c r="IO18" i="31"/>
  <c r="IP18" i="31" s="1"/>
  <c r="IJ18" i="31"/>
  <c r="IK18" i="31" s="1"/>
  <c r="IE18" i="31"/>
  <c r="IF18" i="31" s="1"/>
  <c r="IC18" i="31"/>
  <c r="ID18" i="31" s="1"/>
  <c r="HX18" i="31"/>
  <c r="HY18" i="31" s="1"/>
  <c r="HS18" i="31"/>
  <c r="HT18" i="31" s="1"/>
  <c r="HN18" i="31"/>
  <c r="HO18" i="31" s="1"/>
  <c r="HL18" i="31"/>
  <c r="HM18" i="31" s="1"/>
  <c r="HG18" i="31"/>
  <c r="HH18" i="31" s="1"/>
  <c r="HB18" i="31"/>
  <c r="HC18" i="31" s="1"/>
  <c r="GW18" i="31"/>
  <c r="GX18" i="31" s="1"/>
  <c r="GU18" i="31"/>
  <c r="GV18" i="31" s="1"/>
  <c r="GQ18" i="31"/>
  <c r="GP18" i="31"/>
  <c r="GK18" i="31"/>
  <c r="GL18" i="31" s="1"/>
  <c r="GF18" i="31"/>
  <c r="GG18" i="31" s="1"/>
  <c r="GD18" i="31"/>
  <c r="GE18" i="31" s="1"/>
  <c r="FY18" i="31"/>
  <c r="FZ18" i="31" s="1"/>
  <c r="FT18" i="31"/>
  <c r="FU18" i="31" s="1"/>
  <c r="FO18" i="31"/>
  <c r="FP18" i="31" s="1"/>
  <c r="FM18" i="31"/>
  <c r="FN18" i="31" s="1"/>
  <c r="FH18" i="31"/>
  <c r="FI18" i="31" s="1"/>
  <c r="FC18" i="31"/>
  <c r="FD18" i="31" s="1"/>
  <c r="EX18" i="31"/>
  <c r="EY18" i="31" s="1"/>
  <c r="EV18" i="31"/>
  <c r="EW18" i="31" s="1"/>
  <c r="EQ18" i="31"/>
  <c r="ER18" i="31" s="1"/>
  <c r="EL18" i="31"/>
  <c r="EM18" i="31" s="1"/>
  <c r="EG18" i="31"/>
  <c r="EH18" i="31" s="1"/>
  <c r="EE18" i="31"/>
  <c r="EF18" i="31" s="1"/>
  <c r="DZ18" i="31"/>
  <c r="EA18" i="31" s="1"/>
  <c r="DU18" i="31"/>
  <c r="DV18" i="31" s="1"/>
  <c r="DP18" i="31"/>
  <c r="DQ18" i="31" s="1"/>
  <c r="DN18" i="31"/>
  <c r="DO18" i="31" s="1"/>
  <c r="DI18" i="31"/>
  <c r="DJ18" i="31" s="1"/>
  <c r="DD18" i="31"/>
  <c r="DE18" i="31" s="1"/>
  <c r="CY18" i="31"/>
  <c r="CZ18" i="31" s="1"/>
  <c r="CW18" i="31"/>
  <c r="CX18" i="31" s="1"/>
  <c r="CR18" i="31"/>
  <c r="CS18" i="31" s="1"/>
  <c r="CM18" i="31"/>
  <c r="CN18" i="31" s="1"/>
  <c r="CH18" i="31"/>
  <c r="CI18" i="31" s="1"/>
  <c r="CF18" i="31"/>
  <c r="CG18" i="31" s="1"/>
  <c r="CA18" i="31"/>
  <c r="CB18" i="31" s="1"/>
  <c r="BV18" i="31"/>
  <c r="BW18" i="31" s="1"/>
  <c r="BQ18" i="31"/>
  <c r="BR18" i="31" s="1"/>
  <c r="BO18" i="31"/>
  <c r="BP18" i="31" s="1"/>
  <c r="BJ18" i="31"/>
  <c r="BK18" i="31" s="1"/>
  <c r="BE18" i="31"/>
  <c r="BF18" i="31" s="1"/>
  <c r="AZ18" i="31"/>
  <c r="BA18" i="31" s="1"/>
  <c r="AX18" i="31"/>
  <c r="AY18" i="31" s="1"/>
  <c r="AS18" i="31"/>
  <c r="AT18" i="31" s="1"/>
  <c r="AN18" i="31"/>
  <c r="AO18" i="31" s="1"/>
  <c r="AI18" i="31"/>
  <c r="AJ18" i="31" s="1"/>
  <c r="AG18" i="31"/>
  <c r="AH18" i="31" s="1"/>
  <c r="AC18" i="31"/>
  <c r="AB18" i="31"/>
  <c r="W18" i="31"/>
  <c r="X18" i="31" s="1"/>
  <c r="R18" i="31"/>
  <c r="S18" i="31" s="1"/>
  <c r="P18" i="31"/>
  <c r="Q18" i="31" s="1"/>
  <c r="K18" i="31"/>
  <c r="L18" i="31" s="1"/>
  <c r="F18" i="31"/>
  <c r="G18" i="31" s="1"/>
  <c r="SO17" i="31"/>
  <c r="SP17" i="31" s="1"/>
  <c r="SK17" i="31"/>
  <c r="SJ17" i="31"/>
  <c r="SE17" i="31"/>
  <c r="SF17" i="31" s="1"/>
  <c r="RX17" i="31"/>
  <c r="RY17" i="31" s="1"/>
  <c r="RS17" i="31"/>
  <c r="RT17" i="31" s="1"/>
  <c r="RN17" i="31"/>
  <c r="RO17" i="31" s="1"/>
  <c r="RG17" i="31"/>
  <c r="RH17" i="31" s="1"/>
  <c r="RB17" i="31"/>
  <c r="RC17" i="31" s="1"/>
  <c r="QW17" i="31"/>
  <c r="QX17" i="31" s="1"/>
  <c r="QP17" i="31"/>
  <c r="QQ17" i="31" s="1"/>
  <c r="QK17" i="31"/>
  <c r="QL17" i="31" s="1"/>
  <c r="QF17" i="31"/>
  <c r="QG17" i="31" s="1"/>
  <c r="PY17" i="31"/>
  <c r="PZ17" i="31" s="1"/>
  <c r="PT17" i="31"/>
  <c r="PU17" i="31" s="1"/>
  <c r="PO17" i="31"/>
  <c r="PP17" i="31" s="1"/>
  <c r="PH17" i="31"/>
  <c r="PI17" i="31" s="1"/>
  <c r="PC17" i="31"/>
  <c r="PD17" i="31" s="1"/>
  <c r="OX17" i="31"/>
  <c r="OY17" i="31" s="1"/>
  <c r="OQ17" i="31"/>
  <c r="OR17" i="31" s="1"/>
  <c r="OL17" i="31"/>
  <c r="OM17" i="31" s="1"/>
  <c r="OG17" i="31"/>
  <c r="OH17" i="31" s="1"/>
  <c r="NZ17" i="31"/>
  <c r="OA17" i="31" s="1"/>
  <c r="NU17" i="31"/>
  <c r="NV17" i="31" s="1"/>
  <c r="NP17" i="31"/>
  <c r="NQ17" i="31" s="1"/>
  <c r="NI17" i="31"/>
  <c r="NJ17" i="31" s="1"/>
  <c r="ND17" i="31"/>
  <c r="NE17" i="31" s="1"/>
  <c r="MY17" i="31"/>
  <c r="MZ17" i="31" s="1"/>
  <c r="MR17" i="31"/>
  <c r="MS17" i="31" s="1"/>
  <c r="MM17" i="31"/>
  <c r="MN17" i="31" s="1"/>
  <c r="MH17" i="31"/>
  <c r="MI17" i="31" s="1"/>
  <c r="MA17" i="31"/>
  <c r="MB17" i="31" s="1"/>
  <c r="LW17" i="31"/>
  <c r="LV17" i="31"/>
  <c r="LQ17" i="31"/>
  <c r="LR17" i="31" s="1"/>
  <c r="LJ17" i="31"/>
  <c r="LK17" i="31" s="1"/>
  <c r="LE17" i="31"/>
  <c r="LF17" i="31" s="1"/>
  <c r="KZ17" i="31"/>
  <c r="LA17" i="31" s="1"/>
  <c r="KS17" i="31"/>
  <c r="KT17" i="31" s="1"/>
  <c r="KN17" i="31"/>
  <c r="KO17" i="31" s="1"/>
  <c r="KI17" i="31"/>
  <c r="KJ17" i="31" s="1"/>
  <c r="KB17" i="31"/>
  <c r="KC17" i="31" s="1"/>
  <c r="JW17" i="31"/>
  <c r="JX17" i="31" s="1"/>
  <c r="JR17" i="31"/>
  <c r="JS17" i="31" s="1"/>
  <c r="JK17" i="31"/>
  <c r="JL17" i="31" s="1"/>
  <c r="JF17" i="31"/>
  <c r="JG17" i="31" s="1"/>
  <c r="JA17" i="31"/>
  <c r="JB17" i="31" s="1"/>
  <c r="IT17" i="31"/>
  <c r="IU17" i="31" s="1"/>
  <c r="IO17" i="31"/>
  <c r="IP17" i="31" s="1"/>
  <c r="IJ17" i="31"/>
  <c r="IK17" i="31" s="1"/>
  <c r="IC17" i="31"/>
  <c r="ID17" i="31" s="1"/>
  <c r="HY17" i="31"/>
  <c r="HX17" i="31"/>
  <c r="HS17" i="31"/>
  <c r="HT17" i="31" s="1"/>
  <c r="HL17" i="31"/>
  <c r="HM17" i="31" s="1"/>
  <c r="HG17" i="31"/>
  <c r="HH17" i="31" s="1"/>
  <c r="HB17" i="31"/>
  <c r="HC17" i="31" s="1"/>
  <c r="GU17" i="31"/>
  <c r="GV17" i="31" s="1"/>
  <c r="GP17" i="31"/>
  <c r="GQ17" i="31" s="1"/>
  <c r="GK17" i="31"/>
  <c r="GL17" i="31" s="1"/>
  <c r="GD17" i="31"/>
  <c r="GE17" i="31" s="1"/>
  <c r="FY17" i="31"/>
  <c r="FZ17" i="31" s="1"/>
  <c r="FT17" i="31"/>
  <c r="FU17" i="31" s="1"/>
  <c r="FM17" i="31"/>
  <c r="FN17" i="31" s="1"/>
  <c r="FH17" i="31"/>
  <c r="FI17" i="31" s="1"/>
  <c r="FC17" i="31"/>
  <c r="FD17" i="31" s="1"/>
  <c r="EV17" i="31"/>
  <c r="EW17" i="31" s="1"/>
  <c r="EQ17" i="31"/>
  <c r="ER17" i="31" s="1"/>
  <c r="EL17" i="31"/>
  <c r="EM17" i="31" s="1"/>
  <c r="EE17" i="31"/>
  <c r="EF17" i="31" s="1"/>
  <c r="DZ17" i="31"/>
  <c r="EA17" i="31" s="1"/>
  <c r="DU17" i="31"/>
  <c r="DV17" i="31" s="1"/>
  <c r="DN17" i="31"/>
  <c r="DO17" i="31" s="1"/>
  <c r="DI17" i="31"/>
  <c r="DJ17" i="31" s="1"/>
  <c r="DD17" i="31"/>
  <c r="DE17" i="31" s="1"/>
  <c r="CW17" i="31"/>
  <c r="CX17" i="31" s="1"/>
  <c r="CR17" i="31"/>
  <c r="CS17" i="31" s="1"/>
  <c r="CM17" i="31"/>
  <c r="CN17" i="31" s="1"/>
  <c r="CF17" i="31"/>
  <c r="CG17" i="31" s="1"/>
  <c r="CA17" i="31"/>
  <c r="CB17" i="31" s="1"/>
  <c r="BV17" i="31"/>
  <c r="BW17" i="31" s="1"/>
  <c r="BO17" i="31"/>
  <c r="BP17" i="31" s="1"/>
  <c r="BJ17" i="31"/>
  <c r="BK17" i="31" s="1"/>
  <c r="BE17" i="31"/>
  <c r="BF17" i="31" s="1"/>
  <c r="AX17" i="31"/>
  <c r="AY17" i="31" s="1"/>
  <c r="AS17" i="31"/>
  <c r="AT17" i="31" s="1"/>
  <c r="AN17" i="31"/>
  <c r="AO17" i="31" s="1"/>
  <c r="AG17" i="31"/>
  <c r="AH17" i="31" s="1"/>
  <c r="AB17" i="31"/>
  <c r="AC17" i="31" s="1"/>
  <c r="W17" i="31"/>
  <c r="X17" i="31" s="1"/>
  <c r="P17" i="31"/>
  <c r="Q17" i="31" s="1"/>
  <c r="K17" i="31"/>
  <c r="L17" i="31" s="1"/>
  <c r="F17" i="31"/>
  <c r="G17" i="31" s="1"/>
  <c r="SO16" i="31"/>
  <c r="SP16" i="31" s="1"/>
  <c r="SK16" i="31"/>
  <c r="SJ16" i="31"/>
  <c r="SE16" i="31"/>
  <c r="SF16" i="31" s="1"/>
  <c r="RX16" i="31"/>
  <c r="RY16" i="31" s="1"/>
  <c r="RT16" i="31"/>
  <c r="RS16" i="31"/>
  <c r="RN16" i="31"/>
  <c r="RO16" i="31" s="1"/>
  <c r="RG16" i="31"/>
  <c r="RH16" i="31" s="1"/>
  <c r="RC16" i="31"/>
  <c r="RB16" i="31"/>
  <c r="QW16" i="31"/>
  <c r="QX16" i="31" s="1"/>
  <c r="QP16" i="31"/>
  <c r="QQ16" i="31" s="1"/>
  <c r="QK16" i="31"/>
  <c r="QL16" i="31" s="1"/>
  <c r="QF16" i="31"/>
  <c r="QG16" i="31" s="1"/>
  <c r="PY16" i="31"/>
  <c r="PZ16" i="31" s="1"/>
  <c r="PT16" i="31"/>
  <c r="PU16" i="31" s="1"/>
  <c r="PO16" i="31"/>
  <c r="PP16" i="31" s="1"/>
  <c r="PH16" i="31"/>
  <c r="PI16" i="31" s="1"/>
  <c r="PC16" i="31"/>
  <c r="PD16" i="31" s="1"/>
  <c r="OX16" i="31"/>
  <c r="OY16" i="31" s="1"/>
  <c r="OQ16" i="31"/>
  <c r="OR16" i="31" s="1"/>
  <c r="OL16" i="31"/>
  <c r="OM16" i="31" s="1"/>
  <c r="OG16" i="31"/>
  <c r="OH16" i="31" s="1"/>
  <c r="NZ16" i="31"/>
  <c r="OA16" i="31" s="1"/>
  <c r="NU16" i="31"/>
  <c r="NV16" i="31" s="1"/>
  <c r="NP16" i="31"/>
  <c r="NQ16" i="31" s="1"/>
  <c r="NI16" i="31"/>
  <c r="NJ16" i="31" s="1"/>
  <c r="ND16" i="31"/>
  <c r="NE16" i="31" s="1"/>
  <c r="MY16" i="31"/>
  <c r="MZ16" i="31" s="1"/>
  <c r="MR16" i="31"/>
  <c r="MS16" i="31" s="1"/>
  <c r="MM16" i="31"/>
  <c r="MN16" i="31" s="1"/>
  <c r="MH16" i="31"/>
  <c r="MI16" i="31" s="1"/>
  <c r="MA16" i="31"/>
  <c r="MB16" i="31" s="1"/>
  <c r="LV16" i="31"/>
  <c r="LW16" i="31" s="1"/>
  <c r="LQ16" i="31"/>
  <c r="LR16" i="31" s="1"/>
  <c r="LJ16" i="31"/>
  <c r="LK16" i="31" s="1"/>
  <c r="LE16" i="31"/>
  <c r="LF16" i="31" s="1"/>
  <c r="KZ16" i="31"/>
  <c r="LA16" i="31" s="1"/>
  <c r="KS16" i="31"/>
  <c r="KT16" i="31" s="1"/>
  <c r="KN16" i="31"/>
  <c r="KO16" i="31" s="1"/>
  <c r="KI16" i="31"/>
  <c r="KJ16" i="31" s="1"/>
  <c r="KB16" i="31"/>
  <c r="KC16" i="31" s="1"/>
  <c r="JW16" i="31"/>
  <c r="JX16" i="31" s="1"/>
  <c r="JR16" i="31"/>
  <c r="JS16" i="31" s="1"/>
  <c r="JK16" i="31"/>
  <c r="JL16" i="31" s="1"/>
  <c r="JF16" i="31"/>
  <c r="JG16" i="31" s="1"/>
  <c r="JA16" i="31"/>
  <c r="JB16" i="31" s="1"/>
  <c r="IT16" i="31"/>
  <c r="IU16" i="31" s="1"/>
  <c r="IO16" i="31"/>
  <c r="IP16" i="31" s="1"/>
  <c r="IJ16" i="31"/>
  <c r="IK16" i="31" s="1"/>
  <c r="IC16" i="31"/>
  <c r="ID16" i="31" s="1"/>
  <c r="HX16" i="31"/>
  <c r="HY16" i="31" s="1"/>
  <c r="HS16" i="31"/>
  <c r="HT16" i="31" s="1"/>
  <c r="HL16" i="31"/>
  <c r="HM16" i="31" s="1"/>
  <c r="HG16" i="31"/>
  <c r="HH16" i="31" s="1"/>
  <c r="HB16" i="31"/>
  <c r="HC16" i="31" s="1"/>
  <c r="GU16" i="31"/>
  <c r="GV16" i="31" s="1"/>
  <c r="GP16" i="31"/>
  <c r="GQ16" i="31" s="1"/>
  <c r="GK16" i="31"/>
  <c r="GL16" i="31" s="1"/>
  <c r="GD16" i="31"/>
  <c r="GE16" i="31" s="1"/>
  <c r="FY16" i="31"/>
  <c r="FZ16" i="31" s="1"/>
  <c r="FT16" i="31"/>
  <c r="FU16" i="31" s="1"/>
  <c r="FM16" i="31"/>
  <c r="FN16" i="31" s="1"/>
  <c r="FH16" i="31"/>
  <c r="FI16" i="31" s="1"/>
  <c r="FC16" i="31"/>
  <c r="FD16" i="31" s="1"/>
  <c r="EV16" i="31"/>
  <c r="EW16" i="31" s="1"/>
  <c r="EQ16" i="31"/>
  <c r="ER16" i="31" s="1"/>
  <c r="EL16" i="31"/>
  <c r="EM16" i="31" s="1"/>
  <c r="EE16" i="31"/>
  <c r="EF16" i="31" s="1"/>
  <c r="DZ16" i="31"/>
  <c r="EA16" i="31" s="1"/>
  <c r="DU16" i="31"/>
  <c r="DV16" i="31" s="1"/>
  <c r="DN16" i="31"/>
  <c r="DO16" i="31" s="1"/>
  <c r="DI16" i="31"/>
  <c r="DJ16" i="31" s="1"/>
  <c r="DD16" i="31"/>
  <c r="DE16" i="31" s="1"/>
  <c r="CW16" i="31"/>
  <c r="CX16" i="31" s="1"/>
  <c r="CR16" i="31"/>
  <c r="CS16" i="31" s="1"/>
  <c r="CM16" i="31"/>
  <c r="CF16" i="31"/>
  <c r="CG16" i="31" s="1"/>
  <c r="CA16" i="31"/>
  <c r="CB16" i="31" s="1"/>
  <c r="BV16" i="31"/>
  <c r="BO16" i="31"/>
  <c r="BP16" i="31" s="1"/>
  <c r="BJ16" i="31"/>
  <c r="BK16" i="31" s="1"/>
  <c r="BE16" i="31"/>
  <c r="AX16" i="31"/>
  <c r="AY16" i="31" s="1"/>
  <c r="AS16" i="31"/>
  <c r="AT16" i="31" s="1"/>
  <c r="AN16" i="31"/>
  <c r="AG16" i="31"/>
  <c r="AH16" i="31" s="1"/>
  <c r="AB16" i="31"/>
  <c r="AC16" i="31" s="1"/>
  <c r="W16" i="31"/>
  <c r="P16" i="31"/>
  <c r="Q16" i="31" s="1"/>
  <c r="K16" i="31"/>
  <c r="L16" i="31" s="1"/>
  <c r="F16" i="31"/>
  <c r="SO15" i="31"/>
  <c r="SP15" i="31" s="1"/>
  <c r="SJ15" i="31"/>
  <c r="SK15" i="31" s="1"/>
  <c r="SE15" i="31"/>
  <c r="RX15" i="31"/>
  <c r="RY15" i="31" s="1"/>
  <c r="RS15" i="31"/>
  <c r="RT15" i="31" s="1"/>
  <c r="RN15" i="31"/>
  <c r="RG15" i="31"/>
  <c r="RH15" i="31" s="1"/>
  <c r="RB15" i="31"/>
  <c r="RC15" i="31" s="1"/>
  <c r="QW15" i="31"/>
  <c r="RI15" i="31" s="1"/>
  <c r="RJ15" i="31" s="1"/>
  <c r="QP15" i="31"/>
  <c r="QQ15" i="31" s="1"/>
  <c r="QK15" i="31"/>
  <c r="QL15" i="31" s="1"/>
  <c r="QF15" i="31"/>
  <c r="PY15" i="31"/>
  <c r="PZ15" i="31" s="1"/>
  <c r="PT15" i="31"/>
  <c r="PU15" i="31" s="1"/>
  <c r="PO15" i="31"/>
  <c r="PH15" i="31"/>
  <c r="PI15" i="31" s="1"/>
  <c r="PC15" i="31"/>
  <c r="PD15" i="31" s="1"/>
  <c r="OX15" i="31"/>
  <c r="OQ15" i="31"/>
  <c r="OR15" i="31" s="1"/>
  <c r="OL15" i="31"/>
  <c r="OM15" i="31" s="1"/>
  <c r="OG15" i="31"/>
  <c r="NZ15" i="31"/>
  <c r="OA15" i="31" s="1"/>
  <c r="NU15" i="31"/>
  <c r="NV15" i="31" s="1"/>
  <c r="NP15" i="31"/>
  <c r="NI15" i="31"/>
  <c r="NJ15" i="31" s="1"/>
  <c r="ND15" i="31"/>
  <c r="NE15" i="31" s="1"/>
  <c r="MY15" i="31"/>
  <c r="MR15" i="31"/>
  <c r="MS15" i="31" s="1"/>
  <c r="MM15" i="31"/>
  <c r="MN15" i="31" s="1"/>
  <c r="MH15" i="31"/>
  <c r="MA15" i="31"/>
  <c r="MB15" i="31" s="1"/>
  <c r="LV15" i="31"/>
  <c r="LW15" i="31" s="1"/>
  <c r="LQ15" i="31"/>
  <c r="LJ15" i="31"/>
  <c r="LK15" i="31" s="1"/>
  <c r="LE15" i="31"/>
  <c r="LF15" i="31" s="1"/>
  <c r="KZ15" i="31"/>
  <c r="KS15" i="31"/>
  <c r="KT15" i="31" s="1"/>
  <c r="KN15" i="31"/>
  <c r="KO15" i="31" s="1"/>
  <c r="KI15" i="31"/>
  <c r="KB15" i="31"/>
  <c r="KC15" i="31" s="1"/>
  <c r="JW15" i="31"/>
  <c r="JX15" i="31" s="1"/>
  <c r="JR15" i="31"/>
  <c r="JK15" i="31"/>
  <c r="JL15" i="31" s="1"/>
  <c r="JF15" i="31"/>
  <c r="JG15" i="31" s="1"/>
  <c r="JA15" i="31"/>
  <c r="IT15" i="31"/>
  <c r="IU15" i="31" s="1"/>
  <c r="IO15" i="31"/>
  <c r="IP15" i="31" s="1"/>
  <c r="IJ15" i="31"/>
  <c r="IC15" i="31"/>
  <c r="ID15" i="31" s="1"/>
  <c r="HX15" i="31"/>
  <c r="HY15" i="31" s="1"/>
  <c r="HS15" i="31"/>
  <c r="HL15" i="31"/>
  <c r="HM15" i="31" s="1"/>
  <c r="HG15" i="31"/>
  <c r="HH15" i="31" s="1"/>
  <c r="HB15" i="31"/>
  <c r="GU15" i="31"/>
  <c r="GV15" i="31" s="1"/>
  <c r="GP15" i="31"/>
  <c r="GQ15" i="31" s="1"/>
  <c r="GK15" i="31"/>
  <c r="GD15" i="31"/>
  <c r="GE15" i="31" s="1"/>
  <c r="FY15" i="31"/>
  <c r="FZ15" i="31" s="1"/>
  <c r="FT15" i="31"/>
  <c r="FM15" i="31"/>
  <c r="FN15" i="31" s="1"/>
  <c r="FH15" i="31"/>
  <c r="FI15" i="31" s="1"/>
  <c r="FC15" i="31"/>
  <c r="EV15" i="31"/>
  <c r="EW15" i="31" s="1"/>
  <c r="EQ15" i="31"/>
  <c r="ER15" i="31" s="1"/>
  <c r="EL15" i="31"/>
  <c r="EE15" i="31"/>
  <c r="EF15" i="31" s="1"/>
  <c r="DZ15" i="31"/>
  <c r="EA15" i="31" s="1"/>
  <c r="DU15" i="31"/>
  <c r="DN15" i="31"/>
  <c r="DO15" i="31" s="1"/>
  <c r="DI15" i="31"/>
  <c r="DJ15" i="31" s="1"/>
  <c r="DD15" i="31"/>
  <c r="CW15" i="31"/>
  <c r="CX15" i="31" s="1"/>
  <c r="CR15" i="31"/>
  <c r="CS15" i="31" s="1"/>
  <c r="CM15" i="31"/>
  <c r="CF15" i="31"/>
  <c r="CG15" i="31" s="1"/>
  <c r="CA15" i="31"/>
  <c r="CB15" i="31" s="1"/>
  <c r="BV15" i="31"/>
  <c r="BO15" i="31"/>
  <c r="BP15" i="31" s="1"/>
  <c r="BJ15" i="31"/>
  <c r="BK15" i="31" s="1"/>
  <c r="BE15" i="31"/>
  <c r="AX15" i="31"/>
  <c r="AY15" i="31" s="1"/>
  <c r="AS15" i="31"/>
  <c r="AT15" i="31" s="1"/>
  <c r="AN15" i="31"/>
  <c r="AG15" i="31"/>
  <c r="AH15" i="31" s="1"/>
  <c r="AB15" i="31"/>
  <c r="AC15" i="31" s="1"/>
  <c r="W15" i="31"/>
  <c r="P15" i="31"/>
  <c r="Q15" i="31" s="1"/>
  <c r="K15" i="31"/>
  <c r="L15" i="31" s="1"/>
  <c r="F15" i="31"/>
  <c r="SQ14" i="31"/>
  <c r="SR14" i="31" s="1"/>
  <c r="SO14" i="31"/>
  <c r="SP14" i="31" s="1"/>
  <c r="SJ14" i="31"/>
  <c r="SK14" i="31" s="1"/>
  <c r="SE14" i="31"/>
  <c r="SF14" i="31" s="1"/>
  <c r="RZ14" i="31"/>
  <c r="SA14" i="31" s="1"/>
  <c r="RX14" i="31"/>
  <c r="RY14" i="31" s="1"/>
  <c r="RS14" i="31"/>
  <c r="RT14" i="31" s="1"/>
  <c r="RN14" i="31"/>
  <c r="RO14" i="31" s="1"/>
  <c r="RI14" i="31"/>
  <c r="RJ14" i="31" s="1"/>
  <c r="RG14" i="31"/>
  <c r="RH14" i="31" s="1"/>
  <c r="RB14" i="31"/>
  <c r="RC14" i="31" s="1"/>
  <c r="QW14" i="31"/>
  <c r="QX14" i="31" s="1"/>
  <c r="QR14" i="31"/>
  <c r="QS14" i="31" s="1"/>
  <c r="QP14" i="31"/>
  <c r="QQ14" i="31" s="1"/>
  <c r="QK14" i="31"/>
  <c r="QL14" i="31" s="1"/>
  <c r="QF14" i="31"/>
  <c r="QG14" i="31" s="1"/>
  <c r="QA14" i="31"/>
  <c r="QB14" i="31" s="1"/>
  <c r="PY14" i="31"/>
  <c r="PZ14" i="31" s="1"/>
  <c r="PT14" i="31"/>
  <c r="PU14" i="31" s="1"/>
  <c r="PO14" i="31"/>
  <c r="PP14" i="31" s="1"/>
  <c r="PJ14" i="31"/>
  <c r="PK14" i="31" s="1"/>
  <c r="PH14" i="31"/>
  <c r="PI14" i="31" s="1"/>
  <c r="PC14" i="31"/>
  <c r="PD14" i="31" s="1"/>
  <c r="OX14" i="31"/>
  <c r="OY14" i="31" s="1"/>
  <c r="OS14" i="31"/>
  <c r="OT14" i="31" s="1"/>
  <c r="OQ14" i="31"/>
  <c r="OR14" i="31" s="1"/>
  <c r="OL14" i="31"/>
  <c r="OM14" i="31" s="1"/>
  <c r="OG14" i="31"/>
  <c r="OH14" i="31" s="1"/>
  <c r="OB14" i="31"/>
  <c r="OC14" i="31" s="1"/>
  <c r="NZ14" i="31"/>
  <c r="OA14" i="31" s="1"/>
  <c r="NU14" i="31"/>
  <c r="NV14" i="31" s="1"/>
  <c r="NP14" i="31"/>
  <c r="NQ14" i="31" s="1"/>
  <c r="NK14" i="31"/>
  <c r="NL14" i="31" s="1"/>
  <c r="NI14" i="31"/>
  <c r="NJ14" i="31" s="1"/>
  <c r="ND14" i="31"/>
  <c r="NE14" i="31" s="1"/>
  <c r="MY14" i="31"/>
  <c r="MZ14" i="31" s="1"/>
  <c r="MT14" i="31"/>
  <c r="MU14" i="31" s="1"/>
  <c r="MS14" i="31"/>
  <c r="MR14" i="31"/>
  <c r="MM14" i="31"/>
  <c r="MN14" i="31" s="1"/>
  <c r="MH14" i="31"/>
  <c r="MI14" i="31" s="1"/>
  <c r="MC14" i="31"/>
  <c r="MD14" i="31" s="1"/>
  <c r="MA14" i="31"/>
  <c r="MB14" i="31" s="1"/>
  <c r="LV14" i="31"/>
  <c r="LW14" i="31" s="1"/>
  <c r="LQ14" i="31"/>
  <c r="LR14" i="31" s="1"/>
  <c r="LL14" i="31"/>
  <c r="LM14" i="31" s="1"/>
  <c r="LJ14" i="31"/>
  <c r="LK14" i="31" s="1"/>
  <c r="LE14" i="31"/>
  <c r="LF14" i="31" s="1"/>
  <c r="KZ14" i="31"/>
  <c r="LA14" i="31" s="1"/>
  <c r="KU14" i="31"/>
  <c r="KV14" i="31" s="1"/>
  <c r="KS14" i="31"/>
  <c r="KT14" i="31" s="1"/>
  <c r="KN14" i="31"/>
  <c r="KO14" i="31" s="1"/>
  <c r="KI14" i="31"/>
  <c r="KJ14" i="31" s="1"/>
  <c r="KD14" i="31"/>
  <c r="KE14" i="31" s="1"/>
  <c r="KB14" i="31"/>
  <c r="KC14" i="31" s="1"/>
  <c r="JW14" i="31"/>
  <c r="JX14" i="31" s="1"/>
  <c r="JR14" i="31"/>
  <c r="JS14" i="31" s="1"/>
  <c r="JN14" i="31"/>
  <c r="JM14" i="31"/>
  <c r="JK14" i="31"/>
  <c r="JL14" i="31" s="1"/>
  <c r="JF14" i="31"/>
  <c r="JG14" i="31" s="1"/>
  <c r="JA14" i="31"/>
  <c r="JB14" i="31" s="1"/>
  <c r="IV14" i="31"/>
  <c r="IW14" i="31" s="1"/>
  <c r="IT14" i="31"/>
  <c r="IU14" i="31" s="1"/>
  <c r="IO14" i="31"/>
  <c r="IP14" i="31" s="1"/>
  <c r="IJ14" i="31"/>
  <c r="IK14" i="31" s="1"/>
  <c r="IE14" i="31"/>
  <c r="IF14" i="31" s="1"/>
  <c r="IC14" i="31"/>
  <c r="ID14" i="31" s="1"/>
  <c r="HX14" i="31"/>
  <c r="HY14" i="31" s="1"/>
  <c r="HS14" i="31"/>
  <c r="HT14" i="31" s="1"/>
  <c r="HN14" i="31"/>
  <c r="HO14" i="31" s="1"/>
  <c r="HL14" i="31"/>
  <c r="HM14" i="31" s="1"/>
  <c r="HG14" i="31"/>
  <c r="HH14" i="31" s="1"/>
  <c r="HB14" i="31"/>
  <c r="HC14" i="31" s="1"/>
  <c r="GW14" i="31"/>
  <c r="GX14" i="31" s="1"/>
  <c r="GU14" i="31"/>
  <c r="GV14" i="31" s="1"/>
  <c r="GP14" i="31"/>
  <c r="GQ14" i="31" s="1"/>
  <c r="GK14" i="31"/>
  <c r="GL14" i="31" s="1"/>
  <c r="GF14" i="31"/>
  <c r="GG14" i="31" s="1"/>
  <c r="GD14" i="31"/>
  <c r="GE14" i="31" s="1"/>
  <c r="FY14" i="31"/>
  <c r="FZ14" i="31" s="1"/>
  <c r="FT14" i="31"/>
  <c r="FU14" i="31" s="1"/>
  <c r="FO14" i="31"/>
  <c r="FP14" i="31" s="1"/>
  <c r="FM14" i="31"/>
  <c r="FN14" i="31" s="1"/>
  <c r="FH14" i="31"/>
  <c r="FI14" i="31" s="1"/>
  <c r="FC14" i="31"/>
  <c r="FD14" i="31" s="1"/>
  <c r="EX14" i="31"/>
  <c r="EY14" i="31" s="1"/>
  <c r="EV14" i="31"/>
  <c r="EW14" i="31" s="1"/>
  <c r="EQ14" i="31"/>
  <c r="ER14" i="31" s="1"/>
  <c r="EL14" i="31"/>
  <c r="EM14" i="31" s="1"/>
  <c r="EG14" i="31"/>
  <c r="EH14" i="31" s="1"/>
  <c r="EE14" i="31"/>
  <c r="EF14" i="31" s="1"/>
  <c r="DZ14" i="31"/>
  <c r="EA14" i="31" s="1"/>
  <c r="DU14" i="31"/>
  <c r="DV14" i="31" s="1"/>
  <c r="DP14" i="31"/>
  <c r="DQ14" i="31" s="1"/>
  <c r="DN14" i="31"/>
  <c r="DO14" i="31" s="1"/>
  <c r="DI14" i="31"/>
  <c r="DJ14" i="31" s="1"/>
  <c r="DD14" i="31"/>
  <c r="DE14" i="31" s="1"/>
  <c r="CY14" i="31"/>
  <c r="CZ14" i="31" s="1"/>
  <c r="CW14" i="31"/>
  <c r="CX14" i="31" s="1"/>
  <c r="CR14" i="31"/>
  <c r="CS14" i="31" s="1"/>
  <c r="CM14" i="31"/>
  <c r="CN14" i="31" s="1"/>
  <c r="CH14" i="31"/>
  <c r="CI14" i="31" s="1"/>
  <c r="CF14" i="31"/>
  <c r="CG14" i="31" s="1"/>
  <c r="CA14" i="31"/>
  <c r="CB14" i="31" s="1"/>
  <c r="BV14" i="31"/>
  <c r="BW14" i="31" s="1"/>
  <c r="BR14" i="31"/>
  <c r="BQ14" i="31"/>
  <c r="BO14" i="31"/>
  <c r="BP14" i="31" s="1"/>
  <c r="BJ14" i="31"/>
  <c r="BK14" i="31" s="1"/>
  <c r="BE14" i="31"/>
  <c r="BF14" i="31" s="1"/>
  <c r="AZ14" i="31"/>
  <c r="BA14" i="31" s="1"/>
  <c r="AX14" i="31"/>
  <c r="AY14" i="31" s="1"/>
  <c r="AS14" i="31"/>
  <c r="AT14" i="31" s="1"/>
  <c r="AN14" i="31"/>
  <c r="AO14" i="31" s="1"/>
  <c r="AI14" i="31"/>
  <c r="AJ14" i="31" s="1"/>
  <c r="AG14" i="31"/>
  <c r="AH14" i="31" s="1"/>
  <c r="AB14" i="31"/>
  <c r="AC14" i="31" s="1"/>
  <c r="W14" i="31"/>
  <c r="X14" i="31" s="1"/>
  <c r="R14" i="31"/>
  <c r="S14" i="31" s="1"/>
  <c r="P14" i="31"/>
  <c r="Q14" i="31" s="1"/>
  <c r="K14" i="31"/>
  <c r="L14" i="31" s="1"/>
  <c r="F14" i="31"/>
  <c r="G14" i="31" s="1"/>
  <c r="SO13" i="31"/>
  <c r="SP13" i="31" s="1"/>
  <c r="SJ13" i="31"/>
  <c r="SK13" i="31" s="1"/>
  <c r="SE13" i="31"/>
  <c r="SF13" i="31" s="1"/>
  <c r="RX13" i="31"/>
  <c r="RY13" i="31" s="1"/>
  <c r="RS13" i="31"/>
  <c r="RT13" i="31" s="1"/>
  <c r="RN13" i="31"/>
  <c r="RO13" i="31" s="1"/>
  <c r="RG13" i="31"/>
  <c r="RH13" i="31" s="1"/>
  <c r="RB13" i="31"/>
  <c r="RC13" i="31" s="1"/>
  <c r="QW13" i="31"/>
  <c r="QX13" i="31" s="1"/>
  <c r="QP13" i="31"/>
  <c r="QQ13" i="31" s="1"/>
  <c r="QK13" i="31"/>
  <c r="QL13" i="31" s="1"/>
  <c r="QF13" i="31"/>
  <c r="QG13" i="31" s="1"/>
  <c r="PY13" i="31"/>
  <c r="PZ13" i="31" s="1"/>
  <c r="PT13" i="31"/>
  <c r="PU13" i="31" s="1"/>
  <c r="PO13" i="31"/>
  <c r="PP13" i="31" s="1"/>
  <c r="PH13" i="31"/>
  <c r="PI13" i="31" s="1"/>
  <c r="PC13" i="31"/>
  <c r="PD13" i="31" s="1"/>
  <c r="OX13" i="31"/>
  <c r="OY13" i="31" s="1"/>
  <c r="OQ13" i="31"/>
  <c r="OR13" i="31" s="1"/>
  <c r="OL13" i="31"/>
  <c r="OM13" i="31" s="1"/>
  <c r="OG13" i="31"/>
  <c r="OH13" i="31" s="1"/>
  <c r="NZ13" i="31"/>
  <c r="OA13" i="31" s="1"/>
  <c r="NU13" i="31"/>
  <c r="NV13" i="31" s="1"/>
  <c r="NP13" i="31"/>
  <c r="NQ13" i="31" s="1"/>
  <c r="NI13" i="31"/>
  <c r="NJ13" i="31" s="1"/>
  <c r="ND13" i="31"/>
  <c r="NE13" i="31" s="1"/>
  <c r="MY13" i="31"/>
  <c r="MZ13" i="31" s="1"/>
  <c r="MR13" i="31"/>
  <c r="MS13" i="31" s="1"/>
  <c r="MM13" i="31"/>
  <c r="MN13" i="31" s="1"/>
  <c r="MH13" i="31"/>
  <c r="MI13" i="31" s="1"/>
  <c r="MA13" i="31"/>
  <c r="MB13" i="31" s="1"/>
  <c r="LV13" i="31"/>
  <c r="LW13" i="31" s="1"/>
  <c r="LQ13" i="31"/>
  <c r="LR13" i="31" s="1"/>
  <c r="LJ13" i="31"/>
  <c r="LK13" i="31" s="1"/>
  <c r="LE13" i="31"/>
  <c r="LF13" i="31" s="1"/>
  <c r="KZ13" i="31"/>
  <c r="LA13" i="31" s="1"/>
  <c r="KS13" i="31"/>
  <c r="KT13" i="31" s="1"/>
  <c r="KN13" i="31"/>
  <c r="KO13" i="31" s="1"/>
  <c r="KI13" i="31"/>
  <c r="KJ13" i="31" s="1"/>
  <c r="KB13" i="31"/>
  <c r="KC13" i="31" s="1"/>
  <c r="JW13" i="31"/>
  <c r="JX13" i="31" s="1"/>
  <c r="JR13" i="31"/>
  <c r="JS13" i="31" s="1"/>
  <c r="JK13" i="31"/>
  <c r="JL13" i="31" s="1"/>
  <c r="JF13" i="31"/>
  <c r="JG13" i="31" s="1"/>
  <c r="JA13" i="31"/>
  <c r="JB13" i="31" s="1"/>
  <c r="IT13" i="31"/>
  <c r="IU13" i="31" s="1"/>
  <c r="IO13" i="31"/>
  <c r="IP13" i="31" s="1"/>
  <c r="IJ13" i="31"/>
  <c r="IK13" i="31" s="1"/>
  <c r="IC13" i="31"/>
  <c r="ID13" i="31" s="1"/>
  <c r="HX13" i="31"/>
  <c r="HY13" i="31" s="1"/>
  <c r="HS13" i="31"/>
  <c r="HT13" i="31" s="1"/>
  <c r="HL13" i="31"/>
  <c r="HM13" i="31" s="1"/>
  <c r="HG13" i="31"/>
  <c r="HH13" i="31" s="1"/>
  <c r="HB13" i="31"/>
  <c r="HC13" i="31" s="1"/>
  <c r="GU13" i="31"/>
  <c r="GV13" i="31" s="1"/>
  <c r="GP13" i="31"/>
  <c r="GQ13" i="31" s="1"/>
  <c r="GK13" i="31"/>
  <c r="GL13" i="31" s="1"/>
  <c r="GD13" i="31"/>
  <c r="GE13" i="31" s="1"/>
  <c r="FY13" i="31"/>
  <c r="FZ13" i="31" s="1"/>
  <c r="FT13" i="31"/>
  <c r="FU13" i="31" s="1"/>
  <c r="FM13" i="31"/>
  <c r="FN13" i="31" s="1"/>
  <c r="FH13" i="31"/>
  <c r="FI13" i="31" s="1"/>
  <c r="FC13" i="31"/>
  <c r="FD13" i="31" s="1"/>
  <c r="EV13" i="31"/>
  <c r="EW13" i="31" s="1"/>
  <c r="EQ13" i="31"/>
  <c r="ER13" i="31" s="1"/>
  <c r="EL13" i="31"/>
  <c r="EM13" i="31" s="1"/>
  <c r="EE13" i="31"/>
  <c r="EF13" i="31" s="1"/>
  <c r="DZ13" i="31"/>
  <c r="EA13" i="31" s="1"/>
  <c r="DU13" i="31"/>
  <c r="DV13" i="31" s="1"/>
  <c r="DN13" i="31"/>
  <c r="DO13" i="31" s="1"/>
  <c r="DI13" i="31"/>
  <c r="DJ13" i="31" s="1"/>
  <c r="DD13" i="31"/>
  <c r="DE13" i="31" s="1"/>
  <c r="CW13" i="31"/>
  <c r="CX13" i="31" s="1"/>
  <c r="CR13" i="31"/>
  <c r="CS13" i="31" s="1"/>
  <c r="CM13" i="31"/>
  <c r="CN13" i="31" s="1"/>
  <c r="CF13" i="31"/>
  <c r="CG13" i="31" s="1"/>
  <c r="CA13" i="31"/>
  <c r="CB13" i="31" s="1"/>
  <c r="BV13" i="31"/>
  <c r="BW13" i="31" s="1"/>
  <c r="BO13" i="31"/>
  <c r="BP13" i="31" s="1"/>
  <c r="BJ13" i="31"/>
  <c r="BK13" i="31" s="1"/>
  <c r="BE13" i="31"/>
  <c r="BF13" i="31" s="1"/>
  <c r="AX13" i="31"/>
  <c r="AY13" i="31" s="1"/>
  <c r="AS13" i="31"/>
  <c r="AT13" i="31" s="1"/>
  <c r="AN13" i="31"/>
  <c r="AO13" i="31" s="1"/>
  <c r="AG13" i="31"/>
  <c r="AH13" i="31" s="1"/>
  <c r="AB13" i="31"/>
  <c r="AC13" i="31" s="1"/>
  <c r="W13" i="31"/>
  <c r="X13" i="31" s="1"/>
  <c r="P13" i="31"/>
  <c r="Q13" i="31" s="1"/>
  <c r="K13" i="31"/>
  <c r="L13" i="31" s="1"/>
  <c r="F13" i="31"/>
  <c r="G13" i="31" s="1"/>
  <c r="SR12" i="31"/>
  <c r="SQ12" i="31"/>
  <c r="SO12" i="31"/>
  <c r="SP12" i="31" s="1"/>
  <c r="SJ12" i="31"/>
  <c r="SK12" i="31" s="1"/>
  <c r="SE12" i="31"/>
  <c r="SF12" i="31" s="1"/>
  <c r="RZ12" i="31"/>
  <c r="SA12" i="31" s="1"/>
  <c r="RX12" i="31"/>
  <c r="RY12" i="31" s="1"/>
  <c r="RS12" i="31"/>
  <c r="RT12" i="31" s="1"/>
  <c r="RN12" i="31"/>
  <c r="RO12" i="31" s="1"/>
  <c r="RI12" i="31"/>
  <c r="RJ12" i="31" s="1"/>
  <c r="RG12" i="31"/>
  <c r="RH12" i="31" s="1"/>
  <c r="RB12" i="31"/>
  <c r="RC12" i="31" s="1"/>
  <c r="QW12" i="31"/>
  <c r="QX12" i="31" s="1"/>
  <c r="QR12" i="31"/>
  <c r="QS12" i="31" s="1"/>
  <c r="QP12" i="31"/>
  <c r="QQ12" i="31" s="1"/>
  <c r="QK12" i="31"/>
  <c r="QL12" i="31" s="1"/>
  <c r="QF12" i="31"/>
  <c r="QG12" i="31" s="1"/>
  <c r="QA12" i="31"/>
  <c r="QB12" i="31" s="1"/>
  <c r="PY12" i="31"/>
  <c r="PZ12" i="31" s="1"/>
  <c r="PT12" i="31"/>
  <c r="PU12" i="31" s="1"/>
  <c r="PO12" i="31"/>
  <c r="PP12" i="31" s="1"/>
  <c r="PJ12" i="31"/>
  <c r="PK12" i="31" s="1"/>
  <c r="PH12" i="31"/>
  <c r="PI12" i="31" s="1"/>
  <c r="PC12" i="31"/>
  <c r="PD12" i="31" s="1"/>
  <c r="OX12" i="31"/>
  <c r="OY12" i="31" s="1"/>
  <c r="OS12" i="31"/>
  <c r="OT12" i="31" s="1"/>
  <c r="OQ12" i="31"/>
  <c r="OR12" i="31" s="1"/>
  <c r="OL12" i="31"/>
  <c r="OM12" i="31" s="1"/>
  <c r="OG12" i="31"/>
  <c r="OH12" i="31" s="1"/>
  <c r="OB12" i="31"/>
  <c r="OC12" i="31" s="1"/>
  <c r="NZ12" i="31"/>
  <c r="OA12" i="31" s="1"/>
  <c r="NU12" i="31"/>
  <c r="NV12" i="31" s="1"/>
  <c r="NP12" i="31"/>
  <c r="NQ12" i="31" s="1"/>
  <c r="NK12" i="31"/>
  <c r="NL12" i="31" s="1"/>
  <c r="NI12" i="31"/>
  <c r="NJ12" i="31" s="1"/>
  <c r="ND12" i="31"/>
  <c r="NE12" i="31" s="1"/>
  <c r="MY12" i="31"/>
  <c r="MZ12" i="31" s="1"/>
  <c r="MT12" i="31"/>
  <c r="MU12" i="31" s="1"/>
  <c r="MR12" i="31"/>
  <c r="MS12" i="31" s="1"/>
  <c r="MM12" i="31"/>
  <c r="MN12" i="31" s="1"/>
  <c r="MH12" i="31"/>
  <c r="MI12" i="31" s="1"/>
  <c r="MC12" i="31"/>
  <c r="MD12" i="31" s="1"/>
  <c r="MA12" i="31"/>
  <c r="MB12" i="31" s="1"/>
  <c r="LV12" i="31"/>
  <c r="LW12" i="31" s="1"/>
  <c r="LQ12" i="31"/>
  <c r="LR12" i="31" s="1"/>
  <c r="LL12" i="31"/>
  <c r="LM12" i="31" s="1"/>
  <c r="LJ12" i="31"/>
  <c r="LK12" i="31" s="1"/>
  <c r="LE12" i="31"/>
  <c r="LF12" i="31" s="1"/>
  <c r="KZ12" i="31"/>
  <c r="LA12" i="31" s="1"/>
  <c r="KU12" i="31"/>
  <c r="KV12" i="31" s="1"/>
  <c r="KS12" i="31"/>
  <c r="KT12" i="31" s="1"/>
  <c r="KN12" i="31"/>
  <c r="KO12" i="31" s="1"/>
  <c r="KI12" i="31"/>
  <c r="KJ12" i="31" s="1"/>
  <c r="KD12" i="31"/>
  <c r="KE12" i="31" s="1"/>
  <c r="KB12" i="31"/>
  <c r="KC12" i="31" s="1"/>
  <c r="JW12" i="31"/>
  <c r="JX12" i="31" s="1"/>
  <c r="JR12" i="31"/>
  <c r="JS12" i="31" s="1"/>
  <c r="JM12" i="31"/>
  <c r="JN12" i="31" s="1"/>
  <c r="JK12" i="31"/>
  <c r="JL12" i="31" s="1"/>
  <c r="JF12" i="31"/>
  <c r="JG12" i="31" s="1"/>
  <c r="JA12" i="31"/>
  <c r="JB12" i="31" s="1"/>
  <c r="IV12" i="31"/>
  <c r="IW12" i="31" s="1"/>
  <c r="IT12" i="31"/>
  <c r="IU12" i="31" s="1"/>
  <c r="IO12" i="31"/>
  <c r="IP12" i="31" s="1"/>
  <c r="IJ12" i="31"/>
  <c r="IK12" i="31" s="1"/>
  <c r="IE12" i="31"/>
  <c r="IF12" i="31" s="1"/>
  <c r="IC12" i="31"/>
  <c r="ID12" i="31" s="1"/>
  <c r="HX12" i="31"/>
  <c r="HY12" i="31" s="1"/>
  <c r="HS12" i="31"/>
  <c r="HT12" i="31" s="1"/>
  <c r="HN12" i="31"/>
  <c r="HO12" i="31" s="1"/>
  <c r="HL12" i="31"/>
  <c r="HM12" i="31" s="1"/>
  <c r="HG12" i="31"/>
  <c r="HH12" i="31" s="1"/>
  <c r="HB12" i="31"/>
  <c r="HC12" i="31" s="1"/>
  <c r="GW12" i="31"/>
  <c r="GX12" i="31" s="1"/>
  <c r="GU12" i="31"/>
  <c r="GV12" i="31" s="1"/>
  <c r="GP12" i="31"/>
  <c r="GQ12" i="31" s="1"/>
  <c r="GK12" i="31"/>
  <c r="GL12" i="31" s="1"/>
  <c r="GF12" i="31"/>
  <c r="GG12" i="31" s="1"/>
  <c r="GD12" i="31"/>
  <c r="GE12" i="31" s="1"/>
  <c r="FY12" i="31"/>
  <c r="FZ12" i="31" s="1"/>
  <c r="FT12" i="31"/>
  <c r="FU12" i="31" s="1"/>
  <c r="FO12" i="31"/>
  <c r="FP12" i="31" s="1"/>
  <c r="FM12" i="31"/>
  <c r="FN12" i="31" s="1"/>
  <c r="FH12" i="31"/>
  <c r="FI12" i="31" s="1"/>
  <c r="FC12" i="31"/>
  <c r="FD12" i="31" s="1"/>
  <c r="EX12" i="31"/>
  <c r="EY12" i="31" s="1"/>
  <c r="EV12" i="31"/>
  <c r="EW12" i="31" s="1"/>
  <c r="EQ12" i="31"/>
  <c r="ER12" i="31" s="1"/>
  <c r="EL12" i="31"/>
  <c r="EM12" i="31" s="1"/>
  <c r="EG12" i="31"/>
  <c r="EH12" i="31" s="1"/>
  <c r="EE12" i="31"/>
  <c r="EF12" i="31" s="1"/>
  <c r="DZ12" i="31"/>
  <c r="EA12" i="31" s="1"/>
  <c r="DU12" i="31"/>
  <c r="DV12" i="31" s="1"/>
  <c r="DP12" i="31"/>
  <c r="DQ12" i="31" s="1"/>
  <c r="DN12" i="31"/>
  <c r="DO12" i="31" s="1"/>
  <c r="DI12" i="31"/>
  <c r="DJ12" i="31" s="1"/>
  <c r="DD12" i="31"/>
  <c r="DE12" i="31" s="1"/>
  <c r="CY12" i="31"/>
  <c r="CZ12" i="31" s="1"/>
  <c r="CW12" i="31"/>
  <c r="CX12" i="31" s="1"/>
  <c r="CR12" i="31"/>
  <c r="CS12" i="31" s="1"/>
  <c r="CM12" i="31"/>
  <c r="CN12" i="31" s="1"/>
  <c r="CH12" i="31"/>
  <c r="CI12" i="31" s="1"/>
  <c r="CF12" i="31"/>
  <c r="CG12" i="31" s="1"/>
  <c r="CA12" i="31"/>
  <c r="CB12" i="31" s="1"/>
  <c r="BV12" i="31"/>
  <c r="BW12" i="31" s="1"/>
  <c r="BQ12" i="31"/>
  <c r="BR12" i="31" s="1"/>
  <c r="BO12" i="31"/>
  <c r="BP12" i="31" s="1"/>
  <c r="BJ12" i="31"/>
  <c r="BK12" i="31" s="1"/>
  <c r="BE12" i="31"/>
  <c r="BF12" i="31" s="1"/>
  <c r="AZ12" i="31"/>
  <c r="BA12" i="31" s="1"/>
  <c r="AX12" i="31"/>
  <c r="AY12" i="31" s="1"/>
  <c r="AS12" i="31"/>
  <c r="AT12" i="31" s="1"/>
  <c r="AN12" i="31"/>
  <c r="AO12" i="31" s="1"/>
  <c r="AI12" i="31"/>
  <c r="AJ12" i="31" s="1"/>
  <c r="AG12" i="31"/>
  <c r="AH12" i="31" s="1"/>
  <c r="AB12" i="31"/>
  <c r="AC12" i="31" s="1"/>
  <c r="W12" i="31"/>
  <c r="X12" i="31" s="1"/>
  <c r="S12" i="31"/>
  <c r="R12" i="31"/>
  <c r="P12" i="31"/>
  <c r="Q12" i="31" s="1"/>
  <c r="K12" i="31"/>
  <c r="L12" i="31" s="1"/>
  <c r="F12" i="31"/>
  <c r="G12" i="31" s="1"/>
  <c r="SO11" i="31"/>
  <c r="SP11" i="31" s="1"/>
  <c r="SJ11" i="31"/>
  <c r="SK11" i="31" s="1"/>
  <c r="SE11" i="31"/>
  <c r="RX11" i="31"/>
  <c r="RY11" i="31" s="1"/>
  <c r="RS11" i="31"/>
  <c r="RT11" i="31" s="1"/>
  <c r="RN11" i="31"/>
  <c r="RO11" i="31" s="1"/>
  <c r="RG11" i="31"/>
  <c r="RH11" i="31" s="1"/>
  <c r="RB11" i="31"/>
  <c r="RC11" i="31" s="1"/>
  <c r="QW11" i="31"/>
  <c r="QX11" i="31" s="1"/>
  <c r="QP11" i="31"/>
  <c r="QQ11" i="31" s="1"/>
  <c r="QK11" i="31"/>
  <c r="QL11" i="31" s="1"/>
  <c r="QF11" i="31"/>
  <c r="QG11" i="31" s="1"/>
  <c r="PY11" i="31"/>
  <c r="PZ11" i="31" s="1"/>
  <c r="PT11" i="31"/>
  <c r="PU11" i="31" s="1"/>
  <c r="PO11" i="31"/>
  <c r="PP11" i="31" s="1"/>
  <c r="PH11" i="31"/>
  <c r="PI11" i="31" s="1"/>
  <c r="PC11" i="31"/>
  <c r="PD11" i="31" s="1"/>
  <c r="OX11" i="31"/>
  <c r="OY11" i="31" s="1"/>
  <c r="OQ11" i="31"/>
  <c r="OR11" i="31" s="1"/>
  <c r="OL11" i="31"/>
  <c r="OM11" i="31" s="1"/>
  <c r="OG11" i="31"/>
  <c r="OH11" i="31" s="1"/>
  <c r="NZ11" i="31"/>
  <c r="OA11" i="31" s="1"/>
  <c r="NU11" i="31"/>
  <c r="NV11" i="31" s="1"/>
  <c r="NP11" i="31"/>
  <c r="NQ11" i="31" s="1"/>
  <c r="NI11" i="31"/>
  <c r="NJ11" i="31" s="1"/>
  <c r="ND11" i="31"/>
  <c r="NE11" i="31" s="1"/>
  <c r="MY11" i="31"/>
  <c r="MR11" i="31"/>
  <c r="MS11" i="31" s="1"/>
  <c r="MM11" i="31"/>
  <c r="MN11" i="31" s="1"/>
  <c r="MH11" i="31"/>
  <c r="MI11" i="31" s="1"/>
  <c r="MA11" i="31"/>
  <c r="MB11" i="31" s="1"/>
  <c r="LV11" i="31"/>
  <c r="LW11" i="31" s="1"/>
  <c r="LQ11" i="31"/>
  <c r="LR11" i="31" s="1"/>
  <c r="LJ11" i="31"/>
  <c r="LK11" i="31" s="1"/>
  <c r="LF11" i="31"/>
  <c r="LE11" i="31"/>
  <c r="KZ11" i="31"/>
  <c r="LA11" i="31" s="1"/>
  <c r="KS11" i="31"/>
  <c r="KT11" i="31" s="1"/>
  <c r="KN11" i="31"/>
  <c r="KO11" i="31" s="1"/>
  <c r="KI11" i="31"/>
  <c r="KJ11" i="31" s="1"/>
  <c r="KB11" i="31"/>
  <c r="KC11" i="31" s="1"/>
  <c r="JW11" i="31"/>
  <c r="JX11" i="31" s="1"/>
  <c r="JR11" i="31"/>
  <c r="JS11" i="31" s="1"/>
  <c r="JK11" i="31"/>
  <c r="JL11" i="31" s="1"/>
  <c r="JF11" i="31"/>
  <c r="JG11" i="31" s="1"/>
  <c r="JA11" i="31"/>
  <c r="JB11" i="31" s="1"/>
  <c r="IT11" i="31"/>
  <c r="IU11" i="31" s="1"/>
  <c r="IO11" i="31"/>
  <c r="IP11" i="31" s="1"/>
  <c r="IJ11" i="31"/>
  <c r="IK11" i="31" s="1"/>
  <c r="IC11" i="31"/>
  <c r="ID11" i="31" s="1"/>
  <c r="HX11" i="31"/>
  <c r="HY11" i="31" s="1"/>
  <c r="HS11" i="31"/>
  <c r="HL11" i="31"/>
  <c r="HM11" i="31" s="1"/>
  <c r="HG11" i="31"/>
  <c r="HH11" i="31" s="1"/>
  <c r="HB11" i="31"/>
  <c r="HC11" i="31" s="1"/>
  <c r="GU11" i="31"/>
  <c r="GV11" i="31" s="1"/>
  <c r="GP11" i="31"/>
  <c r="GQ11" i="31" s="1"/>
  <c r="GK11" i="31"/>
  <c r="GL11" i="31" s="1"/>
  <c r="GD11" i="31"/>
  <c r="GE11" i="31" s="1"/>
  <c r="FY11" i="31"/>
  <c r="FZ11" i="31" s="1"/>
  <c r="FT11" i="31"/>
  <c r="FU11" i="31" s="1"/>
  <c r="FM11" i="31"/>
  <c r="FN11" i="31" s="1"/>
  <c r="FH11" i="31"/>
  <c r="FI11" i="31" s="1"/>
  <c r="FC11" i="31"/>
  <c r="FD11" i="31" s="1"/>
  <c r="EV11" i="31"/>
  <c r="EW11" i="31" s="1"/>
  <c r="EQ11" i="31"/>
  <c r="ER11" i="31" s="1"/>
  <c r="EL11" i="31"/>
  <c r="EM11" i="31" s="1"/>
  <c r="EE11" i="31"/>
  <c r="EF11" i="31" s="1"/>
  <c r="DZ11" i="31"/>
  <c r="EA11" i="31" s="1"/>
  <c r="DU11" i="31"/>
  <c r="DV11" i="31" s="1"/>
  <c r="DN11" i="31"/>
  <c r="DO11" i="31" s="1"/>
  <c r="DI11" i="31"/>
  <c r="DJ11" i="31" s="1"/>
  <c r="DD11" i="31"/>
  <c r="DE11" i="31" s="1"/>
  <c r="CW11" i="31"/>
  <c r="CX11" i="31" s="1"/>
  <c r="CR11" i="31"/>
  <c r="CS11" i="31" s="1"/>
  <c r="CM11" i="31"/>
  <c r="CF11" i="31"/>
  <c r="CG11" i="31" s="1"/>
  <c r="CA11" i="31"/>
  <c r="CB11" i="31" s="1"/>
  <c r="BV11" i="31"/>
  <c r="BW11" i="31" s="1"/>
  <c r="BO11" i="31"/>
  <c r="BP11" i="31" s="1"/>
  <c r="BJ11" i="31"/>
  <c r="BK11" i="31" s="1"/>
  <c r="BE11" i="31"/>
  <c r="BF11" i="31" s="1"/>
  <c r="AX11" i="31"/>
  <c r="AY11" i="31" s="1"/>
  <c r="AS11" i="31"/>
  <c r="AT11" i="31" s="1"/>
  <c r="AN11" i="31"/>
  <c r="AO11" i="31" s="1"/>
  <c r="AG11" i="31"/>
  <c r="AH11" i="31" s="1"/>
  <c r="AB11" i="31"/>
  <c r="AC11" i="31" s="1"/>
  <c r="W11" i="31"/>
  <c r="X11" i="31" s="1"/>
  <c r="P11" i="31"/>
  <c r="Q11" i="31" s="1"/>
  <c r="K11" i="31"/>
  <c r="L11" i="31" s="1"/>
  <c r="F11" i="31"/>
  <c r="SO8" i="31"/>
  <c r="SP8" i="31" s="1"/>
  <c r="SJ8" i="31"/>
  <c r="SK8" i="31" s="1"/>
  <c r="SE8" i="31"/>
  <c r="SF8" i="31" s="1"/>
  <c r="RX8" i="31"/>
  <c r="RY8" i="31" s="1"/>
  <c r="RS8" i="31"/>
  <c r="RT8" i="31" s="1"/>
  <c r="RN8" i="31"/>
  <c r="RO8" i="31" s="1"/>
  <c r="RG8" i="31"/>
  <c r="RH8" i="31" s="1"/>
  <c r="RB8" i="31"/>
  <c r="RC8" i="31" s="1"/>
  <c r="QW8" i="31"/>
  <c r="QX8" i="31" s="1"/>
  <c r="QP8" i="31"/>
  <c r="QQ8" i="31" s="1"/>
  <c r="QK8" i="31"/>
  <c r="QL8" i="31" s="1"/>
  <c r="QF8" i="31"/>
  <c r="QG8" i="31" s="1"/>
  <c r="PY8" i="31"/>
  <c r="PZ8" i="31" s="1"/>
  <c r="PU8" i="31"/>
  <c r="PT8" i="31"/>
  <c r="PO8" i="31"/>
  <c r="PP8" i="31" s="1"/>
  <c r="PH8" i="31"/>
  <c r="PI8" i="31" s="1"/>
  <c r="PC8" i="31"/>
  <c r="PD8" i="31" s="1"/>
  <c r="OX8" i="31"/>
  <c r="OY8" i="31" s="1"/>
  <c r="OQ8" i="31"/>
  <c r="OR8" i="31" s="1"/>
  <c r="OL8" i="31"/>
  <c r="OM8" i="31" s="1"/>
  <c r="OG8" i="31"/>
  <c r="OH8" i="31" s="1"/>
  <c r="NZ8" i="31"/>
  <c r="OA8" i="31" s="1"/>
  <c r="NU8" i="31"/>
  <c r="NV8" i="31" s="1"/>
  <c r="NP8" i="31"/>
  <c r="NQ8" i="31" s="1"/>
  <c r="NI8" i="31"/>
  <c r="NJ8" i="31" s="1"/>
  <c r="ND8" i="31"/>
  <c r="NE8" i="31" s="1"/>
  <c r="MY8" i="31"/>
  <c r="MZ8" i="31" s="1"/>
  <c r="MR8" i="31"/>
  <c r="MS8" i="31" s="1"/>
  <c r="MM8" i="31"/>
  <c r="MN8" i="31" s="1"/>
  <c r="MH8" i="31"/>
  <c r="MI8" i="31" s="1"/>
  <c r="MA8" i="31"/>
  <c r="MB8" i="31" s="1"/>
  <c r="LV8" i="31"/>
  <c r="LW8" i="31" s="1"/>
  <c r="LQ8" i="31"/>
  <c r="LR8" i="31" s="1"/>
  <c r="LJ8" i="31"/>
  <c r="LK8" i="31" s="1"/>
  <c r="LE8" i="31"/>
  <c r="LF8" i="31" s="1"/>
  <c r="KZ8" i="31"/>
  <c r="LA8" i="31" s="1"/>
  <c r="KS8" i="31"/>
  <c r="KT8" i="31" s="1"/>
  <c r="KN8" i="31"/>
  <c r="KO8" i="31" s="1"/>
  <c r="KI8" i="31"/>
  <c r="KJ8" i="31" s="1"/>
  <c r="KB8" i="31"/>
  <c r="KC8" i="31" s="1"/>
  <c r="JW8" i="31"/>
  <c r="JX8" i="31" s="1"/>
  <c r="JR8" i="31"/>
  <c r="JS8" i="31" s="1"/>
  <c r="JK8" i="31"/>
  <c r="JL8" i="31" s="1"/>
  <c r="JF8" i="31"/>
  <c r="JG8" i="31" s="1"/>
  <c r="JA8" i="31"/>
  <c r="JB8" i="31" s="1"/>
  <c r="IT8" i="31"/>
  <c r="IU8" i="31" s="1"/>
  <c r="IO8" i="31"/>
  <c r="IP8" i="31" s="1"/>
  <c r="IJ8" i="31"/>
  <c r="IK8" i="31" s="1"/>
  <c r="IC8" i="31"/>
  <c r="ID8" i="31" s="1"/>
  <c r="HX8" i="31"/>
  <c r="HY8" i="31" s="1"/>
  <c r="HS8" i="31"/>
  <c r="HT8" i="31" s="1"/>
  <c r="HL8" i="31"/>
  <c r="HM8" i="31" s="1"/>
  <c r="HG8" i="31"/>
  <c r="HH8" i="31" s="1"/>
  <c r="HB8" i="31"/>
  <c r="HC8" i="31" s="1"/>
  <c r="GU8" i="31"/>
  <c r="GV8" i="31" s="1"/>
  <c r="GP8" i="31"/>
  <c r="GQ8" i="31" s="1"/>
  <c r="GK8" i="31"/>
  <c r="GL8" i="31" s="1"/>
  <c r="GD8" i="31"/>
  <c r="GE8" i="31" s="1"/>
  <c r="FY8" i="31"/>
  <c r="FZ8" i="31" s="1"/>
  <c r="FT8" i="31"/>
  <c r="FU8" i="31" s="1"/>
  <c r="FM8" i="31"/>
  <c r="FN8" i="31" s="1"/>
  <c r="FI8" i="31"/>
  <c r="FH8" i="31"/>
  <c r="FC8" i="31"/>
  <c r="FD8" i="31" s="1"/>
  <c r="EV8" i="31"/>
  <c r="EW8" i="31" s="1"/>
  <c r="EQ8" i="31"/>
  <c r="ER8" i="31" s="1"/>
  <c r="EL8" i="31"/>
  <c r="EM8" i="31" s="1"/>
  <c r="EE8" i="31"/>
  <c r="EF8" i="31" s="1"/>
  <c r="DZ8" i="31"/>
  <c r="EA8" i="31" s="1"/>
  <c r="DU8" i="31"/>
  <c r="DV8" i="31" s="1"/>
  <c r="DN8" i="31"/>
  <c r="DO8" i="31" s="1"/>
  <c r="DI8" i="31"/>
  <c r="DJ8" i="31" s="1"/>
  <c r="DD8" i="31"/>
  <c r="DE8" i="31" s="1"/>
  <c r="CW8" i="31"/>
  <c r="CX8" i="31" s="1"/>
  <c r="CR8" i="31"/>
  <c r="CS8" i="31" s="1"/>
  <c r="CM8" i="31"/>
  <c r="CN8" i="31" s="1"/>
  <c r="CF8" i="31"/>
  <c r="CG8" i="31" s="1"/>
  <c r="CA8" i="31"/>
  <c r="CB8" i="31" s="1"/>
  <c r="BV8" i="31"/>
  <c r="BW8" i="31" s="1"/>
  <c r="BO8" i="31"/>
  <c r="BP8" i="31" s="1"/>
  <c r="BJ8" i="31"/>
  <c r="BK8" i="31" s="1"/>
  <c r="BE8" i="31"/>
  <c r="BF8" i="31" s="1"/>
  <c r="AX8" i="31"/>
  <c r="AY8" i="31" s="1"/>
  <c r="AS8" i="31"/>
  <c r="AT8" i="31" s="1"/>
  <c r="AN8" i="31"/>
  <c r="AO8" i="31" s="1"/>
  <c r="AG8" i="31"/>
  <c r="AH8" i="31" s="1"/>
  <c r="AB8" i="31"/>
  <c r="AC8" i="31" s="1"/>
  <c r="W8" i="31"/>
  <c r="X8" i="31" s="1"/>
  <c r="P8" i="31"/>
  <c r="Q8" i="31" s="1"/>
  <c r="K8" i="31"/>
  <c r="L8" i="31" s="1"/>
  <c r="F8" i="31"/>
  <c r="G8" i="31" s="1"/>
  <c r="SQ7" i="31"/>
  <c r="SR7" i="31" s="1"/>
  <c r="SO7" i="31"/>
  <c r="SP7" i="31" s="1"/>
  <c r="SJ7" i="31"/>
  <c r="SK7" i="31" s="1"/>
  <c r="SE7" i="31"/>
  <c r="SF7" i="31" s="1"/>
  <c r="RZ7" i="31"/>
  <c r="SA7" i="31" s="1"/>
  <c r="RX7" i="31"/>
  <c r="RY7" i="31" s="1"/>
  <c r="RS7" i="31"/>
  <c r="RT7" i="31" s="1"/>
  <c r="RN7" i="31"/>
  <c r="RO7" i="31" s="1"/>
  <c r="RJ7" i="31"/>
  <c r="RI7" i="31"/>
  <c r="RG7" i="31"/>
  <c r="RH7" i="31" s="1"/>
  <c r="RB7" i="31"/>
  <c r="RC7" i="31" s="1"/>
  <c r="QW7" i="31"/>
  <c r="QX7" i="31" s="1"/>
  <c r="QR7" i="31"/>
  <c r="QS7" i="31" s="1"/>
  <c r="QP7" i="31"/>
  <c r="QQ7" i="31" s="1"/>
  <c r="QK7" i="31"/>
  <c r="QL7" i="31" s="1"/>
  <c r="QF7" i="31"/>
  <c r="QG7" i="31" s="1"/>
  <c r="QA7" i="31"/>
  <c r="QB7" i="31" s="1"/>
  <c r="PY7" i="31"/>
  <c r="PZ7" i="31" s="1"/>
  <c r="PT7" i="31"/>
  <c r="PU7" i="31" s="1"/>
  <c r="PO7" i="31"/>
  <c r="PP7" i="31" s="1"/>
  <c r="PJ7" i="31"/>
  <c r="PK7" i="31" s="1"/>
  <c r="PH7" i="31"/>
  <c r="PI7" i="31" s="1"/>
  <c r="PC7" i="31"/>
  <c r="PD7" i="31" s="1"/>
  <c r="OX7" i="31"/>
  <c r="OY7" i="31" s="1"/>
  <c r="OS7" i="31"/>
  <c r="OT7" i="31" s="1"/>
  <c r="OQ7" i="31"/>
  <c r="OR7" i="31" s="1"/>
  <c r="OL7" i="31"/>
  <c r="OM7" i="31" s="1"/>
  <c r="OG7" i="31"/>
  <c r="OH7" i="31" s="1"/>
  <c r="OB7" i="31"/>
  <c r="OC7" i="31" s="1"/>
  <c r="NZ7" i="31"/>
  <c r="OA7" i="31" s="1"/>
  <c r="NU7" i="31"/>
  <c r="NV7" i="31" s="1"/>
  <c r="NP7" i="31"/>
  <c r="NQ7" i="31" s="1"/>
  <c r="NK7" i="31"/>
  <c r="NL7" i="31" s="1"/>
  <c r="NI7" i="31"/>
  <c r="NJ7" i="31" s="1"/>
  <c r="ND7" i="31"/>
  <c r="NE7" i="31" s="1"/>
  <c r="MY7" i="31"/>
  <c r="MZ7" i="31" s="1"/>
  <c r="MT7" i="31"/>
  <c r="MU7" i="31" s="1"/>
  <c r="MR7" i="31"/>
  <c r="MS7" i="31" s="1"/>
  <c r="MM7" i="31"/>
  <c r="MN7" i="31" s="1"/>
  <c r="MH7" i="31"/>
  <c r="MI7" i="31" s="1"/>
  <c r="MC7" i="31"/>
  <c r="MD7" i="31" s="1"/>
  <c r="MA7" i="31"/>
  <c r="MB7" i="31" s="1"/>
  <c r="LV7" i="31"/>
  <c r="LW7" i="31" s="1"/>
  <c r="LQ7" i="31"/>
  <c r="LR7" i="31" s="1"/>
  <c r="LL7" i="31"/>
  <c r="LM7" i="31" s="1"/>
  <c r="LJ7" i="31"/>
  <c r="LK7" i="31" s="1"/>
  <c r="LE7" i="31"/>
  <c r="LF7" i="31" s="1"/>
  <c r="KZ7" i="31"/>
  <c r="LA7" i="31" s="1"/>
  <c r="KU7" i="31"/>
  <c r="KV7" i="31" s="1"/>
  <c r="KS7" i="31"/>
  <c r="KT7" i="31" s="1"/>
  <c r="KO7" i="31"/>
  <c r="KN7" i="31"/>
  <c r="KI7" i="31"/>
  <c r="KJ7" i="31" s="1"/>
  <c r="KD7" i="31"/>
  <c r="KE7" i="31" s="1"/>
  <c r="KB7" i="31"/>
  <c r="KC7" i="31" s="1"/>
  <c r="JW7" i="31"/>
  <c r="JX7" i="31" s="1"/>
  <c r="JR7" i="31"/>
  <c r="JS7" i="31" s="1"/>
  <c r="JM7" i="31"/>
  <c r="JN7" i="31" s="1"/>
  <c r="JK7" i="31"/>
  <c r="JL7" i="31" s="1"/>
  <c r="JF7" i="31"/>
  <c r="JG7" i="31" s="1"/>
  <c r="JA7" i="31"/>
  <c r="JB7" i="31" s="1"/>
  <c r="IV7" i="31"/>
  <c r="IW7" i="31" s="1"/>
  <c r="IT7" i="31"/>
  <c r="IU7" i="31" s="1"/>
  <c r="IO7" i="31"/>
  <c r="IP7" i="31" s="1"/>
  <c r="IJ7" i="31"/>
  <c r="IK7" i="31" s="1"/>
  <c r="IE7" i="31"/>
  <c r="IF7" i="31" s="1"/>
  <c r="IC7" i="31"/>
  <c r="ID7" i="31" s="1"/>
  <c r="HX7" i="31"/>
  <c r="HY7" i="31" s="1"/>
  <c r="HS7" i="31"/>
  <c r="HT7" i="31" s="1"/>
  <c r="HN7" i="31"/>
  <c r="HO7" i="31" s="1"/>
  <c r="HL7" i="31"/>
  <c r="HM7" i="31" s="1"/>
  <c r="HG7" i="31"/>
  <c r="HH7" i="31" s="1"/>
  <c r="HB7" i="31"/>
  <c r="HC7" i="31" s="1"/>
  <c r="GW7" i="31"/>
  <c r="GX7" i="31" s="1"/>
  <c r="GU7" i="31"/>
  <c r="GV7" i="31" s="1"/>
  <c r="GP7" i="31"/>
  <c r="GQ7" i="31" s="1"/>
  <c r="GK7" i="31"/>
  <c r="GL7" i="31" s="1"/>
  <c r="GF7" i="31"/>
  <c r="GG7" i="31" s="1"/>
  <c r="GD7" i="31"/>
  <c r="GE7" i="31" s="1"/>
  <c r="FY7" i="31"/>
  <c r="FZ7" i="31" s="1"/>
  <c r="FT7" i="31"/>
  <c r="FU7" i="31" s="1"/>
  <c r="FO7" i="31"/>
  <c r="FP7" i="31" s="1"/>
  <c r="FM7" i="31"/>
  <c r="FN7" i="31" s="1"/>
  <c r="FH7" i="31"/>
  <c r="FI7" i="31" s="1"/>
  <c r="FC7" i="31"/>
  <c r="FD7" i="31" s="1"/>
  <c r="EX7" i="31"/>
  <c r="EY7" i="31" s="1"/>
  <c r="EV7" i="31"/>
  <c r="EW7" i="31" s="1"/>
  <c r="EQ7" i="31"/>
  <c r="ER7" i="31" s="1"/>
  <c r="EL7" i="31"/>
  <c r="EM7" i="31" s="1"/>
  <c r="EG7" i="31"/>
  <c r="EH7" i="31" s="1"/>
  <c r="EE7" i="31"/>
  <c r="EF7" i="31" s="1"/>
  <c r="DZ7" i="31"/>
  <c r="EA7" i="31" s="1"/>
  <c r="DU7" i="31"/>
  <c r="DV7" i="31" s="1"/>
  <c r="DP7" i="31"/>
  <c r="DQ7" i="31" s="1"/>
  <c r="DN7" i="31"/>
  <c r="DO7" i="31" s="1"/>
  <c r="DI7" i="31"/>
  <c r="DJ7" i="31" s="1"/>
  <c r="DD7" i="31"/>
  <c r="DE7" i="31" s="1"/>
  <c r="CY7" i="31"/>
  <c r="CZ7" i="31" s="1"/>
  <c r="CW7" i="31"/>
  <c r="CX7" i="31" s="1"/>
  <c r="CS7" i="31"/>
  <c r="CR7" i="31"/>
  <c r="CM7" i="31"/>
  <c r="CN7" i="31" s="1"/>
  <c r="CH7" i="31"/>
  <c r="CI7" i="31" s="1"/>
  <c r="CF7" i="31"/>
  <c r="CG7" i="31" s="1"/>
  <c r="CA7" i="31"/>
  <c r="CB7" i="31" s="1"/>
  <c r="BV7" i="31"/>
  <c r="BW7" i="31" s="1"/>
  <c r="BQ7" i="31"/>
  <c r="BR7" i="31" s="1"/>
  <c r="BO7" i="31"/>
  <c r="BP7" i="31" s="1"/>
  <c r="BJ7" i="31"/>
  <c r="BK7" i="31" s="1"/>
  <c r="BE7" i="31"/>
  <c r="BF7" i="31" s="1"/>
  <c r="AZ7" i="31"/>
  <c r="BA7" i="31" s="1"/>
  <c r="AX7" i="31"/>
  <c r="AY7" i="31" s="1"/>
  <c r="AS7" i="31"/>
  <c r="AT7" i="31" s="1"/>
  <c r="AN7" i="31"/>
  <c r="AO7" i="31" s="1"/>
  <c r="AI7" i="31"/>
  <c r="AJ7" i="31" s="1"/>
  <c r="AG7" i="31"/>
  <c r="AH7" i="31" s="1"/>
  <c r="AB7" i="31"/>
  <c r="AC7" i="31" s="1"/>
  <c r="W7" i="31"/>
  <c r="X7" i="31" s="1"/>
  <c r="R7" i="31"/>
  <c r="S7" i="31" s="1"/>
  <c r="P7" i="31"/>
  <c r="Q7" i="31" s="1"/>
  <c r="K7" i="31"/>
  <c r="L7" i="31" s="1"/>
  <c r="F7" i="31"/>
  <c r="G7" i="31" s="1"/>
  <c r="SO6" i="31"/>
  <c r="SP6" i="31" s="1"/>
  <c r="SJ6" i="31"/>
  <c r="SK6" i="31" s="1"/>
  <c r="SE6" i="31"/>
  <c r="SF6" i="31" s="1"/>
  <c r="RX6" i="31"/>
  <c r="RY6" i="31" s="1"/>
  <c r="RS6" i="31"/>
  <c r="RT6" i="31" s="1"/>
  <c r="RN6" i="31"/>
  <c r="RO6" i="31" s="1"/>
  <c r="RG6" i="31"/>
  <c r="RH6" i="31" s="1"/>
  <c r="RB6" i="31"/>
  <c r="RC6" i="31" s="1"/>
  <c r="QW6" i="31"/>
  <c r="QX6" i="31" s="1"/>
  <c r="QP6" i="31"/>
  <c r="QQ6" i="31" s="1"/>
  <c r="QK6" i="31"/>
  <c r="QL6" i="31" s="1"/>
  <c r="QF6" i="31"/>
  <c r="QG6" i="31" s="1"/>
  <c r="PY6" i="31"/>
  <c r="PZ6" i="31" s="1"/>
  <c r="PT6" i="31"/>
  <c r="PU6" i="31" s="1"/>
  <c r="PO6" i="31"/>
  <c r="PP6" i="31" s="1"/>
  <c r="PH6" i="31"/>
  <c r="PI6" i="31" s="1"/>
  <c r="PC6" i="31"/>
  <c r="PD6" i="31" s="1"/>
  <c r="OX6" i="31"/>
  <c r="OY6" i="31" s="1"/>
  <c r="OQ6" i="31"/>
  <c r="OR6" i="31" s="1"/>
  <c r="OL6" i="31"/>
  <c r="OM6" i="31" s="1"/>
  <c r="OG6" i="31"/>
  <c r="OH6" i="31" s="1"/>
  <c r="NZ6" i="31"/>
  <c r="OA6" i="31" s="1"/>
  <c r="NU6" i="31"/>
  <c r="NV6" i="31" s="1"/>
  <c r="NP6" i="31"/>
  <c r="NQ6" i="31" s="1"/>
  <c r="NI6" i="31"/>
  <c r="NJ6" i="31" s="1"/>
  <c r="ND6" i="31"/>
  <c r="NE6" i="31" s="1"/>
  <c r="MY6" i="31"/>
  <c r="MZ6" i="31" s="1"/>
  <c r="MR6" i="31"/>
  <c r="MS6" i="31" s="1"/>
  <c r="MM6" i="31"/>
  <c r="MN6" i="31" s="1"/>
  <c r="MH6" i="31"/>
  <c r="MI6" i="31" s="1"/>
  <c r="MA6" i="31"/>
  <c r="MB6" i="31" s="1"/>
  <c r="LV6" i="31"/>
  <c r="LW6" i="31" s="1"/>
  <c r="LQ6" i="31"/>
  <c r="LR6" i="31" s="1"/>
  <c r="LJ6" i="31"/>
  <c r="LK6" i="31" s="1"/>
  <c r="LE6" i="31"/>
  <c r="LF6" i="31" s="1"/>
  <c r="KZ6" i="31"/>
  <c r="LA6" i="31" s="1"/>
  <c r="KS6" i="31"/>
  <c r="KT6" i="31" s="1"/>
  <c r="KO6" i="31"/>
  <c r="KN6" i="31"/>
  <c r="KI6" i="31"/>
  <c r="KJ6" i="31" s="1"/>
  <c r="KB6" i="31"/>
  <c r="KC6" i="31" s="1"/>
  <c r="JW6" i="31"/>
  <c r="JX6" i="31" s="1"/>
  <c r="JR6" i="31"/>
  <c r="JS6" i="31" s="1"/>
  <c r="JK6" i="31"/>
  <c r="JL6" i="31" s="1"/>
  <c r="JF6" i="31"/>
  <c r="JG6" i="31" s="1"/>
  <c r="JA6" i="31"/>
  <c r="JB6" i="31" s="1"/>
  <c r="IT6" i="31"/>
  <c r="IU6" i="31" s="1"/>
  <c r="IO6" i="31"/>
  <c r="IP6" i="31" s="1"/>
  <c r="IJ6" i="31"/>
  <c r="IK6" i="31" s="1"/>
  <c r="IC6" i="31"/>
  <c r="ID6" i="31" s="1"/>
  <c r="HX6" i="31"/>
  <c r="HY6" i="31" s="1"/>
  <c r="HS6" i="31"/>
  <c r="HT6" i="31" s="1"/>
  <c r="HL6" i="31"/>
  <c r="HM6" i="31" s="1"/>
  <c r="HG6" i="31"/>
  <c r="HH6" i="31" s="1"/>
  <c r="HB6" i="31"/>
  <c r="HC6" i="31" s="1"/>
  <c r="GU6" i="31"/>
  <c r="GV6" i="31" s="1"/>
  <c r="GP6" i="31"/>
  <c r="GQ6" i="31" s="1"/>
  <c r="GK6" i="31"/>
  <c r="GL6" i="31" s="1"/>
  <c r="GD6" i="31"/>
  <c r="GE6" i="31" s="1"/>
  <c r="FY6" i="31"/>
  <c r="FZ6" i="31" s="1"/>
  <c r="FT6" i="31"/>
  <c r="FU6" i="31" s="1"/>
  <c r="FM6" i="31"/>
  <c r="FN6" i="31" s="1"/>
  <c r="FH6" i="31"/>
  <c r="FI6" i="31" s="1"/>
  <c r="FC6" i="31"/>
  <c r="FD6" i="31" s="1"/>
  <c r="EV6" i="31"/>
  <c r="EW6" i="31" s="1"/>
  <c r="EQ6" i="31"/>
  <c r="ER6" i="31" s="1"/>
  <c r="EL6" i="31"/>
  <c r="EM6" i="31" s="1"/>
  <c r="EE6" i="31"/>
  <c r="EF6" i="31" s="1"/>
  <c r="DZ6" i="31"/>
  <c r="EA6" i="31" s="1"/>
  <c r="DU6" i="31"/>
  <c r="DV6" i="31" s="1"/>
  <c r="DN6" i="31"/>
  <c r="DO6" i="31" s="1"/>
  <c r="DI6" i="31"/>
  <c r="DJ6" i="31" s="1"/>
  <c r="DD6" i="31"/>
  <c r="DE6" i="31" s="1"/>
  <c r="CW6" i="31"/>
  <c r="CX6" i="31" s="1"/>
  <c r="CR6" i="31"/>
  <c r="CS6" i="31" s="1"/>
  <c r="CM6" i="31"/>
  <c r="CN6" i="31" s="1"/>
  <c r="CF6" i="31"/>
  <c r="CG6" i="31" s="1"/>
  <c r="CA6" i="31"/>
  <c r="CB6" i="31" s="1"/>
  <c r="BV6" i="31"/>
  <c r="BW6" i="31" s="1"/>
  <c r="BO6" i="31"/>
  <c r="BP6" i="31" s="1"/>
  <c r="BJ6" i="31"/>
  <c r="BK6" i="31" s="1"/>
  <c r="BE6" i="31"/>
  <c r="BF6" i="31" s="1"/>
  <c r="AX6" i="31"/>
  <c r="AY6" i="31" s="1"/>
  <c r="AS6" i="31"/>
  <c r="AT6" i="31" s="1"/>
  <c r="AN6" i="31"/>
  <c r="AO6" i="31" s="1"/>
  <c r="AG6" i="31"/>
  <c r="AH6" i="31" s="1"/>
  <c r="AC6" i="31"/>
  <c r="AB6" i="31"/>
  <c r="W6" i="31"/>
  <c r="X6" i="31" s="1"/>
  <c r="P6" i="31"/>
  <c r="Q6" i="31" s="1"/>
  <c r="K6" i="31"/>
  <c r="L6" i="31" s="1"/>
  <c r="F6" i="31"/>
  <c r="G6" i="31" s="1"/>
  <c r="SO5" i="31"/>
  <c r="SP5" i="31" s="1"/>
  <c r="SJ5" i="31"/>
  <c r="SK5" i="31" s="1"/>
  <c r="SE5" i="31"/>
  <c r="SF5" i="31" s="1"/>
  <c r="RX5" i="31"/>
  <c r="RY5" i="31" s="1"/>
  <c r="RS5" i="31"/>
  <c r="RT5" i="31" s="1"/>
  <c r="RN5" i="31"/>
  <c r="RO5" i="31" s="1"/>
  <c r="RG5" i="31"/>
  <c r="RH5" i="31" s="1"/>
  <c r="RB5" i="31"/>
  <c r="RC5" i="31" s="1"/>
  <c r="QW5" i="31"/>
  <c r="QX5" i="31" s="1"/>
  <c r="QP5" i="31"/>
  <c r="QQ5" i="31" s="1"/>
  <c r="QK5" i="31"/>
  <c r="QL5" i="31" s="1"/>
  <c r="QF5" i="31"/>
  <c r="QG5" i="31" s="1"/>
  <c r="PY5" i="31"/>
  <c r="PZ5" i="31" s="1"/>
  <c r="PT5" i="31"/>
  <c r="PU5" i="31" s="1"/>
  <c r="PO5" i="31"/>
  <c r="PP5" i="31" s="1"/>
  <c r="PH5" i="31"/>
  <c r="PI5" i="31" s="1"/>
  <c r="PC5" i="31"/>
  <c r="PD5" i="31" s="1"/>
  <c r="OX5" i="31"/>
  <c r="OY5" i="31" s="1"/>
  <c r="OQ5" i="31"/>
  <c r="OR5" i="31" s="1"/>
  <c r="OL5" i="31"/>
  <c r="OM5" i="31" s="1"/>
  <c r="OG5" i="31"/>
  <c r="OH5" i="31" s="1"/>
  <c r="NZ5" i="31"/>
  <c r="OA5" i="31" s="1"/>
  <c r="NU5" i="31"/>
  <c r="NV5" i="31" s="1"/>
  <c r="NP5" i="31"/>
  <c r="NQ5" i="31" s="1"/>
  <c r="NI5" i="31"/>
  <c r="NJ5" i="31" s="1"/>
  <c r="ND5" i="31"/>
  <c r="NE5" i="31" s="1"/>
  <c r="MY5" i="31"/>
  <c r="MZ5" i="31" s="1"/>
  <c r="MR5" i="31"/>
  <c r="MS5" i="31" s="1"/>
  <c r="MM5" i="31"/>
  <c r="MN5" i="31" s="1"/>
  <c r="MH5" i="31"/>
  <c r="MI5" i="31" s="1"/>
  <c r="MA5" i="31"/>
  <c r="MB5" i="31" s="1"/>
  <c r="LV5" i="31"/>
  <c r="LW5" i="31" s="1"/>
  <c r="LQ5" i="31"/>
  <c r="LR5" i="31" s="1"/>
  <c r="LJ5" i="31"/>
  <c r="LK5" i="31" s="1"/>
  <c r="LE5" i="31"/>
  <c r="LF5" i="31" s="1"/>
  <c r="KZ5" i="31"/>
  <c r="LA5" i="31" s="1"/>
  <c r="KS5" i="31"/>
  <c r="KT5" i="31" s="1"/>
  <c r="KN5" i="31"/>
  <c r="KO5" i="31" s="1"/>
  <c r="KI5" i="31"/>
  <c r="KJ5" i="31" s="1"/>
  <c r="KB5" i="31"/>
  <c r="KC5" i="31" s="1"/>
  <c r="JW5" i="31"/>
  <c r="JX5" i="31" s="1"/>
  <c r="JR5" i="31"/>
  <c r="JS5" i="31" s="1"/>
  <c r="JK5" i="31"/>
  <c r="JL5" i="31" s="1"/>
  <c r="JG5" i="31"/>
  <c r="JF5" i="31"/>
  <c r="JA5" i="31"/>
  <c r="JB5" i="31" s="1"/>
  <c r="IT5" i="31"/>
  <c r="IU5" i="31" s="1"/>
  <c r="IO5" i="31"/>
  <c r="IP5" i="31" s="1"/>
  <c r="IJ5" i="31"/>
  <c r="IK5" i="31" s="1"/>
  <c r="IC5" i="31"/>
  <c r="ID5" i="31" s="1"/>
  <c r="HX5" i="31"/>
  <c r="HY5" i="31" s="1"/>
  <c r="HS5" i="31"/>
  <c r="HT5" i="31" s="1"/>
  <c r="HL5" i="31"/>
  <c r="HM5" i="31" s="1"/>
  <c r="HG5" i="31"/>
  <c r="HH5" i="31" s="1"/>
  <c r="HB5" i="31"/>
  <c r="HC5" i="31" s="1"/>
  <c r="GU5" i="31"/>
  <c r="GV5" i="31" s="1"/>
  <c r="GP5" i="31"/>
  <c r="GQ5" i="31" s="1"/>
  <c r="GK5" i="31"/>
  <c r="GL5" i="31" s="1"/>
  <c r="GD5" i="31"/>
  <c r="GE5" i="31" s="1"/>
  <c r="FY5" i="31"/>
  <c r="FZ5" i="31" s="1"/>
  <c r="FT5" i="31"/>
  <c r="FU5" i="31" s="1"/>
  <c r="FM5" i="31"/>
  <c r="FN5" i="31" s="1"/>
  <c r="FH5" i="31"/>
  <c r="FI5" i="31" s="1"/>
  <c r="FC5" i="31"/>
  <c r="FD5" i="31" s="1"/>
  <c r="EV5" i="31"/>
  <c r="EW5" i="31" s="1"/>
  <c r="EQ5" i="31"/>
  <c r="ER5" i="31" s="1"/>
  <c r="EL5" i="31"/>
  <c r="EM5" i="31" s="1"/>
  <c r="EE5" i="31"/>
  <c r="EF5" i="31" s="1"/>
  <c r="DZ5" i="31"/>
  <c r="EA5" i="31" s="1"/>
  <c r="DU5" i="31"/>
  <c r="DV5" i="31" s="1"/>
  <c r="DN5" i="31"/>
  <c r="DO5" i="31" s="1"/>
  <c r="DI5" i="31"/>
  <c r="DJ5" i="31" s="1"/>
  <c r="DD5" i="31"/>
  <c r="DE5" i="31" s="1"/>
  <c r="CW5" i="31"/>
  <c r="CX5" i="31" s="1"/>
  <c r="CR5" i="31"/>
  <c r="CS5" i="31" s="1"/>
  <c r="CM5" i="31"/>
  <c r="CN5" i="31" s="1"/>
  <c r="CF5" i="31"/>
  <c r="CG5" i="31" s="1"/>
  <c r="CA5" i="31"/>
  <c r="CB5" i="31" s="1"/>
  <c r="BV5" i="31"/>
  <c r="BW5" i="31" s="1"/>
  <c r="BO5" i="31"/>
  <c r="BP5" i="31" s="1"/>
  <c r="BJ5" i="31"/>
  <c r="BK5" i="31" s="1"/>
  <c r="BE5" i="31"/>
  <c r="BF5" i="31" s="1"/>
  <c r="AX5" i="31"/>
  <c r="AY5" i="31" s="1"/>
  <c r="AS5" i="31"/>
  <c r="AT5" i="31" s="1"/>
  <c r="AN5" i="31"/>
  <c r="AO5" i="31" s="1"/>
  <c r="AG5" i="31"/>
  <c r="AH5" i="31" s="1"/>
  <c r="AB5" i="31"/>
  <c r="AC5" i="31" s="1"/>
  <c r="W5" i="31"/>
  <c r="X5" i="31" s="1"/>
  <c r="P5" i="31"/>
  <c r="Q5" i="31" s="1"/>
  <c r="K5" i="31"/>
  <c r="L5" i="31" s="1"/>
  <c r="F5" i="31"/>
  <c r="G5" i="31" s="1"/>
  <c r="SQ4" i="31"/>
  <c r="SR4" i="31" s="1"/>
  <c r="SO4" i="31"/>
  <c r="SP4" i="31" s="1"/>
  <c r="SJ4" i="31"/>
  <c r="SK4" i="31" s="1"/>
  <c r="SE4" i="31"/>
  <c r="SF4" i="31" s="1"/>
  <c r="RZ4" i="31"/>
  <c r="SA4" i="31" s="1"/>
  <c r="RX4" i="31"/>
  <c r="RY4" i="31" s="1"/>
  <c r="RS4" i="31"/>
  <c r="RT4" i="31" s="1"/>
  <c r="RN4" i="31"/>
  <c r="RO4" i="31" s="1"/>
  <c r="RI4" i="31"/>
  <c r="RJ4" i="31" s="1"/>
  <c r="RG4" i="31"/>
  <c r="RH4" i="31" s="1"/>
  <c r="RB4" i="31"/>
  <c r="RC4" i="31" s="1"/>
  <c r="QW4" i="31"/>
  <c r="QX4" i="31" s="1"/>
  <c r="QR4" i="31"/>
  <c r="QS4" i="31" s="1"/>
  <c r="QP4" i="31"/>
  <c r="QQ4" i="31" s="1"/>
  <c r="QK4" i="31"/>
  <c r="QL4" i="31" s="1"/>
  <c r="QF4" i="31"/>
  <c r="QG4" i="31" s="1"/>
  <c r="QA4" i="31"/>
  <c r="QB4" i="31" s="1"/>
  <c r="PY4" i="31"/>
  <c r="PZ4" i="31" s="1"/>
  <c r="PT4" i="31"/>
  <c r="PU4" i="31" s="1"/>
  <c r="PO4" i="31"/>
  <c r="PP4" i="31" s="1"/>
  <c r="PJ4" i="31"/>
  <c r="PK4" i="31" s="1"/>
  <c r="PH4" i="31"/>
  <c r="PI4" i="31" s="1"/>
  <c r="PC4" i="31"/>
  <c r="PD4" i="31" s="1"/>
  <c r="OX4" i="31"/>
  <c r="OY4" i="31" s="1"/>
  <c r="OS4" i="31"/>
  <c r="OT4" i="31" s="1"/>
  <c r="OQ4" i="31"/>
  <c r="OR4" i="31" s="1"/>
  <c r="OM4" i="31"/>
  <c r="OL4" i="31"/>
  <c r="OG4" i="31"/>
  <c r="OH4" i="31" s="1"/>
  <c r="OB4" i="31"/>
  <c r="OC4" i="31" s="1"/>
  <c r="NZ4" i="31"/>
  <c r="OA4" i="31" s="1"/>
  <c r="NU4" i="31"/>
  <c r="NV4" i="31" s="1"/>
  <c r="NP4" i="31"/>
  <c r="NQ4" i="31" s="1"/>
  <c r="NK4" i="31"/>
  <c r="NL4" i="31" s="1"/>
  <c r="NI4" i="31"/>
  <c r="NJ4" i="31" s="1"/>
  <c r="ND4" i="31"/>
  <c r="NE4" i="31" s="1"/>
  <c r="MY4" i="31"/>
  <c r="MZ4" i="31" s="1"/>
  <c r="MT4" i="31"/>
  <c r="MU4" i="31" s="1"/>
  <c r="MR4" i="31"/>
  <c r="MS4" i="31" s="1"/>
  <c r="MM4" i="31"/>
  <c r="MN4" i="31" s="1"/>
  <c r="MH4" i="31"/>
  <c r="MI4" i="31" s="1"/>
  <c r="MC4" i="31"/>
  <c r="MD4" i="31" s="1"/>
  <c r="MA4" i="31"/>
  <c r="MB4" i="31" s="1"/>
  <c r="LV4" i="31"/>
  <c r="LW4" i="31" s="1"/>
  <c r="LQ4" i="31"/>
  <c r="LR4" i="31" s="1"/>
  <c r="LL4" i="31"/>
  <c r="LM4" i="31" s="1"/>
  <c r="LJ4" i="31"/>
  <c r="LK4" i="31" s="1"/>
  <c r="LE4" i="31"/>
  <c r="LF4" i="31" s="1"/>
  <c r="KZ4" i="31"/>
  <c r="LA4" i="31" s="1"/>
  <c r="KU4" i="31"/>
  <c r="KV4" i="31" s="1"/>
  <c r="KS4" i="31"/>
  <c r="KT4" i="31" s="1"/>
  <c r="KN4" i="31"/>
  <c r="KO4" i="31" s="1"/>
  <c r="KI4" i="31"/>
  <c r="KJ4" i="31" s="1"/>
  <c r="KD4" i="31"/>
  <c r="KE4" i="31" s="1"/>
  <c r="KB4" i="31"/>
  <c r="KC4" i="31" s="1"/>
  <c r="JW4" i="31"/>
  <c r="JX4" i="31" s="1"/>
  <c r="JR4" i="31"/>
  <c r="JS4" i="31" s="1"/>
  <c r="JM4" i="31"/>
  <c r="JN4" i="31" s="1"/>
  <c r="JK4" i="31"/>
  <c r="JL4" i="31" s="1"/>
  <c r="JG4" i="31"/>
  <c r="JF4" i="31"/>
  <c r="JA4" i="31"/>
  <c r="JB4" i="31" s="1"/>
  <c r="IV4" i="31"/>
  <c r="IW4" i="31" s="1"/>
  <c r="IT4" i="31"/>
  <c r="IU4" i="31" s="1"/>
  <c r="IO4" i="31"/>
  <c r="IP4" i="31" s="1"/>
  <c r="IJ4" i="31"/>
  <c r="IK4" i="31" s="1"/>
  <c r="IE4" i="31"/>
  <c r="IF4" i="31" s="1"/>
  <c r="IC4" i="31"/>
  <c r="ID4" i="31" s="1"/>
  <c r="HX4" i="31"/>
  <c r="HY4" i="31" s="1"/>
  <c r="HS4" i="31"/>
  <c r="HT4" i="31" s="1"/>
  <c r="HN4" i="31"/>
  <c r="HO4" i="31" s="1"/>
  <c r="HL4" i="31"/>
  <c r="HM4" i="31" s="1"/>
  <c r="HG4" i="31"/>
  <c r="HH4" i="31" s="1"/>
  <c r="HB4" i="31"/>
  <c r="HC4" i="31" s="1"/>
  <c r="GW4" i="31"/>
  <c r="GX4" i="31" s="1"/>
  <c r="GU4" i="31"/>
  <c r="GV4" i="31" s="1"/>
  <c r="GP4" i="31"/>
  <c r="GQ4" i="31" s="1"/>
  <c r="GK4" i="31"/>
  <c r="GL4" i="31" s="1"/>
  <c r="GF4" i="31"/>
  <c r="GG4" i="31" s="1"/>
  <c r="GD4" i="31"/>
  <c r="GE4" i="31" s="1"/>
  <c r="FY4" i="31"/>
  <c r="FZ4" i="31" s="1"/>
  <c r="FT4" i="31"/>
  <c r="FU4" i="31" s="1"/>
  <c r="FO4" i="31"/>
  <c r="FP4" i="31" s="1"/>
  <c r="FM4" i="31"/>
  <c r="FN4" i="31" s="1"/>
  <c r="FH4" i="31"/>
  <c r="FI4" i="31" s="1"/>
  <c r="FC4" i="31"/>
  <c r="FD4" i="31" s="1"/>
  <c r="EX4" i="31"/>
  <c r="EY4" i="31" s="1"/>
  <c r="EV4" i="31"/>
  <c r="EW4" i="31" s="1"/>
  <c r="EQ4" i="31"/>
  <c r="ER4" i="31" s="1"/>
  <c r="EL4" i="31"/>
  <c r="EM4" i="31" s="1"/>
  <c r="EH4" i="31"/>
  <c r="EG4" i="31"/>
  <c r="EE4" i="31"/>
  <c r="EF4" i="31" s="1"/>
  <c r="DZ4" i="31"/>
  <c r="EA4" i="31" s="1"/>
  <c r="DU4" i="31"/>
  <c r="DV4" i="31" s="1"/>
  <c r="DP4" i="31"/>
  <c r="DQ4" i="31" s="1"/>
  <c r="DN4" i="31"/>
  <c r="DO4" i="31" s="1"/>
  <c r="DI4" i="31"/>
  <c r="DJ4" i="31" s="1"/>
  <c r="DD4" i="31"/>
  <c r="DE4" i="31" s="1"/>
  <c r="CY4" i="31"/>
  <c r="CZ4" i="31" s="1"/>
  <c r="CW4" i="31"/>
  <c r="CX4" i="31" s="1"/>
  <c r="CR4" i="31"/>
  <c r="CS4" i="31" s="1"/>
  <c r="CM4" i="31"/>
  <c r="CN4" i="31" s="1"/>
  <c r="CH4" i="31"/>
  <c r="CI4" i="31" s="1"/>
  <c r="CF4" i="31"/>
  <c r="CG4" i="31" s="1"/>
  <c r="CA4" i="31"/>
  <c r="CB4" i="31" s="1"/>
  <c r="BV4" i="31"/>
  <c r="BW4" i="31" s="1"/>
  <c r="BQ4" i="31"/>
  <c r="BR4" i="31" s="1"/>
  <c r="BO4" i="31"/>
  <c r="BP4" i="31" s="1"/>
  <c r="BJ4" i="31"/>
  <c r="BK4" i="31" s="1"/>
  <c r="BE4" i="31"/>
  <c r="BF4" i="31" s="1"/>
  <c r="AZ4" i="31"/>
  <c r="BA4" i="31" s="1"/>
  <c r="AX4" i="31"/>
  <c r="AY4" i="31" s="1"/>
  <c r="AS4" i="31"/>
  <c r="AT4" i="31" s="1"/>
  <c r="AN4" i="31"/>
  <c r="AO4" i="31" s="1"/>
  <c r="AI4" i="31"/>
  <c r="AJ4" i="31" s="1"/>
  <c r="AG4" i="31"/>
  <c r="AH4" i="31" s="1"/>
  <c r="AB4" i="31"/>
  <c r="AC4" i="31" s="1"/>
  <c r="W4" i="31"/>
  <c r="X4" i="31" s="1"/>
  <c r="R4" i="31"/>
  <c r="S4" i="31" s="1"/>
  <c r="P4" i="31"/>
  <c r="Q4" i="31" s="1"/>
  <c r="K4" i="31"/>
  <c r="L4" i="31" s="1"/>
  <c r="F4" i="31"/>
  <c r="G4" i="31" s="1"/>
  <c r="AV3" i="31"/>
  <c r="BM3" i="31" s="1"/>
  <c r="CD3" i="31" s="1"/>
  <c r="CU3" i="31" s="1"/>
  <c r="DL3" i="31" s="1"/>
  <c r="EC3" i="31" s="1"/>
  <c r="ET3" i="31" s="1"/>
  <c r="FK3" i="31" s="1"/>
  <c r="GB3" i="31" s="1"/>
  <c r="GS3" i="31" s="1"/>
  <c r="HJ3" i="31" s="1"/>
  <c r="IA3" i="31" s="1"/>
  <c r="IR3" i="31" s="1"/>
  <c r="JI3" i="31" s="1"/>
  <c r="JZ3" i="31" s="1"/>
  <c r="KQ3" i="31" s="1"/>
  <c r="LH3" i="31" s="1"/>
  <c r="LY3" i="31" s="1"/>
  <c r="MP3" i="31" s="1"/>
  <c r="NG3" i="31" s="1"/>
  <c r="NX3" i="31" s="1"/>
  <c r="OO3" i="31" s="1"/>
  <c r="PF3" i="31" s="1"/>
  <c r="PW3" i="31" s="1"/>
  <c r="QN3" i="31" s="1"/>
  <c r="RE3" i="31" s="1"/>
  <c r="RV3" i="31" s="1"/>
  <c r="SM3" i="31" s="1"/>
  <c r="AQ3" i="31"/>
  <c r="BH3" i="31" s="1"/>
  <c r="BY3" i="31" s="1"/>
  <c r="CP3" i="31" s="1"/>
  <c r="DG3" i="31" s="1"/>
  <c r="DX3" i="31" s="1"/>
  <c r="EO3" i="31" s="1"/>
  <c r="FF3" i="31" s="1"/>
  <c r="FW3" i="31" s="1"/>
  <c r="GN3" i="31" s="1"/>
  <c r="HE3" i="31" s="1"/>
  <c r="HV3" i="31" s="1"/>
  <c r="IM3" i="31" s="1"/>
  <c r="JD3" i="31" s="1"/>
  <c r="JU3" i="31" s="1"/>
  <c r="KL3" i="31" s="1"/>
  <c r="LC3" i="31" s="1"/>
  <c r="LT3" i="31" s="1"/>
  <c r="MK3" i="31" s="1"/>
  <c r="NB3" i="31" s="1"/>
  <c r="NS3" i="31" s="1"/>
  <c r="OJ3" i="31" s="1"/>
  <c r="PA3" i="31" s="1"/>
  <c r="PR3" i="31" s="1"/>
  <c r="QI3" i="31" s="1"/>
  <c r="QZ3" i="31" s="1"/>
  <c r="RQ3" i="31" s="1"/>
  <c r="SH3" i="31" s="1"/>
  <c r="AF3" i="31"/>
  <c r="AW3" i="31" s="1"/>
  <c r="BN3" i="31" s="1"/>
  <c r="CE3" i="31" s="1"/>
  <c r="CV3" i="31" s="1"/>
  <c r="DM3" i="31" s="1"/>
  <c r="ED3" i="31" s="1"/>
  <c r="EU3" i="31" s="1"/>
  <c r="FL3" i="31" s="1"/>
  <c r="GC3" i="31" s="1"/>
  <c r="GT3" i="31" s="1"/>
  <c r="HK3" i="31" s="1"/>
  <c r="IB3" i="31" s="1"/>
  <c r="IS3" i="31" s="1"/>
  <c r="JJ3" i="31" s="1"/>
  <c r="KA3" i="31" s="1"/>
  <c r="KR3" i="31" s="1"/>
  <c r="LI3" i="31" s="1"/>
  <c r="LZ3" i="31" s="1"/>
  <c r="MQ3" i="31" s="1"/>
  <c r="NH3" i="31" s="1"/>
  <c r="NY3" i="31" s="1"/>
  <c r="OP3" i="31" s="1"/>
  <c r="PG3" i="31" s="1"/>
  <c r="PX3" i="31" s="1"/>
  <c r="QO3" i="31" s="1"/>
  <c r="RF3" i="31" s="1"/>
  <c r="RW3" i="31" s="1"/>
  <c r="SN3" i="31" s="1"/>
  <c r="AE3" i="31"/>
  <c r="AD3" i="31"/>
  <c r="AU3" i="31" s="1"/>
  <c r="BL3" i="31" s="1"/>
  <c r="CC3" i="31" s="1"/>
  <c r="CT3" i="31" s="1"/>
  <c r="DK3" i="31" s="1"/>
  <c r="EB3" i="31" s="1"/>
  <c r="ES3" i="31" s="1"/>
  <c r="FJ3" i="31" s="1"/>
  <c r="GA3" i="31" s="1"/>
  <c r="GR3" i="31" s="1"/>
  <c r="HI3" i="31" s="1"/>
  <c r="HZ3" i="31" s="1"/>
  <c r="IQ3" i="31" s="1"/>
  <c r="JH3" i="31" s="1"/>
  <c r="JY3" i="31" s="1"/>
  <c r="KP3" i="31" s="1"/>
  <c r="LG3" i="31" s="1"/>
  <c r="LX3" i="31" s="1"/>
  <c r="MO3" i="31" s="1"/>
  <c r="NF3" i="31" s="1"/>
  <c r="NW3" i="31" s="1"/>
  <c r="ON3" i="31" s="1"/>
  <c r="PE3" i="31" s="1"/>
  <c r="PV3" i="31" s="1"/>
  <c r="QM3" i="31" s="1"/>
  <c r="RD3" i="31" s="1"/>
  <c r="RU3" i="31" s="1"/>
  <c r="SL3" i="31" s="1"/>
  <c r="AA3" i="31"/>
  <c r="AR3" i="31" s="1"/>
  <c r="BI3" i="31" s="1"/>
  <c r="BZ3" i="31" s="1"/>
  <c r="CQ3" i="31" s="1"/>
  <c r="DH3" i="31" s="1"/>
  <c r="DY3" i="31" s="1"/>
  <c r="EP3" i="31" s="1"/>
  <c r="FG3" i="31" s="1"/>
  <c r="FX3" i="31" s="1"/>
  <c r="GO3" i="31" s="1"/>
  <c r="HF3" i="31" s="1"/>
  <c r="HW3" i="31" s="1"/>
  <c r="IN3" i="31" s="1"/>
  <c r="JE3" i="31" s="1"/>
  <c r="JV3" i="31" s="1"/>
  <c r="KM3" i="31" s="1"/>
  <c r="LD3" i="31" s="1"/>
  <c r="LU3" i="31" s="1"/>
  <c r="ML3" i="31" s="1"/>
  <c r="NC3" i="31" s="1"/>
  <c r="NT3" i="31" s="1"/>
  <c r="OK3" i="31" s="1"/>
  <c r="PB3" i="31" s="1"/>
  <c r="PS3" i="31" s="1"/>
  <c r="QJ3" i="31" s="1"/>
  <c r="RA3" i="31" s="1"/>
  <c r="RR3" i="31" s="1"/>
  <c r="SI3" i="31" s="1"/>
  <c r="Z3" i="31"/>
  <c r="Y3" i="31"/>
  <c r="AP3" i="31" s="1"/>
  <c r="BG3" i="31" s="1"/>
  <c r="BX3" i="31" s="1"/>
  <c r="CO3" i="31" s="1"/>
  <c r="DF3" i="31" s="1"/>
  <c r="DW3" i="31" s="1"/>
  <c r="EN3" i="31" s="1"/>
  <c r="FE3" i="31" s="1"/>
  <c r="FV3" i="31" s="1"/>
  <c r="GM3" i="31" s="1"/>
  <c r="HD3" i="31" s="1"/>
  <c r="HU3" i="31" s="1"/>
  <c r="IL3" i="31" s="1"/>
  <c r="JC3" i="31" s="1"/>
  <c r="JT3" i="31" s="1"/>
  <c r="KK3" i="31" s="1"/>
  <c r="LB3" i="31" s="1"/>
  <c r="LS3" i="31" s="1"/>
  <c r="MJ3" i="31" s="1"/>
  <c r="NA3" i="31" s="1"/>
  <c r="NR3" i="31" s="1"/>
  <c r="OI3" i="31" s="1"/>
  <c r="OZ3" i="31" s="1"/>
  <c r="PQ3" i="31" s="1"/>
  <c r="QH3" i="31" s="1"/>
  <c r="QY3" i="31" s="1"/>
  <c r="RP3" i="31" s="1"/>
  <c r="SG3" i="31" s="1"/>
  <c r="V3" i="31"/>
  <c r="AM3" i="31" s="1"/>
  <c r="BD3" i="31" s="1"/>
  <c r="BU3" i="31" s="1"/>
  <c r="CL3" i="31" s="1"/>
  <c r="DC3" i="31" s="1"/>
  <c r="DT3" i="31" s="1"/>
  <c r="EK3" i="31" s="1"/>
  <c r="FB3" i="31" s="1"/>
  <c r="FS3" i="31" s="1"/>
  <c r="GJ3" i="31" s="1"/>
  <c r="HA3" i="31" s="1"/>
  <c r="HR3" i="31" s="1"/>
  <c r="II3" i="31" s="1"/>
  <c r="IZ3" i="31" s="1"/>
  <c r="JQ3" i="31" s="1"/>
  <c r="KH3" i="31" s="1"/>
  <c r="KY3" i="31" s="1"/>
  <c r="LP3" i="31" s="1"/>
  <c r="MG3" i="31" s="1"/>
  <c r="MX3" i="31" s="1"/>
  <c r="NO3" i="31" s="1"/>
  <c r="OF3" i="31" s="1"/>
  <c r="OW3" i="31" s="1"/>
  <c r="PN3" i="31" s="1"/>
  <c r="QE3" i="31" s="1"/>
  <c r="QV3" i="31" s="1"/>
  <c r="RM3" i="31" s="1"/>
  <c r="SD3" i="31" s="1"/>
  <c r="U3" i="31"/>
  <c r="AL3" i="31" s="1"/>
  <c r="BC3" i="31" s="1"/>
  <c r="BT3" i="31" s="1"/>
  <c r="CK3" i="31" s="1"/>
  <c r="DB3" i="31" s="1"/>
  <c r="DS3" i="31" s="1"/>
  <c r="EJ3" i="31" s="1"/>
  <c r="FA3" i="31" s="1"/>
  <c r="FR3" i="31" s="1"/>
  <c r="GI3" i="31" s="1"/>
  <c r="GZ3" i="31" s="1"/>
  <c r="HQ3" i="31" s="1"/>
  <c r="IH3" i="31" s="1"/>
  <c r="IY3" i="31" s="1"/>
  <c r="JP3" i="31" s="1"/>
  <c r="KG3" i="31" s="1"/>
  <c r="KX3" i="31" s="1"/>
  <c r="LO3" i="31" s="1"/>
  <c r="MF3" i="31" s="1"/>
  <c r="MW3" i="31" s="1"/>
  <c r="NN3" i="31" s="1"/>
  <c r="OE3" i="31" s="1"/>
  <c r="OV3" i="31" s="1"/>
  <c r="PM3" i="31" s="1"/>
  <c r="QD3" i="31" s="1"/>
  <c r="QU3" i="31" s="1"/>
  <c r="RL3" i="31" s="1"/>
  <c r="SC3" i="31" s="1"/>
  <c r="T3" i="31"/>
  <c r="AK3" i="31" s="1"/>
  <c r="BB3" i="31" s="1"/>
  <c r="BS3" i="31" s="1"/>
  <c r="CJ3" i="31" s="1"/>
  <c r="DA3" i="31" s="1"/>
  <c r="DR3" i="31" s="1"/>
  <c r="EI3" i="31" s="1"/>
  <c r="EZ3" i="31" s="1"/>
  <c r="FQ3" i="31" s="1"/>
  <c r="GH3" i="31" s="1"/>
  <c r="GY3" i="31" s="1"/>
  <c r="HP3" i="31" s="1"/>
  <c r="IG3" i="31" s="1"/>
  <c r="IX3" i="31" s="1"/>
  <c r="JO3" i="31" s="1"/>
  <c r="KF3" i="31" s="1"/>
  <c r="KW3" i="31" s="1"/>
  <c r="LN3" i="31" s="1"/>
  <c r="ME3" i="31" s="1"/>
  <c r="MV3" i="31" s="1"/>
  <c r="NM3" i="31" s="1"/>
  <c r="OD3" i="31" s="1"/>
  <c r="OU3" i="31" s="1"/>
  <c r="PL3" i="31" s="1"/>
  <c r="QC3" i="31" s="1"/>
  <c r="QT3" i="31" s="1"/>
  <c r="RK3" i="31" s="1"/>
  <c r="SB3" i="31" s="1"/>
  <c r="T1" i="31"/>
  <c r="R22" i="29"/>
  <c r="SN20" i="29"/>
  <c r="SM20" i="29"/>
  <c r="SL20" i="29"/>
  <c r="SI20" i="29"/>
  <c r="SH20" i="29"/>
  <c r="SG20" i="29"/>
  <c r="SD20" i="29"/>
  <c r="SC20" i="29"/>
  <c r="SB20" i="29"/>
  <c r="RW20" i="29"/>
  <c r="RV20" i="29"/>
  <c r="RU20" i="29"/>
  <c r="RR20" i="29"/>
  <c r="RQ20" i="29"/>
  <c r="RP20" i="29"/>
  <c r="RM20" i="29"/>
  <c r="RL20" i="29"/>
  <c r="RK20" i="29"/>
  <c r="RF20" i="29"/>
  <c r="RE20" i="29"/>
  <c r="RD20" i="29"/>
  <c r="RA20" i="29"/>
  <c r="QZ20" i="29"/>
  <c r="QY20" i="29"/>
  <c r="QV20" i="29"/>
  <c r="QU20" i="29"/>
  <c r="QT20" i="29"/>
  <c r="QO20" i="29"/>
  <c r="QN20" i="29"/>
  <c r="QM20" i="29"/>
  <c r="QJ20" i="29"/>
  <c r="QI20" i="29"/>
  <c r="QH20" i="29"/>
  <c r="QE20" i="29"/>
  <c r="QD20" i="29"/>
  <c r="QC20" i="29"/>
  <c r="PX20" i="29"/>
  <c r="PW20" i="29"/>
  <c r="PV20" i="29"/>
  <c r="PS20" i="29"/>
  <c r="PR20" i="29"/>
  <c r="PQ20" i="29"/>
  <c r="PN20" i="29"/>
  <c r="PM20" i="29"/>
  <c r="PL20" i="29"/>
  <c r="PG20" i="29"/>
  <c r="PF20" i="29"/>
  <c r="PE20" i="29"/>
  <c r="PB20" i="29"/>
  <c r="PA20" i="29"/>
  <c r="OZ20" i="29"/>
  <c r="OW20" i="29"/>
  <c r="OV20" i="29"/>
  <c r="OU20" i="29"/>
  <c r="OP20" i="29"/>
  <c r="OO20" i="29"/>
  <c r="ON20" i="29"/>
  <c r="OK20" i="29"/>
  <c r="OJ20" i="29"/>
  <c r="OI20" i="29"/>
  <c r="OF20" i="29"/>
  <c r="OE20" i="29"/>
  <c r="OD20" i="29"/>
  <c r="NY20" i="29"/>
  <c r="NX20" i="29"/>
  <c r="NW20" i="29"/>
  <c r="NT20" i="29"/>
  <c r="NS20" i="29"/>
  <c r="NR20" i="29"/>
  <c r="NO20" i="29"/>
  <c r="NN20" i="29"/>
  <c r="NM20" i="29"/>
  <c r="NH20" i="29"/>
  <c r="NG20" i="29"/>
  <c r="NF20" i="29"/>
  <c r="NC20" i="29"/>
  <c r="NB20" i="29"/>
  <c r="NA20" i="29"/>
  <c r="MX20" i="29"/>
  <c r="MW20" i="29"/>
  <c r="MV20" i="29"/>
  <c r="MQ20" i="29"/>
  <c r="MP20" i="29"/>
  <c r="MO20" i="29"/>
  <c r="ML20" i="29"/>
  <c r="MK20" i="29"/>
  <c r="MJ20" i="29"/>
  <c r="MG20" i="29"/>
  <c r="MF20" i="29"/>
  <c r="ME20" i="29"/>
  <c r="LZ20" i="29"/>
  <c r="LY20" i="29"/>
  <c r="LX20" i="29"/>
  <c r="LU20" i="29"/>
  <c r="LT20" i="29"/>
  <c r="LS20" i="29"/>
  <c r="LP20" i="29"/>
  <c r="LO20" i="29"/>
  <c r="LN20" i="29"/>
  <c r="LI20" i="29"/>
  <c r="LH20" i="29"/>
  <c r="LG20" i="29"/>
  <c r="LD20" i="29"/>
  <c r="LC20" i="29"/>
  <c r="LB20" i="29"/>
  <c r="KY20" i="29"/>
  <c r="KX20" i="29"/>
  <c r="KW20" i="29"/>
  <c r="KR20" i="29"/>
  <c r="KQ20" i="29"/>
  <c r="KP20" i="29"/>
  <c r="KM20" i="29"/>
  <c r="KL20" i="29"/>
  <c r="KK20" i="29"/>
  <c r="KH20" i="29"/>
  <c r="KG20" i="29"/>
  <c r="KF20" i="29"/>
  <c r="KA20" i="29"/>
  <c r="JZ20" i="29"/>
  <c r="JY20" i="29"/>
  <c r="JV20" i="29"/>
  <c r="JU20" i="29"/>
  <c r="JT20" i="29"/>
  <c r="JQ20" i="29"/>
  <c r="JP20" i="29"/>
  <c r="JO20" i="29"/>
  <c r="JJ20" i="29"/>
  <c r="JI20" i="29"/>
  <c r="JH20" i="29"/>
  <c r="JE20" i="29"/>
  <c r="JD20" i="29"/>
  <c r="JC20" i="29"/>
  <c r="IZ20" i="29"/>
  <c r="IY20" i="29"/>
  <c r="IX20" i="29"/>
  <c r="IS20" i="29"/>
  <c r="IR20" i="29"/>
  <c r="IQ20" i="29"/>
  <c r="IN20" i="29"/>
  <c r="IM20" i="29"/>
  <c r="IL20" i="29"/>
  <c r="II20" i="29"/>
  <c r="IH20" i="29"/>
  <c r="IG20" i="29"/>
  <c r="IB20" i="29"/>
  <c r="IA20" i="29"/>
  <c r="HZ20" i="29"/>
  <c r="HW20" i="29"/>
  <c r="HV20" i="29"/>
  <c r="HU20" i="29"/>
  <c r="HR20" i="29"/>
  <c r="HQ20" i="29"/>
  <c r="HP20" i="29"/>
  <c r="HK20" i="29"/>
  <c r="HJ20" i="29"/>
  <c r="HI20" i="29"/>
  <c r="HF20" i="29"/>
  <c r="HE20" i="29"/>
  <c r="HD20" i="29"/>
  <c r="HA20" i="29"/>
  <c r="GZ20" i="29"/>
  <c r="GY20" i="29"/>
  <c r="GT20" i="29"/>
  <c r="GS20" i="29"/>
  <c r="GR20" i="29"/>
  <c r="GO20" i="29"/>
  <c r="GN20" i="29"/>
  <c r="GM20" i="29"/>
  <c r="GJ20" i="29"/>
  <c r="GI20" i="29"/>
  <c r="GH20" i="29"/>
  <c r="GC20" i="29"/>
  <c r="GB20" i="29"/>
  <c r="GA20" i="29"/>
  <c r="FX20" i="29"/>
  <c r="FW20" i="29"/>
  <c r="FV20" i="29"/>
  <c r="FS20" i="29"/>
  <c r="FR20" i="29"/>
  <c r="FQ20" i="29"/>
  <c r="FL20" i="29"/>
  <c r="FK20" i="29"/>
  <c r="FJ20" i="29"/>
  <c r="FG20" i="29"/>
  <c r="FF20" i="29"/>
  <c r="FE20" i="29"/>
  <c r="FB20" i="29"/>
  <c r="FA20" i="29"/>
  <c r="EZ20" i="29"/>
  <c r="EU20" i="29"/>
  <c r="ET20" i="29"/>
  <c r="ES20" i="29"/>
  <c r="EP20" i="29"/>
  <c r="EO20" i="29"/>
  <c r="EN20" i="29"/>
  <c r="EK20" i="29"/>
  <c r="EJ20" i="29"/>
  <c r="EI20" i="29"/>
  <c r="ED20" i="29"/>
  <c r="EC20" i="29"/>
  <c r="EB20" i="29"/>
  <c r="DY20" i="29"/>
  <c r="DX20" i="29"/>
  <c r="DW20" i="29"/>
  <c r="DT20" i="29"/>
  <c r="DS20" i="29"/>
  <c r="DR20" i="29"/>
  <c r="DM20" i="29"/>
  <c r="DL20" i="29"/>
  <c r="DK20" i="29"/>
  <c r="DH20" i="29"/>
  <c r="DG20" i="29"/>
  <c r="DF20" i="29"/>
  <c r="DC20" i="29"/>
  <c r="DB20" i="29"/>
  <c r="DA20" i="29"/>
  <c r="CV20" i="29"/>
  <c r="CU20" i="29"/>
  <c r="CT20" i="29"/>
  <c r="CQ20" i="29"/>
  <c r="CP20" i="29"/>
  <c r="CO20" i="29"/>
  <c r="CL20" i="29"/>
  <c r="CK20" i="29"/>
  <c r="CJ20" i="29"/>
  <c r="CE20" i="29"/>
  <c r="CD20" i="29"/>
  <c r="CC20" i="29"/>
  <c r="BZ20" i="29"/>
  <c r="BY20" i="29"/>
  <c r="BX20" i="29"/>
  <c r="BU20" i="29"/>
  <c r="BT20" i="29"/>
  <c r="BS20" i="29"/>
  <c r="BN20" i="29"/>
  <c r="BM20" i="29"/>
  <c r="BL20" i="29"/>
  <c r="BI20" i="29"/>
  <c r="BH20" i="29"/>
  <c r="BG20" i="29"/>
  <c r="BD20" i="29"/>
  <c r="BC20" i="29"/>
  <c r="BB20" i="29"/>
  <c r="AW20" i="29"/>
  <c r="AV20" i="29"/>
  <c r="AU20" i="29"/>
  <c r="AR20" i="29"/>
  <c r="AQ20" i="29"/>
  <c r="AP20" i="29"/>
  <c r="AM20" i="29"/>
  <c r="AL20" i="29"/>
  <c r="AK20" i="29"/>
  <c r="AF20" i="29"/>
  <c r="AE20" i="29"/>
  <c r="AD20" i="29"/>
  <c r="AA20" i="29"/>
  <c r="Z20" i="29"/>
  <c r="Y20" i="29"/>
  <c r="V20" i="29"/>
  <c r="U20" i="29"/>
  <c r="T20" i="29"/>
  <c r="O20" i="29"/>
  <c r="N20" i="29"/>
  <c r="M20" i="29"/>
  <c r="J20" i="29"/>
  <c r="I20" i="29"/>
  <c r="H20" i="29"/>
  <c r="E20" i="29"/>
  <c r="D20" i="29"/>
  <c r="C20" i="29"/>
  <c r="SO19" i="29"/>
  <c r="SP19" i="29" s="1"/>
  <c r="SJ19" i="29"/>
  <c r="SK19" i="29" s="1"/>
  <c r="SE19" i="29"/>
  <c r="RX19" i="29"/>
  <c r="RY19" i="29" s="1"/>
  <c r="RS19" i="29"/>
  <c r="RT19" i="29" s="1"/>
  <c r="RN19" i="29"/>
  <c r="RG19" i="29"/>
  <c r="RH19" i="29" s="1"/>
  <c r="RB19" i="29"/>
  <c r="RC19" i="29" s="1"/>
  <c r="QW19" i="29"/>
  <c r="QX19" i="29" s="1"/>
  <c r="QP19" i="29"/>
  <c r="QQ19" i="29" s="1"/>
  <c r="QK19" i="29"/>
  <c r="QL19" i="29" s="1"/>
  <c r="QF19" i="29"/>
  <c r="QG19" i="29" s="1"/>
  <c r="PY19" i="29"/>
  <c r="PZ19" i="29" s="1"/>
  <c r="PT19" i="29"/>
  <c r="PU19" i="29" s="1"/>
  <c r="PO19" i="29"/>
  <c r="PP19" i="29" s="1"/>
  <c r="PH19" i="29"/>
  <c r="PI19" i="29" s="1"/>
  <c r="PD19" i="29"/>
  <c r="PC19" i="29"/>
  <c r="OX19" i="29"/>
  <c r="OY19" i="29" s="1"/>
  <c r="OQ19" i="29"/>
  <c r="OR19" i="29" s="1"/>
  <c r="OL19" i="29"/>
  <c r="OM19" i="29" s="1"/>
  <c r="OG19" i="29"/>
  <c r="OH19" i="29" s="1"/>
  <c r="NZ19" i="29"/>
  <c r="OA19" i="29" s="1"/>
  <c r="NU19" i="29"/>
  <c r="NV19" i="29" s="1"/>
  <c r="NP19" i="29"/>
  <c r="NQ19" i="29" s="1"/>
  <c r="NI19" i="29"/>
  <c r="NJ19" i="29" s="1"/>
  <c r="ND19" i="29"/>
  <c r="NE19" i="29" s="1"/>
  <c r="MY19" i="29"/>
  <c r="MR19" i="29"/>
  <c r="MS19" i="29" s="1"/>
  <c r="MM19" i="29"/>
  <c r="MN19" i="29" s="1"/>
  <c r="MH19" i="29"/>
  <c r="MI19" i="29" s="1"/>
  <c r="MA19" i="29"/>
  <c r="MB19" i="29" s="1"/>
  <c r="LV19" i="29"/>
  <c r="LW19" i="29" s="1"/>
  <c r="LQ19" i="29"/>
  <c r="LR19" i="29" s="1"/>
  <c r="LJ19" i="29"/>
  <c r="LK19" i="29" s="1"/>
  <c r="LE19" i="29"/>
  <c r="LF19" i="29" s="1"/>
  <c r="KZ19" i="29"/>
  <c r="LA19" i="29" s="1"/>
  <c r="KS19" i="29"/>
  <c r="KT19" i="29" s="1"/>
  <c r="KN19" i="29"/>
  <c r="KO19" i="29" s="1"/>
  <c r="KI19" i="29"/>
  <c r="KJ19" i="29" s="1"/>
  <c r="KB19" i="29"/>
  <c r="KC19" i="29" s="1"/>
  <c r="JW19" i="29"/>
  <c r="JX19" i="29" s="1"/>
  <c r="JR19" i="29"/>
  <c r="JS19" i="29" s="1"/>
  <c r="JK19" i="29"/>
  <c r="JL19" i="29" s="1"/>
  <c r="JF19" i="29"/>
  <c r="JG19" i="29" s="1"/>
  <c r="JA19" i="29"/>
  <c r="JB19" i="29" s="1"/>
  <c r="IT19" i="29"/>
  <c r="IU19" i="29" s="1"/>
  <c r="IP19" i="29"/>
  <c r="IO19" i="29"/>
  <c r="IJ19" i="29"/>
  <c r="IK19" i="29" s="1"/>
  <c r="IC19" i="29"/>
  <c r="ID19" i="29" s="1"/>
  <c r="HX19" i="29"/>
  <c r="HY19" i="29" s="1"/>
  <c r="HS19" i="29"/>
  <c r="HL19" i="29"/>
  <c r="HM19" i="29" s="1"/>
  <c r="HG19" i="29"/>
  <c r="HH19" i="29" s="1"/>
  <c r="HB19" i="29"/>
  <c r="HC19" i="29" s="1"/>
  <c r="GU19" i="29"/>
  <c r="GV19" i="29" s="1"/>
  <c r="GP19" i="29"/>
  <c r="GQ19" i="29" s="1"/>
  <c r="GK19" i="29"/>
  <c r="GL19" i="29" s="1"/>
  <c r="GD19" i="29"/>
  <c r="GE19" i="29" s="1"/>
  <c r="FY19" i="29"/>
  <c r="FZ19" i="29" s="1"/>
  <c r="FT19" i="29"/>
  <c r="FU19" i="29" s="1"/>
  <c r="FM19" i="29"/>
  <c r="FN19" i="29" s="1"/>
  <c r="FH19" i="29"/>
  <c r="FI19" i="29" s="1"/>
  <c r="FC19" i="29"/>
  <c r="FD19" i="29" s="1"/>
  <c r="EV19" i="29"/>
  <c r="EW19" i="29" s="1"/>
  <c r="EQ19" i="29"/>
  <c r="ER19" i="29" s="1"/>
  <c r="EL19" i="29"/>
  <c r="EM19" i="29" s="1"/>
  <c r="EE19" i="29"/>
  <c r="EF19" i="29" s="1"/>
  <c r="DZ19" i="29"/>
  <c r="EA19" i="29" s="1"/>
  <c r="DU19" i="29"/>
  <c r="DV19" i="29" s="1"/>
  <c r="DN19" i="29"/>
  <c r="DO19" i="29" s="1"/>
  <c r="DI19" i="29"/>
  <c r="DJ19" i="29" s="1"/>
  <c r="DD19" i="29"/>
  <c r="DE19" i="29" s="1"/>
  <c r="CY19" i="29"/>
  <c r="CZ19" i="29" s="1"/>
  <c r="CW19" i="29"/>
  <c r="CX19" i="29" s="1"/>
  <c r="CR19" i="29"/>
  <c r="CS19" i="29" s="1"/>
  <c r="CM19" i="29"/>
  <c r="CN19" i="29" s="1"/>
  <c r="CF19" i="29"/>
  <c r="CG19" i="29" s="1"/>
  <c r="CA19" i="29"/>
  <c r="CB19" i="29" s="1"/>
  <c r="BV19" i="29"/>
  <c r="BW19" i="29" s="1"/>
  <c r="BO19" i="29"/>
  <c r="BJ19" i="29"/>
  <c r="BK19" i="29" s="1"/>
  <c r="BE19" i="29"/>
  <c r="BF19" i="29" s="1"/>
  <c r="AX19" i="29"/>
  <c r="AY19" i="29" s="1"/>
  <c r="AS19" i="29"/>
  <c r="AT19" i="29" s="1"/>
  <c r="AN19" i="29"/>
  <c r="AO19" i="29" s="1"/>
  <c r="AG19" i="29"/>
  <c r="AH19" i="29" s="1"/>
  <c r="AB19" i="29"/>
  <c r="AC19" i="29" s="1"/>
  <c r="W19" i="29"/>
  <c r="X19" i="29" s="1"/>
  <c r="P19" i="29"/>
  <c r="Q19" i="29" s="1"/>
  <c r="K19" i="29"/>
  <c r="L19" i="29" s="1"/>
  <c r="F19" i="29"/>
  <c r="G19" i="29" s="1"/>
  <c r="SQ18" i="29"/>
  <c r="SR18" i="29" s="1"/>
  <c r="SO18" i="29"/>
  <c r="SP18" i="29" s="1"/>
  <c r="SJ18" i="29"/>
  <c r="SK18" i="29" s="1"/>
  <c r="SE18" i="29"/>
  <c r="SF18" i="29" s="1"/>
  <c r="RZ18" i="29"/>
  <c r="SA18" i="29" s="1"/>
  <c r="RX18" i="29"/>
  <c r="RY18" i="29" s="1"/>
  <c r="RS18" i="29"/>
  <c r="RT18" i="29" s="1"/>
  <c r="RN18" i="29"/>
  <c r="RO18" i="29" s="1"/>
  <c r="RI18" i="29"/>
  <c r="RJ18" i="29" s="1"/>
  <c r="RG18" i="29"/>
  <c r="RH18" i="29" s="1"/>
  <c r="RB18" i="29"/>
  <c r="RC18" i="29" s="1"/>
  <c r="QW18" i="29"/>
  <c r="QX18" i="29" s="1"/>
  <c r="QS18" i="29"/>
  <c r="QR18" i="29"/>
  <c r="QP18" i="29"/>
  <c r="QQ18" i="29" s="1"/>
  <c r="QK18" i="29"/>
  <c r="QL18" i="29" s="1"/>
  <c r="QF18" i="29"/>
  <c r="QG18" i="29" s="1"/>
  <c r="QA18" i="29"/>
  <c r="QB18" i="29" s="1"/>
  <c r="PY18" i="29"/>
  <c r="PZ18" i="29" s="1"/>
  <c r="PT18" i="29"/>
  <c r="PU18" i="29" s="1"/>
  <c r="PO18" i="29"/>
  <c r="PP18" i="29" s="1"/>
  <c r="PJ18" i="29"/>
  <c r="PK18" i="29" s="1"/>
  <c r="PH18" i="29"/>
  <c r="PI18" i="29" s="1"/>
  <c r="PC18" i="29"/>
  <c r="PD18" i="29" s="1"/>
  <c r="OX18" i="29"/>
  <c r="OY18" i="29" s="1"/>
  <c r="OS18" i="29"/>
  <c r="OT18" i="29" s="1"/>
  <c r="OQ18" i="29"/>
  <c r="OR18" i="29" s="1"/>
  <c r="OL18" i="29"/>
  <c r="OM18" i="29" s="1"/>
  <c r="OG18" i="29"/>
  <c r="OH18" i="29" s="1"/>
  <c r="OB18" i="29"/>
  <c r="OC18" i="29" s="1"/>
  <c r="NZ18" i="29"/>
  <c r="OA18" i="29" s="1"/>
  <c r="NU18" i="29"/>
  <c r="NV18" i="29" s="1"/>
  <c r="NQ18" i="29"/>
  <c r="NP18" i="29"/>
  <c r="NK18" i="29"/>
  <c r="NL18" i="29" s="1"/>
  <c r="NI18" i="29"/>
  <c r="NJ18" i="29" s="1"/>
  <c r="ND18" i="29"/>
  <c r="NE18" i="29" s="1"/>
  <c r="MY18" i="29"/>
  <c r="MZ18" i="29" s="1"/>
  <c r="MT18" i="29"/>
  <c r="MU18" i="29" s="1"/>
  <c r="MR18" i="29"/>
  <c r="MS18" i="29" s="1"/>
  <c r="MM18" i="29"/>
  <c r="MN18" i="29" s="1"/>
  <c r="MI18" i="29"/>
  <c r="MH18" i="29"/>
  <c r="MC18" i="29"/>
  <c r="MD18" i="29" s="1"/>
  <c r="MA18" i="29"/>
  <c r="MB18" i="29" s="1"/>
  <c r="LV18" i="29"/>
  <c r="LW18" i="29" s="1"/>
  <c r="LQ18" i="29"/>
  <c r="LR18" i="29" s="1"/>
  <c r="LL18" i="29"/>
  <c r="LM18" i="29" s="1"/>
  <c r="LJ18" i="29"/>
  <c r="LK18" i="29" s="1"/>
  <c r="LE18" i="29"/>
  <c r="LF18" i="29" s="1"/>
  <c r="KZ18" i="29"/>
  <c r="LA18" i="29" s="1"/>
  <c r="KU18" i="29"/>
  <c r="KV18" i="29" s="1"/>
  <c r="KS18" i="29"/>
  <c r="KT18" i="29" s="1"/>
  <c r="KN18" i="29"/>
  <c r="KO18" i="29" s="1"/>
  <c r="KI18" i="29"/>
  <c r="KJ18" i="29" s="1"/>
  <c r="KD18" i="29"/>
  <c r="KE18" i="29" s="1"/>
  <c r="KB18" i="29"/>
  <c r="KC18" i="29" s="1"/>
  <c r="JW18" i="29"/>
  <c r="JX18" i="29" s="1"/>
  <c r="JR18" i="29"/>
  <c r="JS18" i="29" s="1"/>
  <c r="JM18" i="29"/>
  <c r="JN18" i="29" s="1"/>
  <c r="JK18" i="29"/>
  <c r="JL18" i="29" s="1"/>
  <c r="JF18" i="29"/>
  <c r="JG18" i="29" s="1"/>
  <c r="JA18" i="29"/>
  <c r="JB18" i="29" s="1"/>
  <c r="IV18" i="29"/>
  <c r="IW18" i="29" s="1"/>
  <c r="IT18" i="29"/>
  <c r="IU18" i="29" s="1"/>
  <c r="IO18" i="29"/>
  <c r="IP18" i="29" s="1"/>
  <c r="IJ18" i="29"/>
  <c r="IK18" i="29" s="1"/>
  <c r="IE18" i="29"/>
  <c r="IF18" i="29" s="1"/>
  <c r="IC18" i="29"/>
  <c r="ID18" i="29" s="1"/>
  <c r="HX18" i="29"/>
  <c r="HY18" i="29" s="1"/>
  <c r="HS18" i="29"/>
  <c r="HT18" i="29" s="1"/>
  <c r="HN18" i="29"/>
  <c r="HO18" i="29" s="1"/>
  <c r="HL18" i="29"/>
  <c r="HM18" i="29" s="1"/>
  <c r="HG18" i="29"/>
  <c r="HH18" i="29" s="1"/>
  <c r="HB18" i="29"/>
  <c r="HC18" i="29" s="1"/>
  <c r="GW18" i="29"/>
  <c r="GX18" i="29" s="1"/>
  <c r="GU18" i="29"/>
  <c r="GV18" i="29" s="1"/>
  <c r="GP18" i="29"/>
  <c r="GQ18" i="29" s="1"/>
  <c r="GL18" i="29"/>
  <c r="GK18" i="29"/>
  <c r="GF18" i="29"/>
  <c r="GG18" i="29" s="1"/>
  <c r="GD18" i="29"/>
  <c r="GE18" i="29" s="1"/>
  <c r="FY18" i="29"/>
  <c r="FZ18" i="29" s="1"/>
  <c r="FT18" i="29"/>
  <c r="FU18" i="29" s="1"/>
  <c r="FO18" i="29"/>
  <c r="FP18" i="29" s="1"/>
  <c r="FM18" i="29"/>
  <c r="FN18" i="29" s="1"/>
  <c r="FH18" i="29"/>
  <c r="FI18" i="29" s="1"/>
  <c r="FC18" i="29"/>
  <c r="FD18" i="29" s="1"/>
  <c r="EX18" i="29"/>
  <c r="EY18" i="29" s="1"/>
  <c r="EV18" i="29"/>
  <c r="EW18" i="29" s="1"/>
  <c r="EQ18" i="29"/>
  <c r="ER18" i="29" s="1"/>
  <c r="EL18" i="29"/>
  <c r="EM18" i="29" s="1"/>
  <c r="EG18" i="29"/>
  <c r="EH18" i="29" s="1"/>
  <c r="EE18" i="29"/>
  <c r="EF18" i="29" s="1"/>
  <c r="DZ18" i="29"/>
  <c r="EA18" i="29" s="1"/>
  <c r="DU18" i="29"/>
  <c r="DV18" i="29" s="1"/>
  <c r="DP18" i="29"/>
  <c r="DQ18" i="29" s="1"/>
  <c r="DN18" i="29"/>
  <c r="DO18" i="29" s="1"/>
  <c r="DI18" i="29"/>
  <c r="DJ18" i="29" s="1"/>
  <c r="DE18" i="29"/>
  <c r="DD18" i="29"/>
  <c r="CY18" i="29"/>
  <c r="CZ18" i="29" s="1"/>
  <c r="CW18" i="29"/>
  <c r="CX18" i="29" s="1"/>
  <c r="CR18" i="29"/>
  <c r="CS18" i="29" s="1"/>
  <c r="CM18" i="29"/>
  <c r="CN18" i="29" s="1"/>
  <c r="CH18" i="29"/>
  <c r="CI18" i="29" s="1"/>
  <c r="CF18" i="29"/>
  <c r="CG18" i="29" s="1"/>
  <c r="CA18" i="29"/>
  <c r="CB18" i="29" s="1"/>
  <c r="BV18" i="29"/>
  <c r="BW18" i="29" s="1"/>
  <c r="BQ18" i="29"/>
  <c r="BR18" i="29" s="1"/>
  <c r="BO18" i="29"/>
  <c r="BP18" i="29" s="1"/>
  <c r="BJ18" i="29"/>
  <c r="BK18" i="29" s="1"/>
  <c r="BE18" i="29"/>
  <c r="BF18" i="29" s="1"/>
  <c r="AZ18" i="29"/>
  <c r="BA18" i="29" s="1"/>
  <c r="AX18" i="29"/>
  <c r="AY18" i="29" s="1"/>
  <c r="AS18" i="29"/>
  <c r="AT18" i="29" s="1"/>
  <c r="AN18" i="29"/>
  <c r="AO18" i="29" s="1"/>
  <c r="AI18" i="29"/>
  <c r="AJ18" i="29" s="1"/>
  <c r="AG18" i="29"/>
  <c r="AH18" i="29" s="1"/>
  <c r="AB18" i="29"/>
  <c r="AC18" i="29" s="1"/>
  <c r="W18" i="29"/>
  <c r="X18" i="29" s="1"/>
  <c r="R18" i="29"/>
  <c r="S18" i="29" s="1"/>
  <c r="P18" i="29"/>
  <c r="Q18" i="29" s="1"/>
  <c r="K18" i="29"/>
  <c r="L18" i="29" s="1"/>
  <c r="G18" i="29"/>
  <c r="F18" i="29"/>
  <c r="SO17" i="29"/>
  <c r="SP17" i="29" s="1"/>
  <c r="SJ17" i="29"/>
  <c r="SK17" i="29" s="1"/>
  <c r="SE17" i="29"/>
  <c r="RX17" i="29"/>
  <c r="RS17" i="29"/>
  <c r="RT17" i="29" s="1"/>
  <c r="RN17" i="29"/>
  <c r="RO17" i="29" s="1"/>
  <c r="RG17" i="29"/>
  <c r="RH17" i="29" s="1"/>
  <c r="RB17" i="29"/>
  <c r="RC17" i="29" s="1"/>
  <c r="QX17" i="29"/>
  <c r="QW17" i="29"/>
  <c r="QP17" i="29"/>
  <c r="QK17" i="29"/>
  <c r="QL17" i="29" s="1"/>
  <c r="QG17" i="29"/>
  <c r="QF17" i="29"/>
  <c r="PY17" i="29"/>
  <c r="PZ17" i="29" s="1"/>
  <c r="PT17" i="29"/>
  <c r="PU17" i="29" s="1"/>
  <c r="PO17" i="29"/>
  <c r="PP17" i="29" s="1"/>
  <c r="PH17" i="29"/>
  <c r="PC17" i="29"/>
  <c r="PD17" i="29" s="1"/>
  <c r="OX17" i="29"/>
  <c r="OY17" i="29" s="1"/>
  <c r="OQ17" i="29"/>
  <c r="OR17" i="29" s="1"/>
  <c r="OL17" i="29"/>
  <c r="OM17" i="29" s="1"/>
  <c r="OH17" i="29"/>
  <c r="OG17" i="29"/>
  <c r="OS17" i="29" s="1"/>
  <c r="OT17" i="29" s="1"/>
  <c r="NZ17" i="29"/>
  <c r="NU17" i="29"/>
  <c r="NV17" i="29" s="1"/>
  <c r="NQ17" i="29"/>
  <c r="NP17" i="29"/>
  <c r="NI17" i="29"/>
  <c r="NJ17" i="29" s="1"/>
  <c r="ND17" i="29"/>
  <c r="NE17" i="29" s="1"/>
  <c r="MY17" i="29"/>
  <c r="NK17" i="29" s="1"/>
  <c r="NL17" i="29" s="1"/>
  <c r="MR17" i="29"/>
  <c r="MM17" i="29"/>
  <c r="MN17" i="29" s="1"/>
  <c r="MH17" i="29"/>
  <c r="MI17" i="29" s="1"/>
  <c r="MA17" i="29"/>
  <c r="MB17" i="29" s="1"/>
  <c r="LV17" i="29"/>
  <c r="LW17" i="29" s="1"/>
  <c r="LR17" i="29"/>
  <c r="LQ17" i="29"/>
  <c r="LJ17" i="29"/>
  <c r="LE17" i="29"/>
  <c r="LF17" i="29" s="1"/>
  <c r="LA17" i="29"/>
  <c r="KZ17" i="29"/>
  <c r="KU17" i="29"/>
  <c r="KV17" i="29" s="1"/>
  <c r="KS17" i="29"/>
  <c r="KT17" i="29" s="1"/>
  <c r="KN17" i="29"/>
  <c r="KO17" i="29" s="1"/>
  <c r="KI17" i="29"/>
  <c r="KJ17" i="29" s="1"/>
  <c r="KB17" i="29"/>
  <c r="JW17" i="29"/>
  <c r="JX17" i="29" s="1"/>
  <c r="JR17" i="29"/>
  <c r="JS17" i="29" s="1"/>
  <c r="JK17" i="29"/>
  <c r="JL17" i="29" s="1"/>
  <c r="JF17" i="29"/>
  <c r="JG17" i="29" s="1"/>
  <c r="JB17" i="29"/>
  <c r="JA17" i="29"/>
  <c r="IT17" i="29"/>
  <c r="IO17" i="29"/>
  <c r="IP17" i="29" s="1"/>
  <c r="IK17" i="29"/>
  <c r="IJ17" i="29"/>
  <c r="IC17" i="29"/>
  <c r="ID17" i="29" s="1"/>
  <c r="HX17" i="29"/>
  <c r="HY17" i="29" s="1"/>
  <c r="HS17" i="29"/>
  <c r="HL17" i="29"/>
  <c r="HG17" i="29"/>
  <c r="HH17" i="29" s="1"/>
  <c r="HB17" i="29"/>
  <c r="HC17" i="29" s="1"/>
  <c r="GU17" i="29"/>
  <c r="GV17" i="29" s="1"/>
  <c r="GP17" i="29"/>
  <c r="GQ17" i="29" s="1"/>
  <c r="GK17" i="29"/>
  <c r="GD17" i="29"/>
  <c r="FY17" i="29"/>
  <c r="FZ17" i="29" s="1"/>
  <c r="FT17" i="29"/>
  <c r="FU17" i="29" s="1"/>
  <c r="FM17" i="29"/>
  <c r="FN17" i="29" s="1"/>
  <c r="FH17" i="29"/>
  <c r="FI17" i="29" s="1"/>
  <c r="FC17" i="29"/>
  <c r="FD17" i="29" s="1"/>
  <c r="EV17" i="29"/>
  <c r="EQ17" i="29"/>
  <c r="ER17" i="29" s="1"/>
  <c r="EL17" i="29"/>
  <c r="EM17" i="29" s="1"/>
  <c r="EE17" i="29"/>
  <c r="EF17" i="29" s="1"/>
  <c r="DZ17" i="29"/>
  <c r="EA17" i="29" s="1"/>
  <c r="DV17" i="29"/>
  <c r="DU17" i="29"/>
  <c r="DN17" i="29"/>
  <c r="DI17" i="29"/>
  <c r="DJ17" i="29" s="1"/>
  <c r="DE17" i="29"/>
  <c r="DD17" i="29"/>
  <c r="CW17" i="29"/>
  <c r="CX17" i="29" s="1"/>
  <c r="CR17" i="29"/>
  <c r="CS17" i="29" s="1"/>
  <c r="CM17" i="29"/>
  <c r="CF17" i="29"/>
  <c r="CA17" i="29"/>
  <c r="CB17" i="29" s="1"/>
  <c r="BV17" i="29"/>
  <c r="BW17" i="29" s="1"/>
  <c r="BO17" i="29"/>
  <c r="BP17" i="29" s="1"/>
  <c r="BJ17" i="29"/>
  <c r="BK17" i="29" s="1"/>
  <c r="BE17" i="29"/>
  <c r="BF17" i="29" s="1"/>
  <c r="AX17" i="29"/>
  <c r="AS17" i="29"/>
  <c r="AT17" i="29" s="1"/>
  <c r="AN17" i="29"/>
  <c r="AO17" i="29" s="1"/>
  <c r="AG17" i="29"/>
  <c r="AH17" i="29" s="1"/>
  <c r="AB17" i="29"/>
  <c r="AC17" i="29" s="1"/>
  <c r="W17" i="29"/>
  <c r="X17" i="29" s="1"/>
  <c r="P17" i="29"/>
  <c r="Q17" i="29" s="1"/>
  <c r="K17" i="29"/>
  <c r="L17" i="29" s="1"/>
  <c r="F17" i="29"/>
  <c r="SO16" i="29"/>
  <c r="SP16" i="29" s="1"/>
  <c r="SJ16" i="29"/>
  <c r="SK16" i="29" s="1"/>
  <c r="SE16" i="29"/>
  <c r="RX16" i="29"/>
  <c r="RY16" i="29" s="1"/>
  <c r="RS16" i="29"/>
  <c r="RT16" i="29" s="1"/>
  <c r="RN16" i="29"/>
  <c r="RO16" i="29" s="1"/>
  <c r="RG16" i="29"/>
  <c r="RB16" i="29"/>
  <c r="RC16" i="29" s="1"/>
  <c r="QW16" i="29"/>
  <c r="QX16" i="29" s="1"/>
  <c r="QP16" i="29"/>
  <c r="QQ16" i="29" s="1"/>
  <c r="QK16" i="29"/>
  <c r="QL16" i="29" s="1"/>
  <c r="QF16" i="29"/>
  <c r="QR16" i="29" s="1"/>
  <c r="QS16" i="29" s="1"/>
  <c r="PY16" i="29"/>
  <c r="PZ16" i="29" s="1"/>
  <c r="PT16" i="29"/>
  <c r="PU16" i="29" s="1"/>
  <c r="PO16" i="29"/>
  <c r="PP16" i="29" s="1"/>
  <c r="PH16" i="29"/>
  <c r="PI16" i="29" s="1"/>
  <c r="PC16" i="29"/>
  <c r="PD16" i="29" s="1"/>
  <c r="OX16" i="29"/>
  <c r="OY16" i="29" s="1"/>
  <c r="OQ16" i="29"/>
  <c r="OL16" i="29"/>
  <c r="OM16" i="29" s="1"/>
  <c r="OG16" i="29"/>
  <c r="OH16" i="29" s="1"/>
  <c r="NZ16" i="29"/>
  <c r="OA16" i="29" s="1"/>
  <c r="NU16" i="29"/>
  <c r="NV16" i="29" s="1"/>
  <c r="NQ16" i="29"/>
  <c r="NP16" i="29"/>
  <c r="NI16" i="29"/>
  <c r="NJ16" i="29" s="1"/>
  <c r="ND16" i="29"/>
  <c r="NE16" i="29" s="1"/>
  <c r="MY16" i="29"/>
  <c r="MR16" i="29"/>
  <c r="MS16" i="29" s="1"/>
  <c r="MM16" i="29"/>
  <c r="MN16" i="29" s="1"/>
  <c r="MH16" i="29"/>
  <c r="MI16" i="29" s="1"/>
  <c r="MA16" i="29"/>
  <c r="LV16" i="29"/>
  <c r="LW16" i="29" s="1"/>
  <c r="LQ16" i="29"/>
  <c r="LR16" i="29" s="1"/>
  <c r="LJ16" i="29"/>
  <c r="LK16" i="29" s="1"/>
  <c r="LE16" i="29"/>
  <c r="LF16" i="29" s="1"/>
  <c r="LA16" i="29"/>
  <c r="KZ16" i="29"/>
  <c r="KS16" i="29"/>
  <c r="KT16" i="29" s="1"/>
  <c r="KN16" i="29"/>
  <c r="KO16" i="29" s="1"/>
  <c r="KI16" i="29"/>
  <c r="KJ16" i="29" s="1"/>
  <c r="KB16" i="29"/>
  <c r="KC16" i="29" s="1"/>
  <c r="JW16" i="29"/>
  <c r="JX16" i="29" s="1"/>
  <c r="JR16" i="29"/>
  <c r="JS16" i="29" s="1"/>
  <c r="JK16" i="29"/>
  <c r="JL16" i="29" s="1"/>
  <c r="JF16" i="29"/>
  <c r="JG16" i="29" s="1"/>
  <c r="JA16" i="29"/>
  <c r="JB16" i="29" s="1"/>
  <c r="IT16" i="29"/>
  <c r="IU16" i="29" s="1"/>
  <c r="IO16" i="29"/>
  <c r="IP16" i="29" s="1"/>
  <c r="IJ16" i="29"/>
  <c r="ID16" i="29"/>
  <c r="IC16" i="29"/>
  <c r="HX16" i="29"/>
  <c r="HY16" i="29" s="1"/>
  <c r="HT16" i="29"/>
  <c r="HS16" i="29"/>
  <c r="HL16" i="29"/>
  <c r="HM16" i="29" s="1"/>
  <c r="HG16" i="29"/>
  <c r="HH16" i="29" s="1"/>
  <c r="HB16" i="29"/>
  <c r="HC16" i="29" s="1"/>
  <c r="GU16" i="29"/>
  <c r="GV16" i="29" s="1"/>
  <c r="GP16" i="29"/>
  <c r="GQ16" i="29" s="1"/>
  <c r="GK16" i="29"/>
  <c r="GD16" i="29"/>
  <c r="GE16" i="29" s="1"/>
  <c r="FY16" i="29"/>
  <c r="FZ16" i="29" s="1"/>
  <c r="FT16" i="29"/>
  <c r="FU16" i="29" s="1"/>
  <c r="FN16" i="29"/>
  <c r="FM16" i="29"/>
  <c r="FI16" i="29"/>
  <c r="FH16" i="29"/>
  <c r="FD16" i="29"/>
  <c r="FC16" i="29"/>
  <c r="FO16" i="29" s="1"/>
  <c r="FP16" i="29" s="1"/>
  <c r="EV16" i="29"/>
  <c r="EW16" i="29" s="1"/>
  <c r="EQ16" i="29"/>
  <c r="ER16" i="29" s="1"/>
  <c r="EL16" i="29"/>
  <c r="EE16" i="29"/>
  <c r="EF16" i="29" s="1"/>
  <c r="DZ16" i="29"/>
  <c r="EA16" i="29" s="1"/>
  <c r="DU16" i="29"/>
  <c r="DV16" i="29" s="1"/>
  <c r="DN16" i="29"/>
  <c r="DO16" i="29" s="1"/>
  <c r="DI16" i="29"/>
  <c r="DJ16" i="29" s="1"/>
  <c r="DD16" i="29"/>
  <c r="CW16" i="29"/>
  <c r="CX16" i="29" s="1"/>
  <c r="CS16" i="29"/>
  <c r="CR16" i="29"/>
  <c r="CM16" i="29"/>
  <c r="CN16" i="29" s="1"/>
  <c r="CF16" i="29"/>
  <c r="CG16" i="29" s="1"/>
  <c r="CA16" i="29"/>
  <c r="CB16" i="29" s="1"/>
  <c r="BV16" i="29"/>
  <c r="BW16" i="29" s="1"/>
  <c r="BO16" i="29"/>
  <c r="BP16" i="29" s="1"/>
  <c r="BJ16" i="29"/>
  <c r="BK16" i="29" s="1"/>
  <c r="BE16" i="29"/>
  <c r="AX16" i="29"/>
  <c r="AY16" i="29" s="1"/>
  <c r="AS16" i="29"/>
  <c r="AT16" i="29" s="1"/>
  <c r="AN16" i="29"/>
  <c r="AO16" i="29" s="1"/>
  <c r="AH16" i="29"/>
  <c r="AG16" i="29"/>
  <c r="AC16" i="29"/>
  <c r="AB16" i="29"/>
  <c r="X16" i="29"/>
  <c r="W16" i="29"/>
  <c r="P16" i="29"/>
  <c r="Q16" i="29" s="1"/>
  <c r="K16" i="29"/>
  <c r="L16" i="29" s="1"/>
  <c r="F16" i="29"/>
  <c r="SO15" i="29"/>
  <c r="SP15" i="29" s="1"/>
  <c r="SJ15" i="29"/>
  <c r="SK15" i="29" s="1"/>
  <c r="SE15" i="29"/>
  <c r="SF15" i="29" s="1"/>
  <c r="RX15" i="29"/>
  <c r="RY15" i="29" s="1"/>
  <c r="RS15" i="29"/>
  <c r="RT15" i="29" s="1"/>
  <c r="RN15" i="29"/>
  <c r="RH15" i="29"/>
  <c r="RG15" i="29"/>
  <c r="RB15" i="29"/>
  <c r="RC15" i="29" s="1"/>
  <c r="QX15" i="29"/>
  <c r="QW15" i="29"/>
  <c r="QP15" i="29"/>
  <c r="QQ15" i="29" s="1"/>
  <c r="QK15" i="29"/>
  <c r="QL15" i="29" s="1"/>
  <c r="QF15" i="29"/>
  <c r="QG15" i="29" s="1"/>
  <c r="PY15" i="29"/>
  <c r="PZ15" i="29" s="1"/>
  <c r="PT15" i="29"/>
  <c r="PU15" i="29" s="1"/>
  <c r="PO15" i="29"/>
  <c r="PH15" i="29"/>
  <c r="PI15" i="29" s="1"/>
  <c r="PC15" i="29"/>
  <c r="PD15" i="29" s="1"/>
  <c r="OX15" i="29"/>
  <c r="OY15" i="29" s="1"/>
  <c r="OQ15" i="29"/>
  <c r="OR15" i="29" s="1"/>
  <c r="OM15" i="29"/>
  <c r="OL15" i="29"/>
  <c r="OG15" i="29"/>
  <c r="OS15" i="29" s="1"/>
  <c r="OT15" i="29" s="1"/>
  <c r="NZ15" i="29"/>
  <c r="OA15" i="29" s="1"/>
  <c r="NU15" i="29"/>
  <c r="NV15" i="29" s="1"/>
  <c r="NP15" i="29"/>
  <c r="NI15" i="29"/>
  <c r="NJ15" i="29" s="1"/>
  <c r="NE15" i="29"/>
  <c r="ND15" i="29"/>
  <c r="MY15" i="29"/>
  <c r="MR15" i="29"/>
  <c r="MS15" i="29" s="1"/>
  <c r="MN15" i="29"/>
  <c r="MM15" i="29"/>
  <c r="MH15" i="29"/>
  <c r="MA15" i="29"/>
  <c r="MB15" i="29" s="1"/>
  <c r="LV15" i="29"/>
  <c r="LW15" i="29" s="1"/>
  <c r="LQ15" i="29"/>
  <c r="LJ15" i="29"/>
  <c r="LK15" i="29" s="1"/>
  <c r="LE15" i="29"/>
  <c r="LF15" i="29" s="1"/>
  <c r="KZ15" i="29"/>
  <c r="KS15" i="29"/>
  <c r="KT15" i="29" s="1"/>
  <c r="KN15" i="29"/>
  <c r="KO15" i="29" s="1"/>
  <c r="KI15" i="29"/>
  <c r="KJ15" i="29" s="1"/>
  <c r="KB15" i="29"/>
  <c r="KC15" i="29" s="1"/>
  <c r="JW15" i="29"/>
  <c r="JX15" i="29" s="1"/>
  <c r="JR15" i="29"/>
  <c r="JK15" i="29"/>
  <c r="JL15" i="29" s="1"/>
  <c r="JF15" i="29"/>
  <c r="JG15" i="29" s="1"/>
  <c r="JA15" i="29"/>
  <c r="IT15" i="29"/>
  <c r="IU15" i="29" s="1"/>
  <c r="IO15" i="29"/>
  <c r="IP15" i="29" s="1"/>
  <c r="IJ15" i="29"/>
  <c r="IK15" i="29" s="1"/>
  <c r="IC15" i="29"/>
  <c r="ID15" i="29" s="1"/>
  <c r="HY15" i="29"/>
  <c r="HX15" i="29"/>
  <c r="HS15" i="29"/>
  <c r="HL15" i="29"/>
  <c r="HM15" i="29" s="1"/>
  <c r="HH15" i="29"/>
  <c r="HG15" i="29"/>
  <c r="HB15" i="29"/>
  <c r="GU15" i="29"/>
  <c r="GV15" i="29" s="1"/>
  <c r="GP15" i="29"/>
  <c r="GQ15" i="29" s="1"/>
  <c r="GK15" i="29"/>
  <c r="GD15" i="29"/>
  <c r="GE15" i="29" s="1"/>
  <c r="FY15" i="29"/>
  <c r="FZ15" i="29" s="1"/>
  <c r="FT15" i="29"/>
  <c r="FU15" i="29" s="1"/>
  <c r="FM15" i="29"/>
  <c r="FN15" i="29" s="1"/>
  <c r="FH15" i="29"/>
  <c r="FI15" i="29" s="1"/>
  <c r="FC15" i="29"/>
  <c r="EV15" i="29"/>
  <c r="EW15" i="29" s="1"/>
  <c r="EQ15" i="29"/>
  <c r="ER15" i="29" s="1"/>
  <c r="EL15" i="29"/>
  <c r="EE15" i="29"/>
  <c r="EF15" i="29" s="1"/>
  <c r="EA15" i="29"/>
  <c r="DZ15" i="29"/>
  <c r="DU15" i="29"/>
  <c r="DO15" i="29"/>
  <c r="DN15" i="29"/>
  <c r="DJ15" i="29"/>
  <c r="DI15" i="29"/>
  <c r="DE15" i="29"/>
  <c r="DD15" i="29"/>
  <c r="CW15" i="29"/>
  <c r="CX15" i="29" s="1"/>
  <c r="CR15" i="29"/>
  <c r="CS15" i="29" s="1"/>
  <c r="CM15" i="29"/>
  <c r="CF15" i="29"/>
  <c r="CG15" i="29" s="1"/>
  <c r="CA15" i="29"/>
  <c r="CB15" i="29" s="1"/>
  <c r="BV15" i="29"/>
  <c r="BO15" i="29"/>
  <c r="BP15" i="29" s="1"/>
  <c r="BJ15" i="29"/>
  <c r="BK15" i="29" s="1"/>
  <c r="BE15" i="29"/>
  <c r="AX15" i="29"/>
  <c r="AY15" i="29" s="1"/>
  <c r="AS15" i="29"/>
  <c r="AT15" i="29" s="1"/>
  <c r="AN15" i="29"/>
  <c r="AO15" i="29" s="1"/>
  <c r="AG15" i="29"/>
  <c r="AH15" i="29" s="1"/>
  <c r="AB15" i="29"/>
  <c r="AC15" i="29" s="1"/>
  <c r="W15" i="29"/>
  <c r="Q15" i="29"/>
  <c r="P15" i="29"/>
  <c r="K15" i="29"/>
  <c r="L15" i="29" s="1"/>
  <c r="F15" i="29"/>
  <c r="SQ14" i="29"/>
  <c r="SR14" i="29" s="1"/>
  <c r="SO14" i="29"/>
  <c r="SP14" i="29" s="1"/>
  <c r="SJ14" i="29"/>
  <c r="SK14" i="29" s="1"/>
  <c r="SE14" i="29"/>
  <c r="SF14" i="29" s="1"/>
  <c r="RZ14" i="29"/>
  <c r="SA14" i="29" s="1"/>
  <c r="RY14" i="29"/>
  <c r="RX14" i="29"/>
  <c r="RS14" i="29"/>
  <c r="RT14" i="29" s="1"/>
  <c r="RN14" i="29"/>
  <c r="RO14" i="29" s="1"/>
  <c r="RI14" i="29"/>
  <c r="RJ14" i="29" s="1"/>
  <c r="RG14" i="29"/>
  <c r="RH14" i="29" s="1"/>
  <c r="RB14" i="29"/>
  <c r="RC14" i="29" s="1"/>
  <c r="QW14" i="29"/>
  <c r="QX14" i="29" s="1"/>
  <c r="QR14" i="29"/>
  <c r="QS14" i="29" s="1"/>
  <c r="QP14" i="29"/>
  <c r="QQ14" i="29" s="1"/>
  <c r="QK14" i="29"/>
  <c r="QL14" i="29" s="1"/>
  <c r="QF14" i="29"/>
  <c r="QG14" i="29" s="1"/>
  <c r="QA14" i="29"/>
  <c r="QB14" i="29" s="1"/>
  <c r="PY14" i="29"/>
  <c r="PZ14" i="29" s="1"/>
  <c r="PT14" i="29"/>
  <c r="PU14" i="29" s="1"/>
  <c r="PO14" i="29"/>
  <c r="PP14" i="29" s="1"/>
  <c r="PJ14" i="29"/>
  <c r="PK14" i="29" s="1"/>
  <c r="PH14" i="29"/>
  <c r="PI14" i="29" s="1"/>
  <c r="PC14" i="29"/>
  <c r="PD14" i="29" s="1"/>
  <c r="OX14" i="29"/>
  <c r="OY14" i="29" s="1"/>
  <c r="OS14" i="29"/>
  <c r="OT14" i="29" s="1"/>
  <c r="OQ14" i="29"/>
  <c r="OR14" i="29" s="1"/>
  <c r="OL14" i="29"/>
  <c r="OM14" i="29" s="1"/>
  <c r="OG14" i="29"/>
  <c r="OH14" i="29" s="1"/>
  <c r="OB14" i="29"/>
  <c r="OC14" i="29" s="1"/>
  <c r="OA14" i="29"/>
  <c r="NZ14" i="29"/>
  <c r="NU14" i="29"/>
  <c r="NV14" i="29" s="1"/>
  <c r="NP14" i="29"/>
  <c r="NQ14" i="29" s="1"/>
  <c r="NK14" i="29"/>
  <c r="NL14" i="29" s="1"/>
  <c r="NI14" i="29"/>
  <c r="NJ14" i="29" s="1"/>
  <c r="ND14" i="29"/>
  <c r="NE14" i="29" s="1"/>
  <c r="MY14" i="29"/>
  <c r="MZ14" i="29" s="1"/>
  <c r="MT14" i="29"/>
  <c r="MU14" i="29" s="1"/>
  <c r="MS14" i="29"/>
  <c r="MR14" i="29"/>
  <c r="MM14" i="29"/>
  <c r="MN14" i="29" s="1"/>
  <c r="MH14" i="29"/>
  <c r="MI14" i="29" s="1"/>
  <c r="MC14" i="29"/>
  <c r="MD14" i="29" s="1"/>
  <c r="MA14" i="29"/>
  <c r="MB14" i="29" s="1"/>
  <c r="LV14" i="29"/>
  <c r="LW14" i="29" s="1"/>
  <c r="LQ14" i="29"/>
  <c r="LR14" i="29" s="1"/>
  <c r="LL14" i="29"/>
  <c r="LM14" i="29" s="1"/>
  <c r="LJ14" i="29"/>
  <c r="LK14" i="29" s="1"/>
  <c r="LE14" i="29"/>
  <c r="LF14" i="29" s="1"/>
  <c r="KZ14" i="29"/>
  <c r="LA14" i="29" s="1"/>
  <c r="KU14" i="29"/>
  <c r="KV14" i="29" s="1"/>
  <c r="KS14" i="29"/>
  <c r="KT14" i="29" s="1"/>
  <c r="KN14" i="29"/>
  <c r="KO14" i="29" s="1"/>
  <c r="KI14" i="29"/>
  <c r="KJ14" i="29" s="1"/>
  <c r="KD14" i="29"/>
  <c r="KE14" i="29" s="1"/>
  <c r="KC14" i="29"/>
  <c r="KB14" i="29"/>
  <c r="JW14" i="29"/>
  <c r="JX14" i="29" s="1"/>
  <c r="JR14" i="29"/>
  <c r="JS14" i="29" s="1"/>
  <c r="JM14" i="29"/>
  <c r="JN14" i="29" s="1"/>
  <c r="JK14" i="29"/>
  <c r="JL14" i="29" s="1"/>
  <c r="JF14" i="29"/>
  <c r="JG14" i="29" s="1"/>
  <c r="JA14" i="29"/>
  <c r="JB14" i="29" s="1"/>
  <c r="IV14" i="29"/>
  <c r="IW14" i="29" s="1"/>
  <c r="IU14" i="29"/>
  <c r="IT14" i="29"/>
  <c r="IO14" i="29"/>
  <c r="IP14" i="29" s="1"/>
  <c r="IJ14" i="29"/>
  <c r="IK14" i="29" s="1"/>
  <c r="IE14" i="29"/>
  <c r="IF14" i="29" s="1"/>
  <c r="IC14" i="29"/>
  <c r="ID14" i="29" s="1"/>
  <c r="HX14" i="29"/>
  <c r="HY14" i="29" s="1"/>
  <c r="HS14" i="29"/>
  <c r="HT14" i="29" s="1"/>
  <c r="HN14" i="29"/>
  <c r="HO14" i="29" s="1"/>
  <c r="HM14" i="29"/>
  <c r="HL14" i="29"/>
  <c r="HG14" i="29"/>
  <c r="HH14" i="29" s="1"/>
  <c r="HB14" i="29"/>
  <c r="HC14" i="29" s="1"/>
  <c r="GW14" i="29"/>
  <c r="GX14" i="29" s="1"/>
  <c r="GU14" i="29"/>
  <c r="GV14" i="29" s="1"/>
  <c r="GP14" i="29"/>
  <c r="GQ14" i="29" s="1"/>
  <c r="GK14" i="29"/>
  <c r="GL14" i="29" s="1"/>
  <c r="GF14" i="29"/>
  <c r="GG14" i="29" s="1"/>
  <c r="GD14" i="29"/>
  <c r="GE14" i="29" s="1"/>
  <c r="FY14" i="29"/>
  <c r="FZ14" i="29" s="1"/>
  <c r="FT14" i="29"/>
  <c r="FU14" i="29" s="1"/>
  <c r="FO14" i="29"/>
  <c r="FP14" i="29" s="1"/>
  <c r="FM14" i="29"/>
  <c r="FN14" i="29" s="1"/>
  <c r="FH14" i="29"/>
  <c r="FI14" i="29" s="1"/>
  <c r="FC14" i="29"/>
  <c r="FD14" i="29" s="1"/>
  <c r="EX14" i="29"/>
  <c r="EY14" i="29" s="1"/>
  <c r="EV14" i="29"/>
  <c r="EW14" i="29" s="1"/>
  <c r="EQ14" i="29"/>
  <c r="ER14" i="29" s="1"/>
  <c r="EL14" i="29"/>
  <c r="EM14" i="29" s="1"/>
  <c r="EG14" i="29"/>
  <c r="EH14" i="29" s="1"/>
  <c r="EE14" i="29"/>
  <c r="EF14" i="29" s="1"/>
  <c r="DZ14" i="29"/>
  <c r="EA14" i="29" s="1"/>
  <c r="DU14" i="29"/>
  <c r="DV14" i="29" s="1"/>
  <c r="DP14" i="29"/>
  <c r="DQ14" i="29" s="1"/>
  <c r="DO14" i="29"/>
  <c r="DN14" i="29"/>
  <c r="DI14" i="29"/>
  <c r="DJ14" i="29" s="1"/>
  <c r="DD14" i="29"/>
  <c r="DE14" i="29" s="1"/>
  <c r="CY14" i="29"/>
  <c r="CZ14" i="29" s="1"/>
  <c r="CW14" i="29"/>
  <c r="CX14" i="29" s="1"/>
  <c r="CR14" i="29"/>
  <c r="CS14" i="29" s="1"/>
  <c r="CM14" i="29"/>
  <c r="CN14" i="29" s="1"/>
  <c r="CH14" i="29"/>
  <c r="CI14" i="29" s="1"/>
  <c r="CG14" i="29"/>
  <c r="CF14" i="29"/>
  <c r="CA14" i="29"/>
  <c r="CB14" i="29" s="1"/>
  <c r="BV14" i="29"/>
  <c r="BW14" i="29" s="1"/>
  <c r="BQ14" i="29"/>
  <c r="BR14" i="29" s="1"/>
  <c r="BO14" i="29"/>
  <c r="BP14" i="29" s="1"/>
  <c r="BJ14" i="29"/>
  <c r="BK14" i="29" s="1"/>
  <c r="BE14" i="29"/>
  <c r="BF14" i="29" s="1"/>
  <c r="AZ14" i="29"/>
  <c r="BA14" i="29" s="1"/>
  <c r="AX14" i="29"/>
  <c r="AY14" i="29" s="1"/>
  <c r="AS14" i="29"/>
  <c r="AT14" i="29" s="1"/>
  <c r="AN14" i="29"/>
  <c r="AO14" i="29" s="1"/>
  <c r="AI14" i="29"/>
  <c r="AJ14" i="29" s="1"/>
  <c r="AG14" i="29"/>
  <c r="AH14" i="29" s="1"/>
  <c r="AB14" i="29"/>
  <c r="AC14" i="29" s="1"/>
  <c r="W14" i="29"/>
  <c r="X14" i="29" s="1"/>
  <c r="R14" i="29"/>
  <c r="S14" i="29" s="1"/>
  <c r="Q14" i="29"/>
  <c r="P14" i="29"/>
  <c r="K14" i="29"/>
  <c r="L14" i="29" s="1"/>
  <c r="F14" i="29"/>
  <c r="G14" i="29" s="1"/>
  <c r="SO13" i="29"/>
  <c r="SP13" i="29" s="1"/>
  <c r="SJ13" i="29"/>
  <c r="SF13" i="29"/>
  <c r="SE13" i="29"/>
  <c r="RY13" i="29"/>
  <c r="RX13" i="29"/>
  <c r="RS13" i="29"/>
  <c r="RT13" i="29" s="1"/>
  <c r="RN13" i="29"/>
  <c r="RG13" i="29"/>
  <c r="RH13" i="29" s="1"/>
  <c r="RB13" i="29"/>
  <c r="QX13" i="29"/>
  <c r="QW13" i="29"/>
  <c r="QQ13" i="29"/>
  <c r="QP13" i="29"/>
  <c r="QK13" i="29"/>
  <c r="QL13" i="29" s="1"/>
  <c r="QF13" i="29"/>
  <c r="PY13" i="29"/>
  <c r="PZ13" i="29" s="1"/>
  <c r="PT13" i="29"/>
  <c r="PP13" i="29"/>
  <c r="PO13" i="29"/>
  <c r="PI13" i="29"/>
  <c r="PH13" i="29"/>
  <c r="PC13" i="29"/>
  <c r="PD13" i="29" s="1"/>
  <c r="OX13" i="29"/>
  <c r="OQ13" i="29"/>
  <c r="OR13" i="29" s="1"/>
  <c r="OL13" i="29"/>
  <c r="OG13" i="29"/>
  <c r="OH13" i="29" s="1"/>
  <c r="OA13" i="29"/>
  <c r="NZ13" i="29"/>
  <c r="NU13" i="29"/>
  <c r="NV13" i="29" s="1"/>
  <c r="NP13" i="29"/>
  <c r="NI13" i="29"/>
  <c r="NJ13" i="29" s="1"/>
  <c r="ND13" i="29"/>
  <c r="MY13" i="29"/>
  <c r="MZ13" i="29" s="1"/>
  <c r="MS13" i="29"/>
  <c r="MR13" i="29"/>
  <c r="MM13" i="29"/>
  <c r="MN13" i="29" s="1"/>
  <c r="MH13" i="29"/>
  <c r="MA13" i="29"/>
  <c r="MB13" i="29" s="1"/>
  <c r="LV13" i="29"/>
  <c r="LQ13" i="29"/>
  <c r="LR13" i="29" s="1"/>
  <c r="LJ13" i="29"/>
  <c r="LK13" i="29" s="1"/>
  <c r="LE13" i="29"/>
  <c r="LF13" i="29" s="1"/>
  <c r="KZ13" i="29"/>
  <c r="KS13" i="29"/>
  <c r="KT13" i="29" s="1"/>
  <c r="KN13" i="29"/>
  <c r="KI13" i="29"/>
  <c r="KJ13" i="29" s="1"/>
  <c r="KC13" i="29"/>
  <c r="KB13" i="29"/>
  <c r="JW13" i="29"/>
  <c r="JX13" i="29" s="1"/>
  <c r="JR13" i="29"/>
  <c r="JK13" i="29"/>
  <c r="JL13" i="29" s="1"/>
  <c r="JF13" i="29"/>
  <c r="JA13" i="29"/>
  <c r="JB13" i="29" s="1"/>
  <c r="IU13" i="29"/>
  <c r="IT13" i="29"/>
  <c r="IO13" i="29"/>
  <c r="IP13" i="29" s="1"/>
  <c r="IJ13" i="29"/>
  <c r="IC13" i="29"/>
  <c r="ID13" i="29" s="1"/>
  <c r="HX13" i="29"/>
  <c r="HS13" i="29"/>
  <c r="HT13" i="29" s="1"/>
  <c r="HM13" i="29"/>
  <c r="HL13" i="29"/>
  <c r="HG13" i="29"/>
  <c r="HH13" i="29" s="1"/>
  <c r="HB13" i="29"/>
  <c r="GU13" i="29"/>
  <c r="GV13" i="29" s="1"/>
  <c r="GP13" i="29"/>
  <c r="GK13" i="29"/>
  <c r="GL13" i="29" s="1"/>
  <c r="GD13" i="29"/>
  <c r="GE13" i="29" s="1"/>
  <c r="FY13" i="29"/>
  <c r="FZ13" i="29" s="1"/>
  <c r="FT13" i="29"/>
  <c r="FM13" i="29"/>
  <c r="FN13" i="29" s="1"/>
  <c r="FH13" i="29"/>
  <c r="FC13" i="29"/>
  <c r="FD13" i="29" s="1"/>
  <c r="EW13" i="29"/>
  <c r="EV13" i="29"/>
  <c r="EQ13" i="29"/>
  <c r="ER13" i="29" s="1"/>
  <c r="EL13" i="29"/>
  <c r="EE13" i="29"/>
  <c r="EF13" i="29" s="1"/>
  <c r="DZ13" i="29"/>
  <c r="DU13" i="29"/>
  <c r="DV13" i="29" s="1"/>
  <c r="DO13" i="29"/>
  <c r="DN13" i="29"/>
  <c r="DI13" i="29"/>
  <c r="DJ13" i="29" s="1"/>
  <c r="DD13" i="29"/>
  <c r="CW13" i="29"/>
  <c r="CX13" i="29" s="1"/>
  <c r="CR13" i="29"/>
  <c r="CM13" i="29"/>
  <c r="CN13" i="29" s="1"/>
  <c r="CG13" i="29"/>
  <c r="CF13" i="29"/>
  <c r="CA13" i="29"/>
  <c r="CB13" i="29" s="1"/>
  <c r="BV13" i="29"/>
  <c r="BO13" i="29"/>
  <c r="BP13" i="29" s="1"/>
  <c r="BJ13" i="29"/>
  <c r="BE13" i="29"/>
  <c r="BF13" i="29" s="1"/>
  <c r="AX13" i="29"/>
  <c r="AY13" i="29" s="1"/>
  <c r="AS13" i="29"/>
  <c r="AT13" i="29" s="1"/>
  <c r="AN13" i="29"/>
  <c r="AG13" i="29"/>
  <c r="AH13" i="29" s="1"/>
  <c r="AB13" i="29"/>
  <c r="W13" i="29"/>
  <c r="X13" i="29" s="1"/>
  <c r="Q13" i="29"/>
  <c r="P13" i="29"/>
  <c r="K13" i="29"/>
  <c r="L13" i="29" s="1"/>
  <c r="F13" i="29"/>
  <c r="SQ12" i="29"/>
  <c r="SR12" i="29" s="1"/>
  <c r="SO12" i="29"/>
  <c r="SP12" i="29" s="1"/>
  <c r="SJ12" i="29"/>
  <c r="SK12" i="29" s="1"/>
  <c r="SE12" i="29"/>
  <c r="SF12" i="29" s="1"/>
  <c r="RZ12" i="29"/>
  <c r="SA12" i="29" s="1"/>
  <c r="RY12" i="29"/>
  <c r="RX12" i="29"/>
  <c r="RS12" i="29"/>
  <c r="RT12" i="29" s="1"/>
  <c r="RN12" i="29"/>
  <c r="RO12" i="29" s="1"/>
  <c r="RI12" i="29"/>
  <c r="RJ12" i="29" s="1"/>
  <c r="RG12" i="29"/>
  <c r="RH12" i="29" s="1"/>
  <c r="RB12" i="29"/>
  <c r="RC12" i="29" s="1"/>
  <c r="QW12" i="29"/>
  <c r="QX12" i="29" s="1"/>
  <c r="QR12" i="29"/>
  <c r="QS12" i="29" s="1"/>
  <c r="QP12" i="29"/>
  <c r="QQ12" i="29" s="1"/>
  <c r="QK12" i="29"/>
  <c r="QL12" i="29" s="1"/>
  <c r="QF12" i="29"/>
  <c r="QG12" i="29" s="1"/>
  <c r="QA12" i="29"/>
  <c r="QB12" i="29" s="1"/>
  <c r="PY12" i="29"/>
  <c r="PZ12" i="29" s="1"/>
  <c r="PT12" i="29"/>
  <c r="PU12" i="29" s="1"/>
  <c r="PO12" i="29"/>
  <c r="PP12" i="29" s="1"/>
  <c r="PJ12" i="29"/>
  <c r="PK12" i="29" s="1"/>
  <c r="PH12" i="29"/>
  <c r="PI12" i="29" s="1"/>
  <c r="PC12" i="29"/>
  <c r="PD12" i="29" s="1"/>
  <c r="OX12" i="29"/>
  <c r="OY12" i="29" s="1"/>
  <c r="OS12" i="29"/>
  <c r="OT12" i="29" s="1"/>
  <c r="OQ12" i="29"/>
  <c r="OR12" i="29" s="1"/>
  <c r="OL12" i="29"/>
  <c r="OM12" i="29" s="1"/>
  <c r="OG12" i="29"/>
  <c r="OH12" i="29" s="1"/>
  <c r="OB12" i="29"/>
  <c r="OC12" i="29" s="1"/>
  <c r="OA12" i="29"/>
  <c r="NZ12" i="29"/>
  <c r="NU12" i="29"/>
  <c r="NV12" i="29" s="1"/>
  <c r="NP12" i="29"/>
  <c r="NQ12" i="29" s="1"/>
  <c r="NK12" i="29"/>
  <c r="NL12" i="29" s="1"/>
  <c r="NI12" i="29"/>
  <c r="NJ12" i="29" s="1"/>
  <c r="ND12" i="29"/>
  <c r="NE12" i="29" s="1"/>
  <c r="MY12" i="29"/>
  <c r="MZ12" i="29" s="1"/>
  <c r="MT12" i="29"/>
  <c r="MU12" i="29" s="1"/>
  <c r="MS12" i="29"/>
  <c r="MR12" i="29"/>
  <c r="MM12" i="29"/>
  <c r="MN12" i="29" s="1"/>
  <c r="MH12" i="29"/>
  <c r="MI12" i="29" s="1"/>
  <c r="MC12" i="29"/>
  <c r="MD12" i="29" s="1"/>
  <c r="MA12" i="29"/>
  <c r="MB12" i="29" s="1"/>
  <c r="LV12" i="29"/>
  <c r="LW12" i="29" s="1"/>
  <c r="LQ12" i="29"/>
  <c r="LR12" i="29" s="1"/>
  <c r="LL12" i="29"/>
  <c r="LM12" i="29" s="1"/>
  <c r="LJ12" i="29"/>
  <c r="LK12" i="29" s="1"/>
  <c r="LE12" i="29"/>
  <c r="LF12" i="29" s="1"/>
  <c r="KZ12" i="29"/>
  <c r="LA12" i="29" s="1"/>
  <c r="KU12" i="29"/>
  <c r="KV12" i="29" s="1"/>
  <c r="KS12" i="29"/>
  <c r="KT12" i="29" s="1"/>
  <c r="KN12" i="29"/>
  <c r="KO12" i="29" s="1"/>
  <c r="KI12" i="29"/>
  <c r="KJ12" i="29" s="1"/>
  <c r="KD12" i="29"/>
  <c r="KE12" i="29" s="1"/>
  <c r="KB12" i="29"/>
  <c r="KC12" i="29" s="1"/>
  <c r="JW12" i="29"/>
  <c r="JX12" i="29" s="1"/>
  <c r="JR12" i="29"/>
  <c r="JS12" i="29" s="1"/>
  <c r="JM12" i="29"/>
  <c r="JN12" i="29" s="1"/>
  <c r="JK12" i="29"/>
  <c r="JL12" i="29" s="1"/>
  <c r="JF12" i="29"/>
  <c r="JG12" i="29" s="1"/>
  <c r="JA12" i="29"/>
  <c r="JB12" i="29" s="1"/>
  <c r="IV12" i="29"/>
  <c r="IW12" i="29" s="1"/>
  <c r="IU12" i="29"/>
  <c r="IT12" i="29"/>
  <c r="IO12" i="29"/>
  <c r="IP12" i="29" s="1"/>
  <c r="IJ12" i="29"/>
  <c r="IK12" i="29" s="1"/>
  <c r="IE12" i="29"/>
  <c r="IF12" i="29" s="1"/>
  <c r="IC12" i="29"/>
  <c r="ID12" i="29" s="1"/>
  <c r="HX12" i="29"/>
  <c r="HY12" i="29" s="1"/>
  <c r="HS12" i="29"/>
  <c r="HT12" i="29" s="1"/>
  <c r="HN12" i="29"/>
  <c r="HO12" i="29" s="1"/>
  <c r="HM12" i="29"/>
  <c r="HL12" i="29"/>
  <c r="HG12" i="29"/>
  <c r="HH12" i="29" s="1"/>
  <c r="HB12" i="29"/>
  <c r="HC12" i="29" s="1"/>
  <c r="GW12" i="29"/>
  <c r="GX12" i="29" s="1"/>
  <c r="GU12" i="29"/>
  <c r="GV12" i="29" s="1"/>
  <c r="GP12" i="29"/>
  <c r="GQ12" i="29" s="1"/>
  <c r="GK12" i="29"/>
  <c r="GL12" i="29" s="1"/>
  <c r="GF12" i="29"/>
  <c r="GG12" i="29" s="1"/>
  <c r="GD12" i="29"/>
  <c r="GE12" i="29" s="1"/>
  <c r="FY12" i="29"/>
  <c r="FZ12" i="29" s="1"/>
  <c r="FT12" i="29"/>
  <c r="FU12" i="29" s="1"/>
  <c r="FO12" i="29"/>
  <c r="FP12" i="29" s="1"/>
  <c r="FM12" i="29"/>
  <c r="FN12" i="29" s="1"/>
  <c r="FH12" i="29"/>
  <c r="FI12" i="29" s="1"/>
  <c r="FC12" i="29"/>
  <c r="FD12" i="29" s="1"/>
  <c r="EX12" i="29"/>
  <c r="EY12" i="29" s="1"/>
  <c r="EV12" i="29"/>
  <c r="EW12" i="29" s="1"/>
  <c r="EQ12" i="29"/>
  <c r="ER12" i="29" s="1"/>
  <c r="EL12" i="29"/>
  <c r="EM12" i="29" s="1"/>
  <c r="EG12" i="29"/>
  <c r="EH12" i="29" s="1"/>
  <c r="EE12" i="29"/>
  <c r="EF12" i="29" s="1"/>
  <c r="DZ12" i="29"/>
  <c r="EA12" i="29" s="1"/>
  <c r="DU12" i="29"/>
  <c r="DV12" i="29" s="1"/>
  <c r="DP12" i="29"/>
  <c r="DQ12" i="29" s="1"/>
  <c r="DO12" i="29"/>
  <c r="DN12" i="29"/>
  <c r="DI12" i="29"/>
  <c r="DJ12" i="29" s="1"/>
  <c r="DD12" i="29"/>
  <c r="DE12" i="29" s="1"/>
  <c r="CY12" i="29"/>
  <c r="CZ12" i="29" s="1"/>
  <c r="CW12" i="29"/>
  <c r="CX12" i="29" s="1"/>
  <c r="CR12" i="29"/>
  <c r="CS12" i="29" s="1"/>
  <c r="CM12" i="29"/>
  <c r="CN12" i="29" s="1"/>
  <c r="CH12" i="29"/>
  <c r="CI12" i="29" s="1"/>
  <c r="CF12" i="29"/>
  <c r="CG12" i="29" s="1"/>
  <c r="CA12" i="29"/>
  <c r="CB12" i="29" s="1"/>
  <c r="BV12" i="29"/>
  <c r="BW12" i="29" s="1"/>
  <c r="BQ12" i="29"/>
  <c r="BR12" i="29" s="1"/>
  <c r="BO12" i="29"/>
  <c r="BP12" i="29" s="1"/>
  <c r="BJ12" i="29"/>
  <c r="BK12" i="29" s="1"/>
  <c r="BE12" i="29"/>
  <c r="BF12" i="29" s="1"/>
  <c r="AZ12" i="29"/>
  <c r="BA12" i="29" s="1"/>
  <c r="AX12" i="29"/>
  <c r="AY12" i="29" s="1"/>
  <c r="AS12" i="29"/>
  <c r="AT12" i="29" s="1"/>
  <c r="AN12" i="29"/>
  <c r="AO12" i="29" s="1"/>
  <c r="AI12" i="29"/>
  <c r="AJ12" i="29" s="1"/>
  <c r="AG12" i="29"/>
  <c r="AH12" i="29" s="1"/>
  <c r="AB12" i="29"/>
  <c r="AC12" i="29" s="1"/>
  <c r="W12" i="29"/>
  <c r="X12" i="29" s="1"/>
  <c r="R12" i="29"/>
  <c r="S12" i="29" s="1"/>
  <c r="Q12" i="29"/>
  <c r="P12" i="29"/>
  <c r="K12" i="29"/>
  <c r="L12" i="29" s="1"/>
  <c r="F12" i="29"/>
  <c r="G12" i="29" s="1"/>
  <c r="SO11" i="29"/>
  <c r="SP11" i="29" s="1"/>
  <c r="SJ11" i="29"/>
  <c r="SE11" i="29"/>
  <c r="SF11" i="29" s="1"/>
  <c r="RY11" i="29"/>
  <c r="RX11" i="29"/>
  <c r="RS11" i="29"/>
  <c r="RT11" i="29" s="1"/>
  <c r="RN11" i="29"/>
  <c r="RG11" i="29"/>
  <c r="RH11" i="29" s="1"/>
  <c r="RB11" i="29"/>
  <c r="QW11" i="29"/>
  <c r="QX11" i="29" s="1"/>
  <c r="QQ11" i="29"/>
  <c r="QP11" i="29"/>
  <c r="QK11" i="29"/>
  <c r="QL11" i="29" s="1"/>
  <c r="QF11" i="29"/>
  <c r="PY11" i="29"/>
  <c r="PZ11" i="29" s="1"/>
  <c r="PT11" i="29"/>
  <c r="PO11" i="29"/>
  <c r="PP11" i="29" s="1"/>
  <c r="PI11" i="29"/>
  <c r="PH11" i="29"/>
  <c r="PC11" i="29"/>
  <c r="PD11" i="29" s="1"/>
  <c r="OX11" i="29"/>
  <c r="OQ11" i="29"/>
  <c r="OR11" i="29" s="1"/>
  <c r="OL11" i="29"/>
  <c r="OG11" i="29"/>
  <c r="OH11" i="29" s="1"/>
  <c r="OA11" i="29"/>
  <c r="NZ11" i="29"/>
  <c r="NU11" i="29"/>
  <c r="NV11" i="29" s="1"/>
  <c r="NP11" i="29"/>
  <c r="NI11" i="29"/>
  <c r="NJ11" i="29" s="1"/>
  <c r="ND11" i="29"/>
  <c r="MY11" i="29"/>
  <c r="MZ11" i="29" s="1"/>
  <c r="MS11" i="29"/>
  <c r="MR11" i="29"/>
  <c r="MM11" i="29"/>
  <c r="MN11" i="29" s="1"/>
  <c r="MH11" i="29"/>
  <c r="MA11" i="29"/>
  <c r="MB11" i="29" s="1"/>
  <c r="LV11" i="29"/>
  <c r="LQ11" i="29"/>
  <c r="LR11" i="29" s="1"/>
  <c r="LJ11" i="29"/>
  <c r="LK11" i="29" s="1"/>
  <c r="LE11" i="29"/>
  <c r="LF11" i="29" s="1"/>
  <c r="KZ11" i="29"/>
  <c r="KS11" i="29"/>
  <c r="KT11" i="29" s="1"/>
  <c r="KN11" i="29"/>
  <c r="KI11" i="29"/>
  <c r="KJ11" i="29" s="1"/>
  <c r="KB11" i="29"/>
  <c r="KC11" i="29" s="1"/>
  <c r="JW11" i="29"/>
  <c r="JX11" i="29" s="1"/>
  <c r="JR11" i="29"/>
  <c r="JK11" i="29"/>
  <c r="JL11" i="29" s="1"/>
  <c r="JF11" i="29"/>
  <c r="JA11" i="29"/>
  <c r="JB11" i="29" s="1"/>
  <c r="IT11" i="29"/>
  <c r="IU11" i="29" s="1"/>
  <c r="IO11" i="29"/>
  <c r="IP11" i="29" s="1"/>
  <c r="IJ11" i="29"/>
  <c r="IC11" i="29"/>
  <c r="ID11" i="29" s="1"/>
  <c r="HX11" i="29"/>
  <c r="HS11" i="29"/>
  <c r="HT11" i="29" s="1"/>
  <c r="HM11" i="29"/>
  <c r="HL11" i="29"/>
  <c r="HG11" i="29"/>
  <c r="HH11" i="29" s="1"/>
  <c r="HB11" i="29"/>
  <c r="GU11" i="29"/>
  <c r="GV11" i="29" s="1"/>
  <c r="GP11" i="29"/>
  <c r="GK11" i="29"/>
  <c r="GL11" i="29" s="1"/>
  <c r="GD11" i="29"/>
  <c r="GE11" i="29" s="1"/>
  <c r="FY11" i="29"/>
  <c r="FZ11" i="29" s="1"/>
  <c r="FT11" i="29"/>
  <c r="FM11" i="29"/>
  <c r="FN11" i="29" s="1"/>
  <c r="FH11" i="29"/>
  <c r="FC11" i="29"/>
  <c r="FD11" i="29" s="1"/>
  <c r="EV11" i="29"/>
  <c r="EW11" i="29" s="1"/>
  <c r="EQ11" i="29"/>
  <c r="ER11" i="29" s="1"/>
  <c r="EL11" i="29"/>
  <c r="EE11" i="29"/>
  <c r="EF11" i="29" s="1"/>
  <c r="DZ11" i="29"/>
  <c r="DU11" i="29"/>
  <c r="DV11" i="29" s="1"/>
  <c r="DN11" i="29"/>
  <c r="DO11" i="29" s="1"/>
  <c r="DI11" i="29"/>
  <c r="DJ11" i="29" s="1"/>
  <c r="DD11" i="29"/>
  <c r="CW11" i="29"/>
  <c r="CX11" i="29" s="1"/>
  <c r="CR11" i="29"/>
  <c r="CM11" i="29"/>
  <c r="CN11" i="29" s="1"/>
  <c r="CG11" i="29"/>
  <c r="CF11" i="29"/>
  <c r="CA11" i="29"/>
  <c r="CB11" i="29" s="1"/>
  <c r="BV11" i="29"/>
  <c r="BO11" i="29"/>
  <c r="BP11" i="29" s="1"/>
  <c r="BJ11" i="29"/>
  <c r="BE11" i="29"/>
  <c r="BF11" i="29" s="1"/>
  <c r="AX11" i="29"/>
  <c r="AY11" i="29" s="1"/>
  <c r="AS11" i="29"/>
  <c r="AT11" i="29" s="1"/>
  <c r="AN11" i="29"/>
  <c r="AG11" i="29"/>
  <c r="AH11" i="29" s="1"/>
  <c r="AB11" i="29"/>
  <c r="W11" i="29"/>
  <c r="X11" i="29" s="1"/>
  <c r="P11" i="29"/>
  <c r="Q11" i="29" s="1"/>
  <c r="K11" i="29"/>
  <c r="L11" i="29" s="1"/>
  <c r="F11" i="29"/>
  <c r="SO8" i="29"/>
  <c r="SP8" i="29" s="1"/>
  <c r="SJ8" i="29"/>
  <c r="SE8" i="29"/>
  <c r="SF8" i="29" s="1"/>
  <c r="RX8" i="29"/>
  <c r="RY8" i="29" s="1"/>
  <c r="RS8" i="29"/>
  <c r="RT8" i="29" s="1"/>
  <c r="RN8" i="29"/>
  <c r="RG8" i="29"/>
  <c r="RH8" i="29" s="1"/>
  <c r="RB8" i="29"/>
  <c r="QW8" i="29"/>
  <c r="QX8" i="29" s="1"/>
  <c r="QP8" i="29"/>
  <c r="QQ8" i="29" s="1"/>
  <c r="QK8" i="29"/>
  <c r="QL8" i="29" s="1"/>
  <c r="QF8" i="29"/>
  <c r="PY8" i="29"/>
  <c r="PZ8" i="29" s="1"/>
  <c r="PT8" i="29"/>
  <c r="PO8" i="29"/>
  <c r="PP8" i="29" s="1"/>
  <c r="PH8" i="29"/>
  <c r="PI8" i="29" s="1"/>
  <c r="PC8" i="29"/>
  <c r="PD8" i="29" s="1"/>
  <c r="OX8" i="29"/>
  <c r="OQ8" i="29"/>
  <c r="OR8" i="29" s="1"/>
  <c r="OL8" i="29"/>
  <c r="OG8" i="29"/>
  <c r="OH8" i="29" s="1"/>
  <c r="NZ8" i="29"/>
  <c r="OA8" i="29" s="1"/>
  <c r="NU8" i="29"/>
  <c r="NV8" i="29" s="1"/>
  <c r="NP8" i="29"/>
  <c r="NI8" i="29"/>
  <c r="NJ8" i="29" s="1"/>
  <c r="ND8" i="29"/>
  <c r="MY8" i="29"/>
  <c r="MZ8" i="29" s="1"/>
  <c r="MR8" i="29"/>
  <c r="MS8" i="29" s="1"/>
  <c r="MM8" i="29"/>
  <c r="MN8" i="29" s="1"/>
  <c r="MH8" i="29"/>
  <c r="MT8" i="29" s="1"/>
  <c r="MU8" i="29" s="1"/>
  <c r="MA8" i="29"/>
  <c r="MB8" i="29" s="1"/>
  <c r="LV8" i="29"/>
  <c r="LQ8" i="29"/>
  <c r="LR8" i="29" s="1"/>
  <c r="LK8" i="29"/>
  <c r="LJ8" i="29"/>
  <c r="LE8" i="29"/>
  <c r="LF8" i="29" s="1"/>
  <c r="KZ8" i="29"/>
  <c r="KS8" i="29"/>
  <c r="KT8" i="29" s="1"/>
  <c r="KN8" i="29"/>
  <c r="KI8" i="29"/>
  <c r="KJ8" i="29" s="1"/>
  <c r="KC8" i="29"/>
  <c r="KB8" i="29"/>
  <c r="JW8" i="29"/>
  <c r="JX8" i="29" s="1"/>
  <c r="JR8" i="29"/>
  <c r="JK8" i="29"/>
  <c r="JL8" i="29" s="1"/>
  <c r="JF8" i="29"/>
  <c r="JA8" i="29"/>
  <c r="JB8" i="29" s="1"/>
  <c r="IT8" i="29"/>
  <c r="IU8" i="29" s="1"/>
  <c r="IO8" i="29"/>
  <c r="IP8" i="29" s="1"/>
  <c r="IJ8" i="29"/>
  <c r="IC8" i="29"/>
  <c r="ID8" i="29" s="1"/>
  <c r="HX8" i="29"/>
  <c r="HS8" i="29"/>
  <c r="HT8" i="29" s="1"/>
  <c r="HL8" i="29"/>
  <c r="HM8" i="29" s="1"/>
  <c r="HG8" i="29"/>
  <c r="HH8" i="29" s="1"/>
  <c r="HB8" i="29"/>
  <c r="GU8" i="29"/>
  <c r="GV8" i="29" s="1"/>
  <c r="GP8" i="29"/>
  <c r="GK8" i="29"/>
  <c r="GL8" i="29" s="1"/>
  <c r="GE8" i="29"/>
  <c r="GD8" i="29"/>
  <c r="FY8" i="29"/>
  <c r="FZ8" i="29" s="1"/>
  <c r="FT8" i="29"/>
  <c r="FM8" i="29"/>
  <c r="FN8" i="29" s="1"/>
  <c r="FH8" i="29"/>
  <c r="FC8" i="29"/>
  <c r="FD8" i="29" s="1"/>
  <c r="EV8" i="29"/>
  <c r="EW8" i="29" s="1"/>
  <c r="EQ8" i="29"/>
  <c r="ER8" i="29" s="1"/>
  <c r="EL8" i="29"/>
  <c r="EE8" i="29"/>
  <c r="EF8" i="29" s="1"/>
  <c r="DZ8" i="29"/>
  <c r="DU8" i="29"/>
  <c r="DV8" i="29" s="1"/>
  <c r="DN8" i="29"/>
  <c r="DO8" i="29" s="1"/>
  <c r="DI8" i="29"/>
  <c r="DJ8" i="29" s="1"/>
  <c r="DD8" i="29"/>
  <c r="CW8" i="29"/>
  <c r="CX8" i="29" s="1"/>
  <c r="CR8" i="29"/>
  <c r="CM8" i="29"/>
  <c r="CN8" i="29" s="1"/>
  <c r="CF8" i="29"/>
  <c r="CG8" i="29" s="1"/>
  <c r="CA8" i="29"/>
  <c r="CB8" i="29" s="1"/>
  <c r="BV8" i="29"/>
  <c r="BO8" i="29"/>
  <c r="BP8" i="29" s="1"/>
  <c r="BJ8" i="29"/>
  <c r="BE8" i="29"/>
  <c r="BF8" i="29" s="1"/>
  <c r="AX8" i="29"/>
  <c r="AY8" i="29" s="1"/>
  <c r="AS8" i="29"/>
  <c r="AT8" i="29" s="1"/>
  <c r="AN8" i="29"/>
  <c r="AG8" i="29"/>
  <c r="AH8" i="29" s="1"/>
  <c r="AB8" i="29"/>
  <c r="W8" i="29"/>
  <c r="X8" i="29" s="1"/>
  <c r="P8" i="29"/>
  <c r="Q8" i="29" s="1"/>
  <c r="K8" i="29"/>
  <c r="L8" i="29" s="1"/>
  <c r="F8" i="29"/>
  <c r="SQ7" i="29"/>
  <c r="SR7" i="29" s="1"/>
  <c r="SO7" i="29"/>
  <c r="SP7" i="29" s="1"/>
  <c r="SJ7" i="29"/>
  <c r="SK7" i="29" s="1"/>
  <c r="SF7" i="29"/>
  <c r="SE7" i="29"/>
  <c r="RZ7" i="29"/>
  <c r="SA7" i="29" s="1"/>
  <c r="RX7" i="29"/>
  <c r="RY7" i="29" s="1"/>
  <c r="RS7" i="29"/>
  <c r="RT7" i="29" s="1"/>
  <c r="RN7" i="29"/>
  <c r="RO7" i="29" s="1"/>
  <c r="RI7" i="29"/>
  <c r="RJ7" i="29" s="1"/>
  <c r="RG7" i="29"/>
  <c r="RH7" i="29" s="1"/>
  <c r="RB7" i="29"/>
  <c r="RC7" i="29" s="1"/>
  <c r="QW7" i="29"/>
  <c r="QX7" i="29" s="1"/>
  <c r="QR7" i="29"/>
  <c r="QS7" i="29" s="1"/>
  <c r="QP7" i="29"/>
  <c r="QQ7" i="29" s="1"/>
  <c r="QK7" i="29"/>
  <c r="QL7" i="29" s="1"/>
  <c r="QF7" i="29"/>
  <c r="QG7" i="29" s="1"/>
  <c r="QA7" i="29"/>
  <c r="QB7" i="29" s="1"/>
  <c r="PY7" i="29"/>
  <c r="PZ7" i="29" s="1"/>
  <c r="PT7" i="29"/>
  <c r="PU7" i="29" s="1"/>
  <c r="PO7" i="29"/>
  <c r="PP7" i="29" s="1"/>
  <c r="PJ7" i="29"/>
  <c r="PK7" i="29" s="1"/>
  <c r="PI7" i="29"/>
  <c r="PH7" i="29"/>
  <c r="PC7" i="29"/>
  <c r="PD7" i="29" s="1"/>
  <c r="OX7" i="29"/>
  <c r="OY7" i="29" s="1"/>
  <c r="OS7" i="29"/>
  <c r="OT7" i="29" s="1"/>
  <c r="OQ7" i="29"/>
  <c r="OR7" i="29" s="1"/>
  <c r="OL7" i="29"/>
  <c r="OM7" i="29" s="1"/>
  <c r="OG7" i="29"/>
  <c r="OH7" i="29" s="1"/>
  <c r="OC7" i="29"/>
  <c r="OB7" i="29"/>
  <c r="NZ7" i="29"/>
  <c r="OA7" i="29" s="1"/>
  <c r="NU7" i="29"/>
  <c r="NV7" i="29" s="1"/>
  <c r="NP7" i="29"/>
  <c r="NQ7" i="29" s="1"/>
  <c r="NK7" i="29"/>
  <c r="NL7" i="29" s="1"/>
  <c r="NI7" i="29"/>
  <c r="NJ7" i="29" s="1"/>
  <c r="ND7" i="29"/>
  <c r="NE7" i="29" s="1"/>
  <c r="MY7" i="29"/>
  <c r="MZ7" i="29" s="1"/>
  <c r="MT7" i="29"/>
  <c r="MU7" i="29" s="1"/>
  <c r="MR7" i="29"/>
  <c r="MS7" i="29" s="1"/>
  <c r="MM7" i="29"/>
  <c r="MN7" i="29" s="1"/>
  <c r="MH7" i="29"/>
  <c r="MI7" i="29" s="1"/>
  <c r="MC7" i="29"/>
  <c r="MD7" i="29" s="1"/>
  <c r="MA7" i="29"/>
  <c r="MB7" i="29" s="1"/>
  <c r="LV7" i="29"/>
  <c r="LW7" i="29" s="1"/>
  <c r="LQ7" i="29"/>
  <c r="LR7" i="29" s="1"/>
  <c r="LL7" i="29"/>
  <c r="LM7" i="29" s="1"/>
  <c r="LK7" i="29"/>
  <c r="LJ7" i="29"/>
  <c r="LE7" i="29"/>
  <c r="LF7" i="29" s="1"/>
  <c r="KZ7" i="29"/>
  <c r="LA7" i="29" s="1"/>
  <c r="KU7" i="29"/>
  <c r="KV7" i="29" s="1"/>
  <c r="KS7" i="29"/>
  <c r="KT7" i="29" s="1"/>
  <c r="KN7" i="29"/>
  <c r="KO7" i="29" s="1"/>
  <c r="KI7" i="29"/>
  <c r="KJ7" i="29" s="1"/>
  <c r="KD7" i="29"/>
  <c r="KE7" i="29" s="1"/>
  <c r="KB7" i="29"/>
  <c r="KC7" i="29" s="1"/>
  <c r="JW7" i="29"/>
  <c r="JX7" i="29" s="1"/>
  <c r="JR7" i="29"/>
  <c r="JS7" i="29" s="1"/>
  <c r="JM7" i="29"/>
  <c r="JN7" i="29" s="1"/>
  <c r="JK7" i="29"/>
  <c r="JL7" i="29" s="1"/>
  <c r="JF7" i="29"/>
  <c r="JG7" i="29" s="1"/>
  <c r="JA7" i="29"/>
  <c r="JB7" i="29" s="1"/>
  <c r="IV7" i="29"/>
  <c r="IW7" i="29" s="1"/>
  <c r="IT7" i="29"/>
  <c r="IU7" i="29" s="1"/>
  <c r="IO7" i="29"/>
  <c r="IP7" i="29" s="1"/>
  <c r="IJ7" i="29"/>
  <c r="IK7" i="29" s="1"/>
  <c r="IE7" i="29"/>
  <c r="IF7" i="29" s="1"/>
  <c r="IC7" i="29"/>
  <c r="ID7" i="29" s="1"/>
  <c r="HX7" i="29"/>
  <c r="HY7" i="29" s="1"/>
  <c r="HS7" i="29"/>
  <c r="HT7" i="29" s="1"/>
  <c r="HN7" i="29"/>
  <c r="HO7" i="29" s="1"/>
  <c r="HL7" i="29"/>
  <c r="HM7" i="29" s="1"/>
  <c r="HG7" i="29"/>
  <c r="HH7" i="29" s="1"/>
  <c r="HB7" i="29"/>
  <c r="HC7" i="29" s="1"/>
  <c r="GW7" i="29"/>
  <c r="GX7" i="29" s="1"/>
  <c r="GV7" i="29"/>
  <c r="GU7" i="29"/>
  <c r="GP7" i="29"/>
  <c r="GQ7" i="29" s="1"/>
  <c r="GK7" i="29"/>
  <c r="GL7" i="29" s="1"/>
  <c r="GF7" i="29"/>
  <c r="GG7" i="29" s="1"/>
  <c r="GD7" i="29"/>
  <c r="GE7" i="29" s="1"/>
  <c r="FY7" i="29"/>
  <c r="FZ7" i="29" s="1"/>
  <c r="FT7" i="29"/>
  <c r="FU7" i="29" s="1"/>
  <c r="FO7" i="29"/>
  <c r="FP7" i="29" s="1"/>
  <c r="FM7" i="29"/>
  <c r="FN7" i="29" s="1"/>
  <c r="FH7" i="29"/>
  <c r="FI7" i="29" s="1"/>
  <c r="FC7" i="29"/>
  <c r="FD7" i="29" s="1"/>
  <c r="EX7" i="29"/>
  <c r="EY7" i="29" s="1"/>
  <c r="EW7" i="29"/>
  <c r="EV7" i="29"/>
  <c r="EQ7" i="29"/>
  <c r="ER7" i="29" s="1"/>
  <c r="EL7" i="29"/>
  <c r="EM7" i="29" s="1"/>
  <c r="EG7" i="29"/>
  <c r="EH7" i="29" s="1"/>
  <c r="EE7" i="29"/>
  <c r="EF7" i="29" s="1"/>
  <c r="DZ7" i="29"/>
  <c r="EA7" i="29" s="1"/>
  <c r="DU7" i="29"/>
  <c r="DV7" i="29" s="1"/>
  <c r="DP7" i="29"/>
  <c r="DQ7" i="29" s="1"/>
  <c r="DN7" i="29"/>
  <c r="DO7" i="29" s="1"/>
  <c r="DI7" i="29"/>
  <c r="DJ7" i="29" s="1"/>
  <c r="DD7" i="29"/>
  <c r="DE7" i="29" s="1"/>
  <c r="CY7" i="29"/>
  <c r="CZ7" i="29" s="1"/>
  <c r="CW7" i="29"/>
  <c r="CX7" i="29" s="1"/>
  <c r="CR7" i="29"/>
  <c r="CS7" i="29" s="1"/>
  <c r="CM7" i="29"/>
  <c r="CN7" i="29" s="1"/>
  <c r="CH7" i="29"/>
  <c r="CI7" i="29" s="1"/>
  <c r="CF7" i="29"/>
  <c r="CG7" i="29" s="1"/>
  <c r="CA7" i="29"/>
  <c r="CB7" i="29" s="1"/>
  <c r="BV7" i="29"/>
  <c r="BW7" i="29" s="1"/>
  <c r="BQ7" i="29"/>
  <c r="BR7" i="29" s="1"/>
  <c r="BO7" i="29"/>
  <c r="BP7" i="29" s="1"/>
  <c r="BJ7" i="29"/>
  <c r="BK7" i="29" s="1"/>
  <c r="BE7" i="29"/>
  <c r="BF7" i="29" s="1"/>
  <c r="AZ7" i="29"/>
  <c r="BA7" i="29" s="1"/>
  <c r="AX7" i="29"/>
  <c r="AY7" i="29" s="1"/>
  <c r="AS7" i="29"/>
  <c r="AT7" i="29" s="1"/>
  <c r="AN7" i="29"/>
  <c r="AO7" i="29" s="1"/>
  <c r="AI7" i="29"/>
  <c r="AJ7" i="29" s="1"/>
  <c r="AG7" i="29"/>
  <c r="AH7" i="29" s="1"/>
  <c r="AB7" i="29"/>
  <c r="AC7" i="29" s="1"/>
  <c r="W7" i="29"/>
  <c r="X7" i="29" s="1"/>
  <c r="R7" i="29"/>
  <c r="S7" i="29" s="1"/>
  <c r="Q7" i="29"/>
  <c r="P7" i="29"/>
  <c r="K7" i="29"/>
  <c r="L7" i="29" s="1"/>
  <c r="F7" i="29"/>
  <c r="G7" i="29" s="1"/>
  <c r="SP6" i="29"/>
  <c r="SO6" i="29"/>
  <c r="SJ6" i="29"/>
  <c r="SK6" i="29" s="1"/>
  <c r="SE6" i="29"/>
  <c r="RX6" i="29"/>
  <c r="RY6" i="29" s="1"/>
  <c r="RS6" i="29"/>
  <c r="RT6" i="29" s="1"/>
  <c r="RN6" i="29"/>
  <c r="RG6" i="29"/>
  <c r="RH6" i="29" s="1"/>
  <c r="RB6" i="29"/>
  <c r="RC6" i="29" s="1"/>
  <c r="QW6" i="29"/>
  <c r="QP6" i="29"/>
  <c r="QQ6" i="29" s="1"/>
  <c r="QK6" i="29"/>
  <c r="QL6" i="29" s="1"/>
  <c r="QF6" i="29"/>
  <c r="PY6" i="29"/>
  <c r="PZ6" i="29" s="1"/>
  <c r="PT6" i="29"/>
  <c r="PU6" i="29" s="1"/>
  <c r="PO6" i="29"/>
  <c r="PH6" i="29"/>
  <c r="PI6" i="29" s="1"/>
  <c r="PC6" i="29"/>
  <c r="PD6" i="29" s="1"/>
  <c r="OX6" i="29"/>
  <c r="OQ6" i="29"/>
  <c r="OR6" i="29" s="1"/>
  <c r="OL6" i="29"/>
  <c r="OM6" i="29" s="1"/>
  <c r="OG6" i="29"/>
  <c r="NZ6" i="29"/>
  <c r="OA6" i="29" s="1"/>
  <c r="NU6" i="29"/>
  <c r="NV6" i="29" s="1"/>
  <c r="NP6" i="29"/>
  <c r="NI6" i="29"/>
  <c r="NJ6" i="29" s="1"/>
  <c r="ND6" i="29"/>
  <c r="NE6" i="29" s="1"/>
  <c r="MY6" i="29"/>
  <c r="MR6" i="29"/>
  <c r="MS6" i="29" s="1"/>
  <c r="MM6" i="29"/>
  <c r="MN6" i="29" s="1"/>
  <c r="MH6" i="29"/>
  <c r="MA6" i="29"/>
  <c r="MB6" i="29" s="1"/>
  <c r="LV6" i="29"/>
  <c r="LW6" i="29" s="1"/>
  <c r="LQ6" i="29"/>
  <c r="LJ6" i="29"/>
  <c r="LK6" i="29" s="1"/>
  <c r="LE6" i="29"/>
  <c r="LF6" i="29" s="1"/>
  <c r="KZ6" i="29"/>
  <c r="KS6" i="29"/>
  <c r="KT6" i="29" s="1"/>
  <c r="KN6" i="29"/>
  <c r="KO6" i="29" s="1"/>
  <c r="KI6" i="29"/>
  <c r="KB6" i="29"/>
  <c r="KC6" i="29" s="1"/>
  <c r="JW6" i="29"/>
  <c r="JX6" i="29" s="1"/>
  <c r="JR6" i="29"/>
  <c r="JK6" i="29"/>
  <c r="JL6" i="29" s="1"/>
  <c r="JF6" i="29"/>
  <c r="JG6" i="29" s="1"/>
  <c r="JA6" i="29"/>
  <c r="IT6" i="29"/>
  <c r="IU6" i="29" s="1"/>
  <c r="IO6" i="29"/>
  <c r="IP6" i="29" s="1"/>
  <c r="IJ6" i="29"/>
  <c r="IC6" i="29"/>
  <c r="ID6" i="29" s="1"/>
  <c r="HX6" i="29"/>
  <c r="HY6" i="29" s="1"/>
  <c r="HS6" i="29"/>
  <c r="HL6" i="29"/>
  <c r="HM6" i="29" s="1"/>
  <c r="HG6" i="29"/>
  <c r="HH6" i="29" s="1"/>
  <c r="HB6" i="29"/>
  <c r="GU6" i="29"/>
  <c r="GV6" i="29" s="1"/>
  <c r="GP6" i="29"/>
  <c r="GQ6" i="29" s="1"/>
  <c r="GK6" i="29"/>
  <c r="GD6" i="29"/>
  <c r="GE6" i="29" s="1"/>
  <c r="FY6" i="29"/>
  <c r="FZ6" i="29" s="1"/>
  <c r="FT6" i="29"/>
  <c r="FM6" i="29"/>
  <c r="FN6" i="29" s="1"/>
  <c r="FH6" i="29"/>
  <c r="FI6" i="29" s="1"/>
  <c r="FC6" i="29"/>
  <c r="EV6" i="29"/>
  <c r="EW6" i="29" s="1"/>
  <c r="EQ6" i="29"/>
  <c r="ER6" i="29" s="1"/>
  <c r="EL6" i="29"/>
  <c r="EE6" i="29"/>
  <c r="EF6" i="29" s="1"/>
  <c r="DZ6" i="29"/>
  <c r="EA6" i="29" s="1"/>
  <c r="DU6" i="29"/>
  <c r="DN6" i="29"/>
  <c r="DO6" i="29" s="1"/>
  <c r="DI6" i="29"/>
  <c r="DJ6" i="29" s="1"/>
  <c r="DD6" i="29"/>
  <c r="CW6" i="29"/>
  <c r="CX6" i="29" s="1"/>
  <c r="CR6" i="29"/>
  <c r="CS6" i="29" s="1"/>
  <c r="CM6" i="29"/>
  <c r="CF6" i="29"/>
  <c r="CG6" i="29" s="1"/>
  <c r="CA6" i="29"/>
  <c r="CB6" i="29" s="1"/>
  <c r="BV6" i="29"/>
  <c r="BO6" i="29"/>
  <c r="BP6" i="29" s="1"/>
  <c r="BJ6" i="29"/>
  <c r="BK6" i="29" s="1"/>
  <c r="BE6" i="29"/>
  <c r="AX6" i="29"/>
  <c r="AY6" i="29" s="1"/>
  <c r="AS6" i="29"/>
  <c r="AT6" i="29" s="1"/>
  <c r="AN6" i="29"/>
  <c r="AG6" i="29"/>
  <c r="AH6" i="29" s="1"/>
  <c r="AB6" i="29"/>
  <c r="AC6" i="29" s="1"/>
  <c r="W6" i="29"/>
  <c r="P6" i="29"/>
  <c r="Q6" i="29" s="1"/>
  <c r="K6" i="29"/>
  <c r="L6" i="29" s="1"/>
  <c r="F6" i="29"/>
  <c r="SO5" i="29"/>
  <c r="SP5" i="29" s="1"/>
  <c r="SJ5" i="29"/>
  <c r="SK5" i="29" s="1"/>
  <c r="SE5" i="29"/>
  <c r="RX5" i="29"/>
  <c r="RY5" i="29" s="1"/>
  <c r="RS5" i="29"/>
  <c r="RT5" i="29" s="1"/>
  <c r="RN5" i="29"/>
  <c r="RG5" i="29"/>
  <c r="RH5" i="29" s="1"/>
  <c r="RB5" i="29"/>
  <c r="RC5" i="29" s="1"/>
  <c r="QW5" i="29"/>
  <c r="QP5" i="29"/>
  <c r="QQ5" i="29" s="1"/>
  <c r="QK5" i="29"/>
  <c r="QL5" i="29" s="1"/>
  <c r="QF5" i="29"/>
  <c r="PY5" i="29"/>
  <c r="PZ5" i="29" s="1"/>
  <c r="PT5" i="29"/>
  <c r="PU5" i="29" s="1"/>
  <c r="PO5" i="29"/>
  <c r="PH5" i="29"/>
  <c r="PI5" i="29" s="1"/>
  <c r="PC5" i="29"/>
  <c r="PD5" i="29" s="1"/>
  <c r="OX5" i="29"/>
  <c r="OQ5" i="29"/>
  <c r="OR5" i="29" s="1"/>
  <c r="OL5" i="29"/>
  <c r="OM5" i="29" s="1"/>
  <c r="OG5" i="29"/>
  <c r="NZ5" i="29"/>
  <c r="OA5" i="29" s="1"/>
  <c r="NU5" i="29"/>
  <c r="NV5" i="29" s="1"/>
  <c r="NP5" i="29"/>
  <c r="NI5" i="29"/>
  <c r="NJ5" i="29" s="1"/>
  <c r="ND5" i="29"/>
  <c r="NE5" i="29" s="1"/>
  <c r="MY5" i="29"/>
  <c r="MR5" i="29"/>
  <c r="MS5" i="29" s="1"/>
  <c r="MM5" i="29"/>
  <c r="MN5" i="29" s="1"/>
  <c r="MH5" i="29"/>
  <c r="MA5" i="29"/>
  <c r="MB5" i="29" s="1"/>
  <c r="LV5" i="29"/>
  <c r="LW5" i="29" s="1"/>
  <c r="LQ5" i="29"/>
  <c r="LJ5" i="29"/>
  <c r="LK5" i="29" s="1"/>
  <c r="LE5" i="29"/>
  <c r="LF5" i="29" s="1"/>
  <c r="KZ5" i="29"/>
  <c r="KS5" i="29"/>
  <c r="KT5" i="29" s="1"/>
  <c r="KN5" i="29"/>
  <c r="KO5" i="29" s="1"/>
  <c r="KI5" i="29"/>
  <c r="KB5" i="29"/>
  <c r="KC5" i="29" s="1"/>
  <c r="JW5" i="29"/>
  <c r="JX5" i="29" s="1"/>
  <c r="JR5" i="29"/>
  <c r="JK5" i="29"/>
  <c r="JL5" i="29" s="1"/>
  <c r="JF5" i="29"/>
  <c r="JG5" i="29" s="1"/>
  <c r="JA5" i="29"/>
  <c r="IT5" i="29"/>
  <c r="IU5" i="29" s="1"/>
  <c r="IO5" i="29"/>
  <c r="IP5" i="29" s="1"/>
  <c r="IJ5" i="29"/>
  <c r="IC5" i="29"/>
  <c r="ID5" i="29" s="1"/>
  <c r="HX5" i="29"/>
  <c r="HY5" i="29" s="1"/>
  <c r="HS5" i="29"/>
  <c r="HL5" i="29"/>
  <c r="HM5" i="29" s="1"/>
  <c r="HG5" i="29"/>
  <c r="HH5" i="29" s="1"/>
  <c r="HB5" i="29"/>
  <c r="GU5" i="29"/>
  <c r="GV5" i="29" s="1"/>
  <c r="GP5" i="29"/>
  <c r="GQ5" i="29" s="1"/>
  <c r="GK5" i="29"/>
  <c r="GD5" i="29"/>
  <c r="GE5" i="29" s="1"/>
  <c r="FY5" i="29"/>
  <c r="FZ5" i="29" s="1"/>
  <c r="FT5" i="29"/>
  <c r="FM5" i="29"/>
  <c r="FN5" i="29" s="1"/>
  <c r="FH5" i="29"/>
  <c r="FI5" i="29" s="1"/>
  <c r="FC5" i="29"/>
  <c r="EV5" i="29"/>
  <c r="EW5" i="29" s="1"/>
  <c r="EQ5" i="29"/>
  <c r="ER5" i="29" s="1"/>
  <c r="EL5" i="29"/>
  <c r="EE5" i="29"/>
  <c r="EF5" i="29" s="1"/>
  <c r="DZ5" i="29"/>
  <c r="EA5" i="29" s="1"/>
  <c r="DU5" i="29"/>
  <c r="DN5" i="29"/>
  <c r="DO5" i="29" s="1"/>
  <c r="DI5" i="29"/>
  <c r="DJ5" i="29" s="1"/>
  <c r="DD5" i="29"/>
  <c r="CW5" i="29"/>
  <c r="CX5" i="29" s="1"/>
  <c r="CR5" i="29"/>
  <c r="CS5" i="29" s="1"/>
  <c r="CM5" i="29"/>
  <c r="CF5" i="29"/>
  <c r="CG5" i="29" s="1"/>
  <c r="CA5" i="29"/>
  <c r="CB5" i="29" s="1"/>
  <c r="BV5" i="29"/>
  <c r="BO5" i="29"/>
  <c r="BP5" i="29" s="1"/>
  <c r="BJ5" i="29"/>
  <c r="BK5" i="29" s="1"/>
  <c r="BE5" i="29"/>
  <c r="AX5" i="29"/>
  <c r="AY5" i="29" s="1"/>
  <c r="AS5" i="29"/>
  <c r="AT5" i="29" s="1"/>
  <c r="AN5" i="29"/>
  <c r="AG5" i="29"/>
  <c r="AH5" i="29" s="1"/>
  <c r="AB5" i="29"/>
  <c r="AC5" i="29" s="1"/>
  <c r="W5" i="29"/>
  <c r="P5" i="29"/>
  <c r="Q5" i="29" s="1"/>
  <c r="K5" i="29"/>
  <c r="L5" i="29" s="1"/>
  <c r="F5" i="29"/>
  <c r="SQ4" i="29"/>
  <c r="SR4" i="29" s="1"/>
  <c r="SO4" i="29"/>
  <c r="SP4" i="29" s="1"/>
  <c r="SJ4" i="29"/>
  <c r="SK4" i="29" s="1"/>
  <c r="SE4" i="29"/>
  <c r="SF4" i="29" s="1"/>
  <c r="RZ4" i="29"/>
  <c r="SA4" i="29" s="1"/>
  <c r="RX4" i="29"/>
  <c r="RY4" i="29" s="1"/>
  <c r="RS4" i="29"/>
  <c r="RT4" i="29" s="1"/>
  <c r="RN4" i="29"/>
  <c r="RO4" i="29" s="1"/>
  <c r="RI4" i="29"/>
  <c r="RJ4" i="29" s="1"/>
  <c r="RG4" i="29"/>
  <c r="RH4" i="29" s="1"/>
  <c r="RB4" i="29"/>
  <c r="RC4" i="29" s="1"/>
  <c r="QW4" i="29"/>
  <c r="QX4" i="29" s="1"/>
  <c r="QR4" i="29"/>
  <c r="QS4" i="29" s="1"/>
  <c r="QP4" i="29"/>
  <c r="QQ4" i="29" s="1"/>
  <c r="QK4" i="29"/>
  <c r="QL4" i="29" s="1"/>
  <c r="QF4" i="29"/>
  <c r="QG4" i="29" s="1"/>
  <c r="QA4" i="29"/>
  <c r="QB4" i="29" s="1"/>
  <c r="PY4" i="29"/>
  <c r="PZ4" i="29" s="1"/>
  <c r="PT4" i="29"/>
  <c r="PU4" i="29" s="1"/>
  <c r="PO4" i="29"/>
  <c r="PP4" i="29" s="1"/>
  <c r="PJ4" i="29"/>
  <c r="PK4" i="29" s="1"/>
  <c r="PH4" i="29"/>
  <c r="PI4" i="29" s="1"/>
  <c r="PC4" i="29"/>
  <c r="PD4" i="29" s="1"/>
  <c r="OX4" i="29"/>
  <c r="OY4" i="29" s="1"/>
  <c r="OS4" i="29"/>
  <c r="OT4" i="29" s="1"/>
  <c r="OQ4" i="29"/>
  <c r="OR4" i="29" s="1"/>
  <c r="OL4" i="29"/>
  <c r="OM4" i="29" s="1"/>
  <c r="OG4" i="29"/>
  <c r="OH4" i="29" s="1"/>
  <c r="OB4" i="29"/>
  <c r="OC4" i="29" s="1"/>
  <c r="OA4" i="29"/>
  <c r="NZ4" i="29"/>
  <c r="NU4" i="29"/>
  <c r="NV4" i="29" s="1"/>
  <c r="NP4" i="29"/>
  <c r="NQ4" i="29" s="1"/>
  <c r="NK4" i="29"/>
  <c r="NL4" i="29" s="1"/>
  <c r="NI4" i="29"/>
  <c r="NJ4" i="29" s="1"/>
  <c r="ND4" i="29"/>
  <c r="NE4" i="29" s="1"/>
  <c r="MY4" i="29"/>
  <c r="MZ4" i="29" s="1"/>
  <c r="MT4" i="29"/>
  <c r="MU4" i="29" s="1"/>
  <c r="MR4" i="29"/>
  <c r="MS4" i="29" s="1"/>
  <c r="MM4" i="29"/>
  <c r="MN4" i="29" s="1"/>
  <c r="MH4" i="29"/>
  <c r="MI4" i="29" s="1"/>
  <c r="MC4" i="29"/>
  <c r="MD4" i="29" s="1"/>
  <c r="MA4" i="29"/>
  <c r="MB4" i="29" s="1"/>
  <c r="LV4" i="29"/>
  <c r="LW4" i="29" s="1"/>
  <c r="LQ4" i="29"/>
  <c r="LR4" i="29" s="1"/>
  <c r="LL4" i="29"/>
  <c r="LM4" i="29" s="1"/>
  <c r="LK4" i="29"/>
  <c r="LJ4" i="29"/>
  <c r="LE4" i="29"/>
  <c r="LF4" i="29" s="1"/>
  <c r="KZ4" i="29"/>
  <c r="LA4" i="29" s="1"/>
  <c r="KU4" i="29"/>
  <c r="KV4" i="29" s="1"/>
  <c r="KS4" i="29"/>
  <c r="KT4" i="29" s="1"/>
  <c r="KN4" i="29"/>
  <c r="KO4" i="29" s="1"/>
  <c r="KI4" i="29"/>
  <c r="KJ4" i="29" s="1"/>
  <c r="KD4" i="29"/>
  <c r="KE4" i="29" s="1"/>
  <c r="KB4" i="29"/>
  <c r="KC4" i="29" s="1"/>
  <c r="JW4" i="29"/>
  <c r="JX4" i="29" s="1"/>
  <c r="JR4" i="29"/>
  <c r="JS4" i="29" s="1"/>
  <c r="JM4" i="29"/>
  <c r="JN4" i="29" s="1"/>
  <c r="JK4" i="29"/>
  <c r="JL4" i="29" s="1"/>
  <c r="JF4" i="29"/>
  <c r="JG4" i="29" s="1"/>
  <c r="JA4" i="29"/>
  <c r="JB4" i="29" s="1"/>
  <c r="IV4" i="29"/>
  <c r="IW4" i="29" s="1"/>
  <c r="IT4" i="29"/>
  <c r="IU4" i="29" s="1"/>
  <c r="IO4" i="29"/>
  <c r="IP4" i="29" s="1"/>
  <c r="IJ4" i="29"/>
  <c r="IK4" i="29" s="1"/>
  <c r="IE4" i="29"/>
  <c r="IF4" i="29" s="1"/>
  <c r="IC4" i="29"/>
  <c r="ID4" i="29" s="1"/>
  <c r="HX4" i="29"/>
  <c r="HY4" i="29" s="1"/>
  <c r="HS4" i="29"/>
  <c r="HT4" i="29" s="1"/>
  <c r="HN4" i="29"/>
  <c r="HO4" i="29" s="1"/>
  <c r="HL4" i="29"/>
  <c r="HM4" i="29" s="1"/>
  <c r="HG4" i="29"/>
  <c r="HH4" i="29" s="1"/>
  <c r="HB4" i="29"/>
  <c r="HC4" i="29" s="1"/>
  <c r="GW4" i="29"/>
  <c r="GX4" i="29" s="1"/>
  <c r="GU4" i="29"/>
  <c r="GV4" i="29" s="1"/>
  <c r="GP4" i="29"/>
  <c r="GQ4" i="29" s="1"/>
  <c r="GK4" i="29"/>
  <c r="GL4" i="29" s="1"/>
  <c r="GF4" i="29"/>
  <c r="GG4" i="29" s="1"/>
  <c r="GD4" i="29"/>
  <c r="GE4" i="29" s="1"/>
  <c r="FY4" i="29"/>
  <c r="FZ4" i="29" s="1"/>
  <c r="FT4" i="29"/>
  <c r="FU4" i="29" s="1"/>
  <c r="FO4" i="29"/>
  <c r="FP4" i="29" s="1"/>
  <c r="FM4" i="29"/>
  <c r="FN4" i="29" s="1"/>
  <c r="FH4" i="29"/>
  <c r="FI4" i="29" s="1"/>
  <c r="FC4" i="29"/>
  <c r="FD4" i="29" s="1"/>
  <c r="EX4" i="29"/>
  <c r="EY4" i="29" s="1"/>
  <c r="EV4" i="29"/>
  <c r="EW4" i="29" s="1"/>
  <c r="EQ4" i="29"/>
  <c r="ER4" i="29" s="1"/>
  <c r="EL4" i="29"/>
  <c r="EM4" i="29" s="1"/>
  <c r="EG4" i="29"/>
  <c r="EH4" i="29" s="1"/>
  <c r="EE4" i="29"/>
  <c r="EF4" i="29" s="1"/>
  <c r="DZ4" i="29"/>
  <c r="EA4" i="29" s="1"/>
  <c r="DU4" i="29"/>
  <c r="DV4" i="29" s="1"/>
  <c r="DP4" i="29"/>
  <c r="DQ4" i="29" s="1"/>
  <c r="DO4" i="29"/>
  <c r="DN4" i="29"/>
  <c r="DI4" i="29"/>
  <c r="DJ4" i="29" s="1"/>
  <c r="DD4" i="29"/>
  <c r="DE4" i="29" s="1"/>
  <c r="CY4" i="29"/>
  <c r="CZ4" i="29" s="1"/>
  <c r="CW4" i="29"/>
  <c r="CX4" i="29" s="1"/>
  <c r="CR4" i="29"/>
  <c r="CS4" i="29" s="1"/>
  <c r="CM4" i="29"/>
  <c r="CN4" i="29" s="1"/>
  <c r="CH4" i="29"/>
  <c r="CI4" i="29" s="1"/>
  <c r="CF4" i="29"/>
  <c r="CG4" i="29" s="1"/>
  <c r="CA4" i="29"/>
  <c r="CB4" i="29" s="1"/>
  <c r="BV4" i="29"/>
  <c r="BW4" i="29" s="1"/>
  <c r="BQ4" i="29"/>
  <c r="BR4" i="29" s="1"/>
  <c r="BO4" i="29"/>
  <c r="BP4" i="29" s="1"/>
  <c r="BJ4" i="29"/>
  <c r="BK4" i="29" s="1"/>
  <c r="BE4" i="29"/>
  <c r="BF4" i="29" s="1"/>
  <c r="AZ4" i="29"/>
  <c r="BA4" i="29" s="1"/>
  <c r="AY4" i="29"/>
  <c r="AX4" i="29"/>
  <c r="AS4" i="29"/>
  <c r="AT4" i="29" s="1"/>
  <c r="AN4" i="29"/>
  <c r="AO4" i="29" s="1"/>
  <c r="AI4" i="29"/>
  <c r="AJ4" i="29" s="1"/>
  <c r="AG4" i="29"/>
  <c r="AH4" i="29" s="1"/>
  <c r="AB4" i="29"/>
  <c r="AC4" i="29" s="1"/>
  <c r="W4" i="29"/>
  <c r="X4" i="29" s="1"/>
  <c r="R4" i="29"/>
  <c r="S4" i="29" s="1"/>
  <c r="P4" i="29"/>
  <c r="Q4" i="29" s="1"/>
  <c r="K4" i="29"/>
  <c r="L4" i="29" s="1"/>
  <c r="F4" i="29"/>
  <c r="G4" i="29" s="1"/>
  <c r="AW3" i="29"/>
  <c r="BN3" i="29" s="1"/>
  <c r="CE3" i="29" s="1"/>
  <c r="CV3" i="29" s="1"/>
  <c r="DM3" i="29" s="1"/>
  <c r="ED3" i="29" s="1"/>
  <c r="EU3" i="29" s="1"/>
  <c r="FL3" i="29" s="1"/>
  <c r="GC3" i="29" s="1"/>
  <c r="GT3" i="29" s="1"/>
  <c r="HK3" i="29" s="1"/>
  <c r="IB3" i="29" s="1"/>
  <c r="IS3" i="29" s="1"/>
  <c r="JJ3" i="29" s="1"/>
  <c r="KA3" i="29" s="1"/>
  <c r="KR3" i="29" s="1"/>
  <c r="LI3" i="29" s="1"/>
  <c r="LZ3" i="29" s="1"/>
  <c r="MQ3" i="29" s="1"/>
  <c r="NH3" i="29" s="1"/>
  <c r="NY3" i="29" s="1"/>
  <c r="OP3" i="29" s="1"/>
  <c r="PG3" i="29" s="1"/>
  <c r="PX3" i="29" s="1"/>
  <c r="QO3" i="29" s="1"/>
  <c r="RF3" i="29" s="1"/>
  <c r="RW3" i="29" s="1"/>
  <c r="SN3" i="29" s="1"/>
  <c r="AF3" i="29"/>
  <c r="AE3" i="29"/>
  <c r="AV3" i="29" s="1"/>
  <c r="BM3" i="29" s="1"/>
  <c r="CD3" i="29" s="1"/>
  <c r="CU3" i="29" s="1"/>
  <c r="DL3" i="29" s="1"/>
  <c r="EC3" i="29" s="1"/>
  <c r="ET3" i="29" s="1"/>
  <c r="FK3" i="29" s="1"/>
  <c r="GB3" i="29" s="1"/>
  <c r="GS3" i="29" s="1"/>
  <c r="HJ3" i="29" s="1"/>
  <c r="IA3" i="29" s="1"/>
  <c r="IR3" i="29" s="1"/>
  <c r="JI3" i="29" s="1"/>
  <c r="JZ3" i="29" s="1"/>
  <c r="KQ3" i="29" s="1"/>
  <c r="LH3" i="29" s="1"/>
  <c r="LY3" i="29" s="1"/>
  <c r="MP3" i="29" s="1"/>
  <c r="NG3" i="29" s="1"/>
  <c r="NX3" i="29" s="1"/>
  <c r="OO3" i="29" s="1"/>
  <c r="PF3" i="29" s="1"/>
  <c r="PW3" i="29" s="1"/>
  <c r="QN3" i="29" s="1"/>
  <c r="RE3" i="29" s="1"/>
  <c r="RV3" i="29" s="1"/>
  <c r="SM3" i="29" s="1"/>
  <c r="AD3" i="29"/>
  <c r="AU3" i="29" s="1"/>
  <c r="BL3" i="29" s="1"/>
  <c r="CC3" i="29" s="1"/>
  <c r="CT3" i="29" s="1"/>
  <c r="DK3" i="29" s="1"/>
  <c r="EB3" i="29" s="1"/>
  <c r="ES3" i="29" s="1"/>
  <c r="FJ3" i="29" s="1"/>
  <c r="GA3" i="29" s="1"/>
  <c r="GR3" i="29" s="1"/>
  <c r="HI3" i="29" s="1"/>
  <c r="HZ3" i="29" s="1"/>
  <c r="IQ3" i="29" s="1"/>
  <c r="JH3" i="29" s="1"/>
  <c r="JY3" i="29" s="1"/>
  <c r="KP3" i="29" s="1"/>
  <c r="LG3" i="29" s="1"/>
  <c r="LX3" i="29" s="1"/>
  <c r="MO3" i="29" s="1"/>
  <c r="NF3" i="29" s="1"/>
  <c r="NW3" i="29" s="1"/>
  <c r="ON3" i="29" s="1"/>
  <c r="PE3" i="29" s="1"/>
  <c r="PV3" i="29" s="1"/>
  <c r="QM3" i="29" s="1"/>
  <c r="RD3" i="29" s="1"/>
  <c r="RU3" i="29" s="1"/>
  <c r="SL3" i="29" s="1"/>
  <c r="AA3" i="29"/>
  <c r="AR3" i="29" s="1"/>
  <c r="BI3" i="29" s="1"/>
  <c r="BZ3" i="29" s="1"/>
  <c r="CQ3" i="29" s="1"/>
  <c r="DH3" i="29" s="1"/>
  <c r="DY3" i="29" s="1"/>
  <c r="EP3" i="29" s="1"/>
  <c r="FG3" i="29" s="1"/>
  <c r="FX3" i="29" s="1"/>
  <c r="GO3" i="29" s="1"/>
  <c r="HF3" i="29" s="1"/>
  <c r="HW3" i="29" s="1"/>
  <c r="IN3" i="29" s="1"/>
  <c r="JE3" i="29" s="1"/>
  <c r="JV3" i="29" s="1"/>
  <c r="KM3" i="29" s="1"/>
  <c r="LD3" i="29" s="1"/>
  <c r="LU3" i="29" s="1"/>
  <c r="ML3" i="29" s="1"/>
  <c r="NC3" i="29" s="1"/>
  <c r="NT3" i="29" s="1"/>
  <c r="OK3" i="29" s="1"/>
  <c r="PB3" i="29" s="1"/>
  <c r="PS3" i="29" s="1"/>
  <c r="QJ3" i="29" s="1"/>
  <c r="RA3" i="29" s="1"/>
  <c r="RR3" i="29" s="1"/>
  <c r="SI3" i="29" s="1"/>
  <c r="Z3" i="29"/>
  <c r="AQ3" i="29" s="1"/>
  <c r="BH3" i="29" s="1"/>
  <c r="BY3" i="29" s="1"/>
  <c r="CP3" i="29" s="1"/>
  <c r="DG3" i="29" s="1"/>
  <c r="DX3" i="29" s="1"/>
  <c r="EO3" i="29" s="1"/>
  <c r="FF3" i="29" s="1"/>
  <c r="FW3" i="29" s="1"/>
  <c r="GN3" i="29" s="1"/>
  <c r="HE3" i="29" s="1"/>
  <c r="HV3" i="29" s="1"/>
  <c r="IM3" i="29" s="1"/>
  <c r="JD3" i="29" s="1"/>
  <c r="JU3" i="29" s="1"/>
  <c r="KL3" i="29" s="1"/>
  <c r="LC3" i="29" s="1"/>
  <c r="LT3" i="29" s="1"/>
  <c r="MK3" i="29" s="1"/>
  <c r="NB3" i="29" s="1"/>
  <c r="NS3" i="29" s="1"/>
  <c r="OJ3" i="29" s="1"/>
  <c r="PA3" i="29" s="1"/>
  <c r="PR3" i="29" s="1"/>
  <c r="QI3" i="29" s="1"/>
  <c r="QZ3" i="29" s="1"/>
  <c r="RQ3" i="29" s="1"/>
  <c r="SH3" i="29" s="1"/>
  <c r="Y3" i="29"/>
  <c r="AP3" i="29" s="1"/>
  <c r="BG3" i="29" s="1"/>
  <c r="BX3" i="29" s="1"/>
  <c r="CO3" i="29" s="1"/>
  <c r="DF3" i="29" s="1"/>
  <c r="DW3" i="29" s="1"/>
  <c r="EN3" i="29" s="1"/>
  <c r="FE3" i="29" s="1"/>
  <c r="FV3" i="29" s="1"/>
  <c r="GM3" i="29" s="1"/>
  <c r="HD3" i="29" s="1"/>
  <c r="HU3" i="29" s="1"/>
  <c r="IL3" i="29" s="1"/>
  <c r="JC3" i="29" s="1"/>
  <c r="JT3" i="29" s="1"/>
  <c r="KK3" i="29" s="1"/>
  <c r="LB3" i="29" s="1"/>
  <c r="LS3" i="29" s="1"/>
  <c r="MJ3" i="29" s="1"/>
  <c r="NA3" i="29" s="1"/>
  <c r="NR3" i="29" s="1"/>
  <c r="OI3" i="29" s="1"/>
  <c r="OZ3" i="29" s="1"/>
  <c r="PQ3" i="29" s="1"/>
  <c r="QH3" i="29" s="1"/>
  <c r="QY3" i="29" s="1"/>
  <c r="RP3" i="29" s="1"/>
  <c r="SG3" i="29" s="1"/>
  <c r="V3" i="29"/>
  <c r="AM3" i="29" s="1"/>
  <c r="BD3" i="29" s="1"/>
  <c r="BU3" i="29" s="1"/>
  <c r="CL3" i="29" s="1"/>
  <c r="DC3" i="29" s="1"/>
  <c r="DT3" i="29" s="1"/>
  <c r="EK3" i="29" s="1"/>
  <c r="FB3" i="29" s="1"/>
  <c r="FS3" i="29" s="1"/>
  <c r="GJ3" i="29" s="1"/>
  <c r="HA3" i="29" s="1"/>
  <c r="HR3" i="29" s="1"/>
  <c r="II3" i="29" s="1"/>
  <c r="IZ3" i="29" s="1"/>
  <c r="JQ3" i="29" s="1"/>
  <c r="KH3" i="29" s="1"/>
  <c r="KY3" i="29" s="1"/>
  <c r="LP3" i="29" s="1"/>
  <c r="MG3" i="29" s="1"/>
  <c r="MX3" i="29" s="1"/>
  <c r="NO3" i="29" s="1"/>
  <c r="OF3" i="29" s="1"/>
  <c r="OW3" i="29" s="1"/>
  <c r="PN3" i="29" s="1"/>
  <c r="QE3" i="29" s="1"/>
  <c r="QV3" i="29" s="1"/>
  <c r="RM3" i="29" s="1"/>
  <c r="SD3" i="29" s="1"/>
  <c r="U3" i="29"/>
  <c r="AL3" i="29" s="1"/>
  <c r="BC3" i="29" s="1"/>
  <c r="BT3" i="29" s="1"/>
  <c r="CK3" i="29" s="1"/>
  <c r="DB3" i="29" s="1"/>
  <c r="DS3" i="29" s="1"/>
  <c r="EJ3" i="29" s="1"/>
  <c r="FA3" i="29" s="1"/>
  <c r="FR3" i="29" s="1"/>
  <c r="GI3" i="29" s="1"/>
  <c r="GZ3" i="29" s="1"/>
  <c r="HQ3" i="29" s="1"/>
  <c r="IH3" i="29" s="1"/>
  <c r="IY3" i="29" s="1"/>
  <c r="JP3" i="29" s="1"/>
  <c r="KG3" i="29" s="1"/>
  <c r="KX3" i="29" s="1"/>
  <c r="LO3" i="29" s="1"/>
  <c r="MF3" i="29" s="1"/>
  <c r="MW3" i="29" s="1"/>
  <c r="NN3" i="29" s="1"/>
  <c r="OE3" i="29" s="1"/>
  <c r="OV3" i="29" s="1"/>
  <c r="PM3" i="29" s="1"/>
  <c r="QD3" i="29" s="1"/>
  <c r="QU3" i="29" s="1"/>
  <c r="RL3" i="29" s="1"/>
  <c r="SC3" i="29" s="1"/>
  <c r="T3" i="29"/>
  <c r="AK3" i="29" s="1"/>
  <c r="BB3" i="29" s="1"/>
  <c r="BS3" i="29" s="1"/>
  <c r="CJ3" i="29" s="1"/>
  <c r="DA3" i="29" s="1"/>
  <c r="DR3" i="29" s="1"/>
  <c r="EI3" i="29" s="1"/>
  <c r="EZ3" i="29" s="1"/>
  <c r="FQ3" i="29" s="1"/>
  <c r="GH3" i="29" s="1"/>
  <c r="GY3" i="29" s="1"/>
  <c r="HP3" i="29" s="1"/>
  <c r="IG3" i="29" s="1"/>
  <c r="IX3" i="29" s="1"/>
  <c r="JO3" i="29" s="1"/>
  <c r="KF3" i="29" s="1"/>
  <c r="KW3" i="29" s="1"/>
  <c r="LN3" i="29" s="1"/>
  <c r="ME3" i="29" s="1"/>
  <c r="MV3" i="29" s="1"/>
  <c r="NM3" i="29" s="1"/>
  <c r="OD3" i="29" s="1"/>
  <c r="OU3" i="29" s="1"/>
  <c r="PL3" i="29" s="1"/>
  <c r="QC3" i="29" s="1"/>
  <c r="QT3" i="29" s="1"/>
  <c r="RK3" i="29" s="1"/>
  <c r="SB3" i="29" s="1"/>
  <c r="T1" i="29"/>
  <c r="AK1" i="29" s="1"/>
  <c r="R22" i="27"/>
  <c r="SN20" i="27"/>
  <c r="SM20" i="27"/>
  <c r="SL20" i="27"/>
  <c r="SI20" i="27"/>
  <c r="SH20" i="27"/>
  <c r="SG20" i="27"/>
  <c r="SD20" i="27"/>
  <c r="SC20" i="27"/>
  <c r="SB20" i="27"/>
  <c r="RW20" i="27"/>
  <c r="RV20" i="27"/>
  <c r="RU20" i="27"/>
  <c r="RR20" i="27"/>
  <c r="RQ20" i="27"/>
  <c r="RP20" i="27"/>
  <c r="RM20" i="27"/>
  <c r="RL20" i="27"/>
  <c r="RK20" i="27"/>
  <c r="RF20" i="27"/>
  <c r="RE20" i="27"/>
  <c r="RD20" i="27"/>
  <c r="RA20" i="27"/>
  <c r="QZ20" i="27"/>
  <c r="QY20" i="27"/>
  <c r="QV20" i="27"/>
  <c r="QU20" i="27"/>
  <c r="QT20" i="27"/>
  <c r="QO20" i="27"/>
  <c r="QN20" i="27"/>
  <c r="QM20" i="27"/>
  <c r="QJ20" i="27"/>
  <c r="QI20" i="27"/>
  <c r="QH20" i="27"/>
  <c r="QE20" i="27"/>
  <c r="QD20" i="27"/>
  <c r="QC20" i="27"/>
  <c r="PX20" i="27"/>
  <c r="PW20" i="27"/>
  <c r="PV20" i="27"/>
  <c r="PS20" i="27"/>
  <c r="PR20" i="27"/>
  <c r="PQ20" i="27"/>
  <c r="PN20" i="27"/>
  <c r="PM20" i="27"/>
  <c r="PL20" i="27"/>
  <c r="PG20" i="27"/>
  <c r="PF20" i="27"/>
  <c r="PE20" i="27"/>
  <c r="PB20" i="27"/>
  <c r="PA20" i="27"/>
  <c r="OZ20" i="27"/>
  <c r="OW20" i="27"/>
  <c r="OV20" i="27"/>
  <c r="OU20" i="27"/>
  <c r="OP20" i="27"/>
  <c r="OO20" i="27"/>
  <c r="ON20" i="27"/>
  <c r="OK20" i="27"/>
  <c r="OJ20" i="27"/>
  <c r="OI20" i="27"/>
  <c r="OF20" i="27"/>
  <c r="OE20" i="27"/>
  <c r="OD20" i="27"/>
  <c r="NY20" i="27"/>
  <c r="NX20" i="27"/>
  <c r="NW20" i="27"/>
  <c r="NT20" i="27"/>
  <c r="NS20" i="27"/>
  <c r="NR20" i="27"/>
  <c r="NO20" i="27"/>
  <c r="NN20" i="27"/>
  <c r="NM20" i="27"/>
  <c r="NH20" i="27"/>
  <c r="NG20" i="27"/>
  <c r="NF20" i="27"/>
  <c r="NC20" i="27"/>
  <c r="NB20" i="27"/>
  <c r="NA20" i="27"/>
  <c r="MX20" i="27"/>
  <c r="MW20" i="27"/>
  <c r="MV20" i="27"/>
  <c r="MQ20" i="27"/>
  <c r="MP20" i="27"/>
  <c r="MO20" i="27"/>
  <c r="ML20" i="27"/>
  <c r="MK20" i="27"/>
  <c r="MJ20" i="27"/>
  <c r="MG20" i="27"/>
  <c r="MF20" i="27"/>
  <c r="ME20" i="27"/>
  <c r="LZ20" i="27"/>
  <c r="LY20" i="27"/>
  <c r="LX20" i="27"/>
  <c r="LU20" i="27"/>
  <c r="LT20" i="27"/>
  <c r="LS20" i="27"/>
  <c r="LP20" i="27"/>
  <c r="LO20" i="27"/>
  <c r="LN20" i="27"/>
  <c r="LI20" i="27"/>
  <c r="LH20" i="27"/>
  <c r="LG20" i="27"/>
  <c r="LD20" i="27"/>
  <c r="LC20" i="27"/>
  <c r="LB20" i="27"/>
  <c r="KY20" i="27"/>
  <c r="KX20" i="27"/>
  <c r="KW20" i="27"/>
  <c r="KR20" i="27"/>
  <c r="KQ20" i="27"/>
  <c r="KP20" i="27"/>
  <c r="KM20" i="27"/>
  <c r="KL20" i="27"/>
  <c r="KK20" i="27"/>
  <c r="KH20" i="27"/>
  <c r="KG20" i="27"/>
  <c r="KF20" i="27"/>
  <c r="KA20" i="27"/>
  <c r="JZ20" i="27"/>
  <c r="JY20" i="27"/>
  <c r="JV20" i="27"/>
  <c r="JU20" i="27"/>
  <c r="JT20" i="27"/>
  <c r="JQ20" i="27"/>
  <c r="JP20" i="27"/>
  <c r="JO20" i="27"/>
  <c r="JJ20" i="27"/>
  <c r="JI20" i="27"/>
  <c r="JH20" i="27"/>
  <c r="JE20" i="27"/>
  <c r="JD20" i="27"/>
  <c r="JC20" i="27"/>
  <c r="IZ20" i="27"/>
  <c r="IY20" i="27"/>
  <c r="IX20" i="27"/>
  <c r="IS20" i="27"/>
  <c r="IR20" i="27"/>
  <c r="IQ20" i="27"/>
  <c r="IN20" i="27"/>
  <c r="IM20" i="27"/>
  <c r="IL20" i="27"/>
  <c r="II20" i="27"/>
  <c r="IH20" i="27"/>
  <c r="IG20" i="27"/>
  <c r="IB20" i="27"/>
  <c r="IA20" i="27"/>
  <c r="HZ20" i="27"/>
  <c r="HW20" i="27"/>
  <c r="HV20" i="27"/>
  <c r="HU20" i="27"/>
  <c r="HR20" i="27"/>
  <c r="HQ20" i="27"/>
  <c r="HP20" i="27"/>
  <c r="HK20" i="27"/>
  <c r="HJ20" i="27"/>
  <c r="HI20" i="27"/>
  <c r="HF20" i="27"/>
  <c r="HE20" i="27"/>
  <c r="HD20" i="27"/>
  <c r="HA20" i="27"/>
  <c r="GZ20" i="27"/>
  <c r="GY20" i="27"/>
  <c r="GT20" i="27"/>
  <c r="GS20" i="27"/>
  <c r="GR20" i="27"/>
  <c r="GO20" i="27"/>
  <c r="GN20" i="27"/>
  <c r="GM20" i="27"/>
  <c r="GJ20" i="27"/>
  <c r="GI20" i="27"/>
  <c r="GH20" i="27"/>
  <c r="GC20" i="27"/>
  <c r="GB20" i="27"/>
  <c r="GA20" i="27"/>
  <c r="FX20" i="27"/>
  <c r="FW20" i="27"/>
  <c r="FV20" i="27"/>
  <c r="FS20" i="27"/>
  <c r="FR20" i="27"/>
  <c r="FQ20" i="27"/>
  <c r="FL20" i="27"/>
  <c r="FK20" i="27"/>
  <c r="FJ20" i="27"/>
  <c r="FG20" i="27"/>
  <c r="FF20" i="27"/>
  <c r="FE20" i="27"/>
  <c r="FB20" i="27"/>
  <c r="FA20" i="27"/>
  <c r="EZ20" i="27"/>
  <c r="EU20" i="27"/>
  <c r="ET20" i="27"/>
  <c r="ES20" i="27"/>
  <c r="EP20" i="27"/>
  <c r="EO20" i="27"/>
  <c r="EN20" i="27"/>
  <c r="EK20" i="27"/>
  <c r="EJ20" i="27"/>
  <c r="EI20" i="27"/>
  <c r="ED20" i="27"/>
  <c r="EC20" i="27"/>
  <c r="EB20" i="27"/>
  <c r="DY20" i="27"/>
  <c r="DX20" i="27"/>
  <c r="DW20" i="27"/>
  <c r="DT20" i="27"/>
  <c r="DS20" i="27"/>
  <c r="DR20" i="27"/>
  <c r="DM20" i="27"/>
  <c r="DL20" i="27"/>
  <c r="DK20" i="27"/>
  <c r="DH20" i="27"/>
  <c r="DG20" i="27"/>
  <c r="DF20" i="27"/>
  <c r="DC20" i="27"/>
  <c r="DB20" i="27"/>
  <c r="DA20" i="27"/>
  <c r="CV20" i="27"/>
  <c r="CU20" i="27"/>
  <c r="CT20" i="27"/>
  <c r="CQ20" i="27"/>
  <c r="CP20" i="27"/>
  <c r="CO20" i="27"/>
  <c r="CL20" i="27"/>
  <c r="CK20" i="27"/>
  <c r="CJ20" i="27"/>
  <c r="CE20" i="27"/>
  <c r="CD20" i="27"/>
  <c r="CC20" i="27"/>
  <c r="BZ20" i="27"/>
  <c r="BY20" i="27"/>
  <c r="BX20" i="27"/>
  <c r="BU20" i="27"/>
  <c r="BT20" i="27"/>
  <c r="BS20" i="27"/>
  <c r="BN20" i="27"/>
  <c r="BM20" i="27"/>
  <c r="BL20" i="27"/>
  <c r="BI20" i="27"/>
  <c r="BH20" i="27"/>
  <c r="BG20" i="27"/>
  <c r="BD20" i="27"/>
  <c r="BC20" i="27"/>
  <c r="BB20" i="27"/>
  <c r="AW20" i="27"/>
  <c r="AV20" i="27"/>
  <c r="AU20" i="27"/>
  <c r="AR20" i="27"/>
  <c r="AQ20" i="27"/>
  <c r="AP20" i="27"/>
  <c r="AM20" i="27"/>
  <c r="AL20" i="27"/>
  <c r="AK20" i="27"/>
  <c r="AF20" i="27"/>
  <c r="AE20" i="27"/>
  <c r="AD20" i="27"/>
  <c r="AA20" i="27"/>
  <c r="Z20" i="27"/>
  <c r="Y20" i="27"/>
  <c r="V20" i="27"/>
  <c r="U20" i="27"/>
  <c r="T20" i="27"/>
  <c r="O20" i="27"/>
  <c r="N20" i="27"/>
  <c r="M20" i="27"/>
  <c r="J20" i="27"/>
  <c r="I20" i="27"/>
  <c r="H20" i="27"/>
  <c r="E20" i="27"/>
  <c r="D20" i="27"/>
  <c r="C20" i="27"/>
  <c r="SO19" i="27"/>
  <c r="SP19" i="27" s="1"/>
  <c r="SJ19" i="27"/>
  <c r="SK19" i="27" s="1"/>
  <c r="SE19" i="27"/>
  <c r="RX19" i="27"/>
  <c r="RY19" i="27" s="1"/>
  <c r="RS19" i="27"/>
  <c r="RT19" i="27" s="1"/>
  <c r="RN19" i="27"/>
  <c r="RG19" i="27"/>
  <c r="RH19" i="27" s="1"/>
  <c r="RB19" i="27"/>
  <c r="RC19" i="27" s="1"/>
  <c r="QW19" i="27"/>
  <c r="QP19" i="27"/>
  <c r="QQ19" i="27" s="1"/>
  <c r="QK19" i="27"/>
  <c r="QL19" i="27" s="1"/>
  <c r="QF19" i="27"/>
  <c r="PY19" i="27"/>
  <c r="PZ19" i="27" s="1"/>
  <c r="PT19" i="27"/>
  <c r="PU19" i="27" s="1"/>
  <c r="PO19" i="27"/>
  <c r="PP19" i="27" s="1"/>
  <c r="PH19" i="27"/>
  <c r="PI19" i="27" s="1"/>
  <c r="PC19" i="27"/>
  <c r="PD19" i="27" s="1"/>
  <c r="OX19" i="27"/>
  <c r="OQ19" i="27"/>
  <c r="OR19" i="27" s="1"/>
  <c r="OL19" i="27"/>
  <c r="OM19" i="27" s="1"/>
  <c r="OG19" i="27"/>
  <c r="OH19" i="27" s="1"/>
  <c r="NZ19" i="27"/>
  <c r="OA19" i="27" s="1"/>
  <c r="NU19" i="27"/>
  <c r="NV19" i="27" s="1"/>
  <c r="NP19" i="27"/>
  <c r="NI19" i="27"/>
  <c r="NJ19" i="27" s="1"/>
  <c r="ND19" i="27"/>
  <c r="NE19" i="27" s="1"/>
  <c r="MY19" i="27"/>
  <c r="MZ19" i="27" s="1"/>
  <c r="MR19" i="27"/>
  <c r="MS19" i="27" s="1"/>
  <c r="MM19" i="27"/>
  <c r="MN19" i="27" s="1"/>
  <c r="MH19" i="27"/>
  <c r="MA19" i="27"/>
  <c r="MB19" i="27" s="1"/>
  <c r="LV19" i="27"/>
  <c r="LW19" i="27" s="1"/>
  <c r="LQ19" i="27"/>
  <c r="LR19" i="27" s="1"/>
  <c r="LJ19" i="27"/>
  <c r="LK19" i="27" s="1"/>
  <c r="LE19" i="27"/>
  <c r="LF19" i="27" s="1"/>
  <c r="KZ19" i="27"/>
  <c r="KS19" i="27"/>
  <c r="KT19" i="27" s="1"/>
  <c r="KN19" i="27"/>
  <c r="KO19" i="27" s="1"/>
  <c r="KI19" i="27"/>
  <c r="KJ19" i="27" s="1"/>
  <c r="KB19" i="27"/>
  <c r="KC19" i="27" s="1"/>
  <c r="JW19" i="27"/>
  <c r="JX19" i="27" s="1"/>
  <c r="JR19" i="27"/>
  <c r="JK19" i="27"/>
  <c r="JL19" i="27" s="1"/>
  <c r="JG19" i="27"/>
  <c r="JF19" i="27"/>
  <c r="JA19" i="27"/>
  <c r="JB19" i="27" s="1"/>
  <c r="IT19" i="27"/>
  <c r="IU19" i="27" s="1"/>
  <c r="IO19" i="27"/>
  <c r="IP19" i="27" s="1"/>
  <c r="IJ19" i="27"/>
  <c r="IC19" i="27"/>
  <c r="ID19" i="27" s="1"/>
  <c r="HY19" i="27"/>
  <c r="HX19" i="27"/>
  <c r="HS19" i="27"/>
  <c r="HT19" i="27" s="1"/>
  <c r="HL19" i="27"/>
  <c r="HM19" i="27" s="1"/>
  <c r="HH19" i="27"/>
  <c r="HG19" i="27"/>
  <c r="HB19" i="27"/>
  <c r="HC19" i="27" s="1"/>
  <c r="GU19" i="27"/>
  <c r="GV19" i="27" s="1"/>
  <c r="GQ19" i="27"/>
  <c r="GP19" i="27"/>
  <c r="GK19" i="27"/>
  <c r="GL19" i="27" s="1"/>
  <c r="GD19" i="27"/>
  <c r="GE19" i="27" s="1"/>
  <c r="FZ19" i="27"/>
  <c r="FY19" i="27"/>
  <c r="FT19" i="27"/>
  <c r="FU19" i="27" s="1"/>
  <c r="FM19" i="27"/>
  <c r="FN19" i="27" s="1"/>
  <c r="FI19" i="27"/>
  <c r="FH19" i="27"/>
  <c r="FC19" i="27"/>
  <c r="FD19" i="27" s="1"/>
  <c r="EV19" i="27"/>
  <c r="EW19" i="27" s="1"/>
  <c r="ER19" i="27"/>
  <c r="EQ19" i="27"/>
  <c r="EL19" i="27"/>
  <c r="EM19" i="27" s="1"/>
  <c r="EE19" i="27"/>
  <c r="EF19" i="27" s="1"/>
  <c r="EA19" i="27"/>
  <c r="DZ19" i="27"/>
  <c r="DU19" i="27"/>
  <c r="DV19" i="27" s="1"/>
  <c r="DN19" i="27"/>
  <c r="DO19" i="27" s="1"/>
  <c r="DJ19" i="27"/>
  <c r="DI19" i="27"/>
  <c r="DD19" i="27"/>
  <c r="DE19" i="27" s="1"/>
  <c r="CW19" i="27"/>
  <c r="CX19" i="27" s="1"/>
  <c r="CS19" i="27"/>
  <c r="CR19" i="27"/>
  <c r="CM19" i="27"/>
  <c r="CN19" i="27" s="1"/>
  <c r="CF19" i="27"/>
  <c r="CG19" i="27" s="1"/>
  <c r="CB19" i="27"/>
  <c r="CA19" i="27"/>
  <c r="BV19" i="27"/>
  <c r="BW19" i="27" s="1"/>
  <c r="BO19" i="27"/>
  <c r="BP19" i="27" s="1"/>
  <c r="BK19" i="27"/>
  <c r="BJ19" i="27"/>
  <c r="BE19" i="27"/>
  <c r="BF19" i="27" s="1"/>
  <c r="AX19" i="27"/>
  <c r="AY19" i="27" s="1"/>
  <c r="AT19" i="27"/>
  <c r="AS19" i="27"/>
  <c r="AN19" i="27"/>
  <c r="AO19" i="27" s="1"/>
  <c r="AG19" i="27"/>
  <c r="AH19" i="27" s="1"/>
  <c r="AC19" i="27"/>
  <c r="AB19" i="27"/>
  <c r="W19" i="27"/>
  <c r="X19" i="27" s="1"/>
  <c r="P19" i="27"/>
  <c r="Q19" i="27" s="1"/>
  <c r="L19" i="27"/>
  <c r="K19" i="27"/>
  <c r="F19" i="27"/>
  <c r="G19" i="27" s="1"/>
  <c r="SQ18" i="27"/>
  <c r="SR18" i="27" s="1"/>
  <c r="SO18" i="27"/>
  <c r="SP18" i="27" s="1"/>
  <c r="SK18" i="27"/>
  <c r="SJ18" i="27"/>
  <c r="SE18" i="27"/>
  <c r="SF18" i="27" s="1"/>
  <c r="RZ18" i="27"/>
  <c r="SA18" i="27" s="1"/>
  <c r="RX18" i="27"/>
  <c r="RY18" i="27" s="1"/>
  <c r="RS18" i="27"/>
  <c r="RT18" i="27" s="1"/>
  <c r="RN18" i="27"/>
  <c r="RO18" i="27" s="1"/>
  <c r="RI18" i="27"/>
  <c r="RJ18" i="27" s="1"/>
  <c r="RG18" i="27"/>
  <c r="RH18" i="27" s="1"/>
  <c r="RB18" i="27"/>
  <c r="RC18" i="27" s="1"/>
  <c r="QW18" i="27"/>
  <c r="QX18" i="27" s="1"/>
  <c r="QR18" i="27"/>
  <c r="QS18" i="27" s="1"/>
  <c r="QP18" i="27"/>
  <c r="QQ18" i="27" s="1"/>
  <c r="QK18" i="27"/>
  <c r="QL18" i="27" s="1"/>
  <c r="QF18" i="27"/>
  <c r="QG18" i="27" s="1"/>
  <c r="QA18" i="27"/>
  <c r="QB18" i="27" s="1"/>
  <c r="PY18" i="27"/>
  <c r="PZ18" i="27" s="1"/>
  <c r="PU18" i="27"/>
  <c r="PT18" i="27"/>
  <c r="PO18" i="27"/>
  <c r="PP18" i="27" s="1"/>
  <c r="PJ18" i="27"/>
  <c r="PK18" i="27" s="1"/>
  <c r="PH18" i="27"/>
  <c r="PI18" i="27" s="1"/>
  <c r="PC18" i="27"/>
  <c r="PD18" i="27" s="1"/>
  <c r="OX18" i="27"/>
  <c r="OY18" i="27" s="1"/>
  <c r="OS18" i="27"/>
  <c r="OT18" i="27" s="1"/>
  <c r="OQ18" i="27"/>
  <c r="OR18" i="27" s="1"/>
  <c r="OM18" i="27"/>
  <c r="OL18" i="27"/>
  <c r="OG18" i="27"/>
  <c r="OH18" i="27" s="1"/>
  <c r="OB18" i="27"/>
  <c r="OC18" i="27" s="1"/>
  <c r="NZ18" i="27"/>
  <c r="OA18" i="27" s="1"/>
  <c r="NU18" i="27"/>
  <c r="NV18" i="27" s="1"/>
  <c r="NP18" i="27"/>
  <c r="NQ18" i="27" s="1"/>
  <c r="NK18" i="27"/>
  <c r="NL18" i="27" s="1"/>
  <c r="NI18" i="27"/>
  <c r="NJ18" i="27" s="1"/>
  <c r="ND18" i="27"/>
  <c r="NE18" i="27" s="1"/>
  <c r="MY18" i="27"/>
  <c r="MZ18" i="27" s="1"/>
  <c r="MT18" i="27"/>
  <c r="MU18" i="27" s="1"/>
  <c r="MR18" i="27"/>
  <c r="MS18" i="27" s="1"/>
  <c r="MM18" i="27"/>
  <c r="MN18" i="27" s="1"/>
  <c r="MH18" i="27"/>
  <c r="MI18" i="27" s="1"/>
  <c r="MC18" i="27"/>
  <c r="MD18" i="27" s="1"/>
  <c r="MA18" i="27"/>
  <c r="MB18" i="27" s="1"/>
  <c r="LW18" i="27"/>
  <c r="LV18" i="27"/>
  <c r="LQ18" i="27"/>
  <c r="LR18" i="27" s="1"/>
  <c r="LL18" i="27"/>
  <c r="LM18" i="27" s="1"/>
  <c r="LJ18" i="27"/>
  <c r="LK18" i="27" s="1"/>
  <c r="LE18" i="27"/>
  <c r="LF18" i="27" s="1"/>
  <c r="KZ18" i="27"/>
  <c r="LA18" i="27" s="1"/>
  <c r="KU18" i="27"/>
  <c r="KV18" i="27" s="1"/>
  <c r="KS18" i="27"/>
  <c r="KT18" i="27" s="1"/>
  <c r="KO18" i="27"/>
  <c r="KN18" i="27"/>
  <c r="KI18" i="27"/>
  <c r="KJ18" i="27" s="1"/>
  <c r="KE18" i="27"/>
  <c r="KD18" i="27"/>
  <c r="KB18" i="27"/>
  <c r="KC18" i="27" s="1"/>
  <c r="JX18" i="27"/>
  <c r="JW18" i="27"/>
  <c r="JR18" i="27"/>
  <c r="JS18" i="27" s="1"/>
  <c r="JN18" i="27"/>
  <c r="JM18" i="27"/>
  <c r="JK18" i="27"/>
  <c r="JL18" i="27" s="1"/>
  <c r="JG18" i="27"/>
  <c r="JF18" i="27"/>
  <c r="JA18" i="27"/>
  <c r="JB18" i="27" s="1"/>
  <c r="IV18" i="27"/>
  <c r="IW18" i="27" s="1"/>
  <c r="IU18" i="27"/>
  <c r="IT18" i="27"/>
  <c r="IO18" i="27"/>
  <c r="IP18" i="27" s="1"/>
  <c r="IK18" i="27"/>
  <c r="IJ18" i="27"/>
  <c r="IE18" i="27"/>
  <c r="IF18" i="27" s="1"/>
  <c r="IC18" i="27"/>
  <c r="ID18" i="27" s="1"/>
  <c r="HY18" i="27"/>
  <c r="HX18" i="27"/>
  <c r="HS18" i="27"/>
  <c r="HT18" i="27" s="1"/>
  <c r="HN18" i="27"/>
  <c r="HO18" i="27" s="1"/>
  <c r="HM18" i="27"/>
  <c r="HL18" i="27"/>
  <c r="HG18" i="27"/>
  <c r="HH18" i="27" s="1"/>
  <c r="HB18" i="27"/>
  <c r="HC18" i="27" s="1"/>
  <c r="GW18" i="27"/>
  <c r="GX18" i="27" s="1"/>
  <c r="GV18" i="27"/>
  <c r="GU18" i="27"/>
  <c r="GP18" i="27"/>
  <c r="GQ18" i="27" s="1"/>
  <c r="GK18" i="27"/>
  <c r="GL18" i="27" s="1"/>
  <c r="GF18" i="27"/>
  <c r="GG18" i="27" s="1"/>
  <c r="GD18" i="27"/>
  <c r="GE18" i="27" s="1"/>
  <c r="FY18" i="27"/>
  <c r="FZ18" i="27" s="1"/>
  <c r="FT18" i="27"/>
  <c r="FU18" i="27" s="1"/>
  <c r="FO18" i="27"/>
  <c r="FP18" i="27" s="1"/>
  <c r="FM18" i="27"/>
  <c r="FN18" i="27" s="1"/>
  <c r="FH18" i="27"/>
  <c r="FI18" i="27" s="1"/>
  <c r="FC18" i="27"/>
  <c r="FD18" i="27" s="1"/>
  <c r="EX18" i="27"/>
  <c r="EY18" i="27" s="1"/>
  <c r="EV18" i="27"/>
  <c r="EW18" i="27" s="1"/>
  <c r="EQ18" i="27"/>
  <c r="ER18" i="27" s="1"/>
  <c r="EL18" i="27"/>
  <c r="EM18" i="27" s="1"/>
  <c r="EH18" i="27"/>
  <c r="EG18" i="27"/>
  <c r="EE18" i="27"/>
  <c r="EF18" i="27" s="1"/>
  <c r="DZ18" i="27"/>
  <c r="EA18" i="27" s="1"/>
  <c r="DU18" i="27"/>
  <c r="DV18" i="27" s="1"/>
  <c r="DP18" i="27"/>
  <c r="DQ18" i="27" s="1"/>
  <c r="DO18" i="27"/>
  <c r="DN18" i="27"/>
  <c r="DI18" i="27"/>
  <c r="DJ18" i="27" s="1"/>
  <c r="DD18" i="27"/>
  <c r="DE18" i="27" s="1"/>
  <c r="CY18" i="27"/>
  <c r="CZ18" i="27" s="1"/>
  <c r="CX18" i="27"/>
  <c r="CW18" i="27"/>
  <c r="CR18" i="27"/>
  <c r="CS18" i="27" s="1"/>
  <c r="CN18" i="27"/>
  <c r="CM18" i="27"/>
  <c r="CH18" i="27"/>
  <c r="CI18" i="27" s="1"/>
  <c r="CF18" i="27"/>
  <c r="CG18" i="27" s="1"/>
  <c r="CA18" i="27"/>
  <c r="CB18" i="27" s="1"/>
  <c r="BW18" i="27"/>
  <c r="BV18" i="27"/>
  <c r="BQ18" i="27"/>
  <c r="BR18" i="27" s="1"/>
  <c r="BP18" i="27"/>
  <c r="BO18" i="27"/>
  <c r="BJ18" i="27"/>
  <c r="BK18" i="27" s="1"/>
  <c r="BE18" i="27"/>
  <c r="BF18" i="27" s="1"/>
  <c r="AZ18" i="27"/>
  <c r="BA18" i="27" s="1"/>
  <c r="AX18" i="27"/>
  <c r="AY18" i="27" s="1"/>
  <c r="AT18" i="27"/>
  <c r="AS18" i="27"/>
  <c r="AN18" i="27"/>
  <c r="AO18" i="27" s="1"/>
  <c r="AI18" i="27"/>
  <c r="AJ18" i="27" s="1"/>
  <c r="AG18" i="27"/>
  <c r="AH18" i="27" s="1"/>
  <c r="AB18" i="27"/>
  <c r="AC18" i="27" s="1"/>
  <c r="W18" i="27"/>
  <c r="X18" i="27" s="1"/>
  <c r="R18" i="27"/>
  <c r="S18" i="27" s="1"/>
  <c r="P18" i="27"/>
  <c r="Q18" i="27" s="1"/>
  <c r="K18" i="27"/>
  <c r="L18" i="27" s="1"/>
  <c r="G18" i="27"/>
  <c r="F18" i="27"/>
  <c r="SO17" i="27"/>
  <c r="SP17" i="27" s="1"/>
  <c r="SJ17" i="27"/>
  <c r="SK17" i="27" s="1"/>
  <c r="SE17" i="27"/>
  <c r="SF17" i="27" s="1"/>
  <c r="RY17" i="27"/>
  <c r="RX17" i="27"/>
  <c r="RS17" i="27"/>
  <c r="RO17" i="27"/>
  <c r="RN17" i="27"/>
  <c r="RG17" i="27"/>
  <c r="RH17" i="27" s="1"/>
  <c r="RB17" i="27"/>
  <c r="RC17" i="27" s="1"/>
  <c r="QW17" i="27"/>
  <c r="QX17" i="27" s="1"/>
  <c r="QP17" i="27"/>
  <c r="QQ17" i="27" s="1"/>
  <c r="QK17" i="27"/>
  <c r="QG17" i="27"/>
  <c r="QF17" i="27"/>
  <c r="PY17" i="27"/>
  <c r="PZ17" i="27" s="1"/>
  <c r="PT17" i="27"/>
  <c r="PU17" i="27" s="1"/>
  <c r="PO17" i="27"/>
  <c r="PP17" i="27" s="1"/>
  <c r="PH17" i="27"/>
  <c r="PI17" i="27" s="1"/>
  <c r="PC17" i="27"/>
  <c r="OX17" i="27"/>
  <c r="OY17" i="27" s="1"/>
  <c r="OQ17" i="27"/>
  <c r="OR17" i="27" s="1"/>
  <c r="OM17" i="27"/>
  <c r="OL17" i="27"/>
  <c r="OG17" i="27"/>
  <c r="OH17" i="27" s="1"/>
  <c r="NZ17" i="27"/>
  <c r="OA17" i="27" s="1"/>
  <c r="NU17" i="27"/>
  <c r="NP17" i="27"/>
  <c r="NQ17" i="27" s="1"/>
  <c r="NI17" i="27"/>
  <c r="NJ17" i="27" s="1"/>
  <c r="ND17" i="27"/>
  <c r="MY17" i="27"/>
  <c r="MZ17" i="27" s="1"/>
  <c r="MS17" i="27"/>
  <c r="MR17" i="27"/>
  <c r="MM17" i="27"/>
  <c r="MH17" i="27"/>
  <c r="MI17" i="27" s="1"/>
  <c r="MA17" i="27"/>
  <c r="MB17" i="27" s="1"/>
  <c r="LW17" i="27"/>
  <c r="LV17" i="27"/>
  <c r="LQ17" i="27"/>
  <c r="LR17" i="27" s="1"/>
  <c r="LJ17" i="27"/>
  <c r="LK17" i="27" s="1"/>
  <c r="LE17" i="27"/>
  <c r="KZ17" i="27"/>
  <c r="LA17" i="27" s="1"/>
  <c r="KS17" i="27"/>
  <c r="KT17" i="27" s="1"/>
  <c r="KO17" i="27"/>
  <c r="KN17" i="27"/>
  <c r="KI17" i="27"/>
  <c r="KJ17" i="27" s="1"/>
  <c r="KB17" i="27"/>
  <c r="KC17" i="27" s="1"/>
  <c r="JW17" i="27"/>
  <c r="JR17" i="27"/>
  <c r="JS17" i="27" s="1"/>
  <c r="JK17" i="27"/>
  <c r="JL17" i="27" s="1"/>
  <c r="JF17" i="27"/>
  <c r="JG17" i="27" s="1"/>
  <c r="JA17" i="27"/>
  <c r="JB17" i="27" s="1"/>
  <c r="IT17" i="27"/>
  <c r="IU17" i="27" s="1"/>
  <c r="IO17" i="27"/>
  <c r="IK17" i="27"/>
  <c r="IJ17" i="27"/>
  <c r="IC17" i="27"/>
  <c r="ID17" i="27" s="1"/>
  <c r="HX17" i="27"/>
  <c r="HS17" i="27"/>
  <c r="HT17" i="27" s="1"/>
  <c r="HL17" i="27"/>
  <c r="HM17" i="27" s="1"/>
  <c r="HG17" i="27"/>
  <c r="HC17" i="27"/>
  <c r="HB17" i="27"/>
  <c r="GU17" i="27"/>
  <c r="GV17" i="27" s="1"/>
  <c r="GQ17" i="27"/>
  <c r="GP17" i="27"/>
  <c r="GK17" i="27"/>
  <c r="GL17" i="27" s="1"/>
  <c r="GD17" i="27"/>
  <c r="GE17" i="27" s="1"/>
  <c r="FY17" i="27"/>
  <c r="FU17" i="27"/>
  <c r="FT17" i="27"/>
  <c r="FM17" i="27"/>
  <c r="FN17" i="27" s="1"/>
  <c r="FI17" i="27"/>
  <c r="FH17" i="27"/>
  <c r="FC17" i="27"/>
  <c r="FD17" i="27" s="1"/>
  <c r="EV17" i="27"/>
  <c r="EW17" i="27" s="1"/>
  <c r="EQ17" i="27"/>
  <c r="EL17" i="27"/>
  <c r="EM17" i="27" s="1"/>
  <c r="EE17" i="27"/>
  <c r="EF17" i="27" s="1"/>
  <c r="DZ17" i="27"/>
  <c r="DU17" i="27"/>
  <c r="DV17" i="27" s="1"/>
  <c r="DN17" i="27"/>
  <c r="DO17" i="27" s="1"/>
  <c r="DJ17" i="27"/>
  <c r="DI17" i="27"/>
  <c r="DD17" i="27"/>
  <c r="DE17" i="27" s="1"/>
  <c r="CW17" i="27"/>
  <c r="CX17" i="27" s="1"/>
  <c r="CR17" i="27"/>
  <c r="CN17" i="27"/>
  <c r="CM17" i="27"/>
  <c r="CF17" i="27"/>
  <c r="CG17" i="27" s="1"/>
  <c r="CA17" i="27"/>
  <c r="CB17" i="27" s="1"/>
  <c r="BV17" i="27"/>
  <c r="BW17" i="27" s="1"/>
  <c r="BP17" i="27"/>
  <c r="BO17" i="27"/>
  <c r="BJ17" i="27"/>
  <c r="BK17" i="27" s="1"/>
  <c r="BF17" i="27"/>
  <c r="BE17" i="27"/>
  <c r="AX17" i="27"/>
  <c r="AY17" i="27" s="1"/>
  <c r="AS17" i="27"/>
  <c r="AT17" i="27" s="1"/>
  <c r="AO17" i="27"/>
  <c r="AN17" i="27"/>
  <c r="AG17" i="27"/>
  <c r="AH17" i="27" s="1"/>
  <c r="AB17" i="27"/>
  <c r="AC17" i="27" s="1"/>
  <c r="W17" i="27"/>
  <c r="X17" i="27" s="1"/>
  <c r="P17" i="27"/>
  <c r="Q17" i="27" s="1"/>
  <c r="K17" i="27"/>
  <c r="L17" i="27" s="1"/>
  <c r="G17" i="27"/>
  <c r="F17" i="27"/>
  <c r="SO16" i="27"/>
  <c r="SP16" i="27" s="1"/>
  <c r="SJ16" i="27"/>
  <c r="SK16" i="27" s="1"/>
  <c r="SF16" i="27"/>
  <c r="SE16" i="27"/>
  <c r="RZ16" i="27"/>
  <c r="SA16" i="27" s="1"/>
  <c r="RX16" i="27"/>
  <c r="RY16" i="27" s="1"/>
  <c r="RS16" i="27"/>
  <c r="RT16" i="27" s="1"/>
  <c r="RO16" i="27"/>
  <c r="RN16" i="27"/>
  <c r="RG16" i="27"/>
  <c r="RH16" i="27" s="1"/>
  <c r="RB16" i="27"/>
  <c r="RC16" i="27" s="1"/>
  <c r="QW16" i="27"/>
  <c r="QX16" i="27" s="1"/>
  <c r="QP16" i="27"/>
  <c r="QQ16" i="27" s="1"/>
  <c r="QK16" i="27"/>
  <c r="QL16" i="27" s="1"/>
  <c r="QF16" i="27"/>
  <c r="QG16" i="27" s="1"/>
  <c r="PY16" i="27"/>
  <c r="PZ16" i="27" s="1"/>
  <c r="PT16" i="27"/>
  <c r="PU16" i="27" s="1"/>
  <c r="PO16" i="27"/>
  <c r="PP16" i="27" s="1"/>
  <c r="PH16" i="27"/>
  <c r="PI16" i="27" s="1"/>
  <c r="PC16" i="27"/>
  <c r="PD16" i="27" s="1"/>
  <c r="OY16" i="27"/>
  <c r="OX16" i="27"/>
  <c r="OQ16" i="27"/>
  <c r="OR16" i="27" s="1"/>
  <c r="OL16" i="27"/>
  <c r="OM16" i="27" s="1"/>
  <c r="OG16" i="27"/>
  <c r="OH16" i="27" s="1"/>
  <c r="OB16" i="27"/>
  <c r="OC16" i="27" s="1"/>
  <c r="NZ16" i="27"/>
  <c r="OA16" i="27" s="1"/>
  <c r="NU16" i="27"/>
  <c r="NV16" i="27" s="1"/>
  <c r="NQ16" i="27"/>
  <c r="NP16" i="27"/>
  <c r="NI16" i="27"/>
  <c r="NJ16" i="27" s="1"/>
  <c r="ND16" i="27"/>
  <c r="NE16" i="27" s="1"/>
  <c r="MY16" i="27"/>
  <c r="MZ16" i="27" s="1"/>
  <c r="MR16" i="27"/>
  <c r="MS16" i="27" s="1"/>
  <c r="MM16" i="27"/>
  <c r="MN16" i="27" s="1"/>
  <c r="MH16" i="27"/>
  <c r="MA16" i="27"/>
  <c r="MB16" i="27" s="1"/>
  <c r="LV16" i="27"/>
  <c r="LW16" i="27" s="1"/>
  <c r="LQ16" i="27"/>
  <c r="LR16" i="27" s="1"/>
  <c r="LK16" i="27"/>
  <c r="LJ16" i="27"/>
  <c r="LE16" i="27"/>
  <c r="LF16" i="27" s="1"/>
  <c r="KZ16" i="27"/>
  <c r="LA16" i="27" s="1"/>
  <c r="KS16" i="27"/>
  <c r="KT16" i="27" s="1"/>
  <c r="KN16" i="27"/>
  <c r="KO16" i="27" s="1"/>
  <c r="KI16" i="27"/>
  <c r="KJ16" i="27" s="1"/>
  <c r="KC16" i="27"/>
  <c r="KB16" i="27"/>
  <c r="JW16" i="27"/>
  <c r="JX16" i="27" s="1"/>
  <c r="JR16" i="27"/>
  <c r="KD16" i="27" s="1"/>
  <c r="KE16" i="27" s="1"/>
  <c r="JK16" i="27"/>
  <c r="JL16" i="27" s="1"/>
  <c r="JF16" i="27"/>
  <c r="JG16" i="27" s="1"/>
  <c r="JB16" i="27"/>
  <c r="JA16" i="27"/>
  <c r="IU16" i="27"/>
  <c r="IT16" i="27"/>
  <c r="IO16" i="27"/>
  <c r="IP16" i="27" s="1"/>
  <c r="IJ16" i="27"/>
  <c r="ID16" i="27"/>
  <c r="IC16" i="27"/>
  <c r="HX16" i="27"/>
  <c r="HY16" i="27" s="1"/>
  <c r="HS16" i="27"/>
  <c r="HT16" i="27" s="1"/>
  <c r="HL16" i="27"/>
  <c r="HM16" i="27" s="1"/>
  <c r="HG16" i="27"/>
  <c r="HH16" i="27" s="1"/>
  <c r="HB16" i="27"/>
  <c r="HC16" i="27" s="1"/>
  <c r="GU16" i="27"/>
  <c r="GV16" i="27" s="1"/>
  <c r="GP16" i="27"/>
  <c r="GQ16" i="27" s="1"/>
  <c r="GK16" i="27"/>
  <c r="GL16" i="27" s="1"/>
  <c r="GD16" i="27"/>
  <c r="GE16" i="27" s="1"/>
  <c r="FY16" i="27"/>
  <c r="FZ16" i="27" s="1"/>
  <c r="FU16" i="27"/>
  <c r="FT16" i="27"/>
  <c r="FN16" i="27"/>
  <c r="FM16" i="27"/>
  <c r="FH16" i="27"/>
  <c r="FI16" i="27" s="1"/>
  <c r="FC16" i="27"/>
  <c r="FD16" i="27" s="1"/>
  <c r="EV16" i="27"/>
  <c r="EW16" i="27" s="1"/>
  <c r="EQ16" i="27"/>
  <c r="ER16" i="27" s="1"/>
  <c r="EL16" i="27"/>
  <c r="EE16" i="27"/>
  <c r="EF16" i="27" s="1"/>
  <c r="DZ16" i="27"/>
  <c r="EA16" i="27" s="1"/>
  <c r="DV16" i="27"/>
  <c r="DU16" i="27"/>
  <c r="DN16" i="27"/>
  <c r="DO16" i="27" s="1"/>
  <c r="DI16" i="27"/>
  <c r="DJ16" i="27" s="1"/>
  <c r="DE16" i="27"/>
  <c r="DD16" i="27"/>
  <c r="CX16" i="27"/>
  <c r="CW16" i="27"/>
  <c r="CR16" i="27"/>
  <c r="CS16" i="27" s="1"/>
  <c r="CM16" i="27"/>
  <c r="CN16" i="27" s="1"/>
  <c r="CG16" i="27"/>
  <c r="CF16" i="27"/>
  <c r="CA16" i="27"/>
  <c r="CB16" i="27" s="1"/>
  <c r="BV16" i="27"/>
  <c r="BW16" i="27" s="1"/>
  <c r="BO16" i="27"/>
  <c r="BP16" i="27" s="1"/>
  <c r="BJ16" i="27"/>
  <c r="BK16" i="27" s="1"/>
  <c r="BE16" i="27"/>
  <c r="BF16" i="27" s="1"/>
  <c r="AX16" i="27"/>
  <c r="AY16" i="27" s="1"/>
  <c r="AS16" i="27"/>
  <c r="AT16" i="27" s="1"/>
  <c r="AN16" i="27"/>
  <c r="AO16" i="27" s="1"/>
  <c r="AG16" i="27"/>
  <c r="AH16" i="27" s="1"/>
  <c r="AB16" i="27"/>
  <c r="AC16" i="27" s="1"/>
  <c r="X16" i="27"/>
  <c r="W16" i="27"/>
  <c r="P16" i="27"/>
  <c r="Q16" i="27" s="1"/>
  <c r="K16" i="27"/>
  <c r="L16" i="27" s="1"/>
  <c r="G16" i="27"/>
  <c r="F16" i="27"/>
  <c r="SP15" i="27"/>
  <c r="SO15" i="27"/>
  <c r="SJ15" i="27"/>
  <c r="SK15" i="27" s="1"/>
  <c r="SE15" i="27"/>
  <c r="SF15" i="27" s="1"/>
  <c r="RY15" i="27"/>
  <c r="RX15" i="27"/>
  <c r="RS15" i="27"/>
  <c r="RT15" i="27" s="1"/>
  <c r="RN15" i="27"/>
  <c r="RO15" i="27" s="1"/>
  <c r="RG15" i="27"/>
  <c r="RH15" i="27" s="1"/>
  <c r="RB15" i="27"/>
  <c r="RC15" i="27" s="1"/>
  <c r="QW15" i="27"/>
  <c r="QX15" i="27" s="1"/>
  <c r="QQ15" i="27"/>
  <c r="QP15" i="27"/>
  <c r="QK15" i="27"/>
  <c r="QL15" i="27" s="1"/>
  <c r="QF15" i="27"/>
  <c r="QR15" i="27" s="1"/>
  <c r="QS15" i="27" s="1"/>
  <c r="PY15" i="27"/>
  <c r="PZ15" i="27" s="1"/>
  <c r="PT15" i="27"/>
  <c r="PO15" i="27"/>
  <c r="PP15" i="27" s="1"/>
  <c r="PH15" i="27"/>
  <c r="PI15" i="27" s="1"/>
  <c r="PC15" i="27"/>
  <c r="PD15" i="27" s="1"/>
  <c r="OX15" i="27"/>
  <c r="OQ15" i="27"/>
  <c r="OR15" i="27" s="1"/>
  <c r="OL15" i="27"/>
  <c r="OM15" i="27" s="1"/>
  <c r="OG15" i="27"/>
  <c r="OA15" i="27"/>
  <c r="NZ15" i="27"/>
  <c r="NU15" i="27"/>
  <c r="NV15" i="27" s="1"/>
  <c r="NP15" i="27"/>
  <c r="NI15" i="27"/>
  <c r="NJ15" i="27" s="1"/>
  <c r="ND15" i="27"/>
  <c r="NE15" i="27" s="1"/>
  <c r="MY15" i="27"/>
  <c r="MR15" i="27"/>
  <c r="MS15" i="27" s="1"/>
  <c r="MM15" i="27"/>
  <c r="MN15" i="27" s="1"/>
  <c r="MH15" i="27"/>
  <c r="MA15" i="27"/>
  <c r="MB15" i="27" s="1"/>
  <c r="LV15" i="27"/>
  <c r="LW15" i="27" s="1"/>
  <c r="LQ15" i="27"/>
  <c r="LJ15" i="27"/>
  <c r="LK15" i="27" s="1"/>
  <c r="LE15" i="27"/>
  <c r="LF15" i="27" s="1"/>
  <c r="KZ15" i="27"/>
  <c r="KS15" i="27"/>
  <c r="KT15" i="27" s="1"/>
  <c r="KN15" i="27"/>
  <c r="KO15" i="27" s="1"/>
  <c r="KI15" i="27"/>
  <c r="KC15" i="27"/>
  <c r="KB15" i="27"/>
  <c r="JW15" i="27"/>
  <c r="JX15" i="27" s="1"/>
  <c r="JR15" i="27"/>
  <c r="JK15" i="27"/>
  <c r="JL15" i="27" s="1"/>
  <c r="JF15" i="27"/>
  <c r="JG15" i="27" s="1"/>
  <c r="JA15" i="27"/>
  <c r="IT15" i="27"/>
  <c r="IU15" i="27" s="1"/>
  <c r="IO15" i="27"/>
  <c r="IP15" i="27" s="1"/>
  <c r="IJ15" i="27"/>
  <c r="IC15" i="27"/>
  <c r="ID15" i="27" s="1"/>
  <c r="HX15" i="27"/>
  <c r="HY15" i="27" s="1"/>
  <c r="HS15" i="27"/>
  <c r="HM15" i="27"/>
  <c r="HL15" i="27"/>
  <c r="HG15" i="27"/>
  <c r="HH15" i="27" s="1"/>
  <c r="HB15" i="27"/>
  <c r="GU15" i="27"/>
  <c r="GV15" i="27" s="1"/>
  <c r="GP15" i="27"/>
  <c r="GQ15" i="27" s="1"/>
  <c r="GK15" i="27"/>
  <c r="GD15" i="27"/>
  <c r="GE15" i="27" s="1"/>
  <c r="FY15" i="27"/>
  <c r="FZ15" i="27" s="1"/>
  <c r="FT15" i="27"/>
  <c r="FM15" i="27"/>
  <c r="FN15" i="27" s="1"/>
  <c r="FH15" i="27"/>
  <c r="FI15" i="27" s="1"/>
  <c r="FC15" i="27"/>
  <c r="EV15" i="27"/>
  <c r="EW15" i="27" s="1"/>
  <c r="EQ15" i="27"/>
  <c r="ER15" i="27" s="1"/>
  <c r="EL15" i="27"/>
  <c r="EE15" i="27"/>
  <c r="EF15" i="27" s="1"/>
  <c r="DZ15" i="27"/>
  <c r="EA15" i="27" s="1"/>
  <c r="DU15" i="27"/>
  <c r="DO15" i="27"/>
  <c r="DN15" i="27"/>
  <c r="DI15" i="27"/>
  <c r="DJ15" i="27" s="1"/>
  <c r="DD15" i="27"/>
  <c r="CW15" i="27"/>
  <c r="CX15" i="27" s="1"/>
  <c r="CR15" i="27"/>
  <c r="CS15" i="27" s="1"/>
  <c r="CM15" i="27"/>
  <c r="CF15" i="27"/>
  <c r="CG15" i="27" s="1"/>
  <c r="CA15" i="27"/>
  <c r="CB15" i="27" s="1"/>
  <c r="BV15" i="27"/>
  <c r="BO15" i="27"/>
  <c r="BP15" i="27" s="1"/>
  <c r="BJ15" i="27"/>
  <c r="BK15" i="27" s="1"/>
  <c r="BE15" i="27"/>
  <c r="AX15" i="27"/>
  <c r="AY15" i="27" s="1"/>
  <c r="AS15" i="27"/>
  <c r="AT15" i="27" s="1"/>
  <c r="AN15" i="27"/>
  <c r="AG15" i="27"/>
  <c r="AH15" i="27" s="1"/>
  <c r="AB15" i="27"/>
  <c r="AC15" i="27" s="1"/>
  <c r="W15" i="27"/>
  <c r="P15" i="27"/>
  <c r="Q15" i="27" s="1"/>
  <c r="K15" i="27"/>
  <c r="L15" i="27" s="1"/>
  <c r="F15" i="27"/>
  <c r="SQ14" i="27"/>
  <c r="SR14" i="27" s="1"/>
  <c r="SP14" i="27"/>
  <c r="SO14" i="27"/>
  <c r="SJ14" i="27"/>
  <c r="SK14" i="27" s="1"/>
  <c r="SE14" i="27"/>
  <c r="SF14" i="27" s="1"/>
  <c r="RZ14" i="27"/>
  <c r="SA14" i="27" s="1"/>
  <c r="RX14" i="27"/>
  <c r="RY14" i="27" s="1"/>
  <c r="RS14" i="27"/>
  <c r="RT14" i="27" s="1"/>
  <c r="RN14" i="27"/>
  <c r="RO14" i="27" s="1"/>
  <c r="RI14" i="27"/>
  <c r="RJ14" i="27" s="1"/>
  <c r="RH14" i="27"/>
  <c r="RG14" i="27"/>
  <c r="RB14" i="27"/>
  <c r="RC14" i="27" s="1"/>
  <c r="QW14" i="27"/>
  <c r="QX14" i="27" s="1"/>
  <c r="QR14" i="27"/>
  <c r="QS14" i="27" s="1"/>
  <c r="QP14" i="27"/>
  <c r="QQ14" i="27" s="1"/>
  <c r="QK14" i="27"/>
  <c r="QL14" i="27" s="1"/>
  <c r="QF14" i="27"/>
  <c r="QG14" i="27" s="1"/>
  <c r="QA14" i="27"/>
  <c r="QB14" i="27" s="1"/>
  <c r="PY14" i="27"/>
  <c r="PZ14" i="27" s="1"/>
  <c r="PT14" i="27"/>
  <c r="PU14" i="27" s="1"/>
  <c r="PO14" i="27"/>
  <c r="PP14" i="27" s="1"/>
  <c r="PJ14" i="27"/>
  <c r="PK14" i="27" s="1"/>
  <c r="PI14" i="27"/>
  <c r="PH14" i="27"/>
  <c r="PC14" i="27"/>
  <c r="PD14" i="27" s="1"/>
  <c r="OX14" i="27"/>
  <c r="OY14" i="27" s="1"/>
  <c r="OS14" i="27"/>
  <c r="OT14" i="27" s="1"/>
  <c r="OQ14" i="27"/>
  <c r="OR14" i="27" s="1"/>
  <c r="OL14" i="27"/>
  <c r="OM14" i="27" s="1"/>
  <c r="OG14" i="27"/>
  <c r="OH14" i="27" s="1"/>
  <c r="OB14" i="27"/>
  <c r="OC14" i="27" s="1"/>
  <c r="NZ14" i="27"/>
  <c r="OA14" i="27" s="1"/>
  <c r="NU14" i="27"/>
  <c r="NV14" i="27" s="1"/>
  <c r="NP14" i="27"/>
  <c r="NQ14" i="27" s="1"/>
  <c r="NK14" i="27"/>
  <c r="NL14" i="27" s="1"/>
  <c r="NI14" i="27"/>
  <c r="NJ14" i="27" s="1"/>
  <c r="ND14" i="27"/>
  <c r="NE14" i="27" s="1"/>
  <c r="MY14" i="27"/>
  <c r="MZ14" i="27" s="1"/>
  <c r="MT14" i="27"/>
  <c r="MU14" i="27" s="1"/>
  <c r="MR14" i="27"/>
  <c r="MS14" i="27" s="1"/>
  <c r="MM14" i="27"/>
  <c r="MN14" i="27" s="1"/>
  <c r="MH14" i="27"/>
  <c r="MI14" i="27" s="1"/>
  <c r="MC14" i="27"/>
  <c r="MD14" i="27" s="1"/>
  <c r="MB14" i="27"/>
  <c r="MA14" i="27"/>
  <c r="LV14" i="27"/>
  <c r="LW14" i="27" s="1"/>
  <c r="LQ14" i="27"/>
  <c r="LR14" i="27" s="1"/>
  <c r="LL14" i="27"/>
  <c r="LM14" i="27" s="1"/>
  <c r="LJ14" i="27"/>
  <c r="LK14" i="27" s="1"/>
  <c r="LE14" i="27"/>
  <c r="LF14" i="27" s="1"/>
  <c r="KZ14" i="27"/>
  <c r="LA14" i="27" s="1"/>
  <c r="KU14" i="27"/>
  <c r="KV14" i="27" s="1"/>
  <c r="KT14" i="27"/>
  <c r="KS14" i="27"/>
  <c r="KN14" i="27"/>
  <c r="KO14" i="27" s="1"/>
  <c r="KI14" i="27"/>
  <c r="KJ14" i="27" s="1"/>
  <c r="KD14" i="27"/>
  <c r="KE14" i="27" s="1"/>
  <c r="KB14" i="27"/>
  <c r="KC14" i="27" s="1"/>
  <c r="JW14" i="27"/>
  <c r="JX14" i="27" s="1"/>
  <c r="JR14" i="27"/>
  <c r="JS14" i="27" s="1"/>
  <c r="JM14" i="27"/>
  <c r="JN14" i="27" s="1"/>
  <c r="JK14" i="27"/>
  <c r="JL14" i="27" s="1"/>
  <c r="JF14" i="27"/>
  <c r="JG14" i="27" s="1"/>
  <c r="JA14" i="27"/>
  <c r="JB14" i="27" s="1"/>
  <c r="IV14" i="27"/>
  <c r="IW14" i="27" s="1"/>
  <c r="IT14" i="27"/>
  <c r="IU14" i="27" s="1"/>
  <c r="IO14" i="27"/>
  <c r="IP14" i="27" s="1"/>
  <c r="IJ14" i="27"/>
  <c r="IK14" i="27" s="1"/>
  <c r="IE14" i="27"/>
  <c r="IF14" i="27" s="1"/>
  <c r="IC14" i="27"/>
  <c r="ID14" i="27" s="1"/>
  <c r="HX14" i="27"/>
  <c r="HY14" i="27" s="1"/>
  <c r="HS14" i="27"/>
  <c r="HT14" i="27" s="1"/>
  <c r="HN14" i="27"/>
  <c r="HO14" i="27" s="1"/>
  <c r="HM14" i="27"/>
  <c r="HL14" i="27"/>
  <c r="HG14" i="27"/>
  <c r="HH14" i="27" s="1"/>
  <c r="HB14" i="27"/>
  <c r="HC14" i="27" s="1"/>
  <c r="GW14" i="27"/>
  <c r="GX14" i="27" s="1"/>
  <c r="GU14" i="27"/>
  <c r="GV14" i="27" s="1"/>
  <c r="GP14" i="27"/>
  <c r="GQ14" i="27" s="1"/>
  <c r="GK14" i="27"/>
  <c r="GL14" i="27" s="1"/>
  <c r="GF14" i="27"/>
  <c r="GG14" i="27" s="1"/>
  <c r="GD14" i="27"/>
  <c r="GE14" i="27" s="1"/>
  <c r="FY14" i="27"/>
  <c r="FZ14" i="27" s="1"/>
  <c r="FT14" i="27"/>
  <c r="FU14" i="27" s="1"/>
  <c r="FO14" i="27"/>
  <c r="FP14" i="27" s="1"/>
  <c r="FM14" i="27"/>
  <c r="FN14" i="27" s="1"/>
  <c r="FH14" i="27"/>
  <c r="FI14" i="27" s="1"/>
  <c r="FC14" i="27"/>
  <c r="FD14" i="27" s="1"/>
  <c r="EX14" i="27"/>
  <c r="EY14" i="27" s="1"/>
  <c r="EV14" i="27"/>
  <c r="EW14" i="27" s="1"/>
  <c r="EQ14" i="27"/>
  <c r="ER14" i="27" s="1"/>
  <c r="EL14" i="27"/>
  <c r="EM14" i="27" s="1"/>
  <c r="EG14" i="27"/>
  <c r="EH14" i="27" s="1"/>
  <c r="EF14" i="27"/>
  <c r="EE14" i="27"/>
  <c r="DZ14" i="27"/>
  <c r="EA14" i="27" s="1"/>
  <c r="DU14" i="27"/>
  <c r="DV14" i="27" s="1"/>
  <c r="DP14" i="27"/>
  <c r="DQ14" i="27" s="1"/>
  <c r="DN14" i="27"/>
  <c r="DO14" i="27" s="1"/>
  <c r="DI14" i="27"/>
  <c r="DJ14" i="27" s="1"/>
  <c r="DD14" i="27"/>
  <c r="DE14" i="27" s="1"/>
  <c r="CY14" i="27"/>
  <c r="CZ14" i="27" s="1"/>
  <c r="CX14" i="27"/>
  <c r="CW14" i="27"/>
  <c r="CR14" i="27"/>
  <c r="CS14" i="27" s="1"/>
  <c r="CM14" i="27"/>
  <c r="CN14" i="27" s="1"/>
  <c r="CH14" i="27"/>
  <c r="CI14" i="27" s="1"/>
  <c r="CF14" i="27"/>
  <c r="CG14" i="27" s="1"/>
  <c r="CA14" i="27"/>
  <c r="CB14" i="27" s="1"/>
  <c r="BV14" i="27"/>
  <c r="BW14" i="27" s="1"/>
  <c r="BQ14" i="27"/>
  <c r="BR14" i="27" s="1"/>
  <c r="BO14" i="27"/>
  <c r="BP14" i="27" s="1"/>
  <c r="BJ14" i="27"/>
  <c r="BK14" i="27" s="1"/>
  <c r="BE14" i="27"/>
  <c r="BF14" i="27" s="1"/>
  <c r="AZ14" i="27"/>
  <c r="BA14" i="27" s="1"/>
  <c r="AY14" i="27"/>
  <c r="AX14" i="27"/>
  <c r="AS14" i="27"/>
  <c r="AT14" i="27" s="1"/>
  <c r="AN14" i="27"/>
  <c r="AO14" i="27" s="1"/>
  <c r="AI14" i="27"/>
  <c r="AJ14" i="27" s="1"/>
  <c r="AG14" i="27"/>
  <c r="AH14" i="27" s="1"/>
  <c r="AB14" i="27"/>
  <c r="AC14" i="27" s="1"/>
  <c r="W14" i="27"/>
  <c r="X14" i="27" s="1"/>
  <c r="R14" i="27"/>
  <c r="S14" i="27" s="1"/>
  <c r="P14" i="27"/>
  <c r="Q14" i="27" s="1"/>
  <c r="K14" i="27"/>
  <c r="L14" i="27" s="1"/>
  <c r="F14" i="27"/>
  <c r="G14" i="27" s="1"/>
  <c r="SO13" i="27"/>
  <c r="SP13" i="27" s="1"/>
  <c r="SJ13" i="27"/>
  <c r="SK13" i="27" s="1"/>
  <c r="SE13" i="27"/>
  <c r="RX13" i="27"/>
  <c r="RY13" i="27" s="1"/>
  <c r="RS13" i="27"/>
  <c r="RT13" i="27" s="1"/>
  <c r="RN13" i="27"/>
  <c r="RG13" i="27"/>
  <c r="RH13" i="27" s="1"/>
  <c r="RB13" i="27"/>
  <c r="RC13" i="27" s="1"/>
  <c r="QW13" i="27"/>
  <c r="QP13" i="27"/>
  <c r="QQ13" i="27" s="1"/>
  <c r="QK13" i="27"/>
  <c r="QL13" i="27" s="1"/>
  <c r="QF13" i="27"/>
  <c r="PY13" i="27"/>
  <c r="PZ13" i="27" s="1"/>
  <c r="PT13" i="27"/>
  <c r="PU13" i="27" s="1"/>
  <c r="PO13" i="27"/>
  <c r="PH13" i="27"/>
  <c r="PI13" i="27" s="1"/>
  <c r="PC13" i="27"/>
  <c r="PD13" i="27" s="1"/>
  <c r="OX13" i="27"/>
  <c r="OQ13" i="27"/>
  <c r="OR13" i="27" s="1"/>
  <c r="OL13" i="27"/>
  <c r="OM13" i="27" s="1"/>
  <c r="OG13" i="27"/>
  <c r="NZ13" i="27"/>
  <c r="OA13" i="27" s="1"/>
  <c r="NU13" i="27"/>
  <c r="NV13" i="27" s="1"/>
  <c r="NP13" i="27"/>
  <c r="NI13" i="27"/>
  <c r="NJ13" i="27" s="1"/>
  <c r="ND13" i="27"/>
  <c r="NE13" i="27" s="1"/>
  <c r="MY13" i="27"/>
  <c r="MR13" i="27"/>
  <c r="MS13" i="27" s="1"/>
  <c r="MM13" i="27"/>
  <c r="MN13" i="27" s="1"/>
  <c r="MH13" i="27"/>
  <c r="MA13" i="27"/>
  <c r="MB13" i="27" s="1"/>
  <c r="LV13" i="27"/>
  <c r="LW13" i="27" s="1"/>
  <c r="LQ13" i="27"/>
  <c r="LJ13" i="27"/>
  <c r="LK13" i="27" s="1"/>
  <c r="LE13" i="27"/>
  <c r="LF13" i="27" s="1"/>
  <c r="KZ13" i="27"/>
  <c r="KS13" i="27"/>
  <c r="KT13" i="27" s="1"/>
  <c r="KN13" i="27"/>
  <c r="KO13" i="27" s="1"/>
  <c r="KI13" i="27"/>
  <c r="KB13" i="27"/>
  <c r="KC13" i="27" s="1"/>
  <c r="JW13" i="27"/>
  <c r="JX13" i="27" s="1"/>
  <c r="JR13" i="27"/>
  <c r="JK13" i="27"/>
  <c r="JL13" i="27" s="1"/>
  <c r="JF13" i="27"/>
  <c r="JG13" i="27" s="1"/>
  <c r="JA13" i="27"/>
  <c r="IT13" i="27"/>
  <c r="IU13" i="27" s="1"/>
  <c r="IO13" i="27"/>
  <c r="IP13" i="27" s="1"/>
  <c r="IJ13" i="27"/>
  <c r="IC13" i="27"/>
  <c r="ID13" i="27" s="1"/>
  <c r="HX13" i="27"/>
  <c r="HY13" i="27" s="1"/>
  <c r="HS13" i="27"/>
  <c r="HL13" i="27"/>
  <c r="HM13" i="27" s="1"/>
  <c r="HG13" i="27"/>
  <c r="HH13" i="27" s="1"/>
  <c r="HB13" i="27"/>
  <c r="GU13" i="27"/>
  <c r="GV13" i="27" s="1"/>
  <c r="GP13" i="27"/>
  <c r="GQ13" i="27" s="1"/>
  <c r="GK13" i="27"/>
  <c r="GD13" i="27"/>
  <c r="GE13" i="27" s="1"/>
  <c r="FY13" i="27"/>
  <c r="FZ13" i="27" s="1"/>
  <c r="FT13" i="27"/>
  <c r="FM13" i="27"/>
  <c r="FN13" i="27" s="1"/>
  <c r="FH13" i="27"/>
  <c r="FI13" i="27" s="1"/>
  <c r="FC13" i="27"/>
  <c r="EV13" i="27"/>
  <c r="EW13" i="27" s="1"/>
  <c r="EQ13" i="27"/>
  <c r="ER13" i="27" s="1"/>
  <c r="EL13" i="27"/>
  <c r="EE13" i="27"/>
  <c r="EF13" i="27" s="1"/>
  <c r="DZ13" i="27"/>
  <c r="EA13" i="27" s="1"/>
  <c r="DU13" i="27"/>
  <c r="DN13" i="27"/>
  <c r="DO13" i="27" s="1"/>
  <c r="DI13" i="27"/>
  <c r="DJ13" i="27" s="1"/>
  <c r="DD13" i="27"/>
  <c r="CW13" i="27"/>
  <c r="CX13" i="27" s="1"/>
  <c r="CR13" i="27"/>
  <c r="CS13" i="27" s="1"/>
  <c r="CM13" i="27"/>
  <c r="CF13" i="27"/>
  <c r="CG13" i="27" s="1"/>
  <c r="CA13" i="27"/>
  <c r="CB13" i="27" s="1"/>
  <c r="BV13" i="27"/>
  <c r="BO13" i="27"/>
  <c r="BP13" i="27" s="1"/>
  <c r="BJ13" i="27"/>
  <c r="BK13" i="27" s="1"/>
  <c r="BE13" i="27"/>
  <c r="AX13" i="27"/>
  <c r="AY13" i="27" s="1"/>
  <c r="AS13" i="27"/>
  <c r="AT13" i="27" s="1"/>
  <c r="AN13" i="27"/>
  <c r="AG13" i="27"/>
  <c r="AH13" i="27" s="1"/>
  <c r="AB13" i="27"/>
  <c r="AC13" i="27" s="1"/>
  <c r="W13" i="27"/>
  <c r="P13" i="27"/>
  <c r="Q13" i="27" s="1"/>
  <c r="K13" i="27"/>
  <c r="L13" i="27" s="1"/>
  <c r="F13" i="27"/>
  <c r="SQ12" i="27"/>
  <c r="SR12" i="27" s="1"/>
  <c r="SP12" i="27"/>
  <c r="SO12" i="27"/>
  <c r="SJ12" i="27"/>
  <c r="SK12" i="27" s="1"/>
  <c r="SE12" i="27"/>
  <c r="SF12" i="27" s="1"/>
  <c r="RZ12" i="27"/>
  <c r="SA12" i="27" s="1"/>
  <c r="RX12" i="27"/>
  <c r="RY12" i="27" s="1"/>
  <c r="RS12" i="27"/>
  <c r="RT12" i="27" s="1"/>
  <c r="RN12" i="27"/>
  <c r="RO12" i="27" s="1"/>
  <c r="RI12" i="27"/>
  <c r="RJ12" i="27" s="1"/>
  <c r="RH12" i="27"/>
  <c r="RG12" i="27"/>
  <c r="RB12" i="27"/>
  <c r="RC12" i="27" s="1"/>
  <c r="QW12" i="27"/>
  <c r="QX12" i="27" s="1"/>
  <c r="QR12" i="27"/>
  <c r="QS12" i="27" s="1"/>
  <c r="QP12" i="27"/>
  <c r="QQ12" i="27" s="1"/>
  <c r="QK12" i="27"/>
  <c r="QL12" i="27" s="1"/>
  <c r="QF12" i="27"/>
  <c r="QG12" i="27" s="1"/>
  <c r="QA12" i="27"/>
  <c r="QB12" i="27" s="1"/>
  <c r="PY12" i="27"/>
  <c r="PZ12" i="27" s="1"/>
  <c r="PT12" i="27"/>
  <c r="PU12" i="27" s="1"/>
  <c r="PO12" i="27"/>
  <c r="PP12" i="27" s="1"/>
  <c r="PJ12" i="27"/>
  <c r="PK12" i="27" s="1"/>
  <c r="PI12" i="27"/>
  <c r="PH12" i="27"/>
  <c r="PC12" i="27"/>
  <c r="PD12" i="27" s="1"/>
  <c r="OX12" i="27"/>
  <c r="OY12" i="27" s="1"/>
  <c r="OS12" i="27"/>
  <c r="OT12" i="27" s="1"/>
  <c r="OQ12" i="27"/>
  <c r="OR12" i="27" s="1"/>
  <c r="OL12" i="27"/>
  <c r="OM12" i="27" s="1"/>
  <c r="OG12" i="27"/>
  <c r="OH12" i="27" s="1"/>
  <c r="OB12" i="27"/>
  <c r="OC12" i="27" s="1"/>
  <c r="NZ12" i="27"/>
  <c r="OA12" i="27" s="1"/>
  <c r="NU12" i="27"/>
  <c r="NV12" i="27" s="1"/>
  <c r="NP12" i="27"/>
  <c r="NQ12" i="27" s="1"/>
  <c r="NK12" i="27"/>
  <c r="NL12" i="27" s="1"/>
  <c r="NJ12" i="27"/>
  <c r="NI12" i="27"/>
  <c r="ND12" i="27"/>
  <c r="NE12" i="27" s="1"/>
  <c r="MY12" i="27"/>
  <c r="MZ12" i="27" s="1"/>
  <c r="MT12" i="27"/>
  <c r="MU12" i="27" s="1"/>
  <c r="MR12" i="27"/>
  <c r="MS12" i="27" s="1"/>
  <c r="MM12" i="27"/>
  <c r="MN12" i="27" s="1"/>
  <c r="MH12" i="27"/>
  <c r="MI12" i="27" s="1"/>
  <c r="MC12" i="27"/>
  <c r="MD12" i="27" s="1"/>
  <c r="MB12" i="27"/>
  <c r="MA12" i="27"/>
  <c r="LV12" i="27"/>
  <c r="LW12" i="27" s="1"/>
  <c r="LQ12" i="27"/>
  <c r="LR12" i="27" s="1"/>
  <c r="LL12" i="27"/>
  <c r="LM12" i="27" s="1"/>
  <c r="LJ12" i="27"/>
  <c r="LK12" i="27" s="1"/>
  <c r="LE12" i="27"/>
  <c r="LF12" i="27" s="1"/>
  <c r="KZ12" i="27"/>
  <c r="LA12" i="27" s="1"/>
  <c r="KU12" i="27"/>
  <c r="KV12" i="27" s="1"/>
  <c r="KS12" i="27"/>
  <c r="KT12" i="27" s="1"/>
  <c r="KN12" i="27"/>
  <c r="KO12" i="27" s="1"/>
  <c r="KI12" i="27"/>
  <c r="KJ12" i="27" s="1"/>
  <c r="KD12" i="27"/>
  <c r="KE12" i="27" s="1"/>
  <c r="KC12" i="27"/>
  <c r="KB12" i="27"/>
  <c r="JW12" i="27"/>
  <c r="JX12" i="27" s="1"/>
  <c r="JR12" i="27"/>
  <c r="JS12" i="27" s="1"/>
  <c r="JM12" i="27"/>
  <c r="JN12" i="27" s="1"/>
  <c r="JK12" i="27"/>
  <c r="JL12" i="27" s="1"/>
  <c r="JF12" i="27"/>
  <c r="JG12" i="27" s="1"/>
  <c r="JA12" i="27"/>
  <c r="JB12" i="27" s="1"/>
  <c r="IV12" i="27"/>
  <c r="IW12" i="27" s="1"/>
  <c r="IT12" i="27"/>
  <c r="IU12" i="27" s="1"/>
  <c r="IO12" i="27"/>
  <c r="IP12" i="27" s="1"/>
  <c r="IJ12" i="27"/>
  <c r="IK12" i="27" s="1"/>
  <c r="IE12" i="27"/>
  <c r="IF12" i="27" s="1"/>
  <c r="IC12" i="27"/>
  <c r="ID12" i="27" s="1"/>
  <c r="HX12" i="27"/>
  <c r="HY12" i="27" s="1"/>
  <c r="HS12" i="27"/>
  <c r="HT12" i="27" s="1"/>
  <c r="HN12" i="27"/>
  <c r="HO12" i="27" s="1"/>
  <c r="HM12" i="27"/>
  <c r="HL12" i="27"/>
  <c r="HG12" i="27"/>
  <c r="HH12" i="27" s="1"/>
  <c r="HB12" i="27"/>
  <c r="HC12" i="27" s="1"/>
  <c r="GW12" i="27"/>
  <c r="GX12" i="27" s="1"/>
  <c r="GU12" i="27"/>
  <c r="GV12" i="27" s="1"/>
  <c r="GP12" i="27"/>
  <c r="GQ12" i="27" s="1"/>
  <c r="GK12" i="27"/>
  <c r="GL12" i="27" s="1"/>
  <c r="GF12" i="27"/>
  <c r="GG12" i="27" s="1"/>
  <c r="GD12" i="27"/>
  <c r="GE12" i="27" s="1"/>
  <c r="FY12" i="27"/>
  <c r="FZ12" i="27" s="1"/>
  <c r="FT12" i="27"/>
  <c r="FU12" i="27" s="1"/>
  <c r="FO12" i="27"/>
  <c r="FP12" i="27" s="1"/>
  <c r="FN12" i="27"/>
  <c r="FM12" i="27"/>
  <c r="FH12" i="27"/>
  <c r="FI12" i="27" s="1"/>
  <c r="FC12" i="27"/>
  <c r="FD12" i="27" s="1"/>
  <c r="EX12" i="27"/>
  <c r="EY12" i="27" s="1"/>
  <c r="EV12" i="27"/>
  <c r="EW12" i="27" s="1"/>
  <c r="EQ12" i="27"/>
  <c r="ER12" i="27" s="1"/>
  <c r="EL12" i="27"/>
  <c r="EM12" i="27" s="1"/>
  <c r="EG12" i="27"/>
  <c r="EH12" i="27" s="1"/>
  <c r="EE12" i="27"/>
  <c r="EF12" i="27" s="1"/>
  <c r="DZ12" i="27"/>
  <c r="EA12" i="27" s="1"/>
  <c r="DU12" i="27"/>
  <c r="DV12" i="27" s="1"/>
  <c r="DP12" i="27"/>
  <c r="DQ12" i="27" s="1"/>
  <c r="DN12" i="27"/>
  <c r="DO12" i="27" s="1"/>
  <c r="DI12" i="27"/>
  <c r="DJ12" i="27" s="1"/>
  <c r="DD12" i="27"/>
  <c r="DE12" i="27" s="1"/>
  <c r="CY12" i="27"/>
  <c r="CZ12" i="27" s="1"/>
  <c r="CW12" i="27"/>
  <c r="CX12" i="27" s="1"/>
  <c r="CR12" i="27"/>
  <c r="CS12" i="27" s="1"/>
  <c r="CM12" i="27"/>
  <c r="CN12" i="27" s="1"/>
  <c r="CH12" i="27"/>
  <c r="CI12" i="27" s="1"/>
  <c r="CF12" i="27"/>
  <c r="CG12" i="27" s="1"/>
  <c r="CA12" i="27"/>
  <c r="CB12" i="27" s="1"/>
  <c r="BV12" i="27"/>
  <c r="BW12" i="27" s="1"/>
  <c r="BQ12" i="27"/>
  <c r="BR12" i="27" s="1"/>
  <c r="BO12" i="27"/>
  <c r="BP12" i="27" s="1"/>
  <c r="BJ12" i="27"/>
  <c r="BK12" i="27" s="1"/>
  <c r="BE12" i="27"/>
  <c r="BF12" i="27" s="1"/>
  <c r="AZ12" i="27"/>
  <c r="BA12" i="27" s="1"/>
  <c r="AY12" i="27"/>
  <c r="AX12" i="27"/>
  <c r="AS12" i="27"/>
  <c r="AT12" i="27" s="1"/>
  <c r="AO12" i="27"/>
  <c r="AN12" i="27"/>
  <c r="AI12" i="27"/>
  <c r="AJ12" i="27" s="1"/>
  <c r="AG12" i="27"/>
  <c r="AH12" i="27" s="1"/>
  <c r="AB12" i="27"/>
  <c r="AC12" i="27" s="1"/>
  <c r="W12" i="27"/>
  <c r="X12" i="27" s="1"/>
  <c r="R12" i="27"/>
  <c r="S12" i="27" s="1"/>
  <c r="P12" i="27"/>
  <c r="Q12" i="27" s="1"/>
  <c r="K12" i="27"/>
  <c r="L12" i="27" s="1"/>
  <c r="F12" i="27"/>
  <c r="G12" i="27" s="1"/>
  <c r="SO11" i="27"/>
  <c r="SP11" i="27" s="1"/>
  <c r="SJ11" i="27"/>
  <c r="SK11" i="27" s="1"/>
  <c r="SE11" i="27"/>
  <c r="RX11" i="27"/>
  <c r="RY11" i="27" s="1"/>
  <c r="RS11" i="27"/>
  <c r="RT11" i="27" s="1"/>
  <c r="RN11" i="27"/>
  <c r="RG11" i="27"/>
  <c r="RH11" i="27" s="1"/>
  <c r="RB11" i="27"/>
  <c r="RC11" i="27" s="1"/>
  <c r="QW11" i="27"/>
  <c r="QP11" i="27"/>
  <c r="QQ11" i="27" s="1"/>
  <c r="QK11" i="27"/>
  <c r="QL11" i="27" s="1"/>
  <c r="QF11" i="27"/>
  <c r="PY11" i="27"/>
  <c r="PZ11" i="27" s="1"/>
  <c r="PT11" i="27"/>
  <c r="PU11" i="27" s="1"/>
  <c r="PP11" i="27"/>
  <c r="PO11" i="27"/>
  <c r="PH11" i="27"/>
  <c r="PI11" i="27" s="1"/>
  <c r="PC11" i="27"/>
  <c r="PD11" i="27" s="1"/>
  <c r="OX11" i="27"/>
  <c r="OQ11" i="27"/>
  <c r="OR11" i="27" s="1"/>
  <c r="OL11" i="27"/>
  <c r="OM11" i="27" s="1"/>
  <c r="OH11" i="27"/>
  <c r="OG11" i="27"/>
  <c r="NZ11" i="27"/>
  <c r="OA11" i="27" s="1"/>
  <c r="NU11" i="27"/>
  <c r="NV11" i="27" s="1"/>
  <c r="NP11" i="27"/>
  <c r="NI11" i="27"/>
  <c r="NJ11" i="27" s="1"/>
  <c r="ND11" i="27"/>
  <c r="NE11" i="27" s="1"/>
  <c r="MZ11" i="27"/>
  <c r="MY11" i="27"/>
  <c r="MR11" i="27"/>
  <c r="MS11" i="27" s="1"/>
  <c r="MM11" i="27"/>
  <c r="MN11" i="27" s="1"/>
  <c r="MH11" i="27"/>
  <c r="MA11" i="27"/>
  <c r="MB11" i="27" s="1"/>
  <c r="LV11" i="27"/>
  <c r="LW11" i="27" s="1"/>
  <c r="LQ11" i="27"/>
  <c r="LJ11" i="27"/>
  <c r="LK11" i="27" s="1"/>
  <c r="LE11" i="27"/>
  <c r="LF11" i="27" s="1"/>
  <c r="KZ11" i="27"/>
  <c r="KS11" i="27"/>
  <c r="KT11" i="27" s="1"/>
  <c r="KN11" i="27"/>
  <c r="KO11" i="27" s="1"/>
  <c r="KJ11" i="27"/>
  <c r="KI11" i="27"/>
  <c r="KB11" i="27"/>
  <c r="KC11" i="27" s="1"/>
  <c r="JW11" i="27"/>
  <c r="JX11" i="27" s="1"/>
  <c r="JR11" i="27"/>
  <c r="JK11" i="27"/>
  <c r="JL11" i="27" s="1"/>
  <c r="JF11" i="27"/>
  <c r="JG11" i="27" s="1"/>
  <c r="JB11" i="27"/>
  <c r="JA11" i="27"/>
  <c r="IT11" i="27"/>
  <c r="IU11" i="27" s="1"/>
  <c r="IO11" i="27"/>
  <c r="IP11" i="27" s="1"/>
  <c r="IJ11" i="27"/>
  <c r="IC11" i="27"/>
  <c r="ID11" i="27" s="1"/>
  <c r="HX11" i="27"/>
  <c r="HY11" i="27" s="1"/>
  <c r="HT11" i="27"/>
  <c r="HS11" i="27"/>
  <c r="HL11" i="27"/>
  <c r="HM11" i="27" s="1"/>
  <c r="HG11" i="27"/>
  <c r="HH11" i="27" s="1"/>
  <c r="HB11" i="27"/>
  <c r="GV11" i="27"/>
  <c r="GU11" i="27"/>
  <c r="GP11" i="27"/>
  <c r="GQ11" i="27" s="1"/>
  <c r="GK11" i="27"/>
  <c r="GW11" i="27" s="1"/>
  <c r="GX11" i="27" s="1"/>
  <c r="GD11" i="27"/>
  <c r="GE11" i="27" s="1"/>
  <c r="FY11" i="27"/>
  <c r="FZ11" i="27" s="1"/>
  <c r="FT11" i="27"/>
  <c r="FO11" i="27"/>
  <c r="FP11" i="27" s="1"/>
  <c r="FM11" i="27"/>
  <c r="FN11" i="27" s="1"/>
  <c r="FH11" i="27"/>
  <c r="FI11" i="27" s="1"/>
  <c r="FD11" i="27"/>
  <c r="FC11" i="27"/>
  <c r="EV11" i="27"/>
  <c r="EW11" i="27" s="1"/>
  <c r="EQ11" i="27"/>
  <c r="ER11" i="27" s="1"/>
  <c r="EL11" i="27"/>
  <c r="EX11" i="27" s="1"/>
  <c r="EY11" i="27" s="1"/>
  <c r="EE11" i="27"/>
  <c r="EF11" i="27" s="1"/>
  <c r="DZ11" i="27"/>
  <c r="EA11" i="27" s="1"/>
  <c r="DV11" i="27"/>
  <c r="DU11" i="27"/>
  <c r="DN11" i="27"/>
  <c r="DO11" i="27" s="1"/>
  <c r="DI11" i="27"/>
  <c r="DJ11" i="27" s="1"/>
  <c r="DD11" i="27"/>
  <c r="CW11" i="27"/>
  <c r="CX11" i="27" s="1"/>
  <c r="CR11" i="27"/>
  <c r="CS11" i="27" s="1"/>
  <c r="CM11" i="27"/>
  <c r="CN11" i="27" s="1"/>
  <c r="CF11" i="27"/>
  <c r="CG11" i="27" s="1"/>
  <c r="CA11" i="27"/>
  <c r="CB11" i="27" s="1"/>
  <c r="BV11" i="27"/>
  <c r="BP11" i="27"/>
  <c r="BO11" i="27"/>
  <c r="BJ11" i="27"/>
  <c r="BK11" i="27" s="1"/>
  <c r="BE11" i="27"/>
  <c r="BQ11" i="27" s="1"/>
  <c r="BR11" i="27" s="1"/>
  <c r="AX11" i="27"/>
  <c r="AY11" i="27" s="1"/>
  <c r="AS11" i="27"/>
  <c r="AT11" i="27" s="1"/>
  <c r="AN11" i="27"/>
  <c r="AH11" i="27"/>
  <c r="AG11" i="27"/>
  <c r="AB11" i="27"/>
  <c r="AC11" i="27" s="1"/>
  <c r="W11" i="27"/>
  <c r="AI11" i="27" s="1"/>
  <c r="AJ11" i="27" s="1"/>
  <c r="P11" i="27"/>
  <c r="Q11" i="27" s="1"/>
  <c r="K11" i="27"/>
  <c r="L11" i="27" s="1"/>
  <c r="F11" i="27"/>
  <c r="SP8" i="27"/>
  <c r="SO8" i="27"/>
  <c r="SJ8" i="27"/>
  <c r="SK8" i="27" s="1"/>
  <c r="SE8" i="27"/>
  <c r="SF8" i="27" s="1"/>
  <c r="RX8" i="27"/>
  <c r="RY8" i="27" s="1"/>
  <c r="RS8" i="27"/>
  <c r="RT8" i="27" s="1"/>
  <c r="RN8" i="27"/>
  <c r="RG8" i="27"/>
  <c r="RH8" i="27" s="1"/>
  <c r="RB8" i="27"/>
  <c r="RC8" i="27" s="1"/>
  <c r="QX8" i="27"/>
  <c r="QW8" i="27"/>
  <c r="QP8" i="27"/>
  <c r="QQ8" i="27" s="1"/>
  <c r="QK8" i="27"/>
  <c r="QL8" i="27" s="1"/>
  <c r="QF8" i="27"/>
  <c r="PY8" i="27"/>
  <c r="PZ8" i="27" s="1"/>
  <c r="PT8" i="27"/>
  <c r="PU8" i="27" s="1"/>
  <c r="PO8" i="27"/>
  <c r="PH8" i="27"/>
  <c r="PI8" i="27" s="1"/>
  <c r="PC8" i="27"/>
  <c r="PD8" i="27" s="1"/>
  <c r="OX8" i="27"/>
  <c r="OQ8" i="27"/>
  <c r="OR8" i="27" s="1"/>
  <c r="OL8" i="27"/>
  <c r="OM8" i="27" s="1"/>
  <c r="OG8" i="27"/>
  <c r="OH8" i="27" s="1"/>
  <c r="NZ8" i="27"/>
  <c r="OA8" i="27" s="1"/>
  <c r="NU8" i="27"/>
  <c r="NV8" i="27" s="1"/>
  <c r="NP8" i="27"/>
  <c r="NI8" i="27"/>
  <c r="NJ8" i="27" s="1"/>
  <c r="ND8" i="27"/>
  <c r="NE8" i="27" s="1"/>
  <c r="MY8" i="27"/>
  <c r="MR8" i="27"/>
  <c r="MS8" i="27" s="1"/>
  <c r="MM8" i="27"/>
  <c r="MN8" i="27" s="1"/>
  <c r="MH8" i="27"/>
  <c r="MB8" i="27"/>
  <c r="MA8" i="27"/>
  <c r="LV8" i="27"/>
  <c r="LW8" i="27" s="1"/>
  <c r="LQ8" i="27"/>
  <c r="LR8" i="27" s="1"/>
  <c r="LJ8" i="27"/>
  <c r="LK8" i="27" s="1"/>
  <c r="LE8" i="27"/>
  <c r="LF8" i="27" s="1"/>
  <c r="KZ8" i="27"/>
  <c r="KT8" i="27"/>
  <c r="KS8" i="27"/>
  <c r="KN8" i="27"/>
  <c r="KO8" i="27" s="1"/>
  <c r="KI8" i="27"/>
  <c r="KB8" i="27"/>
  <c r="KC8" i="27" s="1"/>
  <c r="JW8" i="27"/>
  <c r="JX8" i="27" s="1"/>
  <c r="JR8" i="27"/>
  <c r="KD8" i="27" s="1"/>
  <c r="KE8" i="27" s="1"/>
  <c r="JK8" i="27"/>
  <c r="JL8" i="27" s="1"/>
  <c r="JF8" i="27"/>
  <c r="JG8" i="27" s="1"/>
  <c r="JA8" i="27"/>
  <c r="JM8" i="27" s="1"/>
  <c r="JN8" i="27" s="1"/>
  <c r="IT8" i="27"/>
  <c r="IU8" i="27" s="1"/>
  <c r="IO8" i="27"/>
  <c r="IP8" i="27" s="1"/>
  <c r="IJ8" i="27"/>
  <c r="ID8" i="27"/>
  <c r="IC8" i="27"/>
  <c r="HX8" i="27"/>
  <c r="HY8" i="27" s="1"/>
  <c r="HS8" i="27"/>
  <c r="HL8" i="27"/>
  <c r="HM8" i="27" s="1"/>
  <c r="HG8" i="27"/>
  <c r="HH8" i="27" s="1"/>
  <c r="HB8" i="27"/>
  <c r="GU8" i="27"/>
  <c r="GV8" i="27" s="1"/>
  <c r="GP8" i="27"/>
  <c r="GQ8" i="27" s="1"/>
  <c r="GK8" i="27"/>
  <c r="GD8" i="27"/>
  <c r="GE8" i="27" s="1"/>
  <c r="FY8" i="27"/>
  <c r="FZ8" i="27" s="1"/>
  <c r="FT8" i="27"/>
  <c r="FM8" i="27"/>
  <c r="FN8" i="27" s="1"/>
  <c r="FH8" i="27"/>
  <c r="FI8" i="27" s="1"/>
  <c r="FC8" i="27"/>
  <c r="FD8" i="27" s="1"/>
  <c r="EV8" i="27"/>
  <c r="EW8" i="27" s="1"/>
  <c r="EQ8" i="27"/>
  <c r="ER8" i="27" s="1"/>
  <c r="EL8" i="27"/>
  <c r="EF8" i="27"/>
  <c r="EE8" i="27"/>
  <c r="DZ8" i="27"/>
  <c r="EA8" i="27" s="1"/>
  <c r="DU8" i="27"/>
  <c r="EG8" i="27" s="1"/>
  <c r="EH8" i="27" s="1"/>
  <c r="DN8" i="27"/>
  <c r="DO8" i="27" s="1"/>
  <c r="DI8" i="27"/>
  <c r="DJ8" i="27" s="1"/>
  <c r="DD8" i="27"/>
  <c r="CX8" i="27"/>
  <c r="CW8" i="27"/>
  <c r="CR8" i="27"/>
  <c r="CS8" i="27" s="1"/>
  <c r="CM8" i="27"/>
  <c r="CY8" i="27" s="1"/>
  <c r="CZ8" i="27" s="1"/>
  <c r="CF8" i="27"/>
  <c r="CG8" i="27" s="1"/>
  <c r="CA8" i="27"/>
  <c r="CB8" i="27" s="1"/>
  <c r="BV8" i="27"/>
  <c r="BP8" i="27"/>
  <c r="BO8" i="27"/>
  <c r="BJ8" i="27"/>
  <c r="BK8" i="27" s="1"/>
  <c r="BE8" i="27"/>
  <c r="BF8" i="27" s="1"/>
  <c r="AY8" i="27"/>
  <c r="AX8" i="27"/>
  <c r="AS8" i="27"/>
  <c r="AT8" i="27" s="1"/>
  <c r="AN8" i="27"/>
  <c r="AH8" i="27"/>
  <c r="AG8" i="27"/>
  <c r="AB8" i="27"/>
  <c r="AC8" i="27" s="1"/>
  <c r="W8" i="27"/>
  <c r="P8" i="27"/>
  <c r="Q8" i="27" s="1"/>
  <c r="K8" i="27"/>
  <c r="L8" i="27" s="1"/>
  <c r="F8" i="27"/>
  <c r="SQ7" i="27"/>
  <c r="SR7" i="27" s="1"/>
  <c r="SO7" i="27"/>
  <c r="SP7" i="27" s="1"/>
  <c r="SJ7" i="27"/>
  <c r="SK7" i="27" s="1"/>
  <c r="SF7" i="27"/>
  <c r="SE7" i="27"/>
  <c r="RZ7" i="27"/>
  <c r="SA7" i="27" s="1"/>
  <c r="RX7" i="27"/>
  <c r="RY7" i="27" s="1"/>
  <c r="RS7" i="27"/>
  <c r="RT7" i="27" s="1"/>
  <c r="RN7" i="27"/>
  <c r="RO7" i="27" s="1"/>
  <c r="RI7" i="27"/>
  <c r="RJ7" i="27" s="1"/>
  <c r="RH7" i="27"/>
  <c r="RG7" i="27"/>
  <c r="RB7" i="27"/>
  <c r="RC7" i="27" s="1"/>
  <c r="QW7" i="27"/>
  <c r="QX7" i="27" s="1"/>
  <c r="QR7" i="27"/>
  <c r="QS7" i="27" s="1"/>
  <c r="QP7" i="27"/>
  <c r="QQ7" i="27" s="1"/>
  <c r="QK7" i="27"/>
  <c r="QL7" i="27" s="1"/>
  <c r="QF7" i="27"/>
  <c r="QG7" i="27" s="1"/>
  <c r="QA7" i="27"/>
  <c r="QB7" i="27" s="1"/>
  <c r="PY7" i="27"/>
  <c r="PZ7" i="27" s="1"/>
  <c r="PT7" i="27"/>
  <c r="PU7" i="27" s="1"/>
  <c r="PO7" i="27"/>
  <c r="PP7" i="27" s="1"/>
  <c r="PJ7" i="27"/>
  <c r="PK7" i="27" s="1"/>
  <c r="PH7" i="27"/>
  <c r="PI7" i="27" s="1"/>
  <c r="PC7" i="27"/>
  <c r="PD7" i="27" s="1"/>
  <c r="OX7" i="27"/>
  <c r="OY7" i="27" s="1"/>
  <c r="OS7" i="27"/>
  <c r="OT7" i="27" s="1"/>
  <c r="OQ7" i="27"/>
  <c r="OR7" i="27" s="1"/>
  <c r="OL7" i="27"/>
  <c r="OM7" i="27" s="1"/>
  <c r="OH7" i="27"/>
  <c r="OG7" i="27"/>
  <c r="OB7" i="27"/>
  <c r="OC7" i="27" s="1"/>
  <c r="NZ7" i="27"/>
  <c r="OA7" i="27" s="1"/>
  <c r="NU7" i="27"/>
  <c r="NV7" i="27" s="1"/>
  <c r="NP7" i="27"/>
  <c r="NQ7" i="27" s="1"/>
  <c r="NK7" i="27"/>
  <c r="NL7" i="27" s="1"/>
  <c r="NJ7" i="27"/>
  <c r="NI7" i="27"/>
  <c r="ND7" i="27"/>
  <c r="NE7" i="27" s="1"/>
  <c r="MY7" i="27"/>
  <c r="MZ7" i="27" s="1"/>
  <c r="MT7" i="27"/>
  <c r="MU7" i="27" s="1"/>
  <c r="MR7" i="27"/>
  <c r="MS7" i="27" s="1"/>
  <c r="MM7" i="27"/>
  <c r="MN7" i="27" s="1"/>
  <c r="MH7" i="27"/>
  <c r="MI7" i="27" s="1"/>
  <c r="MC7" i="27"/>
  <c r="MD7" i="27" s="1"/>
  <c r="MA7" i="27"/>
  <c r="MB7" i="27" s="1"/>
  <c r="LV7" i="27"/>
  <c r="LW7" i="27" s="1"/>
  <c r="LQ7" i="27"/>
  <c r="LR7" i="27" s="1"/>
  <c r="LL7" i="27"/>
  <c r="LM7" i="27" s="1"/>
  <c r="LK7" i="27"/>
  <c r="LJ7" i="27"/>
  <c r="LE7" i="27"/>
  <c r="LF7" i="27" s="1"/>
  <c r="KZ7" i="27"/>
  <c r="LA7" i="27" s="1"/>
  <c r="KU7" i="27"/>
  <c r="KV7" i="27" s="1"/>
  <c r="KS7" i="27"/>
  <c r="KT7" i="27" s="1"/>
  <c r="KN7" i="27"/>
  <c r="KO7" i="27" s="1"/>
  <c r="KI7" i="27"/>
  <c r="KJ7" i="27" s="1"/>
  <c r="KD7" i="27"/>
  <c r="KE7" i="27" s="1"/>
  <c r="KB7" i="27"/>
  <c r="KC7" i="27" s="1"/>
  <c r="JW7" i="27"/>
  <c r="JX7" i="27" s="1"/>
  <c r="JR7" i="27"/>
  <c r="JS7" i="27" s="1"/>
  <c r="JM7" i="27"/>
  <c r="JN7" i="27" s="1"/>
  <c r="JL7" i="27"/>
  <c r="JK7" i="27"/>
  <c r="JF7" i="27"/>
  <c r="JG7" i="27" s="1"/>
  <c r="JA7" i="27"/>
  <c r="JB7" i="27" s="1"/>
  <c r="IV7" i="27"/>
  <c r="IW7" i="27" s="1"/>
  <c r="IT7" i="27"/>
  <c r="IU7" i="27" s="1"/>
  <c r="IO7" i="27"/>
  <c r="IP7" i="27" s="1"/>
  <c r="IJ7" i="27"/>
  <c r="IK7" i="27" s="1"/>
  <c r="IE7" i="27"/>
  <c r="IF7" i="27" s="1"/>
  <c r="IC7" i="27"/>
  <c r="ID7" i="27" s="1"/>
  <c r="HX7" i="27"/>
  <c r="HY7" i="27" s="1"/>
  <c r="HT7" i="27"/>
  <c r="HS7" i="27"/>
  <c r="HN7" i="27"/>
  <c r="HO7" i="27" s="1"/>
  <c r="HL7" i="27"/>
  <c r="HM7" i="27" s="1"/>
  <c r="HG7" i="27"/>
  <c r="HH7" i="27" s="1"/>
  <c r="HB7" i="27"/>
  <c r="HC7" i="27" s="1"/>
  <c r="GW7" i="27"/>
  <c r="GX7" i="27" s="1"/>
  <c r="GU7" i="27"/>
  <c r="GV7" i="27" s="1"/>
  <c r="GP7" i="27"/>
  <c r="GQ7" i="27" s="1"/>
  <c r="GK7" i="27"/>
  <c r="GL7" i="27" s="1"/>
  <c r="GF7" i="27"/>
  <c r="GG7" i="27" s="1"/>
  <c r="GD7" i="27"/>
  <c r="GE7" i="27" s="1"/>
  <c r="FY7" i="27"/>
  <c r="FZ7" i="27" s="1"/>
  <c r="FT7" i="27"/>
  <c r="FU7" i="27" s="1"/>
  <c r="FO7" i="27"/>
  <c r="FP7" i="27" s="1"/>
  <c r="FM7" i="27"/>
  <c r="FN7" i="27" s="1"/>
  <c r="FH7" i="27"/>
  <c r="FI7" i="27" s="1"/>
  <c r="FC7" i="27"/>
  <c r="FD7" i="27" s="1"/>
  <c r="EX7" i="27"/>
  <c r="EY7" i="27" s="1"/>
  <c r="EV7" i="27"/>
  <c r="EW7" i="27" s="1"/>
  <c r="EQ7" i="27"/>
  <c r="ER7" i="27" s="1"/>
  <c r="EL7" i="27"/>
  <c r="EM7" i="27" s="1"/>
  <c r="EG7" i="27"/>
  <c r="EH7" i="27" s="1"/>
  <c r="EE7" i="27"/>
  <c r="EF7" i="27" s="1"/>
  <c r="DZ7" i="27"/>
  <c r="EA7" i="27" s="1"/>
  <c r="DU7" i="27"/>
  <c r="DV7" i="27" s="1"/>
  <c r="DP7" i="27"/>
  <c r="DQ7" i="27" s="1"/>
  <c r="DN7" i="27"/>
  <c r="DO7" i="27" s="1"/>
  <c r="DI7" i="27"/>
  <c r="DJ7" i="27" s="1"/>
  <c r="DD7" i="27"/>
  <c r="DE7" i="27" s="1"/>
  <c r="CY7" i="27"/>
  <c r="CZ7" i="27" s="1"/>
  <c r="CW7" i="27"/>
  <c r="CX7" i="27" s="1"/>
  <c r="CR7" i="27"/>
  <c r="CS7" i="27" s="1"/>
  <c r="CM7" i="27"/>
  <c r="CN7" i="27" s="1"/>
  <c r="CH7" i="27"/>
  <c r="CI7" i="27" s="1"/>
  <c r="CF7" i="27"/>
  <c r="CG7" i="27" s="1"/>
  <c r="CA7" i="27"/>
  <c r="CB7" i="27" s="1"/>
  <c r="BV7" i="27"/>
  <c r="BW7" i="27" s="1"/>
  <c r="BQ7" i="27"/>
  <c r="BR7" i="27" s="1"/>
  <c r="BO7" i="27"/>
  <c r="BP7" i="27" s="1"/>
  <c r="BJ7" i="27"/>
  <c r="BK7" i="27" s="1"/>
  <c r="BE7" i="27"/>
  <c r="BF7" i="27" s="1"/>
  <c r="AZ7" i="27"/>
  <c r="BA7" i="27" s="1"/>
  <c r="AX7" i="27"/>
  <c r="AY7" i="27" s="1"/>
  <c r="AS7" i="27"/>
  <c r="AT7" i="27" s="1"/>
  <c r="AN7" i="27"/>
  <c r="AO7" i="27" s="1"/>
  <c r="AI7" i="27"/>
  <c r="AJ7" i="27" s="1"/>
  <c r="AG7" i="27"/>
  <c r="AH7" i="27" s="1"/>
  <c r="AB7" i="27"/>
  <c r="AC7" i="27" s="1"/>
  <c r="W7" i="27"/>
  <c r="X7" i="27" s="1"/>
  <c r="R7" i="27"/>
  <c r="S7" i="27" s="1"/>
  <c r="P7" i="27"/>
  <c r="Q7" i="27" s="1"/>
  <c r="K7" i="27"/>
  <c r="L7" i="27" s="1"/>
  <c r="F7" i="27"/>
  <c r="G7" i="27" s="1"/>
  <c r="SO6" i="27"/>
  <c r="SP6" i="27" s="1"/>
  <c r="SJ6" i="27"/>
  <c r="SK6" i="27" s="1"/>
  <c r="SE6" i="27"/>
  <c r="RX6" i="27"/>
  <c r="RY6" i="27" s="1"/>
  <c r="RS6" i="27"/>
  <c r="RT6" i="27" s="1"/>
  <c r="RN6" i="27"/>
  <c r="RG6" i="27"/>
  <c r="RH6" i="27" s="1"/>
  <c r="RB6" i="27"/>
  <c r="RC6" i="27" s="1"/>
  <c r="QW6" i="27"/>
  <c r="QP6" i="27"/>
  <c r="QQ6" i="27" s="1"/>
  <c r="QK6" i="27"/>
  <c r="QL6" i="27" s="1"/>
  <c r="QF6" i="27"/>
  <c r="PY6" i="27"/>
  <c r="PZ6" i="27" s="1"/>
  <c r="PT6" i="27"/>
  <c r="PU6" i="27" s="1"/>
  <c r="PO6" i="27"/>
  <c r="PH6" i="27"/>
  <c r="PI6" i="27" s="1"/>
  <c r="PC6" i="27"/>
  <c r="PD6" i="27" s="1"/>
  <c r="OX6" i="27"/>
  <c r="OQ6" i="27"/>
  <c r="OR6" i="27" s="1"/>
  <c r="OL6" i="27"/>
  <c r="OM6" i="27" s="1"/>
  <c r="OG6" i="27"/>
  <c r="NZ6" i="27"/>
  <c r="OA6" i="27" s="1"/>
  <c r="NU6" i="27"/>
  <c r="NV6" i="27" s="1"/>
  <c r="NP6" i="27"/>
  <c r="NI6" i="27"/>
  <c r="NJ6" i="27" s="1"/>
  <c r="ND6" i="27"/>
  <c r="NE6" i="27" s="1"/>
  <c r="MY6" i="27"/>
  <c r="MR6" i="27"/>
  <c r="MS6" i="27" s="1"/>
  <c r="MM6" i="27"/>
  <c r="MN6" i="27" s="1"/>
  <c r="MH6" i="27"/>
  <c r="MA6" i="27"/>
  <c r="MB6" i="27" s="1"/>
  <c r="LV6" i="27"/>
  <c r="LW6" i="27" s="1"/>
  <c r="LQ6" i="27"/>
  <c r="LJ6" i="27"/>
  <c r="LK6" i="27" s="1"/>
  <c r="LE6" i="27"/>
  <c r="LF6" i="27" s="1"/>
  <c r="KZ6" i="27"/>
  <c r="KS6" i="27"/>
  <c r="KT6" i="27" s="1"/>
  <c r="KN6" i="27"/>
  <c r="KO6" i="27" s="1"/>
  <c r="KI6" i="27"/>
  <c r="KB6" i="27"/>
  <c r="KC6" i="27" s="1"/>
  <c r="JW6" i="27"/>
  <c r="JX6" i="27" s="1"/>
  <c r="JR6" i="27"/>
  <c r="JK6" i="27"/>
  <c r="JL6" i="27" s="1"/>
  <c r="JF6" i="27"/>
  <c r="JG6" i="27" s="1"/>
  <c r="JA6" i="27"/>
  <c r="IT6" i="27"/>
  <c r="IU6" i="27" s="1"/>
  <c r="IO6" i="27"/>
  <c r="IP6" i="27" s="1"/>
  <c r="IJ6" i="27"/>
  <c r="IC6" i="27"/>
  <c r="ID6" i="27" s="1"/>
  <c r="HX6" i="27"/>
  <c r="HY6" i="27" s="1"/>
  <c r="HS6" i="27"/>
  <c r="HL6" i="27"/>
  <c r="HM6" i="27" s="1"/>
  <c r="HG6" i="27"/>
  <c r="HH6" i="27" s="1"/>
  <c r="HB6" i="27"/>
  <c r="GU6" i="27"/>
  <c r="GV6" i="27" s="1"/>
  <c r="GP6" i="27"/>
  <c r="GQ6" i="27" s="1"/>
  <c r="GK6" i="27"/>
  <c r="GD6" i="27"/>
  <c r="GE6" i="27" s="1"/>
  <c r="FY6" i="27"/>
  <c r="FZ6" i="27" s="1"/>
  <c r="FT6" i="27"/>
  <c r="FM6" i="27"/>
  <c r="FN6" i="27" s="1"/>
  <c r="FH6" i="27"/>
  <c r="FI6" i="27" s="1"/>
  <c r="FC6" i="27"/>
  <c r="EV6" i="27"/>
  <c r="EW6" i="27" s="1"/>
  <c r="EQ6" i="27"/>
  <c r="ER6" i="27" s="1"/>
  <c r="EL6" i="27"/>
  <c r="EE6" i="27"/>
  <c r="EF6" i="27" s="1"/>
  <c r="DZ6" i="27"/>
  <c r="EA6" i="27" s="1"/>
  <c r="DU6" i="27"/>
  <c r="DN6" i="27"/>
  <c r="DO6" i="27" s="1"/>
  <c r="DI6" i="27"/>
  <c r="DJ6" i="27" s="1"/>
  <c r="DD6" i="27"/>
  <c r="CX6" i="27"/>
  <c r="CW6" i="27"/>
  <c r="CR6" i="27"/>
  <c r="CS6" i="27" s="1"/>
  <c r="CM6" i="27"/>
  <c r="CF6" i="27"/>
  <c r="CG6" i="27" s="1"/>
  <c r="CA6" i="27"/>
  <c r="CB6" i="27" s="1"/>
  <c r="BV6" i="27"/>
  <c r="BO6" i="27"/>
  <c r="BP6" i="27" s="1"/>
  <c r="BJ6" i="27"/>
  <c r="BK6" i="27" s="1"/>
  <c r="BE6" i="27"/>
  <c r="AX6" i="27"/>
  <c r="AY6" i="27" s="1"/>
  <c r="AS6" i="27"/>
  <c r="AT6" i="27" s="1"/>
  <c r="AN6" i="27"/>
  <c r="AG6" i="27"/>
  <c r="AH6" i="27" s="1"/>
  <c r="AB6" i="27"/>
  <c r="AC6" i="27" s="1"/>
  <c r="W6" i="27"/>
  <c r="P6" i="27"/>
  <c r="Q6" i="27" s="1"/>
  <c r="K6" i="27"/>
  <c r="L6" i="27" s="1"/>
  <c r="F6" i="27"/>
  <c r="SO5" i="27"/>
  <c r="SP5" i="27" s="1"/>
  <c r="SJ5" i="27"/>
  <c r="SK5" i="27" s="1"/>
  <c r="SE5" i="27"/>
  <c r="RX5" i="27"/>
  <c r="RY5" i="27" s="1"/>
  <c r="RS5" i="27"/>
  <c r="RT5" i="27" s="1"/>
  <c r="RN5" i="27"/>
  <c r="RG5" i="27"/>
  <c r="RH5" i="27" s="1"/>
  <c r="RB5" i="27"/>
  <c r="RC5" i="27" s="1"/>
  <c r="QW5" i="27"/>
  <c r="QP5" i="27"/>
  <c r="QQ5" i="27" s="1"/>
  <c r="QK5" i="27"/>
  <c r="QL5" i="27" s="1"/>
  <c r="QF5" i="27"/>
  <c r="PY5" i="27"/>
  <c r="PZ5" i="27" s="1"/>
  <c r="PT5" i="27"/>
  <c r="PU5" i="27" s="1"/>
  <c r="PO5" i="27"/>
  <c r="PH5" i="27"/>
  <c r="PI5" i="27" s="1"/>
  <c r="PC5" i="27"/>
  <c r="PD5" i="27" s="1"/>
  <c r="OX5" i="27"/>
  <c r="OQ5" i="27"/>
  <c r="OR5" i="27" s="1"/>
  <c r="OL5" i="27"/>
  <c r="OM5" i="27" s="1"/>
  <c r="OG5" i="27"/>
  <c r="NZ5" i="27"/>
  <c r="OA5" i="27" s="1"/>
  <c r="NU5" i="27"/>
  <c r="NV5" i="27" s="1"/>
  <c r="NP5" i="27"/>
  <c r="NI5" i="27"/>
  <c r="NJ5" i="27" s="1"/>
  <c r="ND5" i="27"/>
  <c r="NE5" i="27" s="1"/>
  <c r="MY5" i="27"/>
  <c r="MR5" i="27"/>
  <c r="MS5" i="27" s="1"/>
  <c r="MM5" i="27"/>
  <c r="MN5" i="27" s="1"/>
  <c r="MI5" i="27"/>
  <c r="MH5" i="27"/>
  <c r="MA5" i="27"/>
  <c r="MB5" i="27" s="1"/>
  <c r="LV5" i="27"/>
  <c r="LW5" i="27" s="1"/>
  <c r="LQ5" i="27"/>
  <c r="LJ5" i="27"/>
  <c r="LK5" i="27" s="1"/>
  <c r="LE5" i="27"/>
  <c r="LF5" i="27" s="1"/>
  <c r="KZ5" i="27"/>
  <c r="LA5" i="27" s="1"/>
  <c r="KS5" i="27"/>
  <c r="KT5" i="27" s="1"/>
  <c r="KN5" i="27"/>
  <c r="KO5" i="27" s="1"/>
  <c r="KI5" i="27"/>
  <c r="KB5" i="27"/>
  <c r="KC5" i="27" s="1"/>
  <c r="JW5" i="27"/>
  <c r="JX5" i="27" s="1"/>
  <c r="JR5" i="27"/>
  <c r="JS5" i="27" s="1"/>
  <c r="JK5" i="27"/>
  <c r="JL5" i="27" s="1"/>
  <c r="JF5" i="27"/>
  <c r="JG5" i="27" s="1"/>
  <c r="JA5" i="27"/>
  <c r="IT5" i="27"/>
  <c r="IU5" i="27" s="1"/>
  <c r="IO5" i="27"/>
  <c r="IP5" i="27" s="1"/>
  <c r="IK5" i="27"/>
  <c r="IJ5" i="27"/>
  <c r="IC5" i="27"/>
  <c r="ID5" i="27" s="1"/>
  <c r="HX5" i="27"/>
  <c r="HY5" i="27" s="1"/>
  <c r="HS5" i="27"/>
  <c r="HL5" i="27"/>
  <c r="HM5" i="27" s="1"/>
  <c r="HG5" i="27"/>
  <c r="HH5" i="27" s="1"/>
  <c r="HC5" i="27"/>
  <c r="HB5" i="27"/>
  <c r="GU5" i="27"/>
  <c r="GV5" i="27" s="1"/>
  <c r="GP5" i="27"/>
  <c r="GQ5" i="27" s="1"/>
  <c r="GK5" i="27"/>
  <c r="GD5" i="27"/>
  <c r="GE5" i="27" s="1"/>
  <c r="FY5" i="27"/>
  <c r="FZ5" i="27" s="1"/>
  <c r="FT5" i="27"/>
  <c r="FU5" i="27" s="1"/>
  <c r="FM5" i="27"/>
  <c r="FN5" i="27" s="1"/>
  <c r="FH5" i="27"/>
  <c r="FI5" i="27" s="1"/>
  <c r="FC5" i="27"/>
  <c r="EV5" i="27"/>
  <c r="EW5" i="27" s="1"/>
  <c r="EQ5" i="27"/>
  <c r="ER5" i="27" s="1"/>
  <c r="EL5" i="27"/>
  <c r="EM5" i="27" s="1"/>
  <c r="EE5" i="27"/>
  <c r="EF5" i="27" s="1"/>
  <c r="DZ5" i="27"/>
  <c r="EA5" i="27" s="1"/>
  <c r="DU5" i="27"/>
  <c r="DN5" i="27"/>
  <c r="DO5" i="27" s="1"/>
  <c r="DI5" i="27"/>
  <c r="DJ5" i="27" s="1"/>
  <c r="DE5" i="27"/>
  <c r="DD5" i="27"/>
  <c r="CW5" i="27"/>
  <c r="CX5" i="27" s="1"/>
  <c r="CR5" i="27"/>
  <c r="CS5" i="27" s="1"/>
  <c r="CM5" i="27"/>
  <c r="CF5" i="27"/>
  <c r="CG5" i="27" s="1"/>
  <c r="CA5" i="27"/>
  <c r="CB5" i="27" s="1"/>
  <c r="BW5" i="27"/>
  <c r="BV5" i="27"/>
  <c r="BO5" i="27"/>
  <c r="BP5" i="27" s="1"/>
  <c r="BJ5" i="27"/>
  <c r="BK5" i="27" s="1"/>
  <c r="BE5" i="27"/>
  <c r="AX5" i="27"/>
  <c r="AY5" i="27" s="1"/>
  <c r="AS5" i="27"/>
  <c r="AT5" i="27" s="1"/>
  <c r="AN5" i="27"/>
  <c r="AO5" i="27" s="1"/>
  <c r="AG5" i="27"/>
  <c r="AH5" i="27" s="1"/>
  <c r="AB5" i="27"/>
  <c r="AC5" i="27" s="1"/>
  <c r="W5" i="27"/>
  <c r="P5" i="27"/>
  <c r="Q5" i="27" s="1"/>
  <c r="K5" i="27"/>
  <c r="L5" i="27" s="1"/>
  <c r="F5" i="27"/>
  <c r="G5" i="27" s="1"/>
  <c r="SQ4" i="27"/>
  <c r="SR4" i="27" s="1"/>
  <c r="SO4" i="27"/>
  <c r="SP4" i="27" s="1"/>
  <c r="SJ4" i="27"/>
  <c r="SK4" i="27" s="1"/>
  <c r="SE4" i="27"/>
  <c r="SF4" i="27" s="1"/>
  <c r="RZ4" i="27"/>
  <c r="SA4" i="27" s="1"/>
  <c r="RX4" i="27"/>
  <c r="RY4" i="27" s="1"/>
  <c r="RS4" i="27"/>
  <c r="RT4" i="27" s="1"/>
  <c r="RN4" i="27"/>
  <c r="RO4" i="27" s="1"/>
  <c r="RI4" i="27"/>
  <c r="RJ4" i="27" s="1"/>
  <c r="RG4" i="27"/>
  <c r="RH4" i="27" s="1"/>
  <c r="RB4" i="27"/>
  <c r="RC4" i="27" s="1"/>
  <c r="QX4" i="27"/>
  <c r="QW4" i="27"/>
  <c r="QR4" i="27"/>
  <c r="QS4" i="27" s="1"/>
  <c r="QP4" i="27"/>
  <c r="QQ4" i="27" s="1"/>
  <c r="QK4" i="27"/>
  <c r="QL4" i="27" s="1"/>
  <c r="QG4" i="27"/>
  <c r="QF4" i="27"/>
  <c r="QA4" i="27"/>
  <c r="QB4" i="27" s="1"/>
  <c r="PY4" i="27"/>
  <c r="PZ4" i="27" s="1"/>
  <c r="PT4" i="27"/>
  <c r="PU4" i="27" s="1"/>
  <c r="PO4" i="27"/>
  <c r="PP4" i="27" s="1"/>
  <c r="PJ4" i="27"/>
  <c r="PK4" i="27" s="1"/>
  <c r="PH4" i="27"/>
  <c r="PI4" i="27" s="1"/>
  <c r="PC4" i="27"/>
  <c r="PD4" i="27" s="1"/>
  <c r="OX4" i="27"/>
  <c r="OY4" i="27" s="1"/>
  <c r="OS4" i="27"/>
  <c r="OT4" i="27" s="1"/>
  <c r="OQ4" i="27"/>
  <c r="OR4" i="27" s="1"/>
  <c r="OL4" i="27"/>
  <c r="OM4" i="27" s="1"/>
  <c r="OG4" i="27"/>
  <c r="OH4" i="27" s="1"/>
  <c r="OB4" i="27"/>
  <c r="OC4" i="27" s="1"/>
  <c r="NZ4" i="27"/>
  <c r="OA4" i="27" s="1"/>
  <c r="NU4" i="27"/>
  <c r="NV4" i="27" s="1"/>
  <c r="NQ4" i="27"/>
  <c r="NP4" i="27"/>
  <c r="NK4" i="27"/>
  <c r="NL4" i="27" s="1"/>
  <c r="NI4" i="27"/>
  <c r="NJ4" i="27" s="1"/>
  <c r="ND4" i="27"/>
  <c r="NE4" i="27" s="1"/>
  <c r="MZ4" i="27"/>
  <c r="MY4" i="27"/>
  <c r="MT4" i="27"/>
  <c r="MU4" i="27" s="1"/>
  <c r="MR4" i="27"/>
  <c r="MS4" i="27" s="1"/>
  <c r="MM4" i="27"/>
  <c r="MN4" i="27" s="1"/>
  <c r="MH4" i="27"/>
  <c r="MI4" i="27" s="1"/>
  <c r="MC4" i="27"/>
  <c r="MD4" i="27" s="1"/>
  <c r="MA4" i="27"/>
  <c r="MB4" i="27" s="1"/>
  <c r="LV4" i="27"/>
  <c r="LW4" i="27" s="1"/>
  <c r="LQ4" i="27"/>
  <c r="LR4" i="27" s="1"/>
  <c r="LL4" i="27"/>
  <c r="LM4" i="27" s="1"/>
  <c r="LJ4" i="27"/>
  <c r="LK4" i="27" s="1"/>
  <c r="LE4" i="27"/>
  <c r="LF4" i="27" s="1"/>
  <c r="KZ4" i="27"/>
  <c r="LA4" i="27" s="1"/>
  <c r="KU4" i="27"/>
  <c r="KV4" i="27" s="1"/>
  <c r="KS4" i="27"/>
  <c r="KT4" i="27" s="1"/>
  <c r="KN4" i="27"/>
  <c r="KO4" i="27" s="1"/>
  <c r="KJ4" i="27"/>
  <c r="KI4" i="27"/>
  <c r="KD4" i="27"/>
  <c r="KE4" i="27" s="1"/>
  <c r="KB4" i="27"/>
  <c r="KC4" i="27" s="1"/>
  <c r="JW4" i="27"/>
  <c r="JX4" i="27" s="1"/>
  <c r="JR4" i="27"/>
  <c r="JS4" i="27" s="1"/>
  <c r="JM4" i="27"/>
  <c r="JN4" i="27" s="1"/>
  <c r="JK4" i="27"/>
  <c r="JL4" i="27" s="1"/>
  <c r="JF4" i="27"/>
  <c r="JG4" i="27" s="1"/>
  <c r="JB4" i="27"/>
  <c r="JA4" i="27"/>
  <c r="IV4" i="27"/>
  <c r="IW4" i="27" s="1"/>
  <c r="IT4" i="27"/>
  <c r="IU4" i="27" s="1"/>
  <c r="IO4" i="27"/>
  <c r="IP4" i="27" s="1"/>
  <c r="IJ4" i="27"/>
  <c r="IK4" i="27" s="1"/>
  <c r="IE4" i="27"/>
  <c r="IF4" i="27" s="1"/>
  <c r="IC4" i="27"/>
  <c r="ID4" i="27" s="1"/>
  <c r="HX4" i="27"/>
  <c r="HY4" i="27" s="1"/>
  <c r="HS4" i="27"/>
  <c r="HT4" i="27" s="1"/>
  <c r="HN4" i="27"/>
  <c r="HO4" i="27" s="1"/>
  <c r="HL4" i="27"/>
  <c r="HM4" i="27" s="1"/>
  <c r="HG4" i="27"/>
  <c r="HH4" i="27" s="1"/>
  <c r="HB4" i="27"/>
  <c r="HC4" i="27" s="1"/>
  <c r="GW4" i="27"/>
  <c r="GX4" i="27" s="1"/>
  <c r="GU4" i="27"/>
  <c r="GV4" i="27" s="1"/>
  <c r="GP4" i="27"/>
  <c r="GQ4" i="27" s="1"/>
  <c r="GL4" i="27"/>
  <c r="GK4" i="27"/>
  <c r="GF4" i="27"/>
  <c r="GG4" i="27" s="1"/>
  <c r="GD4" i="27"/>
  <c r="GE4" i="27" s="1"/>
  <c r="FY4" i="27"/>
  <c r="FZ4" i="27" s="1"/>
  <c r="FU4" i="27"/>
  <c r="FT4" i="27"/>
  <c r="FO4" i="27"/>
  <c r="FP4" i="27" s="1"/>
  <c r="FM4" i="27"/>
  <c r="FN4" i="27" s="1"/>
  <c r="FH4" i="27"/>
  <c r="FI4" i="27" s="1"/>
  <c r="FC4" i="27"/>
  <c r="FD4" i="27" s="1"/>
  <c r="EX4" i="27"/>
  <c r="EY4" i="27" s="1"/>
  <c r="EV4" i="27"/>
  <c r="EW4" i="27" s="1"/>
  <c r="EQ4" i="27"/>
  <c r="ER4" i="27" s="1"/>
  <c r="EL4" i="27"/>
  <c r="EM4" i="27" s="1"/>
  <c r="EG4" i="27"/>
  <c r="EH4" i="27" s="1"/>
  <c r="EE4" i="27"/>
  <c r="EF4" i="27" s="1"/>
  <c r="DZ4" i="27"/>
  <c r="EA4" i="27" s="1"/>
  <c r="DU4" i="27"/>
  <c r="DV4" i="27" s="1"/>
  <c r="DP4" i="27"/>
  <c r="DQ4" i="27" s="1"/>
  <c r="DN4" i="27"/>
  <c r="DO4" i="27" s="1"/>
  <c r="DI4" i="27"/>
  <c r="DJ4" i="27" s="1"/>
  <c r="DE4" i="27"/>
  <c r="DD4" i="27"/>
  <c r="CY4" i="27"/>
  <c r="CZ4" i="27" s="1"/>
  <c r="CW4" i="27"/>
  <c r="CX4" i="27" s="1"/>
  <c r="CR4" i="27"/>
  <c r="CS4" i="27" s="1"/>
  <c r="CN4" i="27"/>
  <c r="CM4" i="27"/>
  <c r="CH4" i="27"/>
  <c r="CI4" i="27" s="1"/>
  <c r="CF4" i="27"/>
  <c r="CG4" i="27" s="1"/>
  <c r="CA4" i="27"/>
  <c r="CB4" i="27" s="1"/>
  <c r="BV4" i="27"/>
  <c r="BW4" i="27" s="1"/>
  <c r="BQ4" i="27"/>
  <c r="BR4" i="27" s="1"/>
  <c r="BO4" i="27"/>
  <c r="BP4" i="27" s="1"/>
  <c r="BJ4" i="27"/>
  <c r="BK4" i="27" s="1"/>
  <c r="BE4" i="27"/>
  <c r="BF4" i="27" s="1"/>
  <c r="AZ4" i="27"/>
  <c r="BA4" i="27" s="1"/>
  <c r="AX4" i="27"/>
  <c r="AY4" i="27" s="1"/>
  <c r="AS4" i="27"/>
  <c r="AT4" i="27" s="1"/>
  <c r="AN4" i="27"/>
  <c r="AO4" i="27" s="1"/>
  <c r="AI4" i="27"/>
  <c r="AJ4" i="27" s="1"/>
  <c r="AG4" i="27"/>
  <c r="AH4" i="27" s="1"/>
  <c r="AB4" i="27"/>
  <c r="AC4" i="27" s="1"/>
  <c r="X4" i="27"/>
  <c r="W4" i="27"/>
  <c r="R4" i="27"/>
  <c r="S4" i="27" s="1"/>
  <c r="P4" i="27"/>
  <c r="Q4" i="27" s="1"/>
  <c r="K4" i="27"/>
  <c r="L4" i="27" s="1"/>
  <c r="F4" i="27"/>
  <c r="G4" i="27" s="1"/>
  <c r="AF3" i="27"/>
  <c r="AW3" i="27" s="1"/>
  <c r="BN3" i="27" s="1"/>
  <c r="CE3" i="27" s="1"/>
  <c r="CV3" i="27" s="1"/>
  <c r="DM3" i="27" s="1"/>
  <c r="ED3" i="27" s="1"/>
  <c r="EU3" i="27" s="1"/>
  <c r="FL3" i="27" s="1"/>
  <c r="GC3" i="27" s="1"/>
  <c r="GT3" i="27" s="1"/>
  <c r="HK3" i="27" s="1"/>
  <c r="IB3" i="27" s="1"/>
  <c r="IS3" i="27" s="1"/>
  <c r="JJ3" i="27" s="1"/>
  <c r="KA3" i="27" s="1"/>
  <c r="KR3" i="27" s="1"/>
  <c r="LI3" i="27" s="1"/>
  <c r="LZ3" i="27" s="1"/>
  <c r="MQ3" i="27" s="1"/>
  <c r="NH3" i="27" s="1"/>
  <c r="NY3" i="27" s="1"/>
  <c r="OP3" i="27" s="1"/>
  <c r="PG3" i="27" s="1"/>
  <c r="PX3" i="27" s="1"/>
  <c r="QO3" i="27" s="1"/>
  <c r="RF3" i="27" s="1"/>
  <c r="RW3" i="27" s="1"/>
  <c r="SN3" i="27" s="1"/>
  <c r="AE3" i="27"/>
  <c r="AV3" i="27" s="1"/>
  <c r="BM3" i="27" s="1"/>
  <c r="CD3" i="27" s="1"/>
  <c r="CU3" i="27" s="1"/>
  <c r="DL3" i="27" s="1"/>
  <c r="EC3" i="27" s="1"/>
  <c r="ET3" i="27" s="1"/>
  <c r="FK3" i="27" s="1"/>
  <c r="GB3" i="27" s="1"/>
  <c r="GS3" i="27" s="1"/>
  <c r="HJ3" i="27" s="1"/>
  <c r="IA3" i="27" s="1"/>
  <c r="IR3" i="27" s="1"/>
  <c r="JI3" i="27" s="1"/>
  <c r="JZ3" i="27" s="1"/>
  <c r="KQ3" i="27" s="1"/>
  <c r="LH3" i="27" s="1"/>
  <c r="LY3" i="27" s="1"/>
  <c r="MP3" i="27" s="1"/>
  <c r="NG3" i="27" s="1"/>
  <c r="NX3" i="27" s="1"/>
  <c r="OO3" i="27" s="1"/>
  <c r="PF3" i="27" s="1"/>
  <c r="PW3" i="27" s="1"/>
  <c r="QN3" i="27" s="1"/>
  <c r="RE3" i="27" s="1"/>
  <c r="RV3" i="27" s="1"/>
  <c r="SM3" i="27" s="1"/>
  <c r="AD3" i="27"/>
  <c r="AU3" i="27" s="1"/>
  <c r="BL3" i="27" s="1"/>
  <c r="CC3" i="27" s="1"/>
  <c r="CT3" i="27" s="1"/>
  <c r="DK3" i="27" s="1"/>
  <c r="EB3" i="27" s="1"/>
  <c r="ES3" i="27" s="1"/>
  <c r="FJ3" i="27" s="1"/>
  <c r="GA3" i="27" s="1"/>
  <c r="GR3" i="27" s="1"/>
  <c r="HI3" i="27" s="1"/>
  <c r="HZ3" i="27" s="1"/>
  <c r="IQ3" i="27" s="1"/>
  <c r="JH3" i="27" s="1"/>
  <c r="JY3" i="27" s="1"/>
  <c r="KP3" i="27" s="1"/>
  <c r="LG3" i="27" s="1"/>
  <c r="LX3" i="27" s="1"/>
  <c r="MO3" i="27" s="1"/>
  <c r="NF3" i="27" s="1"/>
  <c r="NW3" i="27" s="1"/>
  <c r="ON3" i="27" s="1"/>
  <c r="PE3" i="27" s="1"/>
  <c r="PV3" i="27" s="1"/>
  <c r="QM3" i="27" s="1"/>
  <c r="RD3" i="27" s="1"/>
  <c r="RU3" i="27" s="1"/>
  <c r="SL3" i="27" s="1"/>
  <c r="AA3" i="27"/>
  <c r="AR3" i="27" s="1"/>
  <c r="BI3" i="27" s="1"/>
  <c r="BZ3" i="27" s="1"/>
  <c r="CQ3" i="27" s="1"/>
  <c r="DH3" i="27" s="1"/>
  <c r="DY3" i="27" s="1"/>
  <c r="EP3" i="27" s="1"/>
  <c r="FG3" i="27" s="1"/>
  <c r="FX3" i="27" s="1"/>
  <c r="GO3" i="27" s="1"/>
  <c r="HF3" i="27" s="1"/>
  <c r="HW3" i="27" s="1"/>
  <c r="IN3" i="27" s="1"/>
  <c r="JE3" i="27" s="1"/>
  <c r="JV3" i="27" s="1"/>
  <c r="KM3" i="27" s="1"/>
  <c r="LD3" i="27" s="1"/>
  <c r="LU3" i="27" s="1"/>
  <c r="ML3" i="27" s="1"/>
  <c r="NC3" i="27" s="1"/>
  <c r="NT3" i="27" s="1"/>
  <c r="OK3" i="27" s="1"/>
  <c r="PB3" i="27" s="1"/>
  <c r="PS3" i="27" s="1"/>
  <c r="QJ3" i="27" s="1"/>
  <c r="RA3" i="27" s="1"/>
  <c r="RR3" i="27" s="1"/>
  <c r="SI3" i="27" s="1"/>
  <c r="Z3" i="27"/>
  <c r="AQ3" i="27" s="1"/>
  <c r="BH3" i="27" s="1"/>
  <c r="BY3" i="27" s="1"/>
  <c r="CP3" i="27" s="1"/>
  <c r="DG3" i="27" s="1"/>
  <c r="DX3" i="27" s="1"/>
  <c r="EO3" i="27" s="1"/>
  <c r="FF3" i="27" s="1"/>
  <c r="FW3" i="27" s="1"/>
  <c r="GN3" i="27" s="1"/>
  <c r="HE3" i="27" s="1"/>
  <c r="HV3" i="27" s="1"/>
  <c r="IM3" i="27" s="1"/>
  <c r="JD3" i="27" s="1"/>
  <c r="JU3" i="27" s="1"/>
  <c r="KL3" i="27" s="1"/>
  <c r="LC3" i="27" s="1"/>
  <c r="LT3" i="27" s="1"/>
  <c r="MK3" i="27" s="1"/>
  <c r="NB3" i="27" s="1"/>
  <c r="NS3" i="27" s="1"/>
  <c r="OJ3" i="27" s="1"/>
  <c r="PA3" i="27" s="1"/>
  <c r="PR3" i="27" s="1"/>
  <c r="QI3" i="27" s="1"/>
  <c r="QZ3" i="27" s="1"/>
  <c r="RQ3" i="27" s="1"/>
  <c r="SH3" i="27" s="1"/>
  <c r="Y3" i="27"/>
  <c r="AP3" i="27" s="1"/>
  <c r="BG3" i="27" s="1"/>
  <c r="BX3" i="27" s="1"/>
  <c r="CO3" i="27" s="1"/>
  <c r="DF3" i="27" s="1"/>
  <c r="DW3" i="27" s="1"/>
  <c r="EN3" i="27" s="1"/>
  <c r="FE3" i="27" s="1"/>
  <c r="FV3" i="27" s="1"/>
  <c r="GM3" i="27" s="1"/>
  <c r="HD3" i="27" s="1"/>
  <c r="HU3" i="27" s="1"/>
  <c r="IL3" i="27" s="1"/>
  <c r="JC3" i="27" s="1"/>
  <c r="JT3" i="27" s="1"/>
  <c r="KK3" i="27" s="1"/>
  <c r="LB3" i="27" s="1"/>
  <c r="LS3" i="27" s="1"/>
  <c r="MJ3" i="27" s="1"/>
  <c r="NA3" i="27" s="1"/>
  <c r="NR3" i="27" s="1"/>
  <c r="OI3" i="27" s="1"/>
  <c r="OZ3" i="27" s="1"/>
  <c r="PQ3" i="27" s="1"/>
  <c r="QH3" i="27" s="1"/>
  <c r="QY3" i="27" s="1"/>
  <c r="RP3" i="27" s="1"/>
  <c r="SG3" i="27" s="1"/>
  <c r="V3" i="27"/>
  <c r="AM3" i="27" s="1"/>
  <c r="BD3" i="27" s="1"/>
  <c r="BU3" i="27" s="1"/>
  <c r="CL3" i="27" s="1"/>
  <c r="DC3" i="27" s="1"/>
  <c r="DT3" i="27" s="1"/>
  <c r="EK3" i="27" s="1"/>
  <c r="FB3" i="27" s="1"/>
  <c r="FS3" i="27" s="1"/>
  <c r="GJ3" i="27" s="1"/>
  <c r="HA3" i="27" s="1"/>
  <c r="HR3" i="27" s="1"/>
  <c r="II3" i="27" s="1"/>
  <c r="IZ3" i="27" s="1"/>
  <c r="JQ3" i="27" s="1"/>
  <c r="KH3" i="27" s="1"/>
  <c r="KY3" i="27" s="1"/>
  <c r="LP3" i="27" s="1"/>
  <c r="MG3" i="27" s="1"/>
  <c r="MX3" i="27" s="1"/>
  <c r="NO3" i="27" s="1"/>
  <c r="OF3" i="27" s="1"/>
  <c r="OW3" i="27" s="1"/>
  <c r="PN3" i="27" s="1"/>
  <c r="QE3" i="27" s="1"/>
  <c r="QV3" i="27" s="1"/>
  <c r="RM3" i="27" s="1"/>
  <c r="SD3" i="27" s="1"/>
  <c r="U3" i="27"/>
  <c r="AL3" i="27" s="1"/>
  <c r="BC3" i="27" s="1"/>
  <c r="BT3" i="27" s="1"/>
  <c r="CK3" i="27" s="1"/>
  <c r="DB3" i="27" s="1"/>
  <c r="DS3" i="27" s="1"/>
  <c r="EJ3" i="27" s="1"/>
  <c r="FA3" i="27" s="1"/>
  <c r="FR3" i="27" s="1"/>
  <c r="GI3" i="27" s="1"/>
  <c r="GZ3" i="27" s="1"/>
  <c r="HQ3" i="27" s="1"/>
  <c r="IH3" i="27" s="1"/>
  <c r="IY3" i="27" s="1"/>
  <c r="JP3" i="27" s="1"/>
  <c r="KG3" i="27" s="1"/>
  <c r="KX3" i="27" s="1"/>
  <c r="LO3" i="27" s="1"/>
  <c r="MF3" i="27" s="1"/>
  <c r="MW3" i="27" s="1"/>
  <c r="NN3" i="27" s="1"/>
  <c r="OE3" i="27" s="1"/>
  <c r="OV3" i="27" s="1"/>
  <c r="PM3" i="27" s="1"/>
  <c r="QD3" i="27" s="1"/>
  <c r="QU3" i="27" s="1"/>
  <c r="RL3" i="27" s="1"/>
  <c r="SC3" i="27" s="1"/>
  <c r="T3" i="27"/>
  <c r="AK3" i="27" s="1"/>
  <c r="BB3" i="27" s="1"/>
  <c r="BS3" i="27" s="1"/>
  <c r="CJ3" i="27" s="1"/>
  <c r="DA3" i="27" s="1"/>
  <c r="DR3" i="27" s="1"/>
  <c r="EI3" i="27" s="1"/>
  <c r="EZ3" i="27" s="1"/>
  <c r="FQ3" i="27" s="1"/>
  <c r="GH3" i="27" s="1"/>
  <c r="GY3" i="27" s="1"/>
  <c r="HP3" i="27" s="1"/>
  <c r="IG3" i="27" s="1"/>
  <c r="IX3" i="27" s="1"/>
  <c r="JO3" i="27" s="1"/>
  <c r="KF3" i="27" s="1"/>
  <c r="KW3" i="27" s="1"/>
  <c r="LN3" i="27" s="1"/>
  <c r="ME3" i="27" s="1"/>
  <c r="MV3" i="27" s="1"/>
  <c r="NM3" i="27" s="1"/>
  <c r="OD3" i="27" s="1"/>
  <c r="OU3" i="27" s="1"/>
  <c r="PL3" i="27" s="1"/>
  <c r="QC3" i="27" s="1"/>
  <c r="QT3" i="27" s="1"/>
  <c r="RK3" i="27" s="1"/>
  <c r="SB3" i="27" s="1"/>
  <c r="T1" i="27"/>
  <c r="PJ11" i="27" l="1"/>
  <c r="PK11" i="27" s="1"/>
  <c r="QA11" i="27"/>
  <c r="QB11" i="27" s="1"/>
  <c r="RI11" i="27"/>
  <c r="RJ11" i="27" s="1"/>
  <c r="JS16" i="27"/>
  <c r="EG17" i="27"/>
  <c r="EH17" i="27" s="1"/>
  <c r="GW17" i="27"/>
  <c r="GX17" i="27" s="1"/>
  <c r="IE17" i="27"/>
  <c r="IF17" i="27" s="1"/>
  <c r="KD11" i="27"/>
  <c r="KE11" i="27" s="1"/>
  <c r="KU11" i="27"/>
  <c r="KV11" i="27" s="1"/>
  <c r="MC11" i="27"/>
  <c r="MD11" i="27" s="1"/>
  <c r="OB15" i="27"/>
  <c r="OC15" i="27" s="1"/>
  <c r="QG15" i="27"/>
  <c r="IV16" i="27"/>
  <c r="IW16" i="27" s="1"/>
  <c r="MC17" i="27"/>
  <c r="MD17" i="27" s="1"/>
  <c r="R8" i="27"/>
  <c r="S8" i="27" s="1"/>
  <c r="AI8" i="27"/>
  <c r="AJ8" i="27" s="1"/>
  <c r="AZ8" i="27"/>
  <c r="BA8" i="27" s="1"/>
  <c r="CH8" i="27"/>
  <c r="CI8" i="27" s="1"/>
  <c r="CN8" i="27"/>
  <c r="EX8" i="27"/>
  <c r="EY8" i="27" s="1"/>
  <c r="R11" i="27"/>
  <c r="S11" i="27" s="1"/>
  <c r="X11" i="27"/>
  <c r="EX16" i="27"/>
  <c r="EY16" i="27" s="1"/>
  <c r="MT16" i="27"/>
  <c r="MU16" i="27" s="1"/>
  <c r="NK17" i="27"/>
  <c r="NL17" i="27" s="1"/>
  <c r="NE17" i="27"/>
  <c r="NK15" i="29"/>
  <c r="NL15" i="29" s="1"/>
  <c r="OH15" i="29"/>
  <c r="KU16" i="29"/>
  <c r="KV16" i="29" s="1"/>
  <c r="QG16" i="29"/>
  <c r="R17" i="29"/>
  <c r="S17" i="29" s="1"/>
  <c r="G17" i="29"/>
  <c r="CY17" i="29"/>
  <c r="CZ17" i="29" s="1"/>
  <c r="GW17" i="29"/>
  <c r="GX17" i="29" s="1"/>
  <c r="GL17" i="29"/>
  <c r="BP19" i="29"/>
  <c r="BQ19" i="29"/>
  <c r="BR19" i="29" s="1"/>
  <c r="CY17" i="27"/>
  <c r="CZ17" i="27" s="1"/>
  <c r="R5" i="29"/>
  <c r="S5" i="29" s="1"/>
  <c r="AI5" i="29"/>
  <c r="AJ5" i="29" s="1"/>
  <c r="AZ5" i="29"/>
  <c r="BA5" i="29" s="1"/>
  <c r="BQ5" i="29"/>
  <c r="BR5" i="29" s="1"/>
  <c r="CH5" i="29"/>
  <c r="CI5" i="29" s="1"/>
  <c r="CY5" i="29"/>
  <c r="CZ5" i="29" s="1"/>
  <c r="DP5" i="29"/>
  <c r="DQ5" i="29" s="1"/>
  <c r="EG5" i="29"/>
  <c r="EH5" i="29" s="1"/>
  <c r="EX5" i="29"/>
  <c r="EY5" i="29" s="1"/>
  <c r="FO5" i="29"/>
  <c r="FP5" i="29" s="1"/>
  <c r="GF5" i="29"/>
  <c r="GG5" i="29" s="1"/>
  <c r="GW5" i="29"/>
  <c r="GX5" i="29" s="1"/>
  <c r="HN5" i="29"/>
  <c r="HO5" i="29" s="1"/>
  <c r="IE5" i="29"/>
  <c r="IF5" i="29" s="1"/>
  <c r="IV5" i="29"/>
  <c r="IW5" i="29" s="1"/>
  <c r="JM5" i="29"/>
  <c r="JN5" i="29" s="1"/>
  <c r="KD5" i="29"/>
  <c r="KE5" i="29" s="1"/>
  <c r="KU5" i="29"/>
  <c r="KV5" i="29" s="1"/>
  <c r="LL5" i="29"/>
  <c r="LM5" i="29" s="1"/>
  <c r="MC5" i="29"/>
  <c r="MD5" i="29" s="1"/>
  <c r="MT5" i="29"/>
  <c r="MU5" i="29" s="1"/>
  <c r="NK5" i="29"/>
  <c r="NL5" i="29" s="1"/>
  <c r="OB5" i="29"/>
  <c r="OC5" i="29" s="1"/>
  <c r="OS5" i="29"/>
  <c r="OT5" i="29" s="1"/>
  <c r="PJ5" i="29"/>
  <c r="PK5" i="29" s="1"/>
  <c r="QA5" i="29"/>
  <c r="QB5" i="29" s="1"/>
  <c r="QR5" i="29"/>
  <c r="QS5" i="29" s="1"/>
  <c r="RI5" i="29"/>
  <c r="RJ5" i="29" s="1"/>
  <c r="RZ5" i="29"/>
  <c r="SA5" i="29" s="1"/>
  <c r="SQ5" i="29"/>
  <c r="SR5" i="29" s="1"/>
  <c r="R6" i="29"/>
  <c r="S6" i="29" s="1"/>
  <c r="AI6" i="29"/>
  <c r="AJ6" i="29" s="1"/>
  <c r="AZ6" i="29"/>
  <c r="BA6" i="29" s="1"/>
  <c r="BQ6" i="29"/>
  <c r="BR6" i="29" s="1"/>
  <c r="CH6" i="29"/>
  <c r="CI6" i="29" s="1"/>
  <c r="CY6" i="29"/>
  <c r="CZ6" i="29" s="1"/>
  <c r="DP6" i="29"/>
  <c r="DQ6" i="29" s="1"/>
  <c r="EG6" i="29"/>
  <c r="EH6" i="29" s="1"/>
  <c r="EX6" i="29"/>
  <c r="EY6" i="29" s="1"/>
  <c r="FO6" i="29"/>
  <c r="FP6" i="29" s="1"/>
  <c r="GF6" i="29"/>
  <c r="GG6" i="29" s="1"/>
  <c r="GW6" i="29"/>
  <c r="GX6" i="29" s="1"/>
  <c r="HN6" i="29"/>
  <c r="HO6" i="29" s="1"/>
  <c r="IE6" i="29"/>
  <c r="IF6" i="29" s="1"/>
  <c r="IV6" i="29"/>
  <c r="IW6" i="29" s="1"/>
  <c r="JM6" i="29"/>
  <c r="JN6" i="29" s="1"/>
  <c r="KD6" i="29"/>
  <c r="KE6" i="29" s="1"/>
  <c r="KU6" i="29"/>
  <c r="KV6" i="29" s="1"/>
  <c r="LL6" i="29"/>
  <c r="LM6" i="29" s="1"/>
  <c r="MC6" i="29"/>
  <c r="MD6" i="29" s="1"/>
  <c r="MT6" i="29"/>
  <c r="MU6" i="29" s="1"/>
  <c r="NK6" i="29"/>
  <c r="NL6" i="29" s="1"/>
  <c r="R8" i="29"/>
  <c r="S8" i="29" s="1"/>
  <c r="CH8" i="29"/>
  <c r="CI8" i="29" s="1"/>
  <c r="EX8" i="29"/>
  <c r="EY8" i="29" s="1"/>
  <c r="AI17" i="29"/>
  <c r="AJ17" i="29" s="1"/>
  <c r="OB16" i="29"/>
  <c r="OC16" i="29" s="1"/>
  <c r="EG17" i="29"/>
  <c r="EH17" i="29" s="1"/>
  <c r="JM17" i="29"/>
  <c r="JN17" i="29" s="1"/>
  <c r="SQ15" i="31"/>
  <c r="SR15" i="31" s="1"/>
  <c r="OB6" i="29"/>
  <c r="OC6" i="29" s="1"/>
  <c r="OS6" i="29"/>
  <c r="OT6" i="29" s="1"/>
  <c r="PJ6" i="29"/>
  <c r="PK6" i="29" s="1"/>
  <c r="QA6" i="29"/>
  <c r="QB6" i="29" s="1"/>
  <c r="QR6" i="29"/>
  <c r="QS6" i="29" s="1"/>
  <c r="RI6" i="29"/>
  <c r="RJ6" i="29" s="1"/>
  <c r="RZ6" i="29"/>
  <c r="SA6" i="29" s="1"/>
  <c r="AZ8" i="29"/>
  <c r="BA8" i="29" s="1"/>
  <c r="DP8" i="29"/>
  <c r="DQ8" i="29" s="1"/>
  <c r="OB8" i="29"/>
  <c r="OC8" i="29" s="1"/>
  <c r="EG15" i="29"/>
  <c r="EH15" i="29" s="1"/>
  <c r="IE15" i="29"/>
  <c r="IF15" i="29" s="1"/>
  <c r="AI16" i="29"/>
  <c r="AJ16" i="29" s="1"/>
  <c r="SQ16" i="29"/>
  <c r="SR16" i="29" s="1"/>
  <c r="RI17" i="29"/>
  <c r="RJ17" i="29" s="1"/>
  <c r="GF8" i="27"/>
  <c r="GG8" i="27" s="1"/>
  <c r="KU8" i="27"/>
  <c r="KV8" i="27" s="1"/>
  <c r="LL8" i="27"/>
  <c r="LM8" i="27" s="1"/>
  <c r="MT8" i="27"/>
  <c r="MU8" i="27" s="1"/>
  <c r="PJ8" i="27"/>
  <c r="PK8" i="27" s="1"/>
  <c r="RZ8" i="27"/>
  <c r="SA8" i="27" s="1"/>
  <c r="SQ8" i="27"/>
  <c r="SR8" i="27" s="1"/>
  <c r="DP11" i="27"/>
  <c r="DQ11" i="27" s="1"/>
  <c r="EG11" i="27"/>
  <c r="EH11" i="27" s="1"/>
  <c r="IV11" i="27"/>
  <c r="IW11" i="27" s="1"/>
  <c r="JM11" i="27"/>
  <c r="JN11" i="27" s="1"/>
  <c r="OB11" i="27"/>
  <c r="OC11" i="27" s="1"/>
  <c r="OS11" i="27"/>
  <c r="OT11" i="27" s="1"/>
  <c r="PJ15" i="27"/>
  <c r="PK15" i="27" s="1"/>
  <c r="RZ15" i="27"/>
  <c r="SA15" i="27" s="1"/>
  <c r="CH16" i="27"/>
  <c r="CI16" i="27" s="1"/>
  <c r="PJ16" i="27"/>
  <c r="PK16" i="27" s="1"/>
  <c r="R17" i="27"/>
  <c r="S17" i="27" s="1"/>
  <c r="GF17" i="27"/>
  <c r="GG17" i="27" s="1"/>
  <c r="FZ17" i="27"/>
  <c r="LL17" i="27"/>
  <c r="LM17" i="27" s="1"/>
  <c r="LF17" i="27"/>
  <c r="QR17" i="27"/>
  <c r="QS17" i="27" s="1"/>
  <c r="QL17" i="27"/>
  <c r="HN17" i="27"/>
  <c r="HO17" i="27" s="1"/>
  <c r="HH17" i="27"/>
  <c r="MT17" i="27"/>
  <c r="MU17" i="27" s="1"/>
  <c r="MN17" i="27"/>
  <c r="RZ17" i="27"/>
  <c r="SA17" i="27" s="1"/>
  <c r="RT17" i="27"/>
  <c r="DP8" i="27"/>
  <c r="DQ8" i="27" s="1"/>
  <c r="IE8" i="27"/>
  <c r="IF8" i="27" s="1"/>
  <c r="IV8" i="27"/>
  <c r="IW8" i="27" s="1"/>
  <c r="AZ11" i="27"/>
  <c r="BA11" i="27" s="1"/>
  <c r="BF11" i="27"/>
  <c r="GF11" i="27"/>
  <c r="GG11" i="27" s="1"/>
  <c r="GL11" i="27"/>
  <c r="LL11" i="27"/>
  <c r="LM11" i="27" s="1"/>
  <c r="LR11" i="27"/>
  <c r="QR11" i="27"/>
  <c r="QS11" i="27" s="1"/>
  <c r="QX11" i="27"/>
  <c r="CH15" i="27"/>
  <c r="CI15" i="27" s="1"/>
  <c r="HN15" i="27"/>
  <c r="HO15" i="27" s="1"/>
  <c r="MT15" i="27"/>
  <c r="MU15" i="27" s="1"/>
  <c r="EM16" i="27"/>
  <c r="IK16" i="27"/>
  <c r="MI16" i="27"/>
  <c r="CS17" i="27"/>
  <c r="EA17" i="27"/>
  <c r="HY17" i="27"/>
  <c r="IV17" i="27"/>
  <c r="IW17" i="27" s="1"/>
  <c r="IP17" i="27"/>
  <c r="JM17" i="27"/>
  <c r="JN17" i="27" s="1"/>
  <c r="OB17" i="27"/>
  <c r="OC17" i="27" s="1"/>
  <c r="NV17" i="27"/>
  <c r="AI5" i="27"/>
  <c r="AJ5" i="27" s="1"/>
  <c r="BQ5" i="27"/>
  <c r="BR5" i="27" s="1"/>
  <c r="CY5" i="27"/>
  <c r="CZ5" i="27" s="1"/>
  <c r="EG5" i="27"/>
  <c r="EH5" i="27" s="1"/>
  <c r="FO5" i="27"/>
  <c r="FP5" i="27" s="1"/>
  <c r="GW5" i="27"/>
  <c r="GX5" i="27" s="1"/>
  <c r="IE5" i="27"/>
  <c r="IF5" i="27" s="1"/>
  <c r="JM5" i="27"/>
  <c r="JN5" i="27" s="1"/>
  <c r="KU5" i="27"/>
  <c r="KV5" i="27" s="1"/>
  <c r="MC5" i="27"/>
  <c r="MD5" i="27" s="1"/>
  <c r="GW8" i="27"/>
  <c r="GX8" i="27" s="1"/>
  <c r="HN8" i="27"/>
  <c r="HO8" i="27" s="1"/>
  <c r="MC8" i="27"/>
  <c r="MD8" i="27" s="1"/>
  <c r="NK8" i="27"/>
  <c r="NL8" i="27" s="1"/>
  <c r="OB8" i="27"/>
  <c r="OC8" i="27" s="1"/>
  <c r="OS8" i="27"/>
  <c r="OT8" i="27" s="1"/>
  <c r="QA8" i="27"/>
  <c r="QB8" i="27" s="1"/>
  <c r="QR8" i="27"/>
  <c r="QS8" i="27" s="1"/>
  <c r="RI8" i="27"/>
  <c r="RJ8" i="27" s="1"/>
  <c r="CH11" i="27"/>
  <c r="CI11" i="27" s="1"/>
  <c r="CY11" i="27"/>
  <c r="CZ11" i="27" s="1"/>
  <c r="HN11" i="27"/>
  <c r="HO11" i="27" s="1"/>
  <c r="IE11" i="27"/>
  <c r="IF11" i="27" s="1"/>
  <c r="MT11" i="27"/>
  <c r="MU11" i="27" s="1"/>
  <c r="NK11" i="27"/>
  <c r="NL11" i="27" s="1"/>
  <c r="RZ11" i="27"/>
  <c r="SA11" i="27" s="1"/>
  <c r="KU13" i="27"/>
  <c r="KV13" i="27" s="1"/>
  <c r="MC13" i="27"/>
  <c r="MD13" i="27" s="1"/>
  <c r="NK13" i="27"/>
  <c r="NL13" i="27" s="1"/>
  <c r="OS13" i="27"/>
  <c r="OT13" i="27" s="1"/>
  <c r="QA13" i="27"/>
  <c r="QB13" i="27" s="1"/>
  <c r="RI13" i="27"/>
  <c r="RJ13" i="27" s="1"/>
  <c r="SQ13" i="27"/>
  <c r="SR13" i="27" s="1"/>
  <c r="AI15" i="27"/>
  <c r="AJ15" i="27" s="1"/>
  <c r="LL15" i="27"/>
  <c r="LM15" i="27" s="1"/>
  <c r="R16" i="27"/>
  <c r="S16" i="27" s="1"/>
  <c r="DP16" i="27"/>
  <c r="DQ16" i="27" s="1"/>
  <c r="HN16" i="27"/>
  <c r="HO16" i="27" s="1"/>
  <c r="AZ17" i="27"/>
  <c r="BA17" i="27" s="1"/>
  <c r="CH17" i="27"/>
  <c r="CI17" i="27" s="1"/>
  <c r="DP17" i="27"/>
  <c r="DQ17" i="27" s="1"/>
  <c r="EX17" i="27"/>
  <c r="EY17" i="27" s="1"/>
  <c r="ER17" i="27"/>
  <c r="FO17" i="27"/>
  <c r="FP17" i="27" s="1"/>
  <c r="KD17" i="27"/>
  <c r="KE17" i="27" s="1"/>
  <c r="JX17" i="27"/>
  <c r="KU17" i="27"/>
  <c r="KV17" i="27" s="1"/>
  <c r="PJ17" i="27"/>
  <c r="PK17" i="27" s="1"/>
  <c r="PD17" i="27"/>
  <c r="OS17" i="27"/>
  <c r="OT17" i="27" s="1"/>
  <c r="QA17" i="27"/>
  <c r="QB17" i="27" s="1"/>
  <c r="RI17" i="27"/>
  <c r="RJ17" i="27" s="1"/>
  <c r="SQ17" i="27"/>
  <c r="SR17" i="27" s="1"/>
  <c r="GF8" i="29"/>
  <c r="GG8" i="29" s="1"/>
  <c r="PJ8" i="29"/>
  <c r="PK8" i="29" s="1"/>
  <c r="OB15" i="29"/>
  <c r="OC15" i="29" s="1"/>
  <c r="NQ15" i="29"/>
  <c r="QA15" i="29"/>
  <c r="QB15" i="29" s="1"/>
  <c r="PP15" i="29"/>
  <c r="DP16" i="29"/>
  <c r="DQ16" i="29" s="1"/>
  <c r="DE16" i="29"/>
  <c r="LL16" i="29"/>
  <c r="LM16" i="29" s="1"/>
  <c r="BQ17" i="29"/>
  <c r="BR17" i="29" s="1"/>
  <c r="FO17" i="29"/>
  <c r="FP17" i="29" s="1"/>
  <c r="IE17" i="29"/>
  <c r="IF17" i="29" s="1"/>
  <c r="RZ15" i="29"/>
  <c r="SA15" i="29" s="1"/>
  <c r="RO15" i="29"/>
  <c r="MZ11" i="31"/>
  <c r="NK11" i="31"/>
  <c r="NL11" i="31" s="1"/>
  <c r="SQ6" i="29"/>
  <c r="SR6" i="29" s="1"/>
  <c r="KD8" i="29"/>
  <c r="KE8" i="29" s="1"/>
  <c r="LL8" i="29"/>
  <c r="LM8" i="29" s="1"/>
  <c r="RZ8" i="29"/>
  <c r="SA8" i="29" s="1"/>
  <c r="R11" i="29"/>
  <c r="S11" i="29" s="1"/>
  <c r="AZ11" i="29"/>
  <c r="BA11" i="29" s="1"/>
  <c r="CH11" i="29"/>
  <c r="CI11" i="29" s="1"/>
  <c r="DP11" i="29"/>
  <c r="DQ11" i="29" s="1"/>
  <c r="EX11" i="29"/>
  <c r="EY11" i="29" s="1"/>
  <c r="GF11" i="29"/>
  <c r="GG11" i="29" s="1"/>
  <c r="HN11" i="29"/>
  <c r="HO11" i="29" s="1"/>
  <c r="LL15" i="29"/>
  <c r="LM15" i="29" s="1"/>
  <c r="LA15" i="29"/>
  <c r="EX16" i="29"/>
  <c r="EY16" i="29" s="1"/>
  <c r="EM16" i="29"/>
  <c r="GW16" i="29"/>
  <c r="GX16" i="29" s="1"/>
  <c r="GL16" i="29"/>
  <c r="NK16" i="29"/>
  <c r="NL16" i="29" s="1"/>
  <c r="QA16" i="29"/>
  <c r="QB16" i="29" s="1"/>
  <c r="MC17" i="29"/>
  <c r="MD17" i="29" s="1"/>
  <c r="QA17" i="29"/>
  <c r="QB17" i="29" s="1"/>
  <c r="SQ17" i="29"/>
  <c r="SR17" i="29" s="1"/>
  <c r="MZ19" i="29"/>
  <c r="NK19" i="29"/>
  <c r="NL19" i="29" s="1"/>
  <c r="HN8" i="29"/>
  <c r="HO8" i="29" s="1"/>
  <c r="IV8" i="29"/>
  <c r="IW8" i="29" s="1"/>
  <c r="QR8" i="29"/>
  <c r="QS8" i="29" s="1"/>
  <c r="R16" i="29"/>
  <c r="S16" i="29" s="1"/>
  <c r="G16" i="29"/>
  <c r="BQ16" i="29"/>
  <c r="BR16" i="29" s="1"/>
  <c r="BF16" i="29"/>
  <c r="IV16" i="29"/>
  <c r="IW16" i="29" s="1"/>
  <c r="IK16" i="29"/>
  <c r="R15" i="29"/>
  <c r="S15" i="29" s="1"/>
  <c r="MC15" i="29"/>
  <c r="MD15" i="29" s="1"/>
  <c r="MZ16" i="29"/>
  <c r="SF16" i="29"/>
  <c r="CN17" i="29"/>
  <c r="HT17" i="29"/>
  <c r="MZ17" i="29"/>
  <c r="SF17" i="29"/>
  <c r="HT11" i="31"/>
  <c r="IE11" i="31"/>
  <c r="IF11" i="31" s="1"/>
  <c r="DV19" i="31"/>
  <c r="EG19" i="31"/>
  <c r="EH19" i="31" s="1"/>
  <c r="JB19" i="31"/>
  <c r="JM19" i="31"/>
  <c r="JN19" i="31" s="1"/>
  <c r="CY15" i="29"/>
  <c r="CZ15" i="29" s="1"/>
  <c r="DP15" i="29"/>
  <c r="DQ15" i="29" s="1"/>
  <c r="FO15" i="29"/>
  <c r="FP15" i="29" s="1"/>
  <c r="GW15" i="29"/>
  <c r="GX15" i="29" s="1"/>
  <c r="JM15" i="29"/>
  <c r="JN15" i="29" s="1"/>
  <c r="RI15" i="29"/>
  <c r="RJ15" i="29" s="1"/>
  <c r="CY16" i="29"/>
  <c r="CZ16" i="29" s="1"/>
  <c r="IE16" i="29"/>
  <c r="IF16" i="29" s="1"/>
  <c r="HT19" i="29"/>
  <c r="IE19" i="29"/>
  <c r="IF19" i="29" s="1"/>
  <c r="SF11" i="31"/>
  <c r="SQ11" i="31"/>
  <c r="SR11" i="31" s="1"/>
  <c r="AZ15" i="29"/>
  <c r="BA15" i="29" s="1"/>
  <c r="GF15" i="29"/>
  <c r="GG15" i="29" s="1"/>
  <c r="IV15" i="29"/>
  <c r="IW15" i="29" s="1"/>
  <c r="KU15" i="29"/>
  <c r="KV15" i="29" s="1"/>
  <c r="PJ15" i="29"/>
  <c r="PK15" i="29" s="1"/>
  <c r="QR15" i="29"/>
  <c r="QS15" i="29" s="1"/>
  <c r="SQ15" i="29"/>
  <c r="SR15" i="29" s="1"/>
  <c r="AZ16" i="29"/>
  <c r="BA16" i="29" s="1"/>
  <c r="CH16" i="29"/>
  <c r="CI16" i="29" s="1"/>
  <c r="EG16" i="29"/>
  <c r="EH16" i="29" s="1"/>
  <c r="GF16" i="29"/>
  <c r="GG16" i="29" s="1"/>
  <c r="HN16" i="29"/>
  <c r="HO16" i="29" s="1"/>
  <c r="JM16" i="29"/>
  <c r="JN16" i="29" s="1"/>
  <c r="CN11" i="31"/>
  <c r="CY11" i="31"/>
  <c r="CZ11" i="31" s="1"/>
  <c r="AI16" i="31"/>
  <c r="AJ16" i="31" s="1"/>
  <c r="BQ16" i="31"/>
  <c r="BR16" i="31" s="1"/>
  <c r="CY16" i="31"/>
  <c r="CZ16" i="31" s="1"/>
  <c r="AI11" i="31"/>
  <c r="AJ11" i="31" s="1"/>
  <c r="FO11" i="31"/>
  <c r="FP11" i="31" s="1"/>
  <c r="KU11" i="31"/>
  <c r="KV11" i="31" s="1"/>
  <c r="QA11" i="31"/>
  <c r="QB11" i="31" s="1"/>
  <c r="PP8" i="27"/>
  <c r="MZ8" i="27"/>
  <c r="KJ8" i="27"/>
  <c r="JB8" i="27"/>
  <c r="HT8" i="27"/>
  <c r="GL8" i="27"/>
  <c r="FO8" i="27"/>
  <c r="FP8" i="27" s="1"/>
  <c r="DV8" i="27"/>
  <c r="BQ8" i="27"/>
  <c r="BR8" i="27" s="1"/>
  <c r="AO8" i="27"/>
  <c r="X8" i="27"/>
  <c r="G8" i="27"/>
  <c r="RI19" i="29"/>
  <c r="RJ19" i="29" s="1"/>
  <c r="QA19" i="29"/>
  <c r="QB19" i="29" s="1"/>
  <c r="OS19" i="29"/>
  <c r="OT19" i="29" s="1"/>
  <c r="MC19" i="29"/>
  <c r="MD19" i="29" s="1"/>
  <c r="KU19" i="29"/>
  <c r="KV19" i="29" s="1"/>
  <c r="JM19" i="29"/>
  <c r="JN19" i="29" s="1"/>
  <c r="GW19" i="29"/>
  <c r="GX19" i="29" s="1"/>
  <c r="MC19" i="31"/>
  <c r="MD19" i="31" s="1"/>
  <c r="QQ20" i="31"/>
  <c r="RO20" i="31"/>
  <c r="NE20" i="31"/>
  <c r="OA20" i="31"/>
  <c r="OY20" i="31"/>
  <c r="SK20" i="31"/>
  <c r="L20" i="31"/>
  <c r="BF20" i="31"/>
  <c r="CB20" i="31"/>
  <c r="CX20" i="31"/>
  <c r="DV20" i="31"/>
  <c r="ER20" i="31"/>
  <c r="FN20" i="31"/>
  <c r="GL20" i="31"/>
  <c r="HH20" i="31"/>
  <c r="ID20" i="31"/>
  <c r="JB20" i="31"/>
  <c r="JX20" i="31"/>
  <c r="KT20" i="31"/>
  <c r="LR20" i="31"/>
  <c r="MN20" i="31"/>
  <c r="NJ20" i="31"/>
  <c r="PD20" i="31"/>
  <c r="PZ20" i="31"/>
  <c r="Q20" i="31"/>
  <c r="AH20" i="31"/>
  <c r="OH20" i="31"/>
  <c r="QX20" i="31"/>
  <c r="RT20" i="31"/>
  <c r="SP20" i="31"/>
  <c r="G20" i="31"/>
  <c r="AC20" i="31"/>
  <c r="HC20" i="31"/>
  <c r="HY20" i="31"/>
  <c r="IU20" i="31"/>
  <c r="JS20" i="31"/>
  <c r="KO20" i="31"/>
  <c r="LK20" i="31"/>
  <c r="MI20" i="31"/>
  <c r="PU20" i="31"/>
  <c r="X20" i="31"/>
  <c r="CH5" i="31"/>
  <c r="CI5" i="31" s="1"/>
  <c r="GF5" i="31"/>
  <c r="GG5" i="31" s="1"/>
  <c r="LL5" i="31"/>
  <c r="LM5" i="31" s="1"/>
  <c r="QR5" i="31"/>
  <c r="QS5" i="31" s="1"/>
  <c r="CH6" i="31"/>
  <c r="CI6" i="31" s="1"/>
  <c r="HN6" i="31"/>
  <c r="HO6" i="31" s="1"/>
  <c r="MT6" i="31"/>
  <c r="MU6" i="31" s="1"/>
  <c r="R8" i="31"/>
  <c r="S8" i="31" s="1"/>
  <c r="AZ8" i="31"/>
  <c r="BA8" i="31" s="1"/>
  <c r="DP8" i="31"/>
  <c r="DQ8" i="31" s="1"/>
  <c r="EX8" i="31"/>
  <c r="EY8" i="31" s="1"/>
  <c r="GF8" i="31"/>
  <c r="GG8" i="31" s="1"/>
  <c r="HN8" i="31"/>
  <c r="HO8" i="31" s="1"/>
  <c r="IV8" i="31"/>
  <c r="IW8" i="31" s="1"/>
  <c r="KD8" i="31"/>
  <c r="KE8" i="31" s="1"/>
  <c r="LL8" i="31"/>
  <c r="LM8" i="31" s="1"/>
  <c r="MT8" i="31"/>
  <c r="MU8" i="31" s="1"/>
  <c r="OB8" i="31"/>
  <c r="OC8" i="31" s="1"/>
  <c r="PJ8" i="31"/>
  <c r="PK8" i="31" s="1"/>
  <c r="QR8" i="31"/>
  <c r="QS8" i="31" s="1"/>
  <c r="RZ8" i="31"/>
  <c r="SA8" i="31" s="1"/>
  <c r="R11" i="31"/>
  <c r="S11" i="31" s="1"/>
  <c r="G11" i="31"/>
  <c r="HN5" i="31"/>
  <c r="HO5" i="31" s="1"/>
  <c r="MT5" i="31"/>
  <c r="MU5" i="31" s="1"/>
  <c r="RZ5" i="31"/>
  <c r="SA5" i="31" s="1"/>
  <c r="DP6" i="31"/>
  <c r="DQ6" i="31" s="1"/>
  <c r="IV6" i="31"/>
  <c r="IW6" i="31" s="1"/>
  <c r="OB6" i="31"/>
  <c r="OC6" i="31" s="1"/>
  <c r="RZ6" i="31"/>
  <c r="SA6" i="31" s="1"/>
  <c r="AZ5" i="31"/>
  <c r="BA5" i="31" s="1"/>
  <c r="EX5" i="31"/>
  <c r="EY5" i="31" s="1"/>
  <c r="KD5" i="31"/>
  <c r="KE5" i="31" s="1"/>
  <c r="PJ5" i="31"/>
  <c r="PK5" i="31" s="1"/>
  <c r="AZ6" i="31"/>
  <c r="BA6" i="31" s="1"/>
  <c r="GF6" i="31"/>
  <c r="GG6" i="31" s="1"/>
  <c r="LL6" i="31"/>
  <c r="LM6" i="31" s="1"/>
  <c r="QR6" i="31"/>
  <c r="QS6" i="31" s="1"/>
  <c r="AK1" i="31"/>
  <c r="AI5" i="31"/>
  <c r="AJ5" i="31" s="1"/>
  <c r="BQ5" i="31"/>
  <c r="BR5" i="31" s="1"/>
  <c r="CY5" i="31"/>
  <c r="CZ5" i="31" s="1"/>
  <c r="EG5" i="31"/>
  <c r="EH5" i="31" s="1"/>
  <c r="FO5" i="31"/>
  <c r="FP5" i="31" s="1"/>
  <c r="GW5" i="31"/>
  <c r="GX5" i="31" s="1"/>
  <c r="IE5" i="31"/>
  <c r="IF5" i="31" s="1"/>
  <c r="JM5" i="31"/>
  <c r="JN5" i="31" s="1"/>
  <c r="KU5" i="31"/>
  <c r="KV5" i="31" s="1"/>
  <c r="MC5" i="31"/>
  <c r="MD5" i="31" s="1"/>
  <c r="NK5" i="31"/>
  <c r="NL5" i="31" s="1"/>
  <c r="OS5" i="31"/>
  <c r="OT5" i="31" s="1"/>
  <c r="QA5" i="31"/>
  <c r="QB5" i="31" s="1"/>
  <c r="RI5" i="31"/>
  <c r="RJ5" i="31" s="1"/>
  <c r="SQ5" i="31"/>
  <c r="SR5" i="31" s="1"/>
  <c r="AI6" i="31"/>
  <c r="AJ6" i="31" s="1"/>
  <c r="BQ6" i="31"/>
  <c r="BR6" i="31" s="1"/>
  <c r="CY6" i="31"/>
  <c r="CZ6" i="31" s="1"/>
  <c r="EG6" i="31"/>
  <c r="EH6" i="31" s="1"/>
  <c r="FO6" i="31"/>
  <c r="FP6" i="31" s="1"/>
  <c r="GW6" i="31"/>
  <c r="GX6" i="31" s="1"/>
  <c r="IE6" i="31"/>
  <c r="IF6" i="31" s="1"/>
  <c r="JM6" i="31"/>
  <c r="JN6" i="31" s="1"/>
  <c r="KU6" i="31"/>
  <c r="KV6" i="31" s="1"/>
  <c r="MC6" i="31"/>
  <c r="MD6" i="31" s="1"/>
  <c r="NK6" i="31"/>
  <c r="NL6" i="31" s="1"/>
  <c r="OS6" i="31"/>
  <c r="OT6" i="31" s="1"/>
  <c r="QA6" i="31"/>
  <c r="QB6" i="31" s="1"/>
  <c r="RI6" i="31"/>
  <c r="RJ6" i="31" s="1"/>
  <c r="SQ6" i="31"/>
  <c r="SR6" i="31" s="1"/>
  <c r="AI8" i="31"/>
  <c r="AJ8" i="31" s="1"/>
  <c r="BQ8" i="31"/>
  <c r="BR8" i="31" s="1"/>
  <c r="CY8" i="31"/>
  <c r="CZ8" i="31" s="1"/>
  <c r="EG8" i="31"/>
  <c r="EH8" i="31" s="1"/>
  <c r="FO8" i="31"/>
  <c r="FP8" i="31" s="1"/>
  <c r="GW8" i="31"/>
  <c r="GX8" i="31" s="1"/>
  <c r="IE8" i="31"/>
  <c r="IF8" i="31" s="1"/>
  <c r="JM8" i="31"/>
  <c r="JN8" i="31" s="1"/>
  <c r="KU8" i="31"/>
  <c r="KV8" i="31" s="1"/>
  <c r="MC8" i="31"/>
  <c r="MD8" i="31" s="1"/>
  <c r="NK8" i="31"/>
  <c r="NL8" i="31" s="1"/>
  <c r="OS8" i="31"/>
  <c r="OT8" i="31" s="1"/>
  <c r="QA8" i="31"/>
  <c r="QB8" i="31" s="1"/>
  <c r="RI8" i="31"/>
  <c r="RJ8" i="31" s="1"/>
  <c r="SQ8" i="31"/>
  <c r="SR8" i="31" s="1"/>
  <c r="BQ11" i="31"/>
  <c r="BR11" i="31" s="1"/>
  <c r="EG11" i="31"/>
  <c r="EH11" i="31" s="1"/>
  <c r="GW11" i="31"/>
  <c r="GX11" i="31" s="1"/>
  <c r="JM11" i="31"/>
  <c r="JN11" i="31" s="1"/>
  <c r="MC11" i="31"/>
  <c r="MD11" i="31" s="1"/>
  <c r="OS11" i="31"/>
  <c r="OT11" i="31" s="1"/>
  <c r="RI11" i="31"/>
  <c r="RJ11" i="31" s="1"/>
  <c r="R5" i="31"/>
  <c r="S5" i="31" s="1"/>
  <c r="DP5" i="31"/>
  <c r="DQ5" i="31" s="1"/>
  <c r="IV5" i="31"/>
  <c r="IW5" i="31" s="1"/>
  <c r="OB5" i="31"/>
  <c r="OC5" i="31" s="1"/>
  <c r="R6" i="31"/>
  <c r="S6" i="31" s="1"/>
  <c r="EX6" i="31"/>
  <c r="EY6" i="31" s="1"/>
  <c r="KD6" i="31"/>
  <c r="KE6" i="31" s="1"/>
  <c r="PJ6" i="31"/>
  <c r="PK6" i="31" s="1"/>
  <c r="CH8" i="31"/>
  <c r="CI8" i="31" s="1"/>
  <c r="R15" i="31"/>
  <c r="S15" i="31" s="1"/>
  <c r="G15" i="31"/>
  <c r="AI15" i="31"/>
  <c r="AJ15" i="31" s="1"/>
  <c r="X15" i="31"/>
  <c r="AZ15" i="31"/>
  <c r="BA15" i="31" s="1"/>
  <c r="AO15" i="31"/>
  <c r="BQ15" i="31"/>
  <c r="BR15" i="31" s="1"/>
  <c r="BF15" i="31"/>
  <c r="CH15" i="31"/>
  <c r="CI15" i="31" s="1"/>
  <c r="BW15" i="31"/>
  <c r="CY15" i="31"/>
  <c r="CZ15" i="31" s="1"/>
  <c r="CN15" i="31"/>
  <c r="DP15" i="31"/>
  <c r="DQ15" i="31" s="1"/>
  <c r="DE15" i="31"/>
  <c r="EG15" i="31"/>
  <c r="EH15" i="31" s="1"/>
  <c r="DV15" i="31"/>
  <c r="EX15" i="31"/>
  <c r="EY15" i="31" s="1"/>
  <c r="EM15" i="31"/>
  <c r="FO15" i="31"/>
  <c r="FP15" i="31" s="1"/>
  <c r="FD15" i="31"/>
  <c r="GF15" i="31"/>
  <c r="GG15" i="31" s="1"/>
  <c r="FU15" i="31"/>
  <c r="GW15" i="31"/>
  <c r="GX15" i="31" s="1"/>
  <c r="GL15" i="31"/>
  <c r="HN15" i="31"/>
  <c r="HO15" i="31" s="1"/>
  <c r="HC15" i="31"/>
  <c r="IE15" i="31"/>
  <c r="IF15" i="31" s="1"/>
  <c r="HT15" i="31"/>
  <c r="IV15" i="31"/>
  <c r="IW15" i="31" s="1"/>
  <c r="IK15" i="31"/>
  <c r="JM15" i="31"/>
  <c r="JN15" i="31" s="1"/>
  <c r="JB15" i="31"/>
  <c r="KD15" i="31"/>
  <c r="KE15" i="31" s="1"/>
  <c r="JS15" i="31"/>
  <c r="KU15" i="31"/>
  <c r="KV15" i="31" s="1"/>
  <c r="KJ15" i="31"/>
  <c r="LL15" i="31"/>
  <c r="LM15" i="31" s="1"/>
  <c r="LA15" i="31"/>
  <c r="MC15" i="31"/>
  <c r="MD15" i="31" s="1"/>
  <c r="LR15" i="31"/>
  <c r="MT15" i="31"/>
  <c r="MU15" i="31" s="1"/>
  <c r="MI15" i="31"/>
  <c r="NK15" i="31"/>
  <c r="NL15" i="31" s="1"/>
  <c r="MZ15" i="31"/>
  <c r="OB15" i="31"/>
  <c r="OC15" i="31" s="1"/>
  <c r="NQ15" i="31"/>
  <c r="OS15" i="31"/>
  <c r="OT15" i="31" s="1"/>
  <c r="OH15" i="31"/>
  <c r="PJ15" i="31"/>
  <c r="PK15" i="31" s="1"/>
  <c r="OY15" i="31"/>
  <c r="QA15" i="31"/>
  <c r="QB15" i="31" s="1"/>
  <c r="PP15" i="31"/>
  <c r="QR15" i="31"/>
  <c r="QS15" i="31" s="1"/>
  <c r="QG15" i="31"/>
  <c r="RZ15" i="31"/>
  <c r="SA15" i="31" s="1"/>
  <c r="RO15" i="31"/>
  <c r="R16" i="31"/>
  <c r="S16" i="31" s="1"/>
  <c r="G16" i="31"/>
  <c r="AZ16" i="31"/>
  <c r="BA16" i="31" s="1"/>
  <c r="AO16" i="31"/>
  <c r="CH16" i="31"/>
  <c r="CI16" i="31" s="1"/>
  <c r="BW16" i="31"/>
  <c r="AZ11" i="31"/>
  <c r="BA11" i="31" s="1"/>
  <c r="CH11" i="31"/>
  <c r="CI11" i="31" s="1"/>
  <c r="DP11" i="31"/>
  <c r="DQ11" i="31" s="1"/>
  <c r="EX11" i="31"/>
  <c r="EY11" i="31" s="1"/>
  <c r="GF11" i="31"/>
  <c r="GG11" i="31" s="1"/>
  <c r="HN11" i="31"/>
  <c r="HO11" i="31" s="1"/>
  <c r="IV11" i="31"/>
  <c r="IW11" i="31" s="1"/>
  <c r="KD11" i="31"/>
  <c r="KE11" i="31" s="1"/>
  <c r="LL11" i="31"/>
  <c r="LM11" i="31" s="1"/>
  <c r="MT11" i="31"/>
  <c r="MU11" i="31" s="1"/>
  <c r="OB11" i="31"/>
  <c r="OC11" i="31" s="1"/>
  <c r="PJ11" i="31"/>
  <c r="PK11" i="31" s="1"/>
  <c r="QR11" i="31"/>
  <c r="QS11" i="31" s="1"/>
  <c r="RZ11" i="31"/>
  <c r="SA11" i="31" s="1"/>
  <c r="JM16" i="31"/>
  <c r="JN16" i="31" s="1"/>
  <c r="AI17" i="31"/>
  <c r="AJ17" i="31" s="1"/>
  <c r="R13" i="31"/>
  <c r="S13" i="31" s="1"/>
  <c r="AZ13" i="31"/>
  <c r="BA13" i="31" s="1"/>
  <c r="CH13" i="31"/>
  <c r="CI13" i="31" s="1"/>
  <c r="DP13" i="31"/>
  <c r="DQ13" i="31" s="1"/>
  <c r="EX13" i="31"/>
  <c r="EY13" i="31" s="1"/>
  <c r="GF13" i="31"/>
  <c r="GG13" i="31" s="1"/>
  <c r="HN13" i="31"/>
  <c r="HO13" i="31" s="1"/>
  <c r="IV13" i="31"/>
  <c r="IW13" i="31" s="1"/>
  <c r="KD13" i="31"/>
  <c r="KE13" i="31" s="1"/>
  <c r="LL13" i="31"/>
  <c r="LM13" i="31" s="1"/>
  <c r="MT13" i="31"/>
  <c r="MU13" i="31" s="1"/>
  <c r="OB13" i="31"/>
  <c r="OC13" i="31" s="1"/>
  <c r="PJ13" i="31"/>
  <c r="PK13" i="31" s="1"/>
  <c r="QR13" i="31"/>
  <c r="QS13" i="31" s="1"/>
  <c r="RZ13" i="31"/>
  <c r="SA13" i="31" s="1"/>
  <c r="MC16" i="31"/>
  <c r="MD16" i="31" s="1"/>
  <c r="CY17" i="31"/>
  <c r="CZ17" i="31" s="1"/>
  <c r="HT19" i="31"/>
  <c r="IE19" i="31"/>
  <c r="IF19" i="31" s="1"/>
  <c r="EG16" i="31"/>
  <c r="EH16" i="31" s="1"/>
  <c r="OS16" i="31"/>
  <c r="OT16" i="31" s="1"/>
  <c r="FO17" i="31"/>
  <c r="FP17" i="31" s="1"/>
  <c r="AI13" i="31"/>
  <c r="AJ13" i="31" s="1"/>
  <c r="BQ13" i="31"/>
  <c r="BR13" i="31" s="1"/>
  <c r="CY13" i="31"/>
  <c r="CZ13" i="31" s="1"/>
  <c r="EG13" i="31"/>
  <c r="EH13" i="31" s="1"/>
  <c r="FO13" i="31"/>
  <c r="FP13" i="31" s="1"/>
  <c r="GW13" i="31"/>
  <c r="GX13" i="31" s="1"/>
  <c r="IE13" i="31"/>
  <c r="IF13" i="31" s="1"/>
  <c r="JM13" i="31"/>
  <c r="JN13" i="31" s="1"/>
  <c r="KU13" i="31"/>
  <c r="KV13" i="31" s="1"/>
  <c r="MC13" i="31"/>
  <c r="MD13" i="31" s="1"/>
  <c r="NK13" i="31"/>
  <c r="NL13" i="31" s="1"/>
  <c r="OS13" i="31"/>
  <c r="OT13" i="31" s="1"/>
  <c r="QA13" i="31"/>
  <c r="QB13" i="31" s="1"/>
  <c r="RI13" i="31"/>
  <c r="RJ13" i="31" s="1"/>
  <c r="SQ13" i="31"/>
  <c r="SR13" i="31" s="1"/>
  <c r="GW16" i="31"/>
  <c r="GX16" i="31" s="1"/>
  <c r="RI16" i="31"/>
  <c r="RJ16" i="31" s="1"/>
  <c r="QX15" i="31"/>
  <c r="SF15" i="31"/>
  <c r="X16" i="31"/>
  <c r="BF16" i="31"/>
  <c r="CN16" i="31"/>
  <c r="FO16" i="31"/>
  <c r="FP16" i="31" s="1"/>
  <c r="IE16" i="31"/>
  <c r="IF16" i="31" s="1"/>
  <c r="KU16" i="31"/>
  <c r="KV16" i="31" s="1"/>
  <c r="NK16" i="31"/>
  <c r="NL16" i="31" s="1"/>
  <c r="QA16" i="31"/>
  <c r="QB16" i="31" s="1"/>
  <c r="SQ16" i="31"/>
  <c r="SR16" i="31" s="1"/>
  <c r="BQ17" i="31"/>
  <c r="BR17" i="31" s="1"/>
  <c r="EG17" i="31"/>
  <c r="EH17" i="31" s="1"/>
  <c r="GW17" i="31"/>
  <c r="GX17" i="31" s="1"/>
  <c r="CN19" i="31"/>
  <c r="CY19" i="31"/>
  <c r="CZ19" i="31" s="1"/>
  <c r="IE17" i="31"/>
  <c r="IF17" i="31" s="1"/>
  <c r="JM17" i="31"/>
  <c r="JN17" i="31" s="1"/>
  <c r="KU17" i="31"/>
  <c r="KV17" i="31" s="1"/>
  <c r="MC17" i="31"/>
  <c r="MD17" i="31" s="1"/>
  <c r="NK17" i="31"/>
  <c r="NL17" i="31" s="1"/>
  <c r="OS17" i="31"/>
  <c r="OT17" i="31" s="1"/>
  <c r="QA17" i="31"/>
  <c r="QB17" i="31" s="1"/>
  <c r="RI17" i="31"/>
  <c r="RJ17" i="31" s="1"/>
  <c r="SQ17" i="31"/>
  <c r="SR17" i="31" s="1"/>
  <c r="AI19" i="31"/>
  <c r="AJ19" i="31" s="1"/>
  <c r="FO19" i="31"/>
  <c r="FP19" i="31" s="1"/>
  <c r="KU19" i="31"/>
  <c r="KV19" i="31" s="1"/>
  <c r="BQ19" i="31"/>
  <c r="BR19" i="31" s="1"/>
  <c r="GW19" i="31"/>
  <c r="GX19" i="31" s="1"/>
  <c r="DP16" i="31"/>
  <c r="DQ16" i="31" s="1"/>
  <c r="EX16" i="31"/>
  <c r="EY16" i="31" s="1"/>
  <c r="GF16" i="31"/>
  <c r="GG16" i="31" s="1"/>
  <c r="HN16" i="31"/>
  <c r="HO16" i="31" s="1"/>
  <c r="IV16" i="31"/>
  <c r="IW16" i="31" s="1"/>
  <c r="KD16" i="31"/>
  <c r="KE16" i="31" s="1"/>
  <c r="LL16" i="31"/>
  <c r="LM16" i="31" s="1"/>
  <c r="MT16" i="31"/>
  <c r="MU16" i="31" s="1"/>
  <c r="OB16" i="31"/>
  <c r="OC16" i="31" s="1"/>
  <c r="PJ16" i="31"/>
  <c r="PK16" i="31" s="1"/>
  <c r="QR16" i="31"/>
  <c r="QS16" i="31" s="1"/>
  <c r="RZ16" i="31"/>
  <c r="SA16" i="31" s="1"/>
  <c r="R17" i="31"/>
  <c r="S17" i="31" s="1"/>
  <c r="AZ17" i="31"/>
  <c r="BA17" i="31" s="1"/>
  <c r="CH17" i="31"/>
  <c r="CI17" i="31" s="1"/>
  <c r="DP17" i="31"/>
  <c r="DQ17" i="31" s="1"/>
  <c r="EX17" i="31"/>
  <c r="EY17" i="31" s="1"/>
  <c r="GF17" i="31"/>
  <c r="GG17" i="31" s="1"/>
  <c r="HN17" i="31"/>
  <c r="HO17" i="31" s="1"/>
  <c r="IV17" i="31"/>
  <c r="IW17" i="31" s="1"/>
  <c r="KD17" i="31"/>
  <c r="KE17" i="31" s="1"/>
  <c r="LL17" i="31"/>
  <c r="LM17" i="31" s="1"/>
  <c r="MT17" i="31"/>
  <c r="MU17" i="31" s="1"/>
  <c r="OB17" i="31"/>
  <c r="OC17" i="31" s="1"/>
  <c r="PJ17" i="31"/>
  <c r="PK17" i="31" s="1"/>
  <c r="QR17" i="31"/>
  <c r="QS17" i="31" s="1"/>
  <c r="RZ17" i="31"/>
  <c r="SA17" i="31" s="1"/>
  <c r="NK19" i="31"/>
  <c r="NL19" i="31" s="1"/>
  <c r="OS19" i="31"/>
  <c r="OT19" i="31" s="1"/>
  <c r="QA19" i="31"/>
  <c r="QB19" i="31" s="1"/>
  <c r="RI19" i="31"/>
  <c r="RJ19" i="31" s="1"/>
  <c r="QX19" i="31"/>
  <c r="RZ19" i="31"/>
  <c r="SA19" i="31" s="1"/>
  <c r="RO19" i="31"/>
  <c r="R19" i="31"/>
  <c r="S19" i="31" s="1"/>
  <c r="AZ19" i="31"/>
  <c r="BA19" i="31" s="1"/>
  <c r="CH19" i="31"/>
  <c r="CI19" i="31" s="1"/>
  <c r="DP19" i="31"/>
  <c r="DQ19" i="31" s="1"/>
  <c r="EX19" i="31"/>
  <c r="EY19" i="31" s="1"/>
  <c r="GF19" i="31"/>
  <c r="GG19" i="31" s="1"/>
  <c r="HN19" i="31"/>
  <c r="HO19" i="31" s="1"/>
  <c r="IV19" i="31"/>
  <c r="IW19" i="31" s="1"/>
  <c r="KD19" i="31"/>
  <c r="KE19" i="31" s="1"/>
  <c r="LL19" i="31"/>
  <c r="LM19" i="31" s="1"/>
  <c r="MT19" i="31"/>
  <c r="MU19" i="31" s="1"/>
  <c r="OB19" i="31"/>
  <c r="OC19" i="31" s="1"/>
  <c r="PJ19" i="31"/>
  <c r="PK19" i="31" s="1"/>
  <c r="QR19" i="31"/>
  <c r="QS19" i="31" s="1"/>
  <c r="SQ19" i="31"/>
  <c r="SR19" i="31" s="1"/>
  <c r="SF19" i="31"/>
  <c r="AY20" i="31"/>
  <c r="BW20" i="31"/>
  <c r="CS20" i="31"/>
  <c r="DO20" i="31"/>
  <c r="EM20" i="31"/>
  <c r="FI20" i="31"/>
  <c r="GE20" i="31"/>
  <c r="AT20" i="31"/>
  <c r="BP20" i="31"/>
  <c r="CN20" i="31"/>
  <c r="DJ20" i="31"/>
  <c r="EF20" i="31"/>
  <c r="FD20" i="31"/>
  <c r="FZ20" i="31"/>
  <c r="GV20" i="31"/>
  <c r="HT20" i="31"/>
  <c r="IP20" i="31"/>
  <c r="JL20" i="31"/>
  <c r="KJ20" i="31"/>
  <c r="LF20" i="31"/>
  <c r="MB20" i="31"/>
  <c r="MZ20" i="31"/>
  <c r="NV20" i="31"/>
  <c r="OR20" i="31"/>
  <c r="PP20" i="31"/>
  <c r="QL20" i="31"/>
  <c r="RH20" i="31"/>
  <c r="SF20" i="31"/>
  <c r="AO20" i="31"/>
  <c r="BK20" i="31"/>
  <c r="CG20" i="31"/>
  <c r="DE20" i="31"/>
  <c r="EA20" i="31"/>
  <c r="EW20" i="31"/>
  <c r="FU20" i="31"/>
  <c r="GQ20" i="31"/>
  <c r="HM20" i="31"/>
  <c r="IK20" i="31"/>
  <c r="JG20" i="31"/>
  <c r="KC20" i="31"/>
  <c r="LA20" i="31"/>
  <c r="LW20" i="31"/>
  <c r="MS20" i="31"/>
  <c r="NQ20" i="31"/>
  <c r="OM20" i="31"/>
  <c r="PI20" i="31"/>
  <c r="QG20" i="31"/>
  <c r="RC20" i="31"/>
  <c r="RY20" i="31"/>
  <c r="OY20" i="29"/>
  <c r="PU20" i="29"/>
  <c r="QQ20" i="29"/>
  <c r="RO20" i="29"/>
  <c r="AC20" i="29"/>
  <c r="L20" i="29"/>
  <c r="AH20" i="29"/>
  <c r="BF20" i="29"/>
  <c r="CB20" i="29"/>
  <c r="CX20" i="29"/>
  <c r="DV20" i="29"/>
  <c r="ER20" i="29"/>
  <c r="FN20" i="29"/>
  <c r="GL20" i="29"/>
  <c r="HH20" i="29"/>
  <c r="ID20" i="29"/>
  <c r="JB20" i="29"/>
  <c r="JX20" i="29"/>
  <c r="KT20" i="29"/>
  <c r="LR20" i="29"/>
  <c r="MN20" i="29"/>
  <c r="NJ20" i="29"/>
  <c r="OH20" i="29"/>
  <c r="PD20" i="29"/>
  <c r="PZ20" i="29"/>
  <c r="QX20" i="29"/>
  <c r="RT20" i="29"/>
  <c r="SP20" i="29"/>
  <c r="SK20" i="29"/>
  <c r="G20" i="29"/>
  <c r="X20" i="29"/>
  <c r="SF20" i="29"/>
  <c r="Q20" i="29"/>
  <c r="NE8" i="29"/>
  <c r="NK8" i="29"/>
  <c r="NL8" i="29" s="1"/>
  <c r="PU8" i="29"/>
  <c r="QA8" i="29"/>
  <c r="QB8" i="29" s="1"/>
  <c r="SK8" i="29"/>
  <c r="SQ8" i="29"/>
  <c r="SR8" i="29" s="1"/>
  <c r="BK11" i="29"/>
  <c r="BQ11" i="29"/>
  <c r="BR11" i="29" s="1"/>
  <c r="EA11" i="29"/>
  <c r="EG11" i="29"/>
  <c r="EH11" i="29" s="1"/>
  <c r="GQ11" i="29"/>
  <c r="GW11" i="29"/>
  <c r="GX11" i="29" s="1"/>
  <c r="IV11" i="29"/>
  <c r="IW11" i="29" s="1"/>
  <c r="IK11" i="29"/>
  <c r="KD11" i="29"/>
  <c r="KE11" i="29" s="1"/>
  <c r="JS11" i="29"/>
  <c r="LL11" i="29"/>
  <c r="LM11" i="29" s="1"/>
  <c r="LA11" i="29"/>
  <c r="MT11" i="29"/>
  <c r="MU11" i="29" s="1"/>
  <c r="MI11" i="29"/>
  <c r="OB11" i="29"/>
  <c r="OC11" i="29" s="1"/>
  <c r="NQ11" i="29"/>
  <c r="PJ11" i="29"/>
  <c r="PK11" i="29" s="1"/>
  <c r="OY11" i="29"/>
  <c r="QR11" i="29"/>
  <c r="QS11" i="29" s="1"/>
  <c r="QG11" i="29"/>
  <c r="RZ11" i="29"/>
  <c r="SA11" i="29" s="1"/>
  <c r="RO11" i="29"/>
  <c r="AC13" i="29"/>
  <c r="AI13" i="29"/>
  <c r="AJ13" i="29" s="1"/>
  <c r="BK13" i="29"/>
  <c r="BQ13" i="29"/>
  <c r="BR13" i="29" s="1"/>
  <c r="CS13" i="29"/>
  <c r="CY13" i="29"/>
  <c r="CZ13" i="29" s="1"/>
  <c r="EA13" i="29"/>
  <c r="EG13" i="29"/>
  <c r="EH13" i="29" s="1"/>
  <c r="FI13" i="29"/>
  <c r="FO13" i="29"/>
  <c r="FP13" i="29" s="1"/>
  <c r="GQ13" i="29"/>
  <c r="GW13" i="29"/>
  <c r="GX13" i="29" s="1"/>
  <c r="HY13" i="29"/>
  <c r="IE13" i="29"/>
  <c r="IF13" i="29" s="1"/>
  <c r="JG13" i="29"/>
  <c r="JM13" i="29"/>
  <c r="JN13" i="29" s="1"/>
  <c r="KO13" i="29"/>
  <c r="KU13" i="29"/>
  <c r="KV13" i="29" s="1"/>
  <c r="LW13" i="29"/>
  <c r="MC13" i="29"/>
  <c r="MD13" i="29" s="1"/>
  <c r="NE13" i="29"/>
  <c r="NK13" i="29"/>
  <c r="NL13" i="29" s="1"/>
  <c r="OM13" i="29"/>
  <c r="OS13" i="29"/>
  <c r="OT13" i="29" s="1"/>
  <c r="PU13" i="29"/>
  <c r="QA13" i="29"/>
  <c r="QB13" i="29" s="1"/>
  <c r="RC13" i="29"/>
  <c r="RI13" i="29"/>
  <c r="RJ13" i="29" s="1"/>
  <c r="SK13" i="29"/>
  <c r="SQ13" i="29"/>
  <c r="SR13" i="29" s="1"/>
  <c r="AC8" i="29"/>
  <c r="AI8" i="29"/>
  <c r="AJ8" i="29" s="1"/>
  <c r="CS8" i="29"/>
  <c r="CY8" i="29"/>
  <c r="CZ8" i="29" s="1"/>
  <c r="FI8" i="29"/>
  <c r="FO8" i="29"/>
  <c r="FP8" i="29" s="1"/>
  <c r="HY8" i="29"/>
  <c r="IE8" i="29"/>
  <c r="IF8" i="29" s="1"/>
  <c r="KO8" i="29"/>
  <c r="KU8" i="29"/>
  <c r="KV8" i="29" s="1"/>
  <c r="KT20" i="27"/>
  <c r="G5" i="29"/>
  <c r="AO5" i="29"/>
  <c r="BW5" i="29"/>
  <c r="DE5" i="29"/>
  <c r="EM5" i="29"/>
  <c r="FU5" i="29"/>
  <c r="HC5" i="29"/>
  <c r="IK5" i="29"/>
  <c r="JS5" i="29"/>
  <c r="LA5" i="29"/>
  <c r="MI5" i="29"/>
  <c r="NQ5" i="29"/>
  <c r="OY5" i="29"/>
  <c r="QG5" i="29"/>
  <c r="RO5" i="29"/>
  <c r="G6" i="29"/>
  <c r="AO6" i="29"/>
  <c r="BW6" i="29"/>
  <c r="DE6" i="29"/>
  <c r="EM6" i="29"/>
  <c r="FU6" i="29"/>
  <c r="HC6" i="29"/>
  <c r="IK6" i="29"/>
  <c r="JS6" i="29"/>
  <c r="LA6" i="29"/>
  <c r="MI6" i="29"/>
  <c r="NQ6" i="29"/>
  <c r="OY6" i="29"/>
  <c r="QG6" i="29"/>
  <c r="RO6" i="29"/>
  <c r="G8" i="29"/>
  <c r="BW8" i="29"/>
  <c r="EM8" i="29"/>
  <c r="HC8" i="29"/>
  <c r="JS8" i="29"/>
  <c r="MI8" i="29"/>
  <c r="OY8" i="29"/>
  <c r="RO8" i="29"/>
  <c r="AO11" i="29"/>
  <c r="DE11" i="29"/>
  <c r="FU11" i="29"/>
  <c r="BK8" i="29"/>
  <c r="BQ8" i="29"/>
  <c r="BR8" i="29" s="1"/>
  <c r="EA8" i="29"/>
  <c r="EG8" i="29"/>
  <c r="EH8" i="29" s="1"/>
  <c r="GQ8" i="29"/>
  <c r="GW8" i="29"/>
  <c r="GX8" i="29" s="1"/>
  <c r="JG8" i="29"/>
  <c r="JM8" i="29"/>
  <c r="JN8" i="29" s="1"/>
  <c r="LW8" i="29"/>
  <c r="MC8" i="29"/>
  <c r="MD8" i="29" s="1"/>
  <c r="OM8" i="29"/>
  <c r="OS8" i="29"/>
  <c r="OT8" i="29" s="1"/>
  <c r="RC8" i="29"/>
  <c r="RI8" i="29"/>
  <c r="RJ8" i="29" s="1"/>
  <c r="AC11" i="29"/>
  <c r="AI11" i="29"/>
  <c r="AJ11" i="29" s="1"/>
  <c r="CS11" i="29"/>
  <c r="CY11" i="29"/>
  <c r="CZ11" i="29" s="1"/>
  <c r="FI11" i="29"/>
  <c r="FO11" i="29"/>
  <c r="FP11" i="29" s="1"/>
  <c r="HY11" i="29"/>
  <c r="IE11" i="29"/>
  <c r="IF11" i="29" s="1"/>
  <c r="JG11" i="29"/>
  <c r="JM11" i="29"/>
  <c r="JN11" i="29" s="1"/>
  <c r="KO11" i="29"/>
  <c r="KU11" i="29"/>
  <c r="KV11" i="29" s="1"/>
  <c r="LW11" i="29"/>
  <c r="MC11" i="29"/>
  <c r="MD11" i="29" s="1"/>
  <c r="NE11" i="29"/>
  <c r="NK11" i="29"/>
  <c r="NL11" i="29" s="1"/>
  <c r="OM11" i="29"/>
  <c r="OS11" i="29"/>
  <c r="OT11" i="29" s="1"/>
  <c r="PU11" i="29"/>
  <c r="QA11" i="29"/>
  <c r="QB11" i="29" s="1"/>
  <c r="RC11" i="29"/>
  <c r="RI11" i="29"/>
  <c r="RJ11" i="29" s="1"/>
  <c r="SK11" i="29"/>
  <c r="SQ11" i="29"/>
  <c r="SR11" i="29" s="1"/>
  <c r="R13" i="29"/>
  <c r="S13" i="29" s="1"/>
  <c r="G13" i="29"/>
  <c r="AZ13" i="29"/>
  <c r="BA13" i="29" s="1"/>
  <c r="AO13" i="29"/>
  <c r="CH13" i="29"/>
  <c r="CI13" i="29" s="1"/>
  <c r="BW13" i="29"/>
  <c r="DP13" i="29"/>
  <c r="DQ13" i="29" s="1"/>
  <c r="DE13" i="29"/>
  <c r="EX13" i="29"/>
  <c r="EY13" i="29" s="1"/>
  <c r="EM13" i="29"/>
  <c r="GF13" i="29"/>
  <c r="GG13" i="29" s="1"/>
  <c r="FU13" i="29"/>
  <c r="HN13" i="29"/>
  <c r="HO13" i="29" s="1"/>
  <c r="HC13" i="29"/>
  <c r="IV13" i="29"/>
  <c r="IW13" i="29" s="1"/>
  <c r="IK13" i="29"/>
  <c r="KD13" i="29"/>
  <c r="KE13" i="29" s="1"/>
  <c r="JS13" i="29"/>
  <c r="LL13" i="29"/>
  <c r="LM13" i="29" s="1"/>
  <c r="LA13" i="29"/>
  <c r="MT13" i="29"/>
  <c r="MU13" i="29" s="1"/>
  <c r="MI13" i="29"/>
  <c r="OB13" i="29"/>
  <c r="OC13" i="29" s="1"/>
  <c r="NQ13" i="29"/>
  <c r="PJ13" i="29"/>
  <c r="PK13" i="29" s="1"/>
  <c r="OY13" i="29"/>
  <c r="QR13" i="29"/>
  <c r="QS13" i="29" s="1"/>
  <c r="QG13" i="29"/>
  <c r="RZ13" i="29"/>
  <c r="SA13" i="29" s="1"/>
  <c r="RO13" i="29"/>
  <c r="BB1" i="29"/>
  <c r="X5" i="29"/>
  <c r="BF5" i="29"/>
  <c r="CN5" i="29"/>
  <c r="DV5" i="29"/>
  <c r="FD5" i="29"/>
  <c r="GL5" i="29"/>
  <c r="HT5" i="29"/>
  <c r="JB5" i="29"/>
  <c r="KJ5" i="29"/>
  <c r="LR5" i="29"/>
  <c r="MZ5" i="29"/>
  <c r="OH5" i="29"/>
  <c r="PP5" i="29"/>
  <c r="QX5" i="29"/>
  <c r="SF5" i="29"/>
  <c r="X6" i="29"/>
  <c r="BF6" i="29"/>
  <c r="CN6" i="29"/>
  <c r="DV6" i="29"/>
  <c r="FD6" i="29"/>
  <c r="GL6" i="29"/>
  <c r="HT6" i="29"/>
  <c r="JB6" i="29"/>
  <c r="KJ6" i="29"/>
  <c r="LR6" i="29"/>
  <c r="MZ6" i="29"/>
  <c r="OH6" i="29"/>
  <c r="PP6" i="29"/>
  <c r="QX6" i="29"/>
  <c r="SF6" i="29"/>
  <c r="AO8" i="29"/>
  <c r="DE8" i="29"/>
  <c r="FU8" i="29"/>
  <c r="IK8" i="29"/>
  <c r="LA8" i="29"/>
  <c r="NQ8" i="29"/>
  <c r="QG8" i="29"/>
  <c r="G11" i="29"/>
  <c r="BW11" i="29"/>
  <c r="EM11" i="29"/>
  <c r="HC11" i="29"/>
  <c r="G15" i="29"/>
  <c r="CN15" i="29"/>
  <c r="HT15" i="29"/>
  <c r="MZ15" i="29"/>
  <c r="OR16" i="29"/>
  <c r="OS16" i="29"/>
  <c r="OT16" i="29" s="1"/>
  <c r="EX17" i="29"/>
  <c r="EY17" i="29" s="1"/>
  <c r="EW17" i="29"/>
  <c r="KD17" i="29"/>
  <c r="KE17" i="29" s="1"/>
  <c r="KC17" i="29"/>
  <c r="PJ17" i="29"/>
  <c r="PK17" i="29" s="1"/>
  <c r="PI17" i="29"/>
  <c r="AI15" i="29"/>
  <c r="AJ15" i="29" s="1"/>
  <c r="EX15" i="29"/>
  <c r="EY15" i="29" s="1"/>
  <c r="EM15" i="29"/>
  <c r="KD15" i="29"/>
  <c r="KE15" i="29" s="1"/>
  <c r="JS15" i="29"/>
  <c r="X15" i="29"/>
  <c r="BQ15" i="29"/>
  <c r="BR15" i="29" s="1"/>
  <c r="BF15" i="29"/>
  <c r="FD15" i="29"/>
  <c r="MB16" i="29"/>
  <c r="MC16" i="29"/>
  <c r="MD16" i="29" s="1"/>
  <c r="RH16" i="29"/>
  <c r="RI16" i="29"/>
  <c r="RJ16" i="29" s="1"/>
  <c r="CH15" i="29"/>
  <c r="CI15" i="29" s="1"/>
  <c r="BW15" i="29"/>
  <c r="HN15" i="29"/>
  <c r="HO15" i="29" s="1"/>
  <c r="HC15" i="29"/>
  <c r="MT15" i="29"/>
  <c r="MU15" i="29" s="1"/>
  <c r="MI15" i="29"/>
  <c r="AZ17" i="29"/>
  <c r="BA17" i="29" s="1"/>
  <c r="AY17" i="29"/>
  <c r="GF17" i="29"/>
  <c r="GG17" i="29" s="1"/>
  <c r="GE17" i="29"/>
  <c r="LL17" i="29"/>
  <c r="LM17" i="29" s="1"/>
  <c r="LK17" i="29"/>
  <c r="QR17" i="29"/>
  <c r="QS17" i="29" s="1"/>
  <c r="QQ17" i="29"/>
  <c r="DV15" i="29"/>
  <c r="GL15" i="29"/>
  <c r="JB15" i="29"/>
  <c r="LR15" i="29"/>
  <c r="KD16" i="29"/>
  <c r="KE16" i="29" s="1"/>
  <c r="MT16" i="29"/>
  <c r="MU16" i="29" s="1"/>
  <c r="PJ16" i="29"/>
  <c r="PK16" i="29" s="1"/>
  <c r="RZ16" i="29"/>
  <c r="SA16" i="29" s="1"/>
  <c r="CH17" i="29"/>
  <c r="CI17" i="29" s="1"/>
  <c r="CG17" i="29"/>
  <c r="HN17" i="29"/>
  <c r="HO17" i="29" s="1"/>
  <c r="HM17" i="29"/>
  <c r="MT17" i="29"/>
  <c r="MU17" i="29" s="1"/>
  <c r="MS17" i="29"/>
  <c r="RZ17" i="29"/>
  <c r="SA17" i="29" s="1"/>
  <c r="RY17" i="29"/>
  <c r="DP17" i="29"/>
  <c r="DQ17" i="29" s="1"/>
  <c r="DO17" i="29"/>
  <c r="IV17" i="29"/>
  <c r="IW17" i="29" s="1"/>
  <c r="IU17" i="29"/>
  <c r="OB17" i="29"/>
  <c r="OC17" i="29" s="1"/>
  <c r="OA17" i="29"/>
  <c r="EG19" i="29"/>
  <c r="EH19" i="29" s="1"/>
  <c r="AI19" i="29"/>
  <c r="AJ19" i="29" s="1"/>
  <c r="FO19" i="29"/>
  <c r="FP19" i="29" s="1"/>
  <c r="R19" i="29"/>
  <c r="S19" i="29" s="1"/>
  <c r="AZ19" i="29"/>
  <c r="BA19" i="29" s="1"/>
  <c r="CH19" i="29"/>
  <c r="CI19" i="29" s="1"/>
  <c r="DP19" i="29"/>
  <c r="DQ19" i="29" s="1"/>
  <c r="EX19" i="29"/>
  <c r="EY19" i="29" s="1"/>
  <c r="GF19" i="29"/>
  <c r="GG19" i="29" s="1"/>
  <c r="HN19" i="29"/>
  <c r="HO19" i="29" s="1"/>
  <c r="IV19" i="29"/>
  <c r="IW19" i="29" s="1"/>
  <c r="KD19" i="29"/>
  <c r="KE19" i="29" s="1"/>
  <c r="LL19" i="29"/>
  <c r="LM19" i="29" s="1"/>
  <c r="MT19" i="29"/>
  <c r="MU19" i="29" s="1"/>
  <c r="OB19" i="29"/>
  <c r="OC19" i="29" s="1"/>
  <c r="PJ19" i="29"/>
  <c r="PK19" i="29" s="1"/>
  <c r="QR19" i="29"/>
  <c r="QS19" i="29" s="1"/>
  <c r="RZ19" i="29"/>
  <c r="SA19" i="29" s="1"/>
  <c r="RO19" i="29"/>
  <c r="SQ19" i="29"/>
  <c r="SR19" i="29" s="1"/>
  <c r="SF19" i="29"/>
  <c r="AO20" i="29"/>
  <c r="BK20" i="29"/>
  <c r="CG20" i="29"/>
  <c r="DE20" i="29"/>
  <c r="EA20" i="29"/>
  <c r="EW20" i="29"/>
  <c r="FU20" i="29"/>
  <c r="AY20" i="29"/>
  <c r="BW20" i="29"/>
  <c r="CS20" i="29"/>
  <c r="DO20" i="29"/>
  <c r="EM20" i="29"/>
  <c r="FI20" i="29"/>
  <c r="GE20" i="29"/>
  <c r="HC20" i="29"/>
  <c r="HY20" i="29"/>
  <c r="IU20" i="29"/>
  <c r="JS20" i="29"/>
  <c r="KO20" i="29"/>
  <c r="LK20" i="29"/>
  <c r="MI20" i="29"/>
  <c r="NE20" i="29"/>
  <c r="OA20" i="29"/>
  <c r="AT20" i="29"/>
  <c r="BP20" i="29"/>
  <c r="CN20" i="29"/>
  <c r="DJ20" i="29"/>
  <c r="EF20" i="29"/>
  <c r="FD20" i="29"/>
  <c r="FZ20" i="29"/>
  <c r="GV20" i="29"/>
  <c r="HT20" i="29"/>
  <c r="IP20" i="29"/>
  <c r="JL20" i="29"/>
  <c r="KJ20" i="29"/>
  <c r="LF20" i="29"/>
  <c r="MB20" i="29"/>
  <c r="MZ20" i="29"/>
  <c r="NV20" i="29"/>
  <c r="OR20" i="29"/>
  <c r="PP20" i="29"/>
  <c r="QL20" i="29"/>
  <c r="RH20" i="29"/>
  <c r="GQ20" i="29"/>
  <c r="HM20" i="29"/>
  <c r="IK20" i="29"/>
  <c r="JG20" i="29"/>
  <c r="KC20" i="29"/>
  <c r="LA20" i="29"/>
  <c r="LW20" i="29"/>
  <c r="MS20" i="29"/>
  <c r="NQ20" i="29"/>
  <c r="OM20" i="29"/>
  <c r="PI20" i="29"/>
  <c r="QG20" i="29"/>
  <c r="RC20" i="29"/>
  <c r="RY20" i="29"/>
  <c r="ER20" i="27"/>
  <c r="FN20" i="27"/>
  <c r="MI20" i="27"/>
  <c r="NE20" i="27"/>
  <c r="OA20" i="27"/>
  <c r="HC20" i="27"/>
  <c r="HY20" i="27"/>
  <c r="IU20" i="27"/>
  <c r="JS20" i="27"/>
  <c r="NJ20" i="27"/>
  <c r="PD20" i="27"/>
  <c r="PZ20" i="27"/>
  <c r="QX20" i="27"/>
  <c r="RT20" i="27"/>
  <c r="SP20" i="27"/>
  <c r="LR20" i="27"/>
  <c r="MN20" i="27"/>
  <c r="OH20" i="27"/>
  <c r="GE20" i="27"/>
  <c r="X20" i="27"/>
  <c r="L20" i="27"/>
  <c r="AH20" i="27"/>
  <c r="BF20" i="27"/>
  <c r="CB20" i="27"/>
  <c r="CX20" i="27"/>
  <c r="DV20" i="27"/>
  <c r="GL20" i="27"/>
  <c r="HH20" i="27"/>
  <c r="ID20" i="27"/>
  <c r="JB20" i="27"/>
  <c r="JX20" i="27"/>
  <c r="G20" i="27"/>
  <c r="AC20" i="27"/>
  <c r="KO20" i="27"/>
  <c r="LK20" i="27"/>
  <c r="OY20" i="27"/>
  <c r="PU20" i="27"/>
  <c r="QQ20" i="27"/>
  <c r="RO20" i="27"/>
  <c r="SK20" i="27"/>
  <c r="Q20" i="27"/>
  <c r="RZ5" i="27"/>
  <c r="SA5" i="27" s="1"/>
  <c r="RO5" i="27"/>
  <c r="EG6" i="27"/>
  <c r="EH6" i="27" s="1"/>
  <c r="DV6" i="27"/>
  <c r="MC6" i="27"/>
  <c r="MD6" i="27" s="1"/>
  <c r="LR6" i="27"/>
  <c r="OS6" i="27"/>
  <c r="OT6" i="27" s="1"/>
  <c r="OH6" i="27"/>
  <c r="RI6" i="27"/>
  <c r="RJ6" i="27" s="1"/>
  <c r="QX6" i="27"/>
  <c r="X5" i="27"/>
  <c r="AZ5" i="27"/>
  <c r="BA5" i="27" s="1"/>
  <c r="CN5" i="27"/>
  <c r="DP5" i="27"/>
  <c r="DQ5" i="27" s="1"/>
  <c r="FD5" i="27"/>
  <c r="GF5" i="27"/>
  <c r="GG5" i="27" s="1"/>
  <c r="HT5" i="27"/>
  <c r="IV5" i="27"/>
  <c r="IW5" i="27" s="1"/>
  <c r="KJ5" i="27"/>
  <c r="LL5" i="27"/>
  <c r="LM5" i="27" s="1"/>
  <c r="OS5" i="27"/>
  <c r="OT5" i="27" s="1"/>
  <c r="OH5" i="27"/>
  <c r="RI5" i="27"/>
  <c r="RJ5" i="27" s="1"/>
  <c r="QX5" i="27"/>
  <c r="AI6" i="27"/>
  <c r="AJ6" i="27" s="1"/>
  <c r="X6" i="27"/>
  <c r="CY6" i="27"/>
  <c r="CZ6" i="27" s="1"/>
  <c r="CN6" i="27"/>
  <c r="DP6" i="27"/>
  <c r="DQ6" i="27" s="1"/>
  <c r="DE6" i="27"/>
  <c r="GF6" i="27"/>
  <c r="GG6" i="27" s="1"/>
  <c r="FU6" i="27"/>
  <c r="IV6" i="27"/>
  <c r="IW6" i="27" s="1"/>
  <c r="IK6" i="27"/>
  <c r="LL6" i="27"/>
  <c r="LM6" i="27" s="1"/>
  <c r="LA6" i="27"/>
  <c r="OB6" i="27"/>
  <c r="OC6" i="27" s="1"/>
  <c r="NQ6" i="27"/>
  <c r="QR6" i="27"/>
  <c r="QS6" i="27" s="1"/>
  <c r="QG6" i="27"/>
  <c r="AZ6" i="27"/>
  <c r="BA6" i="27" s="1"/>
  <c r="AO6" i="27"/>
  <c r="GW6" i="27"/>
  <c r="GX6" i="27" s="1"/>
  <c r="GL6" i="27"/>
  <c r="OB5" i="27"/>
  <c r="OC5" i="27" s="1"/>
  <c r="NQ5" i="27"/>
  <c r="QR5" i="27"/>
  <c r="QS5" i="27" s="1"/>
  <c r="QG5" i="27"/>
  <c r="R6" i="27"/>
  <c r="S6" i="27" s="1"/>
  <c r="G6" i="27"/>
  <c r="CH6" i="27"/>
  <c r="CI6" i="27" s="1"/>
  <c r="BW6" i="27"/>
  <c r="FO6" i="27"/>
  <c r="FP6" i="27" s="1"/>
  <c r="FD6" i="27"/>
  <c r="IE6" i="27"/>
  <c r="IF6" i="27" s="1"/>
  <c r="HT6" i="27"/>
  <c r="KU6" i="27"/>
  <c r="KV6" i="27" s="1"/>
  <c r="KJ6" i="27"/>
  <c r="NK6" i="27"/>
  <c r="NL6" i="27" s="1"/>
  <c r="MZ6" i="27"/>
  <c r="QA6" i="27"/>
  <c r="QB6" i="27" s="1"/>
  <c r="PP6" i="27"/>
  <c r="SQ6" i="27"/>
  <c r="SR6" i="27" s="1"/>
  <c r="SF6" i="27"/>
  <c r="PJ5" i="27"/>
  <c r="PK5" i="27" s="1"/>
  <c r="OY5" i="27"/>
  <c r="JM6" i="27"/>
  <c r="JN6" i="27" s="1"/>
  <c r="JB6" i="27"/>
  <c r="AK1" i="27"/>
  <c r="R5" i="27"/>
  <c r="S5" i="27" s="1"/>
  <c r="BF5" i="27"/>
  <c r="CH5" i="27"/>
  <c r="CI5" i="27" s="1"/>
  <c r="DV5" i="27"/>
  <c r="EX5" i="27"/>
  <c r="EY5" i="27" s="1"/>
  <c r="GL5" i="27"/>
  <c r="HN5" i="27"/>
  <c r="HO5" i="27" s="1"/>
  <c r="JB5" i="27"/>
  <c r="KD5" i="27"/>
  <c r="KE5" i="27" s="1"/>
  <c r="LR5" i="27"/>
  <c r="MT5" i="27"/>
  <c r="MU5" i="27" s="1"/>
  <c r="NK5" i="27"/>
  <c r="NL5" i="27" s="1"/>
  <c r="MZ5" i="27"/>
  <c r="QA5" i="27"/>
  <c r="QB5" i="27" s="1"/>
  <c r="PP5" i="27"/>
  <c r="SQ5" i="27"/>
  <c r="SR5" i="27" s="1"/>
  <c r="SF5" i="27"/>
  <c r="BQ6" i="27"/>
  <c r="BR6" i="27" s="1"/>
  <c r="BF6" i="27"/>
  <c r="EX6" i="27"/>
  <c r="EY6" i="27" s="1"/>
  <c r="EM6" i="27"/>
  <c r="HN6" i="27"/>
  <c r="HO6" i="27" s="1"/>
  <c r="HC6" i="27"/>
  <c r="KD6" i="27"/>
  <c r="KE6" i="27" s="1"/>
  <c r="JS6" i="27"/>
  <c r="MT6" i="27"/>
  <c r="MU6" i="27" s="1"/>
  <c r="MI6" i="27"/>
  <c r="PJ6" i="27"/>
  <c r="PK6" i="27" s="1"/>
  <c r="OY6" i="27"/>
  <c r="RZ6" i="27"/>
  <c r="SA6" i="27" s="1"/>
  <c r="RO6" i="27"/>
  <c r="IE15" i="27"/>
  <c r="IF15" i="27" s="1"/>
  <c r="HT15" i="27"/>
  <c r="R13" i="27"/>
  <c r="S13" i="27" s="1"/>
  <c r="G13" i="27"/>
  <c r="AI13" i="27"/>
  <c r="AJ13" i="27" s="1"/>
  <c r="X13" i="27"/>
  <c r="AZ13" i="27"/>
  <c r="BA13" i="27" s="1"/>
  <c r="AO13" i="27"/>
  <c r="BQ13" i="27"/>
  <c r="BR13" i="27" s="1"/>
  <c r="BF13" i="27"/>
  <c r="CH13" i="27"/>
  <c r="CI13" i="27" s="1"/>
  <c r="BW13" i="27"/>
  <c r="CY13" i="27"/>
  <c r="CZ13" i="27" s="1"/>
  <c r="CN13" i="27"/>
  <c r="DP13" i="27"/>
  <c r="DQ13" i="27" s="1"/>
  <c r="DE13" i="27"/>
  <c r="EG13" i="27"/>
  <c r="EH13" i="27" s="1"/>
  <c r="DV13" i="27"/>
  <c r="EX13" i="27"/>
  <c r="EY13" i="27" s="1"/>
  <c r="EM13" i="27"/>
  <c r="FO13" i="27"/>
  <c r="FP13" i="27" s="1"/>
  <c r="FD13" i="27"/>
  <c r="GF13" i="27"/>
  <c r="GG13" i="27" s="1"/>
  <c r="FU13" i="27"/>
  <c r="GW13" i="27"/>
  <c r="GX13" i="27" s="1"/>
  <c r="GL13" i="27"/>
  <c r="HN13" i="27"/>
  <c r="HO13" i="27" s="1"/>
  <c r="HC13" i="27"/>
  <c r="IE13" i="27"/>
  <c r="IF13" i="27" s="1"/>
  <c r="HT13" i="27"/>
  <c r="IV13" i="27"/>
  <c r="IW13" i="27" s="1"/>
  <c r="IK13" i="27"/>
  <c r="JM13" i="27"/>
  <c r="JN13" i="27" s="1"/>
  <c r="JB13" i="27"/>
  <c r="KD13" i="27"/>
  <c r="KE13" i="27" s="1"/>
  <c r="JS13" i="27"/>
  <c r="LL13" i="27"/>
  <c r="LM13" i="27" s="1"/>
  <c r="LA13" i="27"/>
  <c r="MT13" i="27"/>
  <c r="MU13" i="27" s="1"/>
  <c r="MI13" i="27"/>
  <c r="OB13" i="27"/>
  <c r="OC13" i="27" s="1"/>
  <c r="NQ13" i="27"/>
  <c r="PJ13" i="27"/>
  <c r="PK13" i="27" s="1"/>
  <c r="OY13" i="27"/>
  <c r="QR13" i="27"/>
  <c r="QS13" i="27" s="1"/>
  <c r="QG13" i="27"/>
  <c r="RZ13" i="27"/>
  <c r="SA13" i="27" s="1"/>
  <c r="RO13" i="27"/>
  <c r="R15" i="27"/>
  <c r="S15" i="27" s="1"/>
  <c r="G15" i="27"/>
  <c r="AZ15" i="27"/>
  <c r="BA15" i="27" s="1"/>
  <c r="AO15" i="27"/>
  <c r="GF15" i="27"/>
  <c r="GG15" i="27" s="1"/>
  <c r="FU15" i="27"/>
  <c r="CY15" i="27"/>
  <c r="CZ15" i="27" s="1"/>
  <c r="CN15" i="27"/>
  <c r="BW8" i="27"/>
  <c r="DE8" i="27"/>
  <c r="EM8" i="27"/>
  <c r="FU8" i="27"/>
  <c r="HC8" i="27"/>
  <c r="IK8" i="27"/>
  <c r="JS8" i="27"/>
  <c r="LA8" i="27"/>
  <c r="MI8" i="27"/>
  <c r="NQ8" i="27"/>
  <c r="OY8" i="27"/>
  <c r="QG8" i="27"/>
  <c r="RO8" i="27"/>
  <c r="G11" i="27"/>
  <c r="AO11" i="27"/>
  <c r="BW11" i="27"/>
  <c r="DE11" i="27"/>
  <c r="EM11" i="27"/>
  <c r="FU11" i="27"/>
  <c r="HC11" i="27"/>
  <c r="IK11" i="27"/>
  <c r="JS11" i="27"/>
  <c r="LA11" i="27"/>
  <c r="MI11" i="27"/>
  <c r="NQ11" i="27"/>
  <c r="OY11" i="27"/>
  <c r="QG11" i="27"/>
  <c r="RO11" i="27"/>
  <c r="EX15" i="27"/>
  <c r="EY15" i="27" s="1"/>
  <c r="FO15" i="27"/>
  <c r="FP15" i="27" s="1"/>
  <c r="FD15" i="27"/>
  <c r="KD15" i="27"/>
  <c r="KE15" i="27" s="1"/>
  <c r="KU15" i="27"/>
  <c r="KV15" i="27" s="1"/>
  <c r="KJ15" i="27"/>
  <c r="SQ11" i="27"/>
  <c r="SR11" i="27" s="1"/>
  <c r="SF11" i="27"/>
  <c r="DP15" i="27"/>
  <c r="DQ15" i="27" s="1"/>
  <c r="DE15" i="27"/>
  <c r="IV15" i="27"/>
  <c r="IW15" i="27" s="1"/>
  <c r="IK15" i="27"/>
  <c r="NK15" i="27"/>
  <c r="NL15" i="27" s="1"/>
  <c r="MZ15" i="27"/>
  <c r="LA19" i="27"/>
  <c r="LL19" i="27"/>
  <c r="LM19" i="27" s="1"/>
  <c r="QR19" i="27"/>
  <c r="QS19" i="27" s="1"/>
  <c r="QG19" i="27"/>
  <c r="LA15" i="27"/>
  <c r="NQ15" i="27"/>
  <c r="DP19" i="27"/>
  <c r="DQ19" i="27" s="1"/>
  <c r="JS19" i="27"/>
  <c r="KD19" i="27"/>
  <c r="KE19" i="27" s="1"/>
  <c r="OY19" i="27"/>
  <c r="PJ19" i="27"/>
  <c r="PK19" i="27" s="1"/>
  <c r="BQ15" i="27"/>
  <c r="BR15" i="27" s="1"/>
  <c r="BF15" i="27"/>
  <c r="EG15" i="27"/>
  <c r="EH15" i="27" s="1"/>
  <c r="DV15" i="27"/>
  <c r="GW15" i="27"/>
  <c r="GX15" i="27" s="1"/>
  <c r="GL15" i="27"/>
  <c r="JM15" i="27"/>
  <c r="JN15" i="27" s="1"/>
  <c r="JB15" i="27"/>
  <c r="MC15" i="27"/>
  <c r="MD15" i="27" s="1"/>
  <c r="LR15" i="27"/>
  <c r="OS15" i="27"/>
  <c r="OT15" i="27" s="1"/>
  <c r="OH15" i="27"/>
  <c r="PU15" i="27"/>
  <c r="QA15" i="27"/>
  <c r="QB15" i="27" s="1"/>
  <c r="IK19" i="27"/>
  <c r="IV19" i="27"/>
  <c r="IW19" i="27" s="1"/>
  <c r="NQ19" i="27"/>
  <c r="OB19" i="27"/>
  <c r="OC19" i="27" s="1"/>
  <c r="KJ13" i="27"/>
  <c r="LR13" i="27"/>
  <c r="MZ13" i="27"/>
  <c r="OH13" i="27"/>
  <c r="PP13" i="27"/>
  <c r="QX13" i="27"/>
  <c r="SF13" i="27"/>
  <c r="X15" i="27"/>
  <c r="BW15" i="27"/>
  <c r="EM15" i="27"/>
  <c r="HC15" i="27"/>
  <c r="JS15" i="27"/>
  <c r="MI15" i="27"/>
  <c r="OY15" i="27"/>
  <c r="AZ16" i="27"/>
  <c r="BA16" i="27" s="1"/>
  <c r="GF16" i="27"/>
  <c r="GG16" i="27" s="1"/>
  <c r="LL16" i="27"/>
  <c r="LM16" i="27" s="1"/>
  <c r="QR16" i="27"/>
  <c r="QS16" i="27" s="1"/>
  <c r="MI19" i="27"/>
  <c r="MT19" i="27"/>
  <c r="MU19" i="27" s="1"/>
  <c r="R19" i="27"/>
  <c r="S19" i="27" s="1"/>
  <c r="EX19" i="27"/>
  <c r="EY19" i="27" s="1"/>
  <c r="RI15" i="27"/>
  <c r="RJ15" i="27" s="1"/>
  <c r="SQ15" i="27"/>
  <c r="SR15" i="27" s="1"/>
  <c r="AI16" i="27"/>
  <c r="AJ16" i="27" s="1"/>
  <c r="BQ16" i="27"/>
  <c r="BR16" i="27" s="1"/>
  <c r="CY16" i="27"/>
  <c r="CZ16" i="27" s="1"/>
  <c r="EG16" i="27"/>
  <c r="EH16" i="27" s="1"/>
  <c r="FO16" i="27"/>
  <c r="FP16" i="27" s="1"/>
  <c r="GW16" i="27"/>
  <c r="GX16" i="27" s="1"/>
  <c r="IE16" i="27"/>
  <c r="IF16" i="27" s="1"/>
  <c r="JM16" i="27"/>
  <c r="JN16" i="27" s="1"/>
  <c r="KU16" i="27"/>
  <c r="KV16" i="27" s="1"/>
  <c r="MC16" i="27"/>
  <c r="MD16" i="27" s="1"/>
  <c r="NK16" i="27"/>
  <c r="NL16" i="27" s="1"/>
  <c r="OS16" i="27"/>
  <c r="OT16" i="27" s="1"/>
  <c r="QA16" i="27"/>
  <c r="QB16" i="27" s="1"/>
  <c r="RI16" i="27"/>
  <c r="RJ16" i="27" s="1"/>
  <c r="SQ16" i="27"/>
  <c r="SR16" i="27" s="1"/>
  <c r="AI17" i="27"/>
  <c r="AJ17" i="27" s="1"/>
  <c r="AZ19" i="27"/>
  <c r="BA19" i="27" s="1"/>
  <c r="GF19" i="27"/>
  <c r="GG19" i="27" s="1"/>
  <c r="CH19" i="27"/>
  <c r="CI19" i="27" s="1"/>
  <c r="HN19" i="27"/>
  <c r="HO19" i="27" s="1"/>
  <c r="BQ17" i="27"/>
  <c r="BR17" i="27" s="1"/>
  <c r="RI19" i="27"/>
  <c r="RJ19" i="27" s="1"/>
  <c r="QX19" i="27"/>
  <c r="AI19" i="27"/>
  <c r="AJ19" i="27" s="1"/>
  <c r="BQ19" i="27"/>
  <c r="BR19" i="27" s="1"/>
  <c r="CY19" i="27"/>
  <c r="CZ19" i="27" s="1"/>
  <c r="EG19" i="27"/>
  <c r="EH19" i="27" s="1"/>
  <c r="FO19" i="27"/>
  <c r="FP19" i="27" s="1"/>
  <c r="GW19" i="27"/>
  <c r="GX19" i="27" s="1"/>
  <c r="IE19" i="27"/>
  <c r="IF19" i="27" s="1"/>
  <c r="JM19" i="27"/>
  <c r="JN19" i="27" s="1"/>
  <c r="KU19" i="27"/>
  <c r="KV19" i="27" s="1"/>
  <c r="MC19" i="27"/>
  <c r="MD19" i="27" s="1"/>
  <c r="NK19" i="27"/>
  <c r="NL19" i="27" s="1"/>
  <c r="OS19" i="27"/>
  <c r="OT19" i="27" s="1"/>
  <c r="QA19" i="27"/>
  <c r="QB19" i="27" s="1"/>
  <c r="RZ19" i="27"/>
  <c r="SA19" i="27" s="1"/>
  <c r="RO19" i="27"/>
  <c r="SQ19" i="27"/>
  <c r="SR19" i="27" s="1"/>
  <c r="SF19" i="27"/>
  <c r="AO20" i="27"/>
  <c r="BK20" i="27"/>
  <c r="CG20" i="27"/>
  <c r="DE20" i="27"/>
  <c r="EA20" i="27"/>
  <c r="AY20" i="27"/>
  <c r="BW20" i="27"/>
  <c r="CS20" i="27"/>
  <c r="DO20" i="27"/>
  <c r="EM20" i="27"/>
  <c r="FI20" i="27"/>
  <c r="AT20" i="27"/>
  <c r="BP20" i="27"/>
  <c r="CN20" i="27"/>
  <c r="DJ20" i="27"/>
  <c r="EF20" i="27"/>
  <c r="FD20" i="27"/>
  <c r="FZ20" i="27"/>
  <c r="GV20" i="27"/>
  <c r="HT20" i="27"/>
  <c r="IP20" i="27"/>
  <c r="JL20" i="27"/>
  <c r="KJ20" i="27"/>
  <c r="LF20" i="27"/>
  <c r="MB20" i="27"/>
  <c r="MZ20" i="27"/>
  <c r="NV20" i="27"/>
  <c r="OR20" i="27"/>
  <c r="PP20" i="27"/>
  <c r="QL20" i="27"/>
  <c r="RH20" i="27"/>
  <c r="SF20" i="27"/>
  <c r="EW20" i="27"/>
  <c r="FU20" i="27"/>
  <c r="GQ20" i="27"/>
  <c r="HM20" i="27"/>
  <c r="IK20" i="27"/>
  <c r="JG20" i="27"/>
  <c r="KC20" i="27"/>
  <c r="LA20" i="27"/>
  <c r="LW20" i="27"/>
  <c r="MS20" i="27"/>
  <c r="NQ20" i="27"/>
  <c r="OM20" i="27"/>
  <c r="PI20" i="27"/>
  <c r="QG20" i="27"/>
  <c r="RC20" i="27"/>
  <c r="RY20" i="27"/>
  <c r="R22" i="25"/>
  <c r="SN20" i="25"/>
  <c r="SM20" i="25"/>
  <c r="SL20" i="25"/>
  <c r="SI20" i="25"/>
  <c r="SH20" i="25"/>
  <c r="SG20" i="25"/>
  <c r="SD20" i="25"/>
  <c r="SC20" i="25"/>
  <c r="SB20" i="25"/>
  <c r="RW20" i="25"/>
  <c r="RV20" i="25"/>
  <c r="RU20" i="25"/>
  <c r="RR20" i="25"/>
  <c r="RQ20" i="25"/>
  <c r="RP20" i="25"/>
  <c r="RM20" i="25"/>
  <c r="RL20" i="25"/>
  <c r="RK20" i="25"/>
  <c r="RF20" i="25"/>
  <c r="RE20" i="25"/>
  <c r="RD20" i="25"/>
  <c r="RA20" i="25"/>
  <c r="QZ20" i="25"/>
  <c r="QY20" i="25"/>
  <c r="QV20" i="25"/>
  <c r="QU20" i="25"/>
  <c r="QT20" i="25"/>
  <c r="QO20" i="25"/>
  <c r="QN20" i="25"/>
  <c r="QM20" i="25"/>
  <c r="QJ20" i="25"/>
  <c r="QI20" i="25"/>
  <c r="QH20" i="25"/>
  <c r="QE20" i="25"/>
  <c r="QD20" i="25"/>
  <c r="QC20" i="25"/>
  <c r="PX20" i="25"/>
  <c r="PW20" i="25"/>
  <c r="PV20" i="25"/>
  <c r="PS20" i="25"/>
  <c r="PR20" i="25"/>
  <c r="PQ20" i="25"/>
  <c r="PN20" i="25"/>
  <c r="PM20" i="25"/>
  <c r="PL20" i="25"/>
  <c r="PG20" i="25"/>
  <c r="PF20" i="25"/>
  <c r="PE20" i="25"/>
  <c r="PB20" i="25"/>
  <c r="PA20" i="25"/>
  <c r="OZ20" i="25"/>
  <c r="OW20" i="25"/>
  <c r="OV20" i="25"/>
  <c r="OU20" i="25"/>
  <c r="OP20" i="25"/>
  <c r="OO20" i="25"/>
  <c r="ON20" i="25"/>
  <c r="OK20" i="25"/>
  <c r="OJ20" i="25"/>
  <c r="OI20" i="25"/>
  <c r="OF20" i="25"/>
  <c r="OE20" i="25"/>
  <c r="OD20" i="25"/>
  <c r="NY20" i="25"/>
  <c r="NX20" i="25"/>
  <c r="NW20" i="25"/>
  <c r="NT20" i="25"/>
  <c r="NS20" i="25"/>
  <c r="NR20" i="25"/>
  <c r="NO20" i="25"/>
  <c r="NN20" i="25"/>
  <c r="NM20" i="25"/>
  <c r="NH20" i="25"/>
  <c r="NG20" i="25"/>
  <c r="NF20" i="25"/>
  <c r="NC20" i="25"/>
  <c r="NB20" i="25"/>
  <c r="NA20" i="25"/>
  <c r="MX20" i="25"/>
  <c r="MW20" i="25"/>
  <c r="MV20" i="25"/>
  <c r="MQ20" i="25"/>
  <c r="MP20" i="25"/>
  <c r="MO20" i="25"/>
  <c r="ML20" i="25"/>
  <c r="MK20" i="25"/>
  <c r="MJ20" i="25"/>
  <c r="MG20" i="25"/>
  <c r="MF20" i="25"/>
  <c r="ME20" i="25"/>
  <c r="LZ20" i="25"/>
  <c r="LY20" i="25"/>
  <c r="LX20" i="25"/>
  <c r="LU20" i="25"/>
  <c r="LT20" i="25"/>
  <c r="LS20" i="25"/>
  <c r="LP20" i="25"/>
  <c r="LO20" i="25"/>
  <c r="LN20" i="25"/>
  <c r="LI20" i="25"/>
  <c r="LH20" i="25"/>
  <c r="LG20" i="25"/>
  <c r="LD20" i="25"/>
  <c r="LC20" i="25"/>
  <c r="LB20" i="25"/>
  <c r="KY20" i="25"/>
  <c r="KX20" i="25"/>
  <c r="KW20" i="25"/>
  <c r="KR20" i="25"/>
  <c r="KQ20" i="25"/>
  <c r="KP20" i="25"/>
  <c r="KM20" i="25"/>
  <c r="KL20" i="25"/>
  <c r="KK20" i="25"/>
  <c r="KH20" i="25"/>
  <c r="KG20" i="25"/>
  <c r="KF20" i="25"/>
  <c r="KA20" i="25"/>
  <c r="JZ20" i="25"/>
  <c r="JY20" i="25"/>
  <c r="JV20" i="25"/>
  <c r="JU20" i="25"/>
  <c r="JT20" i="25"/>
  <c r="JQ20" i="25"/>
  <c r="JP20" i="25"/>
  <c r="JO20" i="25"/>
  <c r="JJ20" i="25"/>
  <c r="JI20" i="25"/>
  <c r="JH20" i="25"/>
  <c r="JE20" i="25"/>
  <c r="JD20" i="25"/>
  <c r="JC20" i="25"/>
  <c r="IZ20" i="25"/>
  <c r="IY20" i="25"/>
  <c r="IX20" i="25"/>
  <c r="IS20" i="25"/>
  <c r="IR20" i="25"/>
  <c r="IQ20" i="25"/>
  <c r="IN20" i="25"/>
  <c r="IM20" i="25"/>
  <c r="IL20" i="25"/>
  <c r="II20" i="25"/>
  <c r="IH20" i="25"/>
  <c r="IG20" i="25"/>
  <c r="IB20" i="25"/>
  <c r="IA20" i="25"/>
  <c r="HZ20" i="25"/>
  <c r="HW20" i="25"/>
  <c r="HV20" i="25"/>
  <c r="HU20" i="25"/>
  <c r="HR20" i="25"/>
  <c r="HQ20" i="25"/>
  <c r="HP20" i="25"/>
  <c r="HK20" i="25"/>
  <c r="HJ20" i="25"/>
  <c r="HI20" i="25"/>
  <c r="HF20" i="25"/>
  <c r="HE20" i="25"/>
  <c r="HD20" i="25"/>
  <c r="HA20" i="25"/>
  <c r="GZ20" i="25"/>
  <c r="GY20" i="25"/>
  <c r="GT20" i="25"/>
  <c r="GS20" i="25"/>
  <c r="GR20" i="25"/>
  <c r="GO20" i="25"/>
  <c r="GN20" i="25"/>
  <c r="GM20" i="25"/>
  <c r="GJ20" i="25"/>
  <c r="GI20" i="25"/>
  <c r="GH20" i="25"/>
  <c r="GC20" i="25"/>
  <c r="GB20" i="25"/>
  <c r="GA20" i="25"/>
  <c r="FX20" i="25"/>
  <c r="FW20" i="25"/>
  <c r="FV20" i="25"/>
  <c r="FS20" i="25"/>
  <c r="FR20" i="25"/>
  <c r="FQ20" i="25"/>
  <c r="FL20" i="25"/>
  <c r="FK20" i="25"/>
  <c r="FJ20" i="25"/>
  <c r="FG20" i="25"/>
  <c r="FF20" i="25"/>
  <c r="FE20" i="25"/>
  <c r="FB20" i="25"/>
  <c r="FA20" i="25"/>
  <c r="EZ20" i="25"/>
  <c r="EU20" i="25"/>
  <c r="ET20" i="25"/>
  <c r="ES20" i="25"/>
  <c r="EP20" i="25"/>
  <c r="EO20" i="25"/>
  <c r="EN20" i="25"/>
  <c r="EK20" i="25"/>
  <c r="EJ20" i="25"/>
  <c r="EI20" i="25"/>
  <c r="ED20" i="25"/>
  <c r="EC20" i="25"/>
  <c r="EB20" i="25"/>
  <c r="DY20" i="25"/>
  <c r="DX20" i="25"/>
  <c r="DW20" i="25"/>
  <c r="DT20" i="25"/>
  <c r="DS20" i="25"/>
  <c r="DR20" i="25"/>
  <c r="DM20" i="25"/>
  <c r="DL20" i="25"/>
  <c r="DK20" i="25"/>
  <c r="DH20" i="25"/>
  <c r="DG20" i="25"/>
  <c r="DF20" i="25"/>
  <c r="DC20" i="25"/>
  <c r="DB20" i="25"/>
  <c r="DA20" i="25"/>
  <c r="CV20" i="25"/>
  <c r="CU20" i="25"/>
  <c r="CT20" i="25"/>
  <c r="CQ20" i="25"/>
  <c r="CP20" i="25"/>
  <c r="CO20" i="25"/>
  <c r="CL20" i="25"/>
  <c r="CK20" i="25"/>
  <c r="CJ20" i="25"/>
  <c r="CE20" i="25"/>
  <c r="CD20" i="25"/>
  <c r="CC20" i="25"/>
  <c r="BZ20" i="25"/>
  <c r="BY20" i="25"/>
  <c r="BX20" i="25"/>
  <c r="BU20" i="25"/>
  <c r="BT20" i="25"/>
  <c r="BS20" i="25"/>
  <c r="BN20" i="25"/>
  <c r="BM20" i="25"/>
  <c r="BL20" i="25"/>
  <c r="BI20" i="25"/>
  <c r="BH20" i="25"/>
  <c r="BG20" i="25"/>
  <c r="BD20" i="25"/>
  <c r="BC20" i="25"/>
  <c r="BB20" i="25"/>
  <c r="AW20" i="25"/>
  <c r="AV20" i="25"/>
  <c r="AU20" i="25"/>
  <c r="AR20" i="25"/>
  <c r="AQ20" i="25"/>
  <c r="AP20" i="25"/>
  <c r="AM20" i="25"/>
  <c r="AL20" i="25"/>
  <c r="AK20" i="25"/>
  <c r="AF20" i="25"/>
  <c r="AE20" i="25"/>
  <c r="AD20" i="25"/>
  <c r="AA20" i="25"/>
  <c r="Z20" i="25"/>
  <c r="Y20" i="25"/>
  <c r="V20" i="25"/>
  <c r="U20" i="25"/>
  <c r="T20" i="25"/>
  <c r="O20" i="25"/>
  <c r="N20" i="25"/>
  <c r="M20" i="25"/>
  <c r="J20" i="25"/>
  <c r="I20" i="25"/>
  <c r="H20" i="25"/>
  <c r="E20" i="25"/>
  <c r="D20" i="25"/>
  <c r="C20" i="25"/>
  <c r="SO19" i="25"/>
  <c r="SP19" i="25" s="1"/>
  <c r="SJ19" i="25"/>
  <c r="SK19" i="25" s="1"/>
  <c r="SE19" i="25"/>
  <c r="SQ19" i="25" s="1"/>
  <c r="SR19" i="25" s="1"/>
  <c r="RX19" i="25"/>
  <c r="RS19" i="25"/>
  <c r="RT19" i="25" s="1"/>
  <c r="RN19" i="25"/>
  <c r="RO19" i="25" s="1"/>
  <c r="RG19" i="25"/>
  <c r="RH19" i="25" s="1"/>
  <c r="RB19" i="25"/>
  <c r="RC19" i="25" s="1"/>
  <c r="QW19" i="25"/>
  <c r="QX19" i="25" s="1"/>
  <c r="QP19" i="25"/>
  <c r="QQ19" i="25" s="1"/>
  <c r="QK19" i="25"/>
  <c r="QL19" i="25" s="1"/>
  <c r="QF19" i="25"/>
  <c r="PY19" i="25"/>
  <c r="PZ19" i="25" s="1"/>
  <c r="PT19" i="25"/>
  <c r="PU19" i="25" s="1"/>
  <c r="PO19" i="25"/>
  <c r="PP19" i="25" s="1"/>
  <c r="PH19" i="25"/>
  <c r="PI19" i="25" s="1"/>
  <c r="PC19" i="25"/>
  <c r="PD19" i="25" s="1"/>
  <c r="OX19" i="25"/>
  <c r="OY19" i="25" s="1"/>
  <c r="OQ19" i="25"/>
  <c r="OR19" i="25" s="1"/>
  <c r="OL19" i="25"/>
  <c r="OM19" i="25" s="1"/>
  <c r="OG19" i="25"/>
  <c r="OH19" i="25" s="1"/>
  <c r="NZ19" i="25"/>
  <c r="OA19" i="25" s="1"/>
  <c r="NU19" i="25"/>
  <c r="NV19" i="25" s="1"/>
  <c r="NP19" i="25"/>
  <c r="NQ19" i="25" s="1"/>
  <c r="NI19" i="25"/>
  <c r="NJ19" i="25" s="1"/>
  <c r="ND19" i="25"/>
  <c r="NE19" i="25" s="1"/>
  <c r="MY19" i="25"/>
  <c r="MZ19" i="25" s="1"/>
  <c r="MR19" i="25"/>
  <c r="MS19" i="25" s="1"/>
  <c r="MM19" i="25"/>
  <c r="MN19" i="25" s="1"/>
  <c r="MH19" i="25"/>
  <c r="MA19" i="25"/>
  <c r="MB19" i="25" s="1"/>
  <c r="LV19" i="25"/>
  <c r="LW19" i="25" s="1"/>
  <c r="LQ19" i="25"/>
  <c r="LR19" i="25" s="1"/>
  <c r="LJ19" i="25"/>
  <c r="LK19" i="25" s="1"/>
  <c r="LE19" i="25"/>
  <c r="LF19" i="25" s="1"/>
  <c r="KZ19" i="25"/>
  <c r="KS19" i="25"/>
  <c r="KT19" i="25" s="1"/>
  <c r="KN19" i="25"/>
  <c r="KO19" i="25" s="1"/>
  <c r="KI19" i="25"/>
  <c r="KJ19" i="25" s="1"/>
  <c r="KB19" i="25"/>
  <c r="KC19" i="25" s="1"/>
  <c r="JW19" i="25"/>
  <c r="JX19" i="25" s="1"/>
  <c r="JR19" i="25"/>
  <c r="JS19" i="25" s="1"/>
  <c r="JK19" i="25"/>
  <c r="JL19" i="25" s="1"/>
  <c r="JF19" i="25"/>
  <c r="JG19" i="25" s="1"/>
  <c r="JA19" i="25"/>
  <c r="JB19" i="25" s="1"/>
  <c r="IT19" i="25"/>
  <c r="IU19" i="25" s="1"/>
  <c r="IO19" i="25"/>
  <c r="IP19" i="25" s="1"/>
  <c r="IJ19" i="25"/>
  <c r="IC19" i="25"/>
  <c r="ID19" i="25" s="1"/>
  <c r="HX19" i="25"/>
  <c r="HY19" i="25" s="1"/>
  <c r="HS19" i="25"/>
  <c r="HL19" i="25"/>
  <c r="HM19" i="25" s="1"/>
  <c r="HG19" i="25"/>
  <c r="HH19" i="25" s="1"/>
  <c r="HB19" i="25"/>
  <c r="HN19" i="25" s="1"/>
  <c r="HO19" i="25" s="1"/>
  <c r="GU19" i="25"/>
  <c r="GV19" i="25" s="1"/>
  <c r="GP19" i="25"/>
  <c r="GQ19" i="25" s="1"/>
  <c r="GK19" i="25"/>
  <c r="GL19" i="25" s="1"/>
  <c r="GD19" i="25"/>
  <c r="GE19" i="25" s="1"/>
  <c r="FY19" i="25"/>
  <c r="FZ19" i="25" s="1"/>
  <c r="FT19" i="25"/>
  <c r="FM19" i="25"/>
  <c r="FN19" i="25" s="1"/>
  <c r="FH19" i="25"/>
  <c r="FI19" i="25" s="1"/>
  <c r="FC19" i="25"/>
  <c r="FD19" i="25" s="1"/>
  <c r="EV19" i="25"/>
  <c r="EW19" i="25" s="1"/>
  <c r="EQ19" i="25"/>
  <c r="ER19" i="25" s="1"/>
  <c r="EL19" i="25"/>
  <c r="EX19" i="25" s="1"/>
  <c r="EY19" i="25" s="1"/>
  <c r="EE19" i="25"/>
  <c r="EF19" i="25" s="1"/>
  <c r="DZ19" i="25"/>
  <c r="EA19" i="25" s="1"/>
  <c r="DU19" i="25"/>
  <c r="DV19" i="25" s="1"/>
  <c r="DO19" i="25"/>
  <c r="DN19" i="25"/>
  <c r="DI19" i="25"/>
  <c r="DJ19" i="25" s="1"/>
  <c r="DD19" i="25"/>
  <c r="CW19" i="25"/>
  <c r="CX19" i="25" s="1"/>
  <c r="CR19" i="25"/>
  <c r="CS19" i="25" s="1"/>
  <c r="CM19" i="25"/>
  <c r="CN19" i="25" s="1"/>
  <c r="CF19" i="25"/>
  <c r="CG19" i="25" s="1"/>
  <c r="CA19" i="25"/>
  <c r="CB19" i="25" s="1"/>
  <c r="BV19" i="25"/>
  <c r="BO19" i="25"/>
  <c r="BP19" i="25" s="1"/>
  <c r="BJ19" i="25"/>
  <c r="BK19" i="25" s="1"/>
  <c r="BE19" i="25"/>
  <c r="AX19" i="25"/>
  <c r="AY19" i="25" s="1"/>
  <c r="AS19" i="25"/>
  <c r="AT19" i="25" s="1"/>
  <c r="AN19" i="25"/>
  <c r="AG19" i="25"/>
  <c r="AH19" i="25" s="1"/>
  <c r="AB19" i="25"/>
  <c r="AC19" i="25" s="1"/>
  <c r="W19" i="25"/>
  <c r="X19" i="25" s="1"/>
  <c r="P19" i="25"/>
  <c r="Q19" i="25" s="1"/>
  <c r="K19" i="25"/>
  <c r="L19" i="25" s="1"/>
  <c r="F19" i="25"/>
  <c r="R19" i="25" s="1"/>
  <c r="S19" i="25" s="1"/>
  <c r="SQ18" i="25"/>
  <c r="SR18" i="25" s="1"/>
  <c r="SO18" i="25"/>
  <c r="SP18" i="25" s="1"/>
  <c r="SJ18" i="25"/>
  <c r="SK18" i="25" s="1"/>
  <c r="SE18" i="25"/>
  <c r="SF18" i="25" s="1"/>
  <c r="RZ18" i="25"/>
  <c r="SA18" i="25" s="1"/>
  <c r="RX18" i="25"/>
  <c r="RY18" i="25" s="1"/>
  <c r="RS18" i="25"/>
  <c r="RT18" i="25" s="1"/>
  <c r="RN18" i="25"/>
  <c r="RO18" i="25" s="1"/>
  <c r="RI18" i="25"/>
  <c r="RJ18" i="25" s="1"/>
  <c r="RG18" i="25"/>
  <c r="RH18" i="25" s="1"/>
  <c r="RB18" i="25"/>
  <c r="RC18" i="25" s="1"/>
  <c r="QX18" i="25"/>
  <c r="QW18" i="25"/>
  <c r="QR18" i="25"/>
  <c r="QS18" i="25" s="1"/>
  <c r="QP18" i="25"/>
  <c r="QQ18" i="25" s="1"/>
  <c r="QK18" i="25"/>
  <c r="QL18" i="25" s="1"/>
  <c r="QF18" i="25"/>
  <c r="QG18" i="25" s="1"/>
  <c r="QA18" i="25"/>
  <c r="QB18" i="25" s="1"/>
  <c r="PY18" i="25"/>
  <c r="PZ18" i="25" s="1"/>
  <c r="PT18" i="25"/>
  <c r="PU18" i="25" s="1"/>
  <c r="PO18" i="25"/>
  <c r="PP18" i="25" s="1"/>
  <c r="PJ18" i="25"/>
  <c r="PK18" i="25" s="1"/>
  <c r="PH18" i="25"/>
  <c r="PI18" i="25" s="1"/>
  <c r="PC18" i="25"/>
  <c r="PD18" i="25" s="1"/>
  <c r="OX18" i="25"/>
  <c r="OY18" i="25" s="1"/>
  <c r="OS18" i="25"/>
  <c r="OT18" i="25" s="1"/>
  <c r="OQ18" i="25"/>
  <c r="OR18" i="25" s="1"/>
  <c r="OL18" i="25"/>
  <c r="OM18" i="25" s="1"/>
  <c r="OG18" i="25"/>
  <c r="OH18" i="25" s="1"/>
  <c r="OB18" i="25"/>
  <c r="OC18" i="25" s="1"/>
  <c r="NZ18" i="25"/>
  <c r="OA18" i="25" s="1"/>
  <c r="NU18" i="25"/>
  <c r="NV18" i="25" s="1"/>
  <c r="NP18" i="25"/>
  <c r="NQ18" i="25" s="1"/>
  <c r="NK18" i="25"/>
  <c r="NL18" i="25" s="1"/>
  <c r="NI18" i="25"/>
  <c r="NJ18" i="25" s="1"/>
  <c r="ND18" i="25"/>
  <c r="NE18" i="25" s="1"/>
  <c r="MY18" i="25"/>
  <c r="MZ18" i="25" s="1"/>
  <c r="MT18" i="25"/>
  <c r="MU18" i="25" s="1"/>
  <c r="MR18" i="25"/>
  <c r="MS18" i="25" s="1"/>
  <c r="MM18" i="25"/>
  <c r="MN18" i="25" s="1"/>
  <c r="MH18" i="25"/>
  <c r="MI18" i="25" s="1"/>
  <c r="MC18" i="25"/>
  <c r="MD18" i="25" s="1"/>
  <c r="MA18" i="25"/>
  <c r="MB18" i="25" s="1"/>
  <c r="LV18" i="25"/>
  <c r="LW18" i="25" s="1"/>
  <c r="LR18" i="25"/>
  <c r="LQ18" i="25"/>
  <c r="LL18" i="25"/>
  <c r="LM18" i="25" s="1"/>
  <c r="LJ18" i="25"/>
  <c r="LK18" i="25" s="1"/>
  <c r="LE18" i="25"/>
  <c r="LF18" i="25" s="1"/>
  <c r="KZ18" i="25"/>
  <c r="LA18" i="25" s="1"/>
  <c r="KU18" i="25"/>
  <c r="KV18" i="25" s="1"/>
  <c r="KS18" i="25"/>
  <c r="KT18" i="25" s="1"/>
  <c r="KN18" i="25"/>
  <c r="KO18" i="25" s="1"/>
  <c r="KI18" i="25"/>
  <c r="KJ18" i="25" s="1"/>
  <c r="KD18" i="25"/>
  <c r="KE18" i="25" s="1"/>
  <c r="KB18" i="25"/>
  <c r="KC18" i="25" s="1"/>
  <c r="JW18" i="25"/>
  <c r="JX18" i="25" s="1"/>
  <c r="JR18" i="25"/>
  <c r="JS18" i="25" s="1"/>
  <c r="JM18" i="25"/>
  <c r="JN18" i="25" s="1"/>
  <c r="JK18" i="25"/>
  <c r="JL18" i="25" s="1"/>
  <c r="JF18" i="25"/>
  <c r="JG18" i="25" s="1"/>
  <c r="JA18" i="25"/>
  <c r="JB18" i="25" s="1"/>
  <c r="IV18" i="25"/>
  <c r="IW18" i="25" s="1"/>
  <c r="IT18" i="25"/>
  <c r="IU18" i="25" s="1"/>
  <c r="IO18" i="25"/>
  <c r="IP18" i="25" s="1"/>
  <c r="IJ18" i="25"/>
  <c r="IK18" i="25" s="1"/>
  <c r="IE18" i="25"/>
  <c r="IF18" i="25" s="1"/>
  <c r="IC18" i="25"/>
  <c r="ID18" i="25" s="1"/>
  <c r="HX18" i="25"/>
  <c r="HY18" i="25" s="1"/>
  <c r="HS18" i="25"/>
  <c r="HT18" i="25" s="1"/>
  <c r="HN18" i="25"/>
  <c r="HO18" i="25" s="1"/>
  <c r="HL18" i="25"/>
  <c r="HM18" i="25" s="1"/>
  <c r="HG18" i="25"/>
  <c r="HH18" i="25" s="1"/>
  <c r="HB18" i="25"/>
  <c r="HC18" i="25" s="1"/>
  <c r="GW18" i="25"/>
  <c r="GX18" i="25" s="1"/>
  <c r="GU18" i="25"/>
  <c r="GV18" i="25" s="1"/>
  <c r="GP18" i="25"/>
  <c r="GQ18" i="25" s="1"/>
  <c r="GK18" i="25"/>
  <c r="GL18" i="25" s="1"/>
  <c r="GF18" i="25"/>
  <c r="GG18" i="25" s="1"/>
  <c r="GD18" i="25"/>
  <c r="GE18" i="25" s="1"/>
  <c r="FY18" i="25"/>
  <c r="FZ18" i="25" s="1"/>
  <c r="FT18" i="25"/>
  <c r="FU18" i="25" s="1"/>
  <c r="FO18" i="25"/>
  <c r="FP18" i="25" s="1"/>
  <c r="FM18" i="25"/>
  <c r="FN18" i="25" s="1"/>
  <c r="FH18" i="25"/>
  <c r="FI18" i="25" s="1"/>
  <c r="FC18" i="25"/>
  <c r="FD18" i="25" s="1"/>
  <c r="EX18" i="25"/>
  <c r="EY18" i="25" s="1"/>
  <c r="EV18" i="25"/>
  <c r="EW18" i="25" s="1"/>
  <c r="EQ18" i="25"/>
  <c r="ER18" i="25" s="1"/>
  <c r="EL18" i="25"/>
  <c r="EM18" i="25" s="1"/>
  <c r="EG18" i="25"/>
  <c r="EH18" i="25" s="1"/>
  <c r="EE18" i="25"/>
  <c r="EF18" i="25" s="1"/>
  <c r="DZ18" i="25"/>
  <c r="EA18" i="25" s="1"/>
  <c r="DU18" i="25"/>
  <c r="DV18" i="25" s="1"/>
  <c r="DP18" i="25"/>
  <c r="DQ18" i="25" s="1"/>
  <c r="DN18" i="25"/>
  <c r="DO18" i="25" s="1"/>
  <c r="DI18" i="25"/>
  <c r="DJ18" i="25" s="1"/>
  <c r="DD18" i="25"/>
  <c r="DE18" i="25" s="1"/>
  <c r="CY18" i="25"/>
  <c r="CZ18" i="25" s="1"/>
  <c r="CW18" i="25"/>
  <c r="CX18" i="25" s="1"/>
  <c r="CR18" i="25"/>
  <c r="CS18" i="25" s="1"/>
  <c r="CM18" i="25"/>
  <c r="CN18" i="25" s="1"/>
  <c r="CH18" i="25"/>
  <c r="CI18" i="25" s="1"/>
  <c r="CF18" i="25"/>
  <c r="CG18" i="25" s="1"/>
  <c r="CA18" i="25"/>
  <c r="CB18" i="25" s="1"/>
  <c r="BV18" i="25"/>
  <c r="BW18" i="25" s="1"/>
  <c r="BQ18" i="25"/>
  <c r="BR18" i="25" s="1"/>
  <c r="BO18" i="25"/>
  <c r="BP18" i="25" s="1"/>
  <c r="BJ18" i="25"/>
  <c r="BK18" i="25" s="1"/>
  <c r="BF18" i="25"/>
  <c r="BE18" i="25"/>
  <c r="AZ18" i="25"/>
  <c r="BA18" i="25" s="1"/>
  <c r="AX18" i="25"/>
  <c r="AY18" i="25" s="1"/>
  <c r="AS18" i="25"/>
  <c r="AT18" i="25" s="1"/>
  <c r="AN18" i="25"/>
  <c r="AO18" i="25" s="1"/>
  <c r="AI18" i="25"/>
  <c r="AJ18" i="25" s="1"/>
  <c r="AG18" i="25"/>
  <c r="AH18" i="25" s="1"/>
  <c r="AB18" i="25"/>
  <c r="AC18" i="25" s="1"/>
  <c r="W18" i="25"/>
  <c r="X18" i="25" s="1"/>
  <c r="R18" i="25"/>
  <c r="S18" i="25" s="1"/>
  <c r="P18" i="25"/>
  <c r="Q18" i="25" s="1"/>
  <c r="K18" i="25"/>
  <c r="L18" i="25" s="1"/>
  <c r="F18" i="25"/>
  <c r="G18" i="25" s="1"/>
  <c r="SO17" i="25"/>
  <c r="SJ17" i="25"/>
  <c r="SK17" i="25" s="1"/>
  <c r="SE17" i="25"/>
  <c r="SF17" i="25" s="1"/>
  <c r="RX17" i="25"/>
  <c r="RY17" i="25" s="1"/>
  <c r="RS17" i="25"/>
  <c r="RT17" i="25" s="1"/>
  <c r="RN17" i="25"/>
  <c r="RG17" i="25"/>
  <c r="RB17" i="25"/>
  <c r="RC17" i="25" s="1"/>
  <c r="QW17" i="25"/>
  <c r="QX17" i="25" s="1"/>
  <c r="QP17" i="25"/>
  <c r="QQ17" i="25" s="1"/>
  <c r="QK17" i="25"/>
  <c r="QL17" i="25" s="1"/>
  <c r="QF17" i="25"/>
  <c r="PY17" i="25"/>
  <c r="PZ17" i="25" s="1"/>
  <c r="PT17" i="25"/>
  <c r="PU17" i="25" s="1"/>
  <c r="PO17" i="25"/>
  <c r="PP17" i="25" s="1"/>
  <c r="PH17" i="25"/>
  <c r="PI17" i="25" s="1"/>
  <c r="PC17" i="25"/>
  <c r="PD17" i="25" s="1"/>
  <c r="OX17" i="25"/>
  <c r="PJ17" i="25" s="1"/>
  <c r="PK17" i="25" s="1"/>
  <c r="OQ17" i="25"/>
  <c r="OR17" i="25" s="1"/>
  <c r="OL17" i="25"/>
  <c r="OM17" i="25" s="1"/>
  <c r="OG17" i="25"/>
  <c r="OH17" i="25" s="1"/>
  <c r="NZ17" i="25"/>
  <c r="OA17" i="25" s="1"/>
  <c r="NU17" i="25"/>
  <c r="NV17" i="25" s="1"/>
  <c r="NP17" i="25"/>
  <c r="NI17" i="25"/>
  <c r="NJ17" i="25" s="1"/>
  <c r="ND17" i="25"/>
  <c r="NE17" i="25" s="1"/>
  <c r="MY17" i="25"/>
  <c r="MZ17" i="25" s="1"/>
  <c r="MS17" i="25"/>
  <c r="MR17" i="25"/>
  <c r="MM17" i="25"/>
  <c r="MN17" i="25" s="1"/>
  <c r="MH17" i="25"/>
  <c r="MA17" i="25"/>
  <c r="MB17" i="25" s="1"/>
  <c r="LV17" i="25"/>
  <c r="LW17" i="25" s="1"/>
  <c r="LQ17" i="25"/>
  <c r="LR17" i="25" s="1"/>
  <c r="LJ17" i="25"/>
  <c r="LK17" i="25" s="1"/>
  <c r="LE17" i="25"/>
  <c r="LF17" i="25" s="1"/>
  <c r="KZ17" i="25"/>
  <c r="KS17" i="25"/>
  <c r="KT17" i="25" s="1"/>
  <c r="KN17" i="25"/>
  <c r="KO17" i="25" s="1"/>
  <c r="KI17" i="25"/>
  <c r="KJ17" i="25" s="1"/>
  <c r="KB17" i="25"/>
  <c r="KC17" i="25" s="1"/>
  <c r="JW17" i="25"/>
  <c r="JX17" i="25" s="1"/>
  <c r="JR17" i="25"/>
  <c r="JK17" i="25"/>
  <c r="JL17" i="25" s="1"/>
  <c r="JF17" i="25"/>
  <c r="JG17" i="25" s="1"/>
  <c r="JA17" i="25"/>
  <c r="JB17" i="25" s="1"/>
  <c r="IT17" i="25"/>
  <c r="IU17" i="25" s="1"/>
  <c r="IO17" i="25"/>
  <c r="IP17" i="25" s="1"/>
  <c r="IJ17" i="25"/>
  <c r="IV17" i="25" s="1"/>
  <c r="IW17" i="25" s="1"/>
  <c r="IC17" i="25"/>
  <c r="ID17" i="25" s="1"/>
  <c r="HX17" i="25"/>
  <c r="HY17" i="25" s="1"/>
  <c r="HS17" i="25"/>
  <c r="HT17" i="25" s="1"/>
  <c r="HL17" i="25"/>
  <c r="HM17" i="25" s="1"/>
  <c r="HG17" i="25"/>
  <c r="HH17" i="25" s="1"/>
  <c r="HB17" i="25"/>
  <c r="GU17" i="25"/>
  <c r="GV17" i="25" s="1"/>
  <c r="GP17" i="25"/>
  <c r="GK17" i="25"/>
  <c r="GL17" i="25" s="1"/>
  <c r="GE17" i="25"/>
  <c r="GD17" i="25"/>
  <c r="FY17" i="25"/>
  <c r="FZ17" i="25" s="1"/>
  <c r="FT17" i="25"/>
  <c r="FM17" i="25"/>
  <c r="FN17" i="25" s="1"/>
  <c r="FH17" i="25"/>
  <c r="FC17" i="25"/>
  <c r="FD17" i="25" s="1"/>
  <c r="EV17" i="25"/>
  <c r="EW17" i="25" s="1"/>
  <c r="EQ17" i="25"/>
  <c r="ER17" i="25" s="1"/>
  <c r="EL17" i="25"/>
  <c r="EE17" i="25"/>
  <c r="EF17" i="25" s="1"/>
  <c r="DZ17" i="25"/>
  <c r="DU17" i="25"/>
  <c r="DV17" i="25" s="1"/>
  <c r="DN17" i="25"/>
  <c r="DO17" i="25" s="1"/>
  <c r="DI17" i="25"/>
  <c r="DJ17" i="25" s="1"/>
  <c r="DD17" i="25"/>
  <c r="CW17" i="25"/>
  <c r="CX17" i="25" s="1"/>
  <c r="CR17" i="25"/>
  <c r="CM17" i="25"/>
  <c r="CN17" i="25" s="1"/>
  <c r="CF17" i="25"/>
  <c r="CG17" i="25" s="1"/>
  <c r="CA17" i="25"/>
  <c r="CB17" i="25" s="1"/>
  <c r="BV17" i="25"/>
  <c r="BO17" i="25"/>
  <c r="BP17" i="25" s="1"/>
  <c r="BJ17" i="25"/>
  <c r="BE17" i="25"/>
  <c r="BF17" i="25" s="1"/>
  <c r="AY17" i="25"/>
  <c r="AX17" i="25"/>
  <c r="AS17" i="25"/>
  <c r="AT17" i="25" s="1"/>
  <c r="AN17" i="25"/>
  <c r="AG17" i="25"/>
  <c r="AH17" i="25" s="1"/>
  <c r="AB17" i="25"/>
  <c r="W17" i="25"/>
  <c r="X17" i="25" s="1"/>
  <c r="P17" i="25"/>
  <c r="Q17" i="25" s="1"/>
  <c r="K17" i="25"/>
  <c r="L17" i="25" s="1"/>
  <c r="F17" i="25"/>
  <c r="SO16" i="25"/>
  <c r="SP16" i="25" s="1"/>
  <c r="SJ16" i="25"/>
  <c r="SE16" i="25"/>
  <c r="SF16" i="25" s="1"/>
  <c r="RX16" i="25"/>
  <c r="RY16" i="25" s="1"/>
  <c r="RS16" i="25"/>
  <c r="RT16" i="25" s="1"/>
  <c r="RN16" i="25"/>
  <c r="RZ16" i="25" s="1"/>
  <c r="SA16" i="25" s="1"/>
  <c r="RG16" i="25"/>
  <c r="RH16" i="25" s="1"/>
  <c r="RB16" i="25"/>
  <c r="QW16" i="25"/>
  <c r="QX16" i="25" s="1"/>
  <c r="QP16" i="25"/>
  <c r="QQ16" i="25" s="1"/>
  <c r="QK16" i="25"/>
  <c r="QL16" i="25" s="1"/>
  <c r="QF16" i="25"/>
  <c r="PY16" i="25"/>
  <c r="PZ16" i="25" s="1"/>
  <c r="PT16" i="25"/>
  <c r="PU16" i="25" s="1"/>
  <c r="PO16" i="25"/>
  <c r="PH16" i="25"/>
  <c r="PJ16" i="25" s="1"/>
  <c r="PK16" i="25" s="1"/>
  <c r="PC16" i="25"/>
  <c r="PD16" i="25" s="1"/>
  <c r="OY16" i="25"/>
  <c r="OX16" i="25"/>
  <c r="OQ16" i="25"/>
  <c r="OR16" i="25" s="1"/>
  <c r="OL16" i="25"/>
  <c r="OM16" i="25" s="1"/>
  <c r="OG16" i="25"/>
  <c r="NZ16" i="25"/>
  <c r="OA16" i="25" s="1"/>
  <c r="NU16" i="25"/>
  <c r="NV16" i="25" s="1"/>
  <c r="NP16" i="25"/>
  <c r="OB16" i="25" s="1"/>
  <c r="OC16" i="25" s="1"/>
  <c r="NI16" i="25"/>
  <c r="NJ16" i="25" s="1"/>
  <c r="ND16" i="25"/>
  <c r="NE16" i="25" s="1"/>
  <c r="MY16" i="25"/>
  <c r="MR16" i="25"/>
  <c r="MS16" i="25" s="1"/>
  <c r="MM16" i="25"/>
  <c r="MN16" i="25" s="1"/>
  <c r="MH16" i="25"/>
  <c r="MI16" i="25" s="1"/>
  <c r="MA16" i="25"/>
  <c r="MB16" i="25" s="1"/>
  <c r="LV16" i="25"/>
  <c r="LW16" i="25" s="1"/>
  <c r="LQ16" i="25"/>
  <c r="LJ16" i="25"/>
  <c r="LK16" i="25" s="1"/>
  <c r="LE16" i="25"/>
  <c r="LF16" i="25" s="1"/>
  <c r="KZ16" i="25"/>
  <c r="KS16" i="25"/>
  <c r="KT16" i="25" s="1"/>
  <c r="KN16" i="25"/>
  <c r="KO16" i="25" s="1"/>
  <c r="KI16" i="25"/>
  <c r="KB16" i="25"/>
  <c r="KC16" i="25" s="1"/>
  <c r="JW16" i="25"/>
  <c r="JX16" i="25" s="1"/>
  <c r="JR16" i="25"/>
  <c r="JS16" i="25" s="1"/>
  <c r="JK16" i="25"/>
  <c r="JL16" i="25" s="1"/>
  <c r="JF16" i="25"/>
  <c r="JG16" i="25" s="1"/>
  <c r="JA16" i="25"/>
  <c r="IU16" i="25"/>
  <c r="IT16" i="25"/>
  <c r="IO16" i="25"/>
  <c r="IP16" i="25" s="1"/>
  <c r="IJ16" i="25"/>
  <c r="IC16" i="25"/>
  <c r="ID16" i="25" s="1"/>
  <c r="HX16" i="25"/>
  <c r="HY16" i="25" s="1"/>
  <c r="HS16" i="25"/>
  <c r="HL16" i="25"/>
  <c r="HM16" i="25" s="1"/>
  <c r="HG16" i="25"/>
  <c r="HH16" i="25" s="1"/>
  <c r="HB16" i="25"/>
  <c r="GU16" i="25"/>
  <c r="GV16" i="25" s="1"/>
  <c r="GP16" i="25"/>
  <c r="GQ16" i="25" s="1"/>
  <c r="GK16" i="25"/>
  <c r="GD16" i="25"/>
  <c r="GE16" i="25" s="1"/>
  <c r="FY16" i="25"/>
  <c r="FZ16" i="25" s="1"/>
  <c r="FT16" i="25"/>
  <c r="FM16" i="25"/>
  <c r="FN16" i="25" s="1"/>
  <c r="FH16" i="25"/>
  <c r="FI16" i="25" s="1"/>
  <c r="FC16" i="25"/>
  <c r="EV16" i="25"/>
  <c r="EW16" i="25" s="1"/>
  <c r="EQ16" i="25"/>
  <c r="ER16" i="25" s="1"/>
  <c r="EL16" i="25"/>
  <c r="EE16" i="25"/>
  <c r="EF16" i="25" s="1"/>
  <c r="DZ16" i="25"/>
  <c r="EA16" i="25" s="1"/>
  <c r="DU16" i="25"/>
  <c r="DV16" i="25" s="1"/>
  <c r="DN16" i="25"/>
  <c r="DO16" i="25" s="1"/>
  <c r="DI16" i="25"/>
  <c r="DJ16" i="25" s="1"/>
  <c r="DD16" i="25"/>
  <c r="DE16" i="25" s="1"/>
  <c r="CW16" i="25"/>
  <c r="CX16" i="25" s="1"/>
  <c r="CR16" i="25"/>
  <c r="CS16" i="25" s="1"/>
  <c r="CM16" i="25"/>
  <c r="CN16" i="25" s="1"/>
  <c r="CF16" i="25"/>
  <c r="CG16" i="25" s="1"/>
  <c r="CB16" i="25"/>
  <c r="CA16" i="25"/>
  <c r="BV16" i="25"/>
  <c r="BW16" i="25" s="1"/>
  <c r="BO16" i="25"/>
  <c r="BP16" i="25" s="1"/>
  <c r="BJ16" i="25"/>
  <c r="BK16" i="25" s="1"/>
  <c r="BE16" i="25"/>
  <c r="BF16" i="25" s="1"/>
  <c r="AX16" i="25"/>
  <c r="AY16" i="25" s="1"/>
  <c r="AS16" i="25"/>
  <c r="AT16" i="25" s="1"/>
  <c r="AN16" i="25"/>
  <c r="AO16" i="25" s="1"/>
  <c r="AG16" i="25"/>
  <c r="AH16" i="25" s="1"/>
  <c r="AB16" i="25"/>
  <c r="AC16" i="25" s="1"/>
  <c r="W16" i="25"/>
  <c r="X16" i="25" s="1"/>
  <c r="P16" i="25"/>
  <c r="Q16" i="25" s="1"/>
  <c r="K16" i="25"/>
  <c r="L16" i="25" s="1"/>
  <c r="F16" i="25"/>
  <c r="G16" i="25" s="1"/>
  <c r="SO15" i="25"/>
  <c r="SP15" i="25" s="1"/>
  <c r="SJ15" i="25"/>
  <c r="SK15" i="25" s="1"/>
  <c r="SE15" i="25"/>
  <c r="SF15" i="25" s="1"/>
  <c r="RX15" i="25"/>
  <c r="RY15" i="25" s="1"/>
  <c r="RS15" i="25"/>
  <c r="RT15" i="25" s="1"/>
  <c r="RN15" i="25"/>
  <c r="RO15" i="25" s="1"/>
  <c r="RG15" i="25"/>
  <c r="RH15" i="25" s="1"/>
  <c r="RB15" i="25"/>
  <c r="RC15" i="25" s="1"/>
  <c r="QW15" i="25"/>
  <c r="QX15" i="25" s="1"/>
  <c r="QP15" i="25"/>
  <c r="QQ15" i="25" s="1"/>
  <c r="QL15" i="25"/>
  <c r="QK15" i="25"/>
  <c r="QF15" i="25"/>
  <c r="QG15" i="25" s="1"/>
  <c r="PY15" i="25"/>
  <c r="PZ15" i="25" s="1"/>
  <c r="PT15" i="25"/>
  <c r="PO15" i="25"/>
  <c r="PP15" i="25" s="1"/>
  <c r="PH15" i="25"/>
  <c r="PI15" i="25" s="1"/>
  <c r="PC15" i="25"/>
  <c r="PD15" i="25" s="1"/>
  <c r="OX15" i="25"/>
  <c r="OY15" i="25" s="1"/>
  <c r="OQ15" i="25"/>
  <c r="OR15" i="25" s="1"/>
  <c r="OL15" i="25"/>
  <c r="OS15" i="25" s="1"/>
  <c r="OT15" i="25" s="1"/>
  <c r="OG15" i="25"/>
  <c r="OH15" i="25" s="1"/>
  <c r="NZ15" i="25"/>
  <c r="OA15" i="25" s="1"/>
  <c r="NU15" i="25"/>
  <c r="NV15" i="25" s="1"/>
  <c r="NP15" i="25"/>
  <c r="NQ15" i="25" s="1"/>
  <c r="NI15" i="25"/>
  <c r="NJ15" i="25" s="1"/>
  <c r="ND15" i="25"/>
  <c r="MY15" i="25"/>
  <c r="MZ15" i="25" s="1"/>
  <c r="MR15" i="25"/>
  <c r="MS15" i="25" s="1"/>
  <c r="MM15" i="25"/>
  <c r="MN15" i="25" s="1"/>
  <c r="MH15" i="25"/>
  <c r="MI15" i="25" s="1"/>
  <c r="MA15" i="25"/>
  <c r="MB15" i="25" s="1"/>
  <c r="LV15" i="25"/>
  <c r="LQ15" i="25"/>
  <c r="LR15" i="25" s="1"/>
  <c r="LJ15" i="25"/>
  <c r="LK15" i="25" s="1"/>
  <c r="LE15" i="25"/>
  <c r="LF15" i="25" s="1"/>
  <c r="KZ15" i="25"/>
  <c r="LA15" i="25" s="1"/>
  <c r="KS15" i="25"/>
  <c r="KT15" i="25" s="1"/>
  <c r="KN15" i="25"/>
  <c r="KO15" i="25" s="1"/>
  <c r="KI15" i="25"/>
  <c r="KJ15" i="25" s="1"/>
  <c r="KB15" i="25"/>
  <c r="KC15" i="25" s="1"/>
  <c r="JW15" i="25"/>
  <c r="JX15" i="25" s="1"/>
  <c r="JR15" i="25"/>
  <c r="JS15" i="25" s="1"/>
  <c r="JK15" i="25"/>
  <c r="JL15" i="25" s="1"/>
  <c r="JF15" i="25"/>
  <c r="JG15" i="25" s="1"/>
  <c r="JA15" i="25"/>
  <c r="JB15" i="25" s="1"/>
  <c r="IT15" i="25"/>
  <c r="IU15" i="25" s="1"/>
  <c r="IO15" i="25"/>
  <c r="IP15" i="25" s="1"/>
  <c r="IJ15" i="25"/>
  <c r="IK15" i="25" s="1"/>
  <c r="IC15" i="25"/>
  <c r="ID15" i="25" s="1"/>
  <c r="HY15" i="25"/>
  <c r="HX15" i="25"/>
  <c r="HS15" i="25"/>
  <c r="HT15" i="25" s="1"/>
  <c r="HL15" i="25"/>
  <c r="HM15" i="25" s="1"/>
  <c r="HG15" i="25"/>
  <c r="HH15" i="25" s="1"/>
  <c r="HB15" i="25"/>
  <c r="HC15" i="25" s="1"/>
  <c r="GU15" i="25"/>
  <c r="GV15" i="25" s="1"/>
  <c r="GP15" i="25"/>
  <c r="GQ15" i="25" s="1"/>
  <c r="GK15" i="25"/>
  <c r="GL15" i="25" s="1"/>
  <c r="GD15" i="25"/>
  <c r="GE15" i="25" s="1"/>
  <c r="FY15" i="25"/>
  <c r="FZ15" i="25" s="1"/>
  <c r="FT15" i="25"/>
  <c r="FU15" i="25" s="1"/>
  <c r="FM15" i="25"/>
  <c r="FN15" i="25" s="1"/>
  <c r="FH15" i="25"/>
  <c r="FI15" i="25" s="1"/>
  <c r="FC15" i="25"/>
  <c r="FD15" i="25" s="1"/>
  <c r="EV15" i="25"/>
  <c r="EW15" i="25" s="1"/>
  <c r="EQ15" i="25"/>
  <c r="ER15" i="25" s="1"/>
  <c r="EL15" i="25"/>
  <c r="EM15" i="25" s="1"/>
  <c r="EE15" i="25"/>
  <c r="EF15" i="25" s="1"/>
  <c r="DZ15" i="25"/>
  <c r="EA15" i="25" s="1"/>
  <c r="DU15" i="25"/>
  <c r="DV15" i="25" s="1"/>
  <c r="DN15" i="25"/>
  <c r="DO15" i="25" s="1"/>
  <c r="DI15" i="25"/>
  <c r="DJ15" i="25" s="1"/>
  <c r="DD15" i="25"/>
  <c r="DE15" i="25" s="1"/>
  <c r="CW15" i="25"/>
  <c r="CX15" i="25" s="1"/>
  <c r="CR15" i="25"/>
  <c r="CS15" i="25" s="1"/>
  <c r="CM15" i="25"/>
  <c r="CN15" i="25" s="1"/>
  <c r="CF15" i="25"/>
  <c r="CG15" i="25" s="1"/>
  <c r="CA15" i="25"/>
  <c r="CB15" i="25" s="1"/>
  <c r="BV15" i="25"/>
  <c r="BW15" i="25" s="1"/>
  <c r="BO15" i="25"/>
  <c r="BP15" i="25" s="1"/>
  <c r="BJ15" i="25"/>
  <c r="BK15" i="25" s="1"/>
  <c r="BE15" i="25"/>
  <c r="BF15" i="25" s="1"/>
  <c r="AX15" i="25"/>
  <c r="AY15" i="25" s="1"/>
  <c r="AS15" i="25"/>
  <c r="AT15" i="25" s="1"/>
  <c r="AN15" i="25"/>
  <c r="AO15" i="25" s="1"/>
  <c r="AG15" i="25"/>
  <c r="AH15" i="25" s="1"/>
  <c r="AB15" i="25"/>
  <c r="AC15" i="25" s="1"/>
  <c r="W15" i="25"/>
  <c r="X15" i="25" s="1"/>
  <c r="P15" i="25"/>
  <c r="Q15" i="25" s="1"/>
  <c r="K15" i="25"/>
  <c r="L15" i="25" s="1"/>
  <c r="F15" i="25"/>
  <c r="G15" i="25" s="1"/>
  <c r="SR14" i="25"/>
  <c r="SQ14" i="25"/>
  <c r="SO14" i="25"/>
  <c r="SP14" i="25" s="1"/>
  <c r="SJ14" i="25"/>
  <c r="SK14" i="25" s="1"/>
  <c r="SE14" i="25"/>
  <c r="SF14" i="25" s="1"/>
  <c r="RZ14" i="25"/>
  <c r="SA14" i="25" s="1"/>
  <c r="RX14" i="25"/>
  <c r="RY14" i="25" s="1"/>
  <c r="RS14" i="25"/>
  <c r="RT14" i="25" s="1"/>
  <c r="RN14" i="25"/>
  <c r="RO14" i="25" s="1"/>
  <c r="RI14" i="25"/>
  <c r="RJ14" i="25" s="1"/>
  <c r="RG14" i="25"/>
  <c r="RH14" i="25" s="1"/>
  <c r="RB14" i="25"/>
  <c r="RC14" i="25" s="1"/>
  <c r="QW14" i="25"/>
  <c r="QX14" i="25" s="1"/>
  <c r="QR14" i="25"/>
  <c r="QS14" i="25" s="1"/>
  <c r="QP14" i="25"/>
  <c r="QQ14" i="25" s="1"/>
  <c r="QK14" i="25"/>
  <c r="QL14" i="25" s="1"/>
  <c r="QF14" i="25"/>
  <c r="QG14" i="25" s="1"/>
  <c r="QA14" i="25"/>
  <c r="QB14" i="25" s="1"/>
  <c r="PY14" i="25"/>
  <c r="PZ14" i="25" s="1"/>
  <c r="PT14" i="25"/>
  <c r="PU14" i="25" s="1"/>
  <c r="PO14" i="25"/>
  <c r="PP14" i="25" s="1"/>
  <c r="PJ14" i="25"/>
  <c r="PK14" i="25" s="1"/>
  <c r="PH14" i="25"/>
  <c r="PI14" i="25" s="1"/>
  <c r="PC14" i="25"/>
  <c r="PD14" i="25" s="1"/>
  <c r="OX14" i="25"/>
  <c r="OY14" i="25" s="1"/>
  <c r="OS14" i="25"/>
  <c r="OT14" i="25" s="1"/>
  <c r="OQ14" i="25"/>
  <c r="OR14" i="25" s="1"/>
  <c r="OM14" i="25"/>
  <c r="OL14" i="25"/>
  <c r="OG14" i="25"/>
  <c r="OH14" i="25" s="1"/>
  <c r="OB14" i="25"/>
  <c r="OC14" i="25" s="1"/>
  <c r="NZ14" i="25"/>
  <c r="OA14" i="25" s="1"/>
  <c r="NU14" i="25"/>
  <c r="NV14" i="25" s="1"/>
  <c r="NP14" i="25"/>
  <c r="NQ14" i="25" s="1"/>
  <c r="NK14" i="25"/>
  <c r="NL14" i="25" s="1"/>
  <c r="NI14" i="25"/>
  <c r="NJ14" i="25" s="1"/>
  <c r="ND14" i="25"/>
  <c r="NE14" i="25" s="1"/>
  <c r="MY14" i="25"/>
  <c r="MZ14" i="25" s="1"/>
  <c r="MT14" i="25"/>
  <c r="MU14" i="25" s="1"/>
  <c r="MR14" i="25"/>
  <c r="MS14" i="25" s="1"/>
  <c r="MM14" i="25"/>
  <c r="MN14" i="25" s="1"/>
  <c r="MH14" i="25"/>
  <c r="MI14" i="25" s="1"/>
  <c r="MC14" i="25"/>
  <c r="MD14" i="25" s="1"/>
  <c r="MA14" i="25"/>
  <c r="MB14" i="25" s="1"/>
  <c r="LW14" i="25"/>
  <c r="LV14" i="25"/>
  <c r="LQ14" i="25"/>
  <c r="LR14" i="25" s="1"/>
  <c r="LL14" i="25"/>
  <c r="LM14" i="25" s="1"/>
  <c r="LJ14" i="25"/>
  <c r="LK14" i="25" s="1"/>
  <c r="LE14" i="25"/>
  <c r="LF14" i="25" s="1"/>
  <c r="KZ14" i="25"/>
  <c r="LA14" i="25" s="1"/>
  <c r="KU14" i="25"/>
  <c r="KV14" i="25" s="1"/>
  <c r="KS14" i="25"/>
  <c r="KT14" i="25" s="1"/>
  <c r="KN14" i="25"/>
  <c r="KO14" i="25" s="1"/>
  <c r="KI14" i="25"/>
  <c r="KJ14" i="25" s="1"/>
  <c r="KD14" i="25"/>
  <c r="KE14" i="25" s="1"/>
  <c r="KB14" i="25"/>
  <c r="KC14" i="25" s="1"/>
  <c r="JW14" i="25"/>
  <c r="JX14" i="25" s="1"/>
  <c r="JR14" i="25"/>
  <c r="JS14" i="25" s="1"/>
  <c r="JM14" i="25"/>
  <c r="JN14" i="25" s="1"/>
  <c r="JK14" i="25"/>
  <c r="JL14" i="25" s="1"/>
  <c r="JG14" i="25"/>
  <c r="JF14" i="25"/>
  <c r="JA14" i="25"/>
  <c r="JB14" i="25" s="1"/>
  <c r="IV14" i="25"/>
  <c r="IW14" i="25" s="1"/>
  <c r="IT14" i="25"/>
  <c r="IU14" i="25" s="1"/>
  <c r="IO14" i="25"/>
  <c r="IP14" i="25" s="1"/>
  <c r="IJ14" i="25"/>
  <c r="IK14" i="25" s="1"/>
  <c r="IE14" i="25"/>
  <c r="IF14" i="25" s="1"/>
  <c r="IC14" i="25"/>
  <c r="ID14" i="25" s="1"/>
  <c r="HX14" i="25"/>
  <c r="HY14" i="25" s="1"/>
  <c r="HS14" i="25"/>
  <c r="HT14" i="25" s="1"/>
  <c r="HN14" i="25"/>
  <c r="HO14" i="25" s="1"/>
  <c r="HL14" i="25"/>
  <c r="HM14" i="25" s="1"/>
  <c r="HG14" i="25"/>
  <c r="HH14" i="25" s="1"/>
  <c r="HB14" i="25"/>
  <c r="HC14" i="25" s="1"/>
  <c r="GW14" i="25"/>
  <c r="GX14" i="25" s="1"/>
  <c r="GU14" i="25"/>
  <c r="GV14" i="25" s="1"/>
  <c r="GQ14" i="25"/>
  <c r="GP14" i="25"/>
  <c r="GK14" i="25"/>
  <c r="GL14" i="25" s="1"/>
  <c r="GF14" i="25"/>
  <c r="GG14" i="25" s="1"/>
  <c r="GD14" i="25"/>
  <c r="GE14" i="25" s="1"/>
  <c r="FY14" i="25"/>
  <c r="FZ14" i="25" s="1"/>
  <c r="FT14" i="25"/>
  <c r="FU14" i="25" s="1"/>
  <c r="FO14" i="25"/>
  <c r="FP14" i="25" s="1"/>
  <c r="FM14" i="25"/>
  <c r="FN14" i="25" s="1"/>
  <c r="FH14" i="25"/>
  <c r="FI14" i="25" s="1"/>
  <c r="FC14" i="25"/>
  <c r="FD14" i="25" s="1"/>
  <c r="EX14" i="25"/>
  <c r="EY14" i="25" s="1"/>
  <c r="EV14" i="25"/>
  <c r="EW14" i="25" s="1"/>
  <c r="EQ14" i="25"/>
  <c r="ER14" i="25" s="1"/>
  <c r="EL14" i="25"/>
  <c r="EM14" i="25" s="1"/>
  <c r="EG14" i="25"/>
  <c r="EH14" i="25" s="1"/>
  <c r="EE14" i="25"/>
  <c r="EF14" i="25" s="1"/>
  <c r="EA14" i="25"/>
  <c r="DZ14" i="25"/>
  <c r="DU14" i="25"/>
  <c r="DV14" i="25" s="1"/>
  <c r="DP14" i="25"/>
  <c r="DQ14" i="25" s="1"/>
  <c r="DN14" i="25"/>
  <c r="DO14" i="25" s="1"/>
  <c r="DI14" i="25"/>
  <c r="DJ14" i="25" s="1"/>
  <c r="DD14" i="25"/>
  <c r="DE14" i="25" s="1"/>
  <c r="CY14" i="25"/>
  <c r="CZ14" i="25" s="1"/>
  <c r="CW14" i="25"/>
  <c r="CX14" i="25" s="1"/>
  <c r="CR14" i="25"/>
  <c r="CS14" i="25" s="1"/>
  <c r="CM14" i="25"/>
  <c r="CN14" i="25" s="1"/>
  <c r="CH14" i="25"/>
  <c r="CI14" i="25" s="1"/>
  <c r="CF14" i="25"/>
  <c r="CG14" i="25" s="1"/>
  <c r="CA14" i="25"/>
  <c r="CB14" i="25" s="1"/>
  <c r="BV14" i="25"/>
  <c r="BW14" i="25" s="1"/>
  <c r="BQ14" i="25"/>
  <c r="BR14" i="25" s="1"/>
  <c r="BO14" i="25"/>
  <c r="BP14" i="25" s="1"/>
  <c r="BK14" i="25"/>
  <c r="BJ14" i="25"/>
  <c r="BE14" i="25"/>
  <c r="BF14" i="25" s="1"/>
  <c r="AZ14" i="25"/>
  <c r="BA14" i="25" s="1"/>
  <c r="AX14" i="25"/>
  <c r="AY14" i="25" s="1"/>
  <c r="AS14" i="25"/>
  <c r="AT14" i="25" s="1"/>
  <c r="AN14" i="25"/>
  <c r="AO14" i="25" s="1"/>
  <c r="AI14" i="25"/>
  <c r="AJ14" i="25" s="1"/>
  <c r="AG14" i="25"/>
  <c r="AH14" i="25" s="1"/>
  <c r="AB14" i="25"/>
  <c r="AC14" i="25" s="1"/>
  <c r="W14" i="25"/>
  <c r="X14" i="25" s="1"/>
  <c r="R14" i="25"/>
  <c r="S14" i="25" s="1"/>
  <c r="P14" i="25"/>
  <c r="Q14" i="25" s="1"/>
  <c r="K14" i="25"/>
  <c r="L14" i="25" s="1"/>
  <c r="F14" i="25"/>
  <c r="G14" i="25" s="1"/>
  <c r="SO13" i="25"/>
  <c r="SP13" i="25" s="1"/>
  <c r="SJ13" i="25"/>
  <c r="SK13" i="25" s="1"/>
  <c r="SE13" i="25"/>
  <c r="SF13" i="25" s="1"/>
  <c r="RX13" i="25"/>
  <c r="RY13" i="25" s="1"/>
  <c r="RS13" i="25"/>
  <c r="RT13" i="25" s="1"/>
  <c r="RN13" i="25"/>
  <c r="RO13" i="25" s="1"/>
  <c r="RG13" i="25"/>
  <c r="RH13" i="25" s="1"/>
  <c r="RB13" i="25"/>
  <c r="RC13" i="25" s="1"/>
  <c r="QW13" i="25"/>
  <c r="QX13" i="25" s="1"/>
  <c r="QP13" i="25"/>
  <c r="QQ13" i="25" s="1"/>
  <c r="QK13" i="25"/>
  <c r="QL13" i="25" s="1"/>
  <c r="QF13" i="25"/>
  <c r="QG13" i="25" s="1"/>
  <c r="PY13" i="25"/>
  <c r="PZ13" i="25" s="1"/>
  <c r="PT13" i="25"/>
  <c r="PU13" i="25" s="1"/>
  <c r="PO13" i="25"/>
  <c r="PP13" i="25" s="1"/>
  <c r="PH13" i="25"/>
  <c r="PI13" i="25" s="1"/>
  <c r="PC13" i="25"/>
  <c r="PD13" i="25" s="1"/>
  <c r="OX13" i="25"/>
  <c r="OY13" i="25" s="1"/>
  <c r="OQ13" i="25"/>
  <c r="OR13" i="25" s="1"/>
  <c r="OM13" i="25"/>
  <c r="OL13" i="25"/>
  <c r="OG13" i="25"/>
  <c r="OH13" i="25" s="1"/>
  <c r="NZ13" i="25"/>
  <c r="OA13" i="25" s="1"/>
  <c r="NU13" i="25"/>
  <c r="NV13" i="25" s="1"/>
  <c r="NP13" i="25"/>
  <c r="NQ13" i="25" s="1"/>
  <c r="NI13" i="25"/>
  <c r="NJ13" i="25" s="1"/>
  <c r="ND13" i="25"/>
  <c r="NE13" i="25" s="1"/>
  <c r="MY13" i="25"/>
  <c r="MZ13" i="25" s="1"/>
  <c r="MR13" i="25"/>
  <c r="MS13" i="25" s="1"/>
  <c r="MM13" i="25"/>
  <c r="MN13" i="25" s="1"/>
  <c r="MH13" i="25"/>
  <c r="MI13" i="25" s="1"/>
  <c r="MA13" i="25"/>
  <c r="MB13" i="25" s="1"/>
  <c r="LV13" i="25"/>
  <c r="LW13" i="25" s="1"/>
  <c r="LQ13" i="25"/>
  <c r="LR13" i="25" s="1"/>
  <c r="LJ13" i="25"/>
  <c r="LK13" i="25" s="1"/>
  <c r="LE13" i="25"/>
  <c r="LF13" i="25" s="1"/>
  <c r="KZ13" i="25"/>
  <c r="LA13" i="25" s="1"/>
  <c r="KS13" i="25"/>
  <c r="KT13" i="25" s="1"/>
  <c r="KN13" i="25"/>
  <c r="KO13" i="25" s="1"/>
  <c r="KI13" i="25"/>
  <c r="KJ13" i="25" s="1"/>
  <c r="KB13" i="25"/>
  <c r="KC13" i="25" s="1"/>
  <c r="JW13" i="25"/>
  <c r="JX13" i="25" s="1"/>
  <c r="JR13" i="25"/>
  <c r="JS13" i="25" s="1"/>
  <c r="JK13" i="25"/>
  <c r="JL13" i="25" s="1"/>
  <c r="JG13" i="25"/>
  <c r="JF13" i="25"/>
  <c r="JA13" i="25"/>
  <c r="JB13" i="25" s="1"/>
  <c r="IT13" i="25"/>
  <c r="IU13" i="25" s="1"/>
  <c r="IO13" i="25"/>
  <c r="IP13" i="25" s="1"/>
  <c r="IJ13" i="25"/>
  <c r="IK13" i="25" s="1"/>
  <c r="IC13" i="25"/>
  <c r="ID13" i="25" s="1"/>
  <c r="HX13" i="25"/>
  <c r="HY13" i="25" s="1"/>
  <c r="HS13" i="25"/>
  <c r="HT13" i="25" s="1"/>
  <c r="HL13" i="25"/>
  <c r="HM13" i="25" s="1"/>
  <c r="HG13" i="25"/>
  <c r="HH13" i="25" s="1"/>
  <c r="HB13" i="25"/>
  <c r="HC13" i="25" s="1"/>
  <c r="GU13" i="25"/>
  <c r="GV13" i="25" s="1"/>
  <c r="GP13" i="25"/>
  <c r="GQ13" i="25" s="1"/>
  <c r="GK13" i="25"/>
  <c r="GL13" i="25" s="1"/>
  <c r="GD13" i="25"/>
  <c r="GE13" i="25" s="1"/>
  <c r="FY13" i="25"/>
  <c r="FZ13" i="25" s="1"/>
  <c r="FT13" i="25"/>
  <c r="FU13" i="25" s="1"/>
  <c r="FM13" i="25"/>
  <c r="FN13" i="25" s="1"/>
  <c r="FH13" i="25"/>
  <c r="FI13" i="25" s="1"/>
  <c r="FC13" i="25"/>
  <c r="FD13" i="25" s="1"/>
  <c r="EV13" i="25"/>
  <c r="EW13" i="25" s="1"/>
  <c r="EQ13" i="25"/>
  <c r="ER13" i="25" s="1"/>
  <c r="EL13" i="25"/>
  <c r="EM13" i="25" s="1"/>
  <c r="EE13" i="25"/>
  <c r="EF13" i="25" s="1"/>
  <c r="EA13" i="25"/>
  <c r="DZ13" i="25"/>
  <c r="DU13" i="25"/>
  <c r="DV13" i="25" s="1"/>
  <c r="DN13" i="25"/>
  <c r="DO13" i="25" s="1"/>
  <c r="DI13" i="25"/>
  <c r="DJ13" i="25" s="1"/>
  <c r="DD13" i="25"/>
  <c r="DE13" i="25" s="1"/>
  <c r="CW13" i="25"/>
  <c r="CX13" i="25" s="1"/>
  <c r="CR13" i="25"/>
  <c r="CS13" i="25" s="1"/>
  <c r="CM13" i="25"/>
  <c r="CN13" i="25" s="1"/>
  <c r="CF13" i="25"/>
  <c r="CG13" i="25" s="1"/>
  <c r="CA13" i="25"/>
  <c r="CB13" i="25" s="1"/>
  <c r="BV13" i="25"/>
  <c r="BW13" i="25" s="1"/>
  <c r="BO13" i="25"/>
  <c r="BP13" i="25" s="1"/>
  <c r="BJ13" i="25"/>
  <c r="BK13" i="25" s="1"/>
  <c r="BE13" i="25"/>
  <c r="BF13" i="25" s="1"/>
  <c r="AX13" i="25"/>
  <c r="AY13" i="25" s="1"/>
  <c r="AS13" i="25"/>
  <c r="AT13" i="25" s="1"/>
  <c r="AN13" i="25"/>
  <c r="AO13" i="25" s="1"/>
  <c r="AG13" i="25"/>
  <c r="AH13" i="25" s="1"/>
  <c r="AB13" i="25"/>
  <c r="AC13" i="25" s="1"/>
  <c r="W13" i="25"/>
  <c r="X13" i="25" s="1"/>
  <c r="P13" i="25"/>
  <c r="Q13" i="25" s="1"/>
  <c r="K13" i="25"/>
  <c r="L13" i="25" s="1"/>
  <c r="F13" i="25"/>
  <c r="G13" i="25" s="1"/>
  <c r="SQ12" i="25"/>
  <c r="SR12" i="25" s="1"/>
  <c r="SO12" i="25"/>
  <c r="SP12" i="25" s="1"/>
  <c r="SJ12" i="25"/>
  <c r="SK12" i="25" s="1"/>
  <c r="SE12" i="25"/>
  <c r="SF12" i="25" s="1"/>
  <c r="RZ12" i="25"/>
  <c r="SA12" i="25" s="1"/>
  <c r="RX12" i="25"/>
  <c r="RY12" i="25" s="1"/>
  <c r="RS12" i="25"/>
  <c r="RT12" i="25" s="1"/>
  <c r="RN12" i="25"/>
  <c r="RO12" i="25" s="1"/>
  <c r="RI12" i="25"/>
  <c r="RJ12" i="25" s="1"/>
  <c r="RG12" i="25"/>
  <c r="RH12" i="25" s="1"/>
  <c r="RB12" i="25"/>
  <c r="RC12" i="25" s="1"/>
  <c r="QW12" i="25"/>
  <c r="QX12" i="25" s="1"/>
  <c r="QR12" i="25"/>
  <c r="QS12" i="25" s="1"/>
  <c r="QP12" i="25"/>
  <c r="QQ12" i="25" s="1"/>
  <c r="QK12" i="25"/>
  <c r="QL12" i="25" s="1"/>
  <c r="QF12" i="25"/>
  <c r="QG12" i="25" s="1"/>
  <c r="QA12" i="25"/>
  <c r="QB12" i="25" s="1"/>
  <c r="PY12" i="25"/>
  <c r="PZ12" i="25" s="1"/>
  <c r="PT12" i="25"/>
  <c r="PU12" i="25" s="1"/>
  <c r="PO12" i="25"/>
  <c r="PP12" i="25" s="1"/>
  <c r="PJ12" i="25"/>
  <c r="PK12" i="25" s="1"/>
  <c r="PH12" i="25"/>
  <c r="PI12" i="25" s="1"/>
  <c r="PC12" i="25"/>
  <c r="PD12" i="25" s="1"/>
  <c r="OX12" i="25"/>
  <c r="OY12" i="25" s="1"/>
  <c r="OS12" i="25"/>
  <c r="OT12" i="25" s="1"/>
  <c r="OQ12" i="25"/>
  <c r="OR12" i="25" s="1"/>
  <c r="OL12" i="25"/>
  <c r="OM12" i="25" s="1"/>
  <c r="OG12" i="25"/>
  <c r="OH12" i="25" s="1"/>
  <c r="OB12" i="25"/>
  <c r="OC12" i="25" s="1"/>
  <c r="NZ12" i="25"/>
  <c r="OA12" i="25" s="1"/>
  <c r="NU12" i="25"/>
  <c r="NV12" i="25" s="1"/>
  <c r="NP12" i="25"/>
  <c r="NQ12" i="25" s="1"/>
  <c r="NK12" i="25"/>
  <c r="NL12" i="25" s="1"/>
  <c r="NI12" i="25"/>
  <c r="NJ12" i="25" s="1"/>
  <c r="ND12" i="25"/>
  <c r="NE12" i="25" s="1"/>
  <c r="MY12" i="25"/>
  <c r="MZ12" i="25" s="1"/>
  <c r="MT12" i="25"/>
  <c r="MU12" i="25" s="1"/>
  <c r="MR12" i="25"/>
  <c r="MS12" i="25" s="1"/>
  <c r="MM12" i="25"/>
  <c r="MN12" i="25" s="1"/>
  <c r="MH12" i="25"/>
  <c r="MI12" i="25" s="1"/>
  <c r="MC12" i="25"/>
  <c r="MD12" i="25" s="1"/>
  <c r="MA12" i="25"/>
  <c r="MB12" i="25" s="1"/>
  <c r="LV12" i="25"/>
  <c r="LW12" i="25" s="1"/>
  <c r="LQ12" i="25"/>
  <c r="LR12" i="25" s="1"/>
  <c r="LL12" i="25"/>
  <c r="LM12" i="25" s="1"/>
  <c r="LJ12" i="25"/>
  <c r="LK12" i="25" s="1"/>
  <c r="LE12" i="25"/>
  <c r="LF12" i="25" s="1"/>
  <c r="KZ12" i="25"/>
  <c r="LA12" i="25" s="1"/>
  <c r="KU12" i="25"/>
  <c r="KV12" i="25" s="1"/>
  <c r="KS12" i="25"/>
  <c r="KT12" i="25" s="1"/>
  <c r="KN12" i="25"/>
  <c r="KO12" i="25" s="1"/>
  <c r="KI12" i="25"/>
  <c r="KJ12" i="25" s="1"/>
  <c r="KD12" i="25"/>
  <c r="KE12" i="25" s="1"/>
  <c r="KB12" i="25"/>
  <c r="KC12" i="25" s="1"/>
  <c r="JW12" i="25"/>
  <c r="JX12" i="25" s="1"/>
  <c r="JR12" i="25"/>
  <c r="JS12" i="25" s="1"/>
  <c r="JM12" i="25"/>
  <c r="JN12" i="25" s="1"/>
  <c r="JK12" i="25"/>
  <c r="JL12" i="25" s="1"/>
  <c r="JF12" i="25"/>
  <c r="JG12" i="25" s="1"/>
  <c r="JA12" i="25"/>
  <c r="JB12" i="25" s="1"/>
  <c r="IW12" i="25"/>
  <c r="IV12" i="25"/>
  <c r="IT12" i="25"/>
  <c r="IU12" i="25" s="1"/>
  <c r="IO12" i="25"/>
  <c r="IP12" i="25" s="1"/>
  <c r="IJ12" i="25"/>
  <c r="IK12" i="25" s="1"/>
  <c r="IE12" i="25"/>
  <c r="IF12" i="25" s="1"/>
  <c r="IC12" i="25"/>
  <c r="ID12" i="25" s="1"/>
  <c r="HX12" i="25"/>
  <c r="HY12" i="25" s="1"/>
  <c r="HS12" i="25"/>
  <c r="HT12" i="25" s="1"/>
  <c r="HN12" i="25"/>
  <c r="HO12" i="25" s="1"/>
  <c r="HL12" i="25"/>
  <c r="HM12" i="25" s="1"/>
  <c r="HG12" i="25"/>
  <c r="HH12" i="25" s="1"/>
  <c r="HB12" i="25"/>
  <c r="HC12" i="25" s="1"/>
  <c r="GW12" i="25"/>
  <c r="GX12" i="25" s="1"/>
  <c r="GU12" i="25"/>
  <c r="GV12" i="25" s="1"/>
  <c r="GP12" i="25"/>
  <c r="GQ12" i="25" s="1"/>
  <c r="GK12" i="25"/>
  <c r="GL12" i="25" s="1"/>
  <c r="GG12" i="25"/>
  <c r="GF12" i="25"/>
  <c r="GD12" i="25"/>
  <c r="GE12" i="25" s="1"/>
  <c r="FY12" i="25"/>
  <c r="FZ12" i="25" s="1"/>
  <c r="FT12" i="25"/>
  <c r="FU12" i="25" s="1"/>
  <c r="FO12" i="25"/>
  <c r="FP12" i="25" s="1"/>
  <c r="FM12" i="25"/>
  <c r="FN12" i="25" s="1"/>
  <c r="FH12" i="25"/>
  <c r="FI12" i="25" s="1"/>
  <c r="FC12" i="25"/>
  <c r="FD12" i="25" s="1"/>
  <c r="EX12" i="25"/>
  <c r="EY12" i="25" s="1"/>
  <c r="EV12" i="25"/>
  <c r="EW12" i="25" s="1"/>
  <c r="EQ12" i="25"/>
  <c r="ER12" i="25" s="1"/>
  <c r="EL12" i="25"/>
  <c r="EM12" i="25" s="1"/>
  <c r="EG12" i="25"/>
  <c r="EH12" i="25" s="1"/>
  <c r="EE12" i="25"/>
  <c r="EF12" i="25" s="1"/>
  <c r="DZ12" i="25"/>
  <c r="EA12" i="25" s="1"/>
  <c r="DU12" i="25"/>
  <c r="DV12" i="25" s="1"/>
  <c r="DP12" i="25"/>
  <c r="DQ12" i="25" s="1"/>
  <c r="DN12" i="25"/>
  <c r="DO12" i="25" s="1"/>
  <c r="DI12" i="25"/>
  <c r="DJ12" i="25" s="1"/>
  <c r="DD12" i="25"/>
  <c r="DE12" i="25" s="1"/>
  <c r="CY12" i="25"/>
  <c r="CZ12" i="25" s="1"/>
  <c r="CW12" i="25"/>
  <c r="CX12" i="25" s="1"/>
  <c r="CS12" i="25"/>
  <c r="CR12" i="25"/>
  <c r="CM12" i="25"/>
  <c r="CN12" i="25" s="1"/>
  <c r="CH12" i="25"/>
  <c r="CI12" i="25" s="1"/>
  <c r="CF12" i="25"/>
  <c r="CG12" i="25" s="1"/>
  <c r="CA12" i="25"/>
  <c r="CB12" i="25" s="1"/>
  <c r="BV12" i="25"/>
  <c r="BW12" i="25" s="1"/>
  <c r="BQ12" i="25"/>
  <c r="BR12" i="25" s="1"/>
  <c r="BO12" i="25"/>
  <c r="BP12" i="25" s="1"/>
  <c r="BJ12" i="25"/>
  <c r="BK12" i="25" s="1"/>
  <c r="BE12" i="25"/>
  <c r="BF12" i="25" s="1"/>
  <c r="AZ12" i="25"/>
  <c r="BA12" i="25" s="1"/>
  <c r="AX12" i="25"/>
  <c r="AY12" i="25" s="1"/>
  <c r="AS12" i="25"/>
  <c r="AT12" i="25" s="1"/>
  <c r="AN12" i="25"/>
  <c r="AO12" i="25" s="1"/>
  <c r="AI12" i="25"/>
  <c r="AJ12" i="25" s="1"/>
  <c r="AG12" i="25"/>
  <c r="AH12" i="25" s="1"/>
  <c r="AB12" i="25"/>
  <c r="AC12" i="25" s="1"/>
  <c r="W12" i="25"/>
  <c r="X12" i="25" s="1"/>
  <c r="R12" i="25"/>
  <c r="S12" i="25" s="1"/>
  <c r="P12" i="25"/>
  <c r="Q12" i="25" s="1"/>
  <c r="K12" i="25"/>
  <c r="L12" i="25" s="1"/>
  <c r="F12" i="25"/>
  <c r="G12" i="25" s="1"/>
  <c r="SO11" i="25"/>
  <c r="SP11" i="25" s="1"/>
  <c r="SJ11" i="25"/>
  <c r="SK11" i="25" s="1"/>
  <c r="SE11" i="25"/>
  <c r="SF11" i="25" s="1"/>
  <c r="RX11" i="25"/>
  <c r="RY11" i="25" s="1"/>
  <c r="RS11" i="25"/>
  <c r="RT11" i="25" s="1"/>
  <c r="RN11" i="25"/>
  <c r="RO11" i="25" s="1"/>
  <c r="RG11" i="25"/>
  <c r="RH11" i="25" s="1"/>
  <c r="RB11" i="25"/>
  <c r="RC11" i="25" s="1"/>
  <c r="QW11" i="25"/>
  <c r="QX11" i="25" s="1"/>
  <c r="QP11" i="25"/>
  <c r="QQ11" i="25" s="1"/>
  <c r="QK11" i="25"/>
  <c r="QL11" i="25" s="1"/>
  <c r="QF11" i="25"/>
  <c r="QG11" i="25" s="1"/>
  <c r="PY11" i="25"/>
  <c r="PZ11" i="25" s="1"/>
  <c r="PT11" i="25"/>
  <c r="PU11" i="25" s="1"/>
  <c r="PO11" i="25"/>
  <c r="PP11" i="25" s="1"/>
  <c r="PH11" i="25"/>
  <c r="PI11" i="25" s="1"/>
  <c r="PC11" i="25"/>
  <c r="PD11" i="25" s="1"/>
  <c r="OX11" i="25"/>
  <c r="OY11" i="25" s="1"/>
  <c r="OQ11" i="25"/>
  <c r="OR11" i="25" s="1"/>
  <c r="OL11" i="25"/>
  <c r="OM11" i="25" s="1"/>
  <c r="OG11" i="25"/>
  <c r="OH11" i="25" s="1"/>
  <c r="NZ11" i="25"/>
  <c r="OA11" i="25" s="1"/>
  <c r="NU11" i="25"/>
  <c r="NV11" i="25" s="1"/>
  <c r="NP11" i="25"/>
  <c r="NQ11" i="25" s="1"/>
  <c r="NI11" i="25"/>
  <c r="NJ11" i="25" s="1"/>
  <c r="ND11" i="25"/>
  <c r="NE11" i="25" s="1"/>
  <c r="MY11" i="25"/>
  <c r="MZ11" i="25" s="1"/>
  <c r="MR11" i="25"/>
  <c r="MS11" i="25" s="1"/>
  <c r="MM11" i="25"/>
  <c r="MN11" i="25" s="1"/>
  <c r="MH11" i="25"/>
  <c r="MI11" i="25" s="1"/>
  <c r="MA11" i="25"/>
  <c r="MB11" i="25" s="1"/>
  <c r="LV11" i="25"/>
  <c r="LW11" i="25" s="1"/>
  <c r="LQ11" i="25"/>
  <c r="LR11" i="25" s="1"/>
  <c r="LJ11" i="25"/>
  <c r="LK11" i="25" s="1"/>
  <c r="LE11" i="25"/>
  <c r="LF11" i="25" s="1"/>
  <c r="KZ11" i="25"/>
  <c r="LA11" i="25" s="1"/>
  <c r="KS11" i="25"/>
  <c r="KT11" i="25" s="1"/>
  <c r="KO11" i="25"/>
  <c r="KN11" i="25"/>
  <c r="KI11" i="25"/>
  <c r="KJ11" i="25" s="1"/>
  <c r="KB11" i="25"/>
  <c r="KC11" i="25" s="1"/>
  <c r="JW11" i="25"/>
  <c r="JX11" i="25" s="1"/>
  <c r="JR11" i="25"/>
  <c r="JS11" i="25" s="1"/>
  <c r="JK11" i="25"/>
  <c r="JL11" i="25" s="1"/>
  <c r="JF11" i="25"/>
  <c r="JG11" i="25" s="1"/>
  <c r="JA11" i="25"/>
  <c r="JB11" i="25" s="1"/>
  <c r="IT11" i="25"/>
  <c r="IU11" i="25" s="1"/>
  <c r="IO11" i="25"/>
  <c r="IP11" i="25" s="1"/>
  <c r="IJ11" i="25"/>
  <c r="IK11" i="25" s="1"/>
  <c r="IC11" i="25"/>
  <c r="ID11" i="25" s="1"/>
  <c r="HX11" i="25"/>
  <c r="HY11" i="25" s="1"/>
  <c r="HS11" i="25"/>
  <c r="HT11" i="25" s="1"/>
  <c r="HL11" i="25"/>
  <c r="HM11" i="25" s="1"/>
  <c r="HG11" i="25"/>
  <c r="HH11" i="25" s="1"/>
  <c r="HB11" i="25"/>
  <c r="HC11" i="25" s="1"/>
  <c r="GU11" i="25"/>
  <c r="GV11" i="25" s="1"/>
  <c r="GQ11" i="25"/>
  <c r="GP11" i="25"/>
  <c r="GK11" i="25"/>
  <c r="GL11" i="25" s="1"/>
  <c r="GD11" i="25"/>
  <c r="GE11" i="25" s="1"/>
  <c r="FY11" i="25"/>
  <c r="FZ11" i="25" s="1"/>
  <c r="FT11" i="25"/>
  <c r="FU11" i="25" s="1"/>
  <c r="FM11" i="25"/>
  <c r="FN11" i="25" s="1"/>
  <c r="FH11" i="25"/>
  <c r="FI11" i="25" s="1"/>
  <c r="FC11" i="25"/>
  <c r="FD11" i="25" s="1"/>
  <c r="EV11" i="25"/>
  <c r="EW11" i="25" s="1"/>
  <c r="EQ11" i="25"/>
  <c r="ER11" i="25" s="1"/>
  <c r="EL11" i="25"/>
  <c r="EM11" i="25" s="1"/>
  <c r="EE11" i="25"/>
  <c r="EF11" i="25" s="1"/>
  <c r="DZ11" i="25"/>
  <c r="EA11" i="25" s="1"/>
  <c r="DU11" i="25"/>
  <c r="DV11" i="25" s="1"/>
  <c r="DN11" i="25"/>
  <c r="DO11" i="25" s="1"/>
  <c r="DI11" i="25"/>
  <c r="DJ11" i="25" s="1"/>
  <c r="DD11" i="25"/>
  <c r="DE11" i="25" s="1"/>
  <c r="CW11" i="25"/>
  <c r="CX11" i="25" s="1"/>
  <c r="CR11" i="25"/>
  <c r="CS11" i="25" s="1"/>
  <c r="CM11" i="25"/>
  <c r="CN11" i="25" s="1"/>
  <c r="CF11" i="25"/>
  <c r="CG11" i="25" s="1"/>
  <c r="CA11" i="25"/>
  <c r="CB11" i="25" s="1"/>
  <c r="BV11" i="25"/>
  <c r="BW11" i="25" s="1"/>
  <c r="BO11" i="25"/>
  <c r="BP11" i="25" s="1"/>
  <c r="BJ11" i="25"/>
  <c r="BK11" i="25" s="1"/>
  <c r="BE11" i="25"/>
  <c r="BF11" i="25" s="1"/>
  <c r="AX11" i="25"/>
  <c r="AY11" i="25" s="1"/>
  <c r="AS11" i="25"/>
  <c r="AT11" i="25" s="1"/>
  <c r="AN11" i="25"/>
  <c r="AO11" i="25" s="1"/>
  <c r="AG11" i="25"/>
  <c r="AH11" i="25" s="1"/>
  <c r="AC11" i="25"/>
  <c r="AB11" i="25"/>
  <c r="W11" i="25"/>
  <c r="X11" i="25" s="1"/>
  <c r="P11" i="25"/>
  <c r="Q11" i="25" s="1"/>
  <c r="K11" i="25"/>
  <c r="L11" i="25" s="1"/>
  <c r="F11" i="25"/>
  <c r="G11" i="25" s="1"/>
  <c r="SO8" i="25"/>
  <c r="SP8" i="25" s="1"/>
  <c r="SJ8" i="25"/>
  <c r="SK8" i="25" s="1"/>
  <c r="SE8" i="25"/>
  <c r="SF8" i="25" s="1"/>
  <c r="RX8" i="25"/>
  <c r="RY8" i="25" s="1"/>
  <c r="RS8" i="25"/>
  <c r="RT8" i="25" s="1"/>
  <c r="RN8" i="25"/>
  <c r="RO8" i="25" s="1"/>
  <c r="RG8" i="25"/>
  <c r="RH8" i="25" s="1"/>
  <c r="RB8" i="25"/>
  <c r="RC8" i="25" s="1"/>
  <c r="QW8" i="25"/>
  <c r="QX8" i="25" s="1"/>
  <c r="QP8" i="25"/>
  <c r="QQ8" i="25" s="1"/>
  <c r="QK8" i="25"/>
  <c r="QL8" i="25" s="1"/>
  <c r="QF8" i="25"/>
  <c r="QG8" i="25" s="1"/>
  <c r="PY8" i="25"/>
  <c r="PZ8" i="25" s="1"/>
  <c r="PT8" i="25"/>
  <c r="PU8" i="25" s="1"/>
  <c r="PO8" i="25"/>
  <c r="PP8" i="25" s="1"/>
  <c r="PH8" i="25"/>
  <c r="PI8" i="25" s="1"/>
  <c r="PC8" i="25"/>
  <c r="PD8" i="25" s="1"/>
  <c r="OX8" i="25"/>
  <c r="OY8" i="25" s="1"/>
  <c r="OQ8" i="25"/>
  <c r="OR8" i="25" s="1"/>
  <c r="OM8" i="25"/>
  <c r="OL8" i="25"/>
  <c r="OG8" i="25"/>
  <c r="OH8" i="25" s="1"/>
  <c r="NZ8" i="25"/>
  <c r="OA8" i="25" s="1"/>
  <c r="NU8" i="25"/>
  <c r="NV8" i="25" s="1"/>
  <c r="NP8" i="25"/>
  <c r="NQ8" i="25" s="1"/>
  <c r="NI8" i="25"/>
  <c r="NJ8" i="25" s="1"/>
  <c r="ND8" i="25"/>
  <c r="NE8" i="25" s="1"/>
  <c r="MY8" i="25"/>
  <c r="MZ8" i="25" s="1"/>
  <c r="MR8" i="25"/>
  <c r="MS8" i="25" s="1"/>
  <c r="MM8" i="25"/>
  <c r="MN8" i="25" s="1"/>
  <c r="MH8" i="25"/>
  <c r="MA8" i="25"/>
  <c r="MB8" i="25" s="1"/>
  <c r="LV8" i="25"/>
  <c r="LW8" i="25" s="1"/>
  <c r="LQ8" i="25"/>
  <c r="LR8" i="25" s="1"/>
  <c r="LJ8" i="25"/>
  <c r="LK8" i="25" s="1"/>
  <c r="LE8" i="25"/>
  <c r="KZ8" i="25"/>
  <c r="LA8" i="25" s="1"/>
  <c r="KS8" i="25"/>
  <c r="KT8" i="25" s="1"/>
  <c r="KO8" i="25"/>
  <c r="KN8" i="25"/>
  <c r="KI8" i="25"/>
  <c r="KJ8" i="25" s="1"/>
  <c r="KB8" i="25"/>
  <c r="KC8" i="25" s="1"/>
  <c r="JW8" i="25"/>
  <c r="JX8" i="25" s="1"/>
  <c r="JR8" i="25"/>
  <c r="JS8" i="25" s="1"/>
  <c r="JK8" i="25"/>
  <c r="JL8" i="25" s="1"/>
  <c r="JF8" i="25"/>
  <c r="JG8" i="25" s="1"/>
  <c r="JA8" i="25"/>
  <c r="JB8" i="25" s="1"/>
  <c r="IT8" i="25"/>
  <c r="IU8" i="25" s="1"/>
  <c r="IO8" i="25"/>
  <c r="IP8" i="25" s="1"/>
  <c r="IJ8" i="25"/>
  <c r="IK8" i="25" s="1"/>
  <c r="IC8" i="25"/>
  <c r="ID8" i="25" s="1"/>
  <c r="HX8" i="25"/>
  <c r="HY8" i="25" s="1"/>
  <c r="HS8" i="25"/>
  <c r="HT8" i="25" s="1"/>
  <c r="HL8" i="25"/>
  <c r="HM8" i="25" s="1"/>
  <c r="HG8" i="25"/>
  <c r="HH8" i="25" s="1"/>
  <c r="HB8" i="25"/>
  <c r="GU8" i="25"/>
  <c r="GV8" i="25" s="1"/>
  <c r="GQ8" i="25"/>
  <c r="GP8" i="25"/>
  <c r="GK8" i="25"/>
  <c r="GL8" i="25" s="1"/>
  <c r="GD8" i="25"/>
  <c r="GE8" i="25" s="1"/>
  <c r="FY8" i="25"/>
  <c r="FT8" i="25"/>
  <c r="FU8" i="25" s="1"/>
  <c r="FM8" i="25"/>
  <c r="FN8" i="25" s="1"/>
  <c r="FH8" i="25"/>
  <c r="FI8" i="25" s="1"/>
  <c r="FC8" i="25"/>
  <c r="FD8" i="25" s="1"/>
  <c r="EV8" i="25"/>
  <c r="EW8" i="25" s="1"/>
  <c r="EQ8" i="25"/>
  <c r="ER8" i="25" s="1"/>
  <c r="EL8" i="25"/>
  <c r="EE8" i="25"/>
  <c r="EF8" i="25" s="1"/>
  <c r="DZ8" i="25"/>
  <c r="EA8" i="25" s="1"/>
  <c r="DU8" i="25"/>
  <c r="DV8" i="25" s="1"/>
  <c r="DN8" i="25"/>
  <c r="DO8" i="25" s="1"/>
  <c r="DI8" i="25"/>
  <c r="DJ8" i="25" s="1"/>
  <c r="DD8" i="25"/>
  <c r="DE8" i="25" s="1"/>
  <c r="CW8" i="25"/>
  <c r="CX8" i="25" s="1"/>
  <c r="CR8" i="25"/>
  <c r="CS8" i="25" s="1"/>
  <c r="CM8" i="25"/>
  <c r="CN8" i="25" s="1"/>
  <c r="CF8" i="25"/>
  <c r="CG8" i="25" s="1"/>
  <c r="CA8" i="25"/>
  <c r="CB8" i="25" s="1"/>
  <c r="BV8" i="25"/>
  <c r="BO8" i="25"/>
  <c r="BP8" i="25" s="1"/>
  <c r="BK8" i="25"/>
  <c r="BJ8" i="25"/>
  <c r="BE8" i="25"/>
  <c r="BF8" i="25" s="1"/>
  <c r="AX8" i="25"/>
  <c r="AY8" i="25" s="1"/>
  <c r="AS8" i="25"/>
  <c r="AT8" i="25" s="1"/>
  <c r="AN8" i="25"/>
  <c r="AO8" i="25" s="1"/>
  <c r="AG8" i="25"/>
  <c r="AH8" i="25" s="1"/>
  <c r="AB8" i="25"/>
  <c r="AC8" i="25" s="1"/>
  <c r="W8" i="25"/>
  <c r="X8" i="25" s="1"/>
  <c r="P8" i="25"/>
  <c r="Q8" i="25" s="1"/>
  <c r="K8" i="25"/>
  <c r="L8" i="25" s="1"/>
  <c r="F8" i="25"/>
  <c r="G8" i="25" s="1"/>
  <c r="SQ7" i="25"/>
  <c r="SR7" i="25" s="1"/>
  <c r="SO7" i="25"/>
  <c r="SP7" i="25" s="1"/>
  <c r="SJ7" i="25"/>
  <c r="SK7" i="25" s="1"/>
  <c r="SE7" i="25"/>
  <c r="SF7" i="25" s="1"/>
  <c r="RZ7" i="25"/>
  <c r="SA7" i="25" s="1"/>
  <c r="RX7" i="25"/>
  <c r="RY7" i="25" s="1"/>
  <c r="RS7" i="25"/>
  <c r="RT7" i="25" s="1"/>
  <c r="RN7" i="25"/>
  <c r="RO7" i="25" s="1"/>
  <c r="RI7" i="25"/>
  <c r="RJ7" i="25" s="1"/>
  <c r="RG7" i="25"/>
  <c r="RH7" i="25" s="1"/>
  <c r="RB7" i="25"/>
  <c r="RC7" i="25" s="1"/>
  <c r="QW7" i="25"/>
  <c r="QX7" i="25" s="1"/>
  <c r="QR7" i="25"/>
  <c r="QS7" i="25" s="1"/>
  <c r="QP7" i="25"/>
  <c r="QQ7" i="25" s="1"/>
  <c r="QK7" i="25"/>
  <c r="QL7" i="25" s="1"/>
  <c r="QF7" i="25"/>
  <c r="QG7" i="25" s="1"/>
  <c r="QA7" i="25"/>
  <c r="QB7" i="25" s="1"/>
  <c r="PY7" i="25"/>
  <c r="PZ7" i="25" s="1"/>
  <c r="PT7" i="25"/>
  <c r="PU7" i="25" s="1"/>
  <c r="PO7" i="25"/>
  <c r="PP7" i="25" s="1"/>
  <c r="PJ7" i="25"/>
  <c r="PK7" i="25" s="1"/>
  <c r="PH7" i="25"/>
  <c r="PI7" i="25" s="1"/>
  <c r="PC7" i="25"/>
  <c r="PD7" i="25" s="1"/>
  <c r="OX7" i="25"/>
  <c r="OY7" i="25" s="1"/>
  <c r="OS7" i="25"/>
  <c r="OT7" i="25" s="1"/>
  <c r="OQ7" i="25"/>
  <c r="OR7" i="25" s="1"/>
  <c r="OL7" i="25"/>
  <c r="OM7" i="25" s="1"/>
  <c r="OG7" i="25"/>
  <c r="OH7" i="25" s="1"/>
  <c r="OB7" i="25"/>
  <c r="OC7" i="25" s="1"/>
  <c r="NZ7" i="25"/>
  <c r="OA7" i="25" s="1"/>
  <c r="NU7" i="25"/>
  <c r="NV7" i="25" s="1"/>
  <c r="NP7" i="25"/>
  <c r="NQ7" i="25" s="1"/>
  <c r="NK7" i="25"/>
  <c r="NL7" i="25" s="1"/>
  <c r="NI7" i="25"/>
  <c r="NJ7" i="25" s="1"/>
  <c r="ND7" i="25"/>
  <c r="NE7" i="25" s="1"/>
  <c r="MY7" i="25"/>
  <c r="MZ7" i="25" s="1"/>
  <c r="MT7" i="25"/>
  <c r="MU7" i="25" s="1"/>
  <c r="MR7" i="25"/>
  <c r="MS7" i="25" s="1"/>
  <c r="MM7" i="25"/>
  <c r="MN7" i="25" s="1"/>
  <c r="MH7" i="25"/>
  <c r="MI7" i="25" s="1"/>
  <c r="MC7" i="25"/>
  <c r="MD7" i="25" s="1"/>
  <c r="MA7" i="25"/>
  <c r="MB7" i="25" s="1"/>
  <c r="LV7" i="25"/>
  <c r="LW7" i="25" s="1"/>
  <c r="LQ7" i="25"/>
  <c r="LR7" i="25" s="1"/>
  <c r="LL7" i="25"/>
  <c r="LM7" i="25" s="1"/>
  <c r="LJ7" i="25"/>
  <c r="LK7" i="25" s="1"/>
  <c r="LE7" i="25"/>
  <c r="LF7" i="25" s="1"/>
  <c r="KZ7" i="25"/>
  <c r="LA7" i="25" s="1"/>
  <c r="KU7" i="25"/>
  <c r="KV7" i="25" s="1"/>
  <c r="KS7" i="25"/>
  <c r="KT7" i="25" s="1"/>
  <c r="KN7" i="25"/>
  <c r="KO7" i="25" s="1"/>
  <c r="KI7" i="25"/>
  <c r="KJ7" i="25" s="1"/>
  <c r="KD7" i="25"/>
  <c r="KE7" i="25" s="1"/>
  <c r="KB7" i="25"/>
  <c r="KC7" i="25" s="1"/>
  <c r="JW7" i="25"/>
  <c r="JX7" i="25" s="1"/>
  <c r="JR7" i="25"/>
  <c r="JS7" i="25" s="1"/>
  <c r="JM7" i="25"/>
  <c r="JN7" i="25" s="1"/>
  <c r="JK7" i="25"/>
  <c r="JL7" i="25" s="1"/>
  <c r="JF7" i="25"/>
  <c r="JG7" i="25" s="1"/>
  <c r="JA7" i="25"/>
  <c r="JB7" i="25" s="1"/>
  <c r="IV7" i="25"/>
  <c r="IW7" i="25" s="1"/>
  <c r="IT7" i="25"/>
  <c r="IU7" i="25" s="1"/>
  <c r="IO7" i="25"/>
  <c r="IP7" i="25" s="1"/>
  <c r="IJ7" i="25"/>
  <c r="IK7" i="25" s="1"/>
  <c r="IE7" i="25"/>
  <c r="IF7" i="25" s="1"/>
  <c r="IC7" i="25"/>
  <c r="ID7" i="25" s="1"/>
  <c r="HX7" i="25"/>
  <c r="HY7" i="25" s="1"/>
  <c r="HS7" i="25"/>
  <c r="HT7" i="25" s="1"/>
  <c r="HN7" i="25"/>
  <c r="HO7" i="25" s="1"/>
  <c r="HL7" i="25"/>
  <c r="HM7" i="25" s="1"/>
  <c r="HG7" i="25"/>
  <c r="HH7" i="25" s="1"/>
  <c r="HB7" i="25"/>
  <c r="HC7" i="25" s="1"/>
  <c r="GW7" i="25"/>
  <c r="GX7" i="25" s="1"/>
  <c r="GU7" i="25"/>
  <c r="GV7" i="25" s="1"/>
  <c r="GP7" i="25"/>
  <c r="GQ7" i="25" s="1"/>
  <c r="GK7" i="25"/>
  <c r="GL7" i="25" s="1"/>
  <c r="GF7" i="25"/>
  <c r="GG7" i="25" s="1"/>
  <c r="GD7" i="25"/>
  <c r="GE7" i="25" s="1"/>
  <c r="FY7" i="25"/>
  <c r="FZ7" i="25" s="1"/>
  <c r="FT7" i="25"/>
  <c r="FU7" i="25" s="1"/>
  <c r="FO7" i="25"/>
  <c r="FP7" i="25" s="1"/>
  <c r="FM7" i="25"/>
  <c r="FN7" i="25" s="1"/>
  <c r="FH7" i="25"/>
  <c r="FI7" i="25" s="1"/>
  <c r="FC7" i="25"/>
  <c r="FD7" i="25" s="1"/>
  <c r="EX7" i="25"/>
  <c r="EY7" i="25" s="1"/>
  <c r="EV7" i="25"/>
  <c r="EW7" i="25" s="1"/>
  <c r="EQ7" i="25"/>
  <c r="ER7" i="25" s="1"/>
  <c r="EL7" i="25"/>
  <c r="EM7" i="25" s="1"/>
  <c r="EG7" i="25"/>
  <c r="EH7" i="25" s="1"/>
  <c r="EE7" i="25"/>
  <c r="EF7" i="25" s="1"/>
  <c r="DZ7" i="25"/>
  <c r="EA7" i="25" s="1"/>
  <c r="DU7" i="25"/>
  <c r="DV7" i="25" s="1"/>
  <c r="DP7" i="25"/>
  <c r="DQ7" i="25" s="1"/>
  <c r="DN7" i="25"/>
  <c r="DO7" i="25" s="1"/>
  <c r="DI7" i="25"/>
  <c r="DJ7" i="25" s="1"/>
  <c r="DD7" i="25"/>
  <c r="DE7" i="25" s="1"/>
  <c r="CY7" i="25"/>
  <c r="CZ7" i="25" s="1"/>
  <c r="CW7" i="25"/>
  <c r="CX7" i="25" s="1"/>
  <c r="CR7" i="25"/>
  <c r="CS7" i="25" s="1"/>
  <c r="CM7" i="25"/>
  <c r="CN7" i="25" s="1"/>
  <c r="CH7" i="25"/>
  <c r="CI7" i="25" s="1"/>
  <c r="CF7" i="25"/>
  <c r="CG7" i="25" s="1"/>
  <c r="CA7" i="25"/>
  <c r="CB7" i="25" s="1"/>
  <c r="BV7" i="25"/>
  <c r="BW7" i="25" s="1"/>
  <c r="BQ7" i="25"/>
  <c r="BR7" i="25" s="1"/>
  <c r="BO7" i="25"/>
  <c r="BP7" i="25" s="1"/>
  <c r="BJ7" i="25"/>
  <c r="BK7" i="25" s="1"/>
  <c r="BE7" i="25"/>
  <c r="BF7" i="25" s="1"/>
  <c r="AZ7" i="25"/>
  <c r="BA7" i="25" s="1"/>
  <c r="AX7" i="25"/>
  <c r="AY7" i="25" s="1"/>
  <c r="AS7" i="25"/>
  <c r="AT7" i="25" s="1"/>
  <c r="AN7" i="25"/>
  <c r="AO7" i="25" s="1"/>
  <c r="AI7" i="25"/>
  <c r="AJ7" i="25" s="1"/>
  <c r="AG7" i="25"/>
  <c r="AH7" i="25" s="1"/>
  <c r="AB7" i="25"/>
  <c r="AC7" i="25" s="1"/>
  <c r="W7" i="25"/>
  <c r="X7" i="25" s="1"/>
  <c r="R7" i="25"/>
  <c r="S7" i="25" s="1"/>
  <c r="P7" i="25"/>
  <c r="Q7" i="25" s="1"/>
  <c r="K7" i="25"/>
  <c r="L7" i="25" s="1"/>
  <c r="F7" i="25"/>
  <c r="G7" i="25" s="1"/>
  <c r="SO6" i="25"/>
  <c r="SP6" i="25" s="1"/>
  <c r="SJ6" i="25"/>
  <c r="SK6" i="25" s="1"/>
  <c r="SE6" i="25"/>
  <c r="SF6" i="25" s="1"/>
  <c r="RX6" i="25"/>
  <c r="RY6" i="25" s="1"/>
  <c r="RS6" i="25"/>
  <c r="RT6" i="25" s="1"/>
  <c r="RN6" i="25"/>
  <c r="RO6" i="25" s="1"/>
  <c r="RG6" i="25"/>
  <c r="RH6" i="25" s="1"/>
  <c r="RB6" i="25"/>
  <c r="RC6" i="25" s="1"/>
  <c r="QW6" i="25"/>
  <c r="QX6" i="25" s="1"/>
  <c r="QP6" i="25"/>
  <c r="QQ6" i="25" s="1"/>
  <c r="QK6" i="25"/>
  <c r="QL6" i="25" s="1"/>
  <c r="QF6" i="25"/>
  <c r="QG6" i="25" s="1"/>
  <c r="PY6" i="25"/>
  <c r="PZ6" i="25" s="1"/>
  <c r="PT6" i="25"/>
  <c r="PU6" i="25" s="1"/>
  <c r="PO6" i="25"/>
  <c r="PP6" i="25" s="1"/>
  <c r="PH6" i="25"/>
  <c r="PI6" i="25" s="1"/>
  <c r="PC6" i="25"/>
  <c r="PD6" i="25" s="1"/>
  <c r="OX6" i="25"/>
  <c r="OY6" i="25" s="1"/>
  <c r="OQ6" i="25"/>
  <c r="OR6" i="25" s="1"/>
  <c r="OL6" i="25"/>
  <c r="OM6" i="25" s="1"/>
  <c r="OG6" i="25"/>
  <c r="OH6" i="25" s="1"/>
  <c r="NZ6" i="25"/>
  <c r="OA6" i="25" s="1"/>
  <c r="NU6" i="25"/>
  <c r="NV6" i="25" s="1"/>
  <c r="NP6" i="25"/>
  <c r="NQ6" i="25" s="1"/>
  <c r="NI6" i="25"/>
  <c r="NJ6" i="25" s="1"/>
  <c r="ND6" i="25"/>
  <c r="NE6" i="25" s="1"/>
  <c r="MY6" i="25"/>
  <c r="MZ6" i="25" s="1"/>
  <c r="MR6" i="25"/>
  <c r="MS6" i="25" s="1"/>
  <c r="MM6" i="25"/>
  <c r="MN6" i="25" s="1"/>
  <c r="MH6" i="25"/>
  <c r="MI6" i="25" s="1"/>
  <c r="MA6" i="25"/>
  <c r="MB6" i="25" s="1"/>
  <c r="LV6" i="25"/>
  <c r="LW6" i="25" s="1"/>
  <c r="LQ6" i="25"/>
  <c r="LR6" i="25" s="1"/>
  <c r="LJ6" i="25"/>
  <c r="LK6" i="25" s="1"/>
  <c r="LE6" i="25"/>
  <c r="LF6" i="25" s="1"/>
  <c r="KZ6" i="25"/>
  <c r="LA6" i="25" s="1"/>
  <c r="KS6" i="25"/>
  <c r="KT6" i="25" s="1"/>
  <c r="KN6" i="25"/>
  <c r="KO6" i="25" s="1"/>
  <c r="KI6" i="25"/>
  <c r="KJ6" i="25" s="1"/>
  <c r="KB6" i="25"/>
  <c r="KC6" i="25" s="1"/>
  <c r="JW6" i="25"/>
  <c r="JX6" i="25" s="1"/>
  <c r="JR6" i="25"/>
  <c r="JS6" i="25" s="1"/>
  <c r="JK6" i="25"/>
  <c r="JL6" i="25" s="1"/>
  <c r="JF6" i="25"/>
  <c r="JG6" i="25" s="1"/>
  <c r="JA6" i="25"/>
  <c r="JB6" i="25" s="1"/>
  <c r="IT6" i="25"/>
  <c r="IU6" i="25" s="1"/>
  <c r="IO6" i="25"/>
  <c r="IP6" i="25" s="1"/>
  <c r="IJ6" i="25"/>
  <c r="IK6" i="25" s="1"/>
  <c r="IC6" i="25"/>
  <c r="ID6" i="25" s="1"/>
  <c r="HX6" i="25"/>
  <c r="HY6" i="25" s="1"/>
  <c r="HS6" i="25"/>
  <c r="HT6" i="25" s="1"/>
  <c r="HL6" i="25"/>
  <c r="HM6" i="25" s="1"/>
  <c r="HG6" i="25"/>
  <c r="HH6" i="25" s="1"/>
  <c r="HB6" i="25"/>
  <c r="HC6" i="25" s="1"/>
  <c r="GU6" i="25"/>
  <c r="GV6" i="25" s="1"/>
  <c r="GP6" i="25"/>
  <c r="GQ6" i="25" s="1"/>
  <c r="GK6" i="25"/>
  <c r="GL6" i="25" s="1"/>
  <c r="GD6" i="25"/>
  <c r="GE6" i="25" s="1"/>
  <c r="FY6" i="25"/>
  <c r="FZ6" i="25" s="1"/>
  <c r="FT6" i="25"/>
  <c r="FU6" i="25" s="1"/>
  <c r="FM6" i="25"/>
  <c r="FN6" i="25" s="1"/>
  <c r="FH6" i="25"/>
  <c r="FI6" i="25" s="1"/>
  <c r="FC6" i="25"/>
  <c r="FD6" i="25" s="1"/>
  <c r="EV6" i="25"/>
  <c r="EW6" i="25" s="1"/>
  <c r="EQ6" i="25"/>
  <c r="ER6" i="25" s="1"/>
  <c r="EL6" i="25"/>
  <c r="EM6" i="25" s="1"/>
  <c r="EE6" i="25"/>
  <c r="EF6" i="25" s="1"/>
  <c r="DZ6" i="25"/>
  <c r="EA6" i="25" s="1"/>
  <c r="DU6" i="25"/>
  <c r="DV6" i="25" s="1"/>
  <c r="DN6" i="25"/>
  <c r="DO6" i="25" s="1"/>
  <c r="DI6" i="25"/>
  <c r="DJ6" i="25" s="1"/>
  <c r="DD6" i="25"/>
  <c r="DE6" i="25" s="1"/>
  <c r="CW6" i="25"/>
  <c r="CX6" i="25" s="1"/>
  <c r="CR6" i="25"/>
  <c r="CS6" i="25" s="1"/>
  <c r="CM6" i="25"/>
  <c r="CN6" i="25" s="1"/>
  <c r="CF6" i="25"/>
  <c r="CG6" i="25" s="1"/>
  <c r="CA6" i="25"/>
  <c r="CB6" i="25" s="1"/>
  <c r="BV6" i="25"/>
  <c r="BW6" i="25" s="1"/>
  <c r="BO6" i="25"/>
  <c r="BP6" i="25" s="1"/>
  <c r="BJ6" i="25"/>
  <c r="BK6" i="25" s="1"/>
  <c r="BE6" i="25"/>
  <c r="BF6" i="25" s="1"/>
  <c r="AX6" i="25"/>
  <c r="AY6" i="25" s="1"/>
  <c r="AS6" i="25"/>
  <c r="AT6" i="25" s="1"/>
  <c r="AN6" i="25"/>
  <c r="AO6" i="25" s="1"/>
  <c r="AG6" i="25"/>
  <c r="AH6" i="25" s="1"/>
  <c r="AB6" i="25"/>
  <c r="AC6" i="25" s="1"/>
  <c r="W6" i="25"/>
  <c r="X6" i="25" s="1"/>
  <c r="P6" i="25"/>
  <c r="Q6" i="25" s="1"/>
  <c r="K6" i="25"/>
  <c r="L6" i="25" s="1"/>
  <c r="F6" i="25"/>
  <c r="G6" i="25" s="1"/>
  <c r="SO5" i="25"/>
  <c r="SP5" i="25" s="1"/>
  <c r="SJ5" i="25"/>
  <c r="SK5" i="25" s="1"/>
  <c r="SE5" i="25"/>
  <c r="SF5" i="25" s="1"/>
  <c r="RX5" i="25"/>
  <c r="RY5" i="25" s="1"/>
  <c r="RS5" i="25"/>
  <c r="RT5" i="25" s="1"/>
  <c r="RN5" i="25"/>
  <c r="RO5" i="25" s="1"/>
  <c r="RG5" i="25"/>
  <c r="RH5" i="25" s="1"/>
  <c r="RB5" i="25"/>
  <c r="RC5" i="25" s="1"/>
  <c r="QW5" i="25"/>
  <c r="QX5" i="25" s="1"/>
  <c r="QP5" i="25"/>
  <c r="QQ5" i="25" s="1"/>
  <c r="QK5" i="25"/>
  <c r="QL5" i="25" s="1"/>
  <c r="QF5" i="25"/>
  <c r="QG5" i="25" s="1"/>
  <c r="PY5" i="25"/>
  <c r="PZ5" i="25" s="1"/>
  <c r="PT5" i="25"/>
  <c r="PU5" i="25" s="1"/>
  <c r="PO5" i="25"/>
  <c r="PP5" i="25" s="1"/>
  <c r="PH5" i="25"/>
  <c r="PI5" i="25" s="1"/>
  <c r="PC5" i="25"/>
  <c r="PD5" i="25" s="1"/>
  <c r="OX5" i="25"/>
  <c r="OY5" i="25" s="1"/>
  <c r="OQ5" i="25"/>
  <c r="OR5" i="25" s="1"/>
  <c r="OL5" i="25"/>
  <c r="OM5" i="25" s="1"/>
  <c r="OG5" i="25"/>
  <c r="OH5" i="25" s="1"/>
  <c r="NZ5" i="25"/>
  <c r="OA5" i="25" s="1"/>
  <c r="NU5" i="25"/>
  <c r="NV5" i="25" s="1"/>
  <c r="NP5" i="25"/>
  <c r="NQ5" i="25" s="1"/>
  <c r="NI5" i="25"/>
  <c r="NJ5" i="25" s="1"/>
  <c r="ND5" i="25"/>
  <c r="NE5" i="25" s="1"/>
  <c r="MY5" i="25"/>
  <c r="MZ5" i="25" s="1"/>
  <c r="MR5" i="25"/>
  <c r="MS5" i="25" s="1"/>
  <c r="MM5" i="25"/>
  <c r="MN5" i="25" s="1"/>
  <c r="MH5" i="25"/>
  <c r="MI5" i="25" s="1"/>
  <c r="MA5" i="25"/>
  <c r="MB5" i="25" s="1"/>
  <c r="LV5" i="25"/>
  <c r="LW5" i="25" s="1"/>
  <c r="LQ5" i="25"/>
  <c r="LR5" i="25" s="1"/>
  <c r="LJ5" i="25"/>
  <c r="LK5" i="25" s="1"/>
  <c r="LE5" i="25"/>
  <c r="LF5" i="25" s="1"/>
  <c r="KZ5" i="25"/>
  <c r="LA5" i="25" s="1"/>
  <c r="KS5" i="25"/>
  <c r="KT5" i="25" s="1"/>
  <c r="KN5" i="25"/>
  <c r="KO5" i="25" s="1"/>
  <c r="KI5" i="25"/>
  <c r="KJ5" i="25" s="1"/>
  <c r="KB5" i="25"/>
  <c r="KC5" i="25" s="1"/>
  <c r="JW5" i="25"/>
  <c r="JX5" i="25" s="1"/>
  <c r="JR5" i="25"/>
  <c r="JS5" i="25" s="1"/>
  <c r="JK5" i="25"/>
  <c r="JL5" i="25" s="1"/>
  <c r="JF5" i="25"/>
  <c r="JG5" i="25" s="1"/>
  <c r="JA5" i="25"/>
  <c r="JB5" i="25" s="1"/>
  <c r="IT5" i="25"/>
  <c r="IU5" i="25" s="1"/>
  <c r="IO5" i="25"/>
  <c r="IP5" i="25" s="1"/>
  <c r="IJ5" i="25"/>
  <c r="IK5" i="25" s="1"/>
  <c r="IC5" i="25"/>
  <c r="ID5" i="25" s="1"/>
  <c r="HX5" i="25"/>
  <c r="HY5" i="25" s="1"/>
  <c r="HS5" i="25"/>
  <c r="HT5" i="25" s="1"/>
  <c r="HL5" i="25"/>
  <c r="HM5" i="25" s="1"/>
  <c r="HG5" i="25"/>
  <c r="HH5" i="25" s="1"/>
  <c r="HB5" i="25"/>
  <c r="GU5" i="25"/>
  <c r="GV5" i="25" s="1"/>
  <c r="GP5" i="25"/>
  <c r="GQ5" i="25" s="1"/>
  <c r="GK5" i="25"/>
  <c r="GD5" i="25"/>
  <c r="GF5" i="25" s="1"/>
  <c r="GG5" i="25" s="1"/>
  <c r="FY5" i="25"/>
  <c r="FZ5" i="25" s="1"/>
  <c r="FU5" i="25"/>
  <c r="FT5" i="25"/>
  <c r="FM5" i="25"/>
  <c r="FN5" i="25" s="1"/>
  <c r="FH5" i="25"/>
  <c r="FI5" i="25" s="1"/>
  <c r="FC5" i="25"/>
  <c r="EV5" i="25"/>
  <c r="EW5" i="25" s="1"/>
  <c r="EQ5" i="25"/>
  <c r="ER5" i="25" s="1"/>
  <c r="EL5" i="25"/>
  <c r="EX5" i="25" s="1"/>
  <c r="EY5" i="25" s="1"/>
  <c r="EE5" i="25"/>
  <c r="EF5" i="25" s="1"/>
  <c r="DZ5" i="25"/>
  <c r="EA5" i="25" s="1"/>
  <c r="DU5" i="25"/>
  <c r="DN5" i="25"/>
  <c r="DO5" i="25" s="1"/>
  <c r="DI5" i="25"/>
  <c r="DJ5" i="25" s="1"/>
  <c r="DD5" i="25"/>
  <c r="DE5" i="25" s="1"/>
  <c r="CW5" i="25"/>
  <c r="CX5" i="25" s="1"/>
  <c r="CR5" i="25"/>
  <c r="CS5" i="25" s="1"/>
  <c r="CM5" i="25"/>
  <c r="CG5" i="25"/>
  <c r="CF5" i="25"/>
  <c r="CA5" i="25"/>
  <c r="CB5" i="25" s="1"/>
  <c r="BV5" i="25"/>
  <c r="BO5" i="25"/>
  <c r="BP5" i="25" s="1"/>
  <c r="BJ5" i="25"/>
  <c r="BK5" i="25" s="1"/>
  <c r="BE5" i="25"/>
  <c r="AX5" i="25"/>
  <c r="AY5" i="25" s="1"/>
  <c r="AS5" i="25"/>
  <c r="AT5" i="25" s="1"/>
  <c r="AN5" i="25"/>
  <c r="AO5" i="25" s="1"/>
  <c r="AG5" i="25"/>
  <c r="AH5" i="25" s="1"/>
  <c r="AB5" i="25"/>
  <c r="AC5" i="25" s="1"/>
  <c r="W5" i="25"/>
  <c r="Q5" i="25"/>
  <c r="P5" i="25"/>
  <c r="K5" i="25"/>
  <c r="L5" i="25" s="1"/>
  <c r="F5" i="25"/>
  <c r="SQ4" i="25"/>
  <c r="SR4" i="25" s="1"/>
  <c r="SO4" i="25"/>
  <c r="SP4" i="25" s="1"/>
  <c r="SJ4" i="25"/>
  <c r="SK4" i="25" s="1"/>
  <c r="SE4" i="25"/>
  <c r="SF4" i="25" s="1"/>
  <c r="RZ4" i="25"/>
  <c r="SA4" i="25" s="1"/>
  <c r="RX4" i="25"/>
  <c r="RY4" i="25" s="1"/>
  <c r="RS4" i="25"/>
  <c r="RT4" i="25" s="1"/>
  <c r="RN4" i="25"/>
  <c r="RO4" i="25" s="1"/>
  <c r="RI4" i="25"/>
  <c r="RJ4" i="25" s="1"/>
  <c r="RG4" i="25"/>
  <c r="RH4" i="25" s="1"/>
  <c r="RB4" i="25"/>
  <c r="RC4" i="25" s="1"/>
  <c r="QW4" i="25"/>
  <c r="QX4" i="25" s="1"/>
  <c r="QR4" i="25"/>
  <c r="QS4" i="25" s="1"/>
  <c r="QQ4" i="25"/>
  <c r="QP4" i="25"/>
  <c r="QK4" i="25"/>
  <c r="QL4" i="25" s="1"/>
  <c r="QF4" i="25"/>
  <c r="QG4" i="25" s="1"/>
  <c r="QA4" i="25"/>
  <c r="QB4" i="25" s="1"/>
  <c r="PY4" i="25"/>
  <c r="PZ4" i="25" s="1"/>
  <c r="PT4" i="25"/>
  <c r="PU4" i="25" s="1"/>
  <c r="PO4" i="25"/>
  <c r="PP4" i="25" s="1"/>
  <c r="PJ4" i="25"/>
  <c r="PK4" i="25" s="1"/>
  <c r="PH4" i="25"/>
  <c r="PI4" i="25" s="1"/>
  <c r="PC4" i="25"/>
  <c r="PD4" i="25" s="1"/>
  <c r="OX4" i="25"/>
  <c r="OY4" i="25" s="1"/>
  <c r="OS4" i="25"/>
  <c r="OT4" i="25" s="1"/>
  <c r="OQ4" i="25"/>
  <c r="OR4" i="25" s="1"/>
  <c r="OL4" i="25"/>
  <c r="OM4" i="25" s="1"/>
  <c r="OG4" i="25"/>
  <c r="OH4" i="25" s="1"/>
  <c r="OB4" i="25"/>
  <c r="OC4" i="25" s="1"/>
  <c r="OA4" i="25"/>
  <c r="NZ4" i="25"/>
  <c r="NU4" i="25"/>
  <c r="NV4" i="25" s="1"/>
  <c r="NP4" i="25"/>
  <c r="NQ4" i="25" s="1"/>
  <c r="NK4" i="25"/>
  <c r="NL4" i="25" s="1"/>
  <c r="NI4" i="25"/>
  <c r="NJ4" i="25" s="1"/>
  <c r="ND4" i="25"/>
  <c r="NE4" i="25" s="1"/>
  <c r="MY4" i="25"/>
  <c r="MZ4" i="25" s="1"/>
  <c r="MT4" i="25"/>
  <c r="MU4" i="25" s="1"/>
  <c r="MR4" i="25"/>
  <c r="MS4" i="25" s="1"/>
  <c r="MM4" i="25"/>
  <c r="MN4" i="25" s="1"/>
  <c r="MH4" i="25"/>
  <c r="MI4" i="25" s="1"/>
  <c r="MC4" i="25"/>
  <c r="MD4" i="25" s="1"/>
  <c r="MA4" i="25"/>
  <c r="MB4" i="25" s="1"/>
  <c r="LV4" i="25"/>
  <c r="LW4" i="25" s="1"/>
  <c r="LQ4" i="25"/>
  <c r="LR4" i="25" s="1"/>
  <c r="LL4" i="25"/>
  <c r="LM4" i="25" s="1"/>
  <c r="LK4" i="25"/>
  <c r="LJ4" i="25"/>
  <c r="LE4" i="25"/>
  <c r="LF4" i="25" s="1"/>
  <c r="KZ4" i="25"/>
  <c r="LA4" i="25" s="1"/>
  <c r="KU4" i="25"/>
  <c r="KV4" i="25" s="1"/>
  <c r="KS4" i="25"/>
  <c r="KT4" i="25" s="1"/>
  <c r="KN4" i="25"/>
  <c r="KO4" i="25" s="1"/>
  <c r="KI4" i="25"/>
  <c r="KJ4" i="25" s="1"/>
  <c r="KD4" i="25"/>
  <c r="KE4" i="25" s="1"/>
  <c r="KB4" i="25"/>
  <c r="KC4" i="25" s="1"/>
  <c r="JW4" i="25"/>
  <c r="JX4" i="25" s="1"/>
  <c r="JR4" i="25"/>
  <c r="JS4" i="25" s="1"/>
  <c r="JM4" i="25"/>
  <c r="JN4" i="25" s="1"/>
  <c r="JK4" i="25"/>
  <c r="JL4" i="25" s="1"/>
  <c r="JF4" i="25"/>
  <c r="JG4" i="25" s="1"/>
  <c r="JA4" i="25"/>
  <c r="JB4" i="25" s="1"/>
  <c r="IV4" i="25"/>
  <c r="IW4" i="25" s="1"/>
  <c r="IU4" i="25"/>
  <c r="IT4" i="25"/>
  <c r="IO4" i="25"/>
  <c r="IP4" i="25" s="1"/>
  <c r="IJ4" i="25"/>
  <c r="IK4" i="25" s="1"/>
  <c r="IE4" i="25"/>
  <c r="IF4" i="25" s="1"/>
  <c r="IC4" i="25"/>
  <c r="ID4" i="25" s="1"/>
  <c r="HX4" i="25"/>
  <c r="HY4" i="25" s="1"/>
  <c r="HS4" i="25"/>
  <c r="HT4" i="25" s="1"/>
  <c r="HN4" i="25"/>
  <c r="HO4" i="25" s="1"/>
  <c r="HL4" i="25"/>
  <c r="HM4" i="25" s="1"/>
  <c r="HG4" i="25"/>
  <c r="HH4" i="25" s="1"/>
  <c r="HB4" i="25"/>
  <c r="HC4" i="25" s="1"/>
  <c r="GW4" i="25"/>
  <c r="GX4" i="25" s="1"/>
  <c r="GU4" i="25"/>
  <c r="GV4" i="25" s="1"/>
  <c r="GP4" i="25"/>
  <c r="GQ4" i="25" s="1"/>
  <c r="GK4" i="25"/>
  <c r="GL4" i="25" s="1"/>
  <c r="GF4" i="25"/>
  <c r="GG4" i="25" s="1"/>
  <c r="GE4" i="25"/>
  <c r="GD4" i="25"/>
  <c r="FY4" i="25"/>
  <c r="FZ4" i="25" s="1"/>
  <c r="FT4" i="25"/>
  <c r="FU4" i="25" s="1"/>
  <c r="FO4" i="25"/>
  <c r="FP4" i="25" s="1"/>
  <c r="FM4" i="25"/>
  <c r="FN4" i="25" s="1"/>
  <c r="FH4" i="25"/>
  <c r="FI4" i="25" s="1"/>
  <c r="FC4" i="25"/>
  <c r="FD4" i="25" s="1"/>
  <c r="EX4" i="25"/>
  <c r="EY4" i="25" s="1"/>
  <c r="EV4" i="25"/>
  <c r="EW4" i="25" s="1"/>
  <c r="EQ4" i="25"/>
  <c r="ER4" i="25" s="1"/>
  <c r="EL4" i="25"/>
  <c r="EM4" i="25" s="1"/>
  <c r="EG4" i="25"/>
  <c r="EH4" i="25" s="1"/>
  <c r="EE4" i="25"/>
  <c r="EF4" i="25" s="1"/>
  <c r="DZ4" i="25"/>
  <c r="EA4" i="25" s="1"/>
  <c r="DU4" i="25"/>
  <c r="DV4" i="25" s="1"/>
  <c r="DP4" i="25"/>
  <c r="DQ4" i="25" s="1"/>
  <c r="DO4" i="25"/>
  <c r="DN4" i="25"/>
  <c r="DI4" i="25"/>
  <c r="DJ4" i="25" s="1"/>
  <c r="DD4" i="25"/>
  <c r="DE4" i="25" s="1"/>
  <c r="CY4" i="25"/>
  <c r="CZ4" i="25" s="1"/>
  <c r="CW4" i="25"/>
  <c r="CX4" i="25" s="1"/>
  <c r="CR4" i="25"/>
  <c r="CS4" i="25" s="1"/>
  <c r="CM4" i="25"/>
  <c r="CN4" i="25" s="1"/>
  <c r="CH4" i="25"/>
  <c r="CI4" i="25" s="1"/>
  <c r="CF4" i="25"/>
  <c r="CG4" i="25" s="1"/>
  <c r="CA4" i="25"/>
  <c r="CB4" i="25" s="1"/>
  <c r="BV4" i="25"/>
  <c r="BW4" i="25" s="1"/>
  <c r="BQ4" i="25"/>
  <c r="BR4" i="25" s="1"/>
  <c r="BO4" i="25"/>
  <c r="BP4" i="25" s="1"/>
  <c r="BJ4" i="25"/>
  <c r="BK4" i="25" s="1"/>
  <c r="BE4" i="25"/>
  <c r="BF4" i="25" s="1"/>
  <c r="AZ4" i="25"/>
  <c r="BA4" i="25" s="1"/>
  <c r="AY4" i="25"/>
  <c r="AX4" i="25"/>
  <c r="AS4" i="25"/>
  <c r="AT4" i="25" s="1"/>
  <c r="AN4" i="25"/>
  <c r="AO4" i="25" s="1"/>
  <c r="AI4" i="25"/>
  <c r="AJ4" i="25" s="1"/>
  <c r="AG4" i="25"/>
  <c r="AH4" i="25" s="1"/>
  <c r="AB4" i="25"/>
  <c r="AC4" i="25" s="1"/>
  <c r="W4" i="25"/>
  <c r="X4" i="25" s="1"/>
  <c r="R4" i="25"/>
  <c r="S4" i="25" s="1"/>
  <c r="P4" i="25"/>
  <c r="Q4" i="25" s="1"/>
  <c r="K4" i="25"/>
  <c r="L4" i="25" s="1"/>
  <c r="F4" i="25"/>
  <c r="G4" i="25" s="1"/>
  <c r="AF3" i="25"/>
  <c r="AW3" i="25" s="1"/>
  <c r="BN3" i="25" s="1"/>
  <c r="CE3" i="25" s="1"/>
  <c r="CV3" i="25" s="1"/>
  <c r="DM3" i="25" s="1"/>
  <c r="ED3" i="25" s="1"/>
  <c r="EU3" i="25" s="1"/>
  <c r="FL3" i="25" s="1"/>
  <c r="GC3" i="25" s="1"/>
  <c r="GT3" i="25" s="1"/>
  <c r="HK3" i="25" s="1"/>
  <c r="IB3" i="25" s="1"/>
  <c r="IS3" i="25" s="1"/>
  <c r="JJ3" i="25" s="1"/>
  <c r="KA3" i="25" s="1"/>
  <c r="KR3" i="25" s="1"/>
  <c r="LI3" i="25" s="1"/>
  <c r="LZ3" i="25" s="1"/>
  <c r="MQ3" i="25" s="1"/>
  <c r="NH3" i="25" s="1"/>
  <c r="NY3" i="25" s="1"/>
  <c r="OP3" i="25" s="1"/>
  <c r="PG3" i="25" s="1"/>
  <c r="PX3" i="25" s="1"/>
  <c r="QO3" i="25" s="1"/>
  <c r="RF3" i="25" s="1"/>
  <c r="RW3" i="25" s="1"/>
  <c r="SN3" i="25" s="1"/>
  <c r="AE3" i="25"/>
  <c r="AV3" i="25" s="1"/>
  <c r="BM3" i="25" s="1"/>
  <c r="CD3" i="25" s="1"/>
  <c r="CU3" i="25" s="1"/>
  <c r="DL3" i="25" s="1"/>
  <c r="EC3" i="25" s="1"/>
  <c r="ET3" i="25" s="1"/>
  <c r="FK3" i="25" s="1"/>
  <c r="GB3" i="25" s="1"/>
  <c r="GS3" i="25" s="1"/>
  <c r="HJ3" i="25" s="1"/>
  <c r="IA3" i="25" s="1"/>
  <c r="IR3" i="25" s="1"/>
  <c r="JI3" i="25" s="1"/>
  <c r="JZ3" i="25" s="1"/>
  <c r="KQ3" i="25" s="1"/>
  <c r="LH3" i="25" s="1"/>
  <c r="LY3" i="25" s="1"/>
  <c r="MP3" i="25" s="1"/>
  <c r="NG3" i="25" s="1"/>
  <c r="NX3" i="25" s="1"/>
  <c r="OO3" i="25" s="1"/>
  <c r="PF3" i="25" s="1"/>
  <c r="PW3" i="25" s="1"/>
  <c r="QN3" i="25" s="1"/>
  <c r="RE3" i="25" s="1"/>
  <c r="RV3" i="25" s="1"/>
  <c r="SM3" i="25" s="1"/>
  <c r="AD3" i="25"/>
  <c r="AU3" i="25" s="1"/>
  <c r="BL3" i="25" s="1"/>
  <c r="CC3" i="25" s="1"/>
  <c r="CT3" i="25" s="1"/>
  <c r="DK3" i="25" s="1"/>
  <c r="EB3" i="25" s="1"/>
  <c r="ES3" i="25" s="1"/>
  <c r="FJ3" i="25" s="1"/>
  <c r="GA3" i="25" s="1"/>
  <c r="GR3" i="25" s="1"/>
  <c r="HI3" i="25" s="1"/>
  <c r="HZ3" i="25" s="1"/>
  <c r="IQ3" i="25" s="1"/>
  <c r="JH3" i="25" s="1"/>
  <c r="JY3" i="25" s="1"/>
  <c r="KP3" i="25" s="1"/>
  <c r="LG3" i="25" s="1"/>
  <c r="LX3" i="25" s="1"/>
  <c r="MO3" i="25" s="1"/>
  <c r="NF3" i="25" s="1"/>
  <c r="NW3" i="25" s="1"/>
  <c r="ON3" i="25" s="1"/>
  <c r="PE3" i="25" s="1"/>
  <c r="PV3" i="25" s="1"/>
  <c r="QM3" i="25" s="1"/>
  <c r="RD3" i="25" s="1"/>
  <c r="RU3" i="25" s="1"/>
  <c r="SL3" i="25" s="1"/>
  <c r="AA3" i="25"/>
  <c r="AR3" i="25" s="1"/>
  <c r="BI3" i="25" s="1"/>
  <c r="BZ3" i="25" s="1"/>
  <c r="CQ3" i="25" s="1"/>
  <c r="DH3" i="25" s="1"/>
  <c r="DY3" i="25" s="1"/>
  <c r="EP3" i="25" s="1"/>
  <c r="FG3" i="25" s="1"/>
  <c r="FX3" i="25" s="1"/>
  <c r="GO3" i="25" s="1"/>
  <c r="HF3" i="25" s="1"/>
  <c r="HW3" i="25" s="1"/>
  <c r="IN3" i="25" s="1"/>
  <c r="JE3" i="25" s="1"/>
  <c r="JV3" i="25" s="1"/>
  <c r="KM3" i="25" s="1"/>
  <c r="LD3" i="25" s="1"/>
  <c r="LU3" i="25" s="1"/>
  <c r="ML3" i="25" s="1"/>
  <c r="NC3" i="25" s="1"/>
  <c r="NT3" i="25" s="1"/>
  <c r="OK3" i="25" s="1"/>
  <c r="PB3" i="25" s="1"/>
  <c r="PS3" i="25" s="1"/>
  <c r="QJ3" i="25" s="1"/>
  <c r="RA3" i="25" s="1"/>
  <c r="RR3" i="25" s="1"/>
  <c r="SI3" i="25" s="1"/>
  <c r="Z3" i="25"/>
  <c r="AQ3" i="25" s="1"/>
  <c r="BH3" i="25" s="1"/>
  <c r="BY3" i="25" s="1"/>
  <c r="CP3" i="25" s="1"/>
  <c r="DG3" i="25" s="1"/>
  <c r="DX3" i="25" s="1"/>
  <c r="EO3" i="25" s="1"/>
  <c r="FF3" i="25" s="1"/>
  <c r="FW3" i="25" s="1"/>
  <c r="GN3" i="25" s="1"/>
  <c r="HE3" i="25" s="1"/>
  <c r="HV3" i="25" s="1"/>
  <c r="IM3" i="25" s="1"/>
  <c r="JD3" i="25" s="1"/>
  <c r="JU3" i="25" s="1"/>
  <c r="KL3" i="25" s="1"/>
  <c r="LC3" i="25" s="1"/>
  <c r="LT3" i="25" s="1"/>
  <c r="MK3" i="25" s="1"/>
  <c r="NB3" i="25" s="1"/>
  <c r="NS3" i="25" s="1"/>
  <c r="OJ3" i="25" s="1"/>
  <c r="PA3" i="25" s="1"/>
  <c r="PR3" i="25" s="1"/>
  <c r="QI3" i="25" s="1"/>
  <c r="QZ3" i="25" s="1"/>
  <c r="RQ3" i="25" s="1"/>
  <c r="SH3" i="25" s="1"/>
  <c r="Y3" i="25"/>
  <c r="AP3" i="25" s="1"/>
  <c r="BG3" i="25" s="1"/>
  <c r="BX3" i="25" s="1"/>
  <c r="CO3" i="25" s="1"/>
  <c r="DF3" i="25" s="1"/>
  <c r="DW3" i="25" s="1"/>
  <c r="EN3" i="25" s="1"/>
  <c r="FE3" i="25" s="1"/>
  <c r="FV3" i="25" s="1"/>
  <c r="GM3" i="25" s="1"/>
  <c r="HD3" i="25" s="1"/>
  <c r="HU3" i="25" s="1"/>
  <c r="IL3" i="25" s="1"/>
  <c r="JC3" i="25" s="1"/>
  <c r="JT3" i="25" s="1"/>
  <c r="KK3" i="25" s="1"/>
  <c r="LB3" i="25" s="1"/>
  <c r="LS3" i="25" s="1"/>
  <c r="MJ3" i="25" s="1"/>
  <c r="NA3" i="25" s="1"/>
  <c r="NR3" i="25" s="1"/>
  <c r="OI3" i="25" s="1"/>
  <c r="OZ3" i="25" s="1"/>
  <c r="PQ3" i="25" s="1"/>
  <c r="QH3" i="25" s="1"/>
  <c r="QY3" i="25" s="1"/>
  <c r="RP3" i="25" s="1"/>
  <c r="SG3" i="25" s="1"/>
  <c r="V3" i="25"/>
  <c r="AM3" i="25" s="1"/>
  <c r="BD3" i="25" s="1"/>
  <c r="BU3" i="25" s="1"/>
  <c r="CL3" i="25" s="1"/>
  <c r="DC3" i="25" s="1"/>
  <c r="DT3" i="25" s="1"/>
  <c r="EK3" i="25" s="1"/>
  <c r="FB3" i="25" s="1"/>
  <c r="FS3" i="25" s="1"/>
  <c r="GJ3" i="25" s="1"/>
  <c r="HA3" i="25" s="1"/>
  <c r="HR3" i="25" s="1"/>
  <c r="II3" i="25" s="1"/>
  <c r="IZ3" i="25" s="1"/>
  <c r="JQ3" i="25" s="1"/>
  <c r="KH3" i="25" s="1"/>
  <c r="KY3" i="25" s="1"/>
  <c r="LP3" i="25" s="1"/>
  <c r="MG3" i="25" s="1"/>
  <c r="MX3" i="25" s="1"/>
  <c r="NO3" i="25" s="1"/>
  <c r="OF3" i="25" s="1"/>
  <c r="OW3" i="25" s="1"/>
  <c r="PN3" i="25" s="1"/>
  <c r="QE3" i="25" s="1"/>
  <c r="QV3" i="25" s="1"/>
  <c r="RM3" i="25" s="1"/>
  <c r="SD3" i="25" s="1"/>
  <c r="U3" i="25"/>
  <c r="AL3" i="25" s="1"/>
  <c r="BC3" i="25" s="1"/>
  <c r="BT3" i="25" s="1"/>
  <c r="CK3" i="25" s="1"/>
  <c r="DB3" i="25" s="1"/>
  <c r="DS3" i="25" s="1"/>
  <c r="EJ3" i="25" s="1"/>
  <c r="FA3" i="25" s="1"/>
  <c r="FR3" i="25" s="1"/>
  <c r="GI3" i="25" s="1"/>
  <c r="GZ3" i="25" s="1"/>
  <c r="HQ3" i="25" s="1"/>
  <c r="IH3" i="25" s="1"/>
  <c r="IY3" i="25" s="1"/>
  <c r="JP3" i="25" s="1"/>
  <c r="KG3" i="25" s="1"/>
  <c r="KX3" i="25" s="1"/>
  <c r="LO3" i="25" s="1"/>
  <c r="MF3" i="25" s="1"/>
  <c r="MW3" i="25" s="1"/>
  <c r="NN3" i="25" s="1"/>
  <c r="OE3" i="25" s="1"/>
  <c r="OV3" i="25" s="1"/>
  <c r="PM3" i="25" s="1"/>
  <c r="QD3" i="25" s="1"/>
  <c r="QU3" i="25" s="1"/>
  <c r="RL3" i="25" s="1"/>
  <c r="SC3" i="25" s="1"/>
  <c r="T3" i="25"/>
  <c r="AK3" i="25" s="1"/>
  <c r="BB3" i="25" s="1"/>
  <c r="BS3" i="25" s="1"/>
  <c r="CJ3" i="25" s="1"/>
  <c r="DA3" i="25" s="1"/>
  <c r="DR3" i="25" s="1"/>
  <c r="EI3" i="25" s="1"/>
  <c r="EZ3" i="25" s="1"/>
  <c r="FQ3" i="25" s="1"/>
  <c r="GH3" i="25" s="1"/>
  <c r="GY3" i="25" s="1"/>
  <c r="HP3" i="25" s="1"/>
  <c r="IG3" i="25" s="1"/>
  <c r="IX3" i="25" s="1"/>
  <c r="JO3" i="25" s="1"/>
  <c r="KF3" i="25" s="1"/>
  <c r="KW3" i="25" s="1"/>
  <c r="LN3" i="25" s="1"/>
  <c r="ME3" i="25" s="1"/>
  <c r="MV3" i="25" s="1"/>
  <c r="NM3" i="25" s="1"/>
  <c r="OD3" i="25" s="1"/>
  <c r="OU3" i="25" s="1"/>
  <c r="PL3" i="25" s="1"/>
  <c r="QC3" i="25" s="1"/>
  <c r="QT3" i="25" s="1"/>
  <c r="RK3" i="25" s="1"/>
  <c r="SB3" i="25" s="1"/>
  <c r="T1" i="25"/>
  <c r="NK15" i="25" l="1"/>
  <c r="NL15" i="25" s="1"/>
  <c r="MC15" i="25"/>
  <c r="MD15" i="25" s="1"/>
  <c r="QA15" i="25"/>
  <c r="QB15" i="25" s="1"/>
  <c r="DP5" i="25"/>
  <c r="DQ5" i="25" s="1"/>
  <c r="MT16" i="25"/>
  <c r="MU16" i="25" s="1"/>
  <c r="CH5" i="25"/>
  <c r="CI5" i="25" s="1"/>
  <c r="CY5" i="25"/>
  <c r="CZ5" i="25" s="1"/>
  <c r="AZ17" i="25"/>
  <c r="BA17" i="25" s="1"/>
  <c r="EX17" i="25"/>
  <c r="EY17" i="25" s="1"/>
  <c r="LL17" i="25"/>
  <c r="LM17" i="25" s="1"/>
  <c r="CY19" i="25"/>
  <c r="CZ19" i="25" s="1"/>
  <c r="DP19" i="25"/>
  <c r="DQ19" i="25" s="1"/>
  <c r="QR19" i="25"/>
  <c r="QS19" i="25" s="1"/>
  <c r="SF19" i="25"/>
  <c r="HN5" i="25"/>
  <c r="HO5" i="25" s="1"/>
  <c r="PJ11" i="25"/>
  <c r="PK11" i="25" s="1"/>
  <c r="KD16" i="25"/>
  <c r="KE16" i="25" s="1"/>
  <c r="DP17" i="25"/>
  <c r="DQ17" i="25" s="1"/>
  <c r="KD17" i="25"/>
  <c r="KE17" i="25" s="1"/>
  <c r="OB17" i="25"/>
  <c r="OC17" i="25" s="1"/>
  <c r="RZ17" i="25"/>
  <c r="SA17" i="25" s="1"/>
  <c r="BQ19" i="25"/>
  <c r="BR19" i="25" s="1"/>
  <c r="CH19" i="25"/>
  <c r="CI19" i="25" s="1"/>
  <c r="GF19" i="25"/>
  <c r="GG19" i="25" s="1"/>
  <c r="IV19" i="25"/>
  <c r="IW19" i="25" s="1"/>
  <c r="MT19" i="25"/>
  <c r="MU19" i="25" s="1"/>
  <c r="R5" i="25"/>
  <c r="S5" i="25" s="1"/>
  <c r="IV8" i="25"/>
  <c r="IW8" i="25" s="1"/>
  <c r="IV16" i="25"/>
  <c r="IW16" i="25" s="1"/>
  <c r="JM16" i="25"/>
  <c r="JN16" i="25" s="1"/>
  <c r="GF17" i="25"/>
  <c r="GG17" i="25" s="1"/>
  <c r="MT17" i="25"/>
  <c r="MU17" i="25" s="1"/>
  <c r="QR17" i="25"/>
  <c r="QS17" i="25" s="1"/>
  <c r="RO17" i="25"/>
  <c r="BF19" i="25"/>
  <c r="IE19" i="25"/>
  <c r="IF19" i="25" s="1"/>
  <c r="LL19" i="25"/>
  <c r="LM19" i="25" s="1"/>
  <c r="MI19" i="25"/>
  <c r="GW19" i="25"/>
  <c r="GX19" i="25" s="1"/>
  <c r="AI5" i="25"/>
  <c r="AJ5" i="25" s="1"/>
  <c r="AZ5" i="25"/>
  <c r="BA5" i="25" s="1"/>
  <c r="BQ5" i="25"/>
  <c r="BR5" i="25" s="1"/>
  <c r="BW5" i="25"/>
  <c r="GW5" i="25"/>
  <c r="GX5" i="25" s="1"/>
  <c r="HC5" i="25"/>
  <c r="KD11" i="25"/>
  <c r="KE11" i="25" s="1"/>
  <c r="IK16" i="25"/>
  <c r="RO16" i="25"/>
  <c r="DE17" i="25"/>
  <c r="IK17" i="25"/>
  <c r="LA17" i="25"/>
  <c r="NQ17" i="25"/>
  <c r="QG17" i="25"/>
  <c r="G19" i="25"/>
  <c r="AZ19" i="25"/>
  <c r="BA19" i="25" s="1"/>
  <c r="LA19" i="25"/>
  <c r="QG19" i="25"/>
  <c r="OB19" i="25"/>
  <c r="OC19" i="25" s="1"/>
  <c r="G5" i="25"/>
  <c r="EG5" i="25"/>
  <c r="EH5" i="25" s="1"/>
  <c r="EM5" i="25"/>
  <c r="GE5" i="25"/>
  <c r="OB8" i="25"/>
  <c r="OC8" i="25" s="1"/>
  <c r="JM15" i="25"/>
  <c r="JN15" i="25" s="1"/>
  <c r="KU15" i="25"/>
  <c r="KV15" i="25" s="1"/>
  <c r="LW15" i="25"/>
  <c r="NE15" i="25"/>
  <c r="OM15" i="25"/>
  <c r="PU15" i="25"/>
  <c r="NQ16" i="25"/>
  <c r="PI16" i="25"/>
  <c r="AO17" i="25"/>
  <c r="FU17" i="25"/>
  <c r="JS17" i="25"/>
  <c r="MI17" i="25"/>
  <c r="OY17" i="25"/>
  <c r="EM19" i="25"/>
  <c r="HT19" i="25"/>
  <c r="KD19" i="25"/>
  <c r="KE19" i="25" s="1"/>
  <c r="PJ19" i="25"/>
  <c r="PK19" i="25" s="1"/>
  <c r="FO5" i="25"/>
  <c r="FP5" i="25" s="1"/>
  <c r="KD6" i="25"/>
  <c r="KE6" i="25" s="1"/>
  <c r="KU6" i="25"/>
  <c r="KV6" i="25" s="1"/>
  <c r="LL6" i="25"/>
  <c r="LM6" i="25" s="1"/>
  <c r="MC6" i="25"/>
  <c r="MD6" i="25" s="1"/>
  <c r="MT6" i="25"/>
  <c r="MU6" i="25" s="1"/>
  <c r="NK6" i="25"/>
  <c r="NL6" i="25" s="1"/>
  <c r="OB6" i="25"/>
  <c r="OC6" i="25" s="1"/>
  <c r="OS6" i="25"/>
  <c r="OT6" i="25" s="1"/>
  <c r="PJ6" i="25"/>
  <c r="PK6" i="25" s="1"/>
  <c r="QA6" i="25"/>
  <c r="QB6" i="25" s="1"/>
  <c r="QR6" i="25"/>
  <c r="QS6" i="25" s="1"/>
  <c r="RI6" i="25"/>
  <c r="RJ6" i="25" s="1"/>
  <c r="RZ6" i="25"/>
  <c r="SA6" i="25" s="1"/>
  <c r="SQ6" i="25"/>
  <c r="SR6" i="25" s="1"/>
  <c r="EX11" i="25"/>
  <c r="EY11" i="25" s="1"/>
  <c r="MT15" i="25"/>
  <c r="MU15" i="25" s="1"/>
  <c r="OB15" i="25"/>
  <c r="OC15" i="25" s="1"/>
  <c r="PJ15" i="25"/>
  <c r="PK15" i="25" s="1"/>
  <c r="OS16" i="25"/>
  <c r="OT16" i="25" s="1"/>
  <c r="HN17" i="25"/>
  <c r="HO17" i="25" s="1"/>
  <c r="BB1" i="31"/>
  <c r="BS1" i="29"/>
  <c r="BB1" i="27"/>
  <c r="R11" i="25"/>
  <c r="S11" i="25" s="1"/>
  <c r="BF20" i="25"/>
  <c r="CB20" i="25"/>
  <c r="CX20" i="25"/>
  <c r="ER20" i="25"/>
  <c r="HH20" i="25"/>
  <c r="JB20" i="25"/>
  <c r="JX20" i="25"/>
  <c r="KT20" i="25"/>
  <c r="MN20" i="25"/>
  <c r="NJ20" i="25"/>
  <c r="PD20" i="25"/>
  <c r="PZ20" i="25"/>
  <c r="QX20" i="25"/>
  <c r="RT20" i="25"/>
  <c r="SP20" i="25"/>
  <c r="G20" i="25"/>
  <c r="AC20" i="25"/>
  <c r="CS20" i="25"/>
  <c r="DO20" i="25"/>
  <c r="EM20" i="25"/>
  <c r="GE20" i="25"/>
  <c r="HY20" i="25"/>
  <c r="IU20" i="25"/>
  <c r="JS20" i="25"/>
  <c r="KO20" i="25"/>
  <c r="LK20" i="25"/>
  <c r="MI20" i="25"/>
  <c r="NE20" i="25"/>
  <c r="OY20" i="25"/>
  <c r="QQ20" i="25"/>
  <c r="SK20" i="25"/>
  <c r="AY20" i="25"/>
  <c r="BW20" i="25"/>
  <c r="FI20" i="25"/>
  <c r="HC20" i="25"/>
  <c r="OA20" i="25"/>
  <c r="PU20" i="25"/>
  <c r="RO20" i="25"/>
  <c r="L20" i="25"/>
  <c r="AH20" i="25"/>
  <c r="DV20" i="25"/>
  <c r="FN20" i="25"/>
  <c r="GL20" i="25"/>
  <c r="ID20" i="25"/>
  <c r="LR20" i="25"/>
  <c r="OH20" i="25"/>
  <c r="BW8" i="25"/>
  <c r="CH8" i="25"/>
  <c r="CI8" i="25" s="1"/>
  <c r="EM8" i="25"/>
  <c r="EX8" i="25"/>
  <c r="EY8" i="25" s="1"/>
  <c r="IE5" i="25"/>
  <c r="IF5" i="25" s="1"/>
  <c r="IV5" i="25"/>
  <c r="IW5" i="25" s="1"/>
  <c r="JM5" i="25"/>
  <c r="JN5" i="25" s="1"/>
  <c r="KD5" i="25"/>
  <c r="KE5" i="25" s="1"/>
  <c r="KU5" i="25"/>
  <c r="KV5" i="25" s="1"/>
  <c r="LL5" i="25"/>
  <c r="LM5" i="25" s="1"/>
  <c r="MC5" i="25"/>
  <c r="MD5" i="25" s="1"/>
  <c r="MT5" i="25"/>
  <c r="MU5" i="25" s="1"/>
  <c r="NK5" i="25"/>
  <c r="NL5" i="25" s="1"/>
  <c r="OB5" i="25"/>
  <c r="OC5" i="25" s="1"/>
  <c r="OS5" i="25"/>
  <c r="OT5" i="25" s="1"/>
  <c r="PJ5" i="25"/>
  <c r="PK5" i="25" s="1"/>
  <c r="QA5" i="25"/>
  <c r="QB5" i="25" s="1"/>
  <c r="QR5" i="25"/>
  <c r="QS5" i="25" s="1"/>
  <c r="RI5" i="25"/>
  <c r="RJ5" i="25" s="1"/>
  <c r="RZ5" i="25"/>
  <c r="SA5" i="25" s="1"/>
  <c r="SQ5" i="25"/>
  <c r="SR5" i="25" s="1"/>
  <c r="R6" i="25"/>
  <c r="S6" i="25" s="1"/>
  <c r="AI6" i="25"/>
  <c r="AJ6" i="25" s="1"/>
  <c r="AZ6" i="25"/>
  <c r="BA6" i="25" s="1"/>
  <c r="BQ6" i="25"/>
  <c r="BR6" i="25" s="1"/>
  <c r="CH6" i="25"/>
  <c r="CI6" i="25" s="1"/>
  <c r="CY6" i="25"/>
  <c r="CZ6" i="25" s="1"/>
  <c r="DP6" i="25"/>
  <c r="DQ6" i="25" s="1"/>
  <c r="EG6" i="25"/>
  <c r="EH6" i="25" s="1"/>
  <c r="EX6" i="25"/>
  <c r="EY6" i="25" s="1"/>
  <c r="FO6" i="25"/>
  <c r="FP6" i="25" s="1"/>
  <c r="GF6" i="25"/>
  <c r="GG6" i="25" s="1"/>
  <c r="GW6" i="25"/>
  <c r="GX6" i="25" s="1"/>
  <c r="HN6" i="25"/>
  <c r="HO6" i="25" s="1"/>
  <c r="IE6" i="25"/>
  <c r="IF6" i="25" s="1"/>
  <c r="IV6" i="25"/>
  <c r="IW6" i="25" s="1"/>
  <c r="JM6" i="25"/>
  <c r="JN6" i="25" s="1"/>
  <c r="FZ8" i="25"/>
  <c r="GF8" i="25"/>
  <c r="GG8" i="25" s="1"/>
  <c r="MI8" i="25"/>
  <c r="MT8" i="25"/>
  <c r="MU8" i="25" s="1"/>
  <c r="AK1" i="25"/>
  <c r="X5" i="25"/>
  <c r="BF5" i="25"/>
  <c r="CN5" i="25"/>
  <c r="DV5" i="25"/>
  <c r="FD5" i="25"/>
  <c r="GL5" i="25"/>
  <c r="AZ8" i="25"/>
  <c r="BA8" i="25" s="1"/>
  <c r="DP8" i="25"/>
  <c r="DQ8" i="25" s="1"/>
  <c r="HC8" i="25"/>
  <c r="HN8" i="25"/>
  <c r="HO8" i="25" s="1"/>
  <c r="LF8" i="25"/>
  <c r="LL8" i="25"/>
  <c r="LM8" i="25" s="1"/>
  <c r="QR8" i="25"/>
  <c r="QS8" i="25" s="1"/>
  <c r="CH11" i="25"/>
  <c r="CI11" i="25" s="1"/>
  <c r="HN11" i="25"/>
  <c r="HO11" i="25" s="1"/>
  <c r="MT11" i="25"/>
  <c r="MU11" i="25" s="1"/>
  <c r="RZ11" i="25"/>
  <c r="SA11" i="25" s="1"/>
  <c r="AI8" i="25"/>
  <c r="AJ8" i="25" s="1"/>
  <c r="RZ8" i="25"/>
  <c r="SA8" i="25" s="1"/>
  <c r="DP11" i="25"/>
  <c r="DQ11" i="25" s="1"/>
  <c r="IV11" i="25"/>
  <c r="IW11" i="25" s="1"/>
  <c r="OB11" i="25"/>
  <c r="OC11" i="25" s="1"/>
  <c r="R8" i="25"/>
  <c r="S8" i="25" s="1"/>
  <c r="KD8" i="25"/>
  <c r="KE8" i="25" s="1"/>
  <c r="PJ8" i="25"/>
  <c r="PK8" i="25" s="1"/>
  <c r="AZ11" i="25"/>
  <c r="BA11" i="25" s="1"/>
  <c r="GF11" i="25"/>
  <c r="GG11" i="25" s="1"/>
  <c r="LL11" i="25"/>
  <c r="LM11" i="25" s="1"/>
  <c r="QR11" i="25"/>
  <c r="QS11" i="25" s="1"/>
  <c r="R13" i="25"/>
  <c r="S13" i="25" s="1"/>
  <c r="AZ13" i="25"/>
  <c r="BA13" i="25" s="1"/>
  <c r="CH13" i="25"/>
  <c r="CI13" i="25" s="1"/>
  <c r="DP13" i="25"/>
  <c r="DQ13" i="25" s="1"/>
  <c r="EX13" i="25"/>
  <c r="EY13" i="25" s="1"/>
  <c r="GF13" i="25"/>
  <c r="GG13" i="25" s="1"/>
  <c r="HN13" i="25"/>
  <c r="HO13" i="25" s="1"/>
  <c r="IV13" i="25"/>
  <c r="IW13" i="25" s="1"/>
  <c r="KD13" i="25"/>
  <c r="KE13" i="25" s="1"/>
  <c r="LL13" i="25"/>
  <c r="LM13" i="25" s="1"/>
  <c r="MT13" i="25"/>
  <c r="MU13" i="25" s="1"/>
  <c r="OB13" i="25"/>
  <c r="OC13" i="25" s="1"/>
  <c r="PJ13" i="25"/>
  <c r="PK13" i="25" s="1"/>
  <c r="QR13" i="25"/>
  <c r="QS13" i="25" s="1"/>
  <c r="RZ13" i="25"/>
  <c r="SA13" i="25" s="1"/>
  <c r="R15" i="25"/>
  <c r="S15" i="25" s="1"/>
  <c r="AZ15" i="25"/>
  <c r="BA15" i="25" s="1"/>
  <c r="CH15" i="25"/>
  <c r="CI15" i="25" s="1"/>
  <c r="DP15" i="25"/>
  <c r="DQ15" i="25" s="1"/>
  <c r="EX15" i="25"/>
  <c r="EY15" i="25" s="1"/>
  <c r="GF15" i="25"/>
  <c r="GG15" i="25" s="1"/>
  <c r="HN15" i="25"/>
  <c r="HO15" i="25" s="1"/>
  <c r="IV15" i="25"/>
  <c r="IW15" i="25" s="1"/>
  <c r="KD15" i="25"/>
  <c r="KE15" i="25" s="1"/>
  <c r="LL16" i="25"/>
  <c r="LM16" i="25" s="1"/>
  <c r="LA16" i="25"/>
  <c r="RC16" i="25"/>
  <c r="RI16" i="25"/>
  <c r="RJ16" i="25" s="1"/>
  <c r="R17" i="25"/>
  <c r="S17" i="25" s="1"/>
  <c r="G17" i="25"/>
  <c r="CS17" i="25"/>
  <c r="CY17" i="25"/>
  <c r="CZ17" i="25" s="1"/>
  <c r="LL15" i="25"/>
  <c r="LM15" i="25" s="1"/>
  <c r="GW16" i="25"/>
  <c r="GX16" i="25" s="1"/>
  <c r="GL16" i="25"/>
  <c r="BQ8" i="25"/>
  <c r="BR8" i="25" s="1"/>
  <c r="CY8" i="25"/>
  <c r="CZ8" i="25" s="1"/>
  <c r="EG8" i="25"/>
  <c r="EH8" i="25" s="1"/>
  <c r="FO8" i="25"/>
  <c r="FP8" i="25" s="1"/>
  <c r="GW8" i="25"/>
  <c r="GX8" i="25" s="1"/>
  <c r="IE8" i="25"/>
  <c r="IF8" i="25" s="1"/>
  <c r="JM8" i="25"/>
  <c r="JN8" i="25" s="1"/>
  <c r="KU8" i="25"/>
  <c r="KV8" i="25" s="1"/>
  <c r="MC8" i="25"/>
  <c r="MD8" i="25" s="1"/>
  <c r="NK8" i="25"/>
  <c r="NL8" i="25" s="1"/>
  <c r="OS8" i="25"/>
  <c r="OT8" i="25" s="1"/>
  <c r="QA8" i="25"/>
  <c r="QB8" i="25" s="1"/>
  <c r="RI8" i="25"/>
  <c r="RJ8" i="25" s="1"/>
  <c r="SQ8" i="25"/>
  <c r="SR8" i="25" s="1"/>
  <c r="AI11" i="25"/>
  <c r="AJ11" i="25" s="1"/>
  <c r="BQ11" i="25"/>
  <c r="BR11" i="25" s="1"/>
  <c r="CY11" i="25"/>
  <c r="CZ11" i="25" s="1"/>
  <c r="EG11" i="25"/>
  <c r="EH11" i="25" s="1"/>
  <c r="FO11" i="25"/>
  <c r="FP11" i="25" s="1"/>
  <c r="GW11" i="25"/>
  <c r="GX11" i="25" s="1"/>
  <c r="IE11" i="25"/>
  <c r="IF11" i="25" s="1"/>
  <c r="JM11" i="25"/>
  <c r="JN11" i="25" s="1"/>
  <c r="KU11" i="25"/>
  <c r="KV11" i="25" s="1"/>
  <c r="MC11" i="25"/>
  <c r="MD11" i="25" s="1"/>
  <c r="NK11" i="25"/>
  <c r="NL11" i="25" s="1"/>
  <c r="OS11" i="25"/>
  <c r="OT11" i="25" s="1"/>
  <c r="QA11" i="25"/>
  <c r="QB11" i="25" s="1"/>
  <c r="RI11" i="25"/>
  <c r="RJ11" i="25" s="1"/>
  <c r="SQ11" i="25"/>
  <c r="SR11" i="25" s="1"/>
  <c r="AI13" i="25"/>
  <c r="AJ13" i="25" s="1"/>
  <c r="BQ13" i="25"/>
  <c r="BR13" i="25" s="1"/>
  <c r="CY13" i="25"/>
  <c r="CZ13" i="25" s="1"/>
  <c r="EG13" i="25"/>
  <c r="EH13" i="25" s="1"/>
  <c r="FO13" i="25"/>
  <c r="FP13" i="25" s="1"/>
  <c r="GW13" i="25"/>
  <c r="GX13" i="25" s="1"/>
  <c r="IE13" i="25"/>
  <c r="IF13" i="25" s="1"/>
  <c r="JM13" i="25"/>
  <c r="JN13" i="25" s="1"/>
  <c r="KU13" i="25"/>
  <c r="KV13" i="25" s="1"/>
  <c r="MC13" i="25"/>
  <c r="MD13" i="25" s="1"/>
  <c r="NK13" i="25"/>
  <c r="NL13" i="25" s="1"/>
  <c r="OS13" i="25"/>
  <c r="OT13" i="25" s="1"/>
  <c r="QA13" i="25"/>
  <c r="QB13" i="25" s="1"/>
  <c r="RI13" i="25"/>
  <c r="RJ13" i="25" s="1"/>
  <c r="SQ13" i="25"/>
  <c r="SR13" i="25" s="1"/>
  <c r="AI15" i="25"/>
  <c r="AJ15" i="25" s="1"/>
  <c r="BQ15" i="25"/>
  <c r="BR15" i="25" s="1"/>
  <c r="CY15" i="25"/>
  <c r="CZ15" i="25" s="1"/>
  <c r="EG15" i="25"/>
  <c r="EH15" i="25" s="1"/>
  <c r="FO15" i="25"/>
  <c r="FP15" i="25" s="1"/>
  <c r="GW15" i="25"/>
  <c r="GX15" i="25" s="1"/>
  <c r="IE15" i="25"/>
  <c r="IF15" i="25" s="1"/>
  <c r="QR16" i="25"/>
  <c r="QS16" i="25" s="1"/>
  <c r="QG16" i="25"/>
  <c r="AC17" i="25"/>
  <c r="AI17" i="25"/>
  <c r="AJ17" i="25" s="1"/>
  <c r="CH17" i="25"/>
  <c r="CI17" i="25" s="1"/>
  <c r="BW17" i="25"/>
  <c r="RI15" i="25"/>
  <c r="RJ15" i="25" s="1"/>
  <c r="SQ15" i="25"/>
  <c r="SR15" i="25" s="1"/>
  <c r="AI16" i="25"/>
  <c r="AJ16" i="25" s="1"/>
  <c r="BQ16" i="25"/>
  <c r="BR16" i="25" s="1"/>
  <c r="CY16" i="25"/>
  <c r="CZ16" i="25" s="1"/>
  <c r="EG16" i="25"/>
  <c r="EH16" i="25" s="1"/>
  <c r="GF16" i="25"/>
  <c r="GG16" i="25" s="1"/>
  <c r="FU16" i="25"/>
  <c r="NK16" i="25"/>
  <c r="NL16" i="25" s="1"/>
  <c r="SQ17" i="25"/>
  <c r="SR17" i="25" s="1"/>
  <c r="SP17" i="25"/>
  <c r="FI17" i="25"/>
  <c r="FO17" i="25"/>
  <c r="FP17" i="25" s="1"/>
  <c r="QR15" i="25"/>
  <c r="QS15" i="25" s="1"/>
  <c r="RZ15" i="25"/>
  <c r="SA15" i="25" s="1"/>
  <c r="R16" i="25"/>
  <c r="S16" i="25" s="1"/>
  <c r="AZ16" i="25"/>
  <c r="BA16" i="25" s="1"/>
  <c r="CH16" i="25"/>
  <c r="CI16" i="25" s="1"/>
  <c r="DP16" i="25"/>
  <c r="DQ16" i="25" s="1"/>
  <c r="EX16" i="25"/>
  <c r="EY16" i="25" s="1"/>
  <c r="EM16" i="25"/>
  <c r="HN16" i="25"/>
  <c r="HO16" i="25" s="1"/>
  <c r="HC16" i="25"/>
  <c r="KU16" i="25"/>
  <c r="KV16" i="25" s="1"/>
  <c r="QA16" i="25"/>
  <c r="QB16" i="25" s="1"/>
  <c r="EM17" i="25"/>
  <c r="HC17" i="25"/>
  <c r="FO16" i="25"/>
  <c r="FP16" i="25" s="1"/>
  <c r="FD16" i="25"/>
  <c r="IE16" i="25"/>
  <c r="IF16" i="25" s="1"/>
  <c r="HT16" i="25"/>
  <c r="MC16" i="25"/>
  <c r="MD16" i="25" s="1"/>
  <c r="SK16" i="25"/>
  <c r="SQ16" i="25"/>
  <c r="SR16" i="25" s="1"/>
  <c r="BK17" i="25"/>
  <c r="BQ17" i="25"/>
  <c r="BR17" i="25" s="1"/>
  <c r="EA17" i="25"/>
  <c r="EG17" i="25"/>
  <c r="EH17" i="25" s="1"/>
  <c r="GQ17" i="25"/>
  <c r="GW17" i="25"/>
  <c r="GX17" i="25" s="1"/>
  <c r="RI17" i="25"/>
  <c r="RJ17" i="25" s="1"/>
  <c r="RH17" i="25"/>
  <c r="AI19" i="25"/>
  <c r="AJ19" i="25" s="1"/>
  <c r="DE19" i="25"/>
  <c r="FO19" i="25"/>
  <c r="FP19" i="25" s="1"/>
  <c r="IK19" i="25"/>
  <c r="KU19" i="25"/>
  <c r="KV19" i="25" s="1"/>
  <c r="NK19" i="25"/>
  <c r="NL19" i="25" s="1"/>
  <c r="QA19" i="25"/>
  <c r="QB19" i="25" s="1"/>
  <c r="JB16" i="25"/>
  <c r="KJ16" i="25"/>
  <c r="LR16" i="25"/>
  <c r="MZ16" i="25"/>
  <c r="OH16" i="25"/>
  <c r="PP16" i="25"/>
  <c r="IE17" i="25"/>
  <c r="IF17" i="25" s="1"/>
  <c r="JM17" i="25"/>
  <c r="JN17" i="25" s="1"/>
  <c r="KU17" i="25"/>
  <c r="KV17" i="25" s="1"/>
  <c r="MC17" i="25"/>
  <c r="MD17" i="25" s="1"/>
  <c r="NK17" i="25"/>
  <c r="NL17" i="25" s="1"/>
  <c r="OS17" i="25"/>
  <c r="OT17" i="25" s="1"/>
  <c r="QA17" i="25"/>
  <c r="QB17" i="25" s="1"/>
  <c r="BW19" i="25"/>
  <c r="EG19" i="25"/>
  <c r="EH19" i="25" s="1"/>
  <c r="HC19" i="25"/>
  <c r="JM19" i="25"/>
  <c r="JN19" i="25" s="1"/>
  <c r="AO19" i="25"/>
  <c r="FU19" i="25"/>
  <c r="MC19" i="25"/>
  <c r="MD19" i="25" s="1"/>
  <c r="OS19" i="25"/>
  <c r="OT19" i="25" s="1"/>
  <c r="RI19" i="25"/>
  <c r="RJ19" i="25" s="1"/>
  <c r="RZ19" i="25"/>
  <c r="SA19" i="25" s="1"/>
  <c r="RY19" i="25"/>
  <c r="X20" i="25"/>
  <c r="Q20" i="25"/>
  <c r="AT20" i="25"/>
  <c r="BP20" i="25"/>
  <c r="CN20" i="25"/>
  <c r="DJ20" i="25"/>
  <c r="EF20" i="25"/>
  <c r="FD20" i="25"/>
  <c r="FZ20" i="25"/>
  <c r="GV20" i="25"/>
  <c r="HT20" i="25"/>
  <c r="IP20" i="25"/>
  <c r="JL20" i="25"/>
  <c r="KJ20" i="25"/>
  <c r="LF20" i="25"/>
  <c r="MB20" i="25"/>
  <c r="MZ20" i="25"/>
  <c r="NV20" i="25"/>
  <c r="OR20" i="25"/>
  <c r="PP20" i="25"/>
  <c r="QL20" i="25"/>
  <c r="RH20" i="25"/>
  <c r="SF20" i="25"/>
  <c r="AO20" i="25"/>
  <c r="BK20" i="25"/>
  <c r="CG20" i="25"/>
  <c r="DE20" i="25"/>
  <c r="EA20" i="25"/>
  <c r="EW20" i="25"/>
  <c r="FU20" i="25"/>
  <c r="GQ20" i="25"/>
  <c r="HM20" i="25"/>
  <c r="IK20" i="25"/>
  <c r="JG20" i="25"/>
  <c r="KC20" i="25"/>
  <c r="LA20" i="25"/>
  <c r="LW20" i="25"/>
  <c r="MS20" i="25"/>
  <c r="NQ20" i="25"/>
  <c r="OM20" i="25"/>
  <c r="PI20" i="25"/>
  <c r="QG20" i="25"/>
  <c r="RC20" i="25"/>
  <c r="RY20" i="25"/>
  <c r="SN20" i="14"/>
  <c r="SM20" i="14"/>
  <c r="SL20" i="14"/>
  <c r="SI20" i="14"/>
  <c r="SH20" i="14"/>
  <c r="SG20" i="14"/>
  <c r="SD20" i="14"/>
  <c r="SC20" i="14"/>
  <c r="SB20" i="14"/>
  <c r="SO19" i="14"/>
  <c r="SP19" i="14" s="1"/>
  <c r="SJ19" i="14"/>
  <c r="SK19" i="14" s="1"/>
  <c r="SE19" i="14"/>
  <c r="SQ18" i="14"/>
  <c r="SR18" i="14" s="1"/>
  <c r="SO18" i="14"/>
  <c r="SP18" i="14" s="1"/>
  <c r="SJ18" i="14"/>
  <c r="SK18" i="14" s="1"/>
  <c r="SE18" i="14"/>
  <c r="SF18" i="14" s="1"/>
  <c r="SO17" i="14"/>
  <c r="SP17" i="14" s="1"/>
  <c r="SJ17" i="14"/>
  <c r="SK17" i="14" s="1"/>
  <c r="SE17" i="14"/>
  <c r="SO16" i="14"/>
  <c r="SP16" i="14" s="1"/>
  <c r="SJ16" i="14"/>
  <c r="SK16" i="14" s="1"/>
  <c r="SE16" i="14"/>
  <c r="SO15" i="14"/>
  <c r="SP15" i="14" s="1"/>
  <c r="SJ15" i="14"/>
  <c r="SK15" i="14" s="1"/>
  <c r="SE15" i="14"/>
  <c r="SQ14" i="14"/>
  <c r="SR14" i="14" s="1"/>
  <c r="SO14" i="14"/>
  <c r="SP14" i="14" s="1"/>
  <c r="SJ14" i="14"/>
  <c r="SK14" i="14" s="1"/>
  <c r="SE14" i="14"/>
  <c r="SF14" i="14" s="1"/>
  <c r="SO13" i="14"/>
  <c r="SP13" i="14" s="1"/>
  <c r="SJ13" i="14"/>
  <c r="SK13" i="14" s="1"/>
  <c r="SE13" i="14"/>
  <c r="SQ12" i="14"/>
  <c r="SR12" i="14" s="1"/>
  <c r="SO12" i="14"/>
  <c r="SP12" i="14" s="1"/>
  <c r="SJ12" i="14"/>
  <c r="SK12" i="14" s="1"/>
  <c r="SE12" i="14"/>
  <c r="SF12" i="14" s="1"/>
  <c r="SO11" i="14"/>
  <c r="SP11" i="14" s="1"/>
  <c r="SJ11" i="14"/>
  <c r="SK11" i="14" s="1"/>
  <c r="SE11" i="14"/>
  <c r="SO8" i="14"/>
  <c r="SP8" i="14" s="1"/>
  <c r="SJ8" i="14"/>
  <c r="SK8" i="14" s="1"/>
  <c r="SE8" i="14"/>
  <c r="SQ7" i="14"/>
  <c r="SR7" i="14" s="1"/>
  <c r="SO7" i="14"/>
  <c r="SP7" i="14" s="1"/>
  <c r="SJ7" i="14"/>
  <c r="SK7" i="14" s="1"/>
  <c r="SE7" i="14"/>
  <c r="SF7" i="14" s="1"/>
  <c r="SO6" i="14"/>
  <c r="SP6" i="14" s="1"/>
  <c r="SJ6" i="14"/>
  <c r="SK6" i="14" s="1"/>
  <c r="SE6" i="14"/>
  <c r="SO5" i="14"/>
  <c r="SP5" i="14" s="1"/>
  <c r="SJ5" i="14"/>
  <c r="SK5" i="14" s="1"/>
  <c r="SE5" i="14"/>
  <c r="SQ4" i="14"/>
  <c r="SR4" i="14" s="1"/>
  <c r="SO4" i="14"/>
  <c r="SP4" i="14" s="1"/>
  <c r="SJ4" i="14"/>
  <c r="SK4" i="14" s="1"/>
  <c r="SE4" i="14"/>
  <c r="SF4" i="14" s="1"/>
  <c r="RW20" i="14"/>
  <c r="RV20" i="14"/>
  <c r="RU20" i="14"/>
  <c r="RR20" i="14"/>
  <c r="RQ20" i="14"/>
  <c r="RP20" i="14"/>
  <c r="RM20" i="14"/>
  <c r="RL20" i="14"/>
  <c r="RK20" i="14"/>
  <c r="RX19" i="14"/>
  <c r="RY19" i="14" s="1"/>
  <c r="RS19" i="14"/>
  <c r="RT19" i="14" s="1"/>
  <c r="RN19" i="14"/>
  <c r="RZ18" i="14"/>
  <c r="SA18" i="14" s="1"/>
  <c r="RX18" i="14"/>
  <c r="RY18" i="14" s="1"/>
  <c r="RS18" i="14"/>
  <c r="RT18" i="14" s="1"/>
  <c r="RN18" i="14"/>
  <c r="RO18" i="14" s="1"/>
  <c r="RX17" i="14"/>
  <c r="RY17" i="14" s="1"/>
  <c r="RS17" i="14"/>
  <c r="RT17" i="14" s="1"/>
  <c r="RN17" i="14"/>
  <c r="RX16" i="14"/>
  <c r="RY16" i="14" s="1"/>
  <c r="RS16" i="14"/>
  <c r="RT16" i="14" s="1"/>
  <c r="RN16" i="14"/>
  <c r="RX15" i="14"/>
  <c r="RY15" i="14" s="1"/>
  <c r="RS15" i="14"/>
  <c r="RT15" i="14" s="1"/>
  <c r="RN15" i="14"/>
  <c r="RZ14" i="14"/>
  <c r="SA14" i="14" s="1"/>
  <c r="RX14" i="14"/>
  <c r="RY14" i="14" s="1"/>
  <c r="RS14" i="14"/>
  <c r="RT14" i="14" s="1"/>
  <c r="RN14" i="14"/>
  <c r="RO14" i="14" s="1"/>
  <c r="RX13" i="14"/>
  <c r="RY13" i="14" s="1"/>
  <c r="RS13" i="14"/>
  <c r="RT13" i="14" s="1"/>
  <c r="RN13" i="14"/>
  <c r="RZ12" i="14"/>
  <c r="SA12" i="14" s="1"/>
  <c r="RX12" i="14"/>
  <c r="RY12" i="14" s="1"/>
  <c r="RS12" i="14"/>
  <c r="RT12" i="14" s="1"/>
  <c r="RN12" i="14"/>
  <c r="RO12" i="14" s="1"/>
  <c r="RX11" i="14"/>
  <c r="RY11" i="14" s="1"/>
  <c r="RS11" i="14"/>
  <c r="RT11" i="14" s="1"/>
  <c r="RN11" i="14"/>
  <c r="RX8" i="14"/>
  <c r="RY8" i="14" s="1"/>
  <c r="RS8" i="14"/>
  <c r="RT8" i="14" s="1"/>
  <c r="RN8" i="14"/>
  <c r="RZ7" i="14"/>
  <c r="SA7" i="14" s="1"/>
  <c r="RX7" i="14"/>
  <c r="RY7" i="14" s="1"/>
  <c r="RS7" i="14"/>
  <c r="RT7" i="14" s="1"/>
  <c r="RN7" i="14"/>
  <c r="RO7" i="14" s="1"/>
  <c r="RX6" i="14"/>
  <c r="RY6" i="14" s="1"/>
  <c r="RS6" i="14"/>
  <c r="RT6" i="14" s="1"/>
  <c r="RN6" i="14"/>
  <c r="RX5" i="14"/>
  <c r="RY5" i="14" s="1"/>
  <c r="RS5" i="14"/>
  <c r="RT5" i="14" s="1"/>
  <c r="RN5" i="14"/>
  <c r="RZ4" i="14"/>
  <c r="SA4" i="14" s="1"/>
  <c r="RX4" i="14"/>
  <c r="RY4" i="14" s="1"/>
  <c r="RS4" i="14"/>
  <c r="RT4" i="14" s="1"/>
  <c r="RN4" i="14"/>
  <c r="RO4" i="14" s="1"/>
  <c r="RF20" i="14"/>
  <c r="RE20" i="14"/>
  <c r="RD20" i="14"/>
  <c r="RA20" i="14"/>
  <c r="QZ20" i="14"/>
  <c r="QY20" i="14"/>
  <c r="QV20" i="14"/>
  <c r="QU20" i="14"/>
  <c r="QT20" i="14"/>
  <c r="RG19" i="14"/>
  <c r="RH19" i="14" s="1"/>
  <c r="RB19" i="14"/>
  <c r="RC19" i="14" s="1"/>
  <c r="QW19" i="14"/>
  <c r="RI18" i="14"/>
  <c r="RJ18" i="14" s="1"/>
  <c r="RG18" i="14"/>
  <c r="RH18" i="14" s="1"/>
  <c r="RB18" i="14"/>
  <c r="RC18" i="14" s="1"/>
  <c r="QW18" i="14"/>
  <c r="QX18" i="14" s="1"/>
  <c r="RG17" i="14"/>
  <c r="RH17" i="14" s="1"/>
  <c r="RB17" i="14"/>
  <c r="RC17" i="14" s="1"/>
  <c r="QW17" i="14"/>
  <c r="RG16" i="14"/>
  <c r="RH16" i="14" s="1"/>
  <c r="RB16" i="14"/>
  <c r="RC16" i="14" s="1"/>
  <c r="QW16" i="14"/>
  <c r="RG15" i="14"/>
  <c r="RH15" i="14" s="1"/>
  <c r="RB15" i="14"/>
  <c r="RC15" i="14" s="1"/>
  <c r="QW15" i="14"/>
  <c r="RI14" i="14"/>
  <c r="RJ14" i="14" s="1"/>
  <c r="RG14" i="14"/>
  <c r="RH14" i="14" s="1"/>
  <c r="RB14" i="14"/>
  <c r="RC14" i="14" s="1"/>
  <c r="QW14" i="14"/>
  <c r="QX14" i="14" s="1"/>
  <c r="RG13" i="14"/>
  <c r="RH13" i="14" s="1"/>
  <c r="RB13" i="14"/>
  <c r="RC13" i="14" s="1"/>
  <c r="QW13" i="14"/>
  <c r="RI12" i="14"/>
  <c r="RJ12" i="14" s="1"/>
  <c r="RG12" i="14"/>
  <c r="RH12" i="14" s="1"/>
  <c r="RB12" i="14"/>
  <c r="RC12" i="14" s="1"/>
  <c r="QW12" i="14"/>
  <c r="QX12" i="14" s="1"/>
  <c r="RG11" i="14"/>
  <c r="RH11" i="14" s="1"/>
  <c r="RB11" i="14"/>
  <c r="RC11" i="14" s="1"/>
  <c r="QW11" i="14"/>
  <c r="RG8" i="14"/>
  <c r="RH8" i="14" s="1"/>
  <c r="RB8" i="14"/>
  <c r="RC8" i="14" s="1"/>
  <c r="QW8" i="14"/>
  <c r="RI7" i="14"/>
  <c r="RJ7" i="14" s="1"/>
  <c r="RG7" i="14"/>
  <c r="RH7" i="14" s="1"/>
  <c r="RB7" i="14"/>
  <c r="RC7" i="14" s="1"/>
  <c r="QW7" i="14"/>
  <c r="QX7" i="14" s="1"/>
  <c r="RG6" i="14"/>
  <c r="RH6" i="14" s="1"/>
  <c r="RB6" i="14"/>
  <c r="RC6" i="14" s="1"/>
  <c r="QW6" i="14"/>
  <c r="RG5" i="14"/>
  <c r="RH5" i="14" s="1"/>
  <c r="RB5" i="14"/>
  <c r="RC5" i="14" s="1"/>
  <c r="QW5" i="14"/>
  <c r="RI4" i="14"/>
  <c r="RJ4" i="14" s="1"/>
  <c r="RG4" i="14"/>
  <c r="RH4" i="14" s="1"/>
  <c r="RB4" i="14"/>
  <c r="RC4" i="14" s="1"/>
  <c r="QW4" i="14"/>
  <c r="QX4" i="14" s="1"/>
  <c r="QO20" i="14"/>
  <c r="QN20" i="14"/>
  <c r="QM20" i="14"/>
  <c r="QJ20" i="14"/>
  <c r="QI20" i="14"/>
  <c r="QH20" i="14"/>
  <c r="QE20" i="14"/>
  <c r="QD20" i="14"/>
  <c r="QC20" i="14"/>
  <c r="QP19" i="14"/>
  <c r="QQ19" i="14" s="1"/>
  <c r="QK19" i="14"/>
  <c r="QL19" i="14" s="1"/>
  <c r="QF19" i="14"/>
  <c r="QR18" i="14"/>
  <c r="QS18" i="14" s="1"/>
  <c r="QP18" i="14"/>
  <c r="QQ18" i="14" s="1"/>
  <c r="QK18" i="14"/>
  <c r="QL18" i="14" s="1"/>
  <c r="QF18" i="14"/>
  <c r="QG18" i="14" s="1"/>
  <c r="QP17" i="14"/>
  <c r="QQ17" i="14" s="1"/>
  <c r="QK17" i="14"/>
  <c r="QL17" i="14" s="1"/>
  <c r="QF17" i="14"/>
  <c r="QP16" i="14"/>
  <c r="QQ16" i="14" s="1"/>
  <c r="QK16" i="14"/>
  <c r="QL16" i="14" s="1"/>
  <c r="QF16" i="14"/>
  <c r="QP15" i="14"/>
  <c r="QQ15" i="14" s="1"/>
  <c r="QK15" i="14"/>
  <c r="QL15" i="14" s="1"/>
  <c r="QF15" i="14"/>
  <c r="QR14" i="14"/>
  <c r="QS14" i="14" s="1"/>
  <c r="QP14" i="14"/>
  <c r="QQ14" i="14" s="1"/>
  <c r="QK14" i="14"/>
  <c r="QL14" i="14" s="1"/>
  <c r="QF14" i="14"/>
  <c r="QG14" i="14" s="1"/>
  <c r="QP13" i="14"/>
  <c r="QQ13" i="14" s="1"/>
  <c r="QK13" i="14"/>
  <c r="QL13" i="14" s="1"/>
  <c r="QF13" i="14"/>
  <c r="QR12" i="14"/>
  <c r="QS12" i="14" s="1"/>
  <c r="QP12" i="14"/>
  <c r="QQ12" i="14" s="1"/>
  <c r="QK12" i="14"/>
  <c r="QL12" i="14" s="1"/>
  <c r="QF12" i="14"/>
  <c r="QG12" i="14" s="1"/>
  <c r="QP11" i="14"/>
  <c r="QQ11" i="14" s="1"/>
  <c r="QK11" i="14"/>
  <c r="QL11" i="14" s="1"/>
  <c r="QF11" i="14"/>
  <c r="QP8" i="14"/>
  <c r="QQ8" i="14" s="1"/>
  <c r="QK8" i="14"/>
  <c r="QL8" i="14" s="1"/>
  <c r="QF8" i="14"/>
  <c r="QR7" i="14"/>
  <c r="QS7" i="14" s="1"/>
  <c r="QP7" i="14"/>
  <c r="QQ7" i="14" s="1"/>
  <c r="QK7" i="14"/>
  <c r="QL7" i="14" s="1"/>
  <c r="QF7" i="14"/>
  <c r="QG7" i="14" s="1"/>
  <c r="QP6" i="14"/>
  <c r="QQ6" i="14" s="1"/>
  <c r="QK6" i="14"/>
  <c r="QL6" i="14" s="1"/>
  <c r="QF6" i="14"/>
  <c r="QP5" i="14"/>
  <c r="QQ5" i="14" s="1"/>
  <c r="QK5" i="14"/>
  <c r="QL5" i="14" s="1"/>
  <c r="QF5" i="14"/>
  <c r="QR4" i="14"/>
  <c r="QS4" i="14" s="1"/>
  <c r="QP4" i="14"/>
  <c r="QQ4" i="14" s="1"/>
  <c r="QK4" i="14"/>
  <c r="QL4" i="14" s="1"/>
  <c r="QF4" i="14"/>
  <c r="QG4" i="14" s="1"/>
  <c r="PX20" i="14"/>
  <c r="PW20" i="14"/>
  <c r="PV20" i="14"/>
  <c r="PS20" i="14"/>
  <c r="PR20" i="14"/>
  <c r="PQ20" i="14"/>
  <c r="PN20" i="14"/>
  <c r="PM20" i="14"/>
  <c r="PL20" i="14"/>
  <c r="PY19" i="14"/>
  <c r="PZ19" i="14" s="1"/>
  <c r="PT19" i="14"/>
  <c r="PU19" i="14" s="1"/>
  <c r="PO19" i="14"/>
  <c r="QA18" i="14"/>
  <c r="QB18" i="14" s="1"/>
  <c r="PY18" i="14"/>
  <c r="PZ18" i="14" s="1"/>
  <c r="PT18" i="14"/>
  <c r="PU18" i="14" s="1"/>
  <c r="PO18" i="14"/>
  <c r="PP18" i="14" s="1"/>
  <c r="PY17" i="14"/>
  <c r="PZ17" i="14" s="1"/>
  <c r="PT17" i="14"/>
  <c r="PU17" i="14" s="1"/>
  <c r="PO17" i="14"/>
  <c r="PY16" i="14"/>
  <c r="PZ16" i="14" s="1"/>
  <c r="PT16" i="14"/>
  <c r="PU16" i="14" s="1"/>
  <c r="PO16" i="14"/>
  <c r="PY15" i="14"/>
  <c r="PZ15" i="14" s="1"/>
  <c r="PT15" i="14"/>
  <c r="PU15" i="14" s="1"/>
  <c r="PO15" i="14"/>
  <c r="QA14" i="14"/>
  <c r="QB14" i="14" s="1"/>
  <c r="PY14" i="14"/>
  <c r="PZ14" i="14" s="1"/>
  <c r="PT14" i="14"/>
  <c r="PU14" i="14" s="1"/>
  <c r="PO14" i="14"/>
  <c r="PP14" i="14" s="1"/>
  <c r="PY13" i="14"/>
  <c r="PZ13" i="14" s="1"/>
  <c r="PT13" i="14"/>
  <c r="PU13" i="14" s="1"/>
  <c r="PO13" i="14"/>
  <c r="QA12" i="14"/>
  <c r="QB12" i="14" s="1"/>
  <c r="PY12" i="14"/>
  <c r="PZ12" i="14" s="1"/>
  <c r="PT12" i="14"/>
  <c r="PU12" i="14" s="1"/>
  <c r="PO12" i="14"/>
  <c r="PP12" i="14" s="1"/>
  <c r="PY11" i="14"/>
  <c r="PZ11" i="14" s="1"/>
  <c r="PT11" i="14"/>
  <c r="PU11" i="14" s="1"/>
  <c r="PO11" i="14"/>
  <c r="PY8" i="14"/>
  <c r="PZ8" i="14" s="1"/>
  <c r="PT8" i="14"/>
  <c r="PU8" i="14" s="1"/>
  <c r="PO8" i="14"/>
  <c r="QA7" i="14"/>
  <c r="QB7" i="14" s="1"/>
  <c r="PY7" i="14"/>
  <c r="PZ7" i="14" s="1"/>
  <c r="PT7" i="14"/>
  <c r="PU7" i="14" s="1"/>
  <c r="PO7" i="14"/>
  <c r="PP7" i="14" s="1"/>
  <c r="PY6" i="14"/>
  <c r="PZ6" i="14" s="1"/>
  <c r="PT6" i="14"/>
  <c r="PU6" i="14" s="1"/>
  <c r="PO6" i="14"/>
  <c r="PY5" i="14"/>
  <c r="PZ5" i="14" s="1"/>
  <c r="PT5" i="14"/>
  <c r="PU5" i="14" s="1"/>
  <c r="PO5" i="14"/>
  <c r="QA4" i="14"/>
  <c r="QB4" i="14" s="1"/>
  <c r="PY4" i="14"/>
  <c r="PZ4" i="14" s="1"/>
  <c r="PT4" i="14"/>
  <c r="PU4" i="14" s="1"/>
  <c r="PO4" i="14"/>
  <c r="PP4" i="14" s="1"/>
  <c r="PG20" i="14"/>
  <c r="PF20" i="14"/>
  <c r="PE20" i="14"/>
  <c r="PB20" i="14"/>
  <c r="PA20" i="14"/>
  <c r="OZ20" i="14"/>
  <c r="OW20" i="14"/>
  <c r="OV20" i="14"/>
  <c r="OU20" i="14"/>
  <c r="PH19" i="14"/>
  <c r="PI19" i="14" s="1"/>
  <c r="PC19" i="14"/>
  <c r="PD19" i="14" s="1"/>
  <c r="OX19" i="14"/>
  <c r="PJ18" i="14"/>
  <c r="PK18" i="14" s="1"/>
  <c r="PH18" i="14"/>
  <c r="PI18" i="14" s="1"/>
  <c r="PC18" i="14"/>
  <c r="PD18" i="14" s="1"/>
  <c r="OX18" i="14"/>
  <c r="OY18" i="14" s="1"/>
  <c r="PH17" i="14"/>
  <c r="PI17" i="14" s="1"/>
  <c r="PC17" i="14"/>
  <c r="PD17" i="14" s="1"/>
  <c r="OX17" i="14"/>
  <c r="PH16" i="14"/>
  <c r="PI16" i="14" s="1"/>
  <c r="PC16" i="14"/>
  <c r="PD16" i="14" s="1"/>
  <c r="OX16" i="14"/>
  <c r="PH15" i="14"/>
  <c r="PI15" i="14" s="1"/>
  <c r="PC15" i="14"/>
  <c r="PD15" i="14" s="1"/>
  <c r="OX15" i="14"/>
  <c r="PJ14" i="14"/>
  <c r="PK14" i="14" s="1"/>
  <c r="PH14" i="14"/>
  <c r="PI14" i="14" s="1"/>
  <c r="PC14" i="14"/>
  <c r="PD14" i="14" s="1"/>
  <c r="OX14" i="14"/>
  <c r="OY14" i="14" s="1"/>
  <c r="PH13" i="14"/>
  <c r="PI13" i="14" s="1"/>
  <c r="PC13" i="14"/>
  <c r="PD13" i="14" s="1"/>
  <c r="OX13" i="14"/>
  <c r="PJ12" i="14"/>
  <c r="PK12" i="14" s="1"/>
  <c r="PH12" i="14"/>
  <c r="PI12" i="14" s="1"/>
  <c r="PC12" i="14"/>
  <c r="PD12" i="14" s="1"/>
  <c r="OX12" i="14"/>
  <c r="OY12" i="14" s="1"/>
  <c r="PH11" i="14"/>
  <c r="PI11" i="14" s="1"/>
  <c r="PC11" i="14"/>
  <c r="PD11" i="14" s="1"/>
  <c r="OX11" i="14"/>
  <c r="OY11" i="14" s="1"/>
  <c r="PH8" i="14"/>
  <c r="PI8" i="14" s="1"/>
  <c r="PC8" i="14"/>
  <c r="PD8" i="14" s="1"/>
  <c r="OX8" i="14"/>
  <c r="OY8" i="14" s="1"/>
  <c r="PJ7" i="14"/>
  <c r="PK7" i="14" s="1"/>
  <c r="PH7" i="14"/>
  <c r="PI7" i="14" s="1"/>
  <c r="PC7" i="14"/>
  <c r="PD7" i="14" s="1"/>
  <c r="OX7" i="14"/>
  <c r="OY7" i="14" s="1"/>
  <c r="PH6" i="14"/>
  <c r="PI6" i="14" s="1"/>
  <c r="PC6" i="14"/>
  <c r="PD6" i="14" s="1"/>
  <c r="OX6" i="14"/>
  <c r="OY6" i="14" s="1"/>
  <c r="PH5" i="14"/>
  <c r="PI5" i="14" s="1"/>
  <c r="PC5" i="14"/>
  <c r="PD5" i="14" s="1"/>
  <c r="OX5" i="14"/>
  <c r="OY5" i="14" s="1"/>
  <c r="PJ4" i="14"/>
  <c r="PK4" i="14" s="1"/>
  <c r="PH4" i="14"/>
  <c r="PI4" i="14" s="1"/>
  <c r="PC4" i="14"/>
  <c r="PD4" i="14" s="1"/>
  <c r="OX4" i="14"/>
  <c r="OY4" i="14" s="1"/>
  <c r="OP20" i="14"/>
  <c r="OO20" i="14"/>
  <c r="ON20" i="14"/>
  <c r="OK20" i="14"/>
  <c r="OJ20" i="14"/>
  <c r="OI20" i="14"/>
  <c r="OF20" i="14"/>
  <c r="OE20" i="14"/>
  <c r="OD20" i="14"/>
  <c r="OQ19" i="14"/>
  <c r="OR19" i="14" s="1"/>
  <c r="OL19" i="14"/>
  <c r="OM19" i="14" s="1"/>
  <c r="OG19" i="14"/>
  <c r="OS18" i="14"/>
  <c r="OT18" i="14" s="1"/>
  <c r="OQ18" i="14"/>
  <c r="OR18" i="14" s="1"/>
  <c r="OL18" i="14"/>
  <c r="OM18" i="14" s="1"/>
  <c r="OG18" i="14"/>
  <c r="OH18" i="14" s="1"/>
  <c r="OQ17" i="14"/>
  <c r="OR17" i="14" s="1"/>
  <c r="OL17" i="14"/>
  <c r="OM17" i="14" s="1"/>
  <c r="OG17" i="14"/>
  <c r="OQ16" i="14"/>
  <c r="OR16" i="14" s="1"/>
  <c r="OL16" i="14"/>
  <c r="OM16" i="14" s="1"/>
  <c r="OG16" i="14"/>
  <c r="OQ15" i="14"/>
  <c r="OR15" i="14" s="1"/>
  <c r="OL15" i="14"/>
  <c r="OM15" i="14" s="1"/>
  <c r="OG15" i="14"/>
  <c r="OS14" i="14"/>
  <c r="OT14" i="14" s="1"/>
  <c r="OQ14" i="14"/>
  <c r="OR14" i="14" s="1"/>
  <c r="OL14" i="14"/>
  <c r="OM14" i="14" s="1"/>
  <c r="OG14" i="14"/>
  <c r="OH14" i="14" s="1"/>
  <c r="OQ13" i="14"/>
  <c r="OR13" i="14" s="1"/>
  <c r="OL13" i="14"/>
  <c r="OM13" i="14" s="1"/>
  <c r="OG13" i="14"/>
  <c r="OS12" i="14"/>
  <c r="OT12" i="14" s="1"/>
  <c r="OQ12" i="14"/>
  <c r="OR12" i="14" s="1"/>
  <c r="OL12" i="14"/>
  <c r="OM12" i="14" s="1"/>
  <c r="OG12" i="14"/>
  <c r="OH12" i="14" s="1"/>
  <c r="OQ11" i="14"/>
  <c r="OR11" i="14" s="1"/>
  <c r="OL11" i="14"/>
  <c r="OM11" i="14" s="1"/>
  <c r="OG11" i="14"/>
  <c r="OQ8" i="14"/>
  <c r="OR8" i="14" s="1"/>
  <c r="OL8" i="14"/>
  <c r="OM8" i="14" s="1"/>
  <c r="OG8" i="14"/>
  <c r="OS7" i="14"/>
  <c r="OT7" i="14" s="1"/>
  <c r="OQ7" i="14"/>
  <c r="OR7" i="14" s="1"/>
  <c r="OL7" i="14"/>
  <c r="OM7" i="14" s="1"/>
  <c r="OG7" i="14"/>
  <c r="OH7" i="14" s="1"/>
  <c r="OQ6" i="14"/>
  <c r="OR6" i="14" s="1"/>
  <c r="OL6" i="14"/>
  <c r="OM6" i="14" s="1"/>
  <c r="OG6" i="14"/>
  <c r="OQ5" i="14"/>
  <c r="OR5" i="14" s="1"/>
  <c r="OL5" i="14"/>
  <c r="OM5" i="14" s="1"/>
  <c r="OG5" i="14"/>
  <c r="OS4" i="14"/>
  <c r="OT4" i="14" s="1"/>
  <c r="OQ4" i="14"/>
  <c r="OR4" i="14" s="1"/>
  <c r="OL4" i="14"/>
  <c r="OM4" i="14" s="1"/>
  <c r="OG4" i="14"/>
  <c r="OH4" i="14" s="1"/>
  <c r="NY20" i="14"/>
  <c r="NX20" i="14"/>
  <c r="NW20" i="14"/>
  <c r="NT20" i="14"/>
  <c r="NS20" i="14"/>
  <c r="NR20" i="14"/>
  <c r="NO20" i="14"/>
  <c r="NN20" i="14"/>
  <c r="NM20" i="14"/>
  <c r="NZ19" i="14"/>
  <c r="OA19" i="14" s="1"/>
  <c r="NU19" i="14"/>
  <c r="NV19" i="14" s="1"/>
  <c r="NP19" i="14"/>
  <c r="OB18" i="14"/>
  <c r="OC18" i="14" s="1"/>
  <c r="NZ18" i="14"/>
  <c r="OA18" i="14" s="1"/>
  <c r="NU18" i="14"/>
  <c r="NV18" i="14" s="1"/>
  <c r="NP18" i="14"/>
  <c r="NQ18" i="14" s="1"/>
  <c r="NZ17" i="14"/>
  <c r="OA17" i="14" s="1"/>
  <c r="NU17" i="14"/>
  <c r="NV17" i="14" s="1"/>
  <c r="NP17" i="14"/>
  <c r="NZ16" i="14"/>
  <c r="OA16" i="14" s="1"/>
  <c r="NU16" i="14"/>
  <c r="NV16" i="14" s="1"/>
  <c r="NP16" i="14"/>
  <c r="NZ15" i="14"/>
  <c r="OA15" i="14" s="1"/>
  <c r="NU15" i="14"/>
  <c r="NV15" i="14" s="1"/>
  <c r="NP15" i="14"/>
  <c r="OB14" i="14"/>
  <c r="OC14" i="14" s="1"/>
  <c r="NZ14" i="14"/>
  <c r="OA14" i="14" s="1"/>
  <c r="NU14" i="14"/>
  <c r="NV14" i="14" s="1"/>
  <c r="NP14" i="14"/>
  <c r="NQ14" i="14" s="1"/>
  <c r="NZ13" i="14"/>
  <c r="OA13" i="14" s="1"/>
  <c r="NU13" i="14"/>
  <c r="NV13" i="14" s="1"/>
  <c r="NP13" i="14"/>
  <c r="OB12" i="14"/>
  <c r="OC12" i="14" s="1"/>
  <c r="NZ12" i="14"/>
  <c r="OA12" i="14" s="1"/>
  <c r="NU12" i="14"/>
  <c r="NV12" i="14" s="1"/>
  <c r="NP12" i="14"/>
  <c r="NQ12" i="14" s="1"/>
  <c r="NZ11" i="14"/>
  <c r="OA11" i="14" s="1"/>
  <c r="NU11" i="14"/>
  <c r="NV11" i="14" s="1"/>
  <c r="NP11" i="14"/>
  <c r="NZ8" i="14"/>
  <c r="OA8" i="14" s="1"/>
  <c r="NU8" i="14"/>
  <c r="NV8" i="14" s="1"/>
  <c r="NP8" i="14"/>
  <c r="OB7" i="14"/>
  <c r="OC7" i="14" s="1"/>
  <c r="NZ7" i="14"/>
  <c r="OA7" i="14" s="1"/>
  <c r="NU7" i="14"/>
  <c r="NV7" i="14" s="1"/>
  <c r="NP7" i="14"/>
  <c r="NQ7" i="14" s="1"/>
  <c r="NZ6" i="14"/>
  <c r="OA6" i="14" s="1"/>
  <c r="NU6" i="14"/>
  <c r="NV6" i="14" s="1"/>
  <c r="NP6" i="14"/>
  <c r="NZ5" i="14"/>
  <c r="OA5" i="14" s="1"/>
  <c r="NU5" i="14"/>
  <c r="NV5" i="14" s="1"/>
  <c r="NP5" i="14"/>
  <c r="OB4" i="14"/>
  <c r="OC4" i="14" s="1"/>
  <c r="NZ4" i="14"/>
  <c r="OA4" i="14" s="1"/>
  <c r="NU4" i="14"/>
  <c r="NV4" i="14" s="1"/>
  <c r="NP4" i="14"/>
  <c r="NQ4" i="14" s="1"/>
  <c r="NH20" i="14"/>
  <c r="NG20" i="14"/>
  <c r="NF20" i="14"/>
  <c r="NC20" i="14"/>
  <c r="NB20" i="14"/>
  <c r="NA20" i="14"/>
  <c r="MX20" i="14"/>
  <c r="MW20" i="14"/>
  <c r="MV20" i="14"/>
  <c r="NI19" i="14"/>
  <c r="NJ19" i="14" s="1"/>
  <c r="ND19" i="14"/>
  <c r="NE19" i="14" s="1"/>
  <c r="MY19" i="14"/>
  <c r="NK18" i="14"/>
  <c r="NL18" i="14" s="1"/>
  <c r="NI18" i="14"/>
  <c r="NJ18" i="14" s="1"/>
  <c r="ND18" i="14"/>
  <c r="NE18" i="14" s="1"/>
  <c r="MY18" i="14"/>
  <c r="MZ18" i="14" s="1"/>
  <c r="NI17" i="14"/>
  <c r="NJ17" i="14" s="1"/>
  <c r="ND17" i="14"/>
  <c r="NE17" i="14" s="1"/>
  <c r="MY17" i="14"/>
  <c r="NI16" i="14"/>
  <c r="NJ16" i="14" s="1"/>
  <c r="ND16" i="14"/>
  <c r="NE16" i="14" s="1"/>
  <c r="MY16" i="14"/>
  <c r="NI15" i="14"/>
  <c r="NJ15" i="14" s="1"/>
  <c r="ND15" i="14"/>
  <c r="NE15" i="14" s="1"/>
  <c r="MY15" i="14"/>
  <c r="NK14" i="14"/>
  <c r="NL14" i="14" s="1"/>
  <c r="NI14" i="14"/>
  <c r="NJ14" i="14" s="1"/>
  <c r="ND14" i="14"/>
  <c r="NE14" i="14" s="1"/>
  <c r="MY14" i="14"/>
  <c r="MZ14" i="14" s="1"/>
  <c r="NI13" i="14"/>
  <c r="NJ13" i="14" s="1"/>
  <c r="ND13" i="14"/>
  <c r="NE13" i="14" s="1"/>
  <c r="MY13" i="14"/>
  <c r="NK12" i="14"/>
  <c r="NL12" i="14" s="1"/>
  <c r="NI12" i="14"/>
  <c r="NJ12" i="14" s="1"/>
  <c r="ND12" i="14"/>
  <c r="NE12" i="14" s="1"/>
  <c r="MY12" i="14"/>
  <c r="MZ12" i="14" s="1"/>
  <c r="NI11" i="14"/>
  <c r="NJ11" i="14" s="1"/>
  <c r="ND11" i="14"/>
  <c r="NE11" i="14" s="1"/>
  <c r="MY11" i="14"/>
  <c r="NI8" i="14"/>
  <c r="NJ8" i="14" s="1"/>
  <c r="ND8" i="14"/>
  <c r="NE8" i="14" s="1"/>
  <c r="MY8" i="14"/>
  <c r="NK7" i="14"/>
  <c r="NL7" i="14" s="1"/>
  <c r="NI7" i="14"/>
  <c r="NJ7" i="14" s="1"/>
  <c r="ND7" i="14"/>
  <c r="NE7" i="14" s="1"/>
  <c r="MY7" i="14"/>
  <c r="MZ7" i="14" s="1"/>
  <c r="NI6" i="14"/>
  <c r="NJ6" i="14" s="1"/>
  <c r="ND6" i="14"/>
  <c r="NE6" i="14" s="1"/>
  <c r="MY6" i="14"/>
  <c r="NI5" i="14"/>
  <c r="NJ5" i="14" s="1"/>
  <c r="ND5" i="14"/>
  <c r="NE5" i="14" s="1"/>
  <c r="MY5" i="14"/>
  <c r="NK4" i="14"/>
  <c r="NL4" i="14" s="1"/>
  <c r="NI4" i="14"/>
  <c r="NJ4" i="14" s="1"/>
  <c r="ND4" i="14"/>
  <c r="NE4" i="14" s="1"/>
  <c r="MY4" i="14"/>
  <c r="MZ4" i="14" s="1"/>
  <c r="MQ20" i="14"/>
  <c r="MP20" i="14"/>
  <c r="MO20" i="14"/>
  <c r="ML20" i="14"/>
  <c r="MK20" i="14"/>
  <c r="MJ20" i="14"/>
  <c r="MG20" i="14"/>
  <c r="MF20" i="14"/>
  <c r="ME20" i="14"/>
  <c r="MR19" i="14"/>
  <c r="MS19" i="14" s="1"/>
  <c r="MM19" i="14"/>
  <c r="MN19" i="14" s="1"/>
  <c r="MH19" i="14"/>
  <c r="MT18" i="14"/>
  <c r="MU18" i="14" s="1"/>
  <c r="MR18" i="14"/>
  <c r="MS18" i="14" s="1"/>
  <c r="MM18" i="14"/>
  <c r="MN18" i="14" s="1"/>
  <c r="MH18" i="14"/>
  <c r="MI18" i="14" s="1"/>
  <c r="MR17" i="14"/>
  <c r="MS17" i="14" s="1"/>
  <c r="MM17" i="14"/>
  <c r="MN17" i="14" s="1"/>
  <c r="MH17" i="14"/>
  <c r="MR16" i="14"/>
  <c r="MS16" i="14" s="1"/>
  <c r="MM16" i="14"/>
  <c r="MN16" i="14" s="1"/>
  <c r="MH16" i="14"/>
  <c r="MR15" i="14"/>
  <c r="MS15" i="14" s="1"/>
  <c r="MM15" i="14"/>
  <c r="MN15" i="14" s="1"/>
  <c r="MH15" i="14"/>
  <c r="MT14" i="14"/>
  <c r="MU14" i="14" s="1"/>
  <c r="MR14" i="14"/>
  <c r="MS14" i="14" s="1"/>
  <c r="MM14" i="14"/>
  <c r="MN14" i="14" s="1"/>
  <c r="MH14" i="14"/>
  <c r="MI14" i="14" s="1"/>
  <c r="MR13" i="14"/>
  <c r="MS13" i="14" s="1"/>
  <c r="MM13" i="14"/>
  <c r="MN13" i="14" s="1"/>
  <c r="MH13" i="14"/>
  <c r="MT12" i="14"/>
  <c r="MU12" i="14" s="1"/>
  <c r="MR12" i="14"/>
  <c r="MS12" i="14" s="1"/>
  <c r="MM12" i="14"/>
  <c r="MN12" i="14" s="1"/>
  <c r="MH12" i="14"/>
  <c r="MI12" i="14" s="1"/>
  <c r="MR11" i="14"/>
  <c r="MS11" i="14" s="1"/>
  <c r="MM11" i="14"/>
  <c r="MN11" i="14" s="1"/>
  <c r="MH11" i="14"/>
  <c r="MR8" i="14"/>
  <c r="MS8" i="14" s="1"/>
  <c r="MM8" i="14"/>
  <c r="MN8" i="14" s="1"/>
  <c r="MH8" i="14"/>
  <c r="MT7" i="14"/>
  <c r="MU7" i="14" s="1"/>
  <c r="MR7" i="14"/>
  <c r="MS7" i="14" s="1"/>
  <c r="MM7" i="14"/>
  <c r="MN7" i="14" s="1"/>
  <c r="MH7" i="14"/>
  <c r="MI7" i="14" s="1"/>
  <c r="MR6" i="14"/>
  <c r="MS6" i="14" s="1"/>
  <c r="MM6" i="14"/>
  <c r="MN6" i="14" s="1"/>
  <c r="MH6" i="14"/>
  <c r="MR5" i="14"/>
  <c r="MS5" i="14" s="1"/>
  <c r="MM5" i="14"/>
  <c r="MN5" i="14" s="1"/>
  <c r="MH5" i="14"/>
  <c r="MT4" i="14"/>
  <c r="MU4" i="14" s="1"/>
  <c r="MR4" i="14"/>
  <c r="MS4" i="14" s="1"/>
  <c r="MM4" i="14"/>
  <c r="MN4" i="14" s="1"/>
  <c r="MH4" i="14"/>
  <c r="MI4" i="14" s="1"/>
  <c r="LZ20" i="14"/>
  <c r="LY20" i="14"/>
  <c r="LX20" i="14"/>
  <c r="LU20" i="14"/>
  <c r="LT20" i="14"/>
  <c r="LS20" i="14"/>
  <c r="LP20" i="14"/>
  <c r="LO20" i="14"/>
  <c r="LN20" i="14"/>
  <c r="MA19" i="14"/>
  <c r="MB19" i="14" s="1"/>
  <c r="LV19" i="14"/>
  <c r="LW19" i="14" s="1"/>
  <c r="LQ19" i="14"/>
  <c r="MC18" i="14"/>
  <c r="MD18" i="14" s="1"/>
  <c r="MA18" i="14"/>
  <c r="MB18" i="14" s="1"/>
  <c r="LV18" i="14"/>
  <c r="LW18" i="14" s="1"/>
  <c r="LQ18" i="14"/>
  <c r="LR18" i="14" s="1"/>
  <c r="MA17" i="14"/>
  <c r="MB17" i="14" s="1"/>
  <c r="LV17" i="14"/>
  <c r="LW17" i="14" s="1"/>
  <c r="LQ17" i="14"/>
  <c r="MA16" i="14"/>
  <c r="MB16" i="14" s="1"/>
  <c r="LV16" i="14"/>
  <c r="LW16" i="14" s="1"/>
  <c r="LQ16" i="14"/>
  <c r="MA15" i="14"/>
  <c r="MB15" i="14" s="1"/>
  <c r="LV15" i="14"/>
  <c r="LW15" i="14" s="1"/>
  <c r="LQ15" i="14"/>
  <c r="MC14" i="14"/>
  <c r="MD14" i="14" s="1"/>
  <c r="MA14" i="14"/>
  <c r="MB14" i="14" s="1"/>
  <c r="LV14" i="14"/>
  <c r="LW14" i="14" s="1"/>
  <c r="LQ14" i="14"/>
  <c r="LR14" i="14" s="1"/>
  <c r="MA13" i="14"/>
  <c r="MB13" i="14" s="1"/>
  <c r="LV13" i="14"/>
  <c r="LW13" i="14" s="1"/>
  <c r="LQ13" i="14"/>
  <c r="MC12" i="14"/>
  <c r="MD12" i="14" s="1"/>
  <c r="MA12" i="14"/>
  <c r="MB12" i="14" s="1"/>
  <c r="LV12" i="14"/>
  <c r="LW12" i="14" s="1"/>
  <c r="LQ12" i="14"/>
  <c r="LR12" i="14" s="1"/>
  <c r="MA11" i="14"/>
  <c r="MB11" i="14" s="1"/>
  <c r="LV11" i="14"/>
  <c r="LW11" i="14" s="1"/>
  <c r="LQ11" i="14"/>
  <c r="MA8" i="14"/>
  <c r="MB8" i="14" s="1"/>
  <c r="LV8" i="14"/>
  <c r="LW8" i="14" s="1"/>
  <c r="LQ8" i="14"/>
  <c r="MC7" i="14"/>
  <c r="MD7" i="14" s="1"/>
  <c r="MA7" i="14"/>
  <c r="MB7" i="14" s="1"/>
  <c r="LV7" i="14"/>
  <c r="LW7" i="14" s="1"/>
  <c r="LQ7" i="14"/>
  <c r="LR7" i="14" s="1"/>
  <c r="MA6" i="14"/>
  <c r="MB6" i="14" s="1"/>
  <c r="LV6" i="14"/>
  <c r="LW6" i="14" s="1"/>
  <c r="LQ6" i="14"/>
  <c r="MA5" i="14"/>
  <c r="MB5" i="14" s="1"/>
  <c r="LV5" i="14"/>
  <c r="LW5" i="14" s="1"/>
  <c r="LQ5" i="14"/>
  <c r="MC4" i="14"/>
  <c r="MD4" i="14" s="1"/>
  <c r="MA4" i="14"/>
  <c r="MB4" i="14" s="1"/>
  <c r="LV4" i="14"/>
  <c r="LW4" i="14" s="1"/>
  <c r="LQ4" i="14"/>
  <c r="LR4" i="14" s="1"/>
  <c r="LI20" i="14"/>
  <c r="LH20" i="14"/>
  <c r="LG20" i="14"/>
  <c r="LD20" i="14"/>
  <c r="LC20" i="14"/>
  <c r="LB20" i="14"/>
  <c r="KY20" i="14"/>
  <c r="KX20" i="14"/>
  <c r="KW20" i="14"/>
  <c r="LJ19" i="14"/>
  <c r="LK19" i="14" s="1"/>
  <c r="LE19" i="14"/>
  <c r="LF19" i="14" s="1"/>
  <c r="KZ19" i="14"/>
  <c r="LL18" i="14"/>
  <c r="LM18" i="14" s="1"/>
  <c r="LJ18" i="14"/>
  <c r="LK18" i="14" s="1"/>
  <c r="LE18" i="14"/>
  <c r="LF18" i="14" s="1"/>
  <c r="KZ18" i="14"/>
  <c r="LA18" i="14" s="1"/>
  <c r="LJ17" i="14"/>
  <c r="LK17" i="14" s="1"/>
  <c r="LE17" i="14"/>
  <c r="LF17" i="14" s="1"/>
  <c r="KZ17" i="14"/>
  <c r="LJ16" i="14"/>
  <c r="LK16" i="14" s="1"/>
  <c r="LE16" i="14"/>
  <c r="LF16" i="14" s="1"/>
  <c r="KZ16" i="14"/>
  <c r="LJ15" i="14"/>
  <c r="LK15" i="14" s="1"/>
  <c r="LE15" i="14"/>
  <c r="LF15" i="14" s="1"/>
  <c r="KZ15" i="14"/>
  <c r="LL14" i="14"/>
  <c r="LM14" i="14" s="1"/>
  <c r="LJ14" i="14"/>
  <c r="LK14" i="14" s="1"/>
  <c r="LE14" i="14"/>
  <c r="LF14" i="14" s="1"/>
  <c r="KZ14" i="14"/>
  <c r="LA14" i="14" s="1"/>
  <c r="LJ13" i="14"/>
  <c r="LK13" i="14" s="1"/>
  <c r="LE13" i="14"/>
  <c r="LF13" i="14" s="1"/>
  <c r="KZ13" i="14"/>
  <c r="LL12" i="14"/>
  <c r="LM12" i="14" s="1"/>
  <c r="LJ12" i="14"/>
  <c r="LK12" i="14" s="1"/>
  <c r="LE12" i="14"/>
  <c r="LF12" i="14" s="1"/>
  <c r="KZ12" i="14"/>
  <c r="LA12" i="14" s="1"/>
  <c r="LJ11" i="14"/>
  <c r="LK11" i="14" s="1"/>
  <c r="LE11" i="14"/>
  <c r="LF11" i="14" s="1"/>
  <c r="KZ11" i="14"/>
  <c r="LJ8" i="14"/>
  <c r="LK8" i="14" s="1"/>
  <c r="LE8" i="14"/>
  <c r="LF8" i="14" s="1"/>
  <c r="KZ8" i="14"/>
  <c r="LL7" i="14"/>
  <c r="LM7" i="14" s="1"/>
  <c r="LJ7" i="14"/>
  <c r="LK7" i="14" s="1"/>
  <c r="LE7" i="14"/>
  <c r="LF7" i="14" s="1"/>
  <c r="KZ7" i="14"/>
  <c r="LA7" i="14" s="1"/>
  <c r="LJ6" i="14"/>
  <c r="LK6" i="14" s="1"/>
  <c r="LE6" i="14"/>
  <c r="LF6" i="14" s="1"/>
  <c r="KZ6" i="14"/>
  <c r="LJ5" i="14"/>
  <c r="LK5" i="14" s="1"/>
  <c r="LE5" i="14"/>
  <c r="LF5" i="14" s="1"/>
  <c r="KZ5" i="14"/>
  <c r="LL4" i="14"/>
  <c r="LM4" i="14" s="1"/>
  <c r="LJ4" i="14"/>
  <c r="LK4" i="14" s="1"/>
  <c r="LE4" i="14"/>
  <c r="LF4" i="14" s="1"/>
  <c r="KZ4" i="14"/>
  <c r="LA4" i="14" s="1"/>
  <c r="KR20" i="14"/>
  <c r="KQ20" i="14"/>
  <c r="KP20" i="14"/>
  <c r="KM20" i="14"/>
  <c r="KL20" i="14"/>
  <c r="KK20" i="14"/>
  <c r="KH20" i="14"/>
  <c r="KG20" i="14"/>
  <c r="KF20" i="14"/>
  <c r="KS19" i="14"/>
  <c r="KT19" i="14" s="1"/>
  <c r="KN19" i="14"/>
  <c r="KO19" i="14" s="1"/>
  <c r="KI19" i="14"/>
  <c r="KU18" i="14"/>
  <c r="KV18" i="14" s="1"/>
  <c r="KS18" i="14"/>
  <c r="KT18" i="14" s="1"/>
  <c r="KN18" i="14"/>
  <c r="KO18" i="14" s="1"/>
  <c r="KI18" i="14"/>
  <c r="KJ18" i="14" s="1"/>
  <c r="KS17" i="14"/>
  <c r="KT17" i="14" s="1"/>
  <c r="KN17" i="14"/>
  <c r="KO17" i="14" s="1"/>
  <c r="KI17" i="14"/>
  <c r="KS16" i="14"/>
  <c r="KT16" i="14" s="1"/>
  <c r="KN16" i="14"/>
  <c r="KO16" i="14" s="1"/>
  <c r="KI16" i="14"/>
  <c r="KS15" i="14"/>
  <c r="KT15" i="14" s="1"/>
  <c r="KN15" i="14"/>
  <c r="KO15" i="14" s="1"/>
  <c r="KI15" i="14"/>
  <c r="KU14" i="14"/>
  <c r="KV14" i="14" s="1"/>
  <c r="KS14" i="14"/>
  <c r="KT14" i="14" s="1"/>
  <c r="KN14" i="14"/>
  <c r="KO14" i="14" s="1"/>
  <c r="KI14" i="14"/>
  <c r="KJ14" i="14" s="1"/>
  <c r="KS13" i="14"/>
  <c r="KT13" i="14" s="1"/>
  <c r="KN13" i="14"/>
  <c r="KO13" i="14" s="1"/>
  <c r="KI13" i="14"/>
  <c r="KU12" i="14"/>
  <c r="KV12" i="14" s="1"/>
  <c r="KS12" i="14"/>
  <c r="KT12" i="14" s="1"/>
  <c r="KN12" i="14"/>
  <c r="KO12" i="14" s="1"/>
  <c r="KI12" i="14"/>
  <c r="KJ12" i="14" s="1"/>
  <c r="KS11" i="14"/>
  <c r="KT11" i="14" s="1"/>
  <c r="KN11" i="14"/>
  <c r="KO11" i="14" s="1"/>
  <c r="KI11" i="14"/>
  <c r="KS8" i="14"/>
  <c r="KT8" i="14" s="1"/>
  <c r="KN8" i="14"/>
  <c r="KO8" i="14" s="1"/>
  <c r="KI8" i="14"/>
  <c r="KU7" i="14"/>
  <c r="KV7" i="14" s="1"/>
  <c r="KS7" i="14"/>
  <c r="KT7" i="14" s="1"/>
  <c r="KN7" i="14"/>
  <c r="KO7" i="14" s="1"/>
  <c r="KI7" i="14"/>
  <c r="KJ7" i="14" s="1"/>
  <c r="KS6" i="14"/>
  <c r="KT6" i="14" s="1"/>
  <c r="KN6" i="14"/>
  <c r="KO6" i="14" s="1"/>
  <c r="KI6" i="14"/>
  <c r="KS5" i="14"/>
  <c r="KT5" i="14" s="1"/>
  <c r="KN5" i="14"/>
  <c r="KO5" i="14" s="1"/>
  <c r="KI5" i="14"/>
  <c r="KU4" i="14"/>
  <c r="KV4" i="14" s="1"/>
  <c r="KS4" i="14"/>
  <c r="KT4" i="14" s="1"/>
  <c r="KN4" i="14"/>
  <c r="KO4" i="14" s="1"/>
  <c r="KI4" i="14"/>
  <c r="KJ4" i="14" s="1"/>
  <c r="KA20" i="14"/>
  <c r="JZ20" i="14"/>
  <c r="JY20" i="14"/>
  <c r="JV20" i="14"/>
  <c r="JU20" i="14"/>
  <c r="JT20" i="14"/>
  <c r="JQ20" i="14"/>
  <c r="JP20" i="14"/>
  <c r="JO20" i="14"/>
  <c r="KB19" i="14"/>
  <c r="KC19" i="14" s="1"/>
  <c r="JW19" i="14"/>
  <c r="JX19" i="14" s="1"/>
  <c r="JR19" i="14"/>
  <c r="KD18" i="14"/>
  <c r="KE18" i="14" s="1"/>
  <c r="KB18" i="14"/>
  <c r="KC18" i="14" s="1"/>
  <c r="JW18" i="14"/>
  <c r="JX18" i="14" s="1"/>
  <c r="JR18" i="14"/>
  <c r="JS18" i="14" s="1"/>
  <c r="KB17" i="14"/>
  <c r="KC17" i="14" s="1"/>
  <c r="JW17" i="14"/>
  <c r="JX17" i="14" s="1"/>
  <c r="JR17" i="14"/>
  <c r="KB16" i="14"/>
  <c r="KC16" i="14" s="1"/>
  <c r="JW16" i="14"/>
  <c r="JX16" i="14" s="1"/>
  <c r="JR16" i="14"/>
  <c r="KB15" i="14"/>
  <c r="KC15" i="14" s="1"/>
  <c r="JW15" i="14"/>
  <c r="JX15" i="14" s="1"/>
  <c r="JR15" i="14"/>
  <c r="KD14" i="14"/>
  <c r="KE14" i="14" s="1"/>
  <c r="KB14" i="14"/>
  <c r="KC14" i="14" s="1"/>
  <c r="JW14" i="14"/>
  <c r="JX14" i="14" s="1"/>
  <c r="JR14" i="14"/>
  <c r="JS14" i="14" s="1"/>
  <c r="KB13" i="14"/>
  <c r="KC13" i="14" s="1"/>
  <c r="JW13" i="14"/>
  <c r="JX13" i="14" s="1"/>
  <c r="JR13" i="14"/>
  <c r="KD12" i="14"/>
  <c r="KE12" i="14" s="1"/>
  <c r="KB12" i="14"/>
  <c r="KC12" i="14" s="1"/>
  <c r="JW12" i="14"/>
  <c r="JX12" i="14" s="1"/>
  <c r="JR12" i="14"/>
  <c r="JS12" i="14" s="1"/>
  <c r="KB11" i="14"/>
  <c r="KC11" i="14" s="1"/>
  <c r="JW11" i="14"/>
  <c r="JX11" i="14" s="1"/>
  <c r="JR11" i="14"/>
  <c r="KB8" i="14"/>
  <c r="KC8" i="14" s="1"/>
  <c r="JW8" i="14"/>
  <c r="JX8" i="14" s="1"/>
  <c r="JR8" i="14"/>
  <c r="KD7" i="14"/>
  <c r="KE7" i="14" s="1"/>
  <c r="KB7" i="14"/>
  <c r="KC7" i="14" s="1"/>
  <c r="JW7" i="14"/>
  <c r="JX7" i="14" s="1"/>
  <c r="JR7" i="14"/>
  <c r="JS7" i="14" s="1"/>
  <c r="KB6" i="14"/>
  <c r="KC6" i="14" s="1"/>
  <c r="JW6" i="14"/>
  <c r="JX6" i="14" s="1"/>
  <c r="JR6" i="14"/>
  <c r="KB5" i="14"/>
  <c r="KC5" i="14" s="1"/>
  <c r="JW5" i="14"/>
  <c r="JX5" i="14" s="1"/>
  <c r="JR5" i="14"/>
  <c r="KD4" i="14"/>
  <c r="KE4" i="14" s="1"/>
  <c r="KB4" i="14"/>
  <c r="KC4" i="14" s="1"/>
  <c r="JW4" i="14"/>
  <c r="JX4" i="14" s="1"/>
  <c r="JR4" i="14"/>
  <c r="JS4" i="14" s="1"/>
  <c r="JJ20" i="14"/>
  <c r="JI20" i="14"/>
  <c r="JH20" i="14"/>
  <c r="JE20" i="14"/>
  <c r="JD20" i="14"/>
  <c r="JC20" i="14"/>
  <c r="IZ20" i="14"/>
  <c r="IY20" i="14"/>
  <c r="IX20" i="14"/>
  <c r="JK19" i="14"/>
  <c r="JL19" i="14" s="1"/>
  <c r="JF19" i="14"/>
  <c r="JG19" i="14" s="1"/>
  <c r="JA19" i="14"/>
  <c r="JM18" i="14"/>
  <c r="JN18" i="14" s="1"/>
  <c r="JK18" i="14"/>
  <c r="JL18" i="14" s="1"/>
  <c r="JF18" i="14"/>
  <c r="JG18" i="14" s="1"/>
  <c r="JA18" i="14"/>
  <c r="JB18" i="14" s="1"/>
  <c r="JK17" i="14"/>
  <c r="JL17" i="14" s="1"/>
  <c r="JF17" i="14"/>
  <c r="JG17" i="14" s="1"/>
  <c r="JA17" i="14"/>
  <c r="JK16" i="14"/>
  <c r="JL16" i="14" s="1"/>
  <c r="JF16" i="14"/>
  <c r="JG16" i="14" s="1"/>
  <c r="JA16" i="14"/>
  <c r="JK15" i="14"/>
  <c r="JL15" i="14" s="1"/>
  <c r="JF15" i="14"/>
  <c r="JG15" i="14" s="1"/>
  <c r="JA15" i="14"/>
  <c r="JM14" i="14"/>
  <c r="JN14" i="14" s="1"/>
  <c r="JK14" i="14"/>
  <c r="JL14" i="14" s="1"/>
  <c r="JF14" i="14"/>
  <c r="JG14" i="14" s="1"/>
  <c r="JA14" i="14"/>
  <c r="JB14" i="14" s="1"/>
  <c r="JK13" i="14"/>
  <c r="JL13" i="14" s="1"/>
  <c r="JF13" i="14"/>
  <c r="JG13" i="14" s="1"/>
  <c r="JA13" i="14"/>
  <c r="JM12" i="14"/>
  <c r="JN12" i="14" s="1"/>
  <c r="JK12" i="14"/>
  <c r="JL12" i="14" s="1"/>
  <c r="JF12" i="14"/>
  <c r="JG12" i="14" s="1"/>
  <c r="JA12" i="14"/>
  <c r="JB12" i="14" s="1"/>
  <c r="JK11" i="14"/>
  <c r="JL11" i="14" s="1"/>
  <c r="JF11" i="14"/>
  <c r="JG11" i="14" s="1"/>
  <c r="JA11" i="14"/>
  <c r="JK8" i="14"/>
  <c r="JL8" i="14" s="1"/>
  <c r="JF8" i="14"/>
  <c r="JG8" i="14" s="1"/>
  <c r="JA8" i="14"/>
  <c r="JM7" i="14"/>
  <c r="JN7" i="14" s="1"/>
  <c r="JK7" i="14"/>
  <c r="JL7" i="14" s="1"/>
  <c r="JF7" i="14"/>
  <c r="JG7" i="14" s="1"/>
  <c r="JA7" i="14"/>
  <c r="JB7" i="14" s="1"/>
  <c r="JK6" i="14"/>
  <c r="JL6" i="14" s="1"/>
  <c r="JF6" i="14"/>
  <c r="JG6" i="14" s="1"/>
  <c r="JA6" i="14"/>
  <c r="JK5" i="14"/>
  <c r="JL5" i="14" s="1"/>
  <c r="JF5" i="14"/>
  <c r="JG5" i="14" s="1"/>
  <c r="JA5" i="14"/>
  <c r="JM4" i="14"/>
  <c r="JN4" i="14" s="1"/>
  <c r="JK4" i="14"/>
  <c r="JL4" i="14" s="1"/>
  <c r="JF4" i="14"/>
  <c r="JG4" i="14" s="1"/>
  <c r="JA4" i="14"/>
  <c r="JB4" i="14" s="1"/>
  <c r="IS20" i="14"/>
  <c r="IR20" i="14"/>
  <c r="IQ20" i="14"/>
  <c r="IN20" i="14"/>
  <c r="IM20" i="14"/>
  <c r="IL20" i="14"/>
  <c r="II20" i="14"/>
  <c r="IH20" i="14"/>
  <c r="IG20" i="14"/>
  <c r="IT19" i="14"/>
  <c r="IU19" i="14" s="1"/>
  <c r="IO19" i="14"/>
  <c r="IP19" i="14" s="1"/>
  <c r="IJ19" i="14"/>
  <c r="IV18" i="14"/>
  <c r="IW18" i="14" s="1"/>
  <c r="IT18" i="14"/>
  <c r="IU18" i="14" s="1"/>
  <c r="IO18" i="14"/>
  <c r="IP18" i="14" s="1"/>
  <c r="IJ18" i="14"/>
  <c r="IK18" i="14" s="1"/>
  <c r="IT17" i="14"/>
  <c r="IU17" i="14" s="1"/>
  <c r="IO17" i="14"/>
  <c r="IP17" i="14" s="1"/>
  <c r="IJ17" i="14"/>
  <c r="IT16" i="14"/>
  <c r="IU16" i="14" s="1"/>
  <c r="IO16" i="14"/>
  <c r="IP16" i="14" s="1"/>
  <c r="IJ16" i="14"/>
  <c r="IT15" i="14"/>
  <c r="IU15" i="14" s="1"/>
  <c r="IO15" i="14"/>
  <c r="IP15" i="14" s="1"/>
  <c r="IJ15" i="14"/>
  <c r="IV14" i="14"/>
  <c r="IW14" i="14" s="1"/>
  <c r="IT14" i="14"/>
  <c r="IU14" i="14" s="1"/>
  <c r="IO14" i="14"/>
  <c r="IP14" i="14" s="1"/>
  <c r="IJ14" i="14"/>
  <c r="IK14" i="14" s="1"/>
  <c r="IT13" i="14"/>
  <c r="IU13" i="14" s="1"/>
  <c r="IO13" i="14"/>
  <c r="IP13" i="14" s="1"/>
  <c r="IJ13" i="14"/>
  <c r="IV12" i="14"/>
  <c r="IW12" i="14" s="1"/>
  <c r="IT12" i="14"/>
  <c r="IU12" i="14" s="1"/>
  <c r="IO12" i="14"/>
  <c r="IP12" i="14" s="1"/>
  <c r="IJ12" i="14"/>
  <c r="IK12" i="14" s="1"/>
  <c r="IT11" i="14"/>
  <c r="IU11" i="14" s="1"/>
  <c r="IO11" i="14"/>
  <c r="IP11" i="14" s="1"/>
  <c r="IJ11" i="14"/>
  <c r="IT8" i="14"/>
  <c r="IU8" i="14" s="1"/>
  <c r="IO8" i="14"/>
  <c r="IP8" i="14" s="1"/>
  <c r="IJ8" i="14"/>
  <c r="IV7" i="14"/>
  <c r="IW7" i="14" s="1"/>
  <c r="IT7" i="14"/>
  <c r="IU7" i="14" s="1"/>
  <c r="IO7" i="14"/>
  <c r="IP7" i="14" s="1"/>
  <c r="IJ7" i="14"/>
  <c r="IK7" i="14" s="1"/>
  <c r="IT6" i="14"/>
  <c r="IU6" i="14" s="1"/>
  <c r="IO6" i="14"/>
  <c r="IP6" i="14" s="1"/>
  <c r="IJ6" i="14"/>
  <c r="IT5" i="14"/>
  <c r="IU5" i="14" s="1"/>
  <c r="IO5" i="14"/>
  <c r="IP5" i="14" s="1"/>
  <c r="IJ5" i="14"/>
  <c r="IV4" i="14"/>
  <c r="IW4" i="14" s="1"/>
  <c r="IT4" i="14"/>
  <c r="IU4" i="14" s="1"/>
  <c r="IO4" i="14"/>
  <c r="IP4" i="14" s="1"/>
  <c r="IJ4" i="14"/>
  <c r="IK4" i="14" s="1"/>
  <c r="IB20" i="14"/>
  <c r="IA20" i="14"/>
  <c r="HZ20" i="14"/>
  <c r="HW20" i="14"/>
  <c r="HV20" i="14"/>
  <c r="HU20" i="14"/>
  <c r="HR20" i="14"/>
  <c r="HQ20" i="14"/>
  <c r="HP20" i="14"/>
  <c r="IC19" i="14"/>
  <c r="ID19" i="14" s="1"/>
  <c r="HX19" i="14"/>
  <c r="HY19" i="14" s="1"/>
  <c r="HS19" i="14"/>
  <c r="IE18" i="14"/>
  <c r="IF18" i="14" s="1"/>
  <c r="IC18" i="14"/>
  <c r="ID18" i="14" s="1"/>
  <c r="HX18" i="14"/>
  <c r="HY18" i="14" s="1"/>
  <c r="HS18" i="14"/>
  <c r="HT18" i="14" s="1"/>
  <c r="IC17" i="14"/>
  <c r="ID17" i="14" s="1"/>
  <c r="HX17" i="14"/>
  <c r="HY17" i="14" s="1"/>
  <c r="HS17" i="14"/>
  <c r="IC16" i="14"/>
  <c r="ID16" i="14" s="1"/>
  <c r="HX16" i="14"/>
  <c r="HY16" i="14" s="1"/>
  <c r="HS16" i="14"/>
  <c r="IC15" i="14"/>
  <c r="ID15" i="14" s="1"/>
  <c r="HX15" i="14"/>
  <c r="HY15" i="14" s="1"/>
  <c r="HS15" i="14"/>
  <c r="IE14" i="14"/>
  <c r="IF14" i="14" s="1"/>
  <c r="IC14" i="14"/>
  <c r="ID14" i="14" s="1"/>
  <c r="HX14" i="14"/>
  <c r="HY14" i="14" s="1"/>
  <c r="HS14" i="14"/>
  <c r="HT14" i="14" s="1"/>
  <c r="IC13" i="14"/>
  <c r="ID13" i="14" s="1"/>
  <c r="HX13" i="14"/>
  <c r="HY13" i="14" s="1"/>
  <c r="HS13" i="14"/>
  <c r="IE12" i="14"/>
  <c r="IF12" i="14" s="1"/>
  <c r="IC12" i="14"/>
  <c r="ID12" i="14" s="1"/>
  <c r="HX12" i="14"/>
  <c r="HY12" i="14" s="1"/>
  <c r="HS12" i="14"/>
  <c r="HT12" i="14" s="1"/>
  <c r="IC11" i="14"/>
  <c r="ID11" i="14" s="1"/>
  <c r="HX11" i="14"/>
  <c r="HY11" i="14" s="1"/>
  <c r="HS11" i="14"/>
  <c r="IC8" i="14"/>
  <c r="ID8" i="14" s="1"/>
  <c r="HX8" i="14"/>
  <c r="HY8" i="14" s="1"/>
  <c r="HS8" i="14"/>
  <c r="IE7" i="14"/>
  <c r="IF7" i="14" s="1"/>
  <c r="IC7" i="14"/>
  <c r="ID7" i="14" s="1"/>
  <c r="HX7" i="14"/>
  <c r="HY7" i="14" s="1"/>
  <c r="HS7" i="14"/>
  <c r="HT7" i="14" s="1"/>
  <c r="IC6" i="14"/>
  <c r="ID6" i="14" s="1"/>
  <c r="HX6" i="14"/>
  <c r="HY6" i="14" s="1"/>
  <c r="HS6" i="14"/>
  <c r="IC5" i="14"/>
  <c r="ID5" i="14" s="1"/>
  <c r="HX5" i="14"/>
  <c r="HY5" i="14" s="1"/>
  <c r="HS5" i="14"/>
  <c r="IE4" i="14"/>
  <c r="IF4" i="14" s="1"/>
  <c r="IC4" i="14"/>
  <c r="ID4" i="14" s="1"/>
  <c r="HX4" i="14"/>
  <c r="HY4" i="14" s="1"/>
  <c r="HS4" i="14"/>
  <c r="HT4" i="14" s="1"/>
  <c r="HK20" i="14"/>
  <c r="HJ20" i="14"/>
  <c r="HI20" i="14"/>
  <c r="HF20" i="14"/>
  <c r="HE20" i="14"/>
  <c r="HD20" i="14"/>
  <c r="HA20" i="14"/>
  <c r="GZ20" i="14"/>
  <c r="GY20" i="14"/>
  <c r="HL19" i="14"/>
  <c r="HM19" i="14" s="1"/>
  <c r="HG19" i="14"/>
  <c r="HH19" i="14" s="1"/>
  <c r="HB19" i="14"/>
  <c r="HN18" i="14"/>
  <c r="HO18" i="14" s="1"/>
  <c r="HL18" i="14"/>
  <c r="HM18" i="14" s="1"/>
  <c r="HG18" i="14"/>
  <c r="HH18" i="14" s="1"/>
  <c r="HB18" i="14"/>
  <c r="HC18" i="14" s="1"/>
  <c r="HL17" i="14"/>
  <c r="HM17" i="14" s="1"/>
  <c r="HG17" i="14"/>
  <c r="HH17" i="14" s="1"/>
  <c r="HB17" i="14"/>
  <c r="HL16" i="14"/>
  <c r="HM16" i="14" s="1"/>
  <c r="HG16" i="14"/>
  <c r="HH16" i="14" s="1"/>
  <c r="HB16" i="14"/>
  <c r="HL15" i="14"/>
  <c r="HM15" i="14" s="1"/>
  <c r="HG15" i="14"/>
  <c r="HH15" i="14" s="1"/>
  <c r="HB15" i="14"/>
  <c r="HN14" i="14"/>
  <c r="HO14" i="14" s="1"/>
  <c r="HL14" i="14"/>
  <c r="HM14" i="14" s="1"/>
  <c r="HG14" i="14"/>
  <c r="HH14" i="14" s="1"/>
  <c r="HB14" i="14"/>
  <c r="HC14" i="14" s="1"/>
  <c r="HL13" i="14"/>
  <c r="HM13" i="14" s="1"/>
  <c r="HG13" i="14"/>
  <c r="HH13" i="14" s="1"/>
  <c r="HB13" i="14"/>
  <c r="HN12" i="14"/>
  <c r="HO12" i="14" s="1"/>
  <c r="HL12" i="14"/>
  <c r="HM12" i="14" s="1"/>
  <c r="HG12" i="14"/>
  <c r="HH12" i="14" s="1"/>
  <c r="HB12" i="14"/>
  <c r="HC12" i="14" s="1"/>
  <c r="HL11" i="14"/>
  <c r="HM11" i="14" s="1"/>
  <c r="HG11" i="14"/>
  <c r="HH11" i="14" s="1"/>
  <c r="HB11" i="14"/>
  <c r="HL8" i="14"/>
  <c r="HM8" i="14" s="1"/>
  <c r="HG8" i="14"/>
  <c r="HH8" i="14" s="1"/>
  <c r="HB8" i="14"/>
  <c r="HN7" i="14"/>
  <c r="HO7" i="14" s="1"/>
  <c r="HL7" i="14"/>
  <c r="HM7" i="14" s="1"/>
  <c r="HG7" i="14"/>
  <c r="HH7" i="14" s="1"/>
  <c r="HB7" i="14"/>
  <c r="HC7" i="14" s="1"/>
  <c r="HL6" i="14"/>
  <c r="HM6" i="14" s="1"/>
  <c r="HG6" i="14"/>
  <c r="HH6" i="14" s="1"/>
  <c r="HB6" i="14"/>
  <c r="HL5" i="14"/>
  <c r="HM5" i="14" s="1"/>
  <c r="HG5" i="14"/>
  <c r="HH5" i="14" s="1"/>
  <c r="HB5" i="14"/>
  <c r="HN4" i="14"/>
  <c r="HO4" i="14" s="1"/>
  <c r="HL4" i="14"/>
  <c r="HM4" i="14" s="1"/>
  <c r="HG4" i="14"/>
  <c r="HH4" i="14" s="1"/>
  <c r="HB4" i="14"/>
  <c r="HC4" i="14" s="1"/>
  <c r="GT20" i="14"/>
  <c r="GS20" i="14"/>
  <c r="GR20" i="14"/>
  <c r="GO20" i="14"/>
  <c r="GN20" i="14"/>
  <c r="GM20" i="14"/>
  <c r="GJ20" i="14"/>
  <c r="GI20" i="14"/>
  <c r="GH20" i="14"/>
  <c r="GU19" i="14"/>
  <c r="GV19" i="14" s="1"/>
  <c r="GP19" i="14"/>
  <c r="GQ19" i="14" s="1"/>
  <c r="GK19" i="14"/>
  <c r="GW18" i="14"/>
  <c r="GX18" i="14" s="1"/>
  <c r="GU18" i="14"/>
  <c r="GV18" i="14" s="1"/>
  <c r="GP18" i="14"/>
  <c r="GQ18" i="14" s="1"/>
  <c r="GK18" i="14"/>
  <c r="GL18" i="14" s="1"/>
  <c r="GU17" i="14"/>
  <c r="GV17" i="14" s="1"/>
  <c r="GP17" i="14"/>
  <c r="GQ17" i="14" s="1"/>
  <c r="GK17" i="14"/>
  <c r="GU16" i="14"/>
  <c r="GV16" i="14" s="1"/>
  <c r="GP16" i="14"/>
  <c r="GQ16" i="14" s="1"/>
  <c r="GK16" i="14"/>
  <c r="GU15" i="14"/>
  <c r="GV15" i="14" s="1"/>
  <c r="GP15" i="14"/>
  <c r="GQ15" i="14" s="1"/>
  <c r="GK15" i="14"/>
  <c r="GW14" i="14"/>
  <c r="GX14" i="14" s="1"/>
  <c r="GU14" i="14"/>
  <c r="GV14" i="14" s="1"/>
  <c r="GP14" i="14"/>
  <c r="GQ14" i="14" s="1"/>
  <c r="GK14" i="14"/>
  <c r="GL14" i="14" s="1"/>
  <c r="GU13" i="14"/>
  <c r="GV13" i="14" s="1"/>
  <c r="GP13" i="14"/>
  <c r="GQ13" i="14" s="1"/>
  <c r="GK13" i="14"/>
  <c r="GW12" i="14"/>
  <c r="GX12" i="14" s="1"/>
  <c r="GU12" i="14"/>
  <c r="GV12" i="14" s="1"/>
  <c r="GP12" i="14"/>
  <c r="GQ12" i="14" s="1"/>
  <c r="GK12" i="14"/>
  <c r="GL12" i="14" s="1"/>
  <c r="GU11" i="14"/>
  <c r="GV11" i="14" s="1"/>
  <c r="GP11" i="14"/>
  <c r="GQ11" i="14" s="1"/>
  <c r="GK11" i="14"/>
  <c r="GU8" i="14"/>
  <c r="GV8" i="14" s="1"/>
  <c r="GP8" i="14"/>
  <c r="GQ8" i="14" s="1"/>
  <c r="GK8" i="14"/>
  <c r="GW7" i="14"/>
  <c r="GX7" i="14" s="1"/>
  <c r="GU7" i="14"/>
  <c r="GV7" i="14" s="1"/>
  <c r="GP7" i="14"/>
  <c r="GQ7" i="14" s="1"/>
  <c r="GK7" i="14"/>
  <c r="GL7" i="14" s="1"/>
  <c r="GU6" i="14"/>
  <c r="GV6" i="14" s="1"/>
  <c r="GP6" i="14"/>
  <c r="GQ6" i="14" s="1"/>
  <c r="GK6" i="14"/>
  <c r="GU5" i="14"/>
  <c r="GV5" i="14" s="1"/>
  <c r="GP5" i="14"/>
  <c r="GQ5" i="14" s="1"/>
  <c r="GK5" i="14"/>
  <c r="GW4" i="14"/>
  <c r="GX4" i="14" s="1"/>
  <c r="GU4" i="14"/>
  <c r="GV4" i="14" s="1"/>
  <c r="GP4" i="14"/>
  <c r="GQ4" i="14" s="1"/>
  <c r="GK4" i="14"/>
  <c r="GL4" i="14" s="1"/>
  <c r="GC20" i="14"/>
  <c r="GB20" i="14"/>
  <c r="GA20" i="14"/>
  <c r="FX20" i="14"/>
  <c r="FW20" i="14"/>
  <c r="FV20" i="14"/>
  <c r="FS20" i="14"/>
  <c r="FR20" i="14"/>
  <c r="FQ20" i="14"/>
  <c r="GD19" i="14"/>
  <c r="GE19" i="14" s="1"/>
  <c r="FY19" i="14"/>
  <c r="FZ19" i="14" s="1"/>
  <c r="FT19" i="14"/>
  <c r="GF18" i="14"/>
  <c r="GG18" i="14" s="1"/>
  <c r="GD18" i="14"/>
  <c r="GE18" i="14" s="1"/>
  <c r="FY18" i="14"/>
  <c r="FZ18" i="14" s="1"/>
  <c r="FT18" i="14"/>
  <c r="FU18" i="14" s="1"/>
  <c r="GD17" i="14"/>
  <c r="GE17" i="14" s="1"/>
  <c r="FY17" i="14"/>
  <c r="FZ17" i="14" s="1"/>
  <c r="FT17" i="14"/>
  <c r="GD16" i="14"/>
  <c r="GE16" i="14" s="1"/>
  <c r="FY16" i="14"/>
  <c r="FZ16" i="14" s="1"/>
  <c r="FT16" i="14"/>
  <c r="GD15" i="14"/>
  <c r="GE15" i="14" s="1"/>
  <c r="FY15" i="14"/>
  <c r="FZ15" i="14" s="1"/>
  <c r="FT15" i="14"/>
  <c r="GF14" i="14"/>
  <c r="GG14" i="14" s="1"/>
  <c r="GD14" i="14"/>
  <c r="GE14" i="14" s="1"/>
  <c r="FY14" i="14"/>
  <c r="FZ14" i="14" s="1"/>
  <c r="FT14" i="14"/>
  <c r="FU14" i="14" s="1"/>
  <c r="GD13" i="14"/>
  <c r="GE13" i="14" s="1"/>
  <c r="FY13" i="14"/>
  <c r="FZ13" i="14" s="1"/>
  <c r="FT13" i="14"/>
  <c r="GF12" i="14"/>
  <c r="GG12" i="14" s="1"/>
  <c r="GD12" i="14"/>
  <c r="GE12" i="14" s="1"/>
  <c r="FY12" i="14"/>
  <c r="FZ12" i="14" s="1"/>
  <c r="FT12" i="14"/>
  <c r="FU12" i="14" s="1"/>
  <c r="GD11" i="14"/>
  <c r="GE11" i="14" s="1"/>
  <c r="FY11" i="14"/>
  <c r="FZ11" i="14" s="1"/>
  <c r="FT11" i="14"/>
  <c r="GD8" i="14"/>
  <c r="GE8" i="14" s="1"/>
  <c r="FY8" i="14"/>
  <c r="FZ8" i="14" s="1"/>
  <c r="FT8" i="14"/>
  <c r="GF7" i="14"/>
  <c r="GG7" i="14" s="1"/>
  <c r="GD7" i="14"/>
  <c r="GE7" i="14" s="1"/>
  <c r="FY7" i="14"/>
  <c r="FZ7" i="14" s="1"/>
  <c r="FT7" i="14"/>
  <c r="FU7" i="14" s="1"/>
  <c r="GD6" i="14"/>
  <c r="GE6" i="14" s="1"/>
  <c r="FY6" i="14"/>
  <c r="FZ6" i="14" s="1"/>
  <c r="FT6" i="14"/>
  <c r="GD5" i="14"/>
  <c r="GE5" i="14" s="1"/>
  <c r="FY5" i="14"/>
  <c r="FZ5" i="14" s="1"/>
  <c r="FT5" i="14"/>
  <c r="GF4" i="14"/>
  <c r="GG4" i="14" s="1"/>
  <c r="GD4" i="14"/>
  <c r="GE4" i="14" s="1"/>
  <c r="FY4" i="14"/>
  <c r="FZ4" i="14" s="1"/>
  <c r="FT4" i="14"/>
  <c r="FU4" i="14" s="1"/>
  <c r="FL20" i="14"/>
  <c r="FK20" i="14"/>
  <c r="FJ20" i="14"/>
  <c r="FG20" i="14"/>
  <c r="FF20" i="14"/>
  <c r="FE20" i="14"/>
  <c r="FB20" i="14"/>
  <c r="FA20" i="14"/>
  <c r="EZ20" i="14"/>
  <c r="FM19" i="14"/>
  <c r="FN19" i="14" s="1"/>
  <c r="FH19" i="14"/>
  <c r="FI19" i="14" s="1"/>
  <c r="FC19" i="14"/>
  <c r="FO18" i="14"/>
  <c r="FP18" i="14" s="1"/>
  <c r="FM18" i="14"/>
  <c r="FN18" i="14" s="1"/>
  <c r="FH18" i="14"/>
  <c r="FI18" i="14" s="1"/>
  <c r="FC18" i="14"/>
  <c r="FD18" i="14" s="1"/>
  <c r="FM17" i="14"/>
  <c r="FN17" i="14" s="1"/>
  <c r="FH17" i="14"/>
  <c r="FI17" i="14" s="1"/>
  <c r="FC17" i="14"/>
  <c r="FM16" i="14"/>
  <c r="FN16" i="14" s="1"/>
  <c r="FH16" i="14"/>
  <c r="FI16" i="14" s="1"/>
  <c r="FC16" i="14"/>
  <c r="FM15" i="14"/>
  <c r="FN15" i="14" s="1"/>
  <c r="FH15" i="14"/>
  <c r="FI15" i="14" s="1"/>
  <c r="FC15" i="14"/>
  <c r="FO14" i="14"/>
  <c r="FP14" i="14" s="1"/>
  <c r="FM14" i="14"/>
  <c r="FN14" i="14" s="1"/>
  <c r="FH14" i="14"/>
  <c r="FI14" i="14" s="1"/>
  <c r="FC14" i="14"/>
  <c r="FD14" i="14" s="1"/>
  <c r="FM13" i="14"/>
  <c r="FN13" i="14" s="1"/>
  <c r="FH13" i="14"/>
  <c r="FI13" i="14" s="1"/>
  <c r="FC13" i="14"/>
  <c r="FO12" i="14"/>
  <c r="FP12" i="14" s="1"/>
  <c r="FM12" i="14"/>
  <c r="FN12" i="14" s="1"/>
  <c r="FH12" i="14"/>
  <c r="FI12" i="14" s="1"/>
  <c r="FC12" i="14"/>
  <c r="FD12" i="14" s="1"/>
  <c r="FM11" i="14"/>
  <c r="FN11" i="14" s="1"/>
  <c r="FH11" i="14"/>
  <c r="FI11" i="14" s="1"/>
  <c r="FC11" i="14"/>
  <c r="FM8" i="14"/>
  <c r="FN8" i="14" s="1"/>
  <c r="FH8" i="14"/>
  <c r="FI8" i="14" s="1"/>
  <c r="FC8" i="14"/>
  <c r="FO7" i="14"/>
  <c r="FP7" i="14" s="1"/>
  <c r="FM7" i="14"/>
  <c r="FN7" i="14" s="1"/>
  <c r="FH7" i="14"/>
  <c r="FI7" i="14" s="1"/>
  <c r="FC7" i="14"/>
  <c r="FD7" i="14" s="1"/>
  <c r="FM6" i="14"/>
  <c r="FN6" i="14" s="1"/>
  <c r="FH6" i="14"/>
  <c r="FI6" i="14" s="1"/>
  <c r="FC6" i="14"/>
  <c r="FM5" i="14"/>
  <c r="FN5" i="14" s="1"/>
  <c r="FH5" i="14"/>
  <c r="FI5" i="14" s="1"/>
  <c r="FC5" i="14"/>
  <c r="FO4" i="14"/>
  <c r="FP4" i="14" s="1"/>
  <c r="FM4" i="14"/>
  <c r="FN4" i="14" s="1"/>
  <c r="FH4" i="14"/>
  <c r="FI4" i="14" s="1"/>
  <c r="FC4" i="14"/>
  <c r="FD4" i="14" s="1"/>
  <c r="EU20" i="14"/>
  <c r="ET20" i="14"/>
  <c r="ES20" i="14"/>
  <c r="EP20" i="14"/>
  <c r="EO20" i="14"/>
  <c r="EN20" i="14"/>
  <c r="EK20" i="14"/>
  <c r="EJ20" i="14"/>
  <c r="EI20" i="14"/>
  <c r="EV19" i="14"/>
  <c r="EW19" i="14" s="1"/>
  <c r="EQ19" i="14"/>
  <c r="ER19" i="14" s="1"/>
  <c r="EL19" i="14"/>
  <c r="EX18" i="14"/>
  <c r="EY18" i="14" s="1"/>
  <c r="EV18" i="14"/>
  <c r="EW18" i="14" s="1"/>
  <c r="EQ18" i="14"/>
  <c r="ER18" i="14" s="1"/>
  <c r="EL18" i="14"/>
  <c r="EM18" i="14" s="1"/>
  <c r="EV17" i="14"/>
  <c r="EW17" i="14" s="1"/>
  <c r="EQ17" i="14"/>
  <c r="ER17" i="14" s="1"/>
  <c r="EL17" i="14"/>
  <c r="EV16" i="14"/>
  <c r="EW16" i="14" s="1"/>
  <c r="EQ16" i="14"/>
  <c r="ER16" i="14" s="1"/>
  <c r="EL16" i="14"/>
  <c r="EV15" i="14"/>
  <c r="EW15" i="14" s="1"/>
  <c r="EQ15" i="14"/>
  <c r="ER15" i="14" s="1"/>
  <c r="EL15" i="14"/>
  <c r="EX14" i="14"/>
  <c r="EY14" i="14" s="1"/>
  <c r="EV14" i="14"/>
  <c r="EW14" i="14" s="1"/>
  <c r="EQ14" i="14"/>
  <c r="ER14" i="14" s="1"/>
  <c r="EL14" i="14"/>
  <c r="EM14" i="14" s="1"/>
  <c r="EV13" i="14"/>
  <c r="EW13" i="14" s="1"/>
  <c r="EQ13" i="14"/>
  <c r="ER13" i="14" s="1"/>
  <c r="EL13" i="14"/>
  <c r="EX12" i="14"/>
  <c r="EY12" i="14" s="1"/>
  <c r="EV12" i="14"/>
  <c r="EW12" i="14" s="1"/>
  <c r="EQ12" i="14"/>
  <c r="ER12" i="14" s="1"/>
  <c r="EL12" i="14"/>
  <c r="EM12" i="14" s="1"/>
  <c r="EV11" i="14"/>
  <c r="EW11" i="14" s="1"/>
  <c r="EQ11" i="14"/>
  <c r="ER11" i="14" s="1"/>
  <c r="EL11" i="14"/>
  <c r="EV8" i="14"/>
  <c r="EW8" i="14" s="1"/>
  <c r="EQ8" i="14"/>
  <c r="ER8" i="14" s="1"/>
  <c r="EL8" i="14"/>
  <c r="EX7" i="14"/>
  <c r="EY7" i="14" s="1"/>
  <c r="EV7" i="14"/>
  <c r="EW7" i="14" s="1"/>
  <c r="EQ7" i="14"/>
  <c r="ER7" i="14" s="1"/>
  <c r="EL7" i="14"/>
  <c r="EM7" i="14" s="1"/>
  <c r="EV6" i="14"/>
  <c r="EW6" i="14" s="1"/>
  <c r="EQ6" i="14"/>
  <c r="ER6" i="14" s="1"/>
  <c r="EL6" i="14"/>
  <c r="EV5" i="14"/>
  <c r="EW5" i="14" s="1"/>
  <c r="EQ5" i="14"/>
  <c r="ER5" i="14" s="1"/>
  <c r="EL5" i="14"/>
  <c r="EX4" i="14"/>
  <c r="EY4" i="14" s="1"/>
  <c r="EV4" i="14"/>
  <c r="EW4" i="14" s="1"/>
  <c r="EQ4" i="14"/>
  <c r="ER4" i="14" s="1"/>
  <c r="EL4" i="14"/>
  <c r="EM4" i="14" s="1"/>
  <c r="ED20" i="14"/>
  <c r="EC20" i="14"/>
  <c r="EB20" i="14"/>
  <c r="DY20" i="14"/>
  <c r="DX20" i="14"/>
  <c r="DW20" i="14"/>
  <c r="DT20" i="14"/>
  <c r="DS20" i="14"/>
  <c r="DR20" i="14"/>
  <c r="EE19" i="14"/>
  <c r="EF19" i="14" s="1"/>
  <c r="DZ19" i="14"/>
  <c r="EA19" i="14" s="1"/>
  <c r="DU19" i="14"/>
  <c r="EG18" i="14"/>
  <c r="EH18" i="14" s="1"/>
  <c r="EE18" i="14"/>
  <c r="EF18" i="14" s="1"/>
  <c r="DZ18" i="14"/>
  <c r="EA18" i="14" s="1"/>
  <c r="DU18" i="14"/>
  <c r="DV18" i="14" s="1"/>
  <c r="EE17" i="14"/>
  <c r="EF17" i="14" s="1"/>
  <c r="DZ17" i="14"/>
  <c r="EA17" i="14" s="1"/>
  <c r="DU17" i="14"/>
  <c r="EE16" i="14"/>
  <c r="EF16" i="14" s="1"/>
  <c r="DZ16" i="14"/>
  <c r="EA16" i="14" s="1"/>
  <c r="DU16" i="14"/>
  <c r="EE15" i="14"/>
  <c r="EF15" i="14" s="1"/>
  <c r="DZ15" i="14"/>
  <c r="EA15" i="14" s="1"/>
  <c r="DU15" i="14"/>
  <c r="EG14" i="14"/>
  <c r="EH14" i="14" s="1"/>
  <c r="EE14" i="14"/>
  <c r="EF14" i="14" s="1"/>
  <c r="DZ14" i="14"/>
  <c r="EA14" i="14" s="1"/>
  <c r="DU14" i="14"/>
  <c r="DV14" i="14" s="1"/>
  <c r="EE13" i="14"/>
  <c r="EF13" i="14" s="1"/>
  <c r="DZ13" i="14"/>
  <c r="EA13" i="14" s="1"/>
  <c r="DU13" i="14"/>
  <c r="EG12" i="14"/>
  <c r="EH12" i="14" s="1"/>
  <c r="EE12" i="14"/>
  <c r="EF12" i="14" s="1"/>
  <c r="DZ12" i="14"/>
  <c r="EA12" i="14" s="1"/>
  <c r="DU12" i="14"/>
  <c r="DV12" i="14" s="1"/>
  <c r="EE11" i="14"/>
  <c r="EF11" i="14" s="1"/>
  <c r="DZ11" i="14"/>
  <c r="EA11" i="14" s="1"/>
  <c r="DU11" i="14"/>
  <c r="EE8" i="14"/>
  <c r="EF8" i="14" s="1"/>
  <c r="DZ8" i="14"/>
  <c r="EA8" i="14" s="1"/>
  <c r="DU8" i="14"/>
  <c r="EG7" i="14"/>
  <c r="EH7" i="14" s="1"/>
  <c r="EE7" i="14"/>
  <c r="EF7" i="14" s="1"/>
  <c r="DZ7" i="14"/>
  <c r="EA7" i="14" s="1"/>
  <c r="DU7" i="14"/>
  <c r="DV7" i="14" s="1"/>
  <c r="EE6" i="14"/>
  <c r="EF6" i="14" s="1"/>
  <c r="DZ6" i="14"/>
  <c r="EA6" i="14" s="1"/>
  <c r="DU6" i="14"/>
  <c r="EE5" i="14"/>
  <c r="EF5" i="14" s="1"/>
  <c r="DZ5" i="14"/>
  <c r="EA5" i="14" s="1"/>
  <c r="DU5" i="14"/>
  <c r="EG4" i="14"/>
  <c r="EH4" i="14" s="1"/>
  <c r="EE4" i="14"/>
  <c r="EF4" i="14" s="1"/>
  <c r="DZ4" i="14"/>
  <c r="EA4" i="14" s="1"/>
  <c r="DU4" i="14"/>
  <c r="DV4" i="14" s="1"/>
  <c r="DM20" i="14"/>
  <c r="DL20" i="14"/>
  <c r="DK20" i="14"/>
  <c r="DH20" i="14"/>
  <c r="DG20" i="14"/>
  <c r="DF20" i="14"/>
  <c r="DC20" i="14"/>
  <c r="DB20" i="14"/>
  <c r="DA20" i="14"/>
  <c r="DN19" i="14"/>
  <c r="DO19" i="14" s="1"/>
  <c r="DI19" i="14"/>
  <c r="DJ19" i="14" s="1"/>
  <c r="DD19" i="14"/>
  <c r="DP18" i="14"/>
  <c r="DQ18" i="14" s="1"/>
  <c r="DN18" i="14"/>
  <c r="DO18" i="14" s="1"/>
  <c r="DI18" i="14"/>
  <c r="DJ18" i="14" s="1"/>
  <c r="DD18" i="14"/>
  <c r="DE18" i="14" s="1"/>
  <c r="DN17" i="14"/>
  <c r="DO17" i="14" s="1"/>
  <c r="DI17" i="14"/>
  <c r="DJ17" i="14" s="1"/>
  <c r="DD17" i="14"/>
  <c r="DN16" i="14"/>
  <c r="DO16" i="14" s="1"/>
  <c r="DI16" i="14"/>
  <c r="DJ16" i="14" s="1"/>
  <c r="DD16" i="14"/>
  <c r="DN15" i="14"/>
  <c r="DO15" i="14" s="1"/>
  <c r="DI15" i="14"/>
  <c r="DJ15" i="14" s="1"/>
  <c r="DD15" i="14"/>
  <c r="DP14" i="14"/>
  <c r="DQ14" i="14" s="1"/>
  <c r="DN14" i="14"/>
  <c r="DO14" i="14" s="1"/>
  <c r="DI14" i="14"/>
  <c r="DJ14" i="14" s="1"/>
  <c r="DD14" i="14"/>
  <c r="DE14" i="14" s="1"/>
  <c r="DN13" i="14"/>
  <c r="DO13" i="14" s="1"/>
  <c r="DI13" i="14"/>
  <c r="DJ13" i="14" s="1"/>
  <c r="DD13" i="14"/>
  <c r="DP12" i="14"/>
  <c r="DQ12" i="14" s="1"/>
  <c r="DN12" i="14"/>
  <c r="DO12" i="14" s="1"/>
  <c r="DI12" i="14"/>
  <c r="DJ12" i="14" s="1"/>
  <c r="DD12" i="14"/>
  <c r="DE12" i="14" s="1"/>
  <c r="DN11" i="14"/>
  <c r="DO11" i="14" s="1"/>
  <c r="DI11" i="14"/>
  <c r="DJ11" i="14" s="1"/>
  <c r="DD11" i="14"/>
  <c r="DN8" i="14"/>
  <c r="DO8" i="14" s="1"/>
  <c r="DI8" i="14"/>
  <c r="DJ8" i="14" s="1"/>
  <c r="DD8" i="14"/>
  <c r="DP7" i="14"/>
  <c r="DQ7" i="14" s="1"/>
  <c r="DN7" i="14"/>
  <c r="DO7" i="14" s="1"/>
  <c r="DI7" i="14"/>
  <c r="DJ7" i="14" s="1"/>
  <c r="DD7" i="14"/>
  <c r="DE7" i="14" s="1"/>
  <c r="DN6" i="14"/>
  <c r="DO6" i="14" s="1"/>
  <c r="DI6" i="14"/>
  <c r="DJ6" i="14" s="1"/>
  <c r="DD6" i="14"/>
  <c r="DN5" i="14"/>
  <c r="DO5" i="14" s="1"/>
  <c r="DI5" i="14"/>
  <c r="DJ5" i="14" s="1"/>
  <c r="DD5" i="14"/>
  <c r="DP4" i="14"/>
  <c r="DQ4" i="14" s="1"/>
  <c r="DN4" i="14"/>
  <c r="DO4" i="14" s="1"/>
  <c r="DI4" i="14"/>
  <c r="DJ4" i="14" s="1"/>
  <c r="DD4" i="14"/>
  <c r="DE4" i="14" s="1"/>
  <c r="CV20" i="14"/>
  <c r="CU20" i="14"/>
  <c r="CT20" i="14"/>
  <c r="CQ20" i="14"/>
  <c r="CP20" i="14"/>
  <c r="CO20" i="14"/>
  <c r="CL20" i="14"/>
  <c r="CK20" i="14"/>
  <c r="CJ20" i="14"/>
  <c r="CW19" i="14"/>
  <c r="CX19" i="14" s="1"/>
  <c r="CR19" i="14"/>
  <c r="CS19" i="14" s="1"/>
  <c r="CM19" i="14"/>
  <c r="CY18" i="14"/>
  <c r="CZ18" i="14" s="1"/>
  <c r="CW18" i="14"/>
  <c r="CX18" i="14" s="1"/>
  <c r="CR18" i="14"/>
  <c r="CS18" i="14" s="1"/>
  <c r="CM18" i="14"/>
  <c r="CN18" i="14" s="1"/>
  <c r="CW17" i="14"/>
  <c r="CX17" i="14" s="1"/>
  <c r="CR17" i="14"/>
  <c r="CS17" i="14" s="1"/>
  <c r="CM17" i="14"/>
  <c r="CW16" i="14"/>
  <c r="CX16" i="14" s="1"/>
  <c r="CR16" i="14"/>
  <c r="CS16" i="14" s="1"/>
  <c r="CM16" i="14"/>
  <c r="CW15" i="14"/>
  <c r="CX15" i="14" s="1"/>
  <c r="CR15" i="14"/>
  <c r="CS15" i="14" s="1"/>
  <c r="CM15" i="14"/>
  <c r="CY14" i="14"/>
  <c r="CZ14" i="14" s="1"/>
  <c r="CW14" i="14"/>
  <c r="CX14" i="14" s="1"/>
  <c r="CR14" i="14"/>
  <c r="CS14" i="14" s="1"/>
  <c r="CM14" i="14"/>
  <c r="CN14" i="14" s="1"/>
  <c r="CW13" i="14"/>
  <c r="CX13" i="14" s="1"/>
  <c r="CR13" i="14"/>
  <c r="CS13" i="14" s="1"/>
  <c r="CM13" i="14"/>
  <c r="CY12" i="14"/>
  <c r="CZ12" i="14" s="1"/>
  <c r="CW12" i="14"/>
  <c r="CX12" i="14" s="1"/>
  <c r="CR12" i="14"/>
  <c r="CS12" i="14" s="1"/>
  <c r="CM12" i="14"/>
  <c r="CN12" i="14" s="1"/>
  <c r="CW11" i="14"/>
  <c r="CX11" i="14" s="1"/>
  <c r="CR11" i="14"/>
  <c r="CS11" i="14" s="1"/>
  <c r="CM11" i="14"/>
  <c r="CW8" i="14"/>
  <c r="CX8" i="14" s="1"/>
  <c r="CR8" i="14"/>
  <c r="CS8" i="14" s="1"/>
  <c r="CM8" i="14"/>
  <c r="CY7" i="14"/>
  <c r="CZ7" i="14" s="1"/>
  <c r="CW7" i="14"/>
  <c r="CX7" i="14" s="1"/>
  <c r="CR7" i="14"/>
  <c r="CS7" i="14" s="1"/>
  <c r="CM7" i="14"/>
  <c r="CN7" i="14" s="1"/>
  <c r="CW6" i="14"/>
  <c r="CX6" i="14" s="1"/>
  <c r="CR6" i="14"/>
  <c r="CS6" i="14" s="1"/>
  <c r="CM6" i="14"/>
  <c r="CW5" i="14"/>
  <c r="CX5" i="14" s="1"/>
  <c r="CR5" i="14"/>
  <c r="CS5" i="14" s="1"/>
  <c r="CM5" i="14"/>
  <c r="CY4" i="14"/>
  <c r="CZ4" i="14" s="1"/>
  <c r="CW4" i="14"/>
  <c r="CX4" i="14" s="1"/>
  <c r="CR4" i="14"/>
  <c r="CS4" i="14" s="1"/>
  <c r="CM4" i="14"/>
  <c r="CN4" i="14" s="1"/>
  <c r="CE20" i="14"/>
  <c r="CD20" i="14"/>
  <c r="CC20" i="14"/>
  <c r="BZ20" i="14"/>
  <c r="BY20" i="14"/>
  <c r="BX20" i="14"/>
  <c r="BU20" i="14"/>
  <c r="BT20" i="14"/>
  <c r="BS20" i="14"/>
  <c r="CF19" i="14"/>
  <c r="CG19" i="14" s="1"/>
  <c r="CA19" i="14"/>
  <c r="CB19" i="14" s="1"/>
  <c r="BV19" i="14"/>
  <c r="CH18" i="14"/>
  <c r="CI18" i="14" s="1"/>
  <c r="CF18" i="14"/>
  <c r="CG18" i="14" s="1"/>
  <c r="CA18" i="14"/>
  <c r="CB18" i="14" s="1"/>
  <c r="BV18" i="14"/>
  <c r="BW18" i="14" s="1"/>
  <c r="CF17" i="14"/>
  <c r="CG17" i="14" s="1"/>
  <c r="CA17" i="14"/>
  <c r="CB17" i="14" s="1"/>
  <c r="BV17" i="14"/>
  <c r="CF16" i="14"/>
  <c r="CG16" i="14" s="1"/>
  <c r="CA16" i="14"/>
  <c r="CB16" i="14" s="1"/>
  <c r="BV16" i="14"/>
  <c r="CF15" i="14"/>
  <c r="CG15" i="14" s="1"/>
  <c r="CA15" i="14"/>
  <c r="CB15" i="14" s="1"/>
  <c r="BV15" i="14"/>
  <c r="CH14" i="14"/>
  <c r="CI14" i="14" s="1"/>
  <c r="CF14" i="14"/>
  <c r="CG14" i="14" s="1"/>
  <c r="CA14" i="14"/>
  <c r="CB14" i="14" s="1"/>
  <c r="BV14" i="14"/>
  <c r="BW14" i="14" s="1"/>
  <c r="CF13" i="14"/>
  <c r="CG13" i="14" s="1"/>
  <c r="CA13" i="14"/>
  <c r="CB13" i="14" s="1"/>
  <c r="BV13" i="14"/>
  <c r="CH12" i="14"/>
  <c r="CI12" i="14" s="1"/>
  <c r="CF12" i="14"/>
  <c r="CG12" i="14" s="1"/>
  <c r="CA12" i="14"/>
  <c r="CB12" i="14" s="1"/>
  <c r="BV12" i="14"/>
  <c r="BW12" i="14" s="1"/>
  <c r="CF11" i="14"/>
  <c r="CG11" i="14" s="1"/>
  <c r="CA11" i="14"/>
  <c r="CB11" i="14" s="1"/>
  <c r="BV11" i="14"/>
  <c r="CF8" i="14"/>
  <c r="CG8" i="14" s="1"/>
  <c r="CA8" i="14"/>
  <c r="CB8" i="14" s="1"/>
  <c r="BV8" i="14"/>
  <c r="CH7" i="14"/>
  <c r="CI7" i="14" s="1"/>
  <c r="CF7" i="14"/>
  <c r="CG7" i="14" s="1"/>
  <c r="CA7" i="14"/>
  <c r="CB7" i="14" s="1"/>
  <c r="BV7" i="14"/>
  <c r="BW7" i="14" s="1"/>
  <c r="CF6" i="14"/>
  <c r="CG6" i="14" s="1"/>
  <c r="CA6" i="14"/>
  <c r="CB6" i="14" s="1"/>
  <c r="BV6" i="14"/>
  <c r="CF5" i="14"/>
  <c r="CG5" i="14" s="1"/>
  <c r="CA5" i="14"/>
  <c r="CB5" i="14" s="1"/>
  <c r="BV5" i="14"/>
  <c r="CH4" i="14"/>
  <c r="CI4" i="14" s="1"/>
  <c r="CF4" i="14"/>
  <c r="CG4" i="14" s="1"/>
  <c r="CA4" i="14"/>
  <c r="CB4" i="14" s="1"/>
  <c r="BV4" i="14"/>
  <c r="BW4" i="14" s="1"/>
  <c r="BN20" i="14"/>
  <c r="BM20" i="14"/>
  <c r="BL20" i="14"/>
  <c r="BI20" i="14"/>
  <c r="BH20" i="14"/>
  <c r="BG20" i="14"/>
  <c r="BD20" i="14"/>
  <c r="BC20" i="14"/>
  <c r="BB20" i="14"/>
  <c r="BO19" i="14"/>
  <c r="BP19" i="14" s="1"/>
  <c r="BJ19" i="14"/>
  <c r="BK19" i="14" s="1"/>
  <c r="BE19" i="14"/>
  <c r="BQ18" i="14"/>
  <c r="BR18" i="14" s="1"/>
  <c r="BO18" i="14"/>
  <c r="BP18" i="14" s="1"/>
  <c r="BJ18" i="14"/>
  <c r="BK18" i="14" s="1"/>
  <c r="BE18" i="14"/>
  <c r="BF18" i="14" s="1"/>
  <c r="BO17" i="14"/>
  <c r="BP17" i="14" s="1"/>
  <c r="BJ17" i="14"/>
  <c r="BK17" i="14" s="1"/>
  <c r="BE17" i="14"/>
  <c r="BO16" i="14"/>
  <c r="BP16" i="14" s="1"/>
  <c r="BJ16" i="14"/>
  <c r="BK16" i="14" s="1"/>
  <c r="BE16" i="14"/>
  <c r="BO15" i="14"/>
  <c r="BP15" i="14" s="1"/>
  <c r="BJ15" i="14"/>
  <c r="BK15" i="14" s="1"/>
  <c r="BE15" i="14"/>
  <c r="BQ14" i="14"/>
  <c r="BR14" i="14" s="1"/>
  <c r="BO14" i="14"/>
  <c r="BP14" i="14" s="1"/>
  <c r="BJ14" i="14"/>
  <c r="BK14" i="14" s="1"/>
  <c r="BE14" i="14"/>
  <c r="BF14" i="14" s="1"/>
  <c r="BO13" i="14"/>
  <c r="BP13" i="14" s="1"/>
  <c r="BJ13" i="14"/>
  <c r="BK13" i="14" s="1"/>
  <c r="BE13" i="14"/>
  <c r="BQ12" i="14"/>
  <c r="BR12" i="14" s="1"/>
  <c r="BO12" i="14"/>
  <c r="BP12" i="14" s="1"/>
  <c r="BJ12" i="14"/>
  <c r="BK12" i="14" s="1"/>
  <c r="BE12" i="14"/>
  <c r="BF12" i="14" s="1"/>
  <c r="BO11" i="14"/>
  <c r="BP11" i="14" s="1"/>
  <c r="BJ11" i="14"/>
  <c r="BK11" i="14" s="1"/>
  <c r="BE11" i="14"/>
  <c r="BO8" i="14"/>
  <c r="BP8" i="14" s="1"/>
  <c r="BJ8" i="14"/>
  <c r="BK8" i="14" s="1"/>
  <c r="BE8" i="14"/>
  <c r="BQ7" i="14"/>
  <c r="BR7" i="14" s="1"/>
  <c r="BO7" i="14"/>
  <c r="BP7" i="14" s="1"/>
  <c r="BJ7" i="14"/>
  <c r="BK7" i="14" s="1"/>
  <c r="BE7" i="14"/>
  <c r="BF7" i="14" s="1"/>
  <c r="BO6" i="14"/>
  <c r="BP6" i="14" s="1"/>
  <c r="BJ6" i="14"/>
  <c r="BK6" i="14" s="1"/>
  <c r="BE6" i="14"/>
  <c r="BO5" i="14"/>
  <c r="BP5" i="14" s="1"/>
  <c r="BJ5" i="14"/>
  <c r="BK5" i="14" s="1"/>
  <c r="BE5" i="14"/>
  <c r="BQ4" i="14"/>
  <c r="BR4" i="14" s="1"/>
  <c r="BO4" i="14"/>
  <c r="BP4" i="14" s="1"/>
  <c r="BJ4" i="14"/>
  <c r="BK4" i="14" s="1"/>
  <c r="BE4" i="14"/>
  <c r="BF4" i="14" s="1"/>
  <c r="AW20" i="14"/>
  <c r="AV20" i="14"/>
  <c r="AU20" i="14"/>
  <c r="AR20" i="14"/>
  <c r="AQ20" i="14"/>
  <c r="AP20" i="14"/>
  <c r="AM20" i="14"/>
  <c r="AL20" i="14"/>
  <c r="AK20" i="14"/>
  <c r="AX19" i="14"/>
  <c r="AY19" i="14" s="1"/>
  <c r="AS19" i="14"/>
  <c r="AT19" i="14" s="1"/>
  <c r="AN19" i="14"/>
  <c r="AZ18" i="14"/>
  <c r="BA18" i="14" s="1"/>
  <c r="AX18" i="14"/>
  <c r="AY18" i="14" s="1"/>
  <c r="AS18" i="14"/>
  <c r="AT18" i="14" s="1"/>
  <c r="AN18" i="14"/>
  <c r="AO18" i="14" s="1"/>
  <c r="AX17" i="14"/>
  <c r="AY17" i="14" s="1"/>
  <c r="AS17" i="14"/>
  <c r="AT17" i="14" s="1"/>
  <c r="AN17" i="14"/>
  <c r="AX16" i="14"/>
  <c r="AY16" i="14" s="1"/>
  <c r="AS16" i="14"/>
  <c r="AT16" i="14" s="1"/>
  <c r="AN16" i="14"/>
  <c r="AX15" i="14"/>
  <c r="AY15" i="14" s="1"/>
  <c r="AS15" i="14"/>
  <c r="AT15" i="14" s="1"/>
  <c r="AN15" i="14"/>
  <c r="AZ14" i="14"/>
  <c r="BA14" i="14" s="1"/>
  <c r="AX14" i="14"/>
  <c r="AY14" i="14" s="1"/>
  <c r="AS14" i="14"/>
  <c r="AT14" i="14" s="1"/>
  <c r="AN14" i="14"/>
  <c r="AO14" i="14" s="1"/>
  <c r="AX13" i="14"/>
  <c r="AY13" i="14" s="1"/>
  <c r="AS13" i="14"/>
  <c r="AT13" i="14" s="1"/>
  <c r="AN13" i="14"/>
  <c r="AZ12" i="14"/>
  <c r="BA12" i="14" s="1"/>
  <c r="AX12" i="14"/>
  <c r="AY12" i="14" s="1"/>
  <c r="AS12" i="14"/>
  <c r="AT12" i="14" s="1"/>
  <c r="AN12" i="14"/>
  <c r="AO12" i="14" s="1"/>
  <c r="AX11" i="14"/>
  <c r="AY11" i="14" s="1"/>
  <c r="AS11" i="14"/>
  <c r="AT11" i="14" s="1"/>
  <c r="AN11" i="14"/>
  <c r="AX8" i="14"/>
  <c r="AY8" i="14" s="1"/>
  <c r="AS8" i="14"/>
  <c r="AT8" i="14" s="1"/>
  <c r="AN8" i="14"/>
  <c r="AZ7" i="14"/>
  <c r="BA7" i="14" s="1"/>
  <c r="AX7" i="14"/>
  <c r="AY7" i="14" s="1"/>
  <c r="AS7" i="14"/>
  <c r="AT7" i="14" s="1"/>
  <c r="AN7" i="14"/>
  <c r="AO7" i="14" s="1"/>
  <c r="AX6" i="14"/>
  <c r="AY6" i="14" s="1"/>
  <c r="AS6" i="14"/>
  <c r="AT6" i="14" s="1"/>
  <c r="AN6" i="14"/>
  <c r="AX5" i="14"/>
  <c r="AY5" i="14" s="1"/>
  <c r="AS5" i="14"/>
  <c r="AT5" i="14" s="1"/>
  <c r="AN5" i="14"/>
  <c r="AZ4" i="14"/>
  <c r="BA4" i="14" s="1"/>
  <c r="AX4" i="14"/>
  <c r="AY4" i="14" s="1"/>
  <c r="AS4" i="14"/>
  <c r="AT4" i="14" s="1"/>
  <c r="AN4" i="14"/>
  <c r="AO4" i="14" s="1"/>
  <c r="AF20" i="14"/>
  <c r="AE20" i="14"/>
  <c r="AD20" i="14"/>
  <c r="AA20" i="14"/>
  <c r="Z20" i="14"/>
  <c r="Y20" i="14"/>
  <c r="V20" i="14"/>
  <c r="U20" i="14"/>
  <c r="T20" i="14"/>
  <c r="AG19" i="14"/>
  <c r="AH19" i="14" s="1"/>
  <c r="AB19" i="14"/>
  <c r="AC19" i="14" s="1"/>
  <c r="W19" i="14"/>
  <c r="AI18" i="14"/>
  <c r="AJ18" i="14" s="1"/>
  <c r="AG18" i="14"/>
  <c r="AH18" i="14" s="1"/>
  <c r="AB18" i="14"/>
  <c r="AC18" i="14" s="1"/>
  <c r="W18" i="14"/>
  <c r="X18" i="14" s="1"/>
  <c r="AG17" i="14"/>
  <c r="AH17" i="14" s="1"/>
  <c r="AB17" i="14"/>
  <c r="AC17" i="14" s="1"/>
  <c r="W17" i="14"/>
  <c r="AG16" i="14"/>
  <c r="AH16" i="14" s="1"/>
  <c r="AB16" i="14"/>
  <c r="AC16" i="14" s="1"/>
  <c r="W16" i="14"/>
  <c r="AG15" i="14"/>
  <c r="AH15" i="14" s="1"/>
  <c r="AB15" i="14"/>
  <c r="AC15" i="14" s="1"/>
  <c r="W15" i="14"/>
  <c r="AI14" i="14"/>
  <c r="AJ14" i="14" s="1"/>
  <c r="AG14" i="14"/>
  <c r="AH14" i="14" s="1"/>
  <c r="AB14" i="14"/>
  <c r="AC14" i="14" s="1"/>
  <c r="W14" i="14"/>
  <c r="X14" i="14" s="1"/>
  <c r="AG13" i="14"/>
  <c r="AH13" i="14" s="1"/>
  <c r="AB13" i="14"/>
  <c r="AC13" i="14" s="1"/>
  <c r="W13" i="14"/>
  <c r="AI12" i="14"/>
  <c r="AJ12" i="14" s="1"/>
  <c r="AG12" i="14"/>
  <c r="AH12" i="14" s="1"/>
  <c r="AB12" i="14"/>
  <c r="AC12" i="14" s="1"/>
  <c r="W12" i="14"/>
  <c r="X12" i="14" s="1"/>
  <c r="AG11" i="14"/>
  <c r="AH11" i="14" s="1"/>
  <c r="AB11" i="14"/>
  <c r="AC11" i="14" s="1"/>
  <c r="W11" i="14"/>
  <c r="AG8" i="14"/>
  <c r="AH8" i="14" s="1"/>
  <c r="AB8" i="14"/>
  <c r="AC8" i="14" s="1"/>
  <c r="W8" i="14"/>
  <c r="AI7" i="14"/>
  <c r="AJ7" i="14" s="1"/>
  <c r="AG7" i="14"/>
  <c r="AH7" i="14" s="1"/>
  <c r="AB7" i="14"/>
  <c r="AC7" i="14" s="1"/>
  <c r="W7" i="14"/>
  <c r="X7" i="14" s="1"/>
  <c r="AG6" i="14"/>
  <c r="AH6" i="14" s="1"/>
  <c r="AB6" i="14"/>
  <c r="AC6" i="14" s="1"/>
  <c r="W6" i="14"/>
  <c r="AG5" i="14"/>
  <c r="AH5" i="14" s="1"/>
  <c r="AB5" i="14"/>
  <c r="AC5" i="14" s="1"/>
  <c r="W5" i="14"/>
  <c r="AI4" i="14"/>
  <c r="AJ4" i="14" s="1"/>
  <c r="AG4" i="14"/>
  <c r="AH4" i="14" s="1"/>
  <c r="AB4" i="14"/>
  <c r="AC4" i="14" s="1"/>
  <c r="W4" i="14"/>
  <c r="X4" i="14" s="1"/>
  <c r="R18" i="14"/>
  <c r="R7" i="14"/>
  <c r="F8" i="14"/>
  <c r="G8" i="14" s="1"/>
  <c r="K8" i="14"/>
  <c r="L8" i="14" s="1"/>
  <c r="P8" i="14"/>
  <c r="Q8" i="14" s="1"/>
  <c r="R12" i="14"/>
  <c r="R14" i="14"/>
  <c r="P7" i="14"/>
  <c r="Q7" i="14" s="1"/>
  <c r="O20" i="14"/>
  <c r="N20" i="14"/>
  <c r="M20" i="14"/>
  <c r="P19" i="14"/>
  <c r="Q19" i="14" s="1"/>
  <c r="P18" i="14"/>
  <c r="Q18" i="14" s="1"/>
  <c r="P17" i="14"/>
  <c r="Q17" i="14" s="1"/>
  <c r="P16" i="14"/>
  <c r="Q16" i="14" s="1"/>
  <c r="P15" i="14"/>
  <c r="Q15" i="14" s="1"/>
  <c r="P14" i="14"/>
  <c r="Q14" i="14" s="1"/>
  <c r="P13" i="14"/>
  <c r="Q13" i="14" s="1"/>
  <c r="P12" i="14"/>
  <c r="Q12" i="14" s="1"/>
  <c r="P11" i="14"/>
  <c r="Q11" i="14" s="1"/>
  <c r="P6" i="14"/>
  <c r="Q6" i="14" s="1"/>
  <c r="P5" i="14"/>
  <c r="Q5" i="14" s="1"/>
  <c r="P4" i="14"/>
  <c r="Q4" i="14" s="1"/>
  <c r="J20" i="14"/>
  <c r="I20" i="14"/>
  <c r="H20" i="14"/>
  <c r="K19" i="14"/>
  <c r="L19" i="14" s="1"/>
  <c r="K18" i="14"/>
  <c r="L18" i="14" s="1"/>
  <c r="K17" i="14"/>
  <c r="L17" i="14" s="1"/>
  <c r="K16" i="14"/>
  <c r="L16" i="14" s="1"/>
  <c r="K15" i="14"/>
  <c r="L15" i="14" s="1"/>
  <c r="K14" i="14"/>
  <c r="L14" i="14" s="1"/>
  <c r="K13" i="14"/>
  <c r="L13" i="14" s="1"/>
  <c r="K12" i="14"/>
  <c r="L12" i="14" s="1"/>
  <c r="K11" i="14"/>
  <c r="L11" i="14" s="1"/>
  <c r="K7" i="14"/>
  <c r="L7" i="14" s="1"/>
  <c r="K6" i="14"/>
  <c r="L6" i="14" s="1"/>
  <c r="K5" i="14"/>
  <c r="L5" i="14" s="1"/>
  <c r="K4" i="14"/>
  <c r="L4" i="14" s="1"/>
  <c r="E20" i="14"/>
  <c r="D20" i="14"/>
  <c r="F7" i="14"/>
  <c r="IE17" i="14" l="1"/>
  <c r="IF17" i="14" s="1"/>
  <c r="KU17" i="14"/>
  <c r="KV17" i="14" s="1"/>
  <c r="MT17" i="14"/>
  <c r="MU17" i="14" s="1"/>
  <c r="NK17" i="14"/>
  <c r="NL17" i="14" s="1"/>
  <c r="PJ17" i="14"/>
  <c r="PK17" i="14" s="1"/>
  <c r="RZ17" i="14"/>
  <c r="SA17" i="14" s="1"/>
  <c r="AI19" i="14"/>
  <c r="AJ19" i="14" s="1"/>
  <c r="BS1" i="31"/>
  <c r="CJ1" i="29"/>
  <c r="BS1" i="27"/>
  <c r="BB1" i="25"/>
  <c r="JM8" i="14"/>
  <c r="JN8" i="14" s="1"/>
  <c r="LL8" i="14"/>
  <c r="LM8" i="14" s="1"/>
  <c r="OB8" i="14"/>
  <c r="OC8" i="14" s="1"/>
  <c r="OS8" i="14"/>
  <c r="OT8" i="14" s="1"/>
  <c r="QR8" i="14"/>
  <c r="QS8" i="14" s="1"/>
  <c r="GW15" i="14"/>
  <c r="GX15" i="14" s="1"/>
  <c r="JM15" i="14"/>
  <c r="JN15" i="14" s="1"/>
  <c r="LL15" i="14"/>
  <c r="LM15" i="14" s="1"/>
  <c r="MC15" i="14"/>
  <c r="MD15" i="14" s="1"/>
  <c r="OB15" i="14"/>
  <c r="OC15" i="14" s="1"/>
  <c r="OS15" i="14"/>
  <c r="OT15" i="14" s="1"/>
  <c r="QR15" i="14"/>
  <c r="QS15" i="14" s="1"/>
  <c r="RI15" i="14"/>
  <c r="RJ15" i="14" s="1"/>
  <c r="KU13" i="14"/>
  <c r="KV13" i="14" s="1"/>
  <c r="MT5" i="14"/>
  <c r="MU5" i="14" s="1"/>
  <c r="MT13" i="14"/>
  <c r="MU13" i="14" s="1"/>
  <c r="PJ13" i="14"/>
  <c r="PK13" i="14" s="1"/>
  <c r="RZ5" i="14"/>
  <c r="SA5" i="14" s="1"/>
  <c r="RZ13" i="14"/>
  <c r="SA13" i="14" s="1"/>
  <c r="AZ8" i="14"/>
  <c r="BA8" i="14" s="1"/>
  <c r="AZ15" i="14"/>
  <c r="BA15" i="14" s="1"/>
  <c r="CH5" i="14"/>
  <c r="CI5" i="14" s="1"/>
  <c r="CH13" i="14"/>
  <c r="CI13" i="14" s="1"/>
  <c r="CH17" i="14"/>
  <c r="CI17" i="14" s="1"/>
  <c r="DP8" i="14"/>
  <c r="DQ8" i="14" s="1"/>
  <c r="DP15" i="14"/>
  <c r="DQ15" i="14" s="1"/>
  <c r="EX5" i="14"/>
  <c r="EY5" i="14" s="1"/>
  <c r="EX13" i="14"/>
  <c r="EY13" i="14" s="1"/>
  <c r="EX17" i="14"/>
  <c r="EY17" i="14" s="1"/>
  <c r="GF8" i="14"/>
  <c r="GG8" i="14" s="1"/>
  <c r="GF15" i="14"/>
  <c r="GG15" i="14" s="1"/>
  <c r="HN5" i="14"/>
  <c r="HO5" i="14" s="1"/>
  <c r="HN13" i="14"/>
  <c r="HO13" i="14" s="1"/>
  <c r="HN17" i="14"/>
  <c r="HO17" i="14" s="1"/>
  <c r="IV8" i="14"/>
  <c r="IW8" i="14" s="1"/>
  <c r="IV15" i="14"/>
  <c r="IW15" i="14" s="1"/>
  <c r="KD5" i="14"/>
  <c r="KE5" i="14" s="1"/>
  <c r="KD13" i="14"/>
  <c r="KE13" i="14" s="1"/>
  <c r="KD17" i="14"/>
  <c r="KE17" i="14" s="1"/>
  <c r="HN11" i="14"/>
  <c r="HO11" i="14" s="1"/>
  <c r="IV6" i="14"/>
  <c r="IW6" i="14" s="1"/>
  <c r="OB6" i="14"/>
  <c r="OC6" i="14" s="1"/>
  <c r="SQ15" i="14"/>
  <c r="SR15" i="14" s="1"/>
  <c r="BQ11" i="14"/>
  <c r="BR11" i="14" s="1"/>
  <c r="BQ16" i="14"/>
  <c r="BR16" i="14" s="1"/>
  <c r="CY6" i="14"/>
  <c r="CZ6" i="14" s="1"/>
  <c r="CY19" i="14"/>
  <c r="CZ19" i="14" s="1"/>
  <c r="EG11" i="14"/>
  <c r="EH11" i="14" s="1"/>
  <c r="EG16" i="14"/>
  <c r="EH16" i="14" s="1"/>
  <c r="FO6" i="14"/>
  <c r="FP6" i="14" s="1"/>
  <c r="FO19" i="14"/>
  <c r="FP19" i="14" s="1"/>
  <c r="GW11" i="14"/>
  <c r="GX11" i="14" s="1"/>
  <c r="GW16" i="14"/>
  <c r="GX16" i="14" s="1"/>
  <c r="IE6" i="14"/>
  <c r="IF6" i="14" s="1"/>
  <c r="IE19" i="14"/>
  <c r="IF19" i="14" s="1"/>
  <c r="JM11" i="14"/>
  <c r="JN11" i="14" s="1"/>
  <c r="JM16" i="14"/>
  <c r="JN16" i="14" s="1"/>
  <c r="KU6" i="14"/>
  <c r="KV6" i="14" s="1"/>
  <c r="KU19" i="14"/>
  <c r="KV19" i="14" s="1"/>
  <c r="MC11" i="14"/>
  <c r="MD11" i="14" s="1"/>
  <c r="MC16" i="14"/>
  <c r="MD16" i="14" s="1"/>
  <c r="NK6" i="14"/>
  <c r="NL6" i="14" s="1"/>
  <c r="NK19" i="14"/>
  <c r="NL19" i="14" s="1"/>
  <c r="OS11" i="14"/>
  <c r="OT11" i="14" s="1"/>
  <c r="OS16" i="14"/>
  <c r="OT16" i="14" s="1"/>
  <c r="QA6" i="14"/>
  <c r="QB6" i="14" s="1"/>
  <c r="QA19" i="14"/>
  <c r="QB19" i="14" s="1"/>
  <c r="RI11" i="14"/>
  <c r="RJ11" i="14" s="1"/>
  <c r="RI16" i="14"/>
  <c r="RJ16" i="14" s="1"/>
  <c r="SQ6" i="14"/>
  <c r="SR6" i="14" s="1"/>
  <c r="AI15" i="14"/>
  <c r="AJ15" i="14" s="1"/>
  <c r="SQ19" i="14"/>
  <c r="SR19" i="14" s="1"/>
  <c r="AZ6" i="14"/>
  <c r="BA6" i="14" s="1"/>
  <c r="AZ19" i="14"/>
  <c r="BA19" i="14" s="1"/>
  <c r="BQ8" i="14"/>
  <c r="BR8" i="14" s="1"/>
  <c r="BQ15" i="14"/>
  <c r="BR15" i="14" s="1"/>
  <c r="CH11" i="14"/>
  <c r="CI11" i="14" s="1"/>
  <c r="CH16" i="14"/>
  <c r="CI16" i="14" s="1"/>
  <c r="CY5" i="14"/>
  <c r="CZ5" i="14" s="1"/>
  <c r="CY13" i="14"/>
  <c r="CZ13" i="14" s="1"/>
  <c r="CY17" i="14"/>
  <c r="CZ17" i="14" s="1"/>
  <c r="DP6" i="14"/>
  <c r="DQ6" i="14" s="1"/>
  <c r="DP19" i="14"/>
  <c r="DQ19" i="14" s="1"/>
  <c r="EG8" i="14"/>
  <c r="EH8" i="14" s="1"/>
  <c r="EG15" i="14"/>
  <c r="EH15" i="14" s="1"/>
  <c r="EX11" i="14"/>
  <c r="EY11" i="14" s="1"/>
  <c r="EX16" i="14"/>
  <c r="EY16" i="14" s="1"/>
  <c r="FO5" i="14"/>
  <c r="FP5" i="14" s="1"/>
  <c r="FO13" i="14"/>
  <c r="FP13" i="14" s="1"/>
  <c r="FO17" i="14"/>
  <c r="FP17" i="14" s="1"/>
  <c r="GF6" i="14"/>
  <c r="GG6" i="14" s="1"/>
  <c r="GF19" i="14"/>
  <c r="GG19" i="14" s="1"/>
  <c r="GW8" i="14"/>
  <c r="GX8" i="14" s="1"/>
  <c r="HN16" i="14"/>
  <c r="HO16" i="14" s="1"/>
  <c r="IE5" i="14"/>
  <c r="IF5" i="14" s="1"/>
  <c r="IE13" i="14"/>
  <c r="IF13" i="14" s="1"/>
  <c r="IV19" i="14"/>
  <c r="IW19" i="14" s="1"/>
  <c r="KD11" i="14"/>
  <c r="KE11" i="14" s="1"/>
  <c r="KD16" i="14"/>
  <c r="KE16" i="14" s="1"/>
  <c r="KU5" i="14"/>
  <c r="KV5" i="14" s="1"/>
  <c r="LL6" i="14"/>
  <c r="LM6" i="14" s="1"/>
  <c r="LL19" i="14"/>
  <c r="LM19" i="14" s="1"/>
  <c r="MC8" i="14"/>
  <c r="MD8" i="14" s="1"/>
  <c r="MT11" i="14"/>
  <c r="MU11" i="14" s="1"/>
  <c r="MT16" i="14"/>
  <c r="MU16" i="14" s="1"/>
  <c r="NK5" i="14"/>
  <c r="NL5" i="14" s="1"/>
  <c r="NK13" i="14"/>
  <c r="NL13" i="14" s="1"/>
  <c r="OB19" i="14"/>
  <c r="OC19" i="14" s="1"/>
  <c r="PJ16" i="14"/>
  <c r="PK16" i="14" s="1"/>
  <c r="QA5" i="14"/>
  <c r="QB5" i="14" s="1"/>
  <c r="QA13" i="14"/>
  <c r="QB13" i="14" s="1"/>
  <c r="QA17" i="14"/>
  <c r="QB17" i="14" s="1"/>
  <c r="QR6" i="14"/>
  <c r="QS6" i="14" s="1"/>
  <c r="QR19" i="14"/>
  <c r="QS19" i="14" s="1"/>
  <c r="RI8" i="14"/>
  <c r="RJ8" i="14" s="1"/>
  <c r="RZ11" i="14"/>
  <c r="SA11" i="14" s="1"/>
  <c r="RZ16" i="14"/>
  <c r="SA16" i="14" s="1"/>
  <c r="SQ5" i="14"/>
  <c r="SR5" i="14" s="1"/>
  <c r="SQ13" i="14"/>
  <c r="SR13" i="14" s="1"/>
  <c r="SQ17" i="14"/>
  <c r="SR17" i="14" s="1"/>
  <c r="AI5" i="14"/>
  <c r="AJ5" i="14" s="1"/>
  <c r="AI17" i="14"/>
  <c r="AJ17" i="14" s="1"/>
  <c r="AZ5" i="14"/>
  <c r="BA5" i="14" s="1"/>
  <c r="AZ13" i="14"/>
  <c r="BA13" i="14" s="1"/>
  <c r="AZ17" i="14"/>
  <c r="BA17" i="14" s="1"/>
  <c r="BQ6" i="14"/>
  <c r="BR6" i="14" s="1"/>
  <c r="BQ19" i="14"/>
  <c r="BR19" i="14" s="1"/>
  <c r="CH8" i="14"/>
  <c r="CI8" i="14" s="1"/>
  <c r="CH15" i="14"/>
  <c r="CI15" i="14" s="1"/>
  <c r="CY11" i="14"/>
  <c r="CZ11" i="14" s="1"/>
  <c r="CY16" i="14"/>
  <c r="CZ16" i="14" s="1"/>
  <c r="DP5" i="14"/>
  <c r="DQ5" i="14" s="1"/>
  <c r="DP13" i="14"/>
  <c r="DQ13" i="14" s="1"/>
  <c r="DP17" i="14"/>
  <c r="DQ17" i="14" s="1"/>
  <c r="EG6" i="14"/>
  <c r="EH6" i="14" s="1"/>
  <c r="EG19" i="14"/>
  <c r="EH19" i="14" s="1"/>
  <c r="EX8" i="14"/>
  <c r="EY8" i="14" s="1"/>
  <c r="EX15" i="14"/>
  <c r="EY15" i="14" s="1"/>
  <c r="FO11" i="14"/>
  <c r="FP11" i="14" s="1"/>
  <c r="FO16" i="14"/>
  <c r="FP16" i="14" s="1"/>
  <c r="GF5" i="14"/>
  <c r="GG5" i="14" s="1"/>
  <c r="GF13" i="14"/>
  <c r="GG13" i="14" s="1"/>
  <c r="GF17" i="14"/>
  <c r="GG17" i="14" s="1"/>
  <c r="GW6" i="14"/>
  <c r="GX6" i="14" s="1"/>
  <c r="GW19" i="14"/>
  <c r="GX19" i="14" s="1"/>
  <c r="HN8" i="14"/>
  <c r="HO8" i="14" s="1"/>
  <c r="HN15" i="14"/>
  <c r="HO15" i="14" s="1"/>
  <c r="IE11" i="14"/>
  <c r="IF11" i="14" s="1"/>
  <c r="IE16" i="14"/>
  <c r="IF16" i="14" s="1"/>
  <c r="IV5" i="14"/>
  <c r="IW5" i="14" s="1"/>
  <c r="IV13" i="14"/>
  <c r="IW13" i="14" s="1"/>
  <c r="IV17" i="14"/>
  <c r="IW17" i="14" s="1"/>
  <c r="JM6" i="14"/>
  <c r="JN6" i="14" s="1"/>
  <c r="JM19" i="14"/>
  <c r="JN19" i="14" s="1"/>
  <c r="KD8" i="14"/>
  <c r="KE8" i="14" s="1"/>
  <c r="KD15" i="14"/>
  <c r="KE15" i="14" s="1"/>
  <c r="KU11" i="14"/>
  <c r="KV11" i="14" s="1"/>
  <c r="KU16" i="14"/>
  <c r="KV16" i="14" s="1"/>
  <c r="LL5" i="14"/>
  <c r="LM5" i="14" s="1"/>
  <c r="LL13" i="14"/>
  <c r="LM13" i="14" s="1"/>
  <c r="LL17" i="14"/>
  <c r="LM17" i="14" s="1"/>
  <c r="MC6" i="14"/>
  <c r="MD6" i="14" s="1"/>
  <c r="MC19" i="14"/>
  <c r="MD19" i="14" s="1"/>
  <c r="MT8" i="14"/>
  <c r="MU8" i="14" s="1"/>
  <c r="MT15" i="14"/>
  <c r="MU15" i="14" s="1"/>
  <c r="NK11" i="14"/>
  <c r="NL11" i="14" s="1"/>
  <c r="NK16" i="14"/>
  <c r="NL16" i="14" s="1"/>
  <c r="OB5" i="14"/>
  <c r="OC5" i="14" s="1"/>
  <c r="OB13" i="14"/>
  <c r="OC13" i="14" s="1"/>
  <c r="OB17" i="14"/>
  <c r="OC17" i="14" s="1"/>
  <c r="OS6" i="14"/>
  <c r="OT6" i="14" s="1"/>
  <c r="OS19" i="14"/>
  <c r="OT19" i="14" s="1"/>
  <c r="PJ15" i="14"/>
  <c r="PK15" i="14" s="1"/>
  <c r="QA11" i="14"/>
  <c r="QB11" i="14" s="1"/>
  <c r="QA16" i="14"/>
  <c r="QB16" i="14" s="1"/>
  <c r="QR5" i="14"/>
  <c r="QS5" i="14" s="1"/>
  <c r="QR13" i="14"/>
  <c r="QS13" i="14" s="1"/>
  <c r="QR17" i="14"/>
  <c r="QS17" i="14" s="1"/>
  <c r="RI6" i="14"/>
  <c r="RJ6" i="14" s="1"/>
  <c r="RI19" i="14"/>
  <c r="RJ19" i="14" s="1"/>
  <c r="RZ8" i="14"/>
  <c r="SA8" i="14" s="1"/>
  <c r="RZ15" i="14"/>
  <c r="SA15" i="14" s="1"/>
  <c r="SQ11" i="14"/>
  <c r="SR11" i="14" s="1"/>
  <c r="SQ16" i="14"/>
  <c r="SR16" i="14" s="1"/>
  <c r="AI11" i="14"/>
  <c r="AJ11" i="14" s="1"/>
  <c r="AZ11" i="14"/>
  <c r="BA11" i="14" s="1"/>
  <c r="AZ16" i="14"/>
  <c r="BA16" i="14" s="1"/>
  <c r="BQ5" i="14"/>
  <c r="BR5" i="14" s="1"/>
  <c r="BQ13" i="14"/>
  <c r="BR13" i="14" s="1"/>
  <c r="BQ17" i="14"/>
  <c r="BR17" i="14" s="1"/>
  <c r="CH6" i="14"/>
  <c r="CI6" i="14" s="1"/>
  <c r="CH19" i="14"/>
  <c r="CI19" i="14" s="1"/>
  <c r="CY8" i="14"/>
  <c r="CZ8" i="14" s="1"/>
  <c r="CY15" i="14"/>
  <c r="CZ15" i="14" s="1"/>
  <c r="DP11" i="14"/>
  <c r="DQ11" i="14" s="1"/>
  <c r="DP16" i="14"/>
  <c r="DQ16" i="14" s="1"/>
  <c r="EG5" i="14"/>
  <c r="EH5" i="14" s="1"/>
  <c r="EG13" i="14"/>
  <c r="EH13" i="14" s="1"/>
  <c r="EG17" i="14"/>
  <c r="EH17" i="14" s="1"/>
  <c r="EX6" i="14"/>
  <c r="EY6" i="14" s="1"/>
  <c r="EX19" i="14"/>
  <c r="EY19" i="14" s="1"/>
  <c r="FO8" i="14"/>
  <c r="FP8" i="14" s="1"/>
  <c r="FO15" i="14"/>
  <c r="FP15" i="14" s="1"/>
  <c r="GF11" i="14"/>
  <c r="GG11" i="14" s="1"/>
  <c r="GF16" i="14"/>
  <c r="GG16" i="14" s="1"/>
  <c r="GW5" i="14"/>
  <c r="GX5" i="14" s="1"/>
  <c r="GW13" i="14"/>
  <c r="GX13" i="14" s="1"/>
  <c r="GW17" i="14"/>
  <c r="GX17" i="14" s="1"/>
  <c r="HN6" i="14"/>
  <c r="HO6" i="14" s="1"/>
  <c r="HN19" i="14"/>
  <c r="HO19" i="14" s="1"/>
  <c r="IE8" i="14"/>
  <c r="IF8" i="14" s="1"/>
  <c r="IE15" i="14"/>
  <c r="IF15" i="14" s="1"/>
  <c r="IV11" i="14"/>
  <c r="IW11" i="14" s="1"/>
  <c r="IV16" i="14"/>
  <c r="IW16" i="14" s="1"/>
  <c r="JM5" i="14"/>
  <c r="JN5" i="14" s="1"/>
  <c r="JM13" i="14"/>
  <c r="JN13" i="14" s="1"/>
  <c r="JM17" i="14"/>
  <c r="JN17" i="14" s="1"/>
  <c r="KD6" i="14"/>
  <c r="KE6" i="14" s="1"/>
  <c r="KD19" i="14"/>
  <c r="KE19" i="14" s="1"/>
  <c r="KU8" i="14"/>
  <c r="KV8" i="14" s="1"/>
  <c r="KU15" i="14"/>
  <c r="KV15" i="14" s="1"/>
  <c r="LL11" i="14"/>
  <c r="LM11" i="14" s="1"/>
  <c r="LL16" i="14"/>
  <c r="LM16" i="14" s="1"/>
  <c r="MC5" i="14"/>
  <c r="MD5" i="14" s="1"/>
  <c r="MC13" i="14"/>
  <c r="MD13" i="14" s="1"/>
  <c r="MC17" i="14"/>
  <c r="MD17" i="14" s="1"/>
  <c r="MT6" i="14"/>
  <c r="MU6" i="14" s="1"/>
  <c r="MT19" i="14"/>
  <c r="MU19" i="14" s="1"/>
  <c r="NK8" i="14"/>
  <c r="NL8" i="14" s="1"/>
  <c r="NK15" i="14"/>
  <c r="NL15" i="14" s="1"/>
  <c r="OB11" i="14"/>
  <c r="OC11" i="14" s="1"/>
  <c r="OB16" i="14"/>
  <c r="OC16" i="14" s="1"/>
  <c r="OS5" i="14"/>
  <c r="OT5" i="14" s="1"/>
  <c r="OS13" i="14"/>
  <c r="OT13" i="14" s="1"/>
  <c r="OS17" i="14"/>
  <c r="OT17" i="14" s="1"/>
  <c r="PJ19" i="14"/>
  <c r="PK19" i="14" s="1"/>
  <c r="QA8" i="14"/>
  <c r="QB8" i="14" s="1"/>
  <c r="QA15" i="14"/>
  <c r="QB15" i="14" s="1"/>
  <c r="QR11" i="14"/>
  <c r="QS11" i="14" s="1"/>
  <c r="QR16" i="14"/>
  <c r="QS16" i="14" s="1"/>
  <c r="RI5" i="14"/>
  <c r="RJ5" i="14" s="1"/>
  <c r="RI13" i="14"/>
  <c r="RJ13" i="14" s="1"/>
  <c r="RI17" i="14"/>
  <c r="RJ17" i="14" s="1"/>
  <c r="RZ6" i="14"/>
  <c r="SA6" i="14" s="1"/>
  <c r="RZ19" i="14"/>
  <c r="SA19" i="14" s="1"/>
  <c r="SQ8" i="14"/>
  <c r="SR8" i="14" s="1"/>
  <c r="SP20" i="14"/>
  <c r="SK20" i="14"/>
  <c r="SF20" i="14"/>
  <c r="SF5" i="14"/>
  <c r="SF6" i="14"/>
  <c r="SF8" i="14"/>
  <c r="SF11" i="14"/>
  <c r="SF13" i="14"/>
  <c r="SF15" i="14"/>
  <c r="SF16" i="14"/>
  <c r="SF17" i="14"/>
  <c r="SF19" i="14"/>
  <c r="RY20" i="14"/>
  <c r="RT20" i="14"/>
  <c r="RO20" i="14"/>
  <c r="RO5" i="14"/>
  <c r="RO6" i="14"/>
  <c r="RO8" i="14"/>
  <c r="RO11" i="14"/>
  <c r="RO13" i="14"/>
  <c r="RO15" i="14"/>
  <c r="RO16" i="14"/>
  <c r="RO17" i="14"/>
  <c r="RO19" i="14"/>
  <c r="RH20" i="14"/>
  <c r="RC20" i="14"/>
  <c r="QX20" i="14"/>
  <c r="QX5" i="14"/>
  <c r="QX6" i="14"/>
  <c r="QX8" i="14"/>
  <c r="QX11" i="14"/>
  <c r="QX13" i="14"/>
  <c r="QX15" i="14"/>
  <c r="QX16" i="14"/>
  <c r="QX17" i="14"/>
  <c r="QX19" i="14"/>
  <c r="QQ20" i="14"/>
  <c r="QL20" i="14"/>
  <c r="QG20" i="14"/>
  <c r="QG5" i="14"/>
  <c r="QG6" i="14"/>
  <c r="QG8" i="14"/>
  <c r="QG11" i="14"/>
  <c r="QG13" i="14"/>
  <c r="QG15" i="14"/>
  <c r="QG16" i="14"/>
  <c r="QG17" i="14"/>
  <c r="QG19" i="14"/>
  <c r="PZ20" i="14"/>
  <c r="PU20" i="14"/>
  <c r="PP20" i="14"/>
  <c r="PP5" i="14"/>
  <c r="PP6" i="14"/>
  <c r="PP8" i="14"/>
  <c r="PP11" i="14"/>
  <c r="PP13" i="14"/>
  <c r="PP15" i="14"/>
  <c r="PP16" i="14"/>
  <c r="PP17" i="14"/>
  <c r="PP19" i="14"/>
  <c r="PI20" i="14"/>
  <c r="PD20" i="14"/>
  <c r="OY20" i="14"/>
  <c r="OY13" i="14"/>
  <c r="OY15" i="14"/>
  <c r="OY16" i="14"/>
  <c r="OY17" i="14"/>
  <c r="OY19" i="14"/>
  <c r="PJ5" i="14"/>
  <c r="PK5" i="14" s="1"/>
  <c r="PJ6" i="14"/>
  <c r="PK6" i="14" s="1"/>
  <c r="PJ8" i="14"/>
  <c r="PK8" i="14" s="1"/>
  <c r="PJ11" i="14"/>
  <c r="PK11" i="14" s="1"/>
  <c r="OR20" i="14"/>
  <c r="OM20" i="14"/>
  <c r="OH20" i="14"/>
  <c r="OH5" i="14"/>
  <c r="OH6" i="14"/>
  <c r="OH8" i="14"/>
  <c r="OH11" i="14"/>
  <c r="OH13" i="14"/>
  <c r="OH15" i="14"/>
  <c r="OH16" i="14"/>
  <c r="OH17" i="14"/>
  <c r="OH19" i="14"/>
  <c r="OA20" i="14"/>
  <c r="NV20" i="14"/>
  <c r="NQ20" i="14"/>
  <c r="NQ5" i="14"/>
  <c r="NQ6" i="14"/>
  <c r="NQ8" i="14"/>
  <c r="NQ11" i="14"/>
  <c r="NQ13" i="14"/>
  <c r="NQ15" i="14"/>
  <c r="NQ16" i="14"/>
  <c r="NQ17" i="14"/>
  <c r="NQ19" i="14"/>
  <c r="NJ20" i="14"/>
  <c r="NE20" i="14"/>
  <c r="MZ20" i="14"/>
  <c r="MZ5" i="14"/>
  <c r="MZ6" i="14"/>
  <c r="MZ8" i="14"/>
  <c r="MZ11" i="14"/>
  <c r="MZ13" i="14"/>
  <c r="MZ15" i="14"/>
  <c r="MZ16" i="14"/>
  <c r="MZ17" i="14"/>
  <c r="MZ19" i="14"/>
  <c r="MS20" i="14"/>
  <c r="MN20" i="14"/>
  <c r="MI20" i="14"/>
  <c r="MI5" i="14"/>
  <c r="MI6" i="14"/>
  <c r="MI8" i="14"/>
  <c r="MI11" i="14"/>
  <c r="MI13" i="14"/>
  <c r="MI15" i="14"/>
  <c r="MI16" i="14"/>
  <c r="MI17" i="14"/>
  <c r="MI19" i="14"/>
  <c r="MB20" i="14"/>
  <c r="LW20" i="14"/>
  <c r="LR20" i="14"/>
  <c r="LR5" i="14"/>
  <c r="LR6" i="14"/>
  <c r="LR8" i="14"/>
  <c r="LR11" i="14"/>
  <c r="LR13" i="14"/>
  <c r="LR15" i="14"/>
  <c r="LR16" i="14"/>
  <c r="LR17" i="14"/>
  <c r="LR19" i="14"/>
  <c r="LK20" i="14"/>
  <c r="LF20" i="14"/>
  <c r="LA20" i="14"/>
  <c r="LA5" i="14"/>
  <c r="LA6" i="14"/>
  <c r="LA8" i="14"/>
  <c r="LA11" i="14"/>
  <c r="LA13" i="14"/>
  <c r="LA15" i="14"/>
  <c r="LA16" i="14"/>
  <c r="LA17" i="14"/>
  <c r="LA19" i="14"/>
  <c r="KT20" i="14"/>
  <c r="KO20" i="14"/>
  <c r="KJ20" i="14"/>
  <c r="KJ5" i="14"/>
  <c r="KJ6" i="14"/>
  <c r="KJ8" i="14"/>
  <c r="KJ11" i="14"/>
  <c r="KJ13" i="14"/>
  <c r="KJ15" i="14"/>
  <c r="KJ16" i="14"/>
  <c r="KJ17" i="14"/>
  <c r="KJ19" i="14"/>
  <c r="KC20" i="14"/>
  <c r="JX20" i="14"/>
  <c r="JS20" i="14"/>
  <c r="JS5" i="14"/>
  <c r="JS6" i="14"/>
  <c r="JS8" i="14"/>
  <c r="JS11" i="14"/>
  <c r="JS13" i="14"/>
  <c r="JS15" i="14"/>
  <c r="JS16" i="14"/>
  <c r="JS17" i="14"/>
  <c r="JS19" i="14"/>
  <c r="JL20" i="14"/>
  <c r="JG20" i="14"/>
  <c r="JB20" i="14"/>
  <c r="JB5" i="14"/>
  <c r="JB6" i="14"/>
  <c r="JB8" i="14"/>
  <c r="JB11" i="14"/>
  <c r="JB13" i="14"/>
  <c r="JB15" i="14"/>
  <c r="JB16" i="14"/>
  <c r="JB17" i="14"/>
  <c r="JB19" i="14"/>
  <c r="IU20" i="14"/>
  <c r="IP20" i="14"/>
  <c r="IK20" i="14"/>
  <c r="IK5" i="14"/>
  <c r="IK6" i="14"/>
  <c r="IK8" i="14"/>
  <c r="IK11" i="14"/>
  <c r="IK13" i="14"/>
  <c r="IK15" i="14"/>
  <c r="IK16" i="14"/>
  <c r="IK17" i="14"/>
  <c r="IK19" i="14"/>
  <c r="ID20" i="14"/>
  <c r="HY20" i="14"/>
  <c r="HT20" i="14"/>
  <c r="HT5" i="14"/>
  <c r="HT6" i="14"/>
  <c r="HT8" i="14"/>
  <c r="HT11" i="14"/>
  <c r="HT13" i="14"/>
  <c r="HT15" i="14"/>
  <c r="HT16" i="14"/>
  <c r="HT17" i="14"/>
  <c r="HT19" i="14"/>
  <c r="HM20" i="14"/>
  <c r="HH20" i="14"/>
  <c r="HC20" i="14"/>
  <c r="HC5" i="14"/>
  <c r="HC6" i="14"/>
  <c r="HC8" i="14"/>
  <c r="HC11" i="14"/>
  <c r="HC13" i="14"/>
  <c r="HC15" i="14"/>
  <c r="HC16" i="14"/>
  <c r="HC17" i="14"/>
  <c r="HC19" i="14"/>
  <c r="GV20" i="14"/>
  <c r="GQ20" i="14"/>
  <c r="GL20" i="14"/>
  <c r="GL5" i="14"/>
  <c r="GL6" i="14"/>
  <c r="GL8" i="14"/>
  <c r="GL11" i="14"/>
  <c r="GL13" i="14"/>
  <c r="GL15" i="14"/>
  <c r="GL16" i="14"/>
  <c r="GL17" i="14"/>
  <c r="GL19" i="14"/>
  <c r="GE20" i="14"/>
  <c r="FZ20" i="14"/>
  <c r="FU20" i="14"/>
  <c r="FU5" i="14"/>
  <c r="FU6" i="14"/>
  <c r="FU8" i="14"/>
  <c r="FU11" i="14"/>
  <c r="FU13" i="14"/>
  <c r="FU15" i="14"/>
  <c r="FU16" i="14"/>
  <c r="FU17" i="14"/>
  <c r="FU19" i="14"/>
  <c r="FN20" i="14"/>
  <c r="FI20" i="14"/>
  <c r="FD20" i="14"/>
  <c r="FD5" i="14"/>
  <c r="FD6" i="14"/>
  <c r="FD8" i="14"/>
  <c r="FD11" i="14"/>
  <c r="FD13" i="14"/>
  <c r="FD15" i="14"/>
  <c r="FD16" i="14"/>
  <c r="FD17" i="14"/>
  <c r="FD19" i="14"/>
  <c r="EW20" i="14"/>
  <c r="ER20" i="14"/>
  <c r="EM20" i="14"/>
  <c r="EM5" i="14"/>
  <c r="EM6" i="14"/>
  <c r="EM8" i="14"/>
  <c r="EM11" i="14"/>
  <c r="EM13" i="14"/>
  <c r="EM15" i="14"/>
  <c r="EM16" i="14"/>
  <c r="EM17" i="14"/>
  <c r="EM19" i="14"/>
  <c r="EF20" i="14"/>
  <c r="EA20" i="14"/>
  <c r="DV20" i="14"/>
  <c r="DV5" i="14"/>
  <c r="DV6" i="14"/>
  <c r="DV8" i="14"/>
  <c r="DV11" i="14"/>
  <c r="DV13" i="14"/>
  <c r="DV15" i="14"/>
  <c r="DV16" i="14"/>
  <c r="DV17" i="14"/>
  <c r="DV19" i="14"/>
  <c r="DO20" i="14"/>
  <c r="DJ20" i="14"/>
  <c r="DE20" i="14"/>
  <c r="DE5" i="14"/>
  <c r="DE6" i="14"/>
  <c r="DE8" i="14"/>
  <c r="DE11" i="14"/>
  <c r="DE13" i="14"/>
  <c r="DE15" i="14"/>
  <c r="DE16" i="14"/>
  <c r="DE17" i="14"/>
  <c r="DE19" i="14"/>
  <c r="CX20" i="14"/>
  <c r="CS20" i="14"/>
  <c r="CN20" i="14"/>
  <c r="CN5" i="14"/>
  <c r="CN6" i="14"/>
  <c r="CN8" i="14"/>
  <c r="CN11" i="14"/>
  <c r="CN13" i="14"/>
  <c r="CN15" i="14"/>
  <c r="CN16" i="14"/>
  <c r="CN17" i="14"/>
  <c r="CN19" i="14"/>
  <c r="CG20" i="14"/>
  <c r="CB20" i="14"/>
  <c r="BW20" i="14"/>
  <c r="BW5" i="14"/>
  <c r="BW6" i="14"/>
  <c r="BW8" i="14"/>
  <c r="BW11" i="14"/>
  <c r="BW13" i="14"/>
  <c r="BW15" i="14"/>
  <c r="BW16" i="14"/>
  <c r="BW17" i="14"/>
  <c r="BW19" i="14"/>
  <c r="BP20" i="14"/>
  <c r="BK20" i="14"/>
  <c r="BF20" i="14"/>
  <c r="BF5" i="14"/>
  <c r="BF6" i="14"/>
  <c r="BF8" i="14"/>
  <c r="BF11" i="14"/>
  <c r="BF13" i="14"/>
  <c r="BF15" i="14"/>
  <c r="BF16" i="14"/>
  <c r="BF17" i="14"/>
  <c r="BF19" i="14"/>
  <c r="AY20" i="14"/>
  <c r="AT20" i="14"/>
  <c r="AO20" i="14"/>
  <c r="AO5" i="14"/>
  <c r="AO6" i="14"/>
  <c r="AO8" i="14"/>
  <c r="AO11" i="14"/>
  <c r="AO13" i="14"/>
  <c r="AO15" i="14"/>
  <c r="AO16" i="14"/>
  <c r="AO17" i="14"/>
  <c r="AO19" i="14"/>
  <c r="AI16" i="14"/>
  <c r="AJ16" i="14" s="1"/>
  <c r="AI13" i="14"/>
  <c r="AJ13" i="14" s="1"/>
  <c r="AI8" i="14"/>
  <c r="AJ8" i="14" s="1"/>
  <c r="AI6" i="14"/>
  <c r="AJ6" i="14" s="1"/>
  <c r="AH20" i="14"/>
  <c r="AC20" i="14"/>
  <c r="X20" i="14"/>
  <c r="X5" i="14"/>
  <c r="X6" i="14"/>
  <c r="X8" i="14"/>
  <c r="X11" i="14"/>
  <c r="X13" i="14"/>
  <c r="X15" i="14"/>
  <c r="X16" i="14"/>
  <c r="X17" i="14"/>
  <c r="X19" i="14"/>
  <c r="R8" i="14"/>
  <c r="S8" i="14" s="1"/>
  <c r="Q20" i="14"/>
  <c r="L20" i="14"/>
  <c r="R4" i="14"/>
  <c r="V3" i="14"/>
  <c r="AM3" i="14" s="1"/>
  <c r="BD3" i="14" s="1"/>
  <c r="BU3" i="14" s="1"/>
  <c r="CL3" i="14" s="1"/>
  <c r="DC3" i="14" s="1"/>
  <c r="DT3" i="14" s="1"/>
  <c r="EK3" i="14" s="1"/>
  <c r="FB3" i="14" s="1"/>
  <c r="FS3" i="14" s="1"/>
  <c r="GJ3" i="14" s="1"/>
  <c r="HA3" i="14" s="1"/>
  <c r="HR3" i="14" s="1"/>
  <c r="II3" i="14" s="1"/>
  <c r="IZ3" i="14" s="1"/>
  <c r="JQ3" i="14" s="1"/>
  <c r="KH3" i="14" s="1"/>
  <c r="KY3" i="14" s="1"/>
  <c r="LP3" i="14" s="1"/>
  <c r="MG3" i="14" s="1"/>
  <c r="MX3" i="14" s="1"/>
  <c r="NO3" i="14" s="1"/>
  <c r="OF3" i="14" s="1"/>
  <c r="OW3" i="14" s="1"/>
  <c r="PN3" i="14" s="1"/>
  <c r="QE3" i="14" s="1"/>
  <c r="QV3" i="14" s="1"/>
  <c r="RM3" i="14" s="1"/>
  <c r="SD3" i="14" s="1"/>
  <c r="CJ1" i="31" l="1"/>
  <c r="DA1" i="29"/>
  <c r="CJ1" i="27"/>
  <c r="BS1" i="25"/>
  <c r="R22" i="14"/>
  <c r="DA1" i="31" l="1"/>
  <c r="DR1" i="29"/>
  <c r="DA1" i="27"/>
  <c r="CJ1" i="25"/>
  <c r="F4" i="14"/>
  <c r="C20" i="14"/>
  <c r="G20" i="14" s="1"/>
  <c r="DR1" i="31" l="1"/>
  <c r="EI1" i="29"/>
  <c r="DR1" i="27"/>
  <c r="DA1" i="25"/>
  <c r="F18" i="14"/>
  <c r="F14" i="14"/>
  <c r="F12" i="14"/>
  <c r="A32" i="28"/>
  <c r="A28" i="30"/>
  <c r="A22" i="30"/>
  <c r="A11" i="26"/>
  <c r="A9" i="28"/>
  <c r="A23" i="26"/>
  <c r="A16" i="24"/>
  <c r="CJ2" i="29"/>
  <c r="A4" i="30"/>
  <c r="A33" i="24"/>
  <c r="A9" i="26"/>
  <c r="A10" i="24"/>
  <c r="A23" i="24"/>
  <c r="A24" i="26"/>
  <c r="A27" i="26"/>
  <c r="A20" i="26"/>
  <c r="A26" i="30"/>
  <c r="A4" i="26"/>
  <c r="A17" i="30"/>
  <c r="A32" i="26"/>
  <c r="A15" i="28"/>
  <c r="A32" i="24"/>
  <c r="A11" i="28"/>
  <c r="A8" i="24"/>
  <c r="A28" i="28"/>
  <c r="A16" i="30"/>
  <c r="A13" i="26"/>
  <c r="A29" i="26"/>
  <c r="A5" i="24"/>
  <c r="A27" i="24"/>
  <c r="A21" i="24"/>
  <c r="C2" i="27"/>
  <c r="A12" i="28"/>
  <c r="A19" i="28"/>
  <c r="A5" i="26"/>
  <c r="A24" i="30"/>
  <c r="A22" i="26"/>
  <c r="A15" i="24"/>
  <c r="A25" i="24"/>
  <c r="A16" i="26"/>
  <c r="A10" i="26"/>
  <c r="DA2" i="27" s="1"/>
  <c r="A16" i="28"/>
  <c r="A7" i="30"/>
  <c r="A7" i="26"/>
  <c r="A12" i="26"/>
  <c r="A19" i="26"/>
  <c r="T2" i="27"/>
  <c r="A30" i="30"/>
  <c r="A15" i="30"/>
  <c r="A5" i="28"/>
  <c r="A13" i="28"/>
  <c r="A7" i="24"/>
  <c r="A29" i="30"/>
  <c r="A20" i="24"/>
  <c r="CJ2" i="27"/>
  <c r="A21" i="30"/>
  <c r="A19" i="30"/>
  <c r="A18" i="30"/>
  <c r="A29" i="24"/>
  <c r="A21" i="26"/>
  <c r="A18" i="24"/>
  <c r="A14" i="26"/>
  <c r="C2" i="31"/>
  <c r="A11" i="30"/>
  <c r="A5" i="30"/>
  <c r="A18" i="28"/>
  <c r="A22" i="24"/>
  <c r="A30" i="28"/>
  <c r="A14" i="24"/>
  <c r="A20" i="28"/>
  <c r="A9" i="24"/>
  <c r="A21" i="28"/>
  <c r="A25" i="26"/>
  <c r="A27" i="28"/>
  <c r="A30" i="24"/>
  <c r="A8" i="26"/>
  <c r="BB2" i="31"/>
  <c r="A18" i="26"/>
  <c r="A32" i="30"/>
  <c r="A17" i="28"/>
  <c r="A25" i="30"/>
  <c r="A24" i="28"/>
  <c r="A12" i="30"/>
  <c r="A33" i="26"/>
  <c r="A28" i="24"/>
  <c r="A31" i="26"/>
  <c r="A4" i="13"/>
  <c r="A29" i="28"/>
  <c r="A27" i="30"/>
  <c r="A33" i="30"/>
  <c r="A4" i="24"/>
  <c r="C2" i="25" s="1"/>
  <c r="A30" i="26"/>
  <c r="A7" i="28"/>
  <c r="A31" i="30"/>
  <c r="T2" i="29"/>
  <c r="A13" i="24"/>
  <c r="A9" i="30"/>
  <c r="A33" i="28"/>
  <c r="A10" i="28"/>
  <c r="DA2" i="29" s="1"/>
  <c r="A6" i="30"/>
  <c r="A15" i="26"/>
  <c r="A24" i="24"/>
  <c r="A28" i="26"/>
  <c r="A19" i="24"/>
  <c r="A6" i="24"/>
  <c r="A14" i="30"/>
  <c r="A22" i="28"/>
  <c r="A20" i="30"/>
  <c r="A10" i="30"/>
  <c r="A11" i="24"/>
  <c r="A17" i="24"/>
  <c r="A12" i="24"/>
  <c r="A26" i="24"/>
  <c r="A26" i="28"/>
  <c r="A13" i="30"/>
  <c r="A17" i="26"/>
  <c r="A31" i="28"/>
  <c r="A4" i="28"/>
  <c r="C2" i="29" s="1"/>
  <c r="A6" i="28"/>
  <c r="AK2" i="31"/>
  <c r="A6" i="26"/>
  <c r="A31" i="24"/>
  <c r="A8" i="28"/>
  <c r="A23" i="28"/>
  <c r="A8" i="30"/>
  <c r="A25" i="28"/>
  <c r="A23" i="30"/>
  <c r="A14" i="28"/>
  <c r="A26" i="26"/>
  <c r="T2" i="31"/>
  <c r="BS2" i="27"/>
  <c r="DR2" i="29"/>
  <c r="EI1" i="31" l="1"/>
  <c r="EZ1" i="29"/>
  <c r="EI1" i="27"/>
  <c r="DR1" i="25"/>
  <c r="P3" i="3"/>
  <c r="E3" i="3"/>
  <c r="BS2" i="31"/>
  <c r="BB2" i="29"/>
  <c r="CJ2" i="31"/>
  <c r="EI2" i="29"/>
  <c r="DA2" i="31"/>
  <c r="BS2" i="29"/>
  <c r="BB2" i="27"/>
  <c r="AK2" i="27"/>
  <c r="AK2" i="29"/>
  <c r="DR2" i="31"/>
  <c r="DR2" i="27"/>
  <c r="F3" i="3" l="1"/>
  <c r="EZ1" i="31"/>
  <c r="FQ1" i="29"/>
  <c r="EZ1" i="27"/>
  <c r="EI1" i="25"/>
  <c r="F19" i="14"/>
  <c r="G19" i="14" s="1"/>
  <c r="F17" i="14"/>
  <c r="G17" i="14" s="1"/>
  <c r="F16" i="14"/>
  <c r="G16" i="14" s="1"/>
  <c r="F15" i="14"/>
  <c r="G15" i="14" s="1"/>
  <c r="F13" i="14"/>
  <c r="G13" i="14" s="1"/>
  <c r="F11" i="14"/>
  <c r="G11" i="14" s="1"/>
  <c r="F6" i="14"/>
  <c r="G6" i="14" s="1"/>
  <c r="F5" i="14"/>
  <c r="G5" i="14" s="1"/>
  <c r="AF3" i="14"/>
  <c r="AW3" i="14" s="1"/>
  <c r="BN3" i="14" s="1"/>
  <c r="CE3" i="14" s="1"/>
  <c r="CV3" i="14" s="1"/>
  <c r="DM3" i="14" s="1"/>
  <c r="ED3" i="14" s="1"/>
  <c r="EU3" i="14" s="1"/>
  <c r="FL3" i="14" s="1"/>
  <c r="GC3" i="14" s="1"/>
  <c r="GT3" i="14" s="1"/>
  <c r="HK3" i="14" s="1"/>
  <c r="IB3" i="14" s="1"/>
  <c r="IS3" i="14" s="1"/>
  <c r="JJ3" i="14" s="1"/>
  <c r="KA3" i="14" s="1"/>
  <c r="KR3" i="14" s="1"/>
  <c r="LI3" i="14" s="1"/>
  <c r="LZ3" i="14" s="1"/>
  <c r="MQ3" i="14" s="1"/>
  <c r="NH3" i="14" s="1"/>
  <c r="NY3" i="14" s="1"/>
  <c r="OP3" i="14" s="1"/>
  <c r="PG3" i="14" s="1"/>
  <c r="PX3" i="14" s="1"/>
  <c r="QO3" i="14" s="1"/>
  <c r="RF3" i="14" s="1"/>
  <c r="RW3" i="14" s="1"/>
  <c r="SN3" i="14" s="1"/>
  <c r="AE3" i="14"/>
  <c r="AV3" i="14" s="1"/>
  <c r="BM3" i="14" s="1"/>
  <c r="CD3" i="14" s="1"/>
  <c r="CU3" i="14" s="1"/>
  <c r="DL3" i="14" s="1"/>
  <c r="EC3" i="14" s="1"/>
  <c r="ET3" i="14" s="1"/>
  <c r="FK3" i="14" s="1"/>
  <c r="GB3" i="14" s="1"/>
  <c r="GS3" i="14" s="1"/>
  <c r="HJ3" i="14" s="1"/>
  <c r="IA3" i="14" s="1"/>
  <c r="IR3" i="14" s="1"/>
  <c r="JI3" i="14" s="1"/>
  <c r="JZ3" i="14" s="1"/>
  <c r="KQ3" i="14" s="1"/>
  <c r="LH3" i="14" s="1"/>
  <c r="LY3" i="14" s="1"/>
  <c r="MP3" i="14" s="1"/>
  <c r="NG3" i="14" s="1"/>
  <c r="NX3" i="14" s="1"/>
  <c r="OO3" i="14" s="1"/>
  <c r="PF3" i="14" s="1"/>
  <c r="PW3" i="14" s="1"/>
  <c r="QN3" i="14" s="1"/>
  <c r="RE3" i="14" s="1"/>
  <c r="RV3" i="14" s="1"/>
  <c r="SM3" i="14" s="1"/>
  <c r="AD3" i="14"/>
  <c r="AU3" i="14" s="1"/>
  <c r="BL3" i="14" s="1"/>
  <c r="CC3" i="14" s="1"/>
  <c r="CT3" i="14" s="1"/>
  <c r="DK3" i="14" s="1"/>
  <c r="EB3" i="14" s="1"/>
  <c r="ES3" i="14" s="1"/>
  <c r="FJ3" i="14" s="1"/>
  <c r="GA3" i="14" s="1"/>
  <c r="GR3" i="14" s="1"/>
  <c r="HI3" i="14" s="1"/>
  <c r="HZ3" i="14" s="1"/>
  <c r="IQ3" i="14" s="1"/>
  <c r="JH3" i="14" s="1"/>
  <c r="JY3" i="14" s="1"/>
  <c r="KP3" i="14" s="1"/>
  <c r="LG3" i="14" s="1"/>
  <c r="LX3" i="14" s="1"/>
  <c r="MO3" i="14" s="1"/>
  <c r="NF3" i="14" s="1"/>
  <c r="NW3" i="14" s="1"/>
  <c r="ON3" i="14" s="1"/>
  <c r="PE3" i="14" s="1"/>
  <c r="PV3" i="14" s="1"/>
  <c r="QM3" i="14" s="1"/>
  <c r="RD3" i="14" s="1"/>
  <c r="RU3" i="14" s="1"/>
  <c r="SL3" i="14" s="1"/>
  <c r="AA3" i="14"/>
  <c r="AR3" i="14" s="1"/>
  <c r="BI3" i="14" s="1"/>
  <c r="BZ3" i="14" s="1"/>
  <c r="CQ3" i="14" s="1"/>
  <c r="DH3" i="14" s="1"/>
  <c r="DY3" i="14" s="1"/>
  <c r="EP3" i="14" s="1"/>
  <c r="FG3" i="14" s="1"/>
  <c r="FX3" i="14" s="1"/>
  <c r="GO3" i="14" s="1"/>
  <c r="HF3" i="14" s="1"/>
  <c r="HW3" i="14" s="1"/>
  <c r="IN3" i="14" s="1"/>
  <c r="JE3" i="14" s="1"/>
  <c r="JV3" i="14" s="1"/>
  <c r="KM3" i="14" s="1"/>
  <c r="LD3" i="14" s="1"/>
  <c r="LU3" i="14" s="1"/>
  <c r="ML3" i="14" s="1"/>
  <c r="NC3" i="14" s="1"/>
  <c r="NT3" i="14" s="1"/>
  <c r="OK3" i="14" s="1"/>
  <c r="PB3" i="14" s="1"/>
  <c r="PS3" i="14" s="1"/>
  <c r="QJ3" i="14" s="1"/>
  <c r="RA3" i="14" s="1"/>
  <c r="RR3" i="14" s="1"/>
  <c r="SI3" i="14" s="1"/>
  <c r="Z3" i="14"/>
  <c r="AQ3" i="14" s="1"/>
  <c r="BH3" i="14" s="1"/>
  <c r="BY3" i="14" s="1"/>
  <c r="CP3" i="14" s="1"/>
  <c r="DG3" i="14" s="1"/>
  <c r="DX3" i="14" s="1"/>
  <c r="EO3" i="14" s="1"/>
  <c r="FF3" i="14" s="1"/>
  <c r="FW3" i="14" s="1"/>
  <c r="GN3" i="14" s="1"/>
  <c r="HE3" i="14" s="1"/>
  <c r="HV3" i="14" s="1"/>
  <c r="IM3" i="14" s="1"/>
  <c r="JD3" i="14" s="1"/>
  <c r="JU3" i="14" s="1"/>
  <c r="KL3" i="14" s="1"/>
  <c r="LC3" i="14" s="1"/>
  <c r="LT3" i="14" s="1"/>
  <c r="MK3" i="14" s="1"/>
  <c r="NB3" i="14" s="1"/>
  <c r="NS3" i="14" s="1"/>
  <c r="OJ3" i="14" s="1"/>
  <c r="PA3" i="14" s="1"/>
  <c r="PR3" i="14" s="1"/>
  <c r="QI3" i="14" s="1"/>
  <c r="QZ3" i="14" s="1"/>
  <c r="RQ3" i="14" s="1"/>
  <c r="SH3" i="14" s="1"/>
  <c r="Y3" i="14"/>
  <c r="AP3" i="14" s="1"/>
  <c r="BG3" i="14" s="1"/>
  <c r="BX3" i="14" s="1"/>
  <c r="CO3" i="14" s="1"/>
  <c r="DF3" i="14" s="1"/>
  <c r="DW3" i="14" s="1"/>
  <c r="EN3" i="14" s="1"/>
  <c r="FE3" i="14" s="1"/>
  <c r="FV3" i="14" s="1"/>
  <c r="GM3" i="14" s="1"/>
  <c r="HD3" i="14" s="1"/>
  <c r="HU3" i="14" s="1"/>
  <c r="IL3" i="14" s="1"/>
  <c r="JC3" i="14" s="1"/>
  <c r="JT3" i="14" s="1"/>
  <c r="KK3" i="14" s="1"/>
  <c r="LB3" i="14" s="1"/>
  <c r="LS3" i="14" s="1"/>
  <c r="MJ3" i="14" s="1"/>
  <c r="NA3" i="14" s="1"/>
  <c r="NR3" i="14" s="1"/>
  <c r="OI3" i="14" s="1"/>
  <c r="OZ3" i="14" s="1"/>
  <c r="PQ3" i="14" s="1"/>
  <c r="QH3" i="14" s="1"/>
  <c r="QY3" i="14" s="1"/>
  <c r="RP3" i="14" s="1"/>
  <c r="SG3" i="14" s="1"/>
  <c r="U3" i="14"/>
  <c r="AL3" i="14" s="1"/>
  <c r="BC3" i="14" s="1"/>
  <c r="BT3" i="14" s="1"/>
  <c r="CK3" i="14" s="1"/>
  <c r="DB3" i="14" s="1"/>
  <c r="DS3" i="14" s="1"/>
  <c r="EJ3" i="14" s="1"/>
  <c r="FA3" i="14" s="1"/>
  <c r="FR3" i="14" s="1"/>
  <c r="GI3" i="14" s="1"/>
  <c r="GZ3" i="14" s="1"/>
  <c r="HQ3" i="14" s="1"/>
  <c r="IH3" i="14" s="1"/>
  <c r="IY3" i="14" s="1"/>
  <c r="JP3" i="14" s="1"/>
  <c r="KG3" i="14" s="1"/>
  <c r="KX3" i="14" s="1"/>
  <c r="LO3" i="14" s="1"/>
  <c r="MF3" i="14" s="1"/>
  <c r="MW3" i="14" s="1"/>
  <c r="NN3" i="14" s="1"/>
  <c r="OE3" i="14" s="1"/>
  <c r="OV3" i="14" s="1"/>
  <c r="PM3" i="14" s="1"/>
  <c r="QD3" i="14" s="1"/>
  <c r="QU3" i="14" s="1"/>
  <c r="RL3" i="14" s="1"/>
  <c r="SC3" i="14" s="1"/>
  <c r="T3" i="14"/>
  <c r="AK3" i="14" s="1"/>
  <c r="BB3" i="14" s="1"/>
  <c r="BS3" i="14" s="1"/>
  <c r="CJ3" i="14" s="1"/>
  <c r="DA3" i="14" s="1"/>
  <c r="DR3" i="14" s="1"/>
  <c r="EI3" i="14" s="1"/>
  <c r="EZ3" i="14" s="1"/>
  <c r="FQ3" i="14" s="1"/>
  <c r="GH3" i="14" s="1"/>
  <c r="GY3" i="14" s="1"/>
  <c r="HP3" i="14" s="1"/>
  <c r="IG3" i="14" s="1"/>
  <c r="IX3" i="14" s="1"/>
  <c r="JO3" i="14" s="1"/>
  <c r="KF3" i="14" s="1"/>
  <c r="KW3" i="14" s="1"/>
  <c r="LN3" i="14" s="1"/>
  <c r="ME3" i="14" s="1"/>
  <c r="MV3" i="14" s="1"/>
  <c r="NM3" i="14" s="1"/>
  <c r="OD3" i="14" s="1"/>
  <c r="OU3" i="14" s="1"/>
  <c r="PL3" i="14" s="1"/>
  <c r="QC3" i="14" s="1"/>
  <c r="QT3" i="14" s="1"/>
  <c r="RK3" i="14" s="1"/>
  <c r="SB3" i="14" s="1"/>
  <c r="T1" i="14"/>
  <c r="AK1" i="14" s="1"/>
  <c r="BB1" i="14" s="1"/>
  <c r="BS1" i="14" s="1"/>
  <c r="CJ1" i="14" s="1"/>
  <c r="DA1" i="14" s="1"/>
  <c r="DR1" i="14" s="1"/>
  <c r="EI1" i="14" s="1"/>
  <c r="EZ1" i="14" s="1"/>
  <c r="FQ1" i="14" s="1"/>
  <c r="GH1" i="14" s="1"/>
  <c r="GY1" i="14" s="1"/>
  <c r="HP1" i="14" s="1"/>
  <c r="IG1" i="14" s="1"/>
  <c r="IX1" i="14" s="1"/>
  <c r="JO1" i="14" s="1"/>
  <c r="KF1" i="14" s="1"/>
  <c r="KW1" i="14" s="1"/>
  <c r="LN1" i="14" s="1"/>
  <c r="ME1" i="14" s="1"/>
  <c r="MV1" i="14" s="1"/>
  <c r="NM1" i="14" s="1"/>
  <c r="OD1" i="14" s="1"/>
  <c r="OU1" i="14" s="1"/>
  <c r="PL1" i="14" s="1"/>
  <c r="QC1" i="14" s="1"/>
  <c r="QT1" i="14" s="1"/>
  <c r="RK1" i="14" s="1"/>
  <c r="SB1" i="14" s="1"/>
  <c r="A24" i="13"/>
  <c r="A20" i="13"/>
  <c r="A7" i="13"/>
  <c r="R4" i="24"/>
  <c r="B4" i="30"/>
  <c r="A12" i="13"/>
  <c r="A19" i="13"/>
  <c r="A9" i="13"/>
  <c r="J4" i="28"/>
  <c r="V4" i="26"/>
  <c r="V4" i="30"/>
  <c r="F4" i="26"/>
  <c r="A21" i="13"/>
  <c r="B4" i="24"/>
  <c r="A15" i="13"/>
  <c r="B4" i="26"/>
  <c r="B4" i="28"/>
  <c r="F4" i="28"/>
  <c r="A5" i="13"/>
  <c r="N4" i="30"/>
  <c r="F4" i="30"/>
  <c r="A30" i="13"/>
  <c r="R4" i="30"/>
  <c r="A8" i="13"/>
  <c r="N4" i="24"/>
  <c r="A6" i="13"/>
  <c r="EI2" i="27"/>
  <c r="A25" i="13"/>
  <c r="A16" i="13"/>
  <c r="EI2" i="31"/>
  <c r="F4" i="24"/>
  <c r="V4" i="28"/>
  <c r="A27" i="13"/>
  <c r="A28" i="13"/>
  <c r="A17" i="13"/>
  <c r="R4" i="26"/>
  <c r="A13" i="13"/>
  <c r="A18" i="13"/>
  <c r="J4" i="26"/>
  <c r="J4" i="24"/>
  <c r="EZ2" i="29"/>
  <c r="V4" i="24"/>
  <c r="A29" i="13"/>
  <c r="A23" i="13"/>
  <c r="A33" i="13"/>
  <c r="N4" i="28"/>
  <c r="N4" i="26"/>
  <c r="A26" i="13"/>
  <c r="J4" i="30"/>
  <c r="A31" i="13"/>
  <c r="A22" i="13"/>
  <c r="A14" i="13"/>
  <c r="A10" i="13"/>
  <c r="A11" i="13"/>
  <c r="R4" i="28"/>
  <c r="A32" i="13"/>
  <c r="G3" i="3" l="1"/>
  <c r="FQ1" i="31"/>
  <c r="GH1" i="29"/>
  <c r="FQ1" i="27"/>
  <c r="EZ1" i="25"/>
  <c r="G18" i="14"/>
  <c r="G7" i="14"/>
  <c r="R6" i="14"/>
  <c r="S6" i="14" s="1"/>
  <c r="G12" i="14"/>
  <c r="R5" i="14"/>
  <c r="S5" i="14" s="1"/>
  <c r="G4" i="14"/>
  <c r="R11" i="14"/>
  <c r="S11" i="14" s="1"/>
  <c r="R13" i="14"/>
  <c r="G14" i="14"/>
  <c r="R15" i="14"/>
  <c r="R16" i="14"/>
  <c r="S16" i="14" s="1"/>
  <c r="R17" i="14"/>
  <c r="S17" i="14" s="1"/>
  <c r="R19" i="14"/>
  <c r="RK2" i="14"/>
  <c r="C4" i="28"/>
  <c r="O4" i="24"/>
  <c r="CJ2" i="25"/>
  <c r="O4" i="28"/>
  <c r="C4" i="24"/>
  <c r="G4" i="26"/>
  <c r="W4" i="24"/>
  <c r="K4" i="26"/>
  <c r="JO2" i="14"/>
  <c r="KF2" i="14"/>
  <c r="O4" i="30"/>
  <c r="FQ2" i="29"/>
  <c r="K4" i="24"/>
  <c r="EZ2" i="31"/>
  <c r="W4" i="28"/>
  <c r="G4" i="28"/>
  <c r="LN2" i="14"/>
  <c r="BS2" i="14"/>
  <c r="W4" i="26"/>
  <c r="ME2" i="14"/>
  <c r="G4" i="24"/>
  <c r="BB2" i="25"/>
  <c r="OU2" i="14"/>
  <c r="G4" i="30"/>
  <c r="BB2" i="14"/>
  <c r="EZ2" i="27"/>
  <c r="IG2" i="14"/>
  <c r="SB2" i="14"/>
  <c r="GY2" i="14"/>
  <c r="EI2" i="25"/>
  <c r="FQ2" i="14"/>
  <c r="QC2" i="14"/>
  <c r="AK2" i="14"/>
  <c r="S4" i="30"/>
  <c r="K4" i="30"/>
  <c r="T2" i="25"/>
  <c r="W4" i="30"/>
  <c r="EZ2" i="14"/>
  <c r="QT2" i="14"/>
  <c r="GH2" i="14"/>
  <c r="C4" i="26"/>
  <c r="DR2" i="25"/>
  <c r="EI2" i="14"/>
  <c r="S4" i="26"/>
  <c r="NM2" i="14"/>
  <c r="IX2" i="14"/>
  <c r="S4" i="24"/>
  <c r="PL2" i="14"/>
  <c r="S4" i="28"/>
  <c r="HP2" i="14"/>
  <c r="BS2" i="25"/>
  <c r="OD2" i="14"/>
  <c r="K4" i="28"/>
  <c r="C4" i="30"/>
  <c r="DA2" i="25"/>
  <c r="O4" i="26"/>
  <c r="KW2" i="14"/>
  <c r="DA2" i="14"/>
  <c r="DR2" i="14"/>
  <c r="MV2" i="14"/>
  <c r="AK2" i="25"/>
  <c r="CJ2" i="14"/>
  <c r="H3" i="3" l="1"/>
  <c r="GH1" i="31"/>
  <c r="GY1" i="29"/>
  <c r="GH1" i="27"/>
  <c r="FQ1" i="25"/>
  <c r="S15" i="14"/>
  <c r="S14" i="14"/>
  <c r="S4" i="14"/>
  <c r="S19" i="14"/>
  <c r="S18" i="14"/>
  <c r="S13" i="14"/>
  <c r="S12" i="14"/>
  <c r="S7" i="14"/>
  <c r="H4" i="26"/>
  <c r="H4" i="28"/>
  <c r="X4" i="28"/>
  <c r="P4" i="26"/>
  <c r="L4" i="26"/>
  <c r="EZ2" i="25"/>
  <c r="D4" i="24"/>
  <c r="H4" i="30"/>
  <c r="T4" i="24"/>
  <c r="L4" i="28"/>
  <c r="D4" i="30"/>
  <c r="FQ2" i="27"/>
  <c r="L4" i="30"/>
  <c r="FQ2" i="31"/>
  <c r="P4" i="28"/>
  <c r="L4" i="24"/>
  <c r="T4" i="28"/>
  <c r="H4" i="24"/>
  <c r="X4" i="30"/>
  <c r="T4" i="30"/>
  <c r="D4" i="26"/>
  <c r="T4" i="26"/>
  <c r="X4" i="24"/>
  <c r="D4" i="28"/>
  <c r="X4" i="26"/>
  <c r="P4" i="24"/>
  <c r="GH2" i="29"/>
  <c r="P4" i="30"/>
  <c r="GY1" i="31" l="1"/>
  <c r="HP1" i="29"/>
  <c r="GY1" i="27"/>
  <c r="GH1" i="25"/>
  <c r="H4" i="3"/>
  <c r="G4" i="3"/>
  <c r="F4" i="3"/>
  <c r="E4" i="3"/>
  <c r="Q4" i="28"/>
  <c r="Y4" i="26"/>
  <c r="M4" i="24"/>
  <c r="E4" i="30"/>
  <c r="Y4" i="30"/>
  <c r="Z4" i="28"/>
  <c r="Q4" i="26"/>
  <c r="E4" i="24"/>
  <c r="E4" i="28"/>
  <c r="I4" i="30"/>
  <c r="Z4" i="30"/>
  <c r="I4" i="28"/>
  <c r="Y4" i="28"/>
  <c r="Y4" i="24"/>
  <c r="AA4" i="28"/>
  <c r="U4" i="24"/>
  <c r="M4" i="30"/>
  <c r="Q4" i="30"/>
  <c r="U4" i="30"/>
  <c r="Z4" i="26"/>
  <c r="U4" i="26"/>
  <c r="Q4" i="24"/>
  <c r="E4" i="26"/>
  <c r="M4" i="28"/>
  <c r="I4" i="24"/>
  <c r="AA4" i="30"/>
  <c r="Z4" i="24"/>
  <c r="M4" i="26"/>
  <c r="AA4" i="26"/>
  <c r="I4" i="26"/>
  <c r="U4" i="28"/>
  <c r="AA4" i="24"/>
  <c r="H5" i="3" l="1"/>
  <c r="E5" i="3"/>
  <c r="G5" i="3"/>
  <c r="F5" i="3"/>
  <c r="HP1" i="31"/>
  <c r="IG1" i="29"/>
  <c r="HP1" i="27"/>
  <c r="GY1" i="25"/>
  <c r="Y5" i="28"/>
  <c r="D5" i="28"/>
  <c r="Z5" i="13"/>
  <c r="F4" i="13"/>
  <c r="U5" i="30"/>
  <c r="X5" i="28"/>
  <c r="P4" i="13"/>
  <c r="Y4" i="13"/>
  <c r="Z5" i="30"/>
  <c r="D5" i="26"/>
  <c r="C6" i="13"/>
  <c r="Q5" i="24"/>
  <c r="K5" i="26"/>
  <c r="GY2" i="31"/>
  <c r="R5" i="26"/>
  <c r="Z5" i="26"/>
  <c r="W5" i="30"/>
  <c r="T5" i="13"/>
  <c r="J5" i="30"/>
  <c r="U5" i="24"/>
  <c r="S5" i="26"/>
  <c r="P5" i="13"/>
  <c r="S5" i="28"/>
  <c r="Q4" i="13"/>
  <c r="T5" i="28"/>
  <c r="N6" i="13"/>
  <c r="K6" i="13"/>
  <c r="W4" i="13"/>
  <c r="T5" i="30"/>
  <c r="I5" i="13"/>
  <c r="GY2" i="27"/>
  <c r="P6" i="13"/>
  <c r="P5" i="30"/>
  <c r="Z4" i="13"/>
  <c r="AA5" i="30"/>
  <c r="N5" i="30"/>
  <c r="D5" i="30"/>
  <c r="N4" i="13"/>
  <c r="U4" i="13"/>
  <c r="L4" i="13"/>
  <c r="P5" i="28"/>
  <c r="F5" i="13"/>
  <c r="J5" i="13"/>
  <c r="I5" i="28"/>
  <c r="L5" i="30"/>
  <c r="Q5" i="13"/>
  <c r="Y5" i="30"/>
  <c r="S6" i="13"/>
  <c r="AA5" i="28"/>
  <c r="H4" i="13"/>
  <c r="E5" i="28"/>
  <c r="V6" i="13"/>
  <c r="AA4" i="13"/>
  <c r="U6" i="13"/>
  <c r="J6" i="13"/>
  <c r="D4" i="13"/>
  <c r="L5" i="26"/>
  <c r="Q5" i="28"/>
  <c r="B5" i="28"/>
  <c r="GH2" i="31"/>
  <c r="R5" i="28"/>
  <c r="C5" i="30"/>
  <c r="G4" i="13"/>
  <c r="C2" i="14"/>
  <c r="R5" i="30"/>
  <c r="D5" i="13"/>
  <c r="Q6" i="13"/>
  <c r="M5" i="24"/>
  <c r="S5" i="30"/>
  <c r="U5" i="13"/>
  <c r="M5" i="28"/>
  <c r="U5" i="28"/>
  <c r="O5" i="30"/>
  <c r="GY2" i="29"/>
  <c r="Q5" i="26"/>
  <c r="Z5" i="24"/>
  <c r="K5" i="28"/>
  <c r="T2" i="14"/>
  <c r="V5" i="30"/>
  <c r="O5" i="24"/>
  <c r="Y6" i="13"/>
  <c r="G5" i="26"/>
  <c r="B5" i="24"/>
  <c r="C5" i="28"/>
  <c r="E5" i="13"/>
  <c r="G5" i="30"/>
  <c r="F5" i="28"/>
  <c r="O6" i="13"/>
  <c r="Z6" i="13"/>
  <c r="E4" i="13"/>
  <c r="E5" i="26"/>
  <c r="T5" i="26"/>
  <c r="GH2" i="25"/>
  <c r="AA5" i="26"/>
  <c r="M5" i="26"/>
  <c r="H5" i="24"/>
  <c r="J4" i="13"/>
  <c r="I5" i="26"/>
  <c r="Z5" i="28"/>
  <c r="T5" i="24"/>
  <c r="G5" i="13"/>
  <c r="N5" i="26"/>
  <c r="I5" i="24"/>
  <c r="L5" i="24"/>
  <c r="R6" i="13"/>
  <c r="U5" i="26"/>
  <c r="X5" i="24"/>
  <c r="I5" i="30"/>
  <c r="O5" i="28"/>
  <c r="H5" i="26"/>
  <c r="V5" i="13"/>
  <c r="V4" i="13"/>
  <c r="Q5" i="30"/>
  <c r="B4" i="13"/>
  <c r="K4" i="13"/>
  <c r="D5" i="24"/>
  <c r="FQ2" i="25"/>
  <c r="X4" i="13"/>
  <c r="L5" i="13"/>
  <c r="V5" i="28"/>
  <c r="D6" i="13"/>
  <c r="GH2" i="27"/>
  <c r="S4" i="13"/>
  <c r="J5" i="26"/>
  <c r="S5" i="13"/>
  <c r="N5" i="28"/>
  <c r="G5" i="28"/>
  <c r="G6" i="13"/>
  <c r="K5" i="24"/>
  <c r="F5" i="30"/>
  <c r="W5" i="24"/>
  <c r="I6" i="13"/>
  <c r="X5" i="26"/>
  <c r="J5" i="28"/>
  <c r="C5" i="24"/>
  <c r="P5" i="26"/>
  <c r="N5" i="24"/>
  <c r="B6" i="13"/>
  <c r="E6" i="13"/>
  <c r="B5" i="13"/>
  <c r="F5" i="24"/>
  <c r="R5" i="13"/>
  <c r="H5" i="13"/>
  <c r="F6" i="13"/>
  <c r="H5" i="28"/>
  <c r="X5" i="13"/>
  <c r="O5" i="13"/>
  <c r="H6" i="13"/>
  <c r="AA5" i="24"/>
  <c r="C5" i="26"/>
  <c r="I4" i="13"/>
  <c r="L5" i="28"/>
  <c r="Y5" i="26"/>
  <c r="K5" i="30"/>
  <c r="AA5" i="13"/>
  <c r="B5" i="26"/>
  <c r="E5" i="24"/>
  <c r="O5" i="26"/>
  <c r="HP2" i="29"/>
  <c r="W5" i="28"/>
  <c r="Y5" i="24"/>
  <c r="S5" i="24"/>
  <c r="C5" i="13"/>
  <c r="P5" i="24"/>
  <c r="M5" i="30"/>
  <c r="G5" i="24"/>
  <c r="T4" i="13"/>
  <c r="H5" i="30"/>
  <c r="B5" i="30"/>
  <c r="W5" i="26"/>
  <c r="N5" i="13"/>
  <c r="C4" i="13"/>
  <c r="J5" i="24"/>
  <c r="R4" i="13"/>
  <c r="W6" i="13"/>
  <c r="V5" i="24"/>
  <c r="M6" i="13"/>
  <c r="V5" i="26"/>
  <c r="X5" i="30"/>
  <c r="E5" i="30"/>
  <c r="O4" i="13"/>
  <c r="W5" i="13"/>
  <c r="F5" i="26"/>
  <c r="K5" i="13"/>
  <c r="M5" i="13"/>
  <c r="Y5" i="13"/>
  <c r="R5" i="24"/>
  <c r="L6" i="13"/>
  <c r="AA6" i="13"/>
  <c r="M4" i="13"/>
  <c r="F6" i="3" l="1"/>
  <c r="E6" i="3"/>
  <c r="G6" i="3"/>
  <c r="H6" i="3"/>
  <c r="IG1" i="31"/>
  <c r="IX1" i="29"/>
  <c r="IG1" i="27"/>
  <c r="HP1" i="25"/>
  <c r="O6" i="30"/>
  <c r="T6" i="28"/>
  <c r="U6" i="28"/>
  <c r="B6" i="24"/>
  <c r="H6" i="28"/>
  <c r="W6" i="26"/>
  <c r="M6" i="30"/>
  <c r="M6" i="26"/>
  <c r="X6" i="30"/>
  <c r="L6" i="26"/>
  <c r="N6" i="30"/>
  <c r="B6" i="28"/>
  <c r="S6" i="30"/>
  <c r="K6" i="24"/>
  <c r="X6" i="13"/>
  <c r="I6" i="24"/>
  <c r="P6" i="26"/>
  <c r="D6" i="26"/>
  <c r="B6" i="30"/>
  <c r="U6" i="24"/>
  <c r="Q6" i="24"/>
  <c r="H6" i="24"/>
  <c r="E6" i="28"/>
  <c r="J6" i="24"/>
  <c r="J6" i="26"/>
  <c r="G6" i="26"/>
  <c r="AA6" i="26"/>
  <c r="X6" i="28"/>
  <c r="AA6" i="28"/>
  <c r="S6" i="24"/>
  <c r="P6" i="30"/>
  <c r="Z6" i="26"/>
  <c r="O6" i="24"/>
  <c r="Y6" i="30"/>
  <c r="HP2" i="27"/>
  <c r="C6" i="30"/>
  <c r="T6" i="24"/>
  <c r="F6" i="26"/>
  <c r="Y6" i="24"/>
  <c r="K6" i="28"/>
  <c r="P6" i="24"/>
  <c r="Y6" i="28"/>
  <c r="R6" i="24"/>
  <c r="D6" i="28"/>
  <c r="W6" i="28"/>
  <c r="N6" i="28"/>
  <c r="U6" i="26"/>
  <c r="R6" i="28"/>
  <c r="Q6" i="30"/>
  <c r="C6" i="28"/>
  <c r="O6" i="26"/>
  <c r="E6" i="26"/>
  <c r="L6" i="30"/>
  <c r="Z6" i="30"/>
  <c r="C6" i="26"/>
  <c r="I6" i="30"/>
  <c r="G6" i="30"/>
  <c r="K6" i="26"/>
  <c r="X6" i="24"/>
  <c r="N6" i="24"/>
  <c r="F6" i="24"/>
  <c r="AA6" i="24"/>
  <c r="C6" i="24"/>
  <c r="R6" i="30"/>
  <c r="I6" i="26"/>
  <c r="T6" i="30"/>
  <c r="Q6" i="26"/>
  <c r="V6" i="30"/>
  <c r="M6" i="24"/>
  <c r="K6" i="30"/>
  <c r="G6" i="24"/>
  <c r="Z6" i="28"/>
  <c r="V6" i="28"/>
  <c r="H6" i="26"/>
  <c r="W6" i="30"/>
  <c r="R6" i="26"/>
  <c r="U6" i="30"/>
  <c r="D6" i="30"/>
  <c r="I6" i="28"/>
  <c r="H6" i="30"/>
  <c r="P6" i="28"/>
  <c r="F6" i="28"/>
  <c r="B6" i="26"/>
  <c r="G6" i="28"/>
  <c r="L6" i="24"/>
  <c r="M6" i="28"/>
  <c r="N6" i="26"/>
  <c r="Z6" i="24"/>
  <c r="S6" i="28"/>
  <c r="S6" i="26"/>
  <c r="Y6" i="26"/>
  <c r="Q6" i="28"/>
  <c r="L6" i="28"/>
  <c r="X6" i="26"/>
  <c r="J6" i="28"/>
  <c r="V6" i="24"/>
  <c r="W6" i="24"/>
  <c r="E6" i="30"/>
  <c r="D6" i="24"/>
  <c r="V6" i="26"/>
  <c r="GY2" i="25"/>
  <c r="T6" i="13"/>
  <c r="F6" i="30"/>
  <c r="AA6" i="30"/>
  <c r="T6" i="26"/>
  <c r="E6" i="24"/>
  <c r="O6" i="28"/>
  <c r="IG2" i="29"/>
  <c r="HP2" i="31"/>
  <c r="J6" i="30"/>
  <c r="G7" i="3" l="1"/>
  <c r="E7" i="3"/>
  <c r="H7" i="3"/>
  <c r="F7" i="3"/>
  <c r="IX1" i="31"/>
  <c r="JO1" i="29"/>
  <c r="IX1" i="27"/>
  <c r="IG1" i="25"/>
  <c r="D7" i="30"/>
  <c r="AA7" i="28"/>
  <c r="K7" i="13"/>
  <c r="L7" i="24"/>
  <c r="Z7" i="28"/>
  <c r="T7" i="26"/>
  <c r="P7" i="24"/>
  <c r="D7" i="26"/>
  <c r="B7" i="13"/>
  <c r="G7" i="30"/>
  <c r="H7" i="30"/>
  <c r="Z7" i="30"/>
  <c r="O7" i="13"/>
  <c r="D7" i="24"/>
  <c r="AA7" i="26"/>
  <c r="P7" i="28"/>
  <c r="P7" i="26"/>
  <c r="I7" i="30"/>
  <c r="L7" i="28"/>
  <c r="L7" i="26"/>
  <c r="E7" i="26"/>
  <c r="X7" i="13"/>
  <c r="B7" i="30"/>
  <c r="Y7" i="13"/>
  <c r="Z7" i="24"/>
  <c r="J7" i="30"/>
  <c r="I7" i="13"/>
  <c r="U7" i="24"/>
  <c r="F7" i="24"/>
  <c r="K7" i="30"/>
  <c r="Z7" i="26"/>
  <c r="R7" i="24"/>
  <c r="S7" i="24"/>
  <c r="W7" i="30"/>
  <c r="X7" i="26"/>
  <c r="U7" i="28"/>
  <c r="N7" i="26"/>
  <c r="P7" i="13"/>
  <c r="I7" i="26"/>
  <c r="V7" i="30"/>
  <c r="B7" i="26"/>
  <c r="H7" i="24"/>
  <c r="I7" i="28"/>
  <c r="D7" i="28"/>
  <c r="H7" i="28"/>
  <c r="I7" i="24"/>
  <c r="X7" i="30"/>
  <c r="D7" i="13"/>
  <c r="Q7" i="13"/>
  <c r="Q7" i="28"/>
  <c r="H7" i="13"/>
  <c r="M7" i="24"/>
  <c r="AA7" i="30"/>
  <c r="J7" i="26"/>
  <c r="Z7" i="13"/>
  <c r="E7" i="28"/>
  <c r="B7" i="28"/>
  <c r="O7" i="24"/>
  <c r="E7" i="30"/>
  <c r="V7" i="26"/>
  <c r="S7" i="28"/>
  <c r="C7" i="24"/>
  <c r="N7" i="13"/>
  <c r="K7" i="26"/>
  <c r="L7" i="30"/>
  <c r="M7" i="28"/>
  <c r="IX2" i="29"/>
  <c r="N7" i="28"/>
  <c r="M7" i="13"/>
  <c r="Y7" i="24"/>
  <c r="R7" i="26"/>
  <c r="S7" i="30"/>
  <c r="U7" i="13"/>
  <c r="J7" i="13"/>
  <c r="P7" i="30"/>
  <c r="AA7" i="24"/>
  <c r="V7" i="24"/>
  <c r="R7" i="30"/>
  <c r="AA7" i="13"/>
  <c r="Q7" i="26"/>
  <c r="N7" i="24"/>
  <c r="O7" i="28"/>
  <c r="W7" i="13"/>
  <c r="N7" i="30"/>
  <c r="W7" i="28"/>
  <c r="S7" i="26"/>
  <c r="F7" i="26"/>
  <c r="G7" i="26"/>
  <c r="G7" i="24"/>
  <c r="U7" i="26"/>
  <c r="HP2" i="25"/>
  <c r="R7" i="13"/>
  <c r="Q7" i="30"/>
  <c r="C7" i="13"/>
  <c r="T7" i="30"/>
  <c r="M7" i="26"/>
  <c r="IG2" i="27"/>
  <c r="X7" i="28"/>
  <c r="Y7" i="26"/>
  <c r="J7" i="28"/>
  <c r="R7" i="28"/>
  <c r="O7" i="26"/>
  <c r="IG2" i="31"/>
  <c r="V7" i="13"/>
  <c r="W7" i="24"/>
  <c r="T7" i="28"/>
  <c r="U7" i="30"/>
  <c r="J7" i="24"/>
  <c r="C7" i="30"/>
  <c r="E7" i="13"/>
  <c r="B7" i="24"/>
  <c r="K7" i="28"/>
  <c r="C7" i="26"/>
  <c r="M7" i="30"/>
  <c r="G7" i="13"/>
  <c r="K7" i="24"/>
  <c r="F7" i="13"/>
  <c r="C7" i="28"/>
  <c r="H7" i="26"/>
  <c r="Y7" i="30"/>
  <c r="S7" i="13"/>
  <c r="T7" i="24"/>
  <c r="Q7" i="24"/>
  <c r="F7" i="30"/>
  <c r="X7" i="24"/>
  <c r="Y7" i="28"/>
  <c r="T7" i="13"/>
  <c r="L7" i="13"/>
  <c r="E7" i="24"/>
  <c r="V7" i="28"/>
  <c r="F7" i="28"/>
  <c r="O7" i="30"/>
  <c r="G7" i="28"/>
  <c r="W7" i="26"/>
  <c r="F8" i="3" l="1"/>
  <c r="E8" i="3"/>
  <c r="H8" i="3"/>
  <c r="G8" i="3"/>
  <c r="JO1" i="31"/>
  <c r="KF1" i="29"/>
  <c r="JO1" i="27"/>
  <c r="IX1" i="25"/>
  <c r="S8" i="30"/>
  <c r="I8" i="28"/>
  <c r="D8" i="13"/>
  <c r="G8" i="30"/>
  <c r="Z8" i="30"/>
  <c r="IX2" i="31"/>
  <c r="S8" i="13"/>
  <c r="I8" i="13"/>
  <c r="U8" i="26"/>
  <c r="V8" i="30"/>
  <c r="AA8" i="30"/>
  <c r="IX2" i="27"/>
  <c r="S8" i="26"/>
  <c r="C8" i="30"/>
  <c r="Z8" i="26"/>
  <c r="JO2" i="29"/>
  <c r="O8" i="28"/>
  <c r="U8" i="28"/>
  <c r="C8" i="24"/>
  <c r="J8" i="26"/>
  <c r="AA8" i="13"/>
  <c r="Q8" i="26"/>
  <c r="AA8" i="28"/>
  <c r="Y8" i="26"/>
  <c r="K8" i="13"/>
  <c r="N8" i="13"/>
  <c r="W8" i="26"/>
  <c r="Z8" i="28"/>
  <c r="C8" i="28"/>
  <c r="W8" i="28"/>
  <c r="Y8" i="30"/>
  <c r="O8" i="13"/>
  <c r="G8" i="26"/>
  <c r="J8" i="28"/>
  <c r="G8" i="24"/>
  <c r="E8" i="28"/>
  <c r="C8" i="13"/>
  <c r="W8" i="24"/>
  <c r="U8" i="24"/>
  <c r="V8" i="28"/>
  <c r="B8" i="24"/>
  <c r="X8" i="26"/>
  <c r="X8" i="28"/>
  <c r="I8" i="30"/>
  <c r="M8" i="13"/>
  <c r="N8" i="26"/>
  <c r="E8" i="26"/>
  <c r="O8" i="26"/>
  <c r="Y8" i="24"/>
  <c r="B8" i="30"/>
  <c r="K8" i="24"/>
  <c r="I8" i="24"/>
  <c r="E8" i="30"/>
  <c r="B8" i="28"/>
  <c r="H8" i="24"/>
  <c r="L8" i="26"/>
  <c r="H8" i="26"/>
  <c r="L8" i="28"/>
  <c r="Q8" i="24"/>
  <c r="E8" i="24"/>
  <c r="W8" i="13"/>
  <c r="U8" i="30"/>
  <c r="N8" i="24"/>
  <c r="G8" i="13"/>
  <c r="M8" i="26"/>
  <c r="D8" i="28"/>
  <c r="M8" i="30"/>
  <c r="R8" i="13"/>
  <c r="J8" i="30"/>
  <c r="U8" i="13"/>
  <c r="Q8" i="30"/>
  <c r="F8" i="26"/>
  <c r="Q8" i="13"/>
  <c r="D8" i="24"/>
  <c r="M8" i="28"/>
  <c r="P8" i="13"/>
  <c r="Z8" i="24"/>
  <c r="O8" i="30"/>
  <c r="T8" i="13"/>
  <c r="E8" i="13"/>
  <c r="L8" i="30"/>
  <c r="B8" i="26"/>
  <c r="T8" i="30"/>
  <c r="I8" i="26"/>
  <c r="R8" i="28"/>
  <c r="H8" i="30"/>
  <c r="L8" i="13"/>
  <c r="Q8" i="28"/>
  <c r="IG2" i="25"/>
  <c r="K8" i="30"/>
  <c r="Y8" i="13"/>
  <c r="W8" i="30"/>
  <c r="X8" i="13"/>
  <c r="X8" i="30"/>
  <c r="F8" i="28"/>
  <c r="D8" i="26"/>
  <c r="AA8" i="26"/>
  <c r="N8" i="30"/>
  <c r="T8" i="26"/>
  <c r="V8" i="26"/>
  <c r="L8" i="24"/>
  <c r="J8" i="24"/>
  <c r="P8" i="24"/>
  <c r="T8" i="28"/>
  <c r="F8" i="24"/>
  <c r="P8" i="26"/>
  <c r="G8" i="28"/>
  <c r="AA8" i="24"/>
  <c r="K8" i="26"/>
  <c r="S8" i="24"/>
  <c r="O8" i="24"/>
  <c r="F8" i="13"/>
  <c r="F8" i="30"/>
  <c r="S8" i="28"/>
  <c r="B8" i="13"/>
  <c r="T8" i="24"/>
  <c r="P8" i="28"/>
  <c r="R8" i="24"/>
  <c r="X8" i="24"/>
  <c r="C8" i="26"/>
  <c r="Y8" i="28"/>
  <c r="N8" i="28"/>
  <c r="R8" i="26"/>
  <c r="V8" i="24"/>
  <c r="M8" i="24"/>
  <c r="K8" i="28"/>
  <c r="Z8" i="13"/>
  <c r="V8" i="13"/>
  <c r="P8" i="30"/>
  <c r="H8" i="13"/>
  <c r="J8" i="13"/>
  <c r="D8" i="30"/>
  <c r="R8" i="30"/>
  <c r="H8" i="28"/>
  <c r="G9" i="3" l="1"/>
  <c r="E9" i="3"/>
  <c r="H9" i="3"/>
  <c r="F9" i="3"/>
  <c r="KF1" i="31"/>
  <c r="KW1" i="29"/>
  <c r="KF1" i="27"/>
  <c r="JO1" i="25"/>
  <c r="D9" i="30"/>
  <c r="Y9" i="28"/>
  <c r="Q9" i="24"/>
  <c r="F9" i="28"/>
  <c r="K9" i="28"/>
  <c r="F9" i="24"/>
  <c r="D9" i="28"/>
  <c r="E9" i="28"/>
  <c r="I9" i="13"/>
  <c r="G9" i="30"/>
  <c r="AA9" i="28"/>
  <c r="N9" i="26"/>
  <c r="C9" i="24"/>
  <c r="H9" i="28"/>
  <c r="Q9" i="26"/>
  <c r="H9" i="13"/>
  <c r="I9" i="30"/>
  <c r="J9" i="28"/>
  <c r="G9" i="24"/>
  <c r="R9" i="26"/>
  <c r="Z9" i="24"/>
  <c r="R9" i="28"/>
  <c r="D9" i="13"/>
  <c r="Z9" i="28"/>
  <c r="W9" i="30"/>
  <c r="Q9" i="30"/>
  <c r="L9" i="24"/>
  <c r="AA9" i="26"/>
  <c r="L9" i="13"/>
  <c r="Y9" i="13"/>
  <c r="P9" i="30"/>
  <c r="S9" i="13"/>
  <c r="S9" i="26"/>
  <c r="L9" i="26"/>
  <c r="Q9" i="28"/>
  <c r="K9" i="13"/>
  <c r="F9" i="13"/>
  <c r="X9" i="28"/>
  <c r="E9" i="30"/>
  <c r="X9" i="24"/>
  <c r="U9" i="24"/>
  <c r="O9" i="13"/>
  <c r="L9" i="30"/>
  <c r="E9" i="13"/>
  <c r="B9" i="13"/>
  <c r="M9" i="28"/>
  <c r="T9" i="13"/>
  <c r="W9" i="24"/>
  <c r="B9" i="24"/>
  <c r="W9" i="28"/>
  <c r="N9" i="13"/>
  <c r="W9" i="26"/>
  <c r="Q9" i="13"/>
  <c r="T9" i="30"/>
  <c r="AA9" i="24"/>
  <c r="B9" i="30"/>
  <c r="S9" i="24"/>
  <c r="D9" i="24"/>
  <c r="M9" i="13"/>
  <c r="X9" i="13"/>
  <c r="Z9" i="13"/>
  <c r="B9" i="28"/>
  <c r="O9" i="24"/>
  <c r="R9" i="30"/>
  <c r="P9" i="28"/>
  <c r="M9" i="26"/>
  <c r="O9" i="26"/>
  <c r="J9" i="30"/>
  <c r="S9" i="28"/>
  <c r="T9" i="28"/>
  <c r="I9" i="28"/>
  <c r="T9" i="24"/>
  <c r="I9" i="24"/>
  <c r="B9" i="26"/>
  <c r="G9" i="28"/>
  <c r="C9" i="26"/>
  <c r="M9" i="30"/>
  <c r="H9" i="30"/>
  <c r="I9" i="26"/>
  <c r="U9" i="13"/>
  <c r="F9" i="30"/>
  <c r="K9" i="26"/>
  <c r="V9" i="13"/>
  <c r="X9" i="30"/>
  <c r="U9" i="28"/>
  <c r="C9" i="30"/>
  <c r="U9" i="26"/>
  <c r="F9" i="26"/>
  <c r="JO2" i="31"/>
  <c r="J9" i="13"/>
  <c r="E9" i="26"/>
  <c r="P9" i="13"/>
  <c r="K9" i="24"/>
  <c r="V9" i="28"/>
  <c r="C9" i="28"/>
  <c r="AA9" i="30"/>
  <c r="G9" i="13"/>
  <c r="Z9" i="30"/>
  <c r="V9" i="26"/>
  <c r="H9" i="26"/>
  <c r="R9" i="24"/>
  <c r="J9" i="24"/>
  <c r="L9" i="28"/>
  <c r="G9" i="26"/>
  <c r="N9" i="30"/>
  <c r="O9" i="30"/>
  <c r="N9" i="24"/>
  <c r="O9" i="28"/>
  <c r="N9" i="28"/>
  <c r="JO2" i="27"/>
  <c r="X9" i="26"/>
  <c r="Y9" i="24"/>
  <c r="KF2" i="29"/>
  <c r="R9" i="13"/>
  <c r="P9" i="26"/>
  <c r="Z9" i="26"/>
  <c r="P9" i="24"/>
  <c r="E9" i="24"/>
  <c r="IX2" i="25"/>
  <c r="D9" i="26"/>
  <c r="AA9" i="13"/>
  <c r="H9" i="24"/>
  <c r="U9" i="30"/>
  <c r="K9" i="30"/>
  <c r="V9" i="30"/>
  <c r="W9" i="13"/>
  <c r="Y9" i="30"/>
  <c r="T9" i="26"/>
  <c r="Y9" i="26"/>
  <c r="S9" i="30"/>
  <c r="M9" i="24"/>
  <c r="C9" i="13"/>
  <c r="V9" i="24"/>
  <c r="J9" i="26"/>
  <c r="F10" i="3" l="1"/>
  <c r="E10" i="3"/>
  <c r="H10" i="3"/>
  <c r="G10" i="3"/>
  <c r="KW1" i="31"/>
  <c r="LN1" i="29"/>
  <c r="KW1" i="27"/>
  <c r="KF1" i="25"/>
  <c r="K10" i="28"/>
  <c r="I10" i="26"/>
  <c r="R10" i="26"/>
  <c r="KF2" i="31"/>
  <c r="I10" i="30"/>
  <c r="T10" i="13"/>
  <c r="F10" i="26"/>
  <c r="L10" i="28"/>
  <c r="E10" i="24"/>
  <c r="X10" i="13"/>
  <c r="R10" i="30"/>
  <c r="L10" i="30"/>
  <c r="K10" i="24"/>
  <c r="J10" i="30"/>
  <c r="Y10" i="13"/>
  <c r="W10" i="26"/>
  <c r="E10" i="28"/>
  <c r="N10" i="30"/>
  <c r="F10" i="24"/>
  <c r="D10" i="24"/>
  <c r="K10" i="26"/>
  <c r="Z10" i="26"/>
  <c r="Z10" i="30"/>
  <c r="K10" i="30"/>
  <c r="U10" i="30"/>
  <c r="P10" i="26"/>
  <c r="M10" i="30"/>
  <c r="H10" i="13"/>
  <c r="I10" i="24"/>
  <c r="B10" i="28"/>
  <c r="KW2" i="29"/>
  <c r="AA10" i="30"/>
  <c r="S10" i="28"/>
  <c r="V10" i="13"/>
  <c r="W10" i="24"/>
  <c r="Z10" i="28"/>
  <c r="S10" i="30"/>
  <c r="G10" i="24"/>
  <c r="Q10" i="24"/>
  <c r="O10" i="30"/>
  <c r="Q10" i="28"/>
  <c r="T10" i="30"/>
  <c r="L10" i="26"/>
  <c r="U10" i="13"/>
  <c r="J10" i="13"/>
  <c r="G10" i="13"/>
  <c r="T10" i="28"/>
  <c r="N10" i="26"/>
  <c r="H10" i="26"/>
  <c r="J10" i="26"/>
  <c r="H10" i="28"/>
  <c r="E10" i="30"/>
  <c r="Y10" i="26"/>
  <c r="J10" i="24"/>
  <c r="K10" i="13"/>
  <c r="AA10" i="24"/>
  <c r="G10" i="26"/>
  <c r="S10" i="26"/>
  <c r="Z10" i="24"/>
  <c r="O10" i="26"/>
  <c r="Y10" i="30"/>
  <c r="D10" i="30"/>
  <c r="Q10" i="13"/>
  <c r="Y10" i="24"/>
  <c r="C10" i="24"/>
  <c r="U10" i="24"/>
  <c r="N10" i="24"/>
  <c r="V10" i="30"/>
  <c r="M10" i="13"/>
  <c r="O10" i="24"/>
  <c r="S10" i="13"/>
  <c r="E10" i="13"/>
  <c r="C10" i="28"/>
  <c r="Q10" i="26"/>
  <c r="JO2" i="25"/>
  <c r="W10" i="30"/>
  <c r="G10" i="28"/>
  <c r="Q10" i="30"/>
  <c r="R10" i="13"/>
  <c r="G10" i="30"/>
  <c r="U10" i="26"/>
  <c r="KF2" i="27"/>
  <c r="N10" i="13"/>
  <c r="X10" i="24"/>
  <c r="M10" i="26"/>
  <c r="W10" i="13"/>
  <c r="D10" i="26"/>
  <c r="V10" i="24"/>
  <c r="P10" i="30"/>
  <c r="C10" i="13"/>
  <c r="J10" i="28"/>
  <c r="X10" i="28"/>
  <c r="O10" i="13"/>
  <c r="AA10" i="13"/>
  <c r="F10" i="28"/>
  <c r="T10" i="24"/>
  <c r="P10" i="13"/>
  <c r="N10" i="28"/>
  <c r="X10" i="26"/>
  <c r="V10" i="26"/>
  <c r="L10" i="13"/>
  <c r="I10" i="13"/>
  <c r="B10" i="26"/>
  <c r="D10" i="28"/>
  <c r="F10" i="30"/>
  <c r="H10" i="30"/>
  <c r="B10" i="13"/>
  <c r="I10" i="28"/>
  <c r="W10" i="28"/>
  <c r="M10" i="24"/>
  <c r="C10" i="26"/>
  <c r="O10" i="28"/>
  <c r="AA10" i="26"/>
  <c r="C10" i="30"/>
  <c r="U10" i="28"/>
  <c r="P10" i="28"/>
  <c r="H10" i="24"/>
  <c r="E10" i="26"/>
  <c r="AA10" i="28"/>
  <c r="F10" i="13"/>
  <c r="R10" i="28"/>
  <c r="L10" i="24"/>
  <c r="B10" i="30"/>
  <c r="X10" i="30"/>
  <c r="B10" i="24"/>
  <c r="P10" i="24"/>
  <c r="Y10" i="28"/>
  <c r="D10" i="13"/>
  <c r="M10" i="28"/>
  <c r="R10" i="24"/>
  <c r="S10" i="24"/>
  <c r="V10" i="28"/>
  <c r="Z10" i="13"/>
  <c r="T10" i="26"/>
  <c r="G11" i="3" l="1"/>
  <c r="E11" i="3"/>
  <c r="H11" i="3"/>
  <c r="F11" i="3"/>
  <c r="LN1" i="31"/>
  <c r="ME1" i="29"/>
  <c r="LN1" i="27"/>
  <c r="KW1" i="25"/>
  <c r="T11" i="30"/>
  <c r="U11" i="30"/>
  <c r="O11" i="13"/>
  <c r="H11" i="28"/>
  <c r="E11" i="26"/>
  <c r="R11" i="30"/>
  <c r="N11" i="30"/>
  <c r="Y11" i="13"/>
  <c r="V11" i="30"/>
  <c r="K11" i="30"/>
  <c r="AA11" i="26"/>
  <c r="F11" i="28"/>
  <c r="G11" i="30"/>
  <c r="D11" i="30"/>
  <c r="Z11" i="28"/>
  <c r="K11" i="26"/>
  <c r="S11" i="26"/>
  <c r="J11" i="24"/>
  <c r="O11" i="30"/>
  <c r="AA11" i="24"/>
  <c r="F11" i="24"/>
  <c r="C11" i="26"/>
  <c r="T11" i="26"/>
  <c r="Q11" i="28"/>
  <c r="S11" i="13"/>
  <c r="T11" i="28"/>
  <c r="U11" i="28"/>
  <c r="L11" i="30"/>
  <c r="X11" i="26"/>
  <c r="Y11" i="24"/>
  <c r="I11" i="26"/>
  <c r="J11" i="26"/>
  <c r="O11" i="28"/>
  <c r="D11" i="28"/>
  <c r="D11" i="26"/>
  <c r="M11" i="24"/>
  <c r="L11" i="24"/>
  <c r="D11" i="13"/>
  <c r="U11" i="24"/>
  <c r="Z11" i="26"/>
  <c r="V11" i="26"/>
  <c r="M11" i="26"/>
  <c r="R11" i="13"/>
  <c r="K11" i="24"/>
  <c r="S11" i="24"/>
  <c r="B11" i="13"/>
  <c r="KW2" i="31"/>
  <c r="T11" i="24"/>
  <c r="Z11" i="24"/>
  <c r="H11" i="13"/>
  <c r="W11" i="24"/>
  <c r="N11" i="13"/>
  <c r="G11" i="28"/>
  <c r="P11" i="28"/>
  <c r="E11" i="30"/>
  <c r="L11" i="26"/>
  <c r="D11" i="24"/>
  <c r="E11" i="24"/>
  <c r="V11" i="24"/>
  <c r="F11" i="30"/>
  <c r="U11" i="13"/>
  <c r="N11" i="24"/>
  <c r="B11" i="24"/>
  <c r="Z11" i="13"/>
  <c r="O11" i="26"/>
  <c r="Z11" i="30"/>
  <c r="C11" i="13"/>
  <c r="KF2" i="25"/>
  <c r="J11" i="28"/>
  <c r="E11" i="13"/>
  <c r="M11" i="30"/>
  <c r="V11" i="28"/>
  <c r="C11" i="30"/>
  <c r="LN2" i="29"/>
  <c r="AA11" i="28"/>
  <c r="H11" i="30"/>
  <c r="AA11" i="30"/>
  <c r="KW2" i="27"/>
  <c r="X11" i="24"/>
  <c r="Q11" i="30"/>
  <c r="R11" i="26"/>
  <c r="J11" i="30"/>
  <c r="K11" i="28"/>
  <c r="I11" i="28"/>
  <c r="X11" i="28"/>
  <c r="Q11" i="26"/>
  <c r="K11" i="13"/>
  <c r="H11" i="26"/>
  <c r="Y11" i="26"/>
  <c r="V11" i="13"/>
  <c r="B11" i="26"/>
  <c r="G11" i="26"/>
  <c r="Q11" i="24"/>
  <c r="R11" i="24"/>
  <c r="W11" i="30"/>
  <c r="Q11" i="13"/>
  <c r="N11" i="28"/>
  <c r="G11" i="24"/>
  <c r="X11" i="30"/>
  <c r="I11" i="30"/>
  <c r="R11" i="28"/>
  <c r="S11" i="30"/>
  <c r="W11" i="28"/>
  <c r="J11" i="13"/>
  <c r="O11" i="24"/>
  <c r="P11" i="26"/>
  <c r="Y11" i="30"/>
  <c r="H11" i="24"/>
  <c r="U11" i="26"/>
  <c r="T11" i="13"/>
  <c r="X11" i="13"/>
  <c r="I11" i="24"/>
  <c r="AA11" i="13"/>
  <c r="N11" i="26"/>
  <c r="W11" i="26"/>
  <c r="W11" i="13"/>
  <c r="L11" i="13"/>
  <c r="M11" i="28"/>
  <c r="B11" i="28"/>
  <c r="B11" i="30"/>
  <c r="I11" i="13"/>
  <c r="S11" i="28"/>
  <c r="F11" i="13"/>
  <c r="C11" i="24"/>
  <c r="P11" i="24"/>
  <c r="E11" i="28"/>
  <c r="G11" i="13"/>
  <c r="P11" i="30"/>
  <c r="Y11" i="28"/>
  <c r="L11" i="28"/>
  <c r="P11" i="13"/>
  <c r="M11" i="13"/>
  <c r="F11" i="26"/>
  <c r="C11" i="28"/>
  <c r="H12" i="3" l="1"/>
  <c r="F12" i="3"/>
  <c r="E12" i="3"/>
  <c r="G12" i="3"/>
  <c r="ME1" i="31"/>
  <c r="MV1" i="29"/>
  <c r="ME1" i="27"/>
  <c r="LN1" i="25"/>
  <c r="Z12" i="30"/>
  <c r="S12" i="13"/>
  <c r="LN2" i="27"/>
  <c r="E12" i="24"/>
  <c r="N12" i="13"/>
  <c r="D12" i="28"/>
  <c r="V12" i="13"/>
  <c r="G12" i="13"/>
  <c r="C12" i="24"/>
  <c r="L12" i="24"/>
  <c r="U12" i="24"/>
  <c r="B12" i="28"/>
  <c r="K12" i="13"/>
  <c r="O12" i="24"/>
  <c r="Z12" i="24"/>
  <c r="J12" i="26"/>
  <c r="I12" i="26"/>
  <c r="R12" i="30"/>
  <c r="W12" i="24"/>
  <c r="Y12" i="13"/>
  <c r="P12" i="28"/>
  <c r="Z12" i="28"/>
  <c r="P12" i="26"/>
  <c r="O12" i="28"/>
  <c r="T12" i="30"/>
  <c r="Y12" i="24"/>
  <c r="F12" i="13"/>
  <c r="L12" i="28"/>
  <c r="W12" i="28"/>
  <c r="H12" i="26"/>
  <c r="U12" i="28"/>
  <c r="U12" i="30"/>
  <c r="M12" i="13"/>
  <c r="Q12" i="24"/>
  <c r="N12" i="24"/>
  <c r="R12" i="24"/>
  <c r="C12" i="30"/>
  <c r="T12" i="26"/>
  <c r="I12" i="30"/>
  <c r="X12" i="24"/>
  <c r="Y12" i="28"/>
  <c r="V12" i="30"/>
  <c r="K12" i="28"/>
  <c r="AA12" i="13"/>
  <c r="R12" i="13"/>
  <c r="P12" i="24"/>
  <c r="L12" i="26"/>
  <c r="O12" i="30"/>
  <c r="X12" i="28"/>
  <c r="M12" i="24"/>
  <c r="N12" i="28"/>
  <c r="B12" i="13"/>
  <c r="W12" i="26"/>
  <c r="D12" i="26"/>
  <c r="M12" i="26"/>
  <c r="KW2" i="25"/>
  <c r="G12" i="24"/>
  <c r="C12" i="26"/>
  <c r="G12" i="28"/>
  <c r="T12" i="28"/>
  <c r="Q12" i="28"/>
  <c r="B12" i="30"/>
  <c r="Z12" i="13"/>
  <c r="G12" i="30"/>
  <c r="AA12" i="24"/>
  <c r="R12" i="28"/>
  <c r="J12" i="13"/>
  <c r="I12" i="13"/>
  <c r="P12" i="30"/>
  <c r="ME2" i="29"/>
  <c r="K12" i="26"/>
  <c r="X12" i="13"/>
  <c r="Q12" i="26"/>
  <c r="E12" i="30"/>
  <c r="Z12" i="26"/>
  <c r="V12" i="26"/>
  <c r="B12" i="24"/>
  <c r="W12" i="30"/>
  <c r="D12" i="24"/>
  <c r="I12" i="28"/>
  <c r="T12" i="13"/>
  <c r="S12" i="24"/>
  <c r="L12" i="13"/>
  <c r="S12" i="28"/>
  <c r="L12" i="30"/>
  <c r="Y12" i="30"/>
  <c r="F12" i="30"/>
  <c r="LN2" i="31"/>
  <c r="E12" i="13"/>
  <c r="M12" i="28"/>
  <c r="J12" i="30"/>
  <c r="X12" i="26"/>
  <c r="O12" i="26"/>
  <c r="D12" i="13"/>
  <c r="AA12" i="26"/>
  <c r="V12" i="24"/>
  <c r="N12" i="26"/>
  <c r="F12" i="26"/>
  <c r="U12" i="13"/>
  <c r="G12" i="26"/>
  <c r="X12" i="30"/>
  <c r="M12" i="30"/>
  <c r="B12" i="26"/>
  <c r="S12" i="30"/>
  <c r="K12" i="30"/>
  <c r="AA12" i="28"/>
  <c r="Q12" i="13"/>
  <c r="D12" i="30"/>
  <c r="AA12" i="30"/>
  <c r="C12" i="13"/>
  <c r="P12" i="13"/>
  <c r="E12" i="26"/>
  <c r="U12" i="26"/>
  <c r="F12" i="28"/>
  <c r="F12" i="24"/>
  <c r="K12" i="24"/>
  <c r="H12" i="13"/>
  <c r="Q12" i="30"/>
  <c r="R12" i="26"/>
  <c r="J12" i="28"/>
  <c r="N12" i="30"/>
  <c r="I12" i="24"/>
  <c r="J12" i="24"/>
  <c r="E12" i="28"/>
  <c r="V12" i="28"/>
  <c r="W12" i="13"/>
  <c r="S12" i="26"/>
  <c r="H12" i="28"/>
  <c r="Y12" i="26"/>
  <c r="H12" i="24"/>
  <c r="C12" i="28"/>
  <c r="T12" i="24"/>
  <c r="O12" i="13"/>
  <c r="H12" i="30"/>
  <c r="G13" i="3" l="1"/>
  <c r="F13" i="3"/>
  <c r="E13" i="3"/>
  <c r="H13" i="3"/>
  <c r="MV1" i="31"/>
  <c r="NM1" i="29"/>
  <c r="MV1" i="27"/>
  <c r="ME1" i="25"/>
  <c r="H13" i="28"/>
  <c r="N13" i="28"/>
  <c r="Y13" i="13"/>
  <c r="AA13" i="30"/>
  <c r="M13" i="30"/>
  <c r="C13" i="28"/>
  <c r="Z13" i="26"/>
  <c r="Y13" i="28"/>
  <c r="S13" i="26"/>
  <c r="U13" i="26"/>
  <c r="W13" i="13"/>
  <c r="R13" i="30"/>
  <c r="L13" i="13"/>
  <c r="J13" i="13"/>
  <c r="G13" i="28"/>
  <c r="S13" i="30"/>
  <c r="O13" i="13"/>
  <c r="G13" i="13"/>
  <c r="E13" i="24"/>
  <c r="AA13" i="26"/>
  <c r="I13" i="26"/>
  <c r="W13" i="24"/>
  <c r="I13" i="28"/>
  <c r="R13" i="26"/>
  <c r="N13" i="30"/>
  <c r="X13" i="30"/>
  <c r="R13" i="24"/>
  <c r="H13" i="26"/>
  <c r="L13" i="30"/>
  <c r="H13" i="30"/>
  <c r="F13" i="30"/>
  <c r="Z13" i="13"/>
  <c r="Q13" i="24"/>
  <c r="Y13" i="24"/>
  <c r="H13" i="13"/>
  <c r="D13" i="26"/>
  <c r="B13" i="26"/>
  <c r="L13" i="24"/>
  <c r="T13" i="26"/>
  <c r="T13" i="30"/>
  <c r="V13" i="28"/>
  <c r="ME2" i="31"/>
  <c r="B13" i="13"/>
  <c r="S13" i="13"/>
  <c r="AA13" i="24"/>
  <c r="Q13" i="30"/>
  <c r="Z13" i="30"/>
  <c r="O13" i="24"/>
  <c r="M13" i="24"/>
  <c r="N13" i="26"/>
  <c r="F13" i="28"/>
  <c r="T13" i="24"/>
  <c r="V13" i="24"/>
  <c r="D13" i="30"/>
  <c r="MV2" i="29"/>
  <c r="LN2" i="25"/>
  <c r="K13" i="13"/>
  <c r="E13" i="13"/>
  <c r="U13" i="24"/>
  <c r="Z13" i="28"/>
  <c r="O13" i="30"/>
  <c r="I13" i="30"/>
  <c r="C13" i="30"/>
  <c r="C13" i="26"/>
  <c r="P13" i="24"/>
  <c r="B13" i="28"/>
  <c r="X13" i="24"/>
  <c r="O13" i="28"/>
  <c r="K13" i="28"/>
  <c r="M13" i="28"/>
  <c r="S13" i="24"/>
  <c r="W13" i="28"/>
  <c r="X13" i="26"/>
  <c r="J13" i="26"/>
  <c r="P13" i="13"/>
  <c r="L13" i="28"/>
  <c r="B13" i="24"/>
  <c r="ME2" i="27"/>
  <c r="I13" i="13"/>
  <c r="AA13" i="13"/>
  <c r="C13" i="13"/>
  <c r="E13" i="28"/>
  <c r="U13" i="30"/>
  <c r="U13" i="28"/>
  <c r="T13" i="13"/>
  <c r="N13" i="13"/>
  <c r="S13" i="28"/>
  <c r="O13" i="26"/>
  <c r="T13" i="28"/>
  <c r="J13" i="30"/>
  <c r="D13" i="24"/>
  <c r="L13" i="26"/>
  <c r="U13" i="13"/>
  <c r="W13" i="30"/>
  <c r="M13" i="26"/>
  <c r="N13" i="24"/>
  <c r="J13" i="28"/>
  <c r="G13" i="30"/>
  <c r="Q13" i="28"/>
  <c r="K13" i="30"/>
  <c r="C13" i="24"/>
  <c r="I13" i="24"/>
  <c r="V13" i="26"/>
  <c r="V13" i="13"/>
  <c r="G13" i="26"/>
  <c r="E13" i="30"/>
  <c r="F13" i="26"/>
  <c r="X13" i="28"/>
  <c r="R13" i="13"/>
  <c r="X13" i="13"/>
  <c r="H13" i="24"/>
  <c r="P13" i="28"/>
  <c r="J13" i="24"/>
  <c r="P13" i="30"/>
  <c r="D13" i="28"/>
  <c r="Q13" i="13"/>
  <c r="K13" i="26"/>
  <c r="AA13" i="28"/>
  <c r="R13" i="28"/>
  <c r="V13" i="30"/>
  <c r="D13" i="13"/>
  <c r="Y13" i="30"/>
  <c r="W13" i="26"/>
  <c r="G13" i="24"/>
  <c r="Z13" i="24"/>
  <c r="B13" i="30"/>
  <c r="M13" i="13"/>
  <c r="E13" i="26"/>
  <c r="Q13" i="26"/>
  <c r="K13" i="24"/>
  <c r="Y13" i="26"/>
  <c r="F13" i="13"/>
  <c r="F13" i="24"/>
  <c r="P13" i="26"/>
  <c r="F14" i="3" l="1"/>
  <c r="E14" i="3"/>
  <c r="H14" i="3"/>
  <c r="G14" i="3"/>
  <c r="NM1" i="31"/>
  <c r="OD1" i="29"/>
  <c r="NM1" i="27"/>
  <c r="MV1" i="25"/>
  <c r="C14" i="28"/>
  <c r="Q14" i="26"/>
  <c r="L14" i="13"/>
  <c r="X14" i="28"/>
  <c r="G14" i="30"/>
  <c r="Q14" i="28"/>
  <c r="G14" i="28"/>
  <c r="U14" i="28"/>
  <c r="H14" i="24"/>
  <c r="B14" i="13"/>
  <c r="X14" i="24"/>
  <c r="Q14" i="13"/>
  <c r="J14" i="30"/>
  <c r="J14" i="26"/>
  <c r="H14" i="28"/>
  <c r="S14" i="24"/>
  <c r="Q14" i="24"/>
  <c r="N14" i="24"/>
  <c r="H14" i="26"/>
  <c r="C14" i="26"/>
  <c r="Z14" i="24"/>
  <c r="W14" i="30"/>
  <c r="E14" i="26"/>
  <c r="L14" i="24"/>
  <c r="X14" i="26"/>
  <c r="AA14" i="30"/>
  <c r="X14" i="13"/>
  <c r="D14" i="26"/>
  <c r="B14" i="28"/>
  <c r="U14" i="30"/>
  <c r="S14" i="30"/>
  <c r="M14" i="26"/>
  <c r="Z14" i="13"/>
  <c r="Q14" i="30"/>
  <c r="ME2" i="25"/>
  <c r="W14" i="24"/>
  <c r="Y14" i="26"/>
  <c r="N14" i="13"/>
  <c r="C14" i="30"/>
  <c r="O14" i="24"/>
  <c r="I14" i="24"/>
  <c r="K14" i="13"/>
  <c r="H14" i="13"/>
  <c r="K14" i="28"/>
  <c r="Y14" i="30"/>
  <c r="MV2" i="27"/>
  <c r="T14" i="13"/>
  <c r="O14" i="30"/>
  <c r="E14" i="30"/>
  <c r="B14" i="30"/>
  <c r="C14" i="13"/>
  <c r="Z14" i="26"/>
  <c r="Z14" i="30"/>
  <c r="S14" i="28"/>
  <c r="G14" i="13"/>
  <c r="AA14" i="24"/>
  <c r="V14" i="30"/>
  <c r="T14" i="28"/>
  <c r="I14" i="13"/>
  <c r="W14" i="28"/>
  <c r="Z14" i="28"/>
  <c r="F14" i="24"/>
  <c r="NM2" i="29"/>
  <c r="K14" i="24"/>
  <c r="E14" i="24"/>
  <c r="G14" i="24"/>
  <c r="AA14" i="26"/>
  <c r="D14" i="13"/>
  <c r="V14" i="28"/>
  <c r="E14" i="13"/>
  <c r="Y14" i="28"/>
  <c r="K14" i="26"/>
  <c r="N14" i="28"/>
  <c r="M14" i="13"/>
  <c r="J14" i="28"/>
  <c r="W14" i="26"/>
  <c r="G14" i="26"/>
  <c r="I14" i="26"/>
  <c r="J14" i="13"/>
  <c r="K14" i="30"/>
  <c r="C14" i="24"/>
  <c r="M14" i="24"/>
  <c r="Y14" i="13"/>
  <c r="N14" i="26"/>
  <c r="D14" i="30"/>
  <c r="I14" i="30"/>
  <c r="W14" i="13"/>
  <c r="F14" i="26"/>
  <c r="H14" i="30"/>
  <c r="R14" i="24"/>
  <c r="D14" i="24"/>
  <c r="T14" i="26"/>
  <c r="F14" i="30"/>
  <c r="AA14" i="13"/>
  <c r="E14" i="28"/>
  <c r="S14" i="26"/>
  <c r="S14" i="13"/>
  <c r="U14" i="13"/>
  <c r="F14" i="28"/>
  <c r="P14" i="30"/>
  <c r="R14" i="26"/>
  <c r="P14" i="24"/>
  <c r="U14" i="26"/>
  <c r="N14" i="30"/>
  <c r="V14" i="26"/>
  <c r="P14" i="26"/>
  <c r="M14" i="30"/>
  <c r="AA14" i="28"/>
  <c r="R14" i="28"/>
  <c r="T14" i="30"/>
  <c r="M14" i="28"/>
  <c r="O14" i="26"/>
  <c r="R14" i="30"/>
  <c r="L14" i="30"/>
  <c r="P14" i="13"/>
  <c r="F14" i="13"/>
  <c r="P14" i="28"/>
  <c r="X14" i="30"/>
  <c r="B14" i="24"/>
  <c r="R14" i="13"/>
  <c r="O14" i="28"/>
  <c r="I14" i="28"/>
  <c r="U14" i="24"/>
  <c r="J14" i="24"/>
  <c r="V14" i="24"/>
  <c r="L14" i="28"/>
  <c r="Y14" i="24"/>
  <c r="O14" i="13"/>
  <c r="B14" i="26"/>
  <c r="L14" i="26"/>
  <c r="V14" i="13"/>
  <c r="T14" i="24"/>
  <c r="MV2" i="31"/>
  <c r="D14" i="28"/>
  <c r="G15" i="3" l="1"/>
  <c r="E15" i="3"/>
  <c r="H15" i="3"/>
  <c r="F15" i="3"/>
  <c r="OD1" i="31"/>
  <c r="OU1" i="29"/>
  <c r="OD1" i="27"/>
  <c r="NM1" i="25"/>
  <c r="D15" i="30"/>
  <c r="M15" i="28"/>
  <c r="G15" i="13"/>
  <c r="F15" i="13"/>
  <c r="O15" i="26"/>
  <c r="B15" i="28"/>
  <c r="K15" i="30"/>
  <c r="V15" i="28"/>
  <c r="G15" i="24"/>
  <c r="H15" i="30"/>
  <c r="Y15" i="28"/>
  <c r="N15" i="26"/>
  <c r="G15" i="30"/>
  <c r="L15" i="13"/>
  <c r="Z15" i="26"/>
  <c r="H15" i="24"/>
  <c r="E15" i="24"/>
  <c r="L15" i="30"/>
  <c r="Y15" i="26"/>
  <c r="Y15" i="30"/>
  <c r="AA15" i="28"/>
  <c r="W15" i="30"/>
  <c r="D15" i="13"/>
  <c r="AA15" i="24"/>
  <c r="T15" i="24"/>
  <c r="Z15" i="30"/>
  <c r="P15" i="28"/>
  <c r="Q15" i="26"/>
  <c r="P15" i="30"/>
  <c r="I15" i="26"/>
  <c r="L15" i="26"/>
  <c r="W15" i="28"/>
  <c r="C15" i="13"/>
  <c r="B15" i="13"/>
  <c r="Z15" i="24"/>
  <c r="X15" i="30"/>
  <c r="E15" i="26"/>
  <c r="X15" i="28"/>
  <c r="I15" i="28"/>
  <c r="NM2" i="31"/>
  <c r="E15" i="30"/>
  <c r="W15" i="13"/>
  <c r="Q15" i="30"/>
  <c r="S15" i="13"/>
  <c r="N15" i="13"/>
  <c r="K15" i="26"/>
  <c r="J15" i="13"/>
  <c r="G15" i="26"/>
  <c r="J15" i="28"/>
  <c r="O15" i="28"/>
  <c r="N15" i="30"/>
  <c r="E15" i="13"/>
  <c r="B15" i="30"/>
  <c r="Y15" i="13"/>
  <c r="Q15" i="13"/>
  <c r="C15" i="28"/>
  <c r="B15" i="26"/>
  <c r="B15" i="24"/>
  <c r="S15" i="30"/>
  <c r="J15" i="30"/>
  <c r="Z15" i="13"/>
  <c r="T15" i="26"/>
  <c r="Q15" i="24"/>
  <c r="P15" i="26"/>
  <c r="M15" i="30"/>
  <c r="F15" i="30"/>
  <c r="T15" i="28"/>
  <c r="J15" i="26"/>
  <c r="N15" i="24"/>
  <c r="F15" i="28"/>
  <c r="I15" i="13"/>
  <c r="X15" i="13"/>
  <c r="Z15" i="28"/>
  <c r="X15" i="26"/>
  <c r="I15" i="24"/>
  <c r="D15" i="28"/>
  <c r="U15" i="30"/>
  <c r="R15" i="28"/>
  <c r="S15" i="26"/>
  <c r="D15" i="26"/>
  <c r="AA15" i="26"/>
  <c r="MV2" i="25"/>
  <c r="R15" i="13"/>
  <c r="O15" i="24"/>
  <c r="V15" i="26"/>
  <c r="S15" i="24"/>
  <c r="N15" i="28"/>
  <c r="K15" i="24"/>
  <c r="K15" i="13"/>
  <c r="P15" i="13"/>
  <c r="E15" i="28"/>
  <c r="V15" i="13"/>
  <c r="G15" i="28"/>
  <c r="J15" i="24"/>
  <c r="S15" i="28"/>
  <c r="V15" i="30"/>
  <c r="K15" i="28"/>
  <c r="R15" i="30"/>
  <c r="O15" i="30"/>
  <c r="F15" i="24"/>
  <c r="R15" i="24"/>
  <c r="C15" i="24"/>
  <c r="R15" i="26"/>
  <c r="C15" i="30"/>
  <c r="H15" i="13"/>
  <c r="M15" i="13"/>
  <c r="T15" i="13"/>
  <c r="U15" i="13"/>
  <c r="AA15" i="13"/>
  <c r="D15" i="24"/>
  <c r="P15" i="24"/>
  <c r="Y15" i="24"/>
  <c r="H15" i="26"/>
  <c r="I15" i="30"/>
  <c r="L15" i="28"/>
  <c r="U15" i="28"/>
  <c r="NM2" i="27"/>
  <c r="U15" i="26"/>
  <c r="OD2" i="29"/>
  <c r="L15" i="24"/>
  <c r="AA15" i="30"/>
  <c r="X15" i="24"/>
  <c r="M15" i="26"/>
  <c r="T15" i="30"/>
  <c r="Q15" i="28"/>
  <c r="O15" i="13"/>
  <c r="F15" i="26"/>
  <c r="W15" i="26"/>
  <c r="V15" i="24"/>
  <c r="W15" i="24"/>
  <c r="U15" i="24"/>
  <c r="M15" i="24"/>
  <c r="H15" i="28"/>
  <c r="C15" i="26"/>
  <c r="F16" i="3" l="1"/>
  <c r="E16" i="3"/>
  <c r="H16" i="3"/>
  <c r="G16" i="3"/>
  <c r="OU1" i="31"/>
  <c r="PL1" i="29"/>
  <c r="OU1" i="27"/>
  <c r="OD1" i="25"/>
  <c r="S16" i="30"/>
  <c r="M16" i="28"/>
  <c r="L16" i="13"/>
  <c r="J16" i="13"/>
  <c r="P16" i="28"/>
  <c r="J16" i="26"/>
  <c r="H16" i="28"/>
  <c r="F16" i="26"/>
  <c r="X16" i="24"/>
  <c r="R16" i="26"/>
  <c r="V16" i="30"/>
  <c r="P16" i="30"/>
  <c r="C16" i="13"/>
  <c r="Q16" i="24"/>
  <c r="G16" i="13"/>
  <c r="Z16" i="24"/>
  <c r="W16" i="24"/>
  <c r="S16" i="26"/>
  <c r="B16" i="26"/>
  <c r="L16" i="30"/>
  <c r="B16" i="30"/>
  <c r="E16" i="13"/>
  <c r="K16" i="13"/>
  <c r="AA16" i="13"/>
  <c r="O16" i="24"/>
  <c r="E16" i="24"/>
  <c r="O16" i="30"/>
  <c r="E16" i="28"/>
  <c r="G16" i="30"/>
  <c r="I16" i="30"/>
  <c r="OU2" i="29"/>
  <c r="Q16" i="28"/>
  <c r="D16" i="13"/>
  <c r="F16" i="13"/>
  <c r="N16" i="30"/>
  <c r="Q16" i="13"/>
  <c r="Z16" i="28"/>
  <c r="W16" i="30"/>
  <c r="K16" i="28"/>
  <c r="W16" i="13"/>
  <c r="O16" i="28"/>
  <c r="U16" i="28"/>
  <c r="D16" i="26"/>
  <c r="F16" i="24"/>
  <c r="K16" i="30"/>
  <c r="Y16" i="26"/>
  <c r="K16" i="24"/>
  <c r="E16" i="26"/>
  <c r="K16" i="26"/>
  <c r="I16" i="28"/>
  <c r="T16" i="13"/>
  <c r="AA16" i="30"/>
  <c r="NM2" i="25"/>
  <c r="P16" i="26"/>
  <c r="B16" i="13"/>
  <c r="L16" i="26"/>
  <c r="F16" i="28"/>
  <c r="D16" i="28"/>
  <c r="B16" i="24"/>
  <c r="L16" i="28"/>
  <c r="J16" i="28"/>
  <c r="Y16" i="30"/>
  <c r="N16" i="13"/>
  <c r="L16" i="24"/>
  <c r="F16" i="30"/>
  <c r="T16" i="28"/>
  <c r="N16" i="24"/>
  <c r="H16" i="26"/>
  <c r="B16" i="28"/>
  <c r="Y16" i="13"/>
  <c r="S16" i="24"/>
  <c r="Q16" i="26"/>
  <c r="C16" i="26"/>
  <c r="U16" i="24"/>
  <c r="C16" i="28"/>
  <c r="M16" i="30"/>
  <c r="R16" i="24"/>
  <c r="H16" i="24"/>
  <c r="OD2" i="31"/>
  <c r="V16" i="13"/>
  <c r="Z16" i="30"/>
  <c r="U16" i="30"/>
  <c r="Y16" i="28"/>
  <c r="E16" i="30"/>
  <c r="V16" i="24"/>
  <c r="R16" i="30"/>
  <c r="R16" i="28"/>
  <c r="S16" i="13"/>
  <c r="X16" i="30"/>
  <c r="T16" i="26"/>
  <c r="T16" i="30"/>
  <c r="N16" i="28"/>
  <c r="G16" i="28"/>
  <c r="G16" i="26"/>
  <c r="AA16" i="28"/>
  <c r="AA16" i="24"/>
  <c r="I16" i="26"/>
  <c r="Z16" i="26"/>
  <c r="J16" i="24"/>
  <c r="T16" i="24"/>
  <c r="X16" i="13"/>
  <c r="N16" i="26"/>
  <c r="I16" i="13"/>
  <c r="O16" i="13"/>
  <c r="AA16" i="26"/>
  <c r="W16" i="26"/>
  <c r="Y16" i="24"/>
  <c r="W16" i="28"/>
  <c r="Q16" i="30"/>
  <c r="M16" i="24"/>
  <c r="O16" i="26"/>
  <c r="U16" i="26"/>
  <c r="R16" i="13"/>
  <c r="D16" i="24"/>
  <c r="P16" i="24"/>
  <c r="S16" i="28"/>
  <c r="C16" i="30"/>
  <c r="P16" i="13"/>
  <c r="G16" i="24"/>
  <c r="D16" i="30"/>
  <c r="M16" i="13"/>
  <c r="Z16" i="13"/>
  <c r="U16" i="13"/>
  <c r="V16" i="28"/>
  <c r="J16" i="30"/>
  <c r="H16" i="30"/>
  <c r="OD2" i="27"/>
  <c r="M16" i="26"/>
  <c r="X16" i="26"/>
  <c r="C16" i="24"/>
  <c r="I16" i="24"/>
  <c r="H16" i="13"/>
  <c r="V16" i="26"/>
  <c r="X16" i="28"/>
  <c r="G17" i="3" l="1"/>
  <c r="E17" i="3"/>
  <c r="H17" i="3"/>
  <c r="F17" i="3"/>
  <c r="PL1" i="31"/>
  <c r="QC1" i="29"/>
  <c r="PL1" i="27"/>
  <c r="OU1" i="25"/>
  <c r="D17" i="26"/>
  <c r="M17" i="26"/>
  <c r="S17" i="13"/>
  <c r="V17" i="13"/>
  <c r="W17" i="30"/>
  <c r="J17" i="30"/>
  <c r="O17" i="26"/>
  <c r="J17" i="28"/>
  <c r="C17" i="24"/>
  <c r="J17" i="13"/>
  <c r="K17" i="28"/>
  <c r="V17" i="24"/>
  <c r="G17" i="26"/>
  <c r="F17" i="28"/>
  <c r="I17" i="13"/>
  <c r="N17" i="30"/>
  <c r="O17" i="30"/>
  <c r="T17" i="26"/>
  <c r="B17" i="26"/>
  <c r="C17" i="30"/>
  <c r="V17" i="30"/>
  <c r="Q17" i="13"/>
  <c r="H17" i="24"/>
  <c r="Z17" i="26"/>
  <c r="W17" i="28"/>
  <c r="M17" i="28"/>
  <c r="O17" i="13"/>
  <c r="R17" i="24"/>
  <c r="S17" i="26"/>
  <c r="N17" i="26"/>
  <c r="G17" i="30"/>
  <c r="F17" i="26"/>
  <c r="G17" i="28"/>
  <c r="OU2" i="27"/>
  <c r="L17" i="28"/>
  <c r="C17" i="13"/>
  <c r="F17" i="13"/>
  <c r="AA17" i="30"/>
  <c r="E17" i="28"/>
  <c r="AA17" i="13"/>
  <c r="U17" i="26"/>
  <c r="Q17" i="30"/>
  <c r="K17" i="26"/>
  <c r="E17" i="24"/>
  <c r="AA17" i="26"/>
  <c r="I17" i="30"/>
  <c r="Q17" i="28"/>
  <c r="H17" i="28"/>
  <c r="Y17" i="28"/>
  <c r="E17" i="30"/>
  <c r="J17" i="24"/>
  <c r="N17" i="28"/>
  <c r="Z17" i="13"/>
  <c r="T17" i="24"/>
  <c r="I17" i="24"/>
  <c r="H17" i="26"/>
  <c r="Z17" i="28"/>
  <c r="X17" i="28"/>
  <c r="I17" i="28"/>
  <c r="M17" i="30"/>
  <c r="N17" i="24"/>
  <c r="K17" i="30"/>
  <c r="J17" i="26"/>
  <c r="O17" i="28"/>
  <c r="T17" i="13"/>
  <c r="Y17" i="13"/>
  <c r="R17" i="30"/>
  <c r="R17" i="13"/>
  <c r="C17" i="28"/>
  <c r="H17" i="13"/>
  <c r="M17" i="24"/>
  <c r="U17" i="24"/>
  <c r="Q17" i="26"/>
  <c r="X17" i="13"/>
  <c r="D17" i="24"/>
  <c r="D17" i="30"/>
  <c r="B17" i="24"/>
  <c r="S17" i="28"/>
  <c r="U17" i="13"/>
  <c r="Y17" i="24"/>
  <c r="E17" i="13"/>
  <c r="X17" i="24"/>
  <c r="AA17" i="24"/>
  <c r="X17" i="30"/>
  <c r="U17" i="30"/>
  <c r="OU2" i="31"/>
  <c r="AA17" i="28"/>
  <c r="G17" i="13"/>
  <c r="Z17" i="30"/>
  <c r="H17" i="30"/>
  <c r="I17" i="26"/>
  <c r="OD2" i="25"/>
  <c r="B17" i="13"/>
  <c r="S17" i="24"/>
  <c r="F17" i="24"/>
  <c r="K17" i="24"/>
  <c r="B17" i="28"/>
  <c r="W17" i="24"/>
  <c r="Y17" i="30"/>
  <c r="N17" i="13"/>
  <c r="G17" i="24"/>
  <c r="V17" i="26"/>
  <c r="C17" i="26"/>
  <c r="F17" i="30"/>
  <c r="S17" i="30"/>
  <c r="P17" i="24"/>
  <c r="Y17" i="26"/>
  <c r="U17" i="28"/>
  <c r="W17" i="26"/>
  <c r="W17" i="13"/>
  <c r="B17" i="30"/>
  <c r="P17" i="13"/>
  <c r="L17" i="26"/>
  <c r="T17" i="28"/>
  <c r="X17" i="26"/>
  <c r="D17" i="28"/>
  <c r="L17" i="30"/>
  <c r="P17" i="30"/>
  <c r="PL2" i="29"/>
  <c r="T17" i="30"/>
  <c r="K17" i="13"/>
  <c r="P17" i="26"/>
  <c r="V17" i="28"/>
  <c r="L17" i="24"/>
  <c r="P17" i="28"/>
  <c r="O17" i="24"/>
  <c r="Q17" i="24"/>
  <c r="E17" i="26"/>
  <c r="Z17" i="24"/>
  <c r="R17" i="26"/>
  <c r="R17" i="28"/>
  <c r="D17" i="13"/>
  <c r="L17" i="13"/>
  <c r="M17" i="13"/>
  <c r="F18" i="3" l="1"/>
  <c r="E18" i="3"/>
  <c r="H18" i="3"/>
  <c r="G18" i="3"/>
  <c r="QC1" i="31"/>
  <c r="QT1" i="29"/>
  <c r="QC1" i="27"/>
  <c r="PL1" i="25"/>
  <c r="S18" i="30"/>
  <c r="Z18" i="26"/>
  <c r="H18" i="13"/>
  <c r="H18" i="30"/>
  <c r="J18" i="24"/>
  <c r="G18" i="24"/>
  <c r="Y18" i="24"/>
  <c r="R18" i="13"/>
  <c r="W18" i="28"/>
  <c r="AA18" i="30"/>
  <c r="PL2" i="27"/>
  <c r="D18" i="24"/>
  <c r="V18" i="13"/>
  <c r="O18" i="13"/>
  <c r="M18" i="24"/>
  <c r="W18" i="13"/>
  <c r="Y18" i="13"/>
  <c r="Q18" i="30"/>
  <c r="F18" i="13"/>
  <c r="X18" i="30"/>
  <c r="L18" i="24"/>
  <c r="V18" i="30"/>
  <c r="W18" i="30"/>
  <c r="E18" i="24"/>
  <c r="O18" i="26"/>
  <c r="AA18" i="28"/>
  <c r="Q18" i="13"/>
  <c r="O18" i="30"/>
  <c r="M18" i="28"/>
  <c r="N18" i="30"/>
  <c r="Z18" i="13"/>
  <c r="B18" i="28"/>
  <c r="H18" i="28"/>
  <c r="W18" i="24"/>
  <c r="Y18" i="26"/>
  <c r="L18" i="28"/>
  <c r="O18" i="28"/>
  <c r="U18" i="28"/>
  <c r="F18" i="28"/>
  <c r="T18" i="28"/>
  <c r="Z18" i="24"/>
  <c r="K18" i="24"/>
  <c r="I18" i="30"/>
  <c r="P18" i="30"/>
  <c r="C18" i="30"/>
  <c r="I18" i="28"/>
  <c r="F18" i="26"/>
  <c r="P18" i="26"/>
  <c r="V18" i="26"/>
  <c r="QC2" i="29"/>
  <c r="G18" i="30"/>
  <c r="Z18" i="28"/>
  <c r="I18" i="13"/>
  <c r="X18" i="13"/>
  <c r="B18" i="13"/>
  <c r="C18" i="13"/>
  <c r="AA18" i="13"/>
  <c r="J18" i="30"/>
  <c r="M18" i="13"/>
  <c r="X18" i="28"/>
  <c r="S18" i="28"/>
  <c r="U18" i="24"/>
  <c r="J18" i="28"/>
  <c r="X18" i="24"/>
  <c r="N18" i="24"/>
  <c r="K18" i="30"/>
  <c r="I18" i="26"/>
  <c r="W18" i="26"/>
  <c r="U18" i="26"/>
  <c r="P18" i="24"/>
  <c r="V18" i="28"/>
  <c r="E18" i="13"/>
  <c r="H18" i="24"/>
  <c r="S18" i="26"/>
  <c r="E18" i="26"/>
  <c r="B18" i="24"/>
  <c r="T18" i="13"/>
  <c r="N18" i="28"/>
  <c r="N18" i="26"/>
  <c r="T18" i="30"/>
  <c r="X18" i="26"/>
  <c r="K18" i="13"/>
  <c r="I18" i="24"/>
  <c r="J18" i="13"/>
  <c r="L18" i="30"/>
  <c r="M18" i="30"/>
  <c r="D18" i="28"/>
  <c r="G18" i="13"/>
  <c r="AA18" i="24"/>
  <c r="H18" i="26"/>
  <c r="K18" i="28"/>
  <c r="E18" i="28"/>
  <c r="R18" i="30"/>
  <c r="T18" i="24"/>
  <c r="J18" i="26"/>
  <c r="L18" i="26"/>
  <c r="P18" i="13"/>
  <c r="B18" i="30"/>
  <c r="C18" i="28"/>
  <c r="Y18" i="28"/>
  <c r="C18" i="26"/>
  <c r="E18" i="30"/>
  <c r="B18" i="26"/>
  <c r="S18" i="24"/>
  <c r="Q18" i="24"/>
  <c r="AA18" i="26"/>
  <c r="V18" i="24"/>
  <c r="P18" i="28"/>
  <c r="PL2" i="31"/>
  <c r="R18" i="28"/>
  <c r="G18" i="26"/>
  <c r="Y18" i="30"/>
  <c r="C18" i="24"/>
  <c r="U18" i="13"/>
  <c r="N18" i="13"/>
  <c r="D18" i="26"/>
  <c r="T18" i="26"/>
  <c r="F18" i="30"/>
  <c r="K18" i="26"/>
  <c r="Q18" i="28"/>
  <c r="G18" i="28"/>
  <c r="M18" i="26"/>
  <c r="O18" i="24"/>
  <c r="R18" i="26"/>
  <c r="D18" i="30"/>
  <c r="D18" i="13"/>
  <c r="S18" i="13"/>
  <c r="Q18" i="26"/>
  <c r="U18" i="30"/>
  <c r="R18" i="24"/>
  <c r="Z18" i="30"/>
  <c r="L18" i="13"/>
  <c r="OU2" i="25"/>
  <c r="F18" i="24"/>
  <c r="G19" i="3" l="1"/>
  <c r="E19" i="3"/>
  <c r="H19" i="3"/>
  <c r="F19" i="3"/>
  <c r="QT1" i="31"/>
  <c r="RK1" i="29"/>
  <c r="QT1" i="27"/>
  <c r="QC1" i="25"/>
  <c r="T19" i="28"/>
  <c r="I19" i="30"/>
  <c r="K19" i="13"/>
  <c r="R19" i="26"/>
  <c r="G19" i="30"/>
  <c r="T19" i="24"/>
  <c r="M19" i="24"/>
  <c r="Z19" i="13"/>
  <c r="D19" i="30"/>
  <c r="AA19" i="30"/>
  <c r="QC2" i="27"/>
  <c r="V19" i="30"/>
  <c r="S19" i="30"/>
  <c r="X19" i="26"/>
  <c r="Z19" i="24"/>
  <c r="N19" i="24"/>
  <c r="M19" i="30"/>
  <c r="E19" i="30"/>
  <c r="B19" i="24"/>
  <c r="C19" i="26"/>
  <c r="T19" i="26"/>
  <c r="I19" i="28"/>
  <c r="W19" i="26"/>
  <c r="J19" i="13"/>
  <c r="G19" i="26"/>
  <c r="Y19" i="28"/>
  <c r="O19" i="13"/>
  <c r="B19" i="28"/>
  <c r="Q19" i="13"/>
  <c r="P19" i="28"/>
  <c r="Y19" i="26"/>
  <c r="B19" i="26"/>
  <c r="B19" i="30"/>
  <c r="F19" i="13"/>
  <c r="D19" i="24"/>
  <c r="U19" i="26"/>
  <c r="QC2" i="31"/>
  <c r="V19" i="13"/>
  <c r="K19" i="24"/>
  <c r="R19" i="28"/>
  <c r="I19" i="13"/>
  <c r="P19" i="13"/>
  <c r="X19" i="28"/>
  <c r="Q19" i="26"/>
  <c r="S19" i="24"/>
  <c r="B19" i="13"/>
  <c r="K19" i="26"/>
  <c r="F19" i="30"/>
  <c r="C19" i="30"/>
  <c r="K19" i="30"/>
  <c r="C19" i="13"/>
  <c r="U19" i="30"/>
  <c r="R19" i="13"/>
  <c r="O19" i="26"/>
  <c r="N19" i="30"/>
  <c r="E19" i="13"/>
  <c r="X19" i="30"/>
  <c r="U19" i="24"/>
  <c r="P19" i="24"/>
  <c r="Q19" i="28"/>
  <c r="W19" i="13"/>
  <c r="V19" i="24"/>
  <c r="C19" i="24"/>
  <c r="H19" i="13"/>
  <c r="U19" i="13"/>
  <c r="AA19" i="26"/>
  <c r="AA19" i="24"/>
  <c r="L19" i="24"/>
  <c r="N19" i="26"/>
  <c r="R19" i="30"/>
  <c r="AA19" i="13"/>
  <c r="H19" i="26"/>
  <c r="Z19" i="28"/>
  <c r="E19" i="28"/>
  <c r="F19" i="24"/>
  <c r="W19" i="30"/>
  <c r="O19" i="28"/>
  <c r="F19" i="26"/>
  <c r="S19" i="26"/>
  <c r="P19" i="26"/>
  <c r="M19" i="26"/>
  <c r="M19" i="13"/>
  <c r="F19" i="28"/>
  <c r="C19" i="28"/>
  <c r="H19" i="28"/>
  <c r="Y19" i="24"/>
  <c r="D19" i="26"/>
  <c r="I19" i="26"/>
  <c r="G19" i="13"/>
  <c r="J19" i="26"/>
  <c r="K19" i="28"/>
  <c r="T19" i="13"/>
  <c r="O19" i="30"/>
  <c r="J19" i="30"/>
  <c r="Y19" i="13"/>
  <c r="D19" i="28"/>
  <c r="AA19" i="28"/>
  <c r="Z19" i="26"/>
  <c r="V19" i="28"/>
  <c r="W19" i="28"/>
  <c r="PL2" i="25"/>
  <c r="V19" i="26"/>
  <c r="G19" i="28"/>
  <c r="D19" i="13"/>
  <c r="I19" i="24"/>
  <c r="H19" i="30"/>
  <c r="Z19" i="30"/>
  <c r="QT2" i="29"/>
  <c r="J19" i="24"/>
  <c r="N19" i="13"/>
  <c r="O19" i="24"/>
  <c r="X19" i="13"/>
  <c r="Q19" i="24"/>
  <c r="L19" i="28"/>
  <c r="Y19" i="30"/>
  <c r="L19" i="30"/>
  <c r="J19" i="28"/>
  <c r="W19" i="24"/>
  <c r="L19" i="13"/>
  <c r="E19" i="24"/>
  <c r="P19" i="30"/>
  <c r="M19" i="28"/>
  <c r="U19" i="28"/>
  <c r="N19" i="28"/>
  <c r="H19" i="24"/>
  <c r="R19" i="24"/>
  <c r="S19" i="28"/>
  <c r="L19" i="26"/>
  <c r="E19" i="26"/>
  <c r="G19" i="24"/>
  <c r="Q19" i="30"/>
  <c r="S19" i="13"/>
  <c r="X19" i="24"/>
  <c r="T19" i="30"/>
  <c r="E20" i="3" l="1"/>
  <c r="F20" i="3"/>
  <c r="H20" i="3"/>
  <c r="G20" i="3"/>
  <c r="RK1" i="31"/>
  <c r="SB1" i="29"/>
  <c r="RK1" i="27"/>
  <c r="QT1" i="25"/>
  <c r="N20" i="28"/>
  <c r="E20" i="30"/>
  <c r="P20" i="13"/>
  <c r="K20" i="30"/>
  <c r="P20" i="30"/>
  <c r="O20" i="24"/>
  <c r="P20" i="26"/>
  <c r="U20" i="26"/>
  <c r="N20" i="30"/>
  <c r="Z20" i="26"/>
  <c r="RK2" i="29"/>
  <c r="S20" i="28"/>
  <c r="H20" i="28"/>
  <c r="C20" i="28"/>
  <c r="L20" i="26"/>
  <c r="W20" i="26"/>
  <c r="X20" i="24"/>
  <c r="G20" i="13"/>
  <c r="W20" i="30"/>
  <c r="D20" i="28"/>
  <c r="V20" i="24"/>
  <c r="Z20" i="28"/>
  <c r="J20" i="13"/>
  <c r="E20" i="24"/>
  <c r="Q20" i="26"/>
  <c r="Z20" i="30"/>
  <c r="D20" i="13"/>
  <c r="C20" i="30"/>
  <c r="E20" i="13"/>
  <c r="K20" i="26"/>
  <c r="T20" i="28"/>
  <c r="G20" i="24"/>
  <c r="X20" i="30"/>
  <c r="H20" i="26"/>
  <c r="L20" i="30"/>
  <c r="AA20" i="13"/>
  <c r="K20" i="13"/>
  <c r="I20" i="28"/>
  <c r="S20" i="26"/>
  <c r="B20" i="13"/>
  <c r="Y20" i="30"/>
  <c r="W20" i="24"/>
  <c r="J20" i="24"/>
  <c r="I20" i="13"/>
  <c r="M20" i="26"/>
  <c r="R20" i="24"/>
  <c r="AA20" i="26"/>
  <c r="T20" i="24"/>
  <c r="S20" i="13"/>
  <c r="B20" i="30"/>
  <c r="Q20" i="28"/>
  <c r="QC2" i="25"/>
  <c r="U20" i="13"/>
  <c r="V20" i="26"/>
  <c r="I20" i="24"/>
  <c r="QT2" i="31"/>
  <c r="W20" i="13"/>
  <c r="V20" i="30"/>
  <c r="Y20" i="28"/>
  <c r="R20" i="30"/>
  <c r="I20" i="26"/>
  <c r="H20" i="13"/>
  <c r="D20" i="26"/>
  <c r="O20" i="13"/>
  <c r="L20" i="24"/>
  <c r="O20" i="30"/>
  <c r="Y20" i="13"/>
  <c r="O20" i="26"/>
  <c r="T20" i="26"/>
  <c r="J20" i="26"/>
  <c r="Z20" i="24"/>
  <c r="D20" i="24"/>
  <c r="K20" i="24"/>
  <c r="X20" i="13"/>
  <c r="M20" i="30"/>
  <c r="T20" i="13"/>
  <c r="AA20" i="30"/>
  <c r="L20" i="13"/>
  <c r="Q20" i="30"/>
  <c r="Y20" i="24"/>
  <c r="G20" i="28"/>
  <c r="X20" i="26"/>
  <c r="C20" i="26"/>
  <c r="T20" i="30"/>
  <c r="Y20" i="26"/>
  <c r="F20" i="30"/>
  <c r="S20" i="24"/>
  <c r="M20" i="24"/>
  <c r="R20" i="13"/>
  <c r="W20" i="28"/>
  <c r="Q20" i="13"/>
  <c r="F20" i="28"/>
  <c r="U20" i="30"/>
  <c r="F20" i="26"/>
  <c r="U20" i="24"/>
  <c r="F20" i="24"/>
  <c r="QT2" i="27"/>
  <c r="O20" i="28"/>
  <c r="D20" i="30"/>
  <c r="R20" i="26"/>
  <c r="E20" i="28"/>
  <c r="N20" i="24"/>
  <c r="AA20" i="24"/>
  <c r="B20" i="24"/>
  <c r="Q20" i="24"/>
  <c r="P20" i="24"/>
  <c r="B20" i="26"/>
  <c r="I20" i="30"/>
  <c r="P20" i="28"/>
  <c r="G20" i="26"/>
  <c r="L20" i="28"/>
  <c r="C20" i="13"/>
  <c r="J20" i="28"/>
  <c r="G20" i="30"/>
  <c r="Z20" i="13"/>
  <c r="R20" i="28"/>
  <c r="M20" i="28"/>
  <c r="N20" i="26"/>
  <c r="AA20" i="28"/>
  <c r="V20" i="28"/>
  <c r="E20" i="26"/>
  <c r="K20" i="28"/>
  <c r="SB2" i="29"/>
  <c r="C20" i="24"/>
  <c r="N20" i="13"/>
  <c r="S20" i="30"/>
  <c r="H20" i="24"/>
  <c r="F20" i="13"/>
  <c r="H20" i="30"/>
  <c r="B20" i="28"/>
  <c r="J20" i="30"/>
  <c r="U20" i="28"/>
  <c r="X20" i="28"/>
  <c r="V20" i="13"/>
  <c r="M20" i="13"/>
  <c r="G21" i="3" l="1"/>
  <c r="F21" i="3"/>
  <c r="H21" i="3"/>
  <c r="E21" i="3"/>
  <c r="SB1" i="31"/>
  <c r="SB1" i="27"/>
  <c r="RK1" i="25"/>
  <c r="X21" i="26"/>
  <c r="M21" i="24"/>
  <c r="H21" i="28"/>
  <c r="Y21" i="28"/>
  <c r="P21" i="30"/>
  <c r="U21" i="26"/>
  <c r="RK2" i="27"/>
  <c r="I21" i="28"/>
  <c r="SB2" i="27"/>
  <c r="Z21" i="26"/>
  <c r="K21" i="24"/>
  <c r="F21" i="30"/>
  <c r="T21" i="13"/>
  <c r="D21" i="13"/>
  <c r="Y21" i="24"/>
  <c r="P21" i="24"/>
  <c r="Z21" i="30"/>
  <c r="T21" i="30"/>
  <c r="U21" i="30"/>
  <c r="W21" i="28"/>
  <c r="P21" i="26"/>
  <c r="E21" i="30"/>
  <c r="N21" i="13"/>
  <c r="C21" i="30"/>
  <c r="Z21" i="13"/>
  <c r="H21" i="24"/>
  <c r="U21" i="28"/>
  <c r="X21" i="30"/>
  <c r="E21" i="26"/>
  <c r="P21" i="28"/>
  <c r="I21" i="26"/>
  <c r="AA21" i="24"/>
  <c r="M21" i="30"/>
  <c r="G21" i="30"/>
  <c r="N21" i="30"/>
  <c r="P21" i="13"/>
  <c r="Q21" i="24"/>
  <c r="X21" i="24"/>
  <c r="I21" i="24"/>
  <c r="X21" i="28"/>
  <c r="U21" i="24"/>
  <c r="H21" i="30"/>
  <c r="J21" i="30"/>
  <c r="M21" i="13"/>
  <c r="D21" i="28"/>
  <c r="Y21" i="30"/>
  <c r="C21" i="24"/>
  <c r="N21" i="28"/>
  <c r="K21" i="30"/>
  <c r="U21" i="13"/>
  <c r="T21" i="26"/>
  <c r="AA21" i="26"/>
  <c r="Q21" i="30"/>
  <c r="Z21" i="28"/>
  <c r="V21" i="24"/>
  <c r="W21" i="26"/>
  <c r="O21" i="24"/>
  <c r="B21" i="26"/>
  <c r="O21" i="26"/>
  <c r="Q21" i="13"/>
  <c r="L21" i="13"/>
  <c r="M21" i="28"/>
  <c r="D21" i="24"/>
  <c r="E21" i="24"/>
  <c r="F21" i="13"/>
  <c r="O21" i="28"/>
  <c r="V21" i="13"/>
  <c r="S21" i="13"/>
  <c r="F21" i="24"/>
  <c r="G21" i="26"/>
  <c r="R21" i="28"/>
  <c r="C21" i="28"/>
  <c r="Y21" i="13"/>
  <c r="G21" i="28"/>
  <c r="AA21" i="13"/>
  <c r="D21" i="26"/>
  <c r="RK2" i="31"/>
  <c r="H21" i="26"/>
  <c r="Y21" i="26"/>
  <c r="J21" i="28"/>
  <c r="K21" i="13"/>
  <c r="F21" i="28"/>
  <c r="C21" i="26"/>
  <c r="V21" i="30"/>
  <c r="S21" i="26"/>
  <c r="B21" i="30"/>
  <c r="V21" i="28"/>
  <c r="R21" i="24"/>
  <c r="H21" i="13"/>
  <c r="E21" i="13"/>
  <c r="AA21" i="30"/>
  <c r="R21" i="13"/>
  <c r="G21" i="24"/>
  <c r="B21" i="24"/>
  <c r="S21" i="30"/>
  <c r="J21" i="26"/>
  <c r="S21" i="28"/>
  <c r="R21" i="30"/>
  <c r="X21" i="13"/>
  <c r="L21" i="26"/>
  <c r="Q21" i="28"/>
  <c r="QT2" i="25"/>
  <c r="G21" i="13"/>
  <c r="F21" i="26"/>
  <c r="S21" i="24"/>
  <c r="J21" i="24"/>
  <c r="W21" i="30"/>
  <c r="R21" i="26"/>
  <c r="K21" i="28"/>
  <c r="O21" i="30"/>
  <c r="O21" i="13"/>
  <c r="N21" i="26"/>
  <c r="T21" i="28"/>
  <c r="Q21" i="26"/>
  <c r="D21" i="30"/>
  <c r="I21" i="30"/>
  <c r="B21" i="13"/>
  <c r="W21" i="24"/>
  <c r="B21" i="28"/>
  <c r="V21" i="26"/>
  <c r="K21" i="26"/>
  <c r="AA21" i="28"/>
  <c r="L21" i="24"/>
  <c r="M21" i="26"/>
  <c r="L21" i="28"/>
  <c r="E21" i="28"/>
  <c r="J21" i="13"/>
  <c r="W21" i="13"/>
  <c r="N21" i="24"/>
  <c r="C21" i="13"/>
  <c r="T21" i="24"/>
  <c r="Z21" i="24"/>
  <c r="L21" i="30"/>
  <c r="SB2" i="31"/>
  <c r="I21" i="13"/>
  <c r="E22" i="3" l="1"/>
  <c r="F22" i="3"/>
  <c r="H22" i="3"/>
  <c r="G22" i="3"/>
  <c r="SB1" i="25"/>
  <c r="I22" i="30"/>
  <c r="SB2" i="25"/>
  <c r="K22" i="13"/>
  <c r="X22" i="26"/>
  <c r="K22" i="24"/>
  <c r="T22" i="26"/>
  <c r="O22" i="24"/>
  <c r="X22" i="28"/>
  <c r="L22" i="30"/>
  <c r="H22" i="13"/>
  <c r="O22" i="26"/>
  <c r="D22" i="30"/>
  <c r="R22" i="13"/>
  <c r="U22" i="13"/>
  <c r="W22" i="24"/>
  <c r="T22" i="28"/>
  <c r="C22" i="26"/>
  <c r="D22" i="28"/>
  <c r="O22" i="30"/>
  <c r="H22" i="28"/>
  <c r="W22" i="28"/>
  <c r="D22" i="26"/>
  <c r="Q22" i="30"/>
  <c r="I22" i="26"/>
  <c r="T22" i="30"/>
  <c r="F22" i="13"/>
  <c r="H22" i="30"/>
  <c r="J22" i="13"/>
  <c r="I22" i="13"/>
  <c r="O22" i="13"/>
  <c r="J22" i="26"/>
  <c r="K22" i="26"/>
  <c r="T22" i="13"/>
  <c r="H22" i="26"/>
  <c r="S22" i="30"/>
  <c r="AA22" i="26"/>
  <c r="X22" i="30"/>
  <c r="Z22" i="13"/>
  <c r="B22" i="26"/>
  <c r="E22" i="26"/>
  <c r="W22" i="13"/>
  <c r="P22" i="28"/>
  <c r="E22" i="24"/>
  <c r="V22" i="26"/>
  <c r="Y22" i="24"/>
  <c r="V22" i="30"/>
  <c r="AA22" i="28"/>
  <c r="J22" i="30"/>
  <c r="I22" i="28"/>
  <c r="X22" i="13"/>
  <c r="U22" i="30"/>
  <c r="RK2" i="25"/>
  <c r="R22" i="28"/>
  <c r="N22" i="13"/>
  <c r="Q22" i="24"/>
  <c r="V22" i="13"/>
  <c r="M22" i="24"/>
  <c r="F22" i="28"/>
  <c r="E22" i="30"/>
  <c r="B22" i="28"/>
  <c r="M22" i="30"/>
  <c r="L22" i="13"/>
  <c r="G22" i="24"/>
  <c r="D22" i="24"/>
  <c r="K22" i="28"/>
  <c r="H22" i="24"/>
  <c r="T22" i="24"/>
  <c r="L22" i="24"/>
  <c r="V22" i="28"/>
  <c r="E22" i="28"/>
  <c r="F22" i="26"/>
  <c r="Q22" i="28"/>
  <c r="S22" i="28"/>
  <c r="P22" i="24"/>
  <c r="C22" i="13"/>
  <c r="E22" i="13"/>
  <c r="L22" i="28"/>
  <c r="Q22" i="13"/>
  <c r="G22" i="13"/>
  <c r="S22" i="13"/>
  <c r="G22" i="28"/>
  <c r="Y22" i="13"/>
  <c r="V22" i="24"/>
  <c r="C22" i="24"/>
  <c r="O22" i="28"/>
  <c r="N22" i="26"/>
  <c r="Z22" i="26"/>
  <c r="K22" i="30"/>
  <c r="M22" i="13"/>
  <c r="B22" i="13"/>
  <c r="Z22" i="24"/>
  <c r="R22" i="30"/>
  <c r="Y22" i="30"/>
  <c r="R22" i="26"/>
  <c r="U22" i="24"/>
  <c r="R22" i="24"/>
  <c r="W22" i="30"/>
  <c r="Y22" i="26"/>
  <c r="B22" i="24"/>
  <c r="U22" i="28"/>
  <c r="D22" i="13"/>
  <c r="B22" i="30"/>
  <c r="Q22" i="26"/>
  <c r="J22" i="24"/>
  <c r="I22" i="24"/>
  <c r="N22" i="30"/>
  <c r="U22" i="26"/>
  <c r="F22" i="30"/>
  <c r="Z22" i="28"/>
  <c r="N22" i="28"/>
  <c r="N22" i="24"/>
  <c r="J22" i="28"/>
  <c r="M22" i="26"/>
  <c r="P22" i="30"/>
  <c r="AA22" i="30"/>
  <c r="X22" i="24"/>
  <c r="Y22" i="28"/>
  <c r="G22" i="26"/>
  <c r="Z22" i="30"/>
  <c r="F22" i="24"/>
  <c r="W22" i="26"/>
  <c r="S22" i="24"/>
  <c r="C22" i="30"/>
  <c r="AA22" i="13"/>
  <c r="L22" i="26"/>
  <c r="C22" i="28"/>
  <c r="G22" i="30"/>
  <c r="AA22" i="24"/>
  <c r="S22" i="26"/>
  <c r="P22" i="26"/>
  <c r="M22" i="28"/>
  <c r="P22" i="13"/>
  <c r="G23" i="3" l="1"/>
  <c r="F23" i="3"/>
  <c r="H23" i="3"/>
  <c r="E23" i="3"/>
  <c r="L23" i="28"/>
  <c r="Y23" i="30"/>
  <c r="B23" i="13"/>
  <c r="S23" i="13"/>
  <c r="B23" i="30"/>
  <c r="P23" i="24"/>
  <c r="Z23" i="24"/>
  <c r="F23" i="24"/>
  <c r="F23" i="28"/>
  <c r="R23" i="26"/>
  <c r="D23" i="30"/>
  <c r="Y23" i="26"/>
  <c r="V23" i="13"/>
  <c r="G23" i="13"/>
  <c r="J23" i="28"/>
  <c r="D23" i="24"/>
  <c r="I23" i="24"/>
  <c r="H23" i="28"/>
  <c r="T23" i="30"/>
  <c r="P23" i="30"/>
  <c r="V23" i="30"/>
  <c r="X23" i="13"/>
  <c r="AA23" i="26"/>
  <c r="H23" i="24"/>
  <c r="Q23" i="30"/>
  <c r="O23" i="13"/>
  <c r="C23" i="28"/>
  <c r="J23" i="30"/>
  <c r="L23" i="24"/>
  <c r="G23" i="30"/>
  <c r="G23" i="26"/>
  <c r="H23" i="13"/>
  <c r="W23" i="26"/>
  <c r="H23" i="26"/>
  <c r="Z23" i="26"/>
  <c r="L23" i="30"/>
  <c r="M23" i="26"/>
  <c r="R23" i="13"/>
  <c r="K23" i="30"/>
  <c r="M23" i="13"/>
  <c r="X23" i="28"/>
  <c r="T23" i="24"/>
  <c r="X23" i="26"/>
  <c r="X23" i="24"/>
  <c r="Z23" i="28"/>
  <c r="D23" i="28"/>
  <c r="E23" i="28"/>
  <c r="K23" i="24"/>
  <c r="O23" i="30"/>
  <c r="N23" i="26"/>
  <c r="O23" i="28"/>
  <c r="S23" i="28"/>
  <c r="G23" i="24"/>
  <c r="D23" i="13"/>
  <c r="W23" i="30"/>
  <c r="N23" i="30"/>
  <c r="S23" i="30"/>
  <c r="E23" i="13"/>
  <c r="B23" i="26"/>
  <c r="C23" i="13"/>
  <c r="R23" i="24"/>
  <c r="W23" i="24"/>
  <c r="K23" i="26"/>
  <c r="Q23" i="26"/>
  <c r="Y23" i="28"/>
  <c r="S23" i="26"/>
  <c r="U23" i="13"/>
  <c r="T23" i="13"/>
  <c r="Y23" i="24"/>
  <c r="AA23" i="28"/>
  <c r="K23" i="28"/>
  <c r="F23" i="26"/>
  <c r="G23" i="28"/>
  <c r="Q23" i="24"/>
  <c r="AA23" i="30"/>
  <c r="C23" i="30"/>
  <c r="F23" i="30"/>
  <c r="P23" i="13"/>
  <c r="U23" i="26"/>
  <c r="I23" i="26"/>
  <c r="S23" i="24"/>
  <c r="J23" i="24"/>
  <c r="B23" i="28"/>
  <c r="Z23" i="13"/>
  <c r="E23" i="24"/>
  <c r="Q23" i="13"/>
  <c r="K23" i="13"/>
  <c r="V23" i="26"/>
  <c r="O23" i="24"/>
  <c r="J23" i="26"/>
  <c r="T23" i="26"/>
  <c r="M23" i="24"/>
  <c r="AA23" i="13"/>
  <c r="U23" i="24"/>
  <c r="U23" i="30"/>
  <c r="N23" i="13"/>
  <c r="Y23" i="13"/>
  <c r="O23" i="26"/>
  <c r="V23" i="24"/>
  <c r="C23" i="26"/>
  <c r="N23" i="28"/>
  <c r="T23" i="28"/>
  <c r="I23" i="30"/>
  <c r="Q23" i="28"/>
  <c r="Z23" i="30"/>
  <c r="M23" i="30"/>
  <c r="V23" i="28"/>
  <c r="W23" i="13"/>
  <c r="B23" i="24"/>
  <c r="W23" i="28"/>
  <c r="R23" i="28"/>
  <c r="L23" i="26"/>
  <c r="E23" i="26"/>
  <c r="I23" i="28"/>
  <c r="I23" i="13"/>
  <c r="M23" i="28"/>
  <c r="R23" i="30"/>
  <c r="P23" i="26"/>
  <c r="U23" i="28"/>
  <c r="H23" i="30"/>
  <c r="E23" i="30"/>
  <c r="J23" i="13"/>
  <c r="L23" i="13"/>
  <c r="AA23" i="24"/>
  <c r="P23" i="28"/>
  <c r="D23" i="26"/>
  <c r="F23" i="13"/>
  <c r="N23" i="24"/>
  <c r="C23" i="24"/>
  <c r="X23" i="30"/>
  <c r="F24" i="3" l="1"/>
  <c r="H24" i="3"/>
  <c r="E24" i="3"/>
  <c r="G24" i="3"/>
  <c r="K24" i="30"/>
  <c r="Q24" i="13"/>
  <c r="S24" i="26"/>
  <c r="W24" i="24"/>
  <c r="R24" i="26"/>
  <c r="AA24" i="28"/>
  <c r="Z24" i="30"/>
  <c r="N24" i="13"/>
  <c r="P24" i="26"/>
  <c r="AA24" i="30"/>
  <c r="P24" i="30"/>
  <c r="L24" i="24"/>
  <c r="Y24" i="26"/>
  <c r="T24" i="24"/>
  <c r="C24" i="26"/>
  <c r="N24" i="30"/>
  <c r="S24" i="13"/>
  <c r="J24" i="24"/>
  <c r="R24" i="28"/>
  <c r="U24" i="26"/>
  <c r="T24" i="30"/>
  <c r="D24" i="26"/>
  <c r="Z24" i="24"/>
  <c r="H24" i="26"/>
  <c r="K24" i="24"/>
  <c r="R24" i="24"/>
  <c r="Y24" i="28"/>
  <c r="E24" i="30"/>
  <c r="V24" i="13"/>
  <c r="V24" i="28"/>
  <c r="I24" i="28"/>
  <c r="P24" i="28"/>
  <c r="K24" i="26"/>
  <c r="F24" i="26"/>
  <c r="I24" i="24"/>
  <c r="I24" i="30"/>
  <c r="J24" i="13"/>
  <c r="J24" i="26"/>
  <c r="Q24" i="24"/>
  <c r="H24" i="24"/>
  <c r="S24" i="24"/>
  <c r="Q24" i="26"/>
  <c r="T24" i="26"/>
  <c r="C24" i="28"/>
  <c r="B24" i="28"/>
  <c r="S24" i="30"/>
  <c r="K24" i="13"/>
  <c r="V24" i="24"/>
  <c r="Z24" i="28"/>
  <c r="D24" i="28"/>
  <c r="P24" i="13"/>
  <c r="E24" i="24"/>
  <c r="P24" i="24"/>
  <c r="O24" i="26"/>
  <c r="N24" i="28"/>
  <c r="E24" i="28"/>
  <c r="Y24" i="30"/>
  <c r="B24" i="13"/>
  <c r="F24" i="24"/>
  <c r="M24" i="28"/>
  <c r="H24" i="28"/>
  <c r="G24" i="30"/>
  <c r="AA24" i="13"/>
  <c r="D24" i="13"/>
  <c r="U24" i="28"/>
  <c r="D24" i="30"/>
  <c r="H24" i="30"/>
  <c r="U24" i="24"/>
  <c r="L24" i="28"/>
  <c r="K24" i="28"/>
  <c r="Z24" i="13"/>
  <c r="G24" i="26"/>
  <c r="G24" i="28"/>
  <c r="R24" i="30"/>
  <c r="G24" i="24"/>
  <c r="C24" i="13"/>
  <c r="N24" i="26"/>
  <c r="AA24" i="24"/>
  <c r="M24" i="30"/>
  <c r="X24" i="24"/>
  <c r="Y24" i="24"/>
  <c r="X24" i="13"/>
  <c r="W24" i="28"/>
  <c r="J24" i="28"/>
  <c r="W24" i="26"/>
  <c r="O24" i="13"/>
  <c r="V24" i="30"/>
  <c r="B24" i="24"/>
  <c r="E24" i="26"/>
  <c r="X24" i="28"/>
  <c r="O24" i="28"/>
  <c r="M24" i="13"/>
  <c r="T24" i="13"/>
  <c r="O24" i="24"/>
  <c r="F24" i="30"/>
  <c r="AA24" i="26"/>
  <c r="M24" i="24"/>
  <c r="X24" i="26"/>
  <c r="S24" i="28"/>
  <c r="E24" i="13"/>
  <c r="L24" i="13"/>
  <c r="C24" i="24"/>
  <c r="N24" i="24"/>
  <c r="Z24" i="26"/>
  <c r="W24" i="30"/>
  <c r="V24" i="26"/>
  <c r="Y24" i="13"/>
  <c r="Q24" i="28"/>
  <c r="L24" i="30"/>
  <c r="L24" i="26"/>
  <c r="U24" i="30"/>
  <c r="O24" i="30"/>
  <c r="J24" i="30"/>
  <c r="Q24" i="30"/>
  <c r="W24" i="13"/>
  <c r="B24" i="26"/>
  <c r="U24" i="13"/>
  <c r="I24" i="26"/>
  <c r="T24" i="28"/>
  <c r="B24" i="30"/>
  <c r="I24" i="13"/>
  <c r="H24" i="13"/>
  <c r="C24" i="30"/>
  <c r="F24" i="28"/>
  <c r="G24" i="13"/>
  <c r="M24" i="26"/>
  <c r="R24" i="13"/>
  <c r="F24" i="13"/>
  <c r="X24" i="30"/>
  <c r="D24" i="24"/>
  <c r="G25" i="3" l="1"/>
  <c r="H25" i="3"/>
  <c r="E25" i="3"/>
  <c r="F25" i="3"/>
  <c r="H25" i="30"/>
  <c r="I25" i="13"/>
  <c r="H25" i="28"/>
  <c r="H25" i="24"/>
  <c r="B25" i="24"/>
  <c r="M25" i="24"/>
  <c r="X25" i="24"/>
  <c r="S25" i="28"/>
  <c r="X25" i="26"/>
  <c r="F25" i="24"/>
  <c r="E25" i="13"/>
  <c r="I25" i="24"/>
  <c r="G25" i="28"/>
  <c r="C25" i="26"/>
  <c r="N25" i="30"/>
  <c r="Q25" i="30"/>
  <c r="O25" i="24"/>
  <c r="G25" i="13"/>
  <c r="AA25" i="26"/>
  <c r="O25" i="26"/>
  <c r="C25" i="30"/>
  <c r="E25" i="28"/>
  <c r="K25" i="13"/>
  <c r="M25" i="26"/>
  <c r="I25" i="26"/>
  <c r="S25" i="24"/>
  <c r="L25" i="30"/>
  <c r="U25" i="13"/>
  <c r="D25" i="30"/>
  <c r="K25" i="30"/>
  <c r="M25" i="13"/>
  <c r="O25" i="13"/>
  <c r="T25" i="28"/>
  <c r="V25" i="26"/>
  <c r="AA25" i="13"/>
  <c r="Z25" i="28"/>
  <c r="V25" i="13"/>
  <c r="N25" i="13"/>
  <c r="I25" i="30"/>
  <c r="Y25" i="30"/>
  <c r="M25" i="28"/>
  <c r="O25" i="28"/>
  <c r="S25" i="26"/>
  <c r="U25" i="26"/>
  <c r="K25" i="24"/>
  <c r="R25" i="13"/>
  <c r="Y25" i="24"/>
  <c r="Q25" i="24"/>
  <c r="S25" i="13"/>
  <c r="D25" i="28"/>
  <c r="J25" i="30"/>
  <c r="X25" i="13"/>
  <c r="D25" i="26"/>
  <c r="N25" i="28"/>
  <c r="T25" i="24"/>
  <c r="C25" i="24"/>
  <c r="Z25" i="13"/>
  <c r="C25" i="13"/>
  <c r="L25" i="28"/>
  <c r="R25" i="26"/>
  <c r="U25" i="28"/>
  <c r="L25" i="24"/>
  <c r="F25" i="26"/>
  <c r="AA25" i="28"/>
  <c r="H25" i="26"/>
  <c r="Y25" i="28"/>
  <c r="O25" i="30"/>
  <c r="K25" i="28"/>
  <c r="M25" i="30"/>
  <c r="W25" i="28"/>
  <c r="B25" i="30"/>
  <c r="Z25" i="24"/>
  <c r="C25" i="28"/>
  <c r="I25" i="28"/>
  <c r="W25" i="24"/>
  <c r="T25" i="26"/>
  <c r="B25" i="28"/>
  <c r="L25" i="26"/>
  <c r="P25" i="26"/>
  <c r="P25" i="28"/>
  <c r="F25" i="30"/>
  <c r="E25" i="24"/>
  <c r="H25" i="13"/>
  <c r="J25" i="26"/>
  <c r="F25" i="28"/>
  <c r="D25" i="13"/>
  <c r="V25" i="24"/>
  <c r="S25" i="30"/>
  <c r="D25" i="24"/>
  <c r="V25" i="30"/>
  <c r="U25" i="24"/>
  <c r="AA25" i="30"/>
  <c r="F25" i="13"/>
  <c r="J25" i="24"/>
  <c r="Z25" i="30"/>
  <c r="B25" i="13"/>
  <c r="N25" i="26"/>
  <c r="Q25" i="26"/>
  <c r="W25" i="26"/>
  <c r="P25" i="30"/>
  <c r="Y25" i="13"/>
  <c r="X25" i="30"/>
  <c r="T25" i="30"/>
  <c r="Q25" i="13"/>
  <c r="X25" i="28"/>
  <c r="R25" i="28"/>
  <c r="L25" i="13"/>
  <c r="T25" i="13"/>
  <c r="N25" i="24"/>
  <c r="Q25" i="28"/>
  <c r="P25" i="24"/>
  <c r="P25" i="13"/>
  <c r="V25" i="28"/>
  <c r="J25" i="28"/>
  <c r="U25" i="30"/>
  <c r="G25" i="30"/>
  <c r="K25" i="26"/>
  <c r="Z25" i="26"/>
  <c r="G25" i="26"/>
  <c r="W25" i="13"/>
  <c r="E25" i="30"/>
  <c r="J25" i="13"/>
  <c r="R25" i="24"/>
  <c r="E25" i="26"/>
  <c r="W25" i="30"/>
  <c r="R25" i="30"/>
  <c r="AA25" i="24"/>
  <c r="G25" i="24"/>
  <c r="Y25" i="26"/>
  <c r="B25" i="26"/>
  <c r="F26" i="3" l="1"/>
  <c r="H26" i="3"/>
  <c r="E26" i="3"/>
  <c r="G26" i="3"/>
  <c r="G26" i="30"/>
  <c r="Y26" i="13"/>
  <c r="P26" i="26"/>
  <c r="O26" i="26"/>
  <c r="J26" i="28"/>
  <c r="I26" i="24"/>
  <c r="E26" i="30"/>
  <c r="P26" i="28"/>
  <c r="G26" i="24"/>
  <c r="V26" i="26"/>
  <c r="U26" i="30"/>
  <c r="I26" i="30"/>
  <c r="B26" i="13"/>
  <c r="T26" i="28"/>
  <c r="B26" i="26"/>
  <c r="Y26" i="28"/>
  <c r="P26" i="13"/>
  <c r="K26" i="28"/>
  <c r="M26" i="13"/>
  <c r="C26" i="13"/>
  <c r="Y26" i="30"/>
  <c r="V26" i="13"/>
  <c r="B26" i="24"/>
  <c r="L26" i="26"/>
  <c r="E26" i="24"/>
  <c r="H26" i="26"/>
  <c r="D26" i="24"/>
  <c r="Y26" i="26"/>
  <c r="H26" i="13"/>
  <c r="O26" i="24"/>
  <c r="F26" i="24"/>
  <c r="I26" i="28"/>
  <c r="J26" i="24"/>
  <c r="W26" i="26"/>
  <c r="F26" i="30"/>
  <c r="S26" i="13"/>
  <c r="G26" i="13"/>
  <c r="V26" i="24"/>
  <c r="R26" i="13"/>
  <c r="E26" i="28"/>
  <c r="V26" i="28"/>
  <c r="I26" i="26"/>
  <c r="H26" i="30"/>
  <c r="V26" i="30"/>
  <c r="U26" i="24"/>
  <c r="D26" i="30"/>
  <c r="S26" i="28"/>
  <c r="O26" i="30"/>
  <c r="R26" i="30"/>
  <c r="G26" i="28"/>
  <c r="C26" i="28"/>
  <c r="R26" i="26"/>
  <c r="B26" i="30"/>
  <c r="U26" i="26"/>
  <c r="X26" i="24"/>
  <c r="D26" i="28"/>
  <c r="T26" i="13"/>
  <c r="AA26" i="13"/>
  <c r="X26" i="13"/>
  <c r="K26" i="30"/>
  <c r="J26" i="30"/>
  <c r="Z26" i="30"/>
  <c r="U26" i="28"/>
  <c r="P26" i="30"/>
  <c r="T26" i="30"/>
  <c r="D26" i="13"/>
  <c r="Q26" i="28"/>
  <c r="X26" i="28"/>
  <c r="N26" i="28"/>
  <c r="AA26" i="28"/>
  <c r="H26" i="28"/>
  <c r="G26" i="26"/>
  <c r="N26" i="30"/>
  <c r="M26" i="30"/>
  <c r="M26" i="26"/>
  <c r="H26" i="24"/>
  <c r="O26" i="28"/>
  <c r="Z26" i="13"/>
  <c r="S26" i="24"/>
  <c r="W26" i="13"/>
  <c r="K26" i="13"/>
  <c r="N26" i="24"/>
  <c r="E26" i="26"/>
  <c r="AA26" i="30"/>
  <c r="J26" i="13"/>
  <c r="T26" i="24"/>
  <c r="I26" i="13"/>
  <c r="L26" i="28"/>
  <c r="Q26" i="13"/>
  <c r="S26" i="30"/>
  <c r="R26" i="24"/>
  <c r="W26" i="28"/>
  <c r="O26" i="13"/>
  <c r="B26" i="28"/>
  <c r="J26" i="26"/>
  <c r="M26" i="24"/>
  <c r="P26" i="24"/>
  <c r="AA26" i="24"/>
  <c r="X26" i="26"/>
  <c r="X26" i="30"/>
  <c r="Y26" i="24"/>
  <c r="K26" i="26"/>
  <c r="C26" i="24"/>
  <c r="L26" i="24"/>
  <c r="S26" i="26"/>
  <c r="N26" i="26"/>
  <c r="L26" i="13"/>
  <c r="K26" i="24"/>
  <c r="R26" i="28"/>
  <c r="Q26" i="24"/>
  <c r="F26" i="28"/>
  <c r="AA26" i="26"/>
  <c r="D26" i="26"/>
  <c r="F26" i="13"/>
  <c r="Q26" i="26"/>
  <c r="T26" i="26"/>
  <c r="C26" i="26"/>
  <c r="F26" i="26"/>
  <c r="Z26" i="26"/>
  <c r="Z26" i="28"/>
  <c r="Q26" i="30"/>
  <c r="N26" i="13"/>
  <c r="U26" i="13"/>
  <c r="M26" i="28"/>
  <c r="L26" i="30"/>
  <c r="C26" i="30"/>
  <c r="E26" i="13"/>
  <c r="W26" i="30"/>
  <c r="W26" i="24"/>
  <c r="Z26" i="24"/>
  <c r="G27" i="3" l="1"/>
  <c r="H27" i="3"/>
  <c r="E27" i="3"/>
  <c r="F27" i="3"/>
  <c r="D27" i="28"/>
  <c r="Q27" i="13"/>
  <c r="H27" i="28"/>
  <c r="M27" i="13"/>
  <c r="K27" i="13"/>
  <c r="AA27" i="24"/>
  <c r="O27" i="28"/>
  <c r="Y27" i="26"/>
  <c r="O27" i="24"/>
  <c r="M27" i="26"/>
  <c r="C27" i="26"/>
  <c r="AA27" i="28"/>
  <c r="G27" i="28"/>
  <c r="Q27" i="30"/>
  <c r="N27" i="13"/>
  <c r="L27" i="13"/>
  <c r="F27" i="24"/>
  <c r="X27" i="30"/>
  <c r="R27" i="26"/>
  <c r="D27" i="30"/>
  <c r="F27" i="30"/>
  <c r="T27" i="30"/>
  <c r="Z27" i="13"/>
  <c r="W27" i="13"/>
  <c r="U27" i="13"/>
  <c r="G27" i="26"/>
  <c r="X27" i="26"/>
  <c r="J27" i="28"/>
  <c r="H27" i="30"/>
  <c r="F27" i="28"/>
  <c r="L27" i="26"/>
  <c r="I27" i="28"/>
  <c r="D27" i="26"/>
  <c r="V27" i="26"/>
  <c r="P27" i="26"/>
  <c r="N27" i="24"/>
  <c r="H27" i="26"/>
  <c r="R27" i="28"/>
  <c r="T27" i="28"/>
  <c r="B27" i="30"/>
  <c r="C27" i="28"/>
  <c r="Z27" i="26"/>
  <c r="W27" i="30"/>
  <c r="Y27" i="30"/>
  <c r="W27" i="24"/>
  <c r="Z27" i="24"/>
  <c r="W27" i="28"/>
  <c r="U27" i="26"/>
  <c r="G27" i="24"/>
  <c r="H27" i="13"/>
  <c r="B27" i="28"/>
  <c r="P27" i="13"/>
  <c r="J27" i="24"/>
  <c r="X27" i="28"/>
  <c r="F27" i="26"/>
  <c r="L27" i="24"/>
  <c r="V27" i="30"/>
  <c r="D27" i="24"/>
  <c r="AA27" i="30"/>
  <c r="V27" i="13"/>
  <c r="M27" i="28"/>
  <c r="R27" i="13"/>
  <c r="T27" i="13"/>
  <c r="V27" i="24"/>
  <c r="E27" i="13"/>
  <c r="Z27" i="30"/>
  <c r="K27" i="30"/>
  <c r="Q27" i="28"/>
  <c r="F27" i="13"/>
  <c r="X27" i="13"/>
  <c r="B27" i="26"/>
  <c r="P27" i="24"/>
  <c r="N27" i="26"/>
  <c r="L27" i="28"/>
  <c r="J27" i="30"/>
  <c r="T27" i="26"/>
  <c r="R27" i="30"/>
  <c r="P27" i="30"/>
  <c r="AA27" i="13"/>
  <c r="S27" i="13"/>
  <c r="Q27" i="26"/>
  <c r="G27" i="13"/>
  <c r="U27" i="30"/>
  <c r="K27" i="26"/>
  <c r="E27" i="24"/>
  <c r="K27" i="28"/>
  <c r="E27" i="30"/>
  <c r="J27" i="13"/>
  <c r="U27" i="28"/>
  <c r="B27" i="13"/>
  <c r="I27" i="26"/>
  <c r="Z27" i="28"/>
  <c r="K27" i="24"/>
  <c r="E27" i="26"/>
  <c r="S27" i="28"/>
  <c r="M27" i="30"/>
  <c r="G27" i="30"/>
  <c r="U27" i="24"/>
  <c r="S27" i="24"/>
  <c r="Y27" i="24"/>
  <c r="W27" i="26"/>
  <c r="I27" i="30"/>
  <c r="S27" i="30"/>
  <c r="Y27" i="28"/>
  <c r="O27" i="30"/>
  <c r="T27" i="24"/>
  <c r="N27" i="28"/>
  <c r="D27" i="13"/>
  <c r="R27" i="24"/>
  <c r="X27" i="24"/>
  <c r="J27" i="26"/>
  <c r="H27" i="24"/>
  <c r="V27" i="28"/>
  <c r="C27" i="30"/>
  <c r="I27" i="24"/>
  <c r="C27" i="13"/>
  <c r="M27" i="24"/>
  <c r="O27" i="26"/>
  <c r="E27" i="28"/>
  <c r="C27" i="24"/>
  <c r="Q27" i="24"/>
  <c r="S27" i="26"/>
  <c r="B27" i="24"/>
  <c r="Y27" i="13"/>
  <c r="L27" i="30"/>
  <c r="I27" i="13"/>
  <c r="O27" i="13"/>
  <c r="AA27" i="26"/>
  <c r="P27" i="28"/>
  <c r="N27" i="30"/>
  <c r="F28" i="3" l="1"/>
  <c r="H28" i="3"/>
  <c r="E28" i="3"/>
  <c r="G28" i="3"/>
  <c r="S28" i="26"/>
  <c r="I28" i="13"/>
  <c r="R28" i="13"/>
  <c r="Z28" i="24"/>
  <c r="T28" i="26"/>
  <c r="U28" i="26"/>
  <c r="O28" i="26"/>
  <c r="F28" i="26"/>
  <c r="P28" i="28"/>
  <c r="G28" i="28"/>
  <c r="J28" i="30"/>
  <c r="L28" i="28"/>
  <c r="E28" i="26"/>
  <c r="P28" i="26"/>
  <c r="Y28" i="26"/>
  <c r="G28" i="30"/>
  <c r="V28" i="13"/>
  <c r="W28" i="30"/>
  <c r="V28" i="24"/>
  <c r="X28" i="26"/>
  <c r="Q28" i="24"/>
  <c r="X28" i="13"/>
  <c r="U28" i="24"/>
  <c r="AA28" i="24"/>
  <c r="Q28" i="28"/>
  <c r="H28" i="28"/>
  <c r="U28" i="30"/>
  <c r="B28" i="13"/>
  <c r="K28" i="13"/>
  <c r="N28" i="28"/>
  <c r="E28" i="30"/>
  <c r="D28" i="26"/>
  <c r="Q28" i="30"/>
  <c r="K28" i="26"/>
  <c r="V28" i="26"/>
  <c r="O28" i="28"/>
  <c r="U28" i="13"/>
  <c r="L28" i="26"/>
  <c r="I28" i="24"/>
  <c r="S28" i="13"/>
  <c r="R28" i="24"/>
  <c r="X28" i="30"/>
  <c r="G28" i="24"/>
  <c r="F28" i="24"/>
  <c r="O28" i="30"/>
  <c r="B28" i="30"/>
  <c r="S28" i="30"/>
  <c r="M28" i="13"/>
  <c r="M28" i="30"/>
  <c r="T28" i="13"/>
  <c r="G28" i="13"/>
  <c r="J28" i="24"/>
  <c r="C28" i="26"/>
  <c r="B28" i="28"/>
  <c r="G28" i="26"/>
  <c r="AA28" i="13"/>
  <c r="T28" i="24"/>
  <c r="Z28" i="13"/>
  <c r="H28" i="24"/>
  <c r="Y28" i="30"/>
  <c r="L28" i="24"/>
  <c r="I28" i="28"/>
  <c r="K28" i="30"/>
  <c r="R28" i="28"/>
  <c r="T28" i="28"/>
  <c r="L28" i="30"/>
  <c r="Y28" i="28"/>
  <c r="P28" i="30"/>
  <c r="W28" i="28"/>
  <c r="F28" i="28"/>
  <c r="C28" i="30"/>
  <c r="B28" i="26"/>
  <c r="I28" i="30"/>
  <c r="D28" i="24"/>
  <c r="W28" i="26"/>
  <c r="Z28" i="26"/>
  <c r="T28" i="30"/>
  <c r="C28" i="13"/>
  <c r="J28" i="26"/>
  <c r="S28" i="24"/>
  <c r="R28" i="30"/>
  <c r="Q28" i="26"/>
  <c r="Q28" i="13"/>
  <c r="Z28" i="28"/>
  <c r="H28" i="26"/>
  <c r="W28" i="13"/>
  <c r="N28" i="24"/>
  <c r="W28" i="24"/>
  <c r="V28" i="28"/>
  <c r="K28" i="24"/>
  <c r="J28" i="28"/>
  <c r="K28" i="28"/>
  <c r="Y28" i="13"/>
  <c r="X28" i="28"/>
  <c r="M28" i="24"/>
  <c r="C28" i="24"/>
  <c r="V28" i="30"/>
  <c r="N28" i="26"/>
  <c r="AA28" i="28"/>
  <c r="P28" i="24"/>
  <c r="Z28" i="30"/>
  <c r="J28" i="13"/>
  <c r="O28" i="13"/>
  <c r="R28" i="26"/>
  <c r="E28" i="24"/>
  <c r="H28" i="13"/>
  <c r="B28" i="24"/>
  <c r="Y28" i="24"/>
  <c r="X28" i="24"/>
  <c r="U28" i="28"/>
  <c r="D28" i="30"/>
  <c r="AA28" i="30"/>
  <c r="N28" i="13"/>
  <c r="E28" i="13"/>
  <c r="D28" i="13"/>
  <c r="M28" i="28"/>
  <c r="L28" i="13"/>
  <c r="I28" i="26"/>
  <c r="D28" i="28"/>
  <c r="M28" i="26"/>
  <c r="S28" i="28"/>
  <c r="E28" i="28"/>
  <c r="F28" i="13"/>
  <c r="O28" i="24"/>
  <c r="N28" i="30"/>
  <c r="C28" i="28"/>
  <c r="F28" i="30"/>
  <c r="AA28" i="26"/>
  <c r="H28" i="30"/>
  <c r="P28" i="13"/>
  <c r="G29" i="3" l="1"/>
  <c r="H29" i="3"/>
  <c r="E29" i="3"/>
  <c r="F29" i="3"/>
  <c r="P29" i="30"/>
  <c r="Q29" i="13"/>
  <c r="G29" i="13"/>
  <c r="X29" i="24"/>
  <c r="C29" i="28"/>
  <c r="M29" i="24"/>
  <c r="S29" i="24"/>
  <c r="O29" i="30"/>
  <c r="T29" i="30"/>
  <c r="I29" i="13"/>
  <c r="W29" i="13"/>
  <c r="AA29" i="30"/>
  <c r="S29" i="13"/>
  <c r="AA29" i="24"/>
  <c r="K29" i="26"/>
  <c r="F29" i="30"/>
  <c r="K29" i="28"/>
  <c r="P29" i="28"/>
  <c r="J29" i="30"/>
  <c r="M29" i="30"/>
  <c r="M29" i="26"/>
  <c r="O29" i="13"/>
  <c r="AA29" i="26"/>
  <c r="P29" i="13"/>
  <c r="E29" i="28"/>
  <c r="O29" i="28"/>
  <c r="G29" i="26"/>
  <c r="R29" i="13"/>
  <c r="M29" i="28"/>
  <c r="N29" i="13"/>
  <c r="U29" i="30"/>
  <c r="E29" i="30"/>
  <c r="N29" i="26"/>
  <c r="F29" i="26"/>
  <c r="Z29" i="28"/>
  <c r="E29" i="26"/>
  <c r="K29" i="13"/>
  <c r="S29" i="28"/>
  <c r="C29" i="24"/>
  <c r="L29" i="28"/>
  <c r="W29" i="24"/>
  <c r="F29" i="28"/>
  <c r="V29" i="30"/>
  <c r="T29" i="28"/>
  <c r="D29" i="24"/>
  <c r="J29" i="28"/>
  <c r="Y29" i="24"/>
  <c r="I29" i="24"/>
  <c r="D29" i="30"/>
  <c r="Y29" i="13"/>
  <c r="X29" i="30"/>
  <c r="E29" i="24"/>
  <c r="H29" i="28"/>
  <c r="R29" i="26"/>
  <c r="U29" i="13"/>
  <c r="Z29" i="13"/>
  <c r="T29" i="26"/>
  <c r="R29" i="30"/>
  <c r="L29" i="30"/>
  <c r="O29" i="24"/>
  <c r="S29" i="26"/>
  <c r="D29" i="13"/>
  <c r="V29" i="28"/>
  <c r="N29" i="28"/>
  <c r="B29" i="28"/>
  <c r="L29" i="26"/>
  <c r="B29" i="30"/>
  <c r="T29" i="13"/>
  <c r="Z29" i="24"/>
  <c r="W29" i="28"/>
  <c r="T29" i="24"/>
  <c r="G29" i="24"/>
  <c r="Z29" i="30"/>
  <c r="G29" i="28"/>
  <c r="Y29" i="28"/>
  <c r="E29" i="13"/>
  <c r="K29" i="24"/>
  <c r="V29" i="13"/>
  <c r="Y29" i="26"/>
  <c r="S29" i="30"/>
  <c r="U29" i="26"/>
  <c r="I29" i="26"/>
  <c r="O29" i="26"/>
  <c r="L29" i="13"/>
  <c r="B29" i="26"/>
  <c r="D29" i="26"/>
  <c r="Y29" i="30"/>
  <c r="F29" i="13"/>
  <c r="F29" i="24"/>
  <c r="R29" i="28"/>
  <c r="H29" i="24"/>
  <c r="V29" i="26"/>
  <c r="X29" i="28"/>
  <c r="Q29" i="24"/>
  <c r="Q29" i="30"/>
  <c r="J29" i="13"/>
  <c r="B29" i="13"/>
  <c r="J29" i="26"/>
  <c r="H29" i="13"/>
  <c r="J29" i="24"/>
  <c r="P29" i="24"/>
  <c r="L29" i="24"/>
  <c r="P29" i="26"/>
  <c r="U29" i="28"/>
  <c r="K29" i="30"/>
  <c r="G29" i="30"/>
  <c r="R29" i="24"/>
  <c r="X29" i="13"/>
  <c r="N29" i="24"/>
  <c r="D29" i="28"/>
  <c r="N29" i="30"/>
  <c r="Q29" i="26"/>
  <c r="I29" i="30"/>
  <c r="H29" i="30"/>
  <c r="AA29" i="13"/>
  <c r="C29" i="13"/>
  <c r="V29" i="24"/>
  <c r="M29" i="13"/>
  <c r="I29" i="28"/>
  <c r="C29" i="26"/>
  <c r="C29" i="30"/>
  <c r="Q29" i="28"/>
  <c r="W29" i="30"/>
  <c r="Z29" i="26"/>
  <c r="AA29" i="28"/>
  <c r="W29" i="26"/>
  <c r="U29" i="24"/>
  <c r="B29" i="24"/>
  <c r="X29" i="26"/>
  <c r="H29" i="26"/>
  <c r="G30" i="3" l="1"/>
  <c r="F30" i="3"/>
  <c r="H30" i="3"/>
  <c r="E30" i="3"/>
  <c r="T30" i="26"/>
  <c r="Q30" i="30"/>
  <c r="T30" i="30"/>
  <c r="AA30" i="30"/>
  <c r="N30" i="13"/>
  <c r="G30" i="13"/>
  <c r="F30" i="24"/>
  <c r="Z30" i="13"/>
  <c r="D30" i="24"/>
  <c r="I30" i="30"/>
  <c r="H30" i="28"/>
  <c r="I30" i="24"/>
  <c r="D30" i="26"/>
  <c r="Q30" i="28"/>
  <c r="X30" i="30"/>
  <c r="U30" i="24"/>
  <c r="AA30" i="13"/>
  <c r="D30" i="28"/>
  <c r="U30" i="30"/>
  <c r="P30" i="30"/>
  <c r="Z30" i="28"/>
  <c r="H30" i="30"/>
  <c r="I30" i="28"/>
  <c r="M30" i="28"/>
  <c r="Y30" i="30"/>
  <c r="J30" i="13"/>
  <c r="O30" i="13"/>
  <c r="V30" i="26"/>
  <c r="O30" i="24"/>
  <c r="N30" i="30"/>
  <c r="W30" i="13"/>
  <c r="N30" i="24"/>
  <c r="C30" i="26"/>
  <c r="P30" i="13"/>
  <c r="L30" i="24"/>
  <c r="X30" i="28"/>
  <c r="P30" i="26"/>
  <c r="L30" i="26"/>
  <c r="D30" i="30"/>
  <c r="E30" i="26"/>
  <c r="R30" i="26"/>
  <c r="E30" i="28"/>
  <c r="AA30" i="28"/>
  <c r="V30" i="13"/>
  <c r="R30" i="24"/>
  <c r="B30" i="13"/>
  <c r="W30" i="24"/>
  <c r="N30" i="26"/>
  <c r="C30" i="28"/>
  <c r="B30" i="28"/>
  <c r="X30" i="26"/>
  <c r="AA30" i="26"/>
  <c r="X30" i="24"/>
  <c r="Q30" i="24"/>
  <c r="H30" i="24"/>
  <c r="Y30" i="26"/>
  <c r="H30" i="26"/>
  <c r="F30" i="13"/>
  <c r="O30" i="30"/>
  <c r="B30" i="30"/>
  <c r="S30" i="28"/>
  <c r="E30" i="13"/>
  <c r="L30" i="13"/>
  <c r="Q30" i="13"/>
  <c r="K30" i="28"/>
  <c r="Y30" i="13"/>
  <c r="T30" i="28"/>
  <c r="H30" i="13"/>
  <c r="Z30" i="24"/>
  <c r="M30" i="30"/>
  <c r="E30" i="24"/>
  <c r="U30" i="28"/>
  <c r="Z30" i="26"/>
  <c r="U30" i="26"/>
  <c r="S30" i="26"/>
  <c r="Z30" i="30"/>
  <c r="B30" i="24"/>
  <c r="V30" i="24"/>
  <c r="K30" i="24"/>
  <c r="N30" i="28"/>
  <c r="C30" i="24"/>
  <c r="K30" i="26"/>
  <c r="I30" i="13"/>
  <c r="W30" i="30"/>
  <c r="U30" i="13"/>
  <c r="X30" i="13"/>
  <c r="I30" i="26"/>
  <c r="T30" i="13"/>
  <c r="M30" i="24"/>
  <c r="C30" i="13"/>
  <c r="F30" i="28"/>
  <c r="S30" i="30"/>
  <c r="J30" i="24"/>
  <c r="G30" i="30"/>
  <c r="J30" i="28"/>
  <c r="S30" i="24"/>
  <c r="F30" i="30"/>
  <c r="W30" i="28"/>
  <c r="O30" i="26"/>
  <c r="J30" i="30"/>
  <c r="O30" i="28"/>
  <c r="R30" i="28"/>
  <c r="C30" i="30"/>
  <c r="V30" i="28"/>
  <c r="K30" i="30"/>
  <c r="M30" i="13"/>
  <c r="D30" i="13"/>
  <c r="M30" i="26"/>
  <c r="P30" i="28"/>
  <c r="Y30" i="24"/>
  <c r="T30" i="24"/>
  <c r="AA30" i="24"/>
  <c r="Q30" i="26"/>
  <c r="W30" i="26"/>
  <c r="B30" i="26"/>
  <c r="G30" i="28"/>
  <c r="R30" i="30"/>
  <c r="G30" i="24"/>
  <c r="J30" i="26"/>
  <c r="E30" i="30"/>
  <c r="L30" i="28"/>
  <c r="L30" i="30"/>
  <c r="R30" i="13"/>
  <c r="Y30" i="28"/>
  <c r="K30" i="13"/>
  <c r="S30" i="13"/>
  <c r="P30" i="24"/>
  <c r="G30" i="26"/>
  <c r="F30" i="26"/>
  <c r="V30" i="30"/>
  <c r="E31" i="3" l="1"/>
  <c r="F31" i="3"/>
  <c r="H31" i="3"/>
  <c r="G31" i="3"/>
  <c r="B31" i="28"/>
  <c r="Y31" i="26"/>
  <c r="D31" i="13"/>
  <c r="S31" i="26"/>
  <c r="X31" i="28"/>
  <c r="S31" i="24"/>
  <c r="P31" i="24"/>
  <c r="Q31" i="26"/>
  <c r="N31" i="26"/>
  <c r="Q31" i="24"/>
  <c r="J31" i="30"/>
  <c r="E31" i="30"/>
  <c r="F31" i="30"/>
  <c r="Z31" i="28"/>
  <c r="N31" i="30"/>
  <c r="Q31" i="30"/>
  <c r="D31" i="26"/>
  <c r="J31" i="24"/>
  <c r="U31" i="26"/>
  <c r="H31" i="13"/>
  <c r="K31" i="13"/>
  <c r="X31" i="13"/>
  <c r="G31" i="13"/>
  <c r="R31" i="26"/>
  <c r="C31" i="24"/>
  <c r="X31" i="30"/>
  <c r="G31" i="26"/>
  <c r="U31" i="13"/>
  <c r="B31" i="13"/>
  <c r="AA31" i="13"/>
  <c r="F31" i="13"/>
  <c r="M31" i="13"/>
  <c r="I31" i="13"/>
  <c r="L31" i="28"/>
  <c r="K31" i="30"/>
  <c r="R31" i="28"/>
  <c r="C31" i="13"/>
  <c r="T31" i="24"/>
  <c r="T31" i="26"/>
  <c r="G31" i="28"/>
  <c r="X31" i="26"/>
  <c r="N31" i="24"/>
  <c r="U31" i="24"/>
  <c r="I31" i="26"/>
  <c r="V31" i="30"/>
  <c r="Z31" i="26"/>
  <c r="J31" i="28"/>
  <c r="M31" i="28"/>
  <c r="B31" i="30"/>
  <c r="Y31" i="30"/>
  <c r="T31" i="30"/>
  <c r="X31" i="24"/>
  <c r="W31" i="28"/>
  <c r="L31" i="30"/>
  <c r="R31" i="13"/>
  <c r="AA31" i="24"/>
  <c r="B31" i="24"/>
  <c r="I31" i="28"/>
  <c r="F31" i="26"/>
  <c r="Y31" i="24"/>
  <c r="V31" i="28"/>
  <c r="V31" i="13"/>
  <c r="M31" i="24"/>
  <c r="F31" i="28"/>
  <c r="AA31" i="28"/>
  <c r="B31" i="26"/>
  <c r="AA31" i="26"/>
  <c r="U31" i="28"/>
  <c r="Z31" i="30"/>
  <c r="T31" i="13"/>
  <c r="O31" i="24"/>
  <c r="H31" i="26"/>
  <c r="K31" i="24"/>
  <c r="P31" i="28"/>
  <c r="G31" i="30"/>
  <c r="P31" i="26"/>
  <c r="O31" i="13"/>
  <c r="E31" i="13"/>
  <c r="K31" i="28"/>
  <c r="L31" i="24"/>
  <c r="W31" i="24"/>
  <c r="T31" i="28"/>
  <c r="H31" i="24"/>
  <c r="C31" i="28"/>
  <c r="Q31" i="13"/>
  <c r="V31" i="26"/>
  <c r="M31" i="30"/>
  <c r="C31" i="30"/>
  <c r="Y31" i="13"/>
  <c r="J31" i="26"/>
  <c r="M31" i="26"/>
  <c r="F31" i="24"/>
  <c r="E31" i="26"/>
  <c r="V31" i="24"/>
  <c r="E31" i="28"/>
  <c r="S31" i="13"/>
  <c r="L31" i="26"/>
  <c r="O31" i="30"/>
  <c r="P31" i="30"/>
  <c r="S31" i="28"/>
  <c r="D31" i="28"/>
  <c r="K31" i="26"/>
  <c r="H31" i="30"/>
  <c r="G31" i="24"/>
  <c r="W31" i="30"/>
  <c r="H31" i="28"/>
  <c r="N31" i="13"/>
  <c r="Y31" i="28"/>
  <c r="J31" i="13"/>
  <c r="Z31" i="24"/>
  <c r="N31" i="28"/>
  <c r="I31" i="24"/>
  <c r="R31" i="30"/>
  <c r="U31" i="30"/>
  <c r="L31" i="13"/>
  <c r="I31" i="30"/>
  <c r="P31" i="13"/>
  <c r="AA31" i="30"/>
  <c r="C31" i="26"/>
  <c r="O31" i="26"/>
  <c r="O31" i="28"/>
  <c r="Z31" i="13"/>
  <c r="Q31" i="28"/>
  <c r="D31" i="24"/>
  <c r="W31" i="26"/>
  <c r="W31" i="13"/>
  <c r="D31" i="30"/>
  <c r="S31" i="30"/>
  <c r="E31" i="24"/>
  <c r="R31" i="24"/>
  <c r="G32" i="3" l="1"/>
  <c r="F32" i="3"/>
  <c r="H32" i="3"/>
  <c r="E32" i="3"/>
  <c r="X32" i="30"/>
  <c r="AA32" i="30"/>
  <c r="J32" i="13"/>
  <c r="G32" i="28"/>
  <c r="R32" i="30"/>
  <c r="P32" i="28"/>
  <c r="I32" i="24"/>
  <c r="T32" i="30"/>
  <c r="L32" i="26"/>
  <c r="U32" i="24"/>
  <c r="P32" i="26"/>
  <c r="Y32" i="28"/>
  <c r="O32" i="24"/>
  <c r="W32" i="30"/>
  <c r="N32" i="26"/>
  <c r="X32" i="28"/>
  <c r="U32" i="30"/>
  <c r="L32" i="28"/>
  <c r="M32" i="28"/>
  <c r="V32" i="30"/>
  <c r="G32" i="13"/>
  <c r="R32" i="24"/>
  <c r="L32" i="13"/>
  <c r="Q32" i="24"/>
  <c r="G32" i="24"/>
  <c r="N32" i="30"/>
  <c r="S32" i="30"/>
  <c r="Z32" i="13"/>
  <c r="H32" i="30"/>
  <c r="U32" i="28"/>
  <c r="C32" i="28"/>
  <c r="S32" i="24"/>
  <c r="M32" i="13"/>
  <c r="V32" i="26"/>
  <c r="L32" i="30"/>
  <c r="P32" i="24"/>
  <c r="K32" i="13"/>
  <c r="Y32" i="24"/>
  <c r="W32" i="28"/>
  <c r="O32" i="30"/>
  <c r="D32" i="24"/>
  <c r="Q32" i="13"/>
  <c r="I32" i="30"/>
  <c r="H32" i="26"/>
  <c r="L32" i="24"/>
  <c r="Y32" i="26"/>
  <c r="H32" i="28"/>
  <c r="E32" i="28"/>
  <c r="B32" i="13"/>
  <c r="C32" i="30"/>
  <c r="B32" i="30"/>
  <c r="G32" i="26"/>
  <c r="O32" i="28"/>
  <c r="J32" i="28"/>
  <c r="T32" i="13"/>
  <c r="AA32" i="24"/>
  <c r="B32" i="26"/>
  <c r="O32" i="13"/>
  <c r="B32" i="24"/>
  <c r="K32" i="28"/>
  <c r="AA32" i="13"/>
  <c r="X32" i="13"/>
  <c r="Z32" i="24"/>
  <c r="P32" i="30"/>
  <c r="Q32" i="28"/>
  <c r="M32" i="30"/>
  <c r="S32" i="28"/>
  <c r="Z32" i="26"/>
  <c r="I32" i="28"/>
  <c r="V32" i="13"/>
  <c r="C32" i="24"/>
  <c r="R32" i="26"/>
  <c r="H32" i="24"/>
  <c r="AA32" i="26"/>
  <c r="Q32" i="26"/>
  <c r="M32" i="24"/>
  <c r="D32" i="26"/>
  <c r="O32" i="26"/>
  <c r="S32" i="13"/>
  <c r="N32" i="28"/>
  <c r="B32" i="28"/>
  <c r="J32" i="24"/>
  <c r="C32" i="13"/>
  <c r="R32" i="28"/>
  <c r="K32" i="30"/>
  <c r="E32" i="24"/>
  <c r="V32" i="24"/>
  <c r="S32" i="26"/>
  <c r="E32" i="13"/>
  <c r="T32" i="28"/>
  <c r="I32" i="26"/>
  <c r="U32" i="13"/>
  <c r="K32" i="24"/>
  <c r="F32" i="30"/>
  <c r="T32" i="26"/>
  <c r="W32" i="13"/>
  <c r="N32" i="24"/>
  <c r="C32" i="26"/>
  <c r="F32" i="28"/>
  <c r="T32" i="24"/>
  <c r="M32" i="26"/>
  <c r="E32" i="26"/>
  <c r="Z32" i="30"/>
  <c r="R32" i="13"/>
  <c r="K32" i="26"/>
  <c r="J32" i="26"/>
  <c r="H32" i="13"/>
  <c r="U32" i="26"/>
  <c r="N32" i="13"/>
  <c r="E32" i="30"/>
  <c r="X32" i="24"/>
  <c r="AA32" i="28"/>
  <c r="D32" i="30"/>
  <c r="Q32" i="30"/>
  <c r="F32" i="13"/>
  <c r="G32" i="30"/>
  <c r="Y32" i="13"/>
  <c r="D32" i="28"/>
  <c r="V32" i="28"/>
  <c r="W32" i="26"/>
  <c r="I32" i="13"/>
  <c r="Y32" i="30"/>
  <c r="Z32" i="28"/>
  <c r="P32" i="13"/>
  <c r="F32" i="26"/>
  <c r="F32" i="24"/>
  <c r="J32" i="30"/>
  <c r="X32" i="26"/>
  <c r="W32" i="24"/>
  <c r="D32" i="13"/>
  <c r="F33" i="3" l="1"/>
  <c r="F34" i="3" s="1"/>
  <c r="E33" i="3"/>
  <c r="E34" i="3" s="1"/>
  <c r="H33" i="3"/>
  <c r="H34" i="3" s="1"/>
  <c r="G33" i="3"/>
  <c r="G34" i="3" s="1"/>
  <c r="C33" i="30"/>
  <c r="E33" i="30"/>
  <c r="W33" i="30"/>
  <c r="U33" i="30"/>
  <c r="M33" i="13"/>
  <c r="W33" i="13"/>
  <c r="D33" i="28"/>
  <c r="AA33" i="26"/>
  <c r="S33" i="24"/>
  <c r="Y33" i="26"/>
  <c r="J33" i="26"/>
  <c r="L33" i="30"/>
  <c r="U33" i="13"/>
  <c r="J33" i="24"/>
  <c r="X33" i="13"/>
  <c r="V33" i="13"/>
  <c r="Q33" i="30"/>
  <c r="K33" i="30"/>
  <c r="M33" i="28"/>
  <c r="O33" i="13"/>
  <c r="M33" i="24"/>
  <c r="H33" i="26"/>
  <c r="N33" i="30"/>
  <c r="N33" i="26"/>
  <c r="Z33" i="28"/>
  <c r="G33" i="24"/>
  <c r="Z33" i="26"/>
  <c r="U33" i="24"/>
  <c r="O33" i="24"/>
  <c r="P33" i="28"/>
  <c r="J33" i="30"/>
  <c r="L33" i="24"/>
  <c r="C33" i="13"/>
  <c r="W33" i="24"/>
  <c r="I33" i="28"/>
  <c r="F33" i="28"/>
  <c r="AA33" i="13"/>
  <c r="T33" i="13"/>
  <c r="R33" i="30"/>
  <c r="D33" i="24"/>
  <c r="D33" i="26"/>
  <c r="B33" i="26"/>
  <c r="P33" i="30"/>
  <c r="N33" i="13"/>
  <c r="X33" i="26"/>
  <c r="H33" i="13"/>
  <c r="M33" i="30"/>
  <c r="G33" i="26"/>
  <c r="U33" i="26"/>
  <c r="Z33" i="13"/>
  <c r="K33" i="13"/>
  <c r="I33" i="24"/>
  <c r="V33" i="26"/>
  <c r="X33" i="28"/>
  <c r="T33" i="28"/>
  <c r="F33" i="26"/>
  <c r="C33" i="26"/>
  <c r="AA33" i="30"/>
  <c r="R33" i="28"/>
  <c r="E33" i="13"/>
  <c r="T33" i="24"/>
  <c r="F33" i="30"/>
  <c r="L33" i="28"/>
  <c r="R33" i="26"/>
  <c r="K33" i="24"/>
  <c r="X33" i="24"/>
  <c r="F33" i="24"/>
  <c r="B33" i="30"/>
  <c r="Y33" i="13"/>
  <c r="J33" i="28"/>
  <c r="P33" i="24"/>
  <c r="H33" i="28"/>
  <c r="F33" i="13"/>
  <c r="K33" i="28"/>
  <c r="Q33" i="26"/>
  <c r="J33" i="13"/>
  <c r="S33" i="26"/>
  <c r="U33" i="28"/>
  <c r="E33" i="26"/>
  <c r="C33" i="24"/>
  <c r="AA33" i="28"/>
  <c r="K33" i="26"/>
  <c r="I33" i="26"/>
  <c r="G33" i="28"/>
  <c r="V33" i="30"/>
  <c r="D33" i="30"/>
  <c r="R33" i="13"/>
  <c r="P33" i="26"/>
  <c r="O33" i="28"/>
  <c r="Q33" i="13"/>
  <c r="B33" i="28"/>
  <c r="I33" i="13"/>
  <c r="N33" i="28"/>
  <c r="H33" i="30"/>
  <c r="T33" i="26"/>
  <c r="B33" i="24"/>
  <c r="P33" i="13"/>
  <c r="Y33" i="28"/>
  <c r="N33" i="24"/>
  <c r="O33" i="30"/>
  <c r="M33" i="26"/>
  <c r="L33" i="13"/>
  <c r="S33" i="28"/>
  <c r="Q33" i="28"/>
  <c r="V33" i="24"/>
  <c r="C33" i="28"/>
  <c r="E33" i="28"/>
  <c r="S33" i="13"/>
  <c r="Y33" i="24"/>
  <c r="T33" i="30"/>
  <c r="G33" i="13"/>
  <c r="H33" i="24"/>
  <c r="V33" i="28"/>
  <c r="X33" i="30"/>
  <c r="Z33" i="30"/>
  <c r="B33" i="13"/>
  <c r="W33" i="28"/>
  <c r="AA33" i="24"/>
  <c r="Z33" i="24"/>
  <c r="W33" i="26"/>
  <c r="L33" i="26"/>
  <c r="R33" i="24"/>
  <c r="G33" i="30"/>
  <c r="Y33" i="30"/>
  <c r="D33" i="13"/>
  <c r="S33" i="30"/>
  <c r="I33" i="30"/>
  <c r="O33" i="26"/>
  <c r="E33" i="24"/>
  <c r="Q33" i="24"/>
</calcChain>
</file>

<file path=xl/sharedStrings.xml><?xml version="1.0" encoding="utf-8"?>
<sst xmlns="http://schemas.openxmlformats.org/spreadsheetml/2006/main" count="1644" uniqueCount="213">
  <si>
    <t>Bilan annuel par domaine</t>
  </si>
  <si>
    <t>Liste de la classe:</t>
  </si>
  <si>
    <t>D1</t>
  </si>
  <si>
    <t>D2</t>
  </si>
  <si>
    <t>D3</t>
  </si>
  <si>
    <t>D4</t>
  </si>
  <si>
    <t>D5</t>
  </si>
  <si>
    <t>1er 
trimestre</t>
  </si>
  <si>
    <t>2ème 
trimestre</t>
  </si>
  <si>
    <t>3ème 
trimestre</t>
  </si>
  <si>
    <t>Année</t>
  </si>
  <si>
    <t xml:space="preserve">Domaine 1
Composante 3 </t>
  </si>
  <si>
    <t>D1-3/1</t>
  </si>
  <si>
    <t>D1-3/2</t>
  </si>
  <si>
    <t xml:space="preserve">Domaine 2 </t>
  </si>
  <si>
    <t>Domaine 3</t>
  </si>
  <si>
    <t xml:space="preserve"> D3/1</t>
  </si>
  <si>
    <t xml:space="preserve">Domaine 4 </t>
  </si>
  <si>
    <t>D4/1</t>
  </si>
  <si>
    <t>D4/2</t>
  </si>
  <si>
    <t>D4/3</t>
  </si>
  <si>
    <t>Domaine 5</t>
  </si>
  <si>
    <t xml:space="preserve"> D5/1</t>
  </si>
  <si>
    <t>Note   /20</t>
  </si>
  <si>
    <t>A</t>
  </si>
  <si>
    <t>B</t>
  </si>
  <si>
    <t>C</t>
  </si>
  <si>
    <t>D</t>
  </si>
  <si>
    <t>1e tri</t>
  </si>
  <si>
    <t>2e tri</t>
  </si>
  <si>
    <t>3e tri</t>
  </si>
  <si>
    <t>Coeff</t>
  </si>
  <si>
    <t>Num_elève</t>
  </si>
  <si>
    <t>AP</t>
  </si>
  <si>
    <t>Note globale</t>
  </si>
  <si>
    <t>Notation</t>
  </si>
  <si>
    <t>Nom de la feuille liée</t>
  </si>
  <si>
    <t>Indice  de liste</t>
  </si>
  <si>
    <t>Lignes des domaines</t>
  </si>
  <si>
    <t>Décalage</t>
  </si>
  <si>
    <t xml:space="preserve"> D2/1</t>
  </si>
  <si>
    <t>Evaluations par trimestre</t>
  </si>
  <si>
    <t>1er tri</t>
  </si>
  <si>
    <t>AP 1</t>
  </si>
  <si>
    <t>AP 3</t>
  </si>
  <si>
    <t>AP 2</t>
  </si>
  <si>
    <t>D2/2</t>
  </si>
  <si>
    <t>D2/3</t>
  </si>
  <si>
    <t>D2/4</t>
  </si>
  <si>
    <t>6ème1</t>
  </si>
  <si>
    <t>6ème2</t>
  </si>
  <si>
    <t>6ème3</t>
  </si>
  <si>
    <t>6ème4</t>
  </si>
  <si>
    <t>6ème5</t>
  </si>
  <si>
    <t>ADOLPH Maximilian</t>
  </si>
  <si>
    <t>AGATHON Trystan</t>
  </si>
  <si>
    <t>AFONSO Marco</t>
  </si>
  <si>
    <t>BARDOU Juliette</t>
  </si>
  <si>
    <t>BERNARD DE DOMPSURE Anais</t>
  </si>
  <si>
    <t>ALFANDARI Adrien</t>
  </si>
  <si>
    <t>BAILLOU Claire</t>
  </si>
  <si>
    <t>AUDOUIN Amelie</t>
  </si>
  <si>
    <t>BARTHELEMY Philomene</t>
  </si>
  <si>
    <t>BIARDEAU Arthur</t>
  </si>
  <si>
    <t>BAHNES Hajar-Aîcha</t>
  </si>
  <si>
    <t>BOUTET Lisa</t>
  </si>
  <si>
    <t>BELLICAUD Martin</t>
  </si>
  <si>
    <t>BERTE Gregoire</t>
  </si>
  <si>
    <t>BOUCHET Julie</t>
  </si>
  <si>
    <t>BARRAULT BLANCHARD Maeva</t>
  </si>
  <si>
    <t>BOYER Clara</t>
  </si>
  <si>
    <t>BRARD Ulysse</t>
  </si>
  <si>
    <t>CRASSOUS Theodore</t>
  </si>
  <si>
    <t>BRABANT Louise</t>
  </si>
  <si>
    <t>BEAUFILS Maelle</t>
  </si>
  <si>
    <t>BRIERE DE LA HOSSERAY Augustin</t>
  </si>
  <si>
    <t>BRAZILIER Gatien</t>
  </si>
  <si>
    <t>DAVENE Mia</t>
  </si>
  <si>
    <t>BRUN Vahitua</t>
  </si>
  <si>
    <t>BOSCHER Leopold</t>
  </si>
  <si>
    <t>CHADOUTAUD Come</t>
  </si>
  <si>
    <t>CURIAL Marie</t>
  </si>
  <si>
    <t>DELHOMMAIS Arthur</t>
  </si>
  <si>
    <t>DE KERHOR Marie-Lys</t>
  </si>
  <si>
    <t>BRICE Arthur</t>
  </si>
  <si>
    <t>CHARRIER Clotilde</t>
  </si>
  <si>
    <t>DOULCET Louis</t>
  </si>
  <si>
    <t>DERMAGNE Louise</t>
  </si>
  <si>
    <t>FAHLGREN Alice</t>
  </si>
  <si>
    <t>DAVAIN Aurore</t>
  </si>
  <si>
    <t>DUCHENE Aliénor</t>
  </si>
  <si>
    <t>DUPEYRON Vincent</t>
  </si>
  <si>
    <t>DESHORS Augustin</t>
  </si>
  <si>
    <t>FROUX Clement</t>
  </si>
  <si>
    <t>DORRIERE Come</t>
  </si>
  <si>
    <t>DUVIVIER Annonciade</t>
  </si>
  <si>
    <t>DURLIN Constance</t>
  </si>
  <si>
    <t>DESNOIX Victoria</t>
  </si>
  <si>
    <t>GEROLT Esther</t>
  </si>
  <si>
    <t>DUCHON Axel</t>
  </si>
  <si>
    <t>GANCI Paola</t>
  </si>
  <si>
    <t>DUVERNAY Louis</t>
  </si>
  <si>
    <t>ERARD-GATINE Maxence</t>
  </si>
  <si>
    <t>GLAUME Clementine</t>
  </si>
  <si>
    <t>DUMONT--DAVID Hugo</t>
  </si>
  <si>
    <t>GODON Jean</t>
  </si>
  <si>
    <t>FAIVRE D'ARCIER Thibaut</t>
  </si>
  <si>
    <t>GENEIX Leandre</t>
  </si>
  <si>
    <t>GUIBERT Hortense</t>
  </si>
  <si>
    <t>DURAND Louis</t>
  </si>
  <si>
    <t>HADAD Nadir</t>
  </si>
  <si>
    <t>GAUDUCHON-REBEYROL Titouan</t>
  </si>
  <si>
    <t>GOMEZ Lucie</t>
  </si>
  <si>
    <t>GUILLEMAIN Apolline</t>
  </si>
  <si>
    <t>HEURTAULT DE LAMMERVILLE Oscar</t>
  </si>
  <si>
    <t>LAURENT Mélissa</t>
  </si>
  <si>
    <t>GUILLAUD-VALLEE Gaspard</t>
  </si>
  <si>
    <t>KERVRAN Marie-Gaelle</t>
  </si>
  <si>
    <t>HESLOIN Madeleine</t>
  </si>
  <si>
    <t>HOEUNG Jean-Pierre</t>
  </si>
  <si>
    <t>LEBLANC Axel</t>
  </si>
  <si>
    <t>GUINOISEAU Mathilde</t>
  </si>
  <si>
    <t>KOUKEMBO Lea</t>
  </si>
  <si>
    <t>HURE Anne-Dauphine</t>
  </si>
  <si>
    <t>HUE Philipppine</t>
  </si>
  <si>
    <t>LESEQUE Clémence</t>
  </si>
  <si>
    <t>HALLE Joseph</t>
  </si>
  <si>
    <t>LE FLOCH PIERRE Artus</t>
  </si>
  <si>
    <t>LALLEMENT Pierre</t>
  </si>
  <si>
    <t>KAPITA LUKENGU Noemie</t>
  </si>
  <si>
    <t>MICHEL Arthur</t>
  </si>
  <si>
    <t>LAPLANCHE Chiara</t>
  </si>
  <si>
    <t>LECOUFFE Celeste</t>
  </si>
  <si>
    <t>LE DIEU DE VILLE Mathilde</t>
  </si>
  <si>
    <t>LIZE Julie</t>
  </si>
  <si>
    <t>MONNEAU Carla</t>
  </si>
  <si>
    <t>LECCIA Heloise</t>
  </si>
  <si>
    <t>MILARD--GODARD Zoyann</t>
  </si>
  <si>
    <t>LEPINOY--FAVRON Agathe</t>
  </si>
  <si>
    <t>MALAQUIN Thomas</t>
  </si>
  <si>
    <t>MORIN Joséphine</t>
  </si>
  <si>
    <t>LEGENDRE Solal</t>
  </si>
  <si>
    <t>MOREL Jules</t>
  </si>
  <si>
    <t>LEPRINCE Charlotte</t>
  </si>
  <si>
    <t>PAITRE Clarisse</t>
  </si>
  <si>
    <t>PIGEAUD Martin</t>
  </si>
  <si>
    <t>LESERRE Julie</t>
  </si>
  <si>
    <t>NGUYEN-QUANG-DAT Yohan</t>
  </si>
  <si>
    <t>MOUNIROU DEEN Kemi</t>
  </si>
  <si>
    <t>PAUL Victoire</t>
  </si>
  <si>
    <t>RAHARIMANANA Léo</t>
  </si>
  <si>
    <t>MELNYCK Lise</t>
  </si>
  <si>
    <t>PAJOT--MONMARQUE Clara</t>
  </si>
  <si>
    <t>OUDIN Gustave</t>
  </si>
  <si>
    <t>PERICOU--RAMEAU Lou-Ann</t>
  </si>
  <si>
    <t>RAVIER Sacha</t>
  </si>
  <si>
    <t>MOQUET Alix</t>
  </si>
  <si>
    <t>PATRIA Margot</t>
  </si>
  <si>
    <t>POIGNET Théotime</t>
  </si>
  <si>
    <t>PINON Come</t>
  </si>
  <si>
    <t>ROUSSELLE Camille</t>
  </si>
  <si>
    <t>MOUTAPAM Antoine</t>
  </si>
  <si>
    <t>PELLERIN Gabrielle</t>
  </si>
  <si>
    <t>RANDU Jeanne</t>
  </si>
  <si>
    <t>POTEL Jeanne</t>
  </si>
  <si>
    <t>SALNOT Bertille</t>
  </si>
  <si>
    <t>OLIVE Azelie</t>
  </si>
  <si>
    <t>RAGUIN Candice</t>
  </si>
  <si>
    <t>RIBOULEAU Juliette</t>
  </si>
  <si>
    <t>PRIN Jeanne-Eve</t>
  </si>
  <si>
    <t>SOULEZ Soizic</t>
  </si>
  <si>
    <t>RAZAVI Gregoire</t>
  </si>
  <si>
    <t>SAILLARD Leane</t>
  </si>
  <si>
    <t>SAMUZEAU--LARDANT Jules</t>
  </si>
  <si>
    <t>RIFFAUD Jules</t>
  </si>
  <si>
    <t>VALLEE Constance</t>
  </si>
  <si>
    <t>REYES Penelope</t>
  </si>
  <si>
    <t>SURY Maxence</t>
  </si>
  <si>
    <t>SERIZAY Pierre</t>
  </si>
  <si>
    <t>ROULLIER Josephine</t>
  </si>
  <si>
    <t>VEYRET-LOGERIAS Mahaut</t>
  </si>
  <si>
    <t>RHEINART Emilie</t>
  </si>
  <si>
    <t>THIOU Hermance</t>
  </si>
  <si>
    <t>THIBAUD Alexandre</t>
  </si>
  <si>
    <t>SECHET Foucauld</t>
  </si>
  <si>
    <t>VIRVOULVET Louis</t>
  </si>
  <si>
    <t>RIBOULEAU Clemence</t>
  </si>
  <si>
    <t>VANHILLE Joshua</t>
  </si>
  <si>
    <t>TOSTIVINT Eliott</t>
  </si>
  <si>
    <t>SOLDAT Flaureanne</t>
  </si>
  <si>
    <t>ZABERA Claire</t>
  </si>
  <si>
    <t>TOUZE Clemence</t>
  </si>
  <si>
    <t>Classe (6ème1)</t>
  </si>
  <si>
    <t>Elève (6ème1)</t>
  </si>
  <si>
    <t>Liste 6ème</t>
  </si>
  <si>
    <t>Classe 6ème 1
2018 2019</t>
  </si>
  <si>
    <t>Classe 6ème 2
2018 2019</t>
  </si>
  <si>
    <t>Classe (6ème2)</t>
  </si>
  <si>
    <t>Elève (6ème2)</t>
  </si>
  <si>
    <t>Classe 6ème 3
2018 2019</t>
  </si>
  <si>
    <t>Elève (6ème3)</t>
  </si>
  <si>
    <t>Classe (6ème3)</t>
  </si>
  <si>
    <t>Classe 6ème 4
2018 2019</t>
  </si>
  <si>
    <t>Elève (6ème4)</t>
  </si>
  <si>
    <t>Classe (6ème4)</t>
  </si>
  <si>
    <t>Elève (6ème5)</t>
  </si>
  <si>
    <t>Classe 6ème 5
2018 2019</t>
  </si>
  <si>
    <t>Classe (6ème5)</t>
  </si>
  <si>
    <t>CH1/1</t>
  </si>
  <si>
    <t>eval 1</t>
  </si>
  <si>
    <t>c</t>
  </si>
  <si>
    <t>EVAL</t>
  </si>
  <si>
    <t>Eval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</si>
</sst>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Calibri"/>
      <family val="2"/>
    </font>
    <font>
      <sz val="10"/>
      <name val="Arial"/>
      <family val="2"/>
    </font>
    <font>
      <b/>
      <sz val="11"/>
      <color theme="1"/>
      <name val="Comic Sans MS"/>
      <family val="4"/>
    </font>
    <font>
      <sz val="11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theme="1"/>
      <name val="Comic Sans MS"/>
      <family val="4"/>
    </font>
  </fonts>
  <fills count="27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3CAA22"/>
        <bgColor indexed="64"/>
      </patternFill>
    </fill>
    <fill>
      <patternFill patternType="solid">
        <fgColor rgb="FFB07BD7"/>
        <bgColor indexed="64"/>
      </patternFill>
    </fill>
    <fill>
      <patternFill patternType="solid">
        <fgColor rgb="FFFFCF37"/>
        <bgColor indexed="64"/>
      </patternFill>
    </fill>
    <fill>
      <patternFill patternType="solid">
        <fgColor rgb="FFFF5D37"/>
        <bgColor indexed="64"/>
      </patternFill>
    </fill>
    <fill>
      <patternFill patternType="solid">
        <fgColor rgb="FFFF67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10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dashed">
        <color indexed="64"/>
      </bottom>
      <diagonal/>
    </border>
    <border>
      <left/>
      <right/>
      <top style="double">
        <color indexed="64"/>
      </top>
      <bottom style="dashed">
        <color indexed="64"/>
      </bottom>
      <diagonal/>
    </border>
    <border>
      <left/>
      <right style="medium">
        <color indexed="64"/>
      </right>
      <top style="double">
        <color indexed="64"/>
      </top>
      <bottom style="dashed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/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double">
        <color indexed="64"/>
      </bottom>
      <diagonal/>
    </border>
    <border>
      <left style="mediumDashed">
        <color indexed="64"/>
      </left>
      <right style="medium">
        <color indexed="64"/>
      </right>
      <top style="dashed">
        <color indexed="64"/>
      </top>
      <bottom style="double">
        <color indexed="64"/>
      </bottom>
      <diagonal/>
    </border>
    <border>
      <left style="medium">
        <color indexed="64"/>
      </left>
      <right/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mediumDashed">
        <color indexed="64"/>
      </right>
      <top style="dashed">
        <color indexed="64"/>
      </top>
      <bottom style="double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/>
      <right/>
      <top style="dashed">
        <color indexed="64"/>
      </top>
      <bottom style="double">
        <color indexed="64"/>
      </bottom>
      <diagonal/>
    </border>
    <border>
      <left style="dashed">
        <color indexed="64"/>
      </left>
      <right/>
      <top style="dashed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ashed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3" fillId="0" borderId="0"/>
    <xf numFmtId="0" fontId="3" fillId="0" borderId="0"/>
  </cellStyleXfs>
  <cellXfs count="256">
    <xf numFmtId="0" fontId="0" fillId="0" borderId="0" xfId="0"/>
    <xf numFmtId="0" fontId="0" fillId="0" borderId="34" xfId="0" applyBorder="1" applyAlignment="1" applyProtection="1">
      <alignment horizontal="center" vertical="center"/>
    </xf>
    <xf numFmtId="0" fontId="0" fillId="0" borderId="43" xfId="0" applyBorder="1" applyAlignment="1" applyProtection="1">
      <alignment horizontal="center" vertical="center"/>
    </xf>
    <xf numFmtId="0" fontId="0" fillId="0" borderId="46" xfId="0" applyBorder="1" applyAlignment="1" applyProtection="1">
      <alignment horizontal="center" vertical="center"/>
    </xf>
    <xf numFmtId="0" fontId="0" fillId="0" borderId="35" xfId="0" applyBorder="1" applyAlignment="1" applyProtection="1">
      <alignment horizontal="center" vertical="center"/>
    </xf>
    <xf numFmtId="0" fontId="0" fillId="0" borderId="20" xfId="0" applyBorder="1" applyAlignment="1" applyProtection="1">
      <alignment horizontal="center" vertical="center"/>
    </xf>
    <xf numFmtId="0" fontId="0" fillId="0" borderId="50" xfId="0" applyBorder="1" applyAlignment="1" applyProtection="1">
      <alignment horizontal="center" vertical="center"/>
    </xf>
    <xf numFmtId="0" fontId="0" fillId="0" borderId="45" xfId="0" applyBorder="1" applyAlignment="1" applyProtection="1">
      <alignment horizontal="center" vertical="center"/>
    </xf>
    <xf numFmtId="0" fontId="0" fillId="0" borderId="44" xfId="0" applyBorder="1" applyAlignment="1" applyProtection="1">
      <alignment horizontal="center" vertical="center"/>
    </xf>
    <xf numFmtId="0" fontId="0" fillId="0" borderId="53" xfId="0" applyBorder="1" applyAlignment="1" applyProtection="1">
      <alignment horizontal="center" vertical="center"/>
    </xf>
    <xf numFmtId="0" fontId="0" fillId="0" borderId="39" xfId="0" applyBorder="1" applyAlignment="1" applyProtection="1">
      <alignment horizontal="center" vertical="center"/>
    </xf>
    <xf numFmtId="0" fontId="0" fillId="0" borderId="26" xfId="0" applyBorder="1" applyAlignment="1" applyProtection="1">
      <alignment horizontal="center" vertical="center"/>
    </xf>
    <xf numFmtId="0" fontId="0" fillId="0" borderId="51" xfId="0" applyBorder="1" applyAlignment="1" applyProtection="1">
      <alignment horizontal="center" vertical="center"/>
    </xf>
    <xf numFmtId="0" fontId="0" fillId="0" borderId="52" xfId="0" applyBorder="1" applyAlignment="1" applyProtection="1">
      <alignment horizontal="center" vertical="center"/>
    </xf>
    <xf numFmtId="0" fontId="0" fillId="0" borderId="0" xfId="0" applyProtection="1"/>
    <xf numFmtId="0" fontId="0" fillId="0" borderId="74" xfId="0" applyBorder="1" applyAlignment="1" applyProtection="1">
      <alignment horizontal="center" vertical="center"/>
    </xf>
    <xf numFmtId="0" fontId="0" fillId="17" borderId="68" xfId="0" applyFill="1" applyBorder="1" applyAlignment="1" applyProtection="1">
      <alignment horizontal="center" vertical="center" wrapText="1"/>
    </xf>
    <xf numFmtId="0" fontId="0" fillId="17" borderId="73" xfId="0" applyFill="1" applyBorder="1" applyAlignment="1" applyProtection="1">
      <alignment horizontal="center" vertical="center" wrapText="1"/>
    </xf>
    <xf numFmtId="0" fontId="5" fillId="21" borderId="65" xfId="0" applyFont="1" applyFill="1" applyBorder="1" applyAlignment="1" applyProtection="1">
      <alignment horizontal="center" vertical="center" wrapText="1"/>
    </xf>
    <xf numFmtId="0" fontId="5" fillId="21" borderId="66" xfId="0" applyFont="1" applyFill="1" applyBorder="1" applyAlignment="1" applyProtection="1">
      <alignment horizontal="center" vertical="center" wrapText="1"/>
    </xf>
    <xf numFmtId="0" fontId="5" fillId="21" borderId="67" xfId="0" applyFont="1" applyFill="1" applyBorder="1" applyAlignment="1" applyProtection="1">
      <alignment horizontal="center" vertical="center" wrapText="1"/>
    </xf>
    <xf numFmtId="0" fontId="0" fillId="21" borderId="68" xfId="0" applyFill="1" applyBorder="1" applyAlignment="1" applyProtection="1">
      <alignment horizontal="center" vertical="center" wrapText="1"/>
    </xf>
    <xf numFmtId="0" fontId="0" fillId="21" borderId="69" xfId="0" applyFill="1" applyBorder="1" applyAlignment="1" applyProtection="1">
      <alignment horizontal="center" vertical="center" wrapText="1"/>
    </xf>
    <xf numFmtId="0" fontId="0" fillId="21" borderId="70" xfId="0" applyFill="1" applyBorder="1" applyAlignment="1" applyProtection="1">
      <alignment horizontal="center" vertical="center" wrapText="1"/>
    </xf>
    <xf numFmtId="0" fontId="0" fillId="21" borderId="67" xfId="0" applyFill="1" applyBorder="1" applyAlignment="1" applyProtection="1">
      <alignment horizontal="center" vertical="center" wrapText="1"/>
    </xf>
    <xf numFmtId="0" fontId="0" fillId="21" borderId="71" xfId="0" applyFill="1" applyBorder="1" applyAlignment="1" applyProtection="1">
      <alignment horizontal="center" vertical="center" wrapText="1"/>
    </xf>
    <xf numFmtId="0" fontId="0" fillId="21" borderId="72" xfId="0" applyFill="1" applyBorder="1" applyAlignment="1" applyProtection="1">
      <alignment horizontal="center" vertical="center" wrapText="1"/>
    </xf>
    <xf numFmtId="0" fontId="0" fillId="21" borderId="73" xfId="0" applyFill="1" applyBorder="1" applyAlignment="1" applyProtection="1">
      <alignment horizontal="center" vertical="center" wrapText="1"/>
    </xf>
    <xf numFmtId="2" fontId="0" fillId="0" borderId="50" xfId="0" applyNumberFormat="1" applyBorder="1" applyAlignment="1" applyProtection="1">
      <alignment horizontal="center" vertical="center"/>
    </xf>
    <xf numFmtId="2" fontId="0" fillId="0" borderId="43" xfId="0" applyNumberFormat="1" applyBorder="1" applyAlignment="1" applyProtection="1">
      <alignment horizontal="center" vertical="center"/>
    </xf>
    <xf numFmtId="2" fontId="0" fillId="0" borderId="45" xfId="0" applyNumberFormat="1" applyBorder="1" applyAlignment="1" applyProtection="1">
      <alignment horizontal="center" vertical="center"/>
    </xf>
    <xf numFmtId="2" fontId="0" fillId="0" borderId="51" xfId="0" applyNumberFormat="1" applyBorder="1" applyAlignment="1" applyProtection="1">
      <alignment horizontal="center" vertical="center"/>
    </xf>
    <xf numFmtId="2" fontId="0" fillId="0" borderId="44" xfId="0" applyNumberFormat="1" applyBorder="1" applyAlignment="1" applyProtection="1">
      <alignment horizontal="center" vertical="center"/>
    </xf>
    <xf numFmtId="2" fontId="0" fillId="0" borderId="52" xfId="0" applyNumberFormat="1" applyBorder="1" applyAlignment="1" applyProtection="1">
      <alignment horizontal="center" vertical="center"/>
    </xf>
    <xf numFmtId="0" fontId="1" fillId="0" borderId="0" xfId="0" applyFont="1" applyAlignment="1">
      <alignment horizontal="center"/>
    </xf>
    <xf numFmtId="0" fontId="0" fillId="23" borderId="83" xfId="0" applyFill="1" applyBorder="1"/>
    <xf numFmtId="0" fontId="1" fillId="13" borderId="11" xfId="0" applyFont="1" applyFill="1" applyBorder="1" applyAlignment="1">
      <alignment horizontal="center"/>
    </xf>
    <xf numFmtId="0" fontId="2" fillId="20" borderId="85" xfId="0" applyFont="1" applyFill="1" applyBorder="1" applyAlignment="1" applyProtection="1">
      <alignment horizontal="center" vertical="center" wrapText="1"/>
    </xf>
    <xf numFmtId="0" fontId="0" fillId="19" borderId="55" xfId="0" applyFill="1" applyBorder="1" applyAlignment="1" applyProtection="1">
      <alignment horizontal="center" vertical="center"/>
    </xf>
    <xf numFmtId="0" fontId="0" fillId="19" borderId="2" xfId="0" applyFill="1" applyBorder="1" applyAlignment="1" applyProtection="1">
      <alignment horizontal="center" vertical="center"/>
    </xf>
    <xf numFmtId="0" fontId="0" fillId="12" borderId="71" xfId="0" applyFill="1" applyBorder="1" applyAlignment="1" applyProtection="1">
      <alignment horizontal="center" vertical="center" wrapText="1"/>
    </xf>
    <xf numFmtId="0" fontId="0" fillId="12" borderId="73" xfId="0" applyFill="1" applyBorder="1" applyAlignment="1" applyProtection="1">
      <alignment horizontal="center" vertical="center" wrapText="1"/>
    </xf>
    <xf numFmtId="0" fontId="0" fillId="12" borderId="80" xfId="0" applyFill="1" applyBorder="1" applyAlignment="1" applyProtection="1">
      <alignment horizontal="center" vertical="center"/>
    </xf>
    <xf numFmtId="0" fontId="0" fillId="0" borderId="0" xfId="0" applyBorder="1" applyProtection="1"/>
    <xf numFmtId="0" fontId="3" fillId="2" borderId="84" xfId="1" applyFont="1" applyFill="1" applyBorder="1" applyAlignment="1" applyProtection="1">
      <alignment horizontal="left" vertical="center"/>
    </xf>
    <xf numFmtId="0" fontId="3" fillId="2" borderId="1" xfId="1" applyFont="1" applyFill="1" applyBorder="1" applyAlignment="1" applyProtection="1">
      <alignment horizontal="left" vertical="center"/>
    </xf>
    <xf numFmtId="0" fontId="3" fillId="2" borderId="2" xfId="1" applyFont="1" applyFill="1" applyBorder="1" applyAlignment="1" applyProtection="1">
      <alignment horizontal="left" vertical="center"/>
    </xf>
    <xf numFmtId="0" fontId="0" fillId="19" borderId="1" xfId="0" applyFill="1" applyBorder="1" applyAlignment="1" applyProtection="1">
      <alignment horizontal="center" vertical="center"/>
    </xf>
    <xf numFmtId="0" fontId="0" fillId="0" borderId="0" xfId="0" applyProtection="1"/>
    <xf numFmtId="0" fontId="0" fillId="0" borderId="16" xfId="0" applyBorder="1" applyAlignment="1" applyProtection="1">
      <alignment horizontal="center" vertical="center"/>
    </xf>
    <xf numFmtId="0" fontId="0" fillId="0" borderId="22" xfId="0" applyBorder="1" applyAlignment="1" applyProtection="1">
      <alignment horizontal="center" vertical="center"/>
    </xf>
    <xf numFmtId="0" fontId="0" fillId="0" borderId="23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40" xfId="0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</xf>
    <xf numFmtId="0" fontId="0" fillId="14" borderId="55" xfId="0" applyFill="1" applyBorder="1" applyAlignment="1" applyProtection="1">
      <alignment horizontal="center" vertical="center"/>
    </xf>
    <xf numFmtId="0" fontId="0" fillId="15" borderId="12" xfId="0" applyFill="1" applyBorder="1" applyAlignment="1" applyProtection="1">
      <alignment horizontal="center" vertical="center"/>
    </xf>
    <xf numFmtId="0" fontId="0" fillId="15" borderId="14" xfId="0" applyFill="1" applyBorder="1" applyAlignment="1" applyProtection="1">
      <alignment horizontal="center" vertical="center" wrapText="1"/>
    </xf>
    <xf numFmtId="0" fontId="0" fillId="15" borderId="13" xfId="0" applyFill="1" applyBorder="1" applyAlignment="1" applyProtection="1">
      <alignment horizontal="center" vertical="center" wrapText="1"/>
    </xf>
    <xf numFmtId="0" fontId="0" fillId="0" borderId="42" xfId="0" applyBorder="1" applyAlignment="1" applyProtection="1">
      <alignment horizontal="center" vertical="center"/>
    </xf>
    <xf numFmtId="0" fontId="0" fillId="22" borderId="11" xfId="0" applyFill="1" applyBorder="1" applyAlignment="1" applyProtection="1">
      <alignment horizontal="center" vertical="center"/>
    </xf>
    <xf numFmtId="0" fontId="0" fillId="0" borderId="0" xfId="0" applyAlignment="1" applyProtection="1">
      <alignment horizontal="left" vertical="center"/>
    </xf>
    <xf numFmtId="0" fontId="0" fillId="25" borderId="17" xfId="0" applyFill="1" applyBorder="1" applyAlignment="1" applyProtection="1">
      <alignment horizontal="center" vertical="center"/>
    </xf>
    <xf numFmtId="0" fontId="0" fillId="25" borderId="19" xfId="0" applyFill="1" applyBorder="1" applyAlignment="1" applyProtection="1">
      <alignment horizontal="center" vertical="center"/>
    </xf>
    <xf numFmtId="0" fontId="0" fillId="25" borderId="19" xfId="0" applyFill="1" applyBorder="1" applyAlignment="1" applyProtection="1">
      <alignment horizontal="center" vertical="center"/>
      <protection locked="0"/>
    </xf>
    <xf numFmtId="0" fontId="0" fillId="25" borderId="0" xfId="0" applyFill="1" applyProtection="1"/>
    <xf numFmtId="0" fontId="0" fillId="25" borderId="11" xfId="0" applyFill="1" applyBorder="1" applyAlignment="1" applyProtection="1">
      <alignment horizontal="center" vertical="center"/>
    </xf>
    <xf numFmtId="0" fontId="0" fillId="25" borderId="25" xfId="0" applyFill="1" applyBorder="1" applyAlignment="1" applyProtection="1">
      <alignment horizontal="center" vertical="center"/>
      <protection locked="0"/>
    </xf>
    <xf numFmtId="0" fontId="0" fillId="25" borderId="42" xfId="0" applyFill="1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 vertical="center"/>
    </xf>
    <xf numFmtId="0" fontId="0" fillId="0" borderId="0" xfId="0" applyProtection="1">
      <protection locked="0" hidden="1"/>
    </xf>
    <xf numFmtId="0" fontId="0" fillId="0" borderId="7" xfId="0" applyFont="1" applyBorder="1" applyAlignment="1" applyProtection="1">
      <alignment horizontal="center" vertical="center" textRotation="90"/>
      <protection locked="0" hidden="1"/>
    </xf>
    <xf numFmtId="0" fontId="0" fillId="0" borderId="9" xfId="0" applyFont="1" applyBorder="1" applyAlignment="1" applyProtection="1">
      <alignment horizontal="center" vertical="center" textRotation="90"/>
      <protection locked="0" hidden="1"/>
    </xf>
    <xf numFmtId="0" fontId="0" fillId="0" borderId="10" xfId="0" applyFont="1" applyBorder="1" applyAlignment="1" applyProtection="1">
      <alignment horizontal="center" vertical="center" textRotation="90"/>
      <protection locked="0" hidden="1"/>
    </xf>
    <xf numFmtId="0" fontId="6" fillId="3" borderId="3" xfId="0" applyFont="1" applyFill="1" applyBorder="1" applyAlignment="1" applyProtection="1">
      <alignment horizontal="center" vertical="center" wrapText="1"/>
      <protection locked="0" hidden="1"/>
    </xf>
    <xf numFmtId="0" fontId="1" fillId="0" borderId="0" xfId="0" applyFont="1" applyProtection="1">
      <protection locked="0" hidden="1"/>
    </xf>
    <xf numFmtId="0" fontId="0" fillId="0" borderId="16" xfId="0" applyFont="1" applyBorder="1" applyAlignment="1" applyProtection="1">
      <alignment horizontal="center" vertical="center"/>
      <protection locked="0" hidden="1"/>
    </xf>
    <xf numFmtId="0" fontId="0" fillId="0" borderId="17" xfId="0" applyFont="1" applyBorder="1" applyAlignment="1" applyProtection="1">
      <alignment horizontal="center" vertical="center"/>
      <protection locked="0" hidden="1"/>
    </xf>
    <xf numFmtId="0" fontId="0" fillId="0" borderId="18" xfId="0" applyFont="1" applyBorder="1" applyAlignment="1" applyProtection="1">
      <alignment horizontal="center" vertical="center"/>
      <protection locked="0" hidden="1"/>
    </xf>
    <xf numFmtId="0" fontId="0" fillId="0" borderId="22" xfId="0" applyFont="1" applyBorder="1" applyAlignment="1" applyProtection="1">
      <alignment horizontal="center" vertical="center"/>
      <protection locked="0" hidden="1"/>
    </xf>
    <xf numFmtId="0" fontId="0" fillId="0" borderId="23" xfId="0" applyFont="1" applyBorder="1" applyAlignment="1" applyProtection="1">
      <alignment horizontal="center" vertical="center"/>
      <protection locked="0" hidden="1"/>
    </xf>
    <xf numFmtId="0" fontId="0" fillId="0" borderId="24" xfId="0" applyFont="1" applyBorder="1" applyAlignment="1" applyProtection="1">
      <alignment horizontal="center" vertical="center"/>
      <protection locked="0" hidden="1"/>
    </xf>
    <xf numFmtId="0" fontId="0" fillId="0" borderId="27" xfId="0" applyFont="1" applyBorder="1" applyAlignment="1" applyProtection="1">
      <alignment horizontal="center" vertical="center"/>
      <protection locked="0" hidden="1"/>
    </xf>
    <xf numFmtId="0" fontId="0" fillId="0" borderId="28" xfId="0" applyFont="1" applyBorder="1" applyAlignment="1" applyProtection="1">
      <alignment horizontal="center" vertical="center"/>
      <protection locked="0" hidden="1"/>
    </xf>
    <xf numFmtId="0" fontId="0" fillId="0" borderId="29" xfId="0" applyFont="1" applyBorder="1" applyAlignment="1" applyProtection="1">
      <alignment horizontal="center" vertical="center"/>
      <protection locked="0" hidden="1"/>
    </xf>
    <xf numFmtId="0" fontId="1" fillId="0" borderId="0" xfId="0" applyFont="1" applyFill="1" applyProtection="1">
      <protection locked="0" hidden="1"/>
    </xf>
    <xf numFmtId="0" fontId="6" fillId="8" borderId="3" xfId="0" applyFont="1" applyFill="1" applyBorder="1" applyAlignment="1" applyProtection="1">
      <alignment horizontal="center" vertical="center" wrapText="1"/>
      <protection locked="0" hidden="1"/>
    </xf>
    <xf numFmtId="0" fontId="0" fillId="0" borderId="40" xfId="0" applyFont="1" applyBorder="1" applyAlignment="1" applyProtection="1">
      <alignment horizontal="center" vertical="center"/>
      <protection locked="0" hidden="1"/>
    </xf>
    <xf numFmtId="0" fontId="0" fillId="0" borderId="41" xfId="0" applyFont="1" applyBorder="1" applyAlignment="1" applyProtection="1">
      <alignment horizontal="center" vertical="center"/>
      <protection locked="0" hidden="1"/>
    </xf>
    <xf numFmtId="0" fontId="0" fillId="19" borderId="12" xfId="0" applyFont="1" applyFill="1" applyBorder="1" applyAlignment="1" applyProtection="1">
      <alignment horizontal="center" vertical="center" wrapText="1"/>
      <protection hidden="1"/>
    </xf>
    <xf numFmtId="0" fontId="0" fillId="19" borderId="13" xfId="0" applyFont="1" applyFill="1" applyBorder="1" applyAlignment="1" applyProtection="1">
      <alignment horizontal="center" vertical="center" wrapText="1"/>
      <protection hidden="1"/>
    </xf>
    <xf numFmtId="0" fontId="0" fillId="0" borderId="38" xfId="0" applyFont="1" applyBorder="1" applyAlignment="1" applyProtection="1">
      <alignment horizontal="center" vertical="center" textRotation="90"/>
      <protection hidden="1"/>
    </xf>
    <xf numFmtId="0" fontId="0" fillId="0" borderId="77" xfId="0" applyFont="1" applyBorder="1" applyAlignment="1" applyProtection="1">
      <alignment horizontal="center" vertical="center"/>
      <protection hidden="1"/>
    </xf>
    <xf numFmtId="0" fontId="6" fillId="3" borderId="11" xfId="0" applyFont="1" applyFill="1" applyBorder="1" applyAlignment="1" applyProtection="1">
      <alignment horizontal="center" vertical="center" wrapText="1"/>
      <protection hidden="1"/>
    </xf>
    <xf numFmtId="0" fontId="6" fillId="8" borderId="11" xfId="0" applyFont="1" applyFill="1" applyBorder="1" applyAlignment="1" applyProtection="1">
      <alignment horizontal="center" vertical="center" wrapText="1"/>
      <protection hidden="1"/>
    </xf>
    <xf numFmtId="0" fontId="4" fillId="0" borderId="0" xfId="0" applyFont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1" fillId="0" borderId="4" xfId="0" applyFont="1" applyBorder="1" applyAlignment="1" applyProtection="1">
      <alignment horizontal="centerContinuous" vertical="center"/>
      <protection hidden="1"/>
    </xf>
    <xf numFmtId="0" fontId="1" fillId="0" borderId="3" xfId="0" applyFont="1" applyFill="1" applyBorder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Font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horizontal="center" vertical="center" textRotation="90"/>
      <protection hidden="1"/>
    </xf>
    <xf numFmtId="0" fontId="1" fillId="4" borderId="3" xfId="0" applyFont="1" applyFill="1" applyBorder="1" applyAlignment="1" applyProtection="1">
      <alignment horizontal="centerContinuous" vertical="center" wrapText="1"/>
      <protection hidden="1"/>
    </xf>
    <xf numFmtId="0" fontId="1" fillId="4" borderId="6" xfId="0" applyFont="1" applyFill="1" applyBorder="1" applyAlignment="1" applyProtection="1">
      <alignment horizontal="centerContinuous" vertical="center" wrapText="1"/>
      <protection hidden="1"/>
    </xf>
    <xf numFmtId="0" fontId="1" fillId="0" borderId="59" xfId="0" applyFont="1" applyFill="1" applyBorder="1" applyAlignment="1" applyProtection="1">
      <alignment horizontal="center" vertical="center"/>
      <protection hidden="1"/>
    </xf>
    <xf numFmtId="0" fontId="0" fillId="4" borderId="6" xfId="0" applyFont="1" applyFill="1" applyBorder="1" applyAlignment="1" applyProtection="1">
      <alignment horizontal="center" vertical="center"/>
      <protection hidden="1"/>
    </xf>
    <xf numFmtId="0" fontId="0" fillId="0" borderId="60" xfId="0" applyFont="1" applyFill="1" applyBorder="1" applyAlignment="1" applyProtection="1">
      <alignment horizontal="center" vertical="center"/>
      <protection hidden="1"/>
    </xf>
    <xf numFmtId="0" fontId="0" fillId="6" borderId="61" xfId="0" applyFont="1" applyFill="1" applyBorder="1" applyAlignment="1" applyProtection="1">
      <alignment horizontal="center" vertical="center"/>
      <protection hidden="1"/>
    </xf>
    <xf numFmtId="0" fontId="0" fillId="0" borderId="50" xfId="0" applyFont="1" applyFill="1" applyBorder="1" applyAlignment="1" applyProtection="1">
      <alignment horizontal="center" vertical="center"/>
      <protection hidden="1"/>
    </xf>
    <xf numFmtId="0" fontId="0" fillId="6" borderId="21" xfId="0" applyFont="1" applyFill="1" applyBorder="1" applyAlignment="1" applyProtection="1">
      <alignment horizontal="center" vertical="center"/>
      <protection hidden="1"/>
    </xf>
    <xf numFmtId="0" fontId="0" fillId="0" borderId="58" xfId="0" applyFont="1" applyFill="1" applyBorder="1" applyAlignment="1" applyProtection="1">
      <alignment horizontal="center" vertical="center"/>
      <protection hidden="1"/>
    </xf>
    <xf numFmtId="0" fontId="0" fillId="6" borderId="62" xfId="0" applyFont="1" applyFill="1" applyBorder="1" applyAlignment="1" applyProtection="1">
      <alignment horizontal="center" vertical="center"/>
      <protection hidden="1"/>
    </xf>
    <xf numFmtId="0" fontId="0" fillId="0" borderId="54" xfId="0" applyFont="1" applyFill="1" applyBorder="1" applyAlignment="1" applyProtection="1">
      <alignment horizontal="center" vertical="center"/>
      <protection hidden="1"/>
    </xf>
    <xf numFmtId="0" fontId="0" fillId="6" borderId="30" xfId="0" applyFont="1" applyFill="1" applyBorder="1" applyAlignment="1" applyProtection="1">
      <alignment horizontal="center" vertical="center"/>
      <protection hidden="1"/>
    </xf>
    <xf numFmtId="0" fontId="1" fillId="0" borderId="59" xfId="0" applyNumberFormat="1" applyFont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horizontal="center" vertical="center" textRotation="90"/>
      <protection hidden="1"/>
    </xf>
    <xf numFmtId="0" fontId="1" fillId="10" borderId="3" xfId="0" applyFont="1" applyFill="1" applyBorder="1" applyAlignment="1" applyProtection="1">
      <alignment horizontal="centerContinuous" vertical="center" wrapText="1"/>
      <protection hidden="1"/>
    </xf>
    <xf numFmtId="0" fontId="1" fillId="10" borderId="6" xfId="0" applyFont="1" applyFill="1" applyBorder="1" applyAlignment="1" applyProtection="1">
      <alignment horizontal="centerContinuous" vertical="center" wrapText="1"/>
      <protection hidden="1"/>
    </xf>
    <xf numFmtId="0" fontId="0" fillId="10" borderId="6" xfId="0" applyFont="1" applyFill="1" applyBorder="1" applyAlignment="1" applyProtection="1">
      <alignment horizontal="center" vertical="center"/>
      <protection hidden="1"/>
    </xf>
    <xf numFmtId="0" fontId="1" fillId="0" borderId="64" xfId="0" applyFont="1" applyBorder="1" applyAlignment="1" applyProtection="1">
      <alignment horizontal="center" vertical="center" textRotation="90"/>
      <protection hidden="1"/>
    </xf>
    <xf numFmtId="0" fontId="1" fillId="0" borderId="5" xfId="0" applyFont="1" applyBorder="1" applyAlignment="1" applyProtection="1">
      <alignment horizontal="centerContinuous" vertical="center"/>
      <protection hidden="1"/>
    </xf>
    <xf numFmtId="0" fontId="1" fillId="5" borderId="3" xfId="0" applyFont="1" applyFill="1" applyBorder="1" applyAlignment="1" applyProtection="1">
      <alignment horizontal="centerContinuous" vertical="center" wrapText="1"/>
      <protection hidden="1"/>
    </xf>
    <xf numFmtId="0" fontId="1" fillId="5" borderId="6" xfId="0" applyFont="1" applyFill="1" applyBorder="1" applyAlignment="1" applyProtection="1">
      <alignment horizontal="centerContinuous" vertical="center" wrapText="1"/>
      <protection hidden="1"/>
    </xf>
    <xf numFmtId="0" fontId="1" fillId="15" borderId="3" xfId="0" applyFont="1" applyFill="1" applyBorder="1" applyAlignment="1" applyProtection="1">
      <alignment horizontal="centerContinuous" vertical="center"/>
      <protection hidden="1"/>
    </xf>
    <xf numFmtId="0" fontId="1" fillId="15" borderId="5" xfId="0" applyFont="1" applyFill="1" applyBorder="1" applyAlignment="1" applyProtection="1">
      <alignment horizontal="centerContinuous" vertical="center"/>
      <protection hidden="1"/>
    </xf>
    <xf numFmtId="0" fontId="0" fillId="5" borderId="6" xfId="0" applyFont="1" applyFill="1" applyBorder="1" applyAlignment="1" applyProtection="1">
      <alignment horizontal="center" vertical="center"/>
      <protection hidden="1"/>
    </xf>
    <xf numFmtId="0" fontId="0" fillId="0" borderId="59" xfId="0" applyFont="1" applyFill="1" applyBorder="1" applyAlignment="1" applyProtection="1">
      <alignment horizontal="center" vertical="center"/>
      <protection hidden="1"/>
    </xf>
    <xf numFmtId="0" fontId="5" fillId="15" borderId="5" xfId="0" applyFont="1" applyFill="1" applyBorder="1" applyAlignment="1" applyProtection="1">
      <alignment horizontal="center" vertical="center"/>
      <protection hidden="1"/>
    </xf>
    <xf numFmtId="0" fontId="5" fillId="7" borderId="57" xfId="0" applyFont="1" applyFill="1" applyBorder="1" applyAlignment="1" applyProtection="1">
      <alignment horizontal="center" vertical="center"/>
      <protection hidden="1"/>
    </xf>
    <xf numFmtId="0" fontId="5" fillId="7" borderId="63" xfId="0" applyFont="1" applyFill="1" applyBorder="1" applyAlignment="1" applyProtection="1">
      <alignment horizontal="center" vertical="center"/>
      <protection hidden="1"/>
    </xf>
    <xf numFmtId="0" fontId="5" fillId="7" borderId="56" xfId="0" applyFont="1" applyFill="1" applyBorder="1" applyAlignment="1" applyProtection="1">
      <alignment horizontal="center" vertical="center"/>
      <protection hidden="1"/>
    </xf>
    <xf numFmtId="0" fontId="5" fillId="11" borderId="57" xfId="0" applyFont="1" applyFill="1" applyBorder="1" applyAlignment="1" applyProtection="1">
      <alignment horizontal="center" vertical="center"/>
      <protection hidden="1"/>
    </xf>
    <xf numFmtId="0" fontId="0" fillId="21" borderId="79" xfId="0" applyFont="1" applyFill="1" applyBorder="1" applyAlignment="1" applyProtection="1">
      <alignment horizontal="center" vertical="center"/>
      <protection hidden="1"/>
    </xf>
    <xf numFmtId="0" fontId="0" fillId="0" borderId="51" xfId="0" applyFont="1" applyFill="1" applyBorder="1" applyAlignment="1" applyProtection="1">
      <alignment horizontal="center" vertical="center"/>
      <protection hidden="1"/>
    </xf>
    <xf numFmtId="0" fontId="0" fillId="6" borderId="76" xfId="0" applyFont="1" applyFill="1" applyBorder="1" applyAlignment="1" applyProtection="1">
      <alignment horizontal="center" vertical="center"/>
      <protection hidden="1"/>
    </xf>
    <xf numFmtId="0" fontId="0" fillId="0" borderId="91" xfId="0" applyFont="1" applyBorder="1" applyAlignment="1" applyProtection="1">
      <alignment horizontal="center" vertical="center"/>
      <protection locked="0" hidden="1"/>
    </xf>
    <xf numFmtId="0" fontId="0" fillId="6" borderId="92" xfId="0" applyFont="1" applyFill="1" applyBorder="1" applyAlignment="1" applyProtection="1">
      <alignment horizontal="center" vertical="center"/>
      <protection hidden="1"/>
    </xf>
    <xf numFmtId="0" fontId="5" fillId="7" borderId="5" xfId="0" applyFont="1" applyFill="1" applyBorder="1" applyAlignment="1" applyProtection="1">
      <alignment horizontal="center" vertical="center"/>
      <protection hidden="1"/>
    </xf>
    <xf numFmtId="0" fontId="1" fillId="0" borderId="93" xfId="0" applyFont="1" applyBorder="1" applyAlignment="1" applyProtection="1">
      <alignment horizontal="center" vertical="center" textRotation="90"/>
      <protection hidden="1"/>
    </xf>
    <xf numFmtId="0" fontId="7" fillId="0" borderId="0" xfId="0" applyFont="1" applyProtection="1">
      <protection hidden="1"/>
    </xf>
    <xf numFmtId="0" fontId="7" fillId="0" borderId="0" xfId="0" applyFont="1" applyBorder="1" applyAlignment="1" applyProtection="1">
      <alignment horizontal="center" vertical="center" textRotation="90"/>
      <protection hidden="1"/>
    </xf>
    <xf numFmtId="0" fontId="0" fillId="0" borderId="0" xfId="0" applyFont="1" applyProtection="1"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1" fillId="0" borderId="6" xfId="0" applyFont="1" applyBorder="1" applyAlignment="1" applyProtection="1">
      <alignment horizontal="center" vertical="center"/>
      <protection hidden="1"/>
    </xf>
    <xf numFmtId="0" fontId="0" fillId="21" borderId="6" xfId="0" applyNumberFormat="1" applyFont="1" applyFill="1" applyBorder="1" applyAlignment="1" applyProtection="1">
      <alignment horizontal="center" vertical="center"/>
      <protection hidden="1"/>
    </xf>
    <xf numFmtId="0" fontId="1" fillId="0" borderId="4" xfId="0" applyNumberFormat="1" applyFont="1" applyBorder="1" applyAlignment="1" applyProtection="1">
      <alignment horizontal="centerContinuous" vertical="center"/>
      <protection hidden="1"/>
    </xf>
    <xf numFmtId="0" fontId="0" fillId="0" borderId="7" xfId="0" applyNumberFormat="1" applyFont="1" applyBorder="1" applyAlignment="1" applyProtection="1">
      <alignment horizontal="center" vertical="center" textRotation="90"/>
      <protection locked="0" hidden="1"/>
    </xf>
    <xf numFmtId="0" fontId="0" fillId="0" borderId="8" xfId="0" applyNumberFormat="1" applyFont="1" applyBorder="1" applyAlignment="1" applyProtection="1">
      <alignment horizontal="center" vertical="center" textRotation="90"/>
      <protection locked="0" hidden="1"/>
    </xf>
    <xf numFmtId="0" fontId="0" fillId="0" borderId="88" xfId="0" applyNumberFormat="1" applyFont="1" applyBorder="1" applyAlignment="1" applyProtection="1">
      <alignment horizontal="center" vertical="center" textRotation="90"/>
      <protection locked="0" hidden="1"/>
    </xf>
    <xf numFmtId="0" fontId="1" fillId="0" borderId="3" xfId="0" applyNumberFormat="1" applyFont="1" applyBorder="1" applyAlignment="1" applyProtection="1">
      <alignment horizontal="center" vertical="center"/>
      <protection hidden="1"/>
    </xf>
    <xf numFmtId="0" fontId="0" fillId="0" borderId="16" xfId="0" applyNumberFormat="1" applyFont="1" applyBorder="1" applyAlignment="1" applyProtection="1">
      <alignment horizontal="center" vertical="center"/>
      <protection locked="0" hidden="1"/>
    </xf>
    <xf numFmtId="0" fontId="0" fillId="0" borderId="17" xfId="0" applyNumberFormat="1" applyFont="1" applyBorder="1" applyAlignment="1" applyProtection="1">
      <alignment horizontal="center" vertical="center"/>
      <protection locked="0" hidden="1"/>
    </xf>
    <xf numFmtId="0" fontId="0" fillId="0" borderId="18" xfId="0" applyNumberFormat="1" applyFont="1" applyBorder="1" applyAlignment="1" applyProtection="1">
      <alignment horizontal="center" vertical="center"/>
      <protection locked="0" hidden="1"/>
    </xf>
    <xf numFmtId="0" fontId="0" fillId="0" borderId="22" xfId="0" applyNumberFormat="1" applyFont="1" applyBorder="1" applyAlignment="1" applyProtection="1">
      <alignment horizontal="center" vertical="center"/>
      <protection locked="0" hidden="1"/>
    </xf>
    <xf numFmtId="0" fontId="0" fillId="0" borderId="23" xfId="0" applyNumberFormat="1" applyFont="1" applyBorder="1" applyAlignment="1" applyProtection="1">
      <alignment horizontal="center" vertical="center"/>
      <protection locked="0" hidden="1"/>
    </xf>
    <xf numFmtId="0" fontId="0" fillId="0" borderId="24" xfId="0" applyNumberFormat="1" applyFont="1" applyBorder="1" applyAlignment="1" applyProtection="1">
      <alignment horizontal="center" vertical="center"/>
      <protection locked="0" hidden="1"/>
    </xf>
    <xf numFmtId="0" fontId="0" fillId="0" borderId="27" xfId="0" applyNumberFormat="1" applyFont="1" applyBorder="1" applyAlignment="1" applyProtection="1">
      <alignment horizontal="center" vertical="center"/>
      <protection locked="0" hidden="1"/>
    </xf>
    <xf numFmtId="0" fontId="0" fillId="0" borderId="28" xfId="0" applyNumberFormat="1" applyFont="1" applyBorder="1" applyAlignment="1" applyProtection="1">
      <alignment horizontal="center" vertical="center"/>
      <protection locked="0" hidden="1"/>
    </xf>
    <xf numFmtId="0" fontId="0" fillId="0" borderId="29" xfId="0" applyNumberFormat="1" applyFont="1" applyBorder="1" applyAlignment="1" applyProtection="1">
      <alignment horizontal="center" vertical="center"/>
      <protection locked="0" hidden="1"/>
    </xf>
    <xf numFmtId="0" fontId="1" fillId="0" borderId="3" xfId="0" applyNumberFormat="1" applyFont="1" applyFill="1" applyBorder="1" applyAlignment="1" applyProtection="1">
      <alignment horizontal="center" vertical="center"/>
      <protection hidden="1"/>
    </xf>
    <xf numFmtId="0" fontId="0" fillId="0" borderId="74" xfId="0" applyNumberFormat="1" applyFont="1" applyBorder="1" applyAlignment="1" applyProtection="1">
      <alignment horizontal="center" vertical="center"/>
      <protection locked="0" hidden="1"/>
    </xf>
    <xf numFmtId="0" fontId="0" fillId="0" borderId="94" xfId="0" applyNumberFormat="1" applyFont="1" applyBorder="1" applyAlignment="1" applyProtection="1">
      <alignment horizontal="center" vertical="center"/>
      <protection locked="0" hidden="1"/>
    </xf>
    <xf numFmtId="0" fontId="0" fillId="0" borderId="95" xfId="0" applyNumberFormat="1" applyFont="1" applyBorder="1" applyAlignment="1" applyProtection="1">
      <alignment horizontal="center" vertical="center"/>
      <protection locked="0" hidden="1"/>
    </xf>
    <xf numFmtId="0" fontId="0" fillId="0" borderId="94" xfId="0" applyFont="1" applyBorder="1" applyAlignment="1" applyProtection="1">
      <alignment horizontal="center" vertical="center"/>
      <protection locked="0" hidden="1"/>
    </xf>
    <xf numFmtId="0" fontId="0" fillId="26" borderId="12" xfId="0" applyNumberFormat="1" applyFont="1" applyFill="1" applyBorder="1" applyAlignment="1" applyProtection="1">
      <alignment horizontal="center" vertical="center"/>
      <protection hidden="1"/>
    </xf>
    <xf numFmtId="0" fontId="0" fillId="26" borderId="14" xfId="0" applyNumberFormat="1" applyFont="1" applyFill="1" applyBorder="1" applyAlignment="1" applyProtection="1">
      <alignment horizontal="center" vertical="center"/>
      <protection hidden="1"/>
    </xf>
    <xf numFmtId="0" fontId="0" fillId="26" borderId="13" xfId="0" applyNumberFormat="1" applyFont="1" applyFill="1" applyBorder="1" applyAlignment="1" applyProtection="1">
      <alignment horizontal="center" vertical="center"/>
      <protection hidden="1"/>
    </xf>
    <xf numFmtId="0" fontId="7" fillId="0" borderId="0" xfId="0" applyFont="1" applyFill="1" applyProtection="1">
      <protection hidden="1"/>
    </xf>
    <xf numFmtId="0" fontId="0" fillId="0" borderId="0" xfId="0" applyFont="1" applyFill="1" applyProtection="1">
      <protection hidden="1"/>
    </xf>
    <xf numFmtId="0" fontId="0" fillId="0" borderId="0" xfId="0" applyFont="1" applyFill="1" applyAlignment="1" applyProtection="1">
      <alignment horizontal="center" vertical="center"/>
      <protection hidden="1"/>
    </xf>
    <xf numFmtId="0" fontId="7" fillId="0" borderId="0" xfId="0" applyFont="1" applyFill="1" applyBorder="1" applyAlignment="1" applyProtection="1">
      <alignment horizontal="center" vertical="center" textRotation="90"/>
      <protection hidden="1"/>
    </xf>
    <xf numFmtId="0" fontId="0" fillId="16" borderId="82" xfId="0" applyFont="1" applyFill="1" applyBorder="1" applyAlignment="1" applyProtection="1">
      <alignment horizontal="center" vertical="center"/>
      <protection hidden="1"/>
    </xf>
    <xf numFmtId="0" fontId="0" fillId="18" borderId="82" xfId="0" applyFont="1" applyFill="1" applyBorder="1" applyAlignment="1" applyProtection="1">
      <alignment horizontal="center" vertical="center"/>
      <protection hidden="1"/>
    </xf>
    <xf numFmtId="0" fontId="1" fillId="0" borderId="59" xfId="0" applyFont="1" applyBorder="1" applyAlignment="1" applyProtection="1">
      <alignment horizontal="center" vertical="center"/>
      <protection hidden="1"/>
    </xf>
    <xf numFmtId="0" fontId="5" fillId="0" borderId="59" xfId="0" applyFont="1" applyFill="1" applyBorder="1" applyAlignment="1" applyProtection="1">
      <alignment horizontal="center" vertical="center"/>
      <protection hidden="1"/>
    </xf>
    <xf numFmtId="0" fontId="5" fillId="0" borderId="60" xfId="0" applyFont="1" applyFill="1" applyBorder="1" applyAlignment="1" applyProtection="1">
      <alignment horizontal="center" vertical="center"/>
      <protection hidden="1"/>
    </xf>
    <xf numFmtId="0" fontId="5" fillId="0" borderId="50" xfId="0" applyFont="1" applyFill="1" applyBorder="1" applyAlignment="1" applyProtection="1">
      <alignment horizontal="center" vertical="center"/>
      <protection hidden="1"/>
    </xf>
    <xf numFmtId="0" fontId="5" fillId="0" borderId="58" xfId="0" applyFont="1" applyFill="1" applyBorder="1" applyAlignment="1" applyProtection="1">
      <alignment horizontal="center" vertical="center"/>
      <protection hidden="1"/>
    </xf>
    <xf numFmtId="0" fontId="5" fillId="0" borderId="54" xfId="0" applyFont="1" applyFill="1" applyBorder="1" applyAlignment="1" applyProtection="1">
      <alignment horizontal="center" vertical="center"/>
      <protection hidden="1"/>
    </xf>
    <xf numFmtId="0" fontId="0" fillId="26" borderId="12" xfId="0" applyFont="1" applyFill="1" applyBorder="1" applyAlignment="1" applyProtection="1">
      <alignment horizontal="center" vertical="center"/>
      <protection hidden="1"/>
    </xf>
    <xf numFmtId="0" fontId="0" fillId="26" borderId="14" xfId="0" applyFont="1" applyFill="1" applyBorder="1" applyAlignment="1" applyProtection="1">
      <alignment horizontal="center" vertical="center"/>
      <protection hidden="1"/>
    </xf>
    <xf numFmtId="0" fontId="0" fillId="26" borderId="13" xfId="0" applyFont="1" applyFill="1" applyBorder="1" applyAlignment="1" applyProtection="1">
      <alignment horizontal="center" vertical="center"/>
      <protection hidden="1"/>
    </xf>
    <xf numFmtId="0" fontId="1" fillId="0" borderId="4" xfId="0" applyNumberFormat="1" applyFont="1" applyBorder="1" applyAlignment="1" applyProtection="1">
      <alignment horizontal="center" vertical="center"/>
      <protection hidden="1"/>
    </xf>
    <xf numFmtId="0" fontId="1" fillId="0" borderId="4" xfId="0" applyFont="1" applyBorder="1" applyAlignment="1" applyProtection="1">
      <alignment horizontal="center" vertical="center"/>
      <protection hidden="1"/>
    </xf>
    <xf numFmtId="0" fontId="1" fillId="0" borderId="4" xfId="0" applyFont="1" applyFill="1" applyBorder="1" applyAlignment="1" applyProtection="1">
      <alignment horizontal="center" vertical="center"/>
      <protection hidden="1"/>
    </xf>
    <xf numFmtId="0" fontId="1" fillId="0" borderId="6" xfId="0" applyFont="1" applyFill="1" applyBorder="1" applyAlignment="1" applyProtection="1">
      <alignment horizontal="center" vertical="center"/>
      <protection hidden="1"/>
    </xf>
    <xf numFmtId="0" fontId="1" fillId="0" borderId="4" xfId="0" applyNumberFormat="1" applyFont="1" applyFill="1" applyBorder="1" applyAlignment="1" applyProtection="1">
      <alignment horizontal="center" vertical="center"/>
      <protection hidden="1"/>
    </xf>
    <xf numFmtId="0" fontId="1" fillId="0" borderId="90" xfId="0" applyNumberFormat="1" applyFont="1" applyBorder="1" applyAlignment="1" applyProtection="1">
      <alignment horizontal="center" vertical="center"/>
      <protection hidden="1"/>
    </xf>
    <xf numFmtId="0" fontId="0" fillId="0" borderId="0" xfId="0" applyNumberFormat="1" applyFont="1" applyAlignment="1" applyProtection="1">
      <alignment horizontal="center" vertical="center"/>
      <protection hidden="1"/>
    </xf>
    <xf numFmtId="0" fontId="7" fillId="9" borderId="6" xfId="0" applyFont="1" applyFill="1" applyBorder="1" applyAlignment="1" applyProtection="1">
      <alignment horizontal="center" vertical="center"/>
      <protection hidden="1"/>
    </xf>
    <xf numFmtId="0" fontId="0" fillId="0" borderId="81" xfId="0" applyFont="1" applyBorder="1" applyAlignment="1" applyProtection="1">
      <alignment horizontal="center" vertical="center" textRotation="90"/>
      <protection hidden="1"/>
    </xf>
    <xf numFmtId="0" fontId="0" fillId="0" borderId="14" xfId="0" applyFont="1" applyBorder="1" applyAlignment="1" applyProtection="1">
      <alignment horizontal="center" vertical="center" textRotation="90"/>
      <protection hidden="1"/>
    </xf>
    <xf numFmtId="0" fontId="0" fillId="0" borderId="89" xfId="0" applyFont="1" applyBorder="1" applyAlignment="1" applyProtection="1">
      <alignment horizontal="center" vertical="center" textRotation="90"/>
      <protection hidden="1"/>
    </xf>
    <xf numFmtId="0" fontId="0" fillId="0" borderId="12" xfId="0" applyFont="1" applyBorder="1" applyAlignment="1" applyProtection="1">
      <alignment horizontal="center" vertical="center" textRotation="90"/>
      <protection hidden="1"/>
    </xf>
    <xf numFmtId="0" fontId="0" fillId="0" borderId="13" xfId="0" applyFont="1" applyBorder="1" applyAlignment="1" applyProtection="1">
      <alignment horizontal="center" vertical="center" textRotation="90"/>
      <protection hidden="1"/>
    </xf>
    <xf numFmtId="0" fontId="1" fillId="0" borderId="0" xfId="0" applyFont="1" applyProtection="1">
      <protection hidden="1"/>
    </xf>
    <xf numFmtId="0" fontId="7" fillId="0" borderId="0" xfId="0" applyNumberFormat="1" applyFont="1" applyFill="1" applyProtection="1">
      <protection hidden="1"/>
    </xf>
    <xf numFmtId="0" fontId="0" fillId="0" borderId="0" xfId="0" applyNumberFormat="1" applyFont="1" applyFill="1" applyAlignment="1" applyProtection="1">
      <alignment horizontal="center" vertical="center"/>
      <protection hidden="1"/>
    </xf>
    <xf numFmtId="0" fontId="7" fillId="0" borderId="0" xfId="0" applyFont="1" applyBorder="1" applyAlignment="1" applyProtection="1">
      <alignment horizontal="center" vertical="center"/>
      <protection hidden="1"/>
    </xf>
    <xf numFmtId="0" fontId="0" fillId="0" borderId="0" xfId="0" applyNumberFormat="1" applyAlignment="1" applyProtection="1">
      <alignment horizontal="center" vertical="center"/>
      <protection hidden="1"/>
    </xf>
    <xf numFmtId="0" fontId="0" fillId="23" borderId="0" xfId="0" applyFill="1" applyBorder="1"/>
    <xf numFmtId="0" fontId="1" fillId="0" borderId="3" xfId="0" applyFont="1" applyBorder="1" applyAlignment="1" applyProtection="1">
      <alignment horizontal="center" vertical="center"/>
      <protection hidden="1"/>
    </xf>
    <xf numFmtId="0" fontId="1" fillId="0" borderId="6" xfId="0" applyFont="1" applyBorder="1" applyAlignment="1" applyProtection="1">
      <alignment horizontal="center" vertical="center"/>
      <protection hidden="1"/>
    </xf>
    <xf numFmtId="0" fontId="0" fillId="0" borderId="97" xfId="0" applyFont="1" applyFill="1" applyBorder="1" applyAlignment="1" applyProtection="1">
      <alignment horizontal="center" vertical="center"/>
      <protection hidden="1"/>
    </xf>
    <xf numFmtId="0" fontId="0" fillId="6" borderId="96" xfId="0" applyFont="1" applyFill="1" applyBorder="1" applyAlignment="1" applyProtection="1">
      <alignment horizontal="center" vertical="center"/>
      <protection hidden="1"/>
    </xf>
    <xf numFmtId="0" fontId="5" fillId="0" borderId="97" xfId="0" applyFont="1" applyFill="1" applyBorder="1" applyAlignment="1" applyProtection="1">
      <alignment horizontal="center" vertical="center"/>
      <protection hidden="1"/>
    </xf>
    <xf numFmtId="0" fontId="5" fillId="7" borderId="93" xfId="0" applyFont="1" applyFill="1" applyBorder="1" applyAlignment="1" applyProtection="1">
      <alignment horizontal="center" vertical="center"/>
      <protection hidden="1"/>
    </xf>
    <xf numFmtId="0" fontId="5" fillId="23" borderId="23" xfId="0" applyFont="1" applyFill="1" applyBorder="1" applyAlignment="1">
      <alignment vertical="center"/>
    </xf>
    <xf numFmtId="0" fontId="5" fillId="23" borderId="0" xfId="0" applyFont="1" applyFill="1" applyBorder="1" applyAlignment="1">
      <alignment vertical="center"/>
    </xf>
    <xf numFmtId="0" fontId="0" fillId="23" borderId="99" xfId="0" applyFill="1" applyBorder="1"/>
    <xf numFmtId="0" fontId="0" fillId="0" borderId="23" xfId="0" applyBorder="1"/>
    <xf numFmtId="0" fontId="0" fillId="0" borderId="0" xfId="0" applyBorder="1"/>
    <xf numFmtId="0" fontId="0" fillId="0" borderId="100" xfId="0" applyNumberFormat="1" applyFont="1" applyBorder="1" applyAlignment="1" applyProtection="1">
      <alignment horizontal="center" vertical="center"/>
      <protection locked="0" hidden="1"/>
    </xf>
    <xf numFmtId="0" fontId="0" fillId="0" borderId="101" xfId="0" applyNumberFormat="1" applyFont="1" applyBorder="1" applyAlignment="1" applyProtection="1">
      <alignment horizontal="center" vertical="center"/>
      <protection locked="0" hidden="1"/>
    </xf>
    <xf numFmtId="0" fontId="0" fillId="0" borderId="102" xfId="0" applyNumberFormat="1" applyFont="1" applyBorder="1" applyAlignment="1" applyProtection="1">
      <alignment horizontal="center" vertical="center"/>
      <protection locked="0" hidden="1"/>
    </xf>
    <xf numFmtId="0" fontId="0" fillId="0" borderId="100" xfId="0" applyFont="1" applyBorder="1" applyAlignment="1" applyProtection="1">
      <alignment horizontal="center" vertical="center"/>
      <protection locked="0" hidden="1"/>
    </xf>
    <xf numFmtId="0" fontId="0" fillId="0" borderId="101" xfId="0" applyFont="1" applyBorder="1" applyAlignment="1" applyProtection="1">
      <alignment horizontal="center" vertical="center"/>
      <protection locked="0" hidden="1"/>
    </xf>
    <xf numFmtId="0" fontId="0" fillId="0" borderId="102" xfId="0" applyFont="1" applyBorder="1" applyAlignment="1" applyProtection="1">
      <alignment horizontal="center" vertical="center"/>
      <protection locked="0" hidden="1"/>
    </xf>
    <xf numFmtId="0" fontId="0" fillId="20" borderId="36" xfId="0" applyFill="1" applyBorder="1" applyAlignment="1" applyProtection="1">
      <alignment horizontal="center" vertical="center"/>
    </xf>
    <xf numFmtId="0" fontId="0" fillId="20" borderId="37" xfId="0" applyFill="1" applyBorder="1" applyAlignment="1" applyProtection="1">
      <alignment horizontal="center" vertical="center"/>
    </xf>
    <xf numFmtId="0" fontId="2" fillId="20" borderId="86" xfId="0" applyFont="1" applyFill="1" applyBorder="1" applyAlignment="1" applyProtection="1">
      <alignment horizontal="center" vertical="center" wrapText="1"/>
    </xf>
    <xf numFmtId="0" fontId="2" fillId="20" borderId="87" xfId="0" applyFont="1" applyFill="1" applyBorder="1" applyAlignment="1" applyProtection="1">
      <alignment horizontal="center" vertical="center" wrapText="1"/>
    </xf>
    <xf numFmtId="0" fontId="5" fillId="21" borderId="32" xfId="0" applyFont="1" applyFill="1" applyBorder="1" applyAlignment="1" applyProtection="1">
      <alignment horizontal="center" vertical="center"/>
    </xf>
    <xf numFmtId="0" fontId="5" fillId="21" borderId="33" xfId="0" applyFont="1" applyFill="1" applyBorder="1" applyAlignment="1" applyProtection="1">
      <alignment horizontal="center" vertical="center"/>
    </xf>
    <xf numFmtId="0" fontId="0" fillId="21" borderId="47" xfId="0" applyFill="1" applyBorder="1" applyAlignment="1" applyProtection="1">
      <alignment horizontal="center" vertical="center"/>
    </xf>
    <xf numFmtId="0" fontId="0" fillId="21" borderId="48" xfId="0" applyFill="1" applyBorder="1" applyAlignment="1" applyProtection="1">
      <alignment horizontal="center" vertical="center"/>
    </xf>
    <xf numFmtId="0" fontId="0" fillId="21" borderId="49" xfId="0" applyFill="1" applyBorder="1" applyAlignment="1" applyProtection="1">
      <alignment horizontal="center" vertical="center"/>
    </xf>
    <xf numFmtId="0" fontId="0" fillId="17" borderId="31" xfId="0" applyFill="1" applyBorder="1" applyAlignment="1" applyProtection="1">
      <alignment horizontal="center" vertical="center"/>
    </xf>
    <xf numFmtId="0" fontId="0" fillId="17" borderId="32" xfId="0" applyFill="1" applyBorder="1" applyAlignment="1" applyProtection="1">
      <alignment horizontal="center" vertical="center"/>
    </xf>
    <xf numFmtId="0" fontId="0" fillId="17" borderId="33" xfId="0" applyFill="1" applyBorder="1" applyAlignment="1" applyProtection="1">
      <alignment horizontal="center" vertical="center"/>
    </xf>
    <xf numFmtId="0" fontId="0" fillId="12" borderId="31" xfId="0" applyFill="1" applyBorder="1" applyAlignment="1" applyProtection="1">
      <alignment horizontal="center" vertical="center"/>
    </xf>
    <xf numFmtId="0" fontId="0" fillId="12" borderId="32" xfId="0" applyFill="1" applyBorder="1" applyAlignment="1" applyProtection="1">
      <alignment horizontal="center" vertical="center"/>
    </xf>
    <xf numFmtId="0" fontId="0" fillId="12" borderId="33" xfId="0" applyFill="1" applyBorder="1" applyAlignment="1" applyProtection="1">
      <alignment horizontal="center" vertical="center"/>
    </xf>
    <xf numFmtId="0" fontId="5" fillId="0" borderId="3" xfId="0" applyFont="1" applyBorder="1" applyAlignment="1" applyProtection="1">
      <alignment horizontal="center" vertical="center"/>
      <protection hidden="1"/>
    </xf>
    <xf numFmtId="0" fontId="5" fillId="0" borderId="6" xfId="0" applyFont="1" applyBorder="1" applyAlignment="1" applyProtection="1">
      <alignment horizontal="center"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1" fillId="0" borderId="6" xfId="0" applyFont="1" applyBorder="1" applyAlignment="1" applyProtection="1">
      <alignment horizontal="center" vertical="center"/>
      <protection hidden="1"/>
    </xf>
    <xf numFmtId="0" fontId="5" fillId="0" borderId="15" xfId="0" applyFont="1" applyBorder="1" applyAlignment="1" applyProtection="1">
      <alignment horizontal="center" vertical="center"/>
      <protection hidden="1"/>
    </xf>
    <xf numFmtId="0" fontId="5" fillId="0" borderId="75" xfId="0" applyFont="1" applyBorder="1" applyAlignment="1" applyProtection="1">
      <alignment horizontal="center" vertical="center"/>
      <protection hidden="1"/>
    </xf>
    <xf numFmtId="0" fontId="5" fillId="0" borderId="20" xfId="0" applyFont="1" applyBorder="1" applyAlignment="1" applyProtection="1">
      <alignment horizontal="center" vertical="center"/>
      <protection hidden="1"/>
    </xf>
    <xf numFmtId="0" fontId="5" fillId="0" borderId="21" xfId="0" applyFont="1" applyBorder="1" applyAlignment="1" applyProtection="1">
      <alignment horizontal="center" vertical="center"/>
      <protection hidden="1"/>
    </xf>
    <xf numFmtId="0" fontId="5" fillId="0" borderId="26" xfId="0" applyFont="1" applyBorder="1" applyAlignment="1" applyProtection="1">
      <alignment horizontal="center" vertical="center"/>
      <protection hidden="1"/>
    </xf>
    <xf numFmtId="0" fontId="5" fillId="0" borderId="76" xfId="0" applyFont="1" applyBorder="1" applyAlignment="1" applyProtection="1">
      <alignment horizontal="center" vertical="center"/>
      <protection hidden="1"/>
    </xf>
    <xf numFmtId="0" fontId="0" fillId="21" borderId="7" xfId="0" applyFont="1" applyFill="1" applyBorder="1" applyAlignment="1" applyProtection="1">
      <alignment horizontal="center" vertical="center"/>
      <protection hidden="1"/>
    </xf>
    <xf numFmtId="0" fontId="0" fillId="21" borderId="78" xfId="0" applyFont="1" applyFill="1" applyBorder="1" applyAlignment="1" applyProtection="1">
      <alignment horizontal="center" vertical="center"/>
      <protection hidden="1"/>
    </xf>
    <xf numFmtId="0" fontId="5" fillId="0" borderId="98" xfId="0" applyFont="1" applyBorder="1" applyAlignment="1" applyProtection="1">
      <alignment horizontal="center" vertical="center"/>
      <protection hidden="1"/>
    </xf>
    <xf numFmtId="0" fontId="5" fillId="0" borderId="62" xfId="0" applyFont="1" applyBorder="1" applyAlignment="1" applyProtection="1">
      <alignment horizontal="center" vertical="center"/>
      <protection hidden="1"/>
    </xf>
    <xf numFmtId="0" fontId="5" fillId="0" borderId="77" xfId="0" applyFont="1" applyBorder="1" applyAlignment="1" applyProtection="1">
      <alignment horizontal="center" vertical="center"/>
      <protection hidden="1"/>
    </xf>
    <xf numFmtId="0" fontId="5" fillId="0" borderId="96" xfId="0" applyFont="1" applyBorder="1" applyAlignment="1" applyProtection="1">
      <alignment horizontal="center" vertical="center"/>
      <protection hidden="1"/>
    </xf>
    <xf numFmtId="0" fontId="0" fillId="13" borderId="3" xfId="0" applyFill="1" applyBorder="1" applyAlignment="1" applyProtection="1">
      <alignment horizontal="center" vertical="center" wrapText="1"/>
    </xf>
    <xf numFmtId="0" fontId="0" fillId="13" borderId="6" xfId="0" applyFill="1" applyBorder="1" applyAlignment="1" applyProtection="1">
      <alignment horizontal="center" vertical="center" wrapText="1"/>
    </xf>
    <xf numFmtId="0" fontId="0" fillId="24" borderId="12" xfId="0" applyFill="1" applyBorder="1" applyAlignment="1" applyProtection="1">
      <alignment horizontal="center" vertical="center"/>
    </xf>
    <xf numFmtId="0" fontId="0" fillId="24" borderId="13" xfId="0" applyFill="1" applyBorder="1" applyAlignment="1" applyProtection="1">
      <alignment horizontal="center" vertical="center"/>
    </xf>
  </cellXfs>
  <cellStyles count="3">
    <cellStyle name="Normal" xfId="0" builtinId="0"/>
    <cellStyle name="Normal 2" xfId="1" xr:uid="{00000000-0005-0000-0000-000001000000}"/>
    <cellStyle name="Normal 2 2" xfId="2" xr:uid="{00000000-0005-0000-0000-000002000000}"/>
  </cellStyles>
  <dxfs count="0"/>
  <tableStyles count="0" defaultTableStyle="TableStyleMedium2" defaultPivotStyle="PivotStyleLight16"/>
  <colors>
    <mruColors>
      <color rgb="FF33CC33"/>
      <color rgb="FFFF5D37"/>
      <color rgb="FFB07BD7"/>
      <color rgb="FFFF3300"/>
      <color rgb="FFFFCF37"/>
      <color rgb="FFE0C13C"/>
      <color rgb="FFFCA08E"/>
      <color rgb="FF9C5BCD"/>
      <color rgb="FF3CAA22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C33"/>
  <sheetViews>
    <sheetView zoomScale="90" zoomScaleNormal="90" workbookViewId="0"/>
  </sheetViews>
  <sheetFormatPr baseColWidth="10" defaultRowHeight="15" x14ac:dyDescent="0.25"/>
  <cols>
    <col min="1" max="1" width="30.7109375" style="14" customWidth="1"/>
    <col min="2" max="27" width="6.7109375" style="14" customWidth="1"/>
    <col min="28" max="28" width="3" style="14" customWidth="1"/>
    <col min="29" max="29" width="20.140625" style="14" customWidth="1"/>
    <col min="30" max="16384" width="11.42578125" style="14"/>
  </cols>
  <sheetData>
    <row r="1" spans="1:29" ht="31.5" customHeight="1" thickBot="1" x14ac:dyDescent="0.3">
      <c r="A1" s="37" t="s">
        <v>195</v>
      </c>
      <c r="B1" s="221" t="s">
        <v>0</v>
      </c>
      <c r="C1" s="221"/>
      <c r="D1" s="221"/>
      <c r="E1" s="221"/>
      <c r="F1" s="221"/>
      <c r="G1" s="221"/>
      <c r="H1" s="221"/>
      <c r="I1" s="221"/>
      <c r="J1" s="221"/>
      <c r="K1" s="221"/>
      <c r="L1" s="221"/>
      <c r="M1" s="221"/>
      <c r="N1" s="221"/>
      <c r="O1" s="221"/>
      <c r="P1" s="221"/>
      <c r="Q1" s="221"/>
      <c r="R1" s="221"/>
      <c r="S1" s="221"/>
      <c r="T1" s="221"/>
      <c r="U1" s="221"/>
      <c r="V1" s="221"/>
      <c r="W1" s="221"/>
      <c r="X1" s="221"/>
      <c r="Y1" s="221"/>
      <c r="Z1" s="221"/>
      <c r="AA1" s="222"/>
      <c r="AC1" s="38" t="s">
        <v>36</v>
      </c>
    </row>
    <row r="2" spans="1:29" ht="24.95" customHeight="1" thickTop="1" x14ac:dyDescent="0.25">
      <c r="A2" s="223" t="s">
        <v>1</v>
      </c>
      <c r="B2" s="225" t="s">
        <v>2</v>
      </c>
      <c r="C2" s="225"/>
      <c r="D2" s="225"/>
      <c r="E2" s="226"/>
      <c r="F2" s="227" t="s">
        <v>3</v>
      </c>
      <c r="G2" s="228"/>
      <c r="H2" s="228"/>
      <c r="I2" s="229"/>
      <c r="J2" s="227" t="s">
        <v>4</v>
      </c>
      <c r="K2" s="228"/>
      <c r="L2" s="228"/>
      <c r="M2" s="229"/>
      <c r="N2" s="227" t="s">
        <v>5</v>
      </c>
      <c r="O2" s="228"/>
      <c r="P2" s="228"/>
      <c r="Q2" s="229"/>
      <c r="R2" s="227" t="s">
        <v>6</v>
      </c>
      <c r="S2" s="228"/>
      <c r="T2" s="228"/>
      <c r="U2" s="229"/>
      <c r="V2" s="230" t="s">
        <v>34</v>
      </c>
      <c r="W2" s="231"/>
      <c r="X2" s="232"/>
      <c r="Y2" s="233" t="s">
        <v>33</v>
      </c>
      <c r="Z2" s="234"/>
      <c r="AA2" s="235"/>
      <c r="AC2" s="47" t="s">
        <v>193</v>
      </c>
    </row>
    <row r="3" spans="1:29" ht="24.95" customHeight="1" thickBot="1" x14ac:dyDescent="0.3">
      <c r="A3" s="224"/>
      <c r="B3" s="18" t="s">
        <v>28</v>
      </c>
      <c r="C3" s="19" t="s">
        <v>29</v>
      </c>
      <c r="D3" s="18" t="s">
        <v>30</v>
      </c>
      <c r="E3" s="20" t="s">
        <v>10</v>
      </c>
      <c r="F3" s="21" t="s">
        <v>28</v>
      </c>
      <c r="G3" s="22" t="s">
        <v>29</v>
      </c>
      <c r="H3" s="23" t="s">
        <v>30</v>
      </c>
      <c r="I3" s="24" t="s">
        <v>10</v>
      </c>
      <c r="J3" s="25" t="s">
        <v>28</v>
      </c>
      <c r="K3" s="26" t="s">
        <v>29</v>
      </c>
      <c r="L3" s="23" t="s">
        <v>30</v>
      </c>
      <c r="M3" s="24" t="s">
        <v>10</v>
      </c>
      <c r="N3" s="21" t="s">
        <v>28</v>
      </c>
      <c r="O3" s="27" t="s">
        <v>29</v>
      </c>
      <c r="P3" s="23" t="s">
        <v>30</v>
      </c>
      <c r="Q3" s="24" t="s">
        <v>10</v>
      </c>
      <c r="R3" s="21" t="s">
        <v>28</v>
      </c>
      <c r="S3" s="27" t="s">
        <v>29</v>
      </c>
      <c r="T3" s="23" t="s">
        <v>30</v>
      </c>
      <c r="U3" s="24" t="s">
        <v>10</v>
      </c>
      <c r="V3" s="16" t="s">
        <v>28</v>
      </c>
      <c r="W3" s="17" t="s">
        <v>29</v>
      </c>
      <c r="X3" s="17" t="s">
        <v>30</v>
      </c>
      <c r="Y3" s="40"/>
      <c r="Z3" s="41"/>
      <c r="AA3" s="42"/>
      <c r="AB3" s="43"/>
      <c r="AC3" s="39" t="s">
        <v>194</v>
      </c>
    </row>
    <row r="4" spans="1:29" ht="15.75" customHeight="1" thickTop="1" x14ac:dyDescent="0.25">
      <c r="A4" s="44" t="str">
        <f ca="1">CELL("contenu",INDIRECT(ADDRESS(ROW()-2,1,1,,CELL("contenu",$AC$3))))</f>
        <v>ADOLPH Maximilian</v>
      </c>
      <c r="B4" s="1" t="str">
        <f ca="1">CELL("contenu",INDIRECT(ADDRESS(ref!$K$3,ref!E3,1,,CELL("contenu",$AC$2))))</f>
        <v/>
      </c>
      <c r="C4" s="2" t="str">
        <f ca="1">CELL("contenu",INDIRECT(ADDRESS(ref!$K$3,ref!F3,1,,CELL("contenu",$AC$2))))</f>
        <v/>
      </c>
      <c r="D4" s="3" t="str">
        <f ca="1">CELL("contenu",INDIRECT(ADDRESS(ref!$K$3,ref!G3,1,,CELL("contenu",$AC$2))))</f>
        <v/>
      </c>
      <c r="E4" s="4" t="str">
        <f ca="1">CELL("contenu",INDIRECT(ADDRESS(ref!$K$3,ref!H3,1,,CELL("contenu",$AC$2))))</f>
        <v/>
      </c>
      <c r="F4" s="5" t="str">
        <f ca="1">CELL("contenu",INDIRECT(ADDRESS(ref!$K$4,ref!E3,1,,CELL("contenu",$AC$2))))</f>
        <v>B</v>
      </c>
      <c r="G4" s="2" t="str">
        <f ca="1">CELL("contenu",INDIRECT(ADDRESS(ref!$K$4,ref!F3,1,,CELL("contenu",$AC$2))))</f>
        <v/>
      </c>
      <c r="H4" s="3" t="str">
        <f ca="1">CELL("contenu",INDIRECT(ADDRESS(ref!$K$4,ref!G3,1,,CELL("contenu",$AC$2))))</f>
        <v/>
      </c>
      <c r="I4" s="4" t="str">
        <f ca="1">CELL("contenu",INDIRECT(ADDRESS(ref!$K$4,ref!H3,1,,CELL("contenu",$AC$2))))</f>
        <v>B</v>
      </c>
      <c r="J4" s="5" t="str">
        <f ca="1">CELL("contenu",INDIRECT(ADDRESS(ref!$K$5,ref!E3,1,,CELL("contenu",$AC$2))))</f>
        <v>B</v>
      </c>
      <c r="K4" s="2" t="str">
        <f ca="1">CELL("contenu",INDIRECT(ADDRESS(ref!$K$5,ref!F3,1,,CELL("contenu",$AC$2))))</f>
        <v/>
      </c>
      <c r="L4" s="3" t="str">
        <f ca="1">CELL("contenu",INDIRECT(ADDRESS(ref!$K$5,ref!G3,1,,CELL("contenu",$AC$2))))</f>
        <v/>
      </c>
      <c r="M4" s="4" t="str">
        <f ca="1">CELL("contenu",INDIRECT(ADDRESS(ref!$K$5,ref!H3,1,,CELL("contenu",$AC$2))))</f>
        <v>B</v>
      </c>
      <c r="N4" s="5" t="str">
        <f ca="1">CELL("contenu",INDIRECT(ADDRESS(ref!$K$6,ref!E3,1,,CELL("contenu",$AC$2))))</f>
        <v>A</v>
      </c>
      <c r="O4" s="2" t="str">
        <f ca="1">CELL("contenu",INDIRECT(ADDRESS(ref!$K$6,ref!F3,1,,CELL("contenu",$AC$2))))</f>
        <v/>
      </c>
      <c r="P4" s="3" t="str">
        <f ca="1">CELL("contenu",INDIRECT(ADDRESS(ref!$K$6,ref!G3,1,,CELL("contenu",$AC$2))))</f>
        <v/>
      </c>
      <c r="Q4" s="4" t="str">
        <f ca="1">CELL("contenu",INDIRECT(ADDRESS(ref!$K$6,ref!H3,1,,CELL("contenu",$AC$2))))</f>
        <v>A</v>
      </c>
      <c r="R4" s="5" t="str">
        <f ca="1">CELL("contenu",INDIRECT(ADDRESS(ref!$K$7,ref!E3,1,,CELL("contenu",$AC$2))))</f>
        <v>A</v>
      </c>
      <c r="S4" s="2" t="str">
        <f ca="1">CELL("contenu",INDIRECT(ADDRESS(ref!$K$7,ref!F3,1,,CELL("contenu",$AC$2))))</f>
        <v/>
      </c>
      <c r="T4" s="3" t="str">
        <f ca="1">CELL("contenu",INDIRECT(ADDRESS(ref!$K$7,ref!G3,1,,CELL("contenu",$AC$2))))</f>
        <v/>
      </c>
      <c r="U4" s="4" t="str">
        <f ca="1">CELL("contenu",INDIRECT(ADDRESS(ref!$K$7,ref!H3,1,,CELL("contenu",$AC$2))))</f>
        <v>A</v>
      </c>
      <c r="V4" s="28">
        <f ca="1">CELL("contenu",INDIRECT(ADDRESS(ref!$K$8,ref!E3,1,,CELL("contenu",$AC$2))))</f>
        <v>17.5</v>
      </c>
      <c r="W4" s="29" t="str">
        <f ca="1">CELL("contenu",INDIRECT(ADDRESS(ref!$K$8,ref!F3,1,,CELL("contenu",$AC$2))))</f>
        <v/>
      </c>
      <c r="X4" s="30" t="str">
        <f ca="1">CELL("contenu",INDIRECT(ADDRESS(ref!$K$8,ref!G3,1,,CELL("contenu",$AC$2))))</f>
        <v/>
      </c>
      <c r="Y4" s="6" t="str">
        <f ca="1">CELL("contenu",INDIRECT(ADDRESS(ref!$K$9,ref!H3,1,,CELL("contenu",$AC$2))))</f>
        <v/>
      </c>
      <c r="Z4" s="3" t="str">
        <f ca="1">CELL("contenu",INDIRECT(ADDRESS(ref!$K$10,ref!H3,1,,CELL("contenu",$AC$2))))</f>
        <v>B</v>
      </c>
      <c r="AA4" s="7" t="str">
        <f ca="1">CELL("contenu",INDIRECT(ADDRESS(ref!$K$11,ref!H3,1,,CELL("contenu",$AC$2))))</f>
        <v>A</v>
      </c>
    </row>
    <row r="5" spans="1:29" x14ac:dyDescent="0.25">
      <c r="A5" s="45" t="str">
        <f ca="1">CELL("contenu",INDIRECT(ADDRESS(ROW()-2,1,1,,CELL("contenu",$AC$3))))</f>
        <v>ALFANDARI Adrien</v>
      </c>
      <c r="B5" s="1" t="str">
        <f ca="1">CELL("contenu",INDIRECT(ADDRESS(ref!$K$3,ref!E4,1,,CELL("contenu",$AC$2))))</f>
        <v/>
      </c>
      <c r="C5" s="2" t="str">
        <f ca="1">CELL("contenu",INDIRECT(ADDRESS(ref!$K$3,ref!F4,1,,CELL("contenu",$AC$2))))</f>
        <v/>
      </c>
      <c r="D5" s="3" t="str">
        <f ca="1">CELL("contenu",INDIRECT(ADDRESS(ref!$K$3,ref!G4,1,,CELL("contenu",$AC$2))))</f>
        <v/>
      </c>
      <c r="E5" s="4" t="str">
        <f ca="1">CELL("contenu",INDIRECT(ADDRESS(ref!$K$3,ref!H4,1,,CELL("contenu",$AC$2))))</f>
        <v/>
      </c>
      <c r="F5" s="5" t="str">
        <f ca="1">CELL("contenu",INDIRECT(ADDRESS(ref!$K$4,ref!E4,1,,CELL("contenu",$AC$2))))</f>
        <v>A</v>
      </c>
      <c r="G5" s="2" t="str">
        <f ca="1">CELL("contenu",INDIRECT(ADDRESS(ref!$K$4,ref!F4,1,,CELL("contenu",$AC$2))))</f>
        <v/>
      </c>
      <c r="H5" s="3" t="str">
        <f ca="1">CELL("contenu",INDIRECT(ADDRESS(ref!$K$4,ref!G4,1,,CELL("contenu",$AC$2))))</f>
        <v/>
      </c>
      <c r="I5" s="4" t="str">
        <f ca="1">CELL("contenu",INDIRECT(ADDRESS(ref!$K$4,ref!H4,1,,CELL("contenu",$AC$2))))</f>
        <v>A</v>
      </c>
      <c r="J5" s="5" t="str">
        <f ca="1">CELL("contenu",INDIRECT(ADDRESS(ref!$K$5,ref!E4,1,,CELL("contenu",$AC$2))))</f>
        <v>B</v>
      </c>
      <c r="K5" s="2" t="str">
        <f ca="1">CELL("contenu",INDIRECT(ADDRESS(ref!$K$5,ref!F4,1,,CELL("contenu",$AC$2))))</f>
        <v/>
      </c>
      <c r="L5" s="3" t="str">
        <f ca="1">CELL("contenu",INDIRECT(ADDRESS(ref!$K$5,ref!G4,1,,CELL("contenu",$AC$2))))</f>
        <v/>
      </c>
      <c r="M5" s="4" t="str">
        <f ca="1">CELL("contenu",INDIRECT(ADDRESS(ref!$K$5,ref!H4,1,,CELL("contenu",$AC$2))))</f>
        <v>B</v>
      </c>
      <c r="N5" s="5" t="str">
        <f ca="1">CELL("contenu",INDIRECT(ADDRESS(ref!$K$6,ref!E4,1,,CELL("contenu",$AC$2))))</f>
        <v>B</v>
      </c>
      <c r="O5" s="2" t="str">
        <f ca="1">CELL("contenu",INDIRECT(ADDRESS(ref!$K$6,ref!F4,1,,CELL("contenu",$AC$2))))</f>
        <v/>
      </c>
      <c r="P5" s="3" t="str">
        <f ca="1">CELL("contenu",INDIRECT(ADDRESS(ref!$K$6,ref!G4,1,,CELL("contenu",$AC$2))))</f>
        <v/>
      </c>
      <c r="Q5" s="4" t="str">
        <f ca="1">CELL("contenu",INDIRECT(ADDRESS(ref!$K$6,ref!H4,1,,CELL("contenu",$AC$2))))</f>
        <v>B</v>
      </c>
      <c r="R5" s="5" t="str">
        <f ca="1">CELL("contenu",INDIRECT(ADDRESS(ref!$K$7,ref!E4,1,,CELL("contenu",$AC$2))))</f>
        <v>A</v>
      </c>
      <c r="S5" s="2" t="str">
        <f ca="1">CELL("contenu",INDIRECT(ADDRESS(ref!$K$7,ref!F4,1,,CELL("contenu",$AC$2))))</f>
        <v/>
      </c>
      <c r="T5" s="3" t="str">
        <f ca="1">CELL("contenu",INDIRECT(ADDRESS(ref!$K$7,ref!G4,1,,CELL("contenu",$AC$2))))</f>
        <v/>
      </c>
      <c r="U5" s="4" t="str">
        <f ca="1">CELL("contenu",INDIRECT(ADDRESS(ref!$K$7,ref!H4,1,,CELL("contenu",$AC$2))))</f>
        <v>A</v>
      </c>
      <c r="V5" s="28">
        <f ca="1">CELL("contenu",INDIRECT(ADDRESS(ref!$K$8,ref!E4,1,,CELL("contenu",$AC$2))))</f>
        <v>17.5</v>
      </c>
      <c r="W5" s="29" t="str">
        <f ca="1">CELL("contenu",INDIRECT(ADDRESS(ref!$K$8,ref!F4,1,,CELL("contenu",$AC$2))))</f>
        <v/>
      </c>
      <c r="X5" s="30" t="str">
        <f ca="1">CELL("contenu",INDIRECT(ADDRESS(ref!$K$8,ref!G4,1,,CELL("contenu",$AC$2))))</f>
        <v/>
      </c>
      <c r="Y5" s="6" t="str">
        <f ca="1">CELL("contenu",INDIRECT(ADDRESS(ref!$K$9,ref!H4,1,,CELL("contenu",$AC$2))))</f>
        <v/>
      </c>
      <c r="Z5" s="3" t="str">
        <f ca="1">CELL("contenu",INDIRECT(ADDRESS(ref!$K$10,ref!H4,1,,CELL("contenu",$AC$2))))</f>
        <v>B</v>
      </c>
      <c r="AA5" s="7" t="str">
        <f ca="1">CELL("contenu",INDIRECT(ADDRESS(ref!$K$11,ref!H4,1,,CELL("contenu",$AC$2))))</f>
        <v>B</v>
      </c>
    </row>
    <row r="6" spans="1:29" x14ac:dyDescent="0.25">
      <c r="A6" s="45" t="str">
        <f t="shared" ref="A6:A33" ca="1" si="0">CELL("contenu",INDIRECT(ADDRESS(ROW()-2,1,1,,CELL("contenu",$AC$3))))</f>
        <v>BAHNES Hajar-Aîcha</v>
      </c>
      <c r="B6" s="1" t="str">
        <f ca="1">CELL("contenu",INDIRECT(ADDRESS(ref!$K$3,ref!E5,1,,CELL("contenu",$AC$2))))</f>
        <v/>
      </c>
      <c r="C6" s="2" t="str">
        <f ca="1">CELL("contenu",INDIRECT(ADDRESS(ref!$K$3,ref!F5,1,,CELL("contenu",$AC$2))))</f>
        <v/>
      </c>
      <c r="D6" s="3" t="str">
        <f ca="1">CELL("contenu",INDIRECT(ADDRESS(ref!$K$3,ref!G5,1,,CELL("contenu",$AC$2))))</f>
        <v/>
      </c>
      <c r="E6" s="4" t="str">
        <f ca="1">CELL("contenu",INDIRECT(ADDRESS(ref!$K$3,ref!H5,1,,CELL("contenu",$AC$2))))</f>
        <v/>
      </c>
      <c r="F6" s="5" t="str">
        <f ca="1">CELL("contenu",INDIRECT(ADDRESS(ref!$K$4,ref!E5,1,,CELL("contenu",$AC$2))))</f>
        <v>C</v>
      </c>
      <c r="G6" s="2" t="str">
        <f ca="1">CELL("contenu",INDIRECT(ADDRESS(ref!$K$4,ref!F5,1,,CELL("contenu",$AC$2))))</f>
        <v/>
      </c>
      <c r="H6" s="3" t="str">
        <f ca="1">CELL("contenu",INDIRECT(ADDRESS(ref!$K$4,ref!G5,1,,CELL("contenu",$AC$2))))</f>
        <v/>
      </c>
      <c r="I6" s="4" t="str">
        <f ca="1">CELL("contenu",INDIRECT(ADDRESS(ref!$K$4,ref!H5,1,,CELL("contenu",$AC$2))))</f>
        <v>C</v>
      </c>
      <c r="J6" s="5" t="str">
        <f ca="1">CELL("contenu",INDIRECT(ADDRESS(ref!$K$5,ref!E5,1,,CELL("contenu",$AC$2))))</f>
        <v>A</v>
      </c>
      <c r="K6" s="2" t="str">
        <f ca="1">CELL("contenu",INDIRECT(ADDRESS(ref!$K$5,ref!F5,1,,CELL("contenu",$AC$2))))</f>
        <v/>
      </c>
      <c r="L6" s="3" t="str">
        <f ca="1">CELL("contenu",INDIRECT(ADDRESS(ref!$K$5,ref!G5,1,,CELL("contenu",$AC$2))))</f>
        <v/>
      </c>
      <c r="M6" s="4" t="str">
        <f ca="1">CELL("contenu",INDIRECT(ADDRESS(ref!$K$5,ref!H5,1,,CELL("contenu",$AC$2))))</f>
        <v>A</v>
      </c>
      <c r="N6" s="5" t="str">
        <f ca="1">CELL("contenu",INDIRECT(ADDRESS(ref!$K$6,ref!E5,1,,CELL("contenu",$AC$2))))</f>
        <v>A</v>
      </c>
      <c r="O6" s="2" t="str">
        <f ca="1">CELL("contenu",INDIRECT(ADDRESS(ref!$K$6,ref!F5,1,,CELL("contenu",$AC$2))))</f>
        <v/>
      </c>
      <c r="P6" s="3" t="str">
        <f ca="1">CELL("contenu",INDIRECT(ADDRESS(ref!$K$6,ref!G5,1,,CELL("contenu",$AC$2))))</f>
        <v/>
      </c>
      <c r="Q6" s="4" t="str">
        <f ca="1">CELL("contenu",INDIRECT(ADDRESS(ref!$K$6,ref!H5,1,,CELL("contenu",$AC$2))))</f>
        <v>A</v>
      </c>
      <c r="R6" s="5" t="str">
        <f ca="1">CELL("contenu",INDIRECT(ADDRESS(ref!$K$7,ref!E5,1,,CELL("contenu",$AC$2))))</f>
        <v>A</v>
      </c>
      <c r="S6" s="2" t="str">
        <f ca="1">CELL("contenu",INDIRECT(ADDRESS(ref!$K$7,ref!F5,1,,CELL("contenu",$AC$2))))</f>
        <v/>
      </c>
      <c r="T6" s="3" t="str">
        <f ca="1">CELL("contenu",INDIRECT(ADDRESS(ref!$K$7,ref!G5,1,,CELL("contenu",$AC$2))))</f>
        <v/>
      </c>
      <c r="U6" s="4" t="str">
        <f ca="1">CELL("contenu",INDIRECT(ADDRESS(ref!$K$7,ref!H5,1,,CELL("contenu",$AC$2))))</f>
        <v>A</v>
      </c>
      <c r="V6" s="28">
        <f ca="1">CELL("contenu",INDIRECT(ADDRESS(ref!$K$8,ref!E5,1,,CELL("contenu",$AC$2))))</f>
        <v>17.5</v>
      </c>
      <c r="W6" s="29" t="str">
        <f ca="1">CELL("contenu",INDIRECT(ADDRESS(ref!$K$8,ref!F5,1,,CELL("contenu",$AC$2))))</f>
        <v/>
      </c>
      <c r="X6" s="30" t="str">
        <f ca="1">CELL("contenu",INDIRECT(ADDRESS(ref!$K$8,ref!G5,1,,CELL("contenu",$AC$2))))</f>
        <v/>
      </c>
      <c r="Y6" s="6" t="str">
        <f ca="1">CELL("contenu",INDIRECT(ADDRESS(ref!$K$9,ref!H5,1,,CELL("contenu",$AC$2))))</f>
        <v/>
      </c>
      <c r="Z6" s="3" t="str">
        <f ca="1">CELL("contenu",INDIRECT(ADDRESS(ref!$K$10,ref!H5,1,,CELL("contenu",$AC$2))))</f>
        <v>A</v>
      </c>
      <c r="AA6" s="7" t="str">
        <f ca="1">CELL("contenu",INDIRECT(ADDRESS(ref!$K$11,ref!H5,1,,CELL("contenu",$AC$2))))</f>
        <v>A</v>
      </c>
    </row>
    <row r="7" spans="1:29" x14ac:dyDescent="0.25">
      <c r="A7" s="45" t="str">
        <f t="shared" ca="1" si="0"/>
        <v>BARRAULT BLANCHARD Maeva</v>
      </c>
      <c r="B7" s="1" t="str">
        <f ca="1">CELL("contenu",INDIRECT(ADDRESS(ref!$K$3,ref!E6,1,,CELL("contenu",$AC$2))))</f>
        <v/>
      </c>
      <c r="C7" s="2" t="str">
        <f ca="1">CELL("contenu",INDIRECT(ADDRESS(ref!$K$3,ref!F6,1,,CELL("contenu",$AC$2))))</f>
        <v/>
      </c>
      <c r="D7" s="3" t="str">
        <f ca="1">CELL("contenu",INDIRECT(ADDRESS(ref!$K$3,ref!G6,1,,CELL("contenu",$AC$2))))</f>
        <v/>
      </c>
      <c r="E7" s="4" t="str">
        <f ca="1">CELL("contenu",INDIRECT(ADDRESS(ref!$K$3,ref!H6,1,,CELL("contenu",$AC$2))))</f>
        <v/>
      </c>
      <c r="F7" s="5" t="str">
        <f ca="1">CELL("contenu",INDIRECT(ADDRESS(ref!$K$4,ref!E6,1,,CELL("contenu",$AC$2))))</f>
        <v>B</v>
      </c>
      <c r="G7" s="2" t="str">
        <f ca="1">CELL("contenu",INDIRECT(ADDRESS(ref!$K$4,ref!F6,1,,CELL("contenu",$AC$2))))</f>
        <v/>
      </c>
      <c r="H7" s="3" t="str">
        <f ca="1">CELL("contenu",INDIRECT(ADDRESS(ref!$K$4,ref!G6,1,,CELL("contenu",$AC$2))))</f>
        <v/>
      </c>
      <c r="I7" s="4" t="str">
        <f ca="1">CELL("contenu",INDIRECT(ADDRESS(ref!$K$4,ref!H6,1,,CELL("contenu",$AC$2))))</f>
        <v>B</v>
      </c>
      <c r="J7" s="5" t="str">
        <f ca="1">CELL("contenu",INDIRECT(ADDRESS(ref!$K$5,ref!E6,1,,CELL("contenu",$AC$2))))</f>
        <v>B</v>
      </c>
      <c r="K7" s="2" t="str">
        <f ca="1">CELL("contenu",INDIRECT(ADDRESS(ref!$K$5,ref!F6,1,,CELL("contenu",$AC$2))))</f>
        <v/>
      </c>
      <c r="L7" s="3" t="str">
        <f ca="1">CELL("contenu",INDIRECT(ADDRESS(ref!$K$5,ref!G6,1,,CELL("contenu",$AC$2))))</f>
        <v/>
      </c>
      <c r="M7" s="4" t="str">
        <f ca="1">CELL("contenu",INDIRECT(ADDRESS(ref!$K$5,ref!H6,1,,CELL("contenu",$AC$2))))</f>
        <v>B</v>
      </c>
      <c r="N7" s="5" t="str">
        <f ca="1">CELL("contenu",INDIRECT(ADDRESS(ref!$K$6,ref!E6,1,,CELL("contenu",$AC$2))))</f>
        <v>C</v>
      </c>
      <c r="O7" s="2" t="str">
        <f ca="1">CELL("contenu",INDIRECT(ADDRESS(ref!$K$6,ref!F6,1,,CELL("contenu",$AC$2))))</f>
        <v/>
      </c>
      <c r="P7" s="3" t="str">
        <f ca="1">CELL("contenu",INDIRECT(ADDRESS(ref!$K$6,ref!G6,1,,CELL("contenu",$AC$2))))</f>
        <v/>
      </c>
      <c r="Q7" s="4" t="str">
        <f ca="1">CELL("contenu",INDIRECT(ADDRESS(ref!$K$6,ref!H6,1,,CELL("contenu",$AC$2))))</f>
        <v>C</v>
      </c>
      <c r="R7" s="5" t="str">
        <f ca="1">CELL("contenu",INDIRECT(ADDRESS(ref!$K$7,ref!E6,1,,CELL("contenu",$AC$2))))</f>
        <v>A</v>
      </c>
      <c r="S7" s="2" t="str">
        <f ca="1">CELL("contenu",INDIRECT(ADDRESS(ref!$K$7,ref!F6,1,,CELL("contenu",$AC$2))))</f>
        <v/>
      </c>
      <c r="T7" s="3" t="str">
        <f ca="1">CELL("contenu",INDIRECT(ADDRESS(ref!$K$7,ref!G6,1,,CELL("contenu",$AC$2))))</f>
        <v/>
      </c>
      <c r="U7" s="4" t="str">
        <f ca="1">CELL("contenu",INDIRECT(ADDRESS(ref!$K$7,ref!H6,1,,CELL("contenu",$AC$2))))</f>
        <v>A</v>
      </c>
      <c r="V7" s="28">
        <f ca="1">CELL("contenu",INDIRECT(ADDRESS(ref!$K$8,ref!E6,1,,CELL("contenu",$AC$2))))</f>
        <v>14.166666666666668</v>
      </c>
      <c r="W7" s="29" t="str">
        <f ca="1">CELL("contenu",INDIRECT(ADDRESS(ref!$K$8,ref!F6,1,,CELL("contenu",$AC$2))))</f>
        <v/>
      </c>
      <c r="X7" s="30" t="str">
        <f ca="1">CELL("contenu",INDIRECT(ADDRESS(ref!$K$8,ref!G6,1,,CELL("contenu",$AC$2))))</f>
        <v/>
      </c>
      <c r="Y7" s="6" t="str">
        <f ca="1">CELL("contenu",INDIRECT(ADDRESS(ref!$K$9,ref!H6,1,,CELL("contenu",$AC$2))))</f>
        <v/>
      </c>
      <c r="Z7" s="3" t="str">
        <f ca="1">CELL("contenu",INDIRECT(ADDRESS(ref!$K$10,ref!H6,1,,CELL("contenu",$AC$2))))</f>
        <v>B</v>
      </c>
      <c r="AA7" s="7" t="str">
        <f ca="1">CELL("contenu",INDIRECT(ADDRESS(ref!$K$11,ref!H6,1,,CELL("contenu",$AC$2))))</f>
        <v>C</v>
      </c>
    </row>
    <row r="8" spans="1:29" x14ac:dyDescent="0.25">
      <c r="A8" s="45" t="str">
        <f t="shared" ca="1" si="0"/>
        <v>BEAUFILS Maelle</v>
      </c>
      <c r="B8" s="1" t="str">
        <f ca="1">CELL("contenu",INDIRECT(ADDRESS(ref!$K$3,ref!E7,1,,CELL("contenu",$AC$2))))</f>
        <v/>
      </c>
      <c r="C8" s="2" t="str">
        <f ca="1">CELL("contenu",INDIRECT(ADDRESS(ref!$K$3,ref!F7,1,,CELL("contenu",$AC$2))))</f>
        <v/>
      </c>
      <c r="D8" s="3" t="str">
        <f ca="1">CELL("contenu",INDIRECT(ADDRESS(ref!$K$3,ref!G7,1,,CELL("contenu",$AC$2))))</f>
        <v/>
      </c>
      <c r="E8" s="4" t="str">
        <f ca="1">CELL("contenu",INDIRECT(ADDRESS(ref!$K$3,ref!H7,1,,CELL("contenu",$AC$2))))</f>
        <v/>
      </c>
      <c r="F8" s="5" t="str">
        <f ca="1">CELL("contenu",INDIRECT(ADDRESS(ref!$K$4,ref!E7,1,,CELL("contenu",$AC$2))))</f>
        <v>C</v>
      </c>
      <c r="G8" s="2" t="str">
        <f ca="1">CELL("contenu",INDIRECT(ADDRESS(ref!$K$4,ref!F7,1,,CELL("contenu",$AC$2))))</f>
        <v/>
      </c>
      <c r="H8" s="3" t="str">
        <f ca="1">CELL("contenu",INDIRECT(ADDRESS(ref!$K$4,ref!G7,1,,CELL("contenu",$AC$2))))</f>
        <v/>
      </c>
      <c r="I8" s="4" t="str">
        <f ca="1">CELL("contenu",INDIRECT(ADDRESS(ref!$K$4,ref!H7,1,,CELL("contenu",$AC$2))))</f>
        <v>C</v>
      </c>
      <c r="J8" s="5" t="str">
        <f ca="1">CELL("contenu",INDIRECT(ADDRESS(ref!$K$5,ref!E7,1,,CELL("contenu",$AC$2))))</f>
        <v>B</v>
      </c>
      <c r="K8" s="2" t="str">
        <f ca="1">CELL("contenu",INDIRECT(ADDRESS(ref!$K$5,ref!F7,1,,CELL("contenu",$AC$2))))</f>
        <v/>
      </c>
      <c r="L8" s="3" t="str">
        <f ca="1">CELL("contenu",INDIRECT(ADDRESS(ref!$K$5,ref!G7,1,,CELL("contenu",$AC$2))))</f>
        <v/>
      </c>
      <c r="M8" s="4" t="str">
        <f ca="1">CELL("contenu",INDIRECT(ADDRESS(ref!$K$5,ref!H7,1,,CELL("contenu",$AC$2))))</f>
        <v>B</v>
      </c>
      <c r="N8" s="5" t="str">
        <f ca="1">CELL("contenu",INDIRECT(ADDRESS(ref!$K$6,ref!E7,1,,CELL("contenu",$AC$2))))</f>
        <v>A</v>
      </c>
      <c r="O8" s="2" t="str">
        <f ca="1">CELL("contenu",INDIRECT(ADDRESS(ref!$K$6,ref!F7,1,,CELL("contenu",$AC$2))))</f>
        <v/>
      </c>
      <c r="P8" s="3" t="str">
        <f ca="1">CELL("contenu",INDIRECT(ADDRESS(ref!$K$6,ref!G7,1,,CELL("contenu",$AC$2))))</f>
        <v/>
      </c>
      <c r="Q8" s="4" t="str">
        <f ca="1">CELL("contenu",INDIRECT(ADDRESS(ref!$K$6,ref!H7,1,,CELL("contenu",$AC$2))))</f>
        <v>A</v>
      </c>
      <c r="R8" s="5" t="str">
        <f ca="1">CELL("contenu",INDIRECT(ADDRESS(ref!$K$7,ref!E7,1,,CELL("contenu",$AC$2))))</f>
        <v>A</v>
      </c>
      <c r="S8" s="2" t="str">
        <f ca="1">CELL("contenu",INDIRECT(ADDRESS(ref!$K$7,ref!F7,1,,CELL("contenu",$AC$2))))</f>
        <v/>
      </c>
      <c r="T8" s="3" t="str">
        <f ca="1">CELL("contenu",INDIRECT(ADDRESS(ref!$K$7,ref!G7,1,,CELL("contenu",$AC$2))))</f>
        <v/>
      </c>
      <c r="U8" s="4" t="str">
        <f ca="1">CELL("contenu",INDIRECT(ADDRESS(ref!$K$7,ref!H7,1,,CELL("contenu",$AC$2))))</f>
        <v>A</v>
      </c>
      <c r="V8" s="28">
        <f ca="1">CELL("contenu",INDIRECT(ADDRESS(ref!$K$8,ref!E7,1,,CELL("contenu",$AC$2))))</f>
        <v>16.666666666666664</v>
      </c>
      <c r="W8" s="29" t="str">
        <f ca="1">CELL("contenu",INDIRECT(ADDRESS(ref!$K$8,ref!F7,1,,CELL("contenu",$AC$2))))</f>
        <v/>
      </c>
      <c r="X8" s="30" t="str">
        <f ca="1">CELL("contenu",INDIRECT(ADDRESS(ref!$K$8,ref!G7,1,,CELL("contenu",$AC$2))))</f>
        <v/>
      </c>
      <c r="Y8" s="6" t="str">
        <f ca="1">CELL("contenu",INDIRECT(ADDRESS(ref!$K$9,ref!H7,1,,CELL("contenu",$AC$2))))</f>
        <v/>
      </c>
      <c r="Z8" s="3" t="str">
        <f ca="1">CELL("contenu",INDIRECT(ADDRESS(ref!$K$10,ref!H7,1,,CELL("contenu",$AC$2))))</f>
        <v>B</v>
      </c>
      <c r="AA8" s="7" t="str">
        <f ca="1">CELL("contenu",INDIRECT(ADDRESS(ref!$K$11,ref!H7,1,,CELL("contenu",$AC$2))))</f>
        <v>A</v>
      </c>
    </row>
    <row r="9" spans="1:29" x14ac:dyDescent="0.25">
      <c r="A9" s="45" t="str">
        <f t="shared" ca="1" si="0"/>
        <v>BOSCHER Leopold</v>
      </c>
      <c r="B9" s="1" t="str">
        <f ca="1">CELL("contenu",INDIRECT(ADDRESS(ref!$K$3,ref!E8,1,,CELL("contenu",$AC$2))))</f>
        <v/>
      </c>
      <c r="C9" s="2" t="str">
        <f ca="1">CELL("contenu",INDIRECT(ADDRESS(ref!$K$3,ref!F8,1,,CELL("contenu",$AC$2))))</f>
        <v/>
      </c>
      <c r="D9" s="3" t="str">
        <f ca="1">CELL("contenu",INDIRECT(ADDRESS(ref!$K$3,ref!G8,1,,CELL("contenu",$AC$2))))</f>
        <v/>
      </c>
      <c r="E9" s="4" t="str">
        <f ca="1">CELL("contenu",INDIRECT(ADDRESS(ref!$K$3,ref!H8,1,,CELL("contenu",$AC$2))))</f>
        <v/>
      </c>
      <c r="F9" s="5" t="str">
        <f ca="1">CELL("contenu",INDIRECT(ADDRESS(ref!$K$4,ref!E8,1,,CELL("contenu",$AC$2))))</f>
        <v>A</v>
      </c>
      <c r="G9" s="2" t="str">
        <f ca="1">CELL("contenu",INDIRECT(ADDRESS(ref!$K$4,ref!F8,1,,CELL("contenu",$AC$2))))</f>
        <v/>
      </c>
      <c r="H9" s="3" t="str">
        <f ca="1">CELL("contenu",INDIRECT(ADDRESS(ref!$K$4,ref!G8,1,,CELL("contenu",$AC$2))))</f>
        <v/>
      </c>
      <c r="I9" s="4" t="str">
        <f ca="1">CELL("contenu",INDIRECT(ADDRESS(ref!$K$4,ref!H8,1,,CELL("contenu",$AC$2))))</f>
        <v>A</v>
      </c>
      <c r="J9" s="5" t="str">
        <f ca="1">CELL("contenu",INDIRECT(ADDRESS(ref!$K$5,ref!E8,1,,CELL("contenu",$AC$2))))</f>
        <v>A</v>
      </c>
      <c r="K9" s="2" t="str">
        <f ca="1">CELL("contenu",INDIRECT(ADDRESS(ref!$K$5,ref!F8,1,,CELL("contenu",$AC$2))))</f>
        <v/>
      </c>
      <c r="L9" s="3" t="str">
        <f ca="1">CELL("contenu",INDIRECT(ADDRESS(ref!$K$5,ref!G8,1,,CELL("contenu",$AC$2))))</f>
        <v/>
      </c>
      <c r="M9" s="4" t="str">
        <f ca="1">CELL("contenu",INDIRECT(ADDRESS(ref!$K$5,ref!H8,1,,CELL("contenu",$AC$2))))</f>
        <v>A</v>
      </c>
      <c r="N9" s="5" t="str">
        <f ca="1">CELL("contenu",INDIRECT(ADDRESS(ref!$K$6,ref!E8,1,,CELL("contenu",$AC$2))))</f>
        <v>C</v>
      </c>
      <c r="O9" s="2" t="str">
        <f ca="1">CELL("contenu",INDIRECT(ADDRESS(ref!$K$6,ref!F8,1,,CELL("contenu",$AC$2))))</f>
        <v/>
      </c>
      <c r="P9" s="3" t="str">
        <f ca="1">CELL("contenu",INDIRECT(ADDRESS(ref!$K$6,ref!G8,1,,CELL("contenu",$AC$2))))</f>
        <v/>
      </c>
      <c r="Q9" s="4" t="str">
        <f ca="1">CELL("contenu",INDIRECT(ADDRESS(ref!$K$6,ref!H8,1,,CELL("contenu",$AC$2))))</f>
        <v>C</v>
      </c>
      <c r="R9" s="5" t="str">
        <f ca="1">CELL("contenu",INDIRECT(ADDRESS(ref!$K$7,ref!E8,1,,CELL("contenu",$AC$2))))</f>
        <v>A</v>
      </c>
      <c r="S9" s="2" t="str">
        <f ca="1">CELL("contenu",INDIRECT(ADDRESS(ref!$K$7,ref!F8,1,,CELL("contenu",$AC$2))))</f>
        <v/>
      </c>
      <c r="T9" s="3" t="str">
        <f ca="1">CELL("contenu",INDIRECT(ADDRESS(ref!$K$7,ref!G8,1,,CELL("contenu",$AC$2))))</f>
        <v/>
      </c>
      <c r="U9" s="4" t="str">
        <f ca="1">CELL("contenu",INDIRECT(ADDRESS(ref!$K$7,ref!H8,1,,CELL("contenu",$AC$2))))</f>
        <v>A</v>
      </c>
      <c r="V9" s="28">
        <f ca="1">CELL("contenu",INDIRECT(ADDRESS(ref!$K$8,ref!E8,1,,CELL("contenu",$AC$2))))</f>
        <v>16.666666666666668</v>
      </c>
      <c r="W9" s="29" t="str">
        <f ca="1">CELL("contenu",INDIRECT(ADDRESS(ref!$K$8,ref!F8,1,,CELL("contenu",$AC$2))))</f>
        <v/>
      </c>
      <c r="X9" s="30" t="str">
        <f ca="1">CELL("contenu",INDIRECT(ADDRESS(ref!$K$8,ref!G8,1,,CELL("contenu",$AC$2))))</f>
        <v/>
      </c>
      <c r="Y9" s="6" t="str">
        <f ca="1">CELL("contenu",INDIRECT(ADDRESS(ref!$K$9,ref!H8,1,,CELL("contenu",$AC$2))))</f>
        <v/>
      </c>
      <c r="Z9" s="3" t="str">
        <f ca="1">CELL("contenu",INDIRECT(ADDRESS(ref!$K$10,ref!H8,1,,CELL("contenu",$AC$2))))</f>
        <v>A</v>
      </c>
      <c r="AA9" s="7" t="str">
        <f ca="1">CELL("contenu",INDIRECT(ADDRESS(ref!$K$11,ref!H8,1,,CELL("contenu",$AC$2))))</f>
        <v>C</v>
      </c>
    </row>
    <row r="10" spans="1:29" x14ac:dyDescent="0.25">
      <c r="A10" s="45" t="str">
        <f t="shared" ca="1" si="0"/>
        <v>BRICE Arthur</v>
      </c>
      <c r="B10" s="1" t="str">
        <f ca="1">CELL("contenu",INDIRECT(ADDRESS(ref!$K$3,ref!E9,1,,CELL("contenu",$AC$2))))</f>
        <v/>
      </c>
      <c r="C10" s="2" t="str">
        <f ca="1">CELL("contenu",INDIRECT(ADDRESS(ref!$K$3,ref!F9,1,,CELL("contenu",$AC$2))))</f>
        <v/>
      </c>
      <c r="D10" s="3" t="str">
        <f ca="1">CELL("contenu",INDIRECT(ADDRESS(ref!$K$3,ref!G9,1,,CELL("contenu",$AC$2))))</f>
        <v/>
      </c>
      <c r="E10" s="4" t="str">
        <f ca="1">CELL("contenu",INDIRECT(ADDRESS(ref!$K$3,ref!H9,1,,CELL("contenu",$AC$2))))</f>
        <v/>
      </c>
      <c r="F10" s="5" t="str">
        <f ca="1">CELL("contenu",INDIRECT(ADDRESS(ref!$K$4,ref!E9,1,,CELL("contenu",$AC$2))))</f>
        <v>B</v>
      </c>
      <c r="G10" s="2" t="str">
        <f ca="1">CELL("contenu",INDIRECT(ADDRESS(ref!$K$4,ref!F9,1,,CELL("contenu",$AC$2))))</f>
        <v/>
      </c>
      <c r="H10" s="3" t="str">
        <f ca="1">CELL("contenu",INDIRECT(ADDRESS(ref!$K$4,ref!G9,1,,CELL("contenu",$AC$2))))</f>
        <v/>
      </c>
      <c r="I10" s="4" t="str">
        <f ca="1">CELL("contenu",INDIRECT(ADDRESS(ref!$K$4,ref!H9,1,,CELL("contenu",$AC$2))))</f>
        <v>B</v>
      </c>
      <c r="J10" s="5" t="str">
        <f ca="1">CELL("contenu",INDIRECT(ADDRESS(ref!$K$5,ref!E9,1,,CELL("contenu",$AC$2))))</f>
        <v>B</v>
      </c>
      <c r="K10" s="2" t="str">
        <f ca="1">CELL("contenu",INDIRECT(ADDRESS(ref!$K$5,ref!F9,1,,CELL("contenu",$AC$2))))</f>
        <v/>
      </c>
      <c r="L10" s="3" t="str">
        <f ca="1">CELL("contenu",INDIRECT(ADDRESS(ref!$K$5,ref!G9,1,,CELL("contenu",$AC$2))))</f>
        <v/>
      </c>
      <c r="M10" s="4" t="str">
        <f ca="1">CELL("contenu",INDIRECT(ADDRESS(ref!$K$5,ref!H9,1,,CELL("contenu",$AC$2))))</f>
        <v>B</v>
      </c>
      <c r="N10" s="5" t="str">
        <f ca="1">CELL("contenu",INDIRECT(ADDRESS(ref!$K$6,ref!E9,1,,CELL("contenu",$AC$2))))</f>
        <v>C</v>
      </c>
      <c r="O10" s="2" t="str">
        <f ca="1">CELL("contenu",INDIRECT(ADDRESS(ref!$K$6,ref!F9,1,,CELL("contenu",$AC$2))))</f>
        <v/>
      </c>
      <c r="P10" s="3" t="str">
        <f ca="1">CELL("contenu",INDIRECT(ADDRESS(ref!$K$6,ref!G9,1,,CELL("contenu",$AC$2))))</f>
        <v/>
      </c>
      <c r="Q10" s="4" t="str">
        <f ca="1">CELL("contenu",INDIRECT(ADDRESS(ref!$K$6,ref!H9,1,,CELL("contenu",$AC$2))))</f>
        <v>C</v>
      </c>
      <c r="R10" s="5" t="str">
        <f ca="1">CELL("contenu",INDIRECT(ADDRESS(ref!$K$7,ref!E9,1,,CELL("contenu",$AC$2))))</f>
        <v>A</v>
      </c>
      <c r="S10" s="2" t="str">
        <f ca="1">CELL("contenu",INDIRECT(ADDRESS(ref!$K$7,ref!F9,1,,CELL("contenu",$AC$2))))</f>
        <v/>
      </c>
      <c r="T10" s="3" t="str">
        <f ca="1">CELL("contenu",INDIRECT(ADDRESS(ref!$K$7,ref!G9,1,,CELL("contenu",$AC$2))))</f>
        <v/>
      </c>
      <c r="U10" s="4" t="str">
        <f ca="1">CELL("contenu",INDIRECT(ADDRESS(ref!$K$7,ref!H9,1,,CELL("contenu",$AC$2))))</f>
        <v>A</v>
      </c>
      <c r="V10" s="28">
        <f ca="1">CELL("contenu",INDIRECT(ADDRESS(ref!$K$8,ref!E9,1,,CELL("contenu",$AC$2))))</f>
        <v>15</v>
      </c>
      <c r="W10" s="29" t="str">
        <f ca="1">CELL("contenu",INDIRECT(ADDRESS(ref!$K$8,ref!F9,1,,CELL("contenu",$AC$2))))</f>
        <v/>
      </c>
      <c r="X10" s="30" t="str">
        <f ca="1">CELL("contenu",INDIRECT(ADDRESS(ref!$K$8,ref!G9,1,,CELL("contenu",$AC$2))))</f>
        <v/>
      </c>
      <c r="Y10" s="6" t="str">
        <f ca="1">CELL("contenu",INDIRECT(ADDRESS(ref!$K$9,ref!H9,1,,CELL("contenu",$AC$2))))</f>
        <v/>
      </c>
      <c r="Z10" s="3" t="str">
        <f ca="1">CELL("contenu",INDIRECT(ADDRESS(ref!$K$10,ref!H9,1,,CELL("contenu",$AC$2))))</f>
        <v>B</v>
      </c>
      <c r="AA10" s="7" t="str">
        <f ca="1">CELL("contenu",INDIRECT(ADDRESS(ref!$K$11,ref!H9,1,,CELL("contenu",$AC$2))))</f>
        <v>C</v>
      </c>
    </row>
    <row r="11" spans="1:29" x14ac:dyDescent="0.25">
      <c r="A11" s="45" t="str">
        <f t="shared" ca="1" si="0"/>
        <v>DAVAIN Aurore</v>
      </c>
      <c r="B11" s="1" t="str">
        <f ca="1">CELL("contenu",INDIRECT(ADDRESS(ref!$K$3,ref!E10,1,,CELL("contenu",$AC$2))))</f>
        <v/>
      </c>
      <c r="C11" s="2" t="str">
        <f ca="1">CELL("contenu",INDIRECT(ADDRESS(ref!$K$3,ref!F10,1,,CELL("contenu",$AC$2))))</f>
        <v/>
      </c>
      <c r="D11" s="3" t="str">
        <f ca="1">CELL("contenu",INDIRECT(ADDRESS(ref!$K$3,ref!G10,1,,CELL("contenu",$AC$2))))</f>
        <v/>
      </c>
      <c r="E11" s="4" t="str">
        <f ca="1">CELL("contenu",INDIRECT(ADDRESS(ref!$K$3,ref!H10,1,,CELL("contenu",$AC$2))))</f>
        <v/>
      </c>
      <c r="F11" s="5" t="str">
        <f ca="1">CELL("contenu",INDIRECT(ADDRESS(ref!$K$4,ref!E10,1,,CELL("contenu",$AC$2))))</f>
        <v>C</v>
      </c>
      <c r="G11" s="2" t="str">
        <f ca="1">CELL("contenu",INDIRECT(ADDRESS(ref!$K$4,ref!F10,1,,CELL("contenu",$AC$2))))</f>
        <v/>
      </c>
      <c r="H11" s="3" t="str">
        <f ca="1">CELL("contenu",INDIRECT(ADDRESS(ref!$K$4,ref!G10,1,,CELL("contenu",$AC$2))))</f>
        <v/>
      </c>
      <c r="I11" s="4" t="str">
        <f ca="1">CELL("contenu",INDIRECT(ADDRESS(ref!$K$4,ref!H10,1,,CELL("contenu",$AC$2))))</f>
        <v>C</v>
      </c>
      <c r="J11" s="5" t="str">
        <f ca="1">CELL("contenu",INDIRECT(ADDRESS(ref!$K$5,ref!E10,1,,CELL("contenu",$AC$2))))</f>
        <v>B</v>
      </c>
      <c r="K11" s="2" t="str">
        <f ca="1">CELL("contenu",INDIRECT(ADDRESS(ref!$K$5,ref!F10,1,,CELL("contenu",$AC$2))))</f>
        <v/>
      </c>
      <c r="L11" s="3" t="str">
        <f ca="1">CELL("contenu",INDIRECT(ADDRESS(ref!$K$5,ref!G10,1,,CELL("contenu",$AC$2))))</f>
        <v/>
      </c>
      <c r="M11" s="4" t="str">
        <f ca="1">CELL("contenu",INDIRECT(ADDRESS(ref!$K$5,ref!H10,1,,CELL("contenu",$AC$2))))</f>
        <v>B</v>
      </c>
      <c r="N11" s="5" t="str">
        <f ca="1">CELL("contenu",INDIRECT(ADDRESS(ref!$K$6,ref!E10,1,,CELL("contenu",$AC$2))))</f>
        <v>C</v>
      </c>
      <c r="O11" s="2" t="str">
        <f ca="1">CELL("contenu",INDIRECT(ADDRESS(ref!$K$6,ref!F10,1,,CELL("contenu",$AC$2))))</f>
        <v/>
      </c>
      <c r="P11" s="3" t="str">
        <f ca="1">CELL("contenu",INDIRECT(ADDRESS(ref!$K$6,ref!G10,1,,CELL("contenu",$AC$2))))</f>
        <v/>
      </c>
      <c r="Q11" s="4" t="str">
        <f ca="1">CELL("contenu",INDIRECT(ADDRESS(ref!$K$6,ref!H10,1,,CELL("contenu",$AC$2))))</f>
        <v>C</v>
      </c>
      <c r="R11" s="5" t="str">
        <f ca="1">CELL("contenu",INDIRECT(ADDRESS(ref!$K$7,ref!E10,1,,CELL("contenu",$AC$2))))</f>
        <v>A</v>
      </c>
      <c r="S11" s="2" t="str">
        <f ca="1">CELL("contenu",INDIRECT(ADDRESS(ref!$K$7,ref!F10,1,,CELL("contenu",$AC$2))))</f>
        <v/>
      </c>
      <c r="T11" s="3" t="str">
        <f ca="1">CELL("contenu",INDIRECT(ADDRESS(ref!$K$7,ref!G10,1,,CELL("contenu",$AC$2))))</f>
        <v/>
      </c>
      <c r="U11" s="4" t="str">
        <f ca="1">CELL("contenu",INDIRECT(ADDRESS(ref!$K$7,ref!H10,1,,CELL("contenu",$AC$2))))</f>
        <v>A</v>
      </c>
      <c r="V11" s="28">
        <f ca="1">CELL("contenu",INDIRECT(ADDRESS(ref!$K$8,ref!E10,1,,CELL("contenu",$AC$2))))</f>
        <v>12.5</v>
      </c>
      <c r="W11" s="29" t="str">
        <f ca="1">CELL("contenu",INDIRECT(ADDRESS(ref!$K$8,ref!F10,1,,CELL("contenu",$AC$2))))</f>
        <v/>
      </c>
      <c r="X11" s="30" t="str">
        <f ca="1">CELL("contenu",INDIRECT(ADDRESS(ref!$K$8,ref!G10,1,,CELL("contenu",$AC$2))))</f>
        <v/>
      </c>
      <c r="Y11" s="6" t="str">
        <f ca="1">CELL("contenu",INDIRECT(ADDRESS(ref!$K$9,ref!H10,1,,CELL("contenu",$AC$2))))</f>
        <v/>
      </c>
      <c r="Z11" s="3" t="str">
        <f ca="1">CELL("contenu",INDIRECT(ADDRESS(ref!$K$10,ref!H10,1,,CELL("contenu",$AC$2))))</f>
        <v>B</v>
      </c>
      <c r="AA11" s="7" t="str">
        <f ca="1">CELL("contenu",INDIRECT(ADDRESS(ref!$K$11,ref!H10,1,,CELL("contenu",$AC$2))))</f>
        <v>C</v>
      </c>
    </row>
    <row r="12" spans="1:29" x14ac:dyDescent="0.25">
      <c r="A12" s="45" t="str">
        <f t="shared" ca="1" si="0"/>
        <v>DORRIERE Come</v>
      </c>
      <c r="B12" s="1" t="str">
        <f ca="1">CELL("contenu",INDIRECT(ADDRESS(ref!$K$3,ref!E11,1,,CELL("contenu",$AC$2))))</f>
        <v/>
      </c>
      <c r="C12" s="2" t="str">
        <f ca="1">CELL("contenu",INDIRECT(ADDRESS(ref!$K$3,ref!F11,1,,CELL("contenu",$AC$2))))</f>
        <v/>
      </c>
      <c r="D12" s="3" t="str">
        <f ca="1">CELL("contenu",INDIRECT(ADDRESS(ref!$K$3,ref!G11,1,,CELL("contenu",$AC$2))))</f>
        <v/>
      </c>
      <c r="E12" s="4" t="str">
        <f ca="1">CELL("contenu",INDIRECT(ADDRESS(ref!$K$3,ref!H11,1,,CELL("contenu",$AC$2))))</f>
        <v/>
      </c>
      <c r="F12" s="5" t="str">
        <f ca="1">CELL("contenu",INDIRECT(ADDRESS(ref!$K$4,ref!E11,1,,CELL("contenu",$AC$2))))</f>
        <v>C</v>
      </c>
      <c r="G12" s="2" t="str">
        <f ca="1">CELL("contenu",INDIRECT(ADDRESS(ref!$K$4,ref!F11,1,,CELL("contenu",$AC$2))))</f>
        <v/>
      </c>
      <c r="H12" s="3" t="str">
        <f ca="1">CELL("contenu",INDIRECT(ADDRESS(ref!$K$4,ref!G11,1,,CELL("contenu",$AC$2))))</f>
        <v/>
      </c>
      <c r="I12" s="4" t="str">
        <f ca="1">CELL("contenu",INDIRECT(ADDRESS(ref!$K$4,ref!H11,1,,CELL("contenu",$AC$2))))</f>
        <v>C</v>
      </c>
      <c r="J12" s="5" t="str">
        <f ca="1">CELL("contenu",INDIRECT(ADDRESS(ref!$K$5,ref!E11,1,,CELL("contenu",$AC$2))))</f>
        <v>B</v>
      </c>
      <c r="K12" s="2" t="str">
        <f ca="1">CELL("contenu",INDIRECT(ADDRESS(ref!$K$5,ref!F11,1,,CELL("contenu",$AC$2))))</f>
        <v/>
      </c>
      <c r="L12" s="3" t="str">
        <f ca="1">CELL("contenu",INDIRECT(ADDRESS(ref!$K$5,ref!G11,1,,CELL("contenu",$AC$2))))</f>
        <v/>
      </c>
      <c r="M12" s="4" t="str">
        <f ca="1">CELL("contenu",INDIRECT(ADDRESS(ref!$K$5,ref!H11,1,,CELL("contenu",$AC$2))))</f>
        <v>B</v>
      </c>
      <c r="N12" s="5" t="str">
        <f ca="1">CELL("contenu",INDIRECT(ADDRESS(ref!$K$6,ref!E11,1,,CELL("contenu",$AC$2))))</f>
        <v>A</v>
      </c>
      <c r="O12" s="2" t="str">
        <f ca="1">CELL("contenu",INDIRECT(ADDRESS(ref!$K$6,ref!F11,1,,CELL("contenu",$AC$2))))</f>
        <v/>
      </c>
      <c r="P12" s="3" t="str">
        <f ca="1">CELL("contenu",INDIRECT(ADDRESS(ref!$K$6,ref!G11,1,,CELL("contenu",$AC$2))))</f>
        <v/>
      </c>
      <c r="Q12" s="4" t="str">
        <f ca="1">CELL("contenu",INDIRECT(ADDRESS(ref!$K$6,ref!H11,1,,CELL("contenu",$AC$2))))</f>
        <v>A</v>
      </c>
      <c r="R12" s="5" t="str">
        <f ca="1">CELL("contenu",INDIRECT(ADDRESS(ref!$K$7,ref!E11,1,,CELL("contenu",$AC$2))))</f>
        <v>A</v>
      </c>
      <c r="S12" s="2" t="str">
        <f ca="1">CELL("contenu",INDIRECT(ADDRESS(ref!$K$7,ref!F11,1,,CELL("contenu",$AC$2))))</f>
        <v/>
      </c>
      <c r="T12" s="3" t="str">
        <f ca="1">CELL("contenu",INDIRECT(ADDRESS(ref!$K$7,ref!G11,1,,CELL("contenu",$AC$2))))</f>
        <v/>
      </c>
      <c r="U12" s="4" t="str">
        <f ca="1">CELL("contenu",INDIRECT(ADDRESS(ref!$K$7,ref!H11,1,,CELL("contenu",$AC$2))))</f>
        <v>A</v>
      </c>
      <c r="V12" s="28">
        <f ca="1">CELL("contenu",INDIRECT(ADDRESS(ref!$K$8,ref!E11,1,,CELL("contenu",$AC$2))))</f>
        <v>16.666666666666664</v>
      </c>
      <c r="W12" s="29" t="str">
        <f ca="1">CELL("contenu",INDIRECT(ADDRESS(ref!$K$8,ref!F11,1,,CELL("contenu",$AC$2))))</f>
        <v/>
      </c>
      <c r="X12" s="30" t="str">
        <f ca="1">CELL("contenu",INDIRECT(ADDRESS(ref!$K$8,ref!G11,1,,CELL("contenu",$AC$2))))</f>
        <v/>
      </c>
      <c r="Y12" s="6" t="str">
        <f ca="1">CELL("contenu",INDIRECT(ADDRESS(ref!$K$9,ref!H11,1,,CELL("contenu",$AC$2))))</f>
        <v/>
      </c>
      <c r="Z12" s="3" t="str">
        <f ca="1">CELL("contenu",INDIRECT(ADDRESS(ref!$K$10,ref!H11,1,,CELL("contenu",$AC$2))))</f>
        <v>B</v>
      </c>
      <c r="AA12" s="7" t="str">
        <f ca="1">CELL("contenu",INDIRECT(ADDRESS(ref!$K$11,ref!H11,1,,CELL("contenu",$AC$2))))</f>
        <v>A</v>
      </c>
    </row>
    <row r="13" spans="1:29" x14ac:dyDescent="0.25">
      <c r="A13" s="45" t="str">
        <f t="shared" ca="1" si="0"/>
        <v>DUCHON Axel</v>
      </c>
      <c r="B13" s="1" t="str">
        <f ca="1">CELL("contenu",INDIRECT(ADDRESS(ref!$K$3,ref!E12,1,,CELL("contenu",$AC$2))))</f>
        <v/>
      </c>
      <c r="C13" s="2" t="str">
        <f ca="1">CELL("contenu",INDIRECT(ADDRESS(ref!$K$3,ref!F12,1,,CELL("contenu",$AC$2))))</f>
        <v/>
      </c>
      <c r="D13" s="3" t="str">
        <f ca="1">CELL("contenu",INDIRECT(ADDRESS(ref!$K$3,ref!G12,1,,CELL("contenu",$AC$2))))</f>
        <v/>
      </c>
      <c r="E13" s="4" t="str">
        <f ca="1">CELL("contenu",INDIRECT(ADDRESS(ref!$K$3,ref!H12,1,,CELL("contenu",$AC$2))))</f>
        <v/>
      </c>
      <c r="F13" s="5" t="str">
        <f ca="1">CELL("contenu",INDIRECT(ADDRESS(ref!$K$4,ref!E12,1,,CELL("contenu",$AC$2))))</f>
        <v>B</v>
      </c>
      <c r="G13" s="2" t="str">
        <f ca="1">CELL("contenu",INDIRECT(ADDRESS(ref!$K$4,ref!F12,1,,CELL("contenu",$AC$2))))</f>
        <v/>
      </c>
      <c r="H13" s="3" t="str">
        <f ca="1">CELL("contenu",INDIRECT(ADDRESS(ref!$K$4,ref!G12,1,,CELL("contenu",$AC$2))))</f>
        <v/>
      </c>
      <c r="I13" s="4" t="str">
        <f ca="1">CELL("contenu",INDIRECT(ADDRESS(ref!$K$4,ref!H12,1,,CELL("contenu",$AC$2))))</f>
        <v>B</v>
      </c>
      <c r="J13" s="5" t="str">
        <f ca="1">CELL("contenu",INDIRECT(ADDRESS(ref!$K$5,ref!E12,1,,CELL("contenu",$AC$2))))</f>
        <v>B</v>
      </c>
      <c r="K13" s="2" t="str">
        <f ca="1">CELL("contenu",INDIRECT(ADDRESS(ref!$K$5,ref!F12,1,,CELL("contenu",$AC$2))))</f>
        <v/>
      </c>
      <c r="L13" s="3" t="str">
        <f ca="1">CELL("contenu",INDIRECT(ADDRESS(ref!$K$5,ref!G12,1,,CELL("contenu",$AC$2))))</f>
        <v/>
      </c>
      <c r="M13" s="4" t="str">
        <f ca="1">CELL("contenu",INDIRECT(ADDRESS(ref!$K$5,ref!H12,1,,CELL("contenu",$AC$2))))</f>
        <v>B</v>
      </c>
      <c r="N13" s="5" t="str">
        <f ca="1">CELL("contenu",INDIRECT(ADDRESS(ref!$K$6,ref!E12,1,,CELL("contenu",$AC$2))))</f>
        <v>C</v>
      </c>
      <c r="O13" s="2" t="str">
        <f ca="1">CELL("contenu",INDIRECT(ADDRESS(ref!$K$6,ref!F12,1,,CELL("contenu",$AC$2))))</f>
        <v/>
      </c>
      <c r="P13" s="3" t="str">
        <f ca="1">CELL("contenu",INDIRECT(ADDRESS(ref!$K$6,ref!G12,1,,CELL("contenu",$AC$2))))</f>
        <v/>
      </c>
      <c r="Q13" s="4" t="str">
        <f ca="1">CELL("contenu",INDIRECT(ADDRESS(ref!$K$6,ref!H12,1,,CELL("contenu",$AC$2))))</f>
        <v>C</v>
      </c>
      <c r="R13" s="5" t="str">
        <f ca="1">CELL("contenu",INDIRECT(ADDRESS(ref!$K$7,ref!E12,1,,CELL("contenu",$AC$2))))</f>
        <v>A</v>
      </c>
      <c r="S13" s="2" t="str">
        <f ca="1">CELL("contenu",INDIRECT(ADDRESS(ref!$K$7,ref!F12,1,,CELL("contenu",$AC$2))))</f>
        <v/>
      </c>
      <c r="T13" s="3" t="str">
        <f ca="1">CELL("contenu",INDIRECT(ADDRESS(ref!$K$7,ref!G12,1,,CELL("contenu",$AC$2))))</f>
        <v/>
      </c>
      <c r="U13" s="4" t="str">
        <f ca="1">CELL("contenu",INDIRECT(ADDRESS(ref!$K$7,ref!H12,1,,CELL("contenu",$AC$2))))</f>
        <v>A</v>
      </c>
      <c r="V13" s="28">
        <f ca="1">CELL("contenu",INDIRECT(ADDRESS(ref!$K$8,ref!E12,1,,CELL("contenu",$AC$2))))</f>
        <v>14.166666666666668</v>
      </c>
      <c r="W13" s="29" t="str">
        <f ca="1">CELL("contenu",INDIRECT(ADDRESS(ref!$K$8,ref!F12,1,,CELL("contenu",$AC$2))))</f>
        <v/>
      </c>
      <c r="X13" s="30" t="str">
        <f ca="1">CELL("contenu",INDIRECT(ADDRESS(ref!$K$8,ref!G12,1,,CELL("contenu",$AC$2))))</f>
        <v/>
      </c>
      <c r="Y13" s="6" t="str">
        <f ca="1">CELL("contenu",INDIRECT(ADDRESS(ref!$K$9,ref!H12,1,,CELL("contenu",$AC$2))))</f>
        <v/>
      </c>
      <c r="Z13" s="3" t="str">
        <f ca="1">CELL("contenu",INDIRECT(ADDRESS(ref!$K$10,ref!H12,1,,CELL("contenu",$AC$2))))</f>
        <v>B</v>
      </c>
      <c r="AA13" s="7" t="str">
        <f ca="1">CELL("contenu",INDIRECT(ADDRESS(ref!$K$11,ref!H12,1,,CELL("contenu",$AC$2))))</f>
        <v>C</v>
      </c>
    </row>
    <row r="14" spans="1:29" x14ac:dyDescent="0.25">
      <c r="A14" s="45" t="str">
        <f t="shared" ca="1" si="0"/>
        <v>DUMONT--DAVID Hugo</v>
      </c>
      <c r="B14" s="1" t="str">
        <f ca="1">CELL("contenu",INDIRECT(ADDRESS(ref!$K$3,ref!E13,1,,CELL("contenu",$AC$2))))</f>
        <v/>
      </c>
      <c r="C14" s="2" t="str">
        <f ca="1">CELL("contenu",INDIRECT(ADDRESS(ref!$K$3,ref!F13,1,,CELL("contenu",$AC$2))))</f>
        <v/>
      </c>
      <c r="D14" s="3" t="str">
        <f ca="1">CELL("contenu",INDIRECT(ADDRESS(ref!$K$3,ref!G13,1,,CELL("contenu",$AC$2))))</f>
        <v/>
      </c>
      <c r="E14" s="4" t="str">
        <f ca="1">CELL("contenu",INDIRECT(ADDRESS(ref!$K$3,ref!H13,1,,CELL("contenu",$AC$2))))</f>
        <v/>
      </c>
      <c r="F14" s="5" t="str">
        <f ca="1">CELL("contenu",INDIRECT(ADDRESS(ref!$K$4,ref!E13,1,,CELL("contenu",$AC$2))))</f>
        <v>B</v>
      </c>
      <c r="G14" s="2" t="str">
        <f ca="1">CELL("contenu",INDIRECT(ADDRESS(ref!$K$4,ref!F13,1,,CELL("contenu",$AC$2))))</f>
        <v/>
      </c>
      <c r="H14" s="3" t="str">
        <f ca="1">CELL("contenu",INDIRECT(ADDRESS(ref!$K$4,ref!G13,1,,CELL("contenu",$AC$2))))</f>
        <v/>
      </c>
      <c r="I14" s="4" t="str">
        <f ca="1">CELL("contenu",INDIRECT(ADDRESS(ref!$K$4,ref!H13,1,,CELL("contenu",$AC$2))))</f>
        <v>B</v>
      </c>
      <c r="J14" s="5" t="str">
        <f ca="1">CELL("contenu",INDIRECT(ADDRESS(ref!$K$5,ref!E13,1,,CELL("contenu",$AC$2))))</f>
        <v>A</v>
      </c>
      <c r="K14" s="2" t="str">
        <f ca="1">CELL("contenu",INDIRECT(ADDRESS(ref!$K$5,ref!F13,1,,CELL("contenu",$AC$2))))</f>
        <v/>
      </c>
      <c r="L14" s="3" t="str">
        <f ca="1">CELL("contenu",INDIRECT(ADDRESS(ref!$K$5,ref!G13,1,,CELL("contenu",$AC$2))))</f>
        <v/>
      </c>
      <c r="M14" s="4" t="str">
        <f ca="1">CELL("contenu",INDIRECT(ADDRESS(ref!$K$5,ref!H13,1,,CELL("contenu",$AC$2))))</f>
        <v>A</v>
      </c>
      <c r="N14" s="5" t="str">
        <f ca="1">CELL("contenu",INDIRECT(ADDRESS(ref!$K$6,ref!E13,1,,CELL("contenu",$AC$2))))</f>
        <v>B</v>
      </c>
      <c r="O14" s="2" t="str">
        <f ca="1">CELL("contenu",INDIRECT(ADDRESS(ref!$K$6,ref!F13,1,,CELL("contenu",$AC$2))))</f>
        <v/>
      </c>
      <c r="P14" s="3" t="str">
        <f ca="1">CELL("contenu",INDIRECT(ADDRESS(ref!$K$6,ref!G13,1,,CELL("contenu",$AC$2))))</f>
        <v/>
      </c>
      <c r="Q14" s="4" t="str">
        <f ca="1">CELL("contenu",INDIRECT(ADDRESS(ref!$K$6,ref!H13,1,,CELL("contenu",$AC$2))))</f>
        <v>B</v>
      </c>
      <c r="R14" s="5" t="str">
        <f ca="1">CELL("contenu",INDIRECT(ADDRESS(ref!$K$7,ref!E13,1,,CELL("contenu",$AC$2))))</f>
        <v>A</v>
      </c>
      <c r="S14" s="2" t="str">
        <f ca="1">CELL("contenu",INDIRECT(ADDRESS(ref!$K$7,ref!F13,1,,CELL("contenu",$AC$2))))</f>
        <v/>
      </c>
      <c r="T14" s="3" t="str">
        <f ca="1">CELL("contenu",INDIRECT(ADDRESS(ref!$K$7,ref!G13,1,,CELL("contenu",$AC$2))))</f>
        <v/>
      </c>
      <c r="U14" s="4" t="str">
        <f ca="1">CELL("contenu",INDIRECT(ADDRESS(ref!$K$7,ref!H13,1,,CELL("contenu",$AC$2))))</f>
        <v>A</v>
      </c>
      <c r="V14" s="28">
        <f ca="1">CELL("contenu",INDIRECT(ADDRESS(ref!$K$8,ref!E13,1,,CELL("contenu",$AC$2))))</f>
        <v>16.666666666666668</v>
      </c>
      <c r="W14" s="29" t="str">
        <f ca="1">CELL("contenu",INDIRECT(ADDRESS(ref!$K$8,ref!F13,1,,CELL("contenu",$AC$2))))</f>
        <v/>
      </c>
      <c r="X14" s="30" t="str">
        <f ca="1">CELL("contenu",INDIRECT(ADDRESS(ref!$K$8,ref!G13,1,,CELL("contenu",$AC$2))))</f>
        <v/>
      </c>
      <c r="Y14" s="6" t="str">
        <f ca="1">CELL("contenu",INDIRECT(ADDRESS(ref!$K$9,ref!H13,1,,CELL("contenu",$AC$2))))</f>
        <v/>
      </c>
      <c r="Z14" s="3" t="str">
        <f ca="1">CELL("contenu",INDIRECT(ADDRESS(ref!$K$10,ref!H13,1,,CELL("contenu",$AC$2))))</f>
        <v>A</v>
      </c>
      <c r="AA14" s="7" t="str">
        <f ca="1">CELL("contenu",INDIRECT(ADDRESS(ref!$K$11,ref!H13,1,,CELL("contenu",$AC$2))))</f>
        <v>B</v>
      </c>
    </row>
    <row r="15" spans="1:29" x14ac:dyDescent="0.25">
      <c r="A15" s="45" t="str">
        <f t="shared" ca="1" si="0"/>
        <v>DURAND Louis</v>
      </c>
      <c r="B15" s="1" t="str">
        <f ca="1">CELL("contenu",INDIRECT(ADDRESS(ref!$K$3,ref!E14,1,,CELL("contenu",$AC$2))))</f>
        <v/>
      </c>
      <c r="C15" s="2" t="str">
        <f ca="1">CELL("contenu",INDIRECT(ADDRESS(ref!$K$3,ref!F14,1,,CELL("contenu",$AC$2))))</f>
        <v/>
      </c>
      <c r="D15" s="3" t="str">
        <f ca="1">CELL("contenu",INDIRECT(ADDRESS(ref!$K$3,ref!G14,1,,CELL("contenu",$AC$2))))</f>
        <v/>
      </c>
      <c r="E15" s="4" t="str">
        <f ca="1">CELL("contenu",INDIRECT(ADDRESS(ref!$K$3,ref!H14,1,,CELL("contenu",$AC$2))))</f>
        <v/>
      </c>
      <c r="F15" s="5" t="str">
        <f ca="1">CELL("contenu",INDIRECT(ADDRESS(ref!$K$4,ref!E14,1,,CELL("contenu",$AC$2))))</f>
        <v>B</v>
      </c>
      <c r="G15" s="2" t="str">
        <f ca="1">CELL("contenu",INDIRECT(ADDRESS(ref!$K$4,ref!F14,1,,CELL("contenu",$AC$2))))</f>
        <v/>
      </c>
      <c r="H15" s="3" t="str">
        <f ca="1">CELL("contenu",INDIRECT(ADDRESS(ref!$K$4,ref!G14,1,,CELL("contenu",$AC$2))))</f>
        <v/>
      </c>
      <c r="I15" s="4" t="str">
        <f ca="1">CELL("contenu",INDIRECT(ADDRESS(ref!$K$4,ref!H14,1,,CELL("contenu",$AC$2))))</f>
        <v>B</v>
      </c>
      <c r="J15" s="5" t="str">
        <f ca="1">CELL("contenu",INDIRECT(ADDRESS(ref!$K$5,ref!E14,1,,CELL("contenu",$AC$2))))</f>
        <v>C</v>
      </c>
      <c r="K15" s="2" t="str">
        <f ca="1">CELL("contenu",INDIRECT(ADDRESS(ref!$K$5,ref!F14,1,,CELL("contenu",$AC$2))))</f>
        <v/>
      </c>
      <c r="L15" s="3" t="str">
        <f ca="1">CELL("contenu",INDIRECT(ADDRESS(ref!$K$5,ref!G14,1,,CELL("contenu",$AC$2))))</f>
        <v/>
      </c>
      <c r="M15" s="4" t="str">
        <f ca="1">CELL("contenu",INDIRECT(ADDRESS(ref!$K$5,ref!H14,1,,CELL("contenu",$AC$2))))</f>
        <v>C</v>
      </c>
      <c r="N15" s="5" t="str">
        <f ca="1">CELL("contenu",INDIRECT(ADDRESS(ref!$K$6,ref!E14,1,,CELL("contenu",$AC$2))))</f>
        <v>C</v>
      </c>
      <c r="O15" s="2" t="str">
        <f ca="1">CELL("contenu",INDIRECT(ADDRESS(ref!$K$6,ref!F14,1,,CELL("contenu",$AC$2))))</f>
        <v/>
      </c>
      <c r="P15" s="3" t="str">
        <f ca="1">CELL("contenu",INDIRECT(ADDRESS(ref!$K$6,ref!G14,1,,CELL("contenu",$AC$2))))</f>
        <v/>
      </c>
      <c r="Q15" s="4" t="str">
        <f ca="1">CELL("contenu",INDIRECT(ADDRESS(ref!$K$6,ref!H14,1,,CELL("contenu",$AC$2))))</f>
        <v>C</v>
      </c>
      <c r="R15" s="5" t="str">
        <f ca="1">CELL("contenu",INDIRECT(ADDRESS(ref!$K$7,ref!E14,1,,CELL("contenu",$AC$2))))</f>
        <v>A</v>
      </c>
      <c r="S15" s="2" t="str">
        <f ca="1">CELL("contenu",INDIRECT(ADDRESS(ref!$K$7,ref!F14,1,,CELL("contenu",$AC$2))))</f>
        <v/>
      </c>
      <c r="T15" s="3" t="str">
        <f ca="1">CELL("contenu",INDIRECT(ADDRESS(ref!$K$7,ref!G14,1,,CELL("contenu",$AC$2))))</f>
        <v/>
      </c>
      <c r="U15" s="4" t="str">
        <f ca="1">CELL("contenu",INDIRECT(ADDRESS(ref!$K$7,ref!H14,1,,CELL("contenu",$AC$2))))</f>
        <v>A</v>
      </c>
      <c r="V15" s="28">
        <f ca="1">CELL("contenu",INDIRECT(ADDRESS(ref!$K$8,ref!E14,1,,CELL("contenu",$AC$2))))</f>
        <v>13.333333333333334</v>
      </c>
      <c r="W15" s="29" t="str">
        <f ca="1">CELL("contenu",INDIRECT(ADDRESS(ref!$K$8,ref!F14,1,,CELL("contenu",$AC$2))))</f>
        <v/>
      </c>
      <c r="X15" s="30" t="str">
        <f ca="1">CELL("contenu",INDIRECT(ADDRESS(ref!$K$8,ref!G14,1,,CELL("contenu",$AC$2))))</f>
        <v/>
      </c>
      <c r="Y15" s="6" t="str">
        <f ca="1">CELL("contenu",INDIRECT(ADDRESS(ref!$K$9,ref!H14,1,,CELL("contenu",$AC$2))))</f>
        <v/>
      </c>
      <c r="Z15" s="3" t="str">
        <f ca="1">CELL("contenu",INDIRECT(ADDRESS(ref!$K$10,ref!H14,1,,CELL("contenu",$AC$2))))</f>
        <v>C</v>
      </c>
      <c r="AA15" s="7" t="str">
        <f ca="1">CELL("contenu",INDIRECT(ADDRESS(ref!$K$11,ref!H14,1,,CELL("contenu",$AC$2))))</f>
        <v>C</v>
      </c>
    </row>
    <row r="16" spans="1:29" x14ac:dyDescent="0.25">
      <c r="A16" s="45" t="str">
        <f t="shared" ca="1" si="0"/>
        <v>HEURTAULT DE LAMMERVILLE Oscar</v>
      </c>
      <c r="B16" s="1" t="str">
        <f ca="1">CELL("contenu",INDIRECT(ADDRESS(ref!$K$3,ref!E15,1,,CELL("contenu",$AC$2))))</f>
        <v/>
      </c>
      <c r="C16" s="2" t="str">
        <f ca="1">CELL("contenu",INDIRECT(ADDRESS(ref!$K$3,ref!F15,1,,CELL("contenu",$AC$2))))</f>
        <v/>
      </c>
      <c r="D16" s="3" t="str">
        <f ca="1">CELL("contenu",INDIRECT(ADDRESS(ref!$K$3,ref!G15,1,,CELL("contenu",$AC$2))))</f>
        <v/>
      </c>
      <c r="E16" s="4" t="str">
        <f ca="1">CELL("contenu",INDIRECT(ADDRESS(ref!$K$3,ref!H15,1,,CELL("contenu",$AC$2))))</f>
        <v/>
      </c>
      <c r="F16" s="5" t="str">
        <f ca="1">CELL("contenu",INDIRECT(ADDRESS(ref!$K$4,ref!E15,1,,CELL("contenu",$AC$2))))</f>
        <v>B</v>
      </c>
      <c r="G16" s="2" t="str">
        <f ca="1">CELL("contenu",INDIRECT(ADDRESS(ref!$K$4,ref!F15,1,,CELL("contenu",$AC$2))))</f>
        <v/>
      </c>
      <c r="H16" s="3" t="str">
        <f ca="1">CELL("contenu",INDIRECT(ADDRESS(ref!$K$4,ref!G15,1,,CELL("contenu",$AC$2))))</f>
        <v/>
      </c>
      <c r="I16" s="4" t="str">
        <f ca="1">CELL("contenu",INDIRECT(ADDRESS(ref!$K$4,ref!H15,1,,CELL("contenu",$AC$2))))</f>
        <v>B</v>
      </c>
      <c r="J16" s="5" t="str">
        <f ca="1">CELL("contenu",INDIRECT(ADDRESS(ref!$K$5,ref!E15,1,,CELL("contenu",$AC$2))))</f>
        <v>C</v>
      </c>
      <c r="K16" s="2" t="str">
        <f ca="1">CELL("contenu",INDIRECT(ADDRESS(ref!$K$5,ref!F15,1,,CELL("contenu",$AC$2))))</f>
        <v/>
      </c>
      <c r="L16" s="3" t="str">
        <f ca="1">CELL("contenu",INDIRECT(ADDRESS(ref!$K$5,ref!G15,1,,CELL("contenu",$AC$2))))</f>
        <v/>
      </c>
      <c r="M16" s="4" t="str">
        <f ca="1">CELL("contenu",INDIRECT(ADDRESS(ref!$K$5,ref!H15,1,,CELL("contenu",$AC$2))))</f>
        <v>C</v>
      </c>
      <c r="N16" s="5" t="str">
        <f ca="1">CELL("contenu",INDIRECT(ADDRESS(ref!$K$6,ref!E15,1,,CELL("contenu",$AC$2))))</f>
        <v>D</v>
      </c>
      <c r="O16" s="2" t="str">
        <f ca="1">CELL("contenu",INDIRECT(ADDRESS(ref!$K$6,ref!F15,1,,CELL("contenu",$AC$2))))</f>
        <v/>
      </c>
      <c r="P16" s="3" t="str">
        <f ca="1">CELL("contenu",INDIRECT(ADDRESS(ref!$K$6,ref!G15,1,,CELL("contenu",$AC$2))))</f>
        <v/>
      </c>
      <c r="Q16" s="4" t="str">
        <f ca="1">CELL("contenu",INDIRECT(ADDRESS(ref!$K$6,ref!H15,1,,CELL("contenu",$AC$2))))</f>
        <v>D</v>
      </c>
      <c r="R16" s="5" t="str">
        <f ca="1">CELL("contenu",INDIRECT(ADDRESS(ref!$K$7,ref!E15,1,,CELL("contenu",$AC$2))))</f>
        <v>A</v>
      </c>
      <c r="S16" s="2" t="str">
        <f ca="1">CELL("contenu",INDIRECT(ADDRESS(ref!$K$7,ref!F15,1,,CELL("contenu",$AC$2))))</f>
        <v/>
      </c>
      <c r="T16" s="3" t="str">
        <f ca="1">CELL("contenu",INDIRECT(ADDRESS(ref!$K$7,ref!G15,1,,CELL("contenu",$AC$2))))</f>
        <v/>
      </c>
      <c r="U16" s="4" t="str">
        <f ca="1">CELL("contenu",INDIRECT(ADDRESS(ref!$K$7,ref!H15,1,,CELL("contenu",$AC$2))))</f>
        <v>A</v>
      </c>
      <c r="V16" s="28">
        <f ca="1">CELL("contenu",INDIRECT(ADDRESS(ref!$K$8,ref!E15,1,,CELL("contenu",$AC$2))))</f>
        <v>11.666666666666668</v>
      </c>
      <c r="W16" s="29" t="str">
        <f ca="1">CELL("contenu",INDIRECT(ADDRESS(ref!$K$8,ref!F15,1,,CELL("contenu",$AC$2))))</f>
        <v/>
      </c>
      <c r="X16" s="30" t="str">
        <f ca="1">CELL("contenu",INDIRECT(ADDRESS(ref!$K$8,ref!G15,1,,CELL("contenu",$AC$2))))</f>
        <v/>
      </c>
      <c r="Y16" s="6" t="str">
        <f ca="1">CELL("contenu",INDIRECT(ADDRESS(ref!$K$9,ref!H15,1,,CELL("contenu",$AC$2))))</f>
        <v/>
      </c>
      <c r="Z16" s="3" t="str">
        <f ca="1">CELL("contenu",INDIRECT(ADDRESS(ref!$K$10,ref!H15,1,,CELL("contenu",$AC$2))))</f>
        <v>C</v>
      </c>
      <c r="AA16" s="7" t="str">
        <f ca="1">CELL("contenu",INDIRECT(ADDRESS(ref!$K$11,ref!H15,1,,CELL("contenu",$AC$2))))</f>
        <v>D</v>
      </c>
    </row>
    <row r="17" spans="1:27" x14ac:dyDescent="0.25">
      <c r="A17" s="45" t="str">
        <f t="shared" ca="1" si="0"/>
        <v>HOEUNG Jean-Pierre</v>
      </c>
      <c r="B17" s="1" t="str">
        <f ca="1">CELL("contenu",INDIRECT(ADDRESS(ref!$K$3,ref!E16,1,,CELL("contenu",$AC$2))))</f>
        <v/>
      </c>
      <c r="C17" s="2" t="str">
        <f ca="1">CELL("contenu",INDIRECT(ADDRESS(ref!$K$3,ref!F16,1,,CELL("contenu",$AC$2))))</f>
        <v/>
      </c>
      <c r="D17" s="3" t="str">
        <f ca="1">CELL("contenu",INDIRECT(ADDRESS(ref!$K$3,ref!G16,1,,CELL("contenu",$AC$2))))</f>
        <v/>
      </c>
      <c r="E17" s="4" t="str">
        <f ca="1">CELL("contenu",INDIRECT(ADDRESS(ref!$K$3,ref!H16,1,,CELL("contenu",$AC$2))))</f>
        <v/>
      </c>
      <c r="F17" s="5" t="str">
        <f ca="1">CELL("contenu",INDIRECT(ADDRESS(ref!$K$4,ref!E16,1,,CELL("contenu",$AC$2))))</f>
        <v>B</v>
      </c>
      <c r="G17" s="2" t="str">
        <f ca="1">CELL("contenu",INDIRECT(ADDRESS(ref!$K$4,ref!F16,1,,CELL("contenu",$AC$2))))</f>
        <v/>
      </c>
      <c r="H17" s="3" t="str">
        <f ca="1">CELL("contenu",INDIRECT(ADDRESS(ref!$K$4,ref!G16,1,,CELL("contenu",$AC$2))))</f>
        <v/>
      </c>
      <c r="I17" s="4" t="str">
        <f ca="1">CELL("contenu",INDIRECT(ADDRESS(ref!$K$4,ref!H16,1,,CELL("contenu",$AC$2))))</f>
        <v>B</v>
      </c>
      <c r="J17" s="5" t="str">
        <f ca="1">CELL("contenu",INDIRECT(ADDRESS(ref!$K$5,ref!E16,1,,CELL("contenu",$AC$2))))</f>
        <v>C</v>
      </c>
      <c r="K17" s="2" t="str">
        <f ca="1">CELL("contenu",INDIRECT(ADDRESS(ref!$K$5,ref!F16,1,,CELL("contenu",$AC$2))))</f>
        <v/>
      </c>
      <c r="L17" s="3" t="str">
        <f ca="1">CELL("contenu",INDIRECT(ADDRESS(ref!$K$5,ref!G16,1,,CELL("contenu",$AC$2))))</f>
        <v/>
      </c>
      <c r="M17" s="4" t="str">
        <f ca="1">CELL("contenu",INDIRECT(ADDRESS(ref!$K$5,ref!H16,1,,CELL("contenu",$AC$2))))</f>
        <v>C</v>
      </c>
      <c r="N17" s="5" t="str">
        <f ca="1">CELL("contenu",INDIRECT(ADDRESS(ref!$K$6,ref!E16,1,,CELL("contenu",$AC$2))))</f>
        <v>D</v>
      </c>
      <c r="O17" s="2" t="str">
        <f ca="1">CELL("contenu",INDIRECT(ADDRESS(ref!$K$6,ref!F16,1,,CELL("contenu",$AC$2))))</f>
        <v/>
      </c>
      <c r="P17" s="3" t="str">
        <f ca="1">CELL("contenu",INDIRECT(ADDRESS(ref!$K$6,ref!G16,1,,CELL("contenu",$AC$2))))</f>
        <v/>
      </c>
      <c r="Q17" s="4" t="str">
        <f ca="1">CELL("contenu",INDIRECT(ADDRESS(ref!$K$6,ref!H16,1,,CELL("contenu",$AC$2))))</f>
        <v>D</v>
      </c>
      <c r="R17" s="5" t="str">
        <f ca="1">CELL("contenu",INDIRECT(ADDRESS(ref!$K$7,ref!E16,1,,CELL("contenu",$AC$2))))</f>
        <v>A</v>
      </c>
      <c r="S17" s="2" t="str">
        <f ca="1">CELL("contenu",INDIRECT(ADDRESS(ref!$K$7,ref!F16,1,,CELL("contenu",$AC$2))))</f>
        <v/>
      </c>
      <c r="T17" s="3" t="str">
        <f ca="1">CELL("contenu",INDIRECT(ADDRESS(ref!$K$7,ref!G16,1,,CELL("contenu",$AC$2))))</f>
        <v/>
      </c>
      <c r="U17" s="4" t="str">
        <f ca="1">CELL("contenu",INDIRECT(ADDRESS(ref!$K$7,ref!H16,1,,CELL("contenu",$AC$2))))</f>
        <v>A</v>
      </c>
      <c r="V17" s="28">
        <f ca="1">CELL("contenu",INDIRECT(ADDRESS(ref!$K$8,ref!E16,1,,CELL("contenu",$AC$2))))</f>
        <v>11.666666666666668</v>
      </c>
      <c r="W17" s="29" t="str">
        <f ca="1">CELL("contenu",INDIRECT(ADDRESS(ref!$K$8,ref!F16,1,,CELL("contenu",$AC$2))))</f>
        <v/>
      </c>
      <c r="X17" s="30" t="str">
        <f ca="1">CELL("contenu",INDIRECT(ADDRESS(ref!$K$8,ref!G16,1,,CELL("contenu",$AC$2))))</f>
        <v/>
      </c>
      <c r="Y17" s="6" t="str">
        <f ca="1">CELL("contenu",INDIRECT(ADDRESS(ref!$K$9,ref!H16,1,,CELL("contenu",$AC$2))))</f>
        <v/>
      </c>
      <c r="Z17" s="3" t="str">
        <f ca="1">CELL("contenu",INDIRECT(ADDRESS(ref!$K$10,ref!H16,1,,CELL("contenu",$AC$2))))</f>
        <v>C</v>
      </c>
      <c r="AA17" s="7" t="str">
        <f ca="1">CELL("contenu",INDIRECT(ADDRESS(ref!$K$11,ref!H16,1,,CELL("contenu",$AC$2))))</f>
        <v>D</v>
      </c>
    </row>
    <row r="18" spans="1:27" x14ac:dyDescent="0.25">
      <c r="A18" s="45" t="str">
        <f t="shared" ca="1" si="0"/>
        <v>HUE Philipppine</v>
      </c>
      <c r="B18" s="1" t="str">
        <f ca="1">CELL("contenu",INDIRECT(ADDRESS(ref!$K$3,ref!E17,1,,CELL("contenu",$AC$2))))</f>
        <v/>
      </c>
      <c r="C18" s="2" t="str">
        <f ca="1">CELL("contenu",INDIRECT(ADDRESS(ref!$K$3,ref!F17,1,,CELL("contenu",$AC$2))))</f>
        <v/>
      </c>
      <c r="D18" s="3" t="str">
        <f ca="1">CELL("contenu",INDIRECT(ADDRESS(ref!$K$3,ref!G17,1,,CELL("contenu",$AC$2))))</f>
        <v/>
      </c>
      <c r="E18" s="4" t="str">
        <f ca="1">CELL("contenu",INDIRECT(ADDRESS(ref!$K$3,ref!H17,1,,CELL("contenu",$AC$2))))</f>
        <v/>
      </c>
      <c r="F18" s="5" t="str">
        <f ca="1">CELL("contenu",INDIRECT(ADDRESS(ref!$K$4,ref!E17,1,,CELL("contenu",$AC$2))))</f>
        <v>B</v>
      </c>
      <c r="G18" s="2" t="str">
        <f ca="1">CELL("contenu",INDIRECT(ADDRESS(ref!$K$4,ref!F17,1,,CELL("contenu",$AC$2))))</f>
        <v/>
      </c>
      <c r="H18" s="3" t="str">
        <f ca="1">CELL("contenu",INDIRECT(ADDRESS(ref!$K$4,ref!G17,1,,CELL("contenu",$AC$2))))</f>
        <v/>
      </c>
      <c r="I18" s="4" t="str">
        <f ca="1">CELL("contenu",INDIRECT(ADDRESS(ref!$K$4,ref!H17,1,,CELL("contenu",$AC$2))))</f>
        <v>B</v>
      </c>
      <c r="J18" s="5" t="str">
        <f ca="1">CELL("contenu",INDIRECT(ADDRESS(ref!$K$5,ref!E17,1,,CELL("contenu",$AC$2))))</f>
        <v>A</v>
      </c>
      <c r="K18" s="2" t="str">
        <f ca="1">CELL("contenu",INDIRECT(ADDRESS(ref!$K$5,ref!F17,1,,CELL("contenu",$AC$2))))</f>
        <v/>
      </c>
      <c r="L18" s="3" t="str">
        <f ca="1">CELL("contenu",INDIRECT(ADDRESS(ref!$K$5,ref!G17,1,,CELL("contenu",$AC$2))))</f>
        <v/>
      </c>
      <c r="M18" s="4" t="str">
        <f ca="1">CELL("contenu",INDIRECT(ADDRESS(ref!$K$5,ref!H17,1,,CELL("contenu",$AC$2))))</f>
        <v>A</v>
      </c>
      <c r="N18" s="5" t="str">
        <f ca="1">CELL("contenu",INDIRECT(ADDRESS(ref!$K$6,ref!E17,1,,CELL("contenu",$AC$2))))</f>
        <v>B</v>
      </c>
      <c r="O18" s="2" t="str">
        <f ca="1">CELL("contenu",INDIRECT(ADDRESS(ref!$K$6,ref!F17,1,,CELL("contenu",$AC$2))))</f>
        <v/>
      </c>
      <c r="P18" s="3" t="str">
        <f ca="1">CELL("contenu",INDIRECT(ADDRESS(ref!$K$6,ref!G17,1,,CELL("contenu",$AC$2))))</f>
        <v/>
      </c>
      <c r="Q18" s="4" t="str">
        <f ca="1">CELL("contenu",INDIRECT(ADDRESS(ref!$K$6,ref!H17,1,,CELL("contenu",$AC$2))))</f>
        <v>B</v>
      </c>
      <c r="R18" s="5" t="str">
        <f ca="1">CELL("contenu",INDIRECT(ADDRESS(ref!$K$7,ref!E17,1,,CELL("contenu",$AC$2))))</f>
        <v>A</v>
      </c>
      <c r="S18" s="2" t="str">
        <f ca="1">CELL("contenu",INDIRECT(ADDRESS(ref!$K$7,ref!F17,1,,CELL("contenu",$AC$2))))</f>
        <v/>
      </c>
      <c r="T18" s="3" t="str">
        <f ca="1">CELL("contenu",INDIRECT(ADDRESS(ref!$K$7,ref!G17,1,,CELL("contenu",$AC$2))))</f>
        <v/>
      </c>
      <c r="U18" s="4" t="str">
        <f ca="1">CELL("contenu",INDIRECT(ADDRESS(ref!$K$7,ref!H17,1,,CELL("contenu",$AC$2))))</f>
        <v>A</v>
      </c>
      <c r="V18" s="28">
        <f ca="1">CELL("contenu",INDIRECT(ADDRESS(ref!$K$8,ref!E17,1,,CELL("contenu",$AC$2))))</f>
        <v>17.5</v>
      </c>
      <c r="W18" s="29" t="str">
        <f ca="1">CELL("contenu",INDIRECT(ADDRESS(ref!$K$8,ref!F17,1,,CELL("contenu",$AC$2))))</f>
        <v/>
      </c>
      <c r="X18" s="30" t="str">
        <f ca="1">CELL("contenu",INDIRECT(ADDRESS(ref!$K$8,ref!G17,1,,CELL("contenu",$AC$2))))</f>
        <v/>
      </c>
      <c r="Y18" s="6" t="str">
        <f ca="1">CELL("contenu",INDIRECT(ADDRESS(ref!$K$9,ref!H17,1,,CELL("contenu",$AC$2))))</f>
        <v/>
      </c>
      <c r="Z18" s="3" t="str">
        <f ca="1">CELL("contenu",INDIRECT(ADDRESS(ref!$K$10,ref!H17,1,,CELL("contenu",$AC$2))))</f>
        <v>A</v>
      </c>
      <c r="AA18" s="7" t="str">
        <f ca="1">CELL("contenu",INDIRECT(ADDRESS(ref!$K$11,ref!H17,1,,CELL("contenu",$AC$2))))</f>
        <v>B</v>
      </c>
    </row>
    <row r="19" spans="1:27" x14ac:dyDescent="0.25">
      <c r="A19" s="45" t="str">
        <f t="shared" ca="1" si="0"/>
        <v>KAPITA LUKENGU Noemie</v>
      </c>
      <c r="B19" s="1" t="str">
        <f ca="1">CELL("contenu",INDIRECT(ADDRESS(ref!$K$3,ref!E18,1,,CELL("contenu",$AC$2))))</f>
        <v/>
      </c>
      <c r="C19" s="2" t="str">
        <f ca="1">CELL("contenu",INDIRECT(ADDRESS(ref!$K$3,ref!F18,1,,CELL("contenu",$AC$2))))</f>
        <v/>
      </c>
      <c r="D19" s="3" t="str">
        <f ca="1">CELL("contenu",INDIRECT(ADDRESS(ref!$K$3,ref!G18,1,,CELL("contenu",$AC$2))))</f>
        <v/>
      </c>
      <c r="E19" s="4" t="str">
        <f ca="1">CELL("contenu",INDIRECT(ADDRESS(ref!$K$3,ref!H18,1,,CELL("contenu",$AC$2))))</f>
        <v/>
      </c>
      <c r="F19" s="5" t="str">
        <f ca="1">CELL("contenu",INDIRECT(ADDRESS(ref!$K$4,ref!E18,1,,CELL("contenu",$AC$2))))</f>
        <v>B</v>
      </c>
      <c r="G19" s="2" t="str">
        <f ca="1">CELL("contenu",INDIRECT(ADDRESS(ref!$K$4,ref!F18,1,,CELL("contenu",$AC$2))))</f>
        <v/>
      </c>
      <c r="H19" s="3" t="str">
        <f ca="1">CELL("contenu",INDIRECT(ADDRESS(ref!$K$4,ref!G18,1,,CELL("contenu",$AC$2))))</f>
        <v/>
      </c>
      <c r="I19" s="4" t="str">
        <f ca="1">CELL("contenu",INDIRECT(ADDRESS(ref!$K$4,ref!H18,1,,CELL("contenu",$AC$2))))</f>
        <v>B</v>
      </c>
      <c r="J19" s="5" t="str">
        <f ca="1">CELL("contenu",INDIRECT(ADDRESS(ref!$K$5,ref!E18,1,,CELL("contenu",$AC$2))))</f>
        <v>A</v>
      </c>
      <c r="K19" s="2" t="str">
        <f ca="1">CELL("contenu",INDIRECT(ADDRESS(ref!$K$5,ref!F18,1,,CELL("contenu",$AC$2))))</f>
        <v/>
      </c>
      <c r="L19" s="3" t="str">
        <f ca="1">CELL("contenu",INDIRECT(ADDRESS(ref!$K$5,ref!G18,1,,CELL("contenu",$AC$2))))</f>
        <v/>
      </c>
      <c r="M19" s="4" t="str">
        <f ca="1">CELL("contenu",INDIRECT(ADDRESS(ref!$K$5,ref!H18,1,,CELL("contenu",$AC$2))))</f>
        <v>A</v>
      </c>
      <c r="N19" s="5" t="str">
        <f ca="1">CELL("contenu",INDIRECT(ADDRESS(ref!$K$6,ref!E18,1,,CELL("contenu",$AC$2))))</f>
        <v>C</v>
      </c>
      <c r="O19" s="2" t="str">
        <f ca="1">CELL("contenu",INDIRECT(ADDRESS(ref!$K$6,ref!F18,1,,CELL("contenu",$AC$2))))</f>
        <v/>
      </c>
      <c r="P19" s="3" t="str">
        <f ca="1">CELL("contenu",INDIRECT(ADDRESS(ref!$K$6,ref!G18,1,,CELL("contenu",$AC$2))))</f>
        <v/>
      </c>
      <c r="Q19" s="4" t="str">
        <f ca="1">CELL("contenu",INDIRECT(ADDRESS(ref!$K$6,ref!H18,1,,CELL("contenu",$AC$2))))</f>
        <v>C</v>
      </c>
      <c r="R19" s="5" t="str">
        <f ca="1">CELL("contenu",INDIRECT(ADDRESS(ref!$K$7,ref!E18,1,,CELL("contenu",$AC$2))))</f>
        <v>A</v>
      </c>
      <c r="S19" s="2" t="str">
        <f ca="1">CELL("contenu",INDIRECT(ADDRESS(ref!$K$7,ref!F18,1,,CELL("contenu",$AC$2))))</f>
        <v/>
      </c>
      <c r="T19" s="3" t="str">
        <f ca="1">CELL("contenu",INDIRECT(ADDRESS(ref!$K$7,ref!G18,1,,CELL("contenu",$AC$2))))</f>
        <v/>
      </c>
      <c r="U19" s="4" t="str">
        <f ca="1">CELL("contenu",INDIRECT(ADDRESS(ref!$K$7,ref!H18,1,,CELL("contenu",$AC$2))))</f>
        <v>A</v>
      </c>
      <c r="V19" s="28">
        <f ca="1">CELL("contenu",INDIRECT(ADDRESS(ref!$K$8,ref!E18,1,,CELL("contenu",$AC$2))))</f>
        <v>15.833333333333332</v>
      </c>
      <c r="W19" s="29" t="str">
        <f ca="1">CELL("contenu",INDIRECT(ADDRESS(ref!$K$8,ref!F18,1,,CELL("contenu",$AC$2))))</f>
        <v/>
      </c>
      <c r="X19" s="30" t="str">
        <f ca="1">CELL("contenu",INDIRECT(ADDRESS(ref!$K$8,ref!G18,1,,CELL("contenu",$AC$2))))</f>
        <v/>
      </c>
      <c r="Y19" s="6" t="str">
        <f ca="1">CELL("contenu",INDIRECT(ADDRESS(ref!$K$9,ref!H18,1,,CELL("contenu",$AC$2))))</f>
        <v/>
      </c>
      <c r="Z19" s="3" t="str">
        <f ca="1">CELL("contenu",INDIRECT(ADDRESS(ref!$K$10,ref!H18,1,,CELL("contenu",$AC$2))))</f>
        <v>A</v>
      </c>
      <c r="AA19" s="7" t="str">
        <f ca="1">CELL("contenu",INDIRECT(ADDRESS(ref!$K$11,ref!H18,1,,CELL("contenu",$AC$2))))</f>
        <v>C</v>
      </c>
    </row>
    <row r="20" spans="1:27" x14ac:dyDescent="0.25">
      <c r="A20" s="45" t="str">
        <f t="shared" ca="1" si="0"/>
        <v>LIZE Julie</v>
      </c>
      <c r="B20" s="1" t="str">
        <f ca="1">CELL("contenu",INDIRECT(ADDRESS(ref!$K$3,ref!E19,1,,CELL("contenu",$AC$2))))</f>
        <v/>
      </c>
      <c r="C20" s="2" t="str">
        <f ca="1">CELL("contenu",INDIRECT(ADDRESS(ref!$K$3,ref!F19,1,,CELL("contenu",$AC$2))))</f>
        <v/>
      </c>
      <c r="D20" s="3" t="str">
        <f ca="1">CELL("contenu",INDIRECT(ADDRESS(ref!$K$3,ref!G19,1,,CELL("contenu",$AC$2))))</f>
        <v/>
      </c>
      <c r="E20" s="4" t="str">
        <f ca="1">CELL("contenu",INDIRECT(ADDRESS(ref!$K$3,ref!H19,1,,CELL("contenu",$AC$2))))</f>
        <v/>
      </c>
      <c r="F20" s="5" t="str">
        <f ca="1">CELL("contenu",INDIRECT(ADDRESS(ref!$K$4,ref!E19,1,,CELL("contenu",$AC$2))))</f>
        <v>B</v>
      </c>
      <c r="G20" s="2" t="str">
        <f ca="1">CELL("contenu",INDIRECT(ADDRESS(ref!$K$4,ref!F19,1,,CELL("contenu",$AC$2))))</f>
        <v/>
      </c>
      <c r="H20" s="3" t="str">
        <f ca="1">CELL("contenu",INDIRECT(ADDRESS(ref!$K$4,ref!G19,1,,CELL("contenu",$AC$2))))</f>
        <v/>
      </c>
      <c r="I20" s="4" t="str">
        <f ca="1">CELL("contenu",INDIRECT(ADDRESS(ref!$K$4,ref!H19,1,,CELL("contenu",$AC$2))))</f>
        <v>B</v>
      </c>
      <c r="J20" s="5" t="str">
        <f ca="1">CELL("contenu",INDIRECT(ADDRESS(ref!$K$5,ref!E19,1,,CELL("contenu",$AC$2))))</f>
        <v>A</v>
      </c>
      <c r="K20" s="2" t="str">
        <f ca="1">CELL("contenu",INDIRECT(ADDRESS(ref!$K$5,ref!F19,1,,CELL("contenu",$AC$2))))</f>
        <v/>
      </c>
      <c r="L20" s="3" t="str">
        <f ca="1">CELL("contenu",INDIRECT(ADDRESS(ref!$K$5,ref!G19,1,,CELL("contenu",$AC$2))))</f>
        <v/>
      </c>
      <c r="M20" s="4" t="str">
        <f ca="1">CELL("contenu",INDIRECT(ADDRESS(ref!$K$5,ref!H19,1,,CELL("contenu",$AC$2))))</f>
        <v>A</v>
      </c>
      <c r="N20" s="5" t="str">
        <f ca="1">CELL("contenu",INDIRECT(ADDRESS(ref!$K$6,ref!E19,1,,CELL("contenu",$AC$2))))</f>
        <v>D</v>
      </c>
      <c r="O20" s="2" t="str">
        <f ca="1">CELL("contenu",INDIRECT(ADDRESS(ref!$K$6,ref!F19,1,,CELL("contenu",$AC$2))))</f>
        <v/>
      </c>
      <c r="P20" s="3" t="str">
        <f ca="1">CELL("contenu",INDIRECT(ADDRESS(ref!$K$6,ref!G19,1,,CELL("contenu",$AC$2))))</f>
        <v/>
      </c>
      <c r="Q20" s="4" t="str">
        <f ca="1">CELL("contenu",INDIRECT(ADDRESS(ref!$K$6,ref!H19,1,,CELL("contenu",$AC$2))))</f>
        <v>D</v>
      </c>
      <c r="R20" s="5" t="str">
        <f ca="1">CELL("contenu",INDIRECT(ADDRESS(ref!$K$7,ref!E19,1,,CELL("contenu",$AC$2))))</f>
        <v>A</v>
      </c>
      <c r="S20" s="2" t="str">
        <f ca="1">CELL("contenu",INDIRECT(ADDRESS(ref!$K$7,ref!F19,1,,CELL("contenu",$AC$2))))</f>
        <v/>
      </c>
      <c r="T20" s="3" t="str">
        <f ca="1">CELL("contenu",INDIRECT(ADDRESS(ref!$K$7,ref!G19,1,,CELL("contenu",$AC$2))))</f>
        <v/>
      </c>
      <c r="U20" s="4" t="str">
        <f ca="1">CELL("contenu",INDIRECT(ADDRESS(ref!$K$7,ref!H19,1,,CELL("contenu",$AC$2))))</f>
        <v>A</v>
      </c>
      <c r="V20" s="28">
        <f ca="1">CELL("contenu",INDIRECT(ADDRESS(ref!$K$8,ref!E19,1,,CELL("contenu",$AC$2))))</f>
        <v>14.166666666666666</v>
      </c>
      <c r="W20" s="29" t="str">
        <f ca="1">CELL("contenu",INDIRECT(ADDRESS(ref!$K$8,ref!F19,1,,CELL("contenu",$AC$2))))</f>
        <v/>
      </c>
      <c r="X20" s="30" t="str">
        <f ca="1">CELL("contenu",INDIRECT(ADDRESS(ref!$K$8,ref!G19,1,,CELL("contenu",$AC$2))))</f>
        <v/>
      </c>
      <c r="Y20" s="6" t="str">
        <f ca="1">CELL("contenu",INDIRECT(ADDRESS(ref!$K$9,ref!H19,1,,CELL("contenu",$AC$2))))</f>
        <v/>
      </c>
      <c r="Z20" s="3" t="str">
        <f ca="1">CELL("contenu",INDIRECT(ADDRESS(ref!$K$10,ref!H19,1,,CELL("contenu",$AC$2))))</f>
        <v>A</v>
      </c>
      <c r="AA20" s="7" t="str">
        <f ca="1">CELL("contenu",INDIRECT(ADDRESS(ref!$K$11,ref!H19,1,,CELL("contenu",$AC$2))))</f>
        <v>D</v>
      </c>
    </row>
    <row r="21" spans="1:27" x14ac:dyDescent="0.25">
      <c r="A21" s="45" t="str">
        <f t="shared" ca="1" si="0"/>
        <v>MALAQUIN Thomas</v>
      </c>
      <c r="B21" s="1" t="str">
        <f ca="1">CELL("contenu",INDIRECT(ADDRESS(ref!$K$3,ref!E20,1,,CELL("contenu",$AC$2))))</f>
        <v/>
      </c>
      <c r="C21" s="2" t="str">
        <f ca="1">CELL("contenu",INDIRECT(ADDRESS(ref!$K$3,ref!F20,1,,CELL("contenu",$AC$2))))</f>
        <v/>
      </c>
      <c r="D21" s="3" t="str">
        <f ca="1">CELL("contenu",INDIRECT(ADDRESS(ref!$K$3,ref!G20,1,,CELL("contenu",$AC$2))))</f>
        <v/>
      </c>
      <c r="E21" s="4" t="str">
        <f ca="1">CELL("contenu",INDIRECT(ADDRESS(ref!$K$3,ref!H20,1,,CELL("contenu",$AC$2))))</f>
        <v/>
      </c>
      <c r="F21" s="5" t="str">
        <f ca="1">CELL("contenu",INDIRECT(ADDRESS(ref!$K$4,ref!E20,1,,CELL("contenu",$AC$2))))</f>
        <v>B</v>
      </c>
      <c r="G21" s="2" t="str">
        <f ca="1">CELL("contenu",INDIRECT(ADDRESS(ref!$K$4,ref!F20,1,,CELL("contenu",$AC$2))))</f>
        <v/>
      </c>
      <c r="H21" s="3" t="str">
        <f ca="1">CELL("contenu",INDIRECT(ADDRESS(ref!$K$4,ref!G20,1,,CELL("contenu",$AC$2))))</f>
        <v/>
      </c>
      <c r="I21" s="4" t="str">
        <f ca="1">CELL("contenu",INDIRECT(ADDRESS(ref!$K$4,ref!H20,1,,CELL("contenu",$AC$2))))</f>
        <v>B</v>
      </c>
      <c r="J21" s="5" t="str">
        <f ca="1">CELL("contenu",INDIRECT(ADDRESS(ref!$K$5,ref!E20,1,,CELL("contenu",$AC$2))))</f>
        <v>C</v>
      </c>
      <c r="K21" s="2" t="str">
        <f ca="1">CELL("contenu",INDIRECT(ADDRESS(ref!$K$5,ref!F20,1,,CELL("contenu",$AC$2))))</f>
        <v/>
      </c>
      <c r="L21" s="3" t="str">
        <f ca="1">CELL("contenu",INDIRECT(ADDRESS(ref!$K$5,ref!G20,1,,CELL("contenu",$AC$2))))</f>
        <v/>
      </c>
      <c r="M21" s="4" t="str">
        <f ca="1">CELL("contenu",INDIRECT(ADDRESS(ref!$K$5,ref!H20,1,,CELL("contenu",$AC$2))))</f>
        <v>C</v>
      </c>
      <c r="N21" s="5" t="str">
        <f ca="1">CELL("contenu",INDIRECT(ADDRESS(ref!$K$6,ref!E20,1,,CELL("contenu",$AC$2))))</f>
        <v>C</v>
      </c>
      <c r="O21" s="2" t="str">
        <f ca="1">CELL("contenu",INDIRECT(ADDRESS(ref!$K$6,ref!F20,1,,CELL("contenu",$AC$2))))</f>
        <v/>
      </c>
      <c r="P21" s="3" t="str">
        <f ca="1">CELL("contenu",INDIRECT(ADDRESS(ref!$K$6,ref!G20,1,,CELL("contenu",$AC$2))))</f>
        <v/>
      </c>
      <c r="Q21" s="4" t="str">
        <f ca="1">CELL("contenu",INDIRECT(ADDRESS(ref!$K$6,ref!H20,1,,CELL("contenu",$AC$2))))</f>
        <v>C</v>
      </c>
      <c r="R21" s="5" t="str">
        <f ca="1">CELL("contenu",INDIRECT(ADDRESS(ref!$K$7,ref!E20,1,,CELL("contenu",$AC$2))))</f>
        <v>A</v>
      </c>
      <c r="S21" s="2" t="str">
        <f ca="1">CELL("contenu",INDIRECT(ADDRESS(ref!$K$7,ref!F20,1,,CELL("contenu",$AC$2))))</f>
        <v/>
      </c>
      <c r="T21" s="3" t="str">
        <f ca="1">CELL("contenu",INDIRECT(ADDRESS(ref!$K$7,ref!G20,1,,CELL("contenu",$AC$2))))</f>
        <v/>
      </c>
      <c r="U21" s="4" t="str">
        <f ca="1">CELL("contenu",INDIRECT(ADDRESS(ref!$K$7,ref!H20,1,,CELL("contenu",$AC$2))))</f>
        <v>A</v>
      </c>
      <c r="V21" s="28">
        <f ca="1">CELL("contenu",INDIRECT(ADDRESS(ref!$K$8,ref!E20,1,,CELL("contenu",$AC$2))))</f>
        <v>13.333333333333334</v>
      </c>
      <c r="W21" s="29" t="str">
        <f ca="1">CELL("contenu",INDIRECT(ADDRESS(ref!$K$8,ref!F20,1,,CELL("contenu",$AC$2))))</f>
        <v/>
      </c>
      <c r="X21" s="30" t="str">
        <f ca="1">CELL("contenu",INDIRECT(ADDRESS(ref!$K$8,ref!G20,1,,CELL("contenu",$AC$2))))</f>
        <v/>
      </c>
      <c r="Y21" s="6" t="str">
        <f ca="1">CELL("contenu",INDIRECT(ADDRESS(ref!$K$9,ref!H20,1,,CELL("contenu",$AC$2))))</f>
        <v/>
      </c>
      <c r="Z21" s="3" t="str">
        <f ca="1">CELL("contenu",INDIRECT(ADDRESS(ref!$K$10,ref!H20,1,,CELL("contenu",$AC$2))))</f>
        <v>C</v>
      </c>
      <c r="AA21" s="7" t="str">
        <f ca="1">CELL("contenu",INDIRECT(ADDRESS(ref!$K$11,ref!H20,1,,CELL("contenu",$AC$2))))</f>
        <v>C</v>
      </c>
    </row>
    <row r="22" spans="1:27" x14ac:dyDescent="0.25">
      <c r="A22" s="45" t="str">
        <f t="shared" ca="1" si="0"/>
        <v>PAITRE Clarisse</v>
      </c>
      <c r="B22" s="1" t="str">
        <f ca="1">CELL("contenu",INDIRECT(ADDRESS(ref!$K$3,ref!E21,1,,CELL("contenu",$AC$2))))</f>
        <v/>
      </c>
      <c r="C22" s="2" t="str">
        <f ca="1">CELL("contenu",INDIRECT(ADDRESS(ref!$K$3,ref!F21,1,,CELL("contenu",$AC$2))))</f>
        <v/>
      </c>
      <c r="D22" s="3" t="str">
        <f ca="1">CELL("contenu",INDIRECT(ADDRESS(ref!$K$3,ref!G21,1,,CELL("contenu",$AC$2))))</f>
        <v/>
      </c>
      <c r="E22" s="4" t="str">
        <f ca="1">CELL("contenu",INDIRECT(ADDRESS(ref!$K$3,ref!H21,1,,CELL("contenu",$AC$2))))</f>
        <v/>
      </c>
      <c r="F22" s="5" t="str">
        <f ca="1">CELL("contenu",INDIRECT(ADDRESS(ref!$K$4,ref!E21,1,,CELL("contenu",$AC$2))))</f>
        <v>C</v>
      </c>
      <c r="G22" s="2" t="str">
        <f ca="1">CELL("contenu",INDIRECT(ADDRESS(ref!$K$4,ref!F21,1,,CELL("contenu",$AC$2))))</f>
        <v/>
      </c>
      <c r="H22" s="3" t="str">
        <f ca="1">CELL("contenu",INDIRECT(ADDRESS(ref!$K$4,ref!G21,1,,CELL("contenu",$AC$2))))</f>
        <v/>
      </c>
      <c r="I22" s="4" t="str">
        <f ca="1">CELL("contenu",INDIRECT(ADDRESS(ref!$K$4,ref!H21,1,,CELL("contenu",$AC$2))))</f>
        <v>C</v>
      </c>
      <c r="J22" s="5" t="str">
        <f ca="1">CELL("contenu",INDIRECT(ADDRESS(ref!$K$5,ref!E21,1,,CELL("contenu",$AC$2))))</f>
        <v>B</v>
      </c>
      <c r="K22" s="2" t="str">
        <f ca="1">CELL("contenu",INDIRECT(ADDRESS(ref!$K$5,ref!F21,1,,CELL("contenu",$AC$2))))</f>
        <v/>
      </c>
      <c r="L22" s="3" t="str">
        <f ca="1">CELL("contenu",INDIRECT(ADDRESS(ref!$K$5,ref!G21,1,,CELL("contenu",$AC$2))))</f>
        <v/>
      </c>
      <c r="M22" s="4" t="str">
        <f ca="1">CELL("contenu",INDIRECT(ADDRESS(ref!$K$5,ref!H21,1,,CELL("contenu",$AC$2))))</f>
        <v>B</v>
      </c>
      <c r="N22" s="5" t="str">
        <f ca="1">CELL("contenu",INDIRECT(ADDRESS(ref!$K$6,ref!E21,1,,CELL("contenu",$AC$2))))</f>
        <v>C</v>
      </c>
      <c r="O22" s="2" t="str">
        <f ca="1">CELL("contenu",INDIRECT(ADDRESS(ref!$K$6,ref!F21,1,,CELL("contenu",$AC$2))))</f>
        <v/>
      </c>
      <c r="P22" s="3" t="str">
        <f ca="1">CELL("contenu",INDIRECT(ADDRESS(ref!$K$6,ref!G21,1,,CELL("contenu",$AC$2))))</f>
        <v/>
      </c>
      <c r="Q22" s="4" t="str">
        <f ca="1">CELL("contenu",INDIRECT(ADDRESS(ref!$K$6,ref!H21,1,,CELL("contenu",$AC$2))))</f>
        <v>C</v>
      </c>
      <c r="R22" s="5" t="str">
        <f ca="1">CELL("contenu",INDIRECT(ADDRESS(ref!$K$7,ref!E21,1,,CELL("contenu",$AC$2))))</f>
        <v>A</v>
      </c>
      <c r="S22" s="2" t="str">
        <f ca="1">CELL("contenu",INDIRECT(ADDRESS(ref!$K$7,ref!F21,1,,CELL("contenu",$AC$2))))</f>
        <v/>
      </c>
      <c r="T22" s="3" t="str">
        <f ca="1">CELL("contenu",INDIRECT(ADDRESS(ref!$K$7,ref!G21,1,,CELL("contenu",$AC$2))))</f>
        <v/>
      </c>
      <c r="U22" s="4" t="str">
        <f ca="1">CELL("contenu",INDIRECT(ADDRESS(ref!$K$7,ref!H21,1,,CELL("contenu",$AC$2))))</f>
        <v>A</v>
      </c>
      <c r="V22" s="28">
        <f ca="1">CELL("contenu",INDIRECT(ADDRESS(ref!$K$8,ref!E21,1,,CELL("contenu",$AC$2))))</f>
        <v>12.5</v>
      </c>
      <c r="W22" s="29" t="str">
        <f ca="1">CELL("contenu",INDIRECT(ADDRESS(ref!$K$8,ref!F21,1,,CELL("contenu",$AC$2))))</f>
        <v/>
      </c>
      <c r="X22" s="30" t="str">
        <f ca="1">CELL("contenu",INDIRECT(ADDRESS(ref!$K$8,ref!G21,1,,CELL("contenu",$AC$2))))</f>
        <v/>
      </c>
      <c r="Y22" s="6" t="str">
        <f ca="1">CELL("contenu",INDIRECT(ADDRESS(ref!$K$9,ref!H21,1,,CELL("contenu",$AC$2))))</f>
        <v/>
      </c>
      <c r="Z22" s="3" t="str">
        <f ca="1">CELL("contenu",INDIRECT(ADDRESS(ref!$K$10,ref!H21,1,,CELL("contenu",$AC$2))))</f>
        <v>B</v>
      </c>
      <c r="AA22" s="7" t="str">
        <f ca="1">CELL("contenu",INDIRECT(ADDRESS(ref!$K$11,ref!H21,1,,CELL("contenu",$AC$2))))</f>
        <v>C</v>
      </c>
    </row>
    <row r="23" spans="1:27" x14ac:dyDescent="0.25">
      <c r="A23" s="45" t="str">
        <f t="shared" ca="1" si="0"/>
        <v>PAUL Victoire</v>
      </c>
      <c r="B23" s="1" t="str">
        <f ca="1">CELL("contenu",INDIRECT(ADDRESS(ref!$K$3,ref!E22,1,,CELL("contenu",$AC$2))))</f>
        <v/>
      </c>
      <c r="C23" s="2" t="str">
        <f ca="1">CELL("contenu",INDIRECT(ADDRESS(ref!$K$3,ref!F22,1,,CELL("contenu",$AC$2))))</f>
        <v/>
      </c>
      <c r="D23" s="3" t="str">
        <f ca="1">CELL("contenu",INDIRECT(ADDRESS(ref!$K$3,ref!G22,1,,CELL("contenu",$AC$2))))</f>
        <v/>
      </c>
      <c r="E23" s="4" t="str">
        <f ca="1">CELL("contenu",INDIRECT(ADDRESS(ref!$K$3,ref!H22,1,,CELL("contenu",$AC$2))))</f>
        <v/>
      </c>
      <c r="F23" s="5" t="str">
        <f ca="1">CELL("contenu",INDIRECT(ADDRESS(ref!$K$4,ref!E22,1,,CELL("contenu",$AC$2))))</f>
        <v>A</v>
      </c>
      <c r="G23" s="2" t="str">
        <f ca="1">CELL("contenu",INDIRECT(ADDRESS(ref!$K$4,ref!F22,1,,CELL("contenu",$AC$2))))</f>
        <v/>
      </c>
      <c r="H23" s="3" t="str">
        <f ca="1">CELL("contenu",INDIRECT(ADDRESS(ref!$K$4,ref!G22,1,,CELL("contenu",$AC$2))))</f>
        <v/>
      </c>
      <c r="I23" s="4" t="str">
        <f ca="1">CELL("contenu",INDIRECT(ADDRESS(ref!$K$4,ref!H22,1,,CELL("contenu",$AC$2))))</f>
        <v>A</v>
      </c>
      <c r="J23" s="5" t="str">
        <f ca="1">CELL("contenu",INDIRECT(ADDRESS(ref!$K$5,ref!E22,1,,CELL("contenu",$AC$2))))</f>
        <v>A</v>
      </c>
      <c r="K23" s="2" t="str">
        <f ca="1">CELL("contenu",INDIRECT(ADDRESS(ref!$K$5,ref!F22,1,,CELL("contenu",$AC$2))))</f>
        <v/>
      </c>
      <c r="L23" s="3" t="str">
        <f ca="1">CELL("contenu",INDIRECT(ADDRESS(ref!$K$5,ref!G22,1,,CELL("contenu",$AC$2))))</f>
        <v/>
      </c>
      <c r="M23" s="4" t="str">
        <f ca="1">CELL("contenu",INDIRECT(ADDRESS(ref!$K$5,ref!H22,1,,CELL("contenu",$AC$2))))</f>
        <v>A</v>
      </c>
      <c r="N23" s="5" t="str">
        <f ca="1">CELL("contenu",INDIRECT(ADDRESS(ref!$K$6,ref!E22,1,,CELL("contenu",$AC$2))))</f>
        <v>C</v>
      </c>
      <c r="O23" s="2" t="str">
        <f ca="1">CELL("contenu",INDIRECT(ADDRESS(ref!$K$6,ref!F22,1,,CELL("contenu",$AC$2))))</f>
        <v/>
      </c>
      <c r="P23" s="3" t="str">
        <f ca="1">CELL("contenu",INDIRECT(ADDRESS(ref!$K$6,ref!G22,1,,CELL("contenu",$AC$2))))</f>
        <v/>
      </c>
      <c r="Q23" s="4" t="str">
        <f ca="1">CELL("contenu",INDIRECT(ADDRESS(ref!$K$6,ref!H22,1,,CELL("contenu",$AC$2))))</f>
        <v>C</v>
      </c>
      <c r="R23" s="5" t="str">
        <f ca="1">CELL("contenu",INDIRECT(ADDRESS(ref!$K$7,ref!E22,1,,CELL("contenu",$AC$2))))</f>
        <v>A</v>
      </c>
      <c r="S23" s="2" t="str">
        <f ca="1">CELL("contenu",INDIRECT(ADDRESS(ref!$K$7,ref!F22,1,,CELL("contenu",$AC$2))))</f>
        <v/>
      </c>
      <c r="T23" s="3" t="str">
        <f ca="1">CELL("contenu",INDIRECT(ADDRESS(ref!$K$7,ref!G22,1,,CELL("contenu",$AC$2))))</f>
        <v/>
      </c>
      <c r="U23" s="4" t="str">
        <f ca="1">CELL("contenu",INDIRECT(ADDRESS(ref!$K$7,ref!H22,1,,CELL("contenu",$AC$2))))</f>
        <v>A</v>
      </c>
      <c r="V23" s="28">
        <f ca="1">CELL("contenu",INDIRECT(ADDRESS(ref!$K$8,ref!E22,1,,CELL("contenu",$AC$2))))</f>
        <v>16.666666666666668</v>
      </c>
      <c r="W23" s="29" t="str">
        <f ca="1">CELL("contenu",INDIRECT(ADDRESS(ref!$K$8,ref!F22,1,,CELL("contenu",$AC$2))))</f>
        <v/>
      </c>
      <c r="X23" s="30" t="str">
        <f ca="1">CELL("contenu",INDIRECT(ADDRESS(ref!$K$8,ref!G22,1,,CELL("contenu",$AC$2))))</f>
        <v/>
      </c>
      <c r="Y23" s="6" t="str">
        <f ca="1">CELL("contenu",INDIRECT(ADDRESS(ref!$K$9,ref!H22,1,,CELL("contenu",$AC$2))))</f>
        <v/>
      </c>
      <c r="Z23" s="3" t="str">
        <f ca="1">CELL("contenu",INDIRECT(ADDRESS(ref!$K$10,ref!H22,1,,CELL("contenu",$AC$2))))</f>
        <v>A</v>
      </c>
      <c r="AA23" s="7" t="str">
        <f ca="1">CELL("contenu",INDIRECT(ADDRESS(ref!$K$11,ref!H22,1,,CELL("contenu",$AC$2))))</f>
        <v>C</v>
      </c>
    </row>
    <row r="24" spans="1:27" x14ac:dyDescent="0.25">
      <c r="A24" s="45" t="str">
        <f t="shared" ca="1" si="0"/>
        <v>PERICOU--RAMEAU Lou-Ann</v>
      </c>
      <c r="B24" s="1" t="str">
        <f ca="1">CELL("contenu",INDIRECT(ADDRESS(ref!$K$3,ref!E23,1,,CELL("contenu",$AC$2))))</f>
        <v/>
      </c>
      <c r="C24" s="2" t="str">
        <f ca="1">CELL("contenu",INDIRECT(ADDRESS(ref!$K$3,ref!F23,1,,CELL("contenu",$AC$2))))</f>
        <v/>
      </c>
      <c r="D24" s="3" t="str">
        <f ca="1">CELL("contenu",INDIRECT(ADDRESS(ref!$K$3,ref!G23,1,,CELL("contenu",$AC$2))))</f>
        <v/>
      </c>
      <c r="E24" s="4" t="str">
        <f ca="1">CELL("contenu",INDIRECT(ADDRESS(ref!$K$3,ref!H23,1,,CELL("contenu",$AC$2))))</f>
        <v/>
      </c>
      <c r="F24" s="5" t="str">
        <f ca="1">CELL("contenu",INDIRECT(ADDRESS(ref!$K$4,ref!E23,1,,CELL("contenu",$AC$2))))</f>
        <v>C</v>
      </c>
      <c r="G24" s="2" t="str">
        <f ca="1">CELL("contenu",INDIRECT(ADDRESS(ref!$K$4,ref!F23,1,,CELL("contenu",$AC$2))))</f>
        <v/>
      </c>
      <c r="H24" s="3" t="str">
        <f ca="1">CELL("contenu",INDIRECT(ADDRESS(ref!$K$4,ref!G23,1,,CELL("contenu",$AC$2))))</f>
        <v/>
      </c>
      <c r="I24" s="4" t="str">
        <f ca="1">CELL("contenu",INDIRECT(ADDRESS(ref!$K$4,ref!H23,1,,CELL("contenu",$AC$2))))</f>
        <v>C</v>
      </c>
      <c r="J24" s="5" t="str">
        <f ca="1">CELL("contenu",INDIRECT(ADDRESS(ref!$K$5,ref!E23,1,,CELL("contenu",$AC$2))))</f>
        <v>B</v>
      </c>
      <c r="K24" s="2" t="str">
        <f ca="1">CELL("contenu",INDIRECT(ADDRESS(ref!$K$5,ref!F23,1,,CELL("contenu",$AC$2))))</f>
        <v/>
      </c>
      <c r="L24" s="3" t="str">
        <f ca="1">CELL("contenu",INDIRECT(ADDRESS(ref!$K$5,ref!G23,1,,CELL("contenu",$AC$2))))</f>
        <v/>
      </c>
      <c r="M24" s="4" t="str">
        <f ca="1">CELL("contenu",INDIRECT(ADDRESS(ref!$K$5,ref!H23,1,,CELL("contenu",$AC$2))))</f>
        <v>B</v>
      </c>
      <c r="N24" s="5" t="str">
        <f ca="1">CELL("contenu",INDIRECT(ADDRESS(ref!$K$6,ref!E23,1,,CELL("contenu",$AC$2))))</f>
        <v>B</v>
      </c>
      <c r="O24" s="2" t="str">
        <f ca="1">CELL("contenu",INDIRECT(ADDRESS(ref!$K$6,ref!F23,1,,CELL("contenu",$AC$2))))</f>
        <v/>
      </c>
      <c r="P24" s="3" t="str">
        <f ca="1">CELL("contenu",INDIRECT(ADDRESS(ref!$K$6,ref!G23,1,,CELL("contenu",$AC$2))))</f>
        <v/>
      </c>
      <c r="Q24" s="4" t="str">
        <f ca="1">CELL("contenu",INDIRECT(ADDRESS(ref!$K$6,ref!H23,1,,CELL("contenu",$AC$2))))</f>
        <v>B</v>
      </c>
      <c r="R24" s="5" t="str">
        <f ca="1">CELL("contenu",INDIRECT(ADDRESS(ref!$K$7,ref!E23,1,,CELL("contenu",$AC$2))))</f>
        <v>A</v>
      </c>
      <c r="S24" s="2" t="str">
        <f ca="1">CELL("contenu",INDIRECT(ADDRESS(ref!$K$7,ref!F23,1,,CELL("contenu",$AC$2))))</f>
        <v/>
      </c>
      <c r="T24" s="3" t="str">
        <f ca="1">CELL("contenu",INDIRECT(ADDRESS(ref!$K$7,ref!G23,1,,CELL("contenu",$AC$2))))</f>
        <v/>
      </c>
      <c r="U24" s="4" t="str">
        <f ca="1">CELL("contenu",INDIRECT(ADDRESS(ref!$K$7,ref!H23,1,,CELL("contenu",$AC$2))))</f>
        <v>A</v>
      </c>
      <c r="V24" s="28">
        <f ca="1">CELL("contenu",INDIRECT(ADDRESS(ref!$K$8,ref!E23,1,,CELL("contenu",$AC$2))))</f>
        <v>15</v>
      </c>
      <c r="W24" s="29" t="str">
        <f ca="1">CELL("contenu",INDIRECT(ADDRESS(ref!$K$8,ref!F23,1,,CELL("contenu",$AC$2))))</f>
        <v/>
      </c>
      <c r="X24" s="30" t="str">
        <f ca="1">CELL("contenu",INDIRECT(ADDRESS(ref!$K$8,ref!G23,1,,CELL("contenu",$AC$2))))</f>
        <v/>
      </c>
      <c r="Y24" s="6" t="str">
        <f ca="1">CELL("contenu",INDIRECT(ADDRESS(ref!$K$9,ref!H23,1,,CELL("contenu",$AC$2))))</f>
        <v/>
      </c>
      <c r="Z24" s="3" t="str">
        <f ca="1">CELL("contenu",INDIRECT(ADDRESS(ref!$K$10,ref!H23,1,,CELL("contenu",$AC$2))))</f>
        <v>B</v>
      </c>
      <c r="AA24" s="7" t="str">
        <f ca="1">CELL("contenu",INDIRECT(ADDRESS(ref!$K$11,ref!H23,1,,CELL("contenu",$AC$2))))</f>
        <v>B</v>
      </c>
    </row>
    <row r="25" spans="1:27" x14ac:dyDescent="0.25">
      <c r="A25" s="45" t="str">
        <f t="shared" ca="1" si="0"/>
        <v>PINON Come</v>
      </c>
      <c r="B25" s="1" t="str">
        <f ca="1">CELL("contenu",INDIRECT(ADDRESS(ref!$K$3,ref!E24,1,,CELL("contenu",$AC$2))))</f>
        <v/>
      </c>
      <c r="C25" s="2" t="str">
        <f ca="1">CELL("contenu",INDIRECT(ADDRESS(ref!$K$3,ref!F24,1,,CELL("contenu",$AC$2))))</f>
        <v/>
      </c>
      <c r="D25" s="3" t="str">
        <f ca="1">CELL("contenu",INDIRECT(ADDRESS(ref!$K$3,ref!G24,1,,CELL("contenu",$AC$2))))</f>
        <v/>
      </c>
      <c r="E25" s="4" t="str">
        <f ca="1">CELL("contenu",INDIRECT(ADDRESS(ref!$K$3,ref!H24,1,,CELL("contenu",$AC$2))))</f>
        <v/>
      </c>
      <c r="F25" s="5" t="str">
        <f ca="1">CELL("contenu",INDIRECT(ADDRESS(ref!$K$4,ref!E24,1,,CELL("contenu",$AC$2))))</f>
        <v>B</v>
      </c>
      <c r="G25" s="2" t="str">
        <f ca="1">CELL("contenu",INDIRECT(ADDRESS(ref!$K$4,ref!F24,1,,CELL("contenu",$AC$2))))</f>
        <v/>
      </c>
      <c r="H25" s="3" t="str">
        <f ca="1">CELL("contenu",INDIRECT(ADDRESS(ref!$K$4,ref!G24,1,,CELL("contenu",$AC$2))))</f>
        <v/>
      </c>
      <c r="I25" s="4" t="str">
        <f ca="1">CELL("contenu",INDIRECT(ADDRESS(ref!$K$4,ref!H24,1,,CELL("contenu",$AC$2))))</f>
        <v>B</v>
      </c>
      <c r="J25" s="5" t="str">
        <f ca="1">CELL("contenu",INDIRECT(ADDRESS(ref!$K$5,ref!E24,1,,CELL("contenu",$AC$2))))</f>
        <v>A</v>
      </c>
      <c r="K25" s="2" t="str">
        <f ca="1">CELL("contenu",INDIRECT(ADDRESS(ref!$K$5,ref!F24,1,,CELL("contenu",$AC$2))))</f>
        <v/>
      </c>
      <c r="L25" s="3" t="str">
        <f ca="1">CELL("contenu",INDIRECT(ADDRESS(ref!$K$5,ref!G24,1,,CELL("contenu",$AC$2))))</f>
        <v/>
      </c>
      <c r="M25" s="4" t="str">
        <f ca="1">CELL("contenu",INDIRECT(ADDRESS(ref!$K$5,ref!H24,1,,CELL("contenu",$AC$2))))</f>
        <v>A</v>
      </c>
      <c r="N25" s="5" t="str">
        <f ca="1">CELL("contenu",INDIRECT(ADDRESS(ref!$K$6,ref!E24,1,,CELL("contenu",$AC$2))))</f>
        <v>B</v>
      </c>
      <c r="O25" s="2" t="str">
        <f ca="1">CELL("contenu",INDIRECT(ADDRESS(ref!$K$6,ref!F24,1,,CELL("contenu",$AC$2))))</f>
        <v/>
      </c>
      <c r="P25" s="3" t="str">
        <f ca="1">CELL("contenu",INDIRECT(ADDRESS(ref!$K$6,ref!G24,1,,CELL("contenu",$AC$2))))</f>
        <v/>
      </c>
      <c r="Q25" s="4" t="str">
        <f ca="1">CELL("contenu",INDIRECT(ADDRESS(ref!$K$6,ref!H24,1,,CELL("contenu",$AC$2))))</f>
        <v>B</v>
      </c>
      <c r="R25" s="5" t="str">
        <f ca="1">CELL("contenu",INDIRECT(ADDRESS(ref!$K$7,ref!E24,1,,CELL("contenu",$AC$2))))</f>
        <v>A</v>
      </c>
      <c r="S25" s="2" t="str">
        <f ca="1">CELL("contenu",INDIRECT(ADDRESS(ref!$K$7,ref!F24,1,,CELL("contenu",$AC$2))))</f>
        <v/>
      </c>
      <c r="T25" s="3" t="str">
        <f ca="1">CELL("contenu",INDIRECT(ADDRESS(ref!$K$7,ref!G24,1,,CELL("contenu",$AC$2))))</f>
        <v/>
      </c>
      <c r="U25" s="4" t="str">
        <f ca="1">CELL("contenu",INDIRECT(ADDRESS(ref!$K$7,ref!H24,1,,CELL("contenu",$AC$2))))</f>
        <v>A</v>
      </c>
      <c r="V25" s="28">
        <f ca="1">CELL("contenu",INDIRECT(ADDRESS(ref!$K$8,ref!E24,1,,CELL("contenu",$AC$2))))</f>
        <v>16.666666666666668</v>
      </c>
      <c r="W25" s="29" t="str">
        <f ca="1">CELL("contenu",INDIRECT(ADDRESS(ref!$K$8,ref!F24,1,,CELL("contenu",$AC$2))))</f>
        <v/>
      </c>
      <c r="X25" s="30" t="str">
        <f ca="1">CELL("contenu",INDIRECT(ADDRESS(ref!$K$8,ref!G24,1,,CELL("contenu",$AC$2))))</f>
        <v/>
      </c>
      <c r="Y25" s="6" t="str">
        <f ca="1">CELL("contenu",INDIRECT(ADDRESS(ref!$K$9,ref!H24,1,,CELL("contenu",$AC$2))))</f>
        <v/>
      </c>
      <c r="Z25" s="3" t="str">
        <f ca="1">CELL("contenu",INDIRECT(ADDRESS(ref!$K$10,ref!H24,1,,CELL("contenu",$AC$2))))</f>
        <v>A</v>
      </c>
      <c r="AA25" s="7" t="str">
        <f ca="1">CELL("contenu",INDIRECT(ADDRESS(ref!$K$11,ref!H24,1,,CELL("contenu",$AC$2))))</f>
        <v>B</v>
      </c>
    </row>
    <row r="26" spans="1:27" x14ac:dyDescent="0.25">
      <c r="A26" s="45" t="str">
        <f t="shared" ca="1" si="0"/>
        <v>POTEL Jeanne</v>
      </c>
      <c r="B26" s="1" t="str">
        <f ca="1">CELL("contenu",INDIRECT(ADDRESS(ref!$K$3,ref!E25,1,,CELL("contenu",$AC$2))))</f>
        <v/>
      </c>
      <c r="C26" s="2" t="str">
        <f ca="1">CELL("contenu",INDIRECT(ADDRESS(ref!$K$3,ref!F25,1,,CELL("contenu",$AC$2))))</f>
        <v/>
      </c>
      <c r="D26" s="3" t="str">
        <f ca="1">CELL("contenu",INDIRECT(ADDRESS(ref!$K$3,ref!G25,1,,CELL("contenu",$AC$2))))</f>
        <v/>
      </c>
      <c r="E26" s="4" t="str">
        <f ca="1">CELL("contenu",INDIRECT(ADDRESS(ref!$K$3,ref!H25,1,,CELL("contenu",$AC$2))))</f>
        <v/>
      </c>
      <c r="F26" s="5" t="str">
        <f ca="1">CELL("contenu",INDIRECT(ADDRESS(ref!$K$4,ref!E25,1,,CELL("contenu",$AC$2))))</f>
        <v>B</v>
      </c>
      <c r="G26" s="2" t="str">
        <f ca="1">CELL("contenu",INDIRECT(ADDRESS(ref!$K$4,ref!F25,1,,CELL("contenu",$AC$2))))</f>
        <v/>
      </c>
      <c r="H26" s="3" t="str">
        <f ca="1">CELL("contenu",INDIRECT(ADDRESS(ref!$K$4,ref!G25,1,,CELL("contenu",$AC$2))))</f>
        <v/>
      </c>
      <c r="I26" s="4" t="str">
        <f ca="1">CELL("contenu",INDIRECT(ADDRESS(ref!$K$4,ref!H25,1,,CELL("contenu",$AC$2))))</f>
        <v>B</v>
      </c>
      <c r="J26" s="5" t="str">
        <f ca="1">CELL("contenu",INDIRECT(ADDRESS(ref!$K$5,ref!E25,1,,CELL("contenu",$AC$2))))</f>
        <v>B</v>
      </c>
      <c r="K26" s="2" t="str">
        <f ca="1">CELL("contenu",INDIRECT(ADDRESS(ref!$K$5,ref!F25,1,,CELL("contenu",$AC$2))))</f>
        <v/>
      </c>
      <c r="L26" s="3" t="str">
        <f ca="1">CELL("contenu",INDIRECT(ADDRESS(ref!$K$5,ref!G25,1,,CELL("contenu",$AC$2))))</f>
        <v/>
      </c>
      <c r="M26" s="4" t="str">
        <f ca="1">CELL("contenu",INDIRECT(ADDRESS(ref!$K$5,ref!H25,1,,CELL("contenu",$AC$2))))</f>
        <v>B</v>
      </c>
      <c r="N26" s="5" t="str">
        <f ca="1">CELL("contenu",INDIRECT(ADDRESS(ref!$K$6,ref!E25,1,,CELL("contenu",$AC$2))))</f>
        <v>A</v>
      </c>
      <c r="O26" s="2" t="str">
        <f ca="1">CELL("contenu",INDIRECT(ADDRESS(ref!$K$6,ref!F25,1,,CELL("contenu",$AC$2))))</f>
        <v/>
      </c>
      <c r="P26" s="3" t="str">
        <f ca="1">CELL("contenu",INDIRECT(ADDRESS(ref!$K$6,ref!G25,1,,CELL("contenu",$AC$2))))</f>
        <v/>
      </c>
      <c r="Q26" s="4" t="str">
        <f ca="1">CELL("contenu",INDIRECT(ADDRESS(ref!$K$6,ref!H25,1,,CELL("contenu",$AC$2))))</f>
        <v>A</v>
      </c>
      <c r="R26" s="5" t="str">
        <f ca="1">CELL("contenu",INDIRECT(ADDRESS(ref!$K$7,ref!E25,1,,CELL("contenu",$AC$2))))</f>
        <v>A</v>
      </c>
      <c r="S26" s="2" t="str">
        <f ca="1">CELL("contenu",INDIRECT(ADDRESS(ref!$K$7,ref!F25,1,,CELL("contenu",$AC$2))))</f>
        <v/>
      </c>
      <c r="T26" s="3" t="str">
        <f ca="1">CELL("contenu",INDIRECT(ADDRESS(ref!$K$7,ref!G25,1,,CELL("contenu",$AC$2))))</f>
        <v/>
      </c>
      <c r="U26" s="4" t="str">
        <f ca="1">CELL("contenu",INDIRECT(ADDRESS(ref!$K$7,ref!H25,1,,CELL("contenu",$AC$2))))</f>
        <v>A</v>
      </c>
      <c r="V26" s="28">
        <f ca="1">CELL("contenu",INDIRECT(ADDRESS(ref!$K$8,ref!E25,1,,CELL("contenu",$AC$2))))</f>
        <v>17.5</v>
      </c>
      <c r="W26" s="29" t="str">
        <f ca="1">CELL("contenu",INDIRECT(ADDRESS(ref!$K$8,ref!F25,1,,CELL("contenu",$AC$2))))</f>
        <v/>
      </c>
      <c r="X26" s="30" t="str">
        <f ca="1">CELL("contenu",INDIRECT(ADDRESS(ref!$K$8,ref!G25,1,,CELL("contenu",$AC$2))))</f>
        <v/>
      </c>
      <c r="Y26" s="6" t="str">
        <f ca="1">CELL("contenu",INDIRECT(ADDRESS(ref!$K$9,ref!H25,1,,CELL("contenu",$AC$2))))</f>
        <v/>
      </c>
      <c r="Z26" s="3" t="str">
        <f ca="1">CELL("contenu",INDIRECT(ADDRESS(ref!$K$10,ref!H25,1,,CELL("contenu",$AC$2))))</f>
        <v>B</v>
      </c>
      <c r="AA26" s="7" t="str">
        <f ca="1">CELL("contenu",INDIRECT(ADDRESS(ref!$K$11,ref!H25,1,,CELL("contenu",$AC$2))))</f>
        <v>A</v>
      </c>
    </row>
    <row r="27" spans="1:27" x14ac:dyDescent="0.25">
      <c r="A27" s="45" t="str">
        <f t="shared" ca="1" si="0"/>
        <v>PRIN Jeanne-Eve</v>
      </c>
      <c r="B27" s="1" t="str">
        <f ca="1">CELL("contenu",INDIRECT(ADDRESS(ref!$K$3,ref!E26,1,,CELL("contenu",$AC$2))))</f>
        <v/>
      </c>
      <c r="C27" s="2" t="str">
        <f ca="1">CELL("contenu",INDIRECT(ADDRESS(ref!$K$3,ref!F26,1,,CELL("contenu",$AC$2))))</f>
        <v/>
      </c>
      <c r="D27" s="3" t="str">
        <f ca="1">CELL("contenu",INDIRECT(ADDRESS(ref!$K$3,ref!G26,1,,CELL("contenu",$AC$2))))</f>
        <v/>
      </c>
      <c r="E27" s="4" t="str">
        <f ca="1">CELL("contenu",INDIRECT(ADDRESS(ref!$K$3,ref!H26,1,,CELL("contenu",$AC$2))))</f>
        <v/>
      </c>
      <c r="F27" s="5" t="str">
        <f ca="1">CELL("contenu",INDIRECT(ADDRESS(ref!$K$4,ref!E26,1,,CELL("contenu",$AC$2))))</f>
        <v>C</v>
      </c>
      <c r="G27" s="2" t="str">
        <f ca="1">CELL("contenu",INDIRECT(ADDRESS(ref!$K$4,ref!F26,1,,CELL("contenu",$AC$2))))</f>
        <v/>
      </c>
      <c r="H27" s="3" t="str">
        <f ca="1">CELL("contenu",INDIRECT(ADDRESS(ref!$K$4,ref!G26,1,,CELL("contenu",$AC$2))))</f>
        <v/>
      </c>
      <c r="I27" s="4" t="str">
        <f ca="1">CELL("contenu",INDIRECT(ADDRESS(ref!$K$4,ref!H26,1,,CELL("contenu",$AC$2))))</f>
        <v>C</v>
      </c>
      <c r="J27" s="5" t="str">
        <f ca="1">CELL("contenu",INDIRECT(ADDRESS(ref!$K$5,ref!E26,1,,CELL("contenu",$AC$2))))</f>
        <v>A</v>
      </c>
      <c r="K27" s="2" t="str">
        <f ca="1">CELL("contenu",INDIRECT(ADDRESS(ref!$K$5,ref!F26,1,,CELL("contenu",$AC$2))))</f>
        <v/>
      </c>
      <c r="L27" s="3" t="str">
        <f ca="1">CELL("contenu",INDIRECT(ADDRESS(ref!$K$5,ref!G26,1,,CELL("contenu",$AC$2))))</f>
        <v/>
      </c>
      <c r="M27" s="4" t="str">
        <f ca="1">CELL("contenu",INDIRECT(ADDRESS(ref!$K$5,ref!H26,1,,CELL("contenu",$AC$2))))</f>
        <v>A</v>
      </c>
      <c r="N27" s="5" t="str">
        <f ca="1">CELL("contenu",INDIRECT(ADDRESS(ref!$K$6,ref!E26,1,,CELL("contenu",$AC$2))))</f>
        <v>C</v>
      </c>
      <c r="O27" s="2" t="str">
        <f ca="1">CELL("contenu",INDIRECT(ADDRESS(ref!$K$6,ref!F26,1,,CELL("contenu",$AC$2))))</f>
        <v/>
      </c>
      <c r="P27" s="3" t="str">
        <f ca="1">CELL("contenu",INDIRECT(ADDRESS(ref!$K$6,ref!G26,1,,CELL("contenu",$AC$2))))</f>
        <v/>
      </c>
      <c r="Q27" s="4" t="str">
        <f ca="1">CELL("contenu",INDIRECT(ADDRESS(ref!$K$6,ref!H26,1,,CELL("contenu",$AC$2))))</f>
        <v>C</v>
      </c>
      <c r="R27" s="5" t="str">
        <f ca="1">CELL("contenu",INDIRECT(ADDRESS(ref!$K$7,ref!E26,1,,CELL("contenu",$AC$2))))</f>
        <v>A</v>
      </c>
      <c r="S27" s="2" t="str">
        <f ca="1">CELL("contenu",INDIRECT(ADDRESS(ref!$K$7,ref!F26,1,,CELL("contenu",$AC$2))))</f>
        <v/>
      </c>
      <c r="T27" s="3" t="str">
        <f ca="1">CELL("contenu",INDIRECT(ADDRESS(ref!$K$7,ref!G26,1,,CELL("contenu",$AC$2))))</f>
        <v/>
      </c>
      <c r="U27" s="4" t="str">
        <f ca="1">CELL("contenu",INDIRECT(ADDRESS(ref!$K$7,ref!H26,1,,CELL("contenu",$AC$2))))</f>
        <v>A</v>
      </c>
      <c r="V27" s="28">
        <f ca="1">CELL("contenu",INDIRECT(ADDRESS(ref!$K$8,ref!E26,1,,CELL("contenu",$AC$2))))</f>
        <v>14.166666666666668</v>
      </c>
      <c r="W27" s="29" t="str">
        <f ca="1">CELL("contenu",INDIRECT(ADDRESS(ref!$K$8,ref!F26,1,,CELL("contenu",$AC$2))))</f>
        <v/>
      </c>
      <c r="X27" s="30" t="str">
        <f ca="1">CELL("contenu",INDIRECT(ADDRESS(ref!$K$8,ref!G26,1,,CELL("contenu",$AC$2))))</f>
        <v/>
      </c>
      <c r="Y27" s="6" t="str">
        <f ca="1">CELL("contenu",INDIRECT(ADDRESS(ref!$K$9,ref!H26,1,,CELL("contenu",$AC$2))))</f>
        <v/>
      </c>
      <c r="Z27" s="3" t="str">
        <f ca="1">CELL("contenu",INDIRECT(ADDRESS(ref!$K$10,ref!H26,1,,CELL("contenu",$AC$2))))</f>
        <v>A</v>
      </c>
      <c r="AA27" s="7" t="str">
        <f ca="1">CELL("contenu",INDIRECT(ADDRESS(ref!$K$11,ref!H26,1,,CELL("contenu",$AC$2))))</f>
        <v>C</v>
      </c>
    </row>
    <row r="28" spans="1:27" x14ac:dyDescent="0.25">
      <c r="A28" s="45" t="str">
        <f t="shared" ca="1" si="0"/>
        <v>RIFFAUD Jules</v>
      </c>
      <c r="B28" s="1" t="str">
        <f ca="1">CELL("contenu",INDIRECT(ADDRESS(ref!$K$3,ref!E27,1,,CELL("contenu",$AC$2))))</f>
        <v/>
      </c>
      <c r="C28" s="2" t="str">
        <f ca="1">CELL("contenu",INDIRECT(ADDRESS(ref!$K$3,ref!F27,1,,CELL("contenu",$AC$2))))</f>
        <v/>
      </c>
      <c r="D28" s="3" t="str">
        <f ca="1">CELL("contenu",INDIRECT(ADDRESS(ref!$K$3,ref!G27,1,,CELL("contenu",$AC$2))))</f>
        <v/>
      </c>
      <c r="E28" s="4" t="str">
        <f ca="1">CELL("contenu",INDIRECT(ADDRESS(ref!$K$3,ref!H27,1,,CELL("contenu",$AC$2))))</f>
        <v/>
      </c>
      <c r="F28" s="5" t="str">
        <f ca="1">CELL("contenu",INDIRECT(ADDRESS(ref!$K$4,ref!E27,1,,CELL("contenu",$AC$2))))</f>
        <v>B</v>
      </c>
      <c r="G28" s="2" t="str">
        <f ca="1">CELL("contenu",INDIRECT(ADDRESS(ref!$K$4,ref!F27,1,,CELL("contenu",$AC$2))))</f>
        <v/>
      </c>
      <c r="H28" s="3" t="str">
        <f ca="1">CELL("contenu",INDIRECT(ADDRESS(ref!$K$4,ref!G27,1,,CELL("contenu",$AC$2))))</f>
        <v/>
      </c>
      <c r="I28" s="4" t="str">
        <f ca="1">CELL("contenu",INDIRECT(ADDRESS(ref!$K$4,ref!H27,1,,CELL("contenu",$AC$2))))</f>
        <v>B</v>
      </c>
      <c r="J28" s="5" t="str">
        <f ca="1">CELL("contenu",INDIRECT(ADDRESS(ref!$K$5,ref!E27,1,,CELL("contenu",$AC$2))))</f>
        <v>A</v>
      </c>
      <c r="K28" s="2" t="str">
        <f ca="1">CELL("contenu",INDIRECT(ADDRESS(ref!$K$5,ref!F27,1,,CELL("contenu",$AC$2))))</f>
        <v/>
      </c>
      <c r="L28" s="3" t="str">
        <f ca="1">CELL("contenu",INDIRECT(ADDRESS(ref!$K$5,ref!G27,1,,CELL("contenu",$AC$2))))</f>
        <v/>
      </c>
      <c r="M28" s="4" t="str">
        <f ca="1">CELL("contenu",INDIRECT(ADDRESS(ref!$K$5,ref!H27,1,,CELL("contenu",$AC$2))))</f>
        <v>A</v>
      </c>
      <c r="N28" s="5" t="str">
        <f ca="1">CELL("contenu",INDIRECT(ADDRESS(ref!$K$6,ref!E27,1,,CELL("contenu",$AC$2))))</f>
        <v>A</v>
      </c>
      <c r="O28" s="2" t="str">
        <f ca="1">CELL("contenu",INDIRECT(ADDRESS(ref!$K$6,ref!F27,1,,CELL("contenu",$AC$2))))</f>
        <v/>
      </c>
      <c r="P28" s="3" t="str">
        <f ca="1">CELL("contenu",INDIRECT(ADDRESS(ref!$K$6,ref!G27,1,,CELL("contenu",$AC$2))))</f>
        <v/>
      </c>
      <c r="Q28" s="4" t="str">
        <f ca="1">CELL("contenu",INDIRECT(ADDRESS(ref!$K$6,ref!H27,1,,CELL("contenu",$AC$2))))</f>
        <v>A</v>
      </c>
      <c r="R28" s="5" t="str">
        <f ca="1">CELL("contenu",INDIRECT(ADDRESS(ref!$K$7,ref!E27,1,,CELL("contenu",$AC$2))))</f>
        <v>A</v>
      </c>
      <c r="S28" s="2" t="str">
        <f ca="1">CELL("contenu",INDIRECT(ADDRESS(ref!$K$7,ref!F27,1,,CELL("contenu",$AC$2))))</f>
        <v/>
      </c>
      <c r="T28" s="3" t="str">
        <f ca="1">CELL("contenu",INDIRECT(ADDRESS(ref!$K$7,ref!G27,1,,CELL("contenu",$AC$2))))</f>
        <v/>
      </c>
      <c r="U28" s="4" t="str">
        <f ca="1">CELL("contenu",INDIRECT(ADDRESS(ref!$K$7,ref!H27,1,,CELL("contenu",$AC$2))))</f>
        <v>A</v>
      </c>
      <c r="V28" s="28">
        <f ca="1">CELL("contenu",INDIRECT(ADDRESS(ref!$K$8,ref!E27,1,,CELL("contenu",$AC$2))))</f>
        <v>18.333333333333336</v>
      </c>
      <c r="W28" s="29" t="str">
        <f ca="1">CELL("contenu",INDIRECT(ADDRESS(ref!$K$8,ref!F27,1,,CELL("contenu",$AC$2))))</f>
        <v/>
      </c>
      <c r="X28" s="30" t="str">
        <f ca="1">CELL("contenu",INDIRECT(ADDRESS(ref!$K$8,ref!G27,1,,CELL("contenu",$AC$2))))</f>
        <v/>
      </c>
      <c r="Y28" s="6" t="str">
        <f ca="1">CELL("contenu",INDIRECT(ADDRESS(ref!$K$9,ref!H27,1,,CELL("contenu",$AC$2))))</f>
        <v/>
      </c>
      <c r="Z28" s="3" t="str">
        <f ca="1">CELL("contenu",INDIRECT(ADDRESS(ref!$K$10,ref!H27,1,,CELL("contenu",$AC$2))))</f>
        <v>A</v>
      </c>
      <c r="AA28" s="7" t="str">
        <f ca="1">CELL("contenu",INDIRECT(ADDRESS(ref!$K$11,ref!H27,1,,CELL("contenu",$AC$2))))</f>
        <v>A</v>
      </c>
    </row>
    <row r="29" spans="1:27" x14ac:dyDescent="0.25">
      <c r="A29" s="45" t="str">
        <f t="shared" ca="1" si="0"/>
        <v>ROULLIER Josephine</v>
      </c>
      <c r="B29" s="1" t="str">
        <f ca="1">CELL("contenu",INDIRECT(ADDRESS(ref!$K$3,ref!E28,1,,CELL("contenu",$AC$2))))</f>
        <v/>
      </c>
      <c r="C29" s="2" t="str">
        <f ca="1">CELL("contenu",INDIRECT(ADDRESS(ref!$K$3,ref!F28,1,,CELL("contenu",$AC$2))))</f>
        <v/>
      </c>
      <c r="D29" s="3" t="str">
        <f ca="1">CELL("contenu",INDIRECT(ADDRESS(ref!$K$3,ref!G28,1,,CELL("contenu",$AC$2))))</f>
        <v/>
      </c>
      <c r="E29" s="4" t="str">
        <f ca="1">CELL("contenu",INDIRECT(ADDRESS(ref!$K$3,ref!H28,1,,CELL("contenu",$AC$2))))</f>
        <v/>
      </c>
      <c r="F29" s="5" t="str">
        <f ca="1">CELL("contenu",INDIRECT(ADDRESS(ref!$K$4,ref!E28,1,,CELL("contenu",$AC$2))))</f>
        <v>C</v>
      </c>
      <c r="G29" s="2" t="str">
        <f ca="1">CELL("contenu",INDIRECT(ADDRESS(ref!$K$4,ref!F28,1,,CELL("contenu",$AC$2))))</f>
        <v/>
      </c>
      <c r="H29" s="3" t="str">
        <f ca="1">CELL("contenu",INDIRECT(ADDRESS(ref!$K$4,ref!G28,1,,CELL("contenu",$AC$2))))</f>
        <v/>
      </c>
      <c r="I29" s="4" t="str">
        <f ca="1">CELL("contenu",INDIRECT(ADDRESS(ref!$K$4,ref!H28,1,,CELL("contenu",$AC$2))))</f>
        <v>C</v>
      </c>
      <c r="J29" s="5" t="str">
        <f ca="1">CELL("contenu",INDIRECT(ADDRESS(ref!$K$5,ref!E28,1,,CELL("contenu",$AC$2))))</f>
        <v>A</v>
      </c>
      <c r="K29" s="2" t="str">
        <f ca="1">CELL("contenu",INDIRECT(ADDRESS(ref!$K$5,ref!F28,1,,CELL("contenu",$AC$2))))</f>
        <v/>
      </c>
      <c r="L29" s="3" t="str">
        <f ca="1">CELL("contenu",INDIRECT(ADDRESS(ref!$K$5,ref!G28,1,,CELL("contenu",$AC$2))))</f>
        <v/>
      </c>
      <c r="M29" s="4" t="str">
        <f ca="1">CELL("contenu",INDIRECT(ADDRESS(ref!$K$5,ref!H28,1,,CELL("contenu",$AC$2))))</f>
        <v>A</v>
      </c>
      <c r="N29" s="5" t="str">
        <f ca="1">CELL("contenu",INDIRECT(ADDRESS(ref!$K$6,ref!E28,1,,CELL("contenu",$AC$2))))</f>
        <v>A</v>
      </c>
      <c r="O29" s="2" t="str">
        <f ca="1">CELL("contenu",INDIRECT(ADDRESS(ref!$K$6,ref!F28,1,,CELL("contenu",$AC$2))))</f>
        <v/>
      </c>
      <c r="P29" s="3" t="str">
        <f ca="1">CELL("contenu",INDIRECT(ADDRESS(ref!$K$6,ref!G28,1,,CELL("contenu",$AC$2))))</f>
        <v/>
      </c>
      <c r="Q29" s="4" t="str">
        <f ca="1">CELL("contenu",INDIRECT(ADDRESS(ref!$K$6,ref!H28,1,,CELL("contenu",$AC$2))))</f>
        <v>A</v>
      </c>
      <c r="R29" s="5" t="str">
        <f ca="1">CELL("contenu",INDIRECT(ADDRESS(ref!$K$7,ref!E28,1,,CELL("contenu",$AC$2))))</f>
        <v>A</v>
      </c>
      <c r="S29" s="2" t="str">
        <f ca="1">CELL("contenu",INDIRECT(ADDRESS(ref!$K$7,ref!F28,1,,CELL("contenu",$AC$2))))</f>
        <v/>
      </c>
      <c r="T29" s="3" t="str">
        <f ca="1">CELL("contenu",INDIRECT(ADDRESS(ref!$K$7,ref!G28,1,,CELL("contenu",$AC$2))))</f>
        <v/>
      </c>
      <c r="U29" s="4" t="str">
        <f ca="1">CELL("contenu",INDIRECT(ADDRESS(ref!$K$7,ref!H28,1,,CELL("contenu",$AC$2))))</f>
        <v>A</v>
      </c>
      <c r="V29" s="28">
        <f ca="1">CELL("contenu",INDIRECT(ADDRESS(ref!$K$8,ref!E28,1,,CELL("contenu",$AC$2))))</f>
        <v>16.666666666666668</v>
      </c>
      <c r="W29" s="29" t="str">
        <f ca="1">CELL("contenu",INDIRECT(ADDRESS(ref!$K$8,ref!F28,1,,CELL("contenu",$AC$2))))</f>
        <v/>
      </c>
      <c r="X29" s="30" t="str">
        <f ca="1">CELL("contenu",INDIRECT(ADDRESS(ref!$K$8,ref!G28,1,,CELL("contenu",$AC$2))))</f>
        <v/>
      </c>
      <c r="Y29" s="6" t="str">
        <f ca="1">CELL("contenu",INDIRECT(ADDRESS(ref!$K$9,ref!H28,1,,CELL("contenu",$AC$2))))</f>
        <v/>
      </c>
      <c r="Z29" s="3" t="str">
        <f ca="1">CELL("contenu",INDIRECT(ADDRESS(ref!$K$10,ref!H28,1,,CELL("contenu",$AC$2))))</f>
        <v>A</v>
      </c>
      <c r="AA29" s="7" t="str">
        <f ca="1">CELL("contenu",INDIRECT(ADDRESS(ref!$K$11,ref!H28,1,,CELL("contenu",$AC$2))))</f>
        <v>A</v>
      </c>
    </row>
    <row r="30" spans="1:27" x14ac:dyDescent="0.25">
      <c r="A30" s="45" t="str">
        <f t="shared" ca="1" si="0"/>
        <v>SECHET Foucauld</v>
      </c>
      <c r="B30" s="1" t="str">
        <f ca="1">CELL("contenu",INDIRECT(ADDRESS(ref!$K$3,ref!E29,1,,CELL("contenu",$AC$2))))</f>
        <v/>
      </c>
      <c r="C30" s="2" t="str">
        <f ca="1">CELL("contenu",INDIRECT(ADDRESS(ref!$K$3,ref!F29,1,,CELL("contenu",$AC$2))))</f>
        <v/>
      </c>
      <c r="D30" s="3" t="str">
        <f ca="1">CELL("contenu",INDIRECT(ADDRESS(ref!$K$3,ref!G29,1,,CELL("contenu",$AC$2))))</f>
        <v/>
      </c>
      <c r="E30" s="4" t="str">
        <f ca="1">CELL("contenu",INDIRECT(ADDRESS(ref!$K$3,ref!H29,1,,CELL("contenu",$AC$2))))</f>
        <v/>
      </c>
      <c r="F30" s="5" t="str">
        <f ca="1">CELL("contenu",INDIRECT(ADDRESS(ref!$K$4,ref!E29,1,,CELL("contenu",$AC$2))))</f>
        <v>B</v>
      </c>
      <c r="G30" s="2" t="str">
        <f ca="1">CELL("contenu",INDIRECT(ADDRESS(ref!$K$4,ref!F29,1,,CELL("contenu",$AC$2))))</f>
        <v/>
      </c>
      <c r="H30" s="3" t="str">
        <f ca="1">CELL("contenu",INDIRECT(ADDRESS(ref!$K$4,ref!G29,1,,CELL("contenu",$AC$2))))</f>
        <v/>
      </c>
      <c r="I30" s="4" t="str">
        <f ca="1">CELL("contenu",INDIRECT(ADDRESS(ref!$K$4,ref!H29,1,,CELL("contenu",$AC$2))))</f>
        <v>B</v>
      </c>
      <c r="J30" s="5" t="str">
        <f ca="1">CELL("contenu",INDIRECT(ADDRESS(ref!$K$5,ref!E29,1,,CELL("contenu",$AC$2))))</f>
        <v>A</v>
      </c>
      <c r="K30" s="2" t="str">
        <f ca="1">CELL("contenu",INDIRECT(ADDRESS(ref!$K$5,ref!F29,1,,CELL("contenu",$AC$2))))</f>
        <v/>
      </c>
      <c r="L30" s="3" t="str">
        <f ca="1">CELL("contenu",INDIRECT(ADDRESS(ref!$K$5,ref!G29,1,,CELL("contenu",$AC$2))))</f>
        <v/>
      </c>
      <c r="M30" s="4" t="str">
        <f ca="1">CELL("contenu",INDIRECT(ADDRESS(ref!$K$5,ref!H29,1,,CELL("contenu",$AC$2))))</f>
        <v>A</v>
      </c>
      <c r="N30" s="5" t="str">
        <f ca="1">CELL("contenu",INDIRECT(ADDRESS(ref!$K$6,ref!E29,1,,CELL("contenu",$AC$2))))</f>
        <v>B</v>
      </c>
      <c r="O30" s="2" t="str">
        <f ca="1">CELL("contenu",INDIRECT(ADDRESS(ref!$K$6,ref!F29,1,,CELL("contenu",$AC$2))))</f>
        <v/>
      </c>
      <c r="P30" s="3" t="str">
        <f ca="1">CELL("contenu",INDIRECT(ADDRESS(ref!$K$6,ref!G29,1,,CELL("contenu",$AC$2))))</f>
        <v/>
      </c>
      <c r="Q30" s="4" t="str">
        <f ca="1">CELL("contenu",INDIRECT(ADDRESS(ref!$K$6,ref!H29,1,,CELL("contenu",$AC$2))))</f>
        <v>B</v>
      </c>
      <c r="R30" s="5" t="str">
        <f ca="1">CELL("contenu",INDIRECT(ADDRESS(ref!$K$7,ref!E29,1,,CELL("contenu",$AC$2))))</f>
        <v>A</v>
      </c>
      <c r="S30" s="2" t="str">
        <f ca="1">CELL("contenu",INDIRECT(ADDRESS(ref!$K$7,ref!F29,1,,CELL("contenu",$AC$2))))</f>
        <v/>
      </c>
      <c r="T30" s="3" t="str">
        <f ca="1">CELL("contenu",INDIRECT(ADDRESS(ref!$K$7,ref!G29,1,,CELL("contenu",$AC$2))))</f>
        <v/>
      </c>
      <c r="U30" s="4" t="str">
        <f ca="1">CELL("contenu",INDIRECT(ADDRESS(ref!$K$7,ref!H29,1,,CELL("contenu",$AC$2))))</f>
        <v>A</v>
      </c>
      <c r="V30" s="28">
        <f ca="1">CELL("contenu",INDIRECT(ADDRESS(ref!$K$8,ref!E29,1,,CELL("contenu",$AC$2))))</f>
        <v>16.666666666666668</v>
      </c>
      <c r="W30" s="29" t="str">
        <f ca="1">CELL("contenu",INDIRECT(ADDRESS(ref!$K$8,ref!F29,1,,CELL("contenu",$AC$2))))</f>
        <v/>
      </c>
      <c r="X30" s="30" t="str">
        <f ca="1">CELL("contenu",INDIRECT(ADDRESS(ref!$K$8,ref!G29,1,,CELL("contenu",$AC$2))))</f>
        <v/>
      </c>
      <c r="Y30" s="6" t="str">
        <f ca="1">CELL("contenu",INDIRECT(ADDRESS(ref!$K$9,ref!H29,1,,CELL("contenu",$AC$2))))</f>
        <v/>
      </c>
      <c r="Z30" s="3" t="str">
        <f ca="1">CELL("contenu",INDIRECT(ADDRESS(ref!$K$10,ref!H29,1,,CELL("contenu",$AC$2))))</f>
        <v>A</v>
      </c>
      <c r="AA30" s="7" t="str">
        <f ca="1">CELL("contenu",INDIRECT(ADDRESS(ref!$K$11,ref!H29,1,,CELL("contenu",$AC$2))))</f>
        <v>B</v>
      </c>
    </row>
    <row r="31" spans="1:27" x14ac:dyDescent="0.25">
      <c r="A31" s="45">
        <f t="shared" ca="1" si="0"/>
        <v>0</v>
      </c>
      <c r="B31" s="1" t="str">
        <f ca="1">CELL("contenu",INDIRECT(ADDRESS(ref!$K$3,ref!E30,1,,CELL("contenu",$AC$2))))</f>
        <v/>
      </c>
      <c r="C31" s="2" t="str">
        <f ca="1">CELL("contenu",INDIRECT(ADDRESS(ref!$K$3,ref!F30,1,,CELL("contenu",$AC$2))))</f>
        <v/>
      </c>
      <c r="D31" s="3" t="str">
        <f ca="1">CELL("contenu",INDIRECT(ADDRESS(ref!$K$3,ref!G30,1,,CELL("contenu",$AC$2))))</f>
        <v/>
      </c>
      <c r="E31" s="4" t="str">
        <f ca="1">CELL("contenu",INDIRECT(ADDRESS(ref!$K$3,ref!H30,1,,CELL("contenu",$AC$2))))</f>
        <v/>
      </c>
      <c r="F31" s="5" t="str">
        <f ca="1">CELL("contenu",INDIRECT(ADDRESS(ref!$K$4,ref!E30,1,,CELL("contenu",$AC$2))))</f>
        <v/>
      </c>
      <c r="G31" s="2" t="str">
        <f ca="1">CELL("contenu",INDIRECT(ADDRESS(ref!$K$4,ref!F30,1,,CELL("contenu",$AC$2))))</f>
        <v/>
      </c>
      <c r="H31" s="3" t="str">
        <f ca="1">CELL("contenu",INDIRECT(ADDRESS(ref!$K$4,ref!G30,1,,CELL("contenu",$AC$2))))</f>
        <v/>
      </c>
      <c r="I31" s="4" t="str">
        <f ca="1">CELL("contenu",INDIRECT(ADDRESS(ref!$K$4,ref!H30,1,,CELL("contenu",$AC$2))))</f>
        <v/>
      </c>
      <c r="J31" s="5" t="str">
        <f ca="1">CELL("contenu",INDIRECT(ADDRESS(ref!$K$5,ref!E30,1,,CELL("contenu",$AC$2))))</f>
        <v/>
      </c>
      <c r="K31" s="2" t="str">
        <f ca="1">CELL("contenu",INDIRECT(ADDRESS(ref!$K$5,ref!F30,1,,CELL("contenu",$AC$2))))</f>
        <v/>
      </c>
      <c r="L31" s="3" t="str">
        <f ca="1">CELL("contenu",INDIRECT(ADDRESS(ref!$K$5,ref!G30,1,,CELL("contenu",$AC$2))))</f>
        <v/>
      </c>
      <c r="M31" s="4" t="str">
        <f ca="1">CELL("contenu",INDIRECT(ADDRESS(ref!$K$5,ref!H30,1,,CELL("contenu",$AC$2))))</f>
        <v/>
      </c>
      <c r="N31" s="5" t="str">
        <f ca="1">CELL("contenu",INDIRECT(ADDRESS(ref!$K$6,ref!E30,1,,CELL("contenu",$AC$2))))</f>
        <v/>
      </c>
      <c r="O31" s="2" t="str">
        <f ca="1">CELL("contenu",INDIRECT(ADDRESS(ref!$K$6,ref!F30,1,,CELL("contenu",$AC$2))))</f>
        <v/>
      </c>
      <c r="P31" s="3" t="str">
        <f ca="1">CELL("contenu",INDIRECT(ADDRESS(ref!$K$6,ref!G30,1,,CELL("contenu",$AC$2))))</f>
        <v/>
      </c>
      <c r="Q31" s="4" t="str">
        <f ca="1">CELL("contenu",INDIRECT(ADDRESS(ref!$K$6,ref!H30,1,,CELL("contenu",$AC$2))))</f>
        <v/>
      </c>
      <c r="R31" s="5" t="str">
        <f ca="1">CELL("contenu",INDIRECT(ADDRESS(ref!$K$7,ref!E30,1,,CELL("contenu",$AC$2))))</f>
        <v/>
      </c>
      <c r="S31" s="2" t="str">
        <f ca="1">CELL("contenu",INDIRECT(ADDRESS(ref!$K$7,ref!F30,1,,CELL("contenu",$AC$2))))</f>
        <v/>
      </c>
      <c r="T31" s="3" t="str">
        <f ca="1">CELL("contenu",INDIRECT(ADDRESS(ref!$K$7,ref!G30,1,,CELL("contenu",$AC$2))))</f>
        <v/>
      </c>
      <c r="U31" s="4" t="str">
        <f ca="1">CELL("contenu",INDIRECT(ADDRESS(ref!$K$7,ref!H30,1,,CELL("contenu",$AC$2))))</f>
        <v/>
      </c>
      <c r="V31" s="28" t="str">
        <f ca="1">CELL("contenu",INDIRECT(ADDRESS(ref!$K$8,ref!E30,1,,CELL("contenu",$AC$2))))</f>
        <v/>
      </c>
      <c r="W31" s="29" t="str">
        <f ca="1">CELL("contenu",INDIRECT(ADDRESS(ref!$K$8,ref!F30,1,,CELL("contenu",$AC$2))))</f>
        <v/>
      </c>
      <c r="X31" s="30" t="str">
        <f ca="1">CELL("contenu",INDIRECT(ADDRESS(ref!$K$8,ref!G30,1,,CELL("contenu",$AC$2))))</f>
        <v/>
      </c>
      <c r="Y31" s="6" t="str">
        <f ca="1">CELL("contenu",INDIRECT(ADDRESS(ref!$K$9,ref!H30,1,,CELL("contenu",$AC$2))))</f>
        <v/>
      </c>
      <c r="Z31" s="3" t="str">
        <f ca="1">CELL("contenu",INDIRECT(ADDRESS(ref!$K$10,ref!H30,1,,CELL("contenu",$AC$2))))</f>
        <v/>
      </c>
      <c r="AA31" s="7" t="str">
        <f ca="1">CELL("contenu",INDIRECT(ADDRESS(ref!$K$11,ref!H30,1,,CELL("contenu",$AC$2))))</f>
        <v/>
      </c>
    </row>
    <row r="32" spans="1:27" x14ac:dyDescent="0.25">
      <c r="A32" s="45">
        <f t="shared" ca="1" si="0"/>
        <v>0</v>
      </c>
      <c r="B32" s="1" t="str">
        <f ca="1">CELL("contenu",INDIRECT(ADDRESS(ref!$K$3,ref!E31,1,,CELL("contenu",$AC$2))))</f>
        <v/>
      </c>
      <c r="C32" s="2" t="str">
        <f ca="1">CELL("contenu",INDIRECT(ADDRESS(ref!$K$3,ref!F31,1,,CELL("contenu",$AC$2))))</f>
        <v/>
      </c>
      <c r="D32" s="3" t="str">
        <f ca="1">CELL("contenu",INDIRECT(ADDRESS(ref!$K$3,ref!G31,1,,CELL("contenu",$AC$2))))</f>
        <v/>
      </c>
      <c r="E32" s="4" t="str">
        <f ca="1">CELL("contenu",INDIRECT(ADDRESS(ref!$K$3,ref!H31,1,,CELL("contenu",$AC$2))))</f>
        <v/>
      </c>
      <c r="F32" s="5" t="str">
        <f ca="1">CELL("contenu",INDIRECT(ADDRESS(ref!$K$4,ref!E31,1,,CELL("contenu",$AC$2))))</f>
        <v/>
      </c>
      <c r="G32" s="2" t="str">
        <f ca="1">CELL("contenu",INDIRECT(ADDRESS(ref!$K$4,ref!F31,1,,CELL("contenu",$AC$2))))</f>
        <v/>
      </c>
      <c r="H32" s="3" t="str">
        <f ca="1">CELL("contenu",INDIRECT(ADDRESS(ref!$K$4,ref!G31,1,,CELL("contenu",$AC$2))))</f>
        <v/>
      </c>
      <c r="I32" s="4" t="str">
        <f ca="1">CELL("contenu",INDIRECT(ADDRESS(ref!$K$4,ref!H31,1,,CELL("contenu",$AC$2))))</f>
        <v/>
      </c>
      <c r="J32" s="5" t="str">
        <f ca="1">CELL("contenu",INDIRECT(ADDRESS(ref!$K$5,ref!E31,1,,CELL("contenu",$AC$2))))</f>
        <v/>
      </c>
      <c r="K32" s="2" t="str">
        <f ca="1">CELL("contenu",INDIRECT(ADDRESS(ref!$K$5,ref!F31,1,,CELL("contenu",$AC$2))))</f>
        <v/>
      </c>
      <c r="L32" s="3" t="str">
        <f ca="1">CELL("contenu",INDIRECT(ADDRESS(ref!$K$5,ref!G31,1,,CELL("contenu",$AC$2))))</f>
        <v/>
      </c>
      <c r="M32" s="4" t="str">
        <f ca="1">CELL("contenu",INDIRECT(ADDRESS(ref!$K$5,ref!H31,1,,CELL("contenu",$AC$2))))</f>
        <v/>
      </c>
      <c r="N32" s="5" t="str">
        <f ca="1">CELL("contenu",INDIRECT(ADDRESS(ref!$K$6,ref!E31,1,,CELL("contenu",$AC$2))))</f>
        <v/>
      </c>
      <c r="O32" s="2" t="str">
        <f ca="1">CELL("contenu",INDIRECT(ADDRESS(ref!$K$6,ref!F31,1,,CELL("contenu",$AC$2))))</f>
        <v/>
      </c>
      <c r="P32" s="3" t="str">
        <f ca="1">CELL("contenu",INDIRECT(ADDRESS(ref!$K$6,ref!G31,1,,CELL("contenu",$AC$2))))</f>
        <v/>
      </c>
      <c r="Q32" s="4" t="str">
        <f ca="1">CELL("contenu",INDIRECT(ADDRESS(ref!$K$6,ref!H31,1,,CELL("contenu",$AC$2))))</f>
        <v/>
      </c>
      <c r="R32" s="5" t="str">
        <f ca="1">CELL("contenu",INDIRECT(ADDRESS(ref!$K$7,ref!E31,1,,CELL("contenu",$AC$2))))</f>
        <v/>
      </c>
      <c r="S32" s="2" t="str">
        <f ca="1">CELL("contenu",INDIRECT(ADDRESS(ref!$K$7,ref!F31,1,,CELL("contenu",$AC$2))))</f>
        <v/>
      </c>
      <c r="T32" s="3" t="str">
        <f ca="1">CELL("contenu",INDIRECT(ADDRESS(ref!$K$7,ref!G31,1,,CELL("contenu",$AC$2))))</f>
        <v/>
      </c>
      <c r="U32" s="4" t="str">
        <f ca="1">CELL("contenu",INDIRECT(ADDRESS(ref!$K$7,ref!H31,1,,CELL("contenu",$AC$2))))</f>
        <v/>
      </c>
      <c r="V32" s="28" t="str">
        <f ca="1">CELL("contenu",INDIRECT(ADDRESS(ref!$K$8,ref!E31,1,,CELL("contenu",$AC$2))))</f>
        <v/>
      </c>
      <c r="W32" s="29" t="str">
        <f ca="1">CELL("contenu",INDIRECT(ADDRESS(ref!$K$8,ref!F31,1,,CELL("contenu",$AC$2))))</f>
        <v/>
      </c>
      <c r="X32" s="30" t="str">
        <f ca="1">CELL("contenu",INDIRECT(ADDRESS(ref!$K$8,ref!G31,1,,CELL("contenu",$AC$2))))</f>
        <v/>
      </c>
      <c r="Y32" s="6" t="str">
        <f ca="1">CELL("contenu",INDIRECT(ADDRESS(ref!$K$9,ref!H31,1,,CELL("contenu",$AC$2))))</f>
        <v/>
      </c>
      <c r="Z32" s="3" t="str">
        <f ca="1">CELL("contenu",INDIRECT(ADDRESS(ref!$K$10,ref!H31,1,,CELL("contenu",$AC$2))))</f>
        <v/>
      </c>
      <c r="AA32" s="7" t="str">
        <f ca="1">CELL("contenu",INDIRECT(ADDRESS(ref!$K$11,ref!H31,1,,CELL("contenu",$AC$2))))</f>
        <v/>
      </c>
    </row>
    <row r="33" spans="1:27" ht="15.75" thickBot="1" x14ac:dyDescent="0.3">
      <c r="A33" s="46">
        <f t="shared" ca="1" si="0"/>
        <v>0</v>
      </c>
      <c r="B33" s="15" t="str">
        <f ca="1">CELL("contenu",INDIRECT(ADDRESS(ref!$K$3,ref!E32,1,,CELL("contenu",$AC$2))))</f>
        <v/>
      </c>
      <c r="C33" s="8" t="str">
        <f ca="1">CELL("contenu",INDIRECT(ADDRESS(ref!$K$3,ref!F32,1,,CELL("contenu",$AC$2))))</f>
        <v/>
      </c>
      <c r="D33" s="9" t="str">
        <f ca="1">CELL("contenu",INDIRECT(ADDRESS(ref!$K$3,ref!G32,1,,CELL("contenu",$AC$2))))</f>
        <v/>
      </c>
      <c r="E33" s="10" t="str">
        <f ca="1">CELL("contenu",INDIRECT(ADDRESS(ref!$K$3,ref!H32,1,,CELL("contenu",$AC$2))))</f>
        <v/>
      </c>
      <c r="F33" s="11" t="str">
        <f ca="1">CELL("contenu",INDIRECT(ADDRESS(ref!$K$4,ref!E32,1,,CELL("contenu",$AC$2))))</f>
        <v/>
      </c>
      <c r="G33" s="8" t="str">
        <f ca="1">CELL("contenu",INDIRECT(ADDRESS(ref!$K$4,ref!F32,1,,CELL("contenu",$AC$2))))</f>
        <v/>
      </c>
      <c r="H33" s="9" t="str">
        <f ca="1">CELL("contenu",INDIRECT(ADDRESS(ref!$K$4,ref!G32,1,,CELL("contenu",$AC$2))))</f>
        <v/>
      </c>
      <c r="I33" s="10" t="str">
        <f ca="1">CELL("contenu",INDIRECT(ADDRESS(ref!$K$4,ref!H32,1,,CELL("contenu",$AC$2))))</f>
        <v/>
      </c>
      <c r="J33" s="11" t="str">
        <f ca="1">CELL("contenu",INDIRECT(ADDRESS(ref!$K$5,ref!E32,1,,CELL("contenu",$AC$2))))</f>
        <v/>
      </c>
      <c r="K33" s="8" t="str">
        <f ca="1">CELL("contenu",INDIRECT(ADDRESS(ref!$K$5,ref!F32,1,,CELL("contenu",$AC$2))))</f>
        <v/>
      </c>
      <c r="L33" s="9" t="str">
        <f ca="1">CELL("contenu",INDIRECT(ADDRESS(ref!$K$5,ref!G32,1,,CELL("contenu",$AC$2))))</f>
        <v/>
      </c>
      <c r="M33" s="10" t="str">
        <f ca="1">CELL("contenu",INDIRECT(ADDRESS(ref!$K$5,ref!H32,1,,CELL("contenu",$AC$2))))</f>
        <v/>
      </c>
      <c r="N33" s="11" t="str">
        <f ca="1">CELL("contenu",INDIRECT(ADDRESS(ref!$K$6,ref!E32,1,,CELL("contenu",$AC$2))))</f>
        <v/>
      </c>
      <c r="O33" s="8" t="str">
        <f ca="1">CELL("contenu",INDIRECT(ADDRESS(ref!$K$6,ref!F32,1,,CELL("contenu",$AC$2))))</f>
        <v/>
      </c>
      <c r="P33" s="9" t="str">
        <f ca="1">CELL("contenu",INDIRECT(ADDRESS(ref!$K$6,ref!G32,1,,CELL("contenu",$AC$2))))</f>
        <v/>
      </c>
      <c r="Q33" s="10" t="str">
        <f ca="1">CELL("contenu",INDIRECT(ADDRESS(ref!$K$6,ref!H32,1,,CELL("contenu",$AC$2))))</f>
        <v/>
      </c>
      <c r="R33" s="11" t="str">
        <f ca="1">CELL("contenu",INDIRECT(ADDRESS(ref!$K$7,ref!E32,1,,CELL("contenu",$AC$2))))</f>
        <v/>
      </c>
      <c r="S33" s="8" t="str">
        <f ca="1">CELL("contenu",INDIRECT(ADDRESS(ref!$K$7,ref!F32,1,,CELL("contenu",$AC$2))))</f>
        <v/>
      </c>
      <c r="T33" s="9" t="str">
        <f ca="1">CELL("contenu",INDIRECT(ADDRESS(ref!$K$7,ref!G32,1,,CELL("contenu",$AC$2))))</f>
        <v/>
      </c>
      <c r="U33" s="10" t="str">
        <f ca="1">CELL("contenu",INDIRECT(ADDRESS(ref!$K$7,ref!H32,1,,CELL("contenu",$AC$2))))</f>
        <v/>
      </c>
      <c r="V33" s="31" t="str">
        <f ca="1">CELL("contenu",INDIRECT(ADDRESS(ref!$K$8,ref!E32,1,,CELL("contenu",$AC$2))))</f>
        <v/>
      </c>
      <c r="W33" s="32" t="str">
        <f ca="1">CELL("contenu",INDIRECT(ADDRESS(ref!$K$8,ref!F32,1,,CELL("contenu",$AC$2))))</f>
        <v/>
      </c>
      <c r="X33" s="33" t="str">
        <f ca="1">CELL("contenu",INDIRECT(ADDRESS(ref!$K$8,ref!G32,1,,CELL("contenu",$AC$2))))</f>
        <v/>
      </c>
      <c r="Y33" s="12" t="str">
        <f ca="1">CELL("contenu",INDIRECT(ADDRESS(ref!$K$9,ref!H32,1,,CELL("contenu",$AC$2))))</f>
        <v/>
      </c>
      <c r="Z33" s="9" t="str">
        <f ca="1">CELL("contenu",INDIRECT(ADDRESS(ref!$K$10,ref!H32,1,,CELL("contenu",$AC$2))))</f>
        <v/>
      </c>
      <c r="AA33" s="13" t="str">
        <f ca="1">CELL("contenu",INDIRECT(ADDRESS(ref!$K$11,ref!H32,1,,CELL("contenu",$AC$2))))</f>
        <v/>
      </c>
    </row>
  </sheetData>
  <sheetProtection algorithmName="SHA-512" hashValue="nbjFIStEqIJx/deNQKYvlp820gd0BAZZEIFvCZC/WFgx0geSaRuY+tCwBItGSlJYv7v1Myv/jTnTOE3/68utZQ==" saltValue="65eJOUHOB+CcAJZC7mrUGQ==" spinCount="100000" sheet="1" selectLockedCells="1" selectUn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SR32"/>
  <sheetViews>
    <sheetView topLeftCell="A2" zoomScale="60" zoomScaleNormal="60" workbookViewId="0">
      <pane xSplit="2" topLeftCell="C1" activePane="topRight" state="frozen"/>
      <selection activeCell="Y3" sqref="Y3:AA3"/>
      <selection pane="topRight" activeCell="QD16" sqref="QD16"/>
    </sheetView>
  </sheetViews>
  <sheetFormatPr baseColWidth="10" defaultColWidth="5.7109375" defaultRowHeight="15" x14ac:dyDescent="0.25"/>
  <cols>
    <col min="1" max="1" width="17.7109375" style="98" customWidth="1"/>
    <col min="2" max="2" width="13.7109375" style="98" customWidth="1"/>
    <col min="3" max="5" width="4.7109375" style="202" customWidth="1"/>
    <col min="6" max="6" width="4.7109375" style="117" customWidth="1"/>
    <col min="7" max="7" width="8.7109375" style="118" customWidth="1"/>
    <col min="8" max="10" width="4.7109375" style="97" customWidth="1"/>
    <col min="11" max="11" width="4.7109375" style="118" customWidth="1"/>
    <col min="12" max="12" width="8.7109375" style="118" customWidth="1"/>
    <col min="13" max="15" width="4.7109375" style="97" customWidth="1"/>
    <col min="16" max="16" width="4.7109375" style="118" customWidth="1"/>
    <col min="17" max="17" width="8.7109375" style="118" customWidth="1"/>
    <col min="18" max="18" width="4.7109375" style="118" customWidth="1"/>
    <col min="19" max="19" width="8.7109375" style="118" customWidth="1"/>
    <col min="20" max="23" width="4.7109375" style="117" customWidth="1"/>
    <col min="24" max="24" width="8.7109375" style="118" customWidth="1"/>
    <col min="25" max="27" width="4.7109375" style="97" customWidth="1"/>
    <col min="28" max="28" width="4.7109375" style="118" customWidth="1"/>
    <col min="29" max="29" width="8.7109375" style="118" customWidth="1"/>
    <col min="30" max="32" width="4.7109375" style="97" customWidth="1"/>
    <col min="33" max="33" width="4.7109375" style="118" customWidth="1"/>
    <col min="34" max="34" width="8.7109375" style="118" customWidth="1"/>
    <col min="35" max="35" width="4.7109375" style="118" customWidth="1"/>
    <col min="36" max="36" width="8.7109375" style="118" customWidth="1"/>
    <col min="37" max="40" width="4.7109375" style="117" customWidth="1"/>
    <col min="41" max="41" width="8.7109375" style="118" customWidth="1"/>
    <col min="42" max="44" width="4.7109375" style="97" customWidth="1"/>
    <col min="45" max="45" width="4.7109375" style="118" customWidth="1"/>
    <col min="46" max="46" width="8.7109375" style="118" customWidth="1"/>
    <col min="47" max="49" width="4.7109375" style="97" customWidth="1"/>
    <col min="50" max="50" width="4.7109375" style="118" customWidth="1"/>
    <col min="51" max="51" width="8.7109375" style="118" customWidth="1"/>
    <col min="52" max="52" width="4.7109375" style="118" customWidth="1"/>
    <col min="53" max="53" width="8.7109375" style="118" customWidth="1"/>
    <col min="54" max="57" width="4.7109375" style="117" customWidth="1"/>
    <col min="58" max="58" width="8.7109375" style="118" customWidth="1"/>
    <col min="59" max="61" width="4.7109375" style="97" customWidth="1"/>
    <col min="62" max="62" width="4.7109375" style="118" customWidth="1"/>
    <col min="63" max="63" width="8.7109375" style="118" customWidth="1"/>
    <col min="64" max="66" width="4.7109375" style="97" customWidth="1"/>
    <col min="67" max="67" width="4.7109375" style="118" customWidth="1"/>
    <col min="68" max="68" width="8.7109375" style="118" customWidth="1"/>
    <col min="69" max="69" width="4.7109375" style="118" customWidth="1"/>
    <col min="70" max="70" width="8.7109375" style="118" customWidth="1"/>
    <col min="71" max="74" width="4.7109375" style="117" customWidth="1"/>
    <col min="75" max="75" width="8.7109375" style="118" customWidth="1"/>
    <col min="76" max="78" width="4.7109375" style="97" customWidth="1"/>
    <col min="79" max="79" width="4.7109375" style="118" customWidth="1"/>
    <col min="80" max="80" width="8.7109375" style="118" customWidth="1"/>
    <col min="81" max="83" width="4.7109375" style="97" customWidth="1"/>
    <col min="84" max="84" width="4.7109375" style="118" customWidth="1"/>
    <col min="85" max="85" width="8.7109375" style="118" customWidth="1"/>
    <col min="86" max="86" width="4.7109375" style="118" customWidth="1"/>
    <col min="87" max="87" width="8.7109375" style="118" customWidth="1"/>
    <col min="88" max="91" width="4.7109375" style="117" customWidth="1"/>
    <col min="92" max="92" width="8.7109375" style="118" customWidth="1"/>
    <col min="93" max="95" width="4.7109375" style="97" customWidth="1"/>
    <col min="96" max="96" width="4.7109375" style="118" customWidth="1"/>
    <col min="97" max="97" width="8.7109375" style="118" customWidth="1"/>
    <col min="98" max="100" width="4.7109375" style="97" customWidth="1"/>
    <col min="101" max="101" width="4.7109375" style="118" customWidth="1"/>
    <col min="102" max="102" width="8.7109375" style="118" customWidth="1"/>
    <col min="103" max="103" width="4.7109375" style="118" customWidth="1"/>
    <col min="104" max="104" width="8.7109375" style="118" customWidth="1"/>
    <col min="105" max="108" width="4.7109375" style="117" customWidth="1"/>
    <col min="109" max="109" width="8.7109375" style="118" customWidth="1"/>
    <col min="110" max="112" width="4.7109375" style="97" customWidth="1"/>
    <col min="113" max="113" width="4.7109375" style="118" customWidth="1"/>
    <col min="114" max="114" width="8.7109375" style="118" customWidth="1"/>
    <col min="115" max="117" width="4.7109375" style="97" customWidth="1"/>
    <col min="118" max="118" width="4.7109375" style="118" customWidth="1"/>
    <col min="119" max="119" width="8.7109375" style="118" customWidth="1"/>
    <col min="120" max="120" width="4.7109375" style="118" customWidth="1"/>
    <col min="121" max="121" width="8.7109375" style="118" customWidth="1"/>
    <col min="122" max="125" width="4.7109375" style="117" customWidth="1"/>
    <col min="126" max="126" width="8.7109375" style="118" customWidth="1"/>
    <col min="127" max="129" width="4.7109375" style="97" customWidth="1"/>
    <col min="130" max="130" width="4.7109375" style="118" customWidth="1"/>
    <col min="131" max="131" width="8.7109375" style="118" customWidth="1"/>
    <col min="132" max="134" width="4.7109375" style="97" customWidth="1"/>
    <col min="135" max="135" width="4.7109375" style="118" customWidth="1"/>
    <col min="136" max="136" width="8.7109375" style="118" customWidth="1"/>
    <col min="137" max="137" width="4.7109375" style="118" customWidth="1"/>
    <col min="138" max="138" width="8.7109375" style="118" customWidth="1"/>
    <col min="139" max="142" width="4.7109375" style="117" customWidth="1"/>
    <col min="143" max="143" width="8.7109375" style="118" customWidth="1"/>
    <col min="144" max="146" width="4.7109375" style="97" customWidth="1"/>
    <col min="147" max="147" width="4.7109375" style="118" customWidth="1"/>
    <col min="148" max="148" width="8.7109375" style="118" customWidth="1"/>
    <col min="149" max="151" width="4.7109375" style="97" customWidth="1"/>
    <col min="152" max="152" width="4.7109375" style="118" customWidth="1"/>
    <col min="153" max="153" width="8.7109375" style="118" customWidth="1"/>
    <col min="154" max="154" width="4.7109375" style="118" customWidth="1"/>
    <col min="155" max="155" width="8.7109375" style="118" customWidth="1"/>
    <col min="156" max="159" width="4.7109375" style="117" customWidth="1"/>
    <col min="160" max="160" width="8.7109375" style="118" customWidth="1"/>
    <col min="161" max="163" width="4.7109375" style="97" customWidth="1"/>
    <col min="164" max="164" width="4.7109375" style="118" customWidth="1"/>
    <col min="165" max="165" width="8.7109375" style="118" customWidth="1"/>
    <col min="166" max="168" width="4.7109375" style="97" customWidth="1"/>
    <col min="169" max="169" width="4.7109375" style="118" customWidth="1"/>
    <col min="170" max="170" width="8.7109375" style="118" customWidth="1"/>
    <col min="171" max="171" width="4.7109375" style="118" customWidth="1"/>
    <col min="172" max="172" width="8.7109375" style="118" customWidth="1"/>
    <col min="173" max="176" width="4.7109375" style="117" customWidth="1"/>
    <col min="177" max="177" width="8.7109375" style="118" customWidth="1"/>
    <col min="178" max="180" width="4.7109375" style="97" customWidth="1"/>
    <col min="181" max="181" width="4.7109375" style="118" customWidth="1"/>
    <col min="182" max="182" width="8.7109375" style="118" customWidth="1"/>
    <col min="183" max="185" width="4.7109375" style="97" customWidth="1"/>
    <col min="186" max="186" width="4.7109375" style="118" customWidth="1"/>
    <col min="187" max="187" width="8.7109375" style="118" customWidth="1"/>
    <col min="188" max="188" width="4.7109375" style="118" customWidth="1"/>
    <col min="189" max="189" width="8.7109375" style="118" customWidth="1"/>
    <col min="190" max="193" width="4.7109375" style="117" customWidth="1"/>
    <col min="194" max="194" width="8.7109375" style="118" customWidth="1"/>
    <col min="195" max="197" width="4.7109375" style="97" customWidth="1"/>
    <col min="198" max="198" width="4.7109375" style="118" customWidth="1"/>
    <col min="199" max="199" width="8.7109375" style="118" customWidth="1"/>
    <col min="200" max="202" width="4.7109375" style="97" customWidth="1"/>
    <col min="203" max="203" width="4.7109375" style="118" customWidth="1"/>
    <col min="204" max="204" width="8.7109375" style="118" customWidth="1"/>
    <col min="205" max="205" width="4.7109375" style="118" customWidth="1"/>
    <col min="206" max="206" width="8.7109375" style="118" customWidth="1"/>
    <col min="207" max="210" width="4.7109375" style="117" customWidth="1"/>
    <col min="211" max="211" width="8.7109375" style="118" customWidth="1"/>
    <col min="212" max="214" width="4.7109375" style="97" customWidth="1"/>
    <col min="215" max="215" width="4.7109375" style="118" customWidth="1"/>
    <col min="216" max="216" width="8.7109375" style="118" customWidth="1"/>
    <col min="217" max="219" width="4.7109375" style="97" customWidth="1"/>
    <col min="220" max="220" width="4.7109375" style="118" customWidth="1"/>
    <col min="221" max="221" width="8.7109375" style="118" customWidth="1"/>
    <col min="222" max="222" width="4.7109375" style="118" customWidth="1"/>
    <col min="223" max="223" width="8.7109375" style="118" customWidth="1"/>
    <col min="224" max="227" width="4.7109375" style="117" customWidth="1"/>
    <col min="228" max="228" width="8.7109375" style="118" customWidth="1"/>
    <col min="229" max="231" width="4.7109375" style="97" customWidth="1"/>
    <col min="232" max="232" width="4.7109375" style="118" customWidth="1"/>
    <col min="233" max="233" width="8.7109375" style="118" customWidth="1"/>
    <col min="234" max="236" width="4.7109375" style="97" customWidth="1"/>
    <col min="237" max="237" width="4.7109375" style="118" customWidth="1"/>
    <col min="238" max="238" width="8.7109375" style="118" customWidth="1"/>
    <col min="239" max="239" width="4.7109375" style="118" customWidth="1"/>
    <col min="240" max="240" width="8.7109375" style="118" customWidth="1"/>
    <col min="241" max="244" width="4.7109375" style="117" customWidth="1"/>
    <col min="245" max="245" width="8.7109375" style="118" customWidth="1"/>
    <col min="246" max="248" width="4.7109375" style="97" customWidth="1"/>
    <col min="249" max="249" width="4.7109375" style="118" customWidth="1"/>
    <col min="250" max="250" width="8.7109375" style="118" customWidth="1"/>
    <col min="251" max="253" width="4.7109375" style="97" customWidth="1"/>
    <col min="254" max="254" width="4.7109375" style="118" customWidth="1"/>
    <col min="255" max="255" width="8.7109375" style="118" customWidth="1"/>
    <col min="256" max="256" width="4.7109375" style="118" customWidth="1"/>
    <col min="257" max="257" width="8.7109375" style="118" customWidth="1"/>
    <col min="258" max="261" width="4.7109375" style="117" customWidth="1"/>
    <col min="262" max="262" width="8.7109375" style="118" customWidth="1"/>
    <col min="263" max="265" width="4.7109375" style="97" customWidth="1"/>
    <col min="266" max="266" width="4.7109375" style="118" customWidth="1"/>
    <col min="267" max="267" width="8.7109375" style="118" customWidth="1"/>
    <col min="268" max="270" width="4.7109375" style="97" customWidth="1"/>
    <col min="271" max="271" width="4.7109375" style="118" customWidth="1"/>
    <col min="272" max="272" width="8.7109375" style="118" customWidth="1"/>
    <col min="273" max="273" width="4.7109375" style="118" customWidth="1"/>
    <col min="274" max="274" width="8.7109375" style="118" customWidth="1"/>
    <col min="275" max="278" width="4.7109375" style="117" customWidth="1"/>
    <col min="279" max="279" width="8.7109375" style="118" customWidth="1"/>
    <col min="280" max="282" width="4.7109375" style="97" customWidth="1"/>
    <col min="283" max="283" width="4.7109375" style="118" customWidth="1"/>
    <col min="284" max="284" width="8.7109375" style="118" customWidth="1"/>
    <col min="285" max="287" width="4.7109375" style="97" customWidth="1"/>
    <col min="288" max="288" width="4.7109375" style="118" customWidth="1"/>
    <col min="289" max="289" width="8.7109375" style="118" customWidth="1"/>
    <col min="290" max="290" width="4.7109375" style="118" customWidth="1"/>
    <col min="291" max="291" width="8.7109375" style="118" customWidth="1"/>
    <col min="292" max="295" width="4.7109375" style="117" customWidth="1"/>
    <col min="296" max="296" width="8.7109375" style="118" customWidth="1"/>
    <col min="297" max="299" width="4.7109375" style="97" customWidth="1"/>
    <col min="300" max="300" width="4.7109375" style="118" customWidth="1"/>
    <col min="301" max="301" width="8.7109375" style="118" customWidth="1"/>
    <col min="302" max="304" width="4.7109375" style="97" customWidth="1"/>
    <col min="305" max="305" width="4.7109375" style="118" customWidth="1"/>
    <col min="306" max="306" width="8.7109375" style="118" customWidth="1"/>
    <col min="307" max="307" width="4.7109375" style="118" customWidth="1"/>
    <col min="308" max="308" width="8.7109375" style="118" customWidth="1"/>
    <col min="309" max="312" width="4.7109375" style="117" customWidth="1"/>
    <col min="313" max="313" width="8.7109375" style="118" customWidth="1"/>
    <col min="314" max="316" width="4.7109375" style="97" customWidth="1"/>
    <col min="317" max="317" width="4.7109375" style="118" customWidth="1"/>
    <col min="318" max="318" width="8.7109375" style="118" customWidth="1"/>
    <col min="319" max="321" width="4.7109375" style="97" customWidth="1"/>
    <col min="322" max="322" width="4.7109375" style="118" customWidth="1"/>
    <col min="323" max="323" width="8.7109375" style="118" customWidth="1"/>
    <col min="324" max="324" width="4.7109375" style="118" customWidth="1"/>
    <col min="325" max="325" width="8.7109375" style="118" customWidth="1"/>
    <col min="326" max="329" width="4.7109375" style="117" customWidth="1"/>
    <col min="330" max="330" width="8.7109375" style="118" customWidth="1"/>
    <col min="331" max="333" width="4.7109375" style="97" customWidth="1"/>
    <col min="334" max="334" width="4.7109375" style="118" customWidth="1"/>
    <col min="335" max="335" width="8.7109375" style="118" customWidth="1"/>
    <col min="336" max="338" width="4.7109375" style="97" customWidth="1"/>
    <col min="339" max="339" width="4.7109375" style="118" customWidth="1"/>
    <col min="340" max="340" width="8.7109375" style="118" customWidth="1"/>
    <col min="341" max="341" width="4.7109375" style="118" customWidth="1"/>
    <col min="342" max="342" width="8.7109375" style="118" customWidth="1"/>
    <col min="343" max="346" width="4.7109375" style="117" customWidth="1"/>
    <col min="347" max="347" width="8.7109375" style="118" customWidth="1"/>
    <col min="348" max="350" width="4.7109375" style="97" customWidth="1"/>
    <col min="351" max="351" width="4.7109375" style="118" customWidth="1"/>
    <col min="352" max="352" width="8.7109375" style="118" customWidth="1"/>
    <col min="353" max="355" width="4.7109375" style="97" customWidth="1"/>
    <col min="356" max="356" width="4.7109375" style="118" customWidth="1"/>
    <col min="357" max="357" width="8.7109375" style="118" customWidth="1"/>
    <col min="358" max="358" width="4.7109375" style="118" customWidth="1"/>
    <col min="359" max="359" width="8.7109375" style="118" customWidth="1"/>
    <col min="360" max="363" width="4.7109375" style="117" customWidth="1"/>
    <col min="364" max="364" width="8.7109375" style="118" customWidth="1"/>
    <col min="365" max="367" width="4.7109375" style="97" customWidth="1"/>
    <col min="368" max="368" width="4.7109375" style="118" customWidth="1"/>
    <col min="369" max="369" width="8.7109375" style="118" customWidth="1"/>
    <col min="370" max="372" width="4.7109375" style="97" customWidth="1"/>
    <col min="373" max="373" width="4.7109375" style="118" customWidth="1"/>
    <col min="374" max="374" width="8.7109375" style="118" customWidth="1"/>
    <col min="375" max="375" width="4.7109375" style="118" customWidth="1"/>
    <col min="376" max="376" width="8.7109375" style="118" customWidth="1"/>
    <col min="377" max="380" width="4.7109375" style="117" customWidth="1"/>
    <col min="381" max="381" width="8.7109375" style="118" customWidth="1"/>
    <col min="382" max="384" width="4.7109375" style="97" customWidth="1"/>
    <col min="385" max="385" width="4.7109375" style="118" customWidth="1"/>
    <col min="386" max="386" width="8.7109375" style="118" customWidth="1"/>
    <col min="387" max="389" width="4.7109375" style="97" customWidth="1"/>
    <col min="390" max="390" width="4.7109375" style="118" customWidth="1"/>
    <col min="391" max="391" width="8.7109375" style="118" customWidth="1"/>
    <col min="392" max="392" width="4.7109375" style="118" customWidth="1"/>
    <col min="393" max="393" width="8.7109375" style="118" customWidth="1"/>
    <col min="394" max="397" width="4.7109375" style="117" customWidth="1"/>
    <col min="398" max="398" width="8.7109375" style="118" customWidth="1"/>
    <col min="399" max="401" width="4.7109375" style="97" customWidth="1"/>
    <col min="402" max="402" width="4.7109375" style="118" customWidth="1"/>
    <col min="403" max="403" width="8.7109375" style="118" customWidth="1"/>
    <col min="404" max="406" width="4.7109375" style="97" customWidth="1"/>
    <col min="407" max="407" width="4.7109375" style="118" customWidth="1"/>
    <col min="408" max="408" width="8.7109375" style="118" customWidth="1"/>
    <col min="409" max="409" width="4.7109375" style="118" customWidth="1"/>
    <col min="410" max="410" width="8.7109375" style="118" customWidth="1"/>
    <col min="411" max="414" width="4.7109375" style="117" customWidth="1"/>
    <col min="415" max="415" width="8.7109375" style="118" customWidth="1"/>
    <col min="416" max="418" width="4.7109375" style="97" customWidth="1"/>
    <col min="419" max="419" width="4.7109375" style="118" customWidth="1"/>
    <col min="420" max="420" width="8.7109375" style="118" customWidth="1"/>
    <col min="421" max="423" width="4.7109375" style="97" customWidth="1"/>
    <col min="424" max="424" width="4.7109375" style="118" customWidth="1"/>
    <col min="425" max="425" width="8.7109375" style="118" customWidth="1"/>
    <col min="426" max="426" width="4.7109375" style="118" customWidth="1"/>
    <col min="427" max="427" width="8.7109375" style="118" customWidth="1"/>
    <col min="428" max="431" width="4.7109375" style="117" customWidth="1"/>
    <col min="432" max="432" width="8.7109375" style="118" customWidth="1"/>
    <col min="433" max="435" width="4.7109375" style="97" customWidth="1"/>
    <col min="436" max="436" width="4.7109375" style="118" customWidth="1"/>
    <col min="437" max="437" width="8.7109375" style="118" customWidth="1"/>
    <col min="438" max="440" width="4.7109375" style="97" customWidth="1"/>
    <col min="441" max="441" width="4.7109375" style="118" customWidth="1"/>
    <col min="442" max="442" width="8.7109375" style="118" customWidth="1"/>
    <col min="443" max="443" width="4.7109375" style="118" customWidth="1"/>
    <col min="444" max="444" width="8.7109375" style="118" customWidth="1"/>
    <col min="445" max="448" width="4.7109375" style="117" customWidth="1"/>
    <col min="449" max="449" width="8.7109375" style="118" customWidth="1"/>
    <col min="450" max="452" width="4.7109375" style="97" customWidth="1"/>
    <col min="453" max="453" width="4.7109375" style="118" customWidth="1"/>
    <col min="454" max="454" width="8.7109375" style="118" customWidth="1"/>
    <col min="455" max="457" width="4.7109375" style="97" customWidth="1"/>
    <col min="458" max="458" width="4.7109375" style="118" customWidth="1"/>
    <col min="459" max="459" width="8.7109375" style="118" customWidth="1"/>
    <col min="460" max="460" width="4.7109375" style="118" customWidth="1"/>
    <col min="461" max="461" width="8.7109375" style="118" customWidth="1"/>
    <col min="462" max="465" width="4.7109375" style="117" customWidth="1"/>
    <col min="466" max="466" width="8.7109375" style="118" customWidth="1"/>
    <col min="467" max="469" width="4.7109375" style="97" customWidth="1"/>
    <col min="470" max="470" width="4.7109375" style="118" customWidth="1"/>
    <col min="471" max="471" width="8.7109375" style="118" customWidth="1"/>
    <col min="472" max="474" width="4.7109375" style="97" customWidth="1"/>
    <col min="475" max="475" width="4.7109375" style="118" customWidth="1"/>
    <col min="476" max="476" width="8.7109375" style="118" customWidth="1"/>
    <col min="477" max="477" width="4.7109375" style="118" customWidth="1"/>
    <col min="478" max="478" width="8.7109375" style="118" customWidth="1"/>
    <col min="479" max="482" width="4.7109375" style="117" customWidth="1"/>
    <col min="483" max="483" width="8.7109375" style="118" customWidth="1"/>
    <col min="484" max="486" width="4.7109375" style="97" customWidth="1"/>
    <col min="487" max="487" width="4.7109375" style="118" customWidth="1"/>
    <col min="488" max="488" width="8.7109375" style="118" customWidth="1"/>
    <col min="489" max="491" width="4.7109375" style="97" customWidth="1"/>
    <col min="492" max="492" width="4.7109375" style="118" customWidth="1"/>
    <col min="493" max="493" width="8.7109375" style="118" customWidth="1"/>
    <col min="494" max="494" width="4.7109375" style="118" customWidth="1"/>
    <col min="495" max="495" width="8.7109375" style="118" customWidth="1"/>
    <col min="496" max="499" width="4.7109375" style="117" customWidth="1"/>
    <col min="500" max="500" width="8.7109375" style="118" customWidth="1"/>
    <col min="501" max="503" width="4.7109375" style="97" customWidth="1"/>
    <col min="504" max="504" width="4.7109375" style="118" customWidth="1"/>
    <col min="505" max="505" width="8.7109375" style="118" customWidth="1"/>
    <col min="506" max="508" width="4.7109375" style="97" customWidth="1"/>
    <col min="509" max="509" width="4.7109375" style="118" customWidth="1"/>
    <col min="510" max="510" width="8.7109375" style="118" customWidth="1"/>
    <col min="511" max="511" width="4.7109375" style="118" customWidth="1"/>
    <col min="512" max="512" width="8.7109375" style="118" customWidth="1"/>
    <col min="513" max="16384" width="5.7109375" style="98"/>
  </cols>
  <sheetData>
    <row r="1" spans="1:512" ht="18" customHeight="1" thickBot="1" x14ac:dyDescent="0.3">
      <c r="A1" s="246" t="s">
        <v>37</v>
      </c>
      <c r="B1" s="247"/>
      <c r="C1" s="147">
        <v>4</v>
      </c>
      <c r="D1" s="191"/>
      <c r="E1" s="191"/>
      <c r="F1" s="102"/>
      <c r="G1" s="103"/>
      <c r="H1" s="101"/>
      <c r="I1" s="101"/>
      <c r="J1" s="101"/>
      <c r="K1" s="103"/>
      <c r="L1" s="103"/>
      <c r="M1" s="101"/>
      <c r="N1" s="101"/>
      <c r="O1" s="101"/>
      <c r="P1" s="103"/>
      <c r="Q1" s="103"/>
      <c r="R1" s="103"/>
      <c r="S1" s="122"/>
      <c r="T1" s="135">
        <f>C1+1</f>
        <v>5</v>
      </c>
      <c r="U1" s="102"/>
      <c r="V1" s="102"/>
      <c r="W1" s="102"/>
      <c r="X1" s="103"/>
      <c r="Y1" s="101"/>
      <c r="Z1" s="101"/>
      <c r="AA1" s="101"/>
      <c r="AB1" s="103"/>
      <c r="AC1" s="103"/>
      <c r="AD1" s="101"/>
      <c r="AE1" s="101"/>
      <c r="AF1" s="101"/>
      <c r="AG1" s="103"/>
      <c r="AH1" s="103"/>
      <c r="AI1" s="103"/>
      <c r="AJ1" s="103"/>
      <c r="AK1" s="135">
        <f>T1+1</f>
        <v>6</v>
      </c>
      <c r="AL1" s="102"/>
      <c r="AM1" s="102"/>
      <c r="AN1" s="102"/>
      <c r="AO1" s="103"/>
      <c r="AP1" s="101"/>
      <c r="AQ1" s="101"/>
      <c r="AR1" s="101"/>
      <c r="AS1" s="103"/>
      <c r="AT1" s="103"/>
      <c r="AU1" s="101"/>
      <c r="AV1" s="101"/>
      <c r="AW1" s="101"/>
      <c r="AX1" s="103"/>
      <c r="AY1" s="103"/>
      <c r="AZ1" s="103"/>
      <c r="BA1" s="103"/>
      <c r="BB1" s="135">
        <f>AK1+1</f>
        <v>7</v>
      </c>
      <c r="BC1" s="102"/>
      <c r="BD1" s="102"/>
      <c r="BE1" s="102"/>
      <c r="BF1" s="103"/>
      <c r="BG1" s="101"/>
      <c r="BH1" s="101"/>
      <c r="BI1" s="101"/>
      <c r="BJ1" s="103"/>
      <c r="BK1" s="103"/>
      <c r="BL1" s="101"/>
      <c r="BM1" s="101"/>
      <c r="BN1" s="101"/>
      <c r="BO1" s="103"/>
      <c r="BP1" s="103"/>
      <c r="BQ1" s="103"/>
      <c r="BR1" s="103"/>
      <c r="BS1" s="135">
        <f>BB1+1</f>
        <v>8</v>
      </c>
      <c r="BT1" s="102"/>
      <c r="BU1" s="102"/>
      <c r="BV1" s="102"/>
      <c r="BW1" s="103"/>
      <c r="BX1" s="101"/>
      <c r="BY1" s="101"/>
      <c r="BZ1" s="101"/>
      <c r="CA1" s="103"/>
      <c r="CB1" s="103"/>
      <c r="CC1" s="101"/>
      <c r="CD1" s="101"/>
      <c r="CE1" s="101"/>
      <c r="CF1" s="103"/>
      <c r="CG1" s="103"/>
      <c r="CH1" s="103"/>
      <c r="CI1" s="103"/>
      <c r="CJ1" s="135">
        <f>BS1+1</f>
        <v>9</v>
      </c>
      <c r="CK1" s="102"/>
      <c r="CL1" s="102"/>
      <c r="CM1" s="102"/>
      <c r="CN1" s="103"/>
      <c r="CO1" s="101"/>
      <c r="CP1" s="101"/>
      <c r="CQ1" s="101"/>
      <c r="CR1" s="103"/>
      <c r="CS1" s="103"/>
      <c r="CT1" s="101"/>
      <c r="CU1" s="101"/>
      <c r="CV1" s="101"/>
      <c r="CW1" s="103"/>
      <c r="CX1" s="103"/>
      <c r="CY1" s="103"/>
      <c r="CZ1" s="103"/>
      <c r="DA1" s="135">
        <f>CJ1+1</f>
        <v>10</v>
      </c>
      <c r="DB1" s="102"/>
      <c r="DC1" s="102"/>
      <c r="DD1" s="102"/>
      <c r="DE1" s="103"/>
      <c r="DF1" s="101"/>
      <c r="DG1" s="101"/>
      <c r="DH1" s="101"/>
      <c r="DI1" s="103"/>
      <c r="DJ1" s="103"/>
      <c r="DK1" s="101"/>
      <c r="DL1" s="101"/>
      <c r="DM1" s="101"/>
      <c r="DN1" s="103"/>
      <c r="DO1" s="103"/>
      <c r="DP1" s="103"/>
      <c r="DQ1" s="103"/>
      <c r="DR1" s="135">
        <f>DA1+1</f>
        <v>11</v>
      </c>
      <c r="DS1" s="102"/>
      <c r="DT1" s="102"/>
      <c r="DU1" s="102"/>
      <c r="DV1" s="103"/>
      <c r="DW1" s="101"/>
      <c r="DX1" s="101"/>
      <c r="DY1" s="101"/>
      <c r="DZ1" s="103"/>
      <c r="EA1" s="103"/>
      <c r="EB1" s="101"/>
      <c r="EC1" s="101"/>
      <c r="ED1" s="101"/>
      <c r="EE1" s="103"/>
      <c r="EF1" s="103"/>
      <c r="EG1" s="103"/>
      <c r="EH1" s="103"/>
      <c r="EI1" s="135">
        <f>DR1+1</f>
        <v>12</v>
      </c>
      <c r="EJ1" s="102"/>
      <c r="EK1" s="102"/>
      <c r="EL1" s="102"/>
      <c r="EM1" s="103"/>
      <c r="EN1" s="101"/>
      <c r="EO1" s="101"/>
      <c r="EP1" s="101"/>
      <c r="EQ1" s="103"/>
      <c r="ER1" s="103"/>
      <c r="ES1" s="101"/>
      <c r="ET1" s="101"/>
      <c r="EU1" s="101"/>
      <c r="EV1" s="103"/>
      <c r="EW1" s="103"/>
      <c r="EX1" s="103"/>
      <c r="EY1" s="103"/>
      <c r="EZ1" s="135">
        <f>EI1+1</f>
        <v>13</v>
      </c>
      <c r="FA1" s="102"/>
      <c r="FB1" s="102"/>
      <c r="FC1" s="102"/>
      <c r="FD1" s="103"/>
      <c r="FE1" s="101"/>
      <c r="FF1" s="101"/>
      <c r="FG1" s="101"/>
      <c r="FH1" s="103"/>
      <c r="FI1" s="103"/>
      <c r="FJ1" s="101"/>
      <c r="FK1" s="101"/>
      <c r="FL1" s="101"/>
      <c r="FM1" s="103"/>
      <c r="FN1" s="103"/>
      <c r="FO1" s="103"/>
      <c r="FP1" s="103"/>
      <c r="FQ1" s="135">
        <f>EZ1+1</f>
        <v>14</v>
      </c>
      <c r="FR1" s="102"/>
      <c r="FS1" s="102"/>
      <c r="FT1" s="102"/>
      <c r="FU1" s="103"/>
      <c r="FV1" s="101"/>
      <c r="FW1" s="101"/>
      <c r="FX1" s="101"/>
      <c r="FY1" s="103"/>
      <c r="FZ1" s="103"/>
      <c r="GA1" s="101"/>
      <c r="GB1" s="101"/>
      <c r="GC1" s="101"/>
      <c r="GD1" s="103"/>
      <c r="GE1" s="103"/>
      <c r="GF1" s="103"/>
      <c r="GG1" s="103"/>
      <c r="GH1" s="135">
        <f>FQ1+1</f>
        <v>15</v>
      </c>
      <c r="GI1" s="102"/>
      <c r="GJ1" s="102"/>
      <c r="GK1" s="102"/>
      <c r="GL1" s="103"/>
      <c r="GM1" s="101"/>
      <c r="GN1" s="101"/>
      <c r="GO1" s="101"/>
      <c r="GP1" s="103"/>
      <c r="GQ1" s="103"/>
      <c r="GR1" s="101"/>
      <c r="GS1" s="101"/>
      <c r="GT1" s="101"/>
      <c r="GU1" s="103"/>
      <c r="GV1" s="103"/>
      <c r="GW1" s="103"/>
      <c r="GX1" s="103"/>
      <c r="GY1" s="135">
        <f>GH1+1</f>
        <v>16</v>
      </c>
      <c r="GZ1" s="102"/>
      <c r="HA1" s="102"/>
      <c r="HB1" s="102"/>
      <c r="HC1" s="103"/>
      <c r="HD1" s="101"/>
      <c r="HE1" s="101"/>
      <c r="HF1" s="101"/>
      <c r="HG1" s="103"/>
      <c r="HH1" s="103"/>
      <c r="HI1" s="101"/>
      <c r="HJ1" s="101"/>
      <c r="HK1" s="101"/>
      <c r="HL1" s="103"/>
      <c r="HM1" s="103"/>
      <c r="HN1" s="103"/>
      <c r="HO1" s="103"/>
      <c r="HP1" s="135">
        <f>GY1+1</f>
        <v>17</v>
      </c>
      <c r="HQ1" s="102"/>
      <c r="HR1" s="102"/>
      <c r="HS1" s="102"/>
      <c r="HT1" s="103"/>
      <c r="HU1" s="101"/>
      <c r="HV1" s="101"/>
      <c r="HW1" s="101"/>
      <c r="HX1" s="103"/>
      <c r="HY1" s="103"/>
      <c r="HZ1" s="101"/>
      <c r="IA1" s="101"/>
      <c r="IB1" s="101"/>
      <c r="IC1" s="103"/>
      <c r="ID1" s="103"/>
      <c r="IE1" s="103"/>
      <c r="IF1" s="103"/>
      <c r="IG1" s="135">
        <f>HP1+1</f>
        <v>18</v>
      </c>
      <c r="IH1" s="102"/>
      <c r="II1" s="102"/>
      <c r="IJ1" s="102"/>
      <c r="IK1" s="103"/>
      <c r="IL1" s="101"/>
      <c r="IM1" s="101"/>
      <c r="IN1" s="101"/>
      <c r="IO1" s="103"/>
      <c r="IP1" s="103"/>
      <c r="IQ1" s="101"/>
      <c r="IR1" s="101"/>
      <c r="IS1" s="101"/>
      <c r="IT1" s="103"/>
      <c r="IU1" s="103"/>
      <c r="IV1" s="103"/>
      <c r="IW1" s="103"/>
      <c r="IX1" s="135">
        <f>IG1+1</f>
        <v>19</v>
      </c>
      <c r="IY1" s="102"/>
      <c r="IZ1" s="102"/>
      <c r="JA1" s="102"/>
      <c r="JB1" s="103"/>
      <c r="JC1" s="101"/>
      <c r="JD1" s="101"/>
      <c r="JE1" s="101"/>
      <c r="JF1" s="103"/>
      <c r="JG1" s="103"/>
      <c r="JH1" s="101"/>
      <c r="JI1" s="101"/>
      <c r="JJ1" s="101"/>
      <c r="JK1" s="103"/>
      <c r="JL1" s="103"/>
      <c r="JM1" s="103"/>
      <c r="JN1" s="103"/>
      <c r="JO1" s="135">
        <f>IX1+1</f>
        <v>20</v>
      </c>
      <c r="JP1" s="102"/>
      <c r="JQ1" s="102"/>
      <c r="JR1" s="102"/>
      <c r="JS1" s="103"/>
      <c r="JT1" s="101"/>
      <c r="JU1" s="101"/>
      <c r="JV1" s="101"/>
      <c r="JW1" s="103"/>
      <c r="JX1" s="103"/>
      <c r="JY1" s="101"/>
      <c r="JZ1" s="101"/>
      <c r="KA1" s="101"/>
      <c r="KB1" s="103"/>
      <c r="KC1" s="103"/>
      <c r="KD1" s="103"/>
      <c r="KE1" s="103"/>
      <c r="KF1" s="135">
        <f>JO1+1</f>
        <v>21</v>
      </c>
      <c r="KG1" s="102"/>
      <c r="KH1" s="102"/>
      <c r="KI1" s="102"/>
      <c r="KJ1" s="103"/>
      <c r="KK1" s="101"/>
      <c r="KL1" s="101"/>
      <c r="KM1" s="101"/>
      <c r="KN1" s="103"/>
      <c r="KO1" s="103"/>
      <c r="KP1" s="101"/>
      <c r="KQ1" s="101"/>
      <c r="KR1" s="101"/>
      <c r="KS1" s="103"/>
      <c r="KT1" s="103"/>
      <c r="KU1" s="103"/>
      <c r="KV1" s="103"/>
      <c r="KW1" s="135">
        <f>KF1+1</f>
        <v>22</v>
      </c>
      <c r="KX1" s="102"/>
      <c r="KY1" s="102"/>
      <c r="KZ1" s="102"/>
      <c r="LA1" s="103"/>
      <c r="LB1" s="101"/>
      <c r="LC1" s="101"/>
      <c r="LD1" s="101"/>
      <c r="LE1" s="103"/>
      <c r="LF1" s="103"/>
      <c r="LG1" s="101"/>
      <c r="LH1" s="101"/>
      <c r="LI1" s="101"/>
      <c r="LJ1" s="103"/>
      <c r="LK1" s="103"/>
      <c r="LL1" s="103"/>
      <c r="LM1" s="103"/>
      <c r="LN1" s="135">
        <f>KW1+1</f>
        <v>23</v>
      </c>
      <c r="LO1" s="102"/>
      <c r="LP1" s="102"/>
      <c r="LQ1" s="102"/>
      <c r="LR1" s="103"/>
      <c r="LS1" s="101"/>
      <c r="LT1" s="101"/>
      <c r="LU1" s="101"/>
      <c r="LV1" s="103"/>
      <c r="LW1" s="103"/>
      <c r="LX1" s="101"/>
      <c r="LY1" s="101"/>
      <c r="LZ1" s="101"/>
      <c r="MA1" s="103"/>
      <c r="MB1" s="103"/>
      <c r="MC1" s="103"/>
      <c r="MD1" s="103"/>
      <c r="ME1" s="135">
        <f>LN1+1</f>
        <v>24</v>
      </c>
      <c r="MF1" s="102"/>
      <c r="MG1" s="102"/>
      <c r="MH1" s="102"/>
      <c r="MI1" s="103"/>
      <c r="MJ1" s="101"/>
      <c r="MK1" s="101"/>
      <c r="ML1" s="101"/>
      <c r="MM1" s="103"/>
      <c r="MN1" s="103"/>
      <c r="MO1" s="101"/>
      <c r="MP1" s="101"/>
      <c r="MQ1" s="101"/>
      <c r="MR1" s="103"/>
      <c r="MS1" s="103"/>
      <c r="MT1" s="103"/>
      <c r="MU1" s="103"/>
      <c r="MV1" s="135">
        <f>ME1+1</f>
        <v>25</v>
      </c>
      <c r="MW1" s="102"/>
      <c r="MX1" s="102"/>
      <c r="MY1" s="102"/>
      <c r="MZ1" s="103"/>
      <c r="NA1" s="101"/>
      <c r="NB1" s="101"/>
      <c r="NC1" s="101"/>
      <c r="ND1" s="103"/>
      <c r="NE1" s="103"/>
      <c r="NF1" s="101"/>
      <c r="NG1" s="101"/>
      <c r="NH1" s="101"/>
      <c r="NI1" s="103"/>
      <c r="NJ1" s="103"/>
      <c r="NK1" s="103"/>
      <c r="NL1" s="103"/>
      <c r="NM1" s="135">
        <f>MV1+1</f>
        <v>26</v>
      </c>
      <c r="NN1" s="102"/>
      <c r="NO1" s="102"/>
      <c r="NP1" s="102"/>
      <c r="NQ1" s="103"/>
      <c r="NR1" s="101"/>
      <c r="NS1" s="101"/>
      <c r="NT1" s="101"/>
      <c r="NU1" s="103"/>
      <c r="NV1" s="103"/>
      <c r="NW1" s="101"/>
      <c r="NX1" s="101"/>
      <c r="NY1" s="101"/>
      <c r="NZ1" s="103"/>
      <c r="OA1" s="103"/>
      <c r="OB1" s="103"/>
      <c r="OC1" s="103"/>
      <c r="OD1" s="135">
        <f>NM1+1</f>
        <v>27</v>
      </c>
      <c r="OE1" s="102"/>
      <c r="OF1" s="102"/>
      <c r="OG1" s="102"/>
      <c r="OH1" s="103"/>
      <c r="OI1" s="101"/>
      <c r="OJ1" s="101"/>
      <c r="OK1" s="101"/>
      <c r="OL1" s="103"/>
      <c r="OM1" s="103"/>
      <c r="ON1" s="101"/>
      <c r="OO1" s="101"/>
      <c r="OP1" s="101"/>
      <c r="OQ1" s="103"/>
      <c r="OR1" s="103"/>
      <c r="OS1" s="103"/>
      <c r="OT1" s="103"/>
      <c r="OU1" s="135">
        <f>OD1+1</f>
        <v>28</v>
      </c>
      <c r="OV1" s="102"/>
      <c r="OW1" s="102"/>
      <c r="OX1" s="102"/>
      <c r="OY1" s="103"/>
      <c r="OZ1" s="101"/>
      <c r="PA1" s="101"/>
      <c r="PB1" s="101"/>
      <c r="PC1" s="103"/>
      <c r="PD1" s="103"/>
      <c r="PE1" s="101"/>
      <c r="PF1" s="101"/>
      <c r="PG1" s="101"/>
      <c r="PH1" s="103"/>
      <c r="PI1" s="103"/>
      <c r="PJ1" s="103"/>
      <c r="PK1" s="103"/>
      <c r="PL1" s="135">
        <f>OU1+1</f>
        <v>29</v>
      </c>
      <c r="PM1" s="102"/>
      <c r="PN1" s="102"/>
      <c r="PO1" s="102"/>
      <c r="PP1" s="103"/>
      <c r="PQ1" s="101"/>
      <c r="PR1" s="101"/>
      <c r="PS1" s="101"/>
      <c r="PT1" s="103"/>
      <c r="PU1" s="103"/>
      <c r="PV1" s="101"/>
      <c r="PW1" s="101"/>
      <c r="PX1" s="101"/>
      <c r="PY1" s="103"/>
      <c r="PZ1" s="103"/>
      <c r="QA1" s="103"/>
      <c r="QB1" s="103"/>
      <c r="QC1" s="135">
        <f>PL1+1</f>
        <v>30</v>
      </c>
      <c r="QD1" s="102"/>
      <c r="QE1" s="102"/>
      <c r="QF1" s="102"/>
      <c r="QG1" s="103"/>
      <c r="QH1" s="101"/>
      <c r="QI1" s="101"/>
      <c r="QJ1" s="101"/>
      <c r="QK1" s="103"/>
      <c r="QL1" s="103"/>
      <c r="QM1" s="101"/>
      <c r="QN1" s="101"/>
      <c r="QO1" s="101"/>
      <c r="QP1" s="103"/>
      <c r="QQ1" s="103"/>
      <c r="QR1" s="103"/>
      <c r="QS1" s="103"/>
      <c r="QT1" s="135">
        <f>QC1+1</f>
        <v>31</v>
      </c>
      <c r="QU1" s="102"/>
      <c r="QV1" s="102"/>
      <c r="QW1" s="102"/>
      <c r="QX1" s="103"/>
      <c r="QY1" s="101"/>
      <c r="QZ1" s="101"/>
      <c r="RA1" s="101"/>
      <c r="RB1" s="103"/>
      <c r="RC1" s="103"/>
      <c r="RD1" s="101"/>
      <c r="RE1" s="101"/>
      <c r="RF1" s="101"/>
      <c r="RG1" s="103"/>
      <c r="RH1" s="103"/>
      <c r="RI1" s="103"/>
      <c r="RJ1" s="103"/>
      <c r="RK1" s="135">
        <f>QT1+1</f>
        <v>32</v>
      </c>
      <c r="RL1" s="102"/>
      <c r="RM1" s="102"/>
      <c r="RN1" s="102"/>
      <c r="RO1" s="103"/>
      <c r="RP1" s="101"/>
      <c r="RQ1" s="101"/>
      <c r="RR1" s="101"/>
      <c r="RS1" s="103"/>
      <c r="RT1" s="103"/>
      <c r="RU1" s="101"/>
      <c r="RV1" s="101"/>
      <c r="RW1" s="101"/>
      <c r="RX1" s="103"/>
      <c r="RY1" s="103"/>
      <c r="RZ1" s="103"/>
      <c r="SA1" s="103"/>
      <c r="SB1" s="135">
        <f>RK1+1</f>
        <v>33</v>
      </c>
      <c r="SC1" s="102"/>
      <c r="SD1" s="102"/>
      <c r="SE1" s="102"/>
      <c r="SF1" s="103"/>
      <c r="SG1" s="101"/>
      <c r="SH1" s="101"/>
      <c r="SI1" s="101"/>
      <c r="SJ1" s="103"/>
      <c r="SK1" s="103"/>
      <c r="SL1" s="101"/>
      <c r="SM1" s="101"/>
      <c r="SN1" s="101"/>
      <c r="SO1" s="103"/>
      <c r="SP1" s="103"/>
      <c r="SQ1" s="103"/>
      <c r="SR1" s="103"/>
    </row>
    <row r="2" spans="1:512" ht="60" customHeight="1" thickBot="1" x14ac:dyDescent="0.3">
      <c r="A2" s="91" t="s">
        <v>36</v>
      </c>
      <c r="B2" s="92" t="s">
        <v>192</v>
      </c>
      <c r="C2" s="148" t="str">
        <f ca="1">IF(CELL("contenu",INDIRECT(ADDRESS(C1,1,1,1,CELL("contenu",$B$2))))="","----",CELL("contenu",INDIRECT(ADDRESS(C1,1,1,1,CELL("contenu",$B$2)))))</f>
        <v>ADOLPH Maximilian</v>
      </c>
      <c r="D2" s="148"/>
      <c r="E2" s="148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123"/>
      <c r="T2" s="99" t="str">
        <f ca="1">IF(CELL("contenu",INDIRECT(ADDRESS(T1,1,1,1,CELL("contenu",$B$2))))="","----",CELL("contenu",INDIRECT(ADDRESS(T1,1,1,1,CELL("contenu",$B$2)))))</f>
        <v>ALFANDARI Adrien</v>
      </c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123"/>
      <c r="AK2" s="99" t="str">
        <f ca="1">IF(CELL("contenu",INDIRECT(ADDRESS(AK1,1,1,1,CELL("contenu",$B$2))))="","----",CELL("contenu",INDIRECT(ADDRESS(AK1,1,1,1,CELL("contenu",$B$2)))))</f>
        <v>BAHNES Hajar-Aîcha</v>
      </c>
      <c r="AL2" s="99"/>
      <c r="AM2" s="99"/>
      <c r="AN2" s="99"/>
      <c r="AO2" s="99"/>
      <c r="AP2" s="99"/>
      <c r="AQ2" s="99"/>
      <c r="AR2" s="99"/>
      <c r="AS2" s="99"/>
      <c r="AT2" s="99"/>
      <c r="AU2" s="99"/>
      <c r="AV2" s="99"/>
      <c r="AW2" s="99"/>
      <c r="AX2" s="99"/>
      <c r="AY2" s="99"/>
      <c r="AZ2" s="99"/>
      <c r="BA2" s="123"/>
      <c r="BB2" s="99" t="str">
        <f ca="1">IF(CELL("contenu",INDIRECT(ADDRESS(BB1,1,1,1,CELL("contenu",$B$2))))="","----",CELL("contenu",INDIRECT(ADDRESS(BB1,1,1,1,CELL("contenu",$B$2)))))</f>
        <v>BARRAULT BLANCHARD Maeva</v>
      </c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99"/>
      <c r="BP2" s="99"/>
      <c r="BQ2" s="99"/>
      <c r="BR2" s="123"/>
      <c r="BS2" s="99" t="str">
        <f ca="1">IF(CELL("contenu",INDIRECT(ADDRESS(BS1,1,1,1,CELL("contenu",$B$2))))="","----",CELL("contenu",INDIRECT(ADDRESS(BS1,1,1,1,CELL("contenu",$B$2)))))</f>
        <v>BEAUFILS Maelle</v>
      </c>
      <c r="BT2" s="99"/>
      <c r="BU2" s="99"/>
      <c r="BV2" s="99"/>
      <c r="BW2" s="99"/>
      <c r="BX2" s="99"/>
      <c r="BY2" s="99"/>
      <c r="BZ2" s="99"/>
      <c r="CA2" s="99"/>
      <c r="CB2" s="99"/>
      <c r="CC2" s="99"/>
      <c r="CD2" s="99"/>
      <c r="CE2" s="99"/>
      <c r="CF2" s="99"/>
      <c r="CG2" s="99"/>
      <c r="CH2" s="99"/>
      <c r="CI2" s="123"/>
      <c r="CJ2" s="99" t="str">
        <f ca="1">IF(CELL("contenu",INDIRECT(ADDRESS(CJ1,1,1,1,CELL("contenu",$B$2))))="","----",CELL("contenu",INDIRECT(ADDRESS(CJ1,1,1,1,CELL("contenu",$B$2)))))</f>
        <v>BOSCHER Leopold</v>
      </c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99"/>
      <c r="CV2" s="99"/>
      <c r="CW2" s="99"/>
      <c r="CX2" s="99"/>
      <c r="CY2" s="99"/>
      <c r="CZ2" s="123"/>
      <c r="DA2" s="99" t="str">
        <f ca="1">IF(CELL("contenu",INDIRECT(ADDRESS(DA1,1,1,1,CELL("contenu",$B$2))))="","----",CELL("contenu",INDIRECT(ADDRESS(DA1,1,1,1,CELL("contenu",$B$2)))))</f>
        <v>BRICE Arthur</v>
      </c>
      <c r="DB2" s="99"/>
      <c r="DC2" s="99"/>
      <c r="DD2" s="99"/>
      <c r="DE2" s="99"/>
      <c r="DF2" s="99"/>
      <c r="DG2" s="99"/>
      <c r="DH2" s="99"/>
      <c r="DI2" s="99"/>
      <c r="DJ2" s="99"/>
      <c r="DK2" s="99"/>
      <c r="DL2" s="99"/>
      <c r="DM2" s="99"/>
      <c r="DN2" s="99"/>
      <c r="DO2" s="99"/>
      <c r="DP2" s="99"/>
      <c r="DQ2" s="123"/>
      <c r="DR2" s="99" t="str">
        <f ca="1">IF(CELL("contenu",INDIRECT(ADDRESS(DR1,1,1,1,CELL("contenu",$B$2))))="","----",CELL("contenu",INDIRECT(ADDRESS(DR1,1,1,1,CELL("contenu",$B$2)))))</f>
        <v>DAVAIN Aurore</v>
      </c>
      <c r="DS2" s="99"/>
      <c r="DT2" s="99"/>
      <c r="DU2" s="99"/>
      <c r="DV2" s="99"/>
      <c r="DW2" s="99"/>
      <c r="DX2" s="99"/>
      <c r="DY2" s="99"/>
      <c r="DZ2" s="99"/>
      <c r="EA2" s="99"/>
      <c r="EB2" s="99"/>
      <c r="EC2" s="99"/>
      <c r="ED2" s="99"/>
      <c r="EE2" s="99"/>
      <c r="EF2" s="99"/>
      <c r="EG2" s="99"/>
      <c r="EH2" s="123"/>
      <c r="EI2" s="99" t="str">
        <f ca="1">IF(CELL("contenu",INDIRECT(ADDRESS(EI1,1,1,1,CELL("contenu",$B$2))))="","----",CELL("contenu",INDIRECT(ADDRESS(EI1,1,1,1,CELL("contenu",$B$2)))))</f>
        <v>DORRIERE Come</v>
      </c>
      <c r="EJ2" s="99"/>
      <c r="EK2" s="99"/>
      <c r="EL2" s="99"/>
      <c r="EM2" s="99"/>
      <c r="EN2" s="99"/>
      <c r="EO2" s="99"/>
      <c r="EP2" s="99"/>
      <c r="EQ2" s="99"/>
      <c r="ER2" s="99"/>
      <c r="ES2" s="99"/>
      <c r="ET2" s="99"/>
      <c r="EU2" s="99"/>
      <c r="EV2" s="99"/>
      <c r="EW2" s="99"/>
      <c r="EX2" s="99"/>
      <c r="EY2" s="123"/>
      <c r="EZ2" s="99" t="str">
        <f ca="1">IF(CELL("contenu",INDIRECT(ADDRESS(EZ1,1,1,1,CELL("contenu",$B$2))))="","----",CELL("contenu",INDIRECT(ADDRESS(EZ1,1,1,1,CELL("contenu",$B$2)))))</f>
        <v>DUCHON Axel</v>
      </c>
      <c r="FA2" s="99"/>
      <c r="FB2" s="99"/>
      <c r="FC2" s="99"/>
      <c r="FD2" s="99"/>
      <c r="FE2" s="99"/>
      <c r="FF2" s="99"/>
      <c r="FG2" s="99"/>
      <c r="FH2" s="99"/>
      <c r="FI2" s="99"/>
      <c r="FJ2" s="99"/>
      <c r="FK2" s="99"/>
      <c r="FL2" s="99"/>
      <c r="FM2" s="99"/>
      <c r="FN2" s="99"/>
      <c r="FO2" s="99"/>
      <c r="FP2" s="123"/>
      <c r="FQ2" s="99" t="str">
        <f ca="1">IF(CELL("contenu",INDIRECT(ADDRESS(FQ1,1,1,1,CELL("contenu",$B$2))))="","----",CELL("contenu",INDIRECT(ADDRESS(FQ1,1,1,1,CELL("contenu",$B$2)))))</f>
        <v>DUMONT--DAVID Hugo</v>
      </c>
      <c r="FR2" s="99"/>
      <c r="FS2" s="99"/>
      <c r="FT2" s="99"/>
      <c r="FU2" s="99"/>
      <c r="FV2" s="99"/>
      <c r="FW2" s="99"/>
      <c r="FX2" s="99"/>
      <c r="FY2" s="99"/>
      <c r="FZ2" s="99"/>
      <c r="GA2" s="99"/>
      <c r="GB2" s="99"/>
      <c r="GC2" s="99"/>
      <c r="GD2" s="99"/>
      <c r="GE2" s="99"/>
      <c r="GF2" s="99"/>
      <c r="GG2" s="123"/>
      <c r="GH2" s="99" t="str">
        <f ca="1">IF(CELL("contenu",INDIRECT(ADDRESS(GH1,1,1,1,CELL("contenu",$B$2))))="","----",CELL("contenu",INDIRECT(ADDRESS(GH1,1,1,1,CELL("contenu",$B$2)))))</f>
        <v>DURAND Louis</v>
      </c>
      <c r="GI2" s="99"/>
      <c r="GJ2" s="99"/>
      <c r="GK2" s="99"/>
      <c r="GL2" s="99"/>
      <c r="GM2" s="99"/>
      <c r="GN2" s="99"/>
      <c r="GO2" s="99"/>
      <c r="GP2" s="99"/>
      <c r="GQ2" s="99"/>
      <c r="GR2" s="99"/>
      <c r="GS2" s="99"/>
      <c r="GT2" s="99"/>
      <c r="GU2" s="99"/>
      <c r="GV2" s="99"/>
      <c r="GW2" s="99"/>
      <c r="GX2" s="123"/>
      <c r="GY2" s="99" t="str">
        <f ca="1">IF(CELL("contenu",INDIRECT(ADDRESS(GY1,1,1,1,CELL("contenu",$B$2))))="","----",CELL("contenu",INDIRECT(ADDRESS(GY1,1,1,1,CELL("contenu",$B$2)))))</f>
        <v>HEURTAULT DE LAMMERVILLE Oscar</v>
      </c>
      <c r="GZ2" s="99"/>
      <c r="HA2" s="99"/>
      <c r="HB2" s="99"/>
      <c r="HC2" s="99"/>
      <c r="HD2" s="99"/>
      <c r="HE2" s="99"/>
      <c r="HF2" s="99"/>
      <c r="HG2" s="99"/>
      <c r="HH2" s="99"/>
      <c r="HI2" s="99"/>
      <c r="HJ2" s="99"/>
      <c r="HK2" s="99"/>
      <c r="HL2" s="99"/>
      <c r="HM2" s="99"/>
      <c r="HN2" s="99"/>
      <c r="HO2" s="123"/>
      <c r="HP2" s="99" t="str">
        <f ca="1">IF(CELL("contenu",INDIRECT(ADDRESS(HP1,1,1,1,CELL("contenu",$B$2))))="","----",CELL("contenu",INDIRECT(ADDRESS(HP1,1,1,1,CELL("contenu",$B$2)))))</f>
        <v>HOEUNG Jean-Pierre</v>
      </c>
      <c r="HQ2" s="99"/>
      <c r="HR2" s="99"/>
      <c r="HS2" s="99"/>
      <c r="HT2" s="99"/>
      <c r="HU2" s="99"/>
      <c r="HV2" s="99"/>
      <c r="HW2" s="99"/>
      <c r="HX2" s="99"/>
      <c r="HY2" s="99"/>
      <c r="HZ2" s="99"/>
      <c r="IA2" s="99"/>
      <c r="IB2" s="99"/>
      <c r="IC2" s="99"/>
      <c r="ID2" s="99"/>
      <c r="IE2" s="99"/>
      <c r="IF2" s="123"/>
      <c r="IG2" s="99" t="str">
        <f ca="1">IF(CELL("contenu",INDIRECT(ADDRESS(IG1,1,1,1,CELL("contenu",$B$2))))="","----",CELL("contenu",INDIRECT(ADDRESS(IG1,1,1,1,CELL("contenu",$B$2)))))</f>
        <v>HUE Philipppine</v>
      </c>
      <c r="IH2" s="99"/>
      <c r="II2" s="99"/>
      <c r="IJ2" s="99"/>
      <c r="IK2" s="99"/>
      <c r="IL2" s="99"/>
      <c r="IM2" s="99"/>
      <c r="IN2" s="99"/>
      <c r="IO2" s="99"/>
      <c r="IP2" s="99"/>
      <c r="IQ2" s="99"/>
      <c r="IR2" s="99"/>
      <c r="IS2" s="99"/>
      <c r="IT2" s="99"/>
      <c r="IU2" s="99"/>
      <c r="IV2" s="99"/>
      <c r="IW2" s="123"/>
      <c r="IX2" s="99" t="str">
        <f ca="1">IF(CELL("contenu",INDIRECT(ADDRESS(IX1,1,1,1,CELL("contenu",$B$2))))="","----",CELL("contenu",INDIRECT(ADDRESS(IX1,1,1,1,CELL("contenu",$B$2)))))</f>
        <v>KAPITA LUKENGU Noemie</v>
      </c>
      <c r="IY2" s="99"/>
      <c r="IZ2" s="99"/>
      <c r="JA2" s="99"/>
      <c r="JB2" s="99"/>
      <c r="JC2" s="99"/>
      <c r="JD2" s="99"/>
      <c r="JE2" s="99"/>
      <c r="JF2" s="99"/>
      <c r="JG2" s="99"/>
      <c r="JH2" s="99"/>
      <c r="JI2" s="99"/>
      <c r="JJ2" s="99"/>
      <c r="JK2" s="99"/>
      <c r="JL2" s="99"/>
      <c r="JM2" s="99"/>
      <c r="JN2" s="123"/>
      <c r="JO2" s="99" t="str">
        <f ca="1">IF(CELL("contenu",INDIRECT(ADDRESS(JO1,1,1,1,CELL("contenu",$B$2))))="","----",CELL("contenu",INDIRECT(ADDRESS(JO1,1,1,1,CELL("contenu",$B$2)))))</f>
        <v>LIZE Julie</v>
      </c>
      <c r="JP2" s="99"/>
      <c r="JQ2" s="99"/>
      <c r="JR2" s="99"/>
      <c r="JS2" s="99"/>
      <c r="JT2" s="99"/>
      <c r="JU2" s="99"/>
      <c r="JV2" s="99"/>
      <c r="JW2" s="99"/>
      <c r="JX2" s="99"/>
      <c r="JY2" s="99"/>
      <c r="JZ2" s="99"/>
      <c r="KA2" s="99"/>
      <c r="KB2" s="99"/>
      <c r="KC2" s="99"/>
      <c r="KD2" s="99"/>
      <c r="KE2" s="123"/>
      <c r="KF2" s="99" t="str">
        <f ca="1">IF(CELL("contenu",INDIRECT(ADDRESS(KF1,1,1,1,CELL("contenu",$B$2))))="","----",CELL("contenu",INDIRECT(ADDRESS(KF1,1,1,1,CELL("contenu",$B$2)))))</f>
        <v>MALAQUIN Thomas</v>
      </c>
      <c r="KG2" s="99"/>
      <c r="KH2" s="99"/>
      <c r="KI2" s="99"/>
      <c r="KJ2" s="99"/>
      <c r="KK2" s="99"/>
      <c r="KL2" s="99"/>
      <c r="KM2" s="99"/>
      <c r="KN2" s="99"/>
      <c r="KO2" s="99"/>
      <c r="KP2" s="99"/>
      <c r="KQ2" s="99"/>
      <c r="KR2" s="99"/>
      <c r="KS2" s="99"/>
      <c r="KT2" s="99"/>
      <c r="KU2" s="99"/>
      <c r="KV2" s="123"/>
      <c r="KW2" s="99" t="str">
        <f ca="1">IF(CELL("contenu",INDIRECT(ADDRESS(KW1,1,1,1,CELL("contenu",$B$2))))="","----",CELL("contenu",INDIRECT(ADDRESS(KW1,1,1,1,CELL("contenu",$B$2)))))</f>
        <v>PAITRE Clarisse</v>
      </c>
      <c r="KX2" s="99"/>
      <c r="KY2" s="99"/>
      <c r="KZ2" s="99"/>
      <c r="LA2" s="99"/>
      <c r="LB2" s="99"/>
      <c r="LC2" s="99"/>
      <c r="LD2" s="99"/>
      <c r="LE2" s="99"/>
      <c r="LF2" s="99"/>
      <c r="LG2" s="99"/>
      <c r="LH2" s="99"/>
      <c r="LI2" s="99"/>
      <c r="LJ2" s="99"/>
      <c r="LK2" s="99"/>
      <c r="LL2" s="99"/>
      <c r="LM2" s="123"/>
      <c r="LN2" s="99" t="str">
        <f ca="1">IF(CELL("contenu",INDIRECT(ADDRESS(LN1,1,1,1,CELL("contenu",$B$2))))="","----",CELL("contenu",INDIRECT(ADDRESS(LN1,1,1,1,CELL("contenu",$B$2)))))</f>
        <v>PAUL Victoire</v>
      </c>
      <c r="LO2" s="99"/>
      <c r="LP2" s="99"/>
      <c r="LQ2" s="99"/>
      <c r="LR2" s="99"/>
      <c r="LS2" s="99"/>
      <c r="LT2" s="99"/>
      <c r="LU2" s="99"/>
      <c r="LV2" s="99"/>
      <c r="LW2" s="99"/>
      <c r="LX2" s="99"/>
      <c r="LY2" s="99"/>
      <c r="LZ2" s="99"/>
      <c r="MA2" s="99"/>
      <c r="MB2" s="99"/>
      <c r="MC2" s="99"/>
      <c r="MD2" s="123"/>
      <c r="ME2" s="99" t="str">
        <f ca="1">IF(CELL("contenu",INDIRECT(ADDRESS(ME1,1,1,1,CELL("contenu",$B$2))))="","----",CELL("contenu",INDIRECT(ADDRESS(ME1,1,1,1,CELL("contenu",$B$2)))))</f>
        <v>PERICOU--RAMEAU Lou-Ann</v>
      </c>
      <c r="MF2" s="99"/>
      <c r="MG2" s="99"/>
      <c r="MH2" s="99"/>
      <c r="MI2" s="99"/>
      <c r="MJ2" s="99"/>
      <c r="MK2" s="99"/>
      <c r="ML2" s="99"/>
      <c r="MM2" s="99"/>
      <c r="MN2" s="99"/>
      <c r="MO2" s="99"/>
      <c r="MP2" s="99"/>
      <c r="MQ2" s="99"/>
      <c r="MR2" s="99"/>
      <c r="MS2" s="99"/>
      <c r="MT2" s="99"/>
      <c r="MU2" s="123"/>
      <c r="MV2" s="99" t="str">
        <f ca="1">IF(CELL("contenu",INDIRECT(ADDRESS(MV1,1,1,1,CELL("contenu",$B$2))))="","----",CELL("contenu",INDIRECT(ADDRESS(MV1,1,1,1,CELL("contenu",$B$2)))))</f>
        <v>PINON Come</v>
      </c>
      <c r="MW2" s="99"/>
      <c r="MX2" s="99"/>
      <c r="MY2" s="99"/>
      <c r="MZ2" s="99"/>
      <c r="NA2" s="99"/>
      <c r="NB2" s="99"/>
      <c r="NC2" s="99"/>
      <c r="ND2" s="99"/>
      <c r="NE2" s="99"/>
      <c r="NF2" s="99"/>
      <c r="NG2" s="99"/>
      <c r="NH2" s="99"/>
      <c r="NI2" s="99"/>
      <c r="NJ2" s="99"/>
      <c r="NK2" s="99"/>
      <c r="NL2" s="123"/>
      <c r="NM2" s="99" t="str">
        <f ca="1">IF(CELL("contenu",INDIRECT(ADDRESS(NM1,1,1,1,CELL("contenu",$B$2))))="","----",CELL("contenu",INDIRECT(ADDRESS(NM1,1,1,1,CELL("contenu",$B$2)))))</f>
        <v>POTEL Jeanne</v>
      </c>
      <c r="NN2" s="99"/>
      <c r="NO2" s="99"/>
      <c r="NP2" s="99"/>
      <c r="NQ2" s="99"/>
      <c r="NR2" s="99"/>
      <c r="NS2" s="99"/>
      <c r="NT2" s="99"/>
      <c r="NU2" s="99"/>
      <c r="NV2" s="99"/>
      <c r="NW2" s="99"/>
      <c r="NX2" s="99"/>
      <c r="NY2" s="99"/>
      <c r="NZ2" s="99"/>
      <c r="OA2" s="99"/>
      <c r="OB2" s="99"/>
      <c r="OC2" s="123"/>
      <c r="OD2" s="99" t="str">
        <f ca="1">IF(CELL("contenu",INDIRECT(ADDRESS(OD1,1,1,1,CELL("contenu",$B$2))))="","----",CELL("contenu",INDIRECT(ADDRESS(OD1,1,1,1,CELL("contenu",$B$2)))))</f>
        <v>PRIN Jeanne-Eve</v>
      </c>
      <c r="OE2" s="99"/>
      <c r="OF2" s="99"/>
      <c r="OG2" s="99"/>
      <c r="OH2" s="99"/>
      <c r="OI2" s="99"/>
      <c r="OJ2" s="99"/>
      <c r="OK2" s="99"/>
      <c r="OL2" s="99"/>
      <c r="OM2" s="99"/>
      <c r="ON2" s="99"/>
      <c r="OO2" s="99"/>
      <c r="OP2" s="99"/>
      <c r="OQ2" s="99"/>
      <c r="OR2" s="99"/>
      <c r="OS2" s="99"/>
      <c r="OT2" s="123"/>
      <c r="OU2" s="99" t="str">
        <f ca="1">IF(CELL("contenu",INDIRECT(ADDRESS(OU1,1,1,1,CELL("contenu",$B$2))))="","----",CELL("contenu",INDIRECT(ADDRESS(OU1,1,1,1,CELL("contenu",$B$2)))))</f>
        <v>RIFFAUD Jules</v>
      </c>
      <c r="OV2" s="99"/>
      <c r="OW2" s="99"/>
      <c r="OX2" s="99"/>
      <c r="OY2" s="99"/>
      <c r="OZ2" s="99"/>
      <c r="PA2" s="99"/>
      <c r="PB2" s="99"/>
      <c r="PC2" s="99"/>
      <c r="PD2" s="99"/>
      <c r="PE2" s="99"/>
      <c r="PF2" s="99"/>
      <c r="PG2" s="99"/>
      <c r="PH2" s="99"/>
      <c r="PI2" s="99"/>
      <c r="PJ2" s="99"/>
      <c r="PK2" s="123"/>
      <c r="PL2" s="99" t="str">
        <f ca="1">IF(CELL("contenu",INDIRECT(ADDRESS(PL1,1,1,1,CELL("contenu",$B$2))))="","----",CELL("contenu",INDIRECT(ADDRESS(PL1,1,1,1,CELL("contenu",$B$2)))))</f>
        <v>ROULLIER Josephine</v>
      </c>
      <c r="PM2" s="99"/>
      <c r="PN2" s="99"/>
      <c r="PO2" s="99"/>
      <c r="PP2" s="99"/>
      <c r="PQ2" s="99"/>
      <c r="PR2" s="99"/>
      <c r="PS2" s="99"/>
      <c r="PT2" s="99"/>
      <c r="PU2" s="99"/>
      <c r="PV2" s="99"/>
      <c r="PW2" s="99"/>
      <c r="PX2" s="99"/>
      <c r="PY2" s="99"/>
      <c r="PZ2" s="99"/>
      <c r="QA2" s="99"/>
      <c r="QB2" s="123"/>
      <c r="QC2" s="99" t="str">
        <f ca="1">IF(CELL("contenu",INDIRECT(ADDRESS(QC1,1,1,1,CELL("contenu",$B$2))))="","----",CELL("contenu",INDIRECT(ADDRESS(QC1,1,1,1,CELL("contenu",$B$2)))))</f>
        <v>SECHET Foucauld</v>
      </c>
      <c r="QD2" s="99"/>
      <c r="QE2" s="99"/>
      <c r="QF2" s="99"/>
      <c r="QG2" s="99"/>
      <c r="QH2" s="99"/>
      <c r="QI2" s="99"/>
      <c r="QJ2" s="99"/>
      <c r="QK2" s="99"/>
      <c r="QL2" s="99"/>
      <c r="QM2" s="99"/>
      <c r="QN2" s="99"/>
      <c r="QO2" s="99"/>
      <c r="QP2" s="99"/>
      <c r="QQ2" s="99"/>
      <c r="QR2" s="99"/>
      <c r="QS2" s="123"/>
      <c r="QT2" s="99">
        <f ca="1">IF(CELL("contenu",INDIRECT(ADDRESS(QT1,1,1,1,CELL("contenu",$B$2))))="","----",CELL("contenu",INDIRECT(ADDRESS(QT1,1,1,1,CELL("contenu",$B$2)))))</f>
        <v>0</v>
      </c>
      <c r="QU2" s="99"/>
      <c r="QV2" s="99"/>
      <c r="QW2" s="99"/>
      <c r="QX2" s="99"/>
      <c r="QY2" s="99"/>
      <c r="QZ2" s="99"/>
      <c r="RA2" s="99"/>
      <c r="RB2" s="99"/>
      <c r="RC2" s="99"/>
      <c r="RD2" s="99"/>
      <c r="RE2" s="99"/>
      <c r="RF2" s="99"/>
      <c r="RG2" s="99"/>
      <c r="RH2" s="99"/>
      <c r="RI2" s="99"/>
      <c r="RJ2" s="123"/>
      <c r="RK2" s="99">
        <f ca="1">IF(CELL("contenu",INDIRECT(ADDRESS(RK1,1,1,1,CELL("contenu",$B$2))))="","----",CELL("contenu",INDIRECT(ADDRESS(RK1,1,1,1,CELL("contenu",$B$2)))))</f>
        <v>0</v>
      </c>
      <c r="RL2" s="99"/>
      <c r="RM2" s="99"/>
      <c r="RN2" s="99"/>
      <c r="RO2" s="99"/>
      <c r="RP2" s="99"/>
      <c r="RQ2" s="99"/>
      <c r="RR2" s="99"/>
      <c r="RS2" s="99"/>
      <c r="RT2" s="99"/>
      <c r="RU2" s="99"/>
      <c r="RV2" s="99"/>
      <c r="RW2" s="99"/>
      <c r="RX2" s="99"/>
      <c r="RY2" s="99"/>
      <c r="RZ2" s="99"/>
      <c r="SA2" s="123"/>
      <c r="SB2" s="99">
        <f ca="1">IF(CELL("contenu",INDIRECT(ADDRESS(SB1,1,1,1,CELL("contenu",$B$2))))="","----",CELL("contenu",INDIRECT(ADDRESS(SB1,1,1,1,CELL("contenu",$B$2)))))</f>
        <v>0</v>
      </c>
      <c r="SC2" s="99"/>
      <c r="SD2" s="99"/>
      <c r="SE2" s="99"/>
      <c r="SF2" s="99"/>
      <c r="SG2" s="99"/>
      <c r="SH2" s="99"/>
      <c r="SI2" s="99"/>
      <c r="SJ2" s="99"/>
      <c r="SK2" s="99"/>
      <c r="SL2" s="99"/>
      <c r="SM2" s="99"/>
      <c r="SN2" s="99"/>
      <c r="SO2" s="99"/>
      <c r="SP2" s="99"/>
      <c r="SQ2" s="99"/>
      <c r="SR2" s="123"/>
    </row>
    <row r="3" spans="1:512" ht="60" customHeight="1" thickBot="1" x14ac:dyDescent="0.3">
      <c r="A3" s="93"/>
      <c r="B3" s="94" t="s">
        <v>31</v>
      </c>
      <c r="C3" s="149" t="s">
        <v>208</v>
      </c>
      <c r="D3" s="150" t="s">
        <v>209</v>
      </c>
      <c r="E3" s="151"/>
      <c r="F3" s="104" t="s">
        <v>7</v>
      </c>
      <c r="G3" s="105"/>
      <c r="H3" s="73"/>
      <c r="I3" s="75"/>
      <c r="J3" s="74"/>
      <c r="K3" s="119" t="s">
        <v>8</v>
      </c>
      <c r="L3" s="120"/>
      <c r="M3" s="73"/>
      <c r="N3" s="75"/>
      <c r="O3" s="74"/>
      <c r="P3" s="124" t="s">
        <v>9</v>
      </c>
      <c r="Q3" s="125"/>
      <c r="R3" s="126" t="s">
        <v>10</v>
      </c>
      <c r="S3" s="127"/>
      <c r="T3" s="193" t="str">
        <f>IF(C3="","",C3)</f>
        <v>CH1/1</v>
      </c>
      <c r="U3" s="194" t="str">
        <f>IF(D3="","",D3)</f>
        <v>eval 1</v>
      </c>
      <c r="V3" s="195" t="str">
        <f>IF(E3="","",E3)</f>
        <v/>
      </c>
      <c r="W3" s="104" t="s">
        <v>7</v>
      </c>
      <c r="X3" s="105"/>
      <c r="Y3" s="196" t="str">
        <f>IF(H3="","",H3)</f>
        <v/>
      </c>
      <c r="Z3" s="194" t="str">
        <f>IF(I3="","",I3)</f>
        <v/>
      </c>
      <c r="AA3" s="197" t="str">
        <f>IF(J3="","",J3)</f>
        <v/>
      </c>
      <c r="AB3" s="119" t="s">
        <v>8</v>
      </c>
      <c r="AC3" s="120"/>
      <c r="AD3" s="196" t="str">
        <f>IF(M3="","",M3)</f>
        <v/>
      </c>
      <c r="AE3" s="194" t="str">
        <f>IF(N3="","",N3)</f>
        <v/>
      </c>
      <c r="AF3" s="197" t="str">
        <f>IF(O3="","",O3)</f>
        <v/>
      </c>
      <c r="AG3" s="124" t="s">
        <v>9</v>
      </c>
      <c r="AH3" s="125"/>
      <c r="AI3" s="126" t="s">
        <v>10</v>
      </c>
      <c r="AJ3" s="127"/>
      <c r="AK3" s="193" t="str">
        <f>IF(T3="","",T3)</f>
        <v>CH1/1</v>
      </c>
      <c r="AL3" s="194" t="str">
        <f>IF(U3="","",U3)</f>
        <v>eval 1</v>
      </c>
      <c r="AM3" s="195" t="str">
        <f>IF(V3="","",V3)</f>
        <v/>
      </c>
      <c r="AN3" s="104" t="s">
        <v>7</v>
      </c>
      <c r="AO3" s="105"/>
      <c r="AP3" s="196" t="str">
        <f>IF(Y3="","",Y3)</f>
        <v/>
      </c>
      <c r="AQ3" s="194" t="str">
        <f>IF(Z3="","",Z3)</f>
        <v/>
      </c>
      <c r="AR3" s="197" t="str">
        <f>IF(AA3="","",AA3)</f>
        <v/>
      </c>
      <c r="AS3" s="119" t="s">
        <v>8</v>
      </c>
      <c r="AT3" s="120"/>
      <c r="AU3" s="196" t="str">
        <f>IF(AD3="","",AD3)</f>
        <v/>
      </c>
      <c r="AV3" s="194" t="str">
        <f>IF(AE3="","",AE3)</f>
        <v/>
      </c>
      <c r="AW3" s="197" t="str">
        <f>IF(AF3="","",AF3)</f>
        <v/>
      </c>
      <c r="AX3" s="124" t="s">
        <v>9</v>
      </c>
      <c r="AY3" s="125"/>
      <c r="AZ3" s="126" t="s">
        <v>10</v>
      </c>
      <c r="BA3" s="127"/>
      <c r="BB3" s="193" t="str">
        <f>IF(AK3="","",AK3)</f>
        <v>CH1/1</v>
      </c>
      <c r="BC3" s="194" t="str">
        <f>IF(AL3="","",AL3)</f>
        <v>eval 1</v>
      </c>
      <c r="BD3" s="195" t="str">
        <f>IF(AM3="","",AM3)</f>
        <v/>
      </c>
      <c r="BE3" s="104" t="s">
        <v>7</v>
      </c>
      <c r="BF3" s="105"/>
      <c r="BG3" s="196" t="str">
        <f>IF(AP3="","",AP3)</f>
        <v/>
      </c>
      <c r="BH3" s="194" t="str">
        <f>IF(AQ3="","",AQ3)</f>
        <v/>
      </c>
      <c r="BI3" s="197" t="str">
        <f>IF(AR3="","",AR3)</f>
        <v/>
      </c>
      <c r="BJ3" s="119" t="s">
        <v>8</v>
      </c>
      <c r="BK3" s="120"/>
      <c r="BL3" s="196" t="str">
        <f>IF(AU3="","",AU3)</f>
        <v/>
      </c>
      <c r="BM3" s="194" t="str">
        <f>IF(AV3="","",AV3)</f>
        <v/>
      </c>
      <c r="BN3" s="197" t="str">
        <f>IF(AW3="","",AW3)</f>
        <v/>
      </c>
      <c r="BO3" s="124" t="s">
        <v>9</v>
      </c>
      <c r="BP3" s="125"/>
      <c r="BQ3" s="126" t="s">
        <v>10</v>
      </c>
      <c r="BR3" s="127"/>
      <c r="BS3" s="193" t="str">
        <f>IF(BB3="","",BB3)</f>
        <v>CH1/1</v>
      </c>
      <c r="BT3" s="194" t="str">
        <f>IF(BC3="","",BC3)</f>
        <v>eval 1</v>
      </c>
      <c r="BU3" s="195" t="str">
        <f>IF(BD3="","",BD3)</f>
        <v/>
      </c>
      <c r="BV3" s="104" t="s">
        <v>7</v>
      </c>
      <c r="BW3" s="105"/>
      <c r="BX3" s="196" t="str">
        <f>IF(BG3="","",BG3)</f>
        <v/>
      </c>
      <c r="BY3" s="194" t="str">
        <f>IF(BH3="","",BH3)</f>
        <v/>
      </c>
      <c r="BZ3" s="197" t="str">
        <f>IF(BI3="","",BI3)</f>
        <v/>
      </c>
      <c r="CA3" s="119" t="s">
        <v>8</v>
      </c>
      <c r="CB3" s="120"/>
      <c r="CC3" s="196" t="str">
        <f>IF(BL3="","",BL3)</f>
        <v/>
      </c>
      <c r="CD3" s="194" t="str">
        <f>IF(BM3="","",BM3)</f>
        <v/>
      </c>
      <c r="CE3" s="197" t="str">
        <f>IF(BN3="","",BN3)</f>
        <v/>
      </c>
      <c r="CF3" s="124" t="s">
        <v>9</v>
      </c>
      <c r="CG3" s="125"/>
      <c r="CH3" s="126" t="s">
        <v>10</v>
      </c>
      <c r="CI3" s="127"/>
      <c r="CJ3" s="193" t="str">
        <f>IF(BS3="","",BS3)</f>
        <v>CH1/1</v>
      </c>
      <c r="CK3" s="194" t="str">
        <f>IF(BT3="","",BT3)</f>
        <v>eval 1</v>
      </c>
      <c r="CL3" s="195" t="str">
        <f>IF(BU3="","",BU3)</f>
        <v/>
      </c>
      <c r="CM3" s="104" t="s">
        <v>7</v>
      </c>
      <c r="CN3" s="105"/>
      <c r="CO3" s="196" t="str">
        <f>IF(BX3="","",BX3)</f>
        <v/>
      </c>
      <c r="CP3" s="194" t="str">
        <f>IF(BY3="","",BY3)</f>
        <v/>
      </c>
      <c r="CQ3" s="197" t="str">
        <f>IF(BZ3="","",BZ3)</f>
        <v/>
      </c>
      <c r="CR3" s="119" t="s">
        <v>8</v>
      </c>
      <c r="CS3" s="120"/>
      <c r="CT3" s="196" t="str">
        <f>IF(CC3="","",CC3)</f>
        <v/>
      </c>
      <c r="CU3" s="194" t="str">
        <f>IF(CD3="","",CD3)</f>
        <v/>
      </c>
      <c r="CV3" s="197" t="str">
        <f>IF(CE3="","",CE3)</f>
        <v/>
      </c>
      <c r="CW3" s="124" t="s">
        <v>9</v>
      </c>
      <c r="CX3" s="125"/>
      <c r="CY3" s="126" t="s">
        <v>10</v>
      </c>
      <c r="CZ3" s="127"/>
      <c r="DA3" s="193" t="str">
        <f>IF(CJ3="","",CJ3)</f>
        <v>CH1/1</v>
      </c>
      <c r="DB3" s="194" t="str">
        <f>IF(CK3="","",CK3)</f>
        <v>eval 1</v>
      </c>
      <c r="DC3" s="195" t="str">
        <f>IF(CL3="","",CL3)</f>
        <v/>
      </c>
      <c r="DD3" s="104" t="s">
        <v>7</v>
      </c>
      <c r="DE3" s="105"/>
      <c r="DF3" s="196" t="str">
        <f>IF(CO3="","",CO3)</f>
        <v/>
      </c>
      <c r="DG3" s="194" t="str">
        <f>IF(CP3="","",CP3)</f>
        <v/>
      </c>
      <c r="DH3" s="197" t="str">
        <f>IF(CQ3="","",CQ3)</f>
        <v/>
      </c>
      <c r="DI3" s="119" t="s">
        <v>8</v>
      </c>
      <c r="DJ3" s="120"/>
      <c r="DK3" s="196" t="str">
        <f>IF(CT3="","",CT3)</f>
        <v/>
      </c>
      <c r="DL3" s="194" t="str">
        <f>IF(CU3="","",CU3)</f>
        <v/>
      </c>
      <c r="DM3" s="197" t="str">
        <f>IF(CV3="","",CV3)</f>
        <v/>
      </c>
      <c r="DN3" s="124" t="s">
        <v>9</v>
      </c>
      <c r="DO3" s="125"/>
      <c r="DP3" s="126" t="s">
        <v>10</v>
      </c>
      <c r="DQ3" s="127"/>
      <c r="DR3" s="193" t="str">
        <f>IF(DA3="","",DA3)</f>
        <v>CH1/1</v>
      </c>
      <c r="DS3" s="194" t="str">
        <f>IF(DB3="","",DB3)</f>
        <v>eval 1</v>
      </c>
      <c r="DT3" s="195" t="str">
        <f>IF(DC3="","",DC3)</f>
        <v/>
      </c>
      <c r="DU3" s="104" t="s">
        <v>7</v>
      </c>
      <c r="DV3" s="105"/>
      <c r="DW3" s="196" t="str">
        <f>IF(DF3="","",DF3)</f>
        <v/>
      </c>
      <c r="DX3" s="194" t="str">
        <f>IF(DG3="","",DG3)</f>
        <v/>
      </c>
      <c r="DY3" s="197" t="str">
        <f>IF(DH3="","",DH3)</f>
        <v/>
      </c>
      <c r="DZ3" s="119" t="s">
        <v>8</v>
      </c>
      <c r="EA3" s="120"/>
      <c r="EB3" s="196" t="str">
        <f>IF(DK3="","",DK3)</f>
        <v/>
      </c>
      <c r="EC3" s="194" t="str">
        <f>IF(DL3="","",DL3)</f>
        <v/>
      </c>
      <c r="ED3" s="197" t="str">
        <f>IF(DM3="","",DM3)</f>
        <v/>
      </c>
      <c r="EE3" s="124" t="s">
        <v>9</v>
      </c>
      <c r="EF3" s="125"/>
      <c r="EG3" s="126" t="s">
        <v>10</v>
      </c>
      <c r="EH3" s="127"/>
      <c r="EI3" s="193" t="str">
        <f>IF(DR3="","",DR3)</f>
        <v>CH1/1</v>
      </c>
      <c r="EJ3" s="194" t="str">
        <f>IF(DS3="","",DS3)</f>
        <v>eval 1</v>
      </c>
      <c r="EK3" s="195" t="str">
        <f>IF(DT3="","",DT3)</f>
        <v/>
      </c>
      <c r="EL3" s="104" t="s">
        <v>7</v>
      </c>
      <c r="EM3" s="105"/>
      <c r="EN3" s="196" t="str">
        <f>IF(DW3="","",DW3)</f>
        <v/>
      </c>
      <c r="EO3" s="194" t="str">
        <f>IF(DX3="","",DX3)</f>
        <v/>
      </c>
      <c r="EP3" s="197" t="str">
        <f>IF(DY3="","",DY3)</f>
        <v/>
      </c>
      <c r="EQ3" s="119" t="s">
        <v>8</v>
      </c>
      <c r="ER3" s="120"/>
      <c r="ES3" s="196" t="str">
        <f>IF(EB3="","",EB3)</f>
        <v/>
      </c>
      <c r="ET3" s="194" t="str">
        <f>IF(EC3="","",EC3)</f>
        <v/>
      </c>
      <c r="EU3" s="197" t="str">
        <f>IF(ED3="","",ED3)</f>
        <v/>
      </c>
      <c r="EV3" s="124" t="s">
        <v>9</v>
      </c>
      <c r="EW3" s="125"/>
      <c r="EX3" s="126" t="s">
        <v>10</v>
      </c>
      <c r="EY3" s="127"/>
      <c r="EZ3" s="193" t="str">
        <f>IF(EI3="","",EI3)</f>
        <v>CH1/1</v>
      </c>
      <c r="FA3" s="194" t="str">
        <f>IF(EJ3="","",EJ3)</f>
        <v>eval 1</v>
      </c>
      <c r="FB3" s="195" t="str">
        <f>IF(EK3="","",EK3)</f>
        <v/>
      </c>
      <c r="FC3" s="104" t="s">
        <v>7</v>
      </c>
      <c r="FD3" s="105"/>
      <c r="FE3" s="196" t="str">
        <f>IF(EN3="","",EN3)</f>
        <v/>
      </c>
      <c r="FF3" s="194" t="str">
        <f>IF(EO3="","",EO3)</f>
        <v/>
      </c>
      <c r="FG3" s="197" t="str">
        <f>IF(EP3="","",EP3)</f>
        <v/>
      </c>
      <c r="FH3" s="119" t="s">
        <v>8</v>
      </c>
      <c r="FI3" s="120"/>
      <c r="FJ3" s="196" t="str">
        <f>IF(ES3="","",ES3)</f>
        <v/>
      </c>
      <c r="FK3" s="194" t="str">
        <f>IF(ET3="","",ET3)</f>
        <v/>
      </c>
      <c r="FL3" s="197" t="str">
        <f>IF(EU3="","",EU3)</f>
        <v/>
      </c>
      <c r="FM3" s="124" t="s">
        <v>9</v>
      </c>
      <c r="FN3" s="125"/>
      <c r="FO3" s="126" t="s">
        <v>10</v>
      </c>
      <c r="FP3" s="127"/>
      <c r="FQ3" s="193" t="str">
        <f>IF(EZ3="","",EZ3)</f>
        <v>CH1/1</v>
      </c>
      <c r="FR3" s="194" t="str">
        <f>IF(FA3="","",FA3)</f>
        <v>eval 1</v>
      </c>
      <c r="FS3" s="195" t="str">
        <f>IF(FB3="","",FB3)</f>
        <v/>
      </c>
      <c r="FT3" s="104" t="s">
        <v>7</v>
      </c>
      <c r="FU3" s="105"/>
      <c r="FV3" s="196" t="str">
        <f>IF(FE3="","",FE3)</f>
        <v/>
      </c>
      <c r="FW3" s="194" t="str">
        <f>IF(FF3="","",FF3)</f>
        <v/>
      </c>
      <c r="FX3" s="197" t="str">
        <f>IF(FG3="","",FG3)</f>
        <v/>
      </c>
      <c r="FY3" s="119" t="s">
        <v>8</v>
      </c>
      <c r="FZ3" s="120"/>
      <c r="GA3" s="196" t="str">
        <f>IF(FJ3="","",FJ3)</f>
        <v/>
      </c>
      <c r="GB3" s="194" t="str">
        <f>IF(FK3="","",FK3)</f>
        <v/>
      </c>
      <c r="GC3" s="197" t="str">
        <f>IF(FL3="","",FL3)</f>
        <v/>
      </c>
      <c r="GD3" s="124" t="s">
        <v>9</v>
      </c>
      <c r="GE3" s="125"/>
      <c r="GF3" s="126" t="s">
        <v>10</v>
      </c>
      <c r="GG3" s="127"/>
      <c r="GH3" s="193" t="str">
        <f>IF(FQ3="","",FQ3)</f>
        <v>CH1/1</v>
      </c>
      <c r="GI3" s="194" t="str">
        <f>IF(FR3="","",FR3)</f>
        <v>eval 1</v>
      </c>
      <c r="GJ3" s="195" t="str">
        <f>IF(FS3="","",FS3)</f>
        <v/>
      </c>
      <c r="GK3" s="104" t="s">
        <v>7</v>
      </c>
      <c r="GL3" s="105"/>
      <c r="GM3" s="196" t="str">
        <f>IF(FV3="","",FV3)</f>
        <v/>
      </c>
      <c r="GN3" s="194" t="str">
        <f>IF(FW3="","",FW3)</f>
        <v/>
      </c>
      <c r="GO3" s="197" t="str">
        <f>IF(FX3="","",FX3)</f>
        <v/>
      </c>
      <c r="GP3" s="119" t="s">
        <v>8</v>
      </c>
      <c r="GQ3" s="120"/>
      <c r="GR3" s="196" t="str">
        <f>IF(GA3="","",GA3)</f>
        <v/>
      </c>
      <c r="GS3" s="194" t="str">
        <f>IF(GB3="","",GB3)</f>
        <v/>
      </c>
      <c r="GT3" s="197" t="str">
        <f>IF(GC3="","",GC3)</f>
        <v/>
      </c>
      <c r="GU3" s="124" t="s">
        <v>9</v>
      </c>
      <c r="GV3" s="125"/>
      <c r="GW3" s="126" t="s">
        <v>10</v>
      </c>
      <c r="GX3" s="127"/>
      <c r="GY3" s="193" t="str">
        <f>IF(GH3="","",GH3)</f>
        <v>CH1/1</v>
      </c>
      <c r="GZ3" s="194" t="str">
        <f>IF(GI3="","",GI3)</f>
        <v>eval 1</v>
      </c>
      <c r="HA3" s="195" t="str">
        <f>IF(GJ3="","",GJ3)</f>
        <v/>
      </c>
      <c r="HB3" s="104" t="s">
        <v>7</v>
      </c>
      <c r="HC3" s="105"/>
      <c r="HD3" s="196" t="str">
        <f>IF(GM3="","",GM3)</f>
        <v/>
      </c>
      <c r="HE3" s="194" t="str">
        <f>IF(GN3="","",GN3)</f>
        <v/>
      </c>
      <c r="HF3" s="197" t="str">
        <f>IF(GO3="","",GO3)</f>
        <v/>
      </c>
      <c r="HG3" s="119" t="s">
        <v>8</v>
      </c>
      <c r="HH3" s="120"/>
      <c r="HI3" s="196" t="str">
        <f>IF(GR3="","",GR3)</f>
        <v/>
      </c>
      <c r="HJ3" s="194" t="str">
        <f>IF(GS3="","",GS3)</f>
        <v/>
      </c>
      <c r="HK3" s="197" t="str">
        <f>IF(GT3="","",GT3)</f>
        <v/>
      </c>
      <c r="HL3" s="124" t="s">
        <v>9</v>
      </c>
      <c r="HM3" s="125"/>
      <c r="HN3" s="126" t="s">
        <v>10</v>
      </c>
      <c r="HO3" s="127"/>
      <c r="HP3" s="193" t="str">
        <f>IF(GY3="","",GY3)</f>
        <v>CH1/1</v>
      </c>
      <c r="HQ3" s="194" t="str">
        <f>IF(GZ3="","",GZ3)</f>
        <v>eval 1</v>
      </c>
      <c r="HR3" s="195" t="str">
        <f>IF(HA3="","",HA3)</f>
        <v/>
      </c>
      <c r="HS3" s="104" t="s">
        <v>7</v>
      </c>
      <c r="HT3" s="105"/>
      <c r="HU3" s="196" t="str">
        <f>IF(HD3="","",HD3)</f>
        <v/>
      </c>
      <c r="HV3" s="194" t="str">
        <f>IF(HE3="","",HE3)</f>
        <v/>
      </c>
      <c r="HW3" s="197" t="str">
        <f>IF(HF3="","",HF3)</f>
        <v/>
      </c>
      <c r="HX3" s="119" t="s">
        <v>8</v>
      </c>
      <c r="HY3" s="120"/>
      <c r="HZ3" s="196" t="str">
        <f>IF(HI3="","",HI3)</f>
        <v/>
      </c>
      <c r="IA3" s="194" t="str">
        <f>IF(HJ3="","",HJ3)</f>
        <v/>
      </c>
      <c r="IB3" s="197" t="str">
        <f>IF(HK3="","",HK3)</f>
        <v/>
      </c>
      <c r="IC3" s="124" t="s">
        <v>9</v>
      </c>
      <c r="ID3" s="125"/>
      <c r="IE3" s="126" t="s">
        <v>10</v>
      </c>
      <c r="IF3" s="127"/>
      <c r="IG3" s="193" t="str">
        <f>IF(HP3="","",HP3)</f>
        <v>CH1/1</v>
      </c>
      <c r="IH3" s="194" t="str">
        <f>IF(HQ3="","",HQ3)</f>
        <v>eval 1</v>
      </c>
      <c r="II3" s="195" t="str">
        <f>IF(HR3="","",HR3)</f>
        <v/>
      </c>
      <c r="IJ3" s="104" t="s">
        <v>7</v>
      </c>
      <c r="IK3" s="105"/>
      <c r="IL3" s="196" t="str">
        <f>IF(HU3="","",HU3)</f>
        <v/>
      </c>
      <c r="IM3" s="194" t="str">
        <f>IF(HV3="","",HV3)</f>
        <v/>
      </c>
      <c r="IN3" s="197" t="str">
        <f>IF(HW3="","",HW3)</f>
        <v/>
      </c>
      <c r="IO3" s="119" t="s">
        <v>8</v>
      </c>
      <c r="IP3" s="120"/>
      <c r="IQ3" s="196" t="str">
        <f>IF(HZ3="","",HZ3)</f>
        <v/>
      </c>
      <c r="IR3" s="194" t="str">
        <f>IF(IA3="","",IA3)</f>
        <v/>
      </c>
      <c r="IS3" s="197" t="str">
        <f>IF(IB3="","",IB3)</f>
        <v/>
      </c>
      <c r="IT3" s="124" t="s">
        <v>9</v>
      </c>
      <c r="IU3" s="125"/>
      <c r="IV3" s="126" t="s">
        <v>10</v>
      </c>
      <c r="IW3" s="127"/>
      <c r="IX3" s="193" t="str">
        <f>IF(IG3="","",IG3)</f>
        <v>CH1/1</v>
      </c>
      <c r="IY3" s="194" t="str">
        <f>IF(IH3="","",IH3)</f>
        <v>eval 1</v>
      </c>
      <c r="IZ3" s="195" t="str">
        <f>IF(II3="","",II3)</f>
        <v/>
      </c>
      <c r="JA3" s="104" t="s">
        <v>7</v>
      </c>
      <c r="JB3" s="105"/>
      <c r="JC3" s="196" t="str">
        <f>IF(IL3="","",IL3)</f>
        <v/>
      </c>
      <c r="JD3" s="194" t="str">
        <f>IF(IM3="","",IM3)</f>
        <v/>
      </c>
      <c r="JE3" s="197" t="str">
        <f>IF(IN3="","",IN3)</f>
        <v/>
      </c>
      <c r="JF3" s="119" t="s">
        <v>8</v>
      </c>
      <c r="JG3" s="120"/>
      <c r="JH3" s="196" t="str">
        <f>IF(IQ3="","",IQ3)</f>
        <v/>
      </c>
      <c r="JI3" s="194" t="str">
        <f>IF(IR3="","",IR3)</f>
        <v/>
      </c>
      <c r="JJ3" s="197" t="str">
        <f>IF(IS3="","",IS3)</f>
        <v/>
      </c>
      <c r="JK3" s="124" t="s">
        <v>9</v>
      </c>
      <c r="JL3" s="125"/>
      <c r="JM3" s="126" t="s">
        <v>10</v>
      </c>
      <c r="JN3" s="127"/>
      <c r="JO3" s="193" t="str">
        <f>IF(IX3="","",IX3)</f>
        <v>CH1/1</v>
      </c>
      <c r="JP3" s="194" t="str">
        <f>IF(IY3="","",IY3)</f>
        <v>eval 1</v>
      </c>
      <c r="JQ3" s="195" t="str">
        <f>IF(IZ3="","",IZ3)</f>
        <v/>
      </c>
      <c r="JR3" s="104" t="s">
        <v>7</v>
      </c>
      <c r="JS3" s="105"/>
      <c r="JT3" s="196" t="str">
        <f>IF(JC3="","",JC3)</f>
        <v/>
      </c>
      <c r="JU3" s="194" t="str">
        <f>IF(JD3="","",JD3)</f>
        <v/>
      </c>
      <c r="JV3" s="197" t="str">
        <f>IF(JE3="","",JE3)</f>
        <v/>
      </c>
      <c r="JW3" s="119" t="s">
        <v>8</v>
      </c>
      <c r="JX3" s="120"/>
      <c r="JY3" s="196" t="str">
        <f>IF(JH3="","",JH3)</f>
        <v/>
      </c>
      <c r="JZ3" s="194" t="str">
        <f>IF(JI3="","",JI3)</f>
        <v/>
      </c>
      <c r="KA3" s="197" t="str">
        <f>IF(JJ3="","",JJ3)</f>
        <v/>
      </c>
      <c r="KB3" s="124" t="s">
        <v>9</v>
      </c>
      <c r="KC3" s="125"/>
      <c r="KD3" s="126" t="s">
        <v>10</v>
      </c>
      <c r="KE3" s="127"/>
      <c r="KF3" s="193" t="str">
        <f>IF(JO3="","",JO3)</f>
        <v>CH1/1</v>
      </c>
      <c r="KG3" s="194" t="str">
        <f>IF(JP3="","",JP3)</f>
        <v>eval 1</v>
      </c>
      <c r="KH3" s="195" t="str">
        <f>IF(JQ3="","",JQ3)</f>
        <v/>
      </c>
      <c r="KI3" s="104" t="s">
        <v>7</v>
      </c>
      <c r="KJ3" s="105"/>
      <c r="KK3" s="196" t="str">
        <f>IF(JT3="","",JT3)</f>
        <v/>
      </c>
      <c r="KL3" s="194" t="str">
        <f>IF(JU3="","",JU3)</f>
        <v/>
      </c>
      <c r="KM3" s="197" t="str">
        <f>IF(JV3="","",JV3)</f>
        <v/>
      </c>
      <c r="KN3" s="119" t="s">
        <v>8</v>
      </c>
      <c r="KO3" s="120"/>
      <c r="KP3" s="196" t="str">
        <f>IF(JY3="","",JY3)</f>
        <v/>
      </c>
      <c r="KQ3" s="194" t="str">
        <f>IF(JZ3="","",JZ3)</f>
        <v/>
      </c>
      <c r="KR3" s="197" t="str">
        <f>IF(KA3="","",KA3)</f>
        <v/>
      </c>
      <c r="KS3" s="124" t="s">
        <v>9</v>
      </c>
      <c r="KT3" s="125"/>
      <c r="KU3" s="126" t="s">
        <v>10</v>
      </c>
      <c r="KV3" s="127"/>
      <c r="KW3" s="193" t="str">
        <f>IF(KF3="","",KF3)</f>
        <v>CH1/1</v>
      </c>
      <c r="KX3" s="194" t="str">
        <f>IF(KG3="","",KG3)</f>
        <v>eval 1</v>
      </c>
      <c r="KY3" s="195" t="str">
        <f>IF(KH3="","",KH3)</f>
        <v/>
      </c>
      <c r="KZ3" s="104" t="s">
        <v>7</v>
      </c>
      <c r="LA3" s="105"/>
      <c r="LB3" s="196" t="str">
        <f>IF(KK3="","",KK3)</f>
        <v/>
      </c>
      <c r="LC3" s="194" t="str">
        <f>IF(KL3="","",KL3)</f>
        <v/>
      </c>
      <c r="LD3" s="197" t="str">
        <f>IF(KM3="","",KM3)</f>
        <v/>
      </c>
      <c r="LE3" s="119" t="s">
        <v>8</v>
      </c>
      <c r="LF3" s="120"/>
      <c r="LG3" s="196" t="str">
        <f>IF(KP3="","",KP3)</f>
        <v/>
      </c>
      <c r="LH3" s="194" t="str">
        <f>IF(KQ3="","",KQ3)</f>
        <v/>
      </c>
      <c r="LI3" s="197" t="str">
        <f>IF(KR3="","",KR3)</f>
        <v/>
      </c>
      <c r="LJ3" s="124" t="s">
        <v>9</v>
      </c>
      <c r="LK3" s="125"/>
      <c r="LL3" s="126" t="s">
        <v>10</v>
      </c>
      <c r="LM3" s="127"/>
      <c r="LN3" s="193" t="str">
        <f>IF(KW3="","",KW3)</f>
        <v>CH1/1</v>
      </c>
      <c r="LO3" s="194" t="str">
        <f>IF(KX3="","",KX3)</f>
        <v>eval 1</v>
      </c>
      <c r="LP3" s="195" t="str">
        <f>IF(KY3="","",KY3)</f>
        <v/>
      </c>
      <c r="LQ3" s="104" t="s">
        <v>7</v>
      </c>
      <c r="LR3" s="105"/>
      <c r="LS3" s="196" t="str">
        <f>IF(LB3="","",LB3)</f>
        <v/>
      </c>
      <c r="LT3" s="194" t="str">
        <f>IF(LC3="","",LC3)</f>
        <v/>
      </c>
      <c r="LU3" s="197" t="str">
        <f>IF(LD3="","",LD3)</f>
        <v/>
      </c>
      <c r="LV3" s="119" t="s">
        <v>8</v>
      </c>
      <c r="LW3" s="120"/>
      <c r="LX3" s="196" t="str">
        <f>IF(LG3="","",LG3)</f>
        <v/>
      </c>
      <c r="LY3" s="194" t="str">
        <f>IF(LH3="","",LH3)</f>
        <v/>
      </c>
      <c r="LZ3" s="197" t="str">
        <f>IF(LI3="","",LI3)</f>
        <v/>
      </c>
      <c r="MA3" s="124" t="s">
        <v>9</v>
      </c>
      <c r="MB3" s="125"/>
      <c r="MC3" s="126" t="s">
        <v>10</v>
      </c>
      <c r="MD3" s="127"/>
      <c r="ME3" s="193" t="str">
        <f>IF(LN3="","",LN3)</f>
        <v>CH1/1</v>
      </c>
      <c r="MF3" s="194" t="str">
        <f>IF(LO3="","",LO3)</f>
        <v>eval 1</v>
      </c>
      <c r="MG3" s="195" t="str">
        <f>IF(LP3="","",LP3)</f>
        <v/>
      </c>
      <c r="MH3" s="104" t="s">
        <v>7</v>
      </c>
      <c r="MI3" s="105"/>
      <c r="MJ3" s="196" t="str">
        <f>IF(LS3="","",LS3)</f>
        <v/>
      </c>
      <c r="MK3" s="194" t="str">
        <f>IF(LT3="","",LT3)</f>
        <v/>
      </c>
      <c r="ML3" s="197" t="str">
        <f>IF(LU3="","",LU3)</f>
        <v/>
      </c>
      <c r="MM3" s="119" t="s">
        <v>8</v>
      </c>
      <c r="MN3" s="120"/>
      <c r="MO3" s="196" t="str">
        <f>IF(LX3="","",LX3)</f>
        <v/>
      </c>
      <c r="MP3" s="194" t="str">
        <f>IF(LY3="","",LY3)</f>
        <v/>
      </c>
      <c r="MQ3" s="197" t="str">
        <f>IF(LZ3="","",LZ3)</f>
        <v/>
      </c>
      <c r="MR3" s="124" t="s">
        <v>9</v>
      </c>
      <c r="MS3" s="125"/>
      <c r="MT3" s="126" t="s">
        <v>10</v>
      </c>
      <c r="MU3" s="127"/>
      <c r="MV3" s="193" t="str">
        <f>IF(ME3="","",ME3)</f>
        <v>CH1/1</v>
      </c>
      <c r="MW3" s="194" t="str">
        <f>IF(MF3="","",MF3)</f>
        <v>eval 1</v>
      </c>
      <c r="MX3" s="195" t="str">
        <f>IF(MG3="","",MG3)</f>
        <v/>
      </c>
      <c r="MY3" s="104" t="s">
        <v>7</v>
      </c>
      <c r="MZ3" s="105"/>
      <c r="NA3" s="196" t="str">
        <f>IF(MJ3="","",MJ3)</f>
        <v/>
      </c>
      <c r="NB3" s="194" t="str">
        <f>IF(MK3="","",MK3)</f>
        <v/>
      </c>
      <c r="NC3" s="197" t="str">
        <f>IF(ML3="","",ML3)</f>
        <v/>
      </c>
      <c r="ND3" s="119" t="s">
        <v>8</v>
      </c>
      <c r="NE3" s="120"/>
      <c r="NF3" s="196" t="str">
        <f>IF(MO3="","",MO3)</f>
        <v/>
      </c>
      <c r="NG3" s="194" t="str">
        <f>IF(MP3="","",MP3)</f>
        <v/>
      </c>
      <c r="NH3" s="197" t="str">
        <f>IF(MQ3="","",MQ3)</f>
        <v/>
      </c>
      <c r="NI3" s="124" t="s">
        <v>9</v>
      </c>
      <c r="NJ3" s="125"/>
      <c r="NK3" s="126" t="s">
        <v>10</v>
      </c>
      <c r="NL3" s="127"/>
      <c r="NM3" s="193" t="str">
        <f>IF(MV3="","",MV3)</f>
        <v>CH1/1</v>
      </c>
      <c r="NN3" s="194" t="str">
        <f>IF(MW3="","",MW3)</f>
        <v>eval 1</v>
      </c>
      <c r="NO3" s="195" t="str">
        <f>IF(MX3="","",MX3)</f>
        <v/>
      </c>
      <c r="NP3" s="104" t="s">
        <v>7</v>
      </c>
      <c r="NQ3" s="105"/>
      <c r="NR3" s="196" t="str">
        <f>IF(NA3="","",NA3)</f>
        <v/>
      </c>
      <c r="NS3" s="194" t="str">
        <f>IF(NB3="","",NB3)</f>
        <v/>
      </c>
      <c r="NT3" s="197" t="str">
        <f>IF(NC3="","",NC3)</f>
        <v/>
      </c>
      <c r="NU3" s="119" t="s">
        <v>8</v>
      </c>
      <c r="NV3" s="120"/>
      <c r="NW3" s="196" t="str">
        <f>IF(NF3="","",NF3)</f>
        <v/>
      </c>
      <c r="NX3" s="194" t="str">
        <f>IF(NG3="","",NG3)</f>
        <v/>
      </c>
      <c r="NY3" s="197" t="str">
        <f>IF(NH3="","",NH3)</f>
        <v/>
      </c>
      <c r="NZ3" s="124" t="s">
        <v>9</v>
      </c>
      <c r="OA3" s="125"/>
      <c r="OB3" s="126" t="s">
        <v>10</v>
      </c>
      <c r="OC3" s="127"/>
      <c r="OD3" s="193" t="str">
        <f>IF(NM3="","",NM3)</f>
        <v>CH1/1</v>
      </c>
      <c r="OE3" s="194" t="str">
        <f>IF(NN3="","",NN3)</f>
        <v>eval 1</v>
      </c>
      <c r="OF3" s="195" t="str">
        <f>IF(NO3="","",NO3)</f>
        <v/>
      </c>
      <c r="OG3" s="104" t="s">
        <v>7</v>
      </c>
      <c r="OH3" s="105"/>
      <c r="OI3" s="196" t="str">
        <f>IF(NR3="","",NR3)</f>
        <v/>
      </c>
      <c r="OJ3" s="194" t="str">
        <f>IF(NS3="","",NS3)</f>
        <v/>
      </c>
      <c r="OK3" s="197" t="str">
        <f>IF(NT3="","",NT3)</f>
        <v/>
      </c>
      <c r="OL3" s="119" t="s">
        <v>8</v>
      </c>
      <c r="OM3" s="120"/>
      <c r="ON3" s="196" t="str">
        <f>IF(NW3="","",NW3)</f>
        <v/>
      </c>
      <c r="OO3" s="194" t="str">
        <f>IF(NX3="","",NX3)</f>
        <v/>
      </c>
      <c r="OP3" s="197" t="str">
        <f>IF(NY3="","",NY3)</f>
        <v/>
      </c>
      <c r="OQ3" s="124" t="s">
        <v>9</v>
      </c>
      <c r="OR3" s="125"/>
      <c r="OS3" s="126" t="s">
        <v>10</v>
      </c>
      <c r="OT3" s="127"/>
      <c r="OU3" s="193" t="str">
        <f>IF(OD3="","",OD3)</f>
        <v>CH1/1</v>
      </c>
      <c r="OV3" s="194" t="str">
        <f>IF(OE3="","",OE3)</f>
        <v>eval 1</v>
      </c>
      <c r="OW3" s="195" t="str">
        <f>IF(OF3="","",OF3)</f>
        <v/>
      </c>
      <c r="OX3" s="104" t="s">
        <v>7</v>
      </c>
      <c r="OY3" s="105"/>
      <c r="OZ3" s="196" t="str">
        <f>IF(OI3="","",OI3)</f>
        <v/>
      </c>
      <c r="PA3" s="194" t="str">
        <f>IF(OJ3="","",OJ3)</f>
        <v/>
      </c>
      <c r="PB3" s="197" t="str">
        <f>IF(OK3="","",OK3)</f>
        <v/>
      </c>
      <c r="PC3" s="119" t="s">
        <v>8</v>
      </c>
      <c r="PD3" s="120"/>
      <c r="PE3" s="196" t="str">
        <f>IF(ON3="","",ON3)</f>
        <v/>
      </c>
      <c r="PF3" s="194" t="str">
        <f>IF(OO3="","",OO3)</f>
        <v/>
      </c>
      <c r="PG3" s="197" t="str">
        <f>IF(OP3="","",OP3)</f>
        <v/>
      </c>
      <c r="PH3" s="124" t="s">
        <v>9</v>
      </c>
      <c r="PI3" s="125"/>
      <c r="PJ3" s="126" t="s">
        <v>10</v>
      </c>
      <c r="PK3" s="127"/>
      <c r="PL3" s="193" t="str">
        <f>IF(OU3="","",OU3)</f>
        <v>CH1/1</v>
      </c>
      <c r="PM3" s="194" t="str">
        <f>IF(OV3="","",OV3)</f>
        <v>eval 1</v>
      </c>
      <c r="PN3" s="195" t="str">
        <f>IF(OW3="","",OW3)</f>
        <v/>
      </c>
      <c r="PO3" s="104" t="s">
        <v>7</v>
      </c>
      <c r="PP3" s="105"/>
      <c r="PQ3" s="196" t="str">
        <f>IF(OZ3="","",OZ3)</f>
        <v/>
      </c>
      <c r="PR3" s="194" t="str">
        <f>IF(PA3="","",PA3)</f>
        <v/>
      </c>
      <c r="PS3" s="197" t="str">
        <f>IF(PB3="","",PB3)</f>
        <v/>
      </c>
      <c r="PT3" s="119" t="s">
        <v>8</v>
      </c>
      <c r="PU3" s="120"/>
      <c r="PV3" s="196" t="str">
        <f>IF(PE3="","",PE3)</f>
        <v/>
      </c>
      <c r="PW3" s="194" t="str">
        <f>IF(PF3="","",PF3)</f>
        <v/>
      </c>
      <c r="PX3" s="197" t="str">
        <f>IF(PG3="","",PG3)</f>
        <v/>
      </c>
      <c r="PY3" s="124" t="s">
        <v>9</v>
      </c>
      <c r="PZ3" s="125"/>
      <c r="QA3" s="126" t="s">
        <v>10</v>
      </c>
      <c r="QB3" s="127"/>
      <c r="QC3" s="193" t="str">
        <f>IF(PL3="","",PL3)</f>
        <v>CH1/1</v>
      </c>
      <c r="QD3" s="194" t="str">
        <f>IF(PM3="","",PM3)</f>
        <v>eval 1</v>
      </c>
      <c r="QE3" s="195" t="str">
        <f>IF(PN3="","",PN3)</f>
        <v/>
      </c>
      <c r="QF3" s="104" t="s">
        <v>7</v>
      </c>
      <c r="QG3" s="105"/>
      <c r="QH3" s="196" t="str">
        <f>IF(PQ3="","",PQ3)</f>
        <v/>
      </c>
      <c r="QI3" s="194" t="str">
        <f>IF(PR3="","",PR3)</f>
        <v/>
      </c>
      <c r="QJ3" s="197" t="str">
        <f>IF(PS3="","",PS3)</f>
        <v/>
      </c>
      <c r="QK3" s="119" t="s">
        <v>8</v>
      </c>
      <c r="QL3" s="120"/>
      <c r="QM3" s="196" t="str">
        <f>IF(PV3="","",PV3)</f>
        <v/>
      </c>
      <c r="QN3" s="194" t="str">
        <f>IF(PW3="","",PW3)</f>
        <v/>
      </c>
      <c r="QO3" s="197" t="str">
        <f>IF(PX3="","",PX3)</f>
        <v/>
      </c>
      <c r="QP3" s="124" t="s">
        <v>9</v>
      </c>
      <c r="QQ3" s="125"/>
      <c r="QR3" s="126" t="s">
        <v>10</v>
      </c>
      <c r="QS3" s="127"/>
      <c r="QT3" s="193" t="str">
        <f>IF(QC3="","",QC3)</f>
        <v>CH1/1</v>
      </c>
      <c r="QU3" s="194" t="str">
        <f>IF(QD3="","",QD3)</f>
        <v>eval 1</v>
      </c>
      <c r="QV3" s="195" t="str">
        <f>IF(QE3="","",QE3)</f>
        <v/>
      </c>
      <c r="QW3" s="104" t="s">
        <v>7</v>
      </c>
      <c r="QX3" s="105"/>
      <c r="QY3" s="196" t="str">
        <f>IF(QH3="","",QH3)</f>
        <v/>
      </c>
      <c r="QZ3" s="194" t="str">
        <f>IF(QI3="","",QI3)</f>
        <v/>
      </c>
      <c r="RA3" s="197" t="str">
        <f>IF(QJ3="","",QJ3)</f>
        <v/>
      </c>
      <c r="RB3" s="119" t="s">
        <v>8</v>
      </c>
      <c r="RC3" s="120"/>
      <c r="RD3" s="196" t="str">
        <f>IF(QM3="","",QM3)</f>
        <v/>
      </c>
      <c r="RE3" s="194" t="str">
        <f>IF(QN3="","",QN3)</f>
        <v/>
      </c>
      <c r="RF3" s="197" t="str">
        <f>IF(QO3="","",QO3)</f>
        <v/>
      </c>
      <c r="RG3" s="124" t="s">
        <v>9</v>
      </c>
      <c r="RH3" s="125"/>
      <c r="RI3" s="126" t="s">
        <v>10</v>
      </c>
      <c r="RJ3" s="127"/>
      <c r="RK3" s="193" t="str">
        <f>IF(QT3="","",QT3)</f>
        <v>CH1/1</v>
      </c>
      <c r="RL3" s="194" t="str">
        <f>IF(QU3="","",QU3)</f>
        <v>eval 1</v>
      </c>
      <c r="RM3" s="195" t="str">
        <f>IF(QV3="","",QV3)</f>
        <v/>
      </c>
      <c r="RN3" s="104" t="s">
        <v>7</v>
      </c>
      <c r="RO3" s="105"/>
      <c r="RP3" s="196" t="str">
        <f>IF(QY3="","",QY3)</f>
        <v/>
      </c>
      <c r="RQ3" s="194" t="str">
        <f>IF(QZ3="","",QZ3)</f>
        <v/>
      </c>
      <c r="RR3" s="197" t="str">
        <f>IF(RA3="","",RA3)</f>
        <v/>
      </c>
      <c r="RS3" s="119" t="s">
        <v>8</v>
      </c>
      <c r="RT3" s="120"/>
      <c r="RU3" s="196" t="str">
        <f>IF(RD3="","",RD3)</f>
        <v/>
      </c>
      <c r="RV3" s="194" t="str">
        <f>IF(RE3="","",RE3)</f>
        <v/>
      </c>
      <c r="RW3" s="197" t="str">
        <f>IF(RF3="","",RF3)</f>
        <v/>
      </c>
      <c r="RX3" s="124" t="s">
        <v>9</v>
      </c>
      <c r="RY3" s="125"/>
      <c r="RZ3" s="126" t="s">
        <v>10</v>
      </c>
      <c r="SA3" s="127"/>
      <c r="SB3" s="193" t="str">
        <f>IF(RK3="","",RK3)</f>
        <v>CH1/1</v>
      </c>
      <c r="SC3" s="194" t="str">
        <f>IF(RL3="","",RL3)</f>
        <v>eval 1</v>
      </c>
      <c r="SD3" s="195" t="str">
        <f>IF(RM3="","",RM3)</f>
        <v/>
      </c>
      <c r="SE3" s="104" t="s">
        <v>7</v>
      </c>
      <c r="SF3" s="105"/>
      <c r="SG3" s="196" t="str">
        <f>IF(RP3="","",RP3)</f>
        <v/>
      </c>
      <c r="SH3" s="194" t="str">
        <f>IF(RQ3="","",RQ3)</f>
        <v/>
      </c>
      <c r="SI3" s="197" t="str">
        <f>IF(RR3="","",RR3)</f>
        <v/>
      </c>
      <c r="SJ3" s="119" t="s">
        <v>8</v>
      </c>
      <c r="SK3" s="120"/>
      <c r="SL3" s="196" t="str">
        <f>IF(RU3="","",RU3)</f>
        <v/>
      </c>
      <c r="SM3" s="194" t="str">
        <f>IF(RV3="","",RV3)</f>
        <v/>
      </c>
      <c r="SN3" s="197" t="str">
        <f>IF(RW3="","",RW3)</f>
        <v/>
      </c>
      <c r="SO3" s="124" t="s">
        <v>9</v>
      </c>
      <c r="SP3" s="125"/>
      <c r="SQ3" s="126" t="s">
        <v>10</v>
      </c>
      <c r="SR3" s="127"/>
    </row>
    <row r="4" spans="1:512" s="198" customFormat="1" ht="30" customHeight="1" thickBot="1" x14ac:dyDescent="0.3">
      <c r="A4" s="95" t="s">
        <v>11</v>
      </c>
      <c r="B4" s="76">
        <v>2</v>
      </c>
      <c r="C4" s="152"/>
      <c r="D4" s="185"/>
      <c r="E4" s="185"/>
      <c r="F4" s="106" t="str">
        <f>IFERROR((((COUNTIF('Elève (6ème1)'!C5:E6,"A"))*4)+((COUNTIF('Elève (6ème1)'!C5:E6,"B"))*3)+((COUNTIF('Elève (6ème1)'!C5:E6,"C"))*2)+((COUNTIF('Elève (6ème1)'!C5:E6,"D"))*1))/(COUNTA(C5:E6)),"")</f>
        <v/>
      </c>
      <c r="G4" s="107" t="str">
        <f t="shared" ref="G4:G19" si="0">IF(F4="","",IF(F4&gt;3.7,"A",IF(F4&gt;2.8,"B",IF(F4&gt;1.5,"C",IF(F4&gt;0,"D",IF(F4=0,""))))))</f>
        <v/>
      </c>
      <c r="H4" s="145"/>
      <c r="I4" s="186"/>
      <c r="J4" s="146"/>
      <c r="K4" s="106" t="str">
        <f>IFERROR((((COUNTIF('Elève (6ème1)'!H5:J6,"A"))*4)+((COUNTIF('Elève (6ème1)'!H5:J6,"B"))*3)+((COUNTIF('Elève (6ème1)'!H5:J6,"C"))*2)+((COUNTIF('Elève (6ème1)'!H5:J6,"D"))*1))/(COUNTA(H5:J6)),"")</f>
        <v/>
      </c>
      <c r="L4" s="121" t="str">
        <f t="shared" ref="L4:L19" si="1">IF(K4="","",IF(K4&gt;3.7,"A",IF(K4&gt;2.8,"B",IF(K4&gt;1.5,"C",IF(K4&gt;0,"D",IF(K4=0,""))))))</f>
        <v/>
      </c>
      <c r="M4" s="100"/>
      <c r="N4" s="187"/>
      <c r="O4" s="188"/>
      <c r="P4" s="106" t="str">
        <f>IFERROR((((COUNTIF('Elève (6ème1)'!M5:O6,"A"))*4)+((COUNTIF('Elève (6ème1)'!M5:O6,"B"))*3)+((COUNTIF('Elève (6ème1)'!M5:O6,"C"))*2)+((COUNTIF('Elève (6ème1)'!M5:O6,"D"))*1))/(COUNTA(M5:O6)),"")</f>
        <v/>
      </c>
      <c r="Q4" s="128" t="str">
        <f t="shared" ref="Q4:Q19" si="2">IF(P4="","",IF(P4&gt;3.7,"A",IF(P4&gt;2.8,"B",IF(P4&gt;1.5,"C",IF(P4&gt;0,"D",IF(P4=0,""))))))</f>
        <v/>
      </c>
      <c r="R4" s="177" t="str">
        <f>IFERROR((((COUNTIF(C5:E6,"A")+COUNTIF(H5:J6,"A")+COUNTIF(M5:O6,"A"))*4)+((COUNTIF(C5:E6,"B")+COUNTIF(H5:J6,"B")+COUNTIF(M5:O6,"B"))*3)+((COUNTIF(C5:E6,"C")+COUNTIF(H5:J6,"C")+COUNTIF(M5:O6,"C"))*2)+((COUNTIF(C5:E6,"D")+COUNTIF(H5:J6,"D")+COUNTIF(M5:O6,"D"))*1))/(COUNTA(C5:E6)+COUNTA(H5:J6)+COUNTA(M5:O6)),"")</f>
        <v/>
      </c>
      <c r="S4" s="130" t="str">
        <f t="shared" ref="S4:S19" si="3">IF(R4="","",IF(R4&gt;3.7,"A",IF(R4&gt;2.8,"B",IF(R4&gt;1.5,"C",IF(R4&gt;0,"D",IF(R4=0,""))))))</f>
        <v/>
      </c>
      <c r="T4" s="152"/>
      <c r="U4" s="185"/>
      <c r="V4" s="185"/>
      <c r="W4" s="106" t="str">
        <f>IFERROR((((COUNTIF('Elève (6ème1)'!T5:V6,"A"))*4)+((COUNTIF('Elève (6ème1)'!T5:V6,"B"))*3)+((COUNTIF('Elève (6ème1)'!T5:V6,"C"))*2)+((COUNTIF('Elève (6ème1)'!T5:V6,"D"))*1))/(COUNTA(T5:V6)),"")</f>
        <v/>
      </c>
      <c r="X4" s="107" t="str">
        <f t="shared" ref="X4:X19" si="4">IF(W4="","",IF(W4&gt;3.7,"A",IF(W4&gt;2.8,"B",IF(W4&gt;1.5,"C",IF(W4&gt;0,"D",IF(W4=0,""))))))</f>
        <v/>
      </c>
      <c r="Y4" s="145"/>
      <c r="Z4" s="186"/>
      <c r="AA4" s="146"/>
      <c r="AB4" s="106" t="str">
        <f>IFERROR((((COUNTIF('Elève (6ème1)'!Y5:AA6,"A"))*4)+((COUNTIF('Elève (6ème1)'!Y5:AA6,"B"))*3)+((COUNTIF('Elève (6ème1)'!Y5:AA6,"C"))*2)+((COUNTIF('Elève (6ème1)'!Y5:AA6,"D"))*1))/(COUNTA(Y5:AA6)),"")</f>
        <v/>
      </c>
      <c r="AC4" s="121" t="str">
        <f t="shared" ref="AC4:AC19" si="5">IF(AB4="","",IF(AB4&gt;3.7,"A",IF(AB4&gt;2.8,"B",IF(AB4&gt;1.5,"C",IF(AB4&gt;0,"D",IF(AB4=0,""))))))</f>
        <v/>
      </c>
      <c r="AD4" s="100"/>
      <c r="AE4" s="187"/>
      <c r="AF4" s="188"/>
      <c r="AG4" s="106" t="str">
        <f>IFERROR((((COUNTIF('Elève (6ème1)'!AD5:AF6,"A"))*4)+((COUNTIF('Elève (6ème1)'!AD5:AF6,"B"))*3)+((COUNTIF('Elève (6ème1)'!AD5:AF6,"C"))*2)+((COUNTIF('Elève (6ème1)'!AD5:AF6,"D"))*1))/(COUNTA(AD5:AF6)),"")</f>
        <v/>
      </c>
      <c r="AH4" s="128" t="str">
        <f t="shared" ref="AH4:AH19" si="6">IF(AG4="","",IF(AG4&gt;3.7,"A",IF(AG4&gt;2.8,"B",IF(AG4&gt;1.5,"C",IF(AG4&gt;0,"D",IF(AG4=0,""))))))</f>
        <v/>
      </c>
      <c r="AI4" s="177" t="str">
        <f>IFERROR((((COUNTIF(T5:V6,"A")+COUNTIF(Y5:AA6,"A")+COUNTIF(AD5:AF6,"A"))*4)+((COUNTIF(T5:V6,"B")+COUNTIF(Y5:AA6,"B")+COUNTIF(AD5:AF6,"B"))*3)+((COUNTIF(T5:V6,"C")+COUNTIF(Y5:AA6,"C")+COUNTIF(AD5:AF6,"C"))*2)+((COUNTIF(T5:V6,"D")+COUNTIF(Y5:AA6,"D")+COUNTIF(AD5:AF6,"D"))*1))/(COUNTA(T5:V6)+COUNTA(Y5:AA6)+COUNTA(AD5:AF6)),"")</f>
        <v/>
      </c>
      <c r="AJ4" s="130" t="str">
        <f t="shared" ref="AJ4:AJ19" si="7">IF(AI4="","",IF(AI4&gt;3.7,"A",IF(AI4&gt;2.8,"B",IF(AI4&gt;1.5,"C",IF(AI4&gt;0,"D",IF(AI4=0,""))))))</f>
        <v/>
      </c>
      <c r="AK4" s="152"/>
      <c r="AL4" s="185"/>
      <c r="AM4" s="185"/>
      <c r="AN4" s="106" t="str">
        <f>IFERROR((((COUNTIF('Elève (6ème1)'!AK5:AM6,"A"))*4)+((COUNTIF('Elève (6ème1)'!AK5:AM6,"B"))*3)+((COUNTIF('Elève (6ème1)'!AK5:AM6,"C"))*2)+((COUNTIF('Elève (6ème1)'!AK5:AM6,"D"))*1))/(COUNTA(AK5:AM6)),"")</f>
        <v/>
      </c>
      <c r="AO4" s="107" t="str">
        <f t="shared" ref="AO4:AO19" si="8">IF(AN4="","",IF(AN4&gt;3.7,"A",IF(AN4&gt;2.8,"B",IF(AN4&gt;1.5,"C",IF(AN4&gt;0,"D",IF(AN4=0,""))))))</f>
        <v/>
      </c>
      <c r="AP4" s="145"/>
      <c r="AQ4" s="186"/>
      <c r="AR4" s="146"/>
      <c r="AS4" s="106" t="str">
        <f>IFERROR((((COUNTIF('Elève (6ème1)'!AP5:AR6,"A"))*4)+((COUNTIF('Elève (6ème1)'!AP5:AR6,"B"))*3)+((COUNTIF('Elève (6ème1)'!AP5:AR6,"C"))*2)+((COUNTIF('Elève (6ème1)'!AP5:AR6,"D"))*1))/(COUNTA(AP5:AR6)),"")</f>
        <v/>
      </c>
      <c r="AT4" s="121" t="str">
        <f t="shared" ref="AT4:AT19" si="9">IF(AS4="","",IF(AS4&gt;3.7,"A",IF(AS4&gt;2.8,"B",IF(AS4&gt;1.5,"C",IF(AS4&gt;0,"D",IF(AS4=0,""))))))</f>
        <v/>
      </c>
      <c r="AU4" s="100"/>
      <c r="AV4" s="187"/>
      <c r="AW4" s="188"/>
      <c r="AX4" s="106" t="str">
        <f>IFERROR((((COUNTIF('Elève (6ème1)'!AU5:AW6,"A"))*4)+((COUNTIF('Elève (6ème1)'!AU5:AW6,"B"))*3)+((COUNTIF('Elève (6ème1)'!AU5:AW6,"C"))*2)+((COUNTIF('Elève (6ème1)'!AU5:AW6,"D"))*1))/(COUNTA(AU5:AW6)),"")</f>
        <v/>
      </c>
      <c r="AY4" s="128" t="str">
        <f t="shared" ref="AY4:AY19" si="10">IF(AX4="","",IF(AX4&gt;3.7,"A",IF(AX4&gt;2.8,"B",IF(AX4&gt;1.5,"C",IF(AX4&gt;0,"D",IF(AX4=0,""))))))</f>
        <v/>
      </c>
      <c r="AZ4" s="177" t="str">
        <f>IFERROR((((COUNTIF(AK5:AM6,"A")+COUNTIF(AP5:AR6,"A")+COUNTIF(AU5:AW6,"A"))*4)+((COUNTIF(AK5:AM6,"B")+COUNTIF(AP5:AR6,"B")+COUNTIF(AU5:AW6,"B"))*3)+((COUNTIF(AK5:AM6,"C")+COUNTIF(AP5:AR6,"C")+COUNTIF(AU5:AW6,"C"))*2)+((COUNTIF(AK5:AM6,"D")+COUNTIF(AP5:AR6,"D")+COUNTIF(AU5:AW6,"D"))*1))/(COUNTA(AK5:AM6)+COUNTA(AP5:AR6)+COUNTA(AU5:AW6)),"")</f>
        <v/>
      </c>
      <c r="BA4" s="130" t="str">
        <f t="shared" ref="BA4:BA19" si="11">IF(AZ4="","",IF(AZ4&gt;3.7,"A",IF(AZ4&gt;2.8,"B",IF(AZ4&gt;1.5,"C",IF(AZ4&gt;0,"D",IF(AZ4=0,""))))))</f>
        <v/>
      </c>
      <c r="BB4" s="152"/>
      <c r="BC4" s="185"/>
      <c r="BD4" s="185"/>
      <c r="BE4" s="106" t="str">
        <f>IFERROR((((COUNTIF('Elève (6ème1)'!BB5:BD6,"A"))*4)+((COUNTIF('Elève (6ème1)'!BB5:BD6,"B"))*3)+((COUNTIF('Elève (6ème1)'!BB5:BD6,"C"))*2)+((COUNTIF('Elève (6ème1)'!BB5:BD6,"D"))*1))/(COUNTA(BB5:BD6)),"")</f>
        <v/>
      </c>
      <c r="BF4" s="107" t="str">
        <f t="shared" ref="BF4:BF19" si="12">IF(BE4="","",IF(BE4&gt;3.7,"A",IF(BE4&gt;2.8,"B",IF(BE4&gt;1.5,"C",IF(BE4&gt;0,"D",IF(BE4=0,""))))))</f>
        <v/>
      </c>
      <c r="BG4" s="145"/>
      <c r="BH4" s="186"/>
      <c r="BI4" s="146"/>
      <c r="BJ4" s="106" t="str">
        <f>IFERROR((((COUNTIF('Elève (6ème1)'!BG5:BI6,"A"))*4)+((COUNTIF('Elève (6ème1)'!BG5:BI6,"B"))*3)+((COUNTIF('Elève (6ème1)'!BG5:BI6,"C"))*2)+((COUNTIF('Elève (6ème1)'!BG5:BI6,"D"))*1))/(COUNTA(BG5:BI6)),"")</f>
        <v/>
      </c>
      <c r="BK4" s="121" t="str">
        <f t="shared" ref="BK4:BK19" si="13">IF(BJ4="","",IF(BJ4&gt;3.7,"A",IF(BJ4&gt;2.8,"B",IF(BJ4&gt;1.5,"C",IF(BJ4&gt;0,"D",IF(BJ4=0,""))))))</f>
        <v/>
      </c>
      <c r="BL4" s="100"/>
      <c r="BM4" s="187"/>
      <c r="BN4" s="188"/>
      <c r="BO4" s="106" t="str">
        <f>IFERROR((((COUNTIF('Elève (6ème1)'!BL5:BN6,"A"))*4)+((COUNTIF('Elève (6ème1)'!BL5:BN6,"B"))*3)+((COUNTIF('Elève (6ème1)'!BL5:BN6,"C"))*2)+((COUNTIF('Elève (6ème1)'!BL5:BN6,"D"))*1))/(COUNTA(BL5:BN6)),"")</f>
        <v/>
      </c>
      <c r="BP4" s="128" t="str">
        <f t="shared" ref="BP4:BP19" si="14">IF(BO4="","",IF(BO4&gt;3.7,"A",IF(BO4&gt;2.8,"B",IF(BO4&gt;1.5,"C",IF(BO4&gt;0,"D",IF(BO4=0,""))))))</f>
        <v/>
      </c>
      <c r="BQ4" s="177" t="str">
        <f>IFERROR((((COUNTIF(BB5:BD6,"A")+COUNTIF(BG5:BI6,"A")+COUNTIF(BL5:BN6,"A"))*4)+((COUNTIF(BB5:BD6,"B")+COUNTIF(BG5:BI6,"B")+COUNTIF(BL5:BN6,"B"))*3)+((COUNTIF(BB5:BD6,"C")+COUNTIF(BG5:BI6,"C")+COUNTIF(BL5:BN6,"C"))*2)+((COUNTIF(BB5:BD6,"D")+COUNTIF(BG5:BI6,"D")+COUNTIF(BL5:BN6,"D"))*1))/(COUNTA(BB5:BD6)+COUNTA(BG5:BI6)+COUNTA(BL5:BN6)),"")</f>
        <v/>
      </c>
      <c r="BR4" s="130" t="str">
        <f t="shared" ref="BR4:BR19" si="15">IF(BQ4="","",IF(BQ4&gt;3.7,"A",IF(BQ4&gt;2.8,"B",IF(BQ4&gt;1.5,"C",IF(BQ4&gt;0,"D",IF(BQ4=0,""))))))</f>
        <v/>
      </c>
      <c r="BS4" s="152"/>
      <c r="BT4" s="185"/>
      <c r="BU4" s="185"/>
      <c r="BV4" s="106" t="str">
        <f>IFERROR((((COUNTIF('Elève (6ème1)'!BS5:BU6,"A"))*4)+((COUNTIF('Elève (6ème1)'!BS5:BU6,"B"))*3)+((COUNTIF('Elève (6ème1)'!BS5:BU6,"C"))*2)+((COUNTIF('Elève (6ème1)'!BS5:BU6,"D"))*1))/(COUNTA(BS5:BU6)),"")</f>
        <v/>
      </c>
      <c r="BW4" s="107" t="str">
        <f t="shared" ref="BW4:BW19" si="16">IF(BV4="","",IF(BV4&gt;3.7,"A",IF(BV4&gt;2.8,"B",IF(BV4&gt;1.5,"C",IF(BV4&gt;0,"D",IF(BV4=0,""))))))</f>
        <v/>
      </c>
      <c r="BX4" s="145"/>
      <c r="BY4" s="186"/>
      <c r="BZ4" s="146"/>
      <c r="CA4" s="106" t="str">
        <f>IFERROR((((COUNTIF('Elève (6ème1)'!BX5:BZ6,"A"))*4)+((COUNTIF('Elève (6ème1)'!BX5:BZ6,"B"))*3)+((COUNTIF('Elève (6ème1)'!BX5:BZ6,"C"))*2)+((COUNTIF('Elève (6ème1)'!BX5:BZ6,"D"))*1))/(COUNTA(BX5:BZ6)),"")</f>
        <v/>
      </c>
      <c r="CB4" s="121" t="str">
        <f t="shared" ref="CB4:CB19" si="17">IF(CA4="","",IF(CA4&gt;3.7,"A",IF(CA4&gt;2.8,"B",IF(CA4&gt;1.5,"C",IF(CA4&gt;0,"D",IF(CA4=0,""))))))</f>
        <v/>
      </c>
      <c r="CC4" s="100"/>
      <c r="CD4" s="187"/>
      <c r="CE4" s="188"/>
      <c r="CF4" s="106" t="str">
        <f>IFERROR((((COUNTIF('Elève (6ème1)'!CC5:CE6,"A"))*4)+((COUNTIF('Elève (6ème1)'!CC5:CE6,"B"))*3)+((COUNTIF('Elève (6ème1)'!CC5:CE6,"C"))*2)+((COUNTIF('Elève (6ème1)'!CC5:CE6,"D"))*1))/(COUNTA(CC5:CE6)),"")</f>
        <v/>
      </c>
      <c r="CG4" s="128" t="str">
        <f t="shared" ref="CG4:CG19" si="18">IF(CF4="","",IF(CF4&gt;3.7,"A",IF(CF4&gt;2.8,"B",IF(CF4&gt;1.5,"C",IF(CF4&gt;0,"D",IF(CF4=0,""))))))</f>
        <v/>
      </c>
      <c r="CH4" s="177" t="str">
        <f>IFERROR((((COUNTIF(BS5:BU6,"A")+COUNTIF(BX5:BZ6,"A")+COUNTIF(CC5:CE6,"A"))*4)+((COUNTIF(BS5:BU6,"B")+COUNTIF(BX5:BZ6,"B")+COUNTIF(CC5:CE6,"B"))*3)+((COUNTIF(BS5:BU6,"C")+COUNTIF(BX5:BZ6,"C")+COUNTIF(CC5:CE6,"C"))*2)+((COUNTIF(BS5:BU6,"D")+COUNTIF(BX5:BZ6,"D")+COUNTIF(CC5:CE6,"D"))*1))/(COUNTA(BS5:BU6)+COUNTA(BX5:BZ6)+COUNTA(CC5:CE6)),"")</f>
        <v/>
      </c>
      <c r="CI4" s="130" t="str">
        <f t="shared" ref="CI4:CI19" si="19">IF(CH4="","",IF(CH4&gt;3.7,"A",IF(CH4&gt;2.8,"B",IF(CH4&gt;1.5,"C",IF(CH4&gt;0,"D",IF(CH4=0,""))))))</f>
        <v/>
      </c>
      <c r="CJ4" s="152"/>
      <c r="CK4" s="185"/>
      <c r="CL4" s="185"/>
      <c r="CM4" s="106" t="str">
        <f>IFERROR((((COUNTIF('Elève (6ème1)'!CJ5:CL6,"A"))*4)+((COUNTIF('Elève (6ème1)'!CJ5:CL6,"B"))*3)+((COUNTIF('Elève (6ème1)'!CJ5:CL6,"C"))*2)+((COUNTIF('Elève (6ème1)'!CJ5:CL6,"D"))*1))/(COUNTA(CJ5:CL6)),"")</f>
        <v/>
      </c>
      <c r="CN4" s="107" t="str">
        <f t="shared" ref="CN4:CN19" si="20">IF(CM4="","",IF(CM4&gt;3.7,"A",IF(CM4&gt;2.8,"B",IF(CM4&gt;1.5,"C",IF(CM4&gt;0,"D",IF(CM4=0,""))))))</f>
        <v/>
      </c>
      <c r="CO4" s="145"/>
      <c r="CP4" s="186"/>
      <c r="CQ4" s="146"/>
      <c r="CR4" s="106" t="str">
        <f>IFERROR((((COUNTIF('Elève (6ème1)'!CO5:CQ6,"A"))*4)+((COUNTIF('Elève (6ème1)'!CO5:CQ6,"B"))*3)+((COUNTIF('Elève (6ème1)'!CO5:CQ6,"C"))*2)+((COUNTIF('Elève (6ème1)'!CO5:CQ6,"D"))*1))/(COUNTA(CO5:CQ6)),"")</f>
        <v/>
      </c>
      <c r="CS4" s="121" t="str">
        <f t="shared" ref="CS4:CS19" si="21">IF(CR4="","",IF(CR4&gt;3.7,"A",IF(CR4&gt;2.8,"B",IF(CR4&gt;1.5,"C",IF(CR4&gt;0,"D",IF(CR4=0,""))))))</f>
        <v/>
      </c>
      <c r="CT4" s="100"/>
      <c r="CU4" s="187"/>
      <c r="CV4" s="188"/>
      <c r="CW4" s="106" t="str">
        <f>IFERROR((((COUNTIF('Elève (6ème1)'!CT5:CV6,"A"))*4)+((COUNTIF('Elève (6ème1)'!CT5:CV6,"B"))*3)+((COUNTIF('Elève (6ème1)'!CT5:CV6,"C"))*2)+((COUNTIF('Elève (6ème1)'!CT5:CV6,"D"))*1))/(COUNTA(CT5:CV6)),"")</f>
        <v/>
      </c>
      <c r="CX4" s="128" t="str">
        <f t="shared" ref="CX4:CX19" si="22">IF(CW4="","",IF(CW4&gt;3.7,"A",IF(CW4&gt;2.8,"B",IF(CW4&gt;1.5,"C",IF(CW4&gt;0,"D",IF(CW4=0,""))))))</f>
        <v/>
      </c>
      <c r="CY4" s="177" t="str">
        <f>IFERROR((((COUNTIF(CJ5:CL6,"A")+COUNTIF(CO5:CQ6,"A")+COUNTIF(CT5:CV6,"A"))*4)+((COUNTIF(CJ5:CL6,"B")+COUNTIF(CO5:CQ6,"B")+COUNTIF(CT5:CV6,"B"))*3)+((COUNTIF(CJ5:CL6,"C")+COUNTIF(CO5:CQ6,"C")+COUNTIF(CT5:CV6,"C"))*2)+((COUNTIF(CJ5:CL6,"D")+COUNTIF(CO5:CQ6,"D")+COUNTIF(CT5:CV6,"D"))*1))/(COUNTA(CJ5:CL6)+COUNTA(CO5:CQ6)+COUNTA(CT5:CV6)),"")</f>
        <v/>
      </c>
      <c r="CZ4" s="130" t="str">
        <f t="shared" ref="CZ4:CZ19" si="23">IF(CY4="","",IF(CY4&gt;3.7,"A",IF(CY4&gt;2.8,"B",IF(CY4&gt;1.5,"C",IF(CY4&gt;0,"D",IF(CY4=0,""))))))</f>
        <v/>
      </c>
      <c r="DA4" s="152"/>
      <c r="DB4" s="185"/>
      <c r="DC4" s="185"/>
      <c r="DD4" s="106" t="str">
        <f>IFERROR((((COUNTIF('Elève (6ème1)'!DA5:DC6,"A"))*4)+((COUNTIF('Elève (6ème1)'!DA5:DC6,"B"))*3)+((COUNTIF('Elève (6ème1)'!DA5:DC6,"C"))*2)+((COUNTIF('Elève (6ème1)'!DA5:DC6,"D"))*1))/(COUNTA(DA5:DC6)),"")</f>
        <v/>
      </c>
      <c r="DE4" s="107" t="str">
        <f t="shared" ref="DE4:DE19" si="24">IF(DD4="","",IF(DD4&gt;3.7,"A",IF(DD4&gt;2.8,"B",IF(DD4&gt;1.5,"C",IF(DD4&gt;0,"D",IF(DD4=0,""))))))</f>
        <v/>
      </c>
      <c r="DF4" s="145"/>
      <c r="DG4" s="186"/>
      <c r="DH4" s="146"/>
      <c r="DI4" s="106" t="str">
        <f>IFERROR((((COUNTIF('Elève (6ème1)'!DF5:DH6,"A"))*4)+((COUNTIF('Elève (6ème1)'!DF5:DH6,"B"))*3)+((COUNTIF('Elève (6ème1)'!DF5:DH6,"C"))*2)+((COUNTIF('Elève (6ème1)'!DF5:DH6,"D"))*1))/(COUNTA(DF5:DH6)),"")</f>
        <v/>
      </c>
      <c r="DJ4" s="121" t="str">
        <f t="shared" ref="DJ4:DJ19" si="25">IF(DI4="","",IF(DI4&gt;3.7,"A",IF(DI4&gt;2.8,"B",IF(DI4&gt;1.5,"C",IF(DI4&gt;0,"D",IF(DI4=0,""))))))</f>
        <v/>
      </c>
      <c r="DK4" s="100"/>
      <c r="DL4" s="187"/>
      <c r="DM4" s="188"/>
      <c r="DN4" s="106" t="str">
        <f>IFERROR((((COUNTIF('Elève (6ème1)'!DK5:DM6,"A"))*4)+((COUNTIF('Elève (6ème1)'!DK5:DM6,"B"))*3)+((COUNTIF('Elève (6ème1)'!DK5:DM6,"C"))*2)+((COUNTIF('Elève (6ème1)'!DK5:DM6,"D"))*1))/(COUNTA(DK5:DM6)),"")</f>
        <v/>
      </c>
      <c r="DO4" s="128" t="str">
        <f t="shared" ref="DO4:DO19" si="26">IF(DN4="","",IF(DN4&gt;3.7,"A",IF(DN4&gt;2.8,"B",IF(DN4&gt;1.5,"C",IF(DN4&gt;0,"D",IF(DN4=0,""))))))</f>
        <v/>
      </c>
      <c r="DP4" s="177" t="str">
        <f>IFERROR((((COUNTIF(DA5:DC6,"A")+COUNTIF(DF5:DH6,"A")+COUNTIF(DK5:DM6,"A"))*4)+((COUNTIF(DA5:DC6,"B")+COUNTIF(DF5:DH6,"B")+COUNTIF(DK5:DM6,"B"))*3)+((COUNTIF(DA5:DC6,"C")+COUNTIF(DF5:DH6,"C")+COUNTIF(DK5:DM6,"C"))*2)+((COUNTIF(DA5:DC6,"D")+COUNTIF(DF5:DH6,"D")+COUNTIF(DK5:DM6,"D"))*1))/(COUNTA(DA5:DC6)+COUNTA(DF5:DH6)+COUNTA(DK5:DM6)),"")</f>
        <v/>
      </c>
      <c r="DQ4" s="130" t="str">
        <f t="shared" ref="DQ4:DQ19" si="27">IF(DP4="","",IF(DP4&gt;3.7,"A",IF(DP4&gt;2.8,"B",IF(DP4&gt;1.5,"C",IF(DP4&gt;0,"D",IF(DP4=0,""))))))</f>
        <v/>
      </c>
      <c r="DR4" s="152"/>
      <c r="DS4" s="185"/>
      <c r="DT4" s="185"/>
      <c r="DU4" s="106" t="str">
        <f>IFERROR((((COUNTIF('Elève (6ème1)'!DR5:DT6,"A"))*4)+((COUNTIF('Elève (6ème1)'!DR5:DT6,"B"))*3)+((COUNTIF('Elève (6ème1)'!DR5:DT6,"C"))*2)+((COUNTIF('Elève (6ème1)'!DR5:DT6,"D"))*1))/(COUNTA(DR5:DT6)),"")</f>
        <v/>
      </c>
      <c r="DV4" s="107" t="str">
        <f t="shared" ref="DV4:DV19" si="28">IF(DU4="","",IF(DU4&gt;3.7,"A",IF(DU4&gt;2.8,"B",IF(DU4&gt;1.5,"C",IF(DU4&gt;0,"D",IF(DU4=0,""))))))</f>
        <v/>
      </c>
      <c r="DW4" s="145"/>
      <c r="DX4" s="186"/>
      <c r="DY4" s="146"/>
      <c r="DZ4" s="106" t="str">
        <f>IFERROR((((COUNTIF('Elève (6ème1)'!DW5:DY6,"A"))*4)+((COUNTIF('Elève (6ème1)'!DW5:DY6,"B"))*3)+((COUNTIF('Elève (6ème1)'!DW5:DY6,"C"))*2)+((COUNTIF('Elève (6ème1)'!DW5:DY6,"D"))*1))/(COUNTA(DW5:DY6)),"")</f>
        <v/>
      </c>
      <c r="EA4" s="121" t="str">
        <f t="shared" ref="EA4:EA19" si="29">IF(DZ4="","",IF(DZ4&gt;3.7,"A",IF(DZ4&gt;2.8,"B",IF(DZ4&gt;1.5,"C",IF(DZ4&gt;0,"D",IF(DZ4=0,""))))))</f>
        <v/>
      </c>
      <c r="EB4" s="100"/>
      <c r="EC4" s="187"/>
      <c r="ED4" s="188"/>
      <c r="EE4" s="106" t="str">
        <f>IFERROR((((COUNTIF('Elève (6ème1)'!EB5:ED6,"A"))*4)+((COUNTIF('Elève (6ème1)'!EB5:ED6,"B"))*3)+((COUNTIF('Elève (6ème1)'!EB5:ED6,"C"))*2)+((COUNTIF('Elève (6ème1)'!EB5:ED6,"D"))*1))/(COUNTA(EB5:ED6)),"")</f>
        <v/>
      </c>
      <c r="EF4" s="128" t="str">
        <f t="shared" ref="EF4:EF19" si="30">IF(EE4="","",IF(EE4&gt;3.7,"A",IF(EE4&gt;2.8,"B",IF(EE4&gt;1.5,"C",IF(EE4&gt;0,"D",IF(EE4=0,""))))))</f>
        <v/>
      </c>
      <c r="EG4" s="177" t="str">
        <f>IFERROR((((COUNTIF(DR5:DT6,"A")+COUNTIF(DW5:DY6,"A")+COUNTIF(EB5:ED6,"A"))*4)+((COUNTIF(DR5:DT6,"B")+COUNTIF(DW5:DY6,"B")+COUNTIF(EB5:ED6,"B"))*3)+((COUNTIF(DR5:DT6,"C")+COUNTIF(DW5:DY6,"C")+COUNTIF(EB5:ED6,"C"))*2)+((COUNTIF(DR5:DT6,"D")+COUNTIF(DW5:DY6,"D")+COUNTIF(EB5:ED6,"D"))*1))/(COUNTA(DR5:DT6)+COUNTA(DW5:DY6)+COUNTA(EB5:ED6)),"")</f>
        <v/>
      </c>
      <c r="EH4" s="130" t="str">
        <f t="shared" ref="EH4:EH19" si="31">IF(EG4="","",IF(EG4&gt;3.7,"A",IF(EG4&gt;2.8,"B",IF(EG4&gt;1.5,"C",IF(EG4&gt;0,"D",IF(EG4=0,""))))))</f>
        <v/>
      </c>
      <c r="EI4" s="152"/>
      <c r="EJ4" s="185"/>
      <c r="EK4" s="185"/>
      <c r="EL4" s="106" t="str">
        <f>IFERROR((((COUNTIF('Elève (6ème1)'!EI5:EK6,"A"))*4)+((COUNTIF('Elève (6ème1)'!EI5:EK6,"B"))*3)+((COUNTIF('Elève (6ème1)'!EI5:EK6,"C"))*2)+((COUNTIF('Elève (6ème1)'!EI5:EK6,"D"))*1))/(COUNTA(EI5:EK6)),"")</f>
        <v/>
      </c>
      <c r="EM4" s="107" t="str">
        <f t="shared" ref="EM4:EM19" si="32">IF(EL4="","",IF(EL4&gt;3.7,"A",IF(EL4&gt;2.8,"B",IF(EL4&gt;1.5,"C",IF(EL4&gt;0,"D",IF(EL4=0,""))))))</f>
        <v/>
      </c>
      <c r="EN4" s="145"/>
      <c r="EO4" s="186"/>
      <c r="EP4" s="146"/>
      <c r="EQ4" s="106" t="str">
        <f>IFERROR((((COUNTIF('Elève (6ème1)'!EN5:EP6,"A"))*4)+((COUNTIF('Elève (6ème1)'!EN5:EP6,"B"))*3)+((COUNTIF('Elève (6ème1)'!EN5:EP6,"C"))*2)+((COUNTIF('Elève (6ème1)'!EN5:EP6,"D"))*1))/(COUNTA(EN5:EP6)),"")</f>
        <v/>
      </c>
      <c r="ER4" s="121" t="str">
        <f t="shared" ref="ER4:ER19" si="33">IF(EQ4="","",IF(EQ4&gt;3.7,"A",IF(EQ4&gt;2.8,"B",IF(EQ4&gt;1.5,"C",IF(EQ4&gt;0,"D",IF(EQ4=0,""))))))</f>
        <v/>
      </c>
      <c r="ES4" s="100"/>
      <c r="ET4" s="187"/>
      <c r="EU4" s="188"/>
      <c r="EV4" s="106" t="str">
        <f>IFERROR((((COUNTIF('Elève (6ème1)'!ES5:EU6,"A"))*4)+((COUNTIF('Elève (6ème1)'!ES5:EU6,"B"))*3)+((COUNTIF('Elève (6ème1)'!ES5:EU6,"C"))*2)+((COUNTIF('Elève (6ème1)'!ES5:EU6,"D"))*1))/(COUNTA(ES5:EU6)),"")</f>
        <v/>
      </c>
      <c r="EW4" s="128" t="str">
        <f t="shared" ref="EW4:EW19" si="34">IF(EV4="","",IF(EV4&gt;3.7,"A",IF(EV4&gt;2.8,"B",IF(EV4&gt;1.5,"C",IF(EV4&gt;0,"D",IF(EV4=0,""))))))</f>
        <v/>
      </c>
      <c r="EX4" s="177" t="str">
        <f>IFERROR((((COUNTIF(EI5:EK6,"A")+COUNTIF(EN5:EP6,"A")+COUNTIF(ES5:EU6,"A"))*4)+((COUNTIF(EI5:EK6,"B")+COUNTIF(EN5:EP6,"B")+COUNTIF(ES5:EU6,"B"))*3)+((COUNTIF(EI5:EK6,"C")+COUNTIF(EN5:EP6,"C")+COUNTIF(ES5:EU6,"C"))*2)+((COUNTIF(EI5:EK6,"D")+COUNTIF(EN5:EP6,"D")+COUNTIF(ES5:EU6,"D"))*1))/(COUNTA(EI5:EK6)+COUNTA(EN5:EP6)+COUNTA(ES5:EU6)),"")</f>
        <v/>
      </c>
      <c r="EY4" s="130" t="str">
        <f t="shared" ref="EY4:EY19" si="35">IF(EX4="","",IF(EX4&gt;3.7,"A",IF(EX4&gt;2.8,"B",IF(EX4&gt;1.5,"C",IF(EX4&gt;0,"D",IF(EX4=0,""))))))</f>
        <v/>
      </c>
      <c r="EZ4" s="152"/>
      <c r="FA4" s="185"/>
      <c r="FB4" s="185"/>
      <c r="FC4" s="106" t="str">
        <f>IFERROR((((COUNTIF('Elève (6ème1)'!EZ5:FB6,"A"))*4)+((COUNTIF('Elève (6ème1)'!EZ5:FB6,"B"))*3)+((COUNTIF('Elève (6ème1)'!EZ5:FB6,"C"))*2)+((COUNTIF('Elève (6ème1)'!EZ5:FB6,"D"))*1))/(COUNTA(EZ5:FB6)),"")</f>
        <v/>
      </c>
      <c r="FD4" s="107" t="str">
        <f t="shared" ref="FD4:FD19" si="36">IF(FC4="","",IF(FC4&gt;3.7,"A",IF(FC4&gt;2.8,"B",IF(FC4&gt;1.5,"C",IF(FC4&gt;0,"D",IF(FC4=0,""))))))</f>
        <v/>
      </c>
      <c r="FE4" s="145"/>
      <c r="FF4" s="186"/>
      <c r="FG4" s="146"/>
      <c r="FH4" s="106" t="str">
        <f>IFERROR((((COUNTIF('Elève (6ème1)'!FE5:FG6,"A"))*4)+((COUNTIF('Elève (6ème1)'!FE5:FG6,"B"))*3)+((COUNTIF('Elève (6ème1)'!FE5:FG6,"C"))*2)+((COUNTIF('Elève (6ème1)'!FE5:FG6,"D"))*1))/(COUNTA(FE5:FG6)),"")</f>
        <v/>
      </c>
      <c r="FI4" s="121" t="str">
        <f t="shared" ref="FI4:FI19" si="37">IF(FH4="","",IF(FH4&gt;3.7,"A",IF(FH4&gt;2.8,"B",IF(FH4&gt;1.5,"C",IF(FH4&gt;0,"D",IF(FH4=0,""))))))</f>
        <v/>
      </c>
      <c r="FJ4" s="100"/>
      <c r="FK4" s="187"/>
      <c r="FL4" s="188"/>
      <c r="FM4" s="106" t="str">
        <f>IFERROR((((COUNTIF('Elève (6ème1)'!FJ5:FL6,"A"))*4)+((COUNTIF('Elève (6ème1)'!FJ5:FL6,"B"))*3)+((COUNTIF('Elève (6ème1)'!FJ5:FL6,"C"))*2)+((COUNTIF('Elève (6ème1)'!FJ5:FL6,"D"))*1))/(COUNTA(FJ5:FL6)),"")</f>
        <v/>
      </c>
      <c r="FN4" s="128" t="str">
        <f t="shared" ref="FN4:FN19" si="38">IF(FM4="","",IF(FM4&gt;3.7,"A",IF(FM4&gt;2.8,"B",IF(FM4&gt;1.5,"C",IF(FM4&gt;0,"D",IF(FM4=0,""))))))</f>
        <v/>
      </c>
      <c r="FO4" s="177" t="str">
        <f>IFERROR((((COUNTIF(EZ5:FB6,"A")+COUNTIF(FE5:FG6,"A")+COUNTIF(FJ5:FL6,"A"))*4)+((COUNTIF(EZ5:FB6,"B")+COUNTIF(FE5:FG6,"B")+COUNTIF(FJ5:FL6,"B"))*3)+((COUNTIF(EZ5:FB6,"C")+COUNTIF(FE5:FG6,"C")+COUNTIF(FJ5:FL6,"C"))*2)+((COUNTIF(EZ5:FB6,"D")+COUNTIF(FE5:FG6,"D")+COUNTIF(FJ5:FL6,"D"))*1))/(COUNTA(EZ5:FB6)+COUNTA(FE5:FG6)+COUNTA(FJ5:FL6)),"")</f>
        <v/>
      </c>
      <c r="FP4" s="130" t="str">
        <f t="shared" ref="FP4:FP19" si="39">IF(FO4="","",IF(FO4&gt;3.7,"A",IF(FO4&gt;2.8,"B",IF(FO4&gt;1.5,"C",IF(FO4&gt;0,"D",IF(FO4=0,""))))))</f>
        <v/>
      </c>
      <c r="FQ4" s="152"/>
      <c r="FR4" s="185"/>
      <c r="FS4" s="185"/>
      <c r="FT4" s="106" t="str">
        <f>IFERROR((((COUNTIF('Elève (6ème1)'!FQ5:FS6,"A"))*4)+((COUNTIF('Elève (6ème1)'!FQ5:FS6,"B"))*3)+((COUNTIF('Elève (6ème1)'!FQ5:FS6,"C"))*2)+((COUNTIF('Elève (6ème1)'!FQ5:FS6,"D"))*1))/(COUNTA(FQ5:FS6)),"")</f>
        <v/>
      </c>
      <c r="FU4" s="107" t="str">
        <f t="shared" ref="FU4:FU19" si="40">IF(FT4="","",IF(FT4&gt;3.7,"A",IF(FT4&gt;2.8,"B",IF(FT4&gt;1.5,"C",IF(FT4&gt;0,"D",IF(FT4=0,""))))))</f>
        <v/>
      </c>
      <c r="FV4" s="145"/>
      <c r="FW4" s="186"/>
      <c r="FX4" s="146"/>
      <c r="FY4" s="106" t="str">
        <f>IFERROR((((COUNTIF('Elève (6ème1)'!FV5:FX6,"A"))*4)+((COUNTIF('Elève (6ème1)'!FV5:FX6,"B"))*3)+((COUNTIF('Elève (6ème1)'!FV5:FX6,"C"))*2)+((COUNTIF('Elève (6ème1)'!FV5:FX6,"D"))*1))/(COUNTA(FV5:FX6)),"")</f>
        <v/>
      </c>
      <c r="FZ4" s="121" t="str">
        <f t="shared" ref="FZ4:FZ19" si="41">IF(FY4="","",IF(FY4&gt;3.7,"A",IF(FY4&gt;2.8,"B",IF(FY4&gt;1.5,"C",IF(FY4&gt;0,"D",IF(FY4=0,""))))))</f>
        <v/>
      </c>
      <c r="GA4" s="100"/>
      <c r="GB4" s="187"/>
      <c r="GC4" s="188"/>
      <c r="GD4" s="106" t="str">
        <f>IFERROR((((COUNTIF('Elève (6ème1)'!GA5:GC6,"A"))*4)+((COUNTIF('Elève (6ème1)'!GA5:GC6,"B"))*3)+((COUNTIF('Elève (6ème1)'!GA5:GC6,"C"))*2)+((COUNTIF('Elève (6ème1)'!GA5:GC6,"D"))*1))/(COUNTA(GA5:GC6)),"")</f>
        <v/>
      </c>
      <c r="GE4" s="128" t="str">
        <f t="shared" ref="GE4:GE19" si="42">IF(GD4="","",IF(GD4&gt;3.7,"A",IF(GD4&gt;2.8,"B",IF(GD4&gt;1.5,"C",IF(GD4&gt;0,"D",IF(GD4=0,""))))))</f>
        <v/>
      </c>
      <c r="GF4" s="177" t="str">
        <f>IFERROR((((COUNTIF(FQ5:FS6,"A")+COUNTIF(FV5:FX6,"A")+COUNTIF(GA5:GC6,"A"))*4)+((COUNTIF(FQ5:FS6,"B")+COUNTIF(FV5:FX6,"B")+COUNTIF(GA5:GC6,"B"))*3)+((COUNTIF(FQ5:FS6,"C")+COUNTIF(FV5:FX6,"C")+COUNTIF(GA5:GC6,"C"))*2)+((COUNTIF(FQ5:FS6,"D")+COUNTIF(FV5:FX6,"D")+COUNTIF(GA5:GC6,"D"))*1))/(COUNTA(FQ5:FS6)+COUNTA(FV5:FX6)+COUNTA(GA5:GC6)),"")</f>
        <v/>
      </c>
      <c r="GG4" s="130" t="str">
        <f t="shared" ref="GG4:GG19" si="43">IF(GF4="","",IF(GF4&gt;3.7,"A",IF(GF4&gt;2.8,"B",IF(GF4&gt;1.5,"C",IF(GF4&gt;0,"D",IF(GF4=0,""))))))</f>
        <v/>
      </c>
      <c r="GH4" s="152"/>
      <c r="GI4" s="185"/>
      <c r="GJ4" s="185"/>
      <c r="GK4" s="106" t="str">
        <f>IFERROR((((COUNTIF('Elève (6ème1)'!GH5:GJ6,"A"))*4)+((COUNTIF('Elève (6ème1)'!GH5:GJ6,"B"))*3)+((COUNTIF('Elève (6ème1)'!GH5:GJ6,"C"))*2)+((COUNTIF('Elève (6ème1)'!GH5:GJ6,"D"))*1))/(COUNTA(GH5:GJ6)),"")</f>
        <v/>
      </c>
      <c r="GL4" s="107" t="str">
        <f t="shared" ref="GL4:GL19" si="44">IF(GK4="","",IF(GK4&gt;3.7,"A",IF(GK4&gt;2.8,"B",IF(GK4&gt;1.5,"C",IF(GK4&gt;0,"D",IF(GK4=0,""))))))</f>
        <v/>
      </c>
      <c r="GM4" s="145"/>
      <c r="GN4" s="186"/>
      <c r="GO4" s="146"/>
      <c r="GP4" s="106" t="str">
        <f>IFERROR((((COUNTIF('Elève (6ème1)'!GM5:GO6,"A"))*4)+((COUNTIF('Elève (6ème1)'!GM5:GO6,"B"))*3)+((COUNTIF('Elève (6ème1)'!GM5:GO6,"C"))*2)+((COUNTIF('Elève (6ème1)'!GM5:GO6,"D"))*1))/(COUNTA(GM5:GO6)),"")</f>
        <v/>
      </c>
      <c r="GQ4" s="121" t="str">
        <f t="shared" ref="GQ4:GQ19" si="45">IF(GP4="","",IF(GP4&gt;3.7,"A",IF(GP4&gt;2.8,"B",IF(GP4&gt;1.5,"C",IF(GP4&gt;0,"D",IF(GP4=0,""))))))</f>
        <v/>
      </c>
      <c r="GR4" s="100"/>
      <c r="GS4" s="187"/>
      <c r="GT4" s="188"/>
      <c r="GU4" s="106" t="str">
        <f>IFERROR((((COUNTIF('Elève (6ème1)'!GR5:GT6,"A"))*4)+((COUNTIF('Elève (6ème1)'!GR5:GT6,"B"))*3)+((COUNTIF('Elève (6ème1)'!GR5:GT6,"C"))*2)+((COUNTIF('Elève (6ème1)'!GR5:GT6,"D"))*1))/(COUNTA(GR5:GT6)),"")</f>
        <v/>
      </c>
      <c r="GV4" s="128" t="str">
        <f t="shared" ref="GV4:GV19" si="46">IF(GU4="","",IF(GU4&gt;3.7,"A",IF(GU4&gt;2.8,"B",IF(GU4&gt;1.5,"C",IF(GU4&gt;0,"D",IF(GU4=0,""))))))</f>
        <v/>
      </c>
      <c r="GW4" s="177" t="str">
        <f>IFERROR((((COUNTIF(GH5:GJ6,"A")+COUNTIF(GM5:GO6,"A")+COUNTIF(GR5:GT6,"A"))*4)+((COUNTIF(GH5:GJ6,"B")+COUNTIF(GM5:GO6,"B")+COUNTIF(GR5:GT6,"B"))*3)+((COUNTIF(GH5:GJ6,"C")+COUNTIF(GM5:GO6,"C")+COUNTIF(GR5:GT6,"C"))*2)+((COUNTIF(GH5:GJ6,"D")+COUNTIF(GM5:GO6,"D")+COUNTIF(GR5:GT6,"D"))*1))/(COUNTA(GH5:GJ6)+COUNTA(GM5:GO6)+COUNTA(GR5:GT6)),"")</f>
        <v/>
      </c>
      <c r="GX4" s="130" t="str">
        <f t="shared" ref="GX4:GX19" si="47">IF(GW4="","",IF(GW4&gt;3.7,"A",IF(GW4&gt;2.8,"B",IF(GW4&gt;1.5,"C",IF(GW4&gt;0,"D",IF(GW4=0,""))))))</f>
        <v/>
      </c>
      <c r="GY4" s="152"/>
      <c r="GZ4" s="185"/>
      <c r="HA4" s="185"/>
      <c r="HB4" s="106" t="str">
        <f>IFERROR((((COUNTIF('Elève (6ème1)'!GY5:HA6,"A"))*4)+((COUNTIF('Elève (6ème1)'!GY5:HA6,"B"))*3)+((COUNTIF('Elève (6ème1)'!GY5:HA6,"C"))*2)+((COUNTIF('Elève (6ème1)'!GY5:HA6,"D"))*1))/(COUNTA(GY5:HA6)),"")</f>
        <v/>
      </c>
      <c r="HC4" s="107" t="str">
        <f t="shared" ref="HC4:HC19" si="48">IF(HB4="","",IF(HB4&gt;3.7,"A",IF(HB4&gt;2.8,"B",IF(HB4&gt;1.5,"C",IF(HB4&gt;0,"D",IF(HB4=0,""))))))</f>
        <v/>
      </c>
      <c r="HD4" s="145"/>
      <c r="HE4" s="186"/>
      <c r="HF4" s="146"/>
      <c r="HG4" s="106" t="str">
        <f>IFERROR((((COUNTIF('Elève (6ème1)'!HD5:HF6,"A"))*4)+((COUNTIF('Elève (6ème1)'!HD5:HF6,"B"))*3)+((COUNTIF('Elève (6ème1)'!HD5:HF6,"C"))*2)+((COUNTIF('Elève (6ème1)'!HD5:HF6,"D"))*1))/(COUNTA(HD5:HF6)),"")</f>
        <v/>
      </c>
      <c r="HH4" s="121" t="str">
        <f t="shared" ref="HH4:HH19" si="49">IF(HG4="","",IF(HG4&gt;3.7,"A",IF(HG4&gt;2.8,"B",IF(HG4&gt;1.5,"C",IF(HG4&gt;0,"D",IF(HG4=0,""))))))</f>
        <v/>
      </c>
      <c r="HI4" s="100"/>
      <c r="HJ4" s="187"/>
      <c r="HK4" s="188"/>
      <c r="HL4" s="106" t="str">
        <f>IFERROR((((COUNTIF('Elève (6ème1)'!HI5:HK6,"A"))*4)+((COUNTIF('Elève (6ème1)'!HI5:HK6,"B"))*3)+((COUNTIF('Elève (6ème1)'!HI5:HK6,"C"))*2)+((COUNTIF('Elève (6ème1)'!HI5:HK6,"D"))*1))/(COUNTA(HI5:HK6)),"")</f>
        <v/>
      </c>
      <c r="HM4" s="128" t="str">
        <f t="shared" ref="HM4:HM19" si="50">IF(HL4="","",IF(HL4&gt;3.7,"A",IF(HL4&gt;2.8,"B",IF(HL4&gt;1.5,"C",IF(HL4&gt;0,"D",IF(HL4=0,""))))))</f>
        <v/>
      </c>
      <c r="HN4" s="177" t="str">
        <f>IFERROR((((COUNTIF(GY5:HA6,"A")+COUNTIF(HD5:HF6,"A")+COUNTIF(HI5:HK6,"A"))*4)+((COUNTIF(GY5:HA6,"B")+COUNTIF(HD5:HF6,"B")+COUNTIF(HI5:HK6,"B"))*3)+((COUNTIF(GY5:HA6,"C")+COUNTIF(HD5:HF6,"C")+COUNTIF(HI5:HK6,"C"))*2)+((COUNTIF(GY5:HA6,"D")+COUNTIF(HD5:HF6,"D")+COUNTIF(HI5:HK6,"D"))*1))/(COUNTA(GY5:HA6)+COUNTA(HD5:HF6)+COUNTA(HI5:HK6)),"")</f>
        <v/>
      </c>
      <c r="HO4" s="130" t="str">
        <f t="shared" ref="HO4:HO19" si="51">IF(HN4="","",IF(HN4&gt;3.7,"A",IF(HN4&gt;2.8,"B",IF(HN4&gt;1.5,"C",IF(HN4&gt;0,"D",IF(HN4=0,""))))))</f>
        <v/>
      </c>
      <c r="HP4" s="152"/>
      <c r="HQ4" s="185"/>
      <c r="HR4" s="185"/>
      <c r="HS4" s="106" t="str">
        <f>IFERROR((((COUNTIF('Elève (6ème1)'!HP5:HR6,"A"))*4)+((COUNTIF('Elève (6ème1)'!HP5:HR6,"B"))*3)+((COUNTIF('Elève (6ème1)'!HP5:HR6,"C"))*2)+((COUNTIF('Elève (6ème1)'!HP5:HR6,"D"))*1))/(COUNTA(HP5:HR6)),"")</f>
        <v/>
      </c>
      <c r="HT4" s="107" t="str">
        <f t="shared" ref="HT4:HT19" si="52">IF(HS4="","",IF(HS4&gt;3.7,"A",IF(HS4&gt;2.8,"B",IF(HS4&gt;1.5,"C",IF(HS4&gt;0,"D",IF(HS4=0,""))))))</f>
        <v/>
      </c>
      <c r="HU4" s="145"/>
      <c r="HV4" s="186"/>
      <c r="HW4" s="146"/>
      <c r="HX4" s="106" t="str">
        <f>IFERROR((((COUNTIF('Elève (6ème1)'!HU5:HW6,"A"))*4)+((COUNTIF('Elève (6ème1)'!HU5:HW6,"B"))*3)+((COUNTIF('Elève (6ème1)'!HU5:HW6,"C"))*2)+((COUNTIF('Elève (6ème1)'!HU5:HW6,"D"))*1))/(COUNTA(HU5:HW6)),"")</f>
        <v/>
      </c>
      <c r="HY4" s="121" t="str">
        <f t="shared" ref="HY4:HY19" si="53">IF(HX4="","",IF(HX4&gt;3.7,"A",IF(HX4&gt;2.8,"B",IF(HX4&gt;1.5,"C",IF(HX4&gt;0,"D",IF(HX4=0,""))))))</f>
        <v/>
      </c>
      <c r="HZ4" s="100"/>
      <c r="IA4" s="187"/>
      <c r="IB4" s="188"/>
      <c r="IC4" s="106" t="str">
        <f>IFERROR((((COUNTIF('Elève (6ème1)'!HZ5:IB6,"A"))*4)+((COUNTIF('Elève (6ème1)'!HZ5:IB6,"B"))*3)+((COUNTIF('Elève (6ème1)'!HZ5:IB6,"C"))*2)+((COUNTIF('Elève (6ème1)'!HZ5:IB6,"D"))*1))/(COUNTA(HZ5:IB6)),"")</f>
        <v/>
      </c>
      <c r="ID4" s="128" t="str">
        <f t="shared" ref="ID4:ID19" si="54">IF(IC4="","",IF(IC4&gt;3.7,"A",IF(IC4&gt;2.8,"B",IF(IC4&gt;1.5,"C",IF(IC4&gt;0,"D",IF(IC4=0,""))))))</f>
        <v/>
      </c>
      <c r="IE4" s="177" t="str">
        <f>IFERROR((((COUNTIF(HP5:HR6,"A")+COUNTIF(HU5:HW6,"A")+COUNTIF(HZ5:IB6,"A"))*4)+((COUNTIF(HP5:HR6,"B")+COUNTIF(HU5:HW6,"B")+COUNTIF(HZ5:IB6,"B"))*3)+((COUNTIF(HP5:HR6,"C")+COUNTIF(HU5:HW6,"C")+COUNTIF(HZ5:IB6,"C"))*2)+((COUNTIF(HP5:HR6,"D")+COUNTIF(HU5:HW6,"D")+COUNTIF(HZ5:IB6,"D"))*1))/(COUNTA(HP5:HR6)+COUNTA(HU5:HW6)+COUNTA(HZ5:IB6)),"")</f>
        <v/>
      </c>
      <c r="IF4" s="130" t="str">
        <f t="shared" ref="IF4:IF19" si="55">IF(IE4="","",IF(IE4&gt;3.7,"A",IF(IE4&gt;2.8,"B",IF(IE4&gt;1.5,"C",IF(IE4&gt;0,"D",IF(IE4=0,""))))))</f>
        <v/>
      </c>
      <c r="IG4" s="152"/>
      <c r="IH4" s="185"/>
      <c r="II4" s="185"/>
      <c r="IJ4" s="106" t="str">
        <f>IFERROR((((COUNTIF('Elève (6ème1)'!IG5:II6,"A"))*4)+((COUNTIF('Elève (6ème1)'!IG5:II6,"B"))*3)+((COUNTIF('Elève (6ème1)'!IG5:II6,"C"))*2)+((COUNTIF('Elève (6ème1)'!IG5:II6,"D"))*1))/(COUNTA(IG5:II6)),"")</f>
        <v/>
      </c>
      <c r="IK4" s="107" t="str">
        <f t="shared" ref="IK4:IK19" si="56">IF(IJ4="","",IF(IJ4&gt;3.7,"A",IF(IJ4&gt;2.8,"B",IF(IJ4&gt;1.5,"C",IF(IJ4&gt;0,"D",IF(IJ4=0,""))))))</f>
        <v/>
      </c>
      <c r="IL4" s="145"/>
      <c r="IM4" s="186"/>
      <c r="IN4" s="146"/>
      <c r="IO4" s="106" t="str">
        <f>IFERROR((((COUNTIF('Elève (6ème1)'!IL5:IN6,"A"))*4)+((COUNTIF('Elève (6ème1)'!IL5:IN6,"B"))*3)+((COUNTIF('Elève (6ème1)'!IL5:IN6,"C"))*2)+((COUNTIF('Elève (6ème1)'!IL5:IN6,"D"))*1))/(COUNTA(IL5:IN6)),"")</f>
        <v/>
      </c>
      <c r="IP4" s="121" t="str">
        <f t="shared" ref="IP4:IP19" si="57">IF(IO4="","",IF(IO4&gt;3.7,"A",IF(IO4&gt;2.8,"B",IF(IO4&gt;1.5,"C",IF(IO4&gt;0,"D",IF(IO4=0,""))))))</f>
        <v/>
      </c>
      <c r="IQ4" s="100"/>
      <c r="IR4" s="187"/>
      <c r="IS4" s="188"/>
      <c r="IT4" s="106" t="str">
        <f>IFERROR((((COUNTIF('Elève (6ème1)'!IQ5:IS6,"A"))*4)+((COUNTIF('Elève (6ème1)'!IQ5:IS6,"B"))*3)+((COUNTIF('Elève (6ème1)'!IQ5:IS6,"C"))*2)+((COUNTIF('Elève (6ème1)'!IQ5:IS6,"D"))*1))/(COUNTA(IQ5:IS6)),"")</f>
        <v/>
      </c>
      <c r="IU4" s="128" t="str">
        <f t="shared" ref="IU4:IU19" si="58">IF(IT4="","",IF(IT4&gt;3.7,"A",IF(IT4&gt;2.8,"B",IF(IT4&gt;1.5,"C",IF(IT4&gt;0,"D",IF(IT4=0,""))))))</f>
        <v/>
      </c>
      <c r="IV4" s="177" t="str">
        <f>IFERROR((((COUNTIF(IG5:II6,"A")+COUNTIF(IL5:IN6,"A")+COUNTIF(IQ5:IS6,"A"))*4)+((COUNTIF(IG5:II6,"B")+COUNTIF(IL5:IN6,"B")+COUNTIF(IQ5:IS6,"B"))*3)+((COUNTIF(IG5:II6,"C")+COUNTIF(IL5:IN6,"C")+COUNTIF(IQ5:IS6,"C"))*2)+((COUNTIF(IG5:II6,"D")+COUNTIF(IL5:IN6,"D")+COUNTIF(IQ5:IS6,"D"))*1))/(COUNTA(IG5:II6)+COUNTA(IL5:IN6)+COUNTA(IQ5:IS6)),"")</f>
        <v/>
      </c>
      <c r="IW4" s="130" t="str">
        <f t="shared" ref="IW4:IW19" si="59">IF(IV4="","",IF(IV4&gt;3.7,"A",IF(IV4&gt;2.8,"B",IF(IV4&gt;1.5,"C",IF(IV4&gt;0,"D",IF(IV4=0,""))))))</f>
        <v/>
      </c>
      <c r="IX4" s="152"/>
      <c r="IY4" s="185"/>
      <c r="IZ4" s="185"/>
      <c r="JA4" s="106" t="str">
        <f>IFERROR((((COUNTIF('Elève (6ème1)'!IX5:IZ6,"A"))*4)+((COUNTIF('Elève (6ème1)'!IX5:IZ6,"B"))*3)+((COUNTIF('Elève (6ème1)'!IX5:IZ6,"C"))*2)+((COUNTIF('Elève (6ème1)'!IX5:IZ6,"D"))*1))/(COUNTA(IX5:IZ6)),"")</f>
        <v/>
      </c>
      <c r="JB4" s="107" t="str">
        <f t="shared" ref="JB4:JB19" si="60">IF(JA4="","",IF(JA4&gt;3.7,"A",IF(JA4&gt;2.8,"B",IF(JA4&gt;1.5,"C",IF(JA4&gt;0,"D",IF(JA4=0,""))))))</f>
        <v/>
      </c>
      <c r="JC4" s="145"/>
      <c r="JD4" s="186"/>
      <c r="JE4" s="146"/>
      <c r="JF4" s="106" t="str">
        <f>IFERROR((((COUNTIF('Elève (6ème1)'!JC5:JE6,"A"))*4)+((COUNTIF('Elève (6ème1)'!JC5:JE6,"B"))*3)+((COUNTIF('Elève (6ème1)'!JC5:JE6,"C"))*2)+((COUNTIF('Elève (6ème1)'!JC5:JE6,"D"))*1))/(COUNTA(JC5:JE6)),"")</f>
        <v/>
      </c>
      <c r="JG4" s="121" t="str">
        <f t="shared" ref="JG4:JG19" si="61">IF(JF4="","",IF(JF4&gt;3.7,"A",IF(JF4&gt;2.8,"B",IF(JF4&gt;1.5,"C",IF(JF4&gt;0,"D",IF(JF4=0,""))))))</f>
        <v/>
      </c>
      <c r="JH4" s="100"/>
      <c r="JI4" s="187"/>
      <c r="JJ4" s="188"/>
      <c r="JK4" s="106" t="str">
        <f>IFERROR((((COUNTIF('Elève (6ème1)'!JH5:JJ6,"A"))*4)+((COUNTIF('Elève (6ème1)'!JH5:JJ6,"B"))*3)+((COUNTIF('Elève (6ème1)'!JH5:JJ6,"C"))*2)+((COUNTIF('Elève (6ème1)'!JH5:JJ6,"D"))*1))/(COUNTA(JH5:JJ6)),"")</f>
        <v/>
      </c>
      <c r="JL4" s="128" t="str">
        <f t="shared" ref="JL4:JL19" si="62">IF(JK4="","",IF(JK4&gt;3.7,"A",IF(JK4&gt;2.8,"B",IF(JK4&gt;1.5,"C",IF(JK4&gt;0,"D",IF(JK4=0,""))))))</f>
        <v/>
      </c>
      <c r="JM4" s="177" t="str">
        <f>IFERROR((((COUNTIF(IX5:IZ6,"A")+COUNTIF(JC5:JE6,"A")+COUNTIF(JH5:JJ6,"A"))*4)+((COUNTIF(IX5:IZ6,"B")+COUNTIF(JC5:JE6,"B")+COUNTIF(JH5:JJ6,"B"))*3)+((COUNTIF(IX5:IZ6,"C")+COUNTIF(JC5:JE6,"C")+COUNTIF(JH5:JJ6,"C"))*2)+((COUNTIF(IX5:IZ6,"D")+COUNTIF(JC5:JE6,"D")+COUNTIF(JH5:JJ6,"D"))*1))/(COUNTA(IX5:IZ6)+COUNTA(JC5:JE6)+COUNTA(JH5:JJ6)),"")</f>
        <v/>
      </c>
      <c r="JN4" s="130" t="str">
        <f t="shared" ref="JN4:JN19" si="63">IF(JM4="","",IF(JM4&gt;3.7,"A",IF(JM4&gt;2.8,"B",IF(JM4&gt;1.5,"C",IF(JM4&gt;0,"D",IF(JM4=0,""))))))</f>
        <v/>
      </c>
      <c r="JO4" s="152"/>
      <c r="JP4" s="185"/>
      <c r="JQ4" s="185"/>
      <c r="JR4" s="106" t="str">
        <f>IFERROR((((COUNTIF('Elève (6ème1)'!JO5:JQ6,"A"))*4)+((COUNTIF('Elève (6ème1)'!JO5:JQ6,"B"))*3)+((COUNTIF('Elève (6ème1)'!JO5:JQ6,"C"))*2)+((COUNTIF('Elève (6ème1)'!JO5:JQ6,"D"))*1))/(COUNTA(JO5:JQ6)),"")</f>
        <v/>
      </c>
      <c r="JS4" s="107" t="str">
        <f t="shared" ref="JS4:JS19" si="64">IF(JR4="","",IF(JR4&gt;3.7,"A",IF(JR4&gt;2.8,"B",IF(JR4&gt;1.5,"C",IF(JR4&gt;0,"D",IF(JR4=0,""))))))</f>
        <v/>
      </c>
      <c r="JT4" s="145"/>
      <c r="JU4" s="186"/>
      <c r="JV4" s="146"/>
      <c r="JW4" s="106" t="str">
        <f>IFERROR((((COUNTIF('Elève (6ème1)'!JT5:JV6,"A"))*4)+((COUNTIF('Elève (6ème1)'!JT5:JV6,"B"))*3)+((COUNTIF('Elève (6ème1)'!JT5:JV6,"C"))*2)+((COUNTIF('Elève (6ème1)'!JT5:JV6,"D"))*1))/(COUNTA(JT5:JV6)),"")</f>
        <v/>
      </c>
      <c r="JX4" s="121" t="str">
        <f t="shared" ref="JX4:JX19" si="65">IF(JW4="","",IF(JW4&gt;3.7,"A",IF(JW4&gt;2.8,"B",IF(JW4&gt;1.5,"C",IF(JW4&gt;0,"D",IF(JW4=0,""))))))</f>
        <v/>
      </c>
      <c r="JY4" s="100"/>
      <c r="JZ4" s="187"/>
      <c r="KA4" s="188"/>
      <c r="KB4" s="106" t="str">
        <f>IFERROR((((COUNTIF('Elève (6ème1)'!JY5:KA6,"A"))*4)+((COUNTIF('Elève (6ème1)'!JY5:KA6,"B"))*3)+((COUNTIF('Elève (6ème1)'!JY5:KA6,"C"))*2)+((COUNTIF('Elève (6ème1)'!JY5:KA6,"D"))*1))/(COUNTA(JY5:KA6)),"")</f>
        <v/>
      </c>
      <c r="KC4" s="128" t="str">
        <f t="shared" ref="KC4:KC19" si="66">IF(KB4="","",IF(KB4&gt;3.7,"A",IF(KB4&gt;2.8,"B",IF(KB4&gt;1.5,"C",IF(KB4&gt;0,"D",IF(KB4=0,""))))))</f>
        <v/>
      </c>
      <c r="KD4" s="177" t="str">
        <f>IFERROR((((COUNTIF(JO5:JQ6,"A")+COUNTIF(JT5:JV6,"A")+COUNTIF(JY5:KA6,"A"))*4)+((COUNTIF(JO5:JQ6,"B")+COUNTIF(JT5:JV6,"B")+COUNTIF(JY5:KA6,"B"))*3)+((COUNTIF(JO5:JQ6,"C")+COUNTIF(JT5:JV6,"C")+COUNTIF(JY5:KA6,"C"))*2)+((COUNTIF(JO5:JQ6,"D")+COUNTIF(JT5:JV6,"D")+COUNTIF(JY5:KA6,"D"))*1))/(COUNTA(JO5:JQ6)+COUNTA(JT5:JV6)+COUNTA(JY5:KA6)),"")</f>
        <v/>
      </c>
      <c r="KE4" s="130" t="str">
        <f t="shared" ref="KE4:KE19" si="67">IF(KD4="","",IF(KD4&gt;3.7,"A",IF(KD4&gt;2.8,"B",IF(KD4&gt;1.5,"C",IF(KD4&gt;0,"D",IF(KD4=0,""))))))</f>
        <v/>
      </c>
      <c r="KF4" s="152"/>
      <c r="KG4" s="185"/>
      <c r="KH4" s="185"/>
      <c r="KI4" s="106" t="str">
        <f>IFERROR((((COUNTIF('Elève (6ème1)'!KF5:KH6,"A"))*4)+((COUNTIF('Elève (6ème1)'!KF5:KH6,"B"))*3)+((COUNTIF('Elève (6ème1)'!KF5:KH6,"C"))*2)+((COUNTIF('Elève (6ème1)'!KF5:KH6,"D"))*1))/(COUNTA(KF5:KH6)),"")</f>
        <v/>
      </c>
      <c r="KJ4" s="107" t="str">
        <f t="shared" ref="KJ4:KJ19" si="68">IF(KI4="","",IF(KI4&gt;3.7,"A",IF(KI4&gt;2.8,"B",IF(KI4&gt;1.5,"C",IF(KI4&gt;0,"D",IF(KI4=0,""))))))</f>
        <v/>
      </c>
      <c r="KK4" s="145"/>
      <c r="KL4" s="186"/>
      <c r="KM4" s="146"/>
      <c r="KN4" s="106" t="str">
        <f>IFERROR((((COUNTIF('Elève (6ème1)'!KK5:KM6,"A"))*4)+((COUNTIF('Elève (6ème1)'!KK5:KM6,"B"))*3)+((COUNTIF('Elève (6ème1)'!KK5:KM6,"C"))*2)+((COUNTIF('Elève (6ème1)'!KK5:KM6,"D"))*1))/(COUNTA(KK5:KM6)),"")</f>
        <v/>
      </c>
      <c r="KO4" s="121" t="str">
        <f t="shared" ref="KO4:KO19" si="69">IF(KN4="","",IF(KN4&gt;3.7,"A",IF(KN4&gt;2.8,"B",IF(KN4&gt;1.5,"C",IF(KN4&gt;0,"D",IF(KN4=0,""))))))</f>
        <v/>
      </c>
      <c r="KP4" s="100"/>
      <c r="KQ4" s="187"/>
      <c r="KR4" s="188"/>
      <c r="KS4" s="106" t="str">
        <f>IFERROR((((COUNTIF('Elève (6ème1)'!KP5:KR6,"A"))*4)+((COUNTIF('Elève (6ème1)'!KP5:KR6,"B"))*3)+((COUNTIF('Elève (6ème1)'!KP5:KR6,"C"))*2)+((COUNTIF('Elève (6ème1)'!KP5:KR6,"D"))*1))/(COUNTA(KP5:KR6)),"")</f>
        <v/>
      </c>
      <c r="KT4" s="128" t="str">
        <f t="shared" ref="KT4:KT19" si="70">IF(KS4="","",IF(KS4&gt;3.7,"A",IF(KS4&gt;2.8,"B",IF(KS4&gt;1.5,"C",IF(KS4&gt;0,"D",IF(KS4=0,""))))))</f>
        <v/>
      </c>
      <c r="KU4" s="177" t="str">
        <f>IFERROR((((COUNTIF(KF5:KH6,"A")+COUNTIF(KK5:KM6,"A")+COUNTIF(KP5:KR6,"A"))*4)+((COUNTIF(KF5:KH6,"B")+COUNTIF(KK5:KM6,"B")+COUNTIF(KP5:KR6,"B"))*3)+((COUNTIF(KF5:KH6,"C")+COUNTIF(KK5:KM6,"C")+COUNTIF(KP5:KR6,"C"))*2)+((COUNTIF(KF5:KH6,"D")+COUNTIF(KK5:KM6,"D")+COUNTIF(KP5:KR6,"D"))*1))/(COUNTA(KF5:KH6)+COUNTA(KK5:KM6)+COUNTA(KP5:KR6)),"")</f>
        <v/>
      </c>
      <c r="KV4" s="130" t="str">
        <f t="shared" ref="KV4:KV19" si="71">IF(KU4="","",IF(KU4&gt;3.7,"A",IF(KU4&gt;2.8,"B",IF(KU4&gt;1.5,"C",IF(KU4&gt;0,"D",IF(KU4=0,""))))))</f>
        <v/>
      </c>
      <c r="KW4" s="152"/>
      <c r="KX4" s="185"/>
      <c r="KY4" s="185"/>
      <c r="KZ4" s="106" t="str">
        <f>IFERROR((((COUNTIF('Elève (6ème1)'!KW5:KY6,"A"))*4)+((COUNTIF('Elève (6ème1)'!KW5:KY6,"B"))*3)+((COUNTIF('Elève (6ème1)'!KW5:KY6,"C"))*2)+((COUNTIF('Elève (6ème1)'!KW5:KY6,"D"))*1))/(COUNTA(KW5:KY6)),"")</f>
        <v/>
      </c>
      <c r="LA4" s="107" t="str">
        <f t="shared" ref="LA4:LA19" si="72">IF(KZ4="","",IF(KZ4&gt;3.7,"A",IF(KZ4&gt;2.8,"B",IF(KZ4&gt;1.5,"C",IF(KZ4&gt;0,"D",IF(KZ4=0,""))))))</f>
        <v/>
      </c>
      <c r="LB4" s="145"/>
      <c r="LC4" s="186"/>
      <c r="LD4" s="146"/>
      <c r="LE4" s="106" t="str">
        <f>IFERROR((((COUNTIF('Elève (6ème1)'!LB5:LD6,"A"))*4)+((COUNTIF('Elève (6ème1)'!LB5:LD6,"B"))*3)+((COUNTIF('Elève (6ème1)'!LB5:LD6,"C"))*2)+((COUNTIF('Elève (6ème1)'!LB5:LD6,"D"))*1))/(COUNTA(LB5:LD6)),"")</f>
        <v/>
      </c>
      <c r="LF4" s="121" t="str">
        <f t="shared" ref="LF4:LF19" si="73">IF(LE4="","",IF(LE4&gt;3.7,"A",IF(LE4&gt;2.8,"B",IF(LE4&gt;1.5,"C",IF(LE4&gt;0,"D",IF(LE4=0,""))))))</f>
        <v/>
      </c>
      <c r="LG4" s="100"/>
      <c r="LH4" s="187"/>
      <c r="LI4" s="188"/>
      <c r="LJ4" s="106" t="str">
        <f>IFERROR((((COUNTIF('Elève (6ème1)'!LG5:LI6,"A"))*4)+((COUNTIF('Elève (6ème1)'!LG5:LI6,"B"))*3)+((COUNTIF('Elève (6ème1)'!LG5:LI6,"C"))*2)+((COUNTIF('Elève (6ème1)'!LG5:LI6,"D"))*1))/(COUNTA(LG5:LI6)),"")</f>
        <v/>
      </c>
      <c r="LK4" s="128" t="str">
        <f t="shared" ref="LK4:LK19" si="74">IF(LJ4="","",IF(LJ4&gt;3.7,"A",IF(LJ4&gt;2.8,"B",IF(LJ4&gt;1.5,"C",IF(LJ4&gt;0,"D",IF(LJ4=0,""))))))</f>
        <v/>
      </c>
      <c r="LL4" s="177" t="str">
        <f>IFERROR((((COUNTIF(KW5:KY6,"A")+COUNTIF(LB5:LD6,"A")+COUNTIF(LG5:LI6,"A"))*4)+((COUNTIF(KW5:KY6,"B")+COUNTIF(LB5:LD6,"B")+COUNTIF(LG5:LI6,"B"))*3)+((COUNTIF(KW5:KY6,"C")+COUNTIF(LB5:LD6,"C")+COUNTIF(LG5:LI6,"C"))*2)+((COUNTIF(KW5:KY6,"D")+COUNTIF(LB5:LD6,"D")+COUNTIF(LG5:LI6,"D"))*1))/(COUNTA(KW5:KY6)+COUNTA(LB5:LD6)+COUNTA(LG5:LI6)),"")</f>
        <v/>
      </c>
      <c r="LM4" s="130" t="str">
        <f t="shared" ref="LM4:LM19" si="75">IF(LL4="","",IF(LL4&gt;3.7,"A",IF(LL4&gt;2.8,"B",IF(LL4&gt;1.5,"C",IF(LL4&gt;0,"D",IF(LL4=0,""))))))</f>
        <v/>
      </c>
      <c r="LN4" s="152"/>
      <c r="LO4" s="185"/>
      <c r="LP4" s="185"/>
      <c r="LQ4" s="106" t="str">
        <f>IFERROR((((COUNTIF('Elève (6ème1)'!LN5:LP6,"A"))*4)+((COUNTIF('Elève (6ème1)'!LN5:LP6,"B"))*3)+((COUNTIF('Elève (6ème1)'!LN5:LP6,"C"))*2)+((COUNTIF('Elève (6ème1)'!LN5:LP6,"D"))*1))/(COUNTA(LN5:LP6)),"")</f>
        <v/>
      </c>
      <c r="LR4" s="107" t="str">
        <f t="shared" ref="LR4:LR19" si="76">IF(LQ4="","",IF(LQ4&gt;3.7,"A",IF(LQ4&gt;2.8,"B",IF(LQ4&gt;1.5,"C",IF(LQ4&gt;0,"D",IF(LQ4=0,""))))))</f>
        <v/>
      </c>
      <c r="LS4" s="145"/>
      <c r="LT4" s="186"/>
      <c r="LU4" s="146"/>
      <c r="LV4" s="106" t="str">
        <f>IFERROR((((COUNTIF('Elève (6ème1)'!LS5:LU6,"A"))*4)+((COUNTIF('Elève (6ème1)'!LS5:LU6,"B"))*3)+((COUNTIF('Elève (6ème1)'!LS5:LU6,"C"))*2)+((COUNTIF('Elève (6ème1)'!LS5:LU6,"D"))*1))/(COUNTA(LS5:LU6)),"")</f>
        <v/>
      </c>
      <c r="LW4" s="121" t="str">
        <f t="shared" ref="LW4:LW19" si="77">IF(LV4="","",IF(LV4&gt;3.7,"A",IF(LV4&gt;2.8,"B",IF(LV4&gt;1.5,"C",IF(LV4&gt;0,"D",IF(LV4=0,""))))))</f>
        <v/>
      </c>
      <c r="LX4" s="100"/>
      <c r="LY4" s="187"/>
      <c r="LZ4" s="188"/>
      <c r="MA4" s="106" t="str">
        <f>IFERROR((((COUNTIF('Elève (6ème1)'!LX5:LZ6,"A"))*4)+((COUNTIF('Elève (6ème1)'!LX5:LZ6,"B"))*3)+((COUNTIF('Elève (6ème1)'!LX5:LZ6,"C"))*2)+((COUNTIF('Elève (6ème1)'!LX5:LZ6,"D"))*1))/(COUNTA(LX5:LZ6)),"")</f>
        <v/>
      </c>
      <c r="MB4" s="128" t="str">
        <f t="shared" ref="MB4:MB19" si="78">IF(MA4="","",IF(MA4&gt;3.7,"A",IF(MA4&gt;2.8,"B",IF(MA4&gt;1.5,"C",IF(MA4&gt;0,"D",IF(MA4=0,""))))))</f>
        <v/>
      </c>
      <c r="MC4" s="177" t="str">
        <f>IFERROR((((COUNTIF(LN5:LP6,"A")+COUNTIF(LS5:LU6,"A")+COUNTIF(LX5:LZ6,"A"))*4)+((COUNTIF(LN5:LP6,"B")+COUNTIF(LS5:LU6,"B")+COUNTIF(LX5:LZ6,"B"))*3)+((COUNTIF(LN5:LP6,"C")+COUNTIF(LS5:LU6,"C")+COUNTIF(LX5:LZ6,"C"))*2)+((COUNTIF(LN5:LP6,"D")+COUNTIF(LS5:LU6,"D")+COUNTIF(LX5:LZ6,"D"))*1))/(COUNTA(LN5:LP6)+COUNTA(LS5:LU6)+COUNTA(LX5:LZ6)),"")</f>
        <v/>
      </c>
      <c r="MD4" s="130" t="str">
        <f t="shared" ref="MD4:MD19" si="79">IF(MC4="","",IF(MC4&gt;3.7,"A",IF(MC4&gt;2.8,"B",IF(MC4&gt;1.5,"C",IF(MC4&gt;0,"D",IF(MC4=0,""))))))</f>
        <v/>
      </c>
      <c r="ME4" s="152"/>
      <c r="MF4" s="185"/>
      <c r="MG4" s="185"/>
      <c r="MH4" s="106" t="str">
        <f>IFERROR((((COUNTIF('Elève (6ème1)'!ME5:MG6,"A"))*4)+((COUNTIF('Elève (6ème1)'!ME5:MG6,"B"))*3)+((COUNTIF('Elève (6ème1)'!ME5:MG6,"C"))*2)+((COUNTIF('Elève (6ème1)'!ME5:MG6,"D"))*1))/(COUNTA(ME5:MG6)),"")</f>
        <v/>
      </c>
      <c r="MI4" s="107" t="str">
        <f t="shared" ref="MI4:MI19" si="80">IF(MH4="","",IF(MH4&gt;3.7,"A",IF(MH4&gt;2.8,"B",IF(MH4&gt;1.5,"C",IF(MH4&gt;0,"D",IF(MH4=0,""))))))</f>
        <v/>
      </c>
      <c r="MJ4" s="145"/>
      <c r="MK4" s="186"/>
      <c r="ML4" s="146"/>
      <c r="MM4" s="106" t="str">
        <f>IFERROR((((COUNTIF('Elève (6ème1)'!MJ5:ML6,"A"))*4)+((COUNTIF('Elève (6ème1)'!MJ5:ML6,"B"))*3)+((COUNTIF('Elève (6ème1)'!MJ5:ML6,"C"))*2)+((COUNTIF('Elève (6ème1)'!MJ5:ML6,"D"))*1))/(COUNTA(MJ5:ML6)),"")</f>
        <v/>
      </c>
      <c r="MN4" s="121" t="str">
        <f t="shared" ref="MN4:MN19" si="81">IF(MM4="","",IF(MM4&gt;3.7,"A",IF(MM4&gt;2.8,"B",IF(MM4&gt;1.5,"C",IF(MM4&gt;0,"D",IF(MM4=0,""))))))</f>
        <v/>
      </c>
      <c r="MO4" s="100"/>
      <c r="MP4" s="187"/>
      <c r="MQ4" s="188"/>
      <c r="MR4" s="106" t="str">
        <f>IFERROR((((COUNTIF('Elève (6ème1)'!MO5:MQ6,"A"))*4)+((COUNTIF('Elève (6ème1)'!MO5:MQ6,"B"))*3)+((COUNTIF('Elève (6ème1)'!MO5:MQ6,"C"))*2)+((COUNTIF('Elève (6ème1)'!MO5:MQ6,"D"))*1))/(COUNTA(MO5:MQ6)),"")</f>
        <v/>
      </c>
      <c r="MS4" s="128" t="str">
        <f t="shared" ref="MS4:MS19" si="82">IF(MR4="","",IF(MR4&gt;3.7,"A",IF(MR4&gt;2.8,"B",IF(MR4&gt;1.5,"C",IF(MR4&gt;0,"D",IF(MR4=0,""))))))</f>
        <v/>
      </c>
      <c r="MT4" s="177" t="str">
        <f>IFERROR((((COUNTIF(ME5:MG6,"A")+COUNTIF(MJ5:ML6,"A")+COUNTIF(MO5:MQ6,"A"))*4)+((COUNTIF(ME5:MG6,"B")+COUNTIF(MJ5:ML6,"B")+COUNTIF(MO5:MQ6,"B"))*3)+((COUNTIF(ME5:MG6,"C")+COUNTIF(MJ5:ML6,"C")+COUNTIF(MO5:MQ6,"C"))*2)+((COUNTIF(ME5:MG6,"D")+COUNTIF(MJ5:ML6,"D")+COUNTIF(MO5:MQ6,"D"))*1))/(COUNTA(ME5:MG6)+COUNTA(MJ5:ML6)+COUNTA(MO5:MQ6)),"")</f>
        <v/>
      </c>
      <c r="MU4" s="130" t="str">
        <f t="shared" ref="MU4:MU19" si="83">IF(MT4="","",IF(MT4&gt;3.7,"A",IF(MT4&gt;2.8,"B",IF(MT4&gt;1.5,"C",IF(MT4&gt;0,"D",IF(MT4=0,""))))))</f>
        <v/>
      </c>
      <c r="MV4" s="152"/>
      <c r="MW4" s="185"/>
      <c r="MX4" s="185"/>
      <c r="MY4" s="106" t="str">
        <f>IFERROR((((COUNTIF('Elève (6ème1)'!MV5:MX6,"A"))*4)+((COUNTIF('Elève (6ème1)'!MV5:MX6,"B"))*3)+((COUNTIF('Elève (6ème1)'!MV5:MX6,"C"))*2)+((COUNTIF('Elève (6ème1)'!MV5:MX6,"D"))*1))/(COUNTA(MV5:MX6)),"")</f>
        <v/>
      </c>
      <c r="MZ4" s="107" t="str">
        <f t="shared" ref="MZ4:MZ19" si="84">IF(MY4="","",IF(MY4&gt;3.7,"A",IF(MY4&gt;2.8,"B",IF(MY4&gt;1.5,"C",IF(MY4&gt;0,"D",IF(MY4=0,""))))))</f>
        <v/>
      </c>
      <c r="NA4" s="145"/>
      <c r="NB4" s="186"/>
      <c r="NC4" s="146"/>
      <c r="ND4" s="106" t="str">
        <f>IFERROR((((COUNTIF('Elève (6ème1)'!NA5:NC6,"A"))*4)+((COUNTIF('Elève (6ème1)'!NA5:NC6,"B"))*3)+((COUNTIF('Elève (6ème1)'!NA5:NC6,"C"))*2)+((COUNTIF('Elève (6ème1)'!NA5:NC6,"D"))*1))/(COUNTA(NA5:NC6)),"")</f>
        <v/>
      </c>
      <c r="NE4" s="121" t="str">
        <f t="shared" ref="NE4:NE19" si="85">IF(ND4="","",IF(ND4&gt;3.7,"A",IF(ND4&gt;2.8,"B",IF(ND4&gt;1.5,"C",IF(ND4&gt;0,"D",IF(ND4=0,""))))))</f>
        <v/>
      </c>
      <c r="NF4" s="100"/>
      <c r="NG4" s="187"/>
      <c r="NH4" s="188"/>
      <c r="NI4" s="106" t="str">
        <f>IFERROR((((COUNTIF('Elève (6ème1)'!NF5:NH6,"A"))*4)+((COUNTIF('Elève (6ème1)'!NF5:NH6,"B"))*3)+((COUNTIF('Elève (6ème1)'!NF5:NH6,"C"))*2)+((COUNTIF('Elève (6ème1)'!NF5:NH6,"D"))*1))/(COUNTA(NF5:NH6)),"")</f>
        <v/>
      </c>
      <c r="NJ4" s="128" t="str">
        <f t="shared" ref="NJ4:NJ19" si="86">IF(NI4="","",IF(NI4&gt;3.7,"A",IF(NI4&gt;2.8,"B",IF(NI4&gt;1.5,"C",IF(NI4&gt;0,"D",IF(NI4=0,""))))))</f>
        <v/>
      </c>
      <c r="NK4" s="177" t="str">
        <f>IFERROR((((COUNTIF(MV5:MX6,"A")+COUNTIF(NA5:NC6,"A")+COUNTIF(NF5:NH6,"A"))*4)+((COUNTIF(MV5:MX6,"B")+COUNTIF(NA5:NC6,"B")+COUNTIF(NF5:NH6,"B"))*3)+((COUNTIF(MV5:MX6,"C")+COUNTIF(NA5:NC6,"C")+COUNTIF(NF5:NH6,"C"))*2)+((COUNTIF(MV5:MX6,"D")+COUNTIF(NA5:NC6,"D")+COUNTIF(NF5:NH6,"D"))*1))/(COUNTA(MV5:MX6)+COUNTA(NA5:NC6)+COUNTA(NF5:NH6)),"")</f>
        <v/>
      </c>
      <c r="NL4" s="130" t="str">
        <f t="shared" ref="NL4:NL19" si="87">IF(NK4="","",IF(NK4&gt;3.7,"A",IF(NK4&gt;2.8,"B",IF(NK4&gt;1.5,"C",IF(NK4&gt;0,"D",IF(NK4=0,""))))))</f>
        <v/>
      </c>
      <c r="NM4" s="152"/>
      <c r="NN4" s="185"/>
      <c r="NO4" s="185"/>
      <c r="NP4" s="106" t="str">
        <f>IFERROR((((COUNTIF('Elève (6ème1)'!NM5:NO6,"A"))*4)+((COUNTIF('Elève (6ème1)'!NM5:NO6,"B"))*3)+((COUNTIF('Elève (6ème1)'!NM5:NO6,"C"))*2)+((COUNTIF('Elève (6ème1)'!NM5:NO6,"D"))*1))/(COUNTA(NM5:NO6)),"")</f>
        <v/>
      </c>
      <c r="NQ4" s="107" t="str">
        <f t="shared" ref="NQ4:NQ19" si="88">IF(NP4="","",IF(NP4&gt;3.7,"A",IF(NP4&gt;2.8,"B",IF(NP4&gt;1.5,"C",IF(NP4&gt;0,"D",IF(NP4=0,""))))))</f>
        <v/>
      </c>
      <c r="NR4" s="145"/>
      <c r="NS4" s="186"/>
      <c r="NT4" s="146"/>
      <c r="NU4" s="106" t="str">
        <f>IFERROR((((COUNTIF('Elève (6ème1)'!NR5:NT6,"A"))*4)+((COUNTIF('Elève (6ème1)'!NR5:NT6,"B"))*3)+((COUNTIF('Elève (6ème1)'!NR5:NT6,"C"))*2)+((COUNTIF('Elève (6ème1)'!NR5:NT6,"D"))*1))/(COUNTA(NR5:NT6)),"")</f>
        <v/>
      </c>
      <c r="NV4" s="121" t="str">
        <f t="shared" ref="NV4:NV19" si="89">IF(NU4="","",IF(NU4&gt;3.7,"A",IF(NU4&gt;2.8,"B",IF(NU4&gt;1.5,"C",IF(NU4&gt;0,"D",IF(NU4=0,""))))))</f>
        <v/>
      </c>
      <c r="NW4" s="100"/>
      <c r="NX4" s="187"/>
      <c r="NY4" s="188"/>
      <c r="NZ4" s="106" t="str">
        <f>IFERROR((((COUNTIF('Elève (6ème1)'!NW5:NY6,"A"))*4)+((COUNTIF('Elève (6ème1)'!NW5:NY6,"B"))*3)+((COUNTIF('Elève (6ème1)'!NW5:NY6,"C"))*2)+((COUNTIF('Elève (6ème1)'!NW5:NY6,"D"))*1))/(COUNTA(NW5:NY6)),"")</f>
        <v/>
      </c>
      <c r="OA4" s="128" t="str">
        <f t="shared" ref="OA4:OA19" si="90">IF(NZ4="","",IF(NZ4&gt;3.7,"A",IF(NZ4&gt;2.8,"B",IF(NZ4&gt;1.5,"C",IF(NZ4&gt;0,"D",IF(NZ4=0,""))))))</f>
        <v/>
      </c>
      <c r="OB4" s="177" t="str">
        <f>IFERROR((((COUNTIF(NM5:NO6,"A")+COUNTIF(NR5:NT6,"A")+COUNTIF(NW5:NY6,"A"))*4)+((COUNTIF(NM5:NO6,"B")+COUNTIF(NR5:NT6,"B")+COUNTIF(NW5:NY6,"B"))*3)+((COUNTIF(NM5:NO6,"C")+COUNTIF(NR5:NT6,"C")+COUNTIF(NW5:NY6,"C"))*2)+((COUNTIF(NM5:NO6,"D")+COUNTIF(NR5:NT6,"D")+COUNTIF(NW5:NY6,"D"))*1))/(COUNTA(NM5:NO6)+COUNTA(NR5:NT6)+COUNTA(NW5:NY6)),"")</f>
        <v/>
      </c>
      <c r="OC4" s="130" t="str">
        <f t="shared" ref="OC4:OC19" si="91">IF(OB4="","",IF(OB4&gt;3.7,"A",IF(OB4&gt;2.8,"B",IF(OB4&gt;1.5,"C",IF(OB4&gt;0,"D",IF(OB4=0,""))))))</f>
        <v/>
      </c>
      <c r="OD4" s="152"/>
      <c r="OE4" s="185"/>
      <c r="OF4" s="185"/>
      <c r="OG4" s="106" t="str">
        <f>IFERROR((((COUNTIF('Elève (6ème1)'!OD5:OF6,"A"))*4)+((COUNTIF('Elève (6ème1)'!OD5:OF6,"B"))*3)+((COUNTIF('Elève (6ème1)'!OD5:OF6,"C"))*2)+((COUNTIF('Elève (6ème1)'!OD5:OF6,"D"))*1))/(COUNTA(OD5:OF6)),"")</f>
        <v/>
      </c>
      <c r="OH4" s="107" t="str">
        <f t="shared" ref="OH4:OH19" si="92">IF(OG4="","",IF(OG4&gt;3.7,"A",IF(OG4&gt;2.8,"B",IF(OG4&gt;1.5,"C",IF(OG4&gt;0,"D",IF(OG4=0,""))))))</f>
        <v/>
      </c>
      <c r="OI4" s="145"/>
      <c r="OJ4" s="186"/>
      <c r="OK4" s="146"/>
      <c r="OL4" s="106" t="str">
        <f>IFERROR((((COUNTIF('Elève (6ème1)'!OI5:OK6,"A"))*4)+((COUNTIF('Elève (6ème1)'!OI5:OK6,"B"))*3)+((COUNTIF('Elève (6ème1)'!OI5:OK6,"C"))*2)+((COUNTIF('Elève (6ème1)'!OI5:OK6,"D"))*1))/(COUNTA(OI5:OK6)),"")</f>
        <v/>
      </c>
      <c r="OM4" s="121" t="str">
        <f t="shared" ref="OM4:OM19" si="93">IF(OL4="","",IF(OL4&gt;3.7,"A",IF(OL4&gt;2.8,"B",IF(OL4&gt;1.5,"C",IF(OL4&gt;0,"D",IF(OL4=0,""))))))</f>
        <v/>
      </c>
      <c r="ON4" s="100"/>
      <c r="OO4" s="187"/>
      <c r="OP4" s="188"/>
      <c r="OQ4" s="106" t="str">
        <f>IFERROR((((COUNTIF('Elève (6ème1)'!ON5:OP6,"A"))*4)+((COUNTIF('Elève (6ème1)'!ON5:OP6,"B"))*3)+((COUNTIF('Elève (6ème1)'!ON5:OP6,"C"))*2)+((COUNTIF('Elève (6ème1)'!ON5:OP6,"D"))*1))/(COUNTA(ON5:OP6)),"")</f>
        <v/>
      </c>
      <c r="OR4" s="128" t="str">
        <f t="shared" ref="OR4:OR19" si="94">IF(OQ4="","",IF(OQ4&gt;3.7,"A",IF(OQ4&gt;2.8,"B",IF(OQ4&gt;1.5,"C",IF(OQ4&gt;0,"D",IF(OQ4=0,""))))))</f>
        <v/>
      </c>
      <c r="OS4" s="177" t="str">
        <f>IFERROR((((COUNTIF(OD5:OF6,"A")+COUNTIF(OI5:OK6,"A")+COUNTIF(ON5:OP6,"A"))*4)+((COUNTIF(OD5:OF6,"B")+COUNTIF(OI5:OK6,"B")+COUNTIF(ON5:OP6,"B"))*3)+((COUNTIF(OD5:OF6,"C")+COUNTIF(OI5:OK6,"C")+COUNTIF(ON5:OP6,"C"))*2)+((COUNTIF(OD5:OF6,"D")+COUNTIF(OI5:OK6,"D")+COUNTIF(ON5:OP6,"D"))*1))/(COUNTA(OD5:OF6)+COUNTA(OI5:OK6)+COUNTA(ON5:OP6)),"")</f>
        <v/>
      </c>
      <c r="OT4" s="130" t="str">
        <f t="shared" ref="OT4:OT19" si="95">IF(OS4="","",IF(OS4&gt;3.7,"A",IF(OS4&gt;2.8,"B",IF(OS4&gt;1.5,"C",IF(OS4&gt;0,"D",IF(OS4=0,""))))))</f>
        <v/>
      </c>
      <c r="OU4" s="152"/>
      <c r="OV4" s="185"/>
      <c r="OW4" s="185"/>
      <c r="OX4" s="106" t="str">
        <f>IFERROR((((COUNTIF('Elève (6ème1)'!OU5:OW6,"A"))*4)+((COUNTIF('Elève (6ème1)'!OU5:OW6,"B"))*3)+((COUNTIF('Elève (6ème1)'!OU5:OW6,"C"))*2)+((COUNTIF('Elève (6ème1)'!OU5:OW6,"D"))*1))/(COUNTA(OU5:OW6)),"")</f>
        <v/>
      </c>
      <c r="OY4" s="107" t="str">
        <f t="shared" ref="OY4:OY19" si="96">IF(OX4="","",IF(OX4&gt;3.7,"A",IF(OX4&gt;2.8,"B",IF(OX4&gt;1.5,"C",IF(OX4&gt;0,"D",IF(OX4=0,""))))))</f>
        <v/>
      </c>
      <c r="OZ4" s="145"/>
      <c r="PA4" s="186"/>
      <c r="PB4" s="146"/>
      <c r="PC4" s="106" t="str">
        <f>IFERROR((((COUNTIF('Elève (6ème1)'!OZ5:PB6,"A"))*4)+((COUNTIF('Elève (6ème1)'!OZ5:PB6,"B"))*3)+((COUNTIF('Elève (6ème1)'!OZ5:PB6,"C"))*2)+((COUNTIF('Elève (6ème1)'!OZ5:PB6,"D"))*1))/(COUNTA(OZ5:PB6)),"")</f>
        <v/>
      </c>
      <c r="PD4" s="121" t="str">
        <f t="shared" ref="PD4:PD19" si="97">IF(PC4="","",IF(PC4&gt;3.7,"A",IF(PC4&gt;2.8,"B",IF(PC4&gt;1.5,"C",IF(PC4&gt;0,"D",IF(PC4=0,""))))))</f>
        <v/>
      </c>
      <c r="PE4" s="100"/>
      <c r="PF4" s="187"/>
      <c r="PG4" s="188"/>
      <c r="PH4" s="106" t="str">
        <f>IFERROR((((COUNTIF('Elève (6ème1)'!PE5:PG6,"A"))*4)+((COUNTIF('Elève (6ème1)'!PE5:PG6,"B"))*3)+((COUNTIF('Elève (6ème1)'!PE5:PG6,"C"))*2)+((COUNTIF('Elève (6ème1)'!PE5:PG6,"D"))*1))/(COUNTA(PE5:PG6)),"")</f>
        <v/>
      </c>
      <c r="PI4" s="128" t="str">
        <f t="shared" ref="PI4:PI19" si="98">IF(PH4="","",IF(PH4&gt;3.7,"A",IF(PH4&gt;2.8,"B",IF(PH4&gt;1.5,"C",IF(PH4&gt;0,"D",IF(PH4=0,""))))))</f>
        <v/>
      </c>
      <c r="PJ4" s="177" t="str">
        <f>IFERROR((((COUNTIF(OU5:OW6,"A")+COUNTIF(OZ5:PB6,"A")+COUNTIF(PE5:PG6,"A"))*4)+((COUNTIF(OU5:OW6,"B")+COUNTIF(OZ5:PB6,"B")+COUNTIF(PE5:PG6,"B"))*3)+((COUNTIF(OU5:OW6,"C")+COUNTIF(OZ5:PB6,"C")+COUNTIF(PE5:PG6,"C"))*2)+((COUNTIF(OU5:OW6,"D")+COUNTIF(OZ5:PB6,"D")+COUNTIF(PE5:PG6,"D"))*1))/(COUNTA(OU5:OW6)+COUNTA(OZ5:PB6)+COUNTA(PE5:PG6)),"")</f>
        <v/>
      </c>
      <c r="PK4" s="130" t="str">
        <f t="shared" ref="PK4:PK19" si="99">IF(PJ4="","",IF(PJ4&gt;3.7,"A",IF(PJ4&gt;2.8,"B",IF(PJ4&gt;1.5,"C",IF(PJ4&gt;0,"D",IF(PJ4=0,""))))))</f>
        <v/>
      </c>
      <c r="PL4" s="152"/>
      <c r="PM4" s="185"/>
      <c r="PN4" s="185"/>
      <c r="PO4" s="106" t="str">
        <f>IFERROR((((COUNTIF('Elève (6ème1)'!PL5:PN6,"A"))*4)+((COUNTIF('Elève (6ème1)'!PL5:PN6,"B"))*3)+((COUNTIF('Elève (6ème1)'!PL5:PN6,"C"))*2)+((COUNTIF('Elève (6ème1)'!PL5:PN6,"D"))*1))/(COUNTA(PL5:PN6)),"")</f>
        <v/>
      </c>
      <c r="PP4" s="107" t="str">
        <f t="shared" ref="PP4:PP19" si="100">IF(PO4="","",IF(PO4&gt;3.7,"A",IF(PO4&gt;2.8,"B",IF(PO4&gt;1.5,"C",IF(PO4&gt;0,"D",IF(PO4=0,""))))))</f>
        <v/>
      </c>
      <c r="PQ4" s="145"/>
      <c r="PR4" s="186"/>
      <c r="PS4" s="146"/>
      <c r="PT4" s="106" t="str">
        <f>IFERROR((((COUNTIF('Elève (6ème1)'!PQ5:PS6,"A"))*4)+((COUNTIF('Elève (6ème1)'!PQ5:PS6,"B"))*3)+((COUNTIF('Elève (6ème1)'!PQ5:PS6,"C"))*2)+((COUNTIF('Elève (6ème1)'!PQ5:PS6,"D"))*1))/(COUNTA(PQ5:PS6)),"")</f>
        <v/>
      </c>
      <c r="PU4" s="121" t="str">
        <f t="shared" ref="PU4:PU19" si="101">IF(PT4="","",IF(PT4&gt;3.7,"A",IF(PT4&gt;2.8,"B",IF(PT4&gt;1.5,"C",IF(PT4&gt;0,"D",IF(PT4=0,""))))))</f>
        <v/>
      </c>
      <c r="PV4" s="100"/>
      <c r="PW4" s="187"/>
      <c r="PX4" s="188"/>
      <c r="PY4" s="106" t="str">
        <f>IFERROR((((COUNTIF('Elève (6ème1)'!PV5:PX6,"A"))*4)+((COUNTIF('Elève (6ème1)'!PV5:PX6,"B"))*3)+((COUNTIF('Elève (6ème1)'!PV5:PX6,"C"))*2)+((COUNTIF('Elève (6ème1)'!PV5:PX6,"D"))*1))/(COUNTA(PV5:PX6)),"")</f>
        <v/>
      </c>
      <c r="PZ4" s="128" t="str">
        <f t="shared" ref="PZ4:PZ19" si="102">IF(PY4="","",IF(PY4&gt;3.7,"A",IF(PY4&gt;2.8,"B",IF(PY4&gt;1.5,"C",IF(PY4&gt;0,"D",IF(PY4=0,""))))))</f>
        <v/>
      </c>
      <c r="QA4" s="177" t="str">
        <f>IFERROR((((COUNTIF(PL5:PN6,"A")+COUNTIF(PQ5:PS6,"A")+COUNTIF(PV5:PX6,"A"))*4)+((COUNTIF(PL5:PN6,"B")+COUNTIF(PQ5:PS6,"B")+COUNTIF(PV5:PX6,"B"))*3)+((COUNTIF(PL5:PN6,"C")+COUNTIF(PQ5:PS6,"C")+COUNTIF(PV5:PX6,"C"))*2)+((COUNTIF(PL5:PN6,"D")+COUNTIF(PQ5:PS6,"D")+COUNTIF(PV5:PX6,"D"))*1))/(COUNTA(PL5:PN6)+COUNTA(PQ5:PS6)+COUNTA(PV5:PX6)),"")</f>
        <v/>
      </c>
      <c r="QB4" s="130" t="str">
        <f t="shared" ref="QB4:QB19" si="103">IF(QA4="","",IF(QA4&gt;3.7,"A",IF(QA4&gt;2.8,"B",IF(QA4&gt;1.5,"C",IF(QA4&gt;0,"D",IF(QA4=0,""))))))</f>
        <v/>
      </c>
      <c r="QC4" s="152"/>
      <c r="QD4" s="185"/>
      <c r="QE4" s="185"/>
      <c r="QF4" s="106" t="str">
        <f>IFERROR((((COUNTIF('Elève (6ème1)'!QC5:QE6,"A"))*4)+((COUNTIF('Elève (6ème1)'!QC5:QE6,"B"))*3)+((COUNTIF('Elève (6ème1)'!QC5:QE6,"C"))*2)+((COUNTIF('Elève (6ème1)'!QC5:QE6,"D"))*1))/(COUNTA(QC5:QE6)),"")</f>
        <v/>
      </c>
      <c r="QG4" s="107" t="str">
        <f t="shared" ref="QG4:QG19" si="104">IF(QF4="","",IF(QF4&gt;3.7,"A",IF(QF4&gt;2.8,"B",IF(QF4&gt;1.5,"C",IF(QF4&gt;0,"D",IF(QF4=0,""))))))</f>
        <v/>
      </c>
      <c r="QH4" s="145"/>
      <c r="QI4" s="186"/>
      <c r="QJ4" s="146"/>
      <c r="QK4" s="106" t="str">
        <f>IFERROR((((COUNTIF('Elève (6ème1)'!QH5:QJ6,"A"))*4)+((COUNTIF('Elève (6ème1)'!QH5:QJ6,"B"))*3)+((COUNTIF('Elève (6ème1)'!QH5:QJ6,"C"))*2)+((COUNTIF('Elève (6ème1)'!QH5:QJ6,"D"))*1))/(COUNTA(QH5:QJ6)),"")</f>
        <v/>
      </c>
      <c r="QL4" s="121" t="str">
        <f t="shared" ref="QL4:QL19" si="105">IF(QK4="","",IF(QK4&gt;3.7,"A",IF(QK4&gt;2.8,"B",IF(QK4&gt;1.5,"C",IF(QK4&gt;0,"D",IF(QK4=0,""))))))</f>
        <v/>
      </c>
      <c r="QM4" s="100"/>
      <c r="QN4" s="187"/>
      <c r="QO4" s="188"/>
      <c r="QP4" s="106" t="str">
        <f>IFERROR((((COUNTIF('Elève (6ème1)'!QM5:QO6,"A"))*4)+((COUNTIF('Elève (6ème1)'!QM5:QO6,"B"))*3)+((COUNTIF('Elève (6ème1)'!QM5:QO6,"C"))*2)+((COUNTIF('Elève (6ème1)'!QM5:QO6,"D"))*1))/(COUNTA(QM5:QO6)),"")</f>
        <v/>
      </c>
      <c r="QQ4" s="128" t="str">
        <f t="shared" ref="QQ4:QQ19" si="106">IF(QP4="","",IF(QP4&gt;3.7,"A",IF(QP4&gt;2.8,"B",IF(QP4&gt;1.5,"C",IF(QP4&gt;0,"D",IF(QP4=0,""))))))</f>
        <v/>
      </c>
      <c r="QR4" s="177" t="str">
        <f>IFERROR((((COUNTIF(QC5:QE6,"A")+COUNTIF(QH5:QJ6,"A")+COUNTIF(QM5:QO6,"A"))*4)+((COUNTIF(QC5:QE6,"B")+COUNTIF(QH5:QJ6,"B")+COUNTIF(QM5:QO6,"B"))*3)+((COUNTIF(QC5:QE6,"C")+COUNTIF(QH5:QJ6,"C")+COUNTIF(QM5:QO6,"C"))*2)+((COUNTIF(QC5:QE6,"D")+COUNTIF(QH5:QJ6,"D")+COUNTIF(QM5:QO6,"D"))*1))/(COUNTA(QC5:QE6)+COUNTA(QH5:QJ6)+COUNTA(QM5:QO6)),"")</f>
        <v/>
      </c>
      <c r="QS4" s="130" t="str">
        <f t="shared" ref="QS4:QS19" si="107">IF(QR4="","",IF(QR4&gt;3.7,"A",IF(QR4&gt;2.8,"B",IF(QR4&gt;1.5,"C",IF(QR4&gt;0,"D",IF(QR4=0,""))))))</f>
        <v/>
      </c>
      <c r="QT4" s="152"/>
      <c r="QU4" s="185"/>
      <c r="QV4" s="185"/>
      <c r="QW4" s="106" t="str">
        <f>IFERROR((((COUNTIF('Elève (6ème1)'!QT5:QV6,"A"))*4)+((COUNTIF('Elève (6ème1)'!QT5:QV6,"B"))*3)+((COUNTIF('Elève (6ème1)'!QT5:QV6,"C"))*2)+((COUNTIF('Elève (6ème1)'!QT5:QV6,"D"))*1))/(COUNTA(QT5:QV6)),"")</f>
        <v/>
      </c>
      <c r="QX4" s="107" t="str">
        <f t="shared" ref="QX4:QX19" si="108">IF(QW4="","",IF(QW4&gt;3.7,"A",IF(QW4&gt;2.8,"B",IF(QW4&gt;1.5,"C",IF(QW4&gt;0,"D",IF(QW4=0,""))))))</f>
        <v/>
      </c>
      <c r="QY4" s="145"/>
      <c r="QZ4" s="186"/>
      <c r="RA4" s="146"/>
      <c r="RB4" s="106" t="str">
        <f>IFERROR((((COUNTIF('Elève (6ème1)'!QY5:RA6,"A"))*4)+((COUNTIF('Elève (6ème1)'!QY5:RA6,"B"))*3)+((COUNTIF('Elève (6ème1)'!QY5:RA6,"C"))*2)+((COUNTIF('Elève (6ème1)'!QY5:RA6,"D"))*1))/(COUNTA(QY5:RA6)),"")</f>
        <v/>
      </c>
      <c r="RC4" s="121" t="str">
        <f t="shared" ref="RC4:RC19" si="109">IF(RB4="","",IF(RB4&gt;3.7,"A",IF(RB4&gt;2.8,"B",IF(RB4&gt;1.5,"C",IF(RB4&gt;0,"D",IF(RB4=0,""))))))</f>
        <v/>
      </c>
      <c r="RD4" s="100"/>
      <c r="RE4" s="187"/>
      <c r="RF4" s="188"/>
      <c r="RG4" s="106" t="str">
        <f>IFERROR((((COUNTIF('Elève (6ème1)'!RD5:RF6,"A"))*4)+((COUNTIF('Elève (6ème1)'!RD5:RF6,"B"))*3)+((COUNTIF('Elève (6ème1)'!RD5:RF6,"C"))*2)+((COUNTIF('Elève (6ème1)'!RD5:RF6,"D"))*1))/(COUNTA(RD5:RF6)),"")</f>
        <v/>
      </c>
      <c r="RH4" s="128" t="str">
        <f t="shared" ref="RH4:RH19" si="110">IF(RG4="","",IF(RG4&gt;3.7,"A",IF(RG4&gt;2.8,"B",IF(RG4&gt;1.5,"C",IF(RG4&gt;0,"D",IF(RG4=0,""))))))</f>
        <v/>
      </c>
      <c r="RI4" s="177" t="str">
        <f>IFERROR((((COUNTIF(QT5:QV6,"A")+COUNTIF(QY5:RA6,"A")+COUNTIF(RD5:RF6,"A"))*4)+((COUNTIF(QT5:QV6,"B")+COUNTIF(QY5:RA6,"B")+COUNTIF(RD5:RF6,"B"))*3)+((COUNTIF(QT5:QV6,"C")+COUNTIF(QY5:RA6,"C")+COUNTIF(RD5:RF6,"C"))*2)+((COUNTIF(QT5:QV6,"D")+COUNTIF(QY5:RA6,"D")+COUNTIF(RD5:RF6,"D"))*1))/(COUNTA(QT5:QV6)+COUNTA(QY5:RA6)+COUNTA(RD5:RF6)),"")</f>
        <v/>
      </c>
      <c r="RJ4" s="130" t="str">
        <f t="shared" ref="RJ4:RJ19" si="111">IF(RI4="","",IF(RI4&gt;3.7,"A",IF(RI4&gt;2.8,"B",IF(RI4&gt;1.5,"C",IF(RI4&gt;0,"D",IF(RI4=0,""))))))</f>
        <v/>
      </c>
      <c r="RK4" s="152"/>
      <c r="RL4" s="185"/>
      <c r="RM4" s="185"/>
      <c r="RN4" s="106" t="str">
        <f>IFERROR((((COUNTIF('Elève (6ème1)'!RK5:RM6,"A"))*4)+((COUNTIF('Elève (6ème1)'!RK5:RM6,"B"))*3)+((COUNTIF('Elève (6ème1)'!RK5:RM6,"C"))*2)+((COUNTIF('Elève (6ème1)'!RK5:RM6,"D"))*1))/(COUNTA(RK5:RM6)),"")</f>
        <v/>
      </c>
      <c r="RO4" s="107" t="str">
        <f t="shared" ref="RO4:RO19" si="112">IF(RN4="","",IF(RN4&gt;3.7,"A",IF(RN4&gt;2.8,"B",IF(RN4&gt;1.5,"C",IF(RN4&gt;0,"D",IF(RN4=0,""))))))</f>
        <v/>
      </c>
      <c r="RP4" s="145"/>
      <c r="RQ4" s="186"/>
      <c r="RR4" s="146"/>
      <c r="RS4" s="106" t="str">
        <f>IFERROR((((COUNTIF('Elève (6ème1)'!RP5:RR6,"A"))*4)+((COUNTIF('Elève (6ème1)'!RP5:RR6,"B"))*3)+((COUNTIF('Elève (6ème1)'!RP5:RR6,"C"))*2)+((COUNTIF('Elève (6ème1)'!RP5:RR6,"D"))*1))/(COUNTA(RP5:RR6)),"")</f>
        <v/>
      </c>
      <c r="RT4" s="121" t="str">
        <f t="shared" ref="RT4:RT19" si="113">IF(RS4="","",IF(RS4&gt;3.7,"A",IF(RS4&gt;2.8,"B",IF(RS4&gt;1.5,"C",IF(RS4&gt;0,"D",IF(RS4=0,""))))))</f>
        <v/>
      </c>
      <c r="RU4" s="100"/>
      <c r="RV4" s="187"/>
      <c r="RW4" s="188"/>
      <c r="RX4" s="106" t="str">
        <f>IFERROR((((COUNTIF('Elève (6ème1)'!RU5:RW6,"A"))*4)+((COUNTIF('Elève (6ème1)'!RU5:RW6,"B"))*3)+((COUNTIF('Elève (6ème1)'!RU5:RW6,"C"))*2)+((COUNTIF('Elève (6ème1)'!RU5:RW6,"D"))*1))/(COUNTA(RU5:RW6)),"")</f>
        <v/>
      </c>
      <c r="RY4" s="128" t="str">
        <f t="shared" ref="RY4:RY19" si="114">IF(RX4="","",IF(RX4&gt;3.7,"A",IF(RX4&gt;2.8,"B",IF(RX4&gt;1.5,"C",IF(RX4&gt;0,"D",IF(RX4=0,""))))))</f>
        <v/>
      </c>
      <c r="RZ4" s="177" t="str">
        <f>IFERROR((((COUNTIF(RK5:RM6,"A")+COUNTIF(RP5:RR6,"A")+COUNTIF(RU5:RW6,"A"))*4)+((COUNTIF(RK5:RM6,"B")+COUNTIF(RP5:RR6,"B")+COUNTIF(RU5:RW6,"B"))*3)+((COUNTIF(RK5:RM6,"C")+COUNTIF(RP5:RR6,"C")+COUNTIF(RU5:RW6,"C"))*2)+((COUNTIF(RK5:RM6,"D")+COUNTIF(RP5:RR6,"D")+COUNTIF(RU5:RW6,"D"))*1))/(COUNTA(RK5:RM6)+COUNTA(RP5:RR6)+COUNTA(RU5:RW6)),"")</f>
        <v/>
      </c>
      <c r="SA4" s="130" t="str">
        <f t="shared" ref="SA4:SA19" si="115">IF(RZ4="","",IF(RZ4&gt;3.7,"A",IF(RZ4&gt;2.8,"B",IF(RZ4&gt;1.5,"C",IF(RZ4&gt;0,"D",IF(RZ4=0,""))))))</f>
        <v/>
      </c>
      <c r="SB4" s="152"/>
      <c r="SC4" s="185"/>
      <c r="SD4" s="185"/>
      <c r="SE4" s="106" t="str">
        <f>IFERROR((((COUNTIF('Elève (6ème1)'!SB5:SD6,"A"))*4)+((COUNTIF('Elève (6ème1)'!SB5:SD6,"B"))*3)+((COUNTIF('Elève (6ème1)'!SB5:SD6,"C"))*2)+((COUNTIF('Elève (6ème1)'!SB5:SD6,"D"))*1))/(COUNTA(SB5:SD6)),"")</f>
        <v/>
      </c>
      <c r="SF4" s="107" t="str">
        <f t="shared" ref="SF4:SF19" si="116">IF(SE4="","",IF(SE4&gt;3.7,"A",IF(SE4&gt;2.8,"B",IF(SE4&gt;1.5,"C",IF(SE4&gt;0,"D",IF(SE4=0,""))))))</f>
        <v/>
      </c>
      <c r="SG4" s="145"/>
      <c r="SH4" s="186"/>
      <c r="SI4" s="146"/>
      <c r="SJ4" s="106" t="str">
        <f>IFERROR((((COUNTIF('Elève (6ème1)'!SG5:SI6,"A"))*4)+((COUNTIF('Elève (6ème1)'!SG5:SI6,"B"))*3)+((COUNTIF('Elève (6ème1)'!SG5:SI6,"C"))*2)+((COUNTIF('Elève (6ème1)'!SG5:SI6,"D"))*1))/(COUNTA(SG5:SI6)),"")</f>
        <v/>
      </c>
      <c r="SK4" s="121" t="str">
        <f t="shared" ref="SK4:SK19" si="117">IF(SJ4="","",IF(SJ4&gt;3.7,"A",IF(SJ4&gt;2.8,"B",IF(SJ4&gt;1.5,"C",IF(SJ4&gt;0,"D",IF(SJ4=0,""))))))</f>
        <v/>
      </c>
      <c r="SL4" s="100"/>
      <c r="SM4" s="187"/>
      <c r="SN4" s="188"/>
      <c r="SO4" s="106" t="str">
        <f>IFERROR((((COUNTIF('Elève (6ème1)'!SL5:SN6,"A"))*4)+((COUNTIF('Elève (6ème1)'!SL5:SN6,"B"))*3)+((COUNTIF('Elève (6ème1)'!SL5:SN6,"C"))*2)+((COUNTIF('Elève (6ème1)'!SL5:SN6,"D"))*1))/(COUNTA(SL5:SN6)),"")</f>
        <v/>
      </c>
      <c r="SP4" s="128" t="str">
        <f t="shared" ref="SP4:SP19" si="118">IF(SO4="","",IF(SO4&gt;3.7,"A",IF(SO4&gt;2.8,"B",IF(SO4&gt;1.5,"C",IF(SO4&gt;0,"D",IF(SO4=0,""))))))</f>
        <v/>
      </c>
      <c r="SQ4" s="177" t="str">
        <f>IFERROR((((COUNTIF(SB5:SD6,"A")+COUNTIF(SG5:SI6,"A")+COUNTIF(SL5:SN6,"A"))*4)+((COUNTIF(SB5:SD6,"B")+COUNTIF(SG5:SI6,"B")+COUNTIF(SL5:SN6,"B"))*3)+((COUNTIF(SB5:SD6,"C")+COUNTIF(SG5:SI6,"C")+COUNTIF(SL5:SN6,"C"))*2)+((COUNTIF(SB5:SD6,"D")+COUNTIF(SG5:SI6,"D")+COUNTIF(SL5:SN6,"D"))*1))/(COUNTA(SB5:SD6)+COUNTA(SG5:SI6)+COUNTA(SL5:SN6)),"")</f>
        <v/>
      </c>
      <c r="SR4" s="130" t="str">
        <f t="shared" ref="SR4:SR19" si="119">IF(SQ4="","",IF(SQ4&gt;3.7,"A",IF(SQ4&gt;2.8,"B",IF(SQ4&gt;1.5,"C",IF(SQ4&gt;0,"D",IF(SQ4=0,""))))))</f>
        <v/>
      </c>
    </row>
    <row r="5" spans="1:512" s="72" customFormat="1" ht="18" customHeight="1" x14ac:dyDescent="0.25">
      <c r="A5" s="240" t="s">
        <v>12</v>
      </c>
      <c r="B5" s="241"/>
      <c r="C5" s="153"/>
      <c r="D5" s="154"/>
      <c r="E5" s="155"/>
      <c r="F5" s="108" t="str">
        <f>IFERROR((((COUNTIF('Elève (6ème1)'!C5:E5,"A"))*4)+((COUNTIF('Elève (6ème1)'!C5:E5,"B"))*3)+((COUNTIF('Elève (6ème1)'!C5:E5,"C"))*2)+((COUNTIF('Elève (6ème1)'!C5:E5,"D"))*1))/(COUNTA(C5:E5)),"")</f>
        <v/>
      </c>
      <c r="G5" s="109" t="str">
        <f t="shared" si="0"/>
        <v/>
      </c>
      <c r="H5" s="78"/>
      <c r="I5" s="79"/>
      <c r="J5" s="80"/>
      <c r="K5" s="108" t="str">
        <f>IFERROR((((COUNTIF('Elève (6ème1)'!H5:J5,"A"))*4)+((COUNTIF('Elève (6ème1)'!H5:J5,"B"))*3)+((COUNTIF('Elève (6ème1)'!H5:J5,"C"))*2)+((COUNTIF('Elève (6ème1)'!H5:J5,"D"))*1))/(COUNTA(H5:J5)),"")</f>
        <v/>
      </c>
      <c r="L5" s="109" t="str">
        <f t="shared" si="1"/>
        <v/>
      </c>
      <c r="M5" s="78"/>
      <c r="N5" s="79"/>
      <c r="O5" s="80"/>
      <c r="P5" s="108" t="str">
        <f>IFERROR((((COUNTIF('Elève (6ème1)'!M5:O5,"A"))*4)+((COUNTIF('Elève (6ème1)'!M5:O5,"B"))*3)+((COUNTIF('Elève (6ème1)'!M5:O5,"C"))*2)+((COUNTIF('Elève (6ème1)'!M5:O5,"D"))*1))/(COUNTA(M5:O5)),"")</f>
        <v/>
      </c>
      <c r="Q5" s="109" t="str">
        <f t="shared" si="2"/>
        <v/>
      </c>
      <c r="R5" s="178" t="str">
        <f>IF(COUNT(F5,K5,P5)=0,"",SUM(F5,K5,P5)/COUNT(F5,K5,P5))</f>
        <v/>
      </c>
      <c r="S5" s="131" t="str">
        <f t="shared" si="3"/>
        <v/>
      </c>
      <c r="T5" s="153"/>
      <c r="U5" s="154"/>
      <c r="V5" s="155"/>
      <c r="W5" s="108" t="str">
        <f>IFERROR((((COUNTIF('Elève (6ème1)'!T5:V5,"A"))*4)+((COUNTIF('Elève (6ème1)'!T5:V5,"B"))*3)+((COUNTIF('Elève (6ème1)'!T5:V5,"C"))*2)+((COUNTIF('Elève (6ème1)'!T5:V5,"D"))*1))/(COUNTA(T5:V5)),"")</f>
        <v/>
      </c>
      <c r="X5" s="109" t="str">
        <f t="shared" si="4"/>
        <v/>
      </c>
      <c r="Y5" s="78"/>
      <c r="Z5" s="79"/>
      <c r="AA5" s="80"/>
      <c r="AB5" s="108" t="str">
        <f>IFERROR((((COUNTIF('Elève (6ème1)'!Y5:AA5,"A"))*4)+((COUNTIF('Elève (6ème1)'!Y5:AA5,"B"))*3)+((COUNTIF('Elève (6ème1)'!Y5:AA5,"C"))*2)+((COUNTIF('Elève (6ème1)'!Y5:AA5,"D"))*1))/(COUNTA(Y5:AA5)),"")</f>
        <v/>
      </c>
      <c r="AC5" s="109" t="str">
        <f t="shared" si="5"/>
        <v/>
      </c>
      <c r="AD5" s="78"/>
      <c r="AE5" s="79"/>
      <c r="AF5" s="80"/>
      <c r="AG5" s="108" t="str">
        <f>IFERROR((((COUNTIF('Elève (6ème1)'!AD5:AF5,"A"))*4)+((COUNTIF('Elève (6ème1)'!AD5:AF5,"B"))*3)+((COUNTIF('Elève (6ème1)'!AD5:AF5,"C"))*2)+((COUNTIF('Elève (6ème1)'!AD5:AF5,"D"))*1))/(COUNTA(AD5:AF5)),"")</f>
        <v/>
      </c>
      <c r="AH5" s="109" t="str">
        <f t="shared" si="6"/>
        <v/>
      </c>
      <c r="AI5" s="178" t="str">
        <f>IF(COUNT(W5,AB5,AG5)=0,"",SUM(W5,AB5,AG5)/COUNT(W5,AB5,AG5))</f>
        <v/>
      </c>
      <c r="AJ5" s="131" t="str">
        <f t="shared" si="7"/>
        <v/>
      </c>
      <c r="AK5" s="153"/>
      <c r="AL5" s="154"/>
      <c r="AM5" s="155"/>
      <c r="AN5" s="108" t="str">
        <f>IFERROR((((COUNTIF('Elève (6ème1)'!AK5:AM5,"A"))*4)+((COUNTIF('Elève (6ème1)'!AK5:AM5,"B"))*3)+((COUNTIF('Elève (6ème1)'!AK5:AM5,"C"))*2)+((COUNTIF('Elève (6ème1)'!AK5:AM5,"D"))*1))/(COUNTA(AK5:AM5)),"")</f>
        <v/>
      </c>
      <c r="AO5" s="109" t="str">
        <f t="shared" si="8"/>
        <v/>
      </c>
      <c r="AP5" s="78"/>
      <c r="AQ5" s="79"/>
      <c r="AR5" s="80"/>
      <c r="AS5" s="108" t="str">
        <f>IFERROR((((COUNTIF('Elève (6ème1)'!AP5:AR5,"A"))*4)+((COUNTIF('Elève (6ème1)'!AP5:AR5,"B"))*3)+((COUNTIF('Elève (6ème1)'!AP5:AR5,"C"))*2)+((COUNTIF('Elève (6ème1)'!AP5:AR5,"D"))*1))/(COUNTA(AP5:AR5)),"")</f>
        <v/>
      </c>
      <c r="AT5" s="109" t="str">
        <f t="shared" si="9"/>
        <v/>
      </c>
      <c r="AU5" s="78"/>
      <c r="AV5" s="79"/>
      <c r="AW5" s="80"/>
      <c r="AX5" s="108" t="str">
        <f>IFERROR((((COUNTIF('Elève (6ème1)'!AU5:AW5,"A"))*4)+((COUNTIF('Elève (6ème1)'!AU5:AW5,"B"))*3)+((COUNTIF('Elève (6ème1)'!AU5:AW5,"C"))*2)+((COUNTIF('Elève (6ème1)'!AU5:AW5,"D"))*1))/(COUNTA(AU5:AW5)),"")</f>
        <v/>
      </c>
      <c r="AY5" s="109" t="str">
        <f t="shared" si="10"/>
        <v/>
      </c>
      <c r="AZ5" s="178" t="str">
        <f>IF(COUNT(AN5,AS5,AX5)=0,"",SUM(AN5,AS5,AX5)/COUNT(AN5,AS5,AX5))</f>
        <v/>
      </c>
      <c r="BA5" s="131" t="str">
        <f t="shared" si="11"/>
        <v/>
      </c>
      <c r="BB5" s="153"/>
      <c r="BC5" s="154"/>
      <c r="BD5" s="155"/>
      <c r="BE5" s="108" t="str">
        <f>IFERROR((((COUNTIF('Elève (6ème1)'!BB5:BD5,"A"))*4)+((COUNTIF('Elève (6ème1)'!BB5:BD5,"B"))*3)+((COUNTIF('Elève (6ème1)'!BB5:BD5,"C"))*2)+((COUNTIF('Elève (6ème1)'!BB5:BD5,"D"))*1))/(COUNTA(BB5:BD5)),"")</f>
        <v/>
      </c>
      <c r="BF5" s="109" t="str">
        <f t="shared" si="12"/>
        <v/>
      </c>
      <c r="BG5" s="78"/>
      <c r="BH5" s="79"/>
      <c r="BI5" s="80"/>
      <c r="BJ5" s="108" t="str">
        <f>IFERROR((((COUNTIF('Elève (6ème1)'!BG5:BI5,"A"))*4)+((COUNTIF('Elève (6ème1)'!BG5:BI5,"B"))*3)+((COUNTIF('Elève (6ème1)'!BG5:BI5,"C"))*2)+((COUNTIF('Elève (6ème1)'!BG5:BI5,"D"))*1))/(COUNTA(BG5:BI5)),"")</f>
        <v/>
      </c>
      <c r="BK5" s="109" t="str">
        <f t="shared" si="13"/>
        <v/>
      </c>
      <c r="BL5" s="78"/>
      <c r="BM5" s="79"/>
      <c r="BN5" s="80"/>
      <c r="BO5" s="108" t="str">
        <f>IFERROR((((COUNTIF('Elève (6ème1)'!BL5:BN5,"A"))*4)+((COUNTIF('Elève (6ème1)'!BL5:BN5,"B"))*3)+((COUNTIF('Elève (6ème1)'!BL5:BN5,"C"))*2)+((COUNTIF('Elève (6ème1)'!BL5:BN5,"D"))*1))/(COUNTA(BL5:BN5)),"")</f>
        <v/>
      </c>
      <c r="BP5" s="109" t="str">
        <f t="shared" si="14"/>
        <v/>
      </c>
      <c r="BQ5" s="178" t="str">
        <f>IF(COUNT(BE5,BJ5,BO5)=0,"",SUM(BE5,BJ5,BO5)/COUNT(BE5,BJ5,BO5))</f>
        <v/>
      </c>
      <c r="BR5" s="131" t="str">
        <f t="shared" si="15"/>
        <v/>
      </c>
      <c r="BS5" s="153"/>
      <c r="BT5" s="154"/>
      <c r="BU5" s="155"/>
      <c r="BV5" s="108" t="str">
        <f>IFERROR((((COUNTIF('Elève (6ème1)'!BS5:BU5,"A"))*4)+((COUNTIF('Elève (6ème1)'!BS5:BU5,"B"))*3)+((COUNTIF('Elève (6ème1)'!BS5:BU5,"C"))*2)+((COUNTIF('Elève (6ème1)'!BS5:BU5,"D"))*1))/(COUNTA(BS5:BU5)),"")</f>
        <v/>
      </c>
      <c r="BW5" s="109" t="str">
        <f t="shared" si="16"/>
        <v/>
      </c>
      <c r="BX5" s="78"/>
      <c r="BY5" s="79"/>
      <c r="BZ5" s="80"/>
      <c r="CA5" s="108" t="str">
        <f>IFERROR((((COUNTIF('Elève (6ème1)'!BX5:BZ5,"A"))*4)+((COUNTIF('Elève (6ème1)'!BX5:BZ5,"B"))*3)+((COUNTIF('Elève (6ème1)'!BX5:BZ5,"C"))*2)+((COUNTIF('Elève (6ème1)'!BX5:BZ5,"D"))*1))/(COUNTA(BX5:BZ5)),"")</f>
        <v/>
      </c>
      <c r="CB5" s="109" t="str">
        <f t="shared" si="17"/>
        <v/>
      </c>
      <c r="CC5" s="78"/>
      <c r="CD5" s="79"/>
      <c r="CE5" s="80"/>
      <c r="CF5" s="108" t="str">
        <f>IFERROR((((COUNTIF('Elève (6ème1)'!CC5:CE5,"A"))*4)+((COUNTIF('Elève (6ème1)'!CC5:CE5,"B"))*3)+((COUNTIF('Elève (6ème1)'!CC5:CE5,"C"))*2)+((COUNTIF('Elève (6ème1)'!CC5:CE5,"D"))*1))/(COUNTA(CC5:CE5)),"")</f>
        <v/>
      </c>
      <c r="CG5" s="109" t="str">
        <f t="shared" si="18"/>
        <v/>
      </c>
      <c r="CH5" s="178" t="str">
        <f>IF(COUNT(BV5,CA5,CF5)=0,"",SUM(BV5,CA5,CF5)/COUNT(BV5,CA5,CF5))</f>
        <v/>
      </c>
      <c r="CI5" s="131" t="str">
        <f t="shared" si="19"/>
        <v/>
      </c>
      <c r="CJ5" s="153"/>
      <c r="CK5" s="154"/>
      <c r="CL5" s="155"/>
      <c r="CM5" s="108" t="str">
        <f>IFERROR((((COUNTIF('Elève (6ème1)'!CJ5:CL5,"A"))*4)+((COUNTIF('Elève (6ème1)'!CJ5:CL5,"B"))*3)+((COUNTIF('Elève (6ème1)'!CJ5:CL5,"C"))*2)+((COUNTIF('Elève (6ème1)'!CJ5:CL5,"D"))*1))/(COUNTA(CJ5:CL5)),"")</f>
        <v/>
      </c>
      <c r="CN5" s="109" t="str">
        <f t="shared" si="20"/>
        <v/>
      </c>
      <c r="CO5" s="78"/>
      <c r="CP5" s="79"/>
      <c r="CQ5" s="80"/>
      <c r="CR5" s="108" t="str">
        <f>IFERROR((((COUNTIF('Elève (6ème1)'!CO5:CQ5,"A"))*4)+((COUNTIF('Elève (6ème1)'!CO5:CQ5,"B"))*3)+((COUNTIF('Elève (6ème1)'!CO5:CQ5,"C"))*2)+((COUNTIF('Elève (6ème1)'!CO5:CQ5,"D"))*1))/(COUNTA(CO5:CQ5)),"")</f>
        <v/>
      </c>
      <c r="CS5" s="109" t="str">
        <f t="shared" si="21"/>
        <v/>
      </c>
      <c r="CT5" s="78"/>
      <c r="CU5" s="79"/>
      <c r="CV5" s="80"/>
      <c r="CW5" s="108" t="str">
        <f>IFERROR((((COUNTIF('Elève (6ème1)'!CT5:CV5,"A"))*4)+((COUNTIF('Elève (6ème1)'!CT5:CV5,"B"))*3)+((COUNTIF('Elève (6ème1)'!CT5:CV5,"C"))*2)+((COUNTIF('Elève (6ème1)'!CT5:CV5,"D"))*1))/(COUNTA(CT5:CV5)),"")</f>
        <v/>
      </c>
      <c r="CX5" s="109" t="str">
        <f t="shared" si="22"/>
        <v/>
      </c>
      <c r="CY5" s="178" t="str">
        <f>IF(COUNT(CM5,CR5,CW5)=0,"",SUM(CM5,CR5,CW5)/COUNT(CM5,CR5,CW5))</f>
        <v/>
      </c>
      <c r="CZ5" s="131" t="str">
        <f t="shared" si="23"/>
        <v/>
      </c>
      <c r="DA5" s="153"/>
      <c r="DB5" s="154"/>
      <c r="DC5" s="155"/>
      <c r="DD5" s="108" t="str">
        <f>IFERROR((((COUNTIF('Elève (6ème1)'!DA5:DC5,"A"))*4)+((COUNTIF('Elève (6ème1)'!DA5:DC5,"B"))*3)+((COUNTIF('Elève (6ème1)'!DA5:DC5,"C"))*2)+((COUNTIF('Elève (6ème1)'!DA5:DC5,"D"))*1))/(COUNTA(DA5:DC5)),"")</f>
        <v/>
      </c>
      <c r="DE5" s="109" t="str">
        <f t="shared" si="24"/>
        <v/>
      </c>
      <c r="DF5" s="78"/>
      <c r="DG5" s="79"/>
      <c r="DH5" s="80"/>
      <c r="DI5" s="108" t="str">
        <f>IFERROR((((COUNTIF('Elève (6ème1)'!DF5:DH5,"A"))*4)+((COUNTIF('Elève (6ème1)'!DF5:DH5,"B"))*3)+((COUNTIF('Elève (6ème1)'!DF5:DH5,"C"))*2)+((COUNTIF('Elève (6ème1)'!DF5:DH5,"D"))*1))/(COUNTA(DF5:DH5)),"")</f>
        <v/>
      </c>
      <c r="DJ5" s="109" t="str">
        <f t="shared" si="25"/>
        <v/>
      </c>
      <c r="DK5" s="78"/>
      <c r="DL5" s="79"/>
      <c r="DM5" s="80"/>
      <c r="DN5" s="108" t="str">
        <f>IFERROR((((COUNTIF('Elève (6ème1)'!DK5:DM5,"A"))*4)+((COUNTIF('Elève (6ème1)'!DK5:DM5,"B"))*3)+((COUNTIF('Elève (6ème1)'!DK5:DM5,"C"))*2)+((COUNTIF('Elève (6ème1)'!DK5:DM5,"D"))*1))/(COUNTA(DK5:DM5)),"")</f>
        <v/>
      </c>
      <c r="DO5" s="109" t="str">
        <f t="shared" si="26"/>
        <v/>
      </c>
      <c r="DP5" s="178" t="str">
        <f>IF(COUNT(DD5,DI5,DN5)=0,"",SUM(DD5,DI5,DN5)/COUNT(DD5,DI5,DN5))</f>
        <v/>
      </c>
      <c r="DQ5" s="131" t="str">
        <f t="shared" si="27"/>
        <v/>
      </c>
      <c r="DR5" s="153"/>
      <c r="DS5" s="154"/>
      <c r="DT5" s="155"/>
      <c r="DU5" s="108" t="str">
        <f>IFERROR((((COUNTIF('Elève (6ème1)'!DR5:DT5,"A"))*4)+((COUNTIF('Elève (6ème1)'!DR5:DT5,"B"))*3)+((COUNTIF('Elève (6ème1)'!DR5:DT5,"C"))*2)+((COUNTIF('Elève (6ème1)'!DR5:DT5,"D"))*1))/(COUNTA(DR5:DT5)),"")</f>
        <v/>
      </c>
      <c r="DV5" s="109" t="str">
        <f t="shared" si="28"/>
        <v/>
      </c>
      <c r="DW5" s="78"/>
      <c r="DX5" s="79"/>
      <c r="DY5" s="80"/>
      <c r="DZ5" s="108" t="str">
        <f>IFERROR((((COUNTIF('Elève (6ème1)'!DW5:DY5,"A"))*4)+((COUNTIF('Elève (6ème1)'!DW5:DY5,"B"))*3)+((COUNTIF('Elève (6ème1)'!DW5:DY5,"C"))*2)+((COUNTIF('Elève (6ème1)'!DW5:DY5,"D"))*1))/(COUNTA(DW5:DY5)),"")</f>
        <v/>
      </c>
      <c r="EA5" s="109" t="str">
        <f t="shared" si="29"/>
        <v/>
      </c>
      <c r="EB5" s="78"/>
      <c r="EC5" s="79"/>
      <c r="ED5" s="80"/>
      <c r="EE5" s="108" t="str">
        <f>IFERROR((((COUNTIF('Elève (6ème1)'!EB5:ED5,"A"))*4)+((COUNTIF('Elève (6ème1)'!EB5:ED5,"B"))*3)+((COUNTIF('Elève (6ème1)'!EB5:ED5,"C"))*2)+((COUNTIF('Elève (6ème1)'!EB5:ED5,"D"))*1))/(COUNTA(EB5:ED5)),"")</f>
        <v/>
      </c>
      <c r="EF5" s="109" t="str">
        <f t="shared" si="30"/>
        <v/>
      </c>
      <c r="EG5" s="178" t="str">
        <f>IF(COUNT(DU5,DZ5,EE5)=0,"",SUM(DU5,DZ5,EE5)/COUNT(DU5,DZ5,EE5))</f>
        <v/>
      </c>
      <c r="EH5" s="131" t="str">
        <f t="shared" si="31"/>
        <v/>
      </c>
      <c r="EI5" s="153"/>
      <c r="EJ5" s="154"/>
      <c r="EK5" s="155"/>
      <c r="EL5" s="108" t="str">
        <f>IFERROR((((COUNTIF('Elève (6ème1)'!EI5:EK5,"A"))*4)+((COUNTIF('Elève (6ème1)'!EI5:EK5,"B"))*3)+((COUNTIF('Elève (6ème1)'!EI5:EK5,"C"))*2)+((COUNTIF('Elève (6ème1)'!EI5:EK5,"D"))*1))/(COUNTA(EI5:EK5)),"")</f>
        <v/>
      </c>
      <c r="EM5" s="109" t="str">
        <f t="shared" si="32"/>
        <v/>
      </c>
      <c r="EN5" s="78"/>
      <c r="EO5" s="79"/>
      <c r="EP5" s="80"/>
      <c r="EQ5" s="108" t="str">
        <f>IFERROR((((COUNTIF('Elève (6ème1)'!EN5:EP5,"A"))*4)+((COUNTIF('Elève (6ème1)'!EN5:EP5,"B"))*3)+((COUNTIF('Elève (6ème1)'!EN5:EP5,"C"))*2)+((COUNTIF('Elève (6ème1)'!EN5:EP5,"D"))*1))/(COUNTA(EN5:EP5)),"")</f>
        <v/>
      </c>
      <c r="ER5" s="109" t="str">
        <f t="shared" si="33"/>
        <v/>
      </c>
      <c r="ES5" s="78"/>
      <c r="ET5" s="79"/>
      <c r="EU5" s="80"/>
      <c r="EV5" s="108" t="str">
        <f>IFERROR((((COUNTIF('Elève (6ème1)'!ES5:EU5,"A"))*4)+((COUNTIF('Elève (6ème1)'!ES5:EU5,"B"))*3)+((COUNTIF('Elève (6ème1)'!ES5:EU5,"C"))*2)+((COUNTIF('Elève (6ème1)'!ES5:EU5,"D"))*1))/(COUNTA(ES5:EU5)),"")</f>
        <v/>
      </c>
      <c r="EW5" s="109" t="str">
        <f t="shared" si="34"/>
        <v/>
      </c>
      <c r="EX5" s="178" t="str">
        <f>IF(COUNT(EL5,EQ5,EV5)=0,"",SUM(EL5,EQ5,EV5)/COUNT(EL5,EQ5,EV5))</f>
        <v/>
      </c>
      <c r="EY5" s="131" t="str">
        <f t="shared" si="35"/>
        <v/>
      </c>
      <c r="EZ5" s="153"/>
      <c r="FA5" s="154"/>
      <c r="FB5" s="155"/>
      <c r="FC5" s="108" t="str">
        <f>IFERROR((((COUNTIF('Elève (6ème1)'!EZ5:FB5,"A"))*4)+((COUNTIF('Elève (6ème1)'!EZ5:FB5,"B"))*3)+((COUNTIF('Elève (6ème1)'!EZ5:FB5,"C"))*2)+((COUNTIF('Elève (6ème1)'!EZ5:FB5,"D"))*1))/(COUNTA(EZ5:FB5)),"")</f>
        <v/>
      </c>
      <c r="FD5" s="109" t="str">
        <f t="shared" si="36"/>
        <v/>
      </c>
      <c r="FE5" s="78"/>
      <c r="FF5" s="79"/>
      <c r="FG5" s="80"/>
      <c r="FH5" s="108" t="str">
        <f>IFERROR((((COUNTIF('Elève (6ème1)'!FE5:FG5,"A"))*4)+((COUNTIF('Elève (6ème1)'!FE5:FG5,"B"))*3)+((COUNTIF('Elève (6ème1)'!FE5:FG5,"C"))*2)+((COUNTIF('Elève (6ème1)'!FE5:FG5,"D"))*1))/(COUNTA(FE5:FG5)),"")</f>
        <v/>
      </c>
      <c r="FI5" s="109" t="str">
        <f t="shared" si="37"/>
        <v/>
      </c>
      <c r="FJ5" s="78"/>
      <c r="FK5" s="79"/>
      <c r="FL5" s="80"/>
      <c r="FM5" s="108" t="str">
        <f>IFERROR((((COUNTIF('Elève (6ème1)'!FJ5:FL5,"A"))*4)+((COUNTIF('Elève (6ème1)'!FJ5:FL5,"B"))*3)+((COUNTIF('Elève (6ème1)'!FJ5:FL5,"C"))*2)+((COUNTIF('Elève (6ème1)'!FJ5:FL5,"D"))*1))/(COUNTA(FJ5:FL5)),"")</f>
        <v/>
      </c>
      <c r="FN5" s="109" t="str">
        <f t="shared" si="38"/>
        <v/>
      </c>
      <c r="FO5" s="178" t="str">
        <f>IF(COUNT(FC5,FH5,FM5)=0,"",SUM(FC5,FH5,FM5)/COUNT(FC5,FH5,FM5))</f>
        <v/>
      </c>
      <c r="FP5" s="131" t="str">
        <f t="shared" si="39"/>
        <v/>
      </c>
      <c r="FQ5" s="153"/>
      <c r="FR5" s="154"/>
      <c r="FS5" s="155"/>
      <c r="FT5" s="108" t="str">
        <f>IFERROR((((COUNTIF('Elève (6ème1)'!FQ5:FS5,"A"))*4)+((COUNTIF('Elève (6ème1)'!FQ5:FS5,"B"))*3)+((COUNTIF('Elève (6ème1)'!FQ5:FS5,"C"))*2)+((COUNTIF('Elève (6ème1)'!FQ5:FS5,"D"))*1))/(COUNTA(FQ5:FS5)),"")</f>
        <v/>
      </c>
      <c r="FU5" s="109" t="str">
        <f t="shared" si="40"/>
        <v/>
      </c>
      <c r="FV5" s="78"/>
      <c r="FW5" s="79"/>
      <c r="FX5" s="80"/>
      <c r="FY5" s="108" t="str">
        <f>IFERROR((((COUNTIF('Elève (6ème1)'!FV5:FX5,"A"))*4)+((COUNTIF('Elève (6ème1)'!FV5:FX5,"B"))*3)+((COUNTIF('Elève (6ème1)'!FV5:FX5,"C"))*2)+((COUNTIF('Elève (6ème1)'!FV5:FX5,"D"))*1))/(COUNTA(FV5:FX5)),"")</f>
        <v/>
      </c>
      <c r="FZ5" s="109" t="str">
        <f t="shared" si="41"/>
        <v/>
      </c>
      <c r="GA5" s="78"/>
      <c r="GB5" s="79"/>
      <c r="GC5" s="80"/>
      <c r="GD5" s="108" t="str">
        <f>IFERROR((((COUNTIF('Elève (6ème1)'!GA5:GC5,"A"))*4)+((COUNTIF('Elève (6ème1)'!GA5:GC5,"B"))*3)+((COUNTIF('Elève (6ème1)'!GA5:GC5,"C"))*2)+((COUNTIF('Elève (6ème1)'!GA5:GC5,"D"))*1))/(COUNTA(GA5:GC5)),"")</f>
        <v/>
      </c>
      <c r="GE5" s="109" t="str">
        <f t="shared" si="42"/>
        <v/>
      </c>
      <c r="GF5" s="178" t="str">
        <f>IF(COUNT(FT5,FY5,GD5)=0,"",SUM(FT5,FY5,GD5)/COUNT(FT5,FY5,GD5))</f>
        <v/>
      </c>
      <c r="GG5" s="131" t="str">
        <f t="shared" si="43"/>
        <v/>
      </c>
      <c r="GH5" s="153"/>
      <c r="GI5" s="154"/>
      <c r="GJ5" s="155"/>
      <c r="GK5" s="108" t="str">
        <f>IFERROR((((COUNTIF('Elève (6ème1)'!GH5:GJ5,"A"))*4)+((COUNTIF('Elève (6ème1)'!GH5:GJ5,"B"))*3)+((COUNTIF('Elève (6ème1)'!GH5:GJ5,"C"))*2)+((COUNTIF('Elève (6ème1)'!GH5:GJ5,"D"))*1))/(COUNTA(GH5:GJ5)),"")</f>
        <v/>
      </c>
      <c r="GL5" s="109" t="str">
        <f t="shared" si="44"/>
        <v/>
      </c>
      <c r="GM5" s="78"/>
      <c r="GN5" s="79"/>
      <c r="GO5" s="80"/>
      <c r="GP5" s="108" t="str">
        <f>IFERROR((((COUNTIF('Elève (6ème1)'!GM5:GO5,"A"))*4)+((COUNTIF('Elève (6ème1)'!GM5:GO5,"B"))*3)+((COUNTIF('Elève (6ème1)'!GM5:GO5,"C"))*2)+((COUNTIF('Elève (6ème1)'!GM5:GO5,"D"))*1))/(COUNTA(GM5:GO5)),"")</f>
        <v/>
      </c>
      <c r="GQ5" s="109" t="str">
        <f t="shared" si="45"/>
        <v/>
      </c>
      <c r="GR5" s="78"/>
      <c r="GS5" s="79"/>
      <c r="GT5" s="80"/>
      <c r="GU5" s="108" t="str">
        <f>IFERROR((((COUNTIF('Elève (6ème1)'!GR5:GT5,"A"))*4)+((COUNTIF('Elève (6ème1)'!GR5:GT5,"B"))*3)+((COUNTIF('Elève (6ème1)'!GR5:GT5,"C"))*2)+((COUNTIF('Elève (6ème1)'!GR5:GT5,"D"))*1))/(COUNTA(GR5:GT5)),"")</f>
        <v/>
      </c>
      <c r="GV5" s="109" t="str">
        <f t="shared" si="46"/>
        <v/>
      </c>
      <c r="GW5" s="178" t="str">
        <f>IF(COUNT(GK5,GP5,GU5)=0,"",SUM(GK5,GP5,GU5)/COUNT(GK5,GP5,GU5))</f>
        <v/>
      </c>
      <c r="GX5" s="131" t="str">
        <f t="shared" si="47"/>
        <v/>
      </c>
      <c r="GY5" s="153"/>
      <c r="GZ5" s="154"/>
      <c r="HA5" s="155"/>
      <c r="HB5" s="108" t="str">
        <f>IFERROR((((COUNTIF('Elève (6ème1)'!GY5:HA5,"A"))*4)+((COUNTIF('Elève (6ème1)'!GY5:HA5,"B"))*3)+((COUNTIF('Elève (6ème1)'!GY5:HA5,"C"))*2)+((COUNTIF('Elève (6ème1)'!GY5:HA5,"D"))*1))/(COUNTA(GY5:HA5)),"")</f>
        <v/>
      </c>
      <c r="HC5" s="109" t="str">
        <f t="shared" si="48"/>
        <v/>
      </c>
      <c r="HD5" s="78"/>
      <c r="HE5" s="79"/>
      <c r="HF5" s="80"/>
      <c r="HG5" s="108" t="str">
        <f>IFERROR((((COUNTIF('Elève (6ème1)'!HD5:HF5,"A"))*4)+((COUNTIF('Elève (6ème1)'!HD5:HF5,"B"))*3)+((COUNTIF('Elève (6ème1)'!HD5:HF5,"C"))*2)+((COUNTIF('Elève (6ème1)'!HD5:HF5,"D"))*1))/(COUNTA(HD5:HF5)),"")</f>
        <v/>
      </c>
      <c r="HH5" s="109" t="str">
        <f t="shared" si="49"/>
        <v/>
      </c>
      <c r="HI5" s="78"/>
      <c r="HJ5" s="79"/>
      <c r="HK5" s="80"/>
      <c r="HL5" s="108" t="str">
        <f>IFERROR((((COUNTIF('Elève (6ème1)'!HI5:HK5,"A"))*4)+((COUNTIF('Elève (6ème1)'!HI5:HK5,"B"))*3)+((COUNTIF('Elève (6ème1)'!HI5:HK5,"C"))*2)+((COUNTIF('Elève (6ème1)'!HI5:HK5,"D"))*1))/(COUNTA(HI5:HK5)),"")</f>
        <v/>
      </c>
      <c r="HM5" s="109" t="str">
        <f t="shared" si="50"/>
        <v/>
      </c>
      <c r="HN5" s="178" t="str">
        <f>IF(COUNT(HB5,HG5,HL5)=0,"",SUM(HB5,HG5,HL5)/COUNT(HB5,HG5,HL5))</f>
        <v/>
      </c>
      <c r="HO5" s="131" t="str">
        <f t="shared" si="51"/>
        <v/>
      </c>
      <c r="HP5" s="153"/>
      <c r="HQ5" s="154"/>
      <c r="HR5" s="155"/>
      <c r="HS5" s="108" t="str">
        <f>IFERROR((((COUNTIF('Elève (6ème1)'!HP5:HR5,"A"))*4)+((COUNTIF('Elève (6ème1)'!HP5:HR5,"B"))*3)+((COUNTIF('Elève (6ème1)'!HP5:HR5,"C"))*2)+((COUNTIF('Elève (6ème1)'!HP5:HR5,"D"))*1))/(COUNTA(HP5:HR5)),"")</f>
        <v/>
      </c>
      <c r="HT5" s="109" t="str">
        <f t="shared" si="52"/>
        <v/>
      </c>
      <c r="HU5" s="78"/>
      <c r="HV5" s="79"/>
      <c r="HW5" s="80"/>
      <c r="HX5" s="108" t="str">
        <f>IFERROR((((COUNTIF('Elève (6ème1)'!HU5:HW5,"A"))*4)+((COUNTIF('Elève (6ème1)'!HU5:HW5,"B"))*3)+((COUNTIF('Elève (6ème1)'!HU5:HW5,"C"))*2)+((COUNTIF('Elève (6ème1)'!HU5:HW5,"D"))*1))/(COUNTA(HU5:HW5)),"")</f>
        <v/>
      </c>
      <c r="HY5" s="109" t="str">
        <f t="shared" si="53"/>
        <v/>
      </c>
      <c r="HZ5" s="78"/>
      <c r="IA5" s="79"/>
      <c r="IB5" s="80"/>
      <c r="IC5" s="108" t="str">
        <f>IFERROR((((COUNTIF('Elève (6ème1)'!HZ5:IB5,"A"))*4)+((COUNTIF('Elève (6ème1)'!HZ5:IB5,"B"))*3)+((COUNTIF('Elève (6ème1)'!HZ5:IB5,"C"))*2)+((COUNTIF('Elève (6ème1)'!HZ5:IB5,"D"))*1))/(COUNTA(HZ5:IB5)),"")</f>
        <v/>
      </c>
      <c r="ID5" s="109" t="str">
        <f t="shared" si="54"/>
        <v/>
      </c>
      <c r="IE5" s="178" t="str">
        <f>IF(COUNT(HS5,HX5,IC5)=0,"",SUM(HS5,HX5,IC5)/COUNT(HS5,HX5,IC5))</f>
        <v/>
      </c>
      <c r="IF5" s="131" t="str">
        <f t="shared" si="55"/>
        <v/>
      </c>
      <c r="IG5" s="153"/>
      <c r="IH5" s="154"/>
      <c r="II5" s="155"/>
      <c r="IJ5" s="108" t="str">
        <f>IFERROR((((COUNTIF('Elève (6ème1)'!IG5:II5,"A"))*4)+((COUNTIF('Elève (6ème1)'!IG5:II5,"B"))*3)+((COUNTIF('Elève (6ème1)'!IG5:II5,"C"))*2)+((COUNTIF('Elève (6ème1)'!IG5:II5,"D"))*1))/(COUNTA(IG5:II5)),"")</f>
        <v/>
      </c>
      <c r="IK5" s="109" t="str">
        <f t="shared" si="56"/>
        <v/>
      </c>
      <c r="IL5" s="78"/>
      <c r="IM5" s="79"/>
      <c r="IN5" s="80"/>
      <c r="IO5" s="108" t="str">
        <f>IFERROR((((COUNTIF('Elève (6ème1)'!IL5:IN5,"A"))*4)+((COUNTIF('Elève (6ème1)'!IL5:IN5,"B"))*3)+((COUNTIF('Elève (6ème1)'!IL5:IN5,"C"))*2)+((COUNTIF('Elève (6ème1)'!IL5:IN5,"D"))*1))/(COUNTA(IL5:IN5)),"")</f>
        <v/>
      </c>
      <c r="IP5" s="109" t="str">
        <f t="shared" si="57"/>
        <v/>
      </c>
      <c r="IQ5" s="78"/>
      <c r="IR5" s="79"/>
      <c r="IS5" s="80"/>
      <c r="IT5" s="108" t="str">
        <f>IFERROR((((COUNTIF('Elève (6ème1)'!IQ5:IS5,"A"))*4)+((COUNTIF('Elève (6ème1)'!IQ5:IS5,"B"))*3)+((COUNTIF('Elève (6ème1)'!IQ5:IS5,"C"))*2)+((COUNTIF('Elève (6ème1)'!IQ5:IS5,"D"))*1))/(COUNTA(IQ5:IS5)),"")</f>
        <v/>
      </c>
      <c r="IU5" s="109" t="str">
        <f t="shared" si="58"/>
        <v/>
      </c>
      <c r="IV5" s="178" t="str">
        <f>IF(COUNT(IJ5,IO5,IT5)=0,"",SUM(IJ5,IO5,IT5)/COUNT(IJ5,IO5,IT5))</f>
        <v/>
      </c>
      <c r="IW5" s="131" t="str">
        <f t="shared" si="59"/>
        <v/>
      </c>
      <c r="IX5" s="153"/>
      <c r="IY5" s="154"/>
      <c r="IZ5" s="155"/>
      <c r="JA5" s="108" t="str">
        <f>IFERROR((((COUNTIF('Elève (6ème1)'!IX5:IZ5,"A"))*4)+((COUNTIF('Elève (6ème1)'!IX5:IZ5,"B"))*3)+((COUNTIF('Elève (6ème1)'!IX5:IZ5,"C"))*2)+((COUNTIF('Elève (6ème1)'!IX5:IZ5,"D"))*1))/(COUNTA(IX5:IZ5)),"")</f>
        <v/>
      </c>
      <c r="JB5" s="109" t="str">
        <f t="shared" si="60"/>
        <v/>
      </c>
      <c r="JC5" s="78"/>
      <c r="JD5" s="79"/>
      <c r="JE5" s="80"/>
      <c r="JF5" s="108" t="str">
        <f>IFERROR((((COUNTIF('Elève (6ème1)'!JC5:JE5,"A"))*4)+((COUNTIF('Elève (6ème1)'!JC5:JE5,"B"))*3)+((COUNTIF('Elève (6ème1)'!JC5:JE5,"C"))*2)+((COUNTIF('Elève (6ème1)'!JC5:JE5,"D"))*1))/(COUNTA(JC5:JE5)),"")</f>
        <v/>
      </c>
      <c r="JG5" s="109" t="str">
        <f t="shared" si="61"/>
        <v/>
      </c>
      <c r="JH5" s="78"/>
      <c r="JI5" s="79"/>
      <c r="JJ5" s="80"/>
      <c r="JK5" s="108" t="str">
        <f>IFERROR((((COUNTIF('Elève (6ème1)'!JH5:JJ5,"A"))*4)+((COUNTIF('Elève (6ème1)'!JH5:JJ5,"B"))*3)+((COUNTIF('Elève (6ème1)'!JH5:JJ5,"C"))*2)+((COUNTIF('Elève (6ème1)'!JH5:JJ5,"D"))*1))/(COUNTA(JH5:JJ5)),"")</f>
        <v/>
      </c>
      <c r="JL5" s="109" t="str">
        <f t="shared" si="62"/>
        <v/>
      </c>
      <c r="JM5" s="178" t="str">
        <f>IF(COUNT(JA5,JF5,JK5)=0,"",SUM(JA5,JF5,JK5)/COUNT(JA5,JF5,JK5))</f>
        <v/>
      </c>
      <c r="JN5" s="131" t="str">
        <f t="shared" si="63"/>
        <v/>
      </c>
      <c r="JO5" s="153"/>
      <c r="JP5" s="154"/>
      <c r="JQ5" s="155"/>
      <c r="JR5" s="108" t="str">
        <f>IFERROR((((COUNTIF('Elève (6ème1)'!JO5:JQ5,"A"))*4)+((COUNTIF('Elève (6ème1)'!JO5:JQ5,"B"))*3)+((COUNTIF('Elève (6ème1)'!JO5:JQ5,"C"))*2)+((COUNTIF('Elève (6ème1)'!JO5:JQ5,"D"))*1))/(COUNTA(JO5:JQ5)),"")</f>
        <v/>
      </c>
      <c r="JS5" s="109" t="str">
        <f t="shared" si="64"/>
        <v/>
      </c>
      <c r="JT5" s="78"/>
      <c r="JU5" s="79"/>
      <c r="JV5" s="80"/>
      <c r="JW5" s="108" t="str">
        <f>IFERROR((((COUNTIF('Elève (6ème1)'!JT5:JV5,"A"))*4)+((COUNTIF('Elève (6ème1)'!JT5:JV5,"B"))*3)+((COUNTIF('Elève (6ème1)'!JT5:JV5,"C"))*2)+((COUNTIF('Elève (6ème1)'!JT5:JV5,"D"))*1))/(COUNTA(JT5:JV5)),"")</f>
        <v/>
      </c>
      <c r="JX5" s="109" t="str">
        <f t="shared" si="65"/>
        <v/>
      </c>
      <c r="JY5" s="78"/>
      <c r="JZ5" s="79"/>
      <c r="KA5" s="80"/>
      <c r="KB5" s="108" t="str">
        <f>IFERROR((((COUNTIF('Elève (6ème1)'!JY5:KA5,"A"))*4)+((COUNTIF('Elève (6ème1)'!JY5:KA5,"B"))*3)+((COUNTIF('Elève (6ème1)'!JY5:KA5,"C"))*2)+((COUNTIF('Elève (6ème1)'!JY5:KA5,"D"))*1))/(COUNTA(JY5:KA5)),"")</f>
        <v/>
      </c>
      <c r="KC5" s="109" t="str">
        <f t="shared" si="66"/>
        <v/>
      </c>
      <c r="KD5" s="178" t="str">
        <f>IF(COUNT(JR5,JW5,KB5)=0,"",SUM(JR5,JW5,KB5)/COUNT(JR5,JW5,KB5))</f>
        <v/>
      </c>
      <c r="KE5" s="131" t="str">
        <f t="shared" si="67"/>
        <v/>
      </c>
      <c r="KF5" s="153"/>
      <c r="KG5" s="154"/>
      <c r="KH5" s="155"/>
      <c r="KI5" s="108" t="str">
        <f>IFERROR((((COUNTIF('Elève (6ème1)'!KF5:KH5,"A"))*4)+((COUNTIF('Elève (6ème1)'!KF5:KH5,"B"))*3)+((COUNTIF('Elève (6ème1)'!KF5:KH5,"C"))*2)+((COUNTIF('Elève (6ème1)'!KF5:KH5,"D"))*1))/(COUNTA(KF5:KH5)),"")</f>
        <v/>
      </c>
      <c r="KJ5" s="109" t="str">
        <f t="shared" si="68"/>
        <v/>
      </c>
      <c r="KK5" s="78"/>
      <c r="KL5" s="79"/>
      <c r="KM5" s="80"/>
      <c r="KN5" s="108" t="str">
        <f>IFERROR((((COUNTIF('Elève (6ème1)'!KK5:KM5,"A"))*4)+((COUNTIF('Elève (6ème1)'!KK5:KM5,"B"))*3)+((COUNTIF('Elève (6ème1)'!KK5:KM5,"C"))*2)+((COUNTIF('Elève (6ème1)'!KK5:KM5,"D"))*1))/(COUNTA(KK5:KM5)),"")</f>
        <v/>
      </c>
      <c r="KO5" s="109" t="str">
        <f t="shared" si="69"/>
        <v/>
      </c>
      <c r="KP5" s="78"/>
      <c r="KQ5" s="79"/>
      <c r="KR5" s="80"/>
      <c r="KS5" s="108" t="str">
        <f>IFERROR((((COUNTIF('Elève (6ème1)'!KP5:KR5,"A"))*4)+((COUNTIF('Elève (6ème1)'!KP5:KR5,"B"))*3)+((COUNTIF('Elève (6ème1)'!KP5:KR5,"C"))*2)+((COUNTIF('Elève (6ème1)'!KP5:KR5,"D"))*1))/(COUNTA(KP5:KR5)),"")</f>
        <v/>
      </c>
      <c r="KT5" s="109" t="str">
        <f t="shared" si="70"/>
        <v/>
      </c>
      <c r="KU5" s="178" t="str">
        <f>IF(COUNT(KI5,KN5,KS5)=0,"",SUM(KI5,KN5,KS5)/COUNT(KI5,KN5,KS5))</f>
        <v/>
      </c>
      <c r="KV5" s="131" t="str">
        <f t="shared" si="71"/>
        <v/>
      </c>
      <c r="KW5" s="153"/>
      <c r="KX5" s="154"/>
      <c r="KY5" s="155"/>
      <c r="KZ5" s="108" t="str">
        <f>IFERROR((((COUNTIF('Elève (6ème1)'!KW5:KY5,"A"))*4)+((COUNTIF('Elève (6ème1)'!KW5:KY5,"B"))*3)+((COUNTIF('Elève (6ème1)'!KW5:KY5,"C"))*2)+((COUNTIF('Elève (6ème1)'!KW5:KY5,"D"))*1))/(COUNTA(KW5:KY5)),"")</f>
        <v/>
      </c>
      <c r="LA5" s="109" t="str">
        <f t="shared" si="72"/>
        <v/>
      </c>
      <c r="LB5" s="78"/>
      <c r="LC5" s="79"/>
      <c r="LD5" s="80"/>
      <c r="LE5" s="108" t="str">
        <f>IFERROR((((COUNTIF('Elève (6ème1)'!LB5:LD5,"A"))*4)+((COUNTIF('Elève (6ème1)'!LB5:LD5,"B"))*3)+((COUNTIF('Elève (6ème1)'!LB5:LD5,"C"))*2)+((COUNTIF('Elève (6ème1)'!LB5:LD5,"D"))*1))/(COUNTA(LB5:LD5)),"")</f>
        <v/>
      </c>
      <c r="LF5" s="109" t="str">
        <f t="shared" si="73"/>
        <v/>
      </c>
      <c r="LG5" s="78"/>
      <c r="LH5" s="79"/>
      <c r="LI5" s="80"/>
      <c r="LJ5" s="108" t="str">
        <f>IFERROR((((COUNTIF('Elève (6ème1)'!LG5:LI5,"A"))*4)+((COUNTIF('Elève (6ème1)'!LG5:LI5,"B"))*3)+((COUNTIF('Elève (6ème1)'!LG5:LI5,"C"))*2)+((COUNTIF('Elève (6ème1)'!LG5:LI5,"D"))*1))/(COUNTA(LG5:LI5)),"")</f>
        <v/>
      </c>
      <c r="LK5" s="109" t="str">
        <f t="shared" si="74"/>
        <v/>
      </c>
      <c r="LL5" s="178" t="str">
        <f>IF(COUNT(KZ5,LE5,LJ5)=0,"",SUM(KZ5,LE5,LJ5)/COUNT(KZ5,LE5,LJ5))</f>
        <v/>
      </c>
      <c r="LM5" s="131" t="str">
        <f t="shared" si="75"/>
        <v/>
      </c>
      <c r="LN5" s="153"/>
      <c r="LO5" s="154"/>
      <c r="LP5" s="155"/>
      <c r="LQ5" s="108" t="str">
        <f>IFERROR((((COUNTIF('Elève (6ème1)'!LN5:LP5,"A"))*4)+((COUNTIF('Elève (6ème1)'!LN5:LP5,"B"))*3)+((COUNTIF('Elève (6ème1)'!LN5:LP5,"C"))*2)+((COUNTIF('Elève (6ème1)'!LN5:LP5,"D"))*1))/(COUNTA(LN5:LP5)),"")</f>
        <v/>
      </c>
      <c r="LR5" s="109" t="str">
        <f t="shared" si="76"/>
        <v/>
      </c>
      <c r="LS5" s="78"/>
      <c r="LT5" s="79"/>
      <c r="LU5" s="80"/>
      <c r="LV5" s="108" t="str">
        <f>IFERROR((((COUNTIF('Elève (6ème1)'!LS5:LU5,"A"))*4)+((COUNTIF('Elève (6ème1)'!LS5:LU5,"B"))*3)+((COUNTIF('Elève (6ème1)'!LS5:LU5,"C"))*2)+((COUNTIF('Elève (6ème1)'!LS5:LU5,"D"))*1))/(COUNTA(LS5:LU5)),"")</f>
        <v/>
      </c>
      <c r="LW5" s="109" t="str">
        <f t="shared" si="77"/>
        <v/>
      </c>
      <c r="LX5" s="78"/>
      <c r="LY5" s="79"/>
      <c r="LZ5" s="80"/>
      <c r="MA5" s="108" t="str">
        <f>IFERROR((((COUNTIF('Elève (6ème1)'!LX5:LZ5,"A"))*4)+((COUNTIF('Elève (6ème1)'!LX5:LZ5,"B"))*3)+((COUNTIF('Elève (6ème1)'!LX5:LZ5,"C"))*2)+((COUNTIF('Elève (6ème1)'!LX5:LZ5,"D"))*1))/(COUNTA(LX5:LZ5)),"")</f>
        <v/>
      </c>
      <c r="MB5" s="109" t="str">
        <f t="shared" si="78"/>
        <v/>
      </c>
      <c r="MC5" s="178" t="str">
        <f>IF(COUNT(LQ5,LV5,MA5)=0,"",SUM(LQ5,LV5,MA5)/COUNT(LQ5,LV5,MA5))</f>
        <v/>
      </c>
      <c r="MD5" s="131" t="str">
        <f t="shared" si="79"/>
        <v/>
      </c>
      <c r="ME5" s="153"/>
      <c r="MF5" s="154"/>
      <c r="MG5" s="155"/>
      <c r="MH5" s="108" t="str">
        <f>IFERROR((((COUNTIF('Elève (6ème1)'!ME5:MG5,"A"))*4)+((COUNTIF('Elève (6ème1)'!ME5:MG5,"B"))*3)+((COUNTIF('Elève (6ème1)'!ME5:MG5,"C"))*2)+((COUNTIF('Elève (6ème1)'!ME5:MG5,"D"))*1))/(COUNTA(ME5:MG5)),"")</f>
        <v/>
      </c>
      <c r="MI5" s="109" t="str">
        <f t="shared" si="80"/>
        <v/>
      </c>
      <c r="MJ5" s="78"/>
      <c r="MK5" s="79"/>
      <c r="ML5" s="80"/>
      <c r="MM5" s="108" t="str">
        <f>IFERROR((((COUNTIF('Elève (6ème1)'!MJ5:ML5,"A"))*4)+((COUNTIF('Elève (6ème1)'!MJ5:ML5,"B"))*3)+((COUNTIF('Elève (6ème1)'!MJ5:ML5,"C"))*2)+((COUNTIF('Elève (6ème1)'!MJ5:ML5,"D"))*1))/(COUNTA(MJ5:ML5)),"")</f>
        <v/>
      </c>
      <c r="MN5" s="109" t="str">
        <f t="shared" si="81"/>
        <v/>
      </c>
      <c r="MO5" s="78"/>
      <c r="MP5" s="79"/>
      <c r="MQ5" s="80"/>
      <c r="MR5" s="108" t="str">
        <f>IFERROR((((COUNTIF('Elève (6ème1)'!MO5:MQ5,"A"))*4)+((COUNTIF('Elève (6ème1)'!MO5:MQ5,"B"))*3)+((COUNTIF('Elève (6ème1)'!MO5:MQ5,"C"))*2)+((COUNTIF('Elève (6ème1)'!MO5:MQ5,"D"))*1))/(COUNTA(MO5:MQ5)),"")</f>
        <v/>
      </c>
      <c r="MS5" s="109" t="str">
        <f t="shared" si="82"/>
        <v/>
      </c>
      <c r="MT5" s="178" t="str">
        <f>IF(COUNT(MH5,MM5,MR5)=0,"",SUM(MH5,MM5,MR5)/COUNT(MH5,MM5,MR5))</f>
        <v/>
      </c>
      <c r="MU5" s="131" t="str">
        <f t="shared" si="83"/>
        <v/>
      </c>
      <c r="MV5" s="153"/>
      <c r="MW5" s="154"/>
      <c r="MX5" s="155"/>
      <c r="MY5" s="108" t="str">
        <f>IFERROR((((COUNTIF('Elève (6ème1)'!MV5:MX5,"A"))*4)+((COUNTIF('Elève (6ème1)'!MV5:MX5,"B"))*3)+((COUNTIF('Elève (6ème1)'!MV5:MX5,"C"))*2)+((COUNTIF('Elève (6ème1)'!MV5:MX5,"D"))*1))/(COUNTA(MV5:MX5)),"")</f>
        <v/>
      </c>
      <c r="MZ5" s="109" t="str">
        <f t="shared" si="84"/>
        <v/>
      </c>
      <c r="NA5" s="78"/>
      <c r="NB5" s="79"/>
      <c r="NC5" s="80"/>
      <c r="ND5" s="108" t="str">
        <f>IFERROR((((COUNTIF('Elève (6ème1)'!NA5:NC5,"A"))*4)+((COUNTIF('Elève (6ème1)'!NA5:NC5,"B"))*3)+((COUNTIF('Elève (6ème1)'!NA5:NC5,"C"))*2)+((COUNTIF('Elève (6ème1)'!NA5:NC5,"D"))*1))/(COUNTA(NA5:NC5)),"")</f>
        <v/>
      </c>
      <c r="NE5" s="109" t="str">
        <f t="shared" si="85"/>
        <v/>
      </c>
      <c r="NF5" s="78"/>
      <c r="NG5" s="79"/>
      <c r="NH5" s="80"/>
      <c r="NI5" s="108" t="str">
        <f>IFERROR((((COUNTIF('Elève (6ème1)'!NF5:NH5,"A"))*4)+((COUNTIF('Elève (6ème1)'!NF5:NH5,"B"))*3)+((COUNTIF('Elève (6ème1)'!NF5:NH5,"C"))*2)+((COUNTIF('Elève (6ème1)'!NF5:NH5,"D"))*1))/(COUNTA(NF5:NH5)),"")</f>
        <v/>
      </c>
      <c r="NJ5" s="109" t="str">
        <f t="shared" si="86"/>
        <v/>
      </c>
      <c r="NK5" s="178" t="str">
        <f>IF(COUNT(MY5,ND5,NI5)=0,"",SUM(MY5,ND5,NI5)/COUNT(MY5,ND5,NI5))</f>
        <v/>
      </c>
      <c r="NL5" s="131" t="str">
        <f t="shared" si="87"/>
        <v/>
      </c>
      <c r="NM5" s="153"/>
      <c r="NN5" s="154"/>
      <c r="NO5" s="155"/>
      <c r="NP5" s="108" t="str">
        <f>IFERROR((((COUNTIF('Elève (6ème1)'!NM5:NO5,"A"))*4)+((COUNTIF('Elève (6ème1)'!NM5:NO5,"B"))*3)+((COUNTIF('Elève (6ème1)'!NM5:NO5,"C"))*2)+((COUNTIF('Elève (6ème1)'!NM5:NO5,"D"))*1))/(COUNTA(NM5:NO5)),"")</f>
        <v/>
      </c>
      <c r="NQ5" s="109" t="str">
        <f t="shared" si="88"/>
        <v/>
      </c>
      <c r="NR5" s="78"/>
      <c r="NS5" s="79"/>
      <c r="NT5" s="80"/>
      <c r="NU5" s="108" t="str">
        <f>IFERROR((((COUNTIF('Elève (6ème1)'!NR5:NT5,"A"))*4)+((COUNTIF('Elève (6ème1)'!NR5:NT5,"B"))*3)+((COUNTIF('Elève (6ème1)'!NR5:NT5,"C"))*2)+((COUNTIF('Elève (6ème1)'!NR5:NT5,"D"))*1))/(COUNTA(NR5:NT5)),"")</f>
        <v/>
      </c>
      <c r="NV5" s="109" t="str">
        <f t="shared" si="89"/>
        <v/>
      </c>
      <c r="NW5" s="78"/>
      <c r="NX5" s="79"/>
      <c r="NY5" s="80"/>
      <c r="NZ5" s="108" t="str">
        <f>IFERROR((((COUNTIF('Elève (6ème1)'!NW5:NY5,"A"))*4)+((COUNTIF('Elève (6ème1)'!NW5:NY5,"B"))*3)+((COUNTIF('Elève (6ème1)'!NW5:NY5,"C"))*2)+((COUNTIF('Elève (6ème1)'!NW5:NY5,"D"))*1))/(COUNTA(NW5:NY5)),"")</f>
        <v/>
      </c>
      <c r="OA5" s="109" t="str">
        <f t="shared" si="90"/>
        <v/>
      </c>
      <c r="OB5" s="178" t="str">
        <f>IF(COUNT(NP5,NU5,NZ5)=0,"",SUM(NP5,NU5,NZ5)/COUNT(NP5,NU5,NZ5))</f>
        <v/>
      </c>
      <c r="OC5" s="131" t="str">
        <f t="shared" si="91"/>
        <v/>
      </c>
      <c r="OD5" s="153"/>
      <c r="OE5" s="154"/>
      <c r="OF5" s="155"/>
      <c r="OG5" s="108" t="str">
        <f>IFERROR((((COUNTIF('Elève (6ème1)'!OD5:OF5,"A"))*4)+((COUNTIF('Elève (6ème1)'!OD5:OF5,"B"))*3)+((COUNTIF('Elève (6ème1)'!OD5:OF5,"C"))*2)+((COUNTIF('Elève (6ème1)'!OD5:OF5,"D"))*1))/(COUNTA(OD5:OF5)),"")</f>
        <v/>
      </c>
      <c r="OH5" s="109" t="str">
        <f t="shared" si="92"/>
        <v/>
      </c>
      <c r="OI5" s="78"/>
      <c r="OJ5" s="79"/>
      <c r="OK5" s="80"/>
      <c r="OL5" s="108" t="str">
        <f>IFERROR((((COUNTIF('Elève (6ème1)'!OI5:OK5,"A"))*4)+((COUNTIF('Elève (6ème1)'!OI5:OK5,"B"))*3)+((COUNTIF('Elève (6ème1)'!OI5:OK5,"C"))*2)+((COUNTIF('Elève (6ème1)'!OI5:OK5,"D"))*1))/(COUNTA(OI5:OK5)),"")</f>
        <v/>
      </c>
      <c r="OM5" s="109" t="str">
        <f t="shared" si="93"/>
        <v/>
      </c>
      <c r="ON5" s="78"/>
      <c r="OO5" s="79"/>
      <c r="OP5" s="80"/>
      <c r="OQ5" s="108" t="str">
        <f>IFERROR((((COUNTIF('Elève (6ème1)'!ON5:OP5,"A"))*4)+((COUNTIF('Elève (6ème1)'!ON5:OP5,"B"))*3)+((COUNTIF('Elève (6ème1)'!ON5:OP5,"C"))*2)+((COUNTIF('Elève (6ème1)'!ON5:OP5,"D"))*1))/(COUNTA(ON5:OP5)),"")</f>
        <v/>
      </c>
      <c r="OR5" s="109" t="str">
        <f t="shared" si="94"/>
        <v/>
      </c>
      <c r="OS5" s="178" t="str">
        <f>IF(COUNT(OG5,OL5,OQ5)=0,"",SUM(OG5,OL5,OQ5)/COUNT(OG5,OL5,OQ5))</f>
        <v/>
      </c>
      <c r="OT5" s="131" t="str">
        <f t="shared" si="95"/>
        <v/>
      </c>
      <c r="OU5" s="153"/>
      <c r="OV5" s="154"/>
      <c r="OW5" s="155"/>
      <c r="OX5" s="108" t="str">
        <f>IFERROR((((COUNTIF('Elève (6ème1)'!OU5:OW5,"A"))*4)+((COUNTIF('Elève (6ème1)'!OU5:OW5,"B"))*3)+((COUNTIF('Elève (6ème1)'!OU5:OW5,"C"))*2)+((COUNTIF('Elève (6ème1)'!OU5:OW5,"D"))*1))/(COUNTA(OU5:OW5)),"")</f>
        <v/>
      </c>
      <c r="OY5" s="109" t="str">
        <f t="shared" si="96"/>
        <v/>
      </c>
      <c r="OZ5" s="78"/>
      <c r="PA5" s="79"/>
      <c r="PB5" s="80"/>
      <c r="PC5" s="108" t="str">
        <f>IFERROR((((COUNTIF('Elève (6ème1)'!OZ5:PB5,"A"))*4)+((COUNTIF('Elève (6ème1)'!OZ5:PB5,"B"))*3)+((COUNTIF('Elève (6ème1)'!OZ5:PB5,"C"))*2)+((COUNTIF('Elève (6ème1)'!OZ5:PB5,"D"))*1))/(COUNTA(OZ5:PB5)),"")</f>
        <v/>
      </c>
      <c r="PD5" s="109" t="str">
        <f t="shared" si="97"/>
        <v/>
      </c>
      <c r="PE5" s="78"/>
      <c r="PF5" s="79"/>
      <c r="PG5" s="80"/>
      <c r="PH5" s="108" t="str">
        <f>IFERROR((((COUNTIF('Elève (6ème1)'!PE5:PG5,"A"))*4)+((COUNTIF('Elève (6ème1)'!PE5:PG5,"B"))*3)+((COUNTIF('Elève (6ème1)'!PE5:PG5,"C"))*2)+((COUNTIF('Elève (6ème1)'!PE5:PG5,"D"))*1))/(COUNTA(PE5:PG5)),"")</f>
        <v/>
      </c>
      <c r="PI5" s="109" t="str">
        <f t="shared" si="98"/>
        <v/>
      </c>
      <c r="PJ5" s="178" t="str">
        <f>IF(COUNT(OX5,PC5,PH5)=0,"",SUM(OX5,PC5,PH5)/COUNT(OX5,PC5,PH5))</f>
        <v/>
      </c>
      <c r="PK5" s="131" t="str">
        <f t="shared" si="99"/>
        <v/>
      </c>
      <c r="PL5" s="153"/>
      <c r="PM5" s="154"/>
      <c r="PN5" s="155"/>
      <c r="PO5" s="108" t="str">
        <f>IFERROR((((COUNTIF('Elève (6ème1)'!PL5:PN5,"A"))*4)+((COUNTIF('Elève (6ème1)'!PL5:PN5,"B"))*3)+((COUNTIF('Elève (6ème1)'!PL5:PN5,"C"))*2)+((COUNTIF('Elève (6ème1)'!PL5:PN5,"D"))*1))/(COUNTA(PL5:PN5)),"")</f>
        <v/>
      </c>
      <c r="PP5" s="109" t="str">
        <f t="shared" si="100"/>
        <v/>
      </c>
      <c r="PQ5" s="78"/>
      <c r="PR5" s="79"/>
      <c r="PS5" s="80"/>
      <c r="PT5" s="108" t="str">
        <f>IFERROR((((COUNTIF('Elève (6ème1)'!PQ5:PS5,"A"))*4)+((COUNTIF('Elève (6ème1)'!PQ5:PS5,"B"))*3)+((COUNTIF('Elève (6ème1)'!PQ5:PS5,"C"))*2)+((COUNTIF('Elève (6ème1)'!PQ5:PS5,"D"))*1))/(COUNTA(PQ5:PS5)),"")</f>
        <v/>
      </c>
      <c r="PU5" s="109" t="str">
        <f t="shared" si="101"/>
        <v/>
      </c>
      <c r="PV5" s="78"/>
      <c r="PW5" s="79"/>
      <c r="PX5" s="80"/>
      <c r="PY5" s="108" t="str">
        <f>IFERROR((((COUNTIF('Elève (6ème1)'!PV5:PX5,"A"))*4)+((COUNTIF('Elève (6ème1)'!PV5:PX5,"B"))*3)+((COUNTIF('Elève (6ème1)'!PV5:PX5,"C"))*2)+((COUNTIF('Elève (6ème1)'!PV5:PX5,"D"))*1))/(COUNTA(PV5:PX5)),"")</f>
        <v/>
      </c>
      <c r="PZ5" s="109" t="str">
        <f t="shared" si="102"/>
        <v/>
      </c>
      <c r="QA5" s="178" t="str">
        <f>IF(COUNT(PO5,PT5,PY5)=0,"",SUM(PO5,PT5,PY5)/COUNT(PO5,PT5,PY5))</f>
        <v/>
      </c>
      <c r="QB5" s="131" t="str">
        <f t="shared" si="103"/>
        <v/>
      </c>
      <c r="QC5" s="153"/>
      <c r="QD5" s="154"/>
      <c r="QE5" s="155"/>
      <c r="QF5" s="108" t="str">
        <f>IFERROR((((COUNTIF('Elève (6ème1)'!QC5:QE5,"A"))*4)+((COUNTIF('Elève (6ème1)'!QC5:QE5,"B"))*3)+((COUNTIF('Elève (6ème1)'!QC5:QE5,"C"))*2)+((COUNTIF('Elève (6ème1)'!QC5:QE5,"D"))*1))/(COUNTA(QC5:QE5)),"")</f>
        <v/>
      </c>
      <c r="QG5" s="109" t="str">
        <f t="shared" si="104"/>
        <v/>
      </c>
      <c r="QH5" s="78"/>
      <c r="QI5" s="79"/>
      <c r="QJ5" s="80"/>
      <c r="QK5" s="108" t="str">
        <f>IFERROR((((COUNTIF('Elève (6ème1)'!QH5:QJ5,"A"))*4)+((COUNTIF('Elève (6ème1)'!QH5:QJ5,"B"))*3)+((COUNTIF('Elève (6ème1)'!QH5:QJ5,"C"))*2)+((COUNTIF('Elève (6ème1)'!QH5:QJ5,"D"))*1))/(COUNTA(QH5:QJ5)),"")</f>
        <v/>
      </c>
      <c r="QL5" s="109" t="str">
        <f t="shared" si="105"/>
        <v/>
      </c>
      <c r="QM5" s="78"/>
      <c r="QN5" s="79"/>
      <c r="QO5" s="80"/>
      <c r="QP5" s="108" t="str">
        <f>IFERROR((((COUNTIF('Elève (6ème1)'!QM5:QO5,"A"))*4)+((COUNTIF('Elève (6ème1)'!QM5:QO5,"B"))*3)+((COUNTIF('Elève (6ème1)'!QM5:QO5,"C"))*2)+((COUNTIF('Elève (6ème1)'!QM5:QO5,"D"))*1))/(COUNTA(QM5:QO5)),"")</f>
        <v/>
      </c>
      <c r="QQ5" s="109" t="str">
        <f t="shared" si="106"/>
        <v/>
      </c>
      <c r="QR5" s="178" t="str">
        <f>IF(COUNT(QF5,QK5,QP5)=0,"",SUM(QF5,QK5,QP5)/COUNT(QF5,QK5,QP5))</f>
        <v/>
      </c>
      <c r="QS5" s="131" t="str">
        <f t="shared" si="107"/>
        <v/>
      </c>
      <c r="QT5" s="153"/>
      <c r="QU5" s="154"/>
      <c r="QV5" s="155"/>
      <c r="QW5" s="108" t="str">
        <f>IFERROR((((COUNTIF('Elève (6ème1)'!QT5:QV5,"A"))*4)+((COUNTIF('Elève (6ème1)'!QT5:QV5,"B"))*3)+((COUNTIF('Elève (6ème1)'!QT5:QV5,"C"))*2)+((COUNTIF('Elève (6ème1)'!QT5:QV5,"D"))*1))/(COUNTA(QT5:QV5)),"")</f>
        <v/>
      </c>
      <c r="QX5" s="109" t="str">
        <f t="shared" si="108"/>
        <v/>
      </c>
      <c r="QY5" s="78"/>
      <c r="QZ5" s="79"/>
      <c r="RA5" s="80"/>
      <c r="RB5" s="108" t="str">
        <f>IFERROR((((COUNTIF('Elève (6ème1)'!QY5:RA5,"A"))*4)+((COUNTIF('Elève (6ème1)'!QY5:RA5,"B"))*3)+((COUNTIF('Elève (6ème1)'!QY5:RA5,"C"))*2)+((COUNTIF('Elève (6ème1)'!QY5:RA5,"D"))*1))/(COUNTA(QY5:RA5)),"")</f>
        <v/>
      </c>
      <c r="RC5" s="109" t="str">
        <f t="shared" si="109"/>
        <v/>
      </c>
      <c r="RD5" s="78"/>
      <c r="RE5" s="79"/>
      <c r="RF5" s="80"/>
      <c r="RG5" s="108" t="str">
        <f>IFERROR((((COUNTIF('Elève (6ème1)'!RD5:RF5,"A"))*4)+((COUNTIF('Elève (6ème1)'!RD5:RF5,"B"))*3)+((COUNTIF('Elève (6ème1)'!RD5:RF5,"C"))*2)+((COUNTIF('Elève (6ème1)'!RD5:RF5,"D"))*1))/(COUNTA(RD5:RF5)),"")</f>
        <v/>
      </c>
      <c r="RH5" s="109" t="str">
        <f t="shared" si="110"/>
        <v/>
      </c>
      <c r="RI5" s="178" t="str">
        <f>IF(COUNT(QW5,RB5,RG5)=0,"",SUM(QW5,RB5,RG5)/COUNT(QW5,RB5,RG5))</f>
        <v/>
      </c>
      <c r="RJ5" s="131" t="str">
        <f t="shared" si="111"/>
        <v/>
      </c>
      <c r="RK5" s="153"/>
      <c r="RL5" s="154"/>
      <c r="RM5" s="155"/>
      <c r="RN5" s="108" t="str">
        <f>IFERROR((((COUNTIF('Elève (6ème1)'!RK5:RM5,"A"))*4)+((COUNTIF('Elève (6ème1)'!RK5:RM5,"B"))*3)+((COUNTIF('Elève (6ème1)'!RK5:RM5,"C"))*2)+((COUNTIF('Elève (6ème1)'!RK5:RM5,"D"))*1))/(COUNTA(RK5:RM5)),"")</f>
        <v/>
      </c>
      <c r="RO5" s="109" t="str">
        <f t="shared" si="112"/>
        <v/>
      </c>
      <c r="RP5" s="78"/>
      <c r="RQ5" s="79"/>
      <c r="RR5" s="80"/>
      <c r="RS5" s="108" t="str">
        <f>IFERROR((((COUNTIF('Elève (6ème1)'!RP5:RR5,"A"))*4)+((COUNTIF('Elève (6ème1)'!RP5:RR5,"B"))*3)+((COUNTIF('Elève (6ème1)'!RP5:RR5,"C"))*2)+((COUNTIF('Elève (6ème1)'!RP5:RR5,"D"))*1))/(COUNTA(RP5:RR5)),"")</f>
        <v/>
      </c>
      <c r="RT5" s="109" t="str">
        <f t="shared" si="113"/>
        <v/>
      </c>
      <c r="RU5" s="78"/>
      <c r="RV5" s="79"/>
      <c r="RW5" s="80"/>
      <c r="RX5" s="108" t="str">
        <f>IFERROR((((COUNTIF('Elève (6ème1)'!RU5:RW5,"A"))*4)+((COUNTIF('Elève (6ème1)'!RU5:RW5,"B"))*3)+((COUNTIF('Elève (6ème1)'!RU5:RW5,"C"))*2)+((COUNTIF('Elève (6ème1)'!RU5:RW5,"D"))*1))/(COUNTA(RU5:RW5)),"")</f>
        <v/>
      </c>
      <c r="RY5" s="109" t="str">
        <f t="shared" si="114"/>
        <v/>
      </c>
      <c r="RZ5" s="178" t="str">
        <f>IF(COUNT(RN5,RS5,RX5)=0,"",SUM(RN5,RS5,RX5)/COUNT(RN5,RS5,RX5))</f>
        <v/>
      </c>
      <c r="SA5" s="131" t="str">
        <f t="shared" si="115"/>
        <v/>
      </c>
      <c r="SB5" s="153"/>
      <c r="SC5" s="154"/>
      <c r="SD5" s="155"/>
      <c r="SE5" s="108" t="str">
        <f>IFERROR((((COUNTIF('Elève (6ème1)'!SB5:SD5,"A"))*4)+((COUNTIF('Elève (6ème1)'!SB5:SD5,"B"))*3)+((COUNTIF('Elève (6ème1)'!SB5:SD5,"C"))*2)+((COUNTIF('Elève (6ème1)'!SB5:SD5,"D"))*1))/(COUNTA(SB5:SD5)),"")</f>
        <v/>
      </c>
      <c r="SF5" s="109" t="str">
        <f t="shared" si="116"/>
        <v/>
      </c>
      <c r="SG5" s="78"/>
      <c r="SH5" s="79"/>
      <c r="SI5" s="80"/>
      <c r="SJ5" s="108" t="str">
        <f>IFERROR((((COUNTIF('Elève (6ème1)'!SG5:SI5,"A"))*4)+((COUNTIF('Elève (6ème1)'!SG5:SI5,"B"))*3)+((COUNTIF('Elève (6ème1)'!SG5:SI5,"C"))*2)+((COUNTIF('Elève (6ème1)'!SG5:SI5,"D"))*1))/(COUNTA(SG5:SI5)),"")</f>
        <v/>
      </c>
      <c r="SK5" s="109" t="str">
        <f t="shared" si="117"/>
        <v/>
      </c>
      <c r="SL5" s="78"/>
      <c r="SM5" s="79"/>
      <c r="SN5" s="80"/>
      <c r="SO5" s="108" t="str">
        <f>IFERROR((((COUNTIF('Elève (6ème1)'!SL5:SN5,"A"))*4)+((COUNTIF('Elève (6ème1)'!SL5:SN5,"B"))*3)+((COUNTIF('Elève (6ème1)'!SL5:SN5,"C"))*2)+((COUNTIF('Elève (6ème1)'!SL5:SN5,"D"))*1))/(COUNTA(SL5:SN5)),"")</f>
        <v/>
      </c>
      <c r="SP5" s="109" t="str">
        <f t="shared" si="118"/>
        <v/>
      </c>
      <c r="SQ5" s="178" t="str">
        <f>IF(COUNT(SE5,SJ5,SO5)=0,"",SUM(SE5,SJ5,SO5)/COUNT(SE5,SJ5,SO5))</f>
        <v/>
      </c>
      <c r="SR5" s="131" t="str">
        <f t="shared" si="119"/>
        <v/>
      </c>
    </row>
    <row r="6" spans="1:512" s="72" customFormat="1" ht="18" customHeight="1" thickBot="1" x14ac:dyDescent="0.3">
      <c r="A6" s="242" t="s">
        <v>13</v>
      </c>
      <c r="B6" s="243"/>
      <c r="C6" s="156"/>
      <c r="D6" s="157"/>
      <c r="E6" s="158"/>
      <c r="F6" s="110" t="str">
        <f>IFERROR((((COUNTIF('Elève (6ème1)'!C6:E6,"A"))*4)+((COUNTIF('Elève (6ème1)'!C6:E6,"B"))*3)+((COUNTIF('Elève (6ème1)'!C6:E6,"C"))*2)+((COUNTIF('Elève (6ème1)'!C6:E6,"D"))*1))/(COUNTA(C6:E6)),"")</f>
        <v/>
      </c>
      <c r="G6" s="111" t="str">
        <f t="shared" si="0"/>
        <v/>
      </c>
      <c r="H6" s="81"/>
      <c r="I6" s="82"/>
      <c r="J6" s="83"/>
      <c r="K6" s="110" t="str">
        <f>IFERROR((((COUNTIF('Elève (6ème1)'!H6:J6,"A"))*4)+((COUNTIF('Elève (6ème1)'!H6:J6,"B"))*3)+((COUNTIF('Elève (6ème1)'!H6:J6,"C"))*2)+((COUNTIF('Elève (6ème1)'!H6:J6,"D"))*1))/(COUNTA(H6:J6)),"")</f>
        <v/>
      </c>
      <c r="L6" s="111" t="str">
        <f t="shared" si="1"/>
        <v/>
      </c>
      <c r="M6" s="81"/>
      <c r="N6" s="82"/>
      <c r="O6" s="83"/>
      <c r="P6" s="110" t="str">
        <f>IFERROR((((COUNTIF('Elève (6ème1)'!M6:O6,"A"))*4)+((COUNTIF('Elève (6ème1)'!M6:O6,"B"))*3)+((COUNTIF('Elève (6ème1)'!M6:O6,"C"))*2)+((COUNTIF('Elève (6ème1)'!M6:O6,"D"))*1))/(COUNTA(M6:O6)),"")</f>
        <v/>
      </c>
      <c r="Q6" s="111" t="str">
        <f t="shared" si="2"/>
        <v/>
      </c>
      <c r="R6" s="179" t="str">
        <f>IF(COUNT(F6,K6,P6)=0,"",SUM(F6,K6,P6)/COUNT(F6,K6,P6))</f>
        <v/>
      </c>
      <c r="S6" s="132" t="str">
        <f t="shared" si="3"/>
        <v/>
      </c>
      <c r="T6" s="156"/>
      <c r="U6" s="157"/>
      <c r="V6" s="158"/>
      <c r="W6" s="110" t="str">
        <f>IFERROR((((COUNTIF('Elève (6ème1)'!T6:V6,"A"))*4)+((COUNTIF('Elève (6ème1)'!T6:V6,"B"))*3)+((COUNTIF('Elève (6ème1)'!T6:V6,"C"))*2)+((COUNTIF('Elève (6ème1)'!T6:V6,"D"))*1))/(COUNTA(T6:V6)),"")</f>
        <v/>
      </c>
      <c r="X6" s="111" t="str">
        <f t="shared" si="4"/>
        <v/>
      </c>
      <c r="Y6" s="81"/>
      <c r="Z6" s="82"/>
      <c r="AA6" s="83"/>
      <c r="AB6" s="110" t="str">
        <f>IFERROR((((COUNTIF('Elève (6ème1)'!Y6:AA6,"A"))*4)+((COUNTIF('Elève (6ème1)'!Y6:AA6,"B"))*3)+((COUNTIF('Elève (6ème1)'!Y6:AA6,"C"))*2)+((COUNTIF('Elève (6ème1)'!Y6:AA6,"D"))*1))/(COUNTA(Y6:AA6)),"")</f>
        <v/>
      </c>
      <c r="AC6" s="111" t="str">
        <f t="shared" si="5"/>
        <v/>
      </c>
      <c r="AD6" s="81"/>
      <c r="AE6" s="82"/>
      <c r="AF6" s="83"/>
      <c r="AG6" s="110" t="str">
        <f>IFERROR((((COUNTIF('Elève (6ème1)'!AD6:AF6,"A"))*4)+((COUNTIF('Elève (6ème1)'!AD6:AF6,"B"))*3)+((COUNTIF('Elève (6ème1)'!AD6:AF6,"C"))*2)+((COUNTIF('Elève (6ème1)'!AD6:AF6,"D"))*1))/(COUNTA(AD6:AF6)),"")</f>
        <v/>
      </c>
      <c r="AH6" s="111" t="str">
        <f t="shared" si="6"/>
        <v/>
      </c>
      <c r="AI6" s="179" t="str">
        <f>IF(COUNT(W6,AB6,AG6)=0,"",SUM(W6,AB6,AG6)/COUNT(W6,AB6,AG6))</f>
        <v/>
      </c>
      <c r="AJ6" s="132" t="str">
        <f t="shared" si="7"/>
        <v/>
      </c>
      <c r="AK6" s="156"/>
      <c r="AL6" s="157"/>
      <c r="AM6" s="158"/>
      <c r="AN6" s="110" t="str">
        <f>IFERROR((((COUNTIF('Elève (6ème1)'!AK6:AM6,"A"))*4)+((COUNTIF('Elève (6ème1)'!AK6:AM6,"B"))*3)+((COUNTIF('Elève (6ème1)'!AK6:AM6,"C"))*2)+((COUNTIF('Elève (6ème1)'!AK6:AM6,"D"))*1))/(COUNTA(AK6:AM6)),"")</f>
        <v/>
      </c>
      <c r="AO6" s="111" t="str">
        <f t="shared" si="8"/>
        <v/>
      </c>
      <c r="AP6" s="81"/>
      <c r="AQ6" s="82"/>
      <c r="AR6" s="83"/>
      <c r="AS6" s="110" t="str">
        <f>IFERROR((((COUNTIF('Elève (6ème1)'!AP6:AR6,"A"))*4)+((COUNTIF('Elève (6ème1)'!AP6:AR6,"B"))*3)+((COUNTIF('Elève (6ème1)'!AP6:AR6,"C"))*2)+((COUNTIF('Elève (6ème1)'!AP6:AR6,"D"))*1))/(COUNTA(AP6:AR6)),"")</f>
        <v/>
      </c>
      <c r="AT6" s="111" t="str">
        <f t="shared" si="9"/>
        <v/>
      </c>
      <c r="AU6" s="81"/>
      <c r="AV6" s="82"/>
      <c r="AW6" s="83"/>
      <c r="AX6" s="110" t="str">
        <f>IFERROR((((COUNTIF('Elève (6ème1)'!AU6:AW6,"A"))*4)+((COUNTIF('Elève (6ème1)'!AU6:AW6,"B"))*3)+((COUNTIF('Elève (6ème1)'!AU6:AW6,"C"))*2)+((COUNTIF('Elève (6ème1)'!AU6:AW6,"D"))*1))/(COUNTA(AU6:AW6)),"")</f>
        <v/>
      </c>
      <c r="AY6" s="111" t="str">
        <f t="shared" si="10"/>
        <v/>
      </c>
      <c r="AZ6" s="179" t="str">
        <f>IF(COUNT(AN6,AS6,AX6)=0,"",SUM(AN6,AS6,AX6)/COUNT(AN6,AS6,AX6))</f>
        <v/>
      </c>
      <c r="BA6" s="132" t="str">
        <f t="shared" si="11"/>
        <v/>
      </c>
      <c r="BB6" s="156"/>
      <c r="BC6" s="157"/>
      <c r="BD6" s="158"/>
      <c r="BE6" s="110" t="str">
        <f>IFERROR((((COUNTIF('Elève (6ème1)'!BB6:BD6,"A"))*4)+((COUNTIF('Elève (6ème1)'!BB6:BD6,"B"))*3)+((COUNTIF('Elève (6ème1)'!BB6:BD6,"C"))*2)+((COUNTIF('Elève (6ème1)'!BB6:BD6,"D"))*1))/(COUNTA(BB6:BD6)),"")</f>
        <v/>
      </c>
      <c r="BF6" s="111" t="str">
        <f t="shared" si="12"/>
        <v/>
      </c>
      <c r="BG6" s="81"/>
      <c r="BH6" s="82"/>
      <c r="BI6" s="83"/>
      <c r="BJ6" s="110" t="str">
        <f>IFERROR((((COUNTIF('Elève (6ème1)'!BG6:BI6,"A"))*4)+((COUNTIF('Elève (6ème1)'!BG6:BI6,"B"))*3)+((COUNTIF('Elève (6ème1)'!BG6:BI6,"C"))*2)+((COUNTIF('Elève (6ème1)'!BG6:BI6,"D"))*1))/(COUNTA(BG6:BI6)),"")</f>
        <v/>
      </c>
      <c r="BK6" s="111" t="str">
        <f t="shared" si="13"/>
        <v/>
      </c>
      <c r="BL6" s="81"/>
      <c r="BM6" s="82"/>
      <c r="BN6" s="83"/>
      <c r="BO6" s="110" t="str">
        <f>IFERROR((((COUNTIF('Elève (6ème1)'!BL6:BN6,"A"))*4)+((COUNTIF('Elève (6ème1)'!BL6:BN6,"B"))*3)+((COUNTIF('Elève (6ème1)'!BL6:BN6,"C"))*2)+((COUNTIF('Elève (6ème1)'!BL6:BN6,"D"))*1))/(COUNTA(BL6:BN6)),"")</f>
        <v/>
      </c>
      <c r="BP6" s="111" t="str">
        <f t="shared" si="14"/>
        <v/>
      </c>
      <c r="BQ6" s="179" t="str">
        <f>IF(COUNT(BE6,BJ6,BO6)=0,"",SUM(BE6,BJ6,BO6)/COUNT(BE6,BJ6,BO6))</f>
        <v/>
      </c>
      <c r="BR6" s="132" t="str">
        <f t="shared" si="15"/>
        <v/>
      </c>
      <c r="BS6" s="156"/>
      <c r="BT6" s="157"/>
      <c r="BU6" s="158"/>
      <c r="BV6" s="110" t="str">
        <f>IFERROR((((COUNTIF('Elève (6ème1)'!BS6:BU6,"A"))*4)+((COUNTIF('Elève (6ème1)'!BS6:BU6,"B"))*3)+((COUNTIF('Elève (6ème1)'!BS6:BU6,"C"))*2)+((COUNTIF('Elève (6ème1)'!BS6:BU6,"D"))*1))/(COUNTA(BS6:BU6)),"")</f>
        <v/>
      </c>
      <c r="BW6" s="111" t="str">
        <f t="shared" si="16"/>
        <v/>
      </c>
      <c r="BX6" s="81"/>
      <c r="BY6" s="82"/>
      <c r="BZ6" s="83"/>
      <c r="CA6" s="110" t="str">
        <f>IFERROR((((COUNTIF('Elève (6ème1)'!BX6:BZ6,"A"))*4)+((COUNTIF('Elève (6ème1)'!BX6:BZ6,"B"))*3)+((COUNTIF('Elève (6ème1)'!BX6:BZ6,"C"))*2)+((COUNTIF('Elève (6ème1)'!BX6:BZ6,"D"))*1))/(COUNTA(BX6:BZ6)),"")</f>
        <v/>
      </c>
      <c r="CB6" s="111" t="str">
        <f t="shared" si="17"/>
        <v/>
      </c>
      <c r="CC6" s="81"/>
      <c r="CD6" s="82"/>
      <c r="CE6" s="83"/>
      <c r="CF6" s="110" t="str">
        <f>IFERROR((((COUNTIF('Elève (6ème1)'!CC6:CE6,"A"))*4)+((COUNTIF('Elève (6ème1)'!CC6:CE6,"B"))*3)+((COUNTIF('Elève (6ème1)'!CC6:CE6,"C"))*2)+((COUNTIF('Elève (6ème1)'!CC6:CE6,"D"))*1))/(COUNTA(CC6:CE6)),"")</f>
        <v/>
      </c>
      <c r="CG6" s="111" t="str">
        <f t="shared" si="18"/>
        <v/>
      </c>
      <c r="CH6" s="179" t="str">
        <f>IF(COUNT(BV6,CA6,CF6)=0,"",SUM(BV6,CA6,CF6)/COUNT(BV6,CA6,CF6))</f>
        <v/>
      </c>
      <c r="CI6" s="132" t="str">
        <f t="shared" si="19"/>
        <v/>
      </c>
      <c r="CJ6" s="156"/>
      <c r="CK6" s="157"/>
      <c r="CL6" s="158"/>
      <c r="CM6" s="110" t="str">
        <f>IFERROR((((COUNTIF('Elève (6ème1)'!CJ6:CL6,"A"))*4)+((COUNTIF('Elève (6ème1)'!CJ6:CL6,"B"))*3)+((COUNTIF('Elève (6ème1)'!CJ6:CL6,"C"))*2)+((COUNTIF('Elève (6ème1)'!CJ6:CL6,"D"))*1))/(COUNTA(CJ6:CL6)),"")</f>
        <v/>
      </c>
      <c r="CN6" s="111" t="str">
        <f t="shared" si="20"/>
        <v/>
      </c>
      <c r="CO6" s="81"/>
      <c r="CP6" s="82"/>
      <c r="CQ6" s="83"/>
      <c r="CR6" s="110" t="str">
        <f>IFERROR((((COUNTIF('Elève (6ème1)'!CO6:CQ6,"A"))*4)+((COUNTIF('Elève (6ème1)'!CO6:CQ6,"B"))*3)+((COUNTIF('Elève (6ème1)'!CO6:CQ6,"C"))*2)+((COUNTIF('Elève (6ème1)'!CO6:CQ6,"D"))*1))/(COUNTA(CO6:CQ6)),"")</f>
        <v/>
      </c>
      <c r="CS6" s="111" t="str">
        <f t="shared" si="21"/>
        <v/>
      </c>
      <c r="CT6" s="81"/>
      <c r="CU6" s="82"/>
      <c r="CV6" s="83"/>
      <c r="CW6" s="110" t="str">
        <f>IFERROR((((COUNTIF('Elève (6ème1)'!CT6:CV6,"A"))*4)+((COUNTIF('Elève (6ème1)'!CT6:CV6,"B"))*3)+((COUNTIF('Elève (6ème1)'!CT6:CV6,"C"))*2)+((COUNTIF('Elève (6ème1)'!CT6:CV6,"D"))*1))/(COUNTA(CT6:CV6)),"")</f>
        <v/>
      </c>
      <c r="CX6" s="111" t="str">
        <f t="shared" si="22"/>
        <v/>
      </c>
      <c r="CY6" s="179" t="str">
        <f>IF(COUNT(CM6,CR6,CW6)=0,"",SUM(CM6,CR6,CW6)/COUNT(CM6,CR6,CW6))</f>
        <v/>
      </c>
      <c r="CZ6" s="132" t="str">
        <f t="shared" si="23"/>
        <v/>
      </c>
      <c r="DA6" s="156"/>
      <c r="DB6" s="157"/>
      <c r="DC6" s="158"/>
      <c r="DD6" s="110" t="str">
        <f>IFERROR((((COUNTIF('Elève (6ème1)'!DA6:DC6,"A"))*4)+((COUNTIF('Elève (6ème1)'!DA6:DC6,"B"))*3)+((COUNTIF('Elève (6ème1)'!DA6:DC6,"C"))*2)+((COUNTIF('Elève (6ème1)'!DA6:DC6,"D"))*1))/(COUNTA(DA6:DC6)),"")</f>
        <v/>
      </c>
      <c r="DE6" s="111" t="str">
        <f t="shared" si="24"/>
        <v/>
      </c>
      <c r="DF6" s="81"/>
      <c r="DG6" s="82"/>
      <c r="DH6" s="83"/>
      <c r="DI6" s="110" t="str">
        <f>IFERROR((((COUNTIF('Elève (6ème1)'!DF6:DH6,"A"))*4)+((COUNTIF('Elève (6ème1)'!DF6:DH6,"B"))*3)+((COUNTIF('Elève (6ème1)'!DF6:DH6,"C"))*2)+((COUNTIF('Elève (6ème1)'!DF6:DH6,"D"))*1))/(COUNTA(DF6:DH6)),"")</f>
        <v/>
      </c>
      <c r="DJ6" s="111" t="str">
        <f t="shared" si="25"/>
        <v/>
      </c>
      <c r="DK6" s="81"/>
      <c r="DL6" s="82"/>
      <c r="DM6" s="83"/>
      <c r="DN6" s="110" t="str">
        <f>IFERROR((((COUNTIF('Elève (6ème1)'!DK6:DM6,"A"))*4)+((COUNTIF('Elève (6ème1)'!DK6:DM6,"B"))*3)+((COUNTIF('Elève (6ème1)'!DK6:DM6,"C"))*2)+((COUNTIF('Elève (6ème1)'!DK6:DM6,"D"))*1))/(COUNTA(DK6:DM6)),"")</f>
        <v/>
      </c>
      <c r="DO6" s="111" t="str">
        <f t="shared" si="26"/>
        <v/>
      </c>
      <c r="DP6" s="179" t="str">
        <f>IF(COUNT(DD6,DI6,DN6)=0,"",SUM(DD6,DI6,DN6)/COUNT(DD6,DI6,DN6))</f>
        <v/>
      </c>
      <c r="DQ6" s="132" t="str">
        <f t="shared" si="27"/>
        <v/>
      </c>
      <c r="DR6" s="156"/>
      <c r="DS6" s="157"/>
      <c r="DT6" s="158"/>
      <c r="DU6" s="110" t="str">
        <f>IFERROR((((COUNTIF('Elève (6ème1)'!DR6:DT6,"A"))*4)+((COUNTIF('Elève (6ème1)'!DR6:DT6,"B"))*3)+((COUNTIF('Elève (6ème1)'!DR6:DT6,"C"))*2)+((COUNTIF('Elève (6ème1)'!DR6:DT6,"D"))*1))/(COUNTA(DR6:DT6)),"")</f>
        <v/>
      </c>
      <c r="DV6" s="111" t="str">
        <f t="shared" si="28"/>
        <v/>
      </c>
      <c r="DW6" s="81"/>
      <c r="DX6" s="82"/>
      <c r="DY6" s="83"/>
      <c r="DZ6" s="110" t="str">
        <f>IFERROR((((COUNTIF('Elève (6ème1)'!DW6:DY6,"A"))*4)+((COUNTIF('Elève (6ème1)'!DW6:DY6,"B"))*3)+((COUNTIF('Elève (6ème1)'!DW6:DY6,"C"))*2)+((COUNTIF('Elève (6ème1)'!DW6:DY6,"D"))*1))/(COUNTA(DW6:DY6)),"")</f>
        <v/>
      </c>
      <c r="EA6" s="111" t="str">
        <f t="shared" si="29"/>
        <v/>
      </c>
      <c r="EB6" s="81"/>
      <c r="EC6" s="82"/>
      <c r="ED6" s="83"/>
      <c r="EE6" s="110" t="str">
        <f>IFERROR((((COUNTIF('Elève (6ème1)'!EB6:ED6,"A"))*4)+((COUNTIF('Elève (6ème1)'!EB6:ED6,"B"))*3)+((COUNTIF('Elève (6ème1)'!EB6:ED6,"C"))*2)+((COUNTIF('Elève (6ème1)'!EB6:ED6,"D"))*1))/(COUNTA(EB6:ED6)),"")</f>
        <v/>
      </c>
      <c r="EF6" s="111" t="str">
        <f t="shared" si="30"/>
        <v/>
      </c>
      <c r="EG6" s="179" t="str">
        <f>IF(COUNT(DU6,DZ6,EE6)=0,"",SUM(DU6,DZ6,EE6)/COUNT(DU6,DZ6,EE6))</f>
        <v/>
      </c>
      <c r="EH6" s="132" t="str">
        <f t="shared" si="31"/>
        <v/>
      </c>
      <c r="EI6" s="156"/>
      <c r="EJ6" s="157"/>
      <c r="EK6" s="158"/>
      <c r="EL6" s="110" t="str">
        <f>IFERROR((((COUNTIF('Elève (6ème1)'!EI6:EK6,"A"))*4)+((COUNTIF('Elève (6ème1)'!EI6:EK6,"B"))*3)+((COUNTIF('Elève (6ème1)'!EI6:EK6,"C"))*2)+((COUNTIF('Elève (6ème1)'!EI6:EK6,"D"))*1))/(COUNTA(EI6:EK6)),"")</f>
        <v/>
      </c>
      <c r="EM6" s="111" t="str">
        <f t="shared" si="32"/>
        <v/>
      </c>
      <c r="EN6" s="81"/>
      <c r="EO6" s="82"/>
      <c r="EP6" s="83"/>
      <c r="EQ6" s="110" t="str">
        <f>IFERROR((((COUNTIF('Elève (6ème1)'!EN6:EP6,"A"))*4)+((COUNTIF('Elève (6ème1)'!EN6:EP6,"B"))*3)+((COUNTIF('Elève (6ème1)'!EN6:EP6,"C"))*2)+((COUNTIF('Elève (6ème1)'!EN6:EP6,"D"))*1))/(COUNTA(EN6:EP6)),"")</f>
        <v/>
      </c>
      <c r="ER6" s="111" t="str">
        <f t="shared" si="33"/>
        <v/>
      </c>
      <c r="ES6" s="81"/>
      <c r="ET6" s="82"/>
      <c r="EU6" s="83"/>
      <c r="EV6" s="110" t="str">
        <f>IFERROR((((COUNTIF('Elève (6ème1)'!ES6:EU6,"A"))*4)+((COUNTIF('Elève (6ème1)'!ES6:EU6,"B"))*3)+((COUNTIF('Elève (6ème1)'!ES6:EU6,"C"))*2)+((COUNTIF('Elève (6ème1)'!ES6:EU6,"D"))*1))/(COUNTA(ES6:EU6)),"")</f>
        <v/>
      </c>
      <c r="EW6" s="111" t="str">
        <f t="shared" si="34"/>
        <v/>
      </c>
      <c r="EX6" s="179" t="str">
        <f>IF(COUNT(EL6,EQ6,EV6)=0,"",SUM(EL6,EQ6,EV6)/COUNT(EL6,EQ6,EV6))</f>
        <v/>
      </c>
      <c r="EY6" s="132" t="str">
        <f t="shared" si="35"/>
        <v/>
      </c>
      <c r="EZ6" s="156"/>
      <c r="FA6" s="157"/>
      <c r="FB6" s="158"/>
      <c r="FC6" s="110" t="str">
        <f>IFERROR((((COUNTIF('Elève (6ème1)'!EZ6:FB6,"A"))*4)+((COUNTIF('Elève (6ème1)'!EZ6:FB6,"B"))*3)+((COUNTIF('Elève (6ème1)'!EZ6:FB6,"C"))*2)+((COUNTIF('Elève (6ème1)'!EZ6:FB6,"D"))*1))/(COUNTA(EZ6:FB6)),"")</f>
        <v/>
      </c>
      <c r="FD6" s="111" t="str">
        <f t="shared" si="36"/>
        <v/>
      </c>
      <c r="FE6" s="81"/>
      <c r="FF6" s="82"/>
      <c r="FG6" s="83"/>
      <c r="FH6" s="110" t="str">
        <f>IFERROR((((COUNTIF('Elève (6ème1)'!FE6:FG6,"A"))*4)+((COUNTIF('Elève (6ème1)'!FE6:FG6,"B"))*3)+((COUNTIF('Elève (6ème1)'!FE6:FG6,"C"))*2)+((COUNTIF('Elève (6ème1)'!FE6:FG6,"D"))*1))/(COUNTA(FE6:FG6)),"")</f>
        <v/>
      </c>
      <c r="FI6" s="111" t="str">
        <f t="shared" si="37"/>
        <v/>
      </c>
      <c r="FJ6" s="81"/>
      <c r="FK6" s="82"/>
      <c r="FL6" s="83"/>
      <c r="FM6" s="110" t="str">
        <f>IFERROR((((COUNTIF('Elève (6ème1)'!FJ6:FL6,"A"))*4)+((COUNTIF('Elève (6ème1)'!FJ6:FL6,"B"))*3)+((COUNTIF('Elève (6ème1)'!FJ6:FL6,"C"))*2)+((COUNTIF('Elève (6ème1)'!FJ6:FL6,"D"))*1))/(COUNTA(FJ6:FL6)),"")</f>
        <v/>
      </c>
      <c r="FN6" s="111" t="str">
        <f t="shared" si="38"/>
        <v/>
      </c>
      <c r="FO6" s="179" t="str">
        <f>IF(COUNT(FC6,FH6,FM6)=0,"",SUM(FC6,FH6,FM6)/COUNT(FC6,FH6,FM6))</f>
        <v/>
      </c>
      <c r="FP6" s="132" t="str">
        <f t="shared" si="39"/>
        <v/>
      </c>
      <c r="FQ6" s="156"/>
      <c r="FR6" s="157"/>
      <c r="FS6" s="158"/>
      <c r="FT6" s="110" t="str">
        <f>IFERROR((((COUNTIF('Elève (6ème1)'!FQ6:FS6,"A"))*4)+((COUNTIF('Elève (6ème1)'!FQ6:FS6,"B"))*3)+((COUNTIF('Elève (6ème1)'!FQ6:FS6,"C"))*2)+((COUNTIF('Elève (6ème1)'!FQ6:FS6,"D"))*1))/(COUNTA(FQ6:FS6)),"")</f>
        <v/>
      </c>
      <c r="FU6" s="111" t="str">
        <f t="shared" si="40"/>
        <v/>
      </c>
      <c r="FV6" s="81"/>
      <c r="FW6" s="82"/>
      <c r="FX6" s="83"/>
      <c r="FY6" s="110" t="str">
        <f>IFERROR((((COUNTIF('Elève (6ème1)'!FV6:FX6,"A"))*4)+((COUNTIF('Elève (6ème1)'!FV6:FX6,"B"))*3)+((COUNTIF('Elève (6ème1)'!FV6:FX6,"C"))*2)+((COUNTIF('Elève (6ème1)'!FV6:FX6,"D"))*1))/(COUNTA(FV6:FX6)),"")</f>
        <v/>
      </c>
      <c r="FZ6" s="111" t="str">
        <f t="shared" si="41"/>
        <v/>
      </c>
      <c r="GA6" s="81"/>
      <c r="GB6" s="82"/>
      <c r="GC6" s="83"/>
      <c r="GD6" s="110" t="str">
        <f>IFERROR((((COUNTIF('Elève (6ème1)'!GA6:GC6,"A"))*4)+((COUNTIF('Elève (6ème1)'!GA6:GC6,"B"))*3)+((COUNTIF('Elève (6ème1)'!GA6:GC6,"C"))*2)+((COUNTIF('Elève (6ème1)'!GA6:GC6,"D"))*1))/(COUNTA(GA6:GC6)),"")</f>
        <v/>
      </c>
      <c r="GE6" s="111" t="str">
        <f t="shared" si="42"/>
        <v/>
      </c>
      <c r="GF6" s="179" t="str">
        <f>IF(COUNT(FT6,FY6,GD6)=0,"",SUM(FT6,FY6,GD6)/COUNT(FT6,FY6,GD6))</f>
        <v/>
      </c>
      <c r="GG6" s="132" t="str">
        <f t="shared" si="43"/>
        <v/>
      </c>
      <c r="GH6" s="156"/>
      <c r="GI6" s="157"/>
      <c r="GJ6" s="158"/>
      <c r="GK6" s="110" t="str">
        <f>IFERROR((((COUNTIF('Elève (6ème1)'!GH6:GJ6,"A"))*4)+((COUNTIF('Elève (6ème1)'!GH6:GJ6,"B"))*3)+((COUNTIF('Elève (6ème1)'!GH6:GJ6,"C"))*2)+((COUNTIF('Elève (6ème1)'!GH6:GJ6,"D"))*1))/(COUNTA(GH6:GJ6)),"")</f>
        <v/>
      </c>
      <c r="GL6" s="111" t="str">
        <f t="shared" si="44"/>
        <v/>
      </c>
      <c r="GM6" s="81"/>
      <c r="GN6" s="82"/>
      <c r="GO6" s="83"/>
      <c r="GP6" s="110" t="str">
        <f>IFERROR((((COUNTIF('Elève (6ème1)'!GM6:GO6,"A"))*4)+((COUNTIF('Elève (6ème1)'!GM6:GO6,"B"))*3)+((COUNTIF('Elève (6ème1)'!GM6:GO6,"C"))*2)+((COUNTIF('Elève (6ème1)'!GM6:GO6,"D"))*1))/(COUNTA(GM6:GO6)),"")</f>
        <v/>
      </c>
      <c r="GQ6" s="111" t="str">
        <f t="shared" si="45"/>
        <v/>
      </c>
      <c r="GR6" s="81"/>
      <c r="GS6" s="82"/>
      <c r="GT6" s="83"/>
      <c r="GU6" s="110" t="str">
        <f>IFERROR((((COUNTIF('Elève (6ème1)'!GR6:GT6,"A"))*4)+((COUNTIF('Elève (6ème1)'!GR6:GT6,"B"))*3)+((COUNTIF('Elève (6ème1)'!GR6:GT6,"C"))*2)+((COUNTIF('Elève (6ème1)'!GR6:GT6,"D"))*1))/(COUNTA(GR6:GT6)),"")</f>
        <v/>
      </c>
      <c r="GV6" s="111" t="str">
        <f t="shared" si="46"/>
        <v/>
      </c>
      <c r="GW6" s="179" t="str">
        <f>IF(COUNT(GK6,GP6,GU6)=0,"",SUM(GK6,GP6,GU6)/COUNT(GK6,GP6,GU6))</f>
        <v/>
      </c>
      <c r="GX6" s="132" t="str">
        <f t="shared" si="47"/>
        <v/>
      </c>
      <c r="GY6" s="156"/>
      <c r="GZ6" s="157"/>
      <c r="HA6" s="158"/>
      <c r="HB6" s="110" t="str">
        <f>IFERROR((((COUNTIF('Elève (6ème1)'!GY6:HA6,"A"))*4)+((COUNTIF('Elève (6ème1)'!GY6:HA6,"B"))*3)+((COUNTIF('Elève (6ème1)'!GY6:HA6,"C"))*2)+((COUNTIF('Elève (6ème1)'!GY6:HA6,"D"))*1))/(COUNTA(GY6:HA6)),"")</f>
        <v/>
      </c>
      <c r="HC6" s="111" t="str">
        <f t="shared" si="48"/>
        <v/>
      </c>
      <c r="HD6" s="81"/>
      <c r="HE6" s="82"/>
      <c r="HF6" s="83"/>
      <c r="HG6" s="110" t="str">
        <f>IFERROR((((COUNTIF('Elève (6ème1)'!HD6:HF6,"A"))*4)+((COUNTIF('Elève (6ème1)'!HD6:HF6,"B"))*3)+((COUNTIF('Elève (6ème1)'!HD6:HF6,"C"))*2)+((COUNTIF('Elève (6ème1)'!HD6:HF6,"D"))*1))/(COUNTA(HD6:HF6)),"")</f>
        <v/>
      </c>
      <c r="HH6" s="111" t="str">
        <f t="shared" si="49"/>
        <v/>
      </c>
      <c r="HI6" s="81"/>
      <c r="HJ6" s="82"/>
      <c r="HK6" s="83"/>
      <c r="HL6" s="110" t="str">
        <f>IFERROR((((COUNTIF('Elève (6ème1)'!HI6:HK6,"A"))*4)+((COUNTIF('Elève (6ème1)'!HI6:HK6,"B"))*3)+((COUNTIF('Elève (6ème1)'!HI6:HK6,"C"))*2)+((COUNTIF('Elève (6ème1)'!HI6:HK6,"D"))*1))/(COUNTA(HI6:HK6)),"")</f>
        <v/>
      </c>
      <c r="HM6" s="111" t="str">
        <f t="shared" si="50"/>
        <v/>
      </c>
      <c r="HN6" s="179" t="str">
        <f>IF(COUNT(HB6,HG6,HL6)=0,"",SUM(HB6,HG6,HL6)/COUNT(HB6,HG6,HL6))</f>
        <v/>
      </c>
      <c r="HO6" s="132" t="str">
        <f t="shared" si="51"/>
        <v/>
      </c>
      <c r="HP6" s="156"/>
      <c r="HQ6" s="157"/>
      <c r="HR6" s="158"/>
      <c r="HS6" s="110" t="str">
        <f>IFERROR((((COUNTIF('Elève (6ème1)'!HP6:HR6,"A"))*4)+((COUNTIF('Elève (6ème1)'!HP6:HR6,"B"))*3)+((COUNTIF('Elève (6ème1)'!HP6:HR6,"C"))*2)+((COUNTIF('Elève (6ème1)'!HP6:HR6,"D"))*1))/(COUNTA(HP6:HR6)),"")</f>
        <v/>
      </c>
      <c r="HT6" s="111" t="str">
        <f t="shared" si="52"/>
        <v/>
      </c>
      <c r="HU6" s="81"/>
      <c r="HV6" s="82"/>
      <c r="HW6" s="83"/>
      <c r="HX6" s="110" t="str">
        <f>IFERROR((((COUNTIF('Elève (6ème1)'!HU6:HW6,"A"))*4)+((COUNTIF('Elève (6ème1)'!HU6:HW6,"B"))*3)+((COUNTIF('Elève (6ème1)'!HU6:HW6,"C"))*2)+((COUNTIF('Elève (6ème1)'!HU6:HW6,"D"))*1))/(COUNTA(HU6:HW6)),"")</f>
        <v/>
      </c>
      <c r="HY6" s="111" t="str">
        <f t="shared" si="53"/>
        <v/>
      </c>
      <c r="HZ6" s="81"/>
      <c r="IA6" s="82"/>
      <c r="IB6" s="83"/>
      <c r="IC6" s="110" t="str">
        <f>IFERROR((((COUNTIF('Elève (6ème1)'!HZ6:IB6,"A"))*4)+((COUNTIF('Elève (6ème1)'!HZ6:IB6,"B"))*3)+((COUNTIF('Elève (6ème1)'!HZ6:IB6,"C"))*2)+((COUNTIF('Elève (6ème1)'!HZ6:IB6,"D"))*1))/(COUNTA(HZ6:IB6)),"")</f>
        <v/>
      </c>
      <c r="ID6" s="111" t="str">
        <f t="shared" si="54"/>
        <v/>
      </c>
      <c r="IE6" s="179" t="str">
        <f>IF(COUNT(HS6,HX6,IC6)=0,"",SUM(HS6,HX6,IC6)/COUNT(HS6,HX6,IC6))</f>
        <v/>
      </c>
      <c r="IF6" s="132" t="str">
        <f t="shared" si="55"/>
        <v/>
      </c>
      <c r="IG6" s="156"/>
      <c r="IH6" s="157"/>
      <c r="II6" s="158"/>
      <c r="IJ6" s="110" t="str">
        <f>IFERROR((((COUNTIF('Elève (6ème1)'!IG6:II6,"A"))*4)+((COUNTIF('Elève (6ème1)'!IG6:II6,"B"))*3)+((COUNTIF('Elève (6ème1)'!IG6:II6,"C"))*2)+((COUNTIF('Elève (6ème1)'!IG6:II6,"D"))*1))/(COUNTA(IG6:II6)),"")</f>
        <v/>
      </c>
      <c r="IK6" s="111" t="str">
        <f t="shared" si="56"/>
        <v/>
      </c>
      <c r="IL6" s="81"/>
      <c r="IM6" s="82"/>
      <c r="IN6" s="83"/>
      <c r="IO6" s="110" t="str">
        <f>IFERROR((((COUNTIF('Elève (6ème1)'!IL6:IN6,"A"))*4)+((COUNTIF('Elève (6ème1)'!IL6:IN6,"B"))*3)+((COUNTIF('Elève (6ème1)'!IL6:IN6,"C"))*2)+((COUNTIF('Elève (6ème1)'!IL6:IN6,"D"))*1))/(COUNTA(IL6:IN6)),"")</f>
        <v/>
      </c>
      <c r="IP6" s="111" t="str">
        <f t="shared" si="57"/>
        <v/>
      </c>
      <c r="IQ6" s="81"/>
      <c r="IR6" s="82"/>
      <c r="IS6" s="83"/>
      <c r="IT6" s="110" t="str">
        <f>IFERROR((((COUNTIF('Elève (6ème1)'!IQ6:IS6,"A"))*4)+((COUNTIF('Elève (6ème1)'!IQ6:IS6,"B"))*3)+((COUNTIF('Elève (6ème1)'!IQ6:IS6,"C"))*2)+((COUNTIF('Elève (6ème1)'!IQ6:IS6,"D"))*1))/(COUNTA(IQ6:IS6)),"")</f>
        <v/>
      </c>
      <c r="IU6" s="111" t="str">
        <f t="shared" si="58"/>
        <v/>
      </c>
      <c r="IV6" s="179" t="str">
        <f>IF(COUNT(IJ6,IO6,IT6)=0,"",SUM(IJ6,IO6,IT6)/COUNT(IJ6,IO6,IT6))</f>
        <v/>
      </c>
      <c r="IW6" s="132" t="str">
        <f t="shared" si="59"/>
        <v/>
      </c>
      <c r="IX6" s="156"/>
      <c r="IY6" s="157"/>
      <c r="IZ6" s="158"/>
      <c r="JA6" s="110" t="str">
        <f>IFERROR((((COUNTIF('Elève (6ème1)'!IX6:IZ6,"A"))*4)+((COUNTIF('Elève (6ème1)'!IX6:IZ6,"B"))*3)+((COUNTIF('Elève (6ème1)'!IX6:IZ6,"C"))*2)+((COUNTIF('Elève (6ème1)'!IX6:IZ6,"D"))*1))/(COUNTA(IX6:IZ6)),"")</f>
        <v/>
      </c>
      <c r="JB6" s="111" t="str">
        <f t="shared" si="60"/>
        <v/>
      </c>
      <c r="JC6" s="81"/>
      <c r="JD6" s="82"/>
      <c r="JE6" s="83"/>
      <c r="JF6" s="110" t="str">
        <f>IFERROR((((COUNTIF('Elève (6ème1)'!JC6:JE6,"A"))*4)+((COUNTIF('Elève (6ème1)'!JC6:JE6,"B"))*3)+((COUNTIF('Elève (6ème1)'!JC6:JE6,"C"))*2)+((COUNTIF('Elève (6ème1)'!JC6:JE6,"D"))*1))/(COUNTA(JC6:JE6)),"")</f>
        <v/>
      </c>
      <c r="JG6" s="111" t="str">
        <f t="shared" si="61"/>
        <v/>
      </c>
      <c r="JH6" s="81"/>
      <c r="JI6" s="82"/>
      <c r="JJ6" s="83"/>
      <c r="JK6" s="110" t="str">
        <f>IFERROR((((COUNTIF('Elève (6ème1)'!JH6:JJ6,"A"))*4)+((COUNTIF('Elève (6ème1)'!JH6:JJ6,"B"))*3)+((COUNTIF('Elève (6ème1)'!JH6:JJ6,"C"))*2)+((COUNTIF('Elève (6ème1)'!JH6:JJ6,"D"))*1))/(COUNTA(JH6:JJ6)),"")</f>
        <v/>
      </c>
      <c r="JL6" s="111" t="str">
        <f t="shared" si="62"/>
        <v/>
      </c>
      <c r="JM6" s="179" t="str">
        <f>IF(COUNT(JA6,JF6,JK6)=0,"",SUM(JA6,JF6,JK6)/COUNT(JA6,JF6,JK6))</f>
        <v/>
      </c>
      <c r="JN6" s="132" t="str">
        <f t="shared" si="63"/>
        <v/>
      </c>
      <c r="JO6" s="156"/>
      <c r="JP6" s="157"/>
      <c r="JQ6" s="158"/>
      <c r="JR6" s="110" t="str">
        <f>IFERROR((((COUNTIF('Elève (6ème1)'!JO6:JQ6,"A"))*4)+((COUNTIF('Elève (6ème1)'!JO6:JQ6,"B"))*3)+((COUNTIF('Elève (6ème1)'!JO6:JQ6,"C"))*2)+((COUNTIF('Elève (6ème1)'!JO6:JQ6,"D"))*1))/(COUNTA(JO6:JQ6)),"")</f>
        <v/>
      </c>
      <c r="JS6" s="111" t="str">
        <f t="shared" si="64"/>
        <v/>
      </c>
      <c r="JT6" s="81"/>
      <c r="JU6" s="82"/>
      <c r="JV6" s="83"/>
      <c r="JW6" s="110" t="str">
        <f>IFERROR((((COUNTIF('Elève (6ème1)'!JT6:JV6,"A"))*4)+((COUNTIF('Elève (6ème1)'!JT6:JV6,"B"))*3)+((COUNTIF('Elève (6ème1)'!JT6:JV6,"C"))*2)+((COUNTIF('Elève (6ème1)'!JT6:JV6,"D"))*1))/(COUNTA(JT6:JV6)),"")</f>
        <v/>
      </c>
      <c r="JX6" s="111" t="str">
        <f t="shared" si="65"/>
        <v/>
      </c>
      <c r="JY6" s="81"/>
      <c r="JZ6" s="82"/>
      <c r="KA6" s="83"/>
      <c r="KB6" s="110" t="str">
        <f>IFERROR((((COUNTIF('Elève (6ème1)'!JY6:KA6,"A"))*4)+((COUNTIF('Elève (6ème1)'!JY6:KA6,"B"))*3)+((COUNTIF('Elève (6ème1)'!JY6:KA6,"C"))*2)+((COUNTIF('Elève (6ème1)'!JY6:KA6,"D"))*1))/(COUNTA(JY6:KA6)),"")</f>
        <v/>
      </c>
      <c r="KC6" s="111" t="str">
        <f t="shared" si="66"/>
        <v/>
      </c>
      <c r="KD6" s="179" t="str">
        <f>IF(COUNT(JR6,JW6,KB6)=0,"",SUM(JR6,JW6,KB6)/COUNT(JR6,JW6,KB6))</f>
        <v/>
      </c>
      <c r="KE6" s="132" t="str">
        <f t="shared" si="67"/>
        <v/>
      </c>
      <c r="KF6" s="156"/>
      <c r="KG6" s="157"/>
      <c r="KH6" s="158"/>
      <c r="KI6" s="110" t="str">
        <f>IFERROR((((COUNTIF('Elève (6ème1)'!KF6:KH6,"A"))*4)+((COUNTIF('Elève (6ème1)'!KF6:KH6,"B"))*3)+((COUNTIF('Elève (6ème1)'!KF6:KH6,"C"))*2)+((COUNTIF('Elève (6ème1)'!KF6:KH6,"D"))*1))/(COUNTA(KF6:KH6)),"")</f>
        <v/>
      </c>
      <c r="KJ6" s="111" t="str">
        <f t="shared" si="68"/>
        <v/>
      </c>
      <c r="KK6" s="81"/>
      <c r="KL6" s="82"/>
      <c r="KM6" s="83"/>
      <c r="KN6" s="110" t="str">
        <f>IFERROR((((COUNTIF('Elève (6ème1)'!KK6:KM6,"A"))*4)+((COUNTIF('Elève (6ème1)'!KK6:KM6,"B"))*3)+((COUNTIF('Elève (6ème1)'!KK6:KM6,"C"))*2)+((COUNTIF('Elève (6ème1)'!KK6:KM6,"D"))*1))/(COUNTA(KK6:KM6)),"")</f>
        <v/>
      </c>
      <c r="KO6" s="111" t="str">
        <f t="shared" si="69"/>
        <v/>
      </c>
      <c r="KP6" s="81"/>
      <c r="KQ6" s="82"/>
      <c r="KR6" s="83"/>
      <c r="KS6" s="110" t="str">
        <f>IFERROR((((COUNTIF('Elève (6ème1)'!KP6:KR6,"A"))*4)+((COUNTIF('Elève (6ème1)'!KP6:KR6,"B"))*3)+((COUNTIF('Elève (6ème1)'!KP6:KR6,"C"))*2)+((COUNTIF('Elève (6ème1)'!KP6:KR6,"D"))*1))/(COUNTA(KP6:KR6)),"")</f>
        <v/>
      </c>
      <c r="KT6" s="111" t="str">
        <f t="shared" si="70"/>
        <v/>
      </c>
      <c r="KU6" s="179" t="str">
        <f>IF(COUNT(KI6,KN6,KS6)=0,"",SUM(KI6,KN6,KS6)/COUNT(KI6,KN6,KS6))</f>
        <v/>
      </c>
      <c r="KV6" s="132" t="str">
        <f t="shared" si="71"/>
        <v/>
      </c>
      <c r="KW6" s="156"/>
      <c r="KX6" s="157"/>
      <c r="KY6" s="158"/>
      <c r="KZ6" s="110" t="str">
        <f>IFERROR((((COUNTIF('Elève (6ème1)'!KW6:KY6,"A"))*4)+((COUNTIF('Elève (6ème1)'!KW6:KY6,"B"))*3)+((COUNTIF('Elève (6ème1)'!KW6:KY6,"C"))*2)+((COUNTIF('Elève (6ème1)'!KW6:KY6,"D"))*1))/(COUNTA(KW6:KY6)),"")</f>
        <v/>
      </c>
      <c r="LA6" s="111" t="str">
        <f t="shared" si="72"/>
        <v/>
      </c>
      <c r="LB6" s="81"/>
      <c r="LC6" s="82"/>
      <c r="LD6" s="83"/>
      <c r="LE6" s="110" t="str">
        <f>IFERROR((((COUNTIF('Elève (6ème1)'!LB6:LD6,"A"))*4)+((COUNTIF('Elève (6ème1)'!LB6:LD6,"B"))*3)+((COUNTIF('Elève (6ème1)'!LB6:LD6,"C"))*2)+((COUNTIF('Elève (6ème1)'!LB6:LD6,"D"))*1))/(COUNTA(LB6:LD6)),"")</f>
        <v/>
      </c>
      <c r="LF6" s="111" t="str">
        <f t="shared" si="73"/>
        <v/>
      </c>
      <c r="LG6" s="81"/>
      <c r="LH6" s="82"/>
      <c r="LI6" s="83"/>
      <c r="LJ6" s="110" t="str">
        <f>IFERROR((((COUNTIF('Elève (6ème1)'!LG6:LI6,"A"))*4)+((COUNTIF('Elève (6ème1)'!LG6:LI6,"B"))*3)+((COUNTIF('Elève (6ème1)'!LG6:LI6,"C"))*2)+((COUNTIF('Elève (6ème1)'!LG6:LI6,"D"))*1))/(COUNTA(LG6:LI6)),"")</f>
        <v/>
      </c>
      <c r="LK6" s="111" t="str">
        <f t="shared" si="74"/>
        <v/>
      </c>
      <c r="LL6" s="179" t="str">
        <f>IF(COUNT(KZ6,LE6,LJ6)=0,"",SUM(KZ6,LE6,LJ6)/COUNT(KZ6,LE6,LJ6))</f>
        <v/>
      </c>
      <c r="LM6" s="132" t="str">
        <f t="shared" si="75"/>
        <v/>
      </c>
      <c r="LN6" s="156"/>
      <c r="LO6" s="157"/>
      <c r="LP6" s="158"/>
      <c r="LQ6" s="110" t="str">
        <f>IFERROR((((COUNTIF('Elève (6ème1)'!LN6:LP6,"A"))*4)+((COUNTIF('Elève (6ème1)'!LN6:LP6,"B"))*3)+((COUNTIF('Elève (6ème1)'!LN6:LP6,"C"))*2)+((COUNTIF('Elève (6ème1)'!LN6:LP6,"D"))*1))/(COUNTA(LN6:LP6)),"")</f>
        <v/>
      </c>
      <c r="LR6" s="111" t="str">
        <f t="shared" si="76"/>
        <v/>
      </c>
      <c r="LS6" s="81"/>
      <c r="LT6" s="82"/>
      <c r="LU6" s="83"/>
      <c r="LV6" s="110" t="str">
        <f>IFERROR((((COUNTIF('Elève (6ème1)'!LS6:LU6,"A"))*4)+((COUNTIF('Elève (6ème1)'!LS6:LU6,"B"))*3)+((COUNTIF('Elève (6ème1)'!LS6:LU6,"C"))*2)+((COUNTIF('Elève (6ème1)'!LS6:LU6,"D"))*1))/(COUNTA(LS6:LU6)),"")</f>
        <v/>
      </c>
      <c r="LW6" s="111" t="str">
        <f t="shared" si="77"/>
        <v/>
      </c>
      <c r="LX6" s="81"/>
      <c r="LY6" s="82"/>
      <c r="LZ6" s="83"/>
      <c r="MA6" s="110" t="str">
        <f>IFERROR((((COUNTIF('Elève (6ème1)'!LX6:LZ6,"A"))*4)+((COUNTIF('Elève (6ème1)'!LX6:LZ6,"B"))*3)+((COUNTIF('Elève (6ème1)'!LX6:LZ6,"C"))*2)+((COUNTIF('Elève (6ème1)'!LX6:LZ6,"D"))*1))/(COUNTA(LX6:LZ6)),"")</f>
        <v/>
      </c>
      <c r="MB6" s="111" t="str">
        <f t="shared" si="78"/>
        <v/>
      </c>
      <c r="MC6" s="179" t="str">
        <f>IF(COUNT(LQ6,LV6,MA6)=0,"",SUM(LQ6,LV6,MA6)/COUNT(LQ6,LV6,MA6))</f>
        <v/>
      </c>
      <c r="MD6" s="132" t="str">
        <f t="shared" si="79"/>
        <v/>
      </c>
      <c r="ME6" s="156"/>
      <c r="MF6" s="157"/>
      <c r="MG6" s="158"/>
      <c r="MH6" s="110" t="str">
        <f>IFERROR((((COUNTIF('Elève (6ème1)'!ME6:MG6,"A"))*4)+((COUNTIF('Elève (6ème1)'!ME6:MG6,"B"))*3)+((COUNTIF('Elève (6ème1)'!ME6:MG6,"C"))*2)+((COUNTIF('Elève (6ème1)'!ME6:MG6,"D"))*1))/(COUNTA(ME6:MG6)),"")</f>
        <v/>
      </c>
      <c r="MI6" s="111" t="str">
        <f t="shared" si="80"/>
        <v/>
      </c>
      <c r="MJ6" s="81"/>
      <c r="MK6" s="82"/>
      <c r="ML6" s="83"/>
      <c r="MM6" s="110" t="str">
        <f>IFERROR((((COUNTIF('Elève (6ème1)'!MJ6:ML6,"A"))*4)+((COUNTIF('Elève (6ème1)'!MJ6:ML6,"B"))*3)+((COUNTIF('Elève (6ème1)'!MJ6:ML6,"C"))*2)+((COUNTIF('Elève (6ème1)'!MJ6:ML6,"D"))*1))/(COUNTA(MJ6:ML6)),"")</f>
        <v/>
      </c>
      <c r="MN6" s="111" t="str">
        <f t="shared" si="81"/>
        <v/>
      </c>
      <c r="MO6" s="81"/>
      <c r="MP6" s="82"/>
      <c r="MQ6" s="83"/>
      <c r="MR6" s="110" t="str">
        <f>IFERROR((((COUNTIF('Elève (6ème1)'!MO6:MQ6,"A"))*4)+((COUNTIF('Elève (6ème1)'!MO6:MQ6,"B"))*3)+((COUNTIF('Elève (6ème1)'!MO6:MQ6,"C"))*2)+((COUNTIF('Elève (6ème1)'!MO6:MQ6,"D"))*1))/(COUNTA(MO6:MQ6)),"")</f>
        <v/>
      </c>
      <c r="MS6" s="111" t="str">
        <f t="shared" si="82"/>
        <v/>
      </c>
      <c r="MT6" s="179" t="str">
        <f>IF(COUNT(MH6,MM6,MR6)=0,"",SUM(MH6,MM6,MR6)/COUNT(MH6,MM6,MR6))</f>
        <v/>
      </c>
      <c r="MU6" s="132" t="str">
        <f t="shared" si="83"/>
        <v/>
      </c>
      <c r="MV6" s="156"/>
      <c r="MW6" s="157"/>
      <c r="MX6" s="158"/>
      <c r="MY6" s="110" t="str">
        <f>IFERROR((((COUNTIF('Elève (6ème1)'!MV6:MX6,"A"))*4)+((COUNTIF('Elève (6ème1)'!MV6:MX6,"B"))*3)+((COUNTIF('Elève (6ème1)'!MV6:MX6,"C"))*2)+((COUNTIF('Elève (6ème1)'!MV6:MX6,"D"))*1))/(COUNTA(MV6:MX6)),"")</f>
        <v/>
      </c>
      <c r="MZ6" s="111" t="str">
        <f t="shared" si="84"/>
        <v/>
      </c>
      <c r="NA6" s="81"/>
      <c r="NB6" s="82"/>
      <c r="NC6" s="83"/>
      <c r="ND6" s="110" t="str">
        <f>IFERROR((((COUNTIF('Elève (6ème1)'!NA6:NC6,"A"))*4)+((COUNTIF('Elève (6ème1)'!NA6:NC6,"B"))*3)+((COUNTIF('Elève (6ème1)'!NA6:NC6,"C"))*2)+((COUNTIF('Elève (6ème1)'!NA6:NC6,"D"))*1))/(COUNTA(NA6:NC6)),"")</f>
        <v/>
      </c>
      <c r="NE6" s="111" t="str">
        <f t="shared" si="85"/>
        <v/>
      </c>
      <c r="NF6" s="81"/>
      <c r="NG6" s="82"/>
      <c r="NH6" s="83"/>
      <c r="NI6" s="110" t="str">
        <f>IFERROR((((COUNTIF('Elève (6ème1)'!NF6:NH6,"A"))*4)+((COUNTIF('Elève (6ème1)'!NF6:NH6,"B"))*3)+((COUNTIF('Elève (6ème1)'!NF6:NH6,"C"))*2)+((COUNTIF('Elève (6ème1)'!NF6:NH6,"D"))*1))/(COUNTA(NF6:NH6)),"")</f>
        <v/>
      </c>
      <c r="NJ6" s="111" t="str">
        <f t="shared" si="86"/>
        <v/>
      </c>
      <c r="NK6" s="179" t="str">
        <f>IF(COUNT(MY6,ND6,NI6)=0,"",SUM(MY6,ND6,NI6)/COUNT(MY6,ND6,NI6))</f>
        <v/>
      </c>
      <c r="NL6" s="132" t="str">
        <f t="shared" si="87"/>
        <v/>
      </c>
      <c r="NM6" s="156"/>
      <c r="NN6" s="157"/>
      <c r="NO6" s="158"/>
      <c r="NP6" s="110" t="str">
        <f>IFERROR((((COUNTIF('Elève (6ème1)'!NM6:NO6,"A"))*4)+((COUNTIF('Elève (6ème1)'!NM6:NO6,"B"))*3)+((COUNTIF('Elève (6ème1)'!NM6:NO6,"C"))*2)+((COUNTIF('Elève (6ème1)'!NM6:NO6,"D"))*1))/(COUNTA(NM6:NO6)),"")</f>
        <v/>
      </c>
      <c r="NQ6" s="111" t="str">
        <f t="shared" si="88"/>
        <v/>
      </c>
      <c r="NR6" s="81"/>
      <c r="NS6" s="82"/>
      <c r="NT6" s="83"/>
      <c r="NU6" s="110" t="str">
        <f>IFERROR((((COUNTIF('Elève (6ème1)'!NR6:NT6,"A"))*4)+((COUNTIF('Elève (6ème1)'!NR6:NT6,"B"))*3)+((COUNTIF('Elève (6ème1)'!NR6:NT6,"C"))*2)+((COUNTIF('Elève (6ème1)'!NR6:NT6,"D"))*1))/(COUNTA(NR6:NT6)),"")</f>
        <v/>
      </c>
      <c r="NV6" s="111" t="str">
        <f t="shared" si="89"/>
        <v/>
      </c>
      <c r="NW6" s="81"/>
      <c r="NX6" s="82"/>
      <c r="NY6" s="83"/>
      <c r="NZ6" s="110" t="str">
        <f>IFERROR((((COUNTIF('Elève (6ème1)'!NW6:NY6,"A"))*4)+((COUNTIF('Elève (6ème1)'!NW6:NY6,"B"))*3)+((COUNTIF('Elève (6ème1)'!NW6:NY6,"C"))*2)+((COUNTIF('Elève (6ème1)'!NW6:NY6,"D"))*1))/(COUNTA(NW6:NY6)),"")</f>
        <v/>
      </c>
      <c r="OA6" s="111" t="str">
        <f t="shared" si="90"/>
        <v/>
      </c>
      <c r="OB6" s="179" t="str">
        <f>IF(COUNT(NP6,NU6,NZ6)=0,"",SUM(NP6,NU6,NZ6)/COUNT(NP6,NU6,NZ6))</f>
        <v/>
      </c>
      <c r="OC6" s="132" t="str">
        <f t="shared" si="91"/>
        <v/>
      </c>
      <c r="OD6" s="156"/>
      <c r="OE6" s="157"/>
      <c r="OF6" s="158"/>
      <c r="OG6" s="110" t="str">
        <f>IFERROR((((COUNTIF('Elève (6ème1)'!OD6:OF6,"A"))*4)+((COUNTIF('Elève (6ème1)'!OD6:OF6,"B"))*3)+((COUNTIF('Elève (6ème1)'!OD6:OF6,"C"))*2)+((COUNTIF('Elève (6ème1)'!OD6:OF6,"D"))*1))/(COUNTA(OD6:OF6)),"")</f>
        <v/>
      </c>
      <c r="OH6" s="111" t="str">
        <f t="shared" si="92"/>
        <v/>
      </c>
      <c r="OI6" s="81"/>
      <c r="OJ6" s="82"/>
      <c r="OK6" s="83"/>
      <c r="OL6" s="110" t="str">
        <f>IFERROR((((COUNTIF('Elève (6ème1)'!OI6:OK6,"A"))*4)+((COUNTIF('Elève (6ème1)'!OI6:OK6,"B"))*3)+((COUNTIF('Elève (6ème1)'!OI6:OK6,"C"))*2)+((COUNTIF('Elève (6ème1)'!OI6:OK6,"D"))*1))/(COUNTA(OI6:OK6)),"")</f>
        <v/>
      </c>
      <c r="OM6" s="111" t="str">
        <f t="shared" si="93"/>
        <v/>
      </c>
      <c r="ON6" s="81"/>
      <c r="OO6" s="82"/>
      <c r="OP6" s="83"/>
      <c r="OQ6" s="110" t="str">
        <f>IFERROR((((COUNTIF('Elève (6ème1)'!ON6:OP6,"A"))*4)+((COUNTIF('Elève (6ème1)'!ON6:OP6,"B"))*3)+((COUNTIF('Elève (6ème1)'!ON6:OP6,"C"))*2)+((COUNTIF('Elève (6ème1)'!ON6:OP6,"D"))*1))/(COUNTA(ON6:OP6)),"")</f>
        <v/>
      </c>
      <c r="OR6" s="111" t="str">
        <f t="shared" si="94"/>
        <v/>
      </c>
      <c r="OS6" s="179" t="str">
        <f>IF(COUNT(OG6,OL6,OQ6)=0,"",SUM(OG6,OL6,OQ6)/COUNT(OG6,OL6,OQ6))</f>
        <v/>
      </c>
      <c r="OT6" s="132" t="str">
        <f t="shared" si="95"/>
        <v/>
      </c>
      <c r="OU6" s="156"/>
      <c r="OV6" s="157"/>
      <c r="OW6" s="158"/>
      <c r="OX6" s="110" t="str">
        <f>IFERROR((((COUNTIF('Elève (6ème1)'!OU6:OW6,"A"))*4)+((COUNTIF('Elève (6ème1)'!OU6:OW6,"B"))*3)+((COUNTIF('Elève (6ème1)'!OU6:OW6,"C"))*2)+((COUNTIF('Elève (6ème1)'!OU6:OW6,"D"))*1))/(COUNTA(OU6:OW6)),"")</f>
        <v/>
      </c>
      <c r="OY6" s="111" t="str">
        <f t="shared" si="96"/>
        <v/>
      </c>
      <c r="OZ6" s="81"/>
      <c r="PA6" s="82"/>
      <c r="PB6" s="83"/>
      <c r="PC6" s="110" t="str">
        <f>IFERROR((((COUNTIF('Elève (6ème1)'!OZ6:PB6,"A"))*4)+((COUNTIF('Elève (6ème1)'!OZ6:PB6,"B"))*3)+((COUNTIF('Elève (6ème1)'!OZ6:PB6,"C"))*2)+((COUNTIF('Elève (6ème1)'!OZ6:PB6,"D"))*1))/(COUNTA(OZ6:PB6)),"")</f>
        <v/>
      </c>
      <c r="PD6" s="111" t="str">
        <f t="shared" si="97"/>
        <v/>
      </c>
      <c r="PE6" s="81"/>
      <c r="PF6" s="82"/>
      <c r="PG6" s="83"/>
      <c r="PH6" s="110" t="str">
        <f>IFERROR((((COUNTIF('Elève (6ème1)'!PE6:PG6,"A"))*4)+((COUNTIF('Elève (6ème1)'!PE6:PG6,"B"))*3)+((COUNTIF('Elève (6ème1)'!PE6:PG6,"C"))*2)+((COUNTIF('Elève (6ème1)'!PE6:PG6,"D"))*1))/(COUNTA(PE6:PG6)),"")</f>
        <v/>
      </c>
      <c r="PI6" s="111" t="str">
        <f t="shared" si="98"/>
        <v/>
      </c>
      <c r="PJ6" s="179" t="str">
        <f>IF(COUNT(OX6,PC6,PH6)=0,"",SUM(OX6,PC6,PH6)/COUNT(OX6,PC6,PH6))</f>
        <v/>
      </c>
      <c r="PK6" s="132" t="str">
        <f t="shared" si="99"/>
        <v/>
      </c>
      <c r="PL6" s="156"/>
      <c r="PM6" s="157"/>
      <c r="PN6" s="158"/>
      <c r="PO6" s="110" t="str">
        <f>IFERROR((((COUNTIF('Elève (6ème1)'!PL6:PN6,"A"))*4)+((COUNTIF('Elève (6ème1)'!PL6:PN6,"B"))*3)+((COUNTIF('Elève (6ème1)'!PL6:PN6,"C"))*2)+((COUNTIF('Elève (6ème1)'!PL6:PN6,"D"))*1))/(COUNTA(PL6:PN6)),"")</f>
        <v/>
      </c>
      <c r="PP6" s="111" t="str">
        <f t="shared" si="100"/>
        <v/>
      </c>
      <c r="PQ6" s="81"/>
      <c r="PR6" s="82"/>
      <c r="PS6" s="83"/>
      <c r="PT6" s="110" t="str">
        <f>IFERROR((((COUNTIF('Elève (6ème1)'!PQ6:PS6,"A"))*4)+((COUNTIF('Elève (6ème1)'!PQ6:PS6,"B"))*3)+((COUNTIF('Elève (6ème1)'!PQ6:PS6,"C"))*2)+((COUNTIF('Elève (6ème1)'!PQ6:PS6,"D"))*1))/(COUNTA(PQ6:PS6)),"")</f>
        <v/>
      </c>
      <c r="PU6" s="111" t="str">
        <f t="shared" si="101"/>
        <v/>
      </c>
      <c r="PV6" s="81"/>
      <c r="PW6" s="82"/>
      <c r="PX6" s="83"/>
      <c r="PY6" s="110" t="str">
        <f>IFERROR((((COUNTIF('Elève (6ème1)'!PV6:PX6,"A"))*4)+((COUNTIF('Elève (6ème1)'!PV6:PX6,"B"))*3)+((COUNTIF('Elève (6ème1)'!PV6:PX6,"C"))*2)+((COUNTIF('Elève (6ème1)'!PV6:PX6,"D"))*1))/(COUNTA(PV6:PX6)),"")</f>
        <v/>
      </c>
      <c r="PZ6" s="111" t="str">
        <f t="shared" si="102"/>
        <v/>
      </c>
      <c r="QA6" s="179" t="str">
        <f>IF(COUNT(PO6,PT6,PY6)=0,"",SUM(PO6,PT6,PY6)/COUNT(PO6,PT6,PY6))</f>
        <v/>
      </c>
      <c r="QB6" s="132" t="str">
        <f t="shared" si="103"/>
        <v/>
      </c>
      <c r="QC6" s="156"/>
      <c r="QD6" s="157"/>
      <c r="QE6" s="158"/>
      <c r="QF6" s="110" t="str">
        <f>IFERROR((((COUNTIF('Elève (6ème1)'!QC6:QE6,"A"))*4)+((COUNTIF('Elève (6ème1)'!QC6:QE6,"B"))*3)+((COUNTIF('Elève (6ème1)'!QC6:QE6,"C"))*2)+((COUNTIF('Elève (6ème1)'!QC6:QE6,"D"))*1))/(COUNTA(QC6:QE6)),"")</f>
        <v/>
      </c>
      <c r="QG6" s="111" t="str">
        <f t="shared" si="104"/>
        <v/>
      </c>
      <c r="QH6" s="81"/>
      <c r="QI6" s="82"/>
      <c r="QJ6" s="83"/>
      <c r="QK6" s="110" t="str">
        <f>IFERROR((((COUNTIF('Elève (6ème1)'!QH6:QJ6,"A"))*4)+((COUNTIF('Elève (6ème1)'!QH6:QJ6,"B"))*3)+((COUNTIF('Elève (6ème1)'!QH6:QJ6,"C"))*2)+((COUNTIF('Elève (6ème1)'!QH6:QJ6,"D"))*1))/(COUNTA(QH6:QJ6)),"")</f>
        <v/>
      </c>
      <c r="QL6" s="111" t="str">
        <f t="shared" si="105"/>
        <v/>
      </c>
      <c r="QM6" s="81"/>
      <c r="QN6" s="82"/>
      <c r="QO6" s="83"/>
      <c r="QP6" s="110" t="str">
        <f>IFERROR((((COUNTIF('Elève (6ème1)'!QM6:QO6,"A"))*4)+((COUNTIF('Elève (6ème1)'!QM6:QO6,"B"))*3)+((COUNTIF('Elève (6ème1)'!QM6:QO6,"C"))*2)+((COUNTIF('Elève (6ème1)'!QM6:QO6,"D"))*1))/(COUNTA(QM6:QO6)),"")</f>
        <v/>
      </c>
      <c r="QQ6" s="111" t="str">
        <f t="shared" si="106"/>
        <v/>
      </c>
      <c r="QR6" s="179" t="str">
        <f>IF(COUNT(QF6,QK6,QP6)=0,"",SUM(QF6,QK6,QP6)/COUNT(QF6,QK6,QP6))</f>
        <v/>
      </c>
      <c r="QS6" s="132" t="str">
        <f t="shared" si="107"/>
        <v/>
      </c>
      <c r="QT6" s="156"/>
      <c r="QU6" s="157"/>
      <c r="QV6" s="158"/>
      <c r="QW6" s="110" t="str">
        <f>IFERROR((((COUNTIF('Elève (6ème1)'!QT6:QV6,"A"))*4)+((COUNTIF('Elève (6ème1)'!QT6:QV6,"B"))*3)+((COUNTIF('Elève (6ème1)'!QT6:QV6,"C"))*2)+((COUNTIF('Elève (6ème1)'!QT6:QV6,"D"))*1))/(COUNTA(QT6:QV6)),"")</f>
        <v/>
      </c>
      <c r="QX6" s="111" t="str">
        <f t="shared" si="108"/>
        <v/>
      </c>
      <c r="QY6" s="81"/>
      <c r="QZ6" s="82"/>
      <c r="RA6" s="83"/>
      <c r="RB6" s="110" t="str">
        <f>IFERROR((((COUNTIF('Elève (6ème1)'!QY6:RA6,"A"))*4)+((COUNTIF('Elève (6ème1)'!QY6:RA6,"B"))*3)+((COUNTIF('Elève (6ème1)'!QY6:RA6,"C"))*2)+((COUNTIF('Elève (6ème1)'!QY6:RA6,"D"))*1))/(COUNTA(QY6:RA6)),"")</f>
        <v/>
      </c>
      <c r="RC6" s="111" t="str">
        <f t="shared" si="109"/>
        <v/>
      </c>
      <c r="RD6" s="81"/>
      <c r="RE6" s="82"/>
      <c r="RF6" s="83"/>
      <c r="RG6" s="110" t="str">
        <f>IFERROR((((COUNTIF('Elève (6ème1)'!RD6:RF6,"A"))*4)+((COUNTIF('Elève (6ème1)'!RD6:RF6,"B"))*3)+((COUNTIF('Elève (6ème1)'!RD6:RF6,"C"))*2)+((COUNTIF('Elève (6ème1)'!RD6:RF6,"D"))*1))/(COUNTA(RD6:RF6)),"")</f>
        <v/>
      </c>
      <c r="RH6" s="111" t="str">
        <f t="shared" si="110"/>
        <v/>
      </c>
      <c r="RI6" s="179" t="str">
        <f>IF(COUNT(QW6,RB6,RG6)=0,"",SUM(QW6,RB6,RG6)/COUNT(QW6,RB6,RG6))</f>
        <v/>
      </c>
      <c r="RJ6" s="132" t="str">
        <f t="shared" si="111"/>
        <v/>
      </c>
      <c r="RK6" s="156"/>
      <c r="RL6" s="157"/>
      <c r="RM6" s="158"/>
      <c r="RN6" s="110" t="str">
        <f>IFERROR((((COUNTIF('Elève (6ème1)'!RK6:RM6,"A"))*4)+((COUNTIF('Elève (6ème1)'!RK6:RM6,"B"))*3)+((COUNTIF('Elève (6ème1)'!RK6:RM6,"C"))*2)+((COUNTIF('Elève (6ème1)'!RK6:RM6,"D"))*1))/(COUNTA(RK6:RM6)),"")</f>
        <v/>
      </c>
      <c r="RO6" s="111" t="str">
        <f t="shared" si="112"/>
        <v/>
      </c>
      <c r="RP6" s="81"/>
      <c r="RQ6" s="82"/>
      <c r="RR6" s="83"/>
      <c r="RS6" s="110" t="str">
        <f>IFERROR((((COUNTIF('Elève (6ème1)'!RP6:RR6,"A"))*4)+((COUNTIF('Elève (6ème1)'!RP6:RR6,"B"))*3)+((COUNTIF('Elève (6ème1)'!RP6:RR6,"C"))*2)+((COUNTIF('Elève (6ème1)'!RP6:RR6,"D"))*1))/(COUNTA(RP6:RR6)),"")</f>
        <v/>
      </c>
      <c r="RT6" s="111" t="str">
        <f t="shared" si="113"/>
        <v/>
      </c>
      <c r="RU6" s="81"/>
      <c r="RV6" s="82"/>
      <c r="RW6" s="83"/>
      <c r="RX6" s="110" t="str">
        <f>IFERROR((((COUNTIF('Elève (6ème1)'!RU6:RW6,"A"))*4)+((COUNTIF('Elève (6ème1)'!RU6:RW6,"B"))*3)+((COUNTIF('Elève (6ème1)'!RU6:RW6,"C"))*2)+((COUNTIF('Elève (6ème1)'!RU6:RW6,"D"))*1))/(COUNTA(RU6:RW6)),"")</f>
        <v/>
      </c>
      <c r="RY6" s="111" t="str">
        <f t="shared" si="114"/>
        <v/>
      </c>
      <c r="RZ6" s="179" t="str">
        <f>IF(COUNT(RN6,RS6,RX6)=0,"",SUM(RN6,RS6,RX6)/COUNT(RN6,RS6,RX6))</f>
        <v/>
      </c>
      <c r="SA6" s="132" t="str">
        <f t="shared" si="115"/>
        <v/>
      </c>
      <c r="SB6" s="156"/>
      <c r="SC6" s="157"/>
      <c r="SD6" s="158"/>
      <c r="SE6" s="110" t="str">
        <f>IFERROR((((COUNTIF('Elève (6ème1)'!SB6:SD6,"A"))*4)+((COUNTIF('Elève (6ème1)'!SB6:SD6,"B"))*3)+((COUNTIF('Elève (6ème1)'!SB6:SD6,"C"))*2)+((COUNTIF('Elève (6ème1)'!SB6:SD6,"D"))*1))/(COUNTA(SB6:SD6)),"")</f>
        <v/>
      </c>
      <c r="SF6" s="111" t="str">
        <f t="shared" si="116"/>
        <v/>
      </c>
      <c r="SG6" s="81"/>
      <c r="SH6" s="82"/>
      <c r="SI6" s="83"/>
      <c r="SJ6" s="110" t="str">
        <f>IFERROR((((COUNTIF('Elève (6ème1)'!SG6:SI6,"A"))*4)+((COUNTIF('Elève (6ème1)'!SG6:SI6,"B"))*3)+((COUNTIF('Elève (6ème1)'!SG6:SI6,"C"))*2)+((COUNTIF('Elève (6ème1)'!SG6:SI6,"D"))*1))/(COUNTA(SG6:SI6)),"")</f>
        <v/>
      </c>
      <c r="SK6" s="111" t="str">
        <f t="shared" si="117"/>
        <v/>
      </c>
      <c r="SL6" s="81"/>
      <c r="SM6" s="82"/>
      <c r="SN6" s="83"/>
      <c r="SO6" s="110" t="str">
        <f>IFERROR((((COUNTIF('Elève (6ème1)'!SL6:SN6,"A"))*4)+((COUNTIF('Elève (6ème1)'!SL6:SN6,"B"))*3)+((COUNTIF('Elève (6ème1)'!SL6:SN6,"C"))*2)+((COUNTIF('Elève (6ème1)'!SL6:SN6,"D"))*1))/(COUNTA(SL6:SN6)),"")</f>
        <v/>
      </c>
      <c r="SP6" s="111" t="str">
        <f t="shared" si="118"/>
        <v/>
      </c>
      <c r="SQ6" s="179" t="str">
        <f>IF(COUNT(SE6,SJ6,SO6)=0,"",SUM(SE6,SJ6,SO6)/COUNT(SE6,SJ6,SO6))</f>
        <v/>
      </c>
      <c r="SR6" s="132" t="str">
        <f t="shared" si="119"/>
        <v/>
      </c>
    </row>
    <row r="7" spans="1:512" s="87" customFormat="1" ht="17.25" customHeight="1" thickBot="1" x14ac:dyDescent="0.3">
      <c r="A7" s="95" t="s">
        <v>14</v>
      </c>
      <c r="B7" s="76">
        <v>1</v>
      </c>
      <c r="C7" s="162"/>
      <c r="D7" s="189"/>
      <c r="E7" s="189"/>
      <c r="F7" s="106">
        <f>IFERROR((((COUNTIF('Elève (6ème1)'!C8:E11,"A"))*4)+((COUNTIF('Elève (6ème1)'!C8:E11,"B"))*3)+((COUNTIF('Elève (6ème1)'!C8:E11,"C"))*2)+((COUNTIF('Elève (6ème1)'!C8:E11,"D"))*1))/(COUNTA(C8:E11)),"")</f>
        <v>3</v>
      </c>
      <c r="G7" s="107" t="str">
        <f t="shared" si="0"/>
        <v>B</v>
      </c>
      <c r="H7" s="100"/>
      <c r="I7" s="187"/>
      <c r="J7" s="188"/>
      <c r="K7" s="106" t="str">
        <f>IFERROR((((COUNTIF('Elève (6ème1)'!H8:J11,"A"))*4)+((COUNTIF('Elève (6ème1)'!H8:J11,"B"))*3)+((COUNTIF('Elève (6ème1)'!H8:J11,"C"))*2)+((COUNTIF('Elève (6ème1)'!H8:J11,"D"))*1))/(COUNTA(H8:J11)),"")</f>
        <v/>
      </c>
      <c r="L7" s="121" t="str">
        <f t="shared" si="1"/>
        <v/>
      </c>
      <c r="M7" s="100"/>
      <c r="N7" s="187"/>
      <c r="O7" s="188"/>
      <c r="P7" s="106" t="str">
        <f>IFERROR((((COUNTIF('Elève (6ème1)'!M8:O11,"A"))*4)+((COUNTIF('Elève (6ème1)'!M8:O11,"B"))*3)+((COUNTIF('Elève (6ème1)'!M8:O11,"C"))*2)+((COUNTIF('Elève (6ème1)'!M8:O11,"D"))*1))/(COUNTA(M8:O11)),"")</f>
        <v/>
      </c>
      <c r="Q7" s="128" t="str">
        <f t="shared" si="2"/>
        <v/>
      </c>
      <c r="R7" s="177">
        <f>IFERROR((((COUNTIF(C8:E11,"A")+COUNTIF(H8:J11,"A")+COUNTIF(M8:O11,"A"))*4)+((COUNTIF(C8:E11,"B")+COUNTIF(H8:J11,"B")+COUNTIF(M8:O11,"B"))*3)+((COUNTIF(C8:E11,"C")+COUNTIF(H8:J11,"C")+COUNTIF(M8:O11,"C"))*2)+((COUNTIF(C8:E11,"D")+COUNTIF(H8:J11,"D")+COUNTIF(M8:O11,"D"))*1))/(COUNTA(C8:E11)+COUNTA(H8:J11)+COUNTA(M8:O11)),"")</f>
        <v>3</v>
      </c>
      <c r="S7" s="130" t="str">
        <f t="shared" si="3"/>
        <v>B</v>
      </c>
      <c r="T7" s="162"/>
      <c r="U7" s="189"/>
      <c r="V7" s="189"/>
      <c r="W7" s="106">
        <f>IFERROR((((COUNTIF('Elève (6ème1)'!T8:V11,"A"))*4)+((COUNTIF('Elève (6ème1)'!T8:V11,"B"))*3)+((COUNTIF('Elève (6ème1)'!T8:V11,"C"))*2)+((COUNTIF('Elève (6ème1)'!T8:V11,"D"))*1))/(COUNTA(T8:V11)),"")</f>
        <v>4</v>
      </c>
      <c r="X7" s="107" t="str">
        <f t="shared" si="4"/>
        <v>A</v>
      </c>
      <c r="Y7" s="100"/>
      <c r="Z7" s="187"/>
      <c r="AA7" s="188"/>
      <c r="AB7" s="106" t="str">
        <f>IFERROR((((COUNTIF('Elève (6ème1)'!Y8:AA11,"A"))*4)+((COUNTIF('Elève (6ème1)'!Y8:AA11,"B"))*3)+((COUNTIF('Elève (6ème1)'!Y8:AA11,"C"))*2)+((COUNTIF('Elève (6ème1)'!Y8:AA11,"D"))*1))/(COUNTA(Y8:AA11)),"")</f>
        <v/>
      </c>
      <c r="AC7" s="121" t="str">
        <f t="shared" si="5"/>
        <v/>
      </c>
      <c r="AD7" s="100"/>
      <c r="AE7" s="187"/>
      <c r="AF7" s="188"/>
      <c r="AG7" s="106" t="str">
        <f>IFERROR((((COUNTIF('Elève (6ème1)'!AD8:AF11,"A"))*4)+((COUNTIF('Elève (6ème1)'!AD8:AF11,"B"))*3)+((COUNTIF('Elève (6ème1)'!AD8:AF11,"C"))*2)+((COUNTIF('Elève (6ème1)'!AD8:AF11,"D"))*1))/(COUNTA(AD8:AF11)),"")</f>
        <v/>
      </c>
      <c r="AH7" s="128" t="str">
        <f t="shared" si="6"/>
        <v/>
      </c>
      <c r="AI7" s="177">
        <f>IFERROR((((COUNTIF(T8:V11,"A")+COUNTIF(Y8:AA11,"A")+COUNTIF(AD8:AF11,"A"))*4)+((COUNTIF(T8:V11,"B")+COUNTIF(Y8:AA11,"B")+COUNTIF(AD8:AF11,"B"))*3)+((COUNTIF(T8:V11,"C")+COUNTIF(Y8:AA11,"C")+COUNTIF(AD8:AF11,"C"))*2)+((COUNTIF(T8:V11,"D")+COUNTIF(Y8:AA11,"D")+COUNTIF(AD8:AF11,"D"))*1))/(COUNTA(T8:V11)+COUNTA(Y8:AA11)+COUNTA(AD8:AF11)),"")</f>
        <v>4</v>
      </c>
      <c r="AJ7" s="130" t="str">
        <f t="shared" si="7"/>
        <v>A</v>
      </c>
      <c r="AK7" s="162"/>
      <c r="AL7" s="189"/>
      <c r="AM7" s="189"/>
      <c r="AN7" s="106">
        <f>IFERROR((((COUNTIF('Elève (6ème1)'!AK8:AM11,"A"))*4)+((COUNTIF('Elève (6ème1)'!AK8:AM11,"B"))*3)+((COUNTIF('Elève (6ème1)'!AK8:AM11,"C"))*2)+((COUNTIF('Elève (6ème1)'!AK8:AM11,"D"))*1))/(COUNTA(AK8:AM11)),"")</f>
        <v>2.5</v>
      </c>
      <c r="AO7" s="107" t="str">
        <f t="shared" si="8"/>
        <v>C</v>
      </c>
      <c r="AP7" s="100"/>
      <c r="AQ7" s="187"/>
      <c r="AR7" s="188"/>
      <c r="AS7" s="106" t="str">
        <f>IFERROR((((COUNTIF('Elève (6ème1)'!AP8:AR11,"A"))*4)+((COUNTIF('Elève (6ème1)'!AP8:AR11,"B"))*3)+((COUNTIF('Elève (6ème1)'!AP8:AR11,"C"))*2)+((COUNTIF('Elève (6ème1)'!AP8:AR11,"D"))*1))/(COUNTA(AP8:AR11)),"")</f>
        <v/>
      </c>
      <c r="AT7" s="121" t="str">
        <f t="shared" si="9"/>
        <v/>
      </c>
      <c r="AU7" s="100"/>
      <c r="AV7" s="187"/>
      <c r="AW7" s="188"/>
      <c r="AX7" s="106" t="str">
        <f>IFERROR((((COUNTIF('Elève (6ème1)'!AU8:AW11,"A"))*4)+((COUNTIF('Elève (6ème1)'!AU8:AW11,"B"))*3)+((COUNTIF('Elève (6ème1)'!AU8:AW11,"C"))*2)+((COUNTIF('Elève (6ème1)'!AU8:AW11,"D"))*1))/(COUNTA(AU8:AW11)),"")</f>
        <v/>
      </c>
      <c r="AY7" s="128" t="str">
        <f t="shared" si="10"/>
        <v/>
      </c>
      <c r="AZ7" s="177">
        <f>IFERROR((((COUNTIF(AK8:AM11,"A")+COUNTIF(AP8:AR11,"A")+COUNTIF(AU8:AW11,"A"))*4)+((COUNTIF(AK8:AM11,"B")+COUNTIF(AP8:AR11,"B")+COUNTIF(AU8:AW11,"B"))*3)+((COUNTIF(AK8:AM11,"C")+COUNTIF(AP8:AR11,"C")+COUNTIF(AU8:AW11,"C"))*2)+((COUNTIF(AK8:AM11,"D")+COUNTIF(AP8:AR11,"D")+COUNTIF(AU8:AW11,"D"))*1))/(COUNTA(AK8:AM11)+COUNTA(AP8:AR11)+COUNTA(AU8:AW11)),"")</f>
        <v>2.5</v>
      </c>
      <c r="BA7" s="130" t="str">
        <f t="shared" si="11"/>
        <v>C</v>
      </c>
      <c r="BB7" s="162"/>
      <c r="BC7" s="189"/>
      <c r="BD7" s="189"/>
      <c r="BE7" s="106">
        <f>IFERROR((((COUNTIF('Elève (6ème1)'!BB8:BD11,"A"))*4)+((COUNTIF('Elève (6ème1)'!BB8:BD11,"B"))*3)+((COUNTIF('Elève (6ème1)'!BB8:BD11,"C"))*2)+((COUNTIF('Elève (6ème1)'!BB8:BD11,"D"))*1))/(COUNTA(BB8:BD11)),"")</f>
        <v>3</v>
      </c>
      <c r="BF7" s="107" t="str">
        <f t="shared" si="12"/>
        <v>B</v>
      </c>
      <c r="BG7" s="100"/>
      <c r="BH7" s="187"/>
      <c r="BI7" s="188"/>
      <c r="BJ7" s="106" t="str">
        <f>IFERROR((((COUNTIF('Elève (6ème1)'!BG8:BI11,"A"))*4)+((COUNTIF('Elève (6ème1)'!BG8:BI11,"B"))*3)+((COUNTIF('Elève (6ème1)'!BG8:BI11,"C"))*2)+((COUNTIF('Elève (6ème1)'!BG8:BI11,"D"))*1))/(COUNTA(BG8:BI11)),"")</f>
        <v/>
      </c>
      <c r="BK7" s="121" t="str">
        <f t="shared" si="13"/>
        <v/>
      </c>
      <c r="BL7" s="100"/>
      <c r="BM7" s="187"/>
      <c r="BN7" s="188"/>
      <c r="BO7" s="106" t="str">
        <f>IFERROR((((COUNTIF('Elève (6ème1)'!BL8:BN11,"A"))*4)+((COUNTIF('Elève (6ème1)'!BL8:BN11,"B"))*3)+((COUNTIF('Elève (6ème1)'!BL8:BN11,"C"))*2)+((COUNTIF('Elève (6ème1)'!BL8:BN11,"D"))*1))/(COUNTA(BL8:BN11)),"")</f>
        <v/>
      </c>
      <c r="BP7" s="128" t="str">
        <f t="shared" si="14"/>
        <v/>
      </c>
      <c r="BQ7" s="177">
        <f>IFERROR((((COUNTIF(BB8:BD11,"A")+COUNTIF(BG8:BI11,"A")+COUNTIF(BL8:BN11,"A"))*4)+((COUNTIF(BB8:BD11,"B")+COUNTIF(BG8:BI11,"B")+COUNTIF(BL8:BN11,"B"))*3)+((COUNTIF(BB8:BD11,"C")+COUNTIF(BG8:BI11,"C")+COUNTIF(BL8:BN11,"C"))*2)+((COUNTIF(BB8:BD11,"D")+COUNTIF(BG8:BI11,"D")+COUNTIF(BL8:BN11,"D"))*1))/(COUNTA(BB8:BD11)+COUNTA(BG8:BI11)+COUNTA(BL8:BN11)),"")</f>
        <v>3</v>
      </c>
      <c r="BR7" s="130" t="str">
        <f t="shared" si="15"/>
        <v>B</v>
      </c>
      <c r="BS7" s="162"/>
      <c r="BT7" s="189"/>
      <c r="BU7" s="189"/>
      <c r="BV7" s="106">
        <f>IFERROR((((COUNTIF('Elève (6ème1)'!BS8:BU11,"A"))*4)+((COUNTIF('Elève (6ème1)'!BS8:BU11,"B"))*3)+((COUNTIF('Elève (6ème1)'!BS8:BU11,"C"))*2)+((COUNTIF('Elève (6ème1)'!BS8:BU11,"D"))*1))/(COUNTA(BS8:BU11)),"")</f>
        <v>2.5</v>
      </c>
      <c r="BW7" s="107" t="str">
        <f t="shared" si="16"/>
        <v>C</v>
      </c>
      <c r="BX7" s="100"/>
      <c r="BY7" s="187"/>
      <c r="BZ7" s="188"/>
      <c r="CA7" s="106" t="str">
        <f>IFERROR((((COUNTIF('Elève (6ème1)'!BX8:BZ11,"A"))*4)+((COUNTIF('Elève (6ème1)'!BX8:BZ11,"B"))*3)+((COUNTIF('Elève (6ème1)'!BX8:BZ11,"C"))*2)+((COUNTIF('Elève (6ème1)'!BX8:BZ11,"D"))*1))/(COUNTA(BX8:BZ11)),"")</f>
        <v/>
      </c>
      <c r="CB7" s="121" t="str">
        <f t="shared" si="17"/>
        <v/>
      </c>
      <c r="CC7" s="100"/>
      <c r="CD7" s="187"/>
      <c r="CE7" s="188"/>
      <c r="CF7" s="106" t="str">
        <f>IFERROR((((COUNTIF('Elève (6ème1)'!CC8:CE11,"A"))*4)+((COUNTIF('Elève (6ème1)'!CC8:CE11,"B"))*3)+((COUNTIF('Elève (6ème1)'!CC8:CE11,"C"))*2)+((COUNTIF('Elève (6ème1)'!CC8:CE11,"D"))*1))/(COUNTA(CC8:CE11)),"")</f>
        <v/>
      </c>
      <c r="CG7" s="128" t="str">
        <f t="shared" si="18"/>
        <v/>
      </c>
      <c r="CH7" s="177">
        <f>IFERROR((((COUNTIF(BS8:BU11,"A")+COUNTIF(BX8:BZ11,"A")+COUNTIF(CC8:CE11,"A"))*4)+((COUNTIF(BS8:BU11,"B")+COUNTIF(BX8:BZ11,"B")+COUNTIF(CC8:CE11,"B"))*3)+((COUNTIF(BS8:BU11,"C")+COUNTIF(BX8:BZ11,"C")+COUNTIF(CC8:CE11,"C"))*2)+((COUNTIF(BS8:BU11,"D")+COUNTIF(BX8:BZ11,"D")+COUNTIF(CC8:CE11,"D"))*1))/(COUNTA(BS8:BU11)+COUNTA(BX8:BZ11)+COUNTA(CC8:CE11)),"")</f>
        <v>2.5</v>
      </c>
      <c r="CI7" s="130" t="str">
        <f t="shared" si="19"/>
        <v>C</v>
      </c>
      <c r="CJ7" s="162"/>
      <c r="CK7" s="189"/>
      <c r="CL7" s="189"/>
      <c r="CM7" s="106">
        <f>IFERROR((((COUNTIF('Elève (6ème1)'!CJ8:CL11,"A"))*4)+((COUNTIF('Elève (6ème1)'!CJ8:CL11,"B"))*3)+((COUNTIF('Elève (6ème1)'!CJ8:CL11,"C"))*2)+((COUNTIF('Elève (6ème1)'!CJ8:CL11,"D"))*1))/(COUNTA(CJ8:CL11)),"")</f>
        <v>4</v>
      </c>
      <c r="CN7" s="107" t="str">
        <f t="shared" si="20"/>
        <v>A</v>
      </c>
      <c r="CO7" s="100"/>
      <c r="CP7" s="187"/>
      <c r="CQ7" s="188"/>
      <c r="CR7" s="106" t="str">
        <f>IFERROR((((COUNTIF('Elève (6ème1)'!CO8:CQ11,"A"))*4)+((COUNTIF('Elève (6ème1)'!CO8:CQ11,"B"))*3)+((COUNTIF('Elève (6ème1)'!CO8:CQ11,"C"))*2)+((COUNTIF('Elève (6ème1)'!CO8:CQ11,"D"))*1))/(COUNTA(CO8:CQ11)),"")</f>
        <v/>
      </c>
      <c r="CS7" s="121" t="str">
        <f t="shared" si="21"/>
        <v/>
      </c>
      <c r="CT7" s="100"/>
      <c r="CU7" s="187"/>
      <c r="CV7" s="188"/>
      <c r="CW7" s="106" t="str">
        <f>IFERROR((((COUNTIF('Elève (6ème1)'!CT8:CV11,"A"))*4)+((COUNTIF('Elève (6ème1)'!CT8:CV11,"B"))*3)+((COUNTIF('Elève (6ème1)'!CT8:CV11,"C"))*2)+((COUNTIF('Elève (6ème1)'!CT8:CV11,"D"))*1))/(COUNTA(CT8:CV11)),"")</f>
        <v/>
      </c>
      <c r="CX7" s="128" t="str">
        <f t="shared" si="22"/>
        <v/>
      </c>
      <c r="CY7" s="177">
        <f>IFERROR((((COUNTIF(CJ8:CL11,"A")+COUNTIF(CO8:CQ11,"A")+COUNTIF(CT8:CV11,"A"))*4)+((COUNTIF(CJ8:CL11,"B")+COUNTIF(CO8:CQ11,"B")+COUNTIF(CT8:CV11,"B"))*3)+((COUNTIF(CJ8:CL11,"C")+COUNTIF(CO8:CQ11,"C")+COUNTIF(CT8:CV11,"C"))*2)+((COUNTIF(CJ8:CL11,"D")+COUNTIF(CO8:CQ11,"D")+COUNTIF(CT8:CV11,"D"))*1))/(COUNTA(CJ8:CL11)+COUNTA(CO8:CQ11)+COUNTA(CT8:CV11)),"")</f>
        <v>4</v>
      </c>
      <c r="CZ7" s="130" t="str">
        <f t="shared" si="23"/>
        <v>A</v>
      </c>
      <c r="DA7" s="162"/>
      <c r="DB7" s="189"/>
      <c r="DC7" s="189"/>
      <c r="DD7" s="106">
        <f>IFERROR((((COUNTIF('Elève (6ème1)'!DA8:DC11,"A"))*4)+((COUNTIF('Elève (6ème1)'!DA8:DC11,"B"))*3)+((COUNTIF('Elève (6ème1)'!DA8:DC11,"C"))*2)+((COUNTIF('Elève (6ème1)'!DA8:DC11,"D"))*1))/(COUNTA(DA8:DC11)),"")</f>
        <v>3.5</v>
      </c>
      <c r="DE7" s="107" t="str">
        <f t="shared" si="24"/>
        <v>B</v>
      </c>
      <c r="DF7" s="100"/>
      <c r="DG7" s="187"/>
      <c r="DH7" s="188"/>
      <c r="DI7" s="106" t="str">
        <f>IFERROR((((COUNTIF('Elève (6ème1)'!DF8:DH11,"A"))*4)+((COUNTIF('Elève (6ème1)'!DF8:DH11,"B"))*3)+((COUNTIF('Elève (6ème1)'!DF8:DH11,"C"))*2)+((COUNTIF('Elève (6ème1)'!DF8:DH11,"D"))*1))/(COUNTA(DF8:DH11)),"")</f>
        <v/>
      </c>
      <c r="DJ7" s="121" t="str">
        <f t="shared" si="25"/>
        <v/>
      </c>
      <c r="DK7" s="100"/>
      <c r="DL7" s="187"/>
      <c r="DM7" s="188"/>
      <c r="DN7" s="106" t="str">
        <f>IFERROR((((COUNTIF('Elève (6ème1)'!DK8:DM11,"A"))*4)+((COUNTIF('Elève (6ème1)'!DK8:DM11,"B"))*3)+((COUNTIF('Elève (6ème1)'!DK8:DM11,"C"))*2)+((COUNTIF('Elève (6ème1)'!DK8:DM11,"D"))*1))/(COUNTA(DK8:DM11)),"")</f>
        <v/>
      </c>
      <c r="DO7" s="128" t="str">
        <f t="shared" si="26"/>
        <v/>
      </c>
      <c r="DP7" s="177">
        <f>IFERROR((((COUNTIF(DA8:DC11,"A")+COUNTIF(DF8:DH11,"A")+COUNTIF(DK8:DM11,"A"))*4)+((COUNTIF(DA8:DC11,"B")+COUNTIF(DF8:DH11,"B")+COUNTIF(DK8:DM11,"B"))*3)+((COUNTIF(DA8:DC11,"C")+COUNTIF(DF8:DH11,"C")+COUNTIF(DK8:DM11,"C"))*2)+((COUNTIF(DA8:DC11,"D")+COUNTIF(DF8:DH11,"D")+COUNTIF(DK8:DM11,"D"))*1))/(COUNTA(DA8:DC11)+COUNTA(DF8:DH11)+COUNTA(DK8:DM11)),"")</f>
        <v>3.5</v>
      </c>
      <c r="DQ7" s="130" t="str">
        <f t="shared" si="27"/>
        <v>B</v>
      </c>
      <c r="DR7" s="162"/>
      <c r="DS7" s="189"/>
      <c r="DT7" s="189"/>
      <c r="DU7" s="106">
        <f>IFERROR((((COUNTIF('Elève (6ème1)'!DR8:DT11,"A"))*4)+((COUNTIF('Elève (6ème1)'!DR8:DT11,"B"))*3)+((COUNTIF('Elève (6ème1)'!DR8:DT11,"C"))*2)+((COUNTIF('Elève (6ème1)'!DR8:DT11,"D"))*1))/(COUNTA(DR8:DT11)),"")</f>
        <v>2</v>
      </c>
      <c r="DV7" s="107" t="str">
        <f t="shared" si="28"/>
        <v>C</v>
      </c>
      <c r="DW7" s="100"/>
      <c r="DX7" s="187"/>
      <c r="DY7" s="188"/>
      <c r="DZ7" s="106" t="str">
        <f>IFERROR((((COUNTIF('Elève (6ème1)'!DW8:DY11,"A"))*4)+((COUNTIF('Elève (6ème1)'!DW8:DY11,"B"))*3)+((COUNTIF('Elève (6ème1)'!DW8:DY11,"C"))*2)+((COUNTIF('Elève (6ème1)'!DW8:DY11,"D"))*1))/(COUNTA(DW8:DY11)),"")</f>
        <v/>
      </c>
      <c r="EA7" s="121" t="str">
        <f t="shared" si="29"/>
        <v/>
      </c>
      <c r="EB7" s="100"/>
      <c r="EC7" s="187"/>
      <c r="ED7" s="188"/>
      <c r="EE7" s="106" t="str">
        <f>IFERROR((((COUNTIF('Elève (6ème1)'!EB8:ED11,"A"))*4)+((COUNTIF('Elève (6ème1)'!EB8:ED11,"B"))*3)+((COUNTIF('Elève (6ème1)'!EB8:ED11,"C"))*2)+((COUNTIF('Elève (6ème1)'!EB8:ED11,"D"))*1))/(COUNTA(EB8:ED11)),"")</f>
        <v/>
      </c>
      <c r="EF7" s="128" t="str">
        <f t="shared" si="30"/>
        <v/>
      </c>
      <c r="EG7" s="177">
        <f>IFERROR((((COUNTIF(DR8:DT11,"A")+COUNTIF(DW8:DY11,"A")+COUNTIF(EB8:ED11,"A"))*4)+((COUNTIF(DR8:DT11,"B")+COUNTIF(DW8:DY11,"B")+COUNTIF(EB8:ED11,"B"))*3)+((COUNTIF(DR8:DT11,"C")+COUNTIF(DW8:DY11,"C")+COUNTIF(EB8:ED11,"C"))*2)+((COUNTIF(DR8:DT11,"D")+COUNTIF(DW8:DY11,"D")+COUNTIF(EB8:ED11,"D"))*1))/(COUNTA(DR8:DT11)+COUNTA(DW8:DY11)+COUNTA(EB8:ED11)),"")</f>
        <v>2</v>
      </c>
      <c r="EH7" s="130" t="str">
        <f t="shared" si="31"/>
        <v>C</v>
      </c>
      <c r="EI7" s="162"/>
      <c r="EJ7" s="189"/>
      <c r="EK7" s="189"/>
      <c r="EL7" s="106">
        <f>IFERROR((((COUNTIF('Elève (6ème1)'!EI8:EK11,"A"))*4)+((COUNTIF('Elève (6ème1)'!EI8:EK11,"B"))*3)+((COUNTIF('Elève (6ème1)'!EI8:EK11,"C"))*2)+((COUNTIF('Elève (6ème1)'!EI8:EK11,"D"))*1))/(COUNTA(EI8:EK11)),"")</f>
        <v>2.5</v>
      </c>
      <c r="EM7" s="107" t="str">
        <f t="shared" si="32"/>
        <v>C</v>
      </c>
      <c r="EN7" s="100"/>
      <c r="EO7" s="187"/>
      <c r="EP7" s="188"/>
      <c r="EQ7" s="106" t="str">
        <f>IFERROR((((COUNTIF('Elève (6ème1)'!EN8:EP11,"A"))*4)+((COUNTIF('Elève (6ème1)'!EN8:EP11,"B"))*3)+((COUNTIF('Elève (6ème1)'!EN8:EP11,"C"))*2)+((COUNTIF('Elève (6ème1)'!EN8:EP11,"D"))*1))/(COUNTA(EN8:EP11)),"")</f>
        <v/>
      </c>
      <c r="ER7" s="121" t="str">
        <f t="shared" si="33"/>
        <v/>
      </c>
      <c r="ES7" s="100"/>
      <c r="ET7" s="187"/>
      <c r="EU7" s="188"/>
      <c r="EV7" s="106" t="str">
        <f>IFERROR((((COUNTIF('Elève (6ème1)'!ES8:EU11,"A"))*4)+((COUNTIF('Elève (6ème1)'!ES8:EU11,"B"))*3)+((COUNTIF('Elève (6ème1)'!ES8:EU11,"C"))*2)+((COUNTIF('Elève (6ème1)'!ES8:EU11,"D"))*1))/(COUNTA(ES8:EU11)),"")</f>
        <v/>
      </c>
      <c r="EW7" s="128" t="str">
        <f t="shared" si="34"/>
        <v/>
      </c>
      <c r="EX7" s="177">
        <f>IFERROR((((COUNTIF(EI8:EK11,"A")+COUNTIF(EN8:EP11,"A")+COUNTIF(ES8:EU11,"A"))*4)+((COUNTIF(EI8:EK11,"B")+COUNTIF(EN8:EP11,"B")+COUNTIF(ES8:EU11,"B"))*3)+((COUNTIF(EI8:EK11,"C")+COUNTIF(EN8:EP11,"C")+COUNTIF(ES8:EU11,"C"))*2)+((COUNTIF(EI8:EK11,"D")+COUNTIF(EN8:EP11,"D")+COUNTIF(ES8:EU11,"D"))*1))/(COUNTA(EI8:EK11)+COUNTA(EN8:EP11)+COUNTA(ES8:EU11)),"")</f>
        <v>2.5</v>
      </c>
      <c r="EY7" s="130" t="str">
        <f t="shared" si="35"/>
        <v>C</v>
      </c>
      <c r="EZ7" s="162"/>
      <c r="FA7" s="189"/>
      <c r="FB7" s="189"/>
      <c r="FC7" s="106">
        <f>IFERROR((((COUNTIF('Elève (6ème1)'!EZ8:FB11,"A"))*4)+((COUNTIF('Elève (6ème1)'!EZ8:FB11,"B"))*3)+((COUNTIF('Elève (6ème1)'!EZ8:FB11,"C"))*2)+((COUNTIF('Elève (6ème1)'!EZ8:FB11,"D"))*1))/(COUNTA(EZ8:FB11)),"")</f>
        <v>3</v>
      </c>
      <c r="FD7" s="107" t="str">
        <f t="shared" si="36"/>
        <v>B</v>
      </c>
      <c r="FE7" s="100"/>
      <c r="FF7" s="187"/>
      <c r="FG7" s="188"/>
      <c r="FH7" s="106" t="str">
        <f>IFERROR((((COUNTIF('Elève (6ème1)'!FE8:FG11,"A"))*4)+((COUNTIF('Elève (6ème1)'!FE8:FG11,"B"))*3)+((COUNTIF('Elève (6ème1)'!FE8:FG11,"C"))*2)+((COUNTIF('Elève (6ème1)'!FE8:FG11,"D"))*1))/(COUNTA(FE8:FG11)),"")</f>
        <v/>
      </c>
      <c r="FI7" s="121" t="str">
        <f t="shared" si="37"/>
        <v/>
      </c>
      <c r="FJ7" s="100"/>
      <c r="FK7" s="187"/>
      <c r="FL7" s="188"/>
      <c r="FM7" s="106" t="str">
        <f>IFERROR((((COUNTIF('Elève (6ème1)'!FJ8:FL11,"A"))*4)+((COUNTIF('Elève (6ème1)'!FJ8:FL11,"B"))*3)+((COUNTIF('Elève (6ème1)'!FJ8:FL11,"C"))*2)+((COUNTIF('Elève (6ème1)'!FJ8:FL11,"D"))*1))/(COUNTA(FJ8:FL11)),"")</f>
        <v/>
      </c>
      <c r="FN7" s="128" t="str">
        <f t="shared" si="38"/>
        <v/>
      </c>
      <c r="FO7" s="177">
        <f>IFERROR((((COUNTIF(EZ8:FB11,"A")+COUNTIF(FE8:FG11,"A")+COUNTIF(FJ8:FL11,"A"))*4)+((COUNTIF(EZ8:FB11,"B")+COUNTIF(FE8:FG11,"B")+COUNTIF(FJ8:FL11,"B"))*3)+((COUNTIF(EZ8:FB11,"C")+COUNTIF(FE8:FG11,"C")+COUNTIF(FJ8:FL11,"C"))*2)+((COUNTIF(EZ8:FB11,"D")+COUNTIF(FE8:FG11,"D")+COUNTIF(FJ8:FL11,"D"))*1))/(COUNTA(EZ8:FB11)+COUNTA(FE8:FG11)+COUNTA(FJ8:FL11)),"")</f>
        <v>3</v>
      </c>
      <c r="FP7" s="130" t="str">
        <f t="shared" si="39"/>
        <v>B</v>
      </c>
      <c r="FQ7" s="162"/>
      <c r="FR7" s="189"/>
      <c r="FS7" s="189"/>
      <c r="FT7" s="106">
        <f>IFERROR((((COUNTIF('Elève (6ème1)'!FQ8:FS11,"A"))*4)+((COUNTIF('Elève (6ème1)'!FQ8:FS11,"B"))*3)+((COUNTIF('Elève (6ème1)'!FQ8:FS11,"C"))*2)+((COUNTIF('Elève (6ème1)'!FQ8:FS11,"D"))*1))/(COUNTA(FQ8:FS11)),"")</f>
        <v>3</v>
      </c>
      <c r="FU7" s="107" t="str">
        <f t="shared" si="40"/>
        <v>B</v>
      </c>
      <c r="FV7" s="100"/>
      <c r="FW7" s="187"/>
      <c r="FX7" s="188"/>
      <c r="FY7" s="106" t="str">
        <f>IFERROR((((COUNTIF('Elève (6ème1)'!FV8:FX11,"A"))*4)+((COUNTIF('Elève (6ème1)'!FV8:FX11,"B"))*3)+((COUNTIF('Elève (6ème1)'!FV8:FX11,"C"))*2)+((COUNTIF('Elève (6ème1)'!FV8:FX11,"D"))*1))/(COUNTA(FV8:FX11)),"")</f>
        <v/>
      </c>
      <c r="FZ7" s="121" t="str">
        <f t="shared" si="41"/>
        <v/>
      </c>
      <c r="GA7" s="100"/>
      <c r="GB7" s="187"/>
      <c r="GC7" s="188"/>
      <c r="GD7" s="106" t="str">
        <f>IFERROR((((COUNTIF('Elève (6ème1)'!GA8:GC11,"A"))*4)+((COUNTIF('Elève (6ème1)'!GA8:GC11,"B"))*3)+((COUNTIF('Elève (6ème1)'!GA8:GC11,"C"))*2)+((COUNTIF('Elève (6ème1)'!GA8:GC11,"D"))*1))/(COUNTA(GA8:GC11)),"")</f>
        <v/>
      </c>
      <c r="GE7" s="128" t="str">
        <f t="shared" si="42"/>
        <v/>
      </c>
      <c r="GF7" s="177">
        <f>IFERROR((((COUNTIF(FQ8:FS11,"A")+COUNTIF(FV8:FX11,"A")+COUNTIF(GA8:GC11,"A"))*4)+((COUNTIF(FQ8:FS11,"B")+COUNTIF(FV8:FX11,"B")+COUNTIF(GA8:GC11,"B"))*3)+((COUNTIF(FQ8:FS11,"C")+COUNTIF(FV8:FX11,"C")+COUNTIF(GA8:GC11,"C"))*2)+((COUNTIF(FQ8:FS11,"D")+COUNTIF(FV8:FX11,"D")+COUNTIF(GA8:GC11,"D"))*1))/(COUNTA(FQ8:FS11)+COUNTA(FV8:FX11)+COUNTA(GA8:GC11)),"")</f>
        <v>3</v>
      </c>
      <c r="GG7" s="130" t="str">
        <f t="shared" si="43"/>
        <v>B</v>
      </c>
      <c r="GH7" s="162"/>
      <c r="GI7" s="189"/>
      <c r="GJ7" s="189"/>
      <c r="GK7" s="106">
        <f>IFERROR((((COUNTIF('Elève (6ème1)'!GH8:GJ11,"A"))*4)+((COUNTIF('Elève (6ème1)'!GH8:GJ11,"B"))*3)+((COUNTIF('Elève (6ème1)'!GH8:GJ11,"C"))*2)+((COUNTIF('Elève (6ème1)'!GH8:GJ11,"D"))*1))/(COUNTA(GH8:GJ11)),"")</f>
        <v>3</v>
      </c>
      <c r="GL7" s="107" t="str">
        <f t="shared" si="44"/>
        <v>B</v>
      </c>
      <c r="GM7" s="100"/>
      <c r="GN7" s="187"/>
      <c r="GO7" s="188"/>
      <c r="GP7" s="106" t="str">
        <f>IFERROR((((COUNTIF('Elève (6ème1)'!GM8:GO11,"A"))*4)+((COUNTIF('Elève (6ème1)'!GM8:GO11,"B"))*3)+((COUNTIF('Elève (6ème1)'!GM8:GO11,"C"))*2)+((COUNTIF('Elève (6ème1)'!GM8:GO11,"D"))*1))/(COUNTA(GM8:GO11)),"")</f>
        <v/>
      </c>
      <c r="GQ7" s="121" t="str">
        <f t="shared" si="45"/>
        <v/>
      </c>
      <c r="GR7" s="100"/>
      <c r="GS7" s="187"/>
      <c r="GT7" s="188"/>
      <c r="GU7" s="106" t="str">
        <f>IFERROR((((COUNTIF('Elève (6ème1)'!GR8:GT11,"A"))*4)+((COUNTIF('Elève (6ème1)'!GR8:GT11,"B"))*3)+((COUNTIF('Elève (6ème1)'!GR8:GT11,"C"))*2)+((COUNTIF('Elève (6ème1)'!GR8:GT11,"D"))*1))/(COUNTA(GR8:GT11)),"")</f>
        <v/>
      </c>
      <c r="GV7" s="128" t="str">
        <f t="shared" si="46"/>
        <v/>
      </c>
      <c r="GW7" s="177">
        <f>IFERROR((((COUNTIF(GH8:GJ11,"A")+COUNTIF(GM8:GO11,"A")+COUNTIF(GR8:GT11,"A"))*4)+((COUNTIF(GH8:GJ11,"B")+COUNTIF(GM8:GO11,"B")+COUNTIF(GR8:GT11,"B"))*3)+((COUNTIF(GH8:GJ11,"C")+COUNTIF(GM8:GO11,"C")+COUNTIF(GR8:GT11,"C"))*2)+((COUNTIF(GH8:GJ11,"D")+COUNTIF(GM8:GO11,"D")+COUNTIF(GR8:GT11,"D"))*1))/(COUNTA(GH8:GJ11)+COUNTA(GM8:GO11)+COUNTA(GR8:GT11)),"")</f>
        <v>3</v>
      </c>
      <c r="GX7" s="130" t="str">
        <f t="shared" si="47"/>
        <v>B</v>
      </c>
      <c r="GY7" s="162"/>
      <c r="GZ7" s="189"/>
      <c r="HA7" s="189"/>
      <c r="HB7" s="106">
        <f>IFERROR((((COUNTIF('Elève (6ème1)'!GY8:HA11,"A"))*4)+((COUNTIF('Elève (6ème1)'!GY8:HA11,"B"))*3)+((COUNTIF('Elève (6ème1)'!GY8:HA11,"C"))*2)+((COUNTIF('Elève (6ème1)'!GY8:HA11,"D"))*1))/(COUNTA(GY8:HA11)),"")</f>
        <v>3</v>
      </c>
      <c r="HC7" s="107" t="str">
        <f t="shared" si="48"/>
        <v>B</v>
      </c>
      <c r="HD7" s="100"/>
      <c r="HE7" s="187"/>
      <c r="HF7" s="188"/>
      <c r="HG7" s="106" t="str">
        <f>IFERROR((((COUNTIF('Elève (6ème1)'!HD8:HF11,"A"))*4)+((COUNTIF('Elève (6ème1)'!HD8:HF11,"B"))*3)+((COUNTIF('Elève (6ème1)'!HD8:HF11,"C"))*2)+((COUNTIF('Elève (6ème1)'!HD8:HF11,"D"))*1))/(COUNTA(HD8:HF11)),"")</f>
        <v/>
      </c>
      <c r="HH7" s="121" t="str">
        <f t="shared" si="49"/>
        <v/>
      </c>
      <c r="HI7" s="100"/>
      <c r="HJ7" s="187"/>
      <c r="HK7" s="188"/>
      <c r="HL7" s="106" t="str">
        <f>IFERROR((((COUNTIF('Elève (6ème1)'!HI8:HK11,"A"))*4)+((COUNTIF('Elève (6ème1)'!HI8:HK11,"B"))*3)+((COUNTIF('Elève (6ème1)'!HI8:HK11,"C"))*2)+((COUNTIF('Elève (6ème1)'!HI8:HK11,"D"))*1))/(COUNTA(HI8:HK11)),"")</f>
        <v/>
      </c>
      <c r="HM7" s="128" t="str">
        <f t="shared" si="50"/>
        <v/>
      </c>
      <c r="HN7" s="177">
        <f>IFERROR((((COUNTIF(GY8:HA11,"A")+COUNTIF(HD8:HF11,"A")+COUNTIF(HI8:HK11,"A"))*4)+((COUNTIF(GY8:HA11,"B")+COUNTIF(HD8:HF11,"B")+COUNTIF(HI8:HK11,"B"))*3)+((COUNTIF(GY8:HA11,"C")+COUNTIF(HD8:HF11,"C")+COUNTIF(HI8:HK11,"C"))*2)+((COUNTIF(GY8:HA11,"D")+COUNTIF(HD8:HF11,"D")+COUNTIF(HI8:HK11,"D"))*1))/(COUNTA(GY8:HA11)+COUNTA(HD8:HF11)+COUNTA(HI8:HK11)),"")</f>
        <v>3</v>
      </c>
      <c r="HO7" s="130" t="str">
        <f t="shared" si="51"/>
        <v>B</v>
      </c>
      <c r="HP7" s="162"/>
      <c r="HQ7" s="189"/>
      <c r="HR7" s="189"/>
      <c r="HS7" s="106">
        <f>IFERROR((((COUNTIF('Elève (6ème1)'!HP8:HR11,"A"))*4)+((COUNTIF('Elève (6ème1)'!HP8:HR11,"B"))*3)+((COUNTIF('Elève (6ème1)'!HP8:HR11,"C"))*2)+((COUNTIF('Elève (6ème1)'!HP8:HR11,"D"))*1))/(COUNTA(HP8:HR11)),"")</f>
        <v>3</v>
      </c>
      <c r="HT7" s="107" t="str">
        <f t="shared" si="52"/>
        <v>B</v>
      </c>
      <c r="HU7" s="100"/>
      <c r="HV7" s="187"/>
      <c r="HW7" s="188"/>
      <c r="HX7" s="106" t="str">
        <f>IFERROR((((COUNTIF('Elève (6ème1)'!HU8:HW11,"A"))*4)+((COUNTIF('Elève (6ème1)'!HU8:HW11,"B"))*3)+((COUNTIF('Elève (6ème1)'!HU8:HW11,"C"))*2)+((COUNTIF('Elève (6ème1)'!HU8:HW11,"D"))*1))/(COUNTA(HU8:HW11)),"")</f>
        <v/>
      </c>
      <c r="HY7" s="121" t="str">
        <f t="shared" si="53"/>
        <v/>
      </c>
      <c r="HZ7" s="100"/>
      <c r="IA7" s="187"/>
      <c r="IB7" s="188"/>
      <c r="IC7" s="106" t="str">
        <f>IFERROR((((COUNTIF('Elève (6ème1)'!HZ8:IB11,"A"))*4)+((COUNTIF('Elève (6ème1)'!HZ8:IB11,"B"))*3)+((COUNTIF('Elève (6ème1)'!HZ8:IB11,"C"))*2)+((COUNTIF('Elève (6ème1)'!HZ8:IB11,"D"))*1))/(COUNTA(HZ8:IB11)),"")</f>
        <v/>
      </c>
      <c r="ID7" s="128" t="str">
        <f t="shared" si="54"/>
        <v/>
      </c>
      <c r="IE7" s="177">
        <f>IFERROR((((COUNTIF(HP8:HR11,"A")+COUNTIF(HU8:HW11,"A")+COUNTIF(HZ8:IB11,"A"))*4)+((COUNTIF(HP8:HR11,"B")+COUNTIF(HU8:HW11,"B")+COUNTIF(HZ8:IB11,"B"))*3)+((COUNTIF(HP8:HR11,"C")+COUNTIF(HU8:HW11,"C")+COUNTIF(HZ8:IB11,"C"))*2)+((COUNTIF(HP8:HR11,"D")+COUNTIF(HU8:HW11,"D")+COUNTIF(HZ8:IB11,"D"))*1))/(COUNTA(HP8:HR11)+COUNTA(HU8:HW11)+COUNTA(HZ8:IB11)),"")</f>
        <v>3</v>
      </c>
      <c r="IF7" s="130" t="str">
        <f t="shared" si="55"/>
        <v>B</v>
      </c>
      <c r="IG7" s="162"/>
      <c r="IH7" s="189"/>
      <c r="II7" s="189"/>
      <c r="IJ7" s="106">
        <f>IFERROR((((COUNTIF('Elève (6ème1)'!IG8:II11,"A"))*4)+((COUNTIF('Elève (6ème1)'!IG8:II11,"B"))*3)+((COUNTIF('Elève (6ème1)'!IG8:II11,"C"))*2)+((COUNTIF('Elève (6ème1)'!IG8:II11,"D"))*1))/(COUNTA(IG8:II11)),"")</f>
        <v>3.5</v>
      </c>
      <c r="IK7" s="107" t="str">
        <f t="shared" si="56"/>
        <v>B</v>
      </c>
      <c r="IL7" s="100"/>
      <c r="IM7" s="187"/>
      <c r="IN7" s="188"/>
      <c r="IO7" s="106" t="str">
        <f>IFERROR((((COUNTIF('Elève (6ème1)'!IL8:IN11,"A"))*4)+((COUNTIF('Elève (6ème1)'!IL8:IN11,"B"))*3)+((COUNTIF('Elève (6ème1)'!IL8:IN11,"C"))*2)+((COUNTIF('Elève (6ème1)'!IL8:IN11,"D"))*1))/(COUNTA(IL8:IN11)),"")</f>
        <v/>
      </c>
      <c r="IP7" s="121" t="str">
        <f t="shared" si="57"/>
        <v/>
      </c>
      <c r="IQ7" s="100"/>
      <c r="IR7" s="187"/>
      <c r="IS7" s="188"/>
      <c r="IT7" s="106" t="str">
        <f>IFERROR((((COUNTIF('Elève (6ème1)'!IQ8:IS11,"A"))*4)+((COUNTIF('Elève (6ème1)'!IQ8:IS11,"B"))*3)+((COUNTIF('Elève (6ème1)'!IQ8:IS11,"C"))*2)+((COUNTIF('Elève (6ème1)'!IQ8:IS11,"D"))*1))/(COUNTA(IQ8:IS11)),"")</f>
        <v/>
      </c>
      <c r="IU7" s="128" t="str">
        <f t="shared" si="58"/>
        <v/>
      </c>
      <c r="IV7" s="177">
        <f>IFERROR((((COUNTIF(IG8:II11,"A")+COUNTIF(IL8:IN11,"A")+COUNTIF(IQ8:IS11,"A"))*4)+((COUNTIF(IG8:II11,"B")+COUNTIF(IL8:IN11,"B")+COUNTIF(IQ8:IS11,"B"))*3)+((COUNTIF(IG8:II11,"C")+COUNTIF(IL8:IN11,"C")+COUNTIF(IQ8:IS11,"C"))*2)+((COUNTIF(IG8:II11,"D")+COUNTIF(IL8:IN11,"D")+COUNTIF(IQ8:IS11,"D"))*1))/(COUNTA(IG8:II11)+COUNTA(IL8:IN11)+COUNTA(IQ8:IS11)),"")</f>
        <v>3.5</v>
      </c>
      <c r="IW7" s="130" t="str">
        <f t="shared" si="59"/>
        <v>B</v>
      </c>
      <c r="IX7" s="162"/>
      <c r="IY7" s="189"/>
      <c r="IZ7" s="189"/>
      <c r="JA7" s="106">
        <f>IFERROR((((COUNTIF('Elève (6ème1)'!IX8:IZ11,"A"))*4)+((COUNTIF('Elève (6ème1)'!IX8:IZ11,"B"))*3)+((COUNTIF('Elève (6ème1)'!IX8:IZ11,"C"))*2)+((COUNTIF('Elève (6ème1)'!IX8:IZ11,"D"))*1))/(COUNTA(IX8:IZ11)),"")</f>
        <v>3.5</v>
      </c>
      <c r="JB7" s="107" t="str">
        <f t="shared" si="60"/>
        <v>B</v>
      </c>
      <c r="JC7" s="100"/>
      <c r="JD7" s="187"/>
      <c r="JE7" s="188"/>
      <c r="JF7" s="106" t="str">
        <f>IFERROR((((COUNTIF('Elève (6ème1)'!JC8:JE11,"A"))*4)+((COUNTIF('Elève (6ème1)'!JC8:JE11,"B"))*3)+((COUNTIF('Elève (6ème1)'!JC8:JE11,"C"))*2)+((COUNTIF('Elève (6ème1)'!JC8:JE11,"D"))*1))/(COUNTA(JC8:JE11)),"")</f>
        <v/>
      </c>
      <c r="JG7" s="121" t="str">
        <f t="shared" si="61"/>
        <v/>
      </c>
      <c r="JH7" s="100"/>
      <c r="JI7" s="187"/>
      <c r="JJ7" s="188"/>
      <c r="JK7" s="106" t="str">
        <f>IFERROR((((COUNTIF('Elève (6ème1)'!JH8:JJ11,"A"))*4)+((COUNTIF('Elève (6ème1)'!JH8:JJ11,"B"))*3)+((COUNTIF('Elève (6ème1)'!JH8:JJ11,"C"))*2)+((COUNTIF('Elève (6ème1)'!JH8:JJ11,"D"))*1))/(COUNTA(JH8:JJ11)),"")</f>
        <v/>
      </c>
      <c r="JL7" s="128" t="str">
        <f t="shared" si="62"/>
        <v/>
      </c>
      <c r="JM7" s="177">
        <f>IFERROR((((COUNTIF(IX8:IZ11,"A")+COUNTIF(JC8:JE11,"A")+COUNTIF(JH8:JJ11,"A"))*4)+((COUNTIF(IX8:IZ11,"B")+COUNTIF(JC8:JE11,"B")+COUNTIF(JH8:JJ11,"B"))*3)+((COUNTIF(IX8:IZ11,"C")+COUNTIF(JC8:JE11,"C")+COUNTIF(JH8:JJ11,"C"))*2)+((COUNTIF(IX8:IZ11,"D")+COUNTIF(JC8:JE11,"D")+COUNTIF(JH8:JJ11,"D"))*1))/(COUNTA(IX8:IZ11)+COUNTA(JC8:JE11)+COUNTA(JH8:JJ11)),"")</f>
        <v>3.5</v>
      </c>
      <c r="JN7" s="130" t="str">
        <f t="shared" si="63"/>
        <v>B</v>
      </c>
      <c r="JO7" s="162"/>
      <c r="JP7" s="189"/>
      <c r="JQ7" s="189"/>
      <c r="JR7" s="106">
        <f>IFERROR((((COUNTIF('Elève (6ème1)'!JO8:JQ11,"A"))*4)+((COUNTIF('Elève (6ème1)'!JO8:JQ11,"B"))*3)+((COUNTIF('Elève (6ème1)'!JO8:JQ11,"C"))*2)+((COUNTIF('Elève (6ème1)'!JO8:JQ11,"D"))*1))/(COUNTA(JO8:JQ11)),"")</f>
        <v>3.5</v>
      </c>
      <c r="JS7" s="107" t="str">
        <f t="shared" si="64"/>
        <v>B</v>
      </c>
      <c r="JT7" s="100"/>
      <c r="JU7" s="187"/>
      <c r="JV7" s="188"/>
      <c r="JW7" s="106" t="str">
        <f>IFERROR((((COUNTIF('Elève (6ème1)'!JT8:JV11,"A"))*4)+((COUNTIF('Elève (6ème1)'!JT8:JV11,"B"))*3)+((COUNTIF('Elève (6ème1)'!JT8:JV11,"C"))*2)+((COUNTIF('Elève (6ème1)'!JT8:JV11,"D"))*1))/(COUNTA(JT8:JV11)),"")</f>
        <v/>
      </c>
      <c r="JX7" s="121" t="str">
        <f t="shared" si="65"/>
        <v/>
      </c>
      <c r="JY7" s="100"/>
      <c r="JZ7" s="187"/>
      <c r="KA7" s="188"/>
      <c r="KB7" s="106" t="str">
        <f>IFERROR((((COUNTIF('Elève (6ème1)'!JY8:KA11,"A"))*4)+((COUNTIF('Elève (6ème1)'!JY8:KA11,"B"))*3)+((COUNTIF('Elève (6ème1)'!JY8:KA11,"C"))*2)+((COUNTIF('Elève (6ème1)'!JY8:KA11,"D"))*1))/(COUNTA(JY8:KA11)),"")</f>
        <v/>
      </c>
      <c r="KC7" s="128" t="str">
        <f t="shared" si="66"/>
        <v/>
      </c>
      <c r="KD7" s="177">
        <f>IFERROR((((COUNTIF(JO8:JQ11,"A")+COUNTIF(JT8:JV11,"A")+COUNTIF(JY8:KA11,"A"))*4)+((COUNTIF(JO8:JQ11,"B")+COUNTIF(JT8:JV11,"B")+COUNTIF(JY8:KA11,"B"))*3)+((COUNTIF(JO8:JQ11,"C")+COUNTIF(JT8:JV11,"C")+COUNTIF(JY8:KA11,"C"))*2)+((COUNTIF(JO8:JQ11,"D")+COUNTIF(JT8:JV11,"D")+COUNTIF(JY8:KA11,"D"))*1))/(COUNTA(JO8:JQ11)+COUNTA(JT8:JV11)+COUNTA(JY8:KA11)),"")</f>
        <v>3.5</v>
      </c>
      <c r="KE7" s="130" t="str">
        <f t="shared" si="67"/>
        <v>B</v>
      </c>
      <c r="KF7" s="162"/>
      <c r="KG7" s="189"/>
      <c r="KH7" s="189"/>
      <c r="KI7" s="106">
        <f>IFERROR((((COUNTIF('Elève (6ème1)'!KF8:KH11,"A"))*4)+((COUNTIF('Elève (6ème1)'!KF8:KH11,"B"))*3)+((COUNTIF('Elève (6ème1)'!KF8:KH11,"C"))*2)+((COUNTIF('Elève (6ème1)'!KF8:KH11,"D"))*1))/(COUNTA(KF8:KH11)),"")</f>
        <v>3</v>
      </c>
      <c r="KJ7" s="107" t="str">
        <f t="shared" si="68"/>
        <v>B</v>
      </c>
      <c r="KK7" s="100"/>
      <c r="KL7" s="187"/>
      <c r="KM7" s="188"/>
      <c r="KN7" s="106" t="str">
        <f>IFERROR((((COUNTIF('Elève (6ème1)'!KK8:KM11,"A"))*4)+((COUNTIF('Elève (6ème1)'!KK8:KM11,"B"))*3)+((COUNTIF('Elève (6ème1)'!KK8:KM11,"C"))*2)+((COUNTIF('Elève (6ème1)'!KK8:KM11,"D"))*1))/(COUNTA(KK8:KM11)),"")</f>
        <v/>
      </c>
      <c r="KO7" s="121" t="str">
        <f t="shared" si="69"/>
        <v/>
      </c>
      <c r="KP7" s="100"/>
      <c r="KQ7" s="187"/>
      <c r="KR7" s="188"/>
      <c r="KS7" s="106" t="str">
        <f>IFERROR((((COUNTIF('Elève (6ème1)'!KP8:KR11,"A"))*4)+((COUNTIF('Elève (6ème1)'!KP8:KR11,"B"))*3)+((COUNTIF('Elève (6ème1)'!KP8:KR11,"C"))*2)+((COUNTIF('Elève (6ème1)'!KP8:KR11,"D"))*1))/(COUNTA(KP8:KR11)),"")</f>
        <v/>
      </c>
      <c r="KT7" s="128" t="str">
        <f t="shared" si="70"/>
        <v/>
      </c>
      <c r="KU7" s="177">
        <f>IFERROR((((COUNTIF(KF8:KH11,"A")+COUNTIF(KK8:KM11,"A")+COUNTIF(KP8:KR11,"A"))*4)+((COUNTIF(KF8:KH11,"B")+COUNTIF(KK8:KM11,"B")+COUNTIF(KP8:KR11,"B"))*3)+((COUNTIF(KF8:KH11,"C")+COUNTIF(KK8:KM11,"C")+COUNTIF(KP8:KR11,"C"))*2)+((COUNTIF(KF8:KH11,"D")+COUNTIF(KK8:KM11,"D")+COUNTIF(KP8:KR11,"D"))*1))/(COUNTA(KF8:KH11)+COUNTA(KK8:KM11)+COUNTA(KP8:KR11)),"")</f>
        <v>3</v>
      </c>
      <c r="KV7" s="130" t="str">
        <f t="shared" si="71"/>
        <v>B</v>
      </c>
      <c r="KW7" s="162"/>
      <c r="KX7" s="189"/>
      <c r="KY7" s="189"/>
      <c r="KZ7" s="106">
        <f>IFERROR((((COUNTIF('Elève (6ème1)'!KW8:KY11,"A"))*4)+((COUNTIF('Elève (6ème1)'!KW8:KY11,"B"))*3)+((COUNTIF('Elève (6ème1)'!KW8:KY11,"C"))*2)+((COUNTIF('Elève (6ème1)'!KW8:KY11,"D"))*1))/(COUNTA(KW8:KY11)),"")</f>
        <v>2</v>
      </c>
      <c r="LA7" s="107" t="str">
        <f t="shared" si="72"/>
        <v>C</v>
      </c>
      <c r="LB7" s="100"/>
      <c r="LC7" s="187"/>
      <c r="LD7" s="188"/>
      <c r="LE7" s="106" t="str">
        <f>IFERROR((((COUNTIF('Elève (6ème1)'!LB8:LD11,"A"))*4)+((COUNTIF('Elève (6ème1)'!LB8:LD11,"B"))*3)+((COUNTIF('Elève (6ème1)'!LB8:LD11,"C"))*2)+((COUNTIF('Elève (6ème1)'!LB8:LD11,"D"))*1))/(COUNTA(LB8:LD11)),"")</f>
        <v/>
      </c>
      <c r="LF7" s="121" t="str">
        <f t="shared" si="73"/>
        <v/>
      </c>
      <c r="LG7" s="100"/>
      <c r="LH7" s="187"/>
      <c r="LI7" s="188"/>
      <c r="LJ7" s="106" t="str">
        <f>IFERROR((((COUNTIF('Elève (6ème1)'!LG8:LI11,"A"))*4)+((COUNTIF('Elève (6ème1)'!LG8:LI11,"B"))*3)+((COUNTIF('Elève (6ème1)'!LG8:LI11,"C"))*2)+((COUNTIF('Elève (6ème1)'!LG8:LI11,"D"))*1))/(COUNTA(LG8:LI11)),"")</f>
        <v/>
      </c>
      <c r="LK7" s="128" t="str">
        <f t="shared" si="74"/>
        <v/>
      </c>
      <c r="LL7" s="177">
        <f>IFERROR((((COUNTIF(KW8:KY11,"A")+COUNTIF(LB8:LD11,"A")+COUNTIF(LG8:LI11,"A"))*4)+((COUNTIF(KW8:KY11,"B")+COUNTIF(LB8:LD11,"B")+COUNTIF(LG8:LI11,"B"))*3)+((COUNTIF(KW8:KY11,"C")+COUNTIF(LB8:LD11,"C")+COUNTIF(LG8:LI11,"C"))*2)+((COUNTIF(KW8:KY11,"D")+COUNTIF(LB8:LD11,"D")+COUNTIF(LG8:LI11,"D"))*1))/(COUNTA(KW8:KY11)+COUNTA(LB8:LD11)+COUNTA(LG8:LI11)),"")</f>
        <v>2</v>
      </c>
      <c r="LM7" s="130" t="str">
        <f t="shared" si="75"/>
        <v>C</v>
      </c>
      <c r="LN7" s="162"/>
      <c r="LO7" s="189"/>
      <c r="LP7" s="189"/>
      <c r="LQ7" s="106">
        <f>IFERROR((((COUNTIF('Elève (6ème1)'!LN8:LP11,"A"))*4)+((COUNTIF('Elève (6ème1)'!LN8:LP11,"B"))*3)+((COUNTIF('Elève (6ème1)'!LN8:LP11,"C"))*2)+((COUNTIF('Elève (6ème1)'!LN8:LP11,"D"))*1))/(COUNTA(LN8:LP11)),"")</f>
        <v>4</v>
      </c>
      <c r="LR7" s="107" t="str">
        <f t="shared" si="76"/>
        <v>A</v>
      </c>
      <c r="LS7" s="100"/>
      <c r="LT7" s="187"/>
      <c r="LU7" s="188"/>
      <c r="LV7" s="106" t="str">
        <f>IFERROR((((COUNTIF('Elève (6ème1)'!LS8:LU11,"A"))*4)+((COUNTIF('Elève (6ème1)'!LS8:LU11,"B"))*3)+((COUNTIF('Elève (6ème1)'!LS8:LU11,"C"))*2)+((COUNTIF('Elève (6ème1)'!LS8:LU11,"D"))*1))/(COUNTA(LS8:LU11)),"")</f>
        <v/>
      </c>
      <c r="LW7" s="121" t="str">
        <f t="shared" si="77"/>
        <v/>
      </c>
      <c r="LX7" s="100"/>
      <c r="LY7" s="187"/>
      <c r="LZ7" s="188"/>
      <c r="MA7" s="106" t="str">
        <f>IFERROR((((COUNTIF('Elève (6ème1)'!LX8:LZ11,"A"))*4)+((COUNTIF('Elève (6ème1)'!LX8:LZ11,"B"))*3)+((COUNTIF('Elève (6ème1)'!LX8:LZ11,"C"))*2)+((COUNTIF('Elève (6ème1)'!LX8:LZ11,"D"))*1))/(COUNTA(LX8:LZ11)),"")</f>
        <v/>
      </c>
      <c r="MB7" s="128" t="str">
        <f t="shared" si="78"/>
        <v/>
      </c>
      <c r="MC7" s="177">
        <f>IFERROR((((COUNTIF(LN8:LP11,"A")+COUNTIF(LS8:LU11,"A")+COUNTIF(LX8:LZ11,"A"))*4)+((COUNTIF(LN8:LP11,"B")+COUNTIF(LS8:LU11,"B")+COUNTIF(LX8:LZ11,"B"))*3)+((COUNTIF(LN8:LP11,"C")+COUNTIF(LS8:LU11,"C")+COUNTIF(LX8:LZ11,"C"))*2)+((COUNTIF(LN8:LP11,"D")+COUNTIF(LS8:LU11,"D")+COUNTIF(LX8:LZ11,"D"))*1))/(COUNTA(LN8:LP11)+COUNTA(LS8:LU11)+COUNTA(LX8:LZ11)),"")</f>
        <v>4</v>
      </c>
      <c r="MD7" s="130" t="str">
        <f t="shared" si="79"/>
        <v>A</v>
      </c>
      <c r="ME7" s="162"/>
      <c r="MF7" s="189"/>
      <c r="MG7" s="189"/>
      <c r="MH7" s="106">
        <f>IFERROR((((COUNTIF('Elève (6ème1)'!ME8:MG11,"A"))*4)+((COUNTIF('Elève (6ème1)'!ME8:MG11,"B"))*3)+((COUNTIF('Elève (6ème1)'!ME8:MG11,"C"))*2)+((COUNTIF('Elève (6ème1)'!ME8:MG11,"D"))*1))/(COUNTA(ME8:MG11)),"")</f>
        <v>2.5</v>
      </c>
      <c r="MI7" s="107" t="str">
        <f t="shared" si="80"/>
        <v>C</v>
      </c>
      <c r="MJ7" s="100"/>
      <c r="MK7" s="187"/>
      <c r="ML7" s="188"/>
      <c r="MM7" s="106" t="str">
        <f>IFERROR((((COUNTIF('Elève (6ème1)'!MJ8:ML11,"A"))*4)+((COUNTIF('Elève (6ème1)'!MJ8:ML11,"B"))*3)+((COUNTIF('Elève (6ème1)'!MJ8:ML11,"C"))*2)+((COUNTIF('Elève (6ème1)'!MJ8:ML11,"D"))*1))/(COUNTA(MJ8:ML11)),"")</f>
        <v/>
      </c>
      <c r="MN7" s="121" t="str">
        <f t="shared" si="81"/>
        <v/>
      </c>
      <c r="MO7" s="100"/>
      <c r="MP7" s="187"/>
      <c r="MQ7" s="188"/>
      <c r="MR7" s="106" t="str">
        <f>IFERROR((((COUNTIF('Elève (6ème1)'!MO8:MQ11,"A"))*4)+((COUNTIF('Elève (6ème1)'!MO8:MQ11,"B"))*3)+((COUNTIF('Elève (6ème1)'!MO8:MQ11,"C"))*2)+((COUNTIF('Elève (6ème1)'!MO8:MQ11,"D"))*1))/(COUNTA(MO8:MQ11)),"")</f>
        <v/>
      </c>
      <c r="MS7" s="128" t="str">
        <f t="shared" si="82"/>
        <v/>
      </c>
      <c r="MT7" s="177">
        <f>IFERROR((((COUNTIF(ME8:MG11,"A")+COUNTIF(MJ8:ML11,"A")+COUNTIF(MO8:MQ11,"A"))*4)+((COUNTIF(ME8:MG11,"B")+COUNTIF(MJ8:ML11,"B")+COUNTIF(MO8:MQ11,"B"))*3)+((COUNTIF(ME8:MG11,"C")+COUNTIF(MJ8:ML11,"C")+COUNTIF(MO8:MQ11,"C"))*2)+((COUNTIF(ME8:MG11,"D")+COUNTIF(MJ8:ML11,"D")+COUNTIF(MO8:MQ11,"D"))*1))/(COUNTA(ME8:MG11)+COUNTA(MJ8:ML11)+COUNTA(MO8:MQ11)),"")</f>
        <v>2.5</v>
      </c>
      <c r="MU7" s="130" t="str">
        <f t="shared" si="83"/>
        <v>C</v>
      </c>
      <c r="MV7" s="162"/>
      <c r="MW7" s="189"/>
      <c r="MX7" s="189"/>
      <c r="MY7" s="106">
        <f>IFERROR((((COUNTIF('Elève (6ème1)'!MV8:MX11,"A"))*4)+((COUNTIF('Elève (6ème1)'!MV8:MX11,"B"))*3)+((COUNTIF('Elève (6ème1)'!MV8:MX11,"C"))*2)+((COUNTIF('Elève (6ème1)'!MV8:MX11,"D"))*1))/(COUNTA(MV8:MX11)),"")</f>
        <v>3</v>
      </c>
      <c r="MZ7" s="107" t="str">
        <f t="shared" si="84"/>
        <v>B</v>
      </c>
      <c r="NA7" s="100"/>
      <c r="NB7" s="187"/>
      <c r="NC7" s="188"/>
      <c r="ND7" s="106" t="str">
        <f>IFERROR((((COUNTIF('Elève (6ème1)'!NA8:NC11,"A"))*4)+((COUNTIF('Elève (6ème1)'!NA8:NC11,"B"))*3)+((COUNTIF('Elève (6ème1)'!NA8:NC11,"C"))*2)+((COUNTIF('Elève (6ème1)'!NA8:NC11,"D"))*1))/(COUNTA(NA8:NC11)),"")</f>
        <v/>
      </c>
      <c r="NE7" s="121" t="str">
        <f t="shared" si="85"/>
        <v/>
      </c>
      <c r="NF7" s="100"/>
      <c r="NG7" s="187"/>
      <c r="NH7" s="188"/>
      <c r="NI7" s="106" t="str">
        <f>IFERROR((((COUNTIF('Elève (6ème1)'!NF8:NH11,"A"))*4)+((COUNTIF('Elève (6ème1)'!NF8:NH11,"B"))*3)+((COUNTIF('Elève (6ème1)'!NF8:NH11,"C"))*2)+((COUNTIF('Elève (6ème1)'!NF8:NH11,"D"))*1))/(COUNTA(NF8:NH11)),"")</f>
        <v/>
      </c>
      <c r="NJ7" s="128" t="str">
        <f t="shared" si="86"/>
        <v/>
      </c>
      <c r="NK7" s="177">
        <f>IFERROR((((COUNTIF(MV8:MX11,"A")+COUNTIF(NA8:NC11,"A")+COUNTIF(NF8:NH11,"A"))*4)+((COUNTIF(MV8:MX11,"B")+COUNTIF(NA8:NC11,"B")+COUNTIF(NF8:NH11,"B"))*3)+((COUNTIF(MV8:MX11,"C")+COUNTIF(NA8:NC11,"C")+COUNTIF(NF8:NH11,"C"))*2)+((COUNTIF(MV8:MX11,"D")+COUNTIF(NA8:NC11,"D")+COUNTIF(NF8:NH11,"D"))*1))/(COUNTA(MV8:MX11)+COUNTA(NA8:NC11)+COUNTA(NF8:NH11)),"")</f>
        <v>3</v>
      </c>
      <c r="NL7" s="130" t="str">
        <f t="shared" si="87"/>
        <v>B</v>
      </c>
      <c r="NM7" s="162"/>
      <c r="NN7" s="189"/>
      <c r="NO7" s="189"/>
      <c r="NP7" s="106">
        <f>IFERROR((((COUNTIF('Elève (6ème1)'!NM8:NO11,"A"))*4)+((COUNTIF('Elève (6ème1)'!NM8:NO11,"B"))*3)+((COUNTIF('Elève (6ème1)'!NM8:NO11,"C"))*2)+((COUNTIF('Elève (6ème1)'!NM8:NO11,"D"))*1))/(COUNTA(NM8:NO11)),"")</f>
        <v>3</v>
      </c>
      <c r="NQ7" s="107" t="str">
        <f t="shared" si="88"/>
        <v>B</v>
      </c>
      <c r="NR7" s="100"/>
      <c r="NS7" s="187"/>
      <c r="NT7" s="188"/>
      <c r="NU7" s="106" t="str">
        <f>IFERROR((((COUNTIF('Elève (6ème1)'!NR8:NT11,"A"))*4)+((COUNTIF('Elève (6ème1)'!NR8:NT11,"B"))*3)+((COUNTIF('Elève (6ème1)'!NR8:NT11,"C"))*2)+((COUNTIF('Elève (6ème1)'!NR8:NT11,"D"))*1))/(COUNTA(NR8:NT11)),"")</f>
        <v/>
      </c>
      <c r="NV7" s="121" t="str">
        <f t="shared" si="89"/>
        <v/>
      </c>
      <c r="NW7" s="100"/>
      <c r="NX7" s="187"/>
      <c r="NY7" s="188"/>
      <c r="NZ7" s="106" t="str">
        <f>IFERROR((((COUNTIF('Elève (6ème1)'!NW8:NY11,"A"))*4)+((COUNTIF('Elève (6ème1)'!NW8:NY11,"B"))*3)+((COUNTIF('Elève (6ème1)'!NW8:NY11,"C"))*2)+((COUNTIF('Elève (6ème1)'!NW8:NY11,"D"))*1))/(COUNTA(NW8:NY11)),"")</f>
        <v/>
      </c>
      <c r="OA7" s="128" t="str">
        <f t="shared" si="90"/>
        <v/>
      </c>
      <c r="OB7" s="177">
        <f>IFERROR((((COUNTIF(NM8:NO11,"A")+COUNTIF(NR8:NT11,"A")+COUNTIF(NW8:NY11,"A"))*4)+((COUNTIF(NM8:NO11,"B")+COUNTIF(NR8:NT11,"B")+COUNTIF(NW8:NY11,"B"))*3)+((COUNTIF(NM8:NO11,"C")+COUNTIF(NR8:NT11,"C")+COUNTIF(NW8:NY11,"C"))*2)+((COUNTIF(NM8:NO11,"D")+COUNTIF(NR8:NT11,"D")+COUNTIF(NW8:NY11,"D"))*1))/(COUNTA(NM8:NO11)+COUNTA(NR8:NT11)+COUNTA(NW8:NY11)),"")</f>
        <v>3</v>
      </c>
      <c r="OC7" s="130" t="str">
        <f t="shared" si="91"/>
        <v>B</v>
      </c>
      <c r="OD7" s="162"/>
      <c r="OE7" s="189"/>
      <c r="OF7" s="189"/>
      <c r="OG7" s="106">
        <f>IFERROR((((COUNTIF('Elève (6ème1)'!OD8:OF11,"A"))*4)+((COUNTIF('Elève (6ème1)'!OD8:OF11,"B"))*3)+((COUNTIF('Elève (6ème1)'!OD8:OF11,"C"))*2)+((COUNTIF('Elève (6ème1)'!OD8:OF11,"D"))*1))/(COUNTA(OD8:OF11)),"")</f>
        <v>2.5</v>
      </c>
      <c r="OH7" s="107" t="str">
        <f t="shared" si="92"/>
        <v>C</v>
      </c>
      <c r="OI7" s="100"/>
      <c r="OJ7" s="187"/>
      <c r="OK7" s="188"/>
      <c r="OL7" s="106" t="str">
        <f>IFERROR((((COUNTIF('Elève (6ème1)'!OI8:OK11,"A"))*4)+((COUNTIF('Elève (6ème1)'!OI8:OK11,"B"))*3)+((COUNTIF('Elève (6ème1)'!OI8:OK11,"C"))*2)+((COUNTIF('Elève (6ème1)'!OI8:OK11,"D"))*1))/(COUNTA(OI8:OK11)),"")</f>
        <v/>
      </c>
      <c r="OM7" s="121" t="str">
        <f t="shared" si="93"/>
        <v/>
      </c>
      <c r="ON7" s="100"/>
      <c r="OO7" s="187"/>
      <c r="OP7" s="188"/>
      <c r="OQ7" s="106" t="str">
        <f>IFERROR((((COUNTIF('Elève (6ème1)'!ON8:OP11,"A"))*4)+((COUNTIF('Elève (6ème1)'!ON8:OP11,"B"))*3)+((COUNTIF('Elève (6ème1)'!ON8:OP11,"C"))*2)+((COUNTIF('Elève (6ème1)'!ON8:OP11,"D"))*1))/(COUNTA(ON8:OP11)),"")</f>
        <v/>
      </c>
      <c r="OR7" s="128" t="str">
        <f t="shared" si="94"/>
        <v/>
      </c>
      <c r="OS7" s="177">
        <f>IFERROR((((COUNTIF(OD8:OF11,"A")+COUNTIF(OI8:OK11,"A")+COUNTIF(ON8:OP11,"A"))*4)+((COUNTIF(OD8:OF11,"B")+COUNTIF(OI8:OK11,"B")+COUNTIF(ON8:OP11,"B"))*3)+((COUNTIF(OD8:OF11,"C")+COUNTIF(OI8:OK11,"C")+COUNTIF(ON8:OP11,"C"))*2)+((COUNTIF(OD8:OF11,"D")+COUNTIF(OI8:OK11,"D")+COUNTIF(ON8:OP11,"D"))*1))/(COUNTA(OD8:OF11)+COUNTA(OI8:OK11)+COUNTA(ON8:OP11)),"")</f>
        <v>2.5</v>
      </c>
      <c r="OT7" s="130" t="str">
        <f t="shared" si="95"/>
        <v>C</v>
      </c>
      <c r="OU7" s="162"/>
      <c r="OV7" s="189"/>
      <c r="OW7" s="189"/>
      <c r="OX7" s="106">
        <f>IFERROR((((COUNTIF('Elève (6ème1)'!OU8:OW11,"A"))*4)+((COUNTIF('Elève (6ème1)'!OU8:OW11,"B"))*3)+((COUNTIF('Elève (6ème1)'!OU8:OW11,"C"))*2)+((COUNTIF('Elève (6ème1)'!OU8:OW11,"D"))*1))/(COUNTA(OU8:OW11)),"")</f>
        <v>3</v>
      </c>
      <c r="OY7" s="107" t="str">
        <f t="shared" si="96"/>
        <v>B</v>
      </c>
      <c r="OZ7" s="100"/>
      <c r="PA7" s="187"/>
      <c r="PB7" s="188"/>
      <c r="PC7" s="106" t="str">
        <f>IFERROR((((COUNTIF('Elève (6ème1)'!OZ8:PB11,"A"))*4)+((COUNTIF('Elève (6ème1)'!OZ8:PB11,"B"))*3)+((COUNTIF('Elève (6ème1)'!OZ8:PB11,"C"))*2)+((COUNTIF('Elève (6ème1)'!OZ8:PB11,"D"))*1))/(COUNTA(OZ8:PB11)),"")</f>
        <v/>
      </c>
      <c r="PD7" s="121" t="str">
        <f t="shared" si="97"/>
        <v/>
      </c>
      <c r="PE7" s="100"/>
      <c r="PF7" s="187"/>
      <c r="PG7" s="188"/>
      <c r="PH7" s="106" t="str">
        <f>IFERROR((((COUNTIF('Elève (6ème1)'!PE8:PG11,"A"))*4)+((COUNTIF('Elève (6ème1)'!PE8:PG11,"B"))*3)+((COUNTIF('Elève (6ème1)'!PE8:PG11,"C"))*2)+((COUNTIF('Elève (6ème1)'!PE8:PG11,"D"))*1))/(COUNTA(PE8:PG11)),"")</f>
        <v/>
      </c>
      <c r="PI7" s="128" t="str">
        <f t="shared" si="98"/>
        <v/>
      </c>
      <c r="PJ7" s="177">
        <f>IFERROR((((COUNTIF(OU8:OW11,"A")+COUNTIF(OZ8:PB11,"A")+COUNTIF(PE8:PG11,"A"))*4)+((COUNTIF(OU8:OW11,"B")+COUNTIF(OZ8:PB11,"B")+COUNTIF(PE8:PG11,"B"))*3)+((COUNTIF(OU8:OW11,"C")+COUNTIF(OZ8:PB11,"C")+COUNTIF(PE8:PG11,"C"))*2)+((COUNTIF(OU8:OW11,"D")+COUNTIF(OZ8:PB11,"D")+COUNTIF(PE8:PG11,"D"))*1))/(COUNTA(OU8:OW11)+COUNTA(OZ8:PB11)+COUNTA(PE8:PG11)),"")</f>
        <v>3</v>
      </c>
      <c r="PK7" s="130" t="str">
        <f t="shared" si="99"/>
        <v>B</v>
      </c>
      <c r="PL7" s="162"/>
      <c r="PM7" s="189"/>
      <c r="PN7" s="189"/>
      <c r="PO7" s="106">
        <f>IFERROR((((COUNTIF('Elève (6ème1)'!PL8:PN11,"A"))*4)+((COUNTIF('Elève (6ème1)'!PL8:PN11,"B"))*3)+((COUNTIF('Elève (6ème1)'!PL8:PN11,"C"))*2)+((COUNTIF('Elève (6ème1)'!PL8:PN11,"D"))*1))/(COUNTA(PL8:PN11)),"")</f>
        <v>2</v>
      </c>
      <c r="PP7" s="107" t="str">
        <f t="shared" si="100"/>
        <v>C</v>
      </c>
      <c r="PQ7" s="100"/>
      <c r="PR7" s="187"/>
      <c r="PS7" s="188"/>
      <c r="PT7" s="106" t="str">
        <f>IFERROR((((COUNTIF('Elève (6ème1)'!PQ8:PS11,"A"))*4)+((COUNTIF('Elève (6ème1)'!PQ8:PS11,"B"))*3)+((COUNTIF('Elève (6ème1)'!PQ8:PS11,"C"))*2)+((COUNTIF('Elève (6ème1)'!PQ8:PS11,"D"))*1))/(COUNTA(PQ8:PS11)),"")</f>
        <v/>
      </c>
      <c r="PU7" s="121" t="str">
        <f t="shared" si="101"/>
        <v/>
      </c>
      <c r="PV7" s="100"/>
      <c r="PW7" s="187"/>
      <c r="PX7" s="188"/>
      <c r="PY7" s="106" t="str">
        <f>IFERROR((((COUNTIF('Elève (6ème1)'!PV8:PX11,"A"))*4)+((COUNTIF('Elève (6ème1)'!PV8:PX11,"B"))*3)+((COUNTIF('Elève (6ème1)'!PV8:PX11,"C"))*2)+((COUNTIF('Elève (6ème1)'!PV8:PX11,"D"))*1))/(COUNTA(PV8:PX11)),"")</f>
        <v/>
      </c>
      <c r="PZ7" s="128" t="str">
        <f t="shared" si="102"/>
        <v/>
      </c>
      <c r="QA7" s="177">
        <f>IFERROR((((COUNTIF(PL8:PN11,"A")+COUNTIF(PQ8:PS11,"A")+COUNTIF(PV8:PX11,"A"))*4)+((COUNTIF(PL8:PN11,"B")+COUNTIF(PQ8:PS11,"B")+COUNTIF(PV8:PX11,"B"))*3)+((COUNTIF(PL8:PN11,"C")+COUNTIF(PQ8:PS11,"C")+COUNTIF(PV8:PX11,"C"))*2)+((COUNTIF(PL8:PN11,"D")+COUNTIF(PQ8:PS11,"D")+COUNTIF(PV8:PX11,"D"))*1))/(COUNTA(PL8:PN11)+COUNTA(PQ8:PS11)+COUNTA(PV8:PX11)),"")</f>
        <v>2</v>
      </c>
      <c r="QB7" s="130" t="str">
        <f t="shared" si="103"/>
        <v>C</v>
      </c>
      <c r="QC7" s="162"/>
      <c r="QD7" s="189"/>
      <c r="QE7" s="189"/>
      <c r="QF7" s="106">
        <f>IFERROR((((COUNTIF('Elève (6ème1)'!QC8:QE11,"A"))*4)+((COUNTIF('Elève (6ème1)'!QC8:QE11,"B"))*3)+((COUNTIF('Elève (6ème1)'!QC8:QE11,"C"))*2)+((COUNTIF('Elève (6ème1)'!QC8:QE11,"D"))*1))/(COUNTA(QC8:QE11)),"")</f>
        <v>3</v>
      </c>
      <c r="QG7" s="107" t="str">
        <f t="shared" si="104"/>
        <v>B</v>
      </c>
      <c r="QH7" s="100"/>
      <c r="QI7" s="187"/>
      <c r="QJ7" s="188"/>
      <c r="QK7" s="106" t="str">
        <f>IFERROR((((COUNTIF('Elève (6ème1)'!QH8:QJ11,"A"))*4)+((COUNTIF('Elève (6ème1)'!QH8:QJ11,"B"))*3)+((COUNTIF('Elève (6ème1)'!QH8:QJ11,"C"))*2)+((COUNTIF('Elève (6ème1)'!QH8:QJ11,"D"))*1))/(COUNTA(QH8:QJ11)),"")</f>
        <v/>
      </c>
      <c r="QL7" s="121" t="str">
        <f t="shared" si="105"/>
        <v/>
      </c>
      <c r="QM7" s="100"/>
      <c r="QN7" s="187"/>
      <c r="QO7" s="188"/>
      <c r="QP7" s="106" t="str">
        <f>IFERROR((((COUNTIF('Elève (6ème1)'!QM8:QO11,"A"))*4)+((COUNTIF('Elève (6ème1)'!QM8:QO11,"B"))*3)+((COUNTIF('Elève (6ème1)'!QM8:QO11,"C"))*2)+((COUNTIF('Elève (6ème1)'!QM8:QO11,"D"))*1))/(COUNTA(QM8:QO11)),"")</f>
        <v/>
      </c>
      <c r="QQ7" s="128" t="str">
        <f t="shared" si="106"/>
        <v/>
      </c>
      <c r="QR7" s="177">
        <f>IFERROR((((COUNTIF(QC8:QE11,"A")+COUNTIF(QH8:QJ11,"A")+COUNTIF(QM8:QO11,"A"))*4)+((COUNTIF(QC8:QE11,"B")+COUNTIF(QH8:QJ11,"B")+COUNTIF(QM8:QO11,"B"))*3)+((COUNTIF(QC8:QE11,"C")+COUNTIF(QH8:QJ11,"C")+COUNTIF(QM8:QO11,"C"))*2)+((COUNTIF(QC8:QE11,"D")+COUNTIF(QH8:QJ11,"D")+COUNTIF(QM8:QO11,"D"))*1))/(COUNTA(QC8:QE11)+COUNTA(QH8:QJ11)+COUNTA(QM8:QO11)),"")</f>
        <v>3</v>
      </c>
      <c r="QS7" s="130" t="str">
        <f t="shared" si="107"/>
        <v>B</v>
      </c>
      <c r="QT7" s="162"/>
      <c r="QU7" s="189"/>
      <c r="QV7" s="189"/>
      <c r="QW7" s="106" t="str">
        <f>IFERROR((((COUNTIF('Elève (6ème1)'!QT8:QV11,"A"))*4)+((COUNTIF('Elève (6ème1)'!QT8:QV11,"B"))*3)+((COUNTIF('Elève (6ème1)'!QT8:QV11,"C"))*2)+((COUNTIF('Elève (6ème1)'!QT8:QV11,"D"))*1))/(COUNTA(QT8:QV11)),"")</f>
        <v/>
      </c>
      <c r="QX7" s="107" t="str">
        <f t="shared" si="108"/>
        <v/>
      </c>
      <c r="QY7" s="100"/>
      <c r="QZ7" s="187"/>
      <c r="RA7" s="188"/>
      <c r="RB7" s="106" t="str">
        <f>IFERROR((((COUNTIF('Elève (6ème1)'!QY8:RA11,"A"))*4)+((COUNTIF('Elève (6ème1)'!QY8:RA11,"B"))*3)+((COUNTIF('Elève (6ème1)'!QY8:RA11,"C"))*2)+((COUNTIF('Elève (6ème1)'!QY8:RA11,"D"))*1))/(COUNTA(QY8:RA11)),"")</f>
        <v/>
      </c>
      <c r="RC7" s="121" t="str">
        <f t="shared" si="109"/>
        <v/>
      </c>
      <c r="RD7" s="100"/>
      <c r="RE7" s="187"/>
      <c r="RF7" s="188"/>
      <c r="RG7" s="106" t="str">
        <f>IFERROR((((COUNTIF('Elève (6ème1)'!RD8:RF11,"A"))*4)+((COUNTIF('Elève (6ème1)'!RD8:RF11,"B"))*3)+((COUNTIF('Elève (6ème1)'!RD8:RF11,"C"))*2)+((COUNTIF('Elève (6ème1)'!RD8:RF11,"D"))*1))/(COUNTA(RD8:RF11)),"")</f>
        <v/>
      </c>
      <c r="RH7" s="128" t="str">
        <f t="shared" si="110"/>
        <v/>
      </c>
      <c r="RI7" s="177" t="str">
        <f>IFERROR((((COUNTIF(QT8:QV11,"A")+COUNTIF(QY8:RA11,"A")+COUNTIF(RD8:RF11,"A"))*4)+((COUNTIF(QT8:QV11,"B")+COUNTIF(QY8:RA11,"B")+COUNTIF(RD8:RF11,"B"))*3)+((COUNTIF(QT8:QV11,"C")+COUNTIF(QY8:RA11,"C")+COUNTIF(RD8:RF11,"C"))*2)+((COUNTIF(QT8:QV11,"D")+COUNTIF(QY8:RA11,"D")+COUNTIF(RD8:RF11,"D"))*1))/(COUNTA(QT8:QV11)+COUNTA(QY8:RA11)+COUNTA(RD8:RF11)),"")</f>
        <v/>
      </c>
      <c r="RJ7" s="130" t="str">
        <f t="shared" si="111"/>
        <v/>
      </c>
      <c r="RK7" s="162"/>
      <c r="RL7" s="189"/>
      <c r="RM7" s="189"/>
      <c r="RN7" s="106" t="str">
        <f>IFERROR((((COUNTIF('Elève (6ème1)'!RK8:RM11,"A"))*4)+((COUNTIF('Elève (6ème1)'!RK8:RM11,"B"))*3)+((COUNTIF('Elève (6ème1)'!RK8:RM11,"C"))*2)+((COUNTIF('Elève (6ème1)'!RK8:RM11,"D"))*1))/(COUNTA(RK8:RM11)),"")</f>
        <v/>
      </c>
      <c r="RO7" s="107" t="str">
        <f t="shared" si="112"/>
        <v/>
      </c>
      <c r="RP7" s="100"/>
      <c r="RQ7" s="187"/>
      <c r="RR7" s="188"/>
      <c r="RS7" s="106" t="str">
        <f>IFERROR((((COUNTIF('Elève (6ème1)'!RP8:RR11,"A"))*4)+((COUNTIF('Elève (6ème1)'!RP8:RR11,"B"))*3)+((COUNTIF('Elève (6ème1)'!RP8:RR11,"C"))*2)+((COUNTIF('Elève (6ème1)'!RP8:RR11,"D"))*1))/(COUNTA(RP8:RR11)),"")</f>
        <v/>
      </c>
      <c r="RT7" s="121" t="str">
        <f t="shared" si="113"/>
        <v/>
      </c>
      <c r="RU7" s="100"/>
      <c r="RV7" s="187"/>
      <c r="RW7" s="188"/>
      <c r="RX7" s="106" t="str">
        <f>IFERROR((((COUNTIF('Elève (6ème1)'!RU8:RW11,"A"))*4)+((COUNTIF('Elève (6ème1)'!RU8:RW11,"B"))*3)+((COUNTIF('Elève (6ème1)'!RU8:RW11,"C"))*2)+((COUNTIF('Elève (6ème1)'!RU8:RW11,"D"))*1))/(COUNTA(RU8:RW11)),"")</f>
        <v/>
      </c>
      <c r="RY7" s="128" t="str">
        <f t="shared" si="114"/>
        <v/>
      </c>
      <c r="RZ7" s="177" t="str">
        <f>IFERROR((((COUNTIF(RK8:RM11,"A")+COUNTIF(RP8:RR11,"A")+COUNTIF(RU8:RW11,"A"))*4)+((COUNTIF(RK8:RM11,"B")+COUNTIF(RP8:RR11,"B")+COUNTIF(RU8:RW11,"B"))*3)+((COUNTIF(RK8:RM11,"C")+COUNTIF(RP8:RR11,"C")+COUNTIF(RU8:RW11,"C"))*2)+((COUNTIF(RK8:RM11,"D")+COUNTIF(RP8:RR11,"D")+COUNTIF(RU8:RW11,"D"))*1))/(COUNTA(RK8:RM11)+COUNTA(RP8:RR11)+COUNTA(RU8:RW11)),"")</f>
        <v/>
      </c>
      <c r="SA7" s="130" t="str">
        <f t="shared" si="115"/>
        <v/>
      </c>
      <c r="SB7" s="162"/>
      <c r="SC7" s="189"/>
      <c r="SD7" s="189"/>
      <c r="SE7" s="106" t="str">
        <f>IFERROR((((COUNTIF('Elève (6ème1)'!SB8:SD11,"A"))*4)+((COUNTIF('Elève (6ème1)'!SB8:SD11,"B"))*3)+((COUNTIF('Elève (6ème1)'!SB8:SD11,"C"))*2)+((COUNTIF('Elève (6ème1)'!SB8:SD11,"D"))*1))/(COUNTA(SB8:SD11)),"")</f>
        <v/>
      </c>
      <c r="SF7" s="107" t="str">
        <f t="shared" si="116"/>
        <v/>
      </c>
      <c r="SG7" s="100"/>
      <c r="SH7" s="187"/>
      <c r="SI7" s="188"/>
      <c r="SJ7" s="106" t="str">
        <f>IFERROR((((COUNTIF('Elève (6ème1)'!SG8:SI11,"A"))*4)+((COUNTIF('Elève (6ème1)'!SG8:SI11,"B"))*3)+((COUNTIF('Elève (6ème1)'!SG8:SI11,"C"))*2)+((COUNTIF('Elève (6ème1)'!SG8:SI11,"D"))*1))/(COUNTA(SG8:SI11)),"")</f>
        <v/>
      </c>
      <c r="SK7" s="121" t="str">
        <f t="shared" si="117"/>
        <v/>
      </c>
      <c r="SL7" s="100"/>
      <c r="SM7" s="187"/>
      <c r="SN7" s="188"/>
      <c r="SO7" s="106" t="str">
        <f>IFERROR((((COUNTIF('Elève (6ème1)'!SL8:SN11,"A"))*4)+((COUNTIF('Elève (6ème1)'!SL8:SN11,"B"))*3)+((COUNTIF('Elève (6ème1)'!SL8:SN11,"C"))*2)+((COUNTIF('Elève (6ème1)'!SL8:SN11,"D"))*1))/(COUNTA(SL8:SN11)),"")</f>
        <v/>
      </c>
      <c r="SP7" s="128" t="str">
        <f t="shared" si="118"/>
        <v/>
      </c>
      <c r="SQ7" s="177" t="str">
        <f>IFERROR((((COUNTIF(SB8:SD11,"A")+COUNTIF(SG8:SI11,"A")+COUNTIF(SL8:SN11,"A"))*4)+((COUNTIF(SB8:SD11,"B")+COUNTIF(SG8:SI11,"B")+COUNTIF(SL8:SN11,"B"))*3)+((COUNTIF(SB8:SD11,"C")+COUNTIF(SG8:SI11,"C")+COUNTIF(SL8:SN11,"C"))*2)+((COUNTIF(SB8:SD11,"D")+COUNTIF(SG8:SI11,"D")+COUNTIF(SL8:SN11,"D"))*1))/(COUNTA(SB8:SD11)+COUNTA(SG8:SI11)+COUNTA(SL8:SN11)),"")</f>
        <v/>
      </c>
      <c r="SR7" s="130" t="str">
        <f t="shared" si="119"/>
        <v/>
      </c>
    </row>
    <row r="8" spans="1:512" s="72" customFormat="1" ht="18" customHeight="1" x14ac:dyDescent="0.25">
      <c r="A8" s="240" t="s">
        <v>40</v>
      </c>
      <c r="B8" s="241"/>
      <c r="C8" s="156" t="s">
        <v>25</v>
      </c>
      <c r="D8" s="157"/>
      <c r="E8" s="158"/>
      <c r="F8" s="108">
        <f>IFERROR((((COUNTIF('Elève (6ème1)'!C8:E8,"A"))*4)+((COUNTIF('Elève (6ème1)'!C8:E8,"B"))*3)+((COUNTIF('Elève (6ème1)'!C8:E8,"C"))*2)+((COUNTIF('Elève (6ème1)'!C8:E8,"D"))*1))/(COUNTA(C8:E8)),"")</f>
        <v>3</v>
      </c>
      <c r="G8" s="109" t="str">
        <f t="shared" si="0"/>
        <v>B</v>
      </c>
      <c r="H8" s="81"/>
      <c r="I8" s="82"/>
      <c r="J8" s="83"/>
      <c r="K8" s="108" t="str">
        <f>IFERROR((((COUNTIF('Elève (6ème1)'!H8:J8,"A"))*4)+((COUNTIF('Elève (6ème1)'!H8:J8,"B"))*3)+((COUNTIF('Elève (6ème1)'!H8:J8,"C"))*2)+((COUNTIF('Elève (6ème1)'!H8:J8,"D"))*1))/(COUNTA(H8:J8)),"")</f>
        <v/>
      </c>
      <c r="L8" s="109" t="str">
        <f t="shared" si="1"/>
        <v/>
      </c>
      <c r="M8" s="81"/>
      <c r="N8" s="82"/>
      <c r="O8" s="83"/>
      <c r="P8" s="108" t="str">
        <f>IFERROR((((COUNTIF('Elève (6ème1)'!M8:O8,"A"))*4)+((COUNTIF('Elève (6ème1)'!M8:O8,"B"))*3)+((COUNTIF('Elève (6ème1)'!M8:O8,"C"))*2)+((COUNTIF('Elève (6ème1)'!M8:O8,"D"))*1))/(COUNTA(M8:O8)),"")</f>
        <v/>
      </c>
      <c r="Q8" s="109" t="str">
        <f t="shared" si="2"/>
        <v/>
      </c>
      <c r="R8" s="178">
        <f>IF(COUNT(F8,K8,P8)=0,"",SUM(F8,K8,P8)/COUNT(F8,K8,P8))</f>
        <v>3</v>
      </c>
      <c r="S8" s="131" t="str">
        <f t="shared" si="3"/>
        <v>B</v>
      </c>
      <c r="T8" s="156" t="s">
        <v>24</v>
      </c>
      <c r="U8" s="157"/>
      <c r="V8" s="158"/>
      <c r="W8" s="108">
        <f>IFERROR((((COUNTIF('Elève (6ème1)'!T8:V8,"A"))*4)+((COUNTIF('Elève (6ème1)'!T8:V8,"B"))*3)+((COUNTIF('Elève (6ème1)'!T8:V8,"C"))*2)+((COUNTIF('Elève (6ème1)'!T8:V8,"D"))*1))/(COUNTA(T8:V8)),"")</f>
        <v>4</v>
      </c>
      <c r="X8" s="109" t="str">
        <f t="shared" si="4"/>
        <v>A</v>
      </c>
      <c r="Y8" s="81"/>
      <c r="Z8" s="82"/>
      <c r="AA8" s="83"/>
      <c r="AB8" s="108" t="str">
        <f>IFERROR((((COUNTIF('Elève (6ème1)'!Y8:AA8,"A"))*4)+((COUNTIF('Elève (6ème1)'!Y8:AA8,"B"))*3)+((COUNTIF('Elève (6ème1)'!Y8:AA8,"C"))*2)+((COUNTIF('Elève (6ème1)'!Y8:AA8,"D"))*1))/(COUNTA(Y8:AA8)),"")</f>
        <v/>
      </c>
      <c r="AC8" s="109" t="str">
        <f t="shared" si="5"/>
        <v/>
      </c>
      <c r="AD8" s="81"/>
      <c r="AE8" s="82"/>
      <c r="AF8" s="83"/>
      <c r="AG8" s="108" t="str">
        <f>IFERROR((((COUNTIF('Elève (6ème1)'!AD8:AF8,"A"))*4)+((COUNTIF('Elève (6ème1)'!AD8:AF8,"B"))*3)+((COUNTIF('Elève (6ème1)'!AD8:AF8,"C"))*2)+((COUNTIF('Elève (6ème1)'!AD8:AF8,"D"))*1))/(COUNTA(AD8:AF8)),"")</f>
        <v/>
      </c>
      <c r="AH8" s="109" t="str">
        <f t="shared" si="6"/>
        <v/>
      </c>
      <c r="AI8" s="178">
        <f>IF(COUNT(W8,AB8,AG8)=0,"",SUM(W8,AB8,AG8)/COUNT(W8,AB8,AG8))</f>
        <v>4</v>
      </c>
      <c r="AJ8" s="131" t="str">
        <f t="shared" si="7"/>
        <v>A</v>
      </c>
      <c r="AK8" s="156" t="s">
        <v>26</v>
      </c>
      <c r="AL8" s="157"/>
      <c r="AM8" s="158"/>
      <c r="AN8" s="108">
        <f>IFERROR((((COUNTIF('Elève (6ème1)'!AK8:AM8,"A"))*4)+((COUNTIF('Elève (6ème1)'!AK8:AM8,"B"))*3)+((COUNTIF('Elève (6ème1)'!AK8:AM8,"C"))*2)+((COUNTIF('Elève (6ème1)'!AK8:AM8,"D"))*1))/(COUNTA(AK8:AM8)),"")</f>
        <v>2</v>
      </c>
      <c r="AO8" s="109" t="str">
        <f t="shared" si="8"/>
        <v>C</v>
      </c>
      <c r="AP8" s="81"/>
      <c r="AQ8" s="82"/>
      <c r="AR8" s="83"/>
      <c r="AS8" s="108" t="str">
        <f>IFERROR((((COUNTIF('Elève (6ème1)'!AP8:AR8,"A"))*4)+((COUNTIF('Elève (6ème1)'!AP8:AR8,"B"))*3)+((COUNTIF('Elève (6ème1)'!AP8:AR8,"C"))*2)+((COUNTIF('Elève (6ème1)'!AP8:AR8,"D"))*1))/(COUNTA(AP8:AR8)),"")</f>
        <v/>
      </c>
      <c r="AT8" s="109" t="str">
        <f t="shared" si="9"/>
        <v/>
      </c>
      <c r="AU8" s="81"/>
      <c r="AV8" s="82"/>
      <c r="AW8" s="83"/>
      <c r="AX8" s="108" t="str">
        <f>IFERROR((((COUNTIF('Elève (6ème1)'!AU8:AW8,"A"))*4)+((COUNTIF('Elève (6ème1)'!AU8:AW8,"B"))*3)+((COUNTIF('Elève (6ème1)'!AU8:AW8,"C"))*2)+((COUNTIF('Elève (6ème1)'!AU8:AW8,"D"))*1))/(COUNTA(AU8:AW8)),"")</f>
        <v/>
      </c>
      <c r="AY8" s="109" t="str">
        <f t="shared" si="10"/>
        <v/>
      </c>
      <c r="AZ8" s="178">
        <f>IF(COUNT(AN8,AS8,AX8)=0,"",SUM(AN8,AS8,AX8)/COUNT(AN8,AS8,AX8))</f>
        <v>2</v>
      </c>
      <c r="BA8" s="131" t="str">
        <f t="shared" si="11"/>
        <v>C</v>
      </c>
      <c r="BB8" s="156" t="s">
        <v>25</v>
      </c>
      <c r="BC8" s="157"/>
      <c r="BD8" s="158"/>
      <c r="BE8" s="108">
        <f>IFERROR((((COUNTIF('Elève (6ème1)'!BB8:BD8,"A"))*4)+((COUNTIF('Elève (6ème1)'!BB8:BD8,"B"))*3)+((COUNTIF('Elève (6ème1)'!BB8:BD8,"C"))*2)+((COUNTIF('Elève (6ème1)'!BB8:BD8,"D"))*1))/(COUNTA(BB8:BD8)),"")</f>
        <v>3</v>
      </c>
      <c r="BF8" s="109" t="str">
        <f t="shared" si="12"/>
        <v>B</v>
      </c>
      <c r="BG8" s="81"/>
      <c r="BH8" s="82"/>
      <c r="BI8" s="83"/>
      <c r="BJ8" s="108" t="str">
        <f>IFERROR((((COUNTIF('Elève (6ème1)'!BG8:BI8,"A"))*4)+((COUNTIF('Elève (6ème1)'!BG8:BI8,"B"))*3)+((COUNTIF('Elève (6ème1)'!BG8:BI8,"C"))*2)+((COUNTIF('Elève (6ème1)'!BG8:BI8,"D"))*1))/(COUNTA(BG8:BI8)),"")</f>
        <v/>
      </c>
      <c r="BK8" s="109" t="str">
        <f t="shared" si="13"/>
        <v/>
      </c>
      <c r="BL8" s="81"/>
      <c r="BM8" s="82"/>
      <c r="BN8" s="83"/>
      <c r="BO8" s="108" t="str">
        <f>IFERROR((((COUNTIF('Elève (6ème1)'!BL8:BN8,"A"))*4)+((COUNTIF('Elève (6ème1)'!BL8:BN8,"B"))*3)+((COUNTIF('Elève (6ème1)'!BL8:BN8,"C"))*2)+((COUNTIF('Elève (6ème1)'!BL8:BN8,"D"))*1))/(COUNTA(BL8:BN8)),"")</f>
        <v/>
      </c>
      <c r="BP8" s="109" t="str">
        <f t="shared" si="14"/>
        <v/>
      </c>
      <c r="BQ8" s="178">
        <f>IF(COUNT(BE8,BJ8,BO8)=0,"",SUM(BE8,BJ8,BO8)/COUNT(BE8,BJ8,BO8))</f>
        <v>3</v>
      </c>
      <c r="BR8" s="131" t="str">
        <f t="shared" si="15"/>
        <v>B</v>
      </c>
      <c r="BS8" s="156" t="s">
        <v>26</v>
      </c>
      <c r="BT8" s="157"/>
      <c r="BU8" s="158"/>
      <c r="BV8" s="108">
        <f>IFERROR((((COUNTIF('Elève (6ème1)'!BS8:BU8,"A"))*4)+((COUNTIF('Elève (6ème1)'!BS8:BU8,"B"))*3)+((COUNTIF('Elève (6ème1)'!BS8:BU8,"C"))*2)+((COUNTIF('Elève (6ème1)'!BS8:BU8,"D"))*1))/(COUNTA(BS8:BU8)),"")</f>
        <v>2</v>
      </c>
      <c r="BW8" s="109" t="str">
        <f t="shared" si="16"/>
        <v>C</v>
      </c>
      <c r="BX8" s="81"/>
      <c r="BY8" s="82"/>
      <c r="BZ8" s="83"/>
      <c r="CA8" s="108" t="str">
        <f>IFERROR((((COUNTIF('Elève (6ème1)'!BX8:BZ8,"A"))*4)+((COUNTIF('Elève (6ème1)'!BX8:BZ8,"B"))*3)+((COUNTIF('Elève (6ème1)'!BX8:BZ8,"C"))*2)+((COUNTIF('Elève (6ème1)'!BX8:BZ8,"D"))*1))/(COUNTA(BX8:BZ8)),"")</f>
        <v/>
      </c>
      <c r="CB8" s="109" t="str">
        <f t="shared" si="17"/>
        <v/>
      </c>
      <c r="CC8" s="81"/>
      <c r="CD8" s="82"/>
      <c r="CE8" s="83"/>
      <c r="CF8" s="108" t="str">
        <f>IFERROR((((COUNTIF('Elève (6ème1)'!CC8:CE8,"A"))*4)+((COUNTIF('Elève (6ème1)'!CC8:CE8,"B"))*3)+((COUNTIF('Elève (6ème1)'!CC8:CE8,"C"))*2)+((COUNTIF('Elève (6ème1)'!CC8:CE8,"D"))*1))/(COUNTA(CC8:CE8)),"")</f>
        <v/>
      </c>
      <c r="CG8" s="109" t="str">
        <f t="shared" si="18"/>
        <v/>
      </c>
      <c r="CH8" s="178">
        <f>IF(COUNT(BV8,CA8,CF8)=0,"",SUM(BV8,CA8,CF8)/COUNT(BV8,CA8,CF8))</f>
        <v>2</v>
      </c>
      <c r="CI8" s="131" t="str">
        <f t="shared" si="19"/>
        <v>C</v>
      </c>
      <c r="CJ8" s="156" t="s">
        <v>24</v>
      </c>
      <c r="CK8" s="157"/>
      <c r="CL8" s="158"/>
      <c r="CM8" s="108">
        <f>IFERROR((((COUNTIF('Elève (6ème1)'!CJ8:CL8,"A"))*4)+((COUNTIF('Elève (6ème1)'!CJ8:CL8,"B"))*3)+((COUNTIF('Elève (6ème1)'!CJ8:CL8,"C"))*2)+((COUNTIF('Elève (6ème1)'!CJ8:CL8,"D"))*1))/(COUNTA(CJ8:CL8)),"")</f>
        <v>4</v>
      </c>
      <c r="CN8" s="109" t="str">
        <f t="shared" si="20"/>
        <v>A</v>
      </c>
      <c r="CO8" s="81"/>
      <c r="CP8" s="82"/>
      <c r="CQ8" s="83"/>
      <c r="CR8" s="108" t="str">
        <f>IFERROR((((COUNTIF('Elève (6ème1)'!CO8:CQ8,"A"))*4)+((COUNTIF('Elève (6ème1)'!CO8:CQ8,"B"))*3)+((COUNTIF('Elève (6ème1)'!CO8:CQ8,"C"))*2)+((COUNTIF('Elève (6ème1)'!CO8:CQ8,"D"))*1))/(COUNTA(CO8:CQ8)),"")</f>
        <v/>
      </c>
      <c r="CS8" s="109" t="str">
        <f t="shared" si="21"/>
        <v/>
      </c>
      <c r="CT8" s="81"/>
      <c r="CU8" s="82"/>
      <c r="CV8" s="83"/>
      <c r="CW8" s="108" t="str">
        <f>IFERROR((((COUNTIF('Elève (6ème1)'!CT8:CV8,"A"))*4)+((COUNTIF('Elève (6ème1)'!CT8:CV8,"B"))*3)+((COUNTIF('Elève (6ème1)'!CT8:CV8,"C"))*2)+((COUNTIF('Elève (6ème1)'!CT8:CV8,"D"))*1))/(COUNTA(CT8:CV8)),"")</f>
        <v/>
      </c>
      <c r="CX8" s="109" t="str">
        <f t="shared" si="22"/>
        <v/>
      </c>
      <c r="CY8" s="178">
        <f>IF(COUNT(CM8,CR8,CW8)=0,"",SUM(CM8,CR8,CW8)/COUNT(CM8,CR8,CW8))</f>
        <v>4</v>
      </c>
      <c r="CZ8" s="131" t="str">
        <f t="shared" si="23"/>
        <v>A</v>
      </c>
      <c r="DA8" s="156" t="s">
        <v>24</v>
      </c>
      <c r="DB8" s="157"/>
      <c r="DC8" s="158"/>
      <c r="DD8" s="108">
        <f>IFERROR((((COUNTIF('Elève (6ème1)'!DA8:DC8,"A"))*4)+((COUNTIF('Elève (6ème1)'!DA8:DC8,"B"))*3)+((COUNTIF('Elève (6ème1)'!DA8:DC8,"C"))*2)+((COUNTIF('Elève (6ème1)'!DA8:DC8,"D"))*1))/(COUNTA(DA8:DC8)),"")</f>
        <v>4</v>
      </c>
      <c r="DE8" s="109" t="str">
        <f t="shared" si="24"/>
        <v>A</v>
      </c>
      <c r="DF8" s="81"/>
      <c r="DG8" s="82"/>
      <c r="DH8" s="83"/>
      <c r="DI8" s="108" t="str">
        <f>IFERROR((((COUNTIF('Elève (6ème1)'!DF8:DH8,"A"))*4)+((COUNTIF('Elève (6ème1)'!DF8:DH8,"B"))*3)+((COUNTIF('Elève (6ème1)'!DF8:DH8,"C"))*2)+((COUNTIF('Elève (6ème1)'!DF8:DH8,"D"))*1))/(COUNTA(DF8:DH8)),"")</f>
        <v/>
      </c>
      <c r="DJ8" s="109" t="str">
        <f t="shared" si="25"/>
        <v/>
      </c>
      <c r="DK8" s="81"/>
      <c r="DL8" s="82"/>
      <c r="DM8" s="83"/>
      <c r="DN8" s="108" t="str">
        <f>IFERROR((((COUNTIF('Elève (6ème1)'!DK8:DM8,"A"))*4)+((COUNTIF('Elève (6ème1)'!DK8:DM8,"B"))*3)+((COUNTIF('Elève (6ème1)'!DK8:DM8,"C"))*2)+((COUNTIF('Elève (6ème1)'!DK8:DM8,"D"))*1))/(COUNTA(DK8:DM8)),"")</f>
        <v/>
      </c>
      <c r="DO8" s="109" t="str">
        <f t="shared" si="26"/>
        <v/>
      </c>
      <c r="DP8" s="178">
        <f>IF(COUNT(DD8,DI8,DN8)=0,"",SUM(DD8,DI8,DN8)/COUNT(DD8,DI8,DN8))</f>
        <v>4</v>
      </c>
      <c r="DQ8" s="131" t="str">
        <f t="shared" si="27"/>
        <v>A</v>
      </c>
      <c r="DR8" s="156" t="s">
        <v>25</v>
      </c>
      <c r="DS8" s="157"/>
      <c r="DT8" s="158"/>
      <c r="DU8" s="108">
        <f>IFERROR((((COUNTIF('Elève (6ème1)'!DR8:DT8,"A"))*4)+((COUNTIF('Elève (6ème1)'!DR8:DT8,"B"))*3)+((COUNTIF('Elève (6ème1)'!DR8:DT8,"C"))*2)+((COUNTIF('Elève (6ème1)'!DR8:DT8,"D"))*1))/(COUNTA(DR8:DT8)),"")</f>
        <v>3</v>
      </c>
      <c r="DV8" s="109" t="str">
        <f t="shared" si="28"/>
        <v>B</v>
      </c>
      <c r="DW8" s="81"/>
      <c r="DX8" s="82"/>
      <c r="DY8" s="83"/>
      <c r="DZ8" s="108" t="str">
        <f>IFERROR((((COUNTIF('Elève (6ème1)'!DW8:DY8,"A"))*4)+((COUNTIF('Elève (6ème1)'!DW8:DY8,"B"))*3)+((COUNTIF('Elève (6ème1)'!DW8:DY8,"C"))*2)+((COUNTIF('Elève (6ème1)'!DW8:DY8,"D"))*1))/(COUNTA(DW8:DY8)),"")</f>
        <v/>
      </c>
      <c r="EA8" s="109" t="str">
        <f t="shared" si="29"/>
        <v/>
      </c>
      <c r="EB8" s="81"/>
      <c r="EC8" s="82"/>
      <c r="ED8" s="83"/>
      <c r="EE8" s="108" t="str">
        <f>IFERROR((((COUNTIF('Elève (6ème1)'!EB8:ED8,"A"))*4)+((COUNTIF('Elève (6ème1)'!EB8:ED8,"B"))*3)+((COUNTIF('Elève (6ème1)'!EB8:ED8,"C"))*2)+((COUNTIF('Elève (6ème1)'!EB8:ED8,"D"))*1))/(COUNTA(EB8:ED8)),"")</f>
        <v/>
      </c>
      <c r="EF8" s="109" t="str">
        <f t="shared" si="30"/>
        <v/>
      </c>
      <c r="EG8" s="178">
        <f>IF(COUNT(DU8,DZ8,EE8)=0,"",SUM(DU8,DZ8,EE8)/COUNT(DU8,DZ8,EE8))</f>
        <v>3</v>
      </c>
      <c r="EH8" s="131" t="str">
        <f t="shared" si="31"/>
        <v>B</v>
      </c>
      <c r="EI8" s="156" t="s">
        <v>25</v>
      </c>
      <c r="EJ8" s="157"/>
      <c r="EK8" s="158"/>
      <c r="EL8" s="108">
        <f>IFERROR((((COUNTIF('Elève (6ème1)'!EI8:EK8,"A"))*4)+((COUNTIF('Elève (6ème1)'!EI8:EK8,"B"))*3)+((COUNTIF('Elève (6ème1)'!EI8:EK8,"C"))*2)+((COUNTIF('Elève (6ème1)'!EI8:EK8,"D"))*1))/(COUNTA(EI8:EK8)),"")</f>
        <v>3</v>
      </c>
      <c r="EM8" s="109" t="str">
        <f t="shared" si="32"/>
        <v>B</v>
      </c>
      <c r="EN8" s="81"/>
      <c r="EO8" s="82"/>
      <c r="EP8" s="83"/>
      <c r="EQ8" s="108" t="str">
        <f>IFERROR((((COUNTIF('Elève (6ème1)'!EN8:EP8,"A"))*4)+((COUNTIF('Elève (6ème1)'!EN8:EP8,"B"))*3)+((COUNTIF('Elève (6ème1)'!EN8:EP8,"C"))*2)+((COUNTIF('Elève (6ème1)'!EN8:EP8,"D"))*1))/(COUNTA(EN8:EP8)),"")</f>
        <v/>
      </c>
      <c r="ER8" s="109" t="str">
        <f t="shared" si="33"/>
        <v/>
      </c>
      <c r="ES8" s="81"/>
      <c r="ET8" s="82"/>
      <c r="EU8" s="83"/>
      <c r="EV8" s="108" t="str">
        <f>IFERROR((((COUNTIF('Elève (6ème1)'!ES8:EU8,"A"))*4)+((COUNTIF('Elève (6ème1)'!ES8:EU8,"B"))*3)+((COUNTIF('Elève (6ème1)'!ES8:EU8,"C"))*2)+((COUNTIF('Elève (6ème1)'!ES8:EU8,"D"))*1))/(COUNTA(ES8:EU8)),"")</f>
        <v/>
      </c>
      <c r="EW8" s="109" t="str">
        <f t="shared" si="34"/>
        <v/>
      </c>
      <c r="EX8" s="178">
        <f>IF(COUNT(EL8,EQ8,EV8)=0,"",SUM(EL8,EQ8,EV8)/COUNT(EL8,EQ8,EV8))</f>
        <v>3</v>
      </c>
      <c r="EY8" s="131" t="str">
        <f t="shared" si="35"/>
        <v>B</v>
      </c>
      <c r="EZ8" s="156" t="s">
        <v>25</v>
      </c>
      <c r="FA8" s="157"/>
      <c r="FB8" s="158"/>
      <c r="FC8" s="108">
        <f>IFERROR((((COUNTIF('Elève (6ème1)'!EZ8:FB8,"A"))*4)+((COUNTIF('Elève (6ème1)'!EZ8:FB8,"B"))*3)+((COUNTIF('Elève (6ème1)'!EZ8:FB8,"C"))*2)+((COUNTIF('Elève (6ème1)'!EZ8:FB8,"D"))*1))/(COUNTA(EZ8:FB8)),"")</f>
        <v>3</v>
      </c>
      <c r="FD8" s="109" t="str">
        <f t="shared" si="36"/>
        <v>B</v>
      </c>
      <c r="FE8" s="81"/>
      <c r="FF8" s="82"/>
      <c r="FG8" s="83"/>
      <c r="FH8" s="108" t="str">
        <f>IFERROR((((COUNTIF('Elève (6ème1)'!FE8:FG8,"A"))*4)+((COUNTIF('Elève (6ème1)'!FE8:FG8,"B"))*3)+((COUNTIF('Elève (6ème1)'!FE8:FG8,"C"))*2)+((COUNTIF('Elève (6ème1)'!FE8:FG8,"D"))*1))/(COUNTA(FE8:FG8)),"")</f>
        <v/>
      </c>
      <c r="FI8" s="109" t="str">
        <f t="shared" si="37"/>
        <v/>
      </c>
      <c r="FJ8" s="81"/>
      <c r="FK8" s="82"/>
      <c r="FL8" s="83"/>
      <c r="FM8" s="108" t="str">
        <f>IFERROR((((COUNTIF('Elève (6ème1)'!FJ8:FL8,"A"))*4)+((COUNTIF('Elève (6ème1)'!FJ8:FL8,"B"))*3)+((COUNTIF('Elève (6ème1)'!FJ8:FL8,"C"))*2)+((COUNTIF('Elève (6ème1)'!FJ8:FL8,"D"))*1))/(COUNTA(FJ8:FL8)),"")</f>
        <v/>
      </c>
      <c r="FN8" s="109" t="str">
        <f t="shared" si="38"/>
        <v/>
      </c>
      <c r="FO8" s="178">
        <f>IF(COUNT(FC8,FH8,FM8)=0,"",SUM(FC8,FH8,FM8)/COUNT(FC8,FH8,FM8))</f>
        <v>3</v>
      </c>
      <c r="FP8" s="131" t="str">
        <f t="shared" si="39"/>
        <v>B</v>
      </c>
      <c r="FQ8" s="156" t="s">
        <v>25</v>
      </c>
      <c r="FR8" s="157"/>
      <c r="FS8" s="158"/>
      <c r="FT8" s="108">
        <f>IFERROR((((COUNTIF('Elève (6ème1)'!FQ8:FS8,"A"))*4)+((COUNTIF('Elève (6ème1)'!FQ8:FS8,"B"))*3)+((COUNTIF('Elève (6ème1)'!FQ8:FS8,"C"))*2)+((COUNTIF('Elève (6ème1)'!FQ8:FS8,"D"))*1))/(COUNTA(FQ8:FS8)),"")</f>
        <v>3</v>
      </c>
      <c r="FU8" s="109" t="str">
        <f t="shared" si="40"/>
        <v>B</v>
      </c>
      <c r="FV8" s="81"/>
      <c r="FW8" s="82"/>
      <c r="FX8" s="83"/>
      <c r="FY8" s="108" t="str">
        <f>IFERROR((((COUNTIF('Elève (6ème1)'!FV8:FX8,"A"))*4)+((COUNTIF('Elève (6ème1)'!FV8:FX8,"B"))*3)+((COUNTIF('Elève (6ème1)'!FV8:FX8,"C"))*2)+((COUNTIF('Elève (6ème1)'!FV8:FX8,"D"))*1))/(COUNTA(FV8:FX8)),"")</f>
        <v/>
      </c>
      <c r="FZ8" s="109" t="str">
        <f t="shared" si="41"/>
        <v/>
      </c>
      <c r="GA8" s="81"/>
      <c r="GB8" s="82"/>
      <c r="GC8" s="83"/>
      <c r="GD8" s="108" t="str">
        <f>IFERROR((((COUNTIF('Elève (6ème1)'!GA8:GC8,"A"))*4)+((COUNTIF('Elève (6ème1)'!GA8:GC8,"B"))*3)+((COUNTIF('Elève (6ème1)'!GA8:GC8,"C"))*2)+((COUNTIF('Elève (6ème1)'!GA8:GC8,"D"))*1))/(COUNTA(GA8:GC8)),"")</f>
        <v/>
      </c>
      <c r="GE8" s="109" t="str">
        <f t="shared" si="42"/>
        <v/>
      </c>
      <c r="GF8" s="178">
        <f>IF(COUNT(FT8,FY8,GD8)=0,"",SUM(FT8,FY8,GD8)/COUNT(FT8,FY8,GD8))</f>
        <v>3</v>
      </c>
      <c r="GG8" s="131" t="str">
        <f t="shared" si="43"/>
        <v>B</v>
      </c>
      <c r="GH8" s="156" t="s">
        <v>25</v>
      </c>
      <c r="GI8" s="157"/>
      <c r="GJ8" s="158"/>
      <c r="GK8" s="108">
        <f>IFERROR((((COUNTIF('Elève (6ème1)'!GH8:GJ8,"A"))*4)+((COUNTIF('Elève (6ème1)'!GH8:GJ8,"B"))*3)+((COUNTIF('Elève (6ème1)'!GH8:GJ8,"C"))*2)+((COUNTIF('Elève (6ème1)'!GH8:GJ8,"D"))*1))/(COUNTA(GH8:GJ8)),"")</f>
        <v>3</v>
      </c>
      <c r="GL8" s="109" t="str">
        <f t="shared" si="44"/>
        <v>B</v>
      </c>
      <c r="GM8" s="81"/>
      <c r="GN8" s="82"/>
      <c r="GO8" s="83"/>
      <c r="GP8" s="108" t="str">
        <f>IFERROR((((COUNTIF('Elève (6ème1)'!GM8:GO8,"A"))*4)+((COUNTIF('Elève (6ème1)'!GM8:GO8,"B"))*3)+((COUNTIF('Elève (6ème1)'!GM8:GO8,"C"))*2)+((COUNTIF('Elève (6ème1)'!GM8:GO8,"D"))*1))/(COUNTA(GM8:GO8)),"")</f>
        <v/>
      </c>
      <c r="GQ8" s="109" t="str">
        <f t="shared" si="45"/>
        <v/>
      </c>
      <c r="GR8" s="81"/>
      <c r="GS8" s="82"/>
      <c r="GT8" s="83"/>
      <c r="GU8" s="108" t="str">
        <f>IFERROR((((COUNTIF('Elève (6ème1)'!GR8:GT8,"A"))*4)+((COUNTIF('Elève (6ème1)'!GR8:GT8,"B"))*3)+((COUNTIF('Elève (6ème1)'!GR8:GT8,"C"))*2)+((COUNTIF('Elève (6ème1)'!GR8:GT8,"D"))*1))/(COUNTA(GR8:GT8)),"")</f>
        <v/>
      </c>
      <c r="GV8" s="109" t="str">
        <f t="shared" si="46"/>
        <v/>
      </c>
      <c r="GW8" s="178">
        <f>IF(COUNT(GK8,GP8,GU8)=0,"",SUM(GK8,GP8,GU8)/COUNT(GK8,GP8,GU8))</f>
        <v>3</v>
      </c>
      <c r="GX8" s="131" t="str">
        <f t="shared" si="47"/>
        <v>B</v>
      </c>
      <c r="GY8" s="156" t="s">
        <v>25</v>
      </c>
      <c r="GZ8" s="157"/>
      <c r="HA8" s="158"/>
      <c r="HB8" s="108">
        <f>IFERROR((((COUNTIF('Elève (6ème1)'!GY8:HA8,"A"))*4)+((COUNTIF('Elève (6ème1)'!GY8:HA8,"B"))*3)+((COUNTIF('Elève (6ème1)'!GY8:HA8,"C"))*2)+((COUNTIF('Elève (6ème1)'!GY8:HA8,"D"))*1))/(COUNTA(GY8:HA8)),"")</f>
        <v>3</v>
      </c>
      <c r="HC8" s="109" t="str">
        <f t="shared" si="48"/>
        <v>B</v>
      </c>
      <c r="HD8" s="81"/>
      <c r="HE8" s="82"/>
      <c r="HF8" s="83"/>
      <c r="HG8" s="108" t="str">
        <f>IFERROR((((COUNTIF('Elève (6ème1)'!HD8:HF8,"A"))*4)+((COUNTIF('Elève (6ème1)'!HD8:HF8,"B"))*3)+((COUNTIF('Elève (6ème1)'!HD8:HF8,"C"))*2)+((COUNTIF('Elève (6ème1)'!HD8:HF8,"D"))*1))/(COUNTA(HD8:HF8)),"")</f>
        <v/>
      </c>
      <c r="HH8" s="109" t="str">
        <f t="shared" si="49"/>
        <v/>
      </c>
      <c r="HI8" s="81"/>
      <c r="HJ8" s="82"/>
      <c r="HK8" s="83"/>
      <c r="HL8" s="108" t="str">
        <f>IFERROR((((COUNTIF('Elève (6ème1)'!HI8:HK8,"A"))*4)+((COUNTIF('Elève (6ème1)'!HI8:HK8,"B"))*3)+((COUNTIF('Elève (6ème1)'!HI8:HK8,"C"))*2)+((COUNTIF('Elève (6ème1)'!HI8:HK8,"D"))*1))/(COUNTA(HI8:HK8)),"")</f>
        <v/>
      </c>
      <c r="HM8" s="109" t="str">
        <f t="shared" si="50"/>
        <v/>
      </c>
      <c r="HN8" s="178">
        <f>IF(COUNT(HB8,HG8,HL8)=0,"",SUM(HB8,HG8,HL8)/COUNT(HB8,HG8,HL8))</f>
        <v>3</v>
      </c>
      <c r="HO8" s="131" t="str">
        <f t="shared" si="51"/>
        <v>B</v>
      </c>
      <c r="HP8" s="156" t="s">
        <v>25</v>
      </c>
      <c r="HQ8" s="157"/>
      <c r="HR8" s="158"/>
      <c r="HS8" s="108">
        <f>IFERROR((((COUNTIF('Elève (6ème1)'!HP8:HR8,"A"))*4)+((COUNTIF('Elève (6ème1)'!HP8:HR8,"B"))*3)+((COUNTIF('Elève (6ème1)'!HP8:HR8,"C"))*2)+((COUNTIF('Elève (6ème1)'!HP8:HR8,"D"))*1))/(COUNTA(HP8:HR8)),"")</f>
        <v>3</v>
      </c>
      <c r="HT8" s="109" t="str">
        <f t="shared" si="52"/>
        <v>B</v>
      </c>
      <c r="HU8" s="81"/>
      <c r="HV8" s="82"/>
      <c r="HW8" s="83"/>
      <c r="HX8" s="108" t="str">
        <f>IFERROR((((COUNTIF('Elève (6ème1)'!HU8:HW8,"A"))*4)+((COUNTIF('Elève (6ème1)'!HU8:HW8,"B"))*3)+((COUNTIF('Elève (6ème1)'!HU8:HW8,"C"))*2)+((COUNTIF('Elève (6ème1)'!HU8:HW8,"D"))*1))/(COUNTA(HU8:HW8)),"")</f>
        <v/>
      </c>
      <c r="HY8" s="109" t="str">
        <f t="shared" si="53"/>
        <v/>
      </c>
      <c r="HZ8" s="81"/>
      <c r="IA8" s="82"/>
      <c r="IB8" s="83"/>
      <c r="IC8" s="108" t="str">
        <f>IFERROR((((COUNTIF('Elève (6ème1)'!HZ8:IB8,"A"))*4)+((COUNTIF('Elève (6ème1)'!HZ8:IB8,"B"))*3)+((COUNTIF('Elève (6ème1)'!HZ8:IB8,"C"))*2)+((COUNTIF('Elève (6ème1)'!HZ8:IB8,"D"))*1))/(COUNTA(HZ8:IB8)),"")</f>
        <v/>
      </c>
      <c r="ID8" s="109" t="str">
        <f t="shared" si="54"/>
        <v/>
      </c>
      <c r="IE8" s="178">
        <f>IF(COUNT(HS8,HX8,IC8)=0,"",SUM(HS8,HX8,IC8)/COUNT(HS8,HX8,IC8))</f>
        <v>3</v>
      </c>
      <c r="IF8" s="131" t="str">
        <f t="shared" si="55"/>
        <v>B</v>
      </c>
      <c r="IG8" s="156" t="s">
        <v>24</v>
      </c>
      <c r="IH8" s="157"/>
      <c r="II8" s="158"/>
      <c r="IJ8" s="108">
        <f>IFERROR((((COUNTIF('Elève (6ème1)'!IG8:II8,"A"))*4)+((COUNTIF('Elève (6ème1)'!IG8:II8,"B"))*3)+((COUNTIF('Elève (6ème1)'!IG8:II8,"C"))*2)+((COUNTIF('Elève (6ème1)'!IG8:II8,"D"))*1))/(COUNTA(IG8:II8)),"")</f>
        <v>4</v>
      </c>
      <c r="IK8" s="109" t="str">
        <f t="shared" si="56"/>
        <v>A</v>
      </c>
      <c r="IL8" s="81"/>
      <c r="IM8" s="82"/>
      <c r="IN8" s="83"/>
      <c r="IO8" s="108" t="str">
        <f>IFERROR((((COUNTIF('Elève (6ème1)'!IL8:IN8,"A"))*4)+((COUNTIF('Elève (6ème1)'!IL8:IN8,"B"))*3)+((COUNTIF('Elève (6ème1)'!IL8:IN8,"C"))*2)+((COUNTIF('Elève (6ème1)'!IL8:IN8,"D"))*1))/(COUNTA(IL8:IN8)),"")</f>
        <v/>
      </c>
      <c r="IP8" s="109" t="str">
        <f t="shared" si="57"/>
        <v/>
      </c>
      <c r="IQ8" s="81"/>
      <c r="IR8" s="82"/>
      <c r="IS8" s="83"/>
      <c r="IT8" s="108" t="str">
        <f>IFERROR((((COUNTIF('Elève (6ème1)'!IQ8:IS8,"A"))*4)+((COUNTIF('Elève (6ème1)'!IQ8:IS8,"B"))*3)+((COUNTIF('Elève (6ème1)'!IQ8:IS8,"C"))*2)+((COUNTIF('Elève (6ème1)'!IQ8:IS8,"D"))*1))/(COUNTA(IQ8:IS8)),"")</f>
        <v/>
      </c>
      <c r="IU8" s="109" t="str">
        <f t="shared" si="58"/>
        <v/>
      </c>
      <c r="IV8" s="178">
        <f>IF(COUNT(IJ8,IO8,IT8)=0,"",SUM(IJ8,IO8,IT8)/COUNT(IJ8,IO8,IT8))</f>
        <v>4</v>
      </c>
      <c r="IW8" s="131" t="str">
        <f t="shared" si="59"/>
        <v>A</v>
      </c>
      <c r="IX8" s="156" t="s">
        <v>24</v>
      </c>
      <c r="IY8" s="157"/>
      <c r="IZ8" s="158"/>
      <c r="JA8" s="108">
        <f>IFERROR((((COUNTIF('Elève (6ème1)'!IX8:IZ8,"A"))*4)+((COUNTIF('Elève (6ème1)'!IX8:IZ8,"B"))*3)+((COUNTIF('Elève (6ème1)'!IX8:IZ8,"C"))*2)+((COUNTIF('Elève (6ème1)'!IX8:IZ8,"D"))*1))/(COUNTA(IX8:IZ8)),"")</f>
        <v>4</v>
      </c>
      <c r="JB8" s="109" t="str">
        <f t="shared" si="60"/>
        <v>A</v>
      </c>
      <c r="JC8" s="81"/>
      <c r="JD8" s="82"/>
      <c r="JE8" s="83"/>
      <c r="JF8" s="108" t="str">
        <f>IFERROR((((COUNTIF('Elève (6ème1)'!JC8:JE8,"A"))*4)+((COUNTIF('Elève (6ème1)'!JC8:JE8,"B"))*3)+((COUNTIF('Elève (6ème1)'!JC8:JE8,"C"))*2)+((COUNTIF('Elève (6ème1)'!JC8:JE8,"D"))*1))/(COUNTA(JC8:JE8)),"")</f>
        <v/>
      </c>
      <c r="JG8" s="109" t="str">
        <f t="shared" si="61"/>
        <v/>
      </c>
      <c r="JH8" s="81"/>
      <c r="JI8" s="82"/>
      <c r="JJ8" s="83"/>
      <c r="JK8" s="108" t="str">
        <f>IFERROR((((COUNTIF('Elève (6ème1)'!JH8:JJ8,"A"))*4)+((COUNTIF('Elève (6ème1)'!JH8:JJ8,"B"))*3)+((COUNTIF('Elève (6ème1)'!JH8:JJ8,"C"))*2)+((COUNTIF('Elève (6ème1)'!JH8:JJ8,"D"))*1))/(COUNTA(JH8:JJ8)),"")</f>
        <v/>
      </c>
      <c r="JL8" s="109" t="str">
        <f t="shared" si="62"/>
        <v/>
      </c>
      <c r="JM8" s="178">
        <f>IF(COUNT(JA8,JF8,JK8)=0,"",SUM(JA8,JF8,JK8)/COUNT(JA8,JF8,JK8))</f>
        <v>4</v>
      </c>
      <c r="JN8" s="131" t="str">
        <f t="shared" si="63"/>
        <v>A</v>
      </c>
      <c r="JO8" s="156" t="s">
        <v>24</v>
      </c>
      <c r="JP8" s="157"/>
      <c r="JQ8" s="158"/>
      <c r="JR8" s="108">
        <f>IFERROR((((COUNTIF('Elève (6ème1)'!JO8:JQ8,"A"))*4)+((COUNTIF('Elève (6ème1)'!JO8:JQ8,"B"))*3)+((COUNTIF('Elève (6ème1)'!JO8:JQ8,"C"))*2)+((COUNTIF('Elève (6ème1)'!JO8:JQ8,"D"))*1))/(COUNTA(JO8:JQ8)),"")</f>
        <v>4</v>
      </c>
      <c r="JS8" s="109" t="str">
        <f t="shared" si="64"/>
        <v>A</v>
      </c>
      <c r="JT8" s="81"/>
      <c r="JU8" s="82"/>
      <c r="JV8" s="83"/>
      <c r="JW8" s="108" t="str">
        <f>IFERROR((((COUNTIF('Elève (6ème1)'!JT8:JV8,"A"))*4)+((COUNTIF('Elève (6ème1)'!JT8:JV8,"B"))*3)+((COUNTIF('Elève (6ème1)'!JT8:JV8,"C"))*2)+((COUNTIF('Elève (6ème1)'!JT8:JV8,"D"))*1))/(COUNTA(JT8:JV8)),"")</f>
        <v/>
      </c>
      <c r="JX8" s="109" t="str">
        <f t="shared" si="65"/>
        <v/>
      </c>
      <c r="JY8" s="81"/>
      <c r="JZ8" s="82"/>
      <c r="KA8" s="83"/>
      <c r="KB8" s="108" t="str">
        <f>IFERROR((((COUNTIF('Elève (6ème1)'!JY8:KA8,"A"))*4)+((COUNTIF('Elève (6ème1)'!JY8:KA8,"B"))*3)+((COUNTIF('Elève (6ème1)'!JY8:KA8,"C"))*2)+((COUNTIF('Elève (6ème1)'!JY8:KA8,"D"))*1))/(COUNTA(JY8:KA8)),"")</f>
        <v/>
      </c>
      <c r="KC8" s="109" t="str">
        <f t="shared" si="66"/>
        <v/>
      </c>
      <c r="KD8" s="178">
        <f>IF(COUNT(JR8,JW8,KB8)=0,"",SUM(JR8,JW8,KB8)/COUNT(JR8,JW8,KB8))</f>
        <v>4</v>
      </c>
      <c r="KE8" s="131" t="str">
        <f t="shared" si="67"/>
        <v>A</v>
      </c>
      <c r="KF8" s="156" t="s">
        <v>25</v>
      </c>
      <c r="KG8" s="157"/>
      <c r="KH8" s="158"/>
      <c r="KI8" s="108">
        <f>IFERROR((((COUNTIF('Elève (6ème1)'!KF8:KH8,"A"))*4)+((COUNTIF('Elève (6ème1)'!KF8:KH8,"B"))*3)+((COUNTIF('Elève (6ème1)'!KF8:KH8,"C"))*2)+((COUNTIF('Elève (6ème1)'!KF8:KH8,"D"))*1))/(COUNTA(KF8:KH8)),"")</f>
        <v>3</v>
      </c>
      <c r="KJ8" s="109" t="str">
        <f t="shared" si="68"/>
        <v>B</v>
      </c>
      <c r="KK8" s="81"/>
      <c r="KL8" s="82"/>
      <c r="KM8" s="83"/>
      <c r="KN8" s="108" t="str">
        <f>IFERROR((((COUNTIF('Elève (6ème1)'!KK8:KM8,"A"))*4)+((COUNTIF('Elève (6ème1)'!KK8:KM8,"B"))*3)+((COUNTIF('Elève (6ème1)'!KK8:KM8,"C"))*2)+((COUNTIF('Elève (6ème1)'!KK8:KM8,"D"))*1))/(COUNTA(KK8:KM8)),"")</f>
        <v/>
      </c>
      <c r="KO8" s="109" t="str">
        <f t="shared" si="69"/>
        <v/>
      </c>
      <c r="KP8" s="81"/>
      <c r="KQ8" s="82"/>
      <c r="KR8" s="83"/>
      <c r="KS8" s="108" t="str">
        <f>IFERROR((((COUNTIF('Elève (6ème1)'!KP8:KR8,"A"))*4)+((COUNTIF('Elève (6ème1)'!KP8:KR8,"B"))*3)+((COUNTIF('Elève (6ème1)'!KP8:KR8,"C"))*2)+((COUNTIF('Elève (6ème1)'!KP8:KR8,"D"))*1))/(COUNTA(KP8:KR8)),"")</f>
        <v/>
      </c>
      <c r="KT8" s="109" t="str">
        <f t="shared" si="70"/>
        <v/>
      </c>
      <c r="KU8" s="178">
        <f>IF(COUNT(KI8,KN8,KS8)=0,"",SUM(KI8,KN8,KS8)/COUNT(KI8,KN8,KS8))</f>
        <v>3</v>
      </c>
      <c r="KV8" s="131" t="str">
        <f t="shared" si="71"/>
        <v>B</v>
      </c>
      <c r="KW8" s="156" t="s">
        <v>26</v>
      </c>
      <c r="KX8" s="157"/>
      <c r="KY8" s="158"/>
      <c r="KZ8" s="108">
        <f>IFERROR((((COUNTIF('Elève (6ème1)'!KW8:KY8,"A"))*4)+((COUNTIF('Elève (6ème1)'!KW8:KY8,"B"))*3)+((COUNTIF('Elève (6ème1)'!KW8:KY8,"C"))*2)+((COUNTIF('Elève (6ème1)'!KW8:KY8,"D"))*1))/(COUNTA(KW8:KY8)),"")</f>
        <v>2</v>
      </c>
      <c r="LA8" s="109" t="str">
        <f t="shared" si="72"/>
        <v>C</v>
      </c>
      <c r="LB8" s="81"/>
      <c r="LC8" s="82"/>
      <c r="LD8" s="83"/>
      <c r="LE8" s="108" t="str">
        <f>IFERROR((((COUNTIF('Elève (6ème1)'!LB8:LD8,"A"))*4)+((COUNTIF('Elève (6ème1)'!LB8:LD8,"B"))*3)+((COUNTIF('Elève (6ème1)'!LB8:LD8,"C"))*2)+((COUNTIF('Elève (6ème1)'!LB8:LD8,"D"))*1))/(COUNTA(LB8:LD8)),"")</f>
        <v/>
      </c>
      <c r="LF8" s="109" t="str">
        <f t="shared" si="73"/>
        <v/>
      </c>
      <c r="LG8" s="81"/>
      <c r="LH8" s="82"/>
      <c r="LI8" s="83"/>
      <c r="LJ8" s="108" t="str">
        <f>IFERROR((((COUNTIF('Elève (6ème1)'!LG8:LI8,"A"))*4)+((COUNTIF('Elève (6ème1)'!LG8:LI8,"B"))*3)+((COUNTIF('Elève (6ème1)'!LG8:LI8,"C"))*2)+((COUNTIF('Elève (6ème1)'!LG8:LI8,"D"))*1))/(COUNTA(LG8:LI8)),"")</f>
        <v/>
      </c>
      <c r="LK8" s="109" t="str">
        <f t="shared" si="74"/>
        <v/>
      </c>
      <c r="LL8" s="178">
        <f>IF(COUNT(KZ8,LE8,LJ8)=0,"",SUM(KZ8,LE8,LJ8)/COUNT(KZ8,LE8,LJ8))</f>
        <v>2</v>
      </c>
      <c r="LM8" s="131" t="str">
        <f t="shared" si="75"/>
        <v>C</v>
      </c>
      <c r="LN8" s="156" t="s">
        <v>24</v>
      </c>
      <c r="LO8" s="157"/>
      <c r="LP8" s="158"/>
      <c r="LQ8" s="108">
        <f>IFERROR((((COUNTIF('Elève (6ème1)'!LN8:LP8,"A"))*4)+((COUNTIF('Elève (6ème1)'!LN8:LP8,"B"))*3)+((COUNTIF('Elève (6ème1)'!LN8:LP8,"C"))*2)+((COUNTIF('Elève (6ème1)'!LN8:LP8,"D"))*1))/(COUNTA(LN8:LP8)),"")</f>
        <v>4</v>
      </c>
      <c r="LR8" s="109" t="str">
        <f t="shared" si="76"/>
        <v>A</v>
      </c>
      <c r="LS8" s="81"/>
      <c r="LT8" s="82"/>
      <c r="LU8" s="83"/>
      <c r="LV8" s="108" t="str">
        <f>IFERROR((((COUNTIF('Elève (6ème1)'!LS8:LU8,"A"))*4)+((COUNTIF('Elève (6ème1)'!LS8:LU8,"B"))*3)+((COUNTIF('Elève (6ème1)'!LS8:LU8,"C"))*2)+((COUNTIF('Elève (6ème1)'!LS8:LU8,"D"))*1))/(COUNTA(LS8:LU8)),"")</f>
        <v/>
      </c>
      <c r="LW8" s="109" t="str">
        <f t="shared" si="77"/>
        <v/>
      </c>
      <c r="LX8" s="81"/>
      <c r="LY8" s="82"/>
      <c r="LZ8" s="83"/>
      <c r="MA8" s="108" t="str">
        <f>IFERROR((((COUNTIF('Elève (6ème1)'!LX8:LZ8,"A"))*4)+((COUNTIF('Elève (6ème1)'!LX8:LZ8,"B"))*3)+((COUNTIF('Elève (6ème1)'!LX8:LZ8,"C"))*2)+((COUNTIF('Elève (6ème1)'!LX8:LZ8,"D"))*1))/(COUNTA(LX8:LZ8)),"")</f>
        <v/>
      </c>
      <c r="MB8" s="109" t="str">
        <f t="shared" si="78"/>
        <v/>
      </c>
      <c r="MC8" s="178">
        <f>IF(COUNT(LQ8,LV8,MA8)=0,"",SUM(LQ8,LV8,MA8)/COUNT(LQ8,LV8,MA8))</f>
        <v>4</v>
      </c>
      <c r="MD8" s="131" t="str">
        <f t="shared" si="79"/>
        <v>A</v>
      </c>
      <c r="ME8" s="156" t="s">
        <v>26</v>
      </c>
      <c r="MF8" s="157"/>
      <c r="MG8" s="158"/>
      <c r="MH8" s="108">
        <f>IFERROR((((COUNTIF('Elève (6ème1)'!ME8:MG8,"A"))*4)+((COUNTIF('Elève (6ème1)'!ME8:MG8,"B"))*3)+((COUNTIF('Elève (6ème1)'!ME8:MG8,"C"))*2)+((COUNTIF('Elève (6ème1)'!ME8:MG8,"D"))*1))/(COUNTA(ME8:MG8)),"")</f>
        <v>2</v>
      </c>
      <c r="MI8" s="109" t="str">
        <f t="shared" si="80"/>
        <v>C</v>
      </c>
      <c r="MJ8" s="81"/>
      <c r="MK8" s="82"/>
      <c r="ML8" s="83"/>
      <c r="MM8" s="108" t="str">
        <f>IFERROR((((COUNTIF('Elève (6ème1)'!MJ8:ML8,"A"))*4)+((COUNTIF('Elève (6ème1)'!MJ8:ML8,"B"))*3)+((COUNTIF('Elève (6ème1)'!MJ8:ML8,"C"))*2)+((COUNTIF('Elève (6ème1)'!MJ8:ML8,"D"))*1))/(COUNTA(MJ8:ML8)),"")</f>
        <v/>
      </c>
      <c r="MN8" s="109" t="str">
        <f t="shared" si="81"/>
        <v/>
      </c>
      <c r="MO8" s="81"/>
      <c r="MP8" s="82"/>
      <c r="MQ8" s="83"/>
      <c r="MR8" s="108" t="str">
        <f>IFERROR((((COUNTIF('Elève (6ème1)'!MO8:MQ8,"A"))*4)+((COUNTIF('Elève (6ème1)'!MO8:MQ8,"B"))*3)+((COUNTIF('Elève (6ème1)'!MO8:MQ8,"C"))*2)+((COUNTIF('Elève (6ème1)'!MO8:MQ8,"D"))*1))/(COUNTA(MO8:MQ8)),"")</f>
        <v/>
      </c>
      <c r="MS8" s="109" t="str">
        <f t="shared" si="82"/>
        <v/>
      </c>
      <c r="MT8" s="178">
        <f>IF(COUNT(MH8,MM8,MR8)=0,"",SUM(MH8,MM8,MR8)/COUNT(MH8,MM8,MR8))</f>
        <v>2</v>
      </c>
      <c r="MU8" s="131" t="str">
        <f t="shared" si="83"/>
        <v>C</v>
      </c>
      <c r="MV8" s="156" t="s">
        <v>25</v>
      </c>
      <c r="MW8" s="157"/>
      <c r="MX8" s="158"/>
      <c r="MY8" s="108">
        <f>IFERROR((((COUNTIF('Elève (6ème1)'!MV8:MX8,"A"))*4)+((COUNTIF('Elève (6ème1)'!MV8:MX8,"B"))*3)+((COUNTIF('Elève (6ème1)'!MV8:MX8,"C"))*2)+((COUNTIF('Elève (6ème1)'!MV8:MX8,"D"))*1))/(COUNTA(MV8:MX8)),"")</f>
        <v>3</v>
      </c>
      <c r="MZ8" s="109" t="str">
        <f t="shared" si="84"/>
        <v>B</v>
      </c>
      <c r="NA8" s="81"/>
      <c r="NB8" s="82"/>
      <c r="NC8" s="83"/>
      <c r="ND8" s="108" t="str">
        <f>IFERROR((((COUNTIF('Elève (6ème1)'!NA8:NC8,"A"))*4)+((COUNTIF('Elève (6ème1)'!NA8:NC8,"B"))*3)+((COUNTIF('Elève (6ème1)'!NA8:NC8,"C"))*2)+((COUNTIF('Elève (6ème1)'!NA8:NC8,"D"))*1))/(COUNTA(NA8:NC8)),"")</f>
        <v/>
      </c>
      <c r="NE8" s="109" t="str">
        <f t="shared" si="85"/>
        <v/>
      </c>
      <c r="NF8" s="81"/>
      <c r="NG8" s="82"/>
      <c r="NH8" s="83"/>
      <c r="NI8" s="108" t="str">
        <f>IFERROR((((COUNTIF('Elève (6ème1)'!NF8:NH8,"A"))*4)+((COUNTIF('Elève (6ème1)'!NF8:NH8,"B"))*3)+((COUNTIF('Elève (6ème1)'!NF8:NH8,"C"))*2)+((COUNTIF('Elève (6ème1)'!NF8:NH8,"D"))*1))/(COUNTA(NF8:NH8)),"")</f>
        <v/>
      </c>
      <c r="NJ8" s="109" t="str">
        <f t="shared" si="86"/>
        <v/>
      </c>
      <c r="NK8" s="178">
        <f>IF(COUNT(MY8,ND8,NI8)=0,"",SUM(MY8,ND8,NI8)/COUNT(MY8,ND8,NI8))</f>
        <v>3</v>
      </c>
      <c r="NL8" s="131" t="str">
        <f t="shared" si="87"/>
        <v>B</v>
      </c>
      <c r="NM8" s="156" t="s">
        <v>24</v>
      </c>
      <c r="NN8" s="157"/>
      <c r="NO8" s="158"/>
      <c r="NP8" s="108">
        <f>IFERROR((((COUNTIF('Elève (6ème1)'!NM8:NO8,"A"))*4)+((COUNTIF('Elève (6ème1)'!NM8:NO8,"B"))*3)+((COUNTIF('Elève (6ème1)'!NM8:NO8,"C"))*2)+((COUNTIF('Elève (6ème1)'!NM8:NO8,"D"))*1))/(COUNTA(NM8:NO8)),"")</f>
        <v>4</v>
      </c>
      <c r="NQ8" s="109" t="str">
        <f t="shared" si="88"/>
        <v>A</v>
      </c>
      <c r="NR8" s="81"/>
      <c r="NS8" s="82"/>
      <c r="NT8" s="83"/>
      <c r="NU8" s="108" t="str">
        <f>IFERROR((((COUNTIF('Elève (6ème1)'!NR8:NT8,"A"))*4)+((COUNTIF('Elève (6ème1)'!NR8:NT8,"B"))*3)+((COUNTIF('Elève (6ème1)'!NR8:NT8,"C"))*2)+((COUNTIF('Elève (6ème1)'!NR8:NT8,"D"))*1))/(COUNTA(NR8:NT8)),"")</f>
        <v/>
      </c>
      <c r="NV8" s="109" t="str">
        <f t="shared" si="89"/>
        <v/>
      </c>
      <c r="NW8" s="81"/>
      <c r="NX8" s="82"/>
      <c r="NY8" s="83"/>
      <c r="NZ8" s="108" t="str">
        <f>IFERROR((((COUNTIF('Elève (6ème1)'!NW8:NY8,"A"))*4)+((COUNTIF('Elève (6ème1)'!NW8:NY8,"B"))*3)+((COUNTIF('Elève (6ème1)'!NW8:NY8,"C"))*2)+((COUNTIF('Elève (6ème1)'!NW8:NY8,"D"))*1))/(COUNTA(NW8:NY8)),"")</f>
        <v/>
      </c>
      <c r="OA8" s="109" t="str">
        <f t="shared" si="90"/>
        <v/>
      </c>
      <c r="OB8" s="178">
        <f>IF(COUNT(NP8,NU8,NZ8)=0,"",SUM(NP8,NU8,NZ8)/COUNT(NP8,NU8,NZ8))</f>
        <v>4</v>
      </c>
      <c r="OC8" s="131" t="str">
        <f t="shared" si="91"/>
        <v>A</v>
      </c>
      <c r="OD8" s="156" t="s">
        <v>25</v>
      </c>
      <c r="OE8" s="157"/>
      <c r="OF8" s="158"/>
      <c r="OG8" s="108">
        <f>IFERROR((((COUNTIF('Elève (6ème1)'!OD8:OF8,"A"))*4)+((COUNTIF('Elève (6ème1)'!OD8:OF8,"B"))*3)+((COUNTIF('Elève (6ème1)'!OD8:OF8,"C"))*2)+((COUNTIF('Elève (6ème1)'!OD8:OF8,"D"))*1))/(COUNTA(OD8:OF8)),"")</f>
        <v>3</v>
      </c>
      <c r="OH8" s="109" t="str">
        <f t="shared" si="92"/>
        <v>B</v>
      </c>
      <c r="OI8" s="81"/>
      <c r="OJ8" s="82"/>
      <c r="OK8" s="83"/>
      <c r="OL8" s="108" t="str">
        <f>IFERROR((((COUNTIF('Elève (6ème1)'!OI8:OK8,"A"))*4)+((COUNTIF('Elève (6ème1)'!OI8:OK8,"B"))*3)+((COUNTIF('Elève (6ème1)'!OI8:OK8,"C"))*2)+((COUNTIF('Elève (6ème1)'!OI8:OK8,"D"))*1))/(COUNTA(OI8:OK8)),"")</f>
        <v/>
      </c>
      <c r="OM8" s="109" t="str">
        <f t="shared" si="93"/>
        <v/>
      </c>
      <c r="ON8" s="81"/>
      <c r="OO8" s="82"/>
      <c r="OP8" s="83"/>
      <c r="OQ8" s="108" t="str">
        <f>IFERROR((((COUNTIF('Elève (6ème1)'!ON8:OP8,"A"))*4)+((COUNTIF('Elève (6ème1)'!ON8:OP8,"B"))*3)+((COUNTIF('Elève (6ème1)'!ON8:OP8,"C"))*2)+((COUNTIF('Elève (6ème1)'!ON8:OP8,"D"))*1))/(COUNTA(ON8:OP8)),"")</f>
        <v/>
      </c>
      <c r="OR8" s="109" t="str">
        <f t="shared" si="94"/>
        <v/>
      </c>
      <c r="OS8" s="178">
        <f>IF(COUNT(OG8,OL8,OQ8)=0,"",SUM(OG8,OL8,OQ8)/COUNT(OG8,OL8,OQ8))</f>
        <v>3</v>
      </c>
      <c r="OT8" s="131" t="str">
        <f t="shared" si="95"/>
        <v>B</v>
      </c>
      <c r="OU8" s="156" t="s">
        <v>25</v>
      </c>
      <c r="OV8" s="157"/>
      <c r="OW8" s="158"/>
      <c r="OX8" s="108">
        <f>IFERROR((((COUNTIF('Elève (6ème1)'!OU8:OW8,"A"))*4)+((COUNTIF('Elève (6ème1)'!OU8:OW8,"B"))*3)+((COUNTIF('Elève (6ème1)'!OU8:OW8,"C"))*2)+((COUNTIF('Elève (6ème1)'!OU8:OW8,"D"))*1))/(COUNTA(OU8:OW8)),"")</f>
        <v>3</v>
      </c>
      <c r="OY8" s="109" t="str">
        <f t="shared" si="96"/>
        <v>B</v>
      </c>
      <c r="OZ8" s="81"/>
      <c r="PA8" s="82"/>
      <c r="PB8" s="83"/>
      <c r="PC8" s="108" t="str">
        <f>IFERROR((((COUNTIF('Elève (6ème1)'!OZ8:PB8,"A"))*4)+((COUNTIF('Elève (6ème1)'!OZ8:PB8,"B"))*3)+((COUNTIF('Elève (6ème1)'!OZ8:PB8,"C"))*2)+((COUNTIF('Elève (6ème1)'!OZ8:PB8,"D"))*1))/(COUNTA(OZ8:PB8)),"")</f>
        <v/>
      </c>
      <c r="PD8" s="109" t="str">
        <f t="shared" si="97"/>
        <v/>
      </c>
      <c r="PE8" s="81"/>
      <c r="PF8" s="82"/>
      <c r="PG8" s="83"/>
      <c r="PH8" s="108" t="str">
        <f>IFERROR((((COUNTIF('Elève (6ème1)'!PE8:PG8,"A"))*4)+((COUNTIF('Elève (6ème1)'!PE8:PG8,"B"))*3)+((COUNTIF('Elève (6ème1)'!PE8:PG8,"C"))*2)+((COUNTIF('Elève (6ème1)'!PE8:PG8,"D"))*1))/(COUNTA(PE8:PG8)),"")</f>
        <v/>
      </c>
      <c r="PI8" s="109" t="str">
        <f t="shared" si="98"/>
        <v/>
      </c>
      <c r="PJ8" s="178">
        <f>IF(COUNT(OX8,PC8,PH8)=0,"",SUM(OX8,PC8,PH8)/COUNT(OX8,PC8,PH8))</f>
        <v>3</v>
      </c>
      <c r="PK8" s="131" t="str">
        <f t="shared" si="99"/>
        <v>B</v>
      </c>
      <c r="PL8" s="156" t="s">
        <v>25</v>
      </c>
      <c r="PM8" s="157"/>
      <c r="PN8" s="158"/>
      <c r="PO8" s="108">
        <f>IFERROR((((COUNTIF('Elève (6ème1)'!PL8:PN8,"A"))*4)+((COUNTIF('Elève (6ème1)'!PL8:PN8,"B"))*3)+((COUNTIF('Elève (6ème1)'!PL8:PN8,"C"))*2)+((COUNTIF('Elève (6ème1)'!PL8:PN8,"D"))*1))/(COUNTA(PL8:PN8)),"")</f>
        <v>3</v>
      </c>
      <c r="PP8" s="109" t="str">
        <f t="shared" si="100"/>
        <v>B</v>
      </c>
      <c r="PQ8" s="81"/>
      <c r="PR8" s="82"/>
      <c r="PS8" s="83"/>
      <c r="PT8" s="108" t="str">
        <f>IFERROR((((COUNTIF('Elève (6ème1)'!PQ8:PS8,"A"))*4)+((COUNTIF('Elève (6ème1)'!PQ8:PS8,"B"))*3)+((COUNTIF('Elève (6ème1)'!PQ8:PS8,"C"))*2)+((COUNTIF('Elève (6ème1)'!PQ8:PS8,"D"))*1))/(COUNTA(PQ8:PS8)),"")</f>
        <v/>
      </c>
      <c r="PU8" s="109" t="str">
        <f t="shared" si="101"/>
        <v/>
      </c>
      <c r="PV8" s="81"/>
      <c r="PW8" s="82"/>
      <c r="PX8" s="83"/>
      <c r="PY8" s="108" t="str">
        <f>IFERROR((((COUNTIF('Elève (6ème1)'!PV8:PX8,"A"))*4)+((COUNTIF('Elève (6ème1)'!PV8:PX8,"B"))*3)+((COUNTIF('Elève (6ème1)'!PV8:PX8,"C"))*2)+((COUNTIF('Elève (6ème1)'!PV8:PX8,"D"))*1))/(COUNTA(PV8:PX8)),"")</f>
        <v/>
      </c>
      <c r="PZ8" s="109" t="str">
        <f t="shared" si="102"/>
        <v/>
      </c>
      <c r="QA8" s="178">
        <f>IF(COUNT(PO8,PT8,PY8)=0,"",SUM(PO8,PT8,PY8)/COUNT(PO8,PT8,PY8))</f>
        <v>3</v>
      </c>
      <c r="QB8" s="131" t="str">
        <f t="shared" si="103"/>
        <v>B</v>
      </c>
      <c r="QC8" s="156" t="s">
        <v>25</v>
      </c>
      <c r="QD8" s="157"/>
      <c r="QE8" s="158"/>
      <c r="QF8" s="108">
        <f>IFERROR((((COUNTIF('Elève (6ème1)'!QC8:QE8,"A"))*4)+((COUNTIF('Elève (6ème1)'!QC8:QE8,"B"))*3)+((COUNTIF('Elève (6ème1)'!QC8:QE8,"C"))*2)+((COUNTIF('Elève (6ème1)'!QC8:QE8,"D"))*1))/(COUNTA(QC8:QE8)),"")</f>
        <v>3</v>
      </c>
      <c r="QG8" s="109" t="str">
        <f t="shared" si="104"/>
        <v>B</v>
      </c>
      <c r="QH8" s="81"/>
      <c r="QI8" s="82"/>
      <c r="QJ8" s="83"/>
      <c r="QK8" s="108" t="str">
        <f>IFERROR((((COUNTIF('Elève (6ème1)'!QH8:QJ8,"A"))*4)+((COUNTIF('Elève (6ème1)'!QH8:QJ8,"B"))*3)+((COUNTIF('Elève (6ème1)'!QH8:QJ8,"C"))*2)+((COUNTIF('Elève (6ème1)'!QH8:QJ8,"D"))*1))/(COUNTA(QH8:QJ8)),"")</f>
        <v/>
      </c>
      <c r="QL8" s="109" t="str">
        <f t="shared" si="105"/>
        <v/>
      </c>
      <c r="QM8" s="81"/>
      <c r="QN8" s="82"/>
      <c r="QO8" s="83"/>
      <c r="QP8" s="108" t="str">
        <f>IFERROR((((COUNTIF('Elève (6ème1)'!QM8:QO8,"A"))*4)+((COUNTIF('Elève (6ème1)'!QM8:QO8,"B"))*3)+((COUNTIF('Elève (6ème1)'!QM8:QO8,"C"))*2)+((COUNTIF('Elève (6ème1)'!QM8:QO8,"D"))*1))/(COUNTA(QM8:QO8)),"")</f>
        <v/>
      </c>
      <c r="QQ8" s="109" t="str">
        <f t="shared" si="106"/>
        <v/>
      </c>
      <c r="QR8" s="178">
        <f>IF(COUNT(QF8,QK8,QP8)=0,"",SUM(QF8,QK8,QP8)/COUNT(QF8,QK8,QP8))</f>
        <v>3</v>
      </c>
      <c r="QS8" s="131" t="str">
        <f t="shared" si="107"/>
        <v>B</v>
      </c>
      <c r="QT8" s="156"/>
      <c r="QU8" s="157"/>
      <c r="QV8" s="158"/>
      <c r="QW8" s="108" t="str">
        <f>IFERROR((((COUNTIF('Elève (6ème1)'!QT8:QV8,"A"))*4)+((COUNTIF('Elève (6ème1)'!QT8:QV8,"B"))*3)+((COUNTIF('Elève (6ème1)'!QT8:QV8,"C"))*2)+((COUNTIF('Elève (6ème1)'!QT8:QV8,"D"))*1))/(COUNTA(QT8:QV8)),"")</f>
        <v/>
      </c>
      <c r="QX8" s="109" t="str">
        <f t="shared" si="108"/>
        <v/>
      </c>
      <c r="QY8" s="81"/>
      <c r="QZ8" s="82"/>
      <c r="RA8" s="83"/>
      <c r="RB8" s="108" t="str">
        <f>IFERROR((((COUNTIF('Elève (6ème1)'!QY8:RA8,"A"))*4)+((COUNTIF('Elève (6ème1)'!QY8:RA8,"B"))*3)+((COUNTIF('Elève (6ème1)'!QY8:RA8,"C"))*2)+((COUNTIF('Elève (6ème1)'!QY8:RA8,"D"))*1))/(COUNTA(QY8:RA8)),"")</f>
        <v/>
      </c>
      <c r="RC8" s="109" t="str">
        <f t="shared" si="109"/>
        <v/>
      </c>
      <c r="RD8" s="81"/>
      <c r="RE8" s="82"/>
      <c r="RF8" s="83"/>
      <c r="RG8" s="108" t="str">
        <f>IFERROR((((COUNTIF('Elève (6ème1)'!RD8:RF8,"A"))*4)+((COUNTIF('Elève (6ème1)'!RD8:RF8,"B"))*3)+((COUNTIF('Elève (6ème1)'!RD8:RF8,"C"))*2)+((COUNTIF('Elève (6ème1)'!RD8:RF8,"D"))*1))/(COUNTA(RD8:RF8)),"")</f>
        <v/>
      </c>
      <c r="RH8" s="109" t="str">
        <f t="shared" si="110"/>
        <v/>
      </c>
      <c r="RI8" s="178" t="str">
        <f>IF(COUNT(QW8,RB8,RG8)=0,"",SUM(QW8,RB8,RG8)/COUNT(QW8,RB8,RG8))</f>
        <v/>
      </c>
      <c r="RJ8" s="131" t="str">
        <f t="shared" si="111"/>
        <v/>
      </c>
      <c r="RK8" s="156"/>
      <c r="RL8" s="157"/>
      <c r="RM8" s="158"/>
      <c r="RN8" s="108" t="str">
        <f>IFERROR((((COUNTIF('Elève (6ème1)'!RK8:RM8,"A"))*4)+((COUNTIF('Elève (6ème1)'!RK8:RM8,"B"))*3)+((COUNTIF('Elève (6ème1)'!RK8:RM8,"C"))*2)+((COUNTIF('Elève (6ème1)'!RK8:RM8,"D"))*1))/(COUNTA(RK8:RM8)),"")</f>
        <v/>
      </c>
      <c r="RO8" s="109" t="str">
        <f t="shared" si="112"/>
        <v/>
      </c>
      <c r="RP8" s="81"/>
      <c r="RQ8" s="82"/>
      <c r="RR8" s="83"/>
      <c r="RS8" s="108" t="str">
        <f>IFERROR((((COUNTIF('Elève (6ème1)'!RP8:RR8,"A"))*4)+((COUNTIF('Elève (6ème1)'!RP8:RR8,"B"))*3)+((COUNTIF('Elève (6ème1)'!RP8:RR8,"C"))*2)+((COUNTIF('Elève (6ème1)'!RP8:RR8,"D"))*1))/(COUNTA(RP8:RR8)),"")</f>
        <v/>
      </c>
      <c r="RT8" s="109" t="str">
        <f t="shared" si="113"/>
        <v/>
      </c>
      <c r="RU8" s="81"/>
      <c r="RV8" s="82"/>
      <c r="RW8" s="83"/>
      <c r="RX8" s="108" t="str">
        <f>IFERROR((((COUNTIF('Elève (6ème1)'!RU8:RW8,"A"))*4)+((COUNTIF('Elève (6ème1)'!RU8:RW8,"B"))*3)+((COUNTIF('Elève (6ème1)'!RU8:RW8,"C"))*2)+((COUNTIF('Elève (6ème1)'!RU8:RW8,"D"))*1))/(COUNTA(RU8:RW8)),"")</f>
        <v/>
      </c>
      <c r="RY8" s="109" t="str">
        <f t="shared" si="114"/>
        <v/>
      </c>
      <c r="RZ8" s="178" t="str">
        <f>IF(COUNT(RN8,RS8,RX8)=0,"",SUM(RN8,RS8,RX8)/COUNT(RN8,RS8,RX8))</f>
        <v/>
      </c>
      <c r="SA8" s="131" t="str">
        <f t="shared" si="115"/>
        <v/>
      </c>
      <c r="SB8" s="156"/>
      <c r="SC8" s="157"/>
      <c r="SD8" s="158"/>
      <c r="SE8" s="108" t="str">
        <f>IFERROR((((COUNTIF('Elève (6ème1)'!SB8:SD8,"A"))*4)+((COUNTIF('Elève (6ème1)'!SB8:SD8,"B"))*3)+((COUNTIF('Elève (6ème1)'!SB8:SD8,"C"))*2)+((COUNTIF('Elève (6ème1)'!SB8:SD8,"D"))*1))/(COUNTA(SB8:SD8)),"")</f>
        <v/>
      </c>
      <c r="SF8" s="109" t="str">
        <f t="shared" si="116"/>
        <v/>
      </c>
      <c r="SG8" s="81"/>
      <c r="SH8" s="82"/>
      <c r="SI8" s="83"/>
      <c r="SJ8" s="108" t="str">
        <f>IFERROR((((COUNTIF('Elève (6ème1)'!SG8:SI8,"A"))*4)+((COUNTIF('Elève (6ème1)'!SG8:SI8,"B"))*3)+((COUNTIF('Elève (6ème1)'!SG8:SI8,"C"))*2)+((COUNTIF('Elève (6ème1)'!SG8:SI8,"D"))*1))/(COUNTA(SG8:SI8)),"")</f>
        <v/>
      </c>
      <c r="SK8" s="109" t="str">
        <f t="shared" si="117"/>
        <v/>
      </c>
      <c r="SL8" s="81"/>
      <c r="SM8" s="82"/>
      <c r="SN8" s="83"/>
      <c r="SO8" s="108" t="str">
        <f>IFERROR((((COUNTIF('Elève (6ème1)'!SL8:SN8,"A"))*4)+((COUNTIF('Elève (6ème1)'!SL8:SN8,"B"))*3)+((COUNTIF('Elève (6ème1)'!SL8:SN8,"C"))*2)+((COUNTIF('Elève (6ème1)'!SL8:SN8,"D"))*1))/(COUNTA(SL8:SN8)),"")</f>
        <v/>
      </c>
      <c r="SP8" s="109" t="str">
        <f t="shared" si="118"/>
        <v/>
      </c>
      <c r="SQ8" s="178" t="str">
        <f>IF(COUNT(SE8,SJ8,SO8)=0,"",SUM(SE8,SJ8,SO8)/COUNT(SE8,SJ8,SO8))</f>
        <v/>
      </c>
      <c r="SR8" s="131" t="str">
        <f t="shared" si="119"/>
        <v/>
      </c>
    </row>
    <row r="9" spans="1:512" s="72" customFormat="1" ht="18" customHeight="1" x14ac:dyDescent="0.25">
      <c r="A9" s="242" t="s">
        <v>46</v>
      </c>
      <c r="B9" s="243"/>
      <c r="C9" s="156"/>
      <c r="D9" s="157"/>
      <c r="E9" s="158"/>
      <c r="F9" s="110"/>
      <c r="G9" s="111"/>
      <c r="H9" s="81"/>
      <c r="I9" s="82"/>
      <c r="J9" s="83"/>
      <c r="K9" s="110"/>
      <c r="L9" s="111"/>
      <c r="M9" s="81"/>
      <c r="N9" s="82"/>
      <c r="O9" s="83"/>
      <c r="P9" s="110"/>
      <c r="Q9" s="111"/>
      <c r="R9" s="179"/>
      <c r="S9" s="132"/>
      <c r="T9" s="156"/>
      <c r="U9" s="157"/>
      <c r="V9" s="158"/>
      <c r="W9" s="110"/>
      <c r="X9" s="111"/>
      <c r="Y9" s="81"/>
      <c r="Z9" s="82"/>
      <c r="AA9" s="83"/>
      <c r="AB9" s="110"/>
      <c r="AC9" s="111"/>
      <c r="AD9" s="81"/>
      <c r="AE9" s="82"/>
      <c r="AF9" s="83"/>
      <c r="AG9" s="110"/>
      <c r="AH9" s="111"/>
      <c r="AI9" s="179"/>
      <c r="AJ9" s="132"/>
      <c r="AK9" s="156"/>
      <c r="AL9" s="157"/>
      <c r="AM9" s="158"/>
      <c r="AN9" s="110"/>
      <c r="AO9" s="111"/>
      <c r="AP9" s="81"/>
      <c r="AQ9" s="82"/>
      <c r="AR9" s="83"/>
      <c r="AS9" s="110"/>
      <c r="AT9" s="111"/>
      <c r="AU9" s="81"/>
      <c r="AV9" s="82"/>
      <c r="AW9" s="83"/>
      <c r="AX9" s="110"/>
      <c r="AY9" s="111"/>
      <c r="AZ9" s="179"/>
      <c r="BA9" s="132"/>
      <c r="BB9" s="156"/>
      <c r="BC9" s="157"/>
      <c r="BD9" s="158"/>
      <c r="BE9" s="110"/>
      <c r="BF9" s="111"/>
      <c r="BG9" s="81"/>
      <c r="BH9" s="82"/>
      <c r="BI9" s="83"/>
      <c r="BJ9" s="110"/>
      <c r="BK9" s="111"/>
      <c r="BL9" s="81"/>
      <c r="BM9" s="82"/>
      <c r="BN9" s="83"/>
      <c r="BO9" s="110"/>
      <c r="BP9" s="111"/>
      <c r="BQ9" s="179"/>
      <c r="BR9" s="132"/>
      <c r="BS9" s="156"/>
      <c r="BT9" s="157"/>
      <c r="BU9" s="158"/>
      <c r="BV9" s="110"/>
      <c r="BW9" s="111"/>
      <c r="BX9" s="81"/>
      <c r="BY9" s="82"/>
      <c r="BZ9" s="83"/>
      <c r="CA9" s="110"/>
      <c r="CB9" s="111"/>
      <c r="CC9" s="81"/>
      <c r="CD9" s="82"/>
      <c r="CE9" s="83"/>
      <c r="CF9" s="110"/>
      <c r="CG9" s="111"/>
      <c r="CH9" s="179"/>
      <c r="CI9" s="132"/>
      <c r="CJ9" s="156"/>
      <c r="CK9" s="157"/>
      <c r="CL9" s="158"/>
      <c r="CM9" s="110"/>
      <c r="CN9" s="111"/>
      <c r="CO9" s="81"/>
      <c r="CP9" s="82"/>
      <c r="CQ9" s="83"/>
      <c r="CR9" s="110"/>
      <c r="CS9" s="111"/>
      <c r="CT9" s="81"/>
      <c r="CU9" s="82"/>
      <c r="CV9" s="83"/>
      <c r="CW9" s="110"/>
      <c r="CX9" s="111"/>
      <c r="CY9" s="179"/>
      <c r="CZ9" s="132"/>
      <c r="DA9" s="156"/>
      <c r="DB9" s="157"/>
      <c r="DC9" s="158"/>
      <c r="DD9" s="110"/>
      <c r="DE9" s="111"/>
      <c r="DF9" s="81"/>
      <c r="DG9" s="82"/>
      <c r="DH9" s="83"/>
      <c r="DI9" s="110"/>
      <c r="DJ9" s="111"/>
      <c r="DK9" s="81"/>
      <c r="DL9" s="82"/>
      <c r="DM9" s="83"/>
      <c r="DN9" s="110"/>
      <c r="DO9" s="111"/>
      <c r="DP9" s="179"/>
      <c r="DQ9" s="132"/>
      <c r="DR9" s="156"/>
      <c r="DS9" s="157"/>
      <c r="DT9" s="158"/>
      <c r="DU9" s="110"/>
      <c r="DV9" s="111"/>
      <c r="DW9" s="81"/>
      <c r="DX9" s="82"/>
      <c r="DY9" s="83"/>
      <c r="DZ9" s="110"/>
      <c r="EA9" s="111"/>
      <c r="EB9" s="81"/>
      <c r="EC9" s="82"/>
      <c r="ED9" s="83"/>
      <c r="EE9" s="110"/>
      <c r="EF9" s="111"/>
      <c r="EG9" s="179"/>
      <c r="EH9" s="132"/>
      <c r="EI9" s="156"/>
      <c r="EJ9" s="157"/>
      <c r="EK9" s="158"/>
      <c r="EL9" s="110"/>
      <c r="EM9" s="111"/>
      <c r="EN9" s="81"/>
      <c r="EO9" s="82"/>
      <c r="EP9" s="83"/>
      <c r="EQ9" s="110"/>
      <c r="ER9" s="111"/>
      <c r="ES9" s="81"/>
      <c r="ET9" s="82"/>
      <c r="EU9" s="83"/>
      <c r="EV9" s="110"/>
      <c r="EW9" s="111"/>
      <c r="EX9" s="179"/>
      <c r="EY9" s="132"/>
      <c r="EZ9" s="156"/>
      <c r="FA9" s="157"/>
      <c r="FB9" s="158"/>
      <c r="FC9" s="110"/>
      <c r="FD9" s="111"/>
      <c r="FE9" s="81"/>
      <c r="FF9" s="82"/>
      <c r="FG9" s="83"/>
      <c r="FH9" s="110"/>
      <c r="FI9" s="111"/>
      <c r="FJ9" s="81"/>
      <c r="FK9" s="82"/>
      <c r="FL9" s="83"/>
      <c r="FM9" s="110"/>
      <c r="FN9" s="111"/>
      <c r="FO9" s="179"/>
      <c r="FP9" s="132"/>
      <c r="FQ9" s="156"/>
      <c r="FR9" s="157"/>
      <c r="FS9" s="158"/>
      <c r="FT9" s="110"/>
      <c r="FU9" s="111"/>
      <c r="FV9" s="81"/>
      <c r="FW9" s="82"/>
      <c r="FX9" s="83"/>
      <c r="FY9" s="110"/>
      <c r="FZ9" s="111"/>
      <c r="GA9" s="81"/>
      <c r="GB9" s="82"/>
      <c r="GC9" s="83"/>
      <c r="GD9" s="110"/>
      <c r="GE9" s="111"/>
      <c r="GF9" s="179"/>
      <c r="GG9" s="132"/>
      <c r="GH9" s="156"/>
      <c r="GI9" s="157"/>
      <c r="GJ9" s="158"/>
      <c r="GK9" s="110"/>
      <c r="GL9" s="111"/>
      <c r="GM9" s="81"/>
      <c r="GN9" s="82"/>
      <c r="GO9" s="83"/>
      <c r="GP9" s="110"/>
      <c r="GQ9" s="111"/>
      <c r="GR9" s="81"/>
      <c r="GS9" s="82"/>
      <c r="GT9" s="83"/>
      <c r="GU9" s="110"/>
      <c r="GV9" s="111"/>
      <c r="GW9" s="179"/>
      <c r="GX9" s="132"/>
      <c r="GY9" s="156"/>
      <c r="GZ9" s="157"/>
      <c r="HA9" s="158"/>
      <c r="HB9" s="110"/>
      <c r="HC9" s="111"/>
      <c r="HD9" s="81"/>
      <c r="HE9" s="82"/>
      <c r="HF9" s="83"/>
      <c r="HG9" s="110"/>
      <c r="HH9" s="111"/>
      <c r="HI9" s="81"/>
      <c r="HJ9" s="82"/>
      <c r="HK9" s="83"/>
      <c r="HL9" s="110"/>
      <c r="HM9" s="111"/>
      <c r="HN9" s="179"/>
      <c r="HO9" s="132"/>
      <c r="HP9" s="156"/>
      <c r="HQ9" s="157"/>
      <c r="HR9" s="158"/>
      <c r="HS9" s="110"/>
      <c r="HT9" s="111"/>
      <c r="HU9" s="81"/>
      <c r="HV9" s="82"/>
      <c r="HW9" s="83"/>
      <c r="HX9" s="110"/>
      <c r="HY9" s="111"/>
      <c r="HZ9" s="81"/>
      <c r="IA9" s="82"/>
      <c r="IB9" s="83"/>
      <c r="IC9" s="110"/>
      <c r="ID9" s="111"/>
      <c r="IE9" s="179"/>
      <c r="IF9" s="132"/>
      <c r="IG9" s="156"/>
      <c r="IH9" s="157"/>
      <c r="II9" s="158"/>
      <c r="IJ9" s="110"/>
      <c r="IK9" s="111"/>
      <c r="IL9" s="81"/>
      <c r="IM9" s="82"/>
      <c r="IN9" s="83"/>
      <c r="IO9" s="110"/>
      <c r="IP9" s="111"/>
      <c r="IQ9" s="81"/>
      <c r="IR9" s="82"/>
      <c r="IS9" s="83"/>
      <c r="IT9" s="110"/>
      <c r="IU9" s="111"/>
      <c r="IV9" s="179"/>
      <c r="IW9" s="132"/>
      <c r="IX9" s="156"/>
      <c r="IY9" s="157"/>
      <c r="IZ9" s="158"/>
      <c r="JA9" s="110"/>
      <c r="JB9" s="111"/>
      <c r="JC9" s="81"/>
      <c r="JD9" s="82"/>
      <c r="JE9" s="83"/>
      <c r="JF9" s="110"/>
      <c r="JG9" s="111"/>
      <c r="JH9" s="81"/>
      <c r="JI9" s="82"/>
      <c r="JJ9" s="83"/>
      <c r="JK9" s="110"/>
      <c r="JL9" s="111"/>
      <c r="JM9" s="179"/>
      <c r="JN9" s="132"/>
      <c r="JO9" s="156"/>
      <c r="JP9" s="157"/>
      <c r="JQ9" s="158"/>
      <c r="JR9" s="110"/>
      <c r="JS9" s="111"/>
      <c r="JT9" s="81"/>
      <c r="JU9" s="82"/>
      <c r="JV9" s="83"/>
      <c r="JW9" s="110"/>
      <c r="JX9" s="111"/>
      <c r="JY9" s="81"/>
      <c r="JZ9" s="82"/>
      <c r="KA9" s="83"/>
      <c r="KB9" s="110"/>
      <c r="KC9" s="111"/>
      <c r="KD9" s="179"/>
      <c r="KE9" s="132"/>
      <c r="KF9" s="156"/>
      <c r="KG9" s="157"/>
      <c r="KH9" s="158"/>
      <c r="KI9" s="110"/>
      <c r="KJ9" s="111"/>
      <c r="KK9" s="81"/>
      <c r="KL9" s="82"/>
      <c r="KM9" s="83"/>
      <c r="KN9" s="110"/>
      <c r="KO9" s="111"/>
      <c r="KP9" s="81"/>
      <c r="KQ9" s="82"/>
      <c r="KR9" s="83"/>
      <c r="KS9" s="110"/>
      <c r="KT9" s="111"/>
      <c r="KU9" s="179"/>
      <c r="KV9" s="132"/>
      <c r="KW9" s="156"/>
      <c r="KX9" s="157"/>
      <c r="KY9" s="158"/>
      <c r="KZ9" s="110"/>
      <c r="LA9" s="111"/>
      <c r="LB9" s="81"/>
      <c r="LC9" s="82"/>
      <c r="LD9" s="83"/>
      <c r="LE9" s="110"/>
      <c r="LF9" s="111"/>
      <c r="LG9" s="81"/>
      <c r="LH9" s="82"/>
      <c r="LI9" s="83"/>
      <c r="LJ9" s="110"/>
      <c r="LK9" s="111"/>
      <c r="LL9" s="179"/>
      <c r="LM9" s="132"/>
      <c r="LN9" s="156"/>
      <c r="LO9" s="157"/>
      <c r="LP9" s="158"/>
      <c r="LQ9" s="110"/>
      <c r="LR9" s="111"/>
      <c r="LS9" s="81"/>
      <c r="LT9" s="82"/>
      <c r="LU9" s="83"/>
      <c r="LV9" s="110"/>
      <c r="LW9" s="111"/>
      <c r="LX9" s="81"/>
      <c r="LY9" s="82"/>
      <c r="LZ9" s="83"/>
      <c r="MA9" s="110"/>
      <c r="MB9" s="111"/>
      <c r="MC9" s="179"/>
      <c r="MD9" s="132"/>
      <c r="ME9" s="156"/>
      <c r="MF9" s="157"/>
      <c r="MG9" s="158"/>
      <c r="MH9" s="110"/>
      <c r="MI9" s="111"/>
      <c r="MJ9" s="81"/>
      <c r="MK9" s="82"/>
      <c r="ML9" s="83"/>
      <c r="MM9" s="110"/>
      <c r="MN9" s="111"/>
      <c r="MO9" s="81"/>
      <c r="MP9" s="82"/>
      <c r="MQ9" s="83"/>
      <c r="MR9" s="110"/>
      <c r="MS9" s="111"/>
      <c r="MT9" s="179"/>
      <c r="MU9" s="132"/>
      <c r="MV9" s="156"/>
      <c r="MW9" s="157"/>
      <c r="MX9" s="158"/>
      <c r="MY9" s="110"/>
      <c r="MZ9" s="111"/>
      <c r="NA9" s="81"/>
      <c r="NB9" s="82"/>
      <c r="NC9" s="83"/>
      <c r="ND9" s="110"/>
      <c r="NE9" s="111"/>
      <c r="NF9" s="81"/>
      <c r="NG9" s="82"/>
      <c r="NH9" s="83"/>
      <c r="NI9" s="110"/>
      <c r="NJ9" s="111"/>
      <c r="NK9" s="179"/>
      <c r="NL9" s="132"/>
      <c r="NM9" s="156"/>
      <c r="NN9" s="157"/>
      <c r="NO9" s="158"/>
      <c r="NP9" s="110"/>
      <c r="NQ9" s="111"/>
      <c r="NR9" s="81"/>
      <c r="NS9" s="82"/>
      <c r="NT9" s="83"/>
      <c r="NU9" s="110"/>
      <c r="NV9" s="111"/>
      <c r="NW9" s="81"/>
      <c r="NX9" s="82"/>
      <c r="NY9" s="83"/>
      <c r="NZ9" s="110"/>
      <c r="OA9" s="111"/>
      <c r="OB9" s="179"/>
      <c r="OC9" s="132"/>
      <c r="OD9" s="156"/>
      <c r="OE9" s="157"/>
      <c r="OF9" s="158"/>
      <c r="OG9" s="110"/>
      <c r="OH9" s="111"/>
      <c r="OI9" s="81"/>
      <c r="OJ9" s="82"/>
      <c r="OK9" s="83"/>
      <c r="OL9" s="110"/>
      <c r="OM9" s="111"/>
      <c r="ON9" s="81"/>
      <c r="OO9" s="82"/>
      <c r="OP9" s="83"/>
      <c r="OQ9" s="110"/>
      <c r="OR9" s="111"/>
      <c r="OS9" s="179"/>
      <c r="OT9" s="132"/>
      <c r="OU9" s="156"/>
      <c r="OV9" s="157"/>
      <c r="OW9" s="158"/>
      <c r="OX9" s="110"/>
      <c r="OY9" s="111"/>
      <c r="OZ9" s="81"/>
      <c r="PA9" s="82"/>
      <c r="PB9" s="83"/>
      <c r="PC9" s="110"/>
      <c r="PD9" s="111"/>
      <c r="PE9" s="81"/>
      <c r="PF9" s="82"/>
      <c r="PG9" s="83"/>
      <c r="PH9" s="110"/>
      <c r="PI9" s="111"/>
      <c r="PJ9" s="179"/>
      <c r="PK9" s="132"/>
      <c r="PL9" s="156"/>
      <c r="PM9" s="157"/>
      <c r="PN9" s="158"/>
      <c r="PO9" s="110"/>
      <c r="PP9" s="111"/>
      <c r="PQ9" s="81"/>
      <c r="PR9" s="82"/>
      <c r="PS9" s="83"/>
      <c r="PT9" s="110"/>
      <c r="PU9" s="111"/>
      <c r="PV9" s="81"/>
      <c r="PW9" s="82"/>
      <c r="PX9" s="83"/>
      <c r="PY9" s="110"/>
      <c r="PZ9" s="111"/>
      <c r="QA9" s="179"/>
      <c r="QB9" s="132"/>
      <c r="QC9" s="156"/>
      <c r="QD9" s="157"/>
      <c r="QE9" s="158"/>
      <c r="QF9" s="110"/>
      <c r="QG9" s="111"/>
      <c r="QH9" s="81"/>
      <c r="QI9" s="82"/>
      <c r="QJ9" s="83"/>
      <c r="QK9" s="110"/>
      <c r="QL9" s="111"/>
      <c r="QM9" s="81"/>
      <c r="QN9" s="82"/>
      <c r="QO9" s="83"/>
      <c r="QP9" s="110"/>
      <c r="QQ9" s="111"/>
      <c r="QR9" s="179"/>
      <c r="QS9" s="132"/>
      <c r="QT9" s="156"/>
      <c r="QU9" s="157"/>
      <c r="QV9" s="158"/>
      <c r="QW9" s="110"/>
      <c r="QX9" s="111"/>
      <c r="QY9" s="81"/>
      <c r="QZ9" s="82"/>
      <c r="RA9" s="83"/>
      <c r="RB9" s="110"/>
      <c r="RC9" s="111"/>
      <c r="RD9" s="81"/>
      <c r="RE9" s="82"/>
      <c r="RF9" s="83"/>
      <c r="RG9" s="110"/>
      <c r="RH9" s="111"/>
      <c r="RI9" s="179"/>
      <c r="RJ9" s="132"/>
      <c r="RK9" s="156"/>
      <c r="RL9" s="157"/>
      <c r="RM9" s="158"/>
      <c r="RN9" s="110"/>
      <c r="RO9" s="111"/>
      <c r="RP9" s="81"/>
      <c r="RQ9" s="82"/>
      <c r="RR9" s="83"/>
      <c r="RS9" s="110"/>
      <c r="RT9" s="111"/>
      <c r="RU9" s="81"/>
      <c r="RV9" s="82"/>
      <c r="RW9" s="83"/>
      <c r="RX9" s="110"/>
      <c r="RY9" s="111"/>
      <c r="RZ9" s="179"/>
      <c r="SA9" s="132"/>
      <c r="SB9" s="156"/>
      <c r="SC9" s="157"/>
      <c r="SD9" s="158"/>
      <c r="SE9" s="110"/>
      <c r="SF9" s="111"/>
      <c r="SG9" s="81"/>
      <c r="SH9" s="82"/>
      <c r="SI9" s="83"/>
      <c r="SJ9" s="110"/>
      <c r="SK9" s="111"/>
      <c r="SL9" s="81"/>
      <c r="SM9" s="82"/>
      <c r="SN9" s="83"/>
      <c r="SO9" s="110"/>
      <c r="SP9" s="111"/>
      <c r="SQ9" s="179"/>
      <c r="SR9" s="132"/>
    </row>
    <row r="10" spans="1:512" s="72" customFormat="1" ht="18" customHeight="1" x14ac:dyDescent="0.25">
      <c r="A10" s="250" t="s">
        <v>47</v>
      </c>
      <c r="B10" s="251"/>
      <c r="C10" s="215" t="s">
        <v>25</v>
      </c>
      <c r="D10" s="216"/>
      <c r="E10" s="217"/>
      <c r="F10" s="206"/>
      <c r="G10" s="207"/>
      <c r="H10" s="218"/>
      <c r="I10" s="219"/>
      <c r="J10" s="220"/>
      <c r="K10" s="206"/>
      <c r="L10" s="207"/>
      <c r="M10" s="218"/>
      <c r="N10" s="219"/>
      <c r="O10" s="220"/>
      <c r="P10" s="206"/>
      <c r="Q10" s="207"/>
      <c r="R10" s="208"/>
      <c r="S10" s="209"/>
      <c r="T10" s="215" t="s">
        <v>24</v>
      </c>
      <c r="U10" s="216"/>
      <c r="V10" s="217"/>
      <c r="W10" s="206"/>
      <c r="X10" s="207"/>
      <c r="Y10" s="218"/>
      <c r="Z10" s="219"/>
      <c r="AA10" s="220"/>
      <c r="AB10" s="206"/>
      <c r="AC10" s="207"/>
      <c r="AD10" s="218"/>
      <c r="AE10" s="219"/>
      <c r="AF10" s="220"/>
      <c r="AG10" s="206"/>
      <c r="AH10" s="207"/>
      <c r="AI10" s="208"/>
      <c r="AJ10" s="209"/>
      <c r="AK10" s="215" t="s">
        <v>25</v>
      </c>
      <c r="AL10" s="216"/>
      <c r="AM10" s="217"/>
      <c r="AN10" s="206"/>
      <c r="AO10" s="207"/>
      <c r="AP10" s="218"/>
      <c r="AQ10" s="219"/>
      <c r="AR10" s="220"/>
      <c r="AS10" s="206"/>
      <c r="AT10" s="207"/>
      <c r="AU10" s="218"/>
      <c r="AV10" s="219"/>
      <c r="AW10" s="220"/>
      <c r="AX10" s="206"/>
      <c r="AY10" s="207"/>
      <c r="AZ10" s="208"/>
      <c r="BA10" s="209"/>
      <c r="BB10" s="215" t="s">
        <v>25</v>
      </c>
      <c r="BC10" s="216"/>
      <c r="BD10" s="217"/>
      <c r="BE10" s="206"/>
      <c r="BF10" s="207"/>
      <c r="BG10" s="218"/>
      <c r="BH10" s="219"/>
      <c r="BI10" s="220"/>
      <c r="BJ10" s="206"/>
      <c r="BK10" s="207"/>
      <c r="BL10" s="218"/>
      <c r="BM10" s="219"/>
      <c r="BN10" s="220"/>
      <c r="BO10" s="206"/>
      <c r="BP10" s="207"/>
      <c r="BQ10" s="208"/>
      <c r="BR10" s="209"/>
      <c r="BS10" s="215" t="s">
        <v>25</v>
      </c>
      <c r="BT10" s="216"/>
      <c r="BU10" s="217"/>
      <c r="BV10" s="206"/>
      <c r="BW10" s="207"/>
      <c r="BX10" s="218"/>
      <c r="BY10" s="219"/>
      <c r="BZ10" s="220"/>
      <c r="CA10" s="206"/>
      <c r="CB10" s="207"/>
      <c r="CC10" s="218"/>
      <c r="CD10" s="219"/>
      <c r="CE10" s="220"/>
      <c r="CF10" s="206"/>
      <c r="CG10" s="207"/>
      <c r="CH10" s="208"/>
      <c r="CI10" s="209"/>
      <c r="CJ10" s="215" t="s">
        <v>24</v>
      </c>
      <c r="CK10" s="216"/>
      <c r="CL10" s="217"/>
      <c r="CM10" s="206"/>
      <c r="CN10" s="207"/>
      <c r="CO10" s="218"/>
      <c r="CP10" s="219"/>
      <c r="CQ10" s="220"/>
      <c r="CR10" s="206"/>
      <c r="CS10" s="207"/>
      <c r="CT10" s="218"/>
      <c r="CU10" s="219"/>
      <c r="CV10" s="220"/>
      <c r="CW10" s="206"/>
      <c r="CX10" s="207"/>
      <c r="CY10" s="208"/>
      <c r="CZ10" s="209"/>
      <c r="DA10" s="215" t="s">
        <v>25</v>
      </c>
      <c r="DB10" s="216"/>
      <c r="DC10" s="217"/>
      <c r="DD10" s="206"/>
      <c r="DE10" s="207"/>
      <c r="DF10" s="218"/>
      <c r="DG10" s="219"/>
      <c r="DH10" s="220"/>
      <c r="DI10" s="206"/>
      <c r="DJ10" s="207"/>
      <c r="DK10" s="218"/>
      <c r="DL10" s="219"/>
      <c r="DM10" s="220"/>
      <c r="DN10" s="206"/>
      <c r="DO10" s="207"/>
      <c r="DP10" s="208"/>
      <c r="DQ10" s="209"/>
      <c r="DR10" s="215" t="s">
        <v>27</v>
      </c>
      <c r="DS10" s="216"/>
      <c r="DT10" s="217"/>
      <c r="DU10" s="206"/>
      <c r="DV10" s="207"/>
      <c r="DW10" s="218"/>
      <c r="DX10" s="219"/>
      <c r="DY10" s="220"/>
      <c r="DZ10" s="206"/>
      <c r="EA10" s="207"/>
      <c r="EB10" s="218"/>
      <c r="EC10" s="219"/>
      <c r="ED10" s="220"/>
      <c r="EE10" s="206"/>
      <c r="EF10" s="207"/>
      <c r="EG10" s="208"/>
      <c r="EH10" s="209"/>
      <c r="EI10" s="215" t="s">
        <v>26</v>
      </c>
      <c r="EJ10" s="216"/>
      <c r="EK10" s="217"/>
      <c r="EL10" s="206"/>
      <c r="EM10" s="207"/>
      <c r="EN10" s="218"/>
      <c r="EO10" s="219"/>
      <c r="EP10" s="220"/>
      <c r="EQ10" s="206"/>
      <c r="ER10" s="207"/>
      <c r="ES10" s="218"/>
      <c r="ET10" s="219"/>
      <c r="EU10" s="220"/>
      <c r="EV10" s="206"/>
      <c r="EW10" s="207"/>
      <c r="EX10" s="208"/>
      <c r="EY10" s="209"/>
      <c r="EZ10" s="215" t="s">
        <v>25</v>
      </c>
      <c r="FA10" s="216"/>
      <c r="FB10" s="217"/>
      <c r="FC10" s="206"/>
      <c r="FD10" s="207"/>
      <c r="FE10" s="218"/>
      <c r="FF10" s="219"/>
      <c r="FG10" s="220"/>
      <c r="FH10" s="206"/>
      <c r="FI10" s="207"/>
      <c r="FJ10" s="218"/>
      <c r="FK10" s="219"/>
      <c r="FL10" s="220"/>
      <c r="FM10" s="206"/>
      <c r="FN10" s="207"/>
      <c r="FO10" s="208"/>
      <c r="FP10" s="209"/>
      <c r="FQ10" s="215" t="s">
        <v>25</v>
      </c>
      <c r="FR10" s="216"/>
      <c r="FS10" s="217"/>
      <c r="FT10" s="206"/>
      <c r="FU10" s="207"/>
      <c r="FV10" s="218"/>
      <c r="FW10" s="219"/>
      <c r="FX10" s="220"/>
      <c r="FY10" s="206"/>
      <c r="FZ10" s="207"/>
      <c r="GA10" s="218"/>
      <c r="GB10" s="219"/>
      <c r="GC10" s="220"/>
      <c r="GD10" s="206"/>
      <c r="GE10" s="207"/>
      <c r="GF10" s="208"/>
      <c r="GG10" s="209"/>
      <c r="GH10" s="215" t="s">
        <v>25</v>
      </c>
      <c r="GI10" s="216"/>
      <c r="GJ10" s="217"/>
      <c r="GK10" s="206"/>
      <c r="GL10" s="207"/>
      <c r="GM10" s="218"/>
      <c r="GN10" s="219"/>
      <c r="GO10" s="220"/>
      <c r="GP10" s="206"/>
      <c r="GQ10" s="207"/>
      <c r="GR10" s="218"/>
      <c r="GS10" s="219"/>
      <c r="GT10" s="220"/>
      <c r="GU10" s="206"/>
      <c r="GV10" s="207"/>
      <c r="GW10" s="208"/>
      <c r="GX10" s="209"/>
      <c r="GY10" s="215" t="s">
        <v>25</v>
      </c>
      <c r="GZ10" s="216"/>
      <c r="HA10" s="217"/>
      <c r="HB10" s="206"/>
      <c r="HC10" s="207"/>
      <c r="HD10" s="218"/>
      <c r="HE10" s="219"/>
      <c r="HF10" s="220"/>
      <c r="HG10" s="206"/>
      <c r="HH10" s="207"/>
      <c r="HI10" s="218"/>
      <c r="HJ10" s="219"/>
      <c r="HK10" s="220"/>
      <c r="HL10" s="206"/>
      <c r="HM10" s="207"/>
      <c r="HN10" s="208"/>
      <c r="HO10" s="209"/>
      <c r="HP10" s="215" t="s">
        <v>25</v>
      </c>
      <c r="HQ10" s="216"/>
      <c r="HR10" s="217"/>
      <c r="HS10" s="206"/>
      <c r="HT10" s="207"/>
      <c r="HU10" s="218"/>
      <c r="HV10" s="219"/>
      <c r="HW10" s="220"/>
      <c r="HX10" s="206"/>
      <c r="HY10" s="207"/>
      <c r="HZ10" s="218"/>
      <c r="IA10" s="219"/>
      <c r="IB10" s="220"/>
      <c r="IC10" s="206"/>
      <c r="ID10" s="207"/>
      <c r="IE10" s="208"/>
      <c r="IF10" s="209"/>
      <c r="IG10" s="215" t="s">
        <v>25</v>
      </c>
      <c r="IH10" s="216"/>
      <c r="II10" s="217"/>
      <c r="IJ10" s="206"/>
      <c r="IK10" s="207"/>
      <c r="IL10" s="218"/>
      <c r="IM10" s="219"/>
      <c r="IN10" s="220"/>
      <c r="IO10" s="206"/>
      <c r="IP10" s="207"/>
      <c r="IQ10" s="218"/>
      <c r="IR10" s="219"/>
      <c r="IS10" s="220"/>
      <c r="IT10" s="206"/>
      <c r="IU10" s="207"/>
      <c r="IV10" s="208"/>
      <c r="IW10" s="209"/>
      <c r="IX10" s="215" t="s">
        <v>25</v>
      </c>
      <c r="IY10" s="216"/>
      <c r="IZ10" s="217"/>
      <c r="JA10" s="206"/>
      <c r="JB10" s="207"/>
      <c r="JC10" s="218"/>
      <c r="JD10" s="219"/>
      <c r="JE10" s="220"/>
      <c r="JF10" s="206"/>
      <c r="JG10" s="207"/>
      <c r="JH10" s="218"/>
      <c r="JI10" s="219"/>
      <c r="JJ10" s="220"/>
      <c r="JK10" s="206"/>
      <c r="JL10" s="207"/>
      <c r="JM10" s="208"/>
      <c r="JN10" s="209"/>
      <c r="JO10" s="215" t="s">
        <v>25</v>
      </c>
      <c r="JP10" s="216"/>
      <c r="JQ10" s="217"/>
      <c r="JR10" s="206"/>
      <c r="JS10" s="207"/>
      <c r="JT10" s="218"/>
      <c r="JU10" s="219"/>
      <c r="JV10" s="220"/>
      <c r="JW10" s="206"/>
      <c r="JX10" s="207"/>
      <c r="JY10" s="218"/>
      <c r="JZ10" s="219"/>
      <c r="KA10" s="220"/>
      <c r="KB10" s="206"/>
      <c r="KC10" s="207"/>
      <c r="KD10" s="208"/>
      <c r="KE10" s="209"/>
      <c r="KF10" s="215" t="s">
        <v>25</v>
      </c>
      <c r="KG10" s="216"/>
      <c r="KH10" s="217"/>
      <c r="KI10" s="206"/>
      <c r="KJ10" s="207"/>
      <c r="KK10" s="218"/>
      <c r="KL10" s="219"/>
      <c r="KM10" s="220"/>
      <c r="KN10" s="206"/>
      <c r="KO10" s="207"/>
      <c r="KP10" s="218"/>
      <c r="KQ10" s="219"/>
      <c r="KR10" s="220"/>
      <c r="KS10" s="206"/>
      <c r="KT10" s="207"/>
      <c r="KU10" s="208"/>
      <c r="KV10" s="209"/>
      <c r="KW10" s="215" t="s">
        <v>26</v>
      </c>
      <c r="KX10" s="216"/>
      <c r="KY10" s="217"/>
      <c r="KZ10" s="206"/>
      <c r="LA10" s="207"/>
      <c r="LB10" s="218"/>
      <c r="LC10" s="219"/>
      <c r="LD10" s="220"/>
      <c r="LE10" s="206"/>
      <c r="LF10" s="207"/>
      <c r="LG10" s="218"/>
      <c r="LH10" s="219"/>
      <c r="LI10" s="220"/>
      <c r="LJ10" s="206"/>
      <c r="LK10" s="207"/>
      <c r="LL10" s="208"/>
      <c r="LM10" s="209"/>
      <c r="LN10" s="215" t="s">
        <v>24</v>
      </c>
      <c r="LO10" s="216"/>
      <c r="LP10" s="217"/>
      <c r="LQ10" s="206"/>
      <c r="LR10" s="207"/>
      <c r="LS10" s="218"/>
      <c r="LT10" s="219"/>
      <c r="LU10" s="220"/>
      <c r="LV10" s="206"/>
      <c r="LW10" s="207"/>
      <c r="LX10" s="218"/>
      <c r="LY10" s="219"/>
      <c r="LZ10" s="220"/>
      <c r="MA10" s="206"/>
      <c r="MB10" s="207"/>
      <c r="MC10" s="208"/>
      <c r="MD10" s="209"/>
      <c r="ME10" s="215" t="s">
        <v>25</v>
      </c>
      <c r="MF10" s="216"/>
      <c r="MG10" s="217"/>
      <c r="MH10" s="206"/>
      <c r="MI10" s="207"/>
      <c r="MJ10" s="218"/>
      <c r="MK10" s="219"/>
      <c r="ML10" s="220"/>
      <c r="MM10" s="206"/>
      <c r="MN10" s="207"/>
      <c r="MO10" s="218"/>
      <c r="MP10" s="219"/>
      <c r="MQ10" s="220"/>
      <c r="MR10" s="206"/>
      <c r="MS10" s="207"/>
      <c r="MT10" s="208"/>
      <c r="MU10" s="209"/>
      <c r="MV10" s="215" t="s">
        <v>25</v>
      </c>
      <c r="MW10" s="216"/>
      <c r="MX10" s="217"/>
      <c r="MY10" s="206"/>
      <c r="MZ10" s="207"/>
      <c r="NA10" s="218"/>
      <c r="NB10" s="219"/>
      <c r="NC10" s="220"/>
      <c r="ND10" s="206"/>
      <c r="NE10" s="207"/>
      <c r="NF10" s="218"/>
      <c r="NG10" s="219"/>
      <c r="NH10" s="220"/>
      <c r="NI10" s="206"/>
      <c r="NJ10" s="207"/>
      <c r="NK10" s="208"/>
      <c r="NL10" s="209"/>
      <c r="NM10" s="215" t="s">
        <v>26</v>
      </c>
      <c r="NN10" s="216"/>
      <c r="NO10" s="217"/>
      <c r="NP10" s="206"/>
      <c r="NQ10" s="207"/>
      <c r="NR10" s="218"/>
      <c r="NS10" s="219"/>
      <c r="NT10" s="220"/>
      <c r="NU10" s="206"/>
      <c r="NV10" s="207"/>
      <c r="NW10" s="218"/>
      <c r="NX10" s="219"/>
      <c r="NY10" s="220"/>
      <c r="NZ10" s="206"/>
      <c r="OA10" s="207"/>
      <c r="OB10" s="208"/>
      <c r="OC10" s="209"/>
      <c r="OD10" s="215" t="s">
        <v>26</v>
      </c>
      <c r="OE10" s="216"/>
      <c r="OF10" s="217"/>
      <c r="OG10" s="206"/>
      <c r="OH10" s="207"/>
      <c r="OI10" s="218"/>
      <c r="OJ10" s="219"/>
      <c r="OK10" s="220"/>
      <c r="OL10" s="206"/>
      <c r="OM10" s="207"/>
      <c r="ON10" s="218"/>
      <c r="OO10" s="219"/>
      <c r="OP10" s="220"/>
      <c r="OQ10" s="206"/>
      <c r="OR10" s="207"/>
      <c r="OS10" s="208"/>
      <c r="OT10" s="209"/>
      <c r="OU10" s="215" t="s">
        <v>25</v>
      </c>
      <c r="OV10" s="216"/>
      <c r="OW10" s="217"/>
      <c r="OX10" s="206"/>
      <c r="OY10" s="207"/>
      <c r="OZ10" s="218"/>
      <c r="PA10" s="219"/>
      <c r="PB10" s="220"/>
      <c r="PC10" s="206"/>
      <c r="PD10" s="207"/>
      <c r="PE10" s="218"/>
      <c r="PF10" s="219"/>
      <c r="PG10" s="220"/>
      <c r="PH10" s="206"/>
      <c r="PI10" s="207"/>
      <c r="PJ10" s="208"/>
      <c r="PK10" s="209"/>
      <c r="PL10" s="215" t="s">
        <v>27</v>
      </c>
      <c r="PM10" s="216"/>
      <c r="PN10" s="217"/>
      <c r="PO10" s="206"/>
      <c r="PP10" s="207"/>
      <c r="PQ10" s="218"/>
      <c r="PR10" s="219"/>
      <c r="PS10" s="220"/>
      <c r="PT10" s="206"/>
      <c r="PU10" s="207"/>
      <c r="PV10" s="218"/>
      <c r="PW10" s="219"/>
      <c r="PX10" s="220"/>
      <c r="PY10" s="206"/>
      <c r="PZ10" s="207"/>
      <c r="QA10" s="208"/>
      <c r="QB10" s="209"/>
      <c r="QC10" s="215" t="s">
        <v>25</v>
      </c>
      <c r="QD10" s="216"/>
      <c r="QE10" s="217"/>
      <c r="QF10" s="206"/>
      <c r="QG10" s="207"/>
      <c r="QH10" s="218"/>
      <c r="QI10" s="219"/>
      <c r="QJ10" s="220"/>
      <c r="QK10" s="206"/>
      <c r="QL10" s="207"/>
      <c r="QM10" s="218"/>
      <c r="QN10" s="219"/>
      <c r="QO10" s="220"/>
      <c r="QP10" s="206"/>
      <c r="QQ10" s="207"/>
      <c r="QR10" s="208"/>
      <c r="QS10" s="209"/>
      <c r="QT10" s="215"/>
      <c r="QU10" s="216"/>
      <c r="QV10" s="217"/>
      <c r="QW10" s="206"/>
      <c r="QX10" s="207"/>
      <c r="QY10" s="218"/>
      <c r="QZ10" s="219"/>
      <c r="RA10" s="220"/>
      <c r="RB10" s="206"/>
      <c r="RC10" s="207"/>
      <c r="RD10" s="218"/>
      <c r="RE10" s="219"/>
      <c r="RF10" s="220"/>
      <c r="RG10" s="206"/>
      <c r="RH10" s="207"/>
      <c r="RI10" s="208"/>
      <c r="RJ10" s="209"/>
      <c r="RK10" s="215"/>
      <c r="RL10" s="216"/>
      <c r="RM10" s="217"/>
      <c r="RN10" s="206"/>
      <c r="RO10" s="207"/>
      <c r="RP10" s="218"/>
      <c r="RQ10" s="219"/>
      <c r="RR10" s="220"/>
      <c r="RS10" s="206"/>
      <c r="RT10" s="207"/>
      <c r="RU10" s="218"/>
      <c r="RV10" s="219"/>
      <c r="RW10" s="220"/>
      <c r="RX10" s="206"/>
      <c r="RY10" s="207"/>
      <c r="RZ10" s="208"/>
      <c r="SA10" s="209"/>
      <c r="SB10" s="215"/>
      <c r="SC10" s="216"/>
      <c r="SD10" s="217"/>
      <c r="SE10" s="206"/>
      <c r="SF10" s="207"/>
      <c r="SG10" s="218"/>
      <c r="SH10" s="219"/>
      <c r="SI10" s="220"/>
      <c r="SJ10" s="206"/>
      <c r="SK10" s="207"/>
      <c r="SL10" s="218"/>
      <c r="SM10" s="219"/>
      <c r="SN10" s="220"/>
      <c r="SO10" s="206"/>
      <c r="SP10" s="207"/>
      <c r="SQ10" s="208"/>
      <c r="SR10" s="209"/>
    </row>
    <row r="11" spans="1:512" s="72" customFormat="1" ht="18" customHeight="1" thickBot="1" x14ac:dyDescent="0.3">
      <c r="A11" s="248" t="s">
        <v>48</v>
      </c>
      <c r="B11" s="249"/>
      <c r="C11" s="159"/>
      <c r="D11" s="160"/>
      <c r="E11" s="161"/>
      <c r="F11" s="112" t="str">
        <f>IFERROR((((COUNTIF('Elève (6ème1)'!C11:E11,"A"))*4)+((COUNTIF('Elève (6ème1)'!C11:E11,"B"))*3)+((COUNTIF('Elève (6ème1)'!C11:E11,"C"))*2)+((COUNTIF('Elève (6ème1)'!C11:E11,"D"))*1))/(COUNTA(C11:E11)),"")</f>
        <v/>
      </c>
      <c r="G11" s="113" t="str">
        <f t="shared" si="0"/>
        <v/>
      </c>
      <c r="H11" s="84"/>
      <c r="I11" s="85"/>
      <c r="J11" s="86"/>
      <c r="K11" s="112" t="str">
        <f>IFERROR((((COUNTIF('Elève (6ème1)'!H11:J11,"A"))*4)+((COUNTIF('Elève (6ème1)'!H11:J11,"B"))*3)+((COUNTIF('Elève (6ème1)'!H11:J11,"C"))*2)+((COUNTIF('Elève (6ème1)'!H11:J11,"D"))*1))/(COUNTA(H11:J11)),"")</f>
        <v/>
      </c>
      <c r="L11" s="113" t="str">
        <f t="shared" si="1"/>
        <v/>
      </c>
      <c r="M11" s="84"/>
      <c r="N11" s="85"/>
      <c r="O11" s="86"/>
      <c r="P11" s="112" t="str">
        <f>IFERROR((((COUNTIF('Elève (6ème1)'!M11:O11,"A"))*4)+((COUNTIF('Elève (6ème1)'!M11:O11,"B"))*3)+((COUNTIF('Elève (6ème1)'!M11:O11,"C"))*2)+((COUNTIF('Elève (6ème1)'!M11:O11,"D"))*1))/(COUNTA(M11:O11)),"")</f>
        <v/>
      </c>
      <c r="Q11" s="113" t="str">
        <f t="shared" si="2"/>
        <v/>
      </c>
      <c r="R11" s="180" t="str">
        <f>IF(COUNT(F11,K11,P11)=0,"",SUM(F11,K11,P11)/COUNT(F11,K11,P11))</f>
        <v/>
      </c>
      <c r="S11" s="133" t="str">
        <f t="shared" si="3"/>
        <v/>
      </c>
      <c r="T11" s="159"/>
      <c r="U11" s="160"/>
      <c r="V11" s="161"/>
      <c r="W11" s="112" t="str">
        <f>IFERROR((((COUNTIF('Elève (6ème1)'!T11:V11,"A"))*4)+((COUNTIF('Elève (6ème1)'!T11:V11,"B"))*3)+((COUNTIF('Elève (6ème1)'!T11:V11,"C"))*2)+((COUNTIF('Elève (6ème1)'!T11:V11,"D"))*1))/(COUNTA(T11:V11)),"")</f>
        <v/>
      </c>
      <c r="X11" s="113" t="str">
        <f t="shared" si="4"/>
        <v/>
      </c>
      <c r="Y11" s="84"/>
      <c r="Z11" s="85"/>
      <c r="AA11" s="86"/>
      <c r="AB11" s="112" t="str">
        <f>IFERROR((((COUNTIF('Elève (6ème1)'!Y11:AA11,"A"))*4)+((COUNTIF('Elève (6ème1)'!Y11:AA11,"B"))*3)+((COUNTIF('Elève (6ème1)'!Y11:AA11,"C"))*2)+((COUNTIF('Elève (6ème1)'!Y11:AA11,"D"))*1))/(COUNTA(Y11:AA11)),"")</f>
        <v/>
      </c>
      <c r="AC11" s="113" t="str">
        <f t="shared" si="5"/>
        <v/>
      </c>
      <c r="AD11" s="84"/>
      <c r="AE11" s="85"/>
      <c r="AF11" s="86"/>
      <c r="AG11" s="112" t="str">
        <f>IFERROR((((COUNTIF('Elève (6ème1)'!AD11:AF11,"A"))*4)+((COUNTIF('Elève (6ème1)'!AD11:AF11,"B"))*3)+((COUNTIF('Elève (6ème1)'!AD11:AF11,"C"))*2)+((COUNTIF('Elève (6ème1)'!AD11:AF11,"D"))*1))/(COUNTA(AD11:AF11)),"")</f>
        <v/>
      </c>
      <c r="AH11" s="113" t="str">
        <f t="shared" si="6"/>
        <v/>
      </c>
      <c r="AI11" s="180" t="str">
        <f>IF(COUNT(W11,AB11,AG11)=0,"",SUM(W11,AB11,AG11)/COUNT(W11,AB11,AG11))</f>
        <v/>
      </c>
      <c r="AJ11" s="133" t="str">
        <f t="shared" si="7"/>
        <v/>
      </c>
      <c r="AK11" s="159"/>
      <c r="AL11" s="160"/>
      <c r="AM11" s="161"/>
      <c r="AN11" s="112" t="str">
        <f>IFERROR((((COUNTIF('Elève (6ème1)'!AK11:AM11,"A"))*4)+((COUNTIF('Elève (6ème1)'!AK11:AM11,"B"))*3)+((COUNTIF('Elève (6ème1)'!AK11:AM11,"C"))*2)+((COUNTIF('Elève (6ème1)'!AK11:AM11,"D"))*1))/(COUNTA(AK11:AM11)),"")</f>
        <v/>
      </c>
      <c r="AO11" s="113" t="str">
        <f t="shared" si="8"/>
        <v/>
      </c>
      <c r="AP11" s="84"/>
      <c r="AQ11" s="85"/>
      <c r="AR11" s="86"/>
      <c r="AS11" s="112" t="str">
        <f>IFERROR((((COUNTIF('Elève (6ème1)'!AP11:AR11,"A"))*4)+((COUNTIF('Elève (6ème1)'!AP11:AR11,"B"))*3)+((COUNTIF('Elève (6ème1)'!AP11:AR11,"C"))*2)+((COUNTIF('Elève (6ème1)'!AP11:AR11,"D"))*1))/(COUNTA(AP11:AR11)),"")</f>
        <v/>
      </c>
      <c r="AT11" s="113" t="str">
        <f t="shared" si="9"/>
        <v/>
      </c>
      <c r="AU11" s="84"/>
      <c r="AV11" s="85"/>
      <c r="AW11" s="86"/>
      <c r="AX11" s="112" t="str">
        <f>IFERROR((((COUNTIF('Elève (6ème1)'!AU11:AW11,"A"))*4)+((COUNTIF('Elève (6ème1)'!AU11:AW11,"B"))*3)+((COUNTIF('Elève (6ème1)'!AU11:AW11,"C"))*2)+((COUNTIF('Elève (6ème1)'!AU11:AW11,"D"))*1))/(COUNTA(AU11:AW11)),"")</f>
        <v/>
      </c>
      <c r="AY11" s="113" t="str">
        <f t="shared" si="10"/>
        <v/>
      </c>
      <c r="AZ11" s="180" t="str">
        <f>IF(COUNT(AN11,AS11,AX11)=0,"",SUM(AN11,AS11,AX11)/COUNT(AN11,AS11,AX11))</f>
        <v/>
      </c>
      <c r="BA11" s="133" t="str">
        <f t="shared" si="11"/>
        <v/>
      </c>
      <c r="BB11" s="159"/>
      <c r="BC11" s="160"/>
      <c r="BD11" s="161"/>
      <c r="BE11" s="112" t="str">
        <f>IFERROR((((COUNTIF('Elève (6ème1)'!BB11:BD11,"A"))*4)+((COUNTIF('Elève (6ème1)'!BB11:BD11,"B"))*3)+((COUNTIF('Elève (6ème1)'!BB11:BD11,"C"))*2)+((COUNTIF('Elève (6ème1)'!BB11:BD11,"D"))*1))/(COUNTA(BB11:BD11)),"")</f>
        <v/>
      </c>
      <c r="BF11" s="113" t="str">
        <f t="shared" si="12"/>
        <v/>
      </c>
      <c r="BG11" s="84"/>
      <c r="BH11" s="85"/>
      <c r="BI11" s="86"/>
      <c r="BJ11" s="112" t="str">
        <f>IFERROR((((COUNTIF('Elève (6ème1)'!BG11:BI11,"A"))*4)+((COUNTIF('Elève (6ème1)'!BG11:BI11,"B"))*3)+((COUNTIF('Elève (6ème1)'!BG11:BI11,"C"))*2)+((COUNTIF('Elève (6ème1)'!BG11:BI11,"D"))*1))/(COUNTA(BG11:BI11)),"")</f>
        <v/>
      </c>
      <c r="BK11" s="113" t="str">
        <f t="shared" si="13"/>
        <v/>
      </c>
      <c r="BL11" s="84"/>
      <c r="BM11" s="85"/>
      <c r="BN11" s="86"/>
      <c r="BO11" s="112" t="str">
        <f>IFERROR((((COUNTIF('Elève (6ème1)'!BL11:BN11,"A"))*4)+((COUNTIF('Elève (6ème1)'!BL11:BN11,"B"))*3)+((COUNTIF('Elève (6ème1)'!BL11:BN11,"C"))*2)+((COUNTIF('Elève (6ème1)'!BL11:BN11,"D"))*1))/(COUNTA(BL11:BN11)),"")</f>
        <v/>
      </c>
      <c r="BP11" s="113" t="str">
        <f t="shared" si="14"/>
        <v/>
      </c>
      <c r="BQ11" s="180" t="str">
        <f>IF(COUNT(BE11,BJ11,BO11)=0,"",SUM(BE11,BJ11,BO11)/COUNT(BE11,BJ11,BO11))</f>
        <v/>
      </c>
      <c r="BR11" s="133" t="str">
        <f t="shared" si="15"/>
        <v/>
      </c>
      <c r="BS11" s="159"/>
      <c r="BT11" s="160"/>
      <c r="BU11" s="161"/>
      <c r="BV11" s="112" t="str">
        <f>IFERROR((((COUNTIF('Elève (6ème1)'!BS11:BU11,"A"))*4)+((COUNTIF('Elève (6ème1)'!BS11:BU11,"B"))*3)+((COUNTIF('Elève (6ème1)'!BS11:BU11,"C"))*2)+((COUNTIF('Elève (6ème1)'!BS11:BU11,"D"))*1))/(COUNTA(BS11:BU11)),"")</f>
        <v/>
      </c>
      <c r="BW11" s="113" t="str">
        <f t="shared" si="16"/>
        <v/>
      </c>
      <c r="BX11" s="84"/>
      <c r="BY11" s="85"/>
      <c r="BZ11" s="86"/>
      <c r="CA11" s="112" t="str">
        <f>IFERROR((((COUNTIF('Elève (6ème1)'!BX11:BZ11,"A"))*4)+((COUNTIF('Elève (6ème1)'!BX11:BZ11,"B"))*3)+((COUNTIF('Elève (6ème1)'!BX11:BZ11,"C"))*2)+((COUNTIF('Elève (6ème1)'!BX11:BZ11,"D"))*1))/(COUNTA(BX11:BZ11)),"")</f>
        <v/>
      </c>
      <c r="CB11" s="113" t="str">
        <f t="shared" si="17"/>
        <v/>
      </c>
      <c r="CC11" s="84"/>
      <c r="CD11" s="85"/>
      <c r="CE11" s="86"/>
      <c r="CF11" s="112" t="str">
        <f>IFERROR((((COUNTIF('Elève (6ème1)'!CC11:CE11,"A"))*4)+((COUNTIF('Elève (6ème1)'!CC11:CE11,"B"))*3)+((COUNTIF('Elève (6ème1)'!CC11:CE11,"C"))*2)+((COUNTIF('Elève (6ème1)'!CC11:CE11,"D"))*1))/(COUNTA(CC11:CE11)),"")</f>
        <v/>
      </c>
      <c r="CG11" s="113" t="str">
        <f t="shared" si="18"/>
        <v/>
      </c>
      <c r="CH11" s="180" t="str">
        <f>IF(COUNT(BV11,CA11,CF11)=0,"",SUM(BV11,CA11,CF11)/COUNT(BV11,CA11,CF11))</f>
        <v/>
      </c>
      <c r="CI11" s="133" t="str">
        <f t="shared" si="19"/>
        <v/>
      </c>
      <c r="CJ11" s="159"/>
      <c r="CK11" s="160"/>
      <c r="CL11" s="161"/>
      <c r="CM11" s="112" t="str">
        <f>IFERROR((((COUNTIF('Elève (6ème1)'!CJ11:CL11,"A"))*4)+((COUNTIF('Elève (6ème1)'!CJ11:CL11,"B"))*3)+((COUNTIF('Elève (6ème1)'!CJ11:CL11,"C"))*2)+((COUNTIF('Elève (6ème1)'!CJ11:CL11,"D"))*1))/(COUNTA(CJ11:CL11)),"")</f>
        <v/>
      </c>
      <c r="CN11" s="113" t="str">
        <f t="shared" si="20"/>
        <v/>
      </c>
      <c r="CO11" s="84"/>
      <c r="CP11" s="85"/>
      <c r="CQ11" s="86"/>
      <c r="CR11" s="112" t="str">
        <f>IFERROR((((COUNTIF('Elève (6ème1)'!CO11:CQ11,"A"))*4)+((COUNTIF('Elève (6ème1)'!CO11:CQ11,"B"))*3)+((COUNTIF('Elève (6ème1)'!CO11:CQ11,"C"))*2)+((COUNTIF('Elève (6ème1)'!CO11:CQ11,"D"))*1))/(COUNTA(CO11:CQ11)),"")</f>
        <v/>
      </c>
      <c r="CS11" s="113" t="str">
        <f t="shared" si="21"/>
        <v/>
      </c>
      <c r="CT11" s="84"/>
      <c r="CU11" s="85"/>
      <c r="CV11" s="86"/>
      <c r="CW11" s="112" t="str">
        <f>IFERROR((((COUNTIF('Elève (6ème1)'!CT11:CV11,"A"))*4)+((COUNTIF('Elève (6ème1)'!CT11:CV11,"B"))*3)+((COUNTIF('Elève (6ème1)'!CT11:CV11,"C"))*2)+((COUNTIF('Elève (6ème1)'!CT11:CV11,"D"))*1))/(COUNTA(CT11:CV11)),"")</f>
        <v/>
      </c>
      <c r="CX11" s="113" t="str">
        <f t="shared" si="22"/>
        <v/>
      </c>
      <c r="CY11" s="180" t="str">
        <f>IF(COUNT(CM11,CR11,CW11)=0,"",SUM(CM11,CR11,CW11)/COUNT(CM11,CR11,CW11))</f>
        <v/>
      </c>
      <c r="CZ11" s="133" t="str">
        <f t="shared" si="23"/>
        <v/>
      </c>
      <c r="DA11" s="159"/>
      <c r="DB11" s="160"/>
      <c r="DC11" s="161"/>
      <c r="DD11" s="112" t="str">
        <f>IFERROR((((COUNTIF('Elève (6ème1)'!DA11:DC11,"A"))*4)+((COUNTIF('Elève (6ème1)'!DA11:DC11,"B"))*3)+((COUNTIF('Elève (6ème1)'!DA11:DC11,"C"))*2)+((COUNTIF('Elève (6ème1)'!DA11:DC11,"D"))*1))/(COUNTA(DA11:DC11)),"")</f>
        <v/>
      </c>
      <c r="DE11" s="113" t="str">
        <f t="shared" si="24"/>
        <v/>
      </c>
      <c r="DF11" s="84"/>
      <c r="DG11" s="85"/>
      <c r="DH11" s="86"/>
      <c r="DI11" s="112" t="str">
        <f>IFERROR((((COUNTIF('Elève (6ème1)'!DF11:DH11,"A"))*4)+((COUNTIF('Elève (6ème1)'!DF11:DH11,"B"))*3)+((COUNTIF('Elève (6ème1)'!DF11:DH11,"C"))*2)+((COUNTIF('Elève (6ème1)'!DF11:DH11,"D"))*1))/(COUNTA(DF11:DH11)),"")</f>
        <v/>
      </c>
      <c r="DJ11" s="113" t="str">
        <f t="shared" si="25"/>
        <v/>
      </c>
      <c r="DK11" s="84"/>
      <c r="DL11" s="85"/>
      <c r="DM11" s="86"/>
      <c r="DN11" s="112" t="str">
        <f>IFERROR((((COUNTIF('Elève (6ème1)'!DK11:DM11,"A"))*4)+((COUNTIF('Elève (6ème1)'!DK11:DM11,"B"))*3)+((COUNTIF('Elève (6ème1)'!DK11:DM11,"C"))*2)+((COUNTIF('Elève (6ème1)'!DK11:DM11,"D"))*1))/(COUNTA(DK11:DM11)),"")</f>
        <v/>
      </c>
      <c r="DO11" s="113" t="str">
        <f t="shared" si="26"/>
        <v/>
      </c>
      <c r="DP11" s="180" t="str">
        <f>IF(COUNT(DD11,DI11,DN11)=0,"",SUM(DD11,DI11,DN11)/COUNT(DD11,DI11,DN11))</f>
        <v/>
      </c>
      <c r="DQ11" s="133" t="str">
        <f t="shared" si="27"/>
        <v/>
      </c>
      <c r="DR11" s="159"/>
      <c r="DS11" s="160"/>
      <c r="DT11" s="161"/>
      <c r="DU11" s="112" t="str">
        <f>IFERROR((((COUNTIF('Elève (6ème1)'!DR11:DT11,"A"))*4)+((COUNTIF('Elève (6ème1)'!DR11:DT11,"B"))*3)+((COUNTIF('Elève (6ème1)'!DR11:DT11,"C"))*2)+((COUNTIF('Elève (6ème1)'!DR11:DT11,"D"))*1))/(COUNTA(DR11:DT11)),"")</f>
        <v/>
      </c>
      <c r="DV11" s="113" t="str">
        <f t="shared" si="28"/>
        <v/>
      </c>
      <c r="DW11" s="84"/>
      <c r="DX11" s="85"/>
      <c r="DY11" s="86"/>
      <c r="DZ11" s="112" t="str">
        <f>IFERROR((((COUNTIF('Elève (6ème1)'!DW11:DY11,"A"))*4)+((COUNTIF('Elève (6ème1)'!DW11:DY11,"B"))*3)+((COUNTIF('Elève (6ème1)'!DW11:DY11,"C"))*2)+((COUNTIF('Elève (6ème1)'!DW11:DY11,"D"))*1))/(COUNTA(DW11:DY11)),"")</f>
        <v/>
      </c>
      <c r="EA11" s="113" t="str">
        <f t="shared" si="29"/>
        <v/>
      </c>
      <c r="EB11" s="84"/>
      <c r="EC11" s="85"/>
      <c r="ED11" s="86"/>
      <c r="EE11" s="112" t="str">
        <f>IFERROR((((COUNTIF('Elève (6ème1)'!EB11:ED11,"A"))*4)+((COUNTIF('Elève (6ème1)'!EB11:ED11,"B"))*3)+((COUNTIF('Elève (6ème1)'!EB11:ED11,"C"))*2)+((COUNTIF('Elève (6ème1)'!EB11:ED11,"D"))*1))/(COUNTA(EB11:ED11)),"")</f>
        <v/>
      </c>
      <c r="EF11" s="113" t="str">
        <f t="shared" si="30"/>
        <v/>
      </c>
      <c r="EG11" s="180" t="str">
        <f>IF(COUNT(DU11,DZ11,EE11)=0,"",SUM(DU11,DZ11,EE11)/COUNT(DU11,DZ11,EE11))</f>
        <v/>
      </c>
      <c r="EH11" s="133" t="str">
        <f t="shared" si="31"/>
        <v/>
      </c>
      <c r="EI11" s="159"/>
      <c r="EJ11" s="160"/>
      <c r="EK11" s="161"/>
      <c r="EL11" s="112" t="str">
        <f>IFERROR((((COUNTIF('Elève (6ème1)'!EI11:EK11,"A"))*4)+((COUNTIF('Elève (6ème1)'!EI11:EK11,"B"))*3)+((COUNTIF('Elève (6ème1)'!EI11:EK11,"C"))*2)+((COUNTIF('Elève (6ème1)'!EI11:EK11,"D"))*1))/(COUNTA(EI11:EK11)),"")</f>
        <v/>
      </c>
      <c r="EM11" s="113" t="str">
        <f t="shared" si="32"/>
        <v/>
      </c>
      <c r="EN11" s="84"/>
      <c r="EO11" s="85"/>
      <c r="EP11" s="86"/>
      <c r="EQ11" s="112" t="str">
        <f>IFERROR((((COUNTIF('Elève (6ème1)'!EN11:EP11,"A"))*4)+((COUNTIF('Elève (6ème1)'!EN11:EP11,"B"))*3)+((COUNTIF('Elève (6ème1)'!EN11:EP11,"C"))*2)+((COUNTIF('Elève (6ème1)'!EN11:EP11,"D"))*1))/(COUNTA(EN11:EP11)),"")</f>
        <v/>
      </c>
      <c r="ER11" s="113" t="str">
        <f t="shared" si="33"/>
        <v/>
      </c>
      <c r="ES11" s="84"/>
      <c r="ET11" s="85"/>
      <c r="EU11" s="86"/>
      <c r="EV11" s="112" t="str">
        <f>IFERROR((((COUNTIF('Elève (6ème1)'!ES11:EU11,"A"))*4)+((COUNTIF('Elève (6ème1)'!ES11:EU11,"B"))*3)+((COUNTIF('Elève (6ème1)'!ES11:EU11,"C"))*2)+((COUNTIF('Elève (6ème1)'!ES11:EU11,"D"))*1))/(COUNTA(ES11:EU11)),"")</f>
        <v/>
      </c>
      <c r="EW11" s="113" t="str">
        <f t="shared" si="34"/>
        <v/>
      </c>
      <c r="EX11" s="180" t="str">
        <f>IF(COUNT(EL11,EQ11,EV11)=0,"",SUM(EL11,EQ11,EV11)/COUNT(EL11,EQ11,EV11))</f>
        <v/>
      </c>
      <c r="EY11" s="133" t="str">
        <f t="shared" si="35"/>
        <v/>
      </c>
      <c r="EZ11" s="159"/>
      <c r="FA11" s="160"/>
      <c r="FB11" s="161"/>
      <c r="FC11" s="112" t="str">
        <f>IFERROR((((COUNTIF('Elève (6ème1)'!EZ11:FB11,"A"))*4)+((COUNTIF('Elève (6ème1)'!EZ11:FB11,"B"))*3)+((COUNTIF('Elève (6ème1)'!EZ11:FB11,"C"))*2)+((COUNTIF('Elève (6ème1)'!EZ11:FB11,"D"))*1))/(COUNTA(EZ11:FB11)),"")</f>
        <v/>
      </c>
      <c r="FD11" s="113" t="str">
        <f t="shared" si="36"/>
        <v/>
      </c>
      <c r="FE11" s="84"/>
      <c r="FF11" s="85"/>
      <c r="FG11" s="86"/>
      <c r="FH11" s="112" t="str">
        <f>IFERROR((((COUNTIF('Elève (6ème1)'!FE11:FG11,"A"))*4)+((COUNTIF('Elève (6ème1)'!FE11:FG11,"B"))*3)+((COUNTIF('Elève (6ème1)'!FE11:FG11,"C"))*2)+((COUNTIF('Elève (6ème1)'!FE11:FG11,"D"))*1))/(COUNTA(FE11:FG11)),"")</f>
        <v/>
      </c>
      <c r="FI11" s="113" t="str">
        <f t="shared" si="37"/>
        <v/>
      </c>
      <c r="FJ11" s="84"/>
      <c r="FK11" s="85"/>
      <c r="FL11" s="86"/>
      <c r="FM11" s="112" t="str">
        <f>IFERROR((((COUNTIF('Elève (6ème1)'!FJ11:FL11,"A"))*4)+((COUNTIF('Elève (6ème1)'!FJ11:FL11,"B"))*3)+((COUNTIF('Elève (6ème1)'!FJ11:FL11,"C"))*2)+((COUNTIF('Elève (6ème1)'!FJ11:FL11,"D"))*1))/(COUNTA(FJ11:FL11)),"")</f>
        <v/>
      </c>
      <c r="FN11" s="113" t="str">
        <f t="shared" si="38"/>
        <v/>
      </c>
      <c r="FO11" s="180" t="str">
        <f>IF(COUNT(FC11,FH11,FM11)=0,"",SUM(FC11,FH11,FM11)/COUNT(FC11,FH11,FM11))</f>
        <v/>
      </c>
      <c r="FP11" s="133" t="str">
        <f t="shared" si="39"/>
        <v/>
      </c>
      <c r="FQ11" s="159"/>
      <c r="FR11" s="160"/>
      <c r="FS11" s="161"/>
      <c r="FT11" s="112" t="str">
        <f>IFERROR((((COUNTIF('Elève (6ème1)'!FQ11:FS11,"A"))*4)+((COUNTIF('Elève (6ème1)'!FQ11:FS11,"B"))*3)+((COUNTIF('Elève (6ème1)'!FQ11:FS11,"C"))*2)+((COUNTIF('Elève (6ème1)'!FQ11:FS11,"D"))*1))/(COUNTA(FQ11:FS11)),"")</f>
        <v/>
      </c>
      <c r="FU11" s="113" t="str">
        <f t="shared" si="40"/>
        <v/>
      </c>
      <c r="FV11" s="84"/>
      <c r="FW11" s="85"/>
      <c r="FX11" s="86"/>
      <c r="FY11" s="112" t="str">
        <f>IFERROR((((COUNTIF('Elève (6ème1)'!FV11:FX11,"A"))*4)+((COUNTIF('Elève (6ème1)'!FV11:FX11,"B"))*3)+((COUNTIF('Elève (6ème1)'!FV11:FX11,"C"))*2)+((COUNTIF('Elève (6ème1)'!FV11:FX11,"D"))*1))/(COUNTA(FV11:FX11)),"")</f>
        <v/>
      </c>
      <c r="FZ11" s="113" t="str">
        <f t="shared" si="41"/>
        <v/>
      </c>
      <c r="GA11" s="84"/>
      <c r="GB11" s="85"/>
      <c r="GC11" s="86"/>
      <c r="GD11" s="112" t="str">
        <f>IFERROR((((COUNTIF('Elève (6ème1)'!GA11:GC11,"A"))*4)+((COUNTIF('Elève (6ème1)'!GA11:GC11,"B"))*3)+((COUNTIF('Elève (6ème1)'!GA11:GC11,"C"))*2)+((COUNTIF('Elève (6ème1)'!GA11:GC11,"D"))*1))/(COUNTA(GA11:GC11)),"")</f>
        <v/>
      </c>
      <c r="GE11" s="113" t="str">
        <f t="shared" si="42"/>
        <v/>
      </c>
      <c r="GF11" s="180" t="str">
        <f>IF(COUNT(FT11,FY11,GD11)=0,"",SUM(FT11,FY11,GD11)/COUNT(FT11,FY11,GD11))</f>
        <v/>
      </c>
      <c r="GG11" s="133" t="str">
        <f t="shared" si="43"/>
        <v/>
      </c>
      <c r="GH11" s="159"/>
      <c r="GI11" s="160"/>
      <c r="GJ11" s="161"/>
      <c r="GK11" s="112" t="str">
        <f>IFERROR((((COUNTIF('Elève (6ème1)'!GH11:GJ11,"A"))*4)+((COUNTIF('Elève (6ème1)'!GH11:GJ11,"B"))*3)+((COUNTIF('Elève (6ème1)'!GH11:GJ11,"C"))*2)+((COUNTIF('Elève (6ème1)'!GH11:GJ11,"D"))*1))/(COUNTA(GH11:GJ11)),"")</f>
        <v/>
      </c>
      <c r="GL11" s="113" t="str">
        <f t="shared" si="44"/>
        <v/>
      </c>
      <c r="GM11" s="84"/>
      <c r="GN11" s="85"/>
      <c r="GO11" s="86"/>
      <c r="GP11" s="112" t="str">
        <f>IFERROR((((COUNTIF('Elève (6ème1)'!GM11:GO11,"A"))*4)+((COUNTIF('Elève (6ème1)'!GM11:GO11,"B"))*3)+((COUNTIF('Elève (6ème1)'!GM11:GO11,"C"))*2)+((COUNTIF('Elève (6ème1)'!GM11:GO11,"D"))*1))/(COUNTA(GM11:GO11)),"")</f>
        <v/>
      </c>
      <c r="GQ11" s="113" t="str">
        <f t="shared" si="45"/>
        <v/>
      </c>
      <c r="GR11" s="84"/>
      <c r="GS11" s="85"/>
      <c r="GT11" s="86"/>
      <c r="GU11" s="112" t="str">
        <f>IFERROR((((COUNTIF('Elève (6ème1)'!GR11:GT11,"A"))*4)+((COUNTIF('Elève (6ème1)'!GR11:GT11,"B"))*3)+((COUNTIF('Elève (6ème1)'!GR11:GT11,"C"))*2)+((COUNTIF('Elève (6ème1)'!GR11:GT11,"D"))*1))/(COUNTA(GR11:GT11)),"")</f>
        <v/>
      </c>
      <c r="GV11" s="113" t="str">
        <f t="shared" si="46"/>
        <v/>
      </c>
      <c r="GW11" s="180" t="str">
        <f>IF(COUNT(GK11,GP11,GU11)=0,"",SUM(GK11,GP11,GU11)/COUNT(GK11,GP11,GU11))</f>
        <v/>
      </c>
      <c r="GX11" s="133" t="str">
        <f t="shared" si="47"/>
        <v/>
      </c>
      <c r="GY11" s="159"/>
      <c r="GZ11" s="160"/>
      <c r="HA11" s="161"/>
      <c r="HB11" s="112" t="str">
        <f>IFERROR((((COUNTIF('Elève (6ème1)'!GY11:HA11,"A"))*4)+((COUNTIF('Elève (6ème1)'!GY11:HA11,"B"))*3)+((COUNTIF('Elève (6ème1)'!GY11:HA11,"C"))*2)+((COUNTIF('Elève (6ème1)'!GY11:HA11,"D"))*1))/(COUNTA(GY11:HA11)),"")</f>
        <v/>
      </c>
      <c r="HC11" s="113" t="str">
        <f t="shared" si="48"/>
        <v/>
      </c>
      <c r="HD11" s="84"/>
      <c r="HE11" s="85"/>
      <c r="HF11" s="86"/>
      <c r="HG11" s="112" t="str">
        <f>IFERROR((((COUNTIF('Elève (6ème1)'!HD11:HF11,"A"))*4)+((COUNTIF('Elève (6ème1)'!HD11:HF11,"B"))*3)+((COUNTIF('Elève (6ème1)'!HD11:HF11,"C"))*2)+((COUNTIF('Elève (6ème1)'!HD11:HF11,"D"))*1))/(COUNTA(HD11:HF11)),"")</f>
        <v/>
      </c>
      <c r="HH11" s="113" t="str">
        <f t="shared" si="49"/>
        <v/>
      </c>
      <c r="HI11" s="84"/>
      <c r="HJ11" s="85"/>
      <c r="HK11" s="86"/>
      <c r="HL11" s="112" t="str">
        <f>IFERROR((((COUNTIF('Elève (6ème1)'!HI11:HK11,"A"))*4)+((COUNTIF('Elève (6ème1)'!HI11:HK11,"B"))*3)+((COUNTIF('Elève (6ème1)'!HI11:HK11,"C"))*2)+((COUNTIF('Elève (6ème1)'!HI11:HK11,"D"))*1))/(COUNTA(HI11:HK11)),"")</f>
        <v/>
      </c>
      <c r="HM11" s="113" t="str">
        <f t="shared" si="50"/>
        <v/>
      </c>
      <c r="HN11" s="180" t="str">
        <f>IF(COUNT(HB11,HG11,HL11)=0,"",SUM(HB11,HG11,HL11)/COUNT(HB11,HG11,HL11))</f>
        <v/>
      </c>
      <c r="HO11" s="133" t="str">
        <f t="shared" si="51"/>
        <v/>
      </c>
      <c r="HP11" s="159"/>
      <c r="HQ11" s="160"/>
      <c r="HR11" s="161"/>
      <c r="HS11" s="112" t="str">
        <f>IFERROR((((COUNTIF('Elève (6ème1)'!HP11:HR11,"A"))*4)+((COUNTIF('Elève (6ème1)'!HP11:HR11,"B"))*3)+((COUNTIF('Elève (6ème1)'!HP11:HR11,"C"))*2)+((COUNTIF('Elève (6ème1)'!HP11:HR11,"D"))*1))/(COUNTA(HP11:HR11)),"")</f>
        <v/>
      </c>
      <c r="HT11" s="113" t="str">
        <f t="shared" si="52"/>
        <v/>
      </c>
      <c r="HU11" s="84"/>
      <c r="HV11" s="85"/>
      <c r="HW11" s="86"/>
      <c r="HX11" s="112" t="str">
        <f>IFERROR((((COUNTIF('Elève (6ème1)'!HU11:HW11,"A"))*4)+((COUNTIF('Elève (6ème1)'!HU11:HW11,"B"))*3)+((COUNTIF('Elève (6ème1)'!HU11:HW11,"C"))*2)+((COUNTIF('Elève (6ème1)'!HU11:HW11,"D"))*1))/(COUNTA(HU11:HW11)),"")</f>
        <v/>
      </c>
      <c r="HY11" s="113" t="str">
        <f t="shared" si="53"/>
        <v/>
      </c>
      <c r="HZ11" s="84"/>
      <c r="IA11" s="85"/>
      <c r="IB11" s="86"/>
      <c r="IC11" s="112" t="str">
        <f>IFERROR((((COUNTIF('Elève (6ème1)'!HZ11:IB11,"A"))*4)+((COUNTIF('Elève (6ème1)'!HZ11:IB11,"B"))*3)+((COUNTIF('Elève (6ème1)'!HZ11:IB11,"C"))*2)+((COUNTIF('Elève (6ème1)'!HZ11:IB11,"D"))*1))/(COUNTA(HZ11:IB11)),"")</f>
        <v/>
      </c>
      <c r="ID11" s="113" t="str">
        <f t="shared" si="54"/>
        <v/>
      </c>
      <c r="IE11" s="180" t="str">
        <f>IF(COUNT(HS11,HX11,IC11)=0,"",SUM(HS11,HX11,IC11)/COUNT(HS11,HX11,IC11))</f>
        <v/>
      </c>
      <c r="IF11" s="133" t="str">
        <f t="shared" si="55"/>
        <v/>
      </c>
      <c r="IG11" s="159"/>
      <c r="IH11" s="160"/>
      <c r="II11" s="161"/>
      <c r="IJ11" s="112" t="str">
        <f>IFERROR((((COUNTIF('Elève (6ème1)'!IG11:II11,"A"))*4)+((COUNTIF('Elève (6ème1)'!IG11:II11,"B"))*3)+((COUNTIF('Elève (6ème1)'!IG11:II11,"C"))*2)+((COUNTIF('Elève (6ème1)'!IG11:II11,"D"))*1))/(COUNTA(IG11:II11)),"")</f>
        <v/>
      </c>
      <c r="IK11" s="113" t="str">
        <f t="shared" si="56"/>
        <v/>
      </c>
      <c r="IL11" s="84"/>
      <c r="IM11" s="85"/>
      <c r="IN11" s="86"/>
      <c r="IO11" s="112" t="str">
        <f>IFERROR((((COUNTIF('Elève (6ème1)'!IL11:IN11,"A"))*4)+((COUNTIF('Elève (6ème1)'!IL11:IN11,"B"))*3)+((COUNTIF('Elève (6ème1)'!IL11:IN11,"C"))*2)+((COUNTIF('Elève (6ème1)'!IL11:IN11,"D"))*1))/(COUNTA(IL11:IN11)),"")</f>
        <v/>
      </c>
      <c r="IP11" s="113" t="str">
        <f t="shared" si="57"/>
        <v/>
      </c>
      <c r="IQ11" s="84"/>
      <c r="IR11" s="85"/>
      <c r="IS11" s="86"/>
      <c r="IT11" s="112" t="str">
        <f>IFERROR((((COUNTIF('Elève (6ème1)'!IQ11:IS11,"A"))*4)+((COUNTIF('Elève (6ème1)'!IQ11:IS11,"B"))*3)+((COUNTIF('Elève (6ème1)'!IQ11:IS11,"C"))*2)+((COUNTIF('Elève (6ème1)'!IQ11:IS11,"D"))*1))/(COUNTA(IQ11:IS11)),"")</f>
        <v/>
      </c>
      <c r="IU11" s="113" t="str">
        <f t="shared" si="58"/>
        <v/>
      </c>
      <c r="IV11" s="180" t="str">
        <f>IF(COUNT(IJ11,IO11,IT11)=0,"",SUM(IJ11,IO11,IT11)/COUNT(IJ11,IO11,IT11))</f>
        <v/>
      </c>
      <c r="IW11" s="133" t="str">
        <f t="shared" si="59"/>
        <v/>
      </c>
      <c r="IX11" s="159"/>
      <c r="IY11" s="160"/>
      <c r="IZ11" s="161"/>
      <c r="JA11" s="112" t="str">
        <f>IFERROR((((COUNTIF('Elève (6ème1)'!IX11:IZ11,"A"))*4)+((COUNTIF('Elève (6ème1)'!IX11:IZ11,"B"))*3)+((COUNTIF('Elève (6ème1)'!IX11:IZ11,"C"))*2)+((COUNTIF('Elève (6ème1)'!IX11:IZ11,"D"))*1))/(COUNTA(IX11:IZ11)),"")</f>
        <v/>
      </c>
      <c r="JB11" s="113" t="str">
        <f t="shared" si="60"/>
        <v/>
      </c>
      <c r="JC11" s="84"/>
      <c r="JD11" s="85"/>
      <c r="JE11" s="86"/>
      <c r="JF11" s="112" t="str">
        <f>IFERROR((((COUNTIF('Elève (6ème1)'!JC11:JE11,"A"))*4)+((COUNTIF('Elève (6ème1)'!JC11:JE11,"B"))*3)+((COUNTIF('Elève (6ème1)'!JC11:JE11,"C"))*2)+((COUNTIF('Elève (6ème1)'!JC11:JE11,"D"))*1))/(COUNTA(JC11:JE11)),"")</f>
        <v/>
      </c>
      <c r="JG11" s="113" t="str">
        <f t="shared" si="61"/>
        <v/>
      </c>
      <c r="JH11" s="84"/>
      <c r="JI11" s="85"/>
      <c r="JJ11" s="86"/>
      <c r="JK11" s="112" t="str">
        <f>IFERROR((((COUNTIF('Elève (6ème1)'!JH11:JJ11,"A"))*4)+((COUNTIF('Elève (6ème1)'!JH11:JJ11,"B"))*3)+((COUNTIF('Elève (6ème1)'!JH11:JJ11,"C"))*2)+((COUNTIF('Elève (6ème1)'!JH11:JJ11,"D"))*1))/(COUNTA(JH11:JJ11)),"")</f>
        <v/>
      </c>
      <c r="JL11" s="113" t="str">
        <f t="shared" si="62"/>
        <v/>
      </c>
      <c r="JM11" s="180" t="str">
        <f>IF(COUNT(JA11,JF11,JK11)=0,"",SUM(JA11,JF11,JK11)/COUNT(JA11,JF11,JK11))</f>
        <v/>
      </c>
      <c r="JN11" s="133" t="str">
        <f t="shared" si="63"/>
        <v/>
      </c>
      <c r="JO11" s="159"/>
      <c r="JP11" s="160"/>
      <c r="JQ11" s="161"/>
      <c r="JR11" s="112" t="str">
        <f>IFERROR((((COUNTIF('Elève (6ème1)'!JO11:JQ11,"A"))*4)+((COUNTIF('Elève (6ème1)'!JO11:JQ11,"B"))*3)+((COUNTIF('Elève (6ème1)'!JO11:JQ11,"C"))*2)+((COUNTIF('Elève (6ème1)'!JO11:JQ11,"D"))*1))/(COUNTA(JO11:JQ11)),"")</f>
        <v/>
      </c>
      <c r="JS11" s="113" t="str">
        <f t="shared" si="64"/>
        <v/>
      </c>
      <c r="JT11" s="84"/>
      <c r="JU11" s="85"/>
      <c r="JV11" s="86"/>
      <c r="JW11" s="112" t="str">
        <f>IFERROR((((COUNTIF('Elève (6ème1)'!JT11:JV11,"A"))*4)+((COUNTIF('Elève (6ème1)'!JT11:JV11,"B"))*3)+((COUNTIF('Elève (6ème1)'!JT11:JV11,"C"))*2)+((COUNTIF('Elève (6ème1)'!JT11:JV11,"D"))*1))/(COUNTA(JT11:JV11)),"")</f>
        <v/>
      </c>
      <c r="JX11" s="113" t="str">
        <f t="shared" si="65"/>
        <v/>
      </c>
      <c r="JY11" s="84"/>
      <c r="JZ11" s="85"/>
      <c r="KA11" s="86"/>
      <c r="KB11" s="112" t="str">
        <f>IFERROR((((COUNTIF('Elève (6ème1)'!JY11:KA11,"A"))*4)+((COUNTIF('Elève (6ème1)'!JY11:KA11,"B"))*3)+((COUNTIF('Elève (6ème1)'!JY11:KA11,"C"))*2)+((COUNTIF('Elève (6ème1)'!JY11:KA11,"D"))*1))/(COUNTA(JY11:KA11)),"")</f>
        <v/>
      </c>
      <c r="KC11" s="113" t="str">
        <f t="shared" si="66"/>
        <v/>
      </c>
      <c r="KD11" s="180" t="str">
        <f>IF(COUNT(JR11,JW11,KB11)=0,"",SUM(JR11,JW11,KB11)/COUNT(JR11,JW11,KB11))</f>
        <v/>
      </c>
      <c r="KE11" s="133" t="str">
        <f t="shared" si="67"/>
        <v/>
      </c>
      <c r="KF11" s="159"/>
      <c r="KG11" s="160"/>
      <c r="KH11" s="161"/>
      <c r="KI11" s="112" t="str">
        <f>IFERROR((((COUNTIF('Elève (6ème1)'!KF11:KH11,"A"))*4)+((COUNTIF('Elève (6ème1)'!KF11:KH11,"B"))*3)+((COUNTIF('Elève (6ème1)'!KF11:KH11,"C"))*2)+((COUNTIF('Elève (6ème1)'!KF11:KH11,"D"))*1))/(COUNTA(KF11:KH11)),"")</f>
        <v/>
      </c>
      <c r="KJ11" s="113" t="str">
        <f t="shared" si="68"/>
        <v/>
      </c>
      <c r="KK11" s="84"/>
      <c r="KL11" s="85"/>
      <c r="KM11" s="86"/>
      <c r="KN11" s="112" t="str">
        <f>IFERROR((((COUNTIF('Elève (6ème1)'!KK11:KM11,"A"))*4)+((COUNTIF('Elève (6ème1)'!KK11:KM11,"B"))*3)+((COUNTIF('Elève (6ème1)'!KK11:KM11,"C"))*2)+((COUNTIF('Elève (6ème1)'!KK11:KM11,"D"))*1))/(COUNTA(KK11:KM11)),"")</f>
        <v/>
      </c>
      <c r="KO11" s="113" t="str">
        <f t="shared" si="69"/>
        <v/>
      </c>
      <c r="KP11" s="84"/>
      <c r="KQ11" s="85"/>
      <c r="KR11" s="86"/>
      <c r="KS11" s="112" t="str">
        <f>IFERROR((((COUNTIF('Elève (6ème1)'!KP11:KR11,"A"))*4)+((COUNTIF('Elève (6ème1)'!KP11:KR11,"B"))*3)+((COUNTIF('Elève (6ème1)'!KP11:KR11,"C"))*2)+((COUNTIF('Elève (6ème1)'!KP11:KR11,"D"))*1))/(COUNTA(KP11:KR11)),"")</f>
        <v/>
      </c>
      <c r="KT11" s="113" t="str">
        <f t="shared" si="70"/>
        <v/>
      </c>
      <c r="KU11" s="180" t="str">
        <f>IF(COUNT(KI11,KN11,KS11)=0,"",SUM(KI11,KN11,KS11)/COUNT(KI11,KN11,KS11))</f>
        <v/>
      </c>
      <c r="KV11" s="133" t="str">
        <f t="shared" si="71"/>
        <v/>
      </c>
      <c r="KW11" s="159"/>
      <c r="KX11" s="160"/>
      <c r="KY11" s="161"/>
      <c r="KZ11" s="112" t="str">
        <f>IFERROR((((COUNTIF('Elève (6ème1)'!KW11:KY11,"A"))*4)+((COUNTIF('Elève (6ème1)'!KW11:KY11,"B"))*3)+((COUNTIF('Elève (6ème1)'!KW11:KY11,"C"))*2)+((COUNTIF('Elève (6ème1)'!KW11:KY11,"D"))*1))/(COUNTA(KW11:KY11)),"")</f>
        <v/>
      </c>
      <c r="LA11" s="113" t="str">
        <f t="shared" si="72"/>
        <v/>
      </c>
      <c r="LB11" s="84"/>
      <c r="LC11" s="85"/>
      <c r="LD11" s="86"/>
      <c r="LE11" s="112" t="str">
        <f>IFERROR((((COUNTIF('Elève (6ème1)'!LB11:LD11,"A"))*4)+((COUNTIF('Elève (6ème1)'!LB11:LD11,"B"))*3)+((COUNTIF('Elève (6ème1)'!LB11:LD11,"C"))*2)+((COUNTIF('Elève (6ème1)'!LB11:LD11,"D"))*1))/(COUNTA(LB11:LD11)),"")</f>
        <v/>
      </c>
      <c r="LF11" s="113" t="str">
        <f t="shared" si="73"/>
        <v/>
      </c>
      <c r="LG11" s="84"/>
      <c r="LH11" s="85"/>
      <c r="LI11" s="86"/>
      <c r="LJ11" s="112" t="str">
        <f>IFERROR((((COUNTIF('Elève (6ème1)'!LG11:LI11,"A"))*4)+((COUNTIF('Elève (6ème1)'!LG11:LI11,"B"))*3)+((COUNTIF('Elève (6ème1)'!LG11:LI11,"C"))*2)+((COUNTIF('Elève (6ème1)'!LG11:LI11,"D"))*1))/(COUNTA(LG11:LI11)),"")</f>
        <v/>
      </c>
      <c r="LK11" s="113" t="str">
        <f t="shared" si="74"/>
        <v/>
      </c>
      <c r="LL11" s="180" t="str">
        <f>IF(COUNT(KZ11,LE11,LJ11)=0,"",SUM(KZ11,LE11,LJ11)/COUNT(KZ11,LE11,LJ11))</f>
        <v/>
      </c>
      <c r="LM11" s="133" t="str">
        <f t="shared" si="75"/>
        <v/>
      </c>
      <c r="LN11" s="159"/>
      <c r="LO11" s="160"/>
      <c r="LP11" s="161"/>
      <c r="LQ11" s="112" t="str">
        <f>IFERROR((((COUNTIF('Elève (6ème1)'!LN11:LP11,"A"))*4)+((COUNTIF('Elève (6ème1)'!LN11:LP11,"B"))*3)+((COUNTIF('Elève (6ème1)'!LN11:LP11,"C"))*2)+((COUNTIF('Elève (6ème1)'!LN11:LP11,"D"))*1))/(COUNTA(LN11:LP11)),"")</f>
        <v/>
      </c>
      <c r="LR11" s="113" t="str">
        <f t="shared" si="76"/>
        <v/>
      </c>
      <c r="LS11" s="84"/>
      <c r="LT11" s="85"/>
      <c r="LU11" s="86"/>
      <c r="LV11" s="112" t="str">
        <f>IFERROR((((COUNTIF('Elève (6ème1)'!LS11:LU11,"A"))*4)+((COUNTIF('Elève (6ème1)'!LS11:LU11,"B"))*3)+((COUNTIF('Elève (6ème1)'!LS11:LU11,"C"))*2)+((COUNTIF('Elève (6ème1)'!LS11:LU11,"D"))*1))/(COUNTA(LS11:LU11)),"")</f>
        <v/>
      </c>
      <c r="LW11" s="113" t="str">
        <f t="shared" si="77"/>
        <v/>
      </c>
      <c r="LX11" s="84"/>
      <c r="LY11" s="85"/>
      <c r="LZ11" s="86"/>
      <c r="MA11" s="112" t="str">
        <f>IFERROR((((COUNTIF('Elève (6ème1)'!LX11:LZ11,"A"))*4)+((COUNTIF('Elève (6ème1)'!LX11:LZ11,"B"))*3)+((COUNTIF('Elève (6ème1)'!LX11:LZ11,"C"))*2)+((COUNTIF('Elève (6ème1)'!LX11:LZ11,"D"))*1))/(COUNTA(LX11:LZ11)),"")</f>
        <v/>
      </c>
      <c r="MB11" s="113" t="str">
        <f t="shared" si="78"/>
        <v/>
      </c>
      <c r="MC11" s="180" t="str">
        <f>IF(COUNT(LQ11,LV11,MA11)=0,"",SUM(LQ11,LV11,MA11)/COUNT(LQ11,LV11,MA11))</f>
        <v/>
      </c>
      <c r="MD11" s="133" t="str">
        <f t="shared" si="79"/>
        <v/>
      </c>
      <c r="ME11" s="159"/>
      <c r="MF11" s="160"/>
      <c r="MG11" s="161"/>
      <c r="MH11" s="112" t="str">
        <f>IFERROR((((COUNTIF('Elève (6ème1)'!ME11:MG11,"A"))*4)+((COUNTIF('Elève (6ème1)'!ME11:MG11,"B"))*3)+((COUNTIF('Elève (6ème1)'!ME11:MG11,"C"))*2)+((COUNTIF('Elève (6ème1)'!ME11:MG11,"D"))*1))/(COUNTA(ME11:MG11)),"")</f>
        <v/>
      </c>
      <c r="MI11" s="113" t="str">
        <f t="shared" si="80"/>
        <v/>
      </c>
      <c r="MJ11" s="84"/>
      <c r="MK11" s="85"/>
      <c r="ML11" s="86"/>
      <c r="MM11" s="112" t="str">
        <f>IFERROR((((COUNTIF('Elève (6ème1)'!MJ11:ML11,"A"))*4)+((COUNTIF('Elève (6ème1)'!MJ11:ML11,"B"))*3)+((COUNTIF('Elève (6ème1)'!MJ11:ML11,"C"))*2)+((COUNTIF('Elève (6ème1)'!MJ11:ML11,"D"))*1))/(COUNTA(MJ11:ML11)),"")</f>
        <v/>
      </c>
      <c r="MN11" s="113" t="str">
        <f t="shared" si="81"/>
        <v/>
      </c>
      <c r="MO11" s="84"/>
      <c r="MP11" s="85"/>
      <c r="MQ11" s="86"/>
      <c r="MR11" s="112" t="str">
        <f>IFERROR((((COUNTIF('Elève (6ème1)'!MO11:MQ11,"A"))*4)+((COUNTIF('Elève (6ème1)'!MO11:MQ11,"B"))*3)+((COUNTIF('Elève (6ème1)'!MO11:MQ11,"C"))*2)+((COUNTIF('Elève (6ème1)'!MO11:MQ11,"D"))*1))/(COUNTA(MO11:MQ11)),"")</f>
        <v/>
      </c>
      <c r="MS11" s="113" t="str">
        <f t="shared" si="82"/>
        <v/>
      </c>
      <c r="MT11" s="180" t="str">
        <f>IF(COUNT(MH11,MM11,MR11)=0,"",SUM(MH11,MM11,MR11)/COUNT(MH11,MM11,MR11))</f>
        <v/>
      </c>
      <c r="MU11" s="133" t="str">
        <f t="shared" si="83"/>
        <v/>
      </c>
      <c r="MV11" s="159"/>
      <c r="MW11" s="160"/>
      <c r="MX11" s="161"/>
      <c r="MY11" s="112" t="str">
        <f>IFERROR((((COUNTIF('Elève (6ème1)'!MV11:MX11,"A"))*4)+((COUNTIF('Elève (6ème1)'!MV11:MX11,"B"))*3)+((COUNTIF('Elève (6ème1)'!MV11:MX11,"C"))*2)+((COUNTIF('Elève (6ème1)'!MV11:MX11,"D"))*1))/(COUNTA(MV11:MX11)),"")</f>
        <v/>
      </c>
      <c r="MZ11" s="113" t="str">
        <f t="shared" si="84"/>
        <v/>
      </c>
      <c r="NA11" s="84"/>
      <c r="NB11" s="85"/>
      <c r="NC11" s="86"/>
      <c r="ND11" s="112" t="str">
        <f>IFERROR((((COUNTIF('Elève (6ème1)'!NA11:NC11,"A"))*4)+((COUNTIF('Elève (6ème1)'!NA11:NC11,"B"))*3)+((COUNTIF('Elève (6ème1)'!NA11:NC11,"C"))*2)+((COUNTIF('Elève (6ème1)'!NA11:NC11,"D"))*1))/(COUNTA(NA11:NC11)),"")</f>
        <v/>
      </c>
      <c r="NE11" s="113" t="str">
        <f t="shared" si="85"/>
        <v/>
      </c>
      <c r="NF11" s="84"/>
      <c r="NG11" s="85"/>
      <c r="NH11" s="86"/>
      <c r="NI11" s="112" t="str">
        <f>IFERROR((((COUNTIF('Elève (6ème1)'!NF11:NH11,"A"))*4)+((COUNTIF('Elève (6ème1)'!NF11:NH11,"B"))*3)+((COUNTIF('Elève (6ème1)'!NF11:NH11,"C"))*2)+((COUNTIF('Elève (6ème1)'!NF11:NH11,"D"))*1))/(COUNTA(NF11:NH11)),"")</f>
        <v/>
      </c>
      <c r="NJ11" s="113" t="str">
        <f t="shared" si="86"/>
        <v/>
      </c>
      <c r="NK11" s="180" t="str">
        <f>IF(COUNT(MY11,ND11,NI11)=0,"",SUM(MY11,ND11,NI11)/COUNT(MY11,ND11,NI11))</f>
        <v/>
      </c>
      <c r="NL11" s="133" t="str">
        <f t="shared" si="87"/>
        <v/>
      </c>
      <c r="NM11" s="159"/>
      <c r="NN11" s="160"/>
      <c r="NO11" s="161"/>
      <c r="NP11" s="112" t="str">
        <f>IFERROR((((COUNTIF('Elève (6ème1)'!NM11:NO11,"A"))*4)+((COUNTIF('Elève (6ème1)'!NM11:NO11,"B"))*3)+((COUNTIF('Elève (6ème1)'!NM11:NO11,"C"))*2)+((COUNTIF('Elève (6ème1)'!NM11:NO11,"D"))*1))/(COUNTA(NM11:NO11)),"")</f>
        <v/>
      </c>
      <c r="NQ11" s="113" t="str">
        <f t="shared" si="88"/>
        <v/>
      </c>
      <c r="NR11" s="84"/>
      <c r="NS11" s="85"/>
      <c r="NT11" s="86"/>
      <c r="NU11" s="112" t="str">
        <f>IFERROR((((COUNTIF('Elève (6ème1)'!NR11:NT11,"A"))*4)+((COUNTIF('Elève (6ème1)'!NR11:NT11,"B"))*3)+((COUNTIF('Elève (6ème1)'!NR11:NT11,"C"))*2)+((COUNTIF('Elève (6ème1)'!NR11:NT11,"D"))*1))/(COUNTA(NR11:NT11)),"")</f>
        <v/>
      </c>
      <c r="NV11" s="113" t="str">
        <f t="shared" si="89"/>
        <v/>
      </c>
      <c r="NW11" s="84"/>
      <c r="NX11" s="85"/>
      <c r="NY11" s="86"/>
      <c r="NZ11" s="112" t="str">
        <f>IFERROR((((COUNTIF('Elève (6ème1)'!NW11:NY11,"A"))*4)+((COUNTIF('Elève (6ème1)'!NW11:NY11,"B"))*3)+((COUNTIF('Elève (6ème1)'!NW11:NY11,"C"))*2)+((COUNTIF('Elève (6ème1)'!NW11:NY11,"D"))*1))/(COUNTA(NW11:NY11)),"")</f>
        <v/>
      </c>
      <c r="OA11" s="113" t="str">
        <f t="shared" si="90"/>
        <v/>
      </c>
      <c r="OB11" s="180" t="str">
        <f>IF(COUNT(NP11,NU11,NZ11)=0,"",SUM(NP11,NU11,NZ11)/COUNT(NP11,NU11,NZ11))</f>
        <v/>
      </c>
      <c r="OC11" s="133" t="str">
        <f t="shared" si="91"/>
        <v/>
      </c>
      <c r="OD11" s="159"/>
      <c r="OE11" s="160"/>
      <c r="OF11" s="161"/>
      <c r="OG11" s="112" t="str">
        <f>IFERROR((((COUNTIF('Elève (6ème1)'!OD11:OF11,"A"))*4)+((COUNTIF('Elève (6ème1)'!OD11:OF11,"B"))*3)+((COUNTIF('Elève (6ème1)'!OD11:OF11,"C"))*2)+((COUNTIF('Elève (6ème1)'!OD11:OF11,"D"))*1))/(COUNTA(OD11:OF11)),"")</f>
        <v/>
      </c>
      <c r="OH11" s="113" t="str">
        <f t="shared" si="92"/>
        <v/>
      </c>
      <c r="OI11" s="84"/>
      <c r="OJ11" s="85"/>
      <c r="OK11" s="86"/>
      <c r="OL11" s="112" t="str">
        <f>IFERROR((((COUNTIF('Elève (6ème1)'!OI11:OK11,"A"))*4)+((COUNTIF('Elève (6ème1)'!OI11:OK11,"B"))*3)+((COUNTIF('Elève (6ème1)'!OI11:OK11,"C"))*2)+((COUNTIF('Elève (6ème1)'!OI11:OK11,"D"))*1))/(COUNTA(OI11:OK11)),"")</f>
        <v/>
      </c>
      <c r="OM11" s="113" t="str">
        <f t="shared" si="93"/>
        <v/>
      </c>
      <c r="ON11" s="84"/>
      <c r="OO11" s="85"/>
      <c r="OP11" s="86"/>
      <c r="OQ11" s="112" t="str">
        <f>IFERROR((((COUNTIF('Elève (6ème1)'!ON11:OP11,"A"))*4)+((COUNTIF('Elève (6ème1)'!ON11:OP11,"B"))*3)+((COUNTIF('Elève (6ème1)'!ON11:OP11,"C"))*2)+((COUNTIF('Elève (6ème1)'!ON11:OP11,"D"))*1))/(COUNTA(ON11:OP11)),"")</f>
        <v/>
      </c>
      <c r="OR11" s="113" t="str">
        <f t="shared" si="94"/>
        <v/>
      </c>
      <c r="OS11" s="180" t="str">
        <f>IF(COUNT(OG11,OL11,OQ11)=0,"",SUM(OG11,OL11,OQ11)/COUNT(OG11,OL11,OQ11))</f>
        <v/>
      </c>
      <c r="OT11" s="133" t="str">
        <f t="shared" si="95"/>
        <v/>
      </c>
      <c r="OU11" s="159"/>
      <c r="OV11" s="160"/>
      <c r="OW11" s="161"/>
      <c r="OX11" s="112" t="str">
        <f>IFERROR((((COUNTIF('Elève (6ème1)'!OU11:OW11,"A"))*4)+((COUNTIF('Elève (6ème1)'!OU11:OW11,"B"))*3)+((COUNTIF('Elève (6ème1)'!OU11:OW11,"C"))*2)+((COUNTIF('Elève (6ème1)'!OU11:OW11,"D"))*1))/(COUNTA(OU11:OW11)),"")</f>
        <v/>
      </c>
      <c r="OY11" s="113" t="str">
        <f t="shared" si="96"/>
        <v/>
      </c>
      <c r="OZ11" s="84"/>
      <c r="PA11" s="85"/>
      <c r="PB11" s="86"/>
      <c r="PC11" s="112" t="str">
        <f>IFERROR((((COUNTIF('Elève (6ème1)'!OZ11:PB11,"A"))*4)+((COUNTIF('Elève (6ème1)'!OZ11:PB11,"B"))*3)+((COUNTIF('Elève (6ème1)'!OZ11:PB11,"C"))*2)+((COUNTIF('Elève (6ème1)'!OZ11:PB11,"D"))*1))/(COUNTA(OZ11:PB11)),"")</f>
        <v/>
      </c>
      <c r="PD11" s="113" t="str">
        <f t="shared" si="97"/>
        <v/>
      </c>
      <c r="PE11" s="84"/>
      <c r="PF11" s="85"/>
      <c r="PG11" s="86"/>
      <c r="PH11" s="112" t="str">
        <f>IFERROR((((COUNTIF('Elève (6ème1)'!PE11:PG11,"A"))*4)+((COUNTIF('Elève (6ème1)'!PE11:PG11,"B"))*3)+((COUNTIF('Elève (6ème1)'!PE11:PG11,"C"))*2)+((COUNTIF('Elève (6ème1)'!PE11:PG11,"D"))*1))/(COUNTA(PE11:PG11)),"")</f>
        <v/>
      </c>
      <c r="PI11" s="113" t="str">
        <f t="shared" si="98"/>
        <v/>
      </c>
      <c r="PJ11" s="180" t="str">
        <f>IF(COUNT(OX11,PC11,PH11)=0,"",SUM(OX11,PC11,PH11)/COUNT(OX11,PC11,PH11))</f>
        <v/>
      </c>
      <c r="PK11" s="133" t="str">
        <f t="shared" si="99"/>
        <v/>
      </c>
      <c r="PL11" s="159"/>
      <c r="PM11" s="160"/>
      <c r="PN11" s="161"/>
      <c r="PO11" s="112" t="str">
        <f>IFERROR((((COUNTIF('Elève (6ème1)'!PL11:PN11,"A"))*4)+((COUNTIF('Elève (6ème1)'!PL11:PN11,"B"))*3)+((COUNTIF('Elève (6ème1)'!PL11:PN11,"C"))*2)+((COUNTIF('Elève (6ème1)'!PL11:PN11,"D"))*1))/(COUNTA(PL11:PN11)),"")</f>
        <v/>
      </c>
      <c r="PP11" s="113" t="str">
        <f t="shared" si="100"/>
        <v/>
      </c>
      <c r="PQ11" s="84"/>
      <c r="PR11" s="85"/>
      <c r="PS11" s="86"/>
      <c r="PT11" s="112" t="str">
        <f>IFERROR((((COUNTIF('Elève (6ème1)'!PQ11:PS11,"A"))*4)+((COUNTIF('Elève (6ème1)'!PQ11:PS11,"B"))*3)+((COUNTIF('Elève (6ème1)'!PQ11:PS11,"C"))*2)+((COUNTIF('Elève (6ème1)'!PQ11:PS11,"D"))*1))/(COUNTA(PQ11:PS11)),"")</f>
        <v/>
      </c>
      <c r="PU11" s="113" t="str">
        <f t="shared" si="101"/>
        <v/>
      </c>
      <c r="PV11" s="84"/>
      <c r="PW11" s="85"/>
      <c r="PX11" s="86"/>
      <c r="PY11" s="112" t="str">
        <f>IFERROR((((COUNTIF('Elève (6ème1)'!PV11:PX11,"A"))*4)+((COUNTIF('Elève (6ème1)'!PV11:PX11,"B"))*3)+((COUNTIF('Elève (6ème1)'!PV11:PX11,"C"))*2)+((COUNTIF('Elève (6ème1)'!PV11:PX11,"D"))*1))/(COUNTA(PV11:PX11)),"")</f>
        <v/>
      </c>
      <c r="PZ11" s="113" t="str">
        <f t="shared" si="102"/>
        <v/>
      </c>
      <c r="QA11" s="180" t="str">
        <f>IF(COUNT(PO11,PT11,PY11)=0,"",SUM(PO11,PT11,PY11)/COUNT(PO11,PT11,PY11))</f>
        <v/>
      </c>
      <c r="QB11" s="133" t="str">
        <f t="shared" si="103"/>
        <v/>
      </c>
      <c r="QC11" s="159"/>
      <c r="QD11" s="160"/>
      <c r="QE11" s="161"/>
      <c r="QF11" s="112" t="str">
        <f>IFERROR((((COUNTIF('Elève (6ème1)'!QC11:QE11,"A"))*4)+((COUNTIF('Elève (6ème1)'!QC11:QE11,"B"))*3)+((COUNTIF('Elève (6ème1)'!QC11:QE11,"C"))*2)+((COUNTIF('Elève (6ème1)'!QC11:QE11,"D"))*1))/(COUNTA(QC11:QE11)),"")</f>
        <v/>
      </c>
      <c r="QG11" s="113" t="str">
        <f t="shared" si="104"/>
        <v/>
      </c>
      <c r="QH11" s="84"/>
      <c r="QI11" s="85"/>
      <c r="QJ11" s="86"/>
      <c r="QK11" s="112" t="str">
        <f>IFERROR((((COUNTIF('Elève (6ème1)'!QH11:QJ11,"A"))*4)+((COUNTIF('Elève (6ème1)'!QH11:QJ11,"B"))*3)+((COUNTIF('Elève (6ème1)'!QH11:QJ11,"C"))*2)+((COUNTIF('Elève (6ème1)'!QH11:QJ11,"D"))*1))/(COUNTA(QH11:QJ11)),"")</f>
        <v/>
      </c>
      <c r="QL11" s="113" t="str">
        <f t="shared" si="105"/>
        <v/>
      </c>
      <c r="QM11" s="84"/>
      <c r="QN11" s="85"/>
      <c r="QO11" s="86"/>
      <c r="QP11" s="112" t="str">
        <f>IFERROR((((COUNTIF('Elève (6ème1)'!QM11:QO11,"A"))*4)+((COUNTIF('Elève (6ème1)'!QM11:QO11,"B"))*3)+((COUNTIF('Elève (6ème1)'!QM11:QO11,"C"))*2)+((COUNTIF('Elève (6ème1)'!QM11:QO11,"D"))*1))/(COUNTA(QM11:QO11)),"")</f>
        <v/>
      </c>
      <c r="QQ11" s="113" t="str">
        <f t="shared" si="106"/>
        <v/>
      </c>
      <c r="QR11" s="180" t="str">
        <f>IF(COUNT(QF11,QK11,QP11)=0,"",SUM(QF11,QK11,QP11)/COUNT(QF11,QK11,QP11))</f>
        <v/>
      </c>
      <c r="QS11" s="133" t="str">
        <f t="shared" si="107"/>
        <v/>
      </c>
      <c r="QT11" s="159"/>
      <c r="QU11" s="160"/>
      <c r="QV11" s="161"/>
      <c r="QW11" s="112" t="str">
        <f>IFERROR((((COUNTIF('Elève (6ème1)'!QT11:QV11,"A"))*4)+((COUNTIF('Elève (6ème1)'!QT11:QV11,"B"))*3)+((COUNTIF('Elève (6ème1)'!QT11:QV11,"C"))*2)+((COUNTIF('Elève (6ème1)'!QT11:QV11,"D"))*1))/(COUNTA(QT11:QV11)),"")</f>
        <v/>
      </c>
      <c r="QX11" s="113" t="str">
        <f t="shared" si="108"/>
        <v/>
      </c>
      <c r="QY11" s="84"/>
      <c r="QZ11" s="85"/>
      <c r="RA11" s="86"/>
      <c r="RB11" s="112" t="str">
        <f>IFERROR((((COUNTIF('Elève (6ème1)'!QY11:RA11,"A"))*4)+((COUNTIF('Elève (6ème1)'!QY11:RA11,"B"))*3)+((COUNTIF('Elève (6ème1)'!QY11:RA11,"C"))*2)+((COUNTIF('Elève (6ème1)'!QY11:RA11,"D"))*1))/(COUNTA(QY11:RA11)),"")</f>
        <v/>
      </c>
      <c r="RC11" s="113" t="str">
        <f t="shared" si="109"/>
        <v/>
      </c>
      <c r="RD11" s="84"/>
      <c r="RE11" s="85"/>
      <c r="RF11" s="86"/>
      <c r="RG11" s="112" t="str">
        <f>IFERROR((((COUNTIF('Elève (6ème1)'!RD11:RF11,"A"))*4)+((COUNTIF('Elève (6ème1)'!RD11:RF11,"B"))*3)+((COUNTIF('Elève (6ème1)'!RD11:RF11,"C"))*2)+((COUNTIF('Elève (6ème1)'!RD11:RF11,"D"))*1))/(COUNTA(RD11:RF11)),"")</f>
        <v/>
      </c>
      <c r="RH11" s="113" t="str">
        <f t="shared" si="110"/>
        <v/>
      </c>
      <c r="RI11" s="180" t="str">
        <f>IF(COUNT(QW11,RB11,RG11)=0,"",SUM(QW11,RB11,RG11)/COUNT(QW11,RB11,RG11))</f>
        <v/>
      </c>
      <c r="RJ11" s="133" t="str">
        <f t="shared" si="111"/>
        <v/>
      </c>
      <c r="RK11" s="159"/>
      <c r="RL11" s="160"/>
      <c r="RM11" s="161"/>
      <c r="RN11" s="112" t="str">
        <f>IFERROR((((COUNTIF('Elève (6ème1)'!RK11:RM11,"A"))*4)+((COUNTIF('Elève (6ème1)'!RK11:RM11,"B"))*3)+((COUNTIF('Elève (6ème1)'!RK11:RM11,"C"))*2)+((COUNTIF('Elève (6ème1)'!RK11:RM11,"D"))*1))/(COUNTA(RK11:RM11)),"")</f>
        <v/>
      </c>
      <c r="RO11" s="113" t="str">
        <f t="shared" si="112"/>
        <v/>
      </c>
      <c r="RP11" s="84"/>
      <c r="RQ11" s="85"/>
      <c r="RR11" s="86"/>
      <c r="RS11" s="112" t="str">
        <f>IFERROR((((COUNTIF('Elève (6ème1)'!RP11:RR11,"A"))*4)+((COUNTIF('Elève (6ème1)'!RP11:RR11,"B"))*3)+((COUNTIF('Elève (6ème1)'!RP11:RR11,"C"))*2)+((COUNTIF('Elève (6ème1)'!RP11:RR11,"D"))*1))/(COUNTA(RP11:RR11)),"")</f>
        <v/>
      </c>
      <c r="RT11" s="113" t="str">
        <f t="shared" si="113"/>
        <v/>
      </c>
      <c r="RU11" s="84"/>
      <c r="RV11" s="85"/>
      <c r="RW11" s="86"/>
      <c r="RX11" s="112" t="str">
        <f>IFERROR((((COUNTIF('Elève (6ème1)'!RU11:RW11,"A"))*4)+((COUNTIF('Elève (6ème1)'!RU11:RW11,"B"))*3)+((COUNTIF('Elève (6ème1)'!RU11:RW11,"C"))*2)+((COUNTIF('Elève (6ème1)'!RU11:RW11,"D"))*1))/(COUNTA(RU11:RW11)),"")</f>
        <v/>
      </c>
      <c r="RY11" s="113" t="str">
        <f t="shared" si="114"/>
        <v/>
      </c>
      <c r="RZ11" s="180" t="str">
        <f>IF(COUNT(RN11,RS11,RX11)=0,"",SUM(RN11,RS11,RX11)/COUNT(RN11,RS11,RX11))</f>
        <v/>
      </c>
      <c r="SA11" s="133" t="str">
        <f t="shared" si="115"/>
        <v/>
      </c>
      <c r="SB11" s="159"/>
      <c r="SC11" s="160"/>
      <c r="SD11" s="161"/>
      <c r="SE11" s="112" t="str">
        <f>IFERROR((((COUNTIF('Elève (6ème1)'!SB11:SD11,"A"))*4)+((COUNTIF('Elève (6ème1)'!SB11:SD11,"B"))*3)+((COUNTIF('Elève (6ème1)'!SB11:SD11,"C"))*2)+((COUNTIF('Elève (6ème1)'!SB11:SD11,"D"))*1))/(COUNTA(SB11:SD11)),"")</f>
        <v/>
      </c>
      <c r="SF11" s="113" t="str">
        <f t="shared" si="116"/>
        <v/>
      </c>
      <c r="SG11" s="84"/>
      <c r="SH11" s="85"/>
      <c r="SI11" s="86"/>
      <c r="SJ11" s="112" t="str">
        <f>IFERROR((((COUNTIF('Elève (6ème1)'!SG11:SI11,"A"))*4)+((COUNTIF('Elève (6ème1)'!SG11:SI11,"B"))*3)+((COUNTIF('Elève (6ème1)'!SG11:SI11,"C"))*2)+((COUNTIF('Elève (6ème1)'!SG11:SI11,"D"))*1))/(COUNTA(SG11:SI11)),"")</f>
        <v/>
      </c>
      <c r="SK11" s="113" t="str">
        <f t="shared" si="117"/>
        <v/>
      </c>
      <c r="SL11" s="84"/>
      <c r="SM11" s="85"/>
      <c r="SN11" s="86"/>
      <c r="SO11" s="112" t="str">
        <f>IFERROR((((COUNTIF('Elève (6ème1)'!SL11:SN11,"A"))*4)+((COUNTIF('Elève (6ème1)'!SL11:SN11,"B"))*3)+((COUNTIF('Elève (6ème1)'!SL11:SN11,"C"))*2)+((COUNTIF('Elève (6ème1)'!SL11:SN11,"D"))*1))/(COUNTA(SL11:SN11)),"")</f>
        <v/>
      </c>
      <c r="SP11" s="113" t="str">
        <f t="shared" si="118"/>
        <v/>
      </c>
      <c r="SQ11" s="180" t="str">
        <f>IF(COUNT(SE11,SJ11,SO11)=0,"",SUM(SE11,SJ11,SO11)/COUNT(SE11,SJ11,SO11))</f>
        <v/>
      </c>
      <c r="SR11" s="133" t="str">
        <f t="shared" si="119"/>
        <v/>
      </c>
    </row>
    <row r="12" spans="1:512" s="77" customFormat="1" ht="16.5" customHeight="1" thickBot="1" x14ac:dyDescent="0.3">
      <c r="A12" s="96" t="s">
        <v>15</v>
      </c>
      <c r="B12" s="88">
        <v>1</v>
      </c>
      <c r="C12" s="152"/>
      <c r="D12" s="185"/>
      <c r="E12" s="185"/>
      <c r="F12" s="106">
        <f>IFERROR((((COUNTIF('Elève (6ème1)'!C13:E13,"A"))*4)+((COUNTIF('Elève (6ème1)'!C13:E13,"B"))*3)+((COUNTIF('Elève (6ème1)'!C13:E13,"C"))*2)+((COUNTIF('Elève (6ème1)'!C13:E13,"D"))*1))/(COUNTA(C13:E13)),"")</f>
        <v>3</v>
      </c>
      <c r="G12" s="107" t="str">
        <f t="shared" si="0"/>
        <v>B</v>
      </c>
      <c r="H12" s="145"/>
      <c r="I12" s="186"/>
      <c r="J12" s="146"/>
      <c r="K12" s="106" t="str">
        <f>IFERROR((((COUNTIF('Elève (6ème1)'!H13:J13,"A"))*4)+((COUNTIF('Elève (6ème1)'!H13:J13,"B"))*3)+((COUNTIF('Elève (6ème1)'!H13:J13,"C"))*2)+((COUNTIF('Elève (6ème1)'!H13:J13,"D"))*1))/(COUNTA(H13:J13)),"")</f>
        <v/>
      </c>
      <c r="L12" s="121" t="str">
        <f t="shared" si="1"/>
        <v/>
      </c>
      <c r="M12" s="100"/>
      <c r="N12" s="187"/>
      <c r="O12" s="188"/>
      <c r="P12" s="106" t="str">
        <f>IFERROR((((COUNTIF('Elève (6ème1)'!M13:O13,"A"))*4)+((COUNTIF('Elève (6ème1)'!M13:O13,"B"))*3)+((COUNTIF('Elève (6ème1)'!M13:O13,"C"))*2)+((COUNTIF('Elève (6ème1)'!M13:O13,"D"))*1))/(COUNTA(M13:O13)),"")</f>
        <v/>
      </c>
      <c r="Q12" s="128" t="str">
        <f t="shared" si="2"/>
        <v/>
      </c>
      <c r="R12" s="177">
        <f>IFERROR((((COUNTIF(C13:E13,"A")+COUNTIF(H13:J13,"A")+COUNTIF(M13:O13,"A"))*4)+((COUNTIF(C13:E13,"B")+COUNTIF(H13:J13,"B")+COUNTIF(M13:O13,"B"))*3)+((COUNTIF(C13:E13,"C")+COUNTIF(H13:J13,"C")+COUNTIF(M13:O13,"C"))*2)+((COUNTIF(C13:E13,"D")+COUNTIF(H13:J13,"D")+COUNTIF(M13:O13,"D"))*1))/(COUNTA(C13:E13)+COUNTA(H13:J13)+COUNTA(M13:O13)),"")</f>
        <v>3</v>
      </c>
      <c r="S12" s="130" t="str">
        <f t="shared" si="3"/>
        <v>B</v>
      </c>
      <c r="T12" s="152"/>
      <c r="U12" s="185"/>
      <c r="V12" s="185"/>
      <c r="W12" s="106">
        <f>IFERROR((((COUNTIF('Elève (6ème1)'!T13:V13,"A"))*4)+((COUNTIF('Elève (6ème1)'!T13:V13,"B"))*3)+((COUNTIF('Elève (6ème1)'!T13:V13,"C"))*2)+((COUNTIF('Elève (6ème1)'!T13:V13,"D"))*1))/(COUNTA(T13:V13)),"")</f>
        <v>3</v>
      </c>
      <c r="X12" s="107" t="str">
        <f t="shared" si="4"/>
        <v>B</v>
      </c>
      <c r="Y12" s="145"/>
      <c r="Z12" s="186"/>
      <c r="AA12" s="146"/>
      <c r="AB12" s="106" t="str">
        <f>IFERROR((((COUNTIF('Elève (6ème1)'!Y13:AA13,"A"))*4)+((COUNTIF('Elève (6ème1)'!Y13:AA13,"B"))*3)+((COUNTIF('Elève (6ème1)'!Y13:AA13,"C"))*2)+((COUNTIF('Elève (6ème1)'!Y13:AA13,"D"))*1))/(COUNTA(Y13:AA13)),"")</f>
        <v/>
      </c>
      <c r="AC12" s="121" t="str">
        <f t="shared" si="5"/>
        <v/>
      </c>
      <c r="AD12" s="100"/>
      <c r="AE12" s="187"/>
      <c r="AF12" s="188"/>
      <c r="AG12" s="106" t="str">
        <f>IFERROR((((COUNTIF('Elève (6ème1)'!AD13:AF13,"A"))*4)+((COUNTIF('Elève (6ème1)'!AD13:AF13,"B"))*3)+((COUNTIF('Elève (6ème1)'!AD13:AF13,"C"))*2)+((COUNTIF('Elève (6ème1)'!AD13:AF13,"D"))*1))/(COUNTA(AD13:AF13)),"")</f>
        <v/>
      </c>
      <c r="AH12" s="128" t="str">
        <f t="shared" si="6"/>
        <v/>
      </c>
      <c r="AI12" s="177">
        <f>IFERROR((((COUNTIF(T13:V13,"A")+COUNTIF(Y13:AA13,"A")+COUNTIF(AD13:AF13,"A"))*4)+((COUNTIF(T13:V13,"B")+COUNTIF(Y13:AA13,"B")+COUNTIF(AD13:AF13,"B"))*3)+((COUNTIF(T13:V13,"C")+COUNTIF(Y13:AA13,"C")+COUNTIF(AD13:AF13,"C"))*2)+((COUNTIF(T13:V13,"D")+COUNTIF(Y13:AA13,"D")+COUNTIF(AD13:AF13,"D"))*1))/(COUNTA(T13:V13)+COUNTA(Y13:AA13)+COUNTA(AD13:AF13)),"")</f>
        <v>3</v>
      </c>
      <c r="AJ12" s="130" t="str">
        <f t="shared" si="7"/>
        <v>B</v>
      </c>
      <c r="AK12" s="152"/>
      <c r="AL12" s="185"/>
      <c r="AM12" s="185"/>
      <c r="AN12" s="106">
        <f>IFERROR((((COUNTIF('Elève (6ème1)'!AK13:AM13,"A"))*4)+((COUNTIF('Elève (6ème1)'!AK13:AM13,"B"))*3)+((COUNTIF('Elève (6ème1)'!AK13:AM13,"C"))*2)+((COUNTIF('Elève (6ème1)'!AK13:AM13,"D"))*1))/(COUNTA(AK13:AM13)),"")</f>
        <v>4</v>
      </c>
      <c r="AO12" s="107" t="str">
        <f t="shared" si="8"/>
        <v>A</v>
      </c>
      <c r="AP12" s="145"/>
      <c r="AQ12" s="186"/>
      <c r="AR12" s="146"/>
      <c r="AS12" s="106" t="str">
        <f>IFERROR((((COUNTIF('Elève (6ème1)'!AP13:AR13,"A"))*4)+((COUNTIF('Elève (6ème1)'!AP13:AR13,"B"))*3)+((COUNTIF('Elève (6ème1)'!AP13:AR13,"C"))*2)+((COUNTIF('Elève (6ème1)'!AP13:AR13,"D"))*1))/(COUNTA(AP13:AR13)),"")</f>
        <v/>
      </c>
      <c r="AT12" s="121" t="str">
        <f t="shared" si="9"/>
        <v/>
      </c>
      <c r="AU12" s="100"/>
      <c r="AV12" s="187"/>
      <c r="AW12" s="188"/>
      <c r="AX12" s="106" t="str">
        <f>IFERROR((((COUNTIF('Elève (6ème1)'!AU13:AW13,"A"))*4)+((COUNTIF('Elève (6ème1)'!AU13:AW13,"B"))*3)+((COUNTIF('Elève (6ème1)'!AU13:AW13,"C"))*2)+((COUNTIF('Elève (6ème1)'!AU13:AW13,"D"))*1))/(COUNTA(AU13:AW13)),"")</f>
        <v/>
      </c>
      <c r="AY12" s="128" t="str">
        <f t="shared" si="10"/>
        <v/>
      </c>
      <c r="AZ12" s="177">
        <f>IFERROR((((COUNTIF(AK13:AM13,"A")+COUNTIF(AP13:AR13,"A")+COUNTIF(AU13:AW13,"A"))*4)+((COUNTIF(AK13:AM13,"B")+COUNTIF(AP13:AR13,"B")+COUNTIF(AU13:AW13,"B"))*3)+((COUNTIF(AK13:AM13,"C")+COUNTIF(AP13:AR13,"C")+COUNTIF(AU13:AW13,"C"))*2)+((COUNTIF(AK13:AM13,"D")+COUNTIF(AP13:AR13,"D")+COUNTIF(AU13:AW13,"D"))*1))/(COUNTA(AK13:AM13)+COUNTA(AP13:AR13)+COUNTA(AU13:AW13)),"")</f>
        <v>4</v>
      </c>
      <c r="BA12" s="130" t="str">
        <f t="shared" si="11"/>
        <v>A</v>
      </c>
      <c r="BB12" s="152"/>
      <c r="BC12" s="185"/>
      <c r="BD12" s="185"/>
      <c r="BE12" s="106">
        <f>IFERROR((((COUNTIF('Elève (6ème1)'!BB13:BD13,"A"))*4)+((COUNTIF('Elève (6ème1)'!BB13:BD13,"B"))*3)+((COUNTIF('Elève (6ème1)'!BB13:BD13,"C"))*2)+((COUNTIF('Elève (6ème1)'!BB13:BD13,"D"))*1))/(COUNTA(BB13:BD13)),"")</f>
        <v>3</v>
      </c>
      <c r="BF12" s="107" t="str">
        <f t="shared" si="12"/>
        <v>B</v>
      </c>
      <c r="BG12" s="145"/>
      <c r="BH12" s="186"/>
      <c r="BI12" s="146"/>
      <c r="BJ12" s="106" t="str">
        <f>IFERROR((((COUNTIF('Elève (6ème1)'!BG13:BI13,"A"))*4)+((COUNTIF('Elève (6ème1)'!BG13:BI13,"B"))*3)+((COUNTIF('Elève (6ème1)'!BG13:BI13,"C"))*2)+((COUNTIF('Elève (6ème1)'!BG13:BI13,"D"))*1))/(COUNTA(BG13:BI13)),"")</f>
        <v/>
      </c>
      <c r="BK12" s="121" t="str">
        <f t="shared" si="13"/>
        <v/>
      </c>
      <c r="BL12" s="100"/>
      <c r="BM12" s="187"/>
      <c r="BN12" s="188"/>
      <c r="BO12" s="106" t="str">
        <f>IFERROR((((COUNTIF('Elève (6ème1)'!BL13:BN13,"A"))*4)+((COUNTIF('Elève (6ème1)'!BL13:BN13,"B"))*3)+((COUNTIF('Elève (6ème1)'!BL13:BN13,"C"))*2)+((COUNTIF('Elève (6ème1)'!BL13:BN13,"D"))*1))/(COUNTA(BL13:BN13)),"")</f>
        <v/>
      </c>
      <c r="BP12" s="128" t="str">
        <f t="shared" si="14"/>
        <v/>
      </c>
      <c r="BQ12" s="177">
        <f>IFERROR((((COUNTIF(BB13:BD13,"A")+COUNTIF(BG13:BI13,"A")+COUNTIF(BL13:BN13,"A"))*4)+((COUNTIF(BB13:BD13,"B")+COUNTIF(BG13:BI13,"B")+COUNTIF(BL13:BN13,"B"))*3)+((COUNTIF(BB13:BD13,"C")+COUNTIF(BG13:BI13,"C")+COUNTIF(BL13:BN13,"C"))*2)+((COUNTIF(BB13:BD13,"D")+COUNTIF(BG13:BI13,"D")+COUNTIF(BL13:BN13,"D"))*1))/(COUNTA(BB13:BD13)+COUNTA(BG13:BI13)+COUNTA(BL13:BN13)),"")</f>
        <v>3</v>
      </c>
      <c r="BR12" s="130" t="str">
        <f t="shared" si="15"/>
        <v>B</v>
      </c>
      <c r="BS12" s="152"/>
      <c r="BT12" s="185"/>
      <c r="BU12" s="185"/>
      <c r="BV12" s="106">
        <f>IFERROR((((COUNTIF('Elève (6ème1)'!BS13:BU13,"A"))*4)+((COUNTIF('Elève (6ème1)'!BS13:BU13,"B"))*3)+((COUNTIF('Elève (6ème1)'!BS13:BU13,"C"))*2)+((COUNTIF('Elève (6ème1)'!BS13:BU13,"D"))*1))/(COUNTA(BS13:BU13)),"")</f>
        <v>3</v>
      </c>
      <c r="BW12" s="107" t="str">
        <f t="shared" si="16"/>
        <v>B</v>
      </c>
      <c r="BX12" s="145"/>
      <c r="BY12" s="186"/>
      <c r="BZ12" s="146"/>
      <c r="CA12" s="106" t="str">
        <f>IFERROR((((COUNTIF('Elève (6ème1)'!BX13:BZ13,"A"))*4)+((COUNTIF('Elève (6ème1)'!BX13:BZ13,"B"))*3)+((COUNTIF('Elève (6ème1)'!BX13:BZ13,"C"))*2)+((COUNTIF('Elève (6ème1)'!BX13:BZ13,"D"))*1))/(COUNTA(BX13:BZ13)),"")</f>
        <v/>
      </c>
      <c r="CB12" s="121" t="str">
        <f t="shared" si="17"/>
        <v/>
      </c>
      <c r="CC12" s="100"/>
      <c r="CD12" s="187"/>
      <c r="CE12" s="188"/>
      <c r="CF12" s="106" t="str">
        <f>IFERROR((((COUNTIF('Elève (6ème1)'!CC13:CE13,"A"))*4)+((COUNTIF('Elève (6ème1)'!CC13:CE13,"B"))*3)+((COUNTIF('Elève (6ème1)'!CC13:CE13,"C"))*2)+((COUNTIF('Elève (6ème1)'!CC13:CE13,"D"))*1))/(COUNTA(CC13:CE13)),"")</f>
        <v/>
      </c>
      <c r="CG12" s="128" t="str">
        <f t="shared" si="18"/>
        <v/>
      </c>
      <c r="CH12" s="177">
        <f>IFERROR((((COUNTIF(BS13:BU13,"A")+COUNTIF(BX13:BZ13,"A")+COUNTIF(CC13:CE13,"A"))*4)+((COUNTIF(BS13:BU13,"B")+COUNTIF(BX13:BZ13,"B")+COUNTIF(CC13:CE13,"B"))*3)+((COUNTIF(BS13:BU13,"C")+COUNTIF(BX13:BZ13,"C")+COUNTIF(CC13:CE13,"C"))*2)+((COUNTIF(BS13:BU13,"D")+COUNTIF(BX13:BZ13,"D")+COUNTIF(CC13:CE13,"D"))*1))/(COUNTA(BS13:BU13)+COUNTA(BX13:BZ13)+COUNTA(CC13:CE13)),"")</f>
        <v>3</v>
      </c>
      <c r="CI12" s="130" t="str">
        <f t="shared" si="19"/>
        <v>B</v>
      </c>
      <c r="CJ12" s="152"/>
      <c r="CK12" s="185"/>
      <c r="CL12" s="185"/>
      <c r="CM12" s="106">
        <f>IFERROR((((COUNTIF('Elève (6ème1)'!CJ13:CL13,"A"))*4)+((COUNTIF('Elève (6ème1)'!CJ13:CL13,"B"))*3)+((COUNTIF('Elève (6ème1)'!CJ13:CL13,"C"))*2)+((COUNTIF('Elève (6ème1)'!CJ13:CL13,"D"))*1))/(COUNTA(CJ13:CL13)),"")</f>
        <v>4</v>
      </c>
      <c r="CN12" s="107" t="str">
        <f t="shared" si="20"/>
        <v>A</v>
      </c>
      <c r="CO12" s="145"/>
      <c r="CP12" s="186"/>
      <c r="CQ12" s="146"/>
      <c r="CR12" s="106" t="str">
        <f>IFERROR((((COUNTIF('Elève (6ème1)'!CO13:CQ13,"A"))*4)+((COUNTIF('Elève (6ème1)'!CO13:CQ13,"B"))*3)+((COUNTIF('Elève (6ème1)'!CO13:CQ13,"C"))*2)+((COUNTIF('Elève (6ème1)'!CO13:CQ13,"D"))*1))/(COUNTA(CO13:CQ13)),"")</f>
        <v/>
      </c>
      <c r="CS12" s="121" t="str">
        <f t="shared" si="21"/>
        <v/>
      </c>
      <c r="CT12" s="100"/>
      <c r="CU12" s="187"/>
      <c r="CV12" s="188"/>
      <c r="CW12" s="106" t="str">
        <f>IFERROR((((COUNTIF('Elève (6ème1)'!CT13:CV13,"A"))*4)+((COUNTIF('Elève (6ème1)'!CT13:CV13,"B"))*3)+((COUNTIF('Elève (6ème1)'!CT13:CV13,"C"))*2)+((COUNTIF('Elève (6ème1)'!CT13:CV13,"D"))*1))/(COUNTA(CT13:CV13)),"")</f>
        <v/>
      </c>
      <c r="CX12" s="128" t="str">
        <f t="shared" si="22"/>
        <v/>
      </c>
      <c r="CY12" s="177">
        <f>IFERROR((((COUNTIF(CJ13:CL13,"A")+COUNTIF(CO13:CQ13,"A")+COUNTIF(CT13:CV13,"A"))*4)+((COUNTIF(CJ13:CL13,"B")+COUNTIF(CO13:CQ13,"B")+COUNTIF(CT13:CV13,"B"))*3)+((COUNTIF(CJ13:CL13,"C")+COUNTIF(CO13:CQ13,"C")+COUNTIF(CT13:CV13,"C"))*2)+((COUNTIF(CJ13:CL13,"D")+COUNTIF(CO13:CQ13,"D")+COUNTIF(CT13:CV13,"D"))*1))/(COUNTA(CJ13:CL13)+COUNTA(CO13:CQ13)+COUNTA(CT13:CV13)),"")</f>
        <v>4</v>
      </c>
      <c r="CZ12" s="130" t="str">
        <f t="shared" si="23"/>
        <v>A</v>
      </c>
      <c r="DA12" s="152"/>
      <c r="DB12" s="185"/>
      <c r="DC12" s="185"/>
      <c r="DD12" s="106">
        <f>IFERROR((((COUNTIF('Elève (6ème1)'!DA13:DC13,"A"))*4)+((COUNTIF('Elève (6ème1)'!DA13:DC13,"B"))*3)+((COUNTIF('Elève (6ème1)'!DA13:DC13,"C"))*2)+((COUNTIF('Elève (6ème1)'!DA13:DC13,"D"))*1))/(COUNTA(DA13:DC13)),"")</f>
        <v>3</v>
      </c>
      <c r="DE12" s="107" t="str">
        <f t="shared" si="24"/>
        <v>B</v>
      </c>
      <c r="DF12" s="145"/>
      <c r="DG12" s="186"/>
      <c r="DH12" s="146"/>
      <c r="DI12" s="106" t="str">
        <f>IFERROR((((COUNTIF('Elève (6ème1)'!DF13:DH13,"A"))*4)+((COUNTIF('Elève (6ème1)'!DF13:DH13,"B"))*3)+((COUNTIF('Elève (6ème1)'!DF13:DH13,"C"))*2)+((COUNTIF('Elève (6ème1)'!DF13:DH13,"D"))*1))/(COUNTA(DF13:DH13)),"")</f>
        <v/>
      </c>
      <c r="DJ12" s="121" t="str">
        <f t="shared" si="25"/>
        <v/>
      </c>
      <c r="DK12" s="100"/>
      <c r="DL12" s="187"/>
      <c r="DM12" s="188"/>
      <c r="DN12" s="106" t="str">
        <f>IFERROR((((COUNTIF('Elève (6ème1)'!DK13:DM13,"A"))*4)+((COUNTIF('Elève (6ème1)'!DK13:DM13,"B"))*3)+((COUNTIF('Elève (6ème1)'!DK13:DM13,"C"))*2)+((COUNTIF('Elève (6ème1)'!DK13:DM13,"D"))*1))/(COUNTA(DK13:DM13)),"")</f>
        <v/>
      </c>
      <c r="DO12" s="128" t="str">
        <f t="shared" si="26"/>
        <v/>
      </c>
      <c r="DP12" s="177">
        <f>IFERROR((((COUNTIF(DA13:DC13,"A")+COUNTIF(DF13:DH13,"A")+COUNTIF(DK13:DM13,"A"))*4)+((COUNTIF(DA13:DC13,"B")+COUNTIF(DF13:DH13,"B")+COUNTIF(DK13:DM13,"B"))*3)+((COUNTIF(DA13:DC13,"C")+COUNTIF(DF13:DH13,"C")+COUNTIF(DK13:DM13,"C"))*2)+((COUNTIF(DA13:DC13,"D")+COUNTIF(DF13:DH13,"D")+COUNTIF(DK13:DM13,"D"))*1))/(COUNTA(DA13:DC13)+COUNTA(DF13:DH13)+COUNTA(DK13:DM13)),"")</f>
        <v>3</v>
      </c>
      <c r="DQ12" s="130" t="str">
        <f t="shared" si="27"/>
        <v>B</v>
      </c>
      <c r="DR12" s="152"/>
      <c r="DS12" s="185"/>
      <c r="DT12" s="185"/>
      <c r="DU12" s="106">
        <f>IFERROR((((COUNTIF('Elève (6ème1)'!DR13:DT13,"A"))*4)+((COUNTIF('Elève (6ème1)'!DR13:DT13,"B"))*3)+((COUNTIF('Elève (6ème1)'!DR13:DT13,"C"))*2)+((COUNTIF('Elève (6ème1)'!DR13:DT13,"D"))*1))/(COUNTA(DR13:DT13)),"")</f>
        <v>3</v>
      </c>
      <c r="DV12" s="107" t="str">
        <f t="shared" si="28"/>
        <v>B</v>
      </c>
      <c r="DW12" s="145"/>
      <c r="DX12" s="186"/>
      <c r="DY12" s="146"/>
      <c r="DZ12" s="106" t="str">
        <f>IFERROR((((COUNTIF('Elève (6ème1)'!DW13:DY13,"A"))*4)+((COUNTIF('Elève (6ème1)'!DW13:DY13,"B"))*3)+((COUNTIF('Elève (6ème1)'!DW13:DY13,"C"))*2)+((COUNTIF('Elève (6ème1)'!DW13:DY13,"D"))*1))/(COUNTA(DW13:DY13)),"")</f>
        <v/>
      </c>
      <c r="EA12" s="121" t="str">
        <f t="shared" si="29"/>
        <v/>
      </c>
      <c r="EB12" s="100"/>
      <c r="EC12" s="187"/>
      <c r="ED12" s="188"/>
      <c r="EE12" s="106" t="str">
        <f>IFERROR((((COUNTIF('Elève (6ème1)'!EB13:ED13,"A"))*4)+((COUNTIF('Elève (6ème1)'!EB13:ED13,"B"))*3)+((COUNTIF('Elève (6ème1)'!EB13:ED13,"C"))*2)+((COUNTIF('Elève (6ème1)'!EB13:ED13,"D"))*1))/(COUNTA(EB13:ED13)),"")</f>
        <v/>
      </c>
      <c r="EF12" s="128" t="str">
        <f t="shared" si="30"/>
        <v/>
      </c>
      <c r="EG12" s="177">
        <f>IFERROR((((COUNTIF(DR13:DT13,"A")+COUNTIF(DW13:DY13,"A")+COUNTIF(EB13:ED13,"A"))*4)+((COUNTIF(DR13:DT13,"B")+COUNTIF(DW13:DY13,"B")+COUNTIF(EB13:ED13,"B"))*3)+((COUNTIF(DR13:DT13,"C")+COUNTIF(DW13:DY13,"C")+COUNTIF(EB13:ED13,"C"))*2)+((COUNTIF(DR13:DT13,"D")+COUNTIF(DW13:DY13,"D")+COUNTIF(EB13:ED13,"D"))*1))/(COUNTA(DR13:DT13)+COUNTA(DW13:DY13)+COUNTA(EB13:ED13)),"")</f>
        <v>3</v>
      </c>
      <c r="EH12" s="130" t="str">
        <f t="shared" si="31"/>
        <v>B</v>
      </c>
      <c r="EI12" s="152"/>
      <c r="EJ12" s="185"/>
      <c r="EK12" s="185"/>
      <c r="EL12" s="106">
        <f>IFERROR((((COUNTIF('Elève (6ème1)'!EI13:EK13,"A"))*4)+((COUNTIF('Elève (6ème1)'!EI13:EK13,"B"))*3)+((COUNTIF('Elève (6ème1)'!EI13:EK13,"C"))*2)+((COUNTIF('Elève (6ème1)'!EI13:EK13,"D"))*1))/(COUNTA(EI13:EK13)),"")</f>
        <v>3</v>
      </c>
      <c r="EM12" s="107" t="str">
        <f t="shared" si="32"/>
        <v>B</v>
      </c>
      <c r="EN12" s="145"/>
      <c r="EO12" s="186"/>
      <c r="EP12" s="146"/>
      <c r="EQ12" s="106" t="str">
        <f>IFERROR((((COUNTIF('Elève (6ème1)'!EN13:EP13,"A"))*4)+((COUNTIF('Elève (6ème1)'!EN13:EP13,"B"))*3)+((COUNTIF('Elève (6ème1)'!EN13:EP13,"C"))*2)+((COUNTIF('Elève (6ème1)'!EN13:EP13,"D"))*1))/(COUNTA(EN13:EP13)),"")</f>
        <v/>
      </c>
      <c r="ER12" s="121" t="str">
        <f t="shared" si="33"/>
        <v/>
      </c>
      <c r="ES12" s="100"/>
      <c r="ET12" s="187"/>
      <c r="EU12" s="188"/>
      <c r="EV12" s="106" t="str">
        <f>IFERROR((((COUNTIF('Elève (6ème1)'!ES13:EU13,"A"))*4)+((COUNTIF('Elève (6ème1)'!ES13:EU13,"B"))*3)+((COUNTIF('Elève (6ème1)'!ES13:EU13,"C"))*2)+((COUNTIF('Elève (6ème1)'!ES13:EU13,"D"))*1))/(COUNTA(ES13:EU13)),"")</f>
        <v/>
      </c>
      <c r="EW12" s="128" t="str">
        <f t="shared" si="34"/>
        <v/>
      </c>
      <c r="EX12" s="177">
        <f>IFERROR((((COUNTIF(EI13:EK13,"A")+COUNTIF(EN13:EP13,"A")+COUNTIF(ES13:EU13,"A"))*4)+((COUNTIF(EI13:EK13,"B")+COUNTIF(EN13:EP13,"B")+COUNTIF(ES13:EU13,"B"))*3)+((COUNTIF(EI13:EK13,"C")+COUNTIF(EN13:EP13,"C")+COUNTIF(ES13:EU13,"C"))*2)+((COUNTIF(EI13:EK13,"D")+COUNTIF(EN13:EP13,"D")+COUNTIF(ES13:EU13,"D"))*1))/(COUNTA(EI13:EK13)+COUNTA(EN13:EP13)+COUNTA(ES13:EU13)),"")</f>
        <v>3</v>
      </c>
      <c r="EY12" s="130" t="str">
        <f t="shared" si="35"/>
        <v>B</v>
      </c>
      <c r="EZ12" s="152"/>
      <c r="FA12" s="185"/>
      <c r="FB12" s="185"/>
      <c r="FC12" s="106">
        <f>IFERROR((((COUNTIF('Elève (6ème1)'!EZ13:FB13,"A"))*4)+((COUNTIF('Elève (6ème1)'!EZ13:FB13,"B"))*3)+((COUNTIF('Elève (6ème1)'!EZ13:FB13,"C"))*2)+((COUNTIF('Elève (6ème1)'!EZ13:FB13,"D"))*1))/(COUNTA(EZ13:FB13)),"")</f>
        <v>3</v>
      </c>
      <c r="FD12" s="107" t="str">
        <f t="shared" si="36"/>
        <v>B</v>
      </c>
      <c r="FE12" s="145"/>
      <c r="FF12" s="186"/>
      <c r="FG12" s="146"/>
      <c r="FH12" s="106" t="str">
        <f>IFERROR((((COUNTIF('Elève (6ème1)'!FE13:FG13,"A"))*4)+((COUNTIF('Elève (6ème1)'!FE13:FG13,"B"))*3)+((COUNTIF('Elève (6ème1)'!FE13:FG13,"C"))*2)+((COUNTIF('Elève (6ème1)'!FE13:FG13,"D"))*1))/(COUNTA(FE13:FG13)),"")</f>
        <v/>
      </c>
      <c r="FI12" s="121" t="str">
        <f t="shared" si="37"/>
        <v/>
      </c>
      <c r="FJ12" s="100"/>
      <c r="FK12" s="187"/>
      <c r="FL12" s="188"/>
      <c r="FM12" s="106" t="str">
        <f>IFERROR((((COUNTIF('Elève (6ème1)'!FJ13:FL13,"A"))*4)+((COUNTIF('Elève (6ème1)'!FJ13:FL13,"B"))*3)+((COUNTIF('Elève (6ème1)'!FJ13:FL13,"C"))*2)+((COUNTIF('Elève (6ème1)'!FJ13:FL13,"D"))*1))/(COUNTA(FJ13:FL13)),"")</f>
        <v/>
      </c>
      <c r="FN12" s="128" t="str">
        <f t="shared" si="38"/>
        <v/>
      </c>
      <c r="FO12" s="177">
        <f>IFERROR((((COUNTIF(EZ13:FB13,"A")+COUNTIF(FE13:FG13,"A")+COUNTIF(FJ13:FL13,"A"))*4)+((COUNTIF(EZ13:FB13,"B")+COUNTIF(FE13:FG13,"B")+COUNTIF(FJ13:FL13,"B"))*3)+((COUNTIF(EZ13:FB13,"C")+COUNTIF(FE13:FG13,"C")+COUNTIF(FJ13:FL13,"C"))*2)+((COUNTIF(EZ13:FB13,"D")+COUNTIF(FE13:FG13,"D")+COUNTIF(FJ13:FL13,"D"))*1))/(COUNTA(EZ13:FB13)+COUNTA(FE13:FG13)+COUNTA(FJ13:FL13)),"")</f>
        <v>3</v>
      </c>
      <c r="FP12" s="130" t="str">
        <f t="shared" si="39"/>
        <v>B</v>
      </c>
      <c r="FQ12" s="152"/>
      <c r="FR12" s="185"/>
      <c r="FS12" s="185"/>
      <c r="FT12" s="106">
        <f>IFERROR((((COUNTIF('Elève (6ème1)'!FQ13:FS13,"A"))*4)+((COUNTIF('Elève (6ème1)'!FQ13:FS13,"B"))*3)+((COUNTIF('Elève (6ème1)'!FQ13:FS13,"C"))*2)+((COUNTIF('Elève (6ème1)'!FQ13:FS13,"D"))*1))/(COUNTA(FQ13:FS13)),"")</f>
        <v>4</v>
      </c>
      <c r="FU12" s="107" t="str">
        <f t="shared" si="40"/>
        <v>A</v>
      </c>
      <c r="FV12" s="145"/>
      <c r="FW12" s="186"/>
      <c r="FX12" s="146"/>
      <c r="FY12" s="106" t="str">
        <f>IFERROR((((COUNTIF('Elève (6ème1)'!FV13:FX13,"A"))*4)+((COUNTIF('Elève (6ème1)'!FV13:FX13,"B"))*3)+((COUNTIF('Elève (6ème1)'!FV13:FX13,"C"))*2)+((COUNTIF('Elève (6ème1)'!FV13:FX13,"D"))*1))/(COUNTA(FV13:FX13)),"")</f>
        <v/>
      </c>
      <c r="FZ12" s="121" t="str">
        <f t="shared" si="41"/>
        <v/>
      </c>
      <c r="GA12" s="100"/>
      <c r="GB12" s="187"/>
      <c r="GC12" s="188"/>
      <c r="GD12" s="106" t="str">
        <f>IFERROR((((COUNTIF('Elève (6ème1)'!GA13:GC13,"A"))*4)+((COUNTIF('Elève (6ème1)'!GA13:GC13,"B"))*3)+((COUNTIF('Elève (6ème1)'!GA13:GC13,"C"))*2)+((COUNTIF('Elève (6ème1)'!GA13:GC13,"D"))*1))/(COUNTA(GA13:GC13)),"")</f>
        <v/>
      </c>
      <c r="GE12" s="128" t="str">
        <f t="shared" si="42"/>
        <v/>
      </c>
      <c r="GF12" s="177">
        <f>IFERROR((((COUNTIF(FQ13:FS13,"A")+COUNTIF(FV13:FX13,"A")+COUNTIF(GA13:GC13,"A"))*4)+((COUNTIF(FQ13:FS13,"B")+COUNTIF(FV13:FX13,"B")+COUNTIF(GA13:GC13,"B"))*3)+((COUNTIF(FQ13:FS13,"C")+COUNTIF(FV13:FX13,"C")+COUNTIF(GA13:GC13,"C"))*2)+((COUNTIF(FQ13:FS13,"D")+COUNTIF(FV13:FX13,"D")+COUNTIF(GA13:GC13,"D"))*1))/(COUNTA(FQ13:FS13)+COUNTA(FV13:FX13)+COUNTA(GA13:GC13)),"")</f>
        <v>4</v>
      </c>
      <c r="GG12" s="130" t="str">
        <f t="shared" si="43"/>
        <v>A</v>
      </c>
      <c r="GH12" s="152"/>
      <c r="GI12" s="185"/>
      <c r="GJ12" s="185"/>
      <c r="GK12" s="106">
        <f>IFERROR((((COUNTIF('Elève (6ème1)'!GH13:GJ13,"A"))*4)+((COUNTIF('Elève (6ème1)'!GH13:GJ13,"B"))*3)+((COUNTIF('Elève (6ème1)'!GH13:GJ13,"C"))*2)+((COUNTIF('Elève (6ème1)'!GH13:GJ13,"D"))*1))/(COUNTA(GH13:GJ13)),"")</f>
        <v>2</v>
      </c>
      <c r="GL12" s="107" t="str">
        <f t="shared" si="44"/>
        <v>C</v>
      </c>
      <c r="GM12" s="145"/>
      <c r="GN12" s="186"/>
      <c r="GO12" s="146"/>
      <c r="GP12" s="106" t="str">
        <f>IFERROR((((COUNTIF('Elève (6ème1)'!GM13:GO13,"A"))*4)+((COUNTIF('Elève (6ème1)'!GM13:GO13,"B"))*3)+((COUNTIF('Elève (6ème1)'!GM13:GO13,"C"))*2)+((COUNTIF('Elève (6ème1)'!GM13:GO13,"D"))*1))/(COUNTA(GM13:GO13)),"")</f>
        <v/>
      </c>
      <c r="GQ12" s="121" t="str">
        <f t="shared" si="45"/>
        <v/>
      </c>
      <c r="GR12" s="100"/>
      <c r="GS12" s="187"/>
      <c r="GT12" s="188"/>
      <c r="GU12" s="106" t="str">
        <f>IFERROR((((COUNTIF('Elève (6ème1)'!GR13:GT13,"A"))*4)+((COUNTIF('Elève (6ème1)'!GR13:GT13,"B"))*3)+((COUNTIF('Elève (6ème1)'!GR13:GT13,"C"))*2)+((COUNTIF('Elève (6ème1)'!GR13:GT13,"D"))*1))/(COUNTA(GR13:GT13)),"")</f>
        <v/>
      </c>
      <c r="GV12" s="128" t="str">
        <f t="shared" si="46"/>
        <v/>
      </c>
      <c r="GW12" s="177">
        <f>IFERROR((((COUNTIF(GH13:GJ13,"A")+COUNTIF(GM13:GO13,"A")+COUNTIF(GR13:GT13,"A"))*4)+((COUNTIF(GH13:GJ13,"B")+COUNTIF(GM13:GO13,"B")+COUNTIF(GR13:GT13,"B"))*3)+((COUNTIF(GH13:GJ13,"C")+COUNTIF(GM13:GO13,"C")+COUNTIF(GR13:GT13,"C"))*2)+((COUNTIF(GH13:GJ13,"D")+COUNTIF(GM13:GO13,"D")+COUNTIF(GR13:GT13,"D"))*1))/(COUNTA(GH13:GJ13)+COUNTA(GM13:GO13)+COUNTA(GR13:GT13)),"")</f>
        <v>2</v>
      </c>
      <c r="GX12" s="130" t="str">
        <f t="shared" si="47"/>
        <v>C</v>
      </c>
      <c r="GY12" s="152"/>
      <c r="GZ12" s="185"/>
      <c r="HA12" s="185"/>
      <c r="HB12" s="106">
        <f>IFERROR((((COUNTIF('Elève (6ème1)'!GY13:HA13,"A"))*4)+((COUNTIF('Elève (6ème1)'!GY13:HA13,"B"))*3)+((COUNTIF('Elève (6ème1)'!GY13:HA13,"C"))*2)+((COUNTIF('Elève (6ème1)'!GY13:HA13,"D"))*1))/(COUNTA(GY13:HA13)),"")</f>
        <v>2</v>
      </c>
      <c r="HC12" s="107" t="str">
        <f t="shared" si="48"/>
        <v>C</v>
      </c>
      <c r="HD12" s="145"/>
      <c r="HE12" s="186"/>
      <c r="HF12" s="146"/>
      <c r="HG12" s="106" t="str">
        <f>IFERROR((((COUNTIF('Elève (6ème1)'!HD13:HF13,"A"))*4)+((COUNTIF('Elève (6ème1)'!HD13:HF13,"B"))*3)+((COUNTIF('Elève (6ème1)'!HD13:HF13,"C"))*2)+((COUNTIF('Elève (6ème1)'!HD13:HF13,"D"))*1))/(COUNTA(HD13:HF13)),"")</f>
        <v/>
      </c>
      <c r="HH12" s="121" t="str">
        <f t="shared" si="49"/>
        <v/>
      </c>
      <c r="HI12" s="100"/>
      <c r="HJ12" s="187"/>
      <c r="HK12" s="188"/>
      <c r="HL12" s="106" t="str">
        <f>IFERROR((((COUNTIF('Elève (6ème1)'!HI13:HK13,"A"))*4)+((COUNTIF('Elève (6ème1)'!HI13:HK13,"B"))*3)+((COUNTIF('Elève (6ème1)'!HI13:HK13,"C"))*2)+((COUNTIF('Elève (6ème1)'!HI13:HK13,"D"))*1))/(COUNTA(HI13:HK13)),"")</f>
        <v/>
      </c>
      <c r="HM12" s="128" t="str">
        <f t="shared" si="50"/>
        <v/>
      </c>
      <c r="HN12" s="177">
        <f>IFERROR((((COUNTIF(GY13:HA13,"A")+COUNTIF(HD13:HF13,"A")+COUNTIF(HI13:HK13,"A"))*4)+((COUNTIF(GY13:HA13,"B")+COUNTIF(HD13:HF13,"B")+COUNTIF(HI13:HK13,"B"))*3)+((COUNTIF(GY13:HA13,"C")+COUNTIF(HD13:HF13,"C")+COUNTIF(HI13:HK13,"C"))*2)+((COUNTIF(GY13:HA13,"D")+COUNTIF(HD13:HF13,"D")+COUNTIF(HI13:HK13,"D"))*1))/(COUNTA(GY13:HA13)+COUNTA(HD13:HF13)+COUNTA(HI13:HK13)),"")</f>
        <v>2</v>
      </c>
      <c r="HO12" s="130" t="str">
        <f t="shared" si="51"/>
        <v>C</v>
      </c>
      <c r="HP12" s="152"/>
      <c r="HQ12" s="185"/>
      <c r="HR12" s="185"/>
      <c r="HS12" s="106">
        <f>IFERROR((((COUNTIF('Elève (6ème1)'!HP13:HR13,"A"))*4)+((COUNTIF('Elève (6ème1)'!HP13:HR13,"B"))*3)+((COUNTIF('Elève (6ème1)'!HP13:HR13,"C"))*2)+((COUNTIF('Elève (6ème1)'!HP13:HR13,"D"))*1))/(COUNTA(HP13:HR13)),"")</f>
        <v>2</v>
      </c>
      <c r="HT12" s="107" t="str">
        <f t="shared" si="52"/>
        <v>C</v>
      </c>
      <c r="HU12" s="145"/>
      <c r="HV12" s="186"/>
      <c r="HW12" s="146"/>
      <c r="HX12" s="106" t="str">
        <f>IFERROR((((COUNTIF('Elève (6ème1)'!HU13:HW13,"A"))*4)+((COUNTIF('Elève (6ème1)'!HU13:HW13,"B"))*3)+((COUNTIF('Elève (6ème1)'!HU13:HW13,"C"))*2)+((COUNTIF('Elève (6ème1)'!HU13:HW13,"D"))*1))/(COUNTA(HU13:HW13)),"")</f>
        <v/>
      </c>
      <c r="HY12" s="121" t="str">
        <f t="shared" si="53"/>
        <v/>
      </c>
      <c r="HZ12" s="100"/>
      <c r="IA12" s="187"/>
      <c r="IB12" s="188"/>
      <c r="IC12" s="106" t="str">
        <f>IFERROR((((COUNTIF('Elève (6ème1)'!HZ13:IB13,"A"))*4)+((COUNTIF('Elève (6ème1)'!HZ13:IB13,"B"))*3)+((COUNTIF('Elève (6ème1)'!HZ13:IB13,"C"))*2)+((COUNTIF('Elève (6ème1)'!HZ13:IB13,"D"))*1))/(COUNTA(HZ13:IB13)),"")</f>
        <v/>
      </c>
      <c r="ID12" s="128" t="str">
        <f t="shared" si="54"/>
        <v/>
      </c>
      <c r="IE12" s="177">
        <f>IFERROR((((COUNTIF(HP13:HR13,"A")+COUNTIF(HU13:HW13,"A")+COUNTIF(HZ13:IB13,"A"))*4)+((COUNTIF(HP13:HR13,"B")+COUNTIF(HU13:HW13,"B")+COUNTIF(HZ13:IB13,"B"))*3)+((COUNTIF(HP13:HR13,"C")+COUNTIF(HU13:HW13,"C")+COUNTIF(HZ13:IB13,"C"))*2)+((COUNTIF(HP13:HR13,"D")+COUNTIF(HU13:HW13,"D")+COUNTIF(HZ13:IB13,"D"))*1))/(COUNTA(HP13:HR13)+COUNTA(HU13:HW13)+COUNTA(HZ13:IB13)),"")</f>
        <v>2</v>
      </c>
      <c r="IF12" s="130" t="str">
        <f t="shared" si="55"/>
        <v>C</v>
      </c>
      <c r="IG12" s="152"/>
      <c r="IH12" s="185"/>
      <c r="II12" s="185"/>
      <c r="IJ12" s="106">
        <f>IFERROR((((COUNTIF('Elève (6ème1)'!IG13:II13,"A"))*4)+((COUNTIF('Elève (6ème1)'!IG13:II13,"B"))*3)+((COUNTIF('Elève (6ème1)'!IG13:II13,"C"))*2)+((COUNTIF('Elève (6ème1)'!IG13:II13,"D"))*1))/(COUNTA(IG13:II13)),"")</f>
        <v>4</v>
      </c>
      <c r="IK12" s="107" t="str">
        <f t="shared" si="56"/>
        <v>A</v>
      </c>
      <c r="IL12" s="145"/>
      <c r="IM12" s="186"/>
      <c r="IN12" s="146"/>
      <c r="IO12" s="106" t="str">
        <f>IFERROR((((COUNTIF('Elève (6ème1)'!IL13:IN13,"A"))*4)+((COUNTIF('Elève (6ème1)'!IL13:IN13,"B"))*3)+((COUNTIF('Elève (6ème1)'!IL13:IN13,"C"))*2)+((COUNTIF('Elève (6ème1)'!IL13:IN13,"D"))*1))/(COUNTA(IL13:IN13)),"")</f>
        <v/>
      </c>
      <c r="IP12" s="121" t="str">
        <f t="shared" si="57"/>
        <v/>
      </c>
      <c r="IQ12" s="100"/>
      <c r="IR12" s="187"/>
      <c r="IS12" s="188"/>
      <c r="IT12" s="106" t="str">
        <f>IFERROR((((COUNTIF('Elève (6ème1)'!IQ13:IS13,"A"))*4)+((COUNTIF('Elève (6ème1)'!IQ13:IS13,"B"))*3)+((COUNTIF('Elève (6ème1)'!IQ13:IS13,"C"))*2)+((COUNTIF('Elève (6ème1)'!IQ13:IS13,"D"))*1))/(COUNTA(IQ13:IS13)),"")</f>
        <v/>
      </c>
      <c r="IU12" s="128" t="str">
        <f t="shared" si="58"/>
        <v/>
      </c>
      <c r="IV12" s="177">
        <f>IFERROR((((COUNTIF(IG13:II13,"A")+COUNTIF(IL13:IN13,"A")+COUNTIF(IQ13:IS13,"A"))*4)+((COUNTIF(IG13:II13,"B")+COUNTIF(IL13:IN13,"B")+COUNTIF(IQ13:IS13,"B"))*3)+((COUNTIF(IG13:II13,"C")+COUNTIF(IL13:IN13,"C")+COUNTIF(IQ13:IS13,"C"))*2)+((COUNTIF(IG13:II13,"D")+COUNTIF(IL13:IN13,"D")+COUNTIF(IQ13:IS13,"D"))*1))/(COUNTA(IG13:II13)+COUNTA(IL13:IN13)+COUNTA(IQ13:IS13)),"")</f>
        <v>4</v>
      </c>
      <c r="IW12" s="130" t="str">
        <f t="shared" si="59"/>
        <v>A</v>
      </c>
      <c r="IX12" s="152"/>
      <c r="IY12" s="185"/>
      <c r="IZ12" s="185"/>
      <c r="JA12" s="106">
        <f>IFERROR((((COUNTIF('Elève (6ème1)'!IX13:IZ13,"A"))*4)+((COUNTIF('Elève (6ème1)'!IX13:IZ13,"B"))*3)+((COUNTIF('Elève (6ème1)'!IX13:IZ13,"C"))*2)+((COUNTIF('Elève (6ème1)'!IX13:IZ13,"D"))*1))/(COUNTA(IX13:IZ13)),"")</f>
        <v>4</v>
      </c>
      <c r="JB12" s="107" t="str">
        <f t="shared" si="60"/>
        <v>A</v>
      </c>
      <c r="JC12" s="145"/>
      <c r="JD12" s="186"/>
      <c r="JE12" s="146"/>
      <c r="JF12" s="106" t="str">
        <f>IFERROR((((COUNTIF('Elève (6ème1)'!JC13:JE13,"A"))*4)+((COUNTIF('Elève (6ème1)'!JC13:JE13,"B"))*3)+((COUNTIF('Elève (6ème1)'!JC13:JE13,"C"))*2)+((COUNTIF('Elève (6ème1)'!JC13:JE13,"D"))*1))/(COUNTA(JC13:JE13)),"")</f>
        <v/>
      </c>
      <c r="JG12" s="121" t="str">
        <f t="shared" si="61"/>
        <v/>
      </c>
      <c r="JH12" s="100"/>
      <c r="JI12" s="187"/>
      <c r="JJ12" s="188"/>
      <c r="JK12" s="106" t="str">
        <f>IFERROR((((COUNTIF('Elève (6ème1)'!JH13:JJ13,"A"))*4)+((COUNTIF('Elève (6ème1)'!JH13:JJ13,"B"))*3)+((COUNTIF('Elève (6ème1)'!JH13:JJ13,"C"))*2)+((COUNTIF('Elève (6ème1)'!JH13:JJ13,"D"))*1))/(COUNTA(JH13:JJ13)),"")</f>
        <v/>
      </c>
      <c r="JL12" s="128" t="str">
        <f t="shared" si="62"/>
        <v/>
      </c>
      <c r="JM12" s="177">
        <f>IFERROR((((COUNTIF(IX13:IZ13,"A")+COUNTIF(JC13:JE13,"A")+COUNTIF(JH13:JJ13,"A"))*4)+((COUNTIF(IX13:IZ13,"B")+COUNTIF(JC13:JE13,"B")+COUNTIF(JH13:JJ13,"B"))*3)+((COUNTIF(IX13:IZ13,"C")+COUNTIF(JC13:JE13,"C")+COUNTIF(JH13:JJ13,"C"))*2)+((COUNTIF(IX13:IZ13,"D")+COUNTIF(JC13:JE13,"D")+COUNTIF(JH13:JJ13,"D"))*1))/(COUNTA(IX13:IZ13)+COUNTA(JC13:JE13)+COUNTA(JH13:JJ13)),"")</f>
        <v>4</v>
      </c>
      <c r="JN12" s="130" t="str">
        <f t="shared" si="63"/>
        <v>A</v>
      </c>
      <c r="JO12" s="152"/>
      <c r="JP12" s="185"/>
      <c r="JQ12" s="185"/>
      <c r="JR12" s="106">
        <f>IFERROR((((COUNTIF('Elève (6ème1)'!JO13:JQ13,"A"))*4)+((COUNTIF('Elève (6ème1)'!JO13:JQ13,"B"))*3)+((COUNTIF('Elève (6ème1)'!JO13:JQ13,"C"))*2)+((COUNTIF('Elève (6ème1)'!JO13:JQ13,"D"))*1))/(COUNTA(JO13:JQ13)),"")</f>
        <v>4</v>
      </c>
      <c r="JS12" s="107" t="str">
        <f t="shared" si="64"/>
        <v>A</v>
      </c>
      <c r="JT12" s="145"/>
      <c r="JU12" s="186"/>
      <c r="JV12" s="146"/>
      <c r="JW12" s="106" t="str">
        <f>IFERROR((((COUNTIF('Elève (6ème1)'!JT13:JV13,"A"))*4)+((COUNTIF('Elève (6ème1)'!JT13:JV13,"B"))*3)+((COUNTIF('Elève (6ème1)'!JT13:JV13,"C"))*2)+((COUNTIF('Elève (6ème1)'!JT13:JV13,"D"))*1))/(COUNTA(JT13:JV13)),"")</f>
        <v/>
      </c>
      <c r="JX12" s="121" t="str">
        <f t="shared" si="65"/>
        <v/>
      </c>
      <c r="JY12" s="100"/>
      <c r="JZ12" s="187"/>
      <c r="KA12" s="188"/>
      <c r="KB12" s="106" t="str">
        <f>IFERROR((((COUNTIF('Elève (6ème1)'!JY13:KA13,"A"))*4)+((COUNTIF('Elève (6ème1)'!JY13:KA13,"B"))*3)+((COUNTIF('Elève (6ème1)'!JY13:KA13,"C"))*2)+((COUNTIF('Elève (6ème1)'!JY13:KA13,"D"))*1))/(COUNTA(JY13:KA13)),"")</f>
        <v/>
      </c>
      <c r="KC12" s="128" t="str">
        <f t="shared" si="66"/>
        <v/>
      </c>
      <c r="KD12" s="177">
        <f>IFERROR((((COUNTIF(JO13:JQ13,"A")+COUNTIF(JT13:JV13,"A")+COUNTIF(JY13:KA13,"A"))*4)+((COUNTIF(JO13:JQ13,"B")+COUNTIF(JT13:JV13,"B")+COUNTIF(JY13:KA13,"B"))*3)+((COUNTIF(JO13:JQ13,"C")+COUNTIF(JT13:JV13,"C")+COUNTIF(JY13:KA13,"C"))*2)+((COUNTIF(JO13:JQ13,"D")+COUNTIF(JT13:JV13,"D")+COUNTIF(JY13:KA13,"D"))*1))/(COUNTA(JO13:JQ13)+COUNTA(JT13:JV13)+COUNTA(JY13:KA13)),"")</f>
        <v>4</v>
      </c>
      <c r="KE12" s="130" t="str">
        <f t="shared" si="67"/>
        <v>A</v>
      </c>
      <c r="KF12" s="152"/>
      <c r="KG12" s="185"/>
      <c r="KH12" s="185"/>
      <c r="KI12" s="106">
        <f>IFERROR((((COUNTIF('Elève (6ème1)'!KF13:KH13,"A"))*4)+((COUNTIF('Elève (6ème1)'!KF13:KH13,"B"))*3)+((COUNTIF('Elève (6ème1)'!KF13:KH13,"C"))*2)+((COUNTIF('Elève (6ème1)'!KF13:KH13,"D"))*1))/(COUNTA(KF13:KH13)),"")</f>
        <v>2</v>
      </c>
      <c r="KJ12" s="107" t="str">
        <f t="shared" si="68"/>
        <v>C</v>
      </c>
      <c r="KK12" s="145"/>
      <c r="KL12" s="186"/>
      <c r="KM12" s="146"/>
      <c r="KN12" s="106" t="str">
        <f>IFERROR((((COUNTIF('Elève (6ème1)'!KK13:KM13,"A"))*4)+((COUNTIF('Elève (6ème1)'!KK13:KM13,"B"))*3)+((COUNTIF('Elève (6ème1)'!KK13:KM13,"C"))*2)+((COUNTIF('Elève (6ème1)'!KK13:KM13,"D"))*1))/(COUNTA(KK13:KM13)),"")</f>
        <v/>
      </c>
      <c r="KO12" s="121" t="str">
        <f t="shared" si="69"/>
        <v/>
      </c>
      <c r="KP12" s="100"/>
      <c r="KQ12" s="187"/>
      <c r="KR12" s="188"/>
      <c r="KS12" s="106" t="str">
        <f>IFERROR((((COUNTIF('Elève (6ème1)'!KP13:KR13,"A"))*4)+((COUNTIF('Elève (6ème1)'!KP13:KR13,"B"))*3)+((COUNTIF('Elève (6ème1)'!KP13:KR13,"C"))*2)+((COUNTIF('Elève (6ème1)'!KP13:KR13,"D"))*1))/(COUNTA(KP13:KR13)),"")</f>
        <v/>
      </c>
      <c r="KT12" s="128" t="str">
        <f t="shared" si="70"/>
        <v/>
      </c>
      <c r="KU12" s="177">
        <f>IFERROR((((COUNTIF(KF13:KH13,"A")+COUNTIF(KK13:KM13,"A")+COUNTIF(KP13:KR13,"A"))*4)+((COUNTIF(KF13:KH13,"B")+COUNTIF(KK13:KM13,"B")+COUNTIF(KP13:KR13,"B"))*3)+((COUNTIF(KF13:KH13,"C")+COUNTIF(KK13:KM13,"C")+COUNTIF(KP13:KR13,"C"))*2)+((COUNTIF(KF13:KH13,"D")+COUNTIF(KK13:KM13,"D")+COUNTIF(KP13:KR13,"D"))*1))/(COUNTA(KF13:KH13)+COUNTA(KK13:KM13)+COUNTA(KP13:KR13)),"")</f>
        <v>2</v>
      </c>
      <c r="KV12" s="130" t="str">
        <f t="shared" si="71"/>
        <v>C</v>
      </c>
      <c r="KW12" s="152"/>
      <c r="KX12" s="185"/>
      <c r="KY12" s="185"/>
      <c r="KZ12" s="106">
        <f>IFERROR((((COUNTIF('Elève (6ème1)'!KW13:KY13,"A"))*4)+((COUNTIF('Elève (6ème1)'!KW13:KY13,"B"))*3)+((COUNTIF('Elève (6ème1)'!KW13:KY13,"C"))*2)+((COUNTIF('Elève (6ème1)'!KW13:KY13,"D"))*1))/(COUNTA(KW13:KY13)),"")</f>
        <v>3</v>
      </c>
      <c r="LA12" s="107" t="str">
        <f t="shared" si="72"/>
        <v>B</v>
      </c>
      <c r="LB12" s="145"/>
      <c r="LC12" s="186"/>
      <c r="LD12" s="146"/>
      <c r="LE12" s="106" t="str">
        <f>IFERROR((((COUNTIF('Elève (6ème1)'!LB13:LD13,"A"))*4)+((COUNTIF('Elève (6ème1)'!LB13:LD13,"B"))*3)+((COUNTIF('Elève (6ème1)'!LB13:LD13,"C"))*2)+((COUNTIF('Elève (6ème1)'!LB13:LD13,"D"))*1))/(COUNTA(LB13:LD13)),"")</f>
        <v/>
      </c>
      <c r="LF12" s="121" t="str">
        <f t="shared" si="73"/>
        <v/>
      </c>
      <c r="LG12" s="100"/>
      <c r="LH12" s="187"/>
      <c r="LI12" s="188"/>
      <c r="LJ12" s="106" t="str">
        <f>IFERROR((((COUNTIF('Elève (6ème1)'!LG13:LI13,"A"))*4)+((COUNTIF('Elève (6ème1)'!LG13:LI13,"B"))*3)+((COUNTIF('Elève (6ème1)'!LG13:LI13,"C"))*2)+((COUNTIF('Elève (6ème1)'!LG13:LI13,"D"))*1))/(COUNTA(LG13:LI13)),"")</f>
        <v/>
      </c>
      <c r="LK12" s="128" t="str">
        <f t="shared" si="74"/>
        <v/>
      </c>
      <c r="LL12" s="177">
        <f>IFERROR((((COUNTIF(KW13:KY13,"A")+COUNTIF(LB13:LD13,"A")+COUNTIF(LG13:LI13,"A"))*4)+((COUNTIF(KW13:KY13,"B")+COUNTIF(LB13:LD13,"B")+COUNTIF(LG13:LI13,"B"))*3)+((COUNTIF(KW13:KY13,"C")+COUNTIF(LB13:LD13,"C")+COUNTIF(LG13:LI13,"C"))*2)+((COUNTIF(KW13:KY13,"D")+COUNTIF(LB13:LD13,"D")+COUNTIF(LG13:LI13,"D"))*1))/(COUNTA(KW13:KY13)+COUNTA(LB13:LD13)+COUNTA(LG13:LI13)),"")</f>
        <v>3</v>
      </c>
      <c r="LM12" s="130" t="str">
        <f t="shared" si="75"/>
        <v>B</v>
      </c>
      <c r="LN12" s="152"/>
      <c r="LO12" s="185"/>
      <c r="LP12" s="185"/>
      <c r="LQ12" s="106">
        <f>IFERROR((((COUNTIF('Elève (6ème1)'!LN13:LP13,"A"))*4)+((COUNTIF('Elève (6ème1)'!LN13:LP13,"B"))*3)+((COUNTIF('Elève (6ème1)'!LN13:LP13,"C"))*2)+((COUNTIF('Elève (6ème1)'!LN13:LP13,"D"))*1))/(COUNTA(LN13:LP13)),"")</f>
        <v>4</v>
      </c>
      <c r="LR12" s="107" t="str">
        <f t="shared" si="76"/>
        <v>A</v>
      </c>
      <c r="LS12" s="145"/>
      <c r="LT12" s="186"/>
      <c r="LU12" s="146"/>
      <c r="LV12" s="106" t="str">
        <f>IFERROR((((COUNTIF('Elève (6ème1)'!LS13:LU13,"A"))*4)+((COUNTIF('Elève (6ème1)'!LS13:LU13,"B"))*3)+((COUNTIF('Elève (6ème1)'!LS13:LU13,"C"))*2)+((COUNTIF('Elève (6ème1)'!LS13:LU13,"D"))*1))/(COUNTA(LS13:LU13)),"")</f>
        <v/>
      </c>
      <c r="LW12" s="121" t="str">
        <f t="shared" si="77"/>
        <v/>
      </c>
      <c r="LX12" s="100"/>
      <c r="LY12" s="187"/>
      <c r="LZ12" s="188"/>
      <c r="MA12" s="106" t="str">
        <f>IFERROR((((COUNTIF('Elève (6ème1)'!LX13:LZ13,"A"))*4)+((COUNTIF('Elève (6ème1)'!LX13:LZ13,"B"))*3)+((COUNTIF('Elève (6ème1)'!LX13:LZ13,"C"))*2)+((COUNTIF('Elève (6ème1)'!LX13:LZ13,"D"))*1))/(COUNTA(LX13:LZ13)),"")</f>
        <v/>
      </c>
      <c r="MB12" s="128" t="str">
        <f t="shared" si="78"/>
        <v/>
      </c>
      <c r="MC12" s="177">
        <f>IFERROR((((COUNTIF(LN13:LP13,"A")+COUNTIF(LS13:LU13,"A")+COUNTIF(LX13:LZ13,"A"))*4)+((COUNTIF(LN13:LP13,"B")+COUNTIF(LS13:LU13,"B")+COUNTIF(LX13:LZ13,"B"))*3)+((COUNTIF(LN13:LP13,"C")+COUNTIF(LS13:LU13,"C")+COUNTIF(LX13:LZ13,"C"))*2)+((COUNTIF(LN13:LP13,"D")+COUNTIF(LS13:LU13,"D")+COUNTIF(LX13:LZ13,"D"))*1))/(COUNTA(LN13:LP13)+COUNTA(LS13:LU13)+COUNTA(LX13:LZ13)),"")</f>
        <v>4</v>
      </c>
      <c r="MD12" s="130" t="str">
        <f t="shared" si="79"/>
        <v>A</v>
      </c>
      <c r="ME12" s="152"/>
      <c r="MF12" s="185"/>
      <c r="MG12" s="185"/>
      <c r="MH12" s="106">
        <f>IFERROR((((COUNTIF('Elève (6ème1)'!ME13:MG13,"A"))*4)+((COUNTIF('Elève (6ème1)'!ME13:MG13,"B"))*3)+((COUNTIF('Elève (6ème1)'!ME13:MG13,"C"))*2)+((COUNTIF('Elève (6ème1)'!ME13:MG13,"D"))*1))/(COUNTA(ME13:MG13)),"")</f>
        <v>3</v>
      </c>
      <c r="MI12" s="107" t="str">
        <f t="shared" si="80"/>
        <v>B</v>
      </c>
      <c r="MJ12" s="145"/>
      <c r="MK12" s="186"/>
      <c r="ML12" s="146"/>
      <c r="MM12" s="106" t="str">
        <f>IFERROR((((COUNTIF('Elève (6ème1)'!MJ13:ML13,"A"))*4)+((COUNTIF('Elève (6ème1)'!MJ13:ML13,"B"))*3)+((COUNTIF('Elève (6ème1)'!MJ13:ML13,"C"))*2)+((COUNTIF('Elève (6ème1)'!MJ13:ML13,"D"))*1))/(COUNTA(MJ13:ML13)),"")</f>
        <v/>
      </c>
      <c r="MN12" s="121" t="str">
        <f t="shared" si="81"/>
        <v/>
      </c>
      <c r="MO12" s="100"/>
      <c r="MP12" s="187"/>
      <c r="MQ12" s="188"/>
      <c r="MR12" s="106" t="str">
        <f>IFERROR((((COUNTIF('Elève (6ème1)'!MO13:MQ13,"A"))*4)+((COUNTIF('Elève (6ème1)'!MO13:MQ13,"B"))*3)+((COUNTIF('Elève (6ème1)'!MO13:MQ13,"C"))*2)+((COUNTIF('Elève (6ème1)'!MO13:MQ13,"D"))*1))/(COUNTA(MO13:MQ13)),"")</f>
        <v/>
      </c>
      <c r="MS12" s="128" t="str">
        <f t="shared" si="82"/>
        <v/>
      </c>
      <c r="MT12" s="177">
        <f>IFERROR((((COUNTIF(ME13:MG13,"A")+COUNTIF(MJ13:ML13,"A")+COUNTIF(MO13:MQ13,"A"))*4)+((COUNTIF(ME13:MG13,"B")+COUNTIF(MJ13:ML13,"B")+COUNTIF(MO13:MQ13,"B"))*3)+((COUNTIF(ME13:MG13,"C")+COUNTIF(MJ13:ML13,"C")+COUNTIF(MO13:MQ13,"C"))*2)+((COUNTIF(ME13:MG13,"D")+COUNTIF(MJ13:ML13,"D")+COUNTIF(MO13:MQ13,"D"))*1))/(COUNTA(ME13:MG13)+COUNTA(MJ13:ML13)+COUNTA(MO13:MQ13)),"")</f>
        <v>3</v>
      </c>
      <c r="MU12" s="130" t="str">
        <f t="shared" si="83"/>
        <v>B</v>
      </c>
      <c r="MV12" s="152"/>
      <c r="MW12" s="185"/>
      <c r="MX12" s="185"/>
      <c r="MY12" s="106">
        <f>IFERROR((((COUNTIF('Elève (6ème1)'!MV13:MX13,"A"))*4)+((COUNTIF('Elève (6ème1)'!MV13:MX13,"B"))*3)+((COUNTIF('Elève (6ème1)'!MV13:MX13,"C"))*2)+((COUNTIF('Elève (6ème1)'!MV13:MX13,"D"))*1))/(COUNTA(MV13:MX13)),"")</f>
        <v>4</v>
      </c>
      <c r="MZ12" s="107" t="str">
        <f t="shared" si="84"/>
        <v>A</v>
      </c>
      <c r="NA12" s="145"/>
      <c r="NB12" s="186"/>
      <c r="NC12" s="146"/>
      <c r="ND12" s="106" t="str">
        <f>IFERROR((((COUNTIF('Elève (6ème1)'!NA13:NC13,"A"))*4)+((COUNTIF('Elève (6ème1)'!NA13:NC13,"B"))*3)+((COUNTIF('Elève (6ème1)'!NA13:NC13,"C"))*2)+((COUNTIF('Elève (6ème1)'!NA13:NC13,"D"))*1))/(COUNTA(NA13:NC13)),"")</f>
        <v/>
      </c>
      <c r="NE12" s="121" t="str">
        <f t="shared" si="85"/>
        <v/>
      </c>
      <c r="NF12" s="100"/>
      <c r="NG12" s="187"/>
      <c r="NH12" s="188"/>
      <c r="NI12" s="106" t="str">
        <f>IFERROR((((COUNTIF('Elève (6ème1)'!NF13:NH13,"A"))*4)+((COUNTIF('Elève (6ème1)'!NF13:NH13,"B"))*3)+((COUNTIF('Elève (6ème1)'!NF13:NH13,"C"))*2)+((COUNTIF('Elève (6ème1)'!NF13:NH13,"D"))*1))/(COUNTA(NF13:NH13)),"")</f>
        <v/>
      </c>
      <c r="NJ12" s="128" t="str">
        <f t="shared" si="86"/>
        <v/>
      </c>
      <c r="NK12" s="177">
        <f>IFERROR((((COUNTIF(MV13:MX13,"A")+COUNTIF(NA13:NC13,"A")+COUNTIF(NF13:NH13,"A"))*4)+((COUNTIF(MV13:MX13,"B")+COUNTIF(NA13:NC13,"B")+COUNTIF(NF13:NH13,"B"))*3)+((COUNTIF(MV13:MX13,"C")+COUNTIF(NA13:NC13,"C")+COUNTIF(NF13:NH13,"C"))*2)+((COUNTIF(MV13:MX13,"D")+COUNTIF(NA13:NC13,"D")+COUNTIF(NF13:NH13,"D"))*1))/(COUNTA(MV13:MX13)+COUNTA(NA13:NC13)+COUNTA(NF13:NH13)),"")</f>
        <v>4</v>
      </c>
      <c r="NL12" s="130" t="str">
        <f t="shared" si="87"/>
        <v>A</v>
      </c>
      <c r="NM12" s="152"/>
      <c r="NN12" s="185"/>
      <c r="NO12" s="185"/>
      <c r="NP12" s="106">
        <f>IFERROR((((COUNTIF('Elève (6ème1)'!NM13:NO13,"A"))*4)+((COUNTIF('Elève (6ème1)'!NM13:NO13,"B"))*3)+((COUNTIF('Elève (6ème1)'!NM13:NO13,"C"))*2)+((COUNTIF('Elève (6ème1)'!NM13:NO13,"D"))*1))/(COUNTA(NM13:NO13)),"")</f>
        <v>3</v>
      </c>
      <c r="NQ12" s="107" t="str">
        <f t="shared" si="88"/>
        <v>B</v>
      </c>
      <c r="NR12" s="145"/>
      <c r="NS12" s="186"/>
      <c r="NT12" s="146"/>
      <c r="NU12" s="106" t="str">
        <f>IFERROR((((COUNTIF('Elève (6ème1)'!NR13:NT13,"A"))*4)+((COUNTIF('Elève (6ème1)'!NR13:NT13,"B"))*3)+((COUNTIF('Elève (6ème1)'!NR13:NT13,"C"))*2)+((COUNTIF('Elève (6ème1)'!NR13:NT13,"D"))*1))/(COUNTA(NR13:NT13)),"")</f>
        <v/>
      </c>
      <c r="NV12" s="121" t="str">
        <f t="shared" si="89"/>
        <v/>
      </c>
      <c r="NW12" s="100"/>
      <c r="NX12" s="187"/>
      <c r="NY12" s="188"/>
      <c r="NZ12" s="106" t="str">
        <f>IFERROR((((COUNTIF('Elève (6ème1)'!NW13:NY13,"A"))*4)+((COUNTIF('Elève (6ème1)'!NW13:NY13,"B"))*3)+((COUNTIF('Elève (6ème1)'!NW13:NY13,"C"))*2)+((COUNTIF('Elève (6ème1)'!NW13:NY13,"D"))*1))/(COUNTA(NW13:NY13)),"")</f>
        <v/>
      </c>
      <c r="OA12" s="128" t="str">
        <f t="shared" si="90"/>
        <v/>
      </c>
      <c r="OB12" s="177">
        <f>IFERROR((((COUNTIF(NM13:NO13,"A")+COUNTIF(NR13:NT13,"A")+COUNTIF(NW13:NY13,"A"))*4)+((COUNTIF(NM13:NO13,"B")+COUNTIF(NR13:NT13,"B")+COUNTIF(NW13:NY13,"B"))*3)+((COUNTIF(NM13:NO13,"C")+COUNTIF(NR13:NT13,"C")+COUNTIF(NW13:NY13,"C"))*2)+((COUNTIF(NM13:NO13,"D")+COUNTIF(NR13:NT13,"D")+COUNTIF(NW13:NY13,"D"))*1))/(COUNTA(NM13:NO13)+COUNTA(NR13:NT13)+COUNTA(NW13:NY13)),"")</f>
        <v>3</v>
      </c>
      <c r="OC12" s="130" t="str">
        <f t="shared" si="91"/>
        <v>B</v>
      </c>
      <c r="OD12" s="152"/>
      <c r="OE12" s="185"/>
      <c r="OF12" s="185"/>
      <c r="OG12" s="106">
        <f>IFERROR((((COUNTIF('Elève (6ème1)'!OD13:OF13,"A"))*4)+((COUNTIF('Elève (6ème1)'!OD13:OF13,"B"))*3)+((COUNTIF('Elève (6ème1)'!OD13:OF13,"C"))*2)+((COUNTIF('Elève (6ème1)'!OD13:OF13,"D"))*1))/(COUNTA(OD13:OF13)),"")</f>
        <v>4</v>
      </c>
      <c r="OH12" s="107" t="str">
        <f t="shared" si="92"/>
        <v>A</v>
      </c>
      <c r="OI12" s="145"/>
      <c r="OJ12" s="186"/>
      <c r="OK12" s="146"/>
      <c r="OL12" s="106" t="str">
        <f>IFERROR((((COUNTIF('Elève (6ème1)'!OI13:OK13,"A"))*4)+((COUNTIF('Elève (6ème1)'!OI13:OK13,"B"))*3)+((COUNTIF('Elève (6ème1)'!OI13:OK13,"C"))*2)+((COUNTIF('Elève (6ème1)'!OI13:OK13,"D"))*1))/(COUNTA(OI13:OK13)),"")</f>
        <v/>
      </c>
      <c r="OM12" s="121" t="str">
        <f t="shared" si="93"/>
        <v/>
      </c>
      <c r="ON12" s="100"/>
      <c r="OO12" s="187"/>
      <c r="OP12" s="188"/>
      <c r="OQ12" s="106" t="str">
        <f>IFERROR((((COUNTIF('Elève (6ème1)'!ON13:OP13,"A"))*4)+((COUNTIF('Elève (6ème1)'!ON13:OP13,"B"))*3)+((COUNTIF('Elève (6ème1)'!ON13:OP13,"C"))*2)+((COUNTIF('Elève (6ème1)'!ON13:OP13,"D"))*1))/(COUNTA(ON13:OP13)),"")</f>
        <v/>
      </c>
      <c r="OR12" s="128" t="str">
        <f t="shared" si="94"/>
        <v/>
      </c>
      <c r="OS12" s="177">
        <f>IFERROR((((COUNTIF(OD13:OF13,"A")+COUNTIF(OI13:OK13,"A")+COUNTIF(ON13:OP13,"A"))*4)+((COUNTIF(OD13:OF13,"B")+COUNTIF(OI13:OK13,"B")+COUNTIF(ON13:OP13,"B"))*3)+((COUNTIF(OD13:OF13,"C")+COUNTIF(OI13:OK13,"C")+COUNTIF(ON13:OP13,"C"))*2)+((COUNTIF(OD13:OF13,"D")+COUNTIF(OI13:OK13,"D")+COUNTIF(ON13:OP13,"D"))*1))/(COUNTA(OD13:OF13)+COUNTA(OI13:OK13)+COUNTA(ON13:OP13)),"")</f>
        <v>4</v>
      </c>
      <c r="OT12" s="130" t="str">
        <f t="shared" si="95"/>
        <v>A</v>
      </c>
      <c r="OU12" s="152"/>
      <c r="OV12" s="185"/>
      <c r="OW12" s="185"/>
      <c r="OX12" s="106">
        <f>IFERROR((((COUNTIF('Elève (6ème1)'!OU13:OW13,"A"))*4)+((COUNTIF('Elève (6ème1)'!OU13:OW13,"B"))*3)+((COUNTIF('Elève (6ème1)'!OU13:OW13,"C"))*2)+((COUNTIF('Elève (6ème1)'!OU13:OW13,"D"))*1))/(COUNTA(OU13:OW13)),"")</f>
        <v>4</v>
      </c>
      <c r="OY12" s="107" t="str">
        <f t="shared" si="96"/>
        <v>A</v>
      </c>
      <c r="OZ12" s="145"/>
      <c r="PA12" s="186"/>
      <c r="PB12" s="146"/>
      <c r="PC12" s="106" t="str">
        <f>IFERROR((((COUNTIF('Elève (6ème1)'!OZ13:PB13,"A"))*4)+((COUNTIF('Elève (6ème1)'!OZ13:PB13,"B"))*3)+((COUNTIF('Elève (6ème1)'!OZ13:PB13,"C"))*2)+((COUNTIF('Elève (6ème1)'!OZ13:PB13,"D"))*1))/(COUNTA(OZ13:PB13)),"")</f>
        <v/>
      </c>
      <c r="PD12" s="121" t="str">
        <f t="shared" si="97"/>
        <v/>
      </c>
      <c r="PE12" s="100"/>
      <c r="PF12" s="187"/>
      <c r="PG12" s="188"/>
      <c r="PH12" s="106" t="str">
        <f>IFERROR((((COUNTIF('Elève (6ème1)'!PE13:PG13,"A"))*4)+((COUNTIF('Elève (6ème1)'!PE13:PG13,"B"))*3)+((COUNTIF('Elève (6ème1)'!PE13:PG13,"C"))*2)+((COUNTIF('Elève (6ème1)'!PE13:PG13,"D"))*1))/(COUNTA(PE13:PG13)),"")</f>
        <v/>
      </c>
      <c r="PI12" s="128" t="str">
        <f t="shared" si="98"/>
        <v/>
      </c>
      <c r="PJ12" s="177">
        <f>IFERROR((((COUNTIF(OU13:OW13,"A")+COUNTIF(OZ13:PB13,"A")+COUNTIF(PE13:PG13,"A"))*4)+((COUNTIF(OU13:OW13,"B")+COUNTIF(OZ13:PB13,"B")+COUNTIF(PE13:PG13,"B"))*3)+((COUNTIF(OU13:OW13,"C")+COUNTIF(OZ13:PB13,"C")+COUNTIF(PE13:PG13,"C"))*2)+((COUNTIF(OU13:OW13,"D")+COUNTIF(OZ13:PB13,"D")+COUNTIF(PE13:PG13,"D"))*1))/(COUNTA(OU13:OW13)+COUNTA(OZ13:PB13)+COUNTA(PE13:PG13)),"")</f>
        <v>4</v>
      </c>
      <c r="PK12" s="130" t="str">
        <f t="shared" si="99"/>
        <v>A</v>
      </c>
      <c r="PL12" s="152"/>
      <c r="PM12" s="185"/>
      <c r="PN12" s="185"/>
      <c r="PO12" s="106">
        <f>IFERROR((((COUNTIF('Elève (6ème1)'!PL13:PN13,"A"))*4)+((COUNTIF('Elève (6ème1)'!PL13:PN13,"B"))*3)+((COUNTIF('Elève (6ème1)'!PL13:PN13,"C"))*2)+((COUNTIF('Elève (6ème1)'!PL13:PN13,"D"))*1))/(COUNTA(PL13:PN13)),"")</f>
        <v>4</v>
      </c>
      <c r="PP12" s="107" t="str">
        <f t="shared" si="100"/>
        <v>A</v>
      </c>
      <c r="PQ12" s="145"/>
      <c r="PR12" s="186"/>
      <c r="PS12" s="146"/>
      <c r="PT12" s="106" t="str">
        <f>IFERROR((((COUNTIF('Elève (6ème1)'!PQ13:PS13,"A"))*4)+((COUNTIF('Elève (6ème1)'!PQ13:PS13,"B"))*3)+((COUNTIF('Elève (6ème1)'!PQ13:PS13,"C"))*2)+((COUNTIF('Elève (6ème1)'!PQ13:PS13,"D"))*1))/(COUNTA(PQ13:PS13)),"")</f>
        <v/>
      </c>
      <c r="PU12" s="121" t="str">
        <f t="shared" si="101"/>
        <v/>
      </c>
      <c r="PV12" s="100"/>
      <c r="PW12" s="187"/>
      <c r="PX12" s="188"/>
      <c r="PY12" s="106" t="str">
        <f>IFERROR((((COUNTIF('Elève (6ème1)'!PV13:PX13,"A"))*4)+((COUNTIF('Elève (6ème1)'!PV13:PX13,"B"))*3)+((COUNTIF('Elève (6ème1)'!PV13:PX13,"C"))*2)+((COUNTIF('Elève (6ème1)'!PV13:PX13,"D"))*1))/(COUNTA(PV13:PX13)),"")</f>
        <v/>
      </c>
      <c r="PZ12" s="128" t="str">
        <f t="shared" si="102"/>
        <v/>
      </c>
      <c r="QA12" s="177">
        <f>IFERROR((((COUNTIF(PL13:PN13,"A")+COUNTIF(PQ13:PS13,"A")+COUNTIF(PV13:PX13,"A"))*4)+((COUNTIF(PL13:PN13,"B")+COUNTIF(PQ13:PS13,"B")+COUNTIF(PV13:PX13,"B"))*3)+((COUNTIF(PL13:PN13,"C")+COUNTIF(PQ13:PS13,"C")+COUNTIF(PV13:PX13,"C"))*2)+((COUNTIF(PL13:PN13,"D")+COUNTIF(PQ13:PS13,"D")+COUNTIF(PV13:PX13,"D"))*1))/(COUNTA(PL13:PN13)+COUNTA(PQ13:PS13)+COUNTA(PV13:PX13)),"")</f>
        <v>4</v>
      </c>
      <c r="QB12" s="130" t="str">
        <f t="shared" si="103"/>
        <v>A</v>
      </c>
      <c r="QC12" s="152"/>
      <c r="QD12" s="185"/>
      <c r="QE12" s="185"/>
      <c r="QF12" s="106">
        <f>IFERROR((((COUNTIF('Elève (6ème1)'!QC13:QE13,"A"))*4)+((COUNTIF('Elève (6ème1)'!QC13:QE13,"B"))*3)+((COUNTIF('Elève (6ème1)'!QC13:QE13,"C"))*2)+((COUNTIF('Elève (6ème1)'!QC13:QE13,"D"))*1))/(COUNTA(QC13:QE13)),"")</f>
        <v>4</v>
      </c>
      <c r="QG12" s="107" t="str">
        <f t="shared" si="104"/>
        <v>A</v>
      </c>
      <c r="QH12" s="145"/>
      <c r="QI12" s="186"/>
      <c r="QJ12" s="146"/>
      <c r="QK12" s="106" t="str">
        <f>IFERROR((((COUNTIF('Elève (6ème1)'!QH13:QJ13,"A"))*4)+((COUNTIF('Elève (6ème1)'!QH13:QJ13,"B"))*3)+((COUNTIF('Elève (6ème1)'!QH13:QJ13,"C"))*2)+((COUNTIF('Elève (6ème1)'!QH13:QJ13,"D"))*1))/(COUNTA(QH13:QJ13)),"")</f>
        <v/>
      </c>
      <c r="QL12" s="121" t="str">
        <f t="shared" si="105"/>
        <v/>
      </c>
      <c r="QM12" s="100"/>
      <c r="QN12" s="187"/>
      <c r="QO12" s="188"/>
      <c r="QP12" s="106" t="str">
        <f>IFERROR((((COUNTIF('Elève (6ème1)'!QM13:QO13,"A"))*4)+((COUNTIF('Elève (6ème1)'!QM13:QO13,"B"))*3)+((COUNTIF('Elève (6ème1)'!QM13:QO13,"C"))*2)+((COUNTIF('Elève (6ème1)'!QM13:QO13,"D"))*1))/(COUNTA(QM13:QO13)),"")</f>
        <v/>
      </c>
      <c r="QQ12" s="128" t="str">
        <f t="shared" si="106"/>
        <v/>
      </c>
      <c r="QR12" s="177">
        <f>IFERROR((((COUNTIF(QC13:QE13,"A")+COUNTIF(QH13:QJ13,"A")+COUNTIF(QM13:QO13,"A"))*4)+((COUNTIF(QC13:QE13,"B")+COUNTIF(QH13:QJ13,"B")+COUNTIF(QM13:QO13,"B"))*3)+((COUNTIF(QC13:QE13,"C")+COUNTIF(QH13:QJ13,"C")+COUNTIF(QM13:QO13,"C"))*2)+((COUNTIF(QC13:QE13,"D")+COUNTIF(QH13:QJ13,"D")+COUNTIF(QM13:QO13,"D"))*1))/(COUNTA(QC13:QE13)+COUNTA(QH13:QJ13)+COUNTA(QM13:QO13)),"")</f>
        <v>4</v>
      </c>
      <c r="QS12" s="130" t="str">
        <f t="shared" si="107"/>
        <v>A</v>
      </c>
      <c r="QT12" s="152"/>
      <c r="QU12" s="185"/>
      <c r="QV12" s="185"/>
      <c r="QW12" s="106" t="str">
        <f>IFERROR((((COUNTIF('Elève (6ème1)'!QT13:QV13,"A"))*4)+((COUNTIF('Elève (6ème1)'!QT13:QV13,"B"))*3)+((COUNTIF('Elève (6ème1)'!QT13:QV13,"C"))*2)+((COUNTIF('Elève (6ème1)'!QT13:QV13,"D"))*1))/(COUNTA(QT13:QV13)),"")</f>
        <v/>
      </c>
      <c r="QX12" s="107" t="str">
        <f t="shared" si="108"/>
        <v/>
      </c>
      <c r="QY12" s="145"/>
      <c r="QZ12" s="186"/>
      <c r="RA12" s="146"/>
      <c r="RB12" s="106" t="str">
        <f>IFERROR((((COUNTIF('Elève (6ème1)'!QY13:RA13,"A"))*4)+((COUNTIF('Elève (6ème1)'!QY13:RA13,"B"))*3)+((COUNTIF('Elève (6ème1)'!QY13:RA13,"C"))*2)+((COUNTIF('Elève (6ème1)'!QY13:RA13,"D"))*1))/(COUNTA(QY13:RA13)),"")</f>
        <v/>
      </c>
      <c r="RC12" s="121" t="str">
        <f t="shared" si="109"/>
        <v/>
      </c>
      <c r="RD12" s="100"/>
      <c r="RE12" s="187"/>
      <c r="RF12" s="188"/>
      <c r="RG12" s="106" t="str">
        <f>IFERROR((((COUNTIF('Elève (6ème1)'!RD13:RF13,"A"))*4)+((COUNTIF('Elève (6ème1)'!RD13:RF13,"B"))*3)+((COUNTIF('Elève (6ème1)'!RD13:RF13,"C"))*2)+((COUNTIF('Elève (6ème1)'!RD13:RF13,"D"))*1))/(COUNTA(RD13:RF13)),"")</f>
        <v/>
      </c>
      <c r="RH12" s="128" t="str">
        <f t="shared" si="110"/>
        <v/>
      </c>
      <c r="RI12" s="177" t="str">
        <f>IFERROR((((COUNTIF(QT13:QV13,"A")+COUNTIF(QY13:RA13,"A")+COUNTIF(RD13:RF13,"A"))*4)+((COUNTIF(QT13:QV13,"B")+COUNTIF(QY13:RA13,"B")+COUNTIF(RD13:RF13,"B"))*3)+((COUNTIF(QT13:QV13,"C")+COUNTIF(QY13:RA13,"C")+COUNTIF(RD13:RF13,"C"))*2)+((COUNTIF(QT13:QV13,"D")+COUNTIF(QY13:RA13,"D")+COUNTIF(RD13:RF13,"D"))*1))/(COUNTA(QT13:QV13)+COUNTA(QY13:RA13)+COUNTA(RD13:RF13)),"")</f>
        <v/>
      </c>
      <c r="RJ12" s="130" t="str">
        <f t="shared" si="111"/>
        <v/>
      </c>
      <c r="RK12" s="152"/>
      <c r="RL12" s="185"/>
      <c r="RM12" s="185"/>
      <c r="RN12" s="106" t="str">
        <f>IFERROR((((COUNTIF('Elève (6ème1)'!RK13:RM13,"A"))*4)+((COUNTIF('Elève (6ème1)'!RK13:RM13,"B"))*3)+((COUNTIF('Elève (6ème1)'!RK13:RM13,"C"))*2)+((COUNTIF('Elève (6ème1)'!RK13:RM13,"D"))*1))/(COUNTA(RK13:RM13)),"")</f>
        <v/>
      </c>
      <c r="RO12" s="107" t="str">
        <f t="shared" si="112"/>
        <v/>
      </c>
      <c r="RP12" s="145"/>
      <c r="RQ12" s="186"/>
      <c r="RR12" s="146"/>
      <c r="RS12" s="106" t="str">
        <f>IFERROR((((COUNTIF('Elève (6ème1)'!RP13:RR13,"A"))*4)+((COUNTIF('Elève (6ème1)'!RP13:RR13,"B"))*3)+((COUNTIF('Elève (6ème1)'!RP13:RR13,"C"))*2)+((COUNTIF('Elève (6ème1)'!RP13:RR13,"D"))*1))/(COUNTA(RP13:RR13)),"")</f>
        <v/>
      </c>
      <c r="RT12" s="121" t="str">
        <f t="shared" si="113"/>
        <v/>
      </c>
      <c r="RU12" s="100"/>
      <c r="RV12" s="187"/>
      <c r="RW12" s="188"/>
      <c r="RX12" s="106" t="str">
        <f>IFERROR((((COUNTIF('Elève (6ème1)'!RU13:RW13,"A"))*4)+((COUNTIF('Elève (6ème1)'!RU13:RW13,"B"))*3)+((COUNTIF('Elève (6ème1)'!RU13:RW13,"C"))*2)+((COUNTIF('Elève (6ème1)'!RU13:RW13,"D"))*1))/(COUNTA(RU13:RW13)),"")</f>
        <v/>
      </c>
      <c r="RY12" s="128" t="str">
        <f t="shared" si="114"/>
        <v/>
      </c>
      <c r="RZ12" s="177" t="str">
        <f>IFERROR((((COUNTIF(RK13:RM13,"A")+COUNTIF(RP13:RR13,"A")+COUNTIF(RU13:RW13,"A"))*4)+((COUNTIF(RK13:RM13,"B")+COUNTIF(RP13:RR13,"B")+COUNTIF(RU13:RW13,"B"))*3)+((COUNTIF(RK13:RM13,"C")+COUNTIF(RP13:RR13,"C")+COUNTIF(RU13:RW13,"C"))*2)+((COUNTIF(RK13:RM13,"D")+COUNTIF(RP13:RR13,"D")+COUNTIF(RU13:RW13,"D"))*1))/(COUNTA(RK13:RM13)+COUNTA(RP13:RR13)+COUNTA(RU13:RW13)),"")</f>
        <v/>
      </c>
      <c r="SA12" s="130" t="str">
        <f t="shared" si="115"/>
        <v/>
      </c>
      <c r="SB12" s="152"/>
      <c r="SC12" s="185"/>
      <c r="SD12" s="185"/>
      <c r="SE12" s="106" t="str">
        <f>IFERROR((((COUNTIF('Elève (6ème1)'!SB13:SD13,"A"))*4)+((COUNTIF('Elève (6ème1)'!SB13:SD13,"B"))*3)+((COUNTIF('Elève (6ème1)'!SB13:SD13,"C"))*2)+((COUNTIF('Elève (6ème1)'!SB13:SD13,"D"))*1))/(COUNTA(SB13:SD13)),"")</f>
        <v/>
      </c>
      <c r="SF12" s="107" t="str">
        <f t="shared" si="116"/>
        <v/>
      </c>
      <c r="SG12" s="145"/>
      <c r="SH12" s="186"/>
      <c r="SI12" s="146"/>
      <c r="SJ12" s="106" t="str">
        <f>IFERROR((((COUNTIF('Elève (6ème1)'!SG13:SI13,"A"))*4)+((COUNTIF('Elève (6ème1)'!SG13:SI13,"B"))*3)+((COUNTIF('Elève (6ème1)'!SG13:SI13,"C"))*2)+((COUNTIF('Elève (6ème1)'!SG13:SI13,"D"))*1))/(COUNTA(SG13:SI13)),"")</f>
        <v/>
      </c>
      <c r="SK12" s="121" t="str">
        <f t="shared" si="117"/>
        <v/>
      </c>
      <c r="SL12" s="100"/>
      <c r="SM12" s="187"/>
      <c r="SN12" s="188"/>
      <c r="SO12" s="106" t="str">
        <f>IFERROR((((COUNTIF('Elève (6ème1)'!SL13:SN13,"A"))*4)+((COUNTIF('Elève (6ème1)'!SL13:SN13,"B"))*3)+((COUNTIF('Elève (6ème1)'!SL13:SN13,"C"))*2)+((COUNTIF('Elève (6ème1)'!SL13:SN13,"D"))*1))/(COUNTA(SL13:SN13)),"")</f>
        <v/>
      </c>
      <c r="SP12" s="128" t="str">
        <f t="shared" si="118"/>
        <v/>
      </c>
      <c r="SQ12" s="177" t="str">
        <f>IFERROR((((COUNTIF(SB13:SD13,"A")+COUNTIF(SG13:SI13,"A")+COUNTIF(SL13:SN13,"A"))*4)+((COUNTIF(SB13:SD13,"B")+COUNTIF(SG13:SI13,"B")+COUNTIF(SL13:SN13,"B"))*3)+((COUNTIF(SB13:SD13,"C")+COUNTIF(SG13:SI13,"C")+COUNTIF(SL13:SN13,"C"))*2)+((COUNTIF(SB13:SD13,"D")+COUNTIF(SG13:SI13,"D")+COUNTIF(SL13:SN13,"D"))*1))/(COUNTA(SB13:SD13)+COUNTA(SG13:SI13)+COUNTA(SL13:SN13)),"")</f>
        <v/>
      </c>
      <c r="SR12" s="130" t="str">
        <f t="shared" si="119"/>
        <v/>
      </c>
    </row>
    <row r="13" spans="1:512" s="72" customFormat="1" ht="18" customHeight="1" thickBot="1" x14ac:dyDescent="0.3">
      <c r="A13" s="240" t="s">
        <v>16</v>
      </c>
      <c r="B13" s="241"/>
      <c r="C13" s="156"/>
      <c r="D13" s="157" t="s">
        <v>25</v>
      </c>
      <c r="E13" s="158"/>
      <c r="F13" s="108">
        <f>IFERROR((((COUNTIF('Elève (6ème1)'!C13:E13,"A"))*4)+((COUNTIF('Elève (6ème1)'!C13:E13,"B"))*3)+((COUNTIF('Elève (6ème1)'!C13:E13,"C"))*2)+((COUNTIF('Elève (6ème1)'!C13:E13,"D"))*1))/(COUNTA(C13:E13)),"")</f>
        <v>3</v>
      </c>
      <c r="G13" s="109" t="str">
        <f t="shared" si="0"/>
        <v>B</v>
      </c>
      <c r="H13" s="81"/>
      <c r="I13" s="82"/>
      <c r="J13" s="83"/>
      <c r="K13" s="108" t="str">
        <f>IFERROR((((COUNTIF('Elève (6ème1)'!H13:J13,"A"))*4)+((COUNTIF('Elève (6ème1)'!H13:J13,"B"))*3)+((COUNTIF('Elève (6ème1)'!H13:J13,"C"))*2)+((COUNTIF('Elève (6ème1)'!H13:J13,"D"))*1))/(COUNTA(H13:J13)),"")</f>
        <v/>
      </c>
      <c r="L13" s="109" t="str">
        <f t="shared" si="1"/>
        <v/>
      </c>
      <c r="M13" s="81"/>
      <c r="N13" s="82"/>
      <c r="O13" s="83"/>
      <c r="P13" s="108" t="str">
        <f>IFERROR((((COUNTIF('Elève (6ème1)'!M13:O13,"A"))*4)+((COUNTIF('Elève (6ème1)'!M13:O13,"B"))*3)+((COUNTIF('Elève (6ème1)'!M13:O13,"C"))*2)+((COUNTIF('Elève (6ème1)'!M13:O13,"D"))*1))/(COUNTA(M13:O13)),"")</f>
        <v/>
      </c>
      <c r="Q13" s="139" t="str">
        <f t="shared" si="2"/>
        <v/>
      </c>
      <c r="R13" s="178">
        <f>IF(COUNT(F13,K13,P13)=0,"",SUM(F13,K13,P13)/COUNT(F13,K13,P13))</f>
        <v>3</v>
      </c>
      <c r="S13" s="131" t="str">
        <f t="shared" si="3"/>
        <v>B</v>
      </c>
      <c r="T13" s="156"/>
      <c r="U13" s="157" t="s">
        <v>25</v>
      </c>
      <c r="V13" s="158"/>
      <c r="W13" s="108">
        <f>IFERROR((((COUNTIF('Elève (6ème1)'!T13:V13,"A"))*4)+((COUNTIF('Elève (6ème1)'!T13:V13,"B"))*3)+((COUNTIF('Elève (6ème1)'!T13:V13,"C"))*2)+((COUNTIF('Elève (6ème1)'!T13:V13,"D"))*1))/(COUNTA(T13:V13)),"")</f>
        <v>3</v>
      </c>
      <c r="X13" s="109" t="str">
        <f t="shared" si="4"/>
        <v>B</v>
      </c>
      <c r="Y13" s="81"/>
      <c r="Z13" s="82"/>
      <c r="AA13" s="83"/>
      <c r="AB13" s="108" t="str">
        <f>IFERROR((((COUNTIF('Elève (6ème1)'!Y13:AA13,"A"))*4)+((COUNTIF('Elève (6ème1)'!Y13:AA13,"B"))*3)+((COUNTIF('Elève (6ème1)'!Y13:AA13,"C"))*2)+((COUNTIF('Elève (6ème1)'!Y13:AA13,"D"))*1))/(COUNTA(Y13:AA13)),"")</f>
        <v/>
      </c>
      <c r="AC13" s="109" t="str">
        <f t="shared" si="5"/>
        <v/>
      </c>
      <c r="AD13" s="81"/>
      <c r="AE13" s="82"/>
      <c r="AF13" s="83"/>
      <c r="AG13" s="108" t="str">
        <f>IFERROR((((COUNTIF('Elève (6ème1)'!AD13:AF13,"A"))*4)+((COUNTIF('Elève (6ème1)'!AD13:AF13,"B"))*3)+((COUNTIF('Elève (6ème1)'!AD13:AF13,"C"))*2)+((COUNTIF('Elève (6ème1)'!AD13:AF13,"D"))*1))/(COUNTA(AD13:AF13)),"")</f>
        <v/>
      </c>
      <c r="AH13" s="139" t="str">
        <f t="shared" si="6"/>
        <v/>
      </c>
      <c r="AI13" s="178">
        <f>IF(COUNT(W13,AB13,AG13)=0,"",SUM(W13,AB13,AG13)/COUNT(W13,AB13,AG13))</f>
        <v>3</v>
      </c>
      <c r="AJ13" s="131" t="str">
        <f t="shared" si="7"/>
        <v>B</v>
      </c>
      <c r="AK13" s="156"/>
      <c r="AL13" s="157" t="s">
        <v>24</v>
      </c>
      <c r="AM13" s="158"/>
      <c r="AN13" s="108">
        <f>IFERROR((((COUNTIF('Elève (6ème1)'!AK13:AM13,"A"))*4)+((COUNTIF('Elève (6ème1)'!AK13:AM13,"B"))*3)+((COUNTIF('Elève (6ème1)'!AK13:AM13,"C"))*2)+((COUNTIF('Elève (6ème1)'!AK13:AM13,"D"))*1))/(COUNTA(AK13:AM13)),"")</f>
        <v>4</v>
      </c>
      <c r="AO13" s="109" t="str">
        <f t="shared" si="8"/>
        <v>A</v>
      </c>
      <c r="AP13" s="81"/>
      <c r="AQ13" s="82"/>
      <c r="AR13" s="83"/>
      <c r="AS13" s="108" t="str">
        <f>IFERROR((((COUNTIF('Elève (6ème1)'!AP13:AR13,"A"))*4)+((COUNTIF('Elève (6ème1)'!AP13:AR13,"B"))*3)+((COUNTIF('Elève (6ème1)'!AP13:AR13,"C"))*2)+((COUNTIF('Elève (6ème1)'!AP13:AR13,"D"))*1))/(COUNTA(AP13:AR13)),"")</f>
        <v/>
      </c>
      <c r="AT13" s="109" t="str">
        <f t="shared" si="9"/>
        <v/>
      </c>
      <c r="AU13" s="81"/>
      <c r="AV13" s="82"/>
      <c r="AW13" s="83"/>
      <c r="AX13" s="108" t="str">
        <f>IFERROR((((COUNTIF('Elève (6ème1)'!AU13:AW13,"A"))*4)+((COUNTIF('Elève (6ème1)'!AU13:AW13,"B"))*3)+((COUNTIF('Elève (6ème1)'!AU13:AW13,"C"))*2)+((COUNTIF('Elève (6ème1)'!AU13:AW13,"D"))*1))/(COUNTA(AU13:AW13)),"")</f>
        <v/>
      </c>
      <c r="AY13" s="139" t="str">
        <f t="shared" si="10"/>
        <v/>
      </c>
      <c r="AZ13" s="178">
        <f>IF(COUNT(AN13,AS13,AX13)=0,"",SUM(AN13,AS13,AX13)/COUNT(AN13,AS13,AX13))</f>
        <v>4</v>
      </c>
      <c r="BA13" s="131" t="str">
        <f t="shared" si="11"/>
        <v>A</v>
      </c>
      <c r="BB13" s="156"/>
      <c r="BC13" s="157" t="s">
        <v>25</v>
      </c>
      <c r="BD13" s="158"/>
      <c r="BE13" s="108">
        <f>IFERROR((((COUNTIF('Elève (6ème1)'!BB13:BD13,"A"))*4)+((COUNTIF('Elève (6ème1)'!BB13:BD13,"B"))*3)+((COUNTIF('Elève (6ème1)'!BB13:BD13,"C"))*2)+((COUNTIF('Elève (6ème1)'!BB13:BD13,"D"))*1))/(COUNTA(BB13:BD13)),"")</f>
        <v>3</v>
      </c>
      <c r="BF13" s="109" t="str">
        <f t="shared" si="12"/>
        <v>B</v>
      </c>
      <c r="BG13" s="81"/>
      <c r="BH13" s="82"/>
      <c r="BI13" s="83"/>
      <c r="BJ13" s="108" t="str">
        <f>IFERROR((((COUNTIF('Elève (6ème1)'!BG13:BI13,"A"))*4)+((COUNTIF('Elève (6ème1)'!BG13:BI13,"B"))*3)+((COUNTIF('Elève (6ème1)'!BG13:BI13,"C"))*2)+((COUNTIF('Elève (6ème1)'!BG13:BI13,"D"))*1))/(COUNTA(BG13:BI13)),"")</f>
        <v/>
      </c>
      <c r="BK13" s="109" t="str">
        <f t="shared" si="13"/>
        <v/>
      </c>
      <c r="BL13" s="81"/>
      <c r="BM13" s="82"/>
      <c r="BN13" s="83"/>
      <c r="BO13" s="108" t="str">
        <f>IFERROR((((COUNTIF('Elève (6ème1)'!BL13:BN13,"A"))*4)+((COUNTIF('Elève (6ème1)'!BL13:BN13,"B"))*3)+((COUNTIF('Elève (6ème1)'!BL13:BN13,"C"))*2)+((COUNTIF('Elève (6ème1)'!BL13:BN13,"D"))*1))/(COUNTA(BL13:BN13)),"")</f>
        <v/>
      </c>
      <c r="BP13" s="139" t="str">
        <f t="shared" si="14"/>
        <v/>
      </c>
      <c r="BQ13" s="178">
        <f>IF(COUNT(BE13,BJ13,BO13)=0,"",SUM(BE13,BJ13,BO13)/COUNT(BE13,BJ13,BO13))</f>
        <v>3</v>
      </c>
      <c r="BR13" s="131" t="str">
        <f t="shared" si="15"/>
        <v>B</v>
      </c>
      <c r="BS13" s="156"/>
      <c r="BT13" s="157" t="s">
        <v>25</v>
      </c>
      <c r="BU13" s="158"/>
      <c r="BV13" s="108">
        <f>IFERROR((((COUNTIF('Elève (6ème1)'!BS13:BU13,"A"))*4)+((COUNTIF('Elève (6ème1)'!BS13:BU13,"B"))*3)+((COUNTIF('Elève (6ème1)'!BS13:BU13,"C"))*2)+((COUNTIF('Elève (6ème1)'!BS13:BU13,"D"))*1))/(COUNTA(BS13:BU13)),"")</f>
        <v>3</v>
      </c>
      <c r="BW13" s="109" t="str">
        <f t="shared" si="16"/>
        <v>B</v>
      </c>
      <c r="BX13" s="81"/>
      <c r="BY13" s="82"/>
      <c r="BZ13" s="83"/>
      <c r="CA13" s="108" t="str">
        <f>IFERROR((((COUNTIF('Elève (6ème1)'!BX13:BZ13,"A"))*4)+((COUNTIF('Elève (6ème1)'!BX13:BZ13,"B"))*3)+((COUNTIF('Elève (6ème1)'!BX13:BZ13,"C"))*2)+((COUNTIF('Elève (6ème1)'!BX13:BZ13,"D"))*1))/(COUNTA(BX13:BZ13)),"")</f>
        <v/>
      </c>
      <c r="CB13" s="109" t="str">
        <f t="shared" si="17"/>
        <v/>
      </c>
      <c r="CC13" s="81"/>
      <c r="CD13" s="82"/>
      <c r="CE13" s="83"/>
      <c r="CF13" s="108" t="str">
        <f>IFERROR((((COUNTIF('Elève (6ème1)'!CC13:CE13,"A"))*4)+((COUNTIF('Elève (6ème1)'!CC13:CE13,"B"))*3)+((COUNTIF('Elève (6ème1)'!CC13:CE13,"C"))*2)+((COUNTIF('Elève (6ème1)'!CC13:CE13,"D"))*1))/(COUNTA(CC13:CE13)),"")</f>
        <v/>
      </c>
      <c r="CG13" s="139" t="str">
        <f t="shared" si="18"/>
        <v/>
      </c>
      <c r="CH13" s="178">
        <f>IF(COUNT(BV13,CA13,CF13)=0,"",SUM(BV13,CA13,CF13)/COUNT(BV13,CA13,CF13))</f>
        <v>3</v>
      </c>
      <c r="CI13" s="131" t="str">
        <f t="shared" si="19"/>
        <v>B</v>
      </c>
      <c r="CJ13" s="156"/>
      <c r="CK13" s="157" t="s">
        <v>24</v>
      </c>
      <c r="CL13" s="158"/>
      <c r="CM13" s="108">
        <f>IFERROR((((COUNTIF('Elève (6ème1)'!CJ13:CL13,"A"))*4)+((COUNTIF('Elève (6ème1)'!CJ13:CL13,"B"))*3)+((COUNTIF('Elève (6ème1)'!CJ13:CL13,"C"))*2)+((COUNTIF('Elève (6ème1)'!CJ13:CL13,"D"))*1))/(COUNTA(CJ13:CL13)),"")</f>
        <v>4</v>
      </c>
      <c r="CN13" s="109" t="str">
        <f t="shared" si="20"/>
        <v>A</v>
      </c>
      <c r="CO13" s="81"/>
      <c r="CP13" s="82"/>
      <c r="CQ13" s="83"/>
      <c r="CR13" s="108" t="str">
        <f>IFERROR((((COUNTIF('Elève (6ème1)'!CO13:CQ13,"A"))*4)+((COUNTIF('Elève (6ème1)'!CO13:CQ13,"B"))*3)+((COUNTIF('Elève (6ème1)'!CO13:CQ13,"C"))*2)+((COUNTIF('Elève (6ème1)'!CO13:CQ13,"D"))*1))/(COUNTA(CO13:CQ13)),"")</f>
        <v/>
      </c>
      <c r="CS13" s="109" t="str">
        <f t="shared" si="21"/>
        <v/>
      </c>
      <c r="CT13" s="81"/>
      <c r="CU13" s="82"/>
      <c r="CV13" s="83"/>
      <c r="CW13" s="108" t="str">
        <f>IFERROR((((COUNTIF('Elève (6ème1)'!CT13:CV13,"A"))*4)+((COUNTIF('Elève (6ème1)'!CT13:CV13,"B"))*3)+((COUNTIF('Elève (6ème1)'!CT13:CV13,"C"))*2)+((COUNTIF('Elève (6ème1)'!CT13:CV13,"D"))*1))/(COUNTA(CT13:CV13)),"")</f>
        <v/>
      </c>
      <c r="CX13" s="139" t="str">
        <f t="shared" si="22"/>
        <v/>
      </c>
      <c r="CY13" s="178">
        <f>IF(COUNT(CM13,CR13,CW13)=0,"",SUM(CM13,CR13,CW13)/COUNT(CM13,CR13,CW13))</f>
        <v>4</v>
      </c>
      <c r="CZ13" s="131" t="str">
        <f t="shared" si="23"/>
        <v>A</v>
      </c>
      <c r="DA13" s="156"/>
      <c r="DB13" s="157" t="s">
        <v>25</v>
      </c>
      <c r="DC13" s="158"/>
      <c r="DD13" s="108">
        <f>IFERROR((((COUNTIF('Elève (6ème1)'!DA13:DC13,"A"))*4)+((COUNTIF('Elève (6ème1)'!DA13:DC13,"B"))*3)+((COUNTIF('Elève (6ème1)'!DA13:DC13,"C"))*2)+((COUNTIF('Elève (6ème1)'!DA13:DC13,"D"))*1))/(COUNTA(DA13:DC13)),"")</f>
        <v>3</v>
      </c>
      <c r="DE13" s="109" t="str">
        <f t="shared" si="24"/>
        <v>B</v>
      </c>
      <c r="DF13" s="81"/>
      <c r="DG13" s="82"/>
      <c r="DH13" s="83"/>
      <c r="DI13" s="108" t="str">
        <f>IFERROR((((COUNTIF('Elève (6ème1)'!DF13:DH13,"A"))*4)+((COUNTIF('Elève (6ème1)'!DF13:DH13,"B"))*3)+((COUNTIF('Elève (6ème1)'!DF13:DH13,"C"))*2)+((COUNTIF('Elève (6ème1)'!DF13:DH13,"D"))*1))/(COUNTA(DF13:DH13)),"")</f>
        <v/>
      </c>
      <c r="DJ13" s="109" t="str">
        <f t="shared" si="25"/>
        <v/>
      </c>
      <c r="DK13" s="81"/>
      <c r="DL13" s="82"/>
      <c r="DM13" s="83"/>
      <c r="DN13" s="108" t="str">
        <f>IFERROR((((COUNTIF('Elève (6ème1)'!DK13:DM13,"A"))*4)+((COUNTIF('Elève (6ème1)'!DK13:DM13,"B"))*3)+((COUNTIF('Elève (6ème1)'!DK13:DM13,"C"))*2)+((COUNTIF('Elève (6ème1)'!DK13:DM13,"D"))*1))/(COUNTA(DK13:DM13)),"")</f>
        <v/>
      </c>
      <c r="DO13" s="139" t="str">
        <f t="shared" si="26"/>
        <v/>
      </c>
      <c r="DP13" s="178">
        <f>IF(COUNT(DD13,DI13,DN13)=0,"",SUM(DD13,DI13,DN13)/COUNT(DD13,DI13,DN13))</f>
        <v>3</v>
      </c>
      <c r="DQ13" s="131" t="str">
        <f t="shared" si="27"/>
        <v>B</v>
      </c>
      <c r="DR13" s="156"/>
      <c r="DS13" s="157" t="s">
        <v>25</v>
      </c>
      <c r="DT13" s="158"/>
      <c r="DU13" s="108">
        <f>IFERROR((((COUNTIF('Elève (6ème1)'!DR13:DT13,"A"))*4)+((COUNTIF('Elève (6ème1)'!DR13:DT13,"B"))*3)+((COUNTIF('Elève (6ème1)'!DR13:DT13,"C"))*2)+((COUNTIF('Elève (6ème1)'!DR13:DT13,"D"))*1))/(COUNTA(DR13:DT13)),"")</f>
        <v>3</v>
      </c>
      <c r="DV13" s="109" t="str">
        <f t="shared" si="28"/>
        <v>B</v>
      </c>
      <c r="DW13" s="81"/>
      <c r="DX13" s="82"/>
      <c r="DY13" s="83"/>
      <c r="DZ13" s="108" t="str">
        <f>IFERROR((((COUNTIF('Elève (6ème1)'!DW13:DY13,"A"))*4)+((COUNTIF('Elève (6ème1)'!DW13:DY13,"B"))*3)+((COUNTIF('Elève (6ème1)'!DW13:DY13,"C"))*2)+((COUNTIF('Elève (6ème1)'!DW13:DY13,"D"))*1))/(COUNTA(DW13:DY13)),"")</f>
        <v/>
      </c>
      <c r="EA13" s="109" t="str">
        <f t="shared" si="29"/>
        <v/>
      </c>
      <c r="EB13" s="81"/>
      <c r="EC13" s="82"/>
      <c r="ED13" s="83"/>
      <c r="EE13" s="108" t="str">
        <f>IFERROR((((COUNTIF('Elève (6ème1)'!EB13:ED13,"A"))*4)+((COUNTIF('Elève (6ème1)'!EB13:ED13,"B"))*3)+((COUNTIF('Elève (6ème1)'!EB13:ED13,"C"))*2)+((COUNTIF('Elève (6ème1)'!EB13:ED13,"D"))*1))/(COUNTA(EB13:ED13)),"")</f>
        <v/>
      </c>
      <c r="EF13" s="139" t="str">
        <f t="shared" si="30"/>
        <v/>
      </c>
      <c r="EG13" s="178">
        <f>IF(COUNT(DU13,DZ13,EE13)=0,"",SUM(DU13,DZ13,EE13)/COUNT(DU13,DZ13,EE13))</f>
        <v>3</v>
      </c>
      <c r="EH13" s="131" t="str">
        <f t="shared" si="31"/>
        <v>B</v>
      </c>
      <c r="EI13" s="156"/>
      <c r="EJ13" s="157" t="s">
        <v>25</v>
      </c>
      <c r="EK13" s="158"/>
      <c r="EL13" s="108">
        <f>IFERROR((((COUNTIF('Elève (6ème1)'!EI13:EK13,"A"))*4)+((COUNTIF('Elève (6ème1)'!EI13:EK13,"B"))*3)+((COUNTIF('Elève (6ème1)'!EI13:EK13,"C"))*2)+((COUNTIF('Elève (6ème1)'!EI13:EK13,"D"))*1))/(COUNTA(EI13:EK13)),"")</f>
        <v>3</v>
      </c>
      <c r="EM13" s="109" t="str">
        <f t="shared" si="32"/>
        <v>B</v>
      </c>
      <c r="EN13" s="81"/>
      <c r="EO13" s="82"/>
      <c r="EP13" s="83"/>
      <c r="EQ13" s="108" t="str">
        <f>IFERROR((((COUNTIF('Elève (6ème1)'!EN13:EP13,"A"))*4)+((COUNTIF('Elève (6ème1)'!EN13:EP13,"B"))*3)+((COUNTIF('Elève (6ème1)'!EN13:EP13,"C"))*2)+((COUNTIF('Elève (6ème1)'!EN13:EP13,"D"))*1))/(COUNTA(EN13:EP13)),"")</f>
        <v/>
      </c>
      <c r="ER13" s="109" t="str">
        <f t="shared" si="33"/>
        <v/>
      </c>
      <c r="ES13" s="81"/>
      <c r="ET13" s="82"/>
      <c r="EU13" s="83"/>
      <c r="EV13" s="108" t="str">
        <f>IFERROR((((COUNTIF('Elève (6ème1)'!ES13:EU13,"A"))*4)+((COUNTIF('Elève (6ème1)'!ES13:EU13,"B"))*3)+((COUNTIF('Elève (6ème1)'!ES13:EU13,"C"))*2)+((COUNTIF('Elève (6ème1)'!ES13:EU13,"D"))*1))/(COUNTA(ES13:EU13)),"")</f>
        <v/>
      </c>
      <c r="EW13" s="139" t="str">
        <f t="shared" si="34"/>
        <v/>
      </c>
      <c r="EX13" s="178">
        <f>IF(COUNT(EL13,EQ13,EV13)=0,"",SUM(EL13,EQ13,EV13)/COUNT(EL13,EQ13,EV13))</f>
        <v>3</v>
      </c>
      <c r="EY13" s="131" t="str">
        <f t="shared" si="35"/>
        <v>B</v>
      </c>
      <c r="EZ13" s="156"/>
      <c r="FA13" s="157" t="s">
        <v>25</v>
      </c>
      <c r="FB13" s="158"/>
      <c r="FC13" s="108">
        <f>IFERROR((((COUNTIF('Elève (6ème1)'!EZ13:FB13,"A"))*4)+((COUNTIF('Elève (6ème1)'!EZ13:FB13,"B"))*3)+((COUNTIF('Elève (6ème1)'!EZ13:FB13,"C"))*2)+((COUNTIF('Elève (6ème1)'!EZ13:FB13,"D"))*1))/(COUNTA(EZ13:FB13)),"")</f>
        <v>3</v>
      </c>
      <c r="FD13" s="109" t="str">
        <f t="shared" si="36"/>
        <v>B</v>
      </c>
      <c r="FE13" s="81"/>
      <c r="FF13" s="82"/>
      <c r="FG13" s="83"/>
      <c r="FH13" s="108" t="str">
        <f>IFERROR((((COUNTIF('Elève (6ème1)'!FE13:FG13,"A"))*4)+((COUNTIF('Elève (6ème1)'!FE13:FG13,"B"))*3)+((COUNTIF('Elève (6ème1)'!FE13:FG13,"C"))*2)+((COUNTIF('Elève (6ème1)'!FE13:FG13,"D"))*1))/(COUNTA(FE13:FG13)),"")</f>
        <v/>
      </c>
      <c r="FI13" s="109" t="str">
        <f t="shared" si="37"/>
        <v/>
      </c>
      <c r="FJ13" s="81"/>
      <c r="FK13" s="82"/>
      <c r="FL13" s="83"/>
      <c r="FM13" s="108" t="str">
        <f>IFERROR((((COUNTIF('Elève (6ème1)'!FJ13:FL13,"A"))*4)+((COUNTIF('Elève (6ème1)'!FJ13:FL13,"B"))*3)+((COUNTIF('Elève (6ème1)'!FJ13:FL13,"C"))*2)+((COUNTIF('Elève (6ème1)'!FJ13:FL13,"D"))*1))/(COUNTA(FJ13:FL13)),"")</f>
        <v/>
      </c>
      <c r="FN13" s="139" t="str">
        <f t="shared" si="38"/>
        <v/>
      </c>
      <c r="FO13" s="178">
        <f>IF(COUNT(FC13,FH13,FM13)=0,"",SUM(FC13,FH13,FM13)/COUNT(FC13,FH13,FM13))</f>
        <v>3</v>
      </c>
      <c r="FP13" s="131" t="str">
        <f t="shared" si="39"/>
        <v>B</v>
      </c>
      <c r="FQ13" s="156"/>
      <c r="FR13" s="157" t="s">
        <v>24</v>
      </c>
      <c r="FS13" s="158"/>
      <c r="FT13" s="108">
        <f>IFERROR((((COUNTIF('Elève (6ème1)'!FQ13:FS13,"A"))*4)+((COUNTIF('Elève (6ème1)'!FQ13:FS13,"B"))*3)+((COUNTIF('Elève (6ème1)'!FQ13:FS13,"C"))*2)+((COUNTIF('Elève (6ème1)'!FQ13:FS13,"D"))*1))/(COUNTA(FQ13:FS13)),"")</f>
        <v>4</v>
      </c>
      <c r="FU13" s="109" t="str">
        <f t="shared" si="40"/>
        <v>A</v>
      </c>
      <c r="FV13" s="81"/>
      <c r="FW13" s="82"/>
      <c r="FX13" s="83"/>
      <c r="FY13" s="108" t="str">
        <f>IFERROR((((COUNTIF('Elève (6ème1)'!FV13:FX13,"A"))*4)+((COUNTIF('Elève (6ème1)'!FV13:FX13,"B"))*3)+((COUNTIF('Elève (6ème1)'!FV13:FX13,"C"))*2)+((COUNTIF('Elève (6ème1)'!FV13:FX13,"D"))*1))/(COUNTA(FV13:FX13)),"")</f>
        <v/>
      </c>
      <c r="FZ13" s="109" t="str">
        <f t="shared" si="41"/>
        <v/>
      </c>
      <c r="GA13" s="81"/>
      <c r="GB13" s="82"/>
      <c r="GC13" s="83"/>
      <c r="GD13" s="108" t="str">
        <f>IFERROR((((COUNTIF('Elève (6ème1)'!GA13:GC13,"A"))*4)+((COUNTIF('Elève (6ème1)'!GA13:GC13,"B"))*3)+((COUNTIF('Elève (6ème1)'!GA13:GC13,"C"))*2)+((COUNTIF('Elève (6ème1)'!GA13:GC13,"D"))*1))/(COUNTA(GA13:GC13)),"")</f>
        <v/>
      </c>
      <c r="GE13" s="139" t="str">
        <f t="shared" si="42"/>
        <v/>
      </c>
      <c r="GF13" s="178">
        <f>IF(COUNT(FT13,FY13,GD13)=0,"",SUM(FT13,FY13,GD13)/COUNT(FT13,FY13,GD13))</f>
        <v>4</v>
      </c>
      <c r="GG13" s="131" t="str">
        <f t="shared" si="43"/>
        <v>A</v>
      </c>
      <c r="GH13" s="156"/>
      <c r="GI13" s="157" t="s">
        <v>26</v>
      </c>
      <c r="GJ13" s="158"/>
      <c r="GK13" s="108">
        <f>IFERROR((((COUNTIF('Elève (6ème1)'!GH13:GJ13,"A"))*4)+((COUNTIF('Elève (6ème1)'!GH13:GJ13,"B"))*3)+((COUNTIF('Elève (6ème1)'!GH13:GJ13,"C"))*2)+((COUNTIF('Elève (6ème1)'!GH13:GJ13,"D"))*1))/(COUNTA(GH13:GJ13)),"")</f>
        <v>2</v>
      </c>
      <c r="GL13" s="109" t="str">
        <f t="shared" si="44"/>
        <v>C</v>
      </c>
      <c r="GM13" s="81"/>
      <c r="GN13" s="82"/>
      <c r="GO13" s="83"/>
      <c r="GP13" s="108" t="str">
        <f>IFERROR((((COUNTIF('Elève (6ème1)'!GM13:GO13,"A"))*4)+((COUNTIF('Elève (6ème1)'!GM13:GO13,"B"))*3)+((COUNTIF('Elève (6ème1)'!GM13:GO13,"C"))*2)+((COUNTIF('Elève (6ème1)'!GM13:GO13,"D"))*1))/(COUNTA(GM13:GO13)),"")</f>
        <v/>
      </c>
      <c r="GQ13" s="109" t="str">
        <f t="shared" si="45"/>
        <v/>
      </c>
      <c r="GR13" s="81"/>
      <c r="GS13" s="82"/>
      <c r="GT13" s="83"/>
      <c r="GU13" s="108" t="str">
        <f>IFERROR((((COUNTIF('Elève (6ème1)'!GR13:GT13,"A"))*4)+((COUNTIF('Elève (6ème1)'!GR13:GT13,"B"))*3)+((COUNTIF('Elève (6ème1)'!GR13:GT13,"C"))*2)+((COUNTIF('Elève (6ème1)'!GR13:GT13,"D"))*1))/(COUNTA(GR13:GT13)),"")</f>
        <v/>
      </c>
      <c r="GV13" s="139" t="str">
        <f t="shared" si="46"/>
        <v/>
      </c>
      <c r="GW13" s="178">
        <f>IF(COUNT(GK13,GP13,GU13)=0,"",SUM(GK13,GP13,GU13)/COUNT(GK13,GP13,GU13))</f>
        <v>2</v>
      </c>
      <c r="GX13" s="131" t="str">
        <f t="shared" si="47"/>
        <v>C</v>
      </c>
      <c r="GY13" s="156"/>
      <c r="GZ13" s="157" t="s">
        <v>26</v>
      </c>
      <c r="HA13" s="158"/>
      <c r="HB13" s="108">
        <f>IFERROR((((COUNTIF('Elève (6ème1)'!GY13:HA13,"A"))*4)+((COUNTIF('Elève (6ème1)'!GY13:HA13,"B"))*3)+((COUNTIF('Elève (6ème1)'!GY13:HA13,"C"))*2)+((COUNTIF('Elève (6ème1)'!GY13:HA13,"D"))*1))/(COUNTA(GY13:HA13)),"")</f>
        <v>2</v>
      </c>
      <c r="HC13" s="109" t="str">
        <f t="shared" si="48"/>
        <v>C</v>
      </c>
      <c r="HD13" s="81"/>
      <c r="HE13" s="82"/>
      <c r="HF13" s="83"/>
      <c r="HG13" s="108" t="str">
        <f>IFERROR((((COUNTIF('Elève (6ème1)'!HD13:HF13,"A"))*4)+((COUNTIF('Elève (6ème1)'!HD13:HF13,"B"))*3)+((COUNTIF('Elève (6ème1)'!HD13:HF13,"C"))*2)+((COUNTIF('Elève (6ème1)'!HD13:HF13,"D"))*1))/(COUNTA(HD13:HF13)),"")</f>
        <v/>
      </c>
      <c r="HH13" s="109" t="str">
        <f t="shared" si="49"/>
        <v/>
      </c>
      <c r="HI13" s="81"/>
      <c r="HJ13" s="82"/>
      <c r="HK13" s="83"/>
      <c r="HL13" s="108" t="str">
        <f>IFERROR((((COUNTIF('Elève (6ème1)'!HI13:HK13,"A"))*4)+((COUNTIF('Elève (6ème1)'!HI13:HK13,"B"))*3)+((COUNTIF('Elève (6ème1)'!HI13:HK13,"C"))*2)+((COUNTIF('Elève (6ème1)'!HI13:HK13,"D"))*1))/(COUNTA(HI13:HK13)),"")</f>
        <v/>
      </c>
      <c r="HM13" s="139" t="str">
        <f t="shared" si="50"/>
        <v/>
      </c>
      <c r="HN13" s="178">
        <f>IF(COUNT(HB13,HG13,HL13)=0,"",SUM(HB13,HG13,HL13)/COUNT(HB13,HG13,HL13))</f>
        <v>2</v>
      </c>
      <c r="HO13" s="131" t="str">
        <f t="shared" si="51"/>
        <v>C</v>
      </c>
      <c r="HP13" s="156"/>
      <c r="HQ13" s="157" t="s">
        <v>26</v>
      </c>
      <c r="HR13" s="158"/>
      <c r="HS13" s="108">
        <f>IFERROR((((COUNTIF('Elève (6ème1)'!HP13:HR13,"A"))*4)+((COUNTIF('Elève (6ème1)'!HP13:HR13,"B"))*3)+((COUNTIF('Elève (6ème1)'!HP13:HR13,"C"))*2)+((COUNTIF('Elève (6ème1)'!HP13:HR13,"D"))*1))/(COUNTA(HP13:HR13)),"")</f>
        <v>2</v>
      </c>
      <c r="HT13" s="109" t="str">
        <f t="shared" si="52"/>
        <v>C</v>
      </c>
      <c r="HU13" s="81"/>
      <c r="HV13" s="82"/>
      <c r="HW13" s="83"/>
      <c r="HX13" s="108" t="str">
        <f>IFERROR((((COUNTIF('Elève (6ème1)'!HU13:HW13,"A"))*4)+((COUNTIF('Elève (6ème1)'!HU13:HW13,"B"))*3)+((COUNTIF('Elève (6ème1)'!HU13:HW13,"C"))*2)+((COUNTIF('Elève (6ème1)'!HU13:HW13,"D"))*1))/(COUNTA(HU13:HW13)),"")</f>
        <v/>
      </c>
      <c r="HY13" s="109" t="str">
        <f t="shared" si="53"/>
        <v/>
      </c>
      <c r="HZ13" s="81"/>
      <c r="IA13" s="82"/>
      <c r="IB13" s="83"/>
      <c r="IC13" s="108" t="str">
        <f>IFERROR((((COUNTIF('Elève (6ème1)'!HZ13:IB13,"A"))*4)+((COUNTIF('Elève (6ème1)'!HZ13:IB13,"B"))*3)+((COUNTIF('Elève (6ème1)'!HZ13:IB13,"C"))*2)+((COUNTIF('Elève (6ème1)'!HZ13:IB13,"D"))*1))/(COUNTA(HZ13:IB13)),"")</f>
        <v/>
      </c>
      <c r="ID13" s="139" t="str">
        <f t="shared" si="54"/>
        <v/>
      </c>
      <c r="IE13" s="178">
        <f>IF(COUNT(HS13,HX13,IC13)=0,"",SUM(HS13,HX13,IC13)/COUNT(HS13,HX13,IC13))</f>
        <v>2</v>
      </c>
      <c r="IF13" s="131" t="str">
        <f t="shared" si="55"/>
        <v>C</v>
      </c>
      <c r="IG13" s="156"/>
      <c r="IH13" s="157" t="s">
        <v>24</v>
      </c>
      <c r="II13" s="158"/>
      <c r="IJ13" s="108">
        <f>IFERROR((((COUNTIF('Elève (6ème1)'!IG13:II13,"A"))*4)+((COUNTIF('Elève (6ème1)'!IG13:II13,"B"))*3)+((COUNTIF('Elève (6ème1)'!IG13:II13,"C"))*2)+((COUNTIF('Elève (6ème1)'!IG13:II13,"D"))*1))/(COUNTA(IG13:II13)),"")</f>
        <v>4</v>
      </c>
      <c r="IK13" s="109" t="str">
        <f t="shared" si="56"/>
        <v>A</v>
      </c>
      <c r="IL13" s="81"/>
      <c r="IM13" s="82"/>
      <c r="IN13" s="83"/>
      <c r="IO13" s="108" t="str">
        <f>IFERROR((((COUNTIF('Elève (6ème1)'!IL13:IN13,"A"))*4)+((COUNTIF('Elève (6ème1)'!IL13:IN13,"B"))*3)+((COUNTIF('Elève (6ème1)'!IL13:IN13,"C"))*2)+((COUNTIF('Elève (6ème1)'!IL13:IN13,"D"))*1))/(COUNTA(IL13:IN13)),"")</f>
        <v/>
      </c>
      <c r="IP13" s="109" t="str">
        <f t="shared" si="57"/>
        <v/>
      </c>
      <c r="IQ13" s="81"/>
      <c r="IR13" s="82"/>
      <c r="IS13" s="83"/>
      <c r="IT13" s="108" t="str">
        <f>IFERROR((((COUNTIF('Elève (6ème1)'!IQ13:IS13,"A"))*4)+((COUNTIF('Elève (6ème1)'!IQ13:IS13,"B"))*3)+((COUNTIF('Elève (6ème1)'!IQ13:IS13,"C"))*2)+((COUNTIF('Elève (6ème1)'!IQ13:IS13,"D"))*1))/(COUNTA(IQ13:IS13)),"")</f>
        <v/>
      </c>
      <c r="IU13" s="139" t="str">
        <f t="shared" si="58"/>
        <v/>
      </c>
      <c r="IV13" s="178">
        <f>IF(COUNT(IJ13,IO13,IT13)=0,"",SUM(IJ13,IO13,IT13)/COUNT(IJ13,IO13,IT13))</f>
        <v>4</v>
      </c>
      <c r="IW13" s="131" t="str">
        <f t="shared" si="59"/>
        <v>A</v>
      </c>
      <c r="IX13" s="156"/>
      <c r="IY13" s="157" t="s">
        <v>24</v>
      </c>
      <c r="IZ13" s="158"/>
      <c r="JA13" s="108">
        <f>IFERROR((((COUNTIF('Elève (6ème1)'!IX13:IZ13,"A"))*4)+((COUNTIF('Elève (6ème1)'!IX13:IZ13,"B"))*3)+((COUNTIF('Elève (6ème1)'!IX13:IZ13,"C"))*2)+((COUNTIF('Elève (6ème1)'!IX13:IZ13,"D"))*1))/(COUNTA(IX13:IZ13)),"")</f>
        <v>4</v>
      </c>
      <c r="JB13" s="109" t="str">
        <f t="shared" si="60"/>
        <v>A</v>
      </c>
      <c r="JC13" s="81"/>
      <c r="JD13" s="82"/>
      <c r="JE13" s="83"/>
      <c r="JF13" s="108" t="str">
        <f>IFERROR((((COUNTIF('Elève (6ème1)'!JC13:JE13,"A"))*4)+((COUNTIF('Elève (6ème1)'!JC13:JE13,"B"))*3)+((COUNTIF('Elève (6ème1)'!JC13:JE13,"C"))*2)+((COUNTIF('Elève (6ème1)'!JC13:JE13,"D"))*1))/(COUNTA(JC13:JE13)),"")</f>
        <v/>
      </c>
      <c r="JG13" s="109" t="str">
        <f t="shared" si="61"/>
        <v/>
      </c>
      <c r="JH13" s="81"/>
      <c r="JI13" s="82"/>
      <c r="JJ13" s="83"/>
      <c r="JK13" s="108" t="str">
        <f>IFERROR((((COUNTIF('Elève (6ème1)'!JH13:JJ13,"A"))*4)+((COUNTIF('Elève (6ème1)'!JH13:JJ13,"B"))*3)+((COUNTIF('Elève (6ème1)'!JH13:JJ13,"C"))*2)+((COUNTIF('Elève (6ème1)'!JH13:JJ13,"D"))*1))/(COUNTA(JH13:JJ13)),"")</f>
        <v/>
      </c>
      <c r="JL13" s="139" t="str">
        <f t="shared" si="62"/>
        <v/>
      </c>
      <c r="JM13" s="178">
        <f>IF(COUNT(JA13,JF13,JK13)=0,"",SUM(JA13,JF13,JK13)/COUNT(JA13,JF13,JK13))</f>
        <v>4</v>
      </c>
      <c r="JN13" s="131" t="str">
        <f t="shared" si="63"/>
        <v>A</v>
      </c>
      <c r="JO13" s="156"/>
      <c r="JP13" s="157" t="s">
        <v>24</v>
      </c>
      <c r="JQ13" s="158"/>
      <c r="JR13" s="108">
        <f>IFERROR((((COUNTIF('Elève (6ème1)'!JO13:JQ13,"A"))*4)+((COUNTIF('Elève (6ème1)'!JO13:JQ13,"B"))*3)+((COUNTIF('Elève (6ème1)'!JO13:JQ13,"C"))*2)+((COUNTIF('Elève (6ème1)'!JO13:JQ13,"D"))*1))/(COUNTA(JO13:JQ13)),"")</f>
        <v>4</v>
      </c>
      <c r="JS13" s="109" t="str">
        <f t="shared" si="64"/>
        <v>A</v>
      </c>
      <c r="JT13" s="81"/>
      <c r="JU13" s="82"/>
      <c r="JV13" s="83"/>
      <c r="JW13" s="108" t="str">
        <f>IFERROR((((COUNTIF('Elève (6ème1)'!JT13:JV13,"A"))*4)+((COUNTIF('Elève (6ème1)'!JT13:JV13,"B"))*3)+((COUNTIF('Elève (6ème1)'!JT13:JV13,"C"))*2)+((COUNTIF('Elève (6ème1)'!JT13:JV13,"D"))*1))/(COUNTA(JT13:JV13)),"")</f>
        <v/>
      </c>
      <c r="JX13" s="109" t="str">
        <f t="shared" si="65"/>
        <v/>
      </c>
      <c r="JY13" s="81"/>
      <c r="JZ13" s="82"/>
      <c r="KA13" s="83"/>
      <c r="KB13" s="108" t="str">
        <f>IFERROR((((COUNTIF('Elève (6ème1)'!JY13:KA13,"A"))*4)+((COUNTIF('Elève (6ème1)'!JY13:KA13,"B"))*3)+((COUNTIF('Elève (6ème1)'!JY13:KA13,"C"))*2)+((COUNTIF('Elève (6ème1)'!JY13:KA13,"D"))*1))/(COUNTA(JY13:KA13)),"")</f>
        <v/>
      </c>
      <c r="KC13" s="139" t="str">
        <f t="shared" si="66"/>
        <v/>
      </c>
      <c r="KD13" s="178">
        <f>IF(COUNT(JR13,JW13,KB13)=0,"",SUM(JR13,JW13,KB13)/COUNT(JR13,JW13,KB13))</f>
        <v>4</v>
      </c>
      <c r="KE13" s="131" t="str">
        <f t="shared" si="67"/>
        <v>A</v>
      </c>
      <c r="KF13" s="156"/>
      <c r="KG13" s="157" t="s">
        <v>26</v>
      </c>
      <c r="KH13" s="158"/>
      <c r="KI13" s="108">
        <f>IFERROR((((COUNTIF('Elève (6ème1)'!KF13:KH13,"A"))*4)+((COUNTIF('Elève (6ème1)'!KF13:KH13,"B"))*3)+((COUNTIF('Elève (6ème1)'!KF13:KH13,"C"))*2)+((COUNTIF('Elève (6ème1)'!KF13:KH13,"D"))*1))/(COUNTA(KF13:KH13)),"")</f>
        <v>2</v>
      </c>
      <c r="KJ13" s="109" t="str">
        <f t="shared" si="68"/>
        <v>C</v>
      </c>
      <c r="KK13" s="81"/>
      <c r="KL13" s="82"/>
      <c r="KM13" s="83"/>
      <c r="KN13" s="108" t="str">
        <f>IFERROR((((COUNTIF('Elève (6ème1)'!KK13:KM13,"A"))*4)+((COUNTIF('Elève (6ème1)'!KK13:KM13,"B"))*3)+((COUNTIF('Elève (6ème1)'!KK13:KM13,"C"))*2)+((COUNTIF('Elève (6ème1)'!KK13:KM13,"D"))*1))/(COUNTA(KK13:KM13)),"")</f>
        <v/>
      </c>
      <c r="KO13" s="109" t="str">
        <f t="shared" si="69"/>
        <v/>
      </c>
      <c r="KP13" s="81"/>
      <c r="KQ13" s="82"/>
      <c r="KR13" s="83"/>
      <c r="KS13" s="108" t="str">
        <f>IFERROR((((COUNTIF('Elève (6ème1)'!KP13:KR13,"A"))*4)+((COUNTIF('Elève (6ème1)'!KP13:KR13,"B"))*3)+((COUNTIF('Elève (6ème1)'!KP13:KR13,"C"))*2)+((COUNTIF('Elève (6ème1)'!KP13:KR13,"D"))*1))/(COUNTA(KP13:KR13)),"")</f>
        <v/>
      </c>
      <c r="KT13" s="139" t="str">
        <f t="shared" si="70"/>
        <v/>
      </c>
      <c r="KU13" s="178">
        <f>IF(COUNT(KI13,KN13,KS13)=0,"",SUM(KI13,KN13,KS13)/COUNT(KI13,KN13,KS13))</f>
        <v>2</v>
      </c>
      <c r="KV13" s="131" t="str">
        <f t="shared" si="71"/>
        <v>C</v>
      </c>
      <c r="KW13" s="156"/>
      <c r="KX13" s="157" t="s">
        <v>25</v>
      </c>
      <c r="KY13" s="158"/>
      <c r="KZ13" s="108">
        <f>IFERROR((((COUNTIF('Elève (6ème1)'!KW13:KY13,"A"))*4)+((COUNTIF('Elève (6ème1)'!KW13:KY13,"B"))*3)+((COUNTIF('Elève (6ème1)'!KW13:KY13,"C"))*2)+((COUNTIF('Elève (6ème1)'!KW13:KY13,"D"))*1))/(COUNTA(KW13:KY13)),"")</f>
        <v>3</v>
      </c>
      <c r="LA13" s="109" t="str">
        <f t="shared" si="72"/>
        <v>B</v>
      </c>
      <c r="LB13" s="81"/>
      <c r="LC13" s="82"/>
      <c r="LD13" s="83"/>
      <c r="LE13" s="108" t="str">
        <f>IFERROR((((COUNTIF('Elève (6ème1)'!LB13:LD13,"A"))*4)+((COUNTIF('Elève (6ème1)'!LB13:LD13,"B"))*3)+((COUNTIF('Elève (6ème1)'!LB13:LD13,"C"))*2)+((COUNTIF('Elève (6ème1)'!LB13:LD13,"D"))*1))/(COUNTA(LB13:LD13)),"")</f>
        <v/>
      </c>
      <c r="LF13" s="109" t="str">
        <f t="shared" si="73"/>
        <v/>
      </c>
      <c r="LG13" s="81"/>
      <c r="LH13" s="82"/>
      <c r="LI13" s="83"/>
      <c r="LJ13" s="108" t="str">
        <f>IFERROR((((COUNTIF('Elève (6ème1)'!LG13:LI13,"A"))*4)+((COUNTIF('Elève (6ème1)'!LG13:LI13,"B"))*3)+((COUNTIF('Elève (6ème1)'!LG13:LI13,"C"))*2)+((COUNTIF('Elève (6ème1)'!LG13:LI13,"D"))*1))/(COUNTA(LG13:LI13)),"")</f>
        <v/>
      </c>
      <c r="LK13" s="139" t="str">
        <f t="shared" si="74"/>
        <v/>
      </c>
      <c r="LL13" s="178">
        <f>IF(COUNT(KZ13,LE13,LJ13)=0,"",SUM(KZ13,LE13,LJ13)/COUNT(KZ13,LE13,LJ13))</f>
        <v>3</v>
      </c>
      <c r="LM13" s="131" t="str">
        <f t="shared" si="75"/>
        <v>B</v>
      </c>
      <c r="LN13" s="156"/>
      <c r="LO13" s="157" t="s">
        <v>24</v>
      </c>
      <c r="LP13" s="158"/>
      <c r="LQ13" s="108">
        <f>IFERROR((((COUNTIF('Elève (6ème1)'!LN13:LP13,"A"))*4)+((COUNTIF('Elève (6ème1)'!LN13:LP13,"B"))*3)+((COUNTIF('Elève (6ème1)'!LN13:LP13,"C"))*2)+((COUNTIF('Elève (6ème1)'!LN13:LP13,"D"))*1))/(COUNTA(LN13:LP13)),"")</f>
        <v>4</v>
      </c>
      <c r="LR13" s="109" t="str">
        <f t="shared" si="76"/>
        <v>A</v>
      </c>
      <c r="LS13" s="81"/>
      <c r="LT13" s="82"/>
      <c r="LU13" s="83"/>
      <c r="LV13" s="108" t="str">
        <f>IFERROR((((COUNTIF('Elève (6ème1)'!LS13:LU13,"A"))*4)+((COUNTIF('Elève (6ème1)'!LS13:LU13,"B"))*3)+((COUNTIF('Elève (6ème1)'!LS13:LU13,"C"))*2)+((COUNTIF('Elève (6ème1)'!LS13:LU13,"D"))*1))/(COUNTA(LS13:LU13)),"")</f>
        <v/>
      </c>
      <c r="LW13" s="109" t="str">
        <f t="shared" si="77"/>
        <v/>
      </c>
      <c r="LX13" s="81"/>
      <c r="LY13" s="82"/>
      <c r="LZ13" s="83"/>
      <c r="MA13" s="108" t="str">
        <f>IFERROR((((COUNTIF('Elève (6ème1)'!LX13:LZ13,"A"))*4)+((COUNTIF('Elève (6ème1)'!LX13:LZ13,"B"))*3)+((COUNTIF('Elève (6ème1)'!LX13:LZ13,"C"))*2)+((COUNTIF('Elève (6ème1)'!LX13:LZ13,"D"))*1))/(COUNTA(LX13:LZ13)),"")</f>
        <v/>
      </c>
      <c r="MB13" s="139" t="str">
        <f t="shared" si="78"/>
        <v/>
      </c>
      <c r="MC13" s="178">
        <f>IF(COUNT(LQ13,LV13,MA13)=0,"",SUM(LQ13,LV13,MA13)/COUNT(LQ13,LV13,MA13))</f>
        <v>4</v>
      </c>
      <c r="MD13" s="131" t="str">
        <f t="shared" si="79"/>
        <v>A</v>
      </c>
      <c r="ME13" s="156"/>
      <c r="MF13" s="157" t="s">
        <v>25</v>
      </c>
      <c r="MG13" s="158"/>
      <c r="MH13" s="108">
        <f>IFERROR((((COUNTIF('Elève (6ème1)'!ME13:MG13,"A"))*4)+((COUNTIF('Elève (6ème1)'!ME13:MG13,"B"))*3)+((COUNTIF('Elève (6ème1)'!ME13:MG13,"C"))*2)+((COUNTIF('Elève (6ème1)'!ME13:MG13,"D"))*1))/(COUNTA(ME13:MG13)),"")</f>
        <v>3</v>
      </c>
      <c r="MI13" s="109" t="str">
        <f t="shared" si="80"/>
        <v>B</v>
      </c>
      <c r="MJ13" s="81"/>
      <c r="MK13" s="82"/>
      <c r="ML13" s="83"/>
      <c r="MM13" s="108" t="str">
        <f>IFERROR((((COUNTIF('Elève (6ème1)'!MJ13:ML13,"A"))*4)+((COUNTIF('Elève (6ème1)'!MJ13:ML13,"B"))*3)+((COUNTIF('Elève (6ème1)'!MJ13:ML13,"C"))*2)+((COUNTIF('Elève (6ème1)'!MJ13:ML13,"D"))*1))/(COUNTA(MJ13:ML13)),"")</f>
        <v/>
      </c>
      <c r="MN13" s="109" t="str">
        <f t="shared" si="81"/>
        <v/>
      </c>
      <c r="MO13" s="81"/>
      <c r="MP13" s="82"/>
      <c r="MQ13" s="83"/>
      <c r="MR13" s="108" t="str">
        <f>IFERROR((((COUNTIF('Elève (6ème1)'!MO13:MQ13,"A"))*4)+((COUNTIF('Elève (6ème1)'!MO13:MQ13,"B"))*3)+((COUNTIF('Elève (6ème1)'!MO13:MQ13,"C"))*2)+((COUNTIF('Elève (6ème1)'!MO13:MQ13,"D"))*1))/(COUNTA(MO13:MQ13)),"")</f>
        <v/>
      </c>
      <c r="MS13" s="139" t="str">
        <f t="shared" si="82"/>
        <v/>
      </c>
      <c r="MT13" s="178">
        <f>IF(COUNT(MH13,MM13,MR13)=0,"",SUM(MH13,MM13,MR13)/COUNT(MH13,MM13,MR13))</f>
        <v>3</v>
      </c>
      <c r="MU13" s="131" t="str">
        <f t="shared" si="83"/>
        <v>B</v>
      </c>
      <c r="MV13" s="156"/>
      <c r="MW13" s="157" t="s">
        <v>24</v>
      </c>
      <c r="MX13" s="158"/>
      <c r="MY13" s="108">
        <f>IFERROR((((COUNTIF('Elève (6ème1)'!MV13:MX13,"A"))*4)+((COUNTIF('Elève (6ème1)'!MV13:MX13,"B"))*3)+((COUNTIF('Elève (6ème1)'!MV13:MX13,"C"))*2)+((COUNTIF('Elève (6ème1)'!MV13:MX13,"D"))*1))/(COUNTA(MV13:MX13)),"")</f>
        <v>4</v>
      </c>
      <c r="MZ13" s="109" t="str">
        <f t="shared" si="84"/>
        <v>A</v>
      </c>
      <c r="NA13" s="81"/>
      <c r="NB13" s="82"/>
      <c r="NC13" s="83"/>
      <c r="ND13" s="108" t="str">
        <f>IFERROR((((COUNTIF('Elève (6ème1)'!NA13:NC13,"A"))*4)+((COUNTIF('Elève (6ème1)'!NA13:NC13,"B"))*3)+((COUNTIF('Elève (6ème1)'!NA13:NC13,"C"))*2)+((COUNTIF('Elève (6ème1)'!NA13:NC13,"D"))*1))/(COUNTA(NA13:NC13)),"")</f>
        <v/>
      </c>
      <c r="NE13" s="109" t="str">
        <f t="shared" si="85"/>
        <v/>
      </c>
      <c r="NF13" s="81"/>
      <c r="NG13" s="82"/>
      <c r="NH13" s="83"/>
      <c r="NI13" s="108" t="str">
        <f>IFERROR((((COUNTIF('Elève (6ème1)'!NF13:NH13,"A"))*4)+((COUNTIF('Elève (6ème1)'!NF13:NH13,"B"))*3)+((COUNTIF('Elève (6ème1)'!NF13:NH13,"C"))*2)+((COUNTIF('Elève (6ème1)'!NF13:NH13,"D"))*1))/(COUNTA(NF13:NH13)),"")</f>
        <v/>
      </c>
      <c r="NJ13" s="139" t="str">
        <f t="shared" si="86"/>
        <v/>
      </c>
      <c r="NK13" s="178">
        <f>IF(COUNT(MY13,ND13,NI13)=0,"",SUM(MY13,ND13,NI13)/COUNT(MY13,ND13,NI13))</f>
        <v>4</v>
      </c>
      <c r="NL13" s="131" t="str">
        <f t="shared" si="87"/>
        <v>A</v>
      </c>
      <c r="NM13" s="156"/>
      <c r="NN13" s="157" t="s">
        <v>25</v>
      </c>
      <c r="NO13" s="158"/>
      <c r="NP13" s="108">
        <f>IFERROR((((COUNTIF('Elève (6ème1)'!NM13:NO13,"A"))*4)+((COUNTIF('Elève (6ème1)'!NM13:NO13,"B"))*3)+((COUNTIF('Elève (6ème1)'!NM13:NO13,"C"))*2)+((COUNTIF('Elève (6ème1)'!NM13:NO13,"D"))*1))/(COUNTA(NM13:NO13)),"")</f>
        <v>3</v>
      </c>
      <c r="NQ13" s="109" t="str">
        <f t="shared" si="88"/>
        <v>B</v>
      </c>
      <c r="NR13" s="81"/>
      <c r="NS13" s="82"/>
      <c r="NT13" s="83"/>
      <c r="NU13" s="108" t="str">
        <f>IFERROR((((COUNTIF('Elève (6ème1)'!NR13:NT13,"A"))*4)+((COUNTIF('Elève (6ème1)'!NR13:NT13,"B"))*3)+((COUNTIF('Elève (6ème1)'!NR13:NT13,"C"))*2)+((COUNTIF('Elève (6ème1)'!NR13:NT13,"D"))*1))/(COUNTA(NR13:NT13)),"")</f>
        <v/>
      </c>
      <c r="NV13" s="109" t="str">
        <f t="shared" si="89"/>
        <v/>
      </c>
      <c r="NW13" s="81"/>
      <c r="NX13" s="82"/>
      <c r="NY13" s="83"/>
      <c r="NZ13" s="108" t="str">
        <f>IFERROR((((COUNTIF('Elève (6ème1)'!NW13:NY13,"A"))*4)+((COUNTIF('Elève (6ème1)'!NW13:NY13,"B"))*3)+((COUNTIF('Elève (6ème1)'!NW13:NY13,"C"))*2)+((COUNTIF('Elève (6ème1)'!NW13:NY13,"D"))*1))/(COUNTA(NW13:NY13)),"")</f>
        <v/>
      </c>
      <c r="OA13" s="139" t="str">
        <f t="shared" si="90"/>
        <v/>
      </c>
      <c r="OB13" s="178">
        <f>IF(COUNT(NP13,NU13,NZ13)=0,"",SUM(NP13,NU13,NZ13)/COUNT(NP13,NU13,NZ13))</f>
        <v>3</v>
      </c>
      <c r="OC13" s="131" t="str">
        <f t="shared" si="91"/>
        <v>B</v>
      </c>
      <c r="OD13" s="156"/>
      <c r="OE13" s="157" t="s">
        <v>24</v>
      </c>
      <c r="OF13" s="158"/>
      <c r="OG13" s="108">
        <f>IFERROR((((COUNTIF('Elève (6ème1)'!OD13:OF13,"A"))*4)+((COUNTIF('Elève (6ème1)'!OD13:OF13,"B"))*3)+((COUNTIF('Elève (6ème1)'!OD13:OF13,"C"))*2)+((COUNTIF('Elève (6ème1)'!OD13:OF13,"D"))*1))/(COUNTA(OD13:OF13)),"")</f>
        <v>4</v>
      </c>
      <c r="OH13" s="109" t="str">
        <f t="shared" si="92"/>
        <v>A</v>
      </c>
      <c r="OI13" s="81"/>
      <c r="OJ13" s="82"/>
      <c r="OK13" s="83"/>
      <c r="OL13" s="108" t="str">
        <f>IFERROR((((COUNTIF('Elève (6ème1)'!OI13:OK13,"A"))*4)+((COUNTIF('Elève (6ème1)'!OI13:OK13,"B"))*3)+((COUNTIF('Elève (6ème1)'!OI13:OK13,"C"))*2)+((COUNTIF('Elève (6ème1)'!OI13:OK13,"D"))*1))/(COUNTA(OI13:OK13)),"")</f>
        <v/>
      </c>
      <c r="OM13" s="109" t="str">
        <f t="shared" si="93"/>
        <v/>
      </c>
      <c r="ON13" s="81"/>
      <c r="OO13" s="82"/>
      <c r="OP13" s="83"/>
      <c r="OQ13" s="108" t="str">
        <f>IFERROR((((COUNTIF('Elève (6ème1)'!ON13:OP13,"A"))*4)+((COUNTIF('Elève (6ème1)'!ON13:OP13,"B"))*3)+((COUNTIF('Elève (6ème1)'!ON13:OP13,"C"))*2)+((COUNTIF('Elève (6ème1)'!ON13:OP13,"D"))*1))/(COUNTA(ON13:OP13)),"")</f>
        <v/>
      </c>
      <c r="OR13" s="139" t="str">
        <f t="shared" si="94"/>
        <v/>
      </c>
      <c r="OS13" s="178">
        <f>IF(COUNT(OG13,OL13,OQ13)=0,"",SUM(OG13,OL13,OQ13)/COUNT(OG13,OL13,OQ13))</f>
        <v>4</v>
      </c>
      <c r="OT13" s="131" t="str">
        <f t="shared" si="95"/>
        <v>A</v>
      </c>
      <c r="OU13" s="156"/>
      <c r="OV13" s="157" t="s">
        <v>24</v>
      </c>
      <c r="OW13" s="158"/>
      <c r="OX13" s="108">
        <f>IFERROR((((COUNTIF('Elève (6ème1)'!OU13:OW13,"A"))*4)+((COUNTIF('Elève (6ème1)'!OU13:OW13,"B"))*3)+((COUNTIF('Elève (6ème1)'!OU13:OW13,"C"))*2)+((COUNTIF('Elève (6ème1)'!OU13:OW13,"D"))*1))/(COUNTA(OU13:OW13)),"")</f>
        <v>4</v>
      </c>
      <c r="OY13" s="109" t="str">
        <f t="shared" si="96"/>
        <v>A</v>
      </c>
      <c r="OZ13" s="81"/>
      <c r="PA13" s="82"/>
      <c r="PB13" s="83"/>
      <c r="PC13" s="108" t="str">
        <f>IFERROR((((COUNTIF('Elève (6ème1)'!OZ13:PB13,"A"))*4)+((COUNTIF('Elève (6ème1)'!OZ13:PB13,"B"))*3)+((COUNTIF('Elève (6ème1)'!OZ13:PB13,"C"))*2)+((COUNTIF('Elève (6ème1)'!OZ13:PB13,"D"))*1))/(COUNTA(OZ13:PB13)),"")</f>
        <v/>
      </c>
      <c r="PD13" s="109" t="str">
        <f t="shared" si="97"/>
        <v/>
      </c>
      <c r="PE13" s="81"/>
      <c r="PF13" s="82"/>
      <c r="PG13" s="83"/>
      <c r="PH13" s="108" t="str">
        <f>IFERROR((((COUNTIF('Elève (6ème1)'!PE13:PG13,"A"))*4)+((COUNTIF('Elève (6ème1)'!PE13:PG13,"B"))*3)+((COUNTIF('Elève (6ème1)'!PE13:PG13,"C"))*2)+((COUNTIF('Elève (6ème1)'!PE13:PG13,"D"))*1))/(COUNTA(PE13:PG13)),"")</f>
        <v/>
      </c>
      <c r="PI13" s="139" t="str">
        <f t="shared" si="98"/>
        <v/>
      </c>
      <c r="PJ13" s="178">
        <f>IF(COUNT(OX13,PC13,PH13)=0,"",SUM(OX13,PC13,PH13)/COUNT(OX13,PC13,PH13))</f>
        <v>4</v>
      </c>
      <c r="PK13" s="131" t="str">
        <f t="shared" si="99"/>
        <v>A</v>
      </c>
      <c r="PL13" s="156"/>
      <c r="PM13" s="157" t="s">
        <v>24</v>
      </c>
      <c r="PN13" s="158"/>
      <c r="PO13" s="108">
        <f>IFERROR((((COUNTIF('Elève (6ème1)'!PL13:PN13,"A"))*4)+((COUNTIF('Elève (6ème1)'!PL13:PN13,"B"))*3)+((COUNTIF('Elève (6ème1)'!PL13:PN13,"C"))*2)+((COUNTIF('Elève (6ème1)'!PL13:PN13,"D"))*1))/(COUNTA(PL13:PN13)),"")</f>
        <v>4</v>
      </c>
      <c r="PP13" s="109" t="str">
        <f t="shared" si="100"/>
        <v>A</v>
      </c>
      <c r="PQ13" s="81"/>
      <c r="PR13" s="82"/>
      <c r="PS13" s="83"/>
      <c r="PT13" s="108" t="str">
        <f>IFERROR((((COUNTIF('Elève (6ème1)'!PQ13:PS13,"A"))*4)+((COUNTIF('Elève (6ème1)'!PQ13:PS13,"B"))*3)+((COUNTIF('Elève (6ème1)'!PQ13:PS13,"C"))*2)+((COUNTIF('Elève (6ème1)'!PQ13:PS13,"D"))*1))/(COUNTA(PQ13:PS13)),"")</f>
        <v/>
      </c>
      <c r="PU13" s="109" t="str">
        <f t="shared" si="101"/>
        <v/>
      </c>
      <c r="PV13" s="81"/>
      <c r="PW13" s="82"/>
      <c r="PX13" s="83"/>
      <c r="PY13" s="108" t="str">
        <f>IFERROR((((COUNTIF('Elève (6ème1)'!PV13:PX13,"A"))*4)+((COUNTIF('Elève (6ème1)'!PV13:PX13,"B"))*3)+((COUNTIF('Elève (6ème1)'!PV13:PX13,"C"))*2)+((COUNTIF('Elève (6ème1)'!PV13:PX13,"D"))*1))/(COUNTA(PV13:PX13)),"")</f>
        <v/>
      </c>
      <c r="PZ13" s="139" t="str">
        <f t="shared" si="102"/>
        <v/>
      </c>
      <c r="QA13" s="178">
        <f>IF(COUNT(PO13,PT13,PY13)=0,"",SUM(PO13,PT13,PY13)/COUNT(PO13,PT13,PY13))</f>
        <v>4</v>
      </c>
      <c r="QB13" s="131" t="str">
        <f t="shared" si="103"/>
        <v>A</v>
      </c>
      <c r="QC13" s="156"/>
      <c r="QD13" s="157" t="s">
        <v>24</v>
      </c>
      <c r="QE13" s="158"/>
      <c r="QF13" s="108">
        <f>IFERROR((((COUNTIF('Elève (6ème1)'!QC13:QE13,"A"))*4)+((COUNTIF('Elève (6ème1)'!QC13:QE13,"B"))*3)+((COUNTIF('Elève (6ème1)'!QC13:QE13,"C"))*2)+((COUNTIF('Elève (6ème1)'!QC13:QE13,"D"))*1))/(COUNTA(QC13:QE13)),"")</f>
        <v>4</v>
      </c>
      <c r="QG13" s="109" t="str">
        <f t="shared" si="104"/>
        <v>A</v>
      </c>
      <c r="QH13" s="81"/>
      <c r="QI13" s="82"/>
      <c r="QJ13" s="83"/>
      <c r="QK13" s="108" t="str">
        <f>IFERROR((((COUNTIF('Elève (6ème1)'!QH13:QJ13,"A"))*4)+((COUNTIF('Elève (6ème1)'!QH13:QJ13,"B"))*3)+((COUNTIF('Elève (6ème1)'!QH13:QJ13,"C"))*2)+((COUNTIF('Elève (6ème1)'!QH13:QJ13,"D"))*1))/(COUNTA(QH13:QJ13)),"")</f>
        <v/>
      </c>
      <c r="QL13" s="109" t="str">
        <f t="shared" si="105"/>
        <v/>
      </c>
      <c r="QM13" s="81"/>
      <c r="QN13" s="82"/>
      <c r="QO13" s="83"/>
      <c r="QP13" s="108" t="str">
        <f>IFERROR((((COUNTIF('Elève (6ème1)'!QM13:QO13,"A"))*4)+((COUNTIF('Elève (6ème1)'!QM13:QO13,"B"))*3)+((COUNTIF('Elève (6ème1)'!QM13:QO13,"C"))*2)+((COUNTIF('Elève (6ème1)'!QM13:QO13,"D"))*1))/(COUNTA(QM13:QO13)),"")</f>
        <v/>
      </c>
      <c r="QQ13" s="139" t="str">
        <f t="shared" si="106"/>
        <v/>
      </c>
      <c r="QR13" s="178">
        <f>IF(COUNT(QF13,QK13,QP13)=0,"",SUM(QF13,QK13,QP13)/COUNT(QF13,QK13,QP13))</f>
        <v>4</v>
      </c>
      <c r="QS13" s="131" t="str">
        <f t="shared" si="107"/>
        <v>A</v>
      </c>
      <c r="QT13" s="156"/>
      <c r="QU13" s="157"/>
      <c r="QV13" s="158"/>
      <c r="QW13" s="108" t="str">
        <f>IFERROR((((COUNTIF('Elève (6ème1)'!QT13:QV13,"A"))*4)+((COUNTIF('Elève (6ème1)'!QT13:QV13,"B"))*3)+((COUNTIF('Elève (6ème1)'!QT13:QV13,"C"))*2)+((COUNTIF('Elève (6ème1)'!QT13:QV13,"D"))*1))/(COUNTA(QT13:QV13)),"")</f>
        <v/>
      </c>
      <c r="QX13" s="109" t="str">
        <f t="shared" si="108"/>
        <v/>
      </c>
      <c r="QY13" s="81"/>
      <c r="QZ13" s="82"/>
      <c r="RA13" s="83"/>
      <c r="RB13" s="108" t="str">
        <f>IFERROR((((COUNTIF('Elève (6ème1)'!QY13:RA13,"A"))*4)+((COUNTIF('Elève (6ème1)'!QY13:RA13,"B"))*3)+((COUNTIF('Elève (6ème1)'!QY13:RA13,"C"))*2)+((COUNTIF('Elève (6ème1)'!QY13:RA13,"D"))*1))/(COUNTA(QY13:RA13)),"")</f>
        <v/>
      </c>
      <c r="RC13" s="109" t="str">
        <f t="shared" si="109"/>
        <v/>
      </c>
      <c r="RD13" s="81"/>
      <c r="RE13" s="82"/>
      <c r="RF13" s="83"/>
      <c r="RG13" s="108" t="str">
        <f>IFERROR((((COUNTIF('Elève (6ème1)'!RD13:RF13,"A"))*4)+((COUNTIF('Elève (6ème1)'!RD13:RF13,"B"))*3)+((COUNTIF('Elève (6ème1)'!RD13:RF13,"C"))*2)+((COUNTIF('Elève (6ème1)'!RD13:RF13,"D"))*1))/(COUNTA(RD13:RF13)),"")</f>
        <v/>
      </c>
      <c r="RH13" s="139" t="str">
        <f t="shared" si="110"/>
        <v/>
      </c>
      <c r="RI13" s="178" t="str">
        <f>IF(COUNT(QW13,RB13,RG13)=0,"",SUM(QW13,RB13,RG13)/COUNT(QW13,RB13,RG13))</f>
        <v/>
      </c>
      <c r="RJ13" s="131" t="str">
        <f t="shared" si="111"/>
        <v/>
      </c>
      <c r="RK13" s="156"/>
      <c r="RL13" s="157"/>
      <c r="RM13" s="158"/>
      <c r="RN13" s="108" t="str">
        <f>IFERROR((((COUNTIF('Elève (6ème1)'!RK13:RM13,"A"))*4)+((COUNTIF('Elève (6ème1)'!RK13:RM13,"B"))*3)+((COUNTIF('Elève (6ème1)'!RK13:RM13,"C"))*2)+((COUNTIF('Elève (6ème1)'!RK13:RM13,"D"))*1))/(COUNTA(RK13:RM13)),"")</f>
        <v/>
      </c>
      <c r="RO13" s="109" t="str">
        <f t="shared" si="112"/>
        <v/>
      </c>
      <c r="RP13" s="81"/>
      <c r="RQ13" s="82"/>
      <c r="RR13" s="83"/>
      <c r="RS13" s="108" t="str">
        <f>IFERROR((((COUNTIF('Elève (6ème1)'!RP13:RR13,"A"))*4)+((COUNTIF('Elève (6ème1)'!RP13:RR13,"B"))*3)+((COUNTIF('Elève (6ème1)'!RP13:RR13,"C"))*2)+((COUNTIF('Elève (6ème1)'!RP13:RR13,"D"))*1))/(COUNTA(RP13:RR13)),"")</f>
        <v/>
      </c>
      <c r="RT13" s="109" t="str">
        <f t="shared" si="113"/>
        <v/>
      </c>
      <c r="RU13" s="81"/>
      <c r="RV13" s="82"/>
      <c r="RW13" s="83"/>
      <c r="RX13" s="108" t="str">
        <f>IFERROR((((COUNTIF('Elève (6ème1)'!RU13:RW13,"A"))*4)+((COUNTIF('Elève (6ème1)'!RU13:RW13,"B"))*3)+((COUNTIF('Elève (6ème1)'!RU13:RW13,"C"))*2)+((COUNTIF('Elève (6ème1)'!RU13:RW13,"D"))*1))/(COUNTA(RU13:RW13)),"")</f>
        <v/>
      </c>
      <c r="RY13" s="139" t="str">
        <f t="shared" si="114"/>
        <v/>
      </c>
      <c r="RZ13" s="178" t="str">
        <f>IF(COUNT(RN13,RS13,RX13)=0,"",SUM(RN13,RS13,RX13)/COUNT(RN13,RS13,RX13))</f>
        <v/>
      </c>
      <c r="SA13" s="131" t="str">
        <f t="shared" si="115"/>
        <v/>
      </c>
      <c r="SB13" s="156"/>
      <c r="SC13" s="157"/>
      <c r="SD13" s="158"/>
      <c r="SE13" s="108" t="str">
        <f>IFERROR((((COUNTIF('Elève (6ème1)'!SB13:SD13,"A"))*4)+((COUNTIF('Elève (6ème1)'!SB13:SD13,"B"))*3)+((COUNTIF('Elève (6ème1)'!SB13:SD13,"C"))*2)+((COUNTIF('Elève (6ème1)'!SB13:SD13,"D"))*1))/(COUNTA(SB13:SD13)),"")</f>
        <v/>
      </c>
      <c r="SF13" s="109" t="str">
        <f t="shared" si="116"/>
        <v/>
      </c>
      <c r="SG13" s="81"/>
      <c r="SH13" s="82"/>
      <c r="SI13" s="83"/>
      <c r="SJ13" s="108" t="str">
        <f>IFERROR((((COUNTIF('Elève (6ème1)'!SG13:SI13,"A"))*4)+((COUNTIF('Elève (6ème1)'!SG13:SI13,"B"))*3)+((COUNTIF('Elève (6ème1)'!SG13:SI13,"C"))*2)+((COUNTIF('Elève (6ème1)'!SG13:SI13,"D"))*1))/(COUNTA(SG13:SI13)),"")</f>
        <v/>
      </c>
      <c r="SK13" s="109" t="str">
        <f t="shared" si="117"/>
        <v/>
      </c>
      <c r="SL13" s="81"/>
      <c r="SM13" s="82"/>
      <c r="SN13" s="83"/>
      <c r="SO13" s="108" t="str">
        <f>IFERROR((((COUNTIF('Elève (6ème1)'!SL13:SN13,"A"))*4)+((COUNTIF('Elève (6ème1)'!SL13:SN13,"B"))*3)+((COUNTIF('Elève (6ème1)'!SL13:SN13,"C"))*2)+((COUNTIF('Elève (6ème1)'!SL13:SN13,"D"))*1))/(COUNTA(SL13:SN13)),"")</f>
        <v/>
      </c>
      <c r="SP13" s="139" t="str">
        <f t="shared" si="118"/>
        <v/>
      </c>
      <c r="SQ13" s="178" t="str">
        <f>IF(COUNT(SE13,SJ13,SO13)=0,"",SUM(SE13,SJ13,SO13)/COUNT(SE13,SJ13,SO13))</f>
        <v/>
      </c>
      <c r="SR13" s="131" t="str">
        <f t="shared" si="119"/>
        <v/>
      </c>
    </row>
    <row r="14" spans="1:512" s="77" customFormat="1" ht="16.5" customHeight="1" thickBot="1" x14ac:dyDescent="0.3">
      <c r="A14" s="96" t="s">
        <v>17</v>
      </c>
      <c r="B14" s="88">
        <v>2</v>
      </c>
      <c r="C14" s="152"/>
      <c r="D14" s="185"/>
      <c r="E14" s="185"/>
      <c r="F14" s="106">
        <f>IFERROR((((COUNTIF('Elève (6ème1)'!C15:E17,"A"))*4)+((COUNTIF('Elève (6ème1)'!C15:E17,"B"))*3)+((COUNTIF('Elève (6ème1)'!C15:E17,"C"))*2)+((COUNTIF('Elève (6ème1)'!C15:E17,"D"))*1))/(COUNTA(C15:E17)),"")</f>
        <v>4</v>
      </c>
      <c r="G14" s="107" t="str">
        <f t="shared" si="0"/>
        <v>A</v>
      </c>
      <c r="H14" s="145"/>
      <c r="I14" s="186"/>
      <c r="J14" s="146"/>
      <c r="K14" s="106" t="str">
        <f>IFERROR((((COUNTIF('Elève (6ème1)'!H15:J17,"A"))*4)+((COUNTIF('Elève (6ème1)'!H15:J17,"B"))*3)+((COUNTIF('Elève (6ème1)'!H15:J17,"C"))*2)+((COUNTIF('Elève (6ème1)'!H15:J17,"D"))*1))/(COUNTA(H15:J17)),"")</f>
        <v/>
      </c>
      <c r="L14" s="121" t="str">
        <f t="shared" si="1"/>
        <v/>
      </c>
      <c r="M14" s="100"/>
      <c r="N14" s="187"/>
      <c r="O14" s="188"/>
      <c r="P14" s="106" t="str">
        <f>IFERROR((((COUNTIF('Elève (6ème1)'!M15:O17,"A"))*4)+((COUNTIF('Elève (6ème1)'!M15:O17,"B"))*3)+((COUNTIF('Elève (6ème1)'!M15:O17,"C"))*2)+((COUNTIF('Elève (6ème1)'!M15:O17,"D"))*1))/(COUNTA(M15:O17)),"")</f>
        <v/>
      </c>
      <c r="Q14" s="128" t="str">
        <f t="shared" si="2"/>
        <v/>
      </c>
      <c r="R14" s="177">
        <f>IFERROR((((COUNTIF(C15:E17,"A")+COUNTIF(H15:J17,"A")+COUNTIF(M15:O17,"A"))*4)+((COUNTIF(C15:E17,"B")+COUNTIF(H15:J17,"B")+COUNTIF(M15:O17,"B"))*3)+((COUNTIF(C15:E17,"C")+COUNTIF(H15:J17,"C")+COUNTIF(M15:O17,"C"))*2)+((COUNTIF(C15:E17,"D")+COUNTIF(H15:J17,"D")+COUNTIF(M15:O17,"D"))*1))/(COUNTA(C15:E17)+COUNTA(H15:J17)+COUNTA(M15:O17)),"")</f>
        <v>4</v>
      </c>
      <c r="S14" s="130" t="str">
        <f t="shared" si="3"/>
        <v>A</v>
      </c>
      <c r="T14" s="152"/>
      <c r="U14" s="185"/>
      <c r="V14" s="185"/>
      <c r="W14" s="106">
        <f>IFERROR((((COUNTIF('Elève (6ème1)'!T15:V17,"A"))*4)+((COUNTIF('Elève (6ème1)'!T15:V17,"B"))*3)+((COUNTIF('Elève (6ème1)'!T15:V17,"C"))*2)+((COUNTIF('Elève (6ème1)'!T15:V17,"D"))*1))/(COUNTA(T15:V17)),"")</f>
        <v>3</v>
      </c>
      <c r="X14" s="107" t="str">
        <f t="shared" si="4"/>
        <v>B</v>
      </c>
      <c r="Y14" s="145"/>
      <c r="Z14" s="186"/>
      <c r="AA14" s="146"/>
      <c r="AB14" s="106" t="str">
        <f>IFERROR((((COUNTIF('Elève (6ème1)'!Y15:AA17,"A"))*4)+((COUNTIF('Elève (6ème1)'!Y15:AA17,"B"))*3)+((COUNTIF('Elève (6ème1)'!Y15:AA17,"C"))*2)+((COUNTIF('Elève (6ème1)'!Y15:AA17,"D"))*1))/(COUNTA(Y15:AA17)),"")</f>
        <v/>
      </c>
      <c r="AC14" s="121" t="str">
        <f t="shared" si="5"/>
        <v/>
      </c>
      <c r="AD14" s="100"/>
      <c r="AE14" s="187"/>
      <c r="AF14" s="188"/>
      <c r="AG14" s="106" t="str">
        <f>IFERROR((((COUNTIF('Elève (6ème1)'!AD15:AF17,"A"))*4)+((COUNTIF('Elève (6ème1)'!AD15:AF17,"B"))*3)+((COUNTIF('Elève (6ème1)'!AD15:AF17,"C"))*2)+((COUNTIF('Elève (6ème1)'!AD15:AF17,"D"))*1))/(COUNTA(AD15:AF17)),"")</f>
        <v/>
      </c>
      <c r="AH14" s="128" t="str">
        <f t="shared" si="6"/>
        <v/>
      </c>
      <c r="AI14" s="177">
        <f>IFERROR((((COUNTIF(T15:V17,"A")+COUNTIF(Y15:AA17,"A")+COUNTIF(AD15:AF17,"A"))*4)+((COUNTIF(T15:V17,"B")+COUNTIF(Y15:AA17,"B")+COUNTIF(AD15:AF17,"B"))*3)+((COUNTIF(T15:V17,"C")+COUNTIF(Y15:AA17,"C")+COUNTIF(AD15:AF17,"C"))*2)+((COUNTIF(T15:V17,"D")+COUNTIF(Y15:AA17,"D")+COUNTIF(AD15:AF17,"D"))*1))/(COUNTA(T15:V17)+COUNTA(Y15:AA17)+COUNTA(AD15:AF17)),"")</f>
        <v>3</v>
      </c>
      <c r="AJ14" s="130" t="str">
        <f t="shared" si="7"/>
        <v>B</v>
      </c>
      <c r="AK14" s="152"/>
      <c r="AL14" s="185"/>
      <c r="AM14" s="185"/>
      <c r="AN14" s="106">
        <f>IFERROR((((COUNTIF('Elève (6ème1)'!AK15:AM17,"A"))*4)+((COUNTIF('Elève (6ème1)'!AK15:AM17,"B"))*3)+((COUNTIF('Elève (6ème1)'!AK15:AM17,"C"))*2)+((COUNTIF('Elève (6ème1)'!AK15:AM17,"D"))*1))/(COUNTA(AK15:AM17)),"")</f>
        <v>4</v>
      </c>
      <c r="AO14" s="107" t="str">
        <f t="shared" si="8"/>
        <v>A</v>
      </c>
      <c r="AP14" s="145"/>
      <c r="AQ14" s="186"/>
      <c r="AR14" s="146"/>
      <c r="AS14" s="106" t="str">
        <f>IFERROR((((COUNTIF('Elève (6ème1)'!AP15:AR17,"A"))*4)+((COUNTIF('Elève (6ème1)'!AP15:AR17,"B"))*3)+((COUNTIF('Elève (6ème1)'!AP15:AR17,"C"))*2)+((COUNTIF('Elève (6ème1)'!AP15:AR17,"D"))*1))/(COUNTA(AP15:AR17)),"")</f>
        <v/>
      </c>
      <c r="AT14" s="121" t="str">
        <f t="shared" si="9"/>
        <v/>
      </c>
      <c r="AU14" s="100"/>
      <c r="AV14" s="187"/>
      <c r="AW14" s="188"/>
      <c r="AX14" s="106" t="str">
        <f>IFERROR((((COUNTIF('Elève (6ème1)'!AU15:AW17,"A"))*4)+((COUNTIF('Elève (6ème1)'!AU15:AW17,"B"))*3)+((COUNTIF('Elève (6ème1)'!AU15:AW17,"C"))*2)+((COUNTIF('Elève (6ème1)'!AU15:AW17,"D"))*1))/(COUNTA(AU15:AW17)),"")</f>
        <v/>
      </c>
      <c r="AY14" s="128" t="str">
        <f t="shared" si="10"/>
        <v/>
      </c>
      <c r="AZ14" s="177">
        <f>IFERROR((((COUNTIF(AK15:AM17,"A")+COUNTIF(AP15:AR17,"A")+COUNTIF(AU15:AW17,"A"))*4)+((COUNTIF(AK15:AM17,"B")+COUNTIF(AP15:AR17,"B")+COUNTIF(AU15:AW17,"B"))*3)+((COUNTIF(AK15:AM17,"C")+COUNTIF(AP15:AR17,"C")+COUNTIF(AU15:AW17,"C"))*2)+((COUNTIF(AK15:AM17,"D")+COUNTIF(AP15:AR17,"D")+COUNTIF(AU15:AW17,"D"))*1))/(COUNTA(AK15:AM17)+COUNTA(AP15:AR17)+COUNTA(AU15:AW17)),"")</f>
        <v>4</v>
      </c>
      <c r="BA14" s="130" t="str">
        <f t="shared" si="11"/>
        <v>A</v>
      </c>
      <c r="BB14" s="152"/>
      <c r="BC14" s="185"/>
      <c r="BD14" s="185"/>
      <c r="BE14" s="106">
        <f>IFERROR((((COUNTIF('Elève (6ème1)'!BB15:BD17,"A"))*4)+((COUNTIF('Elève (6ème1)'!BB15:BD17,"B"))*3)+((COUNTIF('Elève (6ème1)'!BB15:BD17,"C"))*2)+((COUNTIF('Elève (6ème1)'!BB15:BD17,"D"))*1))/(COUNTA(BB15:BD17)),"")</f>
        <v>2</v>
      </c>
      <c r="BF14" s="107" t="str">
        <f t="shared" si="12"/>
        <v>C</v>
      </c>
      <c r="BG14" s="145"/>
      <c r="BH14" s="186"/>
      <c r="BI14" s="146"/>
      <c r="BJ14" s="106" t="str">
        <f>IFERROR((((COUNTIF('Elève (6ème1)'!BG15:BI17,"A"))*4)+((COUNTIF('Elève (6ème1)'!BG15:BI17,"B"))*3)+((COUNTIF('Elève (6ème1)'!BG15:BI17,"C"))*2)+((COUNTIF('Elève (6ème1)'!BG15:BI17,"D"))*1))/(COUNTA(BG15:BI17)),"")</f>
        <v/>
      </c>
      <c r="BK14" s="121" t="str">
        <f t="shared" si="13"/>
        <v/>
      </c>
      <c r="BL14" s="100"/>
      <c r="BM14" s="187"/>
      <c r="BN14" s="188"/>
      <c r="BO14" s="106" t="str">
        <f>IFERROR((((COUNTIF('Elève (6ème1)'!BL15:BN17,"A"))*4)+((COUNTIF('Elève (6ème1)'!BL15:BN17,"B"))*3)+((COUNTIF('Elève (6ème1)'!BL15:BN17,"C"))*2)+((COUNTIF('Elève (6ème1)'!BL15:BN17,"D"))*1))/(COUNTA(BL15:BN17)),"")</f>
        <v/>
      </c>
      <c r="BP14" s="128" t="str">
        <f t="shared" si="14"/>
        <v/>
      </c>
      <c r="BQ14" s="177">
        <f>IFERROR((((COUNTIF(BB15:BD17,"A")+COUNTIF(BG15:BI17,"A")+COUNTIF(BL15:BN17,"A"))*4)+((COUNTIF(BB15:BD17,"B")+COUNTIF(BG15:BI17,"B")+COUNTIF(BL15:BN17,"B"))*3)+((COUNTIF(BB15:BD17,"C")+COUNTIF(BG15:BI17,"C")+COUNTIF(BL15:BN17,"C"))*2)+((COUNTIF(BB15:BD17,"D")+COUNTIF(BG15:BI17,"D")+COUNTIF(BL15:BN17,"D"))*1))/(COUNTA(BB15:BD17)+COUNTA(BG15:BI17)+COUNTA(BL15:BN17)),"")</f>
        <v>2</v>
      </c>
      <c r="BR14" s="130" t="str">
        <f t="shared" si="15"/>
        <v>C</v>
      </c>
      <c r="BS14" s="152"/>
      <c r="BT14" s="185"/>
      <c r="BU14" s="185"/>
      <c r="BV14" s="106">
        <f>IFERROR((((COUNTIF('Elève (6ème1)'!BS15:BU17,"A"))*4)+((COUNTIF('Elève (6ème1)'!BS15:BU17,"B"))*3)+((COUNTIF('Elève (6ème1)'!BS15:BU17,"C"))*2)+((COUNTIF('Elève (6ème1)'!BS15:BU17,"D"))*1))/(COUNTA(BS15:BU17)),"")</f>
        <v>4</v>
      </c>
      <c r="BW14" s="107" t="str">
        <f t="shared" si="16"/>
        <v>A</v>
      </c>
      <c r="BX14" s="145"/>
      <c r="BY14" s="186"/>
      <c r="BZ14" s="146"/>
      <c r="CA14" s="106" t="str">
        <f>IFERROR((((COUNTIF('Elève (6ème1)'!BX15:BZ17,"A"))*4)+((COUNTIF('Elève (6ème1)'!BX15:BZ17,"B"))*3)+((COUNTIF('Elève (6ème1)'!BX15:BZ17,"C"))*2)+((COUNTIF('Elève (6ème1)'!BX15:BZ17,"D"))*1))/(COUNTA(BX15:BZ17)),"")</f>
        <v/>
      </c>
      <c r="CB14" s="121" t="str">
        <f t="shared" si="17"/>
        <v/>
      </c>
      <c r="CC14" s="100"/>
      <c r="CD14" s="187"/>
      <c r="CE14" s="188"/>
      <c r="CF14" s="106" t="str">
        <f>IFERROR((((COUNTIF('Elève (6ème1)'!CC15:CE17,"A"))*4)+((COUNTIF('Elève (6ème1)'!CC15:CE17,"B"))*3)+((COUNTIF('Elève (6ème1)'!CC15:CE17,"C"))*2)+((COUNTIF('Elève (6ème1)'!CC15:CE17,"D"))*1))/(COUNTA(CC15:CE17)),"")</f>
        <v/>
      </c>
      <c r="CG14" s="128" t="str">
        <f t="shared" si="18"/>
        <v/>
      </c>
      <c r="CH14" s="177">
        <f>IFERROR((((COUNTIF(BS15:BU17,"A")+COUNTIF(BX15:BZ17,"A")+COUNTIF(CC15:CE17,"A"))*4)+((COUNTIF(BS15:BU17,"B")+COUNTIF(BX15:BZ17,"B")+COUNTIF(CC15:CE17,"B"))*3)+((COUNTIF(BS15:BU17,"C")+COUNTIF(BX15:BZ17,"C")+COUNTIF(CC15:CE17,"C"))*2)+((COUNTIF(BS15:BU17,"D")+COUNTIF(BX15:BZ17,"D")+COUNTIF(CC15:CE17,"D"))*1))/(COUNTA(BS15:BU17)+COUNTA(BX15:BZ17)+COUNTA(CC15:CE17)),"")</f>
        <v>4</v>
      </c>
      <c r="CI14" s="130" t="str">
        <f t="shared" si="19"/>
        <v>A</v>
      </c>
      <c r="CJ14" s="152"/>
      <c r="CK14" s="185"/>
      <c r="CL14" s="185"/>
      <c r="CM14" s="106">
        <f>IFERROR((((COUNTIF('Elève (6ème1)'!CJ15:CL17,"A"))*4)+((COUNTIF('Elève (6ème1)'!CJ15:CL17,"B"))*3)+((COUNTIF('Elève (6ème1)'!CJ15:CL17,"C"))*2)+((COUNTIF('Elève (6ème1)'!CJ15:CL17,"D"))*1))/(COUNTA(CJ15:CL17)),"")</f>
        <v>2</v>
      </c>
      <c r="CN14" s="107" t="str">
        <f t="shared" si="20"/>
        <v>C</v>
      </c>
      <c r="CO14" s="145"/>
      <c r="CP14" s="186"/>
      <c r="CQ14" s="146"/>
      <c r="CR14" s="106" t="str">
        <f>IFERROR((((COUNTIF('Elève (6ème1)'!CO15:CQ17,"A"))*4)+((COUNTIF('Elève (6ème1)'!CO15:CQ17,"B"))*3)+((COUNTIF('Elève (6ème1)'!CO15:CQ17,"C"))*2)+((COUNTIF('Elève (6ème1)'!CO15:CQ17,"D"))*1))/(COUNTA(CO15:CQ17)),"")</f>
        <v/>
      </c>
      <c r="CS14" s="121" t="str">
        <f t="shared" si="21"/>
        <v/>
      </c>
      <c r="CT14" s="100"/>
      <c r="CU14" s="187"/>
      <c r="CV14" s="188"/>
      <c r="CW14" s="106" t="str">
        <f>IFERROR((((COUNTIF('Elève (6ème1)'!CT15:CV17,"A"))*4)+((COUNTIF('Elève (6ème1)'!CT15:CV17,"B"))*3)+((COUNTIF('Elève (6ème1)'!CT15:CV17,"C"))*2)+((COUNTIF('Elève (6ème1)'!CT15:CV17,"D"))*1))/(COUNTA(CT15:CV17)),"")</f>
        <v/>
      </c>
      <c r="CX14" s="128" t="str">
        <f t="shared" si="22"/>
        <v/>
      </c>
      <c r="CY14" s="177">
        <f>IFERROR((((COUNTIF(CJ15:CL17,"A")+COUNTIF(CO15:CQ17,"A")+COUNTIF(CT15:CV17,"A"))*4)+((COUNTIF(CJ15:CL17,"B")+COUNTIF(CO15:CQ17,"B")+COUNTIF(CT15:CV17,"B"))*3)+((COUNTIF(CJ15:CL17,"C")+COUNTIF(CO15:CQ17,"C")+COUNTIF(CT15:CV17,"C"))*2)+((COUNTIF(CJ15:CL17,"D")+COUNTIF(CO15:CQ17,"D")+COUNTIF(CT15:CV17,"D"))*1))/(COUNTA(CJ15:CL17)+COUNTA(CO15:CQ17)+COUNTA(CT15:CV17)),"")</f>
        <v>2</v>
      </c>
      <c r="CZ14" s="130" t="str">
        <f t="shared" si="23"/>
        <v>C</v>
      </c>
      <c r="DA14" s="152"/>
      <c r="DB14" s="185"/>
      <c r="DC14" s="185"/>
      <c r="DD14" s="106">
        <f>IFERROR((((COUNTIF('Elève (6ème1)'!DA15:DC17,"A"))*4)+((COUNTIF('Elève (6ème1)'!DA15:DC17,"B"))*3)+((COUNTIF('Elève (6ème1)'!DA15:DC17,"C"))*2)+((COUNTIF('Elève (6ème1)'!DA15:DC17,"D"))*1))/(COUNTA(DA15:DC17)),"")</f>
        <v>2</v>
      </c>
      <c r="DE14" s="107" t="str">
        <f t="shared" si="24"/>
        <v>C</v>
      </c>
      <c r="DF14" s="145"/>
      <c r="DG14" s="186"/>
      <c r="DH14" s="146"/>
      <c r="DI14" s="106" t="str">
        <f>IFERROR((((COUNTIF('Elève (6ème1)'!DF15:DH17,"A"))*4)+((COUNTIF('Elève (6ème1)'!DF15:DH17,"B"))*3)+((COUNTIF('Elève (6ème1)'!DF15:DH17,"C"))*2)+((COUNTIF('Elève (6ème1)'!DF15:DH17,"D"))*1))/(COUNTA(DF15:DH17)),"")</f>
        <v/>
      </c>
      <c r="DJ14" s="121" t="str">
        <f t="shared" si="25"/>
        <v/>
      </c>
      <c r="DK14" s="100"/>
      <c r="DL14" s="187"/>
      <c r="DM14" s="188"/>
      <c r="DN14" s="106" t="str">
        <f>IFERROR((((COUNTIF('Elève (6ème1)'!DK15:DM17,"A"))*4)+((COUNTIF('Elève (6ème1)'!DK15:DM17,"B"))*3)+((COUNTIF('Elève (6ème1)'!DK15:DM17,"C"))*2)+((COUNTIF('Elève (6ème1)'!DK15:DM17,"D"))*1))/(COUNTA(DK15:DM17)),"")</f>
        <v/>
      </c>
      <c r="DO14" s="128" t="str">
        <f t="shared" si="26"/>
        <v/>
      </c>
      <c r="DP14" s="177">
        <f>IFERROR((((COUNTIF(DA15:DC17,"A")+COUNTIF(DF15:DH17,"A")+COUNTIF(DK15:DM17,"A"))*4)+((COUNTIF(DA15:DC17,"B")+COUNTIF(DF15:DH17,"B")+COUNTIF(DK15:DM17,"B"))*3)+((COUNTIF(DA15:DC17,"C")+COUNTIF(DF15:DH17,"C")+COUNTIF(DK15:DM17,"C"))*2)+((COUNTIF(DA15:DC17,"D")+COUNTIF(DF15:DH17,"D")+COUNTIF(DK15:DM17,"D"))*1))/(COUNTA(DA15:DC17)+COUNTA(DF15:DH17)+COUNTA(DK15:DM17)),"")</f>
        <v>2</v>
      </c>
      <c r="DQ14" s="130" t="str">
        <f t="shared" si="27"/>
        <v>C</v>
      </c>
      <c r="DR14" s="152"/>
      <c r="DS14" s="185"/>
      <c r="DT14" s="185"/>
      <c r="DU14" s="106">
        <f>IFERROR((((COUNTIF('Elève (6ème1)'!DR15:DT17,"A"))*4)+((COUNTIF('Elève (6ème1)'!DR15:DT17,"B"))*3)+((COUNTIF('Elève (6ème1)'!DR15:DT17,"C"))*2)+((COUNTIF('Elève (6ème1)'!DR15:DT17,"D"))*1))/(COUNTA(DR15:DT17)),"")</f>
        <v>2</v>
      </c>
      <c r="DV14" s="107" t="str">
        <f t="shared" si="28"/>
        <v>C</v>
      </c>
      <c r="DW14" s="145"/>
      <c r="DX14" s="186"/>
      <c r="DY14" s="146"/>
      <c r="DZ14" s="106" t="str">
        <f>IFERROR((((COUNTIF('Elève (6ème1)'!DW15:DY17,"A"))*4)+((COUNTIF('Elève (6ème1)'!DW15:DY17,"B"))*3)+((COUNTIF('Elève (6ème1)'!DW15:DY17,"C"))*2)+((COUNTIF('Elève (6ème1)'!DW15:DY17,"D"))*1))/(COUNTA(DW15:DY17)),"")</f>
        <v/>
      </c>
      <c r="EA14" s="121" t="str">
        <f t="shared" si="29"/>
        <v/>
      </c>
      <c r="EB14" s="100"/>
      <c r="EC14" s="187"/>
      <c r="ED14" s="188"/>
      <c r="EE14" s="106" t="str">
        <f>IFERROR((((COUNTIF('Elève (6ème1)'!EB15:ED17,"A"))*4)+((COUNTIF('Elève (6ème1)'!EB15:ED17,"B"))*3)+((COUNTIF('Elève (6ème1)'!EB15:ED17,"C"))*2)+((COUNTIF('Elève (6ème1)'!EB15:ED17,"D"))*1))/(COUNTA(EB15:ED17)),"")</f>
        <v/>
      </c>
      <c r="EF14" s="128" t="str">
        <f t="shared" si="30"/>
        <v/>
      </c>
      <c r="EG14" s="177">
        <f>IFERROR((((COUNTIF(DR15:DT17,"A")+COUNTIF(DW15:DY17,"A")+COUNTIF(EB15:ED17,"A"))*4)+((COUNTIF(DR15:DT17,"B")+COUNTIF(DW15:DY17,"B")+COUNTIF(EB15:ED17,"B"))*3)+((COUNTIF(DR15:DT17,"C")+COUNTIF(DW15:DY17,"C")+COUNTIF(EB15:ED17,"C"))*2)+((COUNTIF(DR15:DT17,"D")+COUNTIF(DW15:DY17,"D")+COUNTIF(EB15:ED17,"D"))*1))/(COUNTA(DR15:DT17)+COUNTA(DW15:DY17)+COUNTA(EB15:ED17)),"")</f>
        <v>2</v>
      </c>
      <c r="EH14" s="130" t="str">
        <f t="shared" si="31"/>
        <v>C</v>
      </c>
      <c r="EI14" s="152"/>
      <c r="EJ14" s="185"/>
      <c r="EK14" s="185"/>
      <c r="EL14" s="106">
        <f>IFERROR((((COUNTIF('Elève (6ème1)'!EI15:EK17,"A"))*4)+((COUNTIF('Elève (6ème1)'!EI15:EK17,"B"))*3)+((COUNTIF('Elève (6ème1)'!EI15:EK17,"C"))*2)+((COUNTIF('Elève (6ème1)'!EI15:EK17,"D"))*1))/(COUNTA(EI15:EK17)),"")</f>
        <v>4</v>
      </c>
      <c r="EM14" s="107" t="str">
        <f t="shared" si="32"/>
        <v>A</v>
      </c>
      <c r="EN14" s="145"/>
      <c r="EO14" s="186"/>
      <c r="EP14" s="146"/>
      <c r="EQ14" s="106" t="str">
        <f>IFERROR((((COUNTIF('Elève (6ème1)'!EN15:EP17,"A"))*4)+((COUNTIF('Elève (6ème1)'!EN15:EP17,"B"))*3)+((COUNTIF('Elève (6ème1)'!EN15:EP17,"C"))*2)+((COUNTIF('Elève (6ème1)'!EN15:EP17,"D"))*1))/(COUNTA(EN15:EP17)),"")</f>
        <v/>
      </c>
      <c r="ER14" s="121" t="str">
        <f t="shared" si="33"/>
        <v/>
      </c>
      <c r="ES14" s="100"/>
      <c r="ET14" s="187"/>
      <c r="EU14" s="188"/>
      <c r="EV14" s="106" t="str">
        <f>IFERROR((((COUNTIF('Elève (6ème1)'!ES15:EU17,"A"))*4)+((COUNTIF('Elève (6ème1)'!ES15:EU17,"B"))*3)+((COUNTIF('Elève (6ème1)'!ES15:EU17,"C"))*2)+((COUNTIF('Elève (6ème1)'!ES15:EU17,"D"))*1))/(COUNTA(ES15:EU17)),"")</f>
        <v/>
      </c>
      <c r="EW14" s="128" t="str">
        <f t="shared" si="34"/>
        <v/>
      </c>
      <c r="EX14" s="177">
        <f>IFERROR((((COUNTIF(EI15:EK17,"A")+COUNTIF(EN15:EP17,"A")+COUNTIF(ES15:EU17,"A"))*4)+((COUNTIF(EI15:EK17,"B")+COUNTIF(EN15:EP17,"B")+COUNTIF(ES15:EU17,"B"))*3)+((COUNTIF(EI15:EK17,"C")+COUNTIF(EN15:EP17,"C")+COUNTIF(ES15:EU17,"C"))*2)+((COUNTIF(EI15:EK17,"D")+COUNTIF(EN15:EP17,"D")+COUNTIF(ES15:EU17,"D"))*1))/(COUNTA(EI15:EK17)+COUNTA(EN15:EP17)+COUNTA(ES15:EU17)),"")</f>
        <v>4</v>
      </c>
      <c r="EY14" s="130" t="str">
        <f t="shared" si="35"/>
        <v>A</v>
      </c>
      <c r="EZ14" s="152"/>
      <c r="FA14" s="185"/>
      <c r="FB14" s="185"/>
      <c r="FC14" s="106">
        <f>IFERROR((((COUNTIF('Elève (6ème1)'!EZ15:FB17,"A"))*4)+((COUNTIF('Elève (6ème1)'!EZ15:FB17,"B"))*3)+((COUNTIF('Elève (6ème1)'!EZ15:FB17,"C"))*2)+((COUNTIF('Elève (6ème1)'!EZ15:FB17,"D"))*1))/(COUNTA(EZ15:FB17)),"")</f>
        <v>2</v>
      </c>
      <c r="FD14" s="107" t="str">
        <f t="shared" si="36"/>
        <v>C</v>
      </c>
      <c r="FE14" s="145"/>
      <c r="FF14" s="186"/>
      <c r="FG14" s="146"/>
      <c r="FH14" s="106" t="str">
        <f>IFERROR((((COUNTIF('Elève (6ème1)'!FE15:FG17,"A"))*4)+((COUNTIF('Elève (6ème1)'!FE15:FG17,"B"))*3)+((COUNTIF('Elève (6ème1)'!FE15:FG17,"C"))*2)+((COUNTIF('Elève (6ème1)'!FE15:FG17,"D"))*1))/(COUNTA(FE15:FG17)),"")</f>
        <v/>
      </c>
      <c r="FI14" s="121" t="str">
        <f t="shared" si="37"/>
        <v/>
      </c>
      <c r="FJ14" s="100"/>
      <c r="FK14" s="187"/>
      <c r="FL14" s="188"/>
      <c r="FM14" s="106" t="str">
        <f>IFERROR((((COUNTIF('Elève (6ème1)'!FJ15:FL17,"A"))*4)+((COUNTIF('Elève (6ème1)'!FJ15:FL17,"B"))*3)+((COUNTIF('Elève (6ème1)'!FJ15:FL17,"C"))*2)+((COUNTIF('Elève (6ème1)'!FJ15:FL17,"D"))*1))/(COUNTA(FJ15:FL17)),"")</f>
        <v/>
      </c>
      <c r="FN14" s="128" t="str">
        <f t="shared" si="38"/>
        <v/>
      </c>
      <c r="FO14" s="177">
        <f>IFERROR((((COUNTIF(EZ15:FB17,"A")+COUNTIF(FE15:FG17,"A")+COUNTIF(FJ15:FL17,"A"))*4)+((COUNTIF(EZ15:FB17,"B")+COUNTIF(FE15:FG17,"B")+COUNTIF(FJ15:FL17,"B"))*3)+((COUNTIF(EZ15:FB17,"C")+COUNTIF(FE15:FG17,"C")+COUNTIF(FJ15:FL17,"C"))*2)+((COUNTIF(EZ15:FB17,"D")+COUNTIF(FE15:FG17,"D")+COUNTIF(FJ15:FL17,"D"))*1))/(COUNTA(EZ15:FB17)+COUNTA(FE15:FG17)+COUNTA(FJ15:FL17)),"")</f>
        <v>2</v>
      </c>
      <c r="FP14" s="130" t="str">
        <f t="shared" si="39"/>
        <v>C</v>
      </c>
      <c r="FQ14" s="152"/>
      <c r="FR14" s="185"/>
      <c r="FS14" s="185"/>
      <c r="FT14" s="106">
        <f>IFERROR((((COUNTIF('Elève (6ème1)'!FQ15:FS17,"A"))*4)+((COUNTIF('Elève (6ème1)'!FQ15:FS17,"B"))*3)+((COUNTIF('Elève (6ème1)'!FQ15:FS17,"C"))*2)+((COUNTIF('Elève (6ème1)'!FQ15:FS17,"D"))*1))/(COUNTA(FQ15:FS17)),"")</f>
        <v>3</v>
      </c>
      <c r="FU14" s="107" t="str">
        <f t="shared" si="40"/>
        <v>B</v>
      </c>
      <c r="FV14" s="145"/>
      <c r="FW14" s="186"/>
      <c r="FX14" s="146"/>
      <c r="FY14" s="106" t="str">
        <f>IFERROR((((COUNTIF('Elève (6ème1)'!FV15:FX17,"A"))*4)+((COUNTIF('Elève (6ème1)'!FV15:FX17,"B"))*3)+((COUNTIF('Elève (6ème1)'!FV15:FX17,"C"))*2)+((COUNTIF('Elève (6ème1)'!FV15:FX17,"D"))*1))/(COUNTA(FV15:FX17)),"")</f>
        <v/>
      </c>
      <c r="FZ14" s="121" t="str">
        <f t="shared" si="41"/>
        <v/>
      </c>
      <c r="GA14" s="100"/>
      <c r="GB14" s="187"/>
      <c r="GC14" s="188"/>
      <c r="GD14" s="106" t="str">
        <f>IFERROR((((COUNTIF('Elève (6ème1)'!GA15:GC17,"A"))*4)+((COUNTIF('Elève (6ème1)'!GA15:GC17,"B"))*3)+((COUNTIF('Elève (6ème1)'!GA15:GC17,"C"))*2)+((COUNTIF('Elève (6ème1)'!GA15:GC17,"D"))*1))/(COUNTA(GA15:GC17)),"")</f>
        <v/>
      </c>
      <c r="GE14" s="128" t="str">
        <f t="shared" si="42"/>
        <v/>
      </c>
      <c r="GF14" s="177">
        <f>IFERROR((((COUNTIF(FQ15:FS17,"A")+COUNTIF(FV15:FX17,"A")+COUNTIF(GA15:GC17,"A"))*4)+((COUNTIF(FQ15:FS17,"B")+COUNTIF(FV15:FX17,"B")+COUNTIF(GA15:GC17,"B"))*3)+((COUNTIF(FQ15:FS17,"C")+COUNTIF(FV15:FX17,"C")+COUNTIF(GA15:GC17,"C"))*2)+((COUNTIF(FQ15:FS17,"D")+COUNTIF(FV15:FX17,"D")+COUNTIF(GA15:GC17,"D"))*1))/(COUNTA(FQ15:FS17)+COUNTA(FV15:FX17)+COUNTA(GA15:GC17)),"")</f>
        <v>3</v>
      </c>
      <c r="GG14" s="130" t="str">
        <f t="shared" si="43"/>
        <v>B</v>
      </c>
      <c r="GH14" s="152"/>
      <c r="GI14" s="185"/>
      <c r="GJ14" s="185"/>
      <c r="GK14" s="106">
        <f>IFERROR((((COUNTIF('Elève (6ème1)'!GH15:GJ17,"A"))*4)+((COUNTIF('Elève (6ème1)'!GH15:GJ17,"B"))*3)+((COUNTIF('Elève (6ème1)'!GH15:GJ17,"C"))*2)+((COUNTIF('Elève (6ème1)'!GH15:GJ17,"D"))*1))/(COUNTA(GH15:GJ17)),"")</f>
        <v>2</v>
      </c>
      <c r="GL14" s="107" t="str">
        <f t="shared" si="44"/>
        <v>C</v>
      </c>
      <c r="GM14" s="145"/>
      <c r="GN14" s="186"/>
      <c r="GO14" s="146"/>
      <c r="GP14" s="106" t="str">
        <f>IFERROR((((COUNTIF('Elève (6ème1)'!GM15:GO17,"A"))*4)+((COUNTIF('Elève (6ème1)'!GM15:GO17,"B"))*3)+((COUNTIF('Elève (6ème1)'!GM15:GO17,"C"))*2)+((COUNTIF('Elève (6ème1)'!GM15:GO17,"D"))*1))/(COUNTA(GM15:GO17)),"")</f>
        <v/>
      </c>
      <c r="GQ14" s="121" t="str">
        <f t="shared" si="45"/>
        <v/>
      </c>
      <c r="GR14" s="100"/>
      <c r="GS14" s="187"/>
      <c r="GT14" s="188"/>
      <c r="GU14" s="106" t="str">
        <f>IFERROR((((COUNTIF('Elève (6ème1)'!GR15:GT17,"A"))*4)+((COUNTIF('Elève (6ème1)'!GR15:GT17,"B"))*3)+((COUNTIF('Elève (6ème1)'!GR15:GT17,"C"))*2)+((COUNTIF('Elève (6ème1)'!GR15:GT17,"D"))*1))/(COUNTA(GR15:GT17)),"")</f>
        <v/>
      </c>
      <c r="GV14" s="128" t="str">
        <f t="shared" si="46"/>
        <v/>
      </c>
      <c r="GW14" s="177">
        <f>IFERROR((((COUNTIF(GH15:GJ17,"A")+COUNTIF(GM15:GO17,"A")+COUNTIF(GR15:GT17,"A"))*4)+((COUNTIF(GH15:GJ17,"B")+COUNTIF(GM15:GO17,"B")+COUNTIF(GR15:GT17,"B"))*3)+((COUNTIF(GH15:GJ17,"C")+COUNTIF(GM15:GO17,"C")+COUNTIF(GR15:GT17,"C"))*2)+((COUNTIF(GH15:GJ17,"D")+COUNTIF(GM15:GO17,"D")+COUNTIF(GR15:GT17,"D"))*1))/(COUNTA(GH15:GJ17)+COUNTA(GM15:GO17)+COUNTA(GR15:GT17)),"")</f>
        <v>2</v>
      </c>
      <c r="GX14" s="130" t="str">
        <f t="shared" si="47"/>
        <v>C</v>
      </c>
      <c r="GY14" s="152"/>
      <c r="GZ14" s="185"/>
      <c r="HA14" s="185"/>
      <c r="HB14" s="106">
        <f>IFERROR((((COUNTIF('Elève (6ème1)'!GY15:HA17,"A"))*4)+((COUNTIF('Elève (6ème1)'!GY15:HA17,"B"))*3)+((COUNTIF('Elève (6ème1)'!GY15:HA17,"C"))*2)+((COUNTIF('Elève (6ème1)'!GY15:HA17,"D"))*1))/(COUNTA(GY15:HA17)),"")</f>
        <v>1</v>
      </c>
      <c r="HC14" s="107" t="str">
        <f t="shared" si="48"/>
        <v>D</v>
      </c>
      <c r="HD14" s="145"/>
      <c r="HE14" s="186"/>
      <c r="HF14" s="146"/>
      <c r="HG14" s="106" t="str">
        <f>IFERROR((((COUNTIF('Elève (6ème1)'!HD15:HF17,"A"))*4)+((COUNTIF('Elève (6ème1)'!HD15:HF17,"B"))*3)+((COUNTIF('Elève (6ème1)'!HD15:HF17,"C"))*2)+((COUNTIF('Elève (6ème1)'!HD15:HF17,"D"))*1))/(COUNTA(HD15:HF17)),"")</f>
        <v/>
      </c>
      <c r="HH14" s="121" t="str">
        <f t="shared" si="49"/>
        <v/>
      </c>
      <c r="HI14" s="100"/>
      <c r="HJ14" s="187"/>
      <c r="HK14" s="188"/>
      <c r="HL14" s="106" t="str">
        <f>IFERROR((((COUNTIF('Elève (6ème1)'!HI15:HK17,"A"))*4)+((COUNTIF('Elève (6ème1)'!HI15:HK17,"B"))*3)+((COUNTIF('Elève (6ème1)'!HI15:HK17,"C"))*2)+((COUNTIF('Elève (6ème1)'!HI15:HK17,"D"))*1))/(COUNTA(HI15:HK17)),"")</f>
        <v/>
      </c>
      <c r="HM14" s="128" t="str">
        <f t="shared" si="50"/>
        <v/>
      </c>
      <c r="HN14" s="177">
        <f>IFERROR((((COUNTIF(GY15:HA17,"A")+COUNTIF(HD15:HF17,"A")+COUNTIF(HI15:HK17,"A"))*4)+((COUNTIF(GY15:HA17,"B")+COUNTIF(HD15:HF17,"B")+COUNTIF(HI15:HK17,"B"))*3)+((COUNTIF(GY15:HA17,"C")+COUNTIF(HD15:HF17,"C")+COUNTIF(HI15:HK17,"C"))*2)+((COUNTIF(GY15:HA17,"D")+COUNTIF(HD15:HF17,"D")+COUNTIF(HI15:HK17,"D"))*1))/(COUNTA(GY15:HA17)+COUNTA(HD15:HF17)+COUNTA(HI15:HK17)),"")</f>
        <v>1</v>
      </c>
      <c r="HO14" s="130" t="str">
        <f t="shared" si="51"/>
        <v>D</v>
      </c>
      <c r="HP14" s="152"/>
      <c r="HQ14" s="185"/>
      <c r="HR14" s="185"/>
      <c r="HS14" s="106">
        <f>IFERROR((((COUNTIF('Elève (6ème1)'!HP15:HR17,"A"))*4)+((COUNTIF('Elève (6ème1)'!HP15:HR17,"B"))*3)+((COUNTIF('Elève (6ème1)'!HP15:HR17,"C"))*2)+((COUNTIF('Elève (6ème1)'!HP15:HR17,"D"))*1))/(COUNTA(HP15:HR17)),"")</f>
        <v>1</v>
      </c>
      <c r="HT14" s="107" t="str">
        <f t="shared" si="52"/>
        <v>D</v>
      </c>
      <c r="HU14" s="145"/>
      <c r="HV14" s="186"/>
      <c r="HW14" s="146"/>
      <c r="HX14" s="106" t="str">
        <f>IFERROR((((COUNTIF('Elève (6ème1)'!HU15:HW17,"A"))*4)+((COUNTIF('Elève (6ème1)'!HU15:HW17,"B"))*3)+((COUNTIF('Elève (6ème1)'!HU15:HW17,"C"))*2)+((COUNTIF('Elève (6ème1)'!HU15:HW17,"D"))*1))/(COUNTA(HU15:HW17)),"")</f>
        <v/>
      </c>
      <c r="HY14" s="121" t="str">
        <f t="shared" si="53"/>
        <v/>
      </c>
      <c r="HZ14" s="100"/>
      <c r="IA14" s="187"/>
      <c r="IB14" s="188"/>
      <c r="IC14" s="106" t="str">
        <f>IFERROR((((COUNTIF('Elève (6ème1)'!HZ15:IB17,"A"))*4)+((COUNTIF('Elève (6ème1)'!HZ15:IB17,"B"))*3)+((COUNTIF('Elève (6ème1)'!HZ15:IB17,"C"))*2)+((COUNTIF('Elève (6ème1)'!HZ15:IB17,"D"))*1))/(COUNTA(HZ15:IB17)),"")</f>
        <v/>
      </c>
      <c r="ID14" s="128" t="str">
        <f t="shared" si="54"/>
        <v/>
      </c>
      <c r="IE14" s="177">
        <f>IFERROR((((COUNTIF(HP15:HR17,"A")+COUNTIF(HU15:HW17,"A")+COUNTIF(HZ15:IB17,"A"))*4)+((COUNTIF(HP15:HR17,"B")+COUNTIF(HU15:HW17,"B")+COUNTIF(HZ15:IB17,"B"))*3)+((COUNTIF(HP15:HR17,"C")+COUNTIF(HU15:HW17,"C")+COUNTIF(HZ15:IB17,"C"))*2)+((COUNTIF(HP15:HR17,"D")+COUNTIF(HU15:HW17,"D")+COUNTIF(HZ15:IB17,"D"))*1))/(COUNTA(HP15:HR17)+COUNTA(HU15:HW17)+COUNTA(HZ15:IB17)),"")</f>
        <v>1</v>
      </c>
      <c r="IF14" s="130" t="str">
        <f t="shared" si="55"/>
        <v>D</v>
      </c>
      <c r="IG14" s="152"/>
      <c r="IH14" s="185"/>
      <c r="II14" s="185"/>
      <c r="IJ14" s="106">
        <f>IFERROR((((COUNTIF('Elève (6ème1)'!IG15:II17,"A"))*4)+((COUNTIF('Elève (6ème1)'!IG15:II17,"B"))*3)+((COUNTIF('Elève (6ème1)'!IG15:II17,"C"))*2)+((COUNTIF('Elève (6ème1)'!IG15:II17,"D"))*1))/(COUNTA(IG15:II17)),"")</f>
        <v>3</v>
      </c>
      <c r="IK14" s="107" t="str">
        <f t="shared" si="56"/>
        <v>B</v>
      </c>
      <c r="IL14" s="145"/>
      <c r="IM14" s="186"/>
      <c r="IN14" s="146"/>
      <c r="IO14" s="106" t="str">
        <f>IFERROR((((COUNTIF('Elève (6ème1)'!IL15:IN17,"A"))*4)+((COUNTIF('Elève (6ème1)'!IL15:IN17,"B"))*3)+((COUNTIF('Elève (6ème1)'!IL15:IN17,"C"))*2)+((COUNTIF('Elève (6ème1)'!IL15:IN17,"D"))*1))/(COUNTA(IL15:IN17)),"")</f>
        <v/>
      </c>
      <c r="IP14" s="121" t="str">
        <f t="shared" si="57"/>
        <v/>
      </c>
      <c r="IQ14" s="100"/>
      <c r="IR14" s="187"/>
      <c r="IS14" s="188"/>
      <c r="IT14" s="106" t="str">
        <f>IFERROR((((COUNTIF('Elève (6ème1)'!IQ15:IS17,"A"))*4)+((COUNTIF('Elève (6ème1)'!IQ15:IS17,"B"))*3)+((COUNTIF('Elève (6ème1)'!IQ15:IS17,"C"))*2)+((COUNTIF('Elève (6ème1)'!IQ15:IS17,"D"))*1))/(COUNTA(IQ15:IS17)),"")</f>
        <v/>
      </c>
      <c r="IU14" s="128" t="str">
        <f t="shared" si="58"/>
        <v/>
      </c>
      <c r="IV14" s="177">
        <f>IFERROR((((COUNTIF(IG15:II17,"A")+COUNTIF(IL15:IN17,"A")+COUNTIF(IQ15:IS17,"A"))*4)+((COUNTIF(IG15:II17,"B")+COUNTIF(IL15:IN17,"B")+COUNTIF(IQ15:IS17,"B"))*3)+((COUNTIF(IG15:II17,"C")+COUNTIF(IL15:IN17,"C")+COUNTIF(IQ15:IS17,"C"))*2)+((COUNTIF(IG15:II17,"D")+COUNTIF(IL15:IN17,"D")+COUNTIF(IQ15:IS17,"D"))*1))/(COUNTA(IG15:II17)+COUNTA(IL15:IN17)+COUNTA(IQ15:IS17)),"")</f>
        <v>3</v>
      </c>
      <c r="IW14" s="130" t="str">
        <f t="shared" si="59"/>
        <v>B</v>
      </c>
      <c r="IX14" s="152"/>
      <c r="IY14" s="185"/>
      <c r="IZ14" s="185"/>
      <c r="JA14" s="106">
        <f>IFERROR((((COUNTIF('Elève (6ème1)'!IX15:IZ17,"A"))*4)+((COUNTIF('Elève (6ème1)'!IX15:IZ17,"B"))*3)+((COUNTIF('Elève (6ème1)'!IX15:IZ17,"C"))*2)+((COUNTIF('Elève (6ème1)'!IX15:IZ17,"D"))*1))/(COUNTA(IX15:IZ17)),"")</f>
        <v>2</v>
      </c>
      <c r="JB14" s="107" t="str">
        <f t="shared" si="60"/>
        <v>C</v>
      </c>
      <c r="JC14" s="145"/>
      <c r="JD14" s="186"/>
      <c r="JE14" s="146"/>
      <c r="JF14" s="106" t="str">
        <f>IFERROR((((COUNTIF('Elève (6ème1)'!JC15:JE17,"A"))*4)+((COUNTIF('Elève (6ème1)'!JC15:JE17,"B"))*3)+((COUNTIF('Elève (6ème1)'!JC15:JE17,"C"))*2)+((COUNTIF('Elève (6ème1)'!JC15:JE17,"D"))*1))/(COUNTA(JC15:JE17)),"")</f>
        <v/>
      </c>
      <c r="JG14" s="121" t="str">
        <f t="shared" si="61"/>
        <v/>
      </c>
      <c r="JH14" s="100"/>
      <c r="JI14" s="187"/>
      <c r="JJ14" s="188"/>
      <c r="JK14" s="106" t="str">
        <f>IFERROR((((COUNTIF('Elève (6ème1)'!JH15:JJ17,"A"))*4)+((COUNTIF('Elève (6ème1)'!JH15:JJ17,"B"))*3)+((COUNTIF('Elève (6ème1)'!JH15:JJ17,"C"))*2)+((COUNTIF('Elève (6ème1)'!JH15:JJ17,"D"))*1))/(COUNTA(JH15:JJ17)),"")</f>
        <v/>
      </c>
      <c r="JL14" s="128" t="str">
        <f t="shared" si="62"/>
        <v/>
      </c>
      <c r="JM14" s="177">
        <f>IFERROR((((COUNTIF(IX15:IZ17,"A")+COUNTIF(JC15:JE17,"A")+COUNTIF(JH15:JJ17,"A"))*4)+((COUNTIF(IX15:IZ17,"B")+COUNTIF(JC15:JE17,"B")+COUNTIF(JH15:JJ17,"B"))*3)+((COUNTIF(IX15:IZ17,"C")+COUNTIF(JC15:JE17,"C")+COUNTIF(JH15:JJ17,"C"))*2)+((COUNTIF(IX15:IZ17,"D")+COUNTIF(JC15:JE17,"D")+COUNTIF(JH15:JJ17,"D"))*1))/(COUNTA(IX15:IZ17)+COUNTA(JC15:JE17)+COUNTA(JH15:JJ17)),"")</f>
        <v>2</v>
      </c>
      <c r="JN14" s="130" t="str">
        <f t="shared" si="63"/>
        <v>C</v>
      </c>
      <c r="JO14" s="152"/>
      <c r="JP14" s="185"/>
      <c r="JQ14" s="185"/>
      <c r="JR14" s="106">
        <f>IFERROR((((COUNTIF('Elève (6ème1)'!JO15:JQ17,"A"))*4)+((COUNTIF('Elève (6ème1)'!JO15:JQ17,"B"))*3)+((COUNTIF('Elève (6ème1)'!JO15:JQ17,"C"))*2)+((COUNTIF('Elève (6ème1)'!JO15:JQ17,"D"))*1))/(COUNTA(JO15:JQ17)),"")</f>
        <v>1</v>
      </c>
      <c r="JS14" s="107" t="str">
        <f t="shared" si="64"/>
        <v>D</v>
      </c>
      <c r="JT14" s="145"/>
      <c r="JU14" s="186"/>
      <c r="JV14" s="146"/>
      <c r="JW14" s="106" t="str">
        <f>IFERROR((((COUNTIF('Elève (6ème1)'!JT15:JV17,"A"))*4)+((COUNTIF('Elève (6ème1)'!JT15:JV17,"B"))*3)+((COUNTIF('Elève (6ème1)'!JT15:JV17,"C"))*2)+((COUNTIF('Elève (6ème1)'!JT15:JV17,"D"))*1))/(COUNTA(JT15:JV17)),"")</f>
        <v/>
      </c>
      <c r="JX14" s="121" t="str">
        <f t="shared" si="65"/>
        <v/>
      </c>
      <c r="JY14" s="100"/>
      <c r="JZ14" s="187"/>
      <c r="KA14" s="188"/>
      <c r="KB14" s="106" t="str">
        <f>IFERROR((((COUNTIF('Elève (6ème1)'!JY15:KA17,"A"))*4)+((COUNTIF('Elève (6ème1)'!JY15:KA17,"B"))*3)+((COUNTIF('Elève (6ème1)'!JY15:KA17,"C"))*2)+((COUNTIF('Elève (6ème1)'!JY15:KA17,"D"))*1))/(COUNTA(JY15:KA17)),"")</f>
        <v/>
      </c>
      <c r="KC14" s="128" t="str">
        <f t="shared" si="66"/>
        <v/>
      </c>
      <c r="KD14" s="177">
        <f>IFERROR((((COUNTIF(JO15:JQ17,"A")+COUNTIF(JT15:JV17,"A")+COUNTIF(JY15:KA17,"A"))*4)+((COUNTIF(JO15:JQ17,"B")+COUNTIF(JT15:JV17,"B")+COUNTIF(JY15:KA17,"B"))*3)+((COUNTIF(JO15:JQ17,"C")+COUNTIF(JT15:JV17,"C")+COUNTIF(JY15:KA17,"C"))*2)+((COUNTIF(JO15:JQ17,"D")+COUNTIF(JT15:JV17,"D")+COUNTIF(JY15:KA17,"D"))*1))/(COUNTA(JO15:JQ17)+COUNTA(JT15:JV17)+COUNTA(JY15:KA17)),"")</f>
        <v>1</v>
      </c>
      <c r="KE14" s="130" t="str">
        <f t="shared" si="67"/>
        <v>D</v>
      </c>
      <c r="KF14" s="152"/>
      <c r="KG14" s="185"/>
      <c r="KH14" s="185"/>
      <c r="KI14" s="106">
        <f>IFERROR((((COUNTIF('Elève (6ème1)'!KF15:KH17,"A"))*4)+((COUNTIF('Elève (6ème1)'!KF15:KH17,"B"))*3)+((COUNTIF('Elève (6ème1)'!KF15:KH17,"C"))*2)+((COUNTIF('Elève (6ème1)'!KF15:KH17,"D"))*1))/(COUNTA(KF15:KH17)),"")</f>
        <v>2</v>
      </c>
      <c r="KJ14" s="107" t="str">
        <f t="shared" si="68"/>
        <v>C</v>
      </c>
      <c r="KK14" s="145"/>
      <c r="KL14" s="186"/>
      <c r="KM14" s="146"/>
      <c r="KN14" s="106" t="str">
        <f>IFERROR((((COUNTIF('Elève (6ème1)'!KK15:KM17,"A"))*4)+((COUNTIF('Elève (6ème1)'!KK15:KM17,"B"))*3)+((COUNTIF('Elève (6ème1)'!KK15:KM17,"C"))*2)+((COUNTIF('Elève (6ème1)'!KK15:KM17,"D"))*1))/(COUNTA(KK15:KM17)),"")</f>
        <v/>
      </c>
      <c r="KO14" s="121" t="str">
        <f t="shared" si="69"/>
        <v/>
      </c>
      <c r="KP14" s="100"/>
      <c r="KQ14" s="187"/>
      <c r="KR14" s="188"/>
      <c r="KS14" s="106" t="str">
        <f>IFERROR((((COUNTIF('Elève (6ème1)'!KP15:KR17,"A"))*4)+((COUNTIF('Elève (6ème1)'!KP15:KR17,"B"))*3)+((COUNTIF('Elève (6ème1)'!KP15:KR17,"C"))*2)+((COUNTIF('Elève (6ème1)'!KP15:KR17,"D"))*1))/(COUNTA(KP15:KR17)),"")</f>
        <v/>
      </c>
      <c r="KT14" s="128" t="str">
        <f t="shared" si="70"/>
        <v/>
      </c>
      <c r="KU14" s="177">
        <f>IFERROR((((COUNTIF(KF15:KH17,"A")+COUNTIF(KK15:KM17,"A")+COUNTIF(KP15:KR17,"A"))*4)+((COUNTIF(KF15:KH17,"B")+COUNTIF(KK15:KM17,"B")+COUNTIF(KP15:KR17,"B"))*3)+((COUNTIF(KF15:KH17,"C")+COUNTIF(KK15:KM17,"C")+COUNTIF(KP15:KR17,"C"))*2)+((COUNTIF(KF15:KH17,"D")+COUNTIF(KK15:KM17,"D")+COUNTIF(KP15:KR17,"D"))*1))/(COUNTA(KF15:KH17)+COUNTA(KK15:KM17)+COUNTA(KP15:KR17)),"")</f>
        <v>2</v>
      </c>
      <c r="KV14" s="130" t="str">
        <f t="shared" si="71"/>
        <v>C</v>
      </c>
      <c r="KW14" s="152"/>
      <c r="KX14" s="185"/>
      <c r="KY14" s="185"/>
      <c r="KZ14" s="106">
        <f>IFERROR((((COUNTIF('Elève (6ème1)'!KW15:KY17,"A"))*4)+((COUNTIF('Elève (6ème1)'!KW15:KY17,"B"))*3)+((COUNTIF('Elève (6ème1)'!KW15:KY17,"C"))*2)+((COUNTIF('Elève (6ème1)'!KW15:KY17,"D"))*1))/(COUNTA(KW15:KY17)),"")</f>
        <v>2</v>
      </c>
      <c r="LA14" s="107" t="str">
        <f t="shared" si="72"/>
        <v>C</v>
      </c>
      <c r="LB14" s="145"/>
      <c r="LC14" s="186"/>
      <c r="LD14" s="146"/>
      <c r="LE14" s="106" t="str">
        <f>IFERROR((((COUNTIF('Elève (6ème1)'!LB15:LD17,"A"))*4)+((COUNTIF('Elève (6ème1)'!LB15:LD17,"B"))*3)+((COUNTIF('Elève (6ème1)'!LB15:LD17,"C"))*2)+((COUNTIF('Elève (6ème1)'!LB15:LD17,"D"))*1))/(COUNTA(LB15:LD17)),"")</f>
        <v/>
      </c>
      <c r="LF14" s="121" t="str">
        <f t="shared" si="73"/>
        <v/>
      </c>
      <c r="LG14" s="100"/>
      <c r="LH14" s="187"/>
      <c r="LI14" s="188"/>
      <c r="LJ14" s="106" t="str">
        <f>IFERROR((((COUNTIF('Elève (6ème1)'!LG15:LI17,"A"))*4)+((COUNTIF('Elève (6ème1)'!LG15:LI17,"B"))*3)+((COUNTIF('Elève (6ème1)'!LG15:LI17,"C"))*2)+((COUNTIF('Elève (6ème1)'!LG15:LI17,"D"))*1))/(COUNTA(LG15:LI17)),"")</f>
        <v/>
      </c>
      <c r="LK14" s="128" t="str">
        <f t="shared" si="74"/>
        <v/>
      </c>
      <c r="LL14" s="177">
        <f>IFERROR((((COUNTIF(KW15:KY17,"A")+COUNTIF(LB15:LD17,"A")+COUNTIF(LG15:LI17,"A"))*4)+((COUNTIF(KW15:KY17,"B")+COUNTIF(LB15:LD17,"B")+COUNTIF(LG15:LI17,"B"))*3)+((COUNTIF(KW15:KY17,"C")+COUNTIF(LB15:LD17,"C")+COUNTIF(LG15:LI17,"C"))*2)+((COUNTIF(KW15:KY17,"D")+COUNTIF(LB15:LD17,"D")+COUNTIF(LG15:LI17,"D"))*1))/(COUNTA(KW15:KY17)+COUNTA(LB15:LD17)+COUNTA(LG15:LI17)),"")</f>
        <v>2</v>
      </c>
      <c r="LM14" s="130" t="str">
        <f t="shared" si="75"/>
        <v>C</v>
      </c>
      <c r="LN14" s="152"/>
      <c r="LO14" s="185"/>
      <c r="LP14" s="185"/>
      <c r="LQ14" s="106">
        <f>IFERROR((((COUNTIF('Elève (6ème1)'!LN15:LP17,"A"))*4)+((COUNTIF('Elève (6ème1)'!LN15:LP17,"B"))*3)+((COUNTIF('Elève (6ème1)'!LN15:LP17,"C"))*2)+((COUNTIF('Elève (6ème1)'!LN15:LP17,"D"))*1))/(COUNTA(LN15:LP17)),"")</f>
        <v>2</v>
      </c>
      <c r="LR14" s="107" t="str">
        <f t="shared" si="76"/>
        <v>C</v>
      </c>
      <c r="LS14" s="145"/>
      <c r="LT14" s="186"/>
      <c r="LU14" s="146"/>
      <c r="LV14" s="106" t="str">
        <f>IFERROR((((COUNTIF('Elève (6ème1)'!LS15:LU17,"A"))*4)+((COUNTIF('Elève (6ème1)'!LS15:LU17,"B"))*3)+((COUNTIF('Elève (6ème1)'!LS15:LU17,"C"))*2)+((COUNTIF('Elève (6ème1)'!LS15:LU17,"D"))*1))/(COUNTA(LS15:LU17)),"")</f>
        <v/>
      </c>
      <c r="LW14" s="121" t="str">
        <f t="shared" si="77"/>
        <v/>
      </c>
      <c r="LX14" s="100"/>
      <c r="LY14" s="187"/>
      <c r="LZ14" s="188"/>
      <c r="MA14" s="106" t="str">
        <f>IFERROR((((COUNTIF('Elève (6ème1)'!LX15:LZ17,"A"))*4)+((COUNTIF('Elève (6ème1)'!LX15:LZ17,"B"))*3)+((COUNTIF('Elève (6ème1)'!LX15:LZ17,"C"))*2)+((COUNTIF('Elève (6ème1)'!LX15:LZ17,"D"))*1))/(COUNTA(LX15:LZ17)),"")</f>
        <v/>
      </c>
      <c r="MB14" s="128" t="str">
        <f t="shared" si="78"/>
        <v/>
      </c>
      <c r="MC14" s="177">
        <f>IFERROR((((COUNTIF(LN15:LP17,"A")+COUNTIF(LS15:LU17,"A")+COUNTIF(LX15:LZ17,"A"))*4)+((COUNTIF(LN15:LP17,"B")+COUNTIF(LS15:LU17,"B")+COUNTIF(LX15:LZ17,"B"))*3)+((COUNTIF(LN15:LP17,"C")+COUNTIF(LS15:LU17,"C")+COUNTIF(LX15:LZ17,"C"))*2)+((COUNTIF(LN15:LP17,"D")+COUNTIF(LS15:LU17,"D")+COUNTIF(LX15:LZ17,"D"))*1))/(COUNTA(LN15:LP17)+COUNTA(LS15:LU17)+COUNTA(LX15:LZ17)),"")</f>
        <v>2</v>
      </c>
      <c r="MD14" s="130" t="str">
        <f t="shared" si="79"/>
        <v>C</v>
      </c>
      <c r="ME14" s="152"/>
      <c r="MF14" s="185"/>
      <c r="MG14" s="185"/>
      <c r="MH14" s="106">
        <f>IFERROR((((COUNTIF('Elève (6ème1)'!ME15:MG17,"A"))*4)+((COUNTIF('Elève (6ème1)'!ME15:MG17,"B"))*3)+((COUNTIF('Elève (6ème1)'!ME15:MG17,"C"))*2)+((COUNTIF('Elève (6ème1)'!ME15:MG17,"D"))*1))/(COUNTA(ME15:MG17)),"")</f>
        <v>3</v>
      </c>
      <c r="MI14" s="107" t="str">
        <f t="shared" si="80"/>
        <v>B</v>
      </c>
      <c r="MJ14" s="145"/>
      <c r="MK14" s="186"/>
      <c r="ML14" s="146"/>
      <c r="MM14" s="106" t="str">
        <f>IFERROR((((COUNTIF('Elève (6ème1)'!MJ15:ML17,"A"))*4)+((COUNTIF('Elève (6ème1)'!MJ15:ML17,"B"))*3)+((COUNTIF('Elève (6ème1)'!MJ15:ML17,"C"))*2)+((COUNTIF('Elève (6ème1)'!MJ15:ML17,"D"))*1))/(COUNTA(MJ15:ML17)),"")</f>
        <v/>
      </c>
      <c r="MN14" s="121" t="str">
        <f t="shared" si="81"/>
        <v/>
      </c>
      <c r="MO14" s="100"/>
      <c r="MP14" s="187"/>
      <c r="MQ14" s="188"/>
      <c r="MR14" s="106" t="str">
        <f>IFERROR((((COUNTIF('Elève (6ème1)'!MO15:MQ17,"A"))*4)+((COUNTIF('Elève (6ème1)'!MO15:MQ17,"B"))*3)+((COUNTIF('Elève (6ème1)'!MO15:MQ17,"C"))*2)+((COUNTIF('Elève (6ème1)'!MO15:MQ17,"D"))*1))/(COUNTA(MO15:MQ17)),"")</f>
        <v/>
      </c>
      <c r="MS14" s="128" t="str">
        <f t="shared" si="82"/>
        <v/>
      </c>
      <c r="MT14" s="177">
        <f>IFERROR((((COUNTIF(ME15:MG17,"A")+COUNTIF(MJ15:ML17,"A")+COUNTIF(MO15:MQ17,"A"))*4)+((COUNTIF(ME15:MG17,"B")+COUNTIF(MJ15:ML17,"B")+COUNTIF(MO15:MQ17,"B"))*3)+((COUNTIF(ME15:MG17,"C")+COUNTIF(MJ15:ML17,"C")+COUNTIF(MO15:MQ17,"C"))*2)+((COUNTIF(ME15:MG17,"D")+COUNTIF(MJ15:ML17,"D")+COUNTIF(MO15:MQ17,"D"))*1))/(COUNTA(ME15:MG17)+COUNTA(MJ15:ML17)+COUNTA(MO15:MQ17)),"")</f>
        <v>3</v>
      </c>
      <c r="MU14" s="130" t="str">
        <f t="shared" si="83"/>
        <v>B</v>
      </c>
      <c r="MV14" s="152"/>
      <c r="MW14" s="185"/>
      <c r="MX14" s="185"/>
      <c r="MY14" s="106">
        <f>IFERROR((((COUNTIF('Elève (6ème1)'!MV15:MX17,"A"))*4)+((COUNTIF('Elève (6ème1)'!MV15:MX17,"B"))*3)+((COUNTIF('Elève (6ème1)'!MV15:MX17,"C"))*2)+((COUNTIF('Elève (6ème1)'!MV15:MX17,"D"))*1))/(COUNTA(MV15:MX17)),"")</f>
        <v>3</v>
      </c>
      <c r="MZ14" s="107" t="str">
        <f t="shared" si="84"/>
        <v>B</v>
      </c>
      <c r="NA14" s="145"/>
      <c r="NB14" s="186"/>
      <c r="NC14" s="146"/>
      <c r="ND14" s="106" t="str">
        <f>IFERROR((((COUNTIF('Elève (6ème1)'!NA15:NC17,"A"))*4)+((COUNTIF('Elève (6ème1)'!NA15:NC17,"B"))*3)+((COUNTIF('Elève (6ème1)'!NA15:NC17,"C"))*2)+((COUNTIF('Elève (6ème1)'!NA15:NC17,"D"))*1))/(COUNTA(NA15:NC17)),"")</f>
        <v/>
      </c>
      <c r="NE14" s="121" t="str">
        <f t="shared" si="85"/>
        <v/>
      </c>
      <c r="NF14" s="100"/>
      <c r="NG14" s="187"/>
      <c r="NH14" s="188"/>
      <c r="NI14" s="106" t="str">
        <f>IFERROR((((COUNTIF('Elève (6ème1)'!NF15:NH17,"A"))*4)+((COUNTIF('Elève (6ème1)'!NF15:NH17,"B"))*3)+((COUNTIF('Elève (6ème1)'!NF15:NH17,"C"))*2)+((COUNTIF('Elève (6ème1)'!NF15:NH17,"D"))*1))/(COUNTA(NF15:NH17)),"")</f>
        <v/>
      </c>
      <c r="NJ14" s="128" t="str">
        <f t="shared" si="86"/>
        <v/>
      </c>
      <c r="NK14" s="177">
        <f>IFERROR((((COUNTIF(MV15:MX17,"A")+COUNTIF(NA15:NC17,"A")+COUNTIF(NF15:NH17,"A"))*4)+((COUNTIF(MV15:MX17,"B")+COUNTIF(NA15:NC17,"B")+COUNTIF(NF15:NH17,"B"))*3)+((COUNTIF(MV15:MX17,"C")+COUNTIF(NA15:NC17,"C")+COUNTIF(NF15:NH17,"C"))*2)+((COUNTIF(MV15:MX17,"D")+COUNTIF(NA15:NC17,"D")+COUNTIF(NF15:NH17,"D"))*1))/(COUNTA(MV15:MX17)+COUNTA(NA15:NC17)+COUNTA(NF15:NH17)),"")</f>
        <v>3</v>
      </c>
      <c r="NL14" s="130" t="str">
        <f t="shared" si="87"/>
        <v>B</v>
      </c>
      <c r="NM14" s="152"/>
      <c r="NN14" s="185"/>
      <c r="NO14" s="185"/>
      <c r="NP14" s="106">
        <f>IFERROR((((COUNTIF('Elève (6ème1)'!NM15:NO17,"A"))*4)+((COUNTIF('Elève (6ème1)'!NM15:NO17,"B"))*3)+((COUNTIF('Elève (6ème1)'!NM15:NO17,"C"))*2)+((COUNTIF('Elève (6ème1)'!NM15:NO17,"D"))*1))/(COUNTA(NM15:NO17)),"")</f>
        <v>4</v>
      </c>
      <c r="NQ14" s="107" t="str">
        <f t="shared" si="88"/>
        <v>A</v>
      </c>
      <c r="NR14" s="145"/>
      <c r="NS14" s="186"/>
      <c r="NT14" s="146"/>
      <c r="NU14" s="106" t="str">
        <f>IFERROR((((COUNTIF('Elève (6ème1)'!NR15:NT17,"A"))*4)+((COUNTIF('Elève (6ème1)'!NR15:NT17,"B"))*3)+((COUNTIF('Elève (6ème1)'!NR15:NT17,"C"))*2)+((COUNTIF('Elève (6ème1)'!NR15:NT17,"D"))*1))/(COUNTA(NR15:NT17)),"")</f>
        <v/>
      </c>
      <c r="NV14" s="121" t="str">
        <f t="shared" si="89"/>
        <v/>
      </c>
      <c r="NW14" s="100"/>
      <c r="NX14" s="187"/>
      <c r="NY14" s="188"/>
      <c r="NZ14" s="106" t="str">
        <f>IFERROR((((COUNTIF('Elève (6ème1)'!NW15:NY17,"A"))*4)+((COUNTIF('Elève (6ème1)'!NW15:NY17,"B"))*3)+((COUNTIF('Elève (6ème1)'!NW15:NY17,"C"))*2)+((COUNTIF('Elève (6ème1)'!NW15:NY17,"D"))*1))/(COUNTA(NW15:NY17)),"")</f>
        <v/>
      </c>
      <c r="OA14" s="128" t="str">
        <f t="shared" si="90"/>
        <v/>
      </c>
      <c r="OB14" s="177">
        <f>IFERROR((((COUNTIF(NM15:NO17,"A")+COUNTIF(NR15:NT17,"A")+COUNTIF(NW15:NY17,"A"))*4)+((COUNTIF(NM15:NO17,"B")+COUNTIF(NR15:NT17,"B")+COUNTIF(NW15:NY17,"B"))*3)+((COUNTIF(NM15:NO17,"C")+COUNTIF(NR15:NT17,"C")+COUNTIF(NW15:NY17,"C"))*2)+((COUNTIF(NM15:NO17,"D")+COUNTIF(NR15:NT17,"D")+COUNTIF(NW15:NY17,"D"))*1))/(COUNTA(NM15:NO17)+COUNTA(NR15:NT17)+COUNTA(NW15:NY17)),"")</f>
        <v>4</v>
      </c>
      <c r="OC14" s="130" t="str">
        <f t="shared" si="91"/>
        <v>A</v>
      </c>
      <c r="OD14" s="152"/>
      <c r="OE14" s="185"/>
      <c r="OF14" s="185"/>
      <c r="OG14" s="106">
        <f>IFERROR((((COUNTIF('Elève (6ème1)'!OD15:OF17,"A"))*4)+((COUNTIF('Elève (6ème1)'!OD15:OF17,"B"))*3)+((COUNTIF('Elève (6ème1)'!OD15:OF17,"C"))*2)+((COUNTIF('Elève (6ème1)'!OD15:OF17,"D"))*1))/(COUNTA(OD15:OF17)),"")</f>
        <v>2</v>
      </c>
      <c r="OH14" s="107" t="str">
        <f t="shared" si="92"/>
        <v>C</v>
      </c>
      <c r="OI14" s="145"/>
      <c r="OJ14" s="186"/>
      <c r="OK14" s="146"/>
      <c r="OL14" s="106" t="str">
        <f>IFERROR((((COUNTIF('Elève (6ème1)'!OI15:OK17,"A"))*4)+((COUNTIF('Elève (6ème1)'!OI15:OK17,"B"))*3)+((COUNTIF('Elève (6ème1)'!OI15:OK17,"C"))*2)+((COUNTIF('Elève (6ème1)'!OI15:OK17,"D"))*1))/(COUNTA(OI15:OK17)),"")</f>
        <v/>
      </c>
      <c r="OM14" s="121" t="str">
        <f t="shared" si="93"/>
        <v/>
      </c>
      <c r="ON14" s="100"/>
      <c r="OO14" s="187"/>
      <c r="OP14" s="188"/>
      <c r="OQ14" s="106" t="str">
        <f>IFERROR((((COUNTIF('Elève (6ème1)'!ON15:OP17,"A"))*4)+((COUNTIF('Elève (6ème1)'!ON15:OP17,"B"))*3)+((COUNTIF('Elève (6ème1)'!ON15:OP17,"C"))*2)+((COUNTIF('Elève (6ème1)'!ON15:OP17,"D"))*1))/(COUNTA(ON15:OP17)),"")</f>
        <v/>
      </c>
      <c r="OR14" s="128" t="str">
        <f t="shared" si="94"/>
        <v/>
      </c>
      <c r="OS14" s="177">
        <f>IFERROR((((COUNTIF(OD15:OF17,"A")+COUNTIF(OI15:OK17,"A")+COUNTIF(ON15:OP17,"A"))*4)+((COUNTIF(OD15:OF17,"B")+COUNTIF(OI15:OK17,"B")+COUNTIF(ON15:OP17,"B"))*3)+((COUNTIF(OD15:OF17,"C")+COUNTIF(OI15:OK17,"C")+COUNTIF(ON15:OP17,"C"))*2)+((COUNTIF(OD15:OF17,"D")+COUNTIF(OI15:OK17,"D")+COUNTIF(ON15:OP17,"D"))*1))/(COUNTA(OD15:OF17)+COUNTA(OI15:OK17)+COUNTA(ON15:OP17)),"")</f>
        <v>2</v>
      </c>
      <c r="OT14" s="130" t="str">
        <f t="shared" si="95"/>
        <v>C</v>
      </c>
      <c r="OU14" s="152"/>
      <c r="OV14" s="185"/>
      <c r="OW14" s="185"/>
      <c r="OX14" s="106">
        <f>IFERROR((((COUNTIF('Elève (6ème1)'!OU15:OW17,"A"))*4)+((COUNTIF('Elève (6ème1)'!OU15:OW17,"B"))*3)+((COUNTIF('Elève (6ème1)'!OU15:OW17,"C"))*2)+((COUNTIF('Elève (6ème1)'!OU15:OW17,"D"))*1))/(COUNTA(OU15:OW17)),"")</f>
        <v>4</v>
      </c>
      <c r="OY14" s="107" t="str">
        <f t="shared" si="96"/>
        <v>A</v>
      </c>
      <c r="OZ14" s="145"/>
      <c r="PA14" s="186"/>
      <c r="PB14" s="146"/>
      <c r="PC14" s="106" t="str">
        <f>IFERROR((((COUNTIF('Elève (6ème1)'!OZ15:PB17,"A"))*4)+((COUNTIF('Elève (6ème1)'!OZ15:PB17,"B"))*3)+((COUNTIF('Elève (6ème1)'!OZ15:PB17,"C"))*2)+((COUNTIF('Elève (6ème1)'!OZ15:PB17,"D"))*1))/(COUNTA(OZ15:PB17)),"")</f>
        <v/>
      </c>
      <c r="PD14" s="121" t="str">
        <f t="shared" si="97"/>
        <v/>
      </c>
      <c r="PE14" s="100"/>
      <c r="PF14" s="187"/>
      <c r="PG14" s="188"/>
      <c r="PH14" s="106" t="str">
        <f>IFERROR((((COUNTIF('Elève (6ème1)'!PE15:PG17,"A"))*4)+((COUNTIF('Elève (6ème1)'!PE15:PG17,"B"))*3)+((COUNTIF('Elève (6ème1)'!PE15:PG17,"C"))*2)+((COUNTIF('Elève (6ème1)'!PE15:PG17,"D"))*1))/(COUNTA(PE15:PG17)),"")</f>
        <v/>
      </c>
      <c r="PI14" s="128" t="str">
        <f t="shared" si="98"/>
        <v/>
      </c>
      <c r="PJ14" s="177">
        <f>IFERROR((((COUNTIF(OU15:OW17,"A")+COUNTIF(OZ15:PB17,"A")+COUNTIF(PE15:PG17,"A"))*4)+((COUNTIF(OU15:OW17,"B")+COUNTIF(OZ15:PB17,"B")+COUNTIF(PE15:PG17,"B"))*3)+((COUNTIF(OU15:OW17,"C")+COUNTIF(OZ15:PB17,"C")+COUNTIF(PE15:PG17,"C"))*2)+((COUNTIF(OU15:OW17,"D")+COUNTIF(OZ15:PB17,"D")+COUNTIF(PE15:PG17,"D"))*1))/(COUNTA(OU15:OW17)+COUNTA(OZ15:PB17)+COUNTA(PE15:PG17)),"")</f>
        <v>4</v>
      </c>
      <c r="PK14" s="130" t="str">
        <f t="shared" si="99"/>
        <v>A</v>
      </c>
      <c r="PL14" s="152"/>
      <c r="PM14" s="185"/>
      <c r="PN14" s="185"/>
      <c r="PO14" s="106">
        <f>IFERROR((((COUNTIF('Elève (6ème1)'!PL15:PN17,"A"))*4)+((COUNTIF('Elève (6ème1)'!PL15:PN17,"B"))*3)+((COUNTIF('Elève (6ème1)'!PL15:PN17,"C"))*2)+((COUNTIF('Elève (6ème1)'!PL15:PN17,"D"))*1))/(COUNTA(PL15:PN17)),"")</f>
        <v>4</v>
      </c>
      <c r="PP14" s="107" t="str">
        <f t="shared" si="100"/>
        <v>A</v>
      </c>
      <c r="PQ14" s="145"/>
      <c r="PR14" s="186"/>
      <c r="PS14" s="146"/>
      <c r="PT14" s="106" t="str">
        <f>IFERROR((((COUNTIF('Elève (6ème1)'!PQ15:PS17,"A"))*4)+((COUNTIF('Elève (6ème1)'!PQ15:PS17,"B"))*3)+((COUNTIF('Elève (6ème1)'!PQ15:PS17,"C"))*2)+((COUNTIF('Elève (6ème1)'!PQ15:PS17,"D"))*1))/(COUNTA(PQ15:PS17)),"")</f>
        <v/>
      </c>
      <c r="PU14" s="121" t="str">
        <f t="shared" si="101"/>
        <v/>
      </c>
      <c r="PV14" s="100"/>
      <c r="PW14" s="187"/>
      <c r="PX14" s="188"/>
      <c r="PY14" s="106" t="str">
        <f>IFERROR((((COUNTIF('Elève (6ème1)'!PV15:PX17,"A"))*4)+((COUNTIF('Elève (6ème1)'!PV15:PX17,"B"))*3)+((COUNTIF('Elève (6ème1)'!PV15:PX17,"C"))*2)+((COUNTIF('Elève (6ème1)'!PV15:PX17,"D"))*1))/(COUNTA(PV15:PX17)),"")</f>
        <v/>
      </c>
      <c r="PZ14" s="128" t="str">
        <f t="shared" si="102"/>
        <v/>
      </c>
      <c r="QA14" s="177">
        <f>IFERROR((((COUNTIF(PL15:PN17,"A")+COUNTIF(PQ15:PS17,"A")+COUNTIF(PV15:PX17,"A"))*4)+((COUNTIF(PL15:PN17,"B")+COUNTIF(PQ15:PS17,"B")+COUNTIF(PV15:PX17,"B"))*3)+((COUNTIF(PL15:PN17,"C")+COUNTIF(PQ15:PS17,"C")+COUNTIF(PV15:PX17,"C"))*2)+((COUNTIF(PL15:PN17,"D")+COUNTIF(PQ15:PS17,"D")+COUNTIF(PV15:PX17,"D"))*1))/(COUNTA(PL15:PN17)+COUNTA(PQ15:PS17)+COUNTA(PV15:PX17)),"")</f>
        <v>4</v>
      </c>
      <c r="QB14" s="130" t="str">
        <f t="shared" si="103"/>
        <v>A</v>
      </c>
      <c r="QC14" s="152"/>
      <c r="QD14" s="185"/>
      <c r="QE14" s="185"/>
      <c r="QF14" s="106">
        <f>IFERROR((((COUNTIF('Elève (6ème1)'!QC15:QE17,"A"))*4)+((COUNTIF('Elève (6ème1)'!QC15:QE17,"B"))*3)+((COUNTIF('Elève (6ème1)'!QC15:QE17,"C"))*2)+((COUNTIF('Elève (6ème1)'!QC15:QE17,"D"))*1))/(COUNTA(QC15:QE17)),"")</f>
        <v>3</v>
      </c>
      <c r="QG14" s="107" t="str">
        <f t="shared" si="104"/>
        <v>B</v>
      </c>
      <c r="QH14" s="145"/>
      <c r="QI14" s="186"/>
      <c r="QJ14" s="146"/>
      <c r="QK14" s="106" t="str">
        <f>IFERROR((((COUNTIF('Elève (6ème1)'!QH15:QJ17,"A"))*4)+((COUNTIF('Elève (6ème1)'!QH15:QJ17,"B"))*3)+((COUNTIF('Elève (6ème1)'!QH15:QJ17,"C"))*2)+((COUNTIF('Elève (6ème1)'!QH15:QJ17,"D"))*1))/(COUNTA(QH15:QJ17)),"")</f>
        <v/>
      </c>
      <c r="QL14" s="121" t="str">
        <f t="shared" si="105"/>
        <v/>
      </c>
      <c r="QM14" s="100"/>
      <c r="QN14" s="187"/>
      <c r="QO14" s="188"/>
      <c r="QP14" s="106" t="str">
        <f>IFERROR((((COUNTIF('Elève (6ème1)'!QM15:QO17,"A"))*4)+((COUNTIF('Elève (6ème1)'!QM15:QO17,"B"))*3)+((COUNTIF('Elève (6ème1)'!QM15:QO17,"C"))*2)+((COUNTIF('Elève (6ème1)'!QM15:QO17,"D"))*1))/(COUNTA(QM15:QO17)),"")</f>
        <v/>
      </c>
      <c r="QQ14" s="128" t="str">
        <f t="shared" si="106"/>
        <v/>
      </c>
      <c r="QR14" s="177">
        <f>IFERROR((((COUNTIF(QC15:QE17,"A")+COUNTIF(QH15:QJ17,"A")+COUNTIF(QM15:QO17,"A"))*4)+((COUNTIF(QC15:QE17,"B")+COUNTIF(QH15:QJ17,"B")+COUNTIF(QM15:QO17,"B"))*3)+((COUNTIF(QC15:QE17,"C")+COUNTIF(QH15:QJ17,"C")+COUNTIF(QM15:QO17,"C"))*2)+((COUNTIF(QC15:QE17,"D")+COUNTIF(QH15:QJ17,"D")+COUNTIF(QM15:QO17,"D"))*1))/(COUNTA(QC15:QE17)+COUNTA(QH15:QJ17)+COUNTA(QM15:QO17)),"")</f>
        <v>3</v>
      </c>
      <c r="QS14" s="130" t="str">
        <f t="shared" si="107"/>
        <v>B</v>
      </c>
      <c r="QT14" s="152"/>
      <c r="QU14" s="185"/>
      <c r="QV14" s="185"/>
      <c r="QW14" s="106" t="str">
        <f>IFERROR((((COUNTIF('Elève (6ème1)'!QT15:QV17,"A"))*4)+((COUNTIF('Elève (6ème1)'!QT15:QV17,"B"))*3)+((COUNTIF('Elève (6ème1)'!QT15:QV17,"C"))*2)+((COUNTIF('Elève (6ème1)'!QT15:QV17,"D"))*1))/(COUNTA(QT15:QV17)),"")</f>
        <v/>
      </c>
      <c r="QX14" s="107" t="str">
        <f t="shared" si="108"/>
        <v/>
      </c>
      <c r="QY14" s="145"/>
      <c r="QZ14" s="186"/>
      <c r="RA14" s="146"/>
      <c r="RB14" s="106" t="str">
        <f>IFERROR((((COUNTIF('Elève (6ème1)'!QY15:RA17,"A"))*4)+((COUNTIF('Elève (6ème1)'!QY15:RA17,"B"))*3)+((COUNTIF('Elève (6ème1)'!QY15:RA17,"C"))*2)+((COUNTIF('Elève (6ème1)'!QY15:RA17,"D"))*1))/(COUNTA(QY15:RA17)),"")</f>
        <v/>
      </c>
      <c r="RC14" s="121" t="str">
        <f t="shared" si="109"/>
        <v/>
      </c>
      <c r="RD14" s="100"/>
      <c r="RE14" s="187"/>
      <c r="RF14" s="188"/>
      <c r="RG14" s="106" t="str">
        <f>IFERROR((((COUNTIF('Elève (6ème1)'!RD15:RF17,"A"))*4)+((COUNTIF('Elève (6ème1)'!RD15:RF17,"B"))*3)+((COUNTIF('Elève (6ème1)'!RD15:RF17,"C"))*2)+((COUNTIF('Elève (6ème1)'!RD15:RF17,"D"))*1))/(COUNTA(RD15:RF17)),"")</f>
        <v/>
      </c>
      <c r="RH14" s="128" t="str">
        <f t="shared" si="110"/>
        <v/>
      </c>
      <c r="RI14" s="177" t="str">
        <f>IFERROR((((COUNTIF(QT15:QV17,"A")+COUNTIF(QY15:RA17,"A")+COUNTIF(RD15:RF17,"A"))*4)+((COUNTIF(QT15:QV17,"B")+COUNTIF(QY15:RA17,"B")+COUNTIF(RD15:RF17,"B"))*3)+((COUNTIF(QT15:QV17,"C")+COUNTIF(QY15:RA17,"C")+COUNTIF(RD15:RF17,"C"))*2)+((COUNTIF(QT15:QV17,"D")+COUNTIF(QY15:RA17,"D")+COUNTIF(RD15:RF17,"D"))*1))/(COUNTA(QT15:QV17)+COUNTA(QY15:RA17)+COUNTA(RD15:RF17)),"")</f>
        <v/>
      </c>
      <c r="RJ14" s="130" t="str">
        <f t="shared" si="111"/>
        <v/>
      </c>
      <c r="RK14" s="152"/>
      <c r="RL14" s="185"/>
      <c r="RM14" s="185"/>
      <c r="RN14" s="106" t="str">
        <f>IFERROR((((COUNTIF('Elève (6ème1)'!RK15:RM17,"A"))*4)+((COUNTIF('Elève (6ème1)'!RK15:RM17,"B"))*3)+((COUNTIF('Elève (6ème1)'!RK15:RM17,"C"))*2)+((COUNTIF('Elève (6ème1)'!RK15:RM17,"D"))*1))/(COUNTA(RK15:RM17)),"")</f>
        <v/>
      </c>
      <c r="RO14" s="107" t="str">
        <f t="shared" si="112"/>
        <v/>
      </c>
      <c r="RP14" s="145"/>
      <c r="RQ14" s="186"/>
      <c r="RR14" s="146"/>
      <c r="RS14" s="106" t="str">
        <f>IFERROR((((COUNTIF('Elève (6ème1)'!RP15:RR17,"A"))*4)+((COUNTIF('Elève (6ème1)'!RP15:RR17,"B"))*3)+((COUNTIF('Elève (6ème1)'!RP15:RR17,"C"))*2)+((COUNTIF('Elève (6ème1)'!RP15:RR17,"D"))*1))/(COUNTA(RP15:RR17)),"")</f>
        <v/>
      </c>
      <c r="RT14" s="121" t="str">
        <f t="shared" si="113"/>
        <v/>
      </c>
      <c r="RU14" s="100"/>
      <c r="RV14" s="187"/>
      <c r="RW14" s="188"/>
      <c r="RX14" s="106" t="str">
        <f>IFERROR((((COUNTIF('Elève (6ème1)'!RU15:RW17,"A"))*4)+((COUNTIF('Elève (6ème1)'!RU15:RW17,"B"))*3)+((COUNTIF('Elève (6ème1)'!RU15:RW17,"C"))*2)+((COUNTIF('Elève (6ème1)'!RU15:RW17,"D"))*1))/(COUNTA(RU15:RW17)),"")</f>
        <v/>
      </c>
      <c r="RY14" s="128" t="str">
        <f t="shared" si="114"/>
        <v/>
      </c>
      <c r="RZ14" s="177" t="str">
        <f>IFERROR((((COUNTIF(RK15:RM17,"A")+COUNTIF(RP15:RR17,"A")+COUNTIF(RU15:RW17,"A"))*4)+((COUNTIF(RK15:RM17,"B")+COUNTIF(RP15:RR17,"B")+COUNTIF(RU15:RW17,"B"))*3)+((COUNTIF(RK15:RM17,"C")+COUNTIF(RP15:RR17,"C")+COUNTIF(RU15:RW17,"C"))*2)+((COUNTIF(RK15:RM17,"D")+COUNTIF(RP15:RR17,"D")+COUNTIF(RU15:RW17,"D"))*1))/(COUNTA(RK15:RM17)+COUNTA(RP15:RR17)+COUNTA(RU15:RW17)),"")</f>
        <v/>
      </c>
      <c r="SA14" s="130" t="str">
        <f t="shared" si="115"/>
        <v/>
      </c>
      <c r="SB14" s="152"/>
      <c r="SC14" s="185"/>
      <c r="SD14" s="185"/>
      <c r="SE14" s="106" t="str">
        <f>IFERROR((((COUNTIF('Elève (6ème1)'!SB15:SD17,"A"))*4)+((COUNTIF('Elève (6ème1)'!SB15:SD17,"B"))*3)+((COUNTIF('Elève (6ème1)'!SB15:SD17,"C"))*2)+((COUNTIF('Elève (6ème1)'!SB15:SD17,"D"))*1))/(COUNTA(SB15:SD17)),"")</f>
        <v/>
      </c>
      <c r="SF14" s="107" t="str">
        <f t="shared" si="116"/>
        <v/>
      </c>
      <c r="SG14" s="145"/>
      <c r="SH14" s="186"/>
      <c r="SI14" s="146"/>
      <c r="SJ14" s="106" t="str">
        <f>IFERROR((((COUNTIF('Elève (6ème1)'!SG15:SI17,"A"))*4)+((COUNTIF('Elève (6ème1)'!SG15:SI17,"B"))*3)+((COUNTIF('Elève (6ème1)'!SG15:SI17,"C"))*2)+((COUNTIF('Elève (6ème1)'!SG15:SI17,"D"))*1))/(COUNTA(SG15:SI17)),"")</f>
        <v/>
      </c>
      <c r="SK14" s="121" t="str">
        <f t="shared" si="117"/>
        <v/>
      </c>
      <c r="SL14" s="100"/>
      <c r="SM14" s="187"/>
      <c r="SN14" s="188"/>
      <c r="SO14" s="106" t="str">
        <f>IFERROR((((COUNTIF('Elève (6ème1)'!SL15:SN17,"A"))*4)+((COUNTIF('Elève (6ème1)'!SL15:SN17,"B"))*3)+((COUNTIF('Elève (6ème1)'!SL15:SN17,"C"))*2)+((COUNTIF('Elève (6ème1)'!SL15:SN17,"D"))*1))/(COUNTA(SL15:SN17)),"")</f>
        <v/>
      </c>
      <c r="SP14" s="128" t="str">
        <f t="shared" si="118"/>
        <v/>
      </c>
      <c r="SQ14" s="177" t="str">
        <f>IFERROR((((COUNTIF(SB15:SD17,"A")+COUNTIF(SG15:SI17,"A")+COUNTIF(SL15:SN17,"A"))*4)+((COUNTIF(SB15:SD17,"B")+COUNTIF(SG15:SI17,"B")+COUNTIF(SL15:SN17,"B"))*3)+((COUNTIF(SB15:SD17,"C")+COUNTIF(SG15:SI17,"C")+COUNTIF(SL15:SN17,"C"))*2)+((COUNTIF(SB15:SD17,"D")+COUNTIF(SG15:SI17,"D")+COUNTIF(SL15:SN17,"D"))*1))/(COUNTA(SB15:SD17)+COUNTA(SG15:SI17)+COUNTA(SL15:SN17)),"")</f>
        <v/>
      </c>
      <c r="SR14" s="130" t="str">
        <f t="shared" si="119"/>
        <v/>
      </c>
    </row>
    <row r="15" spans="1:512" s="72" customFormat="1" ht="18" customHeight="1" x14ac:dyDescent="0.25">
      <c r="A15" s="240" t="s">
        <v>18</v>
      </c>
      <c r="B15" s="241"/>
      <c r="C15" s="156"/>
      <c r="D15" s="157" t="s">
        <v>24</v>
      </c>
      <c r="E15" s="158"/>
      <c r="F15" s="108">
        <f>IFERROR((((COUNTIF('Elève (6ème1)'!C15:E15,"A"))*4)+((COUNTIF('Elève (6ème1)'!C15:E15,"B"))*3)+((COUNTIF('Elève (6ème1)'!C15:E15,"C"))*2)+((COUNTIF('Elève (6ème1)'!C15:E15,"D"))*1))/(COUNTA(C15:E15)),"")</f>
        <v>4</v>
      </c>
      <c r="G15" s="109" t="str">
        <f t="shared" si="0"/>
        <v>A</v>
      </c>
      <c r="H15" s="81"/>
      <c r="I15" s="82"/>
      <c r="J15" s="83"/>
      <c r="K15" s="108" t="str">
        <f>IFERROR((((COUNTIF('Elève (6ème1)'!H15:J15,"A"))*4)+((COUNTIF('Elève (6ème1)'!H15:J15,"B"))*3)+((COUNTIF('Elève (6ème1)'!H15:J15,"C"))*2)+((COUNTIF('Elève (6ème1)'!H15:J15,"D"))*1))/(COUNTA(H15:J15)),"")</f>
        <v/>
      </c>
      <c r="L15" s="109" t="str">
        <f t="shared" si="1"/>
        <v/>
      </c>
      <c r="M15" s="81"/>
      <c r="N15" s="82"/>
      <c r="O15" s="83"/>
      <c r="P15" s="108" t="str">
        <f>IFERROR((((COUNTIF('Elève (6ème1)'!M15:O15,"A"))*4)+((COUNTIF('Elève (6ème1)'!M15:O15,"B"))*3)+((COUNTIF('Elève (6ème1)'!M15:O15,"C"))*2)+((COUNTIF('Elève (6ème1)'!M15:O15,"D"))*1))/(COUNTA(M15:O15)),"")</f>
        <v/>
      </c>
      <c r="Q15" s="109" t="str">
        <f t="shared" si="2"/>
        <v/>
      </c>
      <c r="R15" s="178">
        <f>IF(COUNT(F15,K15,P15)=0,"",SUM(F15,K15,P15)/COUNT(F15,K15,P15))</f>
        <v>4</v>
      </c>
      <c r="S15" s="134" t="str">
        <f t="shared" si="3"/>
        <v>A</v>
      </c>
      <c r="T15" s="156"/>
      <c r="U15" s="157" t="s">
        <v>25</v>
      </c>
      <c r="V15" s="158"/>
      <c r="W15" s="108">
        <f>IFERROR((((COUNTIF('Elève (6ème1)'!T15:V15,"A"))*4)+((COUNTIF('Elève (6ème1)'!T15:V15,"B"))*3)+((COUNTIF('Elève (6ème1)'!T15:V15,"C"))*2)+((COUNTIF('Elève (6ème1)'!T15:V15,"D"))*1))/(COUNTA(T15:V15)),"")</f>
        <v>3</v>
      </c>
      <c r="X15" s="109" t="str">
        <f t="shared" si="4"/>
        <v>B</v>
      </c>
      <c r="Y15" s="81"/>
      <c r="Z15" s="82"/>
      <c r="AA15" s="83"/>
      <c r="AB15" s="108" t="str">
        <f>IFERROR((((COUNTIF('Elève (6ème1)'!Y15:AA15,"A"))*4)+((COUNTIF('Elève (6ème1)'!Y15:AA15,"B"))*3)+((COUNTIF('Elève (6ème1)'!Y15:AA15,"C"))*2)+((COUNTIF('Elève (6ème1)'!Y15:AA15,"D"))*1))/(COUNTA(Y15:AA15)),"")</f>
        <v/>
      </c>
      <c r="AC15" s="109" t="str">
        <f t="shared" si="5"/>
        <v/>
      </c>
      <c r="AD15" s="81"/>
      <c r="AE15" s="82"/>
      <c r="AF15" s="83"/>
      <c r="AG15" s="108" t="str">
        <f>IFERROR((((COUNTIF('Elève (6ème1)'!AD15:AF15,"A"))*4)+((COUNTIF('Elève (6ème1)'!AD15:AF15,"B"))*3)+((COUNTIF('Elève (6ème1)'!AD15:AF15,"C"))*2)+((COUNTIF('Elève (6ème1)'!AD15:AF15,"D"))*1))/(COUNTA(AD15:AF15)),"")</f>
        <v/>
      </c>
      <c r="AH15" s="109" t="str">
        <f t="shared" si="6"/>
        <v/>
      </c>
      <c r="AI15" s="178">
        <f>IF(COUNT(W15,AB15,AG15)=0,"",SUM(W15,AB15,AG15)/COUNT(W15,AB15,AG15))</f>
        <v>3</v>
      </c>
      <c r="AJ15" s="134" t="str">
        <f t="shared" si="7"/>
        <v>B</v>
      </c>
      <c r="AK15" s="156"/>
      <c r="AL15" s="157" t="s">
        <v>24</v>
      </c>
      <c r="AM15" s="158"/>
      <c r="AN15" s="108">
        <f>IFERROR((((COUNTIF('Elève (6ème1)'!AK15:AM15,"A"))*4)+((COUNTIF('Elève (6ème1)'!AK15:AM15,"B"))*3)+((COUNTIF('Elève (6ème1)'!AK15:AM15,"C"))*2)+((COUNTIF('Elève (6ème1)'!AK15:AM15,"D"))*1))/(COUNTA(AK15:AM15)),"")</f>
        <v>4</v>
      </c>
      <c r="AO15" s="109" t="str">
        <f t="shared" si="8"/>
        <v>A</v>
      </c>
      <c r="AP15" s="81"/>
      <c r="AQ15" s="82"/>
      <c r="AR15" s="83"/>
      <c r="AS15" s="108" t="str">
        <f>IFERROR((((COUNTIF('Elève (6ème1)'!AP15:AR15,"A"))*4)+((COUNTIF('Elève (6ème1)'!AP15:AR15,"B"))*3)+((COUNTIF('Elève (6ème1)'!AP15:AR15,"C"))*2)+((COUNTIF('Elève (6ème1)'!AP15:AR15,"D"))*1))/(COUNTA(AP15:AR15)),"")</f>
        <v/>
      </c>
      <c r="AT15" s="109" t="str">
        <f t="shared" si="9"/>
        <v/>
      </c>
      <c r="AU15" s="81"/>
      <c r="AV15" s="82"/>
      <c r="AW15" s="83"/>
      <c r="AX15" s="108" t="str">
        <f>IFERROR((((COUNTIF('Elève (6ème1)'!AU15:AW15,"A"))*4)+((COUNTIF('Elève (6ème1)'!AU15:AW15,"B"))*3)+((COUNTIF('Elève (6ème1)'!AU15:AW15,"C"))*2)+((COUNTIF('Elève (6ème1)'!AU15:AW15,"D"))*1))/(COUNTA(AU15:AW15)),"")</f>
        <v/>
      </c>
      <c r="AY15" s="109" t="str">
        <f t="shared" si="10"/>
        <v/>
      </c>
      <c r="AZ15" s="178">
        <f>IF(COUNT(AN15,AS15,AX15)=0,"",SUM(AN15,AS15,AX15)/COUNT(AN15,AS15,AX15))</f>
        <v>4</v>
      </c>
      <c r="BA15" s="134" t="str">
        <f t="shared" si="11"/>
        <v>A</v>
      </c>
      <c r="BB15" s="156"/>
      <c r="BC15" s="157" t="s">
        <v>26</v>
      </c>
      <c r="BD15" s="158"/>
      <c r="BE15" s="108">
        <f>IFERROR((((COUNTIF('Elève (6ème1)'!BB15:BD15,"A"))*4)+((COUNTIF('Elève (6ème1)'!BB15:BD15,"B"))*3)+((COUNTIF('Elève (6ème1)'!BB15:BD15,"C"))*2)+((COUNTIF('Elève (6ème1)'!BB15:BD15,"D"))*1))/(COUNTA(BB15:BD15)),"")</f>
        <v>2</v>
      </c>
      <c r="BF15" s="109" t="str">
        <f t="shared" si="12"/>
        <v>C</v>
      </c>
      <c r="BG15" s="81"/>
      <c r="BH15" s="82"/>
      <c r="BI15" s="83"/>
      <c r="BJ15" s="108" t="str">
        <f>IFERROR((((COUNTIF('Elève (6ème1)'!BG15:BI15,"A"))*4)+((COUNTIF('Elève (6ème1)'!BG15:BI15,"B"))*3)+((COUNTIF('Elève (6ème1)'!BG15:BI15,"C"))*2)+((COUNTIF('Elève (6ème1)'!BG15:BI15,"D"))*1))/(COUNTA(BG15:BI15)),"")</f>
        <v/>
      </c>
      <c r="BK15" s="109" t="str">
        <f t="shared" si="13"/>
        <v/>
      </c>
      <c r="BL15" s="81"/>
      <c r="BM15" s="82"/>
      <c r="BN15" s="83"/>
      <c r="BO15" s="108" t="str">
        <f>IFERROR((((COUNTIF('Elève (6ème1)'!BL15:BN15,"A"))*4)+((COUNTIF('Elève (6ème1)'!BL15:BN15,"B"))*3)+((COUNTIF('Elève (6ème1)'!BL15:BN15,"C"))*2)+((COUNTIF('Elève (6ème1)'!BL15:BN15,"D"))*1))/(COUNTA(BL15:BN15)),"")</f>
        <v/>
      </c>
      <c r="BP15" s="109" t="str">
        <f t="shared" si="14"/>
        <v/>
      </c>
      <c r="BQ15" s="178">
        <f>IF(COUNT(BE15,BJ15,BO15)=0,"",SUM(BE15,BJ15,BO15)/COUNT(BE15,BJ15,BO15))</f>
        <v>2</v>
      </c>
      <c r="BR15" s="134" t="str">
        <f t="shared" si="15"/>
        <v>C</v>
      </c>
      <c r="BS15" s="156"/>
      <c r="BT15" s="157" t="s">
        <v>24</v>
      </c>
      <c r="BU15" s="158"/>
      <c r="BV15" s="108">
        <f>IFERROR((((COUNTIF('Elève (6ème1)'!BS15:BU15,"A"))*4)+((COUNTIF('Elève (6ème1)'!BS15:BU15,"B"))*3)+((COUNTIF('Elève (6ème1)'!BS15:BU15,"C"))*2)+((COUNTIF('Elève (6ème1)'!BS15:BU15,"D"))*1))/(COUNTA(BS15:BU15)),"")</f>
        <v>4</v>
      </c>
      <c r="BW15" s="109" t="str">
        <f t="shared" si="16"/>
        <v>A</v>
      </c>
      <c r="BX15" s="81"/>
      <c r="BY15" s="82"/>
      <c r="BZ15" s="83"/>
      <c r="CA15" s="108" t="str">
        <f>IFERROR((((COUNTIF('Elève (6ème1)'!BX15:BZ15,"A"))*4)+((COUNTIF('Elève (6ème1)'!BX15:BZ15,"B"))*3)+((COUNTIF('Elève (6ème1)'!BX15:BZ15,"C"))*2)+((COUNTIF('Elève (6ème1)'!BX15:BZ15,"D"))*1))/(COUNTA(BX15:BZ15)),"")</f>
        <v/>
      </c>
      <c r="CB15" s="109" t="str">
        <f t="shared" si="17"/>
        <v/>
      </c>
      <c r="CC15" s="81"/>
      <c r="CD15" s="82"/>
      <c r="CE15" s="83"/>
      <c r="CF15" s="108" t="str">
        <f>IFERROR((((COUNTIF('Elève (6ème1)'!CC15:CE15,"A"))*4)+((COUNTIF('Elève (6ème1)'!CC15:CE15,"B"))*3)+((COUNTIF('Elève (6ème1)'!CC15:CE15,"C"))*2)+((COUNTIF('Elève (6ème1)'!CC15:CE15,"D"))*1))/(COUNTA(CC15:CE15)),"")</f>
        <v/>
      </c>
      <c r="CG15" s="109" t="str">
        <f t="shared" si="18"/>
        <v/>
      </c>
      <c r="CH15" s="178">
        <f>IF(COUNT(BV15,CA15,CF15)=0,"",SUM(BV15,CA15,CF15)/COUNT(BV15,CA15,CF15))</f>
        <v>4</v>
      </c>
      <c r="CI15" s="134" t="str">
        <f t="shared" si="19"/>
        <v>A</v>
      </c>
      <c r="CJ15" s="156"/>
      <c r="CK15" s="157" t="s">
        <v>26</v>
      </c>
      <c r="CL15" s="158"/>
      <c r="CM15" s="108">
        <f>IFERROR((((COUNTIF('Elève (6ème1)'!CJ15:CL15,"A"))*4)+((COUNTIF('Elève (6ème1)'!CJ15:CL15,"B"))*3)+((COUNTIF('Elève (6ème1)'!CJ15:CL15,"C"))*2)+((COUNTIF('Elève (6ème1)'!CJ15:CL15,"D"))*1))/(COUNTA(CJ15:CL15)),"")</f>
        <v>2</v>
      </c>
      <c r="CN15" s="109" t="str">
        <f t="shared" si="20"/>
        <v>C</v>
      </c>
      <c r="CO15" s="81"/>
      <c r="CP15" s="82"/>
      <c r="CQ15" s="83"/>
      <c r="CR15" s="108" t="str">
        <f>IFERROR((((COUNTIF('Elève (6ème1)'!CO15:CQ15,"A"))*4)+((COUNTIF('Elève (6ème1)'!CO15:CQ15,"B"))*3)+((COUNTIF('Elève (6ème1)'!CO15:CQ15,"C"))*2)+((COUNTIF('Elève (6ème1)'!CO15:CQ15,"D"))*1))/(COUNTA(CO15:CQ15)),"")</f>
        <v/>
      </c>
      <c r="CS15" s="109" t="str">
        <f t="shared" si="21"/>
        <v/>
      </c>
      <c r="CT15" s="81"/>
      <c r="CU15" s="82"/>
      <c r="CV15" s="83"/>
      <c r="CW15" s="108" t="str">
        <f>IFERROR((((COUNTIF('Elève (6ème1)'!CT15:CV15,"A"))*4)+((COUNTIF('Elève (6ème1)'!CT15:CV15,"B"))*3)+((COUNTIF('Elève (6ème1)'!CT15:CV15,"C"))*2)+((COUNTIF('Elève (6ème1)'!CT15:CV15,"D"))*1))/(COUNTA(CT15:CV15)),"")</f>
        <v/>
      </c>
      <c r="CX15" s="109" t="str">
        <f t="shared" si="22"/>
        <v/>
      </c>
      <c r="CY15" s="178">
        <f>IF(COUNT(CM15,CR15,CW15)=0,"",SUM(CM15,CR15,CW15)/COUNT(CM15,CR15,CW15))</f>
        <v>2</v>
      </c>
      <c r="CZ15" s="134" t="str">
        <f t="shared" si="23"/>
        <v>C</v>
      </c>
      <c r="DA15" s="156"/>
      <c r="DB15" s="157" t="s">
        <v>26</v>
      </c>
      <c r="DC15" s="158"/>
      <c r="DD15" s="108">
        <f>IFERROR((((COUNTIF('Elève (6ème1)'!DA15:DC15,"A"))*4)+((COUNTIF('Elève (6ème1)'!DA15:DC15,"B"))*3)+((COUNTIF('Elève (6ème1)'!DA15:DC15,"C"))*2)+((COUNTIF('Elève (6ème1)'!DA15:DC15,"D"))*1))/(COUNTA(DA15:DC15)),"")</f>
        <v>2</v>
      </c>
      <c r="DE15" s="109" t="str">
        <f t="shared" si="24"/>
        <v>C</v>
      </c>
      <c r="DF15" s="81"/>
      <c r="DG15" s="82"/>
      <c r="DH15" s="83"/>
      <c r="DI15" s="108" t="str">
        <f>IFERROR((((COUNTIF('Elève (6ème1)'!DF15:DH15,"A"))*4)+((COUNTIF('Elève (6ème1)'!DF15:DH15,"B"))*3)+((COUNTIF('Elève (6ème1)'!DF15:DH15,"C"))*2)+((COUNTIF('Elève (6ème1)'!DF15:DH15,"D"))*1))/(COUNTA(DF15:DH15)),"")</f>
        <v/>
      </c>
      <c r="DJ15" s="109" t="str">
        <f t="shared" si="25"/>
        <v/>
      </c>
      <c r="DK15" s="81"/>
      <c r="DL15" s="82"/>
      <c r="DM15" s="83"/>
      <c r="DN15" s="108" t="str">
        <f>IFERROR((((COUNTIF('Elève (6ème1)'!DK15:DM15,"A"))*4)+((COUNTIF('Elève (6ème1)'!DK15:DM15,"B"))*3)+((COUNTIF('Elève (6ème1)'!DK15:DM15,"C"))*2)+((COUNTIF('Elève (6ème1)'!DK15:DM15,"D"))*1))/(COUNTA(DK15:DM15)),"")</f>
        <v/>
      </c>
      <c r="DO15" s="109" t="str">
        <f t="shared" si="26"/>
        <v/>
      </c>
      <c r="DP15" s="178">
        <f>IF(COUNT(DD15,DI15,DN15)=0,"",SUM(DD15,DI15,DN15)/COUNT(DD15,DI15,DN15))</f>
        <v>2</v>
      </c>
      <c r="DQ15" s="134" t="str">
        <f t="shared" si="27"/>
        <v>C</v>
      </c>
      <c r="DR15" s="156"/>
      <c r="DS15" s="157" t="s">
        <v>26</v>
      </c>
      <c r="DT15" s="158"/>
      <c r="DU15" s="108">
        <f>IFERROR((((COUNTIF('Elève (6ème1)'!DR15:DT15,"A"))*4)+((COUNTIF('Elève (6ème1)'!DR15:DT15,"B"))*3)+((COUNTIF('Elève (6ème1)'!DR15:DT15,"C"))*2)+((COUNTIF('Elève (6ème1)'!DR15:DT15,"D"))*1))/(COUNTA(DR15:DT15)),"")</f>
        <v>2</v>
      </c>
      <c r="DV15" s="109" t="str">
        <f t="shared" si="28"/>
        <v>C</v>
      </c>
      <c r="DW15" s="81"/>
      <c r="DX15" s="82"/>
      <c r="DY15" s="83"/>
      <c r="DZ15" s="108" t="str">
        <f>IFERROR((((COUNTIF('Elève (6ème1)'!DW15:DY15,"A"))*4)+((COUNTIF('Elève (6ème1)'!DW15:DY15,"B"))*3)+((COUNTIF('Elève (6ème1)'!DW15:DY15,"C"))*2)+((COUNTIF('Elève (6ème1)'!DW15:DY15,"D"))*1))/(COUNTA(DW15:DY15)),"")</f>
        <v/>
      </c>
      <c r="EA15" s="109" t="str">
        <f t="shared" si="29"/>
        <v/>
      </c>
      <c r="EB15" s="81"/>
      <c r="EC15" s="82"/>
      <c r="ED15" s="83"/>
      <c r="EE15" s="108" t="str">
        <f>IFERROR((((COUNTIF('Elève (6ème1)'!EB15:ED15,"A"))*4)+((COUNTIF('Elève (6ème1)'!EB15:ED15,"B"))*3)+((COUNTIF('Elève (6ème1)'!EB15:ED15,"C"))*2)+((COUNTIF('Elève (6ème1)'!EB15:ED15,"D"))*1))/(COUNTA(EB15:ED15)),"")</f>
        <v/>
      </c>
      <c r="EF15" s="109" t="str">
        <f t="shared" si="30"/>
        <v/>
      </c>
      <c r="EG15" s="178">
        <f>IF(COUNT(DU15,DZ15,EE15)=0,"",SUM(DU15,DZ15,EE15)/COUNT(DU15,DZ15,EE15))</f>
        <v>2</v>
      </c>
      <c r="EH15" s="134" t="str">
        <f t="shared" si="31"/>
        <v>C</v>
      </c>
      <c r="EI15" s="156"/>
      <c r="EJ15" s="157" t="s">
        <v>24</v>
      </c>
      <c r="EK15" s="158"/>
      <c r="EL15" s="108">
        <f>IFERROR((((COUNTIF('Elève (6ème1)'!EI15:EK15,"A"))*4)+((COUNTIF('Elève (6ème1)'!EI15:EK15,"B"))*3)+((COUNTIF('Elève (6ème1)'!EI15:EK15,"C"))*2)+((COUNTIF('Elève (6ème1)'!EI15:EK15,"D"))*1))/(COUNTA(EI15:EK15)),"")</f>
        <v>4</v>
      </c>
      <c r="EM15" s="109" t="str">
        <f t="shared" si="32"/>
        <v>A</v>
      </c>
      <c r="EN15" s="81"/>
      <c r="EO15" s="82"/>
      <c r="EP15" s="83"/>
      <c r="EQ15" s="108" t="str">
        <f>IFERROR((((COUNTIF('Elève (6ème1)'!EN15:EP15,"A"))*4)+((COUNTIF('Elève (6ème1)'!EN15:EP15,"B"))*3)+((COUNTIF('Elève (6ème1)'!EN15:EP15,"C"))*2)+((COUNTIF('Elève (6ème1)'!EN15:EP15,"D"))*1))/(COUNTA(EN15:EP15)),"")</f>
        <v/>
      </c>
      <c r="ER15" s="109" t="str">
        <f t="shared" si="33"/>
        <v/>
      </c>
      <c r="ES15" s="81"/>
      <c r="ET15" s="82"/>
      <c r="EU15" s="83"/>
      <c r="EV15" s="108" t="str">
        <f>IFERROR((((COUNTIF('Elève (6ème1)'!ES15:EU15,"A"))*4)+((COUNTIF('Elève (6ème1)'!ES15:EU15,"B"))*3)+((COUNTIF('Elève (6ème1)'!ES15:EU15,"C"))*2)+((COUNTIF('Elève (6ème1)'!ES15:EU15,"D"))*1))/(COUNTA(ES15:EU15)),"")</f>
        <v/>
      </c>
      <c r="EW15" s="109" t="str">
        <f t="shared" si="34"/>
        <v/>
      </c>
      <c r="EX15" s="178">
        <f>IF(COUNT(EL15,EQ15,EV15)=0,"",SUM(EL15,EQ15,EV15)/COUNT(EL15,EQ15,EV15))</f>
        <v>4</v>
      </c>
      <c r="EY15" s="134" t="str">
        <f t="shared" si="35"/>
        <v>A</v>
      </c>
      <c r="EZ15" s="156"/>
      <c r="FA15" s="157" t="s">
        <v>26</v>
      </c>
      <c r="FB15" s="158"/>
      <c r="FC15" s="108">
        <f>IFERROR((((COUNTIF('Elève (6ème1)'!EZ15:FB15,"A"))*4)+((COUNTIF('Elève (6ème1)'!EZ15:FB15,"B"))*3)+((COUNTIF('Elève (6ème1)'!EZ15:FB15,"C"))*2)+((COUNTIF('Elève (6ème1)'!EZ15:FB15,"D"))*1))/(COUNTA(EZ15:FB15)),"")</f>
        <v>2</v>
      </c>
      <c r="FD15" s="109" t="str">
        <f t="shared" si="36"/>
        <v>C</v>
      </c>
      <c r="FE15" s="81"/>
      <c r="FF15" s="82"/>
      <c r="FG15" s="83"/>
      <c r="FH15" s="108" t="str">
        <f>IFERROR((((COUNTIF('Elève (6ème1)'!FE15:FG15,"A"))*4)+((COUNTIF('Elève (6ème1)'!FE15:FG15,"B"))*3)+((COUNTIF('Elève (6ème1)'!FE15:FG15,"C"))*2)+((COUNTIF('Elève (6ème1)'!FE15:FG15,"D"))*1))/(COUNTA(FE15:FG15)),"")</f>
        <v/>
      </c>
      <c r="FI15" s="109" t="str">
        <f t="shared" si="37"/>
        <v/>
      </c>
      <c r="FJ15" s="81"/>
      <c r="FK15" s="82"/>
      <c r="FL15" s="83"/>
      <c r="FM15" s="108" t="str">
        <f>IFERROR((((COUNTIF('Elève (6ème1)'!FJ15:FL15,"A"))*4)+((COUNTIF('Elève (6ème1)'!FJ15:FL15,"B"))*3)+((COUNTIF('Elève (6ème1)'!FJ15:FL15,"C"))*2)+((COUNTIF('Elève (6ème1)'!FJ15:FL15,"D"))*1))/(COUNTA(FJ15:FL15)),"")</f>
        <v/>
      </c>
      <c r="FN15" s="109" t="str">
        <f t="shared" si="38"/>
        <v/>
      </c>
      <c r="FO15" s="178">
        <f>IF(COUNT(FC15,FH15,FM15)=0,"",SUM(FC15,FH15,FM15)/COUNT(FC15,FH15,FM15))</f>
        <v>2</v>
      </c>
      <c r="FP15" s="134" t="str">
        <f t="shared" si="39"/>
        <v>C</v>
      </c>
      <c r="FQ15" s="156"/>
      <c r="FR15" s="157" t="s">
        <v>25</v>
      </c>
      <c r="FS15" s="158"/>
      <c r="FT15" s="108">
        <f>IFERROR((((COUNTIF('Elève (6ème1)'!FQ15:FS15,"A"))*4)+((COUNTIF('Elève (6ème1)'!FQ15:FS15,"B"))*3)+((COUNTIF('Elève (6ème1)'!FQ15:FS15,"C"))*2)+((COUNTIF('Elève (6ème1)'!FQ15:FS15,"D"))*1))/(COUNTA(FQ15:FS15)),"")</f>
        <v>3</v>
      </c>
      <c r="FU15" s="109" t="str">
        <f t="shared" si="40"/>
        <v>B</v>
      </c>
      <c r="FV15" s="81"/>
      <c r="FW15" s="82"/>
      <c r="FX15" s="83"/>
      <c r="FY15" s="108" t="str">
        <f>IFERROR((((COUNTIF('Elève (6ème1)'!FV15:FX15,"A"))*4)+((COUNTIF('Elève (6ème1)'!FV15:FX15,"B"))*3)+((COUNTIF('Elève (6ème1)'!FV15:FX15,"C"))*2)+((COUNTIF('Elève (6ème1)'!FV15:FX15,"D"))*1))/(COUNTA(FV15:FX15)),"")</f>
        <v/>
      </c>
      <c r="FZ15" s="109" t="str">
        <f t="shared" si="41"/>
        <v/>
      </c>
      <c r="GA15" s="81"/>
      <c r="GB15" s="82"/>
      <c r="GC15" s="83"/>
      <c r="GD15" s="108" t="str">
        <f>IFERROR((((COUNTIF('Elève (6ème1)'!GA15:GC15,"A"))*4)+((COUNTIF('Elève (6ème1)'!GA15:GC15,"B"))*3)+((COUNTIF('Elève (6ème1)'!GA15:GC15,"C"))*2)+((COUNTIF('Elève (6ème1)'!GA15:GC15,"D"))*1))/(COUNTA(GA15:GC15)),"")</f>
        <v/>
      </c>
      <c r="GE15" s="109" t="str">
        <f t="shared" si="42"/>
        <v/>
      </c>
      <c r="GF15" s="178">
        <f>IF(COUNT(FT15,FY15,GD15)=0,"",SUM(FT15,FY15,GD15)/COUNT(FT15,FY15,GD15))</f>
        <v>3</v>
      </c>
      <c r="GG15" s="134" t="str">
        <f t="shared" si="43"/>
        <v>B</v>
      </c>
      <c r="GH15" s="156"/>
      <c r="GI15" s="157" t="s">
        <v>26</v>
      </c>
      <c r="GJ15" s="158"/>
      <c r="GK15" s="108">
        <f>IFERROR((((COUNTIF('Elève (6ème1)'!GH15:GJ15,"A"))*4)+((COUNTIF('Elève (6ème1)'!GH15:GJ15,"B"))*3)+((COUNTIF('Elève (6ème1)'!GH15:GJ15,"C"))*2)+((COUNTIF('Elève (6ème1)'!GH15:GJ15,"D"))*1))/(COUNTA(GH15:GJ15)),"")</f>
        <v>2</v>
      </c>
      <c r="GL15" s="109" t="str">
        <f t="shared" si="44"/>
        <v>C</v>
      </c>
      <c r="GM15" s="81"/>
      <c r="GN15" s="82"/>
      <c r="GO15" s="83"/>
      <c r="GP15" s="108" t="str">
        <f>IFERROR((((COUNTIF('Elève (6ème1)'!GM15:GO15,"A"))*4)+((COUNTIF('Elève (6ème1)'!GM15:GO15,"B"))*3)+((COUNTIF('Elève (6ème1)'!GM15:GO15,"C"))*2)+((COUNTIF('Elève (6ème1)'!GM15:GO15,"D"))*1))/(COUNTA(GM15:GO15)),"")</f>
        <v/>
      </c>
      <c r="GQ15" s="109" t="str">
        <f t="shared" si="45"/>
        <v/>
      </c>
      <c r="GR15" s="81"/>
      <c r="GS15" s="82"/>
      <c r="GT15" s="83"/>
      <c r="GU15" s="108" t="str">
        <f>IFERROR((((COUNTIF('Elève (6ème1)'!GR15:GT15,"A"))*4)+((COUNTIF('Elève (6ème1)'!GR15:GT15,"B"))*3)+((COUNTIF('Elève (6ème1)'!GR15:GT15,"C"))*2)+((COUNTIF('Elève (6ème1)'!GR15:GT15,"D"))*1))/(COUNTA(GR15:GT15)),"")</f>
        <v/>
      </c>
      <c r="GV15" s="109" t="str">
        <f t="shared" si="46"/>
        <v/>
      </c>
      <c r="GW15" s="178">
        <f>IF(COUNT(GK15,GP15,GU15)=0,"",SUM(GK15,GP15,GU15)/COUNT(GK15,GP15,GU15))</f>
        <v>2</v>
      </c>
      <c r="GX15" s="134" t="str">
        <f t="shared" si="47"/>
        <v>C</v>
      </c>
      <c r="GY15" s="156"/>
      <c r="GZ15" s="157" t="s">
        <v>27</v>
      </c>
      <c r="HA15" s="158"/>
      <c r="HB15" s="108">
        <f>IFERROR((((COUNTIF('Elève (6ème1)'!GY15:HA15,"A"))*4)+((COUNTIF('Elève (6ème1)'!GY15:HA15,"B"))*3)+((COUNTIF('Elève (6ème1)'!GY15:HA15,"C"))*2)+((COUNTIF('Elève (6ème1)'!GY15:HA15,"D"))*1))/(COUNTA(GY15:HA15)),"")</f>
        <v>1</v>
      </c>
      <c r="HC15" s="109" t="str">
        <f t="shared" si="48"/>
        <v>D</v>
      </c>
      <c r="HD15" s="81"/>
      <c r="HE15" s="82"/>
      <c r="HF15" s="83"/>
      <c r="HG15" s="108" t="str">
        <f>IFERROR((((COUNTIF('Elève (6ème1)'!HD15:HF15,"A"))*4)+((COUNTIF('Elève (6ème1)'!HD15:HF15,"B"))*3)+((COUNTIF('Elève (6ème1)'!HD15:HF15,"C"))*2)+((COUNTIF('Elève (6ème1)'!HD15:HF15,"D"))*1))/(COUNTA(HD15:HF15)),"")</f>
        <v/>
      </c>
      <c r="HH15" s="109" t="str">
        <f t="shared" si="49"/>
        <v/>
      </c>
      <c r="HI15" s="81"/>
      <c r="HJ15" s="82"/>
      <c r="HK15" s="83"/>
      <c r="HL15" s="108" t="str">
        <f>IFERROR((((COUNTIF('Elève (6ème1)'!HI15:HK15,"A"))*4)+((COUNTIF('Elève (6ème1)'!HI15:HK15,"B"))*3)+((COUNTIF('Elève (6ème1)'!HI15:HK15,"C"))*2)+((COUNTIF('Elève (6ème1)'!HI15:HK15,"D"))*1))/(COUNTA(HI15:HK15)),"")</f>
        <v/>
      </c>
      <c r="HM15" s="109" t="str">
        <f t="shared" si="50"/>
        <v/>
      </c>
      <c r="HN15" s="178">
        <f>IF(COUNT(HB15,HG15,HL15)=0,"",SUM(HB15,HG15,HL15)/COUNT(HB15,HG15,HL15))</f>
        <v>1</v>
      </c>
      <c r="HO15" s="134" t="str">
        <f t="shared" si="51"/>
        <v>D</v>
      </c>
      <c r="HP15" s="156"/>
      <c r="HQ15" s="157" t="s">
        <v>27</v>
      </c>
      <c r="HR15" s="158"/>
      <c r="HS15" s="108">
        <f>IFERROR((((COUNTIF('Elève (6ème1)'!HP15:HR15,"A"))*4)+((COUNTIF('Elève (6ème1)'!HP15:HR15,"B"))*3)+((COUNTIF('Elève (6ème1)'!HP15:HR15,"C"))*2)+((COUNTIF('Elève (6ème1)'!HP15:HR15,"D"))*1))/(COUNTA(HP15:HR15)),"")</f>
        <v>1</v>
      </c>
      <c r="HT15" s="109" t="str">
        <f t="shared" si="52"/>
        <v>D</v>
      </c>
      <c r="HU15" s="81"/>
      <c r="HV15" s="82"/>
      <c r="HW15" s="83"/>
      <c r="HX15" s="108" t="str">
        <f>IFERROR((((COUNTIF('Elève (6ème1)'!HU15:HW15,"A"))*4)+((COUNTIF('Elève (6ème1)'!HU15:HW15,"B"))*3)+((COUNTIF('Elève (6ème1)'!HU15:HW15,"C"))*2)+((COUNTIF('Elève (6ème1)'!HU15:HW15,"D"))*1))/(COUNTA(HU15:HW15)),"")</f>
        <v/>
      </c>
      <c r="HY15" s="109" t="str">
        <f t="shared" si="53"/>
        <v/>
      </c>
      <c r="HZ15" s="81"/>
      <c r="IA15" s="82"/>
      <c r="IB15" s="83"/>
      <c r="IC15" s="108" t="str">
        <f>IFERROR((((COUNTIF('Elève (6ème1)'!HZ15:IB15,"A"))*4)+((COUNTIF('Elève (6ème1)'!HZ15:IB15,"B"))*3)+((COUNTIF('Elève (6ème1)'!HZ15:IB15,"C"))*2)+((COUNTIF('Elève (6ème1)'!HZ15:IB15,"D"))*1))/(COUNTA(HZ15:IB15)),"")</f>
        <v/>
      </c>
      <c r="ID15" s="109" t="str">
        <f t="shared" si="54"/>
        <v/>
      </c>
      <c r="IE15" s="178">
        <f>IF(COUNT(HS15,HX15,IC15)=0,"",SUM(HS15,HX15,IC15)/COUNT(HS15,HX15,IC15))</f>
        <v>1</v>
      </c>
      <c r="IF15" s="134" t="str">
        <f t="shared" si="55"/>
        <v>D</v>
      </c>
      <c r="IG15" s="156"/>
      <c r="IH15" s="157" t="s">
        <v>25</v>
      </c>
      <c r="II15" s="158"/>
      <c r="IJ15" s="108">
        <f>IFERROR((((COUNTIF('Elève (6ème1)'!IG15:II15,"A"))*4)+((COUNTIF('Elève (6ème1)'!IG15:II15,"B"))*3)+((COUNTIF('Elève (6ème1)'!IG15:II15,"C"))*2)+((COUNTIF('Elève (6ème1)'!IG15:II15,"D"))*1))/(COUNTA(IG15:II15)),"")</f>
        <v>3</v>
      </c>
      <c r="IK15" s="109" t="str">
        <f t="shared" si="56"/>
        <v>B</v>
      </c>
      <c r="IL15" s="81"/>
      <c r="IM15" s="82"/>
      <c r="IN15" s="83"/>
      <c r="IO15" s="108" t="str">
        <f>IFERROR((((COUNTIF('Elève (6ème1)'!IL15:IN15,"A"))*4)+((COUNTIF('Elève (6ème1)'!IL15:IN15,"B"))*3)+((COUNTIF('Elève (6ème1)'!IL15:IN15,"C"))*2)+((COUNTIF('Elève (6ème1)'!IL15:IN15,"D"))*1))/(COUNTA(IL15:IN15)),"")</f>
        <v/>
      </c>
      <c r="IP15" s="109" t="str">
        <f t="shared" si="57"/>
        <v/>
      </c>
      <c r="IQ15" s="81"/>
      <c r="IR15" s="82"/>
      <c r="IS15" s="83"/>
      <c r="IT15" s="108" t="str">
        <f>IFERROR((((COUNTIF('Elève (6ème1)'!IQ15:IS15,"A"))*4)+((COUNTIF('Elève (6ème1)'!IQ15:IS15,"B"))*3)+((COUNTIF('Elève (6ème1)'!IQ15:IS15,"C"))*2)+((COUNTIF('Elève (6ème1)'!IQ15:IS15,"D"))*1))/(COUNTA(IQ15:IS15)),"")</f>
        <v/>
      </c>
      <c r="IU15" s="109" t="str">
        <f t="shared" si="58"/>
        <v/>
      </c>
      <c r="IV15" s="178">
        <f>IF(COUNT(IJ15,IO15,IT15)=0,"",SUM(IJ15,IO15,IT15)/COUNT(IJ15,IO15,IT15))</f>
        <v>3</v>
      </c>
      <c r="IW15" s="134" t="str">
        <f t="shared" si="59"/>
        <v>B</v>
      </c>
      <c r="IX15" s="156"/>
      <c r="IY15" s="157" t="s">
        <v>26</v>
      </c>
      <c r="IZ15" s="158"/>
      <c r="JA15" s="108">
        <f>IFERROR((((COUNTIF('Elève (6ème1)'!IX15:IZ15,"A"))*4)+((COUNTIF('Elève (6ème1)'!IX15:IZ15,"B"))*3)+((COUNTIF('Elève (6ème1)'!IX15:IZ15,"C"))*2)+((COUNTIF('Elève (6ème1)'!IX15:IZ15,"D"))*1))/(COUNTA(IX15:IZ15)),"")</f>
        <v>2</v>
      </c>
      <c r="JB15" s="109" t="str">
        <f t="shared" si="60"/>
        <v>C</v>
      </c>
      <c r="JC15" s="81"/>
      <c r="JD15" s="82"/>
      <c r="JE15" s="83"/>
      <c r="JF15" s="108" t="str">
        <f>IFERROR((((COUNTIF('Elève (6ème1)'!JC15:JE15,"A"))*4)+((COUNTIF('Elève (6ème1)'!JC15:JE15,"B"))*3)+((COUNTIF('Elève (6ème1)'!JC15:JE15,"C"))*2)+((COUNTIF('Elève (6ème1)'!JC15:JE15,"D"))*1))/(COUNTA(JC15:JE15)),"")</f>
        <v/>
      </c>
      <c r="JG15" s="109" t="str">
        <f t="shared" si="61"/>
        <v/>
      </c>
      <c r="JH15" s="81"/>
      <c r="JI15" s="82"/>
      <c r="JJ15" s="83"/>
      <c r="JK15" s="108" t="str">
        <f>IFERROR((((COUNTIF('Elève (6ème1)'!JH15:JJ15,"A"))*4)+((COUNTIF('Elève (6ème1)'!JH15:JJ15,"B"))*3)+((COUNTIF('Elève (6ème1)'!JH15:JJ15,"C"))*2)+((COUNTIF('Elève (6ème1)'!JH15:JJ15,"D"))*1))/(COUNTA(JH15:JJ15)),"")</f>
        <v/>
      </c>
      <c r="JL15" s="109" t="str">
        <f t="shared" si="62"/>
        <v/>
      </c>
      <c r="JM15" s="178">
        <f>IF(COUNT(JA15,JF15,JK15)=0,"",SUM(JA15,JF15,JK15)/COUNT(JA15,JF15,JK15))</f>
        <v>2</v>
      </c>
      <c r="JN15" s="134" t="str">
        <f t="shared" si="63"/>
        <v>C</v>
      </c>
      <c r="JO15" s="156"/>
      <c r="JP15" s="157" t="s">
        <v>27</v>
      </c>
      <c r="JQ15" s="158"/>
      <c r="JR15" s="108">
        <f>IFERROR((((COUNTIF('Elève (6ème1)'!JO15:JQ15,"A"))*4)+((COUNTIF('Elève (6ème1)'!JO15:JQ15,"B"))*3)+((COUNTIF('Elève (6ème1)'!JO15:JQ15,"C"))*2)+((COUNTIF('Elève (6ème1)'!JO15:JQ15,"D"))*1))/(COUNTA(JO15:JQ15)),"")</f>
        <v>1</v>
      </c>
      <c r="JS15" s="109" t="str">
        <f t="shared" si="64"/>
        <v>D</v>
      </c>
      <c r="JT15" s="81"/>
      <c r="JU15" s="82"/>
      <c r="JV15" s="83"/>
      <c r="JW15" s="108" t="str">
        <f>IFERROR((((COUNTIF('Elève (6ème1)'!JT15:JV15,"A"))*4)+((COUNTIF('Elève (6ème1)'!JT15:JV15,"B"))*3)+((COUNTIF('Elève (6ème1)'!JT15:JV15,"C"))*2)+((COUNTIF('Elève (6ème1)'!JT15:JV15,"D"))*1))/(COUNTA(JT15:JV15)),"")</f>
        <v/>
      </c>
      <c r="JX15" s="109" t="str">
        <f t="shared" si="65"/>
        <v/>
      </c>
      <c r="JY15" s="81"/>
      <c r="JZ15" s="82"/>
      <c r="KA15" s="83"/>
      <c r="KB15" s="108" t="str">
        <f>IFERROR((((COUNTIF('Elève (6ème1)'!JY15:KA15,"A"))*4)+((COUNTIF('Elève (6ème1)'!JY15:KA15,"B"))*3)+((COUNTIF('Elève (6ème1)'!JY15:KA15,"C"))*2)+((COUNTIF('Elève (6ème1)'!JY15:KA15,"D"))*1))/(COUNTA(JY15:KA15)),"")</f>
        <v/>
      </c>
      <c r="KC15" s="109" t="str">
        <f t="shared" si="66"/>
        <v/>
      </c>
      <c r="KD15" s="178">
        <f>IF(COUNT(JR15,JW15,KB15)=0,"",SUM(JR15,JW15,KB15)/COUNT(JR15,JW15,KB15))</f>
        <v>1</v>
      </c>
      <c r="KE15" s="134" t="str">
        <f t="shared" si="67"/>
        <v>D</v>
      </c>
      <c r="KF15" s="156"/>
      <c r="KG15" s="157" t="s">
        <v>26</v>
      </c>
      <c r="KH15" s="158"/>
      <c r="KI15" s="108">
        <f>IFERROR((((COUNTIF('Elève (6ème1)'!KF15:KH15,"A"))*4)+((COUNTIF('Elève (6ème1)'!KF15:KH15,"B"))*3)+((COUNTIF('Elève (6ème1)'!KF15:KH15,"C"))*2)+((COUNTIF('Elève (6ème1)'!KF15:KH15,"D"))*1))/(COUNTA(KF15:KH15)),"")</f>
        <v>2</v>
      </c>
      <c r="KJ15" s="109" t="str">
        <f t="shared" si="68"/>
        <v>C</v>
      </c>
      <c r="KK15" s="81"/>
      <c r="KL15" s="82"/>
      <c r="KM15" s="83"/>
      <c r="KN15" s="108" t="str">
        <f>IFERROR((((COUNTIF('Elève (6ème1)'!KK15:KM15,"A"))*4)+((COUNTIF('Elève (6ème1)'!KK15:KM15,"B"))*3)+((COUNTIF('Elève (6ème1)'!KK15:KM15,"C"))*2)+((COUNTIF('Elève (6ème1)'!KK15:KM15,"D"))*1))/(COUNTA(KK15:KM15)),"")</f>
        <v/>
      </c>
      <c r="KO15" s="109" t="str">
        <f t="shared" si="69"/>
        <v/>
      </c>
      <c r="KP15" s="81"/>
      <c r="KQ15" s="82"/>
      <c r="KR15" s="83"/>
      <c r="KS15" s="108" t="str">
        <f>IFERROR((((COUNTIF('Elève (6ème1)'!KP15:KR15,"A"))*4)+((COUNTIF('Elève (6ème1)'!KP15:KR15,"B"))*3)+((COUNTIF('Elève (6ème1)'!KP15:KR15,"C"))*2)+((COUNTIF('Elève (6ème1)'!KP15:KR15,"D"))*1))/(COUNTA(KP15:KR15)),"")</f>
        <v/>
      </c>
      <c r="KT15" s="109" t="str">
        <f t="shared" si="70"/>
        <v/>
      </c>
      <c r="KU15" s="178">
        <f>IF(COUNT(KI15,KN15,KS15)=0,"",SUM(KI15,KN15,KS15)/COUNT(KI15,KN15,KS15))</f>
        <v>2</v>
      </c>
      <c r="KV15" s="134" t="str">
        <f t="shared" si="71"/>
        <v>C</v>
      </c>
      <c r="KW15" s="156"/>
      <c r="KX15" s="157" t="s">
        <v>26</v>
      </c>
      <c r="KY15" s="158"/>
      <c r="KZ15" s="108">
        <f>IFERROR((((COUNTIF('Elève (6ème1)'!KW15:KY15,"A"))*4)+((COUNTIF('Elève (6ème1)'!KW15:KY15,"B"))*3)+((COUNTIF('Elève (6ème1)'!KW15:KY15,"C"))*2)+((COUNTIF('Elève (6ème1)'!KW15:KY15,"D"))*1))/(COUNTA(KW15:KY15)),"")</f>
        <v>2</v>
      </c>
      <c r="LA15" s="109" t="str">
        <f t="shared" si="72"/>
        <v>C</v>
      </c>
      <c r="LB15" s="81"/>
      <c r="LC15" s="82"/>
      <c r="LD15" s="83"/>
      <c r="LE15" s="108" t="str">
        <f>IFERROR((((COUNTIF('Elève (6ème1)'!LB15:LD15,"A"))*4)+((COUNTIF('Elève (6ème1)'!LB15:LD15,"B"))*3)+((COUNTIF('Elève (6ème1)'!LB15:LD15,"C"))*2)+((COUNTIF('Elève (6ème1)'!LB15:LD15,"D"))*1))/(COUNTA(LB15:LD15)),"")</f>
        <v/>
      </c>
      <c r="LF15" s="109" t="str">
        <f t="shared" si="73"/>
        <v/>
      </c>
      <c r="LG15" s="81"/>
      <c r="LH15" s="82"/>
      <c r="LI15" s="83"/>
      <c r="LJ15" s="108" t="str">
        <f>IFERROR((((COUNTIF('Elève (6ème1)'!LG15:LI15,"A"))*4)+((COUNTIF('Elève (6ème1)'!LG15:LI15,"B"))*3)+((COUNTIF('Elève (6ème1)'!LG15:LI15,"C"))*2)+((COUNTIF('Elève (6ème1)'!LG15:LI15,"D"))*1))/(COUNTA(LG15:LI15)),"")</f>
        <v/>
      </c>
      <c r="LK15" s="109" t="str">
        <f t="shared" si="74"/>
        <v/>
      </c>
      <c r="LL15" s="178">
        <f>IF(COUNT(KZ15,LE15,LJ15)=0,"",SUM(KZ15,LE15,LJ15)/COUNT(KZ15,LE15,LJ15))</f>
        <v>2</v>
      </c>
      <c r="LM15" s="134" t="str">
        <f t="shared" si="75"/>
        <v>C</v>
      </c>
      <c r="LN15" s="156"/>
      <c r="LO15" s="157" t="s">
        <v>26</v>
      </c>
      <c r="LP15" s="158"/>
      <c r="LQ15" s="108">
        <f>IFERROR((((COUNTIF('Elève (6ème1)'!LN15:LP15,"A"))*4)+((COUNTIF('Elève (6ème1)'!LN15:LP15,"B"))*3)+((COUNTIF('Elève (6ème1)'!LN15:LP15,"C"))*2)+((COUNTIF('Elève (6ème1)'!LN15:LP15,"D"))*1))/(COUNTA(LN15:LP15)),"")</f>
        <v>2</v>
      </c>
      <c r="LR15" s="109" t="str">
        <f t="shared" si="76"/>
        <v>C</v>
      </c>
      <c r="LS15" s="81"/>
      <c r="LT15" s="82"/>
      <c r="LU15" s="83"/>
      <c r="LV15" s="108" t="str">
        <f>IFERROR((((COUNTIF('Elève (6ème1)'!LS15:LU15,"A"))*4)+((COUNTIF('Elève (6ème1)'!LS15:LU15,"B"))*3)+((COUNTIF('Elève (6ème1)'!LS15:LU15,"C"))*2)+((COUNTIF('Elève (6ème1)'!LS15:LU15,"D"))*1))/(COUNTA(LS15:LU15)),"")</f>
        <v/>
      </c>
      <c r="LW15" s="109" t="str">
        <f t="shared" si="77"/>
        <v/>
      </c>
      <c r="LX15" s="81"/>
      <c r="LY15" s="82"/>
      <c r="LZ15" s="83"/>
      <c r="MA15" s="108" t="str">
        <f>IFERROR((((COUNTIF('Elève (6ème1)'!LX15:LZ15,"A"))*4)+((COUNTIF('Elève (6ème1)'!LX15:LZ15,"B"))*3)+((COUNTIF('Elève (6ème1)'!LX15:LZ15,"C"))*2)+((COUNTIF('Elève (6ème1)'!LX15:LZ15,"D"))*1))/(COUNTA(LX15:LZ15)),"")</f>
        <v/>
      </c>
      <c r="MB15" s="109" t="str">
        <f t="shared" si="78"/>
        <v/>
      </c>
      <c r="MC15" s="178">
        <f>IF(COUNT(LQ15,LV15,MA15)=0,"",SUM(LQ15,LV15,MA15)/COUNT(LQ15,LV15,MA15))</f>
        <v>2</v>
      </c>
      <c r="MD15" s="134" t="str">
        <f t="shared" si="79"/>
        <v>C</v>
      </c>
      <c r="ME15" s="156"/>
      <c r="MF15" s="157" t="s">
        <v>25</v>
      </c>
      <c r="MG15" s="158"/>
      <c r="MH15" s="108">
        <f>IFERROR((((COUNTIF('Elève (6ème1)'!ME15:MG15,"A"))*4)+((COUNTIF('Elève (6ème1)'!ME15:MG15,"B"))*3)+((COUNTIF('Elève (6ème1)'!ME15:MG15,"C"))*2)+((COUNTIF('Elève (6ème1)'!ME15:MG15,"D"))*1))/(COUNTA(ME15:MG15)),"")</f>
        <v>3</v>
      </c>
      <c r="MI15" s="109" t="str">
        <f t="shared" si="80"/>
        <v>B</v>
      </c>
      <c r="MJ15" s="81"/>
      <c r="MK15" s="82"/>
      <c r="ML15" s="83"/>
      <c r="MM15" s="108" t="str">
        <f>IFERROR((((COUNTIF('Elève (6ème1)'!MJ15:ML15,"A"))*4)+((COUNTIF('Elève (6ème1)'!MJ15:ML15,"B"))*3)+((COUNTIF('Elève (6ème1)'!MJ15:ML15,"C"))*2)+((COUNTIF('Elève (6ème1)'!MJ15:ML15,"D"))*1))/(COUNTA(MJ15:ML15)),"")</f>
        <v/>
      </c>
      <c r="MN15" s="109" t="str">
        <f t="shared" si="81"/>
        <v/>
      </c>
      <c r="MO15" s="81"/>
      <c r="MP15" s="82"/>
      <c r="MQ15" s="83"/>
      <c r="MR15" s="108" t="str">
        <f>IFERROR((((COUNTIF('Elève (6ème1)'!MO15:MQ15,"A"))*4)+((COUNTIF('Elève (6ème1)'!MO15:MQ15,"B"))*3)+((COUNTIF('Elève (6ème1)'!MO15:MQ15,"C"))*2)+((COUNTIF('Elève (6ème1)'!MO15:MQ15,"D"))*1))/(COUNTA(MO15:MQ15)),"")</f>
        <v/>
      </c>
      <c r="MS15" s="109" t="str">
        <f t="shared" si="82"/>
        <v/>
      </c>
      <c r="MT15" s="178">
        <f>IF(COUNT(MH15,MM15,MR15)=0,"",SUM(MH15,MM15,MR15)/COUNT(MH15,MM15,MR15))</f>
        <v>3</v>
      </c>
      <c r="MU15" s="134" t="str">
        <f t="shared" si="83"/>
        <v>B</v>
      </c>
      <c r="MV15" s="156"/>
      <c r="MW15" s="157" t="s">
        <v>25</v>
      </c>
      <c r="MX15" s="158"/>
      <c r="MY15" s="108">
        <f>IFERROR((((COUNTIF('Elève (6ème1)'!MV15:MX15,"A"))*4)+((COUNTIF('Elève (6ème1)'!MV15:MX15,"B"))*3)+((COUNTIF('Elève (6ème1)'!MV15:MX15,"C"))*2)+((COUNTIF('Elève (6ème1)'!MV15:MX15,"D"))*1))/(COUNTA(MV15:MX15)),"")</f>
        <v>3</v>
      </c>
      <c r="MZ15" s="109" t="str">
        <f t="shared" si="84"/>
        <v>B</v>
      </c>
      <c r="NA15" s="81"/>
      <c r="NB15" s="82"/>
      <c r="NC15" s="83"/>
      <c r="ND15" s="108" t="str">
        <f>IFERROR((((COUNTIF('Elève (6ème1)'!NA15:NC15,"A"))*4)+((COUNTIF('Elève (6ème1)'!NA15:NC15,"B"))*3)+((COUNTIF('Elève (6ème1)'!NA15:NC15,"C"))*2)+((COUNTIF('Elève (6ème1)'!NA15:NC15,"D"))*1))/(COUNTA(NA15:NC15)),"")</f>
        <v/>
      </c>
      <c r="NE15" s="109" t="str">
        <f t="shared" si="85"/>
        <v/>
      </c>
      <c r="NF15" s="81"/>
      <c r="NG15" s="82"/>
      <c r="NH15" s="83"/>
      <c r="NI15" s="108" t="str">
        <f>IFERROR((((COUNTIF('Elève (6ème1)'!NF15:NH15,"A"))*4)+((COUNTIF('Elève (6ème1)'!NF15:NH15,"B"))*3)+((COUNTIF('Elève (6ème1)'!NF15:NH15,"C"))*2)+((COUNTIF('Elève (6ème1)'!NF15:NH15,"D"))*1))/(COUNTA(NF15:NH15)),"")</f>
        <v/>
      </c>
      <c r="NJ15" s="109" t="str">
        <f t="shared" si="86"/>
        <v/>
      </c>
      <c r="NK15" s="178">
        <f>IF(COUNT(MY15,ND15,NI15)=0,"",SUM(MY15,ND15,NI15)/COUNT(MY15,ND15,NI15))</f>
        <v>3</v>
      </c>
      <c r="NL15" s="134" t="str">
        <f t="shared" si="87"/>
        <v>B</v>
      </c>
      <c r="NM15" s="156"/>
      <c r="NN15" s="157" t="s">
        <v>24</v>
      </c>
      <c r="NO15" s="158"/>
      <c r="NP15" s="108">
        <f>IFERROR((((COUNTIF('Elève (6ème1)'!NM15:NO15,"A"))*4)+((COUNTIF('Elève (6ème1)'!NM15:NO15,"B"))*3)+((COUNTIF('Elève (6ème1)'!NM15:NO15,"C"))*2)+((COUNTIF('Elève (6ème1)'!NM15:NO15,"D"))*1))/(COUNTA(NM15:NO15)),"")</f>
        <v>4</v>
      </c>
      <c r="NQ15" s="109" t="str">
        <f t="shared" si="88"/>
        <v>A</v>
      </c>
      <c r="NR15" s="81"/>
      <c r="NS15" s="82"/>
      <c r="NT15" s="83"/>
      <c r="NU15" s="108" t="str">
        <f>IFERROR((((COUNTIF('Elève (6ème1)'!NR15:NT15,"A"))*4)+((COUNTIF('Elève (6ème1)'!NR15:NT15,"B"))*3)+((COUNTIF('Elève (6ème1)'!NR15:NT15,"C"))*2)+((COUNTIF('Elève (6ème1)'!NR15:NT15,"D"))*1))/(COUNTA(NR15:NT15)),"")</f>
        <v/>
      </c>
      <c r="NV15" s="109" t="str">
        <f t="shared" si="89"/>
        <v/>
      </c>
      <c r="NW15" s="81"/>
      <c r="NX15" s="82"/>
      <c r="NY15" s="83"/>
      <c r="NZ15" s="108" t="str">
        <f>IFERROR((((COUNTIF('Elève (6ème1)'!NW15:NY15,"A"))*4)+((COUNTIF('Elève (6ème1)'!NW15:NY15,"B"))*3)+((COUNTIF('Elève (6ème1)'!NW15:NY15,"C"))*2)+((COUNTIF('Elève (6ème1)'!NW15:NY15,"D"))*1))/(COUNTA(NW15:NY15)),"")</f>
        <v/>
      </c>
      <c r="OA15" s="109" t="str">
        <f t="shared" si="90"/>
        <v/>
      </c>
      <c r="OB15" s="178">
        <f>IF(COUNT(NP15,NU15,NZ15)=0,"",SUM(NP15,NU15,NZ15)/COUNT(NP15,NU15,NZ15))</f>
        <v>4</v>
      </c>
      <c r="OC15" s="134" t="str">
        <f t="shared" si="91"/>
        <v>A</v>
      </c>
      <c r="OD15" s="156"/>
      <c r="OE15" s="157" t="s">
        <v>26</v>
      </c>
      <c r="OF15" s="158"/>
      <c r="OG15" s="108">
        <f>IFERROR((((COUNTIF('Elève (6ème1)'!OD15:OF15,"A"))*4)+((COUNTIF('Elève (6ème1)'!OD15:OF15,"B"))*3)+((COUNTIF('Elève (6ème1)'!OD15:OF15,"C"))*2)+((COUNTIF('Elève (6ème1)'!OD15:OF15,"D"))*1))/(COUNTA(OD15:OF15)),"")</f>
        <v>2</v>
      </c>
      <c r="OH15" s="109" t="str">
        <f t="shared" si="92"/>
        <v>C</v>
      </c>
      <c r="OI15" s="81"/>
      <c r="OJ15" s="82"/>
      <c r="OK15" s="83"/>
      <c r="OL15" s="108" t="str">
        <f>IFERROR((((COUNTIF('Elève (6ème1)'!OI15:OK15,"A"))*4)+((COUNTIF('Elève (6ème1)'!OI15:OK15,"B"))*3)+((COUNTIF('Elève (6ème1)'!OI15:OK15,"C"))*2)+((COUNTIF('Elève (6ème1)'!OI15:OK15,"D"))*1))/(COUNTA(OI15:OK15)),"")</f>
        <v/>
      </c>
      <c r="OM15" s="109" t="str">
        <f t="shared" si="93"/>
        <v/>
      </c>
      <c r="ON15" s="81"/>
      <c r="OO15" s="82"/>
      <c r="OP15" s="83"/>
      <c r="OQ15" s="108" t="str">
        <f>IFERROR((((COUNTIF('Elève (6ème1)'!ON15:OP15,"A"))*4)+((COUNTIF('Elève (6ème1)'!ON15:OP15,"B"))*3)+((COUNTIF('Elève (6ème1)'!ON15:OP15,"C"))*2)+((COUNTIF('Elève (6ème1)'!ON15:OP15,"D"))*1))/(COUNTA(ON15:OP15)),"")</f>
        <v/>
      </c>
      <c r="OR15" s="109" t="str">
        <f t="shared" si="94"/>
        <v/>
      </c>
      <c r="OS15" s="178">
        <f>IF(COUNT(OG15,OL15,OQ15)=0,"",SUM(OG15,OL15,OQ15)/COUNT(OG15,OL15,OQ15))</f>
        <v>2</v>
      </c>
      <c r="OT15" s="134" t="str">
        <f t="shared" si="95"/>
        <v>C</v>
      </c>
      <c r="OU15" s="156"/>
      <c r="OV15" s="157" t="s">
        <v>24</v>
      </c>
      <c r="OW15" s="158"/>
      <c r="OX15" s="108">
        <f>IFERROR((((COUNTIF('Elève (6ème1)'!OU15:OW15,"A"))*4)+((COUNTIF('Elève (6ème1)'!OU15:OW15,"B"))*3)+((COUNTIF('Elève (6ème1)'!OU15:OW15,"C"))*2)+((COUNTIF('Elève (6ème1)'!OU15:OW15,"D"))*1))/(COUNTA(OU15:OW15)),"")</f>
        <v>4</v>
      </c>
      <c r="OY15" s="109" t="str">
        <f t="shared" si="96"/>
        <v>A</v>
      </c>
      <c r="OZ15" s="81"/>
      <c r="PA15" s="82"/>
      <c r="PB15" s="83"/>
      <c r="PC15" s="108" t="str">
        <f>IFERROR((((COUNTIF('Elève (6ème1)'!OZ15:PB15,"A"))*4)+((COUNTIF('Elève (6ème1)'!OZ15:PB15,"B"))*3)+((COUNTIF('Elève (6ème1)'!OZ15:PB15,"C"))*2)+((COUNTIF('Elève (6ème1)'!OZ15:PB15,"D"))*1))/(COUNTA(OZ15:PB15)),"")</f>
        <v/>
      </c>
      <c r="PD15" s="109" t="str">
        <f t="shared" si="97"/>
        <v/>
      </c>
      <c r="PE15" s="81"/>
      <c r="PF15" s="82"/>
      <c r="PG15" s="83"/>
      <c r="PH15" s="108" t="str">
        <f>IFERROR((((COUNTIF('Elève (6ème1)'!PE15:PG15,"A"))*4)+((COUNTIF('Elève (6ème1)'!PE15:PG15,"B"))*3)+((COUNTIF('Elève (6ème1)'!PE15:PG15,"C"))*2)+((COUNTIF('Elève (6ème1)'!PE15:PG15,"D"))*1))/(COUNTA(PE15:PG15)),"")</f>
        <v/>
      </c>
      <c r="PI15" s="109" t="str">
        <f t="shared" si="98"/>
        <v/>
      </c>
      <c r="PJ15" s="178">
        <f>IF(COUNT(OX15,PC15,PH15)=0,"",SUM(OX15,PC15,PH15)/COUNT(OX15,PC15,PH15))</f>
        <v>4</v>
      </c>
      <c r="PK15" s="134" t="str">
        <f t="shared" si="99"/>
        <v>A</v>
      </c>
      <c r="PL15" s="156"/>
      <c r="PM15" s="157" t="s">
        <v>24</v>
      </c>
      <c r="PN15" s="158"/>
      <c r="PO15" s="108">
        <f>IFERROR((((COUNTIF('Elève (6ème1)'!PL15:PN15,"A"))*4)+((COUNTIF('Elève (6ème1)'!PL15:PN15,"B"))*3)+((COUNTIF('Elève (6ème1)'!PL15:PN15,"C"))*2)+((COUNTIF('Elève (6ème1)'!PL15:PN15,"D"))*1))/(COUNTA(PL15:PN15)),"")</f>
        <v>4</v>
      </c>
      <c r="PP15" s="109" t="str">
        <f t="shared" si="100"/>
        <v>A</v>
      </c>
      <c r="PQ15" s="81"/>
      <c r="PR15" s="82"/>
      <c r="PS15" s="83"/>
      <c r="PT15" s="108" t="str">
        <f>IFERROR((((COUNTIF('Elève (6ème1)'!PQ15:PS15,"A"))*4)+((COUNTIF('Elève (6ème1)'!PQ15:PS15,"B"))*3)+((COUNTIF('Elève (6ème1)'!PQ15:PS15,"C"))*2)+((COUNTIF('Elève (6ème1)'!PQ15:PS15,"D"))*1))/(COUNTA(PQ15:PS15)),"")</f>
        <v/>
      </c>
      <c r="PU15" s="109" t="str">
        <f t="shared" si="101"/>
        <v/>
      </c>
      <c r="PV15" s="81"/>
      <c r="PW15" s="82"/>
      <c r="PX15" s="83"/>
      <c r="PY15" s="108" t="str">
        <f>IFERROR((((COUNTIF('Elève (6ème1)'!PV15:PX15,"A"))*4)+((COUNTIF('Elève (6ème1)'!PV15:PX15,"B"))*3)+((COUNTIF('Elève (6ème1)'!PV15:PX15,"C"))*2)+((COUNTIF('Elève (6ème1)'!PV15:PX15,"D"))*1))/(COUNTA(PV15:PX15)),"")</f>
        <v/>
      </c>
      <c r="PZ15" s="109" t="str">
        <f t="shared" si="102"/>
        <v/>
      </c>
      <c r="QA15" s="178">
        <f>IF(COUNT(PO15,PT15,PY15)=0,"",SUM(PO15,PT15,PY15)/COUNT(PO15,PT15,PY15))</f>
        <v>4</v>
      </c>
      <c r="QB15" s="134" t="str">
        <f t="shared" si="103"/>
        <v>A</v>
      </c>
      <c r="QC15" s="156"/>
      <c r="QD15" s="157" t="s">
        <v>25</v>
      </c>
      <c r="QE15" s="158"/>
      <c r="QF15" s="108">
        <f>IFERROR((((COUNTIF('Elève (6ème1)'!QC15:QE15,"A"))*4)+((COUNTIF('Elève (6ème1)'!QC15:QE15,"B"))*3)+((COUNTIF('Elève (6ème1)'!QC15:QE15,"C"))*2)+((COUNTIF('Elève (6ème1)'!QC15:QE15,"D"))*1))/(COUNTA(QC15:QE15)),"")</f>
        <v>3</v>
      </c>
      <c r="QG15" s="109" t="str">
        <f t="shared" si="104"/>
        <v>B</v>
      </c>
      <c r="QH15" s="81"/>
      <c r="QI15" s="82"/>
      <c r="QJ15" s="83"/>
      <c r="QK15" s="108" t="str">
        <f>IFERROR((((COUNTIF('Elève (6ème1)'!QH15:QJ15,"A"))*4)+((COUNTIF('Elève (6ème1)'!QH15:QJ15,"B"))*3)+((COUNTIF('Elève (6ème1)'!QH15:QJ15,"C"))*2)+((COUNTIF('Elève (6ème1)'!QH15:QJ15,"D"))*1))/(COUNTA(QH15:QJ15)),"")</f>
        <v/>
      </c>
      <c r="QL15" s="109" t="str">
        <f t="shared" si="105"/>
        <v/>
      </c>
      <c r="QM15" s="81"/>
      <c r="QN15" s="82"/>
      <c r="QO15" s="83"/>
      <c r="QP15" s="108" t="str">
        <f>IFERROR((((COUNTIF('Elève (6ème1)'!QM15:QO15,"A"))*4)+((COUNTIF('Elève (6ème1)'!QM15:QO15,"B"))*3)+((COUNTIF('Elève (6ème1)'!QM15:QO15,"C"))*2)+((COUNTIF('Elève (6ème1)'!QM15:QO15,"D"))*1))/(COUNTA(QM15:QO15)),"")</f>
        <v/>
      </c>
      <c r="QQ15" s="109" t="str">
        <f t="shared" si="106"/>
        <v/>
      </c>
      <c r="QR15" s="178">
        <f>IF(COUNT(QF15,QK15,QP15)=0,"",SUM(QF15,QK15,QP15)/COUNT(QF15,QK15,QP15))</f>
        <v>3</v>
      </c>
      <c r="QS15" s="134" t="str">
        <f t="shared" si="107"/>
        <v>B</v>
      </c>
      <c r="QT15" s="156"/>
      <c r="QU15" s="157"/>
      <c r="QV15" s="158"/>
      <c r="QW15" s="108" t="str">
        <f>IFERROR((((COUNTIF('Elève (6ème1)'!QT15:QV15,"A"))*4)+((COUNTIF('Elève (6ème1)'!QT15:QV15,"B"))*3)+((COUNTIF('Elève (6ème1)'!QT15:QV15,"C"))*2)+((COUNTIF('Elève (6ème1)'!QT15:QV15,"D"))*1))/(COUNTA(QT15:QV15)),"")</f>
        <v/>
      </c>
      <c r="QX15" s="109" t="str">
        <f t="shared" si="108"/>
        <v/>
      </c>
      <c r="QY15" s="81"/>
      <c r="QZ15" s="82"/>
      <c r="RA15" s="83"/>
      <c r="RB15" s="108" t="str">
        <f>IFERROR((((COUNTIF('Elève (6ème1)'!QY15:RA15,"A"))*4)+((COUNTIF('Elève (6ème1)'!QY15:RA15,"B"))*3)+((COUNTIF('Elève (6ème1)'!QY15:RA15,"C"))*2)+((COUNTIF('Elève (6ème1)'!QY15:RA15,"D"))*1))/(COUNTA(QY15:RA15)),"")</f>
        <v/>
      </c>
      <c r="RC15" s="109" t="str">
        <f t="shared" si="109"/>
        <v/>
      </c>
      <c r="RD15" s="81"/>
      <c r="RE15" s="82"/>
      <c r="RF15" s="83"/>
      <c r="RG15" s="108" t="str">
        <f>IFERROR((((COUNTIF('Elève (6ème1)'!RD15:RF15,"A"))*4)+((COUNTIF('Elève (6ème1)'!RD15:RF15,"B"))*3)+((COUNTIF('Elève (6ème1)'!RD15:RF15,"C"))*2)+((COUNTIF('Elève (6ème1)'!RD15:RF15,"D"))*1))/(COUNTA(RD15:RF15)),"")</f>
        <v/>
      </c>
      <c r="RH15" s="109" t="str">
        <f t="shared" si="110"/>
        <v/>
      </c>
      <c r="RI15" s="178" t="str">
        <f>IF(COUNT(QW15,RB15,RG15)=0,"",SUM(QW15,RB15,RG15)/COUNT(QW15,RB15,RG15))</f>
        <v/>
      </c>
      <c r="RJ15" s="134" t="str">
        <f t="shared" si="111"/>
        <v/>
      </c>
      <c r="RK15" s="156"/>
      <c r="RL15" s="157"/>
      <c r="RM15" s="158"/>
      <c r="RN15" s="108" t="str">
        <f>IFERROR((((COUNTIF('Elève (6ème1)'!RK15:RM15,"A"))*4)+((COUNTIF('Elève (6ème1)'!RK15:RM15,"B"))*3)+((COUNTIF('Elève (6ème1)'!RK15:RM15,"C"))*2)+((COUNTIF('Elève (6ème1)'!RK15:RM15,"D"))*1))/(COUNTA(RK15:RM15)),"")</f>
        <v/>
      </c>
      <c r="RO15" s="109" t="str">
        <f t="shared" si="112"/>
        <v/>
      </c>
      <c r="RP15" s="81"/>
      <c r="RQ15" s="82"/>
      <c r="RR15" s="83"/>
      <c r="RS15" s="108" t="str">
        <f>IFERROR((((COUNTIF('Elève (6ème1)'!RP15:RR15,"A"))*4)+((COUNTIF('Elève (6ème1)'!RP15:RR15,"B"))*3)+((COUNTIF('Elève (6ème1)'!RP15:RR15,"C"))*2)+((COUNTIF('Elève (6ème1)'!RP15:RR15,"D"))*1))/(COUNTA(RP15:RR15)),"")</f>
        <v/>
      </c>
      <c r="RT15" s="109" t="str">
        <f t="shared" si="113"/>
        <v/>
      </c>
      <c r="RU15" s="81"/>
      <c r="RV15" s="82"/>
      <c r="RW15" s="83"/>
      <c r="RX15" s="108" t="str">
        <f>IFERROR((((COUNTIF('Elève (6ème1)'!RU15:RW15,"A"))*4)+((COUNTIF('Elève (6ème1)'!RU15:RW15,"B"))*3)+((COUNTIF('Elève (6ème1)'!RU15:RW15,"C"))*2)+((COUNTIF('Elève (6ème1)'!RU15:RW15,"D"))*1))/(COUNTA(RU15:RW15)),"")</f>
        <v/>
      </c>
      <c r="RY15" s="109" t="str">
        <f t="shared" si="114"/>
        <v/>
      </c>
      <c r="RZ15" s="178" t="str">
        <f>IF(COUNT(RN15,RS15,RX15)=0,"",SUM(RN15,RS15,RX15)/COUNT(RN15,RS15,RX15))</f>
        <v/>
      </c>
      <c r="SA15" s="134" t="str">
        <f t="shared" si="115"/>
        <v/>
      </c>
      <c r="SB15" s="156"/>
      <c r="SC15" s="157"/>
      <c r="SD15" s="158"/>
      <c r="SE15" s="108" t="str">
        <f>IFERROR((((COUNTIF('Elève (6ème1)'!SB15:SD15,"A"))*4)+((COUNTIF('Elève (6ème1)'!SB15:SD15,"B"))*3)+((COUNTIF('Elève (6ème1)'!SB15:SD15,"C"))*2)+((COUNTIF('Elève (6ème1)'!SB15:SD15,"D"))*1))/(COUNTA(SB15:SD15)),"")</f>
        <v/>
      </c>
      <c r="SF15" s="109" t="str">
        <f t="shared" si="116"/>
        <v/>
      </c>
      <c r="SG15" s="81"/>
      <c r="SH15" s="82"/>
      <c r="SI15" s="83"/>
      <c r="SJ15" s="108" t="str">
        <f>IFERROR((((COUNTIF('Elève (6ème1)'!SG15:SI15,"A"))*4)+((COUNTIF('Elève (6ème1)'!SG15:SI15,"B"))*3)+((COUNTIF('Elève (6ème1)'!SG15:SI15,"C"))*2)+((COUNTIF('Elève (6ème1)'!SG15:SI15,"D"))*1))/(COUNTA(SG15:SI15)),"")</f>
        <v/>
      </c>
      <c r="SK15" s="109" t="str">
        <f t="shared" si="117"/>
        <v/>
      </c>
      <c r="SL15" s="81"/>
      <c r="SM15" s="82"/>
      <c r="SN15" s="83"/>
      <c r="SO15" s="108" t="str">
        <f>IFERROR((((COUNTIF('Elève (6ème1)'!SL15:SN15,"A"))*4)+((COUNTIF('Elève (6ème1)'!SL15:SN15,"B"))*3)+((COUNTIF('Elève (6ème1)'!SL15:SN15,"C"))*2)+((COUNTIF('Elève (6ème1)'!SL15:SN15,"D"))*1))/(COUNTA(SL15:SN15)),"")</f>
        <v/>
      </c>
      <c r="SP15" s="109" t="str">
        <f t="shared" si="118"/>
        <v/>
      </c>
      <c r="SQ15" s="178" t="str">
        <f>IF(COUNT(SE15,SJ15,SO15)=0,"",SUM(SE15,SJ15,SO15)/COUNT(SE15,SJ15,SO15))</f>
        <v/>
      </c>
      <c r="SR15" s="134" t="str">
        <f t="shared" si="119"/>
        <v/>
      </c>
    </row>
    <row r="16" spans="1:512" s="72" customFormat="1" ht="18" customHeight="1" x14ac:dyDescent="0.25">
      <c r="A16" s="242" t="s">
        <v>19</v>
      </c>
      <c r="B16" s="243"/>
      <c r="C16" s="156"/>
      <c r="D16" s="157"/>
      <c r="E16" s="158"/>
      <c r="F16" s="110" t="str">
        <f>IFERROR((((COUNTIF('Elève (6ème1)'!C16:E16,"A"))*4)+((COUNTIF('Elève (6ème1)'!C16:E16,"B"))*3)+((COUNTIF('Elève (6ème1)'!C16:E16,"C"))*2)+((COUNTIF('Elève (6ème1)'!C16:E16,"D"))*1))/(COUNTA(C16:E16)),"")</f>
        <v/>
      </c>
      <c r="G16" s="111" t="str">
        <f t="shared" si="0"/>
        <v/>
      </c>
      <c r="H16" s="81"/>
      <c r="I16" s="82"/>
      <c r="J16" s="83"/>
      <c r="K16" s="110" t="str">
        <f>IFERROR((((COUNTIF('Elève (6ème1)'!H16:J16,"A"))*4)+((COUNTIF('Elève (6ème1)'!H16:J16,"B"))*3)+((COUNTIF('Elève (6ème1)'!H16:J16,"C"))*2)+((COUNTIF('Elève (6ème1)'!H16:J16,"D"))*1))/(COUNTA(H16:J16)),"")</f>
        <v/>
      </c>
      <c r="L16" s="111" t="str">
        <f t="shared" si="1"/>
        <v/>
      </c>
      <c r="M16" s="81"/>
      <c r="N16" s="82"/>
      <c r="O16" s="83"/>
      <c r="P16" s="110" t="str">
        <f>IFERROR((((COUNTIF('Elève (6ème1)'!M16:O16,"A"))*4)+((COUNTIF('Elève (6ème1)'!M16:O16,"B"))*3)+((COUNTIF('Elève (6ème1)'!M16:O16,"C"))*2)+((COUNTIF('Elève (6ème1)'!M16:O16,"D"))*1))/(COUNTA(M16:O16)),"")</f>
        <v/>
      </c>
      <c r="Q16" s="111" t="str">
        <f t="shared" si="2"/>
        <v/>
      </c>
      <c r="R16" s="179" t="str">
        <f>IF(COUNT(F16,K16,P16)=0,"",SUM(F16,K16,P16)/COUNT(F16,K16,P16))</f>
        <v/>
      </c>
      <c r="S16" s="132" t="str">
        <f t="shared" si="3"/>
        <v/>
      </c>
      <c r="T16" s="156"/>
      <c r="U16" s="157"/>
      <c r="V16" s="158"/>
      <c r="W16" s="110" t="str">
        <f>IFERROR((((COUNTIF('Elève (6ème1)'!T16:V16,"A"))*4)+((COUNTIF('Elève (6ème1)'!T16:V16,"B"))*3)+((COUNTIF('Elève (6ème1)'!T16:V16,"C"))*2)+((COUNTIF('Elève (6ème1)'!T16:V16,"D"))*1))/(COUNTA(T16:V16)),"")</f>
        <v/>
      </c>
      <c r="X16" s="111" t="str">
        <f t="shared" si="4"/>
        <v/>
      </c>
      <c r="Y16" s="81"/>
      <c r="Z16" s="82"/>
      <c r="AA16" s="83"/>
      <c r="AB16" s="110" t="str">
        <f>IFERROR((((COUNTIF('Elève (6ème1)'!Y16:AA16,"A"))*4)+((COUNTIF('Elève (6ème1)'!Y16:AA16,"B"))*3)+((COUNTIF('Elève (6ème1)'!Y16:AA16,"C"))*2)+((COUNTIF('Elève (6ème1)'!Y16:AA16,"D"))*1))/(COUNTA(Y16:AA16)),"")</f>
        <v/>
      </c>
      <c r="AC16" s="111" t="str">
        <f t="shared" si="5"/>
        <v/>
      </c>
      <c r="AD16" s="81"/>
      <c r="AE16" s="82"/>
      <c r="AF16" s="83"/>
      <c r="AG16" s="110" t="str">
        <f>IFERROR((((COUNTIF('Elève (6ème1)'!AD16:AF16,"A"))*4)+((COUNTIF('Elève (6ème1)'!AD16:AF16,"B"))*3)+((COUNTIF('Elève (6ème1)'!AD16:AF16,"C"))*2)+((COUNTIF('Elève (6ème1)'!AD16:AF16,"D"))*1))/(COUNTA(AD16:AF16)),"")</f>
        <v/>
      </c>
      <c r="AH16" s="111" t="str">
        <f t="shared" si="6"/>
        <v/>
      </c>
      <c r="AI16" s="179" t="str">
        <f>IF(COUNT(W16,AB16,AG16)=0,"",SUM(W16,AB16,AG16)/COUNT(W16,AB16,AG16))</f>
        <v/>
      </c>
      <c r="AJ16" s="132" t="str">
        <f t="shared" si="7"/>
        <v/>
      </c>
      <c r="AK16" s="156"/>
      <c r="AL16" s="157"/>
      <c r="AM16" s="158"/>
      <c r="AN16" s="110" t="str">
        <f>IFERROR((((COUNTIF('Elève (6ème1)'!AK16:AM16,"A"))*4)+((COUNTIF('Elève (6ème1)'!AK16:AM16,"B"))*3)+((COUNTIF('Elève (6ème1)'!AK16:AM16,"C"))*2)+((COUNTIF('Elève (6ème1)'!AK16:AM16,"D"))*1))/(COUNTA(AK16:AM16)),"")</f>
        <v/>
      </c>
      <c r="AO16" s="111" t="str">
        <f t="shared" si="8"/>
        <v/>
      </c>
      <c r="AP16" s="81"/>
      <c r="AQ16" s="82"/>
      <c r="AR16" s="83"/>
      <c r="AS16" s="110" t="str">
        <f>IFERROR((((COUNTIF('Elève (6ème1)'!AP16:AR16,"A"))*4)+((COUNTIF('Elève (6ème1)'!AP16:AR16,"B"))*3)+((COUNTIF('Elève (6ème1)'!AP16:AR16,"C"))*2)+((COUNTIF('Elève (6ème1)'!AP16:AR16,"D"))*1))/(COUNTA(AP16:AR16)),"")</f>
        <v/>
      </c>
      <c r="AT16" s="111" t="str">
        <f t="shared" si="9"/>
        <v/>
      </c>
      <c r="AU16" s="81"/>
      <c r="AV16" s="82"/>
      <c r="AW16" s="83"/>
      <c r="AX16" s="110" t="str">
        <f>IFERROR((((COUNTIF('Elève (6ème1)'!AU16:AW16,"A"))*4)+((COUNTIF('Elève (6ème1)'!AU16:AW16,"B"))*3)+((COUNTIF('Elève (6ème1)'!AU16:AW16,"C"))*2)+((COUNTIF('Elève (6ème1)'!AU16:AW16,"D"))*1))/(COUNTA(AU16:AW16)),"")</f>
        <v/>
      </c>
      <c r="AY16" s="111" t="str">
        <f t="shared" si="10"/>
        <v/>
      </c>
      <c r="AZ16" s="179" t="str">
        <f>IF(COUNT(AN16,AS16,AX16)=0,"",SUM(AN16,AS16,AX16)/COUNT(AN16,AS16,AX16))</f>
        <v/>
      </c>
      <c r="BA16" s="132" t="str">
        <f t="shared" si="11"/>
        <v/>
      </c>
      <c r="BB16" s="156"/>
      <c r="BC16" s="157"/>
      <c r="BD16" s="158"/>
      <c r="BE16" s="110" t="str">
        <f>IFERROR((((COUNTIF('Elève (6ème1)'!BB16:BD16,"A"))*4)+((COUNTIF('Elève (6ème1)'!BB16:BD16,"B"))*3)+((COUNTIF('Elève (6ème1)'!BB16:BD16,"C"))*2)+((COUNTIF('Elève (6ème1)'!BB16:BD16,"D"))*1))/(COUNTA(BB16:BD16)),"")</f>
        <v/>
      </c>
      <c r="BF16" s="111" t="str">
        <f t="shared" si="12"/>
        <v/>
      </c>
      <c r="BG16" s="81"/>
      <c r="BH16" s="82"/>
      <c r="BI16" s="83"/>
      <c r="BJ16" s="110" t="str">
        <f>IFERROR((((COUNTIF('Elève (6ème1)'!BG16:BI16,"A"))*4)+((COUNTIF('Elève (6ème1)'!BG16:BI16,"B"))*3)+((COUNTIF('Elève (6ème1)'!BG16:BI16,"C"))*2)+((COUNTIF('Elève (6ème1)'!BG16:BI16,"D"))*1))/(COUNTA(BG16:BI16)),"")</f>
        <v/>
      </c>
      <c r="BK16" s="111" t="str">
        <f t="shared" si="13"/>
        <v/>
      </c>
      <c r="BL16" s="81"/>
      <c r="BM16" s="82"/>
      <c r="BN16" s="83"/>
      <c r="BO16" s="110" t="str">
        <f>IFERROR((((COUNTIF('Elève (6ème1)'!BL16:BN16,"A"))*4)+((COUNTIF('Elève (6ème1)'!BL16:BN16,"B"))*3)+((COUNTIF('Elève (6ème1)'!BL16:BN16,"C"))*2)+((COUNTIF('Elève (6ème1)'!BL16:BN16,"D"))*1))/(COUNTA(BL16:BN16)),"")</f>
        <v/>
      </c>
      <c r="BP16" s="111" t="str">
        <f t="shared" si="14"/>
        <v/>
      </c>
      <c r="BQ16" s="179" t="str">
        <f>IF(COUNT(BE16,BJ16,BO16)=0,"",SUM(BE16,BJ16,BO16)/COUNT(BE16,BJ16,BO16))</f>
        <v/>
      </c>
      <c r="BR16" s="132" t="str">
        <f t="shared" si="15"/>
        <v/>
      </c>
      <c r="BS16" s="156"/>
      <c r="BT16" s="157"/>
      <c r="BU16" s="158"/>
      <c r="BV16" s="110" t="str">
        <f>IFERROR((((COUNTIF('Elève (6ème1)'!BS16:BU16,"A"))*4)+((COUNTIF('Elève (6ème1)'!BS16:BU16,"B"))*3)+((COUNTIF('Elève (6ème1)'!BS16:BU16,"C"))*2)+((COUNTIF('Elève (6ème1)'!BS16:BU16,"D"))*1))/(COUNTA(BS16:BU16)),"")</f>
        <v/>
      </c>
      <c r="BW16" s="111" t="str">
        <f t="shared" si="16"/>
        <v/>
      </c>
      <c r="BX16" s="81"/>
      <c r="BY16" s="82"/>
      <c r="BZ16" s="83"/>
      <c r="CA16" s="110" t="str">
        <f>IFERROR((((COUNTIF('Elève (6ème1)'!BX16:BZ16,"A"))*4)+((COUNTIF('Elève (6ème1)'!BX16:BZ16,"B"))*3)+((COUNTIF('Elève (6ème1)'!BX16:BZ16,"C"))*2)+((COUNTIF('Elève (6ème1)'!BX16:BZ16,"D"))*1))/(COUNTA(BX16:BZ16)),"")</f>
        <v/>
      </c>
      <c r="CB16" s="111" t="str">
        <f t="shared" si="17"/>
        <v/>
      </c>
      <c r="CC16" s="81"/>
      <c r="CD16" s="82"/>
      <c r="CE16" s="83"/>
      <c r="CF16" s="110" t="str">
        <f>IFERROR((((COUNTIF('Elève (6ème1)'!CC16:CE16,"A"))*4)+((COUNTIF('Elève (6ème1)'!CC16:CE16,"B"))*3)+((COUNTIF('Elève (6ème1)'!CC16:CE16,"C"))*2)+((COUNTIF('Elève (6ème1)'!CC16:CE16,"D"))*1))/(COUNTA(CC16:CE16)),"")</f>
        <v/>
      </c>
      <c r="CG16" s="111" t="str">
        <f t="shared" si="18"/>
        <v/>
      </c>
      <c r="CH16" s="179" t="str">
        <f>IF(COUNT(BV16,CA16,CF16)=0,"",SUM(BV16,CA16,CF16)/COUNT(BV16,CA16,CF16))</f>
        <v/>
      </c>
      <c r="CI16" s="132" t="str">
        <f t="shared" si="19"/>
        <v/>
      </c>
      <c r="CJ16" s="156"/>
      <c r="CK16" s="157"/>
      <c r="CL16" s="158"/>
      <c r="CM16" s="110" t="str">
        <f>IFERROR((((COUNTIF('Elève (6ème1)'!CJ16:CL16,"A"))*4)+((COUNTIF('Elève (6ème1)'!CJ16:CL16,"B"))*3)+((COUNTIF('Elève (6ème1)'!CJ16:CL16,"C"))*2)+((COUNTIF('Elève (6ème1)'!CJ16:CL16,"D"))*1))/(COUNTA(CJ16:CL16)),"")</f>
        <v/>
      </c>
      <c r="CN16" s="111" t="str">
        <f t="shared" si="20"/>
        <v/>
      </c>
      <c r="CO16" s="81"/>
      <c r="CP16" s="82"/>
      <c r="CQ16" s="83"/>
      <c r="CR16" s="110" t="str">
        <f>IFERROR((((COUNTIF('Elève (6ème1)'!CO16:CQ16,"A"))*4)+((COUNTIF('Elève (6ème1)'!CO16:CQ16,"B"))*3)+((COUNTIF('Elève (6ème1)'!CO16:CQ16,"C"))*2)+((COUNTIF('Elève (6ème1)'!CO16:CQ16,"D"))*1))/(COUNTA(CO16:CQ16)),"")</f>
        <v/>
      </c>
      <c r="CS16" s="111" t="str">
        <f t="shared" si="21"/>
        <v/>
      </c>
      <c r="CT16" s="81"/>
      <c r="CU16" s="82"/>
      <c r="CV16" s="83"/>
      <c r="CW16" s="110" t="str">
        <f>IFERROR((((COUNTIF('Elève (6ème1)'!CT16:CV16,"A"))*4)+((COUNTIF('Elève (6ème1)'!CT16:CV16,"B"))*3)+((COUNTIF('Elève (6ème1)'!CT16:CV16,"C"))*2)+((COUNTIF('Elève (6ème1)'!CT16:CV16,"D"))*1))/(COUNTA(CT16:CV16)),"")</f>
        <v/>
      </c>
      <c r="CX16" s="111" t="str">
        <f t="shared" si="22"/>
        <v/>
      </c>
      <c r="CY16" s="179" t="str">
        <f>IF(COUNT(CM16,CR16,CW16)=0,"",SUM(CM16,CR16,CW16)/COUNT(CM16,CR16,CW16))</f>
        <v/>
      </c>
      <c r="CZ16" s="132" t="str">
        <f t="shared" si="23"/>
        <v/>
      </c>
      <c r="DA16" s="156"/>
      <c r="DB16" s="157"/>
      <c r="DC16" s="158"/>
      <c r="DD16" s="110" t="str">
        <f>IFERROR((((COUNTIF('Elève (6ème1)'!DA16:DC16,"A"))*4)+((COUNTIF('Elève (6ème1)'!DA16:DC16,"B"))*3)+((COUNTIF('Elève (6ème1)'!DA16:DC16,"C"))*2)+((COUNTIF('Elève (6ème1)'!DA16:DC16,"D"))*1))/(COUNTA(DA16:DC16)),"")</f>
        <v/>
      </c>
      <c r="DE16" s="111" t="str">
        <f t="shared" si="24"/>
        <v/>
      </c>
      <c r="DF16" s="81"/>
      <c r="DG16" s="82"/>
      <c r="DH16" s="83"/>
      <c r="DI16" s="110" t="str">
        <f>IFERROR((((COUNTIF('Elève (6ème1)'!DF16:DH16,"A"))*4)+((COUNTIF('Elève (6ème1)'!DF16:DH16,"B"))*3)+((COUNTIF('Elève (6ème1)'!DF16:DH16,"C"))*2)+((COUNTIF('Elève (6ème1)'!DF16:DH16,"D"))*1))/(COUNTA(DF16:DH16)),"")</f>
        <v/>
      </c>
      <c r="DJ16" s="111" t="str">
        <f t="shared" si="25"/>
        <v/>
      </c>
      <c r="DK16" s="81"/>
      <c r="DL16" s="82"/>
      <c r="DM16" s="83"/>
      <c r="DN16" s="110" t="str">
        <f>IFERROR((((COUNTIF('Elève (6ème1)'!DK16:DM16,"A"))*4)+((COUNTIF('Elève (6ème1)'!DK16:DM16,"B"))*3)+((COUNTIF('Elève (6ème1)'!DK16:DM16,"C"))*2)+((COUNTIF('Elève (6ème1)'!DK16:DM16,"D"))*1))/(COUNTA(DK16:DM16)),"")</f>
        <v/>
      </c>
      <c r="DO16" s="111" t="str">
        <f t="shared" si="26"/>
        <v/>
      </c>
      <c r="DP16" s="179" t="str">
        <f>IF(COUNT(DD16,DI16,DN16)=0,"",SUM(DD16,DI16,DN16)/COUNT(DD16,DI16,DN16))</f>
        <v/>
      </c>
      <c r="DQ16" s="132" t="str">
        <f t="shared" si="27"/>
        <v/>
      </c>
      <c r="DR16" s="156"/>
      <c r="DS16" s="157"/>
      <c r="DT16" s="158"/>
      <c r="DU16" s="110" t="str">
        <f>IFERROR((((COUNTIF('Elève (6ème1)'!DR16:DT16,"A"))*4)+((COUNTIF('Elève (6ème1)'!DR16:DT16,"B"))*3)+((COUNTIF('Elève (6ème1)'!DR16:DT16,"C"))*2)+((COUNTIF('Elève (6ème1)'!DR16:DT16,"D"))*1))/(COUNTA(DR16:DT16)),"")</f>
        <v/>
      </c>
      <c r="DV16" s="111" t="str">
        <f t="shared" si="28"/>
        <v/>
      </c>
      <c r="DW16" s="81"/>
      <c r="DX16" s="82"/>
      <c r="DY16" s="83"/>
      <c r="DZ16" s="110" t="str">
        <f>IFERROR((((COUNTIF('Elève (6ème1)'!DW16:DY16,"A"))*4)+((COUNTIF('Elève (6ème1)'!DW16:DY16,"B"))*3)+((COUNTIF('Elève (6ème1)'!DW16:DY16,"C"))*2)+((COUNTIF('Elève (6ème1)'!DW16:DY16,"D"))*1))/(COUNTA(DW16:DY16)),"")</f>
        <v/>
      </c>
      <c r="EA16" s="111" t="str">
        <f t="shared" si="29"/>
        <v/>
      </c>
      <c r="EB16" s="81"/>
      <c r="EC16" s="82"/>
      <c r="ED16" s="83"/>
      <c r="EE16" s="110" t="str">
        <f>IFERROR((((COUNTIF('Elève (6ème1)'!EB16:ED16,"A"))*4)+((COUNTIF('Elève (6ème1)'!EB16:ED16,"B"))*3)+((COUNTIF('Elève (6ème1)'!EB16:ED16,"C"))*2)+((COUNTIF('Elève (6ème1)'!EB16:ED16,"D"))*1))/(COUNTA(EB16:ED16)),"")</f>
        <v/>
      </c>
      <c r="EF16" s="111" t="str">
        <f t="shared" si="30"/>
        <v/>
      </c>
      <c r="EG16" s="179" t="str">
        <f>IF(COUNT(DU16,DZ16,EE16)=0,"",SUM(DU16,DZ16,EE16)/COUNT(DU16,DZ16,EE16))</f>
        <v/>
      </c>
      <c r="EH16" s="132" t="str">
        <f t="shared" si="31"/>
        <v/>
      </c>
      <c r="EI16" s="156"/>
      <c r="EJ16" s="157"/>
      <c r="EK16" s="158"/>
      <c r="EL16" s="110" t="str">
        <f>IFERROR((((COUNTIF('Elève (6ème1)'!EI16:EK16,"A"))*4)+((COUNTIF('Elève (6ème1)'!EI16:EK16,"B"))*3)+((COUNTIF('Elève (6ème1)'!EI16:EK16,"C"))*2)+((COUNTIF('Elève (6ème1)'!EI16:EK16,"D"))*1))/(COUNTA(EI16:EK16)),"")</f>
        <v/>
      </c>
      <c r="EM16" s="111" t="str">
        <f t="shared" si="32"/>
        <v/>
      </c>
      <c r="EN16" s="81"/>
      <c r="EO16" s="82"/>
      <c r="EP16" s="83"/>
      <c r="EQ16" s="110" t="str">
        <f>IFERROR((((COUNTIF('Elève (6ème1)'!EN16:EP16,"A"))*4)+((COUNTIF('Elève (6ème1)'!EN16:EP16,"B"))*3)+((COUNTIF('Elève (6ème1)'!EN16:EP16,"C"))*2)+((COUNTIF('Elève (6ème1)'!EN16:EP16,"D"))*1))/(COUNTA(EN16:EP16)),"")</f>
        <v/>
      </c>
      <c r="ER16" s="111" t="str">
        <f t="shared" si="33"/>
        <v/>
      </c>
      <c r="ES16" s="81"/>
      <c r="ET16" s="82"/>
      <c r="EU16" s="83"/>
      <c r="EV16" s="110" t="str">
        <f>IFERROR((((COUNTIF('Elève (6ème1)'!ES16:EU16,"A"))*4)+((COUNTIF('Elève (6ème1)'!ES16:EU16,"B"))*3)+((COUNTIF('Elève (6ème1)'!ES16:EU16,"C"))*2)+((COUNTIF('Elève (6ème1)'!ES16:EU16,"D"))*1))/(COUNTA(ES16:EU16)),"")</f>
        <v/>
      </c>
      <c r="EW16" s="111" t="str">
        <f t="shared" si="34"/>
        <v/>
      </c>
      <c r="EX16" s="179" t="str">
        <f>IF(COUNT(EL16,EQ16,EV16)=0,"",SUM(EL16,EQ16,EV16)/COUNT(EL16,EQ16,EV16))</f>
        <v/>
      </c>
      <c r="EY16" s="132" t="str">
        <f t="shared" si="35"/>
        <v/>
      </c>
      <c r="EZ16" s="156"/>
      <c r="FA16" s="157"/>
      <c r="FB16" s="158"/>
      <c r="FC16" s="110" t="str">
        <f>IFERROR((((COUNTIF('Elève (6ème1)'!EZ16:FB16,"A"))*4)+((COUNTIF('Elève (6ème1)'!EZ16:FB16,"B"))*3)+((COUNTIF('Elève (6ème1)'!EZ16:FB16,"C"))*2)+((COUNTIF('Elève (6ème1)'!EZ16:FB16,"D"))*1))/(COUNTA(EZ16:FB16)),"")</f>
        <v/>
      </c>
      <c r="FD16" s="111" t="str">
        <f t="shared" si="36"/>
        <v/>
      </c>
      <c r="FE16" s="81"/>
      <c r="FF16" s="82"/>
      <c r="FG16" s="83"/>
      <c r="FH16" s="110" t="str">
        <f>IFERROR((((COUNTIF('Elève (6ème1)'!FE16:FG16,"A"))*4)+((COUNTIF('Elève (6ème1)'!FE16:FG16,"B"))*3)+((COUNTIF('Elève (6ème1)'!FE16:FG16,"C"))*2)+((COUNTIF('Elève (6ème1)'!FE16:FG16,"D"))*1))/(COUNTA(FE16:FG16)),"")</f>
        <v/>
      </c>
      <c r="FI16" s="111" t="str">
        <f t="shared" si="37"/>
        <v/>
      </c>
      <c r="FJ16" s="81"/>
      <c r="FK16" s="82"/>
      <c r="FL16" s="83"/>
      <c r="FM16" s="110" t="str">
        <f>IFERROR((((COUNTIF('Elève (6ème1)'!FJ16:FL16,"A"))*4)+((COUNTIF('Elève (6ème1)'!FJ16:FL16,"B"))*3)+((COUNTIF('Elève (6ème1)'!FJ16:FL16,"C"))*2)+((COUNTIF('Elève (6ème1)'!FJ16:FL16,"D"))*1))/(COUNTA(FJ16:FL16)),"")</f>
        <v/>
      </c>
      <c r="FN16" s="111" t="str">
        <f t="shared" si="38"/>
        <v/>
      </c>
      <c r="FO16" s="179" t="str">
        <f>IF(COUNT(FC16,FH16,FM16)=0,"",SUM(FC16,FH16,FM16)/COUNT(FC16,FH16,FM16))</f>
        <v/>
      </c>
      <c r="FP16" s="132" t="str">
        <f t="shared" si="39"/>
        <v/>
      </c>
      <c r="FQ16" s="156"/>
      <c r="FR16" s="157"/>
      <c r="FS16" s="158"/>
      <c r="FT16" s="110" t="str">
        <f>IFERROR((((COUNTIF('Elève (6ème1)'!FQ16:FS16,"A"))*4)+((COUNTIF('Elève (6ème1)'!FQ16:FS16,"B"))*3)+((COUNTIF('Elève (6ème1)'!FQ16:FS16,"C"))*2)+((COUNTIF('Elève (6ème1)'!FQ16:FS16,"D"))*1))/(COUNTA(FQ16:FS16)),"")</f>
        <v/>
      </c>
      <c r="FU16" s="111" t="str">
        <f t="shared" si="40"/>
        <v/>
      </c>
      <c r="FV16" s="81"/>
      <c r="FW16" s="82"/>
      <c r="FX16" s="83"/>
      <c r="FY16" s="110" t="str">
        <f>IFERROR((((COUNTIF('Elève (6ème1)'!FV16:FX16,"A"))*4)+((COUNTIF('Elève (6ème1)'!FV16:FX16,"B"))*3)+((COUNTIF('Elève (6ème1)'!FV16:FX16,"C"))*2)+((COUNTIF('Elève (6ème1)'!FV16:FX16,"D"))*1))/(COUNTA(FV16:FX16)),"")</f>
        <v/>
      </c>
      <c r="FZ16" s="111" t="str">
        <f t="shared" si="41"/>
        <v/>
      </c>
      <c r="GA16" s="81"/>
      <c r="GB16" s="82"/>
      <c r="GC16" s="83"/>
      <c r="GD16" s="110" t="str">
        <f>IFERROR((((COUNTIF('Elève (6ème1)'!GA16:GC16,"A"))*4)+((COUNTIF('Elève (6ème1)'!GA16:GC16,"B"))*3)+((COUNTIF('Elève (6ème1)'!GA16:GC16,"C"))*2)+((COUNTIF('Elève (6ème1)'!GA16:GC16,"D"))*1))/(COUNTA(GA16:GC16)),"")</f>
        <v/>
      </c>
      <c r="GE16" s="111" t="str">
        <f t="shared" si="42"/>
        <v/>
      </c>
      <c r="GF16" s="179" t="str">
        <f>IF(COUNT(FT16,FY16,GD16)=0,"",SUM(FT16,FY16,GD16)/COUNT(FT16,FY16,GD16))</f>
        <v/>
      </c>
      <c r="GG16" s="132" t="str">
        <f t="shared" si="43"/>
        <v/>
      </c>
      <c r="GH16" s="156"/>
      <c r="GI16" s="157"/>
      <c r="GJ16" s="158"/>
      <c r="GK16" s="110" t="str">
        <f>IFERROR((((COUNTIF('Elève (6ème1)'!GH16:GJ16,"A"))*4)+((COUNTIF('Elève (6ème1)'!GH16:GJ16,"B"))*3)+((COUNTIF('Elève (6ème1)'!GH16:GJ16,"C"))*2)+((COUNTIF('Elève (6ème1)'!GH16:GJ16,"D"))*1))/(COUNTA(GH16:GJ16)),"")</f>
        <v/>
      </c>
      <c r="GL16" s="111" t="str">
        <f t="shared" si="44"/>
        <v/>
      </c>
      <c r="GM16" s="81"/>
      <c r="GN16" s="82"/>
      <c r="GO16" s="83"/>
      <c r="GP16" s="110" t="str">
        <f>IFERROR((((COUNTIF('Elève (6ème1)'!GM16:GO16,"A"))*4)+((COUNTIF('Elève (6ème1)'!GM16:GO16,"B"))*3)+((COUNTIF('Elève (6ème1)'!GM16:GO16,"C"))*2)+((COUNTIF('Elève (6ème1)'!GM16:GO16,"D"))*1))/(COUNTA(GM16:GO16)),"")</f>
        <v/>
      </c>
      <c r="GQ16" s="111" t="str">
        <f t="shared" si="45"/>
        <v/>
      </c>
      <c r="GR16" s="81"/>
      <c r="GS16" s="82"/>
      <c r="GT16" s="83"/>
      <c r="GU16" s="110" t="str">
        <f>IFERROR((((COUNTIF('Elève (6ème1)'!GR16:GT16,"A"))*4)+((COUNTIF('Elève (6ème1)'!GR16:GT16,"B"))*3)+((COUNTIF('Elève (6ème1)'!GR16:GT16,"C"))*2)+((COUNTIF('Elève (6ème1)'!GR16:GT16,"D"))*1))/(COUNTA(GR16:GT16)),"")</f>
        <v/>
      </c>
      <c r="GV16" s="111" t="str">
        <f t="shared" si="46"/>
        <v/>
      </c>
      <c r="GW16" s="179" t="str">
        <f>IF(COUNT(GK16,GP16,GU16)=0,"",SUM(GK16,GP16,GU16)/COUNT(GK16,GP16,GU16))</f>
        <v/>
      </c>
      <c r="GX16" s="132" t="str">
        <f t="shared" si="47"/>
        <v/>
      </c>
      <c r="GY16" s="156"/>
      <c r="GZ16" s="157"/>
      <c r="HA16" s="158"/>
      <c r="HB16" s="110" t="str">
        <f>IFERROR((((COUNTIF('Elève (6ème1)'!GY16:HA16,"A"))*4)+((COUNTIF('Elève (6ème1)'!GY16:HA16,"B"))*3)+((COUNTIF('Elève (6ème1)'!GY16:HA16,"C"))*2)+((COUNTIF('Elève (6ème1)'!GY16:HA16,"D"))*1))/(COUNTA(GY16:HA16)),"")</f>
        <v/>
      </c>
      <c r="HC16" s="111" t="str">
        <f t="shared" si="48"/>
        <v/>
      </c>
      <c r="HD16" s="81"/>
      <c r="HE16" s="82"/>
      <c r="HF16" s="83"/>
      <c r="HG16" s="110" t="str">
        <f>IFERROR((((COUNTIF('Elève (6ème1)'!HD16:HF16,"A"))*4)+((COUNTIF('Elève (6ème1)'!HD16:HF16,"B"))*3)+((COUNTIF('Elève (6ème1)'!HD16:HF16,"C"))*2)+((COUNTIF('Elève (6ème1)'!HD16:HF16,"D"))*1))/(COUNTA(HD16:HF16)),"")</f>
        <v/>
      </c>
      <c r="HH16" s="111" t="str">
        <f t="shared" si="49"/>
        <v/>
      </c>
      <c r="HI16" s="81"/>
      <c r="HJ16" s="82"/>
      <c r="HK16" s="83"/>
      <c r="HL16" s="110" t="str">
        <f>IFERROR((((COUNTIF('Elève (6ème1)'!HI16:HK16,"A"))*4)+((COUNTIF('Elève (6ème1)'!HI16:HK16,"B"))*3)+((COUNTIF('Elève (6ème1)'!HI16:HK16,"C"))*2)+((COUNTIF('Elève (6ème1)'!HI16:HK16,"D"))*1))/(COUNTA(HI16:HK16)),"")</f>
        <v/>
      </c>
      <c r="HM16" s="111" t="str">
        <f t="shared" si="50"/>
        <v/>
      </c>
      <c r="HN16" s="179" t="str">
        <f>IF(COUNT(HB16,HG16,HL16)=0,"",SUM(HB16,HG16,HL16)/COUNT(HB16,HG16,HL16))</f>
        <v/>
      </c>
      <c r="HO16" s="132" t="str">
        <f t="shared" si="51"/>
        <v/>
      </c>
      <c r="HP16" s="156"/>
      <c r="HQ16" s="157"/>
      <c r="HR16" s="158"/>
      <c r="HS16" s="110" t="str">
        <f>IFERROR((((COUNTIF('Elève (6ème1)'!HP16:HR16,"A"))*4)+((COUNTIF('Elève (6ème1)'!HP16:HR16,"B"))*3)+((COUNTIF('Elève (6ème1)'!HP16:HR16,"C"))*2)+((COUNTIF('Elève (6ème1)'!HP16:HR16,"D"))*1))/(COUNTA(HP16:HR16)),"")</f>
        <v/>
      </c>
      <c r="HT16" s="111" t="str">
        <f t="shared" si="52"/>
        <v/>
      </c>
      <c r="HU16" s="81"/>
      <c r="HV16" s="82"/>
      <c r="HW16" s="83"/>
      <c r="HX16" s="110" t="str">
        <f>IFERROR((((COUNTIF('Elève (6ème1)'!HU16:HW16,"A"))*4)+((COUNTIF('Elève (6ème1)'!HU16:HW16,"B"))*3)+((COUNTIF('Elève (6ème1)'!HU16:HW16,"C"))*2)+((COUNTIF('Elève (6ème1)'!HU16:HW16,"D"))*1))/(COUNTA(HU16:HW16)),"")</f>
        <v/>
      </c>
      <c r="HY16" s="111" t="str">
        <f t="shared" si="53"/>
        <v/>
      </c>
      <c r="HZ16" s="81"/>
      <c r="IA16" s="82"/>
      <c r="IB16" s="83"/>
      <c r="IC16" s="110" t="str">
        <f>IFERROR((((COUNTIF('Elève (6ème1)'!HZ16:IB16,"A"))*4)+((COUNTIF('Elève (6ème1)'!HZ16:IB16,"B"))*3)+((COUNTIF('Elève (6ème1)'!HZ16:IB16,"C"))*2)+((COUNTIF('Elève (6ème1)'!HZ16:IB16,"D"))*1))/(COUNTA(HZ16:IB16)),"")</f>
        <v/>
      </c>
      <c r="ID16" s="111" t="str">
        <f t="shared" si="54"/>
        <v/>
      </c>
      <c r="IE16" s="179" t="str">
        <f>IF(COUNT(HS16,HX16,IC16)=0,"",SUM(HS16,HX16,IC16)/COUNT(HS16,HX16,IC16))</f>
        <v/>
      </c>
      <c r="IF16" s="132" t="str">
        <f t="shared" si="55"/>
        <v/>
      </c>
      <c r="IG16" s="156"/>
      <c r="IH16" s="157"/>
      <c r="II16" s="158"/>
      <c r="IJ16" s="110" t="str">
        <f>IFERROR((((COUNTIF('Elève (6ème1)'!IG16:II16,"A"))*4)+((COUNTIF('Elève (6ème1)'!IG16:II16,"B"))*3)+((COUNTIF('Elève (6ème1)'!IG16:II16,"C"))*2)+((COUNTIF('Elève (6ème1)'!IG16:II16,"D"))*1))/(COUNTA(IG16:II16)),"")</f>
        <v/>
      </c>
      <c r="IK16" s="111" t="str">
        <f t="shared" si="56"/>
        <v/>
      </c>
      <c r="IL16" s="81"/>
      <c r="IM16" s="82"/>
      <c r="IN16" s="83"/>
      <c r="IO16" s="110" t="str">
        <f>IFERROR((((COUNTIF('Elève (6ème1)'!IL16:IN16,"A"))*4)+((COUNTIF('Elève (6ème1)'!IL16:IN16,"B"))*3)+((COUNTIF('Elève (6ème1)'!IL16:IN16,"C"))*2)+((COUNTIF('Elève (6ème1)'!IL16:IN16,"D"))*1))/(COUNTA(IL16:IN16)),"")</f>
        <v/>
      </c>
      <c r="IP16" s="111" t="str">
        <f t="shared" si="57"/>
        <v/>
      </c>
      <c r="IQ16" s="81"/>
      <c r="IR16" s="82"/>
      <c r="IS16" s="83"/>
      <c r="IT16" s="110" t="str">
        <f>IFERROR((((COUNTIF('Elève (6ème1)'!IQ16:IS16,"A"))*4)+((COUNTIF('Elève (6ème1)'!IQ16:IS16,"B"))*3)+((COUNTIF('Elève (6ème1)'!IQ16:IS16,"C"))*2)+((COUNTIF('Elève (6ème1)'!IQ16:IS16,"D"))*1))/(COUNTA(IQ16:IS16)),"")</f>
        <v/>
      </c>
      <c r="IU16" s="111" t="str">
        <f t="shared" si="58"/>
        <v/>
      </c>
      <c r="IV16" s="179" t="str">
        <f>IF(COUNT(IJ16,IO16,IT16)=0,"",SUM(IJ16,IO16,IT16)/COUNT(IJ16,IO16,IT16))</f>
        <v/>
      </c>
      <c r="IW16" s="132" t="str">
        <f t="shared" si="59"/>
        <v/>
      </c>
      <c r="IX16" s="156"/>
      <c r="IY16" s="157"/>
      <c r="IZ16" s="158"/>
      <c r="JA16" s="110" t="str">
        <f>IFERROR((((COUNTIF('Elève (6ème1)'!IX16:IZ16,"A"))*4)+((COUNTIF('Elève (6ème1)'!IX16:IZ16,"B"))*3)+((COUNTIF('Elève (6ème1)'!IX16:IZ16,"C"))*2)+((COUNTIF('Elève (6ème1)'!IX16:IZ16,"D"))*1))/(COUNTA(IX16:IZ16)),"")</f>
        <v/>
      </c>
      <c r="JB16" s="111" t="str">
        <f t="shared" si="60"/>
        <v/>
      </c>
      <c r="JC16" s="81"/>
      <c r="JD16" s="82"/>
      <c r="JE16" s="83"/>
      <c r="JF16" s="110" t="str">
        <f>IFERROR((((COUNTIF('Elève (6ème1)'!JC16:JE16,"A"))*4)+((COUNTIF('Elève (6ème1)'!JC16:JE16,"B"))*3)+((COUNTIF('Elève (6ème1)'!JC16:JE16,"C"))*2)+((COUNTIF('Elève (6ème1)'!JC16:JE16,"D"))*1))/(COUNTA(JC16:JE16)),"")</f>
        <v/>
      </c>
      <c r="JG16" s="111" t="str">
        <f t="shared" si="61"/>
        <v/>
      </c>
      <c r="JH16" s="81"/>
      <c r="JI16" s="82"/>
      <c r="JJ16" s="83"/>
      <c r="JK16" s="110" t="str">
        <f>IFERROR((((COUNTIF('Elève (6ème1)'!JH16:JJ16,"A"))*4)+((COUNTIF('Elève (6ème1)'!JH16:JJ16,"B"))*3)+((COUNTIF('Elève (6ème1)'!JH16:JJ16,"C"))*2)+((COUNTIF('Elève (6ème1)'!JH16:JJ16,"D"))*1))/(COUNTA(JH16:JJ16)),"")</f>
        <v/>
      </c>
      <c r="JL16" s="111" t="str">
        <f t="shared" si="62"/>
        <v/>
      </c>
      <c r="JM16" s="179" t="str">
        <f>IF(COUNT(JA16,JF16,JK16)=0,"",SUM(JA16,JF16,JK16)/COUNT(JA16,JF16,JK16))</f>
        <v/>
      </c>
      <c r="JN16" s="132" t="str">
        <f t="shared" si="63"/>
        <v/>
      </c>
      <c r="JO16" s="156"/>
      <c r="JP16" s="157"/>
      <c r="JQ16" s="158"/>
      <c r="JR16" s="110" t="str">
        <f>IFERROR((((COUNTIF('Elève (6ème1)'!JO16:JQ16,"A"))*4)+((COUNTIF('Elève (6ème1)'!JO16:JQ16,"B"))*3)+((COUNTIF('Elève (6ème1)'!JO16:JQ16,"C"))*2)+((COUNTIF('Elève (6ème1)'!JO16:JQ16,"D"))*1))/(COUNTA(JO16:JQ16)),"")</f>
        <v/>
      </c>
      <c r="JS16" s="111" t="str">
        <f t="shared" si="64"/>
        <v/>
      </c>
      <c r="JT16" s="81"/>
      <c r="JU16" s="82"/>
      <c r="JV16" s="83"/>
      <c r="JW16" s="110" t="str">
        <f>IFERROR((((COUNTIF('Elève (6ème1)'!JT16:JV16,"A"))*4)+((COUNTIF('Elève (6ème1)'!JT16:JV16,"B"))*3)+((COUNTIF('Elève (6ème1)'!JT16:JV16,"C"))*2)+((COUNTIF('Elève (6ème1)'!JT16:JV16,"D"))*1))/(COUNTA(JT16:JV16)),"")</f>
        <v/>
      </c>
      <c r="JX16" s="111" t="str">
        <f t="shared" si="65"/>
        <v/>
      </c>
      <c r="JY16" s="81"/>
      <c r="JZ16" s="82"/>
      <c r="KA16" s="83"/>
      <c r="KB16" s="110" t="str">
        <f>IFERROR((((COUNTIF('Elève (6ème1)'!JY16:KA16,"A"))*4)+((COUNTIF('Elève (6ème1)'!JY16:KA16,"B"))*3)+((COUNTIF('Elève (6ème1)'!JY16:KA16,"C"))*2)+((COUNTIF('Elève (6ème1)'!JY16:KA16,"D"))*1))/(COUNTA(JY16:KA16)),"")</f>
        <v/>
      </c>
      <c r="KC16" s="111" t="str">
        <f t="shared" si="66"/>
        <v/>
      </c>
      <c r="KD16" s="179" t="str">
        <f>IF(COUNT(JR16,JW16,KB16)=0,"",SUM(JR16,JW16,KB16)/COUNT(JR16,JW16,KB16))</f>
        <v/>
      </c>
      <c r="KE16" s="132" t="str">
        <f t="shared" si="67"/>
        <v/>
      </c>
      <c r="KF16" s="156"/>
      <c r="KG16" s="157"/>
      <c r="KH16" s="158"/>
      <c r="KI16" s="110" t="str">
        <f>IFERROR((((COUNTIF('Elève (6ème1)'!KF16:KH16,"A"))*4)+((COUNTIF('Elève (6ème1)'!KF16:KH16,"B"))*3)+((COUNTIF('Elève (6ème1)'!KF16:KH16,"C"))*2)+((COUNTIF('Elève (6ème1)'!KF16:KH16,"D"))*1))/(COUNTA(KF16:KH16)),"")</f>
        <v/>
      </c>
      <c r="KJ16" s="111" t="str">
        <f t="shared" si="68"/>
        <v/>
      </c>
      <c r="KK16" s="81"/>
      <c r="KL16" s="82"/>
      <c r="KM16" s="83"/>
      <c r="KN16" s="110" t="str">
        <f>IFERROR((((COUNTIF('Elève (6ème1)'!KK16:KM16,"A"))*4)+((COUNTIF('Elève (6ème1)'!KK16:KM16,"B"))*3)+((COUNTIF('Elève (6ème1)'!KK16:KM16,"C"))*2)+((COUNTIF('Elève (6ème1)'!KK16:KM16,"D"))*1))/(COUNTA(KK16:KM16)),"")</f>
        <v/>
      </c>
      <c r="KO16" s="111" t="str">
        <f t="shared" si="69"/>
        <v/>
      </c>
      <c r="KP16" s="81"/>
      <c r="KQ16" s="82"/>
      <c r="KR16" s="83"/>
      <c r="KS16" s="110" t="str">
        <f>IFERROR((((COUNTIF('Elève (6ème1)'!KP16:KR16,"A"))*4)+((COUNTIF('Elève (6ème1)'!KP16:KR16,"B"))*3)+((COUNTIF('Elève (6ème1)'!KP16:KR16,"C"))*2)+((COUNTIF('Elève (6ème1)'!KP16:KR16,"D"))*1))/(COUNTA(KP16:KR16)),"")</f>
        <v/>
      </c>
      <c r="KT16" s="111" t="str">
        <f t="shared" si="70"/>
        <v/>
      </c>
      <c r="KU16" s="179" t="str">
        <f>IF(COUNT(KI16,KN16,KS16)=0,"",SUM(KI16,KN16,KS16)/COUNT(KI16,KN16,KS16))</f>
        <v/>
      </c>
      <c r="KV16" s="132" t="str">
        <f t="shared" si="71"/>
        <v/>
      </c>
      <c r="KW16" s="156"/>
      <c r="KX16" s="157"/>
      <c r="KY16" s="158"/>
      <c r="KZ16" s="110" t="str">
        <f>IFERROR((((COUNTIF('Elève (6ème1)'!KW16:KY16,"A"))*4)+((COUNTIF('Elève (6ème1)'!KW16:KY16,"B"))*3)+((COUNTIF('Elève (6ème1)'!KW16:KY16,"C"))*2)+((COUNTIF('Elève (6ème1)'!KW16:KY16,"D"))*1))/(COUNTA(KW16:KY16)),"")</f>
        <v/>
      </c>
      <c r="LA16" s="111" t="str">
        <f t="shared" si="72"/>
        <v/>
      </c>
      <c r="LB16" s="81"/>
      <c r="LC16" s="82"/>
      <c r="LD16" s="83"/>
      <c r="LE16" s="110" t="str">
        <f>IFERROR((((COUNTIF('Elève (6ème1)'!LB16:LD16,"A"))*4)+((COUNTIF('Elève (6ème1)'!LB16:LD16,"B"))*3)+((COUNTIF('Elève (6ème1)'!LB16:LD16,"C"))*2)+((COUNTIF('Elève (6ème1)'!LB16:LD16,"D"))*1))/(COUNTA(LB16:LD16)),"")</f>
        <v/>
      </c>
      <c r="LF16" s="111" t="str">
        <f t="shared" si="73"/>
        <v/>
      </c>
      <c r="LG16" s="81"/>
      <c r="LH16" s="82"/>
      <c r="LI16" s="83"/>
      <c r="LJ16" s="110" t="str">
        <f>IFERROR((((COUNTIF('Elève (6ème1)'!LG16:LI16,"A"))*4)+((COUNTIF('Elève (6ème1)'!LG16:LI16,"B"))*3)+((COUNTIF('Elève (6ème1)'!LG16:LI16,"C"))*2)+((COUNTIF('Elève (6ème1)'!LG16:LI16,"D"))*1))/(COUNTA(LG16:LI16)),"")</f>
        <v/>
      </c>
      <c r="LK16" s="111" t="str">
        <f t="shared" si="74"/>
        <v/>
      </c>
      <c r="LL16" s="179" t="str">
        <f>IF(COUNT(KZ16,LE16,LJ16)=0,"",SUM(KZ16,LE16,LJ16)/COUNT(KZ16,LE16,LJ16))</f>
        <v/>
      </c>
      <c r="LM16" s="132" t="str">
        <f t="shared" si="75"/>
        <v/>
      </c>
      <c r="LN16" s="156"/>
      <c r="LO16" s="157"/>
      <c r="LP16" s="158"/>
      <c r="LQ16" s="110" t="str">
        <f>IFERROR((((COUNTIF('Elève (6ème1)'!LN16:LP16,"A"))*4)+((COUNTIF('Elève (6ème1)'!LN16:LP16,"B"))*3)+((COUNTIF('Elève (6ème1)'!LN16:LP16,"C"))*2)+((COUNTIF('Elève (6ème1)'!LN16:LP16,"D"))*1))/(COUNTA(LN16:LP16)),"")</f>
        <v/>
      </c>
      <c r="LR16" s="111" t="str">
        <f t="shared" si="76"/>
        <v/>
      </c>
      <c r="LS16" s="81"/>
      <c r="LT16" s="82"/>
      <c r="LU16" s="83"/>
      <c r="LV16" s="110" t="str">
        <f>IFERROR((((COUNTIF('Elève (6ème1)'!LS16:LU16,"A"))*4)+((COUNTIF('Elève (6ème1)'!LS16:LU16,"B"))*3)+((COUNTIF('Elève (6ème1)'!LS16:LU16,"C"))*2)+((COUNTIF('Elève (6ème1)'!LS16:LU16,"D"))*1))/(COUNTA(LS16:LU16)),"")</f>
        <v/>
      </c>
      <c r="LW16" s="111" t="str">
        <f t="shared" si="77"/>
        <v/>
      </c>
      <c r="LX16" s="81"/>
      <c r="LY16" s="82"/>
      <c r="LZ16" s="83"/>
      <c r="MA16" s="110" t="str">
        <f>IFERROR((((COUNTIF('Elève (6ème1)'!LX16:LZ16,"A"))*4)+((COUNTIF('Elève (6ème1)'!LX16:LZ16,"B"))*3)+((COUNTIF('Elève (6ème1)'!LX16:LZ16,"C"))*2)+((COUNTIF('Elève (6ème1)'!LX16:LZ16,"D"))*1))/(COUNTA(LX16:LZ16)),"")</f>
        <v/>
      </c>
      <c r="MB16" s="111" t="str">
        <f t="shared" si="78"/>
        <v/>
      </c>
      <c r="MC16" s="179" t="str">
        <f>IF(COUNT(LQ16,LV16,MA16)=0,"",SUM(LQ16,LV16,MA16)/COUNT(LQ16,LV16,MA16))</f>
        <v/>
      </c>
      <c r="MD16" s="132" t="str">
        <f t="shared" si="79"/>
        <v/>
      </c>
      <c r="ME16" s="156"/>
      <c r="MF16" s="157"/>
      <c r="MG16" s="158"/>
      <c r="MH16" s="110" t="str">
        <f>IFERROR((((COUNTIF('Elève (6ème1)'!ME16:MG16,"A"))*4)+((COUNTIF('Elève (6ème1)'!ME16:MG16,"B"))*3)+((COUNTIF('Elève (6ème1)'!ME16:MG16,"C"))*2)+((COUNTIF('Elève (6ème1)'!ME16:MG16,"D"))*1))/(COUNTA(ME16:MG16)),"")</f>
        <v/>
      </c>
      <c r="MI16" s="111" t="str">
        <f t="shared" si="80"/>
        <v/>
      </c>
      <c r="MJ16" s="81"/>
      <c r="MK16" s="82"/>
      <c r="ML16" s="83"/>
      <c r="MM16" s="110" t="str">
        <f>IFERROR((((COUNTIF('Elève (6ème1)'!MJ16:ML16,"A"))*4)+((COUNTIF('Elève (6ème1)'!MJ16:ML16,"B"))*3)+((COUNTIF('Elève (6ème1)'!MJ16:ML16,"C"))*2)+((COUNTIF('Elève (6ème1)'!MJ16:ML16,"D"))*1))/(COUNTA(MJ16:ML16)),"")</f>
        <v/>
      </c>
      <c r="MN16" s="111" t="str">
        <f t="shared" si="81"/>
        <v/>
      </c>
      <c r="MO16" s="81"/>
      <c r="MP16" s="82"/>
      <c r="MQ16" s="83"/>
      <c r="MR16" s="110" t="str">
        <f>IFERROR((((COUNTIF('Elève (6ème1)'!MO16:MQ16,"A"))*4)+((COUNTIF('Elève (6ème1)'!MO16:MQ16,"B"))*3)+((COUNTIF('Elève (6ème1)'!MO16:MQ16,"C"))*2)+((COUNTIF('Elève (6ème1)'!MO16:MQ16,"D"))*1))/(COUNTA(MO16:MQ16)),"")</f>
        <v/>
      </c>
      <c r="MS16" s="111" t="str">
        <f t="shared" si="82"/>
        <v/>
      </c>
      <c r="MT16" s="179" t="str">
        <f>IF(COUNT(MH16,MM16,MR16)=0,"",SUM(MH16,MM16,MR16)/COUNT(MH16,MM16,MR16))</f>
        <v/>
      </c>
      <c r="MU16" s="132" t="str">
        <f t="shared" si="83"/>
        <v/>
      </c>
      <c r="MV16" s="156"/>
      <c r="MW16" s="157"/>
      <c r="MX16" s="158"/>
      <c r="MY16" s="110" t="str">
        <f>IFERROR((((COUNTIF('Elève (6ème1)'!MV16:MX16,"A"))*4)+((COUNTIF('Elève (6ème1)'!MV16:MX16,"B"))*3)+((COUNTIF('Elève (6ème1)'!MV16:MX16,"C"))*2)+((COUNTIF('Elève (6ème1)'!MV16:MX16,"D"))*1))/(COUNTA(MV16:MX16)),"")</f>
        <v/>
      </c>
      <c r="MZ16" s="111" t="str">
        <f t="shared" si="84"/>
        <v/>
      </c>
      <c r="NA16" s="81"/>
      <c r="NB16" s="82"/>
      <c r="NC16" s="83"/>
      <c r="ND16" s="110" t="str">
        <f>IFERROR((((COUNTIF('Elève (6ème1)'!NA16:NC16,"A"))*4)+((COUNTIF('Elève (6ème1)'!NA16:NC16,"B"))*3)+((COUNTIF('Elève (6ème1)'!NA16:NC16,"C"))*2)+((COUNTIF('Elève (6ème1)'!NA16:NC16,"D"))*1))/(COUNTA(NA16:NC16)),"")</f>
        <v/>
      </c>
      <c r="NE16" s="111" t="str">
        <f t="shared" si="85"/>
        <v/>
      </c>
      <c r="NF16" s="81"/>
      <c r="NG16" s="82"/>
      <c r="NH16" s="83"/>
      <c r="NI16" s="110" t="str">
        <f>IFERROR((((COUNTIF('Elève (6ème1)'!NF16:NH16,"A"))*4)+((COUNTIF('Elève (6ème1)'!NF16:NH16,"B"))*3)+((COUNTIF('Elève (6ème1)'!NF16:NH16,"C"))*2)+((COUNTIF('Elève (6ème1)'!NF16:NH16,"D"))*1))/(COUNTA(NF16:NH16)),"")</f>
        <v/>
      </c>
      <c r="NJ16" s="111" t="str">
        <f t="shared" si="86"/>
        <v/>
      </c>
      <c r="NK16" s="179" t="str">
        <f>IF(COUNT(MY16,ND16,NI16)=0,"",SUM(MY16,ND16,NI16)/COUNT(MY16,ND16,NI16))</f>
        <v/>
      </c>
      <c r="NL16" s="132" t="str">
        <f t="shared" si="87"/>
        <v/>
      </c>
      <c r="NM16" s="156"/>
      <c r="NN16" s="157"/>
      <c r="NO16" s="158"/>
      <c r="NP16" s="110" t="str">
        <f>IFERROR((((COUNTIF('Elève (6ème1)'!NM16:NO16,"A"))*4)+((COUNTIF('Elève (6ème1)'!NM16:NO16,"B"))*3)+((COUNTIF('Elève (6ème1)'!NM16:NO16,"C"))*2)+((COUNTIF('Elève (6ème1)'!NM16:NO16,"D"))*1))/(COUNTA(NM16:NO16)),"")</f>
        <v/>
      </c>
      <c r="NQ16" s="111" t="str">
        <f t="shared" si="88"/>
        <v/>
      </c>
      <c r="NR16" s="81"/>
      <c r="NS16" s="82"/>
      <c r="NT16" s="83"/>
      <c r="NU16" s="110" t="str">
        <f>IFERROR((((COUNTIF('Elève (6ème1)'!NR16:NT16,"A"))*4)+((COUNTIF('Elève (6ème1)'!NR16:NT16,"B"))*3)+((COUNTIF('Elève (6ème1)'!NR16:NT16,"C"))*2)+((COUNTIF('Elève (6ème1)'!NR16:NT16,"D"))*1))/(COUNTA(NR16:NT16)),"")</f>
        <v/>
      </c>
      <c r="NV16" s="111" t="str">
        <f t="shared" si="89"/>
        <v/>
      </c>
      <c r="NW16" s="81"/>
      <c r="NX16" s="82"/>
      <c r="NY16" s="83"/>
      <c r="NZ16" s="110" t="str">
        <f>IFERROR((((COUNTIF('Elève (6ème1)'!NW16:NY16,"A"))*4)+((COUNTIF('Elève (6ème1)'!NW16:NY16,"B"))*3)+((COUNTIF('Elève (6ème1)'!NW16:NY16,"C"))*2)+((COUNTIF('Elève (6ème1)'!NW16:NY16,"D"))*1))/(COUNTA(NW16:NY16)),"")</f>
        <v/>
      </c>
      <c r="OA16" s="111" t="str">
        <f t="shared" si="90"/>
        <v/>
      </c>
      <c r="OB16" s="179" t="str">
        <f>IF(COUNT(NP16,NU16,NZ16)=0,"",SUM(NP16,NU16,NZ16)/COUNT(NP16,NU16,NZ16))</f>
        <v/>
      </c>
      <c r="OC16" s="132" t="str">
        <f t="shared" si="91"/>
        <v/>
      </c>
      <c r="OD16" s="156"/>
      <c r="OE16" s="157"/>
      <c r="OF16" s="158"/>
      <c r="OG16" s="110" t="str">
        <f>IFERROR((((COUNTIF('Elève (6ème1)'!OD16:OF16,"A"))*4)+((COUNTIF('Elève (6ème1)'!OD16:OF16,"B"))*3)+((COUNTIF('Elève (6ème1)'!OD16:OF16,"C"))*2)+((COUNTIF('Elève (6ème1)'!OD16:OF16,"D"))*1))/(COUNTA(OD16:OF16)),"")</f>
        <v/>
      </c>
      <c r="OH16" s="111" t="str">
        <f t="shared" si="92"/>
        <v/>
      </c>
      <c r="OI16" s="81"/>
      <c r="OJ16" s="82"/>
      <c r="OK16" s="83"/>
      <c r="OL16" s="110" t="str">
        <f>IFERROR((((COUNTIF('Elève (6ème1)'!OI16:OK16,"A"))*4)+((COUNTIF('Elève (6ème1)'!OI16:OK16,"B"))*3)+((COUNTIF('Elève (6ème1)'!OI16:OK16,"C"))*2)+((COUNTIF('Elève (6ème1)'!OI16:OK16,"D"))*1))/(COUNTA(OI16:OK16)),"")</f>
        <v/>
      </c>
      <c r="OM16" s="111" t="str">
        <f t="shared" si="93"/>
        <v/>
      </c>
      <c r="ON16" s="81"/>
      <c r="OO16" s="82"/>
      <c r="OP16" s="83"/>
      <c r="OQ16" s="110" t="str">
        <f>IFERROR((((COUNTIF('Elève (6ème1)'!ON16:OP16,"A"))*4)+((COUNTIF('Elève (6ème1)'!ON16:OP16,"B"))*3)+((COUNTIF('Elève (6ème1)'!ON16:OP16,"C"))*2)+((COUNTIF('Elève (6ème1)'!ON16:OP16,"D"))*1))/(COUNTA(ON16:OP16)),"")</f>
        <v/>
      </c>
      <c r="OR16" s="111" t="str">
        <f t="shared" si="94"/>
        <v/>
      </c>
      <c r="OS16" s="179" t="str">
        <f>IF(COUNT(OG16,OL16,OQ16)=0,"",SUM(OG16,OL16,OQ16)/COUNT(OG16,OL16,OQ16))</f>
        <v/>
      </c>
      <c r="OT16" s="132" t="str">
        <f t="shared" si="95"/>
        <v/>
      </c>
      <c r="OU16" s="156"/>
      <c r="OV16" s="157"/>
      <c r="OW16" s="158"/>
      <c r="OX16" s="110" t="str">
        <f>IFERROR((((COUNTIF('Elève (6ème1)'!OU16:OW16,"A"))*4)+((COUNTIF('Elève (6ème1)'!OU16:OW16,"B"))*3)+((COUNTIF('Elève (6ème1)'!OU16:OW16,"C"))*2)+((COUNTIF('Elève (6ème1)'!OU16:OW16,"D"))*1))/(COUNTA(OU16:OW16)),"")</f>
        <v/>
      </c>
      <c r="OY16" s="111" t="str">
        <f t="shared" si="96"/>
        <v/>
      </c>
      <c r="OZ16" s="81"/>
      <c r="PA16" s="82"/>
      <c r="PB16" s="83"/>
      <c r="PC16" s="110" t="str">
        <f>IFERROR((((COUNTIF('Elève (6ème1)'!OZ16:PB16,"A"))*4)+((COUNTIF('Elève (6ème1)'!OZ16:PB16,"B"))*3)+((COUNTIF('Elève (6ème1)'!OZ16:PB16,"C"))*2)+((COUNTIF('Elève (6ème1)'!OZ16:PB16,"D"))*1))/(COUNTA(OZ16:PB16)),"")</f>
        <v/>
      </c>
      <c r="PD16" s="111" t="str">
        <f t="shared" si="97"/>
        <v/>
      </c>
      <c r="PE16" s="81"/>
      <c r="PF16" s="82"/>
      <c r="PG16" s="83"/>
      <c r="PH16" s="110" t="str">
        <f>IFERROR((((COUNTIF('Elève (6ème1)'!PE16:PG16,"A"))*4)+((COUNTIF('Elève (6ème1)'!PE16:PG16,"B"))*3)+((COUNTIF('Elève (6ème1)'!PE16:PG16,"C"))*2)+((COUNTIF('Elève (6ème1)'!PE16:PG16,"D"))*1))/(COUNTA(PE16:PG16)),"")</f>
        <v/>
      </c>
      <c r="PI16" s="111" t="str">
        <f t="shared" si="98"/>
        <v/>
      </c>
      <c r="PJ16" s="179" t="str">
        <f>IF(COUNT(OX16,PC16,PH16)=0,"",SUM(OX16,PC16,PH16)/COUNT(OX16,PC16,PH16))</f>
        <v/>
      </c>
      <c r="PK16" s="132" t="str">
        <f t="shared" si="99"/>
        <v/>
      </c>
      <c r="PL16" s="156"/>
      <c r="PM16" s="157"/>
      <c r="PN16" s="158"/>
      <c r="PO16" s="110" t="str">
        <f>IFERROR((((COUNTIF('Elève (6ème1)'!PL16:PN16,"A"))*4)+((COUNTIF('Elève (6ème1)'!PL16:PN16,"B"))*3)+((COUNTIF('Elève (6ème1)'!PL16:PN16,"C"))*2)+((COUNTIF('Elève (6ème1)'!PL16:PN16,"D"))*1))/(COUNTA(PL16:PN16)),"")</f>
        <v/>
      </c>
      <c r="PP16" s="111" t="str">
        <f t="shared" si="100"/>
        <v/>
      </c>
      <c r="PQ16" s="81"/>
      <c r="PR16" s="82"/>
      <c r="PS16" s="83"/>
      <c r="PT16" s="110" t="str">
        <f>IFERROR((((COUNTIF('Elève (6ème1)'!PQ16:PS16,"A"))*4)+((COUNTIF('Elève (6ème1)'!PQ16:PS16,"B"))*3)+((COUNTIF('Elève (6ème1)'!PQ16:PS16,"C"))*2)+((COUNTIF('Elève (6ème1)'!PQ16:PS16,"D"))*1))/(COUNTA(PQ16:PS16)),"")</f>
        <v/>
      </c>
      <c r="PU16" s="111" t="str">
        <f t="shared" si="101"/>
        <v/>
      </c>
      <c r="PV16" s="81"/>
      <c r="PW16" s="82"/>
      <c r="PX16" s="83"/>
      <c r="PY16" s="110" t="str">
        <f>IFERROR((((COUNTIF('Elève (6ème1)'!PV16:PX16,"A"))*4)+((COUNTIF('Elève (6ème1)'!PV16:PX16,"B"))*3)+((COUNTIF('Elève (6ème1)'!PV16:PX16,"C"))*2)+((COUNTIF('Elève (6ème1)'!PV16:PX16,"D"))*1))/(COUNTA(PV16:PX16)),"")</f>
        <v/>
      </c>
      <c r="PZ16" s="111" t="str">
        <f t="shared" si="102"/>
        <v/>
      </c>
      <c r="QA16" s="179" t="str">
        <f>IF(COUNT(PO16,PT16,PY16)=0,"",SUM(PO16,PT16,PY16)/COUNT(PO16,PT16,PY16))</f>
        <v/>
      </c>
      <c r="QB16" s="132" t="str">
        <f t="shared" si="103"/>
        <v/>
      </c>
      <c r="QC16" s="156"/>
      <c r="QD16" s="157"/>
      <c r="QE16" s="158"/>
      <c r="QF16" s="110" t="str">
        <f>IFERROR((((COUNTIF('Elève (6ème1)'!QC16:QE16,"A"))*4)+((COUNTIF('Elève (6ème1)'!QC16:QE16,"B"))*3)+((COUNTIF('Elève (6ème1)'!QC16:QE16,"C"))*2)+((COUNTIF('Elève (6ème1)'!QC16:QE16,"D"))*1))/(COUNTA(QC16:QE16)),"")</f>
        <v/>
      </c>
      <c r="QG16" s="111" t="str">
        <f t="shared" si="104"/>
        <v/>
      </c>
      <c r="QH16" s="81"/>
      <c r="QI16" s="82"/>
      <c r="QJ16" s="83"/>
      <c r="QK16" s="110" t="str">
        <f>IFERROR((((COUNTIF('Elève (6ème1)'!QH16:QJ16,"A"))*4)+((COUNTIF('Elève (6ème1)'!QH16:QJ16,"B"))*3)+((COUNTIF('Elève (6ème1)'!QH16:QJ16,"C"))*2)+((COUNTIF('Elève (6ème1)'!QH16:QJ16,"D"))*1))/(COUNTA(QH16:QJ16)),"")</f>
        <v/>
      </c>
      <c r="QL16" s="111" t="str">
        <f t="shared" si="105"/>
        <v/>
      </c>
      <c r="QM16" s="81"/>
      <c r="QN16" s="82"/>
      <c r="QO16" s="83"/>
      <c r="QP16" s="110" t="str">
        <f>IFERROR((((COUNTIF('Elève (6ème1)'!QM16:QO16,"A"))*4)+((COUNTIF('Elève (6ème1)'!QM16:QO16,"B"))*3)+((COUNTIF('Elève (6ème1)'!QM16:QO16,"C"))*2)+((COUNTIF('Elève (6ème1)'!QM16:QO16,"D"))*1))/(COUNTA(QM16:QO16)),"")</f>
        <v/>
      </c>
      <c r="QQ16" s="111" t="str">
        <f t="shared" si="106"/>
        <v/>
      </c>
      <c r="QR16" s="179" t="str">
        <f>IF(COUNT(QF16,QK16,QP16)=0,"",SUM(QF16,QK16,QP16)/COUNT(QF16,QK16,QP16))</f>
        <v/>
      </c>
      <c r="QS16" s="132" t="str">
        <f t="shared" si="107"/>
        <v/>
      </c>
      <c r="QT16" s="156"/>
      <c r="QU16" s="157"/>
      <c r="QV16" s="158"/>
      <c r="QW16" s="110" t="str">
        <f>IFERROR((((COUNTIF('Elève (6ème1)'!QT16:QV16,"A"))*4)+((COUNTIF('Elève (6ème1)'!QT16:QV16,"B"))*3)+((COUNTIF('Elève (6ème1)'!QT16:QV16,"C"))*2)+((COUNTIF('Elève (6ème1)'!QT16:QV16,"D"))*1))/(COUNTA(QT16:QV16)),"")</f>
        <v/>
      </c>
      <c r="QX16" s="111" t="str">
        <f t="shared" si="108"/>
        <v/>
      </c>
      <c r="QY16" s="81"/>
      <c r="QZ16" s="82"/>
      <c r="RA16" s="83"/>
      <c r="RB16" s="110" t="str">
        <f>IFERROR((((COUNTIF('Elève (6ème1)'!QY16:RA16,"A"))*4)+((COUNTIF('Elève (6ème1)'!QY16:RA16,"B"))*3)+((COUNTIF('Elève (6ème1)'!QY16:RA16,"C"))*2)+((COUNTIF('Elève (6ème1)'!QY16:RA16,"D"))*1))/(COUNTA(QY16:RA16)),"")</f>
        <v/>
      </c>
      <c r="RC16" s="111" t="str">
        <f t="shared" si="109"/>
        <v/>
      </c>
      <c r="RD16" s="81"/>
      <c r="RE16" s="82"/>
      <c r="RF16" s="83"/>
      <c r="RG16" s="110" t="str">
        <f>IFERROR((((COUNTIF('Elève (6ème1)'!RD16:RF16,"A"))*4)+((COUNTIF('Elève (6ème1)'!RD16:RF16,"B"))*3)+((COUNTIF('Elève (6ème1)'!RD16:RF16,"C"))*2)+((COUNTIF('Elève (6ème1)'!RD16:RF16,"D"))*1))/(COUNTA(RD16:RF16)),"")</f>
        <v/>
      </c>
      <c r="RH16" s="111" t="str">
        <f t="shared" si="110"/>
        <v/>
      </c>
      <c r="RI16" s="179" t="str">
        <f>IF(COUNT(QW16,RB16,RG16)=0,"",SUM(QW16,RB16,RG16)/COUNT(QW16,RB16,RG16))</f>
        <v/>
      </c>
      <c r="RJ16" s="132" t="str">
        <f t="shared" si="111"/>
        <v/>
      </c>
      <c r="RK16" s="156"/>
      <c r="RL16" s="157"/>
      <c r="RM16" s="158"/>
      <c r="RN16" s="110" t="str">
        <f>IFERROR((((COUNTIF('Elève (6ème1)'!RK16:RM16,"A"))*4)+((COUNTIF('Elève (6ème1)'!RK16:RM16,"B"))*3)+((COUNTIF('Elève (6ème1)'!RK16:RM16,"C"))*2)+((COUNTIF('Elève (6ème1)'!RK16:RM16,"D"))*1))/(COUNTA(RK16:RM16)),"")</f>
        <v/>
      </c>
      <c r="RO16" s="111" t="str">
        <f t="shared" si="112"/>
        <v/>
      </c>
      <c r="RP16" s="81"/>
      <c r="RQ16" s="82"/>
      <c r="RR16" s="83"/>
      <c r="RS16" s="110" t="str">
        <f>IFERROR((((COUNTIF('Elève (6ème1)'!RP16:RR16,"A"))*4)+((COUNTIF('Elève (6ème1)'!RP16:RR16,"B"))*3)+((COUNTIF('Elève (6ème1)'!RP16:RR16,"C"))*2)+((COUNTIF('Elève (6ème1)'!RP16:RR16,"D"))*1))/(COUNTA(RP16:RR16)),"")</f>
        <v/>
      </c>
      <c r="RT16" s="111" t="str">
        <f t="shared" si="113"/>
        <v/>
      </c>
      <c r="RU16" s="81"/>
      <c r="RV16" s="82"/>
      <c r="RW16" s="83"/>
      <c r="RX16" s="110" t="str">
        <f>IFERROR((((COUNTIF('Elève (6ème1)'!RU16:RW16,"A"))*4)+((COUNTIF('Elève (6ème1)'!RU16:RW16,"B"))*3)+((COUNTIF('Elève (6ème1)'!RU16:RW16,"C"))*2)+((COUNTIF('Elève (6ème1)'!RU16:RW16,"D"))*1))/(COUNTA(RU16:RW16)),"")</f>
        <v/>
      </c>
      <c r="RY16" s="111" t="str">
        <f t="shared" si="114"/>
        <v/>
      </c>
      <c r="RZ16" s="179" t="str">
        <f>IF(COUNT(RN16,RS16,RX16)=0,"",SUM(RN16,RS16,RX16)/COUNT(RN16,RS16,RX16))</f>
        <v/>
      </c>
      <c r="SA16" s="132" t="str">
        <f t="shared" si="115"/>
        <v/>
      </c>
      <c r="SB16" s="156"/>
      <c r="SC16" s="157"/>
      <c r="SD16" s="158"/>
      <c r="SE16" s="110" t="str">
        <f>IFERROR((((COUNTIF('Elève (6ème1)'!SB16:SD16,"A"))*4)+((COUNTIF('Elève (6ème1)'!SB16:SD16,"B"))*3)+((COUNTIF('Elève (6ème1)'!SB16:SD16,"C"))*2)+((COUNTIF('Elève (6ème1)'!SB16:SD16,"D"))*1))/(COUNTA(SB16:SD16)),"")</f>
        <v/>
      </c>
      <c r="SF16" s="111" t="str">
        <f t="shared" si="116"/>
        <v/>
      </c>
      <c r="SG16" s="81"/>
      <c r="SH16" s="82"/>
      <c r="SI16" s="83"/>
      <c r="SJ16" s="110" t="str">
        <f>IFERROR((((COUNTIF('Elève (6ème1)'!SG16:SI16,"A"))*4)+((COUNTIF('Elève (6ème1)'!SG16:SI16,"B"))*3)+((COUNTIF('Elève (6ème1)'!SG16:SI16,"C"))*2)+((COUNTIF('Elève (6ème1)'!SG16:SI16,"D"))*1))/(COUNTA(SG16:SI16)),"")</f>
        <v/>
      </c>
      <c r="SK16" s="111" t="str">
        <f t="shared" si="117"/>
        <v/>
      </c>
      <c r="SL16" s="81"/>
      <c r="SM16" s="82"/>
      <c r="SN16" s="83"/>
      <c r="SO16" s="110" t="str">
        <f>IFERROR((((COUNTIF('Elève (6ème1)'!SL16:SN16,"A"))*4)+((COUNTIF('Elève (6ème1)'!SL16:SN16,"B"))*3)+((COUNTIF('Elève (6ème1)'!SL16:SN16,"C"))*2)+((COUNTIF('Elève (6ème1)'!SL16:SN16,"D"))*1))/(COUNTA(SL16:SN16)),"")</f>
        <v/>
      </c>
      <c r="SP16" s="111" t="str">
        <f t="shared" si="118"/>
        <v/>
      </c>
      <c r="SQ16" s="179" t="str">
        <f>IF(COUNT(SE16,SJ16,SO16)=0,"",SUM(SE16,SJ16,SO16)/COUNT(SE16,SJ16,SO16))</f>
        <v/>
      </c>
      <c r="SR16" s="132" t="str">
        <f t="shared" si="119"/>
        <v/>
      </c>
    </row>
    <row r="17" spans="1:512" s="72" customFormat="1" ht="18" customHeight="1" thickBot="1" x14ac:dyDescent="0.3">
      <c r="A17" s="244" t="s">
        <v>20</v>
      </c>
      <c r="B17" s="245"/>
      <c r="C17" s="159"/>
      <c r="D17" s="160"/>
      <c r="E17" s="161"/>
      <c r="F17" s="136" t="str">
        <f>IFERROR((((COUNTIF('Elève (6ème1)'!C17:E17,"A"))*4)+((COUNTIF('Elève (6ème1)'!C17:E17,"B"))*3)+((COUNTIF('Elève (6ème1)'!C17:E17,"C"))*2)+((COUNTIF('Elève (6ème1)'!C17:E17,"D"))*1))/(COUNTA(C17:E17)),"")</f>
        <v/>
      </c>
      <c r="G17" s="137" t="str">
        <f t="shared" si="0"/>
        <v/>
      </c>
      <c r="H17" s="84"/>
      <c r="I17" s="85"/>
      <c r="J17" s="86"/>
      <c r="K17" s="136" t="str">
        <f>IFERROR((((COUNTIF('Elève (6ème1)'!H17:J17,"A"))*4)+((COUNTIF('Elève (6ème1)'!H17:J17,"B"))*3)+((COUNTIF('Elève (6ème1)'!H17:J17,"C"))*2)+((COUNTIF('Elève (6ème1)'!H17:J17,"D"))*1))/(COUNTA(H17:J17)),"")</f>
        <v/>
      </c>
      <c r="L17" s="137" t="str">
        <f t="shared" si="1"/>
        <v/>
      </c>
      <c r="M17" s="84"/>
      <c r="N17" s="85"/>
      <c r="O17" s="86"/>
      <c r="P17" s="136" t="str">
        <f>IFERROR((((COUNTIF('Elève (6ème1)'!M17:O17,"A"))*4)+((COUNTIF('Elève (6ème1)'!M17:O17,"B"))*3)+((COUNTIF('Elève (6ème1)'!M17:O17,"C"))*2)+((COUNTIF('Elève (6ème1)'!M17:O17,"D"))*1))/(COUNTA(M17:O17)),"")</f>
        <v/>
      </c>
      <c r="Q17" s="137" t="str">
        <f t="shared" si="2"/>
        <v/>
      </c>
      <c r="R17" s="180" t="str">
        <f>IF(COUNT(F17,K17,P17)=0,"",SUM(F17,K17,P17)/COUNT(F17,K17,P17))</f>
        <v/>
      </c>
      <c r="S17" s="133" t="str">
        <f t="shared" si="3"/>
        <v/>
      </c>
      <c r="T17" s="159"/>
      <c r="U17" s="160"/>
      <c r="V17" s="161"/>
      <c r="W17" s="136" t="str">
        <f>IFERROR((((COUNTIF('Elève (6ème1)'!T17:V17,"A"))*4)+((COUNTIF('Elève (6ème1)'!T17:V17,"B"))*3)+((COUNTIF('Elève (6ème1)'!T17:V17,"C"))*2)+((COUNTIF('Elève (6ème1)'!T17:V17,"D"))*1))/(COUNTA(T17:V17)),"")</f>
        <v/>
      </c>
      <c r="X17" s="137" t="str">
        <f t="shared" si="4"/>
        <v/>
      </c>
      <c r="Y17" s="84"/>
      <c r="Z17" s="85"/>
      <c r="AA17" s="86"/>
      <c r="AB17" s="136" t="str">
        <f>IFERROR((((COUNTIF('Elève (6ème1)'!Y17:AA17,"A"))*4)+((COUNTIF('Elève (6ème1)'!Y17:AA17,"B"))*3)+((COUNTIF('Elève (6ème1)'!Y17:AA17,"C"))*2)+((COUNTIF('Elève (6ème1)'!Y17:AA17,"D"))*1))/(COUNTA(Y17:AA17)),"")</f>
        <v/>
      </c>
      <c r="AC17" s="137" t="str">
        <f t="shared" si="5"/>
        <v/>
      </c>
      <c r="AD17" s="84"/>
      <c r="AE17" s="85"/>
      <c r="AF17" s="86"/>
      <c r="AG17" s="136" t="str">
        <f>IFERROR((((COUNTIF('Elève (6ème1)'!AD17:AF17,"A"))*4)+((COUNTIF('Elève (6ème1)'!AD17:AF17,"B"))*3)+((COUNTIF('Elève (6ème1)'!AD17:AF17,"C"))*2)+((COUNTIF('Elève (6ème1)'!AD17:AF17,"D"))*1))/(COUNTA(AD17:AF17)),"")</f>
        <v/>
      </c>
      <c r="AH17" s="137" t="str">
        <f t="shared" si="6"/>
        <v/>
      </c>
      <c r="AI17" s="180" t="str">
        <f>IF(COUNT(W17,AB17,AG17)=0,"",SUM(W17,AB17,AG17)/COUNT(W17,AB17,AG17))</f>
        <v/>
      </c>
      <c r="AJ17" s="133" t="str">
        <f t="shared" si="7"/>
        <v/>
      </c>
      <c r="AK17" s="159"/>
      <c r="AL17" s="160"/>
      <c r="AM17" s="161"/>
      <c r="AN17" s="136" t="str">
        <f>IFERROR((((COUNTIF('Elève (6ème1)'!AK17:AM17,"A"))*4)+((COUNTIF('Elève (6ème1)'!AK17:AM17,"B"))*3)+((COUNTIF('Elève (6ème1)'!AK17:AM17,"C"))*2)+((COUNTIF('Elève (6ème1)'!AK17:AM17,"D"))*1))/(COUNTA(AK17:AM17)),"")</f>
        <v/>
      </c>
      <c r="AO17" s="137" t="str">
        <f t="shared" si="8"/>
        <v/>
      </c>
      <c r="AP17" s="84"/>
      <c r="AQ17" s="85"/>
      <c r="AR17" s="86"/>
      <c r="AS17" s="136" t="str">
        <f>IFERROR((((COUNTIF('Elève (6ème1)'!AP17:AR17,"A"))*4)+((COUNTIF('Elève (6ème1)'!AP17:AR17,"B"))*3)+((COUNTIF('Elève (6ème1)'!AP17:AR17,"C"))*2)+((COUNTIF('Elève (6ème1)'!AP17:AR17,"D"))*1))/(COUNTA(AP17:AR17)),"")</f>
        <v/>
      </c>
      <c r="AT17" s="137" t="str">
        <f t="shared" si="9"/>
        <v/>
      </c>
      <c r="AU17" s="84"/>
      <c r="AV17" s="85"/>
      <c r="AW17" s="86"/>
      <c r="AX17" s="136" t="str">
        <f>IFERROR((((COUNTIF('Elève (6ème1)'!AU17:AW17,"A"))*4)+((COUNTIF('Elève (6ème1)'!AU17:AW17,"B"))*3)+((COUNTIF('Elève (6ème1)'!AU17:AW17,"C"))*2)+((COUNTIF('Elève (6ème1)'!AU17:AW17,"D"))*1))/(COUNTA(AU17:AW17)),"")</f>
        <v/>
      </c>
      <c r="AY17" s="137" t="str">
        <f t="shared" si="10"/>
        <v/>
      </c>
      <c r="AZ17" s="180" t="str">
        <f>IF(COUNT(AN17,AS17,AX17)=0,"",SUM(AN17,AS17,AX17)/COUNT(AN17,AS17,AX17))</f>
        <v/>
      </c>
      <c r="BA17" s="133" t="str">
        <f t="shared" si="11"/>
        <v/>
      </c>
      <c r="BB17" s="159"/>
      <c r="BC17" s="160"/>
      <c r="BD17" s="161"/>
      <c r="BE17" s="136" t="str">
        <f>IFERROR((((COUNTIF('Elève (6ème1)'!BB17:BD17,"A"))*4)+((COUNTIF('Elève (6ème1)'!BB17:BD17,"B"))*3)+((COUNTIF('Elève (6ème1)'!BB17:BD17,"C"))*2)+((COUNTIF('Elève (6ème1)'!BB17:BD17,"D"))*1))/(COUNTA(BB17:BD17)),"")</f>
        <v/>
      </c>
      <c r="BF17" s="137" t="str">
        <f t="shared" si="12"/>
        <v/>
      </c>
      <c r="BG17" s="84"/>
      <c r="BH17" s="85"/>
      <c r="BI17" s="86"/>
      <c r="BJ17" s="136" t="str">
        <f>IFERROR((((COUNTIF('Elève (6ème1)'!BG17:BI17,"A"))*4)+((COUNTIF('Elève (6ème1)'!BG17:BI17,"B"))*3)+((COUNTIF('Elève (6ème1)'!BG17:BI17,"C"))*2)+((COUNTIF('Elève (6ème1)'!BG17:BI17,"D"))*1))/(COUNTA(BG17:BI17)),"")</f>
        <v/>
      </c>
      <c r="BK17" s="137" t="str">
        <f t="shared" si="13"/>
        <v/>
      </c>
      <c r="BL17" s="84"/>
      <c r="BM17" s="85"/>
      <c r="BN17" s="86"/>
      <c r="BO17" s="136" t="str">
        <f>IFERROR((((COUNTIF('Elève (6ème1)'!BL17:BN17,"A"))*4)+((COUNTIF('Elève (6ème1)'!BL17:BN17,"B"))*3)+((COUNTIF('Elève (6ème1)'!BL17:BN17,"C"))*2)+((COUNTIF('Elève (6ème1)'!BL17:BN17,"D"))*1))/(COUNTA(BL17:BN17)),"")</f>
        <v/>
      </c>
      <c r="BP17" s="137" t="str">
        <f t="shared" si="14"/>
        <v/>
      </c>
      <c r="BQ17" s="180" t="str">
        <f>IF(COUNT(BE17,BJ17,BO17)=0,"",SUM(BE17,BJ17,BO17)/COUNT(BE17,BJ17,BO17))</f>
        <v/>
      </c>
      <c r="BR17" s="133" t="str">
        <f t="shared" si="15"/>
        <v/>
      </c>
      <c r="BS17" s="159"/>
      <c r="BT17" s="160"/>
      <c r="BU17" s="161"/>
      <c r="BV17" s="136" t="str">
        <f>IFERROR((((COUNTIF('Elève (6ème1)'!BS17:BU17,"A"))*4)+((COUNTIF('Elève (6ème1)'!BS17:BU17,"B"))*3)+((COUNTIF('Elève (6ème1)'!BS17:BU17,"C"))*2)+((COUNTIF('Elève (6ème1)'!BS17:BU17,"D"))*1))/(COUNTA(BS17:BU17)),"")</f>
        <v/>
      </c>
      <c r="BW17" s="137" t="str">
        <f t="shared" si="16"/>
        <v/>
      </c>
      <c r="BX17" s="84"/>
      <c r="BY17" s="85"/>
      <c r="BZ17" s="86"/>
      <c r="CA17" s="136" t="str">
        <f>IFERROR((((COUNTIF('Elève (6ème1)'!BX17:BZ17,"A"))*4)+((COUNTIF('Elève (6ème1)'!BX17:BZ17,"B"))*3)+((COUNTIF('Elève (6ème1)'!BX17:BZ17,"C"))*2)+((COUNTIF('Elève (6ème1)'!BX17:BZ17,"D"))*1))/(COUNTA(BX17:BZ17)),"")</f>
        <v/>
      </c>
      <c r="CB17" s="137" t="str">
        <f t="shared" si="17"/>
        <v/>
      </c>
      <c r="CC17" s="84"/>
      <c r="CD17" s="85"/>
      <c r="CE17" s="86"/>
      <c r="CF17" s="136" t="str">
        <f>IFERROR((((COUNTIF('Elève (6ème1)'!CC17:CE17,"A"))*4)+((COUNTIF('Elève (6ème1)'!CC17:CE17,"B"))*3)+((COUNTIF('Elève (6ème1)'!CC17:CE17,"C"))*2)+((COUNTIF('Elève (6ème1)'!CC17:CE17,"D"))*1))/(COUNTA(CC17:CE17)),"")</f>
        <v/>
      </c>
      <c r="CG17" s="137" t="str">
        <f t="shared" si="18"/>
        <v/>
      </c>
      <c r="CH17" s="180" t="str">
        <f>IF(COUNT(BV17,CA17,CF17)=0,"",SUM(BV17,CA17,CF17)/COUNT(BV17,CA17,CF17))</f>
        <v/>
      </c>
      <c r="CI17" s="133" t="str">
        <f t="shared" si="19"/>
        <v/>
      </c>
      <c r="CJ17" s="159"/>
      <c r="CK17" s="160"/>
      <c r="CL17" s="161"/>
      <c r="CM17" s="136" t="str">
        <f>IFERROR((((COUNTIF('Elève (6ème1)'!CJ17:CL17,"A"))*4)+((COUNTIF('Elève (6ème1)'!CJ17:CL17,"B"))*3)+((COUNTIF('Elève (6ème1)'!CJ17:CL17,"C"))*2)+((COUNTIF('Elève (6ème1)'!CJ17:CL17,"D"))*1))/(COUNTA(CJ17:CL17)),"")</f>
        <v/>
      </c>
      <c r="CN17" s="137" t="str">
        <f t="shared" si="20"/>
        <v/>
      </c>
      <c r="CO17" s="84"/>
      <c r="CP17" s="85"/>
      <c r="CQ17" s="86"/>
      <c r="CR17" s="136" t="str">
        <f>IFERROR((((COUNTIF('Elève (6ème1)'!CO17:CQ17,"A"))*4)+((COUNTIF('Elève (6ème1)'!CO17:CQ17,"B"))*3)+((COUNTIF('Elève (6ème1)'!CO17:CQ17,"C"))*2)+((COUNTIF('Elève (6ème1)'!CO17:CQ17,"D"))*1))/(COUNTA(CO17:CQ17)),"")</f>
        <v/>
      </c>
      <c r="CS17" s="137" t="str">
        <f t="shared" si="21"/>
        <v/>
      </c>
      <c r="CT17" s="84"/>
      <c r="CU17" s="85"/>
      <c r="CV17" s="86"/>
      <c r="CW17" s="136" t="str">
        <f>IFERROR((((COUNTIF('Elève (6ème1)'!CT17:CV17,"A"))*4)+((COUNTIF('Elève (6ème1)'!CT17:CV17,"B"))*3)+((COUNTIF('Elève (6ème1)'!CT17:CV17,"C"))*2)+((COUNTIF('Elève (6ème1)'!CT17:CV17,"D"))*1))/(COUNTA(CT17:CV17)),"")</f>
        <v/>
      </c>
      <c r="CX17" s="137" t="str">
        <f t="shared" si="22"/>
        <v/>
      </c>
      <c r="CY17" s="180" t="str">
        <f>IF(COUNT(CM17,CR17,CW17)=0,"",SUM(CM17,CR17,CW17)/COUNT(CM17,CR17,CW17))</f>
        <v/>
      </c>
      <c r="CZ17" s="133" t="str">
        <f t="shared" si="23"/>
        <v/>
      </c>
      <c r="DA17" s="159"/>
      <c r="DB17" s="160"/>
      <c r="DC17" s="161"/>
      <c r="DD17" s="136" t="str">
        <f>IFERROR((((COUNTIF('Elève (6ème1)'!DA17:DC17,"A"))*4)+((COUNTIF('Elève (6ème1)'!DA17:DC17,"B"))*3)+((COUNTIF('Elève (6ème1)'!DA17:DC17,"C"))*2)+((COUNTIF('Elève (6ème1)'!DA17:DC17,"D"))*1))/(COUNTA(DA17:DC17)),"")</f>
        <v/>
      </c>
      <c r="DE17" s="137" t="str">
        <f t="shared" si="24"/>
        <v/>
      </c>
      <c r="DF17" s="84"/>
      <c r="DG17" s="85"/>
      <c r="DH17" s="86"/>
      <c r="DI17" s="136" t="str">
        <f>IFERROR((((COUNTIF('Elève (6ème1)'!DF17:DH17,"A"))*4)+((COUNTIF('Elève (6ème1)'!DF17:DH17,"B"))*3)+((COUNTIF('Elève (6ème1)'!DF17:DH17,"C"))*2)+((COUNTIF('Elève (6ème1)'!DF17:DH17,"D"))*1))/(COUNTA(DF17:DH17)),"")</f>
        <v/>
      </c>
      <c r="DJ17" s="137" t="str">
        <f t="shared" si="25"/>
        <v/>
      </c>
      <c r="DK17" s="84"/>
      <c r="DL17" s="85"/>
      <c r="DM17" s="86"/>
      <c r="DN17" s="136" t="str">
        <f>IFERROR((((COUNTIF('Elève (6ème1)'!DK17:DM17,"A"))*4)+((COUNTIF('Elève (6ème1)'!DK17:DM17,"B"))*3)+((COUNTIF('Elève (6ème1)'!DK17:DM17,"C"))*2)+((COUNTIF('Elève (6ème1)'!DK17:DM17,"D"))*1))/(COUNTA(DK17:DM17)),"")</f>
        <v/>
      </c>
      <c r="DO17" s="137" t="str">
        <f t="shared" si="26"/>
        <v/>
      </c>
      <c r="DP17" s="180" t="str">
        <f>IF(COUNT(DD17,DI17,DN17)=0,"",SUM(DD17,DI17,DN17)/COUNT(DD17,DI17,DN17))</f>
        <v/>
      </c>
      <c r="DQ17" s="133" t="str">
        <f t="shared" si="27"/>
        <v/>
      </c>
      <c r="DR17" s="159"/>
      <c r="DS17" s="160"/>
      <c r="DT17" s="161"/>
      <c r="DU17" s="136" t="str">
        <f>IFERROR((((COUNTIF('Elève (6ème1)'!DR17:DT17,"A"))*4)+((COUNTIF('Elève (6ème1)'!DR17:DT17,"B"))*3)+((COUNTIF('Elève (6ème1)'!DR17:DT17,"C"))*2)+((COUNTIF('Elève (6ème1)'!DR17:DT17,"D"))*1))/(COUNTA(DR17:DT17)),"")</f>
        <v/>
      </c>
      <c r="DV17" s="137" t="str">
        <f t="shared" si="28"/>
        <v/>
      </c>
      <c r="DW17" s="84"/>
      <c r="DX17" s="85"/>
      <c r="DY17" s="86"/>
      <c r="DZ17" s="136" t="str">
        <f>IFERROR((((COUNTIF('Elève (6ème1)'!DW17:DY17,"A"))*4)+((COUNTIF('Elève (6ème1)'!DW17:DY17,"B"))*3)+((COUNTIF('Elève (6ème1)'!DW17:DY17,"C"))*2)+((COUNTIF('Elève (6ème1)'!DW17:DY17,"D"))*1))/(COUNTA(DW17:DY17)),"")</f>
        <v/>
      </c>
      <c r="EA17" s="137" t="str">
        <f t="shared" si="29"/>
        <v/>
      </c>
      <c r="EB17" s="84"/>
      <c r="EC17" s="85"/>
      <c r="ED17" s="86"/>
      <c r="EE17" s="136" t="str">
        <f>IFERROR((((COUNTIF('Elève (6ème1)'!EB17:ED17,"A"))*4)+((COUNTIF('Elève (6ème1)'!EB17:ED17,"B"))*3)+((COUNTIF('Elève (6ème1)'!EB17:ED17,"C"))*2)+((COUNTIF('Elève (6ème1)'!EB17:ED17,"D"))*1))/(COUNTA(EB17:ED17)),"")</f>
        <v/>
      </c>
      <c r="EF17" s="137" t="str">
        <f t="shared" si="30"/>
        <v/>
      </c>
      <c r="EG17" s="180" t="str">
        <f>IF(COUNT(DU17,DZ17,EE17)=0,"",SUM(DU17,DZ17,EE17)/COUNT(DU17,DZ17,EE17))</f>
        <v/>
      </c>
      <c r="EH17" s="133" t="str">
        <f t="shared" si="31"/>
        <v/>
      </c>
      <c r="EI17" s="159"/>
      <c r="EJ17" s="160"/>
      <c r="EK17" s="161"/>
      <c r="EL17" s="136" t="str">
        <f>IFERROR((((COUNTIF('Elève (6ème1)'!EI17:EK17,"A"))*4)+((COUNTIF('Elève (6ème1)'!EI17:EK17,"B"))*3)+((COUNTIF('Elève (6ème1)'!EI17:EK17,"C"))*2)+((COUNTIF('Elève (6ème1)'!EI17:EK17,"D"))*1))/(COUNTA(EI17:EK17)),"")</f>
        <v/>
      </c>
      <c r="EM17" s="137" t="str">
        <f t="shared" si="32"/>
        <v/>
      </c>
      <c r="EN17" s="84"/>
      <c r="EO17" s="85"/>
      <c r="EP17" s="86"/>
      <c r="EQ17" s="136" t="str">
        <f>IFERROR((((COUNTIF('Elève (6ème1)'!EN17:EP17,"A"))*4)+((COUNTIF('Elève (6ème1)'!EN17:EP17,"B"))*3)+((COUNTIF('Elève (6ème1)'!EN17:EP17,"C"))*2)+((COUNTIF('Elève (6ème1)'!EN17:EP17,"D"))*1))/(COUNTA(EN17:EP17)),"")</f>
        <v/>
      </c>
      <c r="ER17" s="137" t="str">
        <f t="shared" si="33"/>
        <v/>
      </c>
      <c r="ES17" s="84"/>
      <c r="ET17" s="85"/>
      <c r="EU17" s="86"/>
      <c r="EV17" s="136" t="str">
        <f>IFERROR((((COUNTIF('Elève (6ème1)'!ES17:EU17,"A"))*4)+((COUNTIF('Elève (6ème1)'!ES17:EU17,"B"))*3)+((COUNTIF('Elève (6ème1)'!ES17:EU17,"C"))*2)+((COUNTIF('Elève (6ème1)'!ES17:EU17,"D"))*1))/(COUNTA(ES17:EU17)),"")</f>
        <v/>
      </c>
      <c r="EW17" s="137" t="str">
        <f t="shared" si="34"/>
        <v/>
      </c>
      <c r="EX17" s="180" t="str">
        <f>IF(COUNT(EL17,EQ17,EV17)=0,"",SUM(EL17,EQ17,EV17)/COUNT(EL17,EQ17,EV17))</f>
        <v/>
      </c>
      <c r="EY17" s="133" t="str">
        <f t="shared" si="35"/>
        <v/>
      </c>
      <c r="EZ17" s="159"/>
      <c r="FA17" s="160"/>
      <c r="FB17" s="161"/>
      <c r="FC17" s="136" t="str">
        <f>IFERROR((((COUNTIF('Elève (6ème1)'!EZ17:FB17,"A"))*4)+((COUNTIF('Elève (6ème1)'!EZ17:FB17,"B"))*3)+((COUNTIF('Elève (6ème1)'!EZ17:FB17,"C"))*2)+((COUNTIF('Elève (6ème1)'!EZ17:FB17,"D"))*1))/(COUNTA(EZ17:FB17)),"")</f>
        <v/>
      </c>
      <c r="FD17" s="137" t="str">
        <f t="shared" si="36"/>
        <v/>
      </c>
      <c r="FE17" s="84"/>
      <c r="FF17" s="85"/>
      <c r="FG17" s="86"/>
      <c r="FH17" s="136" t="str">
        <f>IFERROR((((COUNTIF('Elève (6ème1)'!FE17:FG17,"A"))*4)+((COUNTIF('Elève (6ème1)'!FE17:FG17,"B"))*3)+((COUNTIF('Elève (6ème1)'!FE17:FG17,"C"))*2)+((COUNTIF('Elève (6ème1)'!FE17:FG17,"D"))*1))/(COUNTA(FE17:FG17)),"")</f>
        <v/>
      </c>
      <c r="FI17" s="137" t="str">
        <f t="shared" si="37"/>
        <v/>
      </c>
      <c r="FJ17" s="84"/>
      <c r="FK17" s="85"/>
      <c r="FL17" s="86"/>
      <c r="FM17" s="136" t="str">
        <f>IFERROR((((COUNTIF('Elève (6ème1)'!FJ17:FL17,"A"))*4)+((COUNTIF('Elève (6ème1)'!FJ17:FL17,"B"))*3)+((COUNTIF('Elève (6ème1)'!FJ17:FL17,"C"))*2)+((COUNTIF('Elève (6ème1)'!FJ17:FL17,"D"))*1))/(COUNTA(FJ17:FL17)),"")</f>
        <v/>
      </c>
      <c r="FN17" s="137" t="str">
        <f t="shared" si="38"/>
        <v/>
      </c>
      <c r="FO17" s="180" t="str">
        <f>IF(COUNT(FC17,FH17,FM17)=0,"",SUM(FC17,FH17,FM17)/COUNT(FC17,FH17,FM17))</f>
        <v/>
      </c>
      <c r="FP17" s="133" t="str">
        <f t="shared" si="39"/>
        <v/>
      </c>
      <c r="FQ17" s="159"/>
      <c r="FR17" s="160"/>
      <c r="FS17" s="161"/>
      <c r="FT17" s="136" t="str">
        <f>IFERROR((((COUNTIF('Elève (6ème1)'!FQ17:FS17,"A"))*4)+((COUNTIF('Elève (6ème1)'!FQ17:FS17,"B"))*3)+((COUNTIF('Elève (6ème1)'!FQ17:FS17,"C"))*2)+((COUNTIF('Elève (6ème1)'!FQ17:FS17,"D"))*1))/(COUNTA(FQ17:FS17)),"")</f>
        <v/>
      </c>
      <c r="FU17" s="137" t="str">
        <f t="shared" si="40"/>
        <v/>
      </c>
      <c r="FV17" s="84"/>
      <c r="FW17" s="85"/>
      <c r="FX17" s="86"/>
      <c r="FY17" s="136" t="str">
        <f>IFERROR((((COUNTIF('Elève (6ème1)'!FV17:FX17,"A"))*4)+((COUNTIF('Elève (6ème1)'!FV17:FX17,"B"))*3)+((COUNTIF('Elève (6ème1)'!FV17:FX17,"C"))*2)+((COUNTIF('Elève (6ème1)'!FV17:FX17,"D"))*1))/(COUNTA(FV17:FX17)),"")</f>
        <v/>
      </c>
      <c r="FZ17" s="137" t="str">
        <f t="shared" si="41"/>
        <v/>
      </c>
      <c r="GA17" s="84"/>
      <c r="GB17" s="85"/>
      <c r="GC17" s="86"/>
      <c r="GD17" s="136" t="str">
        <f>IFERROR((((COUNTIF('Elève (6ème1)'!GA17:GC17,"A"))*4)+((COUNTIF('Elève (6ème1)'!GA17:GC17,"B"))*3)+((COUNTIF('Elève (6ème1)'!GA17:GC17,"C"))*2)+((COUNTIF('Elève (6ème1)'!GA17:GC17,"D"))*1))/(COUNTA(GA17:GC17)),"")</f>
        <v/>
      </c>
      <c r="GE17" s="137" t="str">
        <f t="shared" si="42"/>
        <v/>
      </c>
      <c r="GF17" s="180" t="str">
        <f>IF(COUNT(FT17,FY17,GD17)=0,"",SUM(FT17,FY17,GD17)/COUNT(FT17,FY17,GD17))</f>
        <v/>
      </c>
      <c r="GG17" s="133" t="str">
        <f t="shared" si="43"/>
        <v/>
      </c>
      <c r="GH17" s="159"/>
      <c r="GI17" s="160"/>
      <c r="GJ17" s="161"/>
      <c r="GK17" s="136" t="str">
        <f>IFERROR((((COUNTIF('Elève (6ème1)'!GH17:GJ17,"A"))*4)+((COUNTIF('Elève (6ème1)'!GH17:GJ17,"B"))*3)+((COUNTIF('Elève (6ème1)'!GH17:GJ17,"C"))*2)+((COUNTIF('Elève (6ème1)'!GH17:GJ17,"D"))*1))/(COUNTA(GH17:GJ17)),"")</f>
        <v/>
      </c>
      <c r="GL17" s="137" t="str">
        <f t="shared" si="44"/>
        <v/>
      </c>
      <c r="GM17" s="84"/>
      <c r="GN17" s="85"/>
      <c r="GO17" s="86"/>
      <c r="GP17" s="136" t="str">
        <f>IFERROR((((COUNTIF('Elève (6ème1)'!GM17:GO17,"A"))*4)+((COUNTIF('Elève (6ème1)'!GM17:GO17,"B"))*3)+((COUNTIF('Elève (6ème1)'!GM17:GO17,"C"))*2)+((COUNTIF('Elève (6ème1)'!GM17:GO17,"D"))*1))/(COUNTA(GM17:GO17)),"")</f>
        <v/>
      </c>
      <c r="GQ17" s="137" t="str">
        <f t="shared" si="45"/>
        <v/>
      </c>
      <c r="GR17" s="84"/>
      <c r="GS17" s="85"/>
      <c r="GT17" s="86"/>
      <c r="GU17" s="136" t="str">
        <f>IFERROR((((COUNTIF('Elève (6ème1)'!GR17:GT17,"A"))*4)+((COUNTIF('Elève (6ème1)'!GR17:GT17,"B"))*3)+((COUNTIF('Elève (6ème1)'!GR17:GT17,"C"))*2)+((COUNTIF('Elève (6ème1)'!GR17:GT17,"D"))*1))/(COUNTA(GR17:GT17)),"")</f>
        <v/>
      </c>
      <c r="GV17" s="137" t="str">
        <f t="shared" si="46"/>
        <v/>
      </c>
      <c r="GW17" s="180" t="str">
        <f>IF(COUNT(GK17,GP17,GU17)=0,"",SUM(GK17,GP17,GU17)/COUNT(GK17,GP17,GU17))</f>
        <v/>
      </c>
      <c r="GX17" s="133" t="str">
        <f t="shared" si="47"/>
        <v/>
      </c>
      <c r="GY17" s="159"/>
      <c r="GZ17" s="160"/>
      <c r="HA17" s="161"/>
      <c r="HB17" s="136" t="str">
        <f>IFERROR((((COUNTIF('Elève (6ème1)'!GY17:HA17,"A"))*4)+((COUNTIF('Elève (6ème1)'!GY17:HA17,"B"))*3)+((COUNTIF('Elève (6ème1)'!GY17:HA17,"C"))*2)+((COUNTIF('Elève (6ème1)'!GY17:HA17,"D"))*1))/(COUNTA(GY17:HA17)),"")</f>
        <v/>
      </c>
      <c r="HC17" s="137" t="str">
        <f t="shared" si="48"/>
        <v/>
      </c>
      <c r="HD17" s="84"/>
      <c r="HE17" s="85"/>
      <c r="HF17" s="86"/>
      <c r="HG17" s="136" t="str">
        <f>IFERROR((((COUNTIF('Elève (6ème1)'!HD17:HF17,"A"))*4)+((COUNTIF('Elève (6ème1)'!HD17:HF17,"B"))*3)+((COUNTIF('Elève (6ème1)'!HD17:HF17,"C"))*2)+((COUNTIF('Elève (6ème1)'!HD17:HF17,"D"))*1))/(COUNTA(HD17:HF17)),"")</f>
        <v/>
      </c>
      <c r="HH17" s="137" t="str">
        <f t="shared" si="49"/>
        <v/>
      </c>
      <c r="HI17" s="84"/>
      <c r="HJ17" s="85"/>
      <c r="HK17" s="86"/>
      <c r="HL17" s="136" t="str">
        <f>IFERROR((((COUNTIF('Elève (6ème1)'!HI17:HK17,"A"))*4)+((COUNTIF('Elève (6ème1)'!HI17:HK17,"B"))*3)+((COUNTIF('Elève (6ème1)'!HI17:HK17,"C"))*2)+((COUNTIF('Elève (6ème1)'!HI17:HK17,"D"))*1))/(COUNTA(HI17:HK17)),"")</f>
        <v/>
      </c>
      <c r="HM17" s="137" t="str">
        <f t="shared" si="50"/>
        <v/>
      </c>
      <c r="HN17" s="180" t="str">
        <f>IF(COUNT(HB17,HG17,HL17)=0,"",SUM(HB17,HG17,HL17)/COUNT(HB17,HG17,HL17))</f>
        <v/>
      </c>
      <c r="HO17" s="133" t="str">
        <f t="shared" si="51"/>
        <v/>
      </c>
      <c r="HP17" s="159"/>
      <c r="HQ17" s="160"/>
      <c r="HR17" s="161"/>
      <c r="HS17" s="136" t="str">
        <f>IFERROR((((COUNTIF('Elève (6ème1)'!HP17:HR17,"A"))*4)+((COUNTIF('Elève (6ème1)'!HP17:HR17,"B"))*3)+((COUNTIF('Elève (6ème1)'!HP17:HR17,"C"))*2)+((COUNTIF('Elève (6ème1)'!HP17:HR17,"D"))*1))/(COUNTA(HP17:HR17)),"")</f>
        <v/>
      </c>
      <c r="HT17" s="137" t="str">
        <f t="shared" si="52"/>
        <v/>
      </c>
      <c r="HU17" s="84"/>
      <c r="HV17" s="85"/>
      <c r="HW17" s="86"/>
      <c r="HX17" s="136" t="str">
        <f>IFERROR((((COUNTIF('Elève (6ème1)'!HU17:HW17,"A"))*4)+((COUNTIF('Elève (6ème1)'!HU17:HW17,"B"))*3)+((COUNTIF('Elève (6ème1)'!HU17:HW17,"C"))*2)+((COUNTIF('Elève (6ème1)'!HU17:HW17,"D"))*1))/(COUNTA(HU17:HW17)),"")</f>
        <v/>
      </c>
      <c r="HY17" s="137" t="str">
        <f t="shared" si="53"/>
        <v/>
      </c>
      <c r="HZ17" s="84"/>
      <c r="IA17" s="85"/>
      <c r="IB17" s="86"/>
      <c r="IC17" s="136" t="str">
        <f>IFERROR((((COUNTIF('Elève (6ème1)'!HZ17:IB17,"A"))*4)+((COUNTIF('Elève (6ème1)'!HZ17:IB17,"B"))*3)+((COUNTIF('Elève (6ème1)'!HZ17:IB17,"C"))*2)+((COUNTIF('Elève (6ème1)'!HZ17:IB17,"D"))*1))/(COUNTA(HZ17:IB17)),"")</f>
        <v/>
      </c>
      <c r="ID17" s="137" t="str">
        <f t="shared" si="54"/>
        <v/>
      </c>
      <c r="IE17" s="180" t="str">
        <f>IF(COUNT(HS17,HX17,IC17)=0,"",SUM(HS17,HX17,IC17)/COUNT(HS17,HX17,IC17))</f>
        <v/>
      </c>
      <c r="IF17" s="133" t="str">
        <f t="shared" si="55"/>
        <v/>
      </c>
      <c r="IG17" s="159"/>
      <c r="IH17" s="160"/>
      <c r="II17" s="161"/>
      <c r="IJ17" s="136" t="str">
        <f>IFERROR((((COUNTIF('Elève (6ème1)'!IG17:II17,"A"))*4)+((COUNTIF('Elève (6ème1)'!IG17:II17,"B"))*3)+((COUNTIF('Elève (6ème1)'!IG17:II17,"C"))*2)+((COUNTIF('Elève (6ème1)'!IG17:II17,"D"))*1))/(COUNTA(IG17:II17)),"")</f>
        <v/>
      </c>
      <c r="IK17" s="137" t="str">
        <f t="shared" si="56"/>
        <v/>
      </c>
      <c r="IL17" s="84"/>
      <c r="IM17" s="85"/>
      <c r="IN17" s="86"/>
      <c r="IO17" s="136" t="str">
        <f>IFERROR((((COUNTIF('Elève (6ème1)'!IL17:IN17,"A"))*4)+((COUNTIF('Elève (6ème1)'!IL17:IN17,"B"))*3)+((COUNTIF('Elève (6ème1)'!IL17:IN17,"C"))*2)+((COUNTIF('Elève (6ème1)'!IL17:IN17,"D"))*1))/(COUNTA(IL17:IN17)),"")</f>
        <v/>
      </c>
      <c r="IP17" s="137" t="str">
        <f t="shared" si="57"/>
        <v/>
      </c>
      <c r="IQ17" s="84"/>
      <c r="IR17" s="85"/>
      <c r="IS17" s="86"/>
      <c r="IT17" s="136" t="str">
        <f>IFERROR((((COUNTIF('Elève (6ème1)'!IQ17:IS17,"A"))*4)+((COUNTIF('Elève (6ème1)'!IQ17:IS17,"B"))*3)+((COUNTIF('Elève (6ème1)'!IQ17:IS17,"C"))*2)+((COUNTIF('Elève (6ème1)'!IQ17:IS17,"D"))*1))/(COUNTA(IQ17:IS17)),"")</f>
        <v/>
      </c>
      <c r="IU17" s="137" t="str">
        <f t="shared" si="58"/>
        <v/>
      </c>
      <c r="IV17" s="180" t="str">
        <f>IF(COUNT(IJ17,IO17,IT17)=0,"",SUM(IJ17,IO17,IT17)/COUNT(IJ17,IO17,IT17))</f>
        <v/>
      </c>
      <c r="IW17" s="133" t="str">
        <f t="shared" si="59"/>
        <v/>
      </c>
      <c r="IX17" s="159"/>
      <c r="IY17" s="160"/>
      <c r="IZ17" s="161"/>
      <c r="JA17" s="136" t="str">
        <f>IFERROR((((COUNTIF('Elève (6ème1)'!IX17:IZ17,"A"))*4)+((COUNTIF('Elève (6ème1)'!IX17:IZ17,"B"))*3)+((COUNTIF('Elève (6ème1)'!IX17:IZ17,"C"))*2)+((COUNTIF('Elève (6ème1)'!IX17:IZ17,"D"))*1))/(COUNTA(IX17:IZ17)),"")</f>
        <v/>
      </c>
      <c r="JB17" s="137" t="str">
        <f t="shared" si="60"/>
        <v/>
      </c>
      <c r="JC17" s="84"/>
      <c r="JD17" s="85"/>
      <c r="JE17" s="86"/>
      <c r="JF17" s="136" t="str">
        <f>IFERROR((((COUNTIF('Elève (6ème1)'!JC17:JE17,"A"))*4)+((COUNTIF('Elève (6ème1)'!JC17:JE17,"B"))*3)+((COUNTIF('Elève (6ème1)'!JC17:JE17,"C"))*2)+((COUNTIF('Elève (6ème1)'!JC17:JE17,"D"))*1))/(COUNTA(JC17:JE17)),"")</f>
        <v/>
      </c>
      <c r="JG17" s="137" t="str">
        <f t="shared" si="61"/>
        <v/>
      </c>
      <c r="JH17" s="84"/>
      <c r="JI17" s="85"/>
      <c r="JJ17" s="86"/>
      <c r="JK17" s="136" t="str">
        <f>IFERROR((((COUNTIF('Elève (6ème1)'!JH17:JJ17,"A"))*4)+((COUNTIF('Elève (6ème1)'!JH17:JJ17,"B"))*3)+((COUNTIF('Elève (6ème1)'!JH17:JJ17,"C"))*2)+((COUNTIF('Elève (6ème1)'!JH17:JJ17,"D"))*1))/(COUNTA(JH17:JJ17)),"")</f>
        <v/>
      </c>
      <c r="JL17" s="137" t="str">
        <f t="shared" si="62"/>
        <v/>
      </c>
      <c r="JM17" s="180" t="str">
        <f>IF(COUNT(JA17,JF17,JK17)=0,"",SUM(JA17,JF17,JK17)/COUNT(JA17,JF17,JK17))</f>
        <v/>
      </c>
      <c r="JN17" s="133" t="str">
        <f t="shared" si="63"/>
        <v/>
      </c>
      <c r="JO17" s="159"/>
      <c r="JP17" s="160"/>
      <c r="JQ17" s="161"/>
      <c r="JR17" s="136" t="str">
        <f>IFERROR((((COUNTIF('Elève (6ème1)'!JO17:JQ17,"A"))*4)+((COUNTIF('Elève (6ème1)'!JO17:JQ17,"B"))*3)+((COUNTIF('Elève (6ème1)'!JO17:JQ17,"C"))*2)+((COUNTIF('Elève (6ème1)'!JO17:JQ17,"D"))*1))/(COUNTA(JO17:JQ17)),"")</f>
        <v/>
      </c>
      <c r="JS17" s="137" t="str">
        <f t="shared" si="64"/>
        <v/>
      </c>
      <c r="JT17" s="84"/>
      <c r="JU17" s="85"/>
      <c r="JV17" s="86"/>
      <c r="JW17" s="136" t="str">
        <f>IFERROR((((COUNTIF('Elève (6ème1)'!JT17:JV17,"A"))*4)+((COUNTIF('Elève (6ème1)'!JT17:JV17,"B"))*3)+((COUNTIF('Elève (6ème1)'!JT17:JV17,"C"))*2)+((COUNTIF('Elève (6ème1)'!JT17:JV17,"D"))*1))/(COUNTA(JT17:JV17)),"")</f>
        <v/>
      </c>
      <c r="JX17" s="137" t="str">
        <f t="shared" si="65"/>
        <v/>
      </c>
      <c r="JY17" s="84"/>
      <c r="JZ17" s="85"/>
      <c r="KA17" s="86"/>
      <c r="KB17" s="136" t="str">
        <f>IFERROR((((COUNTIF('Elève (6ème1)'!JY17:KA17,"A"))*4)+((COUNTIF('Elève (6ème1)'!JY17:KA17,"B"))*3)+((COUNTIF('Elève (6ème1)'!JY17:KA17,"C"))*2)+((COUNTIF('Elève (6ème1)'!JY17:KA17,"D"))*1))/(COUNTA(JY17:KA17)),"")</f>
        <v/>
      </c>
      <c r="KC17" s="137" t="str">
        <f t="shared" si="66"/>
        <v/>
      </c>
      <c r="KD17" s="180" t="str">
        <f>IF(COUNT(JR17,JW17,KB17)=0,"",SUM(JR17,JW17,KB17)/COUNT(JR17,JW17,KB17))</f>
        <v/>
      </c>
      <c r="KE17" s="133" t="str">
        <f t="shared" si="67"/>
        <v/>
      </c>
      <c r="KF17" s="159"/>
      <c r="KG17" s="160"/>
      <c r="KH17" s="161"/>
      <c r="KI17" s="136" t="str">
        <f>IFERROR((((COUNTIF('Elève (6ème1)'!KF17:KH17,"A"))*4)+((COUNTIF('Elève (6ème1)'!KF17:KH17,"B"))*3)+((COUNTIF('Elève (6ème1)'!KF17:KH17,"C"))*2)+((COUNTIF('Elève (6ème1)'!KF17:KH17,"D"))*1))/(COUNTA(KF17:KH17)),"")</f>
        <v/>
      </c>
      <c r="KJ17" s="137" t="str">
        <f t="shared" si="68"/>
        <v/>
      </c>
      <c r="KK17" s="84"/>
      <c r="KL17" s="85"/>
      <c r="KM17" s="86"/>
      <c r="KN17" s="136" t="str">
        <f>IFERROR((((COUNTIF('Elève (6ème1)'!KK17:KM17,"A"))*4)+((COUNTIF('Elève (6ème1)'!KK17:KM17,"B"))*3)+((COUNTIF('Elève (6ème1)'!KK17:KM17,"C"))*2)+((COUNTIF('Elève (6ème1)'!KK17:KM17,"D"))*1))/(COUNTA(KK17:KM17)),"")</f>
        <v/>
      </c>
      <c r="KO17" s="137" t="str">
        <f t="shared" si="69"/>
        <v/>
      </c>
      <c r="KP17" s="84"/>
      <c r="KQ17" s="85"/>
      <c r="KR17" s="86"/>
      <c r="KS17" s="136" t="str">
        <f>IFERROR((((COUNTIF('Elève (6ème1)'!KP17:KR17,"A"))*4)+((COUNTIF('Elève (6ème1)'!KP17:KR17,"B"))*3)+((COUNTIF('Elève (6ème1)'!KP17:KR17,"C"))*2)+((COUNTIF('Elève (6ème1)'!KP17:KR17,"D"))*1))/(COUNTA(KP17:KR17)),"")</f>
        <v/>
      </c>
      <c r="KT17" s="137" t="str">
        <f t="shared" si="70"/>
        <v/>
      </c>
      <c r="KU17" s="180" t="str">
        <f>IF(COUNT(KI17,KN17,KS17)=0,"",SUM(KI17,KN17,KS17)/COUNT(KI17,KN17,KS17))</f>
        <v/>
      </c>
      <c r="KV17" s="133" t="str">
        <f t="shared" si="71"/>
        <v/>
      </c>
      <c r="KW17" s="159"/>
      <c r="KX17" s="160"/>
      <c r="KY17" s="161"/>
      <c r="KZ17" s="136" t="str">
        <f>IFERROR((((COUNTIF('Elève (6ème1)'!KW17:KY17,"A"))*4)+((COUNTIF('Elève (6ème1)'!KW17:KY17,"B"))*3)+((COUNTIF('Elève (6ème1)'!KW17:KY17,"C"))*2)+((COUNTIF('Elève (6ème1)'!KW17:KY17,"D"))*1))/(COUNTA(KW17:KY17)),"")</f>
        <v/>
      </c>
      <c r="LA17" s="137" t="str">
        <f t="shared" si="72"/>
        <v/>
      </c>
      <c r="LB17" s="84"/>
      <c r="LC17" s="85"/>
      <c r="LD17" s="86"/>
      <c r="LE17" s="136" t="str">
        <f>IFERROR((((COUNTIF('Elève (6ème1)'!LB17:LD17,"A"))*4)+((COUNTIF('Elève (6ème1)'!LB17:LD17,"B"))*3)+((COUNTIF('Elève (6ème1)'!LB17:LD17,"C"))*2)+((COUNTIF('Elève (6ème1)'!LB17:LD17,"D"))*1))/(COUNTA(LB17:LD17)),"")</f>
        <v/>
      </c>
      <c r="LF17" s="137" t="str">
        <f t="shared" si="73"/>
        <v/>
      </c>
      <c r="LG17" s="84"/>
      <c r="LH17" s="85"/>
      <c r="LI17" s="86"/>
      <c r="LJ17" s="136" t="str">
        <f>IFERROR((((COUNTIF('Elève (6ème1)'!LG17:LI17,"A"))*4)+((COUNTIF('Elève (6ème1)'!LG17:LI17,"B"))*3)+((COUNTIF('Elève (6ème1)'!LG17:LI17,"C"))*2)+((COUNTIF('Elève (6ème1)'!LG17:LI17,"D"))*1))/(COUNTA(LG17:LI17)),"")</f>
        <v/>
      </c>
      <c r="LK17" s="137" t="str">
        <f t="shared" si="74"/>
        <v/>
      </c>
      <c r="LL17" s="180" t="str">
        <f>IF(COUNT(KZ17,LE17,LJ17)=0,"",SUM(KZ17,LE17,LJ17)/COUNT(KZ17,LE17,LJ17))</f>
        <v/>
      </c>
      <c r="LM17" s="133" t="str">
        <f t="shared" si="75"/>
        <v/>
      </c>
      <c r="LN17" s="159"/>
      <c r="LO17" s="160"/>
      <c r="LP17" s="161"/>
      <c r="LQ17" s="136" t="str">
        <f>IFERROR((((COUNTIF('Elève (6ème1)'!LN17:LP17,"A"))*4)+((COUNTIF('Elève (6ème1)'!LN17:LP17,"B"))*3)+((COUNTIF('Elève (6ème1)'!LN17:LP17,"C"))*2)+((COUNTIF('Elève (6ème1)'!LN17:LP17,"D"))*1))/(COUNTA(LN17:LP17)),"")</f>
        <v/>
      </c>
      <c r="LR17" s="137" t="str">
        <f t="shared" si="76"/>
        <v/>
      </c>
      <c r="LS17" s="84"/>
      <c r="LT17" s="85"/>
      <c r="LU17" s="86"/>
      <c r="LV17" s="136" t="str">
        <f>IFERROR((((COUNTIF('Elève (6ème1)'!LS17:LU17,"A"))*4)+((COUNTIF('Elève (6ème1)'!LS17:LU17,"B"))*3)+((COUNTIF('Elève (6ème1)'!LS17:LU17,"C"))*2)+((COUNTIF('Elève (6ème1)'!LS17:LU17,"D"))*1))/(COUNTA(LS17:LU17)),"")</f>
        <v/>
      </c>
      <c r="LW17" s="137" t="str">
        <f t="shared" si="77"/>
        <v/>
      </c>
      <c r="LX17" s="84"/>
      <c r="LY17" s="85"/>
      <c r="LZ17" s="86"/>
      <c r="MA17" s="136" t="str">
        <f>IFERROR((((COUNTIF('Elève (6ème1)'!LX17:LZ17,"A"))*4)+((COUNTIF('Elève (6ème1)'!LX17:LZ17,"B"))*3)+((COUNTIF('Elève (6ème1)'!LX17:LZ17,"C"))*2)+((COUNTIF('Elève (6ème1)'!LX17:LZ17,"D"))*1))/(COUNTA(LX17:LZ17)),"")</f>
        <v/>
      </c>
      <c r="MB17" s="137" t="str">
        <f t="shared" si="78"/>
        <v/>
      </c>
      <c r="MC17" s="180" t="str">
        <f>IF(COUNT(LQ17,LV17,MA17)=0,"",SUM(LQ17,LV17,MA17)/COUNT(LQ17,LV17,MA17))</f>
        <v/>
      </c>
      <c r="MD17" s="133" t="str">
        <f t="shared" si="79"/>
        <v/>
      </c>
      <c r="ME17" s="159"/>
      <c r="MF17" s="160"/>
      <c r="MG17" s="161"/>
      <c r="MH17" s="136" t="str">
        <f>IFERROR((((COUNTIF('Elève (6ème1)'!ME17:MG17,"A"))*4)+((COUNTIF('Elève (6ème1)'!ME17:MG17,"B"))*3)+((COUNTIF('Elève (6ème1)'!ME17:MG17,"C"))*2)+((COUNTIF('Elève (6ème1)'!ME17:MG17,"D"))*1))/(COUNTA(ME17:MG17)),"")</f>
        <v/>
      </c>
      <c r="MI17" s="137" t="str">
        <f t="shared" si="80"/>
        <v/>
      </c>
      <c r="MJ17" s="84"/>
      <c r="MK17" s="85"/>
      <c r="ML17" s="86"/>
      <c r="MM17" s="136" t="str">
        <f>IFERROR((((COUNTIF('Elève (6ème1)'!MJ17:ML17,"A"))*4)+((COUNTIF('Elève (6ème1)'!MJ17:ML17,"B"))*3)+((COUNTIF('Elève (6ème1)'!MJ17:ML17,"C"))*2)+((COUNTIF('Elève (6ème1)'!MJ17:ML17,"D"))*1))/(COUNTA(MJ17:ML17)),"")</f>
        <v/>
      </c>
      <c r="MN17" s="137" t="str">
        <f t="shared" si="81"/>
        <v/>
      </c>
      <c r="MO17" s="84"/>
      <c r="MP17" s="85"/>
      <c r="MQ17" s="86"/>
      <c r="MR17" s="136" t="str">
        <f>IFERROR((((COUNTIF('Elève (6ème1)'!MO17:MQ17,"A"))*4)+((COUNTIF('Elève (6ème1)'!MO17:MQ17,"B"))*3)+((COUNTIF('Elève (6ème1)'!MO17:MQ17,"C"))*2)+((COUNTIF('Elève (6ème1)'!MO17:MQ17,"D"))*1))/(COUNTA(MO17:MQ17)),"")</f>
        <v/>
      </c>
      <c r="MS17" s="137" t="str">
        <f t="shared" si="82"/>
        <v/>
      </c>
      <c r="MT17" s="180" t="str">
        <f>IF(COUNT(MH17,MM17,MR17)=0,"",SUM(MH17,MM17,MR17)/COUNT(MH17,MM17,MR17))</f>
        <v/>
      </c>
      <c r="MU17" s="133" t="str">
        <f t="shared" si="83"/>
        <v/>
      </c>
      <c r="MV17" s="159"/>
      <c r="MW17" s="160"/>
      <c r="MX17" s="161"/>
      <c r="MY17" s="136" t="str">
        <f>IFERROR((((COUNTIF('Elève (6ème1)'!MV17:MX17,"A"))*4)+((COUNTIF('Elève (6ème1)'!MV17:MX17,"B"))*3)+((COUNTIF('Elève (6ème1)'!MV17:MX17,"C"))*2)+((COUNTIF('Elève (6ème1)'!MV17:MX17,"D"))*1))/(COUNTA(MV17:MX17)),"")</f>
        <v/>
      </c>
      <c r="MZ17" s="137" t="str">
        <f t="shared" si="84"/>
        <v/>
      </c>
      <c r="NA17" s="84"/>
      <c r="NB17" s="85"/>
      <c r="NC17" s="86"/>
      <c r="ND17" s="136" t="str">
        <f>IFERROR((((COUNTIF('Elève (6ème1)'!NA17:NC17,"A"))*4)+((COUNTIF('Elève (6ème1)'!NA17:NC17,"B"))*3)+((COUNTIF('Elève (6ème1)'!NA17:NC17,"C"))*2)+((COUNTIF('Elève (6ème1)'!NA17:NC17,"D"))*1))/(COUNTA(NA17:NC17)),"")</f>
        <v/>
      </c>
      <c r="NE17" s="137" t="str">
        <f t="shared" si="85"/>
        <v/>
      </c>
      <c r="NF17" s="84"/>
      <c r="NG17" s="85"/>
      <c r="NH17" s="86"/>
      <c r="NI17" s="136" t="str">
        <f>IFERROR((((COUNTIF('Elève (6ème1)'!NF17:NH17,"A"))*4)+((COUNTIF('Elève (6ème1)'!NF17:NH17,"B"))*3)+((COUNTIF('Elève (6ème1)'!NF17:NH17,"C"))*2)+((COUNTIF('Elève (6ème1)'!NF17:NH17,"D"))*1))/(COUNTA(NF17:NH17)),"")</f>
        <v/>
      </c>
      <c r="NJ17" s="137" t="str">
        <f t="shared" si="86"/>
        <v/>
      </c>
      <c r="NK17" s="180" t="str">
        <f>IF(COUNT(MY17,ND17,NI17)=0,"",SUM(MY17,ND17,NI17)/COUNT(MY17,ND17,NI17))</f>
        <v/>
      </c>
      <c r="NL17" s="133" t="str">
        <f t="shared" si="87"/>
        <v/>
      </c>
      <c r="NM17" s="159"/>
      <c r="NN17" s="160"/>
      <c r="NO17" s="161"/>
      <c r="NP17" s="136" t="str">
        <f>IFERROR((((COUNTIF('Elève (6ème1)'!NM17:NO17,"A"))*4)+((COUNTIF('Elève (6ème1)'!NM17:NO17,"B"))*3)+((COUNTIF('Elève (6ème1)'!NM17:NO17,"C"))*2)+((COUNTIF('Elève (6ème1)'!NM17:NO17,"D"))*1))/(COUNTA(NM17:NO17)),"")</f>
        <v/>
      </c>
      <c r="NQ17" s="137" t="str">
        <f t="shared" si="88"/>
        <v/>
      </c>
      <c r="NR17" s="84"/>
      <c r="NS17" s="85"/>
      <c r="NT17" s="86"/>
      <c r="NU17" s="136" t="str">
        <f>IFERROR((((COUNTIF('Elève (6ème1)'!NR17:NT17,"A"))*4)+((COUNTIF('Elève (6ème1)'!NR17:NT17,"B"))*3)+((COUNTIF('Elève (6ème1)'!NR17:NT17,"C"))*2)+((COUNTIF('Elève (6ème1)'!NR17:NT17,"D"))*1))/(COUNTA(NR17:NT17)),"")</f>
        <v/>
      </c>
      <c r="NV17" s="137" t="str">
        <f t="shared" si="89"/>
        <v/>
      </c>
      <c r="NW17" s="84"/>
      <c r="NX17" s="85"/>
      <c r="NY17" s="86"/>
      <c r="NZ17" s="136" t="str">
        <f>IFERROR((((COUNTIF('Elève (6ème1)'!NW17:NY17,"A"))*4)+((COUNTIF('Elève (6ème1)'!NW17:NY17,"B"))*3)+((COUNTIF('Elève (6ème1)'!NW17:NY17,"C"))*2)+((COUNTIF('Elève (6ème1)'!NW17:NY17,"D"))*1))/(COUNTA(NW17:NY17)),"")</f>
        <v/>
      </c>
      <c r="OA17" s="137" t="str">
        <f t="shared" si="90"/>
        <v/>
      </c>
      <c r="OB17" s="180" t="str">
        <f>IF(COUNT(NP17,NU17,NZ17)=0,"",SUM(NP17,NU17,NZ17)/COUNT(NP17,NU17,NZ17))</f>
        <v/>
      </c>
      <c r="OC17" s="133" t="str">
        <f t="shared" si="91"/>
        <v/>
      </c>
      <c r="OD17" s="159"/>
      <c r="OE17" s="160"/>
      <c r="OF17" s="161"/>
      <c r="OG17" s="136" t="str">
        <f>IFERROR((((COUNTIF('Elève (6ème1)'!OD17:OF17,"A"))*4)+((COUNTIF('Elève (6ème1)'!OD17:OF17,"B"))*3)+((COUNTIF('Elève (6ème1)'!OD17:OF17,"C"))*2)+((COUNTIF('Elève (6ème1)'!OD17:OF17,"D"))*1))/(COUNTA(OD17:OF17)),"")</f>
        <v/>
      </c>
      <c r="OH17" s="137" t="str">
        <f t="shared" si="92"/>
        <v/>
      </c>
      <c r="OI17" s="84"/>
      <c r="OJ17" s="85"/>
      <c r="OK17" s="86"/>
      <c r="OL17" s="136" t="str">
        <f>IFERROR((((COUNTIF('Elève (6ème1)'!OI17:OK17,"A"))*4)+((COUNTIF('Elève (6ème1)'!OI17:OK17,"B"))*3)+((COUNTIF('Elève (6ème1)'!OI17:OK17,"C"))*2)+((COUNTIF('Elève (6ème1)'!OI17:OK17,"D"))*1))/(COUNTA(OI17:OK17)),"")</f>
        <v/>
      </c>
      <c r="OM17" s="137" t="str">
        <f t="shared" si="93"/>
        <v/>
      </c>
      <c r="ON17" s="84"/>
      <c r="OO17" s="85"/>
      <c r="OP17" s="86"/>
      <c r="OQ17" s="136" t="str">
        <f>IFERROR((((COUNTIF('Elève (6ème1)'!ON17:OP17,"A"))*4)+((COUNTIF('Elève (6ème1)'!ON17:OP17,"B"))*3)+((COUNTIF('Elève (6ème1)'!ON17:OP17,"C"))*2)+((COUNTIF('Elève (6ème1)'!ON17:OP17,"D"))*1))/(COUNTA(ON17:OP17)),"")</f>
        <v/>
      </c>
      <c r="OR17" s="137" t="str">
        <f t="shared" si="94"/>
        <v/>
      </c>
      <c r="OS17" s="180" t="str">
        <f>IF(COUNT(OG17,OL17,OQ17)=0,"",SUM(OG17,OL17,OQ17)/COUNT(OG17,OL17,OQ17))</f>
        <v/>
      </c>
      <c r="OT17" s="133" t="str">
        <f t="shared" si="95"/>
        <v/>
      </c>
      <c r="OU17" s="159"/>
      <c r="OV17" s="160"/>
      <c r="OW17" s="161"/>
      <c r="OX17" s="136" t="str">
        <f>IFERROR((((COUNTIF('Elève (6ème1)'!OU17:OW17,"A"))*4)+((COUNTIF('Elève (6ème1)'!OU17:OW17,"B"))*3)+((COUNTIF('Elève (6ème1)'!OU17:OW17,"C"))*2)+((COUNTIF('Elève (6ème1)'!OU17:OW17,"D"))*1))/(COUNTA(OU17:OW17)),"")</f>
        <v/>
      </c>
      <c r="OY17" s="137" t="str">
        <f t="shared" si="96"/>
        <v/>
      </c>
      <c r="OZ17" s="84"/>
      <c r="PA17" s="85"/>
      <c r="PB17" s="86"/>
      <c r="PC17" s="136" t="str">
        <f>IFERROR((((COUNTIF('Elève (6ème1)'!OZ17:PB17,"A"))*4)+((COUNTIF('Elève (6ème1)'!OZ17:PB17,"B"))*3)+((COUNTIF('Elève (6ème1)'!OZ17:PB17,"C"))*2)+((COUNTIF('Elève (6ème1)'!OZ17:PB17,"D"))*1))/(COUNTA(OZ17:PB17)),"")</f>
        <v/>
      </c>
      <c r="PD17" s="137" t="str">
        <f t="shared" si="97"/>
        <v/>
      </c>
      <c r="PE17" s="84"/>
      <c r="PF17" s="85"/>
      <c r="PG17" s="86"/>
      <c r="PH17" s="136" t="str">
        <f>IFERROR((((COUNTIF('Elève (6ème1)'!PE17:PG17,"A"))*4)+((COUNTIF('Elève (6ème1)'!PE17:PG17,"B"))*3)+((COUNTIF('Elève (6ème1)'!PE17:PG17,"C"))*2)+((COUNTIF('Elève (6ème1)'!PE17:PG17,"D"))*1))/(COUNTA(PE17:PG17)),"")</f>
        <v/>
      </c>
      <c r="PI17" s="137" t="str">
        <f t="shared" si="98"/>
        <v/>
      </c>
      <c r="PJ17" s="180" t="str">
        <f>IF(COUNT(OX17,PC17,PH17)=0,"",SUM(OX17,PC17,PH17)/COUNT(OX17,PC17,PH17))</f>
        <v/>
      </c>
      <c r="PK17" s="133" t="str">
        <f t="shared" si="99"/>
        <v/>
      </c>
      <c r="PL17" s="159"/>
      <c r="PM17" s="160"/>
      <c r="PN17" s="161"/>
      <c r="PO17" s="136" t="str">
        <f>IFERROR((((COUNTIF('Elève (6ème1)'!PL17:PN17,"A"))*4)+((COUNTIF('Elève (6ème1)'!PL17:PN17,"B"))*3)+((COUNTIF('Elève (6ème1)'!PL17:PN17,"C"))*2)+((COUNTIF('Elève (6ème1)'!PL17:PN17,"D"))*1))/(COUNTA(PL17:PN17)),"")</f>
        <v/>
      </c>
      <c r="PP17" s="137" t="str">
        <f t="shared" si="100"/>
        <v/>
      </c>
      <c r="PQ17" s="84"/>
      <c r="PR17" s="85"/>
      <c r="PS17" s="86"/>
      <c r="PT17" s="136" t="str">
        <f>IFERROR((((COUNTIF('Elève (6ème1)'!PQ17:PS17,"A"))*4)+((COUNTIF('Elève (6ème1)'!PQ17:PS17,"B"))*3)+((COUNTIF('Elève (6ème1)'!PQ17:PS17,"C"))*2)+((COUNTIF('Elève (6ème1)'!PQ17:PS17,"D"))*1))/(COUNTA(PQ17:PS17)),"")</f>
        <v/>
      </c>
      <c r="PU17" s="137" t="str">
        <f t="shared" si="101"/>
        <v/>
      </c>
      <c r="PV17" s="84"/>
      <c r="PW17" s="85"/>
      <c r="PX17" s="86"/>
      <c r="PY17" s="136" t="str">
        <f>IFERROR((((COUNTIF('Elève (6ème1)'!PV17:PX17,"A"))*4)+((COUNTIF('Elève (6ème1)'!PV17:PX17,"B"))*3)+((COUNTIF('Elève (6ème1)'!PV17:PX17,"C"))*2)+((COUNTIF('Elève (6ème1)'!PV17:PX17,"D"))*1))/(COUNTA(PV17:PX17)),"")</f>
        <v/>
      </c>
      <c r="PZ17" s="137" t="str">
        <f t="shared" si="102"/>
        <v/>
      </c>
      <c r="QA17" s="180" t="str">
        <f>IF(COUNT(PO17,PT17,PY17)=0,"",SUM(PO17,PT17,PY17)/COUNT(PO17,PT17,PY17))</f>
        <v/>
      </c>
      <c r="QB17" s="133" t="str">
        <f t="shared" si="103"/>
        <v/>
      </c>
      <c r="QC17" s="159"/>
      <c r="QD17" s="160"/>
      <c r="QE17" s="161"/>
      <c r="QF17" s="136" t="str">
        <f>IFERROR((((COUNTIF('Elève (6ème1)'!QC17:QE17,"A"))*4)+((COUNTIF('Elève (6ème1)'!QC17:QE17,"B"))*3)+((COUNTIF('Elève (6ème1)'!QC17:QE17,"C"))*2)+((COUNTIF('Elève (6ème1)'!QC17:QE17,"D"))*1))/(COUNTA(QC17:QE17)),"")</f>
        <v/>
      </c>
      <c r="QG17" s="137" t="str">
        <f t="shared" si="104"/>
        <v/>
      </c>
      <c r="QH17" s="84"/>
      <c r="QI17" s="85"/>
      <c r="QJ17" s="86"/>
      <c r="QK17" s="136" t="str">
        <f>IFERROR((((COUNTIF('Elève (6ème1)'!QH17:QJ17,"A"))*4)+((COUNTIF('Elève (6ème1)'!QH17:QJ17,"B"))*3)+((COUNTIF('Elève (6ème1)'!QH17:QJ17,"C"))*2)+((COUNTIF('Elève (6ème1)'!QH17:QJ17,"D"))*1))/(COUNTA(QH17:QJ17)),"")</f>
        <v/>
      </c>
      <c r="QL17" s="137" t="str">
        <f t="shared" si="105"/>
        <v/>
      </c>
      <c r="QM17" s="84"/>
      <c r="QN17" s="85"/>
      <c r="QO17" s="86"/>
      <c r="QP17" s="136" t="str">
        <f>IFERROR((((COUNTIF('Elève (6ème1)'!QM17:QO17,"A"))*4)+((COUNTIF('Elève (6ème1)'!QM17:QO17,"B"))*3)+((COUNTIF('Elève (6ème1)'!QM17:QO17,"C"))*2)+((COUNTIF('Elève (6ème1)'!QM17:QO17,"D"))*1))/(COUNTA(QM17:QO17)),"")</f>
        <v/>
      </c>
      <c r="QQ17" s="137" t="str">
        <f t="shared" si="106"/>
        <v/>
      </c>
      <c r="QR17" s="180" t="str">
        <f>IF(COUNT(QF17,QK17,QP17)=0,"",SUM(QF17,QK17,QP17)/COUNT(QF17,QK17,QP17))</f>
        <v/>
      </c>
      <c r="QS17" s="133" t="str">
        <f t="shared" si="107"/>
        <v/>
      </c>
      <c r="QT17" s="159"/>
      <c r="QU17" s="160"/>
      <c r="QV17" s="161"/>
      <c r="QW17" s="136" t="str">
        <f>IFERROR((((COUNTIF('Elève (6ème1)'!QT17:QV17,"A"))*4)+((COUNTIF('Elève (6ème1)'!QT17:QV17,"B"))*3)+((COUNTIF('Elève (6ème1)'!QT17:QV17,"C"))*2)+((COUNTIF('Elève (6ème1)'!QT17:QV17,"D"))*1))/(COUNTA(QT17:QV17)),"")</f>
        <v/>
      </c>
      <c r="QX17" s="137" t="str">
        <f t="shared" si="108"/>
        <v/>
      </c>
      <c r="QY17" s="84"/>
      <c r="QZ17" s="85"/>
      <c r="RA17" s="86"/>
      <c r="RB17" s="136" t="str">
        <f>IFERROR((((COUNTIF('Elève (6ème1)'!QY17:RA17,"A"))*4)+((COUNTIF('Elève (6ème1)'!QY17:RA17,"B"))*3)+((COUNTIF('Elève (6ème1)'!QY17:RA17,"C"))*2)+((COUNTIF('Elève (6ème1)'!QY17:RA17,"D"))*1))/(COUNTA(QY17:RA17)),"")</f>
        <v/>
      </c>
      <c r="RC17" s="137" t="str">
        <f t="shared" si="109"/>
        <v/>
      </c>
      <c r="RD17" s="84"/>
      <c r="RE17" s="85"/>
      <c r="RF17" s="86"/>
      <c r="RG17" s="136" t="str">
        <f>IFERROR((((COUNTIF('Elève (6ème1)'!RD17:RF17,"A"))*4)+((COUNTIF('Elève (6ème1)'!RD17:RF17,"B"))*3)+((COUNTIF('Elève (6ème1)'!RD17:RF17,"C"))*2)+((COUNTIF('Elève (6ème1)'!RD17:RF17,"D"))*1))/(COUNTA(RD17:RF17)),"")</f>
        <v/>
      </c>
      <c r="RH17" s="137" t="str">
        <f t="shared" si="110"/>
        <v/>
      </c>
      <c r="RI17" s="180" t="str">
        <f>IF(COUNT(QW17,RB17,RG17)=0,"",SUM(QW17,RB17,RG17)/COUNT(QW17,RB17,RG17))</f>
        <v/>
      </c>
      <c r="RJ17" s="133" t="str">
        <f t="shared" si="111"/>
        <v/>
      </c>
      <c r="RK17" s="159"/>
      <c r="RL17" s="160"/>
      <c r="RM17" s="161"/>
      <c r="RN17" s="136" t="str">
        <f>IFERROR((((COUNTIF('Elève (6ème1)'!RK17:RM17,"A"))*4)+((COUNTIF('Elève (6ème1)'!RK17:RM17,"B"))*3)+((COUNTIF('Elève (6ème1)'!RK17:RM17,"C"))*2)+((COUNTIF('Elève (6ème1)'!RK17:RM17,"D"))*1))/(COUNTA(RK17:RM17)),"")</f>
        <v/>
      </c>
      <c r="RO17" s="137" t="str">
        <f t="shared" si="112"/>
        <v/>
      </c>
      <c r="RP17" s="84"/>
      <c r="RQ17" s="85"/>
      <c r="RR17" s="86"/>
      <c r="RS17" s="136" t="str">
        <f>IFERROR((((COUNTIF('Elève (6ème1)'!RP17:RR17,"A"))*4)+((COUNTIF('Elève (6ème1)'!RP17:RR17,"B"))*3)+((COUNTIF('Elève (6ème1)'!RP17:RR17,"C"))*2)+((COUNTIF('Elève (6ème1)'!RP17:RR17,"D"))*1))/(COUNTA(RP17:RR17)),"")</f>
        <v/>
      </c>
      <c r="RT17" s="137" t="str">
        <f t="shared" si="113"/>
        <v/>
      </c>
      <c r="RU17" s="84"/>
      <c r="RV17" s="85"/>
      <c r="RW17" s="86"/>
      <c r="RX17" s="136" t="str">
        <f>IFERROR((((COUNTIF('Elève (6ème1)'!RU17:RW17,"A"))*4)+((COUNTIF('Elève (6ème1)'!RU17:RW17,"B"))*3)+((COUNTIF('Elève (6ème1)'!RU17:RW17,"C"))*2)+((COUNTIF('Elève (6ème1)'!RU17:RW17,"D"))*1))/(COUNTA(RU17:RW17)),"")</f>
        <v/>
      </c>
      <c r="RY17" s="137" t="str">
        <f t="shared" si="114"/>
        <v/>
      </c>
      <c r="RZ17" s="180" t="str">
        <f>IF(COUNT(RN17,RS17,RX17)=0,"",SUM(RN17,RS17,RX17)/COUNT(RN17,RS17,RX17))</f>
        <v/>
      </c>
      <c r="SA17" s="133" t="str">
        <f t="shared" si="115"/>
        <v/>
      </c>
      <c r="SB17" s="159"/>
      <c r="SC17" s="160"/>
      <c r="SD17" s="161"/>
      <c r="SE17" s="136" t="str">
        <f>IFERROR((((COUNTIF('Elève (6ème1)'!SB17:SD17,"A"))*4)+((COUNTIF('Elève (6ème1)'!SB17:SD17,"B"))*3)+((COUNTIF('Elève (6ème1)'!SB17:SD17,"C"))*2)+((COUNTIF('Elève (6ème1)'!SB17:SD17,"D"))*1))/(COUNTA(SB17:SD17)),"")</f>
        <v/>
      </c>
      <c r="SF17" s="137" t="str">
        <f t="shared" si="116"/>
        <v/>
      </c>
      <c r="SG17" s="84"/>
      <c r="SH17" s="85"/>
      <c r="SI17" s="86"/>
      <c r="SJ17" s="136" t="str">
        <f>IFERROR((((COUNTIF('Elève (6ème1)'!SG17:SI17,"A"))*4)+((COUNTIF('Elève (6ème1)'!SG17:SI17,"B"))*3)+((COUNTIF('Elève (6ème1)'!SG17:SI17,"C"))*2)+((COUNTIF('Elève (6ème1)'!SG17:SI17,"D"))*1))/(COUNTA(SG17:SI17)),"")</f>
        <v/>
      </c>
      <c r="SK17" s="137" t="str">
        <f t="shared" si="117"/>
        <v/>
      </c>
      <c r="SL17" s="84"/>
      <c r="SM17" s="85"/>
      <c r="SN17" s="86"/>
      <c r="SO17" s="136" t="str">
        <f>IFERROR((((COUNTIF('Elève (6ème1)'!SL17:SN17,"A"))*4)+((COUNTIF('Elève (6ème1)'!SL17:SN17,"B"))*3)+((COUNTIF('Elève (6ème1)'!SL17:SN17,"C"))*2)+((COUNTIF('Elève (6ème1)'!SL17:SN17,"D"))*1))/(COUNTA(SL17:SN17)),"")</f>
        <v/>
      </c>
      <c r="SP17" s="137" t="str">
        <f t="shared" si="118"/>
        <v/>
      </c>
      <c r="SQ17" s="180" t="str">
        <f>IF(COUNT(SE17,SJ17,SO17)=0,"",SUM(SE17,SJ17,SO17)/COUNT(SE17,SJ17,SO17))</f>
        <v/>
      </c>
      <c r="SR17" s="133" t="str">
        <f t="shared" si="119"/>
        <v/>
      </c>
    </row>
    <row r="18" spans="1:512" s="77" customFormat="1" ht="16.5" customHeight="1" thickBot="1" x14ac:dyDescent="0.3">
      <c r="A18" s="96" t="s">
        <v>21</v>
      </c>
      <c r="B18" s="88">
        <v>1</v>
      </c>
      <c r="C18" s="152"/>
      <c r="D18" s="190"/>
      <c r="E18" s="185"/>
      <c r="F18" s="129">
        <f>IFERROR((((COUNTIF('Elève (6ème1)'!C19:E19,"A"))*4)+((COUNTIF('Elève (6ème1)'!C19:E19,"B"))*3)+((COUNTIF('Elève (6ème1)'!C19:E19,"C"))*2)+((COUNTIF('Elève (6ème1)'!C19:E19,"D"))*1))/(COUNTA(C19:E19)),"")</f>
        <v>4</v>
      </c>
      <c r="G18" s="107" t="str">
        <f t="shared" si="0"/>
        <v>A</v>
      </c>
      <c r="H18" s="145"/>
      <c r="I18" s="186"/>
      <c r="J18" s="146"/>
      <c r="K18" s="129" t="str">
        <f>IFERROR((((COUNTIF('Elève (6ème1)'!H19:J19,"A"))*4)+((COUNTIF('Elève (6ème1)'!H19:J19,"B"))*3)+((COUNTIF('Elève (6ème1)'!H19:J19,"C"))*2)+((COUNTIF('Elève (6ème1)'!H19:J19,"D"))*1))/(COUNTA(H19:J19)),"")</f>
        <v/>
      </c>
      <c r="L18" s="121" t="str">
        <f t="shared" si="1"/>
        <v/>
      </c>
      <c r="M18" s="100"/>
      <c r="N18" s="187"/>
      <c r="O18" s="188"/>
      <c r="P18" s="129" t="str">
        <f>IFERROR((((COUNTIF('Elève (6ème1)'!M19:O19,"A"))*4)+((COUNTIF('Elève (6ème1)'!M19:O19,"B"))*3)+((COUNTIF('Elève (6ème1)'!M19:O19,"C"))*2)+((COUNTIF('Elève (6ème1)'!M19:O19,"D"))*1))/(COUNTA(M19:O19)),"")</f>
        <v/>
      </c>
      <c r="Q18" s="128" t="str">
        <f t="shared" si="2"/>
        <v/>
      </c>
      <c r="R18" s="177">
        <f>IFERROR((((COUNTIF(C19:E19,"A")+COUNTIF(H19:J19,"A")+COUNTIF(M19:O19,"A"))*4)+((COUNTIF(C19:E19,"B")+COUNTIF(H19:J19,"B")+COUNTIF(M19:O19,"B"))*3)+((COUNTIF(C19:E19,"C")+COUNTIF(H19:J19,"C")+COUNTIF(M19:O19,"C"))*2)+((COUNTIF(C19:E19,"D")+COUNTIF(H19:J19,"D")+COUNTIF(M19:O19,"D"))*1))/(COUNTA(C19:E19)+COUNTA(H19:J19)+COUNTA(M19:O19)),"")</f>
        <v>4</v>
      </c>
      <c r="S18" s="130" t="str">
        <f t="shared" si="3"/>
        <v>A</v>
      </c>
      <c r="T18" s="152"/>
      <c r="U18" s="190"/>
      <c r="V18" s="185"/>
      <c r="W18" s="129">
        <f>IFERROR((((COUNTIF('Elève (6ème1)'!T19:V19,"A"))*4)+((COUNTIF('Elève (6ème1)'!T19:V19,"B"))*3)+((COUNTIF('Elève (6ème1)'!T19:V19,"C"))*2)+((COUNTIF('Elève (6ème1)'!T19:V19,"D"))*1))/(COUNTA(T19:V19)),"")</f>
        <v>4</v>
      </c>
      <c r="X18" s="107" t="str">
        <f t="shared" si="4"/>
        <v>A</v>
      </c>
      <c r="Y18" s="145"/>
      <c r="Z18" s="186"/>
      <c r="AA18" s="146"/>
      <c r="AB18" s="129" t="str">
        <f>IFERROR((((COUNTIF('Elève (6ème1)'!Y19:AA19,"A"))*4)+((COUNTIF('Elève (6ème1)'!Y19:AA19,"B"))*3)+((COUNTIF('Elève (6ème1)'!Y19:AA19,"C"))*2)+((COUNTIF('Elève (6ème1)'!Y19:AA19,"D"))*1))/(COUNTA(Y19:AA19)),"")</f>
        <v/>
      </c>
      <c r="AC18" s="121" t="str">
        <f t="shared" si="5"/>
        <v/>
      </c>
      <c r="AD18" s="100"/>
      <c r="AE18" s="187"/>
      <c r="AF18" s="188"/>
      <c r="AG18" s="129" t="str">
        <f>IFERROR((((COUNTIF('Elève (6ème1)'!AD19:AF19,"A"))*4)+((COUNTIF('Elève (6ème1)'!AD19:AF19,"B"))*3)+((COUNTIF('Elève (6ème1)'!AD19:AF19,"C"))*2)+((COUNTIF('Elève (6ème1)'!AD19:AF19,"D"))*1))/(COUNTA(AD19:AF19)),"")</f>
        <v/>
      </c>
      <c r="AH18" s="128" t="str">
        <f t="shared" si="6"/>
        <v/>
      </c>
      <c r="AI18" s="177">
        <f>IFERROR((((COUNTIF(T19:V19,"A")+COUNTIF(Y19:AA19,"A")+COUNTIF(AD19:AF19,"A"))*4)+((COUNTIF(T19:V19,"B")+COUNTIF(Y19:AA19,"B")+COUNTIF(AD19:AF19,"B"))*3)+((COUNTIF(T19:V19,"C")+COUNTIF(Y19:AA19,"C")+COUNTIF(AD19:AF19,"C"))*2)+((COUNTIF(T19:V19,"D")+COUNTIF(Y19:AA19,"D")+COUNTIF(AD19:AF19,"D"))*1))/(COUNTA(T19:V19)+COUNTA(Y19:AA19)+COUNTA(AD19:AF19)),"")</f>
        <v>4</v>
      </c>
      <c r="AJ18" s="130" t="str">
        <f t="shared" si="7"/>
        <v>A</v>
      </c>
      <c r="AK18" s="152"/>
      <c r="AL18" s="190"/>
      <c r="AM18" s="185"/>
      <c r="AN18" s="129">
        <f>IFERROR((((COUNTIF('Elève (6ème1)'!AK19:AM19,"A"))*4)+((COUNTIF('Elève (6ème1)'!AK19:AM19,"B"))*3)+((COUNTIF('Elève (6ème1)'!AK19:AM19,"C"))*2)+((COUNTIF('Elève (6ème1)'!AK19:AM19,"D"))*1))/(COUNTA(AK19:AM19)),"")</f>
        <v>4</v>
      </c>
      <c r="AO18" s="107" t="str">
        <f t="shared" si="8"/>
        <v>A</v>
      </c>
      <c r="AP18" s="145"/>
      <c r="AQ18" s="186"/>
      <c r="AR18" s="146"/>
      <c r="AS18" s="129" t="str">
        <f>IFERROR((((COUNTIF('Elève (6ème1)'!AP19:AR19,"A"))*4)+((COUNTIF('Elève (6ème1)'!AP19:AR19,"B"))*3)+((COUNTIF('Elève (6ème1)'!AP19:AR19,"C"))*2)+((COUNTIF('Elève (6ème1)'!AP19:AR19,"D"))*1))/(COUNTA(AP19:AR19)),"")</f>
        <v/>
      </c>
      <c r="AT18" s="121" t="str">
        <f t="shared" si="9"/>
        <v/>
      </c>
      <c r="AU18" s="100"/>
      <c r="AV18" s="187"/>
      <c r="AW18" s="188"/>
      <c r="AX18" s="129" t="str">
        <f>IFERROR((((COUNTIF('Elève (6ème1)'!AU19:AW19,"A"))*4)+((COUNTIF('Elève (6ème1)'!AU19:AW19,"B"))*3)+((COUNTIF('Elève (6ème1)'!AU19:AW19,"C"))*2)+((COUNTIF('Elève (6ème1)'!AU19:AW19,"D"))*1))/(COUNTA(AU19:AW19)),"")</f>
        <v/>
      </c>
      <c r="AY18" s="128" t="str">
        <f t="shared" si="10"/>
        <v/>
      </c>
      <c r="AZ18" s="177">
        <f>IFERROR((((COUNTIF(AK19:AM19,"A")+COUNTIF(AP19:AR19,"A")+COUNTIF(AU19:AW19,"A"))*4)+((COUNTIF(AK19:AM19,"B")+COUNTIF(AP19:AR19,"B")+COUNTIF(AU19:AW19,"B"))*3)+((COUNTIF(AK19:AM19,"C")+COUNTIF(AP19:AR19,"C")+COUNTIF(AU19:AW19,"C"))*2)+((COUNTIF(AK19:AM19,"D")+COUNTIF(AP19:AR19,"D")+COUNTIF(AU19:AW19,"D"))*1))/(COUNTA(AK19:AM19)+COUNTA(AP19:AR19)+COUNTA(AU19:AW19)),"")</f>
        <v>4</v>
      </c>
      <c r="BA18" s="130" t="str">
        <f t="shared" si="11"/>
        <v>A</v>
      </c>
      <c r="BB18" s="152"/>
      <c r="BC18" s="190"/>
      <c r="BD18" s="185"/>
      <c r="BE18" s="129">
        <f>IFERROR((((COUNTIF('Elève (6ème1)'!BB19:BD19,"A"))*4)+((COUNTIF('Elève (6ème1)'!BB19:BD19,"B"))*3)+((COUNTIF('Elève (6ème1)'!BB19:BD19,"C"))*2)+((COUNTIF('Elève (6ème1)'!BB19:BD19,"D"))*1))/(COUNTA(BB19:BD19)),"")</f>
        <v>4</v>
      </c>
      <c r="BF18" s="107" t="str">
        <f t="shared" si="12"/>
        <v>A</v>
      </c>
      <c r="BG18" s="145"/>
      <c r="BH18" s="186"/>
      <c r="BI18" s="146"/>
      <c r="BJ18" s="129" t="str">
        <f>IFERROR((((COUNTIF('Elève (6ème1)'!BG19:BI19,"A"))*4)+((COUNTIF('Elève (6ème1)'!BG19:BI19,"B"))*3)+((COUNTIF('Elève (6ème1)'!BG19:BI19,"C"))*2)+((COUNTIF('Elève (6ème1)'!BG19:BI19,"D"))*1))/(COUNTA(BG19:BI19)),"")</f>
        <v/>
      </c>
      <c r="BK18" s="121" t="str">
        <f t="shared" si="13"/>
        <v/>
      </c>
      <c r="BL18" s="100"/>
      <c r="BM18" s="187"/>
      <c r="BN18" s="188"/>
      <c r="BO18" s="129" t="str">
        <f>IFERROR((((COUNTIF('Elève (6ème1)'!BL19:BN19,"A"))*4)+((COUNTIF('Elève (6ème1)'!BL19:BN19,"B"))*3)+((COUNTIF('Elève (6ème1)'!BL19:BN19,"C"))*2)+((COUNTIF('Elève (6ème1)'!BL19:BN19,"D"))*1))/(COUNTA(BL19:BN19)),"")</f>
        <v/>
      </c>
      <c r="BP18" s="128" t="str">
        <f t="shared" si="14"/>
        <v/>
      </c>
      <c r="BQ18" s="177">
        <f>IFERROR((((COUNTIF(BB19:BD19,"A")+COUNTIF(BG19:BI19,"A")+COUNTIF(BL19:BN19,"A"))*4)+((COUNTIF(BB19:BD19,"B")+COUNTIF(BG19:BI19,"B")+COUNTIF(BL19:BN19,"B"))*3)+((COUNTIF(BB19:BD19,"C")+COUNTIF(BG19:BI19,"C")+COUNTIF(BL19:BN19,"C"))*2)+((COUNTIF(BB19:BD19,"D")+COUNTIF(BG19:BI19,"D")+COUNTIF(BL19:BN19,"D"))*1))/(COUNTA(BB19:BD19)+COUNTA(BG19:BI19)+COUNTA(BL19:BN19)),"")</f>
        <v>4</v>
      </c>
      <c r="BR18" s="130" t="str">
        <f t="shared" si="15"/>
        <v>A</v>
      </c>
      <c r="BS18" s="152"/>
      <c r="BT18" s="190"/>
      <c r="BU18" s="185"/>
      <c r="BV18" s="129">
        <f>IFERROR((((COUNTIF('Elève (6ème1)'!BS19:BU19,"A"))*4)+((COUNTIF('Elève (6ème1)'!BS19:BU19,"B"))*3)+((COUNTIF('Elève (6ème1)'!BS19:BU19,"C"))*2)+((COUNTIF('Elève (6ème1)'!BS19:BU19,"D"))*1))/(COUNTA(BS19:BU19)),"")</f>
        <v>4</v>
      </c>
      <c r="BW18" s="107" t="str">
        <f t="shared" si="16"/>
        <v>A</v>
      </c>
      <c r="BX18" s="145"/>
      <c r="BY18" s="186"/>
      <c r="BZ18" s="146"/>
      <c r="CA18" s="129" t="str">
        <f>IFERROR((((COUNTIF('Elève (6ème1)'!BX19:BZ19,"A"))*4)+((COUNTIF('Elève (6ème1)'!BX19:BZ19,"B"))*3)+((COUNTIF('Elève (6ème1)'!BX19:BZ19,"C"))*2)+((COUNTIF('Elève (6ème1)'!BX19:BZ19,"D"))*1))/(COUNTA(BX19:BZ19)),"")</f>
        <v/>
      </c>
      <c r="CB18" s="121" t="str">
        <f t="shared" si="17"/>
        <v/>
      </c>
      <c r="CC18" s="100"/>
      <c r="CD18" s="187"/>
      <c r="CE18" s="188"/>
      <c r="CF18" s="129" t="str">
        <f>IFERROR((((COUNTIF('Elève (6ème1)'!CC19:CE19,"A"))*4)+((COUNTIF('Elève (6ème1)'!CC19:CE19,"B"))*3)+((COUNTIF('Elève (6ème1)'!CC19:CE19,"C"))*2)+((COUNTIF('Elève (6ème1)'!CC19:CE19,"D"))*1))/(COUNTA(CC19:CE19)),"")</f>
        <v/>
      </c>
      <c r="CG18" s="128" t="str">
        <f t="shared" si="18"/>
        <v/>
      </c>
      <c r="CH18" s="177">
        <f>IFERROR((((COUNTIF(BS19:BU19,"A")+COUNTIF(BX19:BZ19,"A")+COUNTIF(CC19:CE19,"A"))*4)+((COUNTIF(BS19:BU19,"B")+COUNTIF(BX19:BZ19,"B")+COUNTIF(CC19:CE19,"B"))*3)+((COUNTIF(BS19:BU19,"C")+COUNTIF(BX19:BZ19,"C")+COUNTIF(CC19:CE19,"C"))*2)+((COUNTIF(BS19:BU19,"D")+COUNTIF(BX19:BZ19,"D")+COUNTIF(CC19:CE19,"D"))*1))/(COUNTA(BS19:BU19)+COUNTA(BX19:BZ19)+COUNTA(CC19:CE19)),"")</f>
        <v>4</v>
      </c>
      <c r="CI18" s="130" t="str">
        <f t="shared" si="19"/>
        <v>A</v>
      </c>
      <c r="CJ18" s="152"/>
      <c r="CK18" s="190"/>
      <c r="CL18" s="185"/>
      <c r="CM18" s="129">
        <f>IFERROR((((COUNTIF('Elève (6ème1)'!CJ19:CL19,"A"))*4)+((COUNTIF('Elève (6ème1)'!CJ19:CL19,"B"))*3)+((COUNTIF('Elève (6ème1)'!CJ19:CL19,"C"))*2)+((COUNTIF('Elève (6ème1)'!CJ19:CL19,"D"))*1))/(COUNTA(CJ19:CL19)),"")</f>
        <v>4</v>
      </c>
      <c r="CN18" s="107" t="str">
        <f t="shared" si="20"/>
        <v>A</v>
      </c>
      <c r="CO18" s="145"/>
      <c r="CP18" s="186"/>
      <c r="CQ18" s="146"/>
      <c r="CR18" s="129" t="str">
        <f>IFERROR((((COUNTIF('Elève (6ème1)'!CO19:CQ19,"A"))*4)+((COUNTIF('Elève (6ème1)'!CO19:CQ19,"B"))*3)+((COUNTIF('Elève (6ème1)'!CO19:CQ19,"C"))*2)+((COUNTIF('Elève (6ème1)'!CO19:CQ19,"D"))*1))/(COUNTA(CO19:CQ19)),"")</f>
        <v/>
      </c>
      <c r="CS18" s="121" t="str">
        <f t="shared" si="21"/>
        <v/>
      </c>
      <c r="CT18" s="100"/>
      <c r="CU18" s="187"/>
      <c r="CV18" s="188"/>
      <c r="CW18" s="129" t="str">
        <f>IFERROR((((COUNTIF('Elève (6ème1)'!CT19:CV19,"A"))*4)+((COUNTIF('Elève (6ème1)'!CT19:CV19,"B"))*3)+((COUNTIF('Elève (6ème1)'!CT19:CV19,"C"))*2)+((COUNTIF('Elève (6ème1)'!CT19:CV19,"D"))*1))/(COUNTA(CT19:CV19)),"")</f>
        <v/>
      </c>
      <c r="CX18" s="128" t="str">
        <f t="shared" si="22"/>
        <v/>
      </c>
      <c r="CY18" s="177">
        <f>IFERROR((((COUNTIF(CJ19:CL19,"A")+COUNTIF(CO19:CQ19,"A")+COUNTIF(CT19:CV19,"A"))*4)+((COUNTIF(CJ19:CL19,"B")+COUNTIF(CO19:CQ19,"B")+COUNTIF(CT19:CV19,"B"))*3)+((COUNTIF(CJ19:CL19,"C")+COUNTIF(CO19:CQ19,"C")+COUNTIF(CT19:CV19,"C"))*2)+((COUNTIF(CJ19:CL19,"D")+COUNTIF(CO19:CQ19,"D")+COUNTIF(CT19:CV19,"D"))*1))/(COUNTA(CJ19:CL19)+COUNTA(CO19:CQ19)+COUNTA(CT19:CV19)),"")</f>
        <v>4</v>
      </c>
      <c r="CZ18" s="130" t="str">
        <f t="shared" si="23"/>
        <v>A</v>
      </c>
      <c r="DA18" s="152"/>
      <c r="DB18" s="190"/>
      <c r="DC18" s="185"/>
      <c r="DD18" s="129">
        <f>IFERROR((((COUNTIF('Elève (6ème1)'!DA19:DC19,"A"))*4)+((COUNTIF('Elève (6ème1)'!DA19:DC19,"B"))*3)+((COUNTIF('Elève (6ème1)'!DA19:DC19,"C"))*2)+((COUNTIF('Elève (6ème1)'!DA19:DC19,"D"))*1))/(COUNTA(DA19:DC19)),"")</f>
        <v>4</v>
      </c>
      <c r="DE18" s="107" t="str">
        <f t="shared" si="24"/>
        <v>A</v>
      </c>
      <c r="DF18" s="145"/>
      <c r="DG18" s="186"/>
      <c r="DH18" s="146"/>
      <c r="DI18" s="129" t="str">
        <f>IFERROR((((COUNTIF('Elève (6ème1)'!DF19:DH19,"A"))*4)+((COUNTIF('Elève (6ème1)'!DF19:DH19,"B"))*3)+((COUNTIF('Elève (6ème1)'!DF19:DH19,"C"))*2)+((COUNTIF('Elève (6ème1)'!DF19:DH19,"D"))*1))/(COUNTA(DF19:DH19)),"")</f>
        <v/>
      </c>
      <c r="DJ18" s="121" t="str">
        <f t="shared" si="25"/>
        <v/>
      </c>
      <c r="DK18" s="100"/>
      <c r="DL18" s="187"/>
      <c r="DM18" s="188"/>
      <c r="DN18" s="129" t="str">
        <f>IFERROR((((COUNTIF('Elève (6ème1)'!DK19:DM19,"A"))*4)+((COUNTIF('Elève (6ème1)'!DK19:DM19,"B"))*3)+((COUNTIF('Elève (6ème1)'!DK19:DM19,"C"))*2)+((COUNTIF('Elève (6ème1)'!DK19:DM19,"D"))*1))/(COUNTA(DK19:DM19)),"")</f>
        <v/>
      </c>
      <c r="DO18" s="128" t="str">
        <f t="shared" si="26"/>
        <v/>
      </c>
      <c r="DP18" s="177">
        <f>IFERROR((((COUNTIF(DA19:DC19,"A")+COUNTIF(DF19:DH19,"A")+COUNTIF(DK19:DM19,"A"))*4)+((COUNTIF(DA19:DC19,"B")+COUNTIF(DF19:DH19,"B")+COUNTIF(DK19:DM19,"B"))*3)+((COUNTIF(DA19:DC19,"C")+COUNTIF(DF19:DH19,"C")+COUNTIF(DK19:DM19,"C"))*2)+((COUNTIF(DA19:DC19,"D")+COUNTIF(DF19:DH19,"D")+COUNTIF(DK19:DM19,"D"))*1))/(COUNTA(DA19:DC19)+COUNTA(DF19:DH19)+COUNTA(DK19:DM19)),"")</f>
        <v>4</v>
      </c>
      <c r="DQ18" s="130" t="str">
        <f t="shared" si="27"/>
        <v>A</v>
      </c>
      <c r="DR18" s="152"/>
      <c r="DS18" s="190"/>
      <c r="DT18" s="185"/>
      <c r="DU18" s="129">
        <f>IFERROR((((COUNTIF('Elève (6ème1)'!DR19:DT19,"A"))*4)+((COUNTIF('Elève (6ème1)'!DR19:DT19,"B"))*3)+((COUNTIF('Elève (6ème1)'!DR19:DT19,"C"))*2)+((COUNTIF('Elève (6ème1)'!DR19:DT19,"D"))*1))/(COUNTA(DR19:DT19)),"")</f>
        <v>4</v>
      </c>
      <c r="DV18" s="107" t="str">
        <f t="shared" si="28"/>
        <v>A</v>
      </c>
      <c r="DW18" s="145"/>
      <c r="DX18" s="186"/>
      <c r="DY18" s="146"/>
      <c r="DZ18" s="129" t="str">
        <f>IFERROR((((COUNTIF('Elève (6ème1)'!DW19:DY19,"A"))*4)+((COUNTIF('Elève (6ème1)'!DW19:DY19,"B"))*3)+((COUNTIF('Elève (6ème1)'!DW19:DY19,"C"))*2)+((COUNTIF('Elève (6ème1)'!DW19:DY19,"D"))*1))/(COUNTA(DW19:DY19)),"")</f>
        <v/>
      </c>
      <c r="EA18" s="121" t="str">
        <f t="shared" si="29"/>
        <v/>
      </c>
      <c r="EB18" s="100"/>
      <c r="EC18" s="187"/>
      <c r="ED18" s="188"/>
      <c r="EE18" s="129" t="str">
        <f>IFERROR((((COUNTIF('Elève (6ème1)'!EB19:ED19,"A"))*4)+((COUNTIF('Elève (6ème1)'!EB19:ED19,"B"))*3)+((COUNTIF('Elève (6ème1)'!EB19:ED19,"C"))*2)+((COUNTIF('Elève (6ème1)'!EB19:ED19,"D"))*1))/(COUNTA(EB19:ED19)),"")</f>
        <v/>
      </c>
      <c r="EF18" s="128" t="str">
        <f t="shared" si="30"/>
        <v/>
      </c>
      <c r="EG18" s="177">
        <f>IFERROR((((COUNTIF(DR19:DT19,"A")+COUNTIF(DW19:DY19,"A")+COUNTIF(EB19:ED19,"A"))*4)+((COUNTIF(DR19:DT19,"B")+COUNTIF(DW19:DY19,"B")+COUNTIF(EB19:ED19,"B"))*3)+((COUNTIF(DR19:DT19,"C")+COUNTIF(DW19:DY19,"C")+COUNTIF(EB19:ED19,"C"))*2)+((COUNTIF(DR19:DT19,"D")+COUNTIF(DW19:DY19,"D")+COUNTIF(EB19:ED19,"D"))*1))/(COUNTA(DR19:DT19)+COUNTA(DW19:DY19)+COUNTA(EB19:ED19)),"")</f>
        <v>4</v>
      </c>
      <c r="EH18" s="130" t="str">
        <f t="shared" si="31"/>
        <v>A</v>
      </c>
      <c r="EI18" s="152"/>
      <c r="EJ18" s="190"/>
      <c r="EK18" s="185"/>
      <c r="EL18" s="129">
        <f>IFERROR((((COUNTIF('Elève (6ème1)'!EI19:EK19,"A"))*4)+((COUNTIF('Elève (6ème1)'!EI19:EK19,"B"))*3)+((COUNTIF('Elève (6ème1)'!EI19:EK19,"C"))*2)+((COUNTIF('Elève (6ème1)'!EI19:EK19,"D"))*1))/(COUNTA(EI19:EK19)),"")</f>
        <v>4</v>
      </c>
      <c r="EM18" s="107" t="str">
        <f t="shared" si="32"/>
        <v>A</v>
      </c>
      <c r="EN18" s="145"/>
      <c r="EO18" s="186"/>
      <c r="EP18" s="146"/>
      <c r="EQ18" s="129" t="str">
        <f>IFERROR((((COUNTIF('Elève (6ème1)'!EN19:EP19,"A"))*4)+((COUNTIF('Elève (6ème1)'!EN19:EP19,"B"))*3)+((COUNTIF('Elève (6ème1)'!EN19:EP19,"C"))*2)+((COUNTIF('Elève (6ème1)'!EN19:EP19,"D"))*1))/(COUNTA(EN19:EP19)),"")</f>
        <v/>
      </c>
      <c r="ER18" s="121" t="str">
        <f t="shared" si="33"/>
        <v/>
      </c>
      <c r="ES18" s="100"/>
      <c r="ET18" s="187"/>
      <c r="EU18" s="188"/>
      <c r="EV18" s="129" t="str">
        <f>IFERROR((((COUNTIF('Elève (6ème1)'!ES19:EU19,"A"))*4)+((COUNTIF('Elève (6ème1)'!ES19:EU19,"B"))*3)+((COUNTIF('Elève (6ème1)'!ES19:EU19,"C"))*2)+((COUNTIF('Elève (6ème1)'!ES19:EU19,"D"))*1))/(COUNTA(ES19:EU19)),"")</f>
        <v/>
      </c>
      <c r="EW18" s="128" t="str">
        <f t="shared" si="34"/>
        <v/>
      </c>
      <c r="EX18" s="177">
        <f>IFERROR((((COUNTIF(EI19:EK19,"A")+COUNTIF(EN19:EP19,"A")+COUNTIF(ES19:EU19,"A"))*4)+((COUNTIF(EI19:EK19,"B")+COUNTIF(EN19:EP19,"B")+COUNTIF(ES19:EU19,"B"))*3)+((COUNTIF(EI19:EK19,"C")+COUNTIF(EN19:EP19,"C")+COUNTIF(ES19:EU19,"C"))*2)+((COUNTIF(EI19:EK19,"D")+COUNTIF(EN19:EP19,"D")+COUNTIF(ES19:EU19,"D"))*1))/(COUNTA(EI19:EK19)+COUNTA(EN19:EP19)+COUNTA(ES19:EU19)),"")</f>
        <v>4</v>
      </c>
      <c r="EY18" s="130" t="str">
        <f t="shared" si="35"/>
        <v>A</v>
      </c>
      <c r="EZ18" s="152"/>
      <c r="FA18" s="190"/>
      <c r="FB18" s="185"/>
      <c r="FC18" s="129">
        <f>IFERROR((((COUNTIF('Elève (6ème1)'!EZ19:FB19,"A"))*4)+((COUNTIF('Elève (6ème1)'!EZ19:FB19,"B"))*3)+((COUNTIF('Elève (6ème1)'!EZ19:FB19,"C"))*2)+((COUNTIF('Elève (6ème1)'!EZ19:FB19,"D"))*1))/(COUNTA(EZ19:FB19)),"")</f>
        <v>4</v>
      </c>
      <c r="FD18" s="107" t="str">
        <f t="shared" si="36"/>
        <v>A</v>
      </c>
      <c r="FE18" s="145"/>
      <c r="FF18" s="186"/>
      <c r="FG18" s="146"/>
      <c r="FH18" s="129" t="str">
        <f>IFERROR((((COUNTIF('Elève (6ème1)'!FE19:FG19,"A"))*4)+((COUNTIF('Elève (6ème1)'!FE19:FG19,"B"))*3)+((COUNTIF('Elève (6ème1)'!FE19:FG19,"C"))*2)+((COUNTIF('Elève (6ème1)'!FE19:FG19,"D"))*1))/(COUNTA(FE19:FG19)),"")</f>
        <v/>
      </c>
      <c r="FI18" s="121" t="str">
        <f t="shared" si="37"/>
        <v/>
      </c>
      <c r="FJ18" s="100"/>
      <c r="FK18" s="187"/>
      <c r="FL18" s="188"/>
      <c r="FM18" s="129" t="str">
        <f>IFERROR((((COUNTIF('Elève (6ème1)'!FJ19:FL19,"A"))*4)+((COUNTIF('Elève (6ème1)'!FJ19:FL19,"B"))*3)+((COUNTIF('Elève (6ème1)'!FJ19:FL19,"C"))*2)+((COUNTIF('Elève (6ème1)'!FJ19:FL19,"D"))*1))/(COUNTA(FJ19:FL19)),"")</f>
        <v/>
      </c>
      <c r="FN18" s="128" t="str">
        <f t="shared" si="38"/>
        <v/>
      </c>
      <c r="FO18" s="177">
        <f>IFERROR((((COUNTIF(EZ19:FB19,"A")+COUNTIF(FE19:FG19,"A")+COUNTIF(FJ19:FL19,"A"))*4)+((COUNTIF(EZ19:FB19,"B")+COUNTIF(FE19:FG19,"B")+COUNTIF(FJ19:FL19,"B"))*3)+((COUNTIF(EZ19:FB19,"C")+COUNTIF(FE19:FG19,"C")+COUNTIF(FJ19:FL19,"C"))*2)+((COUNTIF(EZ19:FB19,"D")+COUNTIF(FE19:FG19,"D")+COUNTIF(FJ19:FL19,"D"))*1))/(COUNTA(EZ19:FB19)+COUNTA(FE19:FG19)+COUNTA(FJ19:FL19)),"")</f>
        <v>4</v>
      </c>
      <c r="FP18" s="130" t="str">
        <f t="shared" si="39"/>
        <v>A</v>
      </c>
      <c r="FQ18" s="152"/>
      <c r="FR18" s="190"/>
      <c r="FS18" s="185"/>
      <c r="FT18" s="129">
        <f>IFERROR((((COUNTIF('Elève (6ème1)'!FQ19:FS19,"A"))*4)+((COUNTIF('Elève (6ème1)'!FQ19:FS19,"B"))*3)+((COUNTIF('Elève (6ème1)'!FQ19:FS19,"C"))*2)+((COUNTIF('Elève (6ème1)'!FQ19:FS19,"D"))*1))/(COUNTA(FQ19:FS19)),"")</f>
        <v>4</v>
      </c>
      <c r="FU18" s="107" t="str">
        <f t="shared" si="40"/>
        <v>A</v>
      </c>
      <c r="FV18" s="145"/>
      <c r="FW18" s="186"/>
      <c r="FX18" s="146"/>
      <c r="FY18" s="129" t="str">
        <f>IFERROR((((COUNTIF('Elève (6ème1)'!FV19:FX19,"A"))*4)+((COUNTIF('Elève (6ème1)'!FV19:FX19,"B"))*3)+((COUNTIF('Elève (6ème1)'!FV19:FX19,"C"))*2)+((COUNTIF('Elève (6ème1)'!FV19:FX19,"D"))*1))/(COUNTA(FV19:FX19)),"")</f>
        <v/>
      </c>
      <c r="FZ18" s="121" t="str">
        <f t="shared" si="41"/>
        <v/>
      </c>
      <c r="GA18" s="100"/>
      <c r="GB18" s="187"/>
      <c r="GC18" s="188"/>
      <c r="GD18" s="129" t="str">
        <f>IFERROR((((COUNTIF('Elève (6ème1)'!GA19:GC19,"A"))*4)+((COUNTIF('Elève (6ème1)'!GA19:GC19,"B"))*3)+((COUNTIF('Elève (6ème1)'!GA19:GC19,"C"))*2)+((COUNTIF('Elève (6ème1)'!GA19:GC19,"D"))*1))/(COUNTA(GA19:GC19)),"")</f>
        <v/>
      </c>
      <c r="GE18" s="128" t="str">
        <f t="shared" si="42"/>
        <v/>
      </c>
      <c r="GF18" s="177">
        <f>IFERROR((((COUNTIF(FQ19:FS19,"A")+COUNTIF(FV19:FX19,"A")+COUNTIF(GA19:GC19,"A"))*4)+((COUNTIF(FQ19:FS19,"B")+COUNTIF(FV19:FX19,"B")+COUNTIF(GA19:GC19,"B"))*3)+((COUNTIF(FQ19:FS19,"C")+COUNTIF(FV19:FX19,"C")+COUNTIF(GA19:GC19,"C"))*2)+((COUNTIF(FQ19:FS19,"D")+COUNTIF(FV19:FX19,"D")+COUNTIF(GA19:GC19,"D"))*1))/(COUNTA(FQ19:FS19)+COUNTA(FV19:FX19)+COUNTA(GA19:GC19)),"")</f>
        <v>4</v>
      </c>
      <c r="GG18" s="130" t="str">
        <f t="shared" si="43"/>
        <v>A</v>
      </c>
      <c r="GH18" s="152"/>
      <c r="GI18" s="190"/>
      <c r="GJ18" s="185"/>
      <c r="GK18" s="129">
        <f>IFERROR((((COUNTIF('Elève (6ème1)'!GH19:GJ19,"A"))*4)+((COUNTIF('Elève (6ème1)'!GH19:GJ19,"B"))*3)+((COUNTIF('Elève (6ème1)'!GH19:GJ19,"C"))*2)+((COUNTIF('Elève (6ème1)'!GH19:GJ19,"D"))*1))/(COUNTA(GH19:GJ19)),"")</f>
        <v>4</v>
      </c>
      <c r="GL18" s="107" t="str">
        <f t="shared" si="44"/>
        <v>A</v>
      </c>
      <c r="GM18" s="145"/>
      <c r="GN18" s="186"/>
      <c r="GO18" s="146"/>
      <c r="GP18" s="129" t="str">
        <f>IFERROR((((COUNTIF('Elève (6ème1)'!GM19:GO19,"A"))*4)+((COUNTIF('Elève (6ème1)'!GM19:GO19,"B"))*3)+((COUNTIF('Elève (6ème1)'!GM19:GO19,"C"))*2)+((COUNTIF('Elève (6ème1)'!GM19:GO19,"D"))*1))/(COUNTA(GM19:GO19)),"")</f>
        <v/>
      </c>
      <c r="GQ18" s="121" t="str">
        <f t="shared" si="45"/>
        <v/>
      </c>
      <c r="GR18" s="100"/>
      <c r="GS18" s="187"/>
      <c r="GT18" s="188"/>
      <c r="GU18" s="129" t="str">
        <f>IFERROR((((COUNTIF('Elève (6ème1)'!GR19:GT19,"A"))*4)+((COUNTIF('Elève (6ème1)'!GR19:GT19,"B"))*3)+((COUNTIF('Elève (6ème1)'!GR19:GT19,"C"))*2)+((COUNTIF('Elève (6ème1)'!GR19:GT19,"D"))*1))/(COUNTA(GR19:GT19)),"")</f>
        <v/>
      </c>
      <c r="GV18" s="128" t="str">
        <f t="shared" si="46"/>
        <v/>
      </c>
      <c r="GW18" s="177">
        <f>IFERROR((((COUNTIF(GH19:GJ19,"A")+COUNTIF(GM19:GO19,"A")+COUNTIF(GR19:GT19,"A"))*4)+((COUNTIF(GH19:GJ19,"B")+COUNTIF(GM19:GO19,"B")+COUNTIF(GR19:GT19,"B"))*3)+((COUNTIF(GH19:GJ19,"C")+COUNTIF(GM19:GO19,"C")+COUNTIF(GR19:GT19,"C"))*2)+((COUNTIF(GH19:GJ19,"D")+COUNTIF(GM19:GO19,"D")+COUNTIF(GR19:GT19,"D"))*1))/(COUNTA(GH19:GJ19)+COUNTA(GM19:GO19)+COUNTA(GR19:GT19)),"")</f>
        <v>4</v>
      </c>
      <c r="GX18" s="130" t="str">
        <f t="shared" si="47"/>
        <v>A</v>
      </c>
      <c r="GY18" s="152"/>
      <c r="GZ18" s="190"/>
      <c r="HA18" s="185"/>
      <c r="HB18" s="129">
        <f>IFERROR((((COUNTIF('Elève (6ème1)'!GY19:HA19,"A"))*4)+((COUNTIF('Elève (6ème1)'!GY19:HA19,"B"))*3)+((COUNTIF('Elève (6ème1)'!GY19:HA19,"C"))*2)+((COUNTIF('Elève (6ème1)'!GY19:HA19,"D"))*1))/(COUNTA(GY19:HA19)),"")</f>
        <v>4</v>
      </c>
      <c r="HC18" s="107" t="str">
        <f t="shared" si="48"/>
        <v>A</v>
      </c>
      <c r="HD18" s="145"/>
      <c r="HE18" s="186"/>
      <c r="HF18" s="146"/>
      <c r="HG18" s="129" t="str">
        <f>IFERROR((((COUNTIF('Elève (6ème1)'!HD19:HF19,"A"))*4)+((COUNTIF('Elève (6ème1)'!HD19:HF19,"B"))*3)+((COUNTIF('Elève (6ème1)'!HD19:HF19,"C"))*2)+((COUNTIF('Elève (6ème1)'!HD19:HF19,"D"))*1))/(COUNTA(HD19:HF19)),"")</f>
        <v/>
      </c>
      <c r="HH18" s="121" t="str">
        <f t="shared" si="49"/>
        <v/>
      </c>
      <c r="HI18" s="100"/>
      <c r="HJ18" s="187"/>
      <c r="HK18" s="188"/>
      <c r="HL18" s="129" t="str">
        <f>IFERROR((((COUNTIF('Elève (6ème1)'!HI19:HK19,"A"))*4)+((COUNTIF('Elève (6ème1)'!HI19:HK19,"B"))*3)+((COUNTIF('Elève (6ème1)'!HI19:HK19,"C"))*2)+((COUNTIF('Elève (6ème1)'!HI19:HK19,"D"))*1))/(COUNTA(HI19:HK19)),"")</f>
        <v/>
      </c>
      <c r="HM18" s="128" t="str">
        <f t="shared" si="50"/>
        <v/>
      </c>
      <c r="HN18" s="177">
        <f>IFERROR((((COUNTIF(GY19:HA19,"A")+COUNTIF(HD19:HF19,"A")+COUNTIF(HI19:HK19,"A"))*4)+((COUNTIF(GY19:HA19,"B")+COUNTIF(HD19:HF19,"B")+COUNTIF(HI19:HK19,"B"))*3)+((COUNTIF(GY19:HA19,"C")+COUNTIF(HD19:HF19,"C")+COUNTIF(HI19:HK19,"C"))*2)+((COUNTIF(GY19:HA19,"D")+COUNTIF(HD19:HF19,"D")+COUNTIF(HI19:HK19,"D"))*1))/(COUNTA(GY19:HA19)+COUNTA(HD19:HF19)+COUNTA(HI19:HK19)),"")</f>
        <v>4</v>
      </c>
      <c r="HO18" s="130" t="str">
        <f t="shared" si="51"/>
        <v>A</v>
      </c>
      <c r="HP18" s="152"/>
      <c r="HQ18" s="190"/>
      <c r="HR18" s="185"/>
      <c r="HS18" s="129">
        <f>IFERROR((((COUNTIF('Elève (6ème1)'!HP19:HR19,"A"))*4)+((COUNTIF('Elève (6ème1)'!HP19:HR19,"B"))*3)+((COUNTIF('Elève (6ème1)'!HP19:HR19,"C"))*2)+((COUNTIF('Elève (6ème1)'!HP19:HR19,"D"))*1))/(COUNTA(HP19:HR19)),"")</f>
        <v>4</v>
      </c>
      <c r="HT18" s="107" t="str">
        <f t="shared" si="52"/>
        <v>A</v>
      </c>
      <c r="HU18" s="145"/>
      <c r="HV18" s="186"/>
      <c r="HW18" s="146"/>
      <c r="HX18" s="129" t="str">
        <f>IFERROR((((COUNTIF('Elève (6ème1)'!HU19:HW19,"A"))*4)+((COUNTIF('Elève (6ème1)'!HU19:HW19,"B"))*3)+((COUNTIF('Elève (6ème1)'!HU19:HW19,"C"))*2)+((COUNTIF('Elève (6ème1)'!HU19:HW19,"D"))*1))/(COUNTA(HU19:HW19)),"")</f>
        <v/>
      </c>
      <c r="HY18" s="121" t="str">
        <f t="shared" si="53"/>
        <v/>
      </c>
      <c r="HZ18" s="100"/>
      <c r="IA18" s="187"/>
      <c r="IB18" s="188"/>
      <c r="IC18" s="129" t="str">
        <f>IFERROR((((COUNTIF('Elève (6ème1)'!HZ19:IB19,"A"))*4)+((COUNTIF('Elève (6ème1)'!HZ19:IB19,"B"))*3)+((COUNTIF('Elève (6ème1)'!HZ19:IB19,"C"))*2)+((COUNTIF('Elève (6ème1)'!HZ19:IB19,"D"))*1))/(COUNTA(HZ19:IB19)),"")</f>
        <v/>
      </c>
      <c r="ID18" s="128" t="str">
        <f t="shared" si="54"/>
        <v/>
      </c>
      <c r="IE18" s="177">
        <f>IFERROR((((COUNTIF(HP19:HR19,"A")+COUNTIF(HU19:HW19,"A")+COUNTIF(HZ19:IB19,"A"))*4)+((COUNTIF(HP19:HR19,"B")+COUNTIF(HU19:HW19,"B")+COUNTIF(HZ19:IB19,"B"))*3)+((COUNTIF(HP19:HR19,"C")+COUNTIF(HU19:HW19,"C")+COUNTIF(HZ19:IB19,"C"))*2)+((COUNTIF(HP19:HR19,"D")+COUNTIF(HU19:HW19,"D")+COUNTIF(HZ19:IB19,"D"))*1))/(COUNTA(HP19:HR19)+COUNTA(HU19:HW19)+COUNTA(HZ19:IB19)),"")</f>
        <v>4</v>
      </c>
      <c r="IF18" s="130" t="str">
        <f t="shared" si="55"/>
        <v>A</v>
      </c>
      <c r="IG18" s="152"/>
      <c r="IH18" s="190"/>
      <c r="II18" s="185"/>
      <c r="IJ18" s="129">
        <f>IFERROR((((COUNTIF('Elève (6ème1)'!IG19:II19,"A"))*4)+((COUNTIF('Elève (6ème1)'!IG19:II19,"B"))*3)+((COUNTIF('Elève (6ème1)'!IG19:II19,"C"))*2)+((COUNTIF('Elève (6ème1)'!IG19:II19,"D"))*1))/(COUNTA(IG19:II19)),"")</f>
        <v>4</v>
      </c>
      <c r="IK18" s="107" t="str">
        <f t="shared" si="56"/>
        <v>A</v>
      </c>
      <c r="IL18" s="145"/>
      <c r="IM18" s="186"/>
      <c r="IN18" s="146"/>
      <c r="IO18" s="129" t="str">
        <f>IFERROR((((COUNTIF('Elève (6ème1)'!IL19:IN19,"A"))*4)+((COUNTIF('Elève (6ème1)'!IL19:IN19,"B"))*3)+((COUNTIF('Elève (6ème1)'!IL19:IN19,"C"))*2)+((COUNTIF('Elève (6ème1)'!IL19:IN19,"D"))*1))/(COUNTA(IL19:IN19)),"")</f>
        <v/>
      </c>
      <c r="IP18" s="121" t="str">
        <f t="shared" si="57"/>
        <v/>
      </c>
      <c r="IQ18" s="100"/>
      <c r="IR18" s="187"/>
      <c r="IS18" s="188"/>
      <c r="IT18" s="129" t="str">
        <f>IFERROR((((COUNTIF('Elève (6ème1)'!IQ19:IS19,"A"))*4)+((COUNTIF('Elève (6ème1)'!IQ19:IS19,"B"))*3)+((COUNTIF('Elève (6ème1)'!IQ19:IS19,"C"))*2)+((COUNTIF('Elève (6ème1)'!IQ19:IS19,"D"))*1))/(COUNTA(IQ19:IS19)),"")</f>
        <v/>
      </c>
      <c r="IU18" s="128" t="str">
        <f t="shared" si="58"/>
        <v/>
      </c>
      <c r="IV18" s="177">
        <f>IFERROR((((COUNTIF(IG19:II19,"A")+COUNTIF(IL19:IN19,"A")+COUNTIF(IQ19:IS19,"A"))*4)+((COUNTIF(IG19:II19,"B")+COUNTIF(IL19:IN19,"B")+COUNTIF(IQ19:IS19,"B"))*3)+((COUNTIF(IG19:II19,"C")+COUNTIF(IL19:IN19,"C")+COUNTIF(IQ19:IS19,"C"))*2)+((COUNTIF(IG19:II19,"D")+COUNTIF(IL19:IN19,"D")+COUNTIF(IQ19:IS19,"D"))*1))/(COUNTA(IG19:II19)+COUNTA(IL19:IN19)+COUNTA(IQ19:IS19)),"")</f>
        <v>4</v>
      </c>
      <c r="IW18" s="130" t="str">
        <f t="shared" si="59"/>
        <v>A</v>
      </c>
      <c r="IX18" s="152"/>
      <c r="IY18" s="190"/>
      <c r="IZ18" s="185"/>
      <c r="JA18" s="129">
        <f>IFERROR((((COUNTIF('Elève (6ème1)'!IX19:IZ19,"A"))*4)+((COUNTIF('Elève (6ème1)'!IX19:IZ19,"B"))*3)+((COUNTIF('Elève (6ème1)'!IX19:IZ19,"C"))*2)+((COUNTIF('Elève (6ème1)'!IX19:IZ19,"D"))*1))/(COUNTA(IX19:IZ19)),"")</f>
        <v>4</v>
      </c>
      <c r="JB18" s="107" t="str">
        <f t="shared" si="60"/>
        <v>A</v>
      </c>
      <c r="JC18" s="145"/>
      <c r="JD18" s="186"/>
      <c r="JE18" s="146"/>
      <c r="JF18" s="129" t="str">
        <f>IFERROR((((COUNTIF('Elève (6ème1)'!JC19:JE19,"A"))*4)+((COUNTIF('Elève (6ème1)'!JC19:JE19,"B"))*3)+((COUNTIF('Elève (6ème1)'!JC19:JE19,"C"))*2)+((COUNTIF('Elève (6ème1)'!JC19:JE19,"D"))*1))/(COUNTA(JC19:JE19)),"")</f>
        <v/>
      </c>
      <c r="JG18" s="121" t="str">
        <f t="shared" si="61"/>
        <v/>
      </c>
      <c r="JH18" s="100"/>
      <c r="JI18" s="187"/>
      <c r="JJ18" s="188"/>
      <c r="JK18" s="129" t="str">
        <f>IFERROR((((COUNTIF('Elève (6ème1)'!JH19:JJ19,"A"))*4)+((COUNTIF('Elève (6ème1)'!JH19:JJ19,"B"))*3)+((COUNTIF('Elève (6ème1)'!JH19:JJ19,"C"))*2)+((COUNTIF('Elève (6ème1)'!JH19:JJ19,"D"))*1))/(COUNTA(JH19:JJ19)),"")</f>
        <v/>
      </c>
      <c r="JL18" s="128" t="str">
        <f t="shared" si="62"/>
        <v/>
      </c>
      <c r="JM18" s="177">
        <f>IFERROR((((COUNTIF(IX19:IZ19,"A")+COUNTIF(JC19:JE19,"A")+COUNTIF(JH19:JJ19,"A"))*4)+((COUNTIF(IX19:IZ19,"B")+COUNTIF(JC19:JE19,"B")+COUNTIF(JH19:JJ19,"B"))*3)+((COUNTIF(IX19:IZ19,"C")+COUNTIF(JC19:JE19,"C")+COUNTIF(JH19:JJ19,"C"))*2)+((COUNTIF(IX19:IZ19,"D")+COUNTIF(JC19:JE19,"D")+COUNTIF(JH19:JJ19,"D"))*1))/(COUNTA(IX19:IZ19)+COUNTA(JC19:JE19)+COUNTA(JH19:JJ19)),"")</f>
        <v>4</v>
      </c>
      <c r="JN18" s="130" t="str">
        <f t="shared" si="63"/>
        <v>A</v>
      </c>
      <c r="JO18" s="152"/>
      <c r="JP18" s="190"/>
      <c r="JQ18" s="185"/>
      <c r="JR18" s="129">
        <f>IFERROR((((COUNTIF('Elève (6ème1)'!JO19:JQ19,"A"))*4)+((COUNTIF('Elève (6ème1)'!JO19:JQ19,"B"))*3)+((COUNTIF('Elève (6ème1)'!JO19:JQ19,"C"))*2)+((COUNTIF('Elève (6ème1)'!JO19:JQ19,"D"))*1))/(COUNTA(JO19:JQ19)),"")</f>
        <v>4</v>
      </c>
      <c r="JS18" s="107" t="str">
        <f t="shared" si="64"/>
        <v>A</v>
      </c>
      <c r="JT18" s="145"/>
      <c r="JU18" s="186"/>
      <c r="JV18" s="146"/>
      <c r="JW18" s="129" t="str">
        <f>IFERROR((((COUNTIF('Elève (6ème1)'!JT19:JV19,"A"))*4)+((COUNTIF('Elève (6ème1)'!JT19:JV19,"B"))*3)+((COUNTIF('Elève (6ème1)'!JT19:JV19,"C"))*2)+((COUNTIF('Elève (6ème1)'!JT19:JV19,"D"))*1))/(COUNTA(JT19:JV19)),"")</f>
        <v/>
      </c>
      <c r="JX18" s="121" t="str">
        <f t="shared" si="65"/>
        <v/>
      </c>
      <c r="JY18" s="100"/>
      <c r="JZ18" s="187"/>
      <c r="KA18" s="188"/>
      <c r="KB18" s="129" t="str">
        <f>IFERROR((((COUNTIF('Elève (6ème1)'!JY19:KA19,"A"))*4)+((COUNTIF('Elève (6ème1)'!JY19:KA19,"B"))*3)+((COUNTIF('Elève (6ème1)'!JY19:KA19,"C"))*2)+((COUNTIF('Elève (6ème1)'!JY19:KA19,"D"))*1))/(COUNTA(JY19:KA19)),"")</f>
        <v/>
      </c>
      <c r="KC18" s="128" t="str">
        <f t="shared" si="66"/>
        <v/>
      </c>
      <c r="KD18" s="177">
        <f>IFERROR((((COUNTIF(JO19:JQ19,"A")+COUNTIF(JT19:JV19,"A")+COUNTIF(JY19:KA19,"A"))*4)+((COUNTIF(JO19:JQ19,"B")+COUNTIF(JT19:JV19,"B")+COUNTIF(JY19:KA19,"B"))*3)+((COUNTIF(JO19:JQ19,"C")+COUNTIF(JT19:JV19,"C")+COUNTIF(JY19:KA19,"C"))*2)+((COUNTIF(JO19:JQ19,"D")+COUNTIF(JT19:JV19,"D")+COUNTIF(JY19:KA19,"D"))*1))/(COUNTA(JO19:JQ19)+COUNTA(JT19:JV19)+COUNTA(JY19:KA19)),"")</f>
        <v>4</v>
      </c>
      <c r="KE18" s="130" t="str">
        <f t="shared" si="67"/>
        <v>A</v>
      </c>
      <c r="KF18" s="152"/>
      <c r="KG18" s="190"/>
      <c r="KH18" s="185"/>
      <c r="KI18" s="129">
        <f>IFERROR((((COUNTIF('Elève (6ème1)'!KF19:KH19,"A"))*4)+((COUNTIF('Elève (6ème1)'!KF19:KH19,"B"))*3)+((COUNTIF('Elève (6ème1)'!KF19:KH19,"C"))*2)+((COUNTIF('Elève (6ème1)'!KF19:KH19,"D"))*1))/(COUNTA(KF19:KH19)),"")</f>
        <v>4</v>
      </c>
      <c r="KJ18" s="107" t="str">
        <f t="shared" si="68"/>
        <v>A</v>
      </c>
      <c r="KK18" s="145"/>
      <c r="KL18" s="186"/>
      <c r="KM18" s="146"/>
      <c r="KN18" s="129" t="str">
        <f>IFERROR((((COUNTIF('Elève (6ème1)'!KK19:KM19,"A"))*4)+((COUNTIF('Elève (6ème1)'!KK19:KM19,"B"))*3)+((COUNTIF('Elève (6ème1)'!KK19:KM19,"C"))*2)+((COUNTIF('Elève (6ème1)'!KK19:KM19,"D"))*1))/(COUNTA(KK19:KM19)),"")</f>
        <v/>
      </c>
      <c r="KO18" s="121" t="str">
        <f t="shared" si="69"/>
        <v/>
      </c>
      <c r="KP18" s="100"/>
      <c r="KQ18" s="187"/>
      <c r="KR18" s="188"/>
      <c r="KS18" s="129" t="str">
        <f>IFERROR((((COUNTIF('Elève (6ème1)'!KP19:KR19,"A"))*4)+((COUNTIF('Elève (6ème1)'!KP19:KR19,"B"))*3)+((COUNTIF('Elève (6ème1)'!KP19:KR19,"C"))*2)+((COUNTIF('Elève (6ème1)'!KP19:KR19,"D"))*1))/(COUNTA(KP19:KR19)),"")</f>
        <v/>
      </c>
      <c r="KT18" s="128" t="str">
        <f t="shared" si="70"/>
        <v/>
      </c>
      <c r="KU18" s="177">
        <f>IFERROR((((COUNTIF(KF19:KH19,"A")+COUNTIF(KK19:KM19,"A")+COUNTIF(KP19:KR19,"A"))*4)+((COUNTIF(KF19:KH19,"B")+COUNTIF(KK19:KM19,"B")+COUNTIF(KP19:KR19,"B"))*3)+((COUNTIF(KF19:KH19,"C")+COUNTIF(KK19:KM19,"C")+COUNTIF(KP19:KR19,"C"))*2)+((COUNTIF(KF19:KH19,"D")+COUNTIF(KK19:KM19,"D")+COUNTIF(KP19:KR19,"D"))*1))/(COUNTA(KF19:KH19)+COUNTA(KK19:KM19)+COUNTA(KP19:KR19)),"")</f>
        <v>4</v>
      </c>
      <c r="KV18" s="130" t="str">
        <f t="shared" si="71"/>
        <v>A</v>
      </c>
      <c r="KW18" s="152"/>
      <c r="KX18" s="190"/>
      <c r="KY18" s="185"/>
      <c r="KZ18" s="129">
        <f>IFERROR((((COUNTIF('Elève (6ème1)'!KW19:KY19,"A"))*4)+((COUNTIF('Elève (6ème1)'!KW19:KY19,"B"))*3)+((COUNTIF('Elève (6ème1)'!KW19:KY19,"C"))*2)+((COUNTIF('Elève (6ème1)'!KW19:KY19,"D"))*1))/(COUNTA(KW19:KY19)),"")</f>
        <v>4</v>
      </c>
      <c r="LA18" s="107" t="str">
        <f t="shared" si="72"/>
        <v>A</v>
      </c>
      <c r="LB18" s="145"/>
      <c r="LC18" s="186"/>
      <c r="LD18" s="146"/>
      <c r="LE18" s="129" t="str">
        <f>IFERROR((((COUNTIF('Elève (6ème1)'!LB19:LD19,"A"))*4)+((COUNTIF('Elève (6ème1)'!LB19:LD19,"B"))*3)+((COUNTIF('Elève (6ème1)'!LB19:LD19,"C"))*2)+((COUNTIF('Elève (6ème1)'!LB19:LD19,"D"))*1))/(COUNTA(LB19:LD19)),"")</f>
        <v/>
      </c>
      <c r="LF18" s="121" t="str">
        <f t="shared" si="73"/>
        <v/>
      </c>
      <c r="LG18" s="100"/>
      <c r="LH18" s="187"/>
      <c r="LI18" s="188"/>
      <c r="LJ18" s="129" t="str">
        <f>IFERROR((((COUNTIF('Elève (6ème1)'!LG19:LI19,"A"))*4)+((COUNTIF('Elève (6ème1)'!LG19:LI19,"B"))*3)+((COUNTIF('Elève (6ème1)'!LG19:LI19,"C"))*2)+((COUNTIF('Elève (6ème1)'!LG19:LI19,"D"))*1))/(COUNTA(LG19:LI19)),"")</f>
        <v/>
      </c>
      <c r="LK18" s="128" t="str">
        <f t="shared" si="74"/>
        <v/>
      </c>
      <c r="LL18" s="177">
        <f>IFERROR((((COUNTIF(KW19:KY19,"A")+COUNTIF(LB19:LD19,"A")+COUNTIF(LG19:LI19,"A"))*4)+((COUNTIF(KW19:KY19,"B")+COUNTIF(LB19:LD19,"B")+COUNTIF(LG19:LI19,"B"))*3)+((COUNTIF(KW19:KY19,"C")+COUNTIF(LB19:LD19,"C")+COUNTIF(LG19:LI19,"C"))*2)+((COUNTIF(KW19:KY19,"D")+COUNTIF(LB19:LD19,"D")+COUNTIF(LG19:LI19,"D"))*1))/(COUNTA(KW19:KY19)+COUNTA(LB19:LD19)+COUNTA(LG19:LI19)),"")</f>
        <v>4</v>
      </c>
      <c r="LM18" s="130" t="str">
        <f t="shared" si="75"/>
        <v>A</v>
      </c>
      <c r="LN18" s="152"/>
      <c r="LO18" s="190"/>
      <c r="LP18" s="185"/>
      <c r="LQ18" s="129">
        <f>IFERROR((((COUNTIF('Elève (6ème1)'!LN19:LP19,"A"))*4)+((COUNTIF('Elève (6ème1)'!LN19:LP19,"B"))*3)+((COUNTIF('Elève (6ème1)'!LN19:LP19,"C"))*2)+((COUNTIF('Elève (6ème1)'!LN19:LP19,"D"))*1))/(COUNTA(LN19:LP19)),"")</f>
        <v>4</v>
      </c>
      <c r="LR18" s="107" t="str">
        <f t="shared" si="76"/>
        <v>A</v>
      </c>
      <c r="LS18" s="145"/>
      <c r="LT18" s="186"/>
      <c r="LU18" s="146"/>
      <c r="LV18" s="129" t="str">
        <f>IFERROR((((COUNTIF('Elève (6ème1)'!LS19:LU19,"A"))*4)+((COUNTIF('Elève (6ème1)'!LS19:LU19,"B"))*3)+((COUNTIF('Elève (6ème1)'!LS19:LU19,"C"))*2)+((COUNTIF('Elève (6ème1)'!LS19:LU19,"D"))*1))/(COUNTA(LS19:LU19)),"")</f>
        <v/>
      </c>
      <c r="LW18" s="121" t="str">
        <f t="shared" si="77"/>
        <v/>
      </c>
      <c r="LX18" s="100"/>
      <c r="LY18" s="187"/>
      <c r="LZ18" s="188"/>
      <c r="MA18" s="129" t="str">
        <f>IFERROR((((COUNTIF('Elève (6ème1)'!LX19:LZ19,"A"))*4)+((COUNTIF('Elève (6ème1)'!LX19:LZ19,"B"))*3)+((COUNTIF('Elève (6ème1)'!LX19:LZ19,"C"))*2)+((COUNTIF('Elève (6ème1)'!LX19:LZ19,"D"))*1))/(COUNTA(LX19:LZ19)),"")</f>
        <v/>
      </c>
      <c r="MB18" s="128" t="str">
        <f t="shared" si="78"/>
        <v/>
      </c>
      <c r="MC18" s="177">
        <f>IFERROR((((COUNTIF(LN19:LP19,"A")+COUNTIF(LS19:LU19,"A")+COUNTIF(LX19:LZ19,"A"))*4)+((COUNTIF(LN19:LP19,"B")+COUNTIF(LS19:LU19,"B")+COUNTIF(LX19:LZ19,"B"))*3)+((COUNTIF(LN19:LP19,"C")+COUNTIF(LS19:LU19,"C")+COUNTIF(LX19:LZ19,"C"))*2)+((COUNTIF(LN19:LP19,"D")+COUNTIF(LS19:LU19,"D")+COUNTIF(LX19:LZ19,"D"))*1))/(COUNTA(LN19:LP19)+COUNTA(LS19:LU19)+COUNTA(LX19:LZ19)),"")</f>
        <v>4</v>
      </c>
      <c r="MD18" s="130" t="str">
        <f t="shared" si="79"/>
        <v>A</v>
      </c>
      <c r="ME18" s="152"/>
      <c r="MF18" s="190"/>
      <c r="MG18" s="185"/>
      <c r="MH18" s="129">
        <f>IFERROR((((COUNTIF('Elève (6ème1)'!ME19:MG19,"A"))*4)+((COUNTIF('Elève (6ème1)'!ME19:MG19,"B"))*3)+((COUNTIF('Elève (6ème1)'!ME19:MG19,"C"))*2)+((COUNTIF('Elève (6ème1)'!ME19:MG19,"D"))*1))/(COUNTA(ME19:MG19)),"")</f>
        <v>4</v>
      </c>
      <c r="MI18" s="107" t="str">
        <f t="shared" si="80"/>
        <v>A</v>
      </c>
      <c r="MJ18" s="145"/>
      <c r="MK18" s="186"/>
      <c r="ML18" s="146"/>
      <c r="MM18" s="129" t="str">
        <f>IFERROR((((COUNTIF('Elève (6ème1)'!MJ19:ML19,"A"))*4)+((COUNTIF('Elève (6ème1)'!MJ19:ML19,"B"))*3)+((COUNTIF('Elève (6ème1)'!MJ19:ML19,"C"))*2)+((COUNTIF('Elève (6ème1)'!MJ19:ML19,"D"))*1))/(COUNTA(MJ19:ML19)),"")</f>
        <v/>
      </c>
      <c r="MN18" s="121" t="str">
        <f t="shared" si="81"/>
        <v/>
      </c>
      <c r="MO18" s="100"/>
      <c r="MP18" s="187"/>
      <c r="MQ18" s="188"/>
      <c r="MR18" s="129" t="str">
        <f>IFERROR((((COUNTIF('Elève (6ème1)'!MO19:MQ19,"A"))*4)+((COUNTIF('Elève (6ème1)'!MO19:MQ19,"B"))*3)+((COUNTIF('Elève (6ème1)'!MO19:MQ19,"C"))*2)+((COUNTIF('Elève (6ème1)'!MO19:MQ19,"D"))*1))/(COUNTA(MO19:MQ19)),"")</f>
        <v/>
      </c>
      <c r="MS18" s="128" t="str">
        <f t="shared" si="82"/>
        <v/>
      </c>
      <c r="MT18" s="177">
        <f>IFERROR((((COUNTIF(ME19:MG19,"A")+COUNTIF(MJ19:ML19,"A")+COUNTIF(MO19:MQ19,"A"))*4)+((COUNTIF(ME19:MG19,"B")+COUNTIF(MJ19:ML19,"B")+COUNTIF(MO19:MQ19,"B"))*3)+((COUNTIF(ME19:MG19,"C")+COUNTIF(MJ19:ML19,"C")+COUNTIF(MO19:MQ19,"C"))*2)+((COUNTIF(ME19:MG19,"D")+COUNTIF(MJ19:ML19,"D")+COUNTIF(MO19:MQ19,"D"))*1))/(COUNTA(ME19:MG19)+COUNTA(MJ19:ML19)+COUNTA(MO19:MQ19)),"")</f>
        <v>4</v>
      </c>
      <c r="MU18" s="130" t="str">
        <f t="shared" si="83"/>
        <v>A</v>
      </c>
      <c r="MV18" s="152"/>
      <c r="MW18" s="190"/>
      <c r="MX18" s="185"/>
      <c r="MY18" s="129">
        <f>IFERROR((((COUNTIF('Elève (6ème1)'!MV19:MX19,"A"))*4)+((COUNTIF('Elève (6ème1)'!MV19:MX19,"B"))*3)+((COUNTIF('Elève (6ème1)'!MV19:MX19,"C"))*2)+((COUNTIF('Elève (6ème1)'!MV19:MX19,"D"))*1))/(COUNTA(MV19:MX19)),"")</f>
        <v>4</v>
      </c>
      <c r="MZ18" s="107" t="str">
        <f t="shared" si="84"/>
        <v>A</v>
      </c>
      <c r="NA18" s="145"/>
      <c r="NB18" s="186"/>
      <c r="NC18" s="146"/>
      <c r="ND18" s="129" t="str">
        <f>IFERROR((((COUNTIF('Elève (6ème1)'!NA19:NC19,"A"))*4)+((COUNTIF('Elève (6ème1)'!NA19:NC19,"B"))*3)+((COUNTIF('Elève (6ème1)'!NA19:NC19,"C"))*2)+((COUNTIF('Elève (6ème1)'!NA19:NC19,"D"))*1))/(COUNTA(NA19:NC19)),"")</f>
        <v/>
      </c>
      <c r="NE18" s="121" t="str">
        <f t="shared" si="85"/>
        <v/>
      </c>
      <c r="NF18" s="100"/>
      <c r="NG18" s="187"/>
      <c r="NH18" s="188"/>
      <c r="NI18" s="129" t="str">
        <f>IFERROR((((COUNTIF('Elève (6ème1)'!NF19:NH19,"A"))*4)+((COUNTIF('Elève (6ème1)'!NF19:NH19,"B"))*3)+((COUNTIF('Elève (6ème1)'!NF19:NH19,"C"))*2)+((COUNTIF('Elève (6ème1)'!NF19:NH19,"D"))*1))/(COUNTA(NF19:NH19)),"")</f>
        <v/>
      </c>
      <c r="NJ18" s="128" t="str">
        <f t="shared" si="86"/>
        <v/>
      </c>
      <c r="NK18" s="177">
        <f>IFERROR((((COUNTIF(MV19:MX19,"A")+COUNTIF(NA19:NC19,"A")+COUNTIF(NF19:NH19,"A"))*4)+((COUNTIF(MV19:MX19,"B")+COUNTIF(NA19:NC19,"B")+COUNTIF(NF19:NH19,"B"))*3)+((COUNTIF(MV19:MX19,"C")+COUNTIF(NA19:NC19,"C")+COUNTIF(NF19:NH19,"C"))*2)+((COUNTIF(MV19:MX19,"D")+COUNTIF(NA19:NC19,"D")+COUNTIF(NF19:NH19,"D"))*1))/(COUNTA(MV19:MX19)+COUNTA(NA19:NC19)+COUNTA(NF19:NH19)),"")</f>
        <v>4</v>
      </c>
      <c r="NL18" s="130" t="str">
        <f t="shared" si="87"/>
        <v>A</v>
      </c>
      <c r="NM18" s="152"/>
      <c r="NN18" s="190"/>
      <c r="NO18" s="185"/>
      <c r="NP18" s="129">
        <f>IFERROR((((COUNTIF('Elève (6ème1)'!NM19:NO19,"A"))*4)+((COUNTIF('Elève (6ème1)'!NM19:NO19,"B"))*3)+((COUNTIF('Elève (6ème1)'!NM19:NO19,"C"))*2)+((COUNTIF('Elève (6ème1)'!NM19:NO19,"D"))*1))/(COUNTA(NM19:NO19)),"")</f>
        <v>4</v>
      </c>
      <c r="NQ18" s="107" t="str">
        <f t="shared" si="88"/>
        <v>A</v>
      </c>
      <c r="NR18" s="145"/>
      <c r="NS18" s="186"/>
      <c r="NT18" s="146"/>
      <c r="NU18" s="129" t="str">
        <f>IFERROR((((COUNTIF('Elève (6ème1)'!NR19:NT19,"A"))*4)+((COUNTIF('Elève (6ème1)'!NR19:NT19,"B"))*3)+((COUNTIF('Elève (6ème1)'!NR19:NT19,"C"))*2)+((COUNTIF('Elève (6ème1)'!NR19:NT19,"D"))*1))/(COUNTA(NR19:NT19)),"")</f>
        <v/>
      </c>
      <c r="NV18" s="121" t="str">
        <f t="shared" si="89"/>
        <v/>
      </c>
      <c r="NW18" s="100"/>
      <c r="NX18" s="187"/>
      <c r="NY18" s="188"/>
      <c r="NZ18" s="129" t="str">
        <f>IFERROR((((COUNTIF('Elève (6ème1)'!NW19:NY19,"A"))*4)+((COUNTIF('Elève (6ème1)'!NW19:NY19,"B"))*3)+((COUNTIF('Elève (6ème1)'!NW19:NY19,"C"))*2)+((COUNTIF('Elève (6ème1)'!NW19:NY19,"D"))*1))/(COUNTA(NW19:NY19)),"")</f>
        <v/>
      </c>
      <c r="OA18" s="128" t="str">
        <f t="shared" si="90"/>
        <v/>
      </c>
      <c r="OB18" s="177">
        <f>IFERROR((((COUNTIF(NM19:NO19,"A")+COUNTIF(NR19:NT19,"A")+COUNTIF(NW19:NY19,"A"))*4)+((COUNTIF(NM19:NO19,"B")+COUNTIF(NR19:NT19,"B")+COUNTIF(NW19:NY19,"B"))*3)+((COUNTIF(NM19:NO19,"C")+COUNTIF(NR19:NT19,"C")+COUNTIF(NW19:NY19,"C"))*2)+((COUNTIF(NM19:NO19,"D")+COUNTIF(NR19:NT19,"D")+COUNTIF(NW19:NY19,"D"))*1))/(COUNTA(NM19:NO19)+COUNTA(NR19:NT19)+COUNTA(NW19:NY19)),"")</f>
        <v>4</v>
      </c>
      <c r="OC18" s="130" t="str">
        <f t="shared" si="91"/>
        <v>A</v>
      </c>
      <c r="OD18" s="152"/>
      <c r="OE18" s="190"/>
      <c r="OF18" s="185"/>
      <c r="OG18" s="129">
        <f>IFERROR((((COUNTIF('Elève (6ème1)'!OD19:OF19,"A"))*4)+((COUNTIF('Elève (6ème1)'!OD19:OF19,"B"))*3)+((COUNTIF('Elève (6ème1)'!OD19:OF19,"C"))*2)+((COUNTIF('Elève (6ème1)'!OD19:OF19,"D"))*1))/(COUNTA(OD19:OF19)),"")</f>
        <v>4</v>
      </c>
      <c r="OH18" s="107" t="str">
        <f t="shared" si="92"/>
        <v>A</v>
      </c>
      <c r="OI18" s="145"/>
      <c r="OJ18" s="186"/>
      <c r="OK18" s="146"/>
      <c r="OL18" s="129" t="str">
        <f>IFERROR((((COUNTIF('Elève (6ème1)'!OI19:OK19,"A"))*4)+((COUNTIF('Elève (6ème1)'!OI19:OK19,"B"))*3)+((COUNTIF('Elève (6ème1)'!OI19:OK19,"C"))*2)+((COUNTIF('Elève (6ème1)'!OI19:OK19,"D"))*1))/(COUNTA(OI19:OK19)),"")</f>
        <v/>
      </c>
      <c r="OM18" s="121" t="str">
        <f t="shared" si="93"/>
        <v/>
      </c>
      <c r="ON18" s="100"/>
      <c r="OO18" s="187"/>
      <c r="OP18" s="188"/>
      <c r="OQ18" s="129" t="str">
        <f>IFERROR((((COUNTIF('Elève (6ème1)'!ON19:OP19,"A"))*4)+((COUNTIF('Elève (6ème1)'!ON19:OP19,"B"))*3)+((COUNTIF('Elève (6ème1)'!ON19:OP19,"C"))*2)+((COUNTIF('Elève (6ème1)'!ON19:OP19,"D"))*1))/(COUNTA(ON19:OP19)),"")</f>
        <v/>
      </c>
      <c r="OR18" s="128" t="str">
        <f t="shared" si="94"/>
        <v/>
      </c>
      <c r="OS18" s="177">
        <f>IFERROR((((COUNTIF(OD19:OF19,"A")+COUNTIF(OI19:OK19,"A")+COUNTIF(ON19:OP19,"A"))*4)+((COUNTIF(OD19:OF19,"B")+COUNTIF(OI19:OK19,"B")+COUNTIF(ON19:OP19,"B"))*3)+((COUNTIF(OD19:OF19,"C")+COUNTIF(OI19:OK19,"C")+COUNTIF(ON19:OP19,"C"))*2)+((COUNTIF(OD19:OF19,"D")+COUNTIF(OI19:OK19,"D")+COUNTIF(ON19:OP19,"D"))*1))/(COUNTA(OD19:OF19)+COUNTA(OI19:OK19)+COUNTA(ON19:OP19)),"")</f>
        <v>4</v>
      </c>
      <c r="OT18" s="130" t="str">
        <f t="shared" si="95"/>
        <v>A</v>
      </c>
      <c r="OU18" s="152"/>
      <c r="OV18" s="190"/>
      <c r="OW18" s="185"/>
      <c r="OX18" s="129">
        <f>IFERROR((((COUNTIF('Elève (6ème1)'!OU19:OW19,"A"))*4)+((COUNTIF('Elève (6ème1)'!OU19:OW19,"B"))*3)+((COUNTIF('Elève (6ème1)'!OU19:OW19,"C"))*2)+((COUNTIF('Elève (6ème1)'!OU19:OW19,"D"))*1))/(COUNTA(OU19:OW19)),"")</f>
        <v>4</v>
      </c>
      <c r="OY18" s="107" t="str">
        <f t="shared" si="96"/>
        <v>A</v>
      </c>
      <c r="OZ18" s="145"/>
      <c r="PA18" s="186"/>
      <c r="PB18" s="146"/>
      <c r="PC18" s="129" t="str">
        <f>IFERROR((((COUNTIF('Elève (6ème1)'!OZ19:PB19,"A"))*4)+((COUNTIF('Elève (6ème1)'!OZ19:PB19,"B"))*3)+((COUNTIF('Elève (6ème1)'!OZ19:PB19,"C"))*2)+((COUNTIF('Elève (6ème1)'!OZ19:PB19,"D"))*1))/(COUNTA(OZ19:PB19)),"")</f>
        <v/>
      </c>
      <c r="PD18" s="121" t="str">
        <f t="shared" si="97"/>
        <v/>
      </c>
      <c r="PE18" s="100"/>
      <c r="PF18" s="187"/>
      <c r="PG18" s="188"/>
      <c r="PH18" s="129" t="str">
        <f>IFERROR((((COUNTIF('Elève (6ème1)'!PE19:PG19,"A"))*4)+((COUNTIF('Elève (6ème1)'!PE19:PG19,"B"))*3)+((COUNTIF('Elève (6ème1)'!PE19:PG19,"C"))*2)+((COUNTIF('Elève (6ème1)'!PE19:PG19,"D"))*1))/(COUNTA(PE19:PG19)),"")</f>
        <v/>
      </c>
      <c r="PI18" s="128" t="str">
        <f t="shared" si="98"/>
        <v/>
      </c>
      <c r="PJ18" s="177">
        <f>IFERROR((((COUNTIF(OU19:OW19,"A")+COUNTIF(OZ19:PB19,"A")+COUNTIF(PE19:PG19,"A"))*4)+((COUNTIF(OU19:OW19,"B")+COUNTIF(OZ19:PB19,"B")+COUNTIF(PE19:PG19,"B"))*3)+((COUNTIF(OU19:OW19,"C")+COUNTIF(OZ19:PB19,"C")+COUNTIF(PE19:PG19,"C"))*2)+((COUNTIF(OU19:OW19,"D")+COUNTIF(OZ19:PB19,"D")+COUNTIF(PE19:PG19,"D"))*1))/(COUNTA(OU19:OW19)+COUNTA(OZ19:PB19)+COUNTA(PE19:PG19)),"")</f>
        <v>4</v>
      </c>
      <c r="PK18" s="130" t="str">
        <f t="shared" si="99"/>
        <v>A</v>
      </c>
      <c r="PL18" s="152"/>
      <c r="PM18" s="190"/>
      <c r="PN18" s="185"/>
      <c r="PO18" s="129">
        <f>IFERROR((((COUNTIF('Elève (6ème1)'!PL19:PN19,"A"))*4)+((COUNTIF('Elève (6ème1)'!PL19:PN19,"B"))*3)+((COUNTIF('Elève (6ème1)'!PL19:PN19,"C"))*2)+((COUNTIF('Elève (6ème1)'!PL19:PN19,"D"))*1))/(COUNTA(PL19:PN19)),"")</f>
        <v>4</v>
      </c>
      <c r="PP18" s="107" t="str">
        <f t="shared" si="100"/>
        <v>A</v>
      </c>
      <c r="PQ18" s="145"/>
      <c r="PR18" s="186"/>
      <c r="PS18" s="146"/>
      <c r="PT18" s="129" t="str">
        <f>IFERROR((((COUNTIF('Elève (6ème1)'!PQ19:PS19,"A"))*4)+((COUNTIF('Elève (6ème1)'!PQ19:PS19,"B"))*3)+((COUNTIF('Elève (6ème1)'!PQ19:PS19,"C"))*2)+((COUNTIF('Elève (6ème1)'!PQ19:PS19,"D"))*1))/(COUNTA(PQ19:PS19)),"")</f>
        <v/>
      </c>
      <c r="PU18" s="121" t="str">
        <f t="shared" si="101"/>
        <v/>
      </c>
      <c r="PV18" s="100"/>
      <c r="PW18" s="187"/>
      <c r="PX18" s="188"/>
      <c r="PY18" s="129" t="str">
        <f>IFERROR((((COUNTIF('Elève (6ème1)'!PV19:PX19,"A"))*4)+((COUNTIF('Elève (6ème1)'!PV19:PX19,"B"))*3)+((COUNTIF('Elève (6ème1)'!PV19:PX19,"C"))*2)+((COUNTIF('Elève (6ème1)'!PV19:PX19,"D"))*1))/(COUNTA(PV19:PX19)),"")</f>
        <v/>
      </c>
      <c r="PZ18" s="128" t="str">
        <f t="shared" si="102"/>
        <v/>
      </c>
      <c r="QA18" s="177">
        <f>IFERROR((((COUNTIF(PL19:PN19,"A")+COUNTIF(PQ19:PS19,"A")+COUNTIF(PV19:PX19,"A"))*4)+((COUNTIF(PL19:PN19,"B")+COUNTIF(PQ19:PS19,"B")+COUNTIF(PV19:PX19,"B"))*3)+((COUNTIF(PL19:PN19,"C")+COUNTIF(PQ19:PS19,"C")+COUNTIF(PV19:PX19,"C"))*2)+((COUNTIF(PL19:PN19,"D")+COUNTIF(PQ19:PS19,"D")+COUNTIF(PV19:PX19,"D"))*1))/(COUNTA(PL19:PN19)+COUNTA(PQ19:PS19)+COUNTA(PV19:PX19)),"")</f>
        <v>4</v>
      </c>
      <c r="QB18" s="130" t="str">
        <f t="shared" si="103"/>
        <v>A</v>
      </c>
      <c r="QC18" s="152"/>
      <c r="QD18" s="190"/>
      <c r="QE18" s="185"/>
      <c r="QF18" s="129">
        <f>IFERROR((((COUNTIF('Elève (6ème1)'!QC19:QE19,"A"))*4)+((COUNTIF('Elève (6ème1)'!QC19:QE19,"B"))*3)+((COUNTIF('Elève (6ème1)'!QC19:QE19,"C"))*2)+((COUNTIF('Elève (6ème1)'!QC19:QE19,"D"))*1))/(COUNTA(QC19:QE19)),"")</f>
        <v>4</v>
      </c>
      <c r="QG18" s="107" t="str">
        <f t="shared" si="104"/>
        <v>A</v>
      </c>
      <c r="QH18" s="145"/>
      <c r="QI18" s="186"/>
      <c r="QJ18" s="146"/>
      <c r="QK18" s="129" t="str">
        <f>IFERROR((((COUNTIF('Elève (6ème1)'!QH19:QJ19,"A"))*4)+((COUNTIF('Elève (6ème1)'!QH19:QJ19,"B"))*3)+((COUNTIF('Elève (6ème1)'!QH19:QJ19,"C"))*2)+((COUNTIF('Elève (6ème1)'!QH19:QJ19,"D"))*1))/(COUNTA(QH19:QJ19)),"")</f>
        <v/>
      </c>
      <c r="QL18" s="121" t="str">
        <f t="shared" si="105"/>
        <v/>
      </c>
      <c r="QM18" s="100"/>
      <c r="QN18" s="187"/>
      <c r="QO18" s="188"/>
      <c r="QP18" s="129" t="str">
        <f>IFERROR((((COUNTIF('Elève (6ème1)'!QM19:QO19,"A"))*4)+((COUNTIF('Elève (6ème1)'!QM19:QO19,"B"))*3)+((COUNTIF('Elève (6ème1)'!QM19:QO19,"C"))*2)+((COUNTIF('Elève (6ème1)'!QM19:QO19,"D"))*1))/(COUNTA(QM19:QO19)),"")</f>
        <v/>
      </c>
      <c r="QQ18" s="128" t="str">
        <f t="shared" si="106"/>
        <v/>
      </c>
      <c r="QR18" s="177">
        <f>IFERROR((((COUNTIF(QC19:QE19,"A")+COUNTIF(QH19:QJ19,"A")+COUNTIF(QM19:QO19,"A"))*4)+((COUNTIF(QC19:QE19,"B")+COUNTIF(QH19:QJ19,"B")+COUNTIF(QM19:QO19,"B"))*3)+((COUNTIF(QC19:QE19,"C")+COUNTIF(QH19:QJ19,"C")+COUNTIF(QM19:QO19,"C"))*2)+((COUNTIF(QC19:QE19,"D")+COUNTIF(QH19:QJ19,"D")+COUNTIF(QM19:QO19,"D"))*1))/(COUNTA(QC19:QE19)+COUNTA(QH19:QJ19)+COUNTA(QM19:QO19)),"")</f>
        <v>4</v>
      </c>
      <c r="QS18" s="130" t="str">
        <f t="shared" si="107"/>
        <v>A</v>
      </c>
      <c r="QT18" s="152"/>
      <c r="QU18" s="190"/>
      <c r="QV18" s="185"/>
      <c r="QW18" s="129" t="str">
        <f>IFERROR((((COUNTIF('Elève (6ème1)'!QT19:QV19,"A"))*4)+((COUNTIF('Elève (6ème1)'!QT19:QV19,"B"))*3)+((COUNTIF('Elève (6ème1)'!QT19:QV19,"C"))*2)+((COUNTIF('Elève (6ème1)'!QT19:QV19,"D"))*1))/(COUNTA(QT19:QV19)),"")</f>
        <v/>
      </c>
      <c r="QX18" s="107" t="str">
        <f t="shared" si="108"/>
        <v/>
      </c>
      <c r="QY18" s="145"/>
      <c r="QZ18" s="186"/>
      <c r="RA18" s="146"/>
      <c r="RB18" s="129" t="str">
        <f>IFERROR((((COUNTIF('Elève (6ème1)'!QY19:RA19,"A"))*4)+((COUNTIF('Elève (6ème1)'!QY19:RA19,"B"))*3)+((COUNTIF('Elève (6ème1)'!QY19:RA19,"C"))*2)+((COUNTIF('Elève (6ème1)'!QY19:RA19,"D"))*1))/(COUNTA(QY19:RA19)),"")</f>
        <v/>
      </c>
      <c r="RC18" s="121" t="str">
        <f t="shared" si="109"/>
        <v/>
      </c>
      <c r="RD18" s="100"/>
      <c r="RE18" s="187"/>
      <c r="RF18" s="188"/>
      <c r="RG18" s="129" t="str">
        <f>IFERROR((((COUNTIF('Elève (6ème1)'!RD19:RF19,"A"))*4)+((COUNTIF('Elève (6ème1)'!RD19:RF19,"B"))*3)+((COUNTIF('Elève (6ème1)'!RD19:RF19,"C"))*2)+((COUNTIF('Elève (6ème1)'!RD19:RF19,"D"))*1))/(COUNTA(RD19:RF19)),"")</f>
        <v/>
      </c>
      <c r="RH18" s="128" t="str">
        <f t="shared" si="110"/>
        <v/>
      </c>
      <c r="RI18" s="177" t="str">
        <f>IFERROR((((COUNTIF(QT19:QV19,"A")+COUNTIF(QY19:RA19,"A")+COUNTIF(RD19:RF19,"A"))*4)+((COUNTIF(QT19:QV19,"B")+COUNTIF(QY19:RA19,"B")+COUNTIF(RD19:RF19,"B"))*3)+((COUNTIF(QT19:QV19,"C")+COUNTIF(QY19:RA19,"C")+COUNTIF(RD19:RF19,"C"))*2)+((COUNTIF(QT19:QV19,"D")+COUNTIF(QY19:RA19,"D")+COUNTIF(RD19:RF19,"D"))*1))/(COUNTA(QT19:QV19)+COUNTA(QY19:RA19)+COUNTA(RD19:RF19)),"")</f>
        <v/>
      </c>
      <c r="RJ18" s="130" t="str">
        <f t="shared" si="111"/>
        <v/>
      </c>
      <c r="RK18" s="152"/>
      <c r="RL18" s="190"/>
      <c r="RM18" s="185"/>
      <c r="RN18" s="129" t="str">
        <f>IFERROR((((COUNTIF('Elève (6ème1)'!RK19:RM19,"A"))*4)+((COUNTIF('Elève (6ème1)'!RK19:RM19,"B"))*3)+((COUNTIF('Elève (6ème1)'!RK19:RM19,"C"))*2)+((COUNTIF('Elève (6ème1)'!RK19:RM19,"D"))*1))/(COUNTA(RK19:RM19)),"")</f>
        <v/>
      </c>
      <c r="RO18" s="107" t="str">
        <f t="shared" si="112"/>
        <v/>
      </c>
      <c r="RP18" s="145"/>
      <c r="RQ18" s="186"/>
      <c r="RR18" s="146"/>
      <c r="RS18" s="129" t="str">
        <f>IFERROR((((COUNTIF('Elève (6ème1)'!RP19:RR19,"A"))*4)+((COUNTIF('Elève (6ème1)'!RP19:RR19,"B"))*3)+((COUNTIF('Elève (6ème1)'!RP19:RR19,"C"))*2)+((COUNTIF('Elève (6ème1)'!RP19:RR19,"D"))*1))/(COUNTA(RP19:RR19)),"")</f>
        <v/>
      </c>
      <c r="RT18" s="121" t="str">
        <f t="shared" si="113"/>
        <v/>
      </c>
      <c r="RU18" s="100"/>
      <c r="RV18" s="187"/>
      <c r="RW18" s="188"/>
      <c r="RX18" s="129" t="str">
        <f>IFERROR((((COUNTIF('Elève (6ème1)'!RU19:RW19,"A"))*4)+((COUNTIF('Elève (6ème1)'!RU19:RW19,"B"))*3)+((COUNTIF('Elève (6ème1)'!RU19:RW19,"C"))*2)+((COUNTIF('Elève (6ème1)'!RU19:RW19,"D"))*1))/(COUNTA(RU19:RW19)),"")</f>
        <v/>
      </c>
      <c r="RY18" s="128" t="str">
        <f t="shared" si="114"/>
        <v/>
      </c>
      <c r="RZ18" s="177" t="str">
        <f>IFERROR((((COUNTIF(RK19:RM19,"A")+COUNTIF(RP19:RR19,"A")+COUNTIF(RU19:RW19,"A"))*4)+((COUNTIF(RK19:RM19,"B")+COUNTIF(RP19:RR19,"B")+COUNTIF(RU19:RW19,"B"))*3)+((COUNTIF(RK19:RM19,"C")+COUNTIF(RP19:RR19,"C")+COUNTIF(RU19:RW19,"C"))*2)+((COUNTIF(RK19:RM19,"D")+COUNTIF(RP19:RR19,"D")+COUNTIF(RU19:RW19,"D"))*1))/(COUNTA(RK19:RM19)+COUNTA(RP19:RR19)+COUNTA(RU19:RW19)),"")</f>
        <v/>
      </c>
      <c r="SA18" s="130" t="str">
        <f t="shared" si="115"/>
        <v/>
      </c>
      <c r="SB18" s="152"/>
      <c r="SC18" s="190"/>
      <c r="SD18" s="185"/>
      <c r="SE18" s="129" t="str">
        <f>IFERROR((((COUNTIF('Elève (6ème1)'!SB19:SD19,"A"))*4)+((COUNTIF('Elève (6ème1)'!SB19:SD19,"B"))*3)+((COUNTIF('Elève (6ème1)'!SB19:SD19,"C"))*2)+((COUNTIF('Elève (6ème1)'!SB19:SD19,"D"))*1))/(COUNTA(SB19:SD19)),"")</f>
        <v/>
      </c>
      <c r="SF18" s="107" t="str">
        <f t="shared" si="116"/>
        <v/>
      </c>
      <c r="SG18" s="145"/>
      <c r="SH18" s="186"/>
      <c r="SI18" s="146"/>
      <c r="SJ18" s="129" t="str">
        <f>IFERROR((((COUNTIF('Elève (6ème1)'!SG19:SI19,"A"))*4)+((COUNTIF('Elève (6ème1)'!SG19:SI19,"B"))*3)+((COUNTIF('Elève (6ème1)'!SG19:SI19,"C"))*2)+((COUNTIF('Elève (6ème1)'!SG19:SI19,"D"))*1))/(COUNTA(SG19:SI19)),"")</f>
        <v/>
      </c>
      <c r="SK18" s="121" t="str">
        <f t="shared" si="117"/>
        <v/>
      </c>
      <c r="SL18" s="100"/>
      <c r="SM18" s="187"/>
      <c r="SN18" s="188"/>
      <c r="SO18" s="129" t="str">
        <f>IFERROR((((COUNTIF('Elève (6ème1)'!SL19:SN19,"A"))*4)+((COUNTIF('Elève (6ème1)'!SL19:SN19,"B"))*3)+((COUNTIF('Elève (6ème1)'!SL19:SN19,"C"))*2)+((COUNTIF('Elève (6ème1)'!SL19:SN19,"D"))*1))/(COUNTA(SL19:SN19)),"")</f>
        <v/>
      </c>
      <c r="SP18" s="128" t="str">
        <f t="shared" si="118"/>
        <v/>
      </c>
      <c r="SQ18" s="177" t="str">
        <f>IFERROR((((COUNTIF(SB19:SD19,"A")+COUNTIF(SG19:SI19,"A")+COUNTIF(SL19:SN19,"A"))*4)+((COUNTIF(SB19:SD19,"B")+COUNTIF(SG19:SI19,"B")+COUNTIF(SL19:SN19,"B"))*3)+((COUNTIF(SB19:SD19,"C")+COUNTIF(SG19:SI19,"C")+COUNTIF(SL19:SN19,"C"))*2)+((COUNTIF(SB19:SD19,"D")+COUNTIF(SG19:SI19,"D")+COUNTIF(SL19:SN19,"D"))*1))/(COUNTA(SB19:SD19)+COUNTA(SG19:SI19)+COUNTA(SL19:SN19)),"")</f>
        <v/>
      </c>
      <c r="SR18" s="130" t="str">
        <f t="shared" si="119"/>
        <v/>
      </c>
    </row>
    <row r="19" spans="1:512" s="72" customFormat="1" ht="18" customHeight="1" thickBot="1" x14ac:dyDescent="0.3">
      <c r="A19" s="236" t="s">
        <v>22</v>
      </c>
      <c r="B19" s="237"/>
      <c r="C19" s="164" t="s">
        <v>24</v>
      </c>
      <c r="D19" s="165"/>
      <c r="E19" s="163"/>
      <c r="F19" s="114">
        <f>IFERROR((((COUNTIF('Elève (6ème1)'!C19:E19,"A"))*4)+((COUNTIF('Elève (6ème1)'!C19:E19,"B"))*3)+((COUNTIF('Elève (6ème1)'!C19:E19,"C"))*2)+((COUNTIF('Elève (6ème1)'!C19:E19,"D"))*1))/(COUNTA(C19:E19)),"")</f>
        <v>4</v>
      </c>
      <c r="G19" s="115" t="str">
        <f t="shared" si="0"/>
        <v>A</v>
      </c>
      <c r="H19" s="166"/>
      <c r="I19" s="90"/>
      <c r="J19" s="138"/>
      <c r="K19" s="114" t="str">
        <f>IFERROR((((COUNTIF('Elève (6ème1)'!H19:J19,"A"))*4)+((COUNTIF('Elève (6ème1)'!H19:J19,"B"))*3)+((COUNTIF('Elève (6ème1)'!H19:J19,"C"))*2)+((COUNTIF('Elève (6ème1)'!H19:J19,"D"))*1))/(COUNTA(H19:J19)),"")</f>
        <v/>
      </c>
      <c r="L19" s="115" t="str">
        <f t="shared" si="1"/>
        <v/>
      </c>
      <c r="M19" s="89"/>
      <c r="N19" s="90"/>
      <c r="O19" s="138"/>
      <c r="P19" s="114" t="str">
        <f>IFERROR((((COUNTIF('Elève (6ème1)'!M19:O19,"A"))*4)+((COUNTIF('Elève (6ème1)'!M19:O19,"B"))*3)+((COUNTIF('Elève (6ème1)'!M19:O19,"C"))*2)+((COUNTIF('Elève (6ème1)'!M19:O19,"D"))*1))/(COUNTA(M19:O19)),"")</f>
        <v/>
      </c>
      <c r="Q19" s="115" t="str">
        <f t="shared" si="2"/>
        <v/>
      </c>
      <c r="R19" s="181">
        <f>IF(COUNT(F19,K19,P19)=0,"",SUM(F19,K19,P19)/COUNT(F19,K19,P19))</f>
        <v>4</v>
      </c>
      <c r="S19" s="140" t="str">
        <f t="shared" si="3"/>
        <v>A</v>
      </c>
      <c r="T19" s="164" t="s">
        <v>24</v>
      </c>
      <c r="U19" s="165"/>
      <c r="V19" s="163"/>
      <c r="W19" s="114">
        <f>IFERROR((((COUNTIF('Elève (6ème1)'!T19:V19,"A"))*4)+((COUNTIF('Elève (6ème1)'!T19:V19,"B"))*3)+((COUNTIF('Elève (6ème1)'!T19:V19,"C"))*2)+((COUNTIF('Elève (6ème1)'!T19:V19,"D"))*1))/(COUNTA(T19:V19)),"")</f>
        <v>4</v>
      </c>
      <c r="X19" s="115" t="str">
        <f t="shared" si="4"/>
        <v>A</v>
      </c>
      <c r="Y19" s="166"/>
      <c r="Z19" s="90"/>
      <c r="AA19" s="138"/>
      <c r="AB19" s="114" t="str">
        <f>IFERROR((((COUNTIF('Elève (6ème1)'!Y19:AA19,"A"))*4)+((COUNTIF('Elève (6ème1)'!Y19:AA19,"B"))*3)+((COUNTIF('Elève (6ème1)'!Y19:AA19,"C"))*2)+((COUNTIF('Elève (6ème1)'!Y19:AA19,"D"))*1))/(COUNTA(Y19:AA19)),"")</f>
        <v/>
      </c>
      <c r="AC19" s="115" t="str">
        <f t="shared" si="5"/>
        <v/>
      </c>
      <c r="AD19" s="89"/>
      <c r="AE19" s="90"/>
      <c r="AF19" s="138"/>
      <c r="AG19" s="114" t="str">
        <f>IFERROR((((COUNTIF('Elève (6ème1)'!AD19:AF19,"A"))*4)+((COUNTIF('Elève (6ème1)'!AD19:AF19,"B"))*3)+((COUNTIF('Elève (6ème1)'!AD19:AF19,"C"))*2)+((COUNTIF('Elève (6ème1)'!AD19:AF19,"D"))*1))/(COUNTA(AD19:AF19)),"")</f>
        <v/>
      </c>
      <c r="AH19" s="115" t="str">
        <f t="shared" si="6"/>
        <v/>
      </c>
      <c r="AI19" s="181">
        <f>IF(COUNT(W19,AB19,AG19)=0,"",SUM(W19,AB19,AG19)/COUNT(W19,AB19,AG19))</f>
        <v>4</v>
      </c>
      <c r="AJ19" s="140" t="str">
        <f t="shared" si="7"/>
        <v>A</v>
      </c>
      <c r="AK19" s="164" t="s">
        <v>24</v>
      </c>
      <c r="AL19" s="165"/>
      <c r="AM19" s="163"/>
      <c r="AN19" s="114">
        <f>IFERROR((((COUNTIF('Elève (6ème1)'!AK19:AM19,"A"))*4)+((COUNTIF('Elève (6ème1)'!AK19:AM19,"B"))*3)+((COUNTIF('Elève (6ème1)'!AK19:AM19,"C"))*2)+((COUNTIF('Elève (6ème1)'!AK19:AM19,"D"))*1))/(COUNTA(AK19:AM19)),"")</f>
        <v>4</v>
      </c>
      <c r="AO19" s="115" t="str">
        <f t="shared" si="8"/>
        <v>A</v>
      </c>
      <c r="AP19" s="166"/>
      <c r="AQ19" s="90"/>
      <c r="AR19" s="138"/>
      <c r="AS19" s="114" t="str">
        <f>IFERROR((((COUNTIF('Elève (6ème1)'!AP19:AR19,"A"))*4)+((COUNTIF('Elève (6ème1)'!AP19:AR19,"B"))*3)+((COUNTIF('Elève (6ème1)'!AP19:AR19,"C"))*2)+((COUNTIF('Elève (6ème1)'!AP19:AR19,"D"))*1))/(COUNTA(AP19:AR19)),"")</f>
        <v/>
      </c>
      <c r="AT19" s="115" t="str">
        <f t="shared" si="9"/>
        <v/>
      </c>
      <c r="AU19" s="89"/>
      <c r="AV19" s="90"/>
      <c r="AW19" s="138"/>
      <c r="AX19" s="114" t="str">
        <f>IFERROR((((COUNTIF('Elève (6ème1)'!AU19:AW19,"A"))*4)+((COUNTIF('Elève (6ème1)'!AU19:AW19,"B"))*3)+((COUNTIF('Elève (6ème1)'!AU19:AW19,"C"))*2)+((COUNTIF('Elève (6ème1)'!AU19:AW19,"D"))*1))/(COUNTA(AU19:AW19)),"")</f>
        <v/>
      </c>
      <c r="AY19" s="115" t="str">
        <f t="shared" si="10"/>
        <v/>
      </c>
      <c r="AZ19" s="181">
        <f>IF(COUNT(AN19,AS19,AX19)=0,"",SUM(AN19,AS19,AX19)/COUNT(AN19,AS19,AX19))</f>
        <v>4</v>
      </c>
      <c r="BA19" s="140" t="str">
        <f t="shared" si="11"/>
        <v>A</v>
      </c>
      <c r="BB19" s="164" t="s">
        <v>24</v>
      </c>
      <c r="BC19" s="165"/>
      <c r="BD19" s="163"/>
      <c r="BE19" s="114">
        <f>IFERROR((((COUNTIF('Elève (6ème1)'!BB19:BD19,"A"))*4)+((COUNTIF('Elève (6ème1)'!BB19:BD19,"B"))*3)+((COUNTIF('Elève (6ème1)'!BB19:BD19,"C"))*2)+((COUNTIF('Elève (6ème1)'!BB19:BD19,"D"))*1))/(COUNTA(BB19:BD19)),"")</f>
        <v>4</v>
      </c>
      <c r="BF19" s="115" t="str">
        <f t="shared" si="12"/>
        <v>A</v>
      </c>
      <c r="BG19" s="166"/>
      <c r="BH19" s="90"/>
      <c r="BI19" s="138"/>
      <c r="BJ19" s="114" t="str">
        <f>IFERROR((((COUNTIF('Elève (6ème1)'!BG19:BI19,"A"))*4)+((COUNTIF('Elève (6ème1)'!BG19:BI19,"B"))*3)+((COUNTIF('Elève (6ème1)'!BG19:BI19,"C"))*2)+((COUNTIF('Elève (6ème1)'!BG19:BI19,"D"))*1))/(COUNTA(BG19:BI19)),"")</f>
        <v/>
      </c>
      <c r="BK19" s="115" t="str">
        <f t="shared" si="13"/>
        <v/>
      </c>
      <c r="BL19" s="89"/>
      <c r="BM19" s="90"/>
      <c r="BN19" s="138"/>
      <c r="BO19" s="114" t="str">
        <f>IFERROR((((COUNTIF('Elève (6ème1)'!BL19:BN19,"A"))*4)+((COUNTIF('Elève (6ème1)'!BL19:BN19,"B"))*3)+((COUNTIF('Elève (6ème1)'!BL19:BN19,"C"))*2)+((COUNTIF('Elève (6ème1)'!BL19:BN19,"D"))*1))/(COUNTA(BL19:BN19)),"")</f>
        <v/>
      </c>
      <c r="BP19" s="115" t="str">
        <f t="shared" si="14"/>
        <v/>
      </c>
      <c r="BQ19" s="181">
        <f>IF(COUNT(BE19,BJ19,BO19)=0,"",SUM(BE19,BJ19,BO19)/COUNT(BE19,BJ19,BO19))</f>
        <v>4</v>
      </c>
      <c r="BR19" s="140" t="str">
        <f t="shared" si="15"/>
        <v>A</v>
      </c>
      <c r="BS19" s="164" t="s">
        <v>24</v>
      </c>
      <c r="BT19" s="165"/>
      <c r="BU19" s="163"/>
      <c r="BV19" s="114">
        <f>IFERROR((((COUNTIF('Elève (6ème1)'!BS19:BU19,"A"))*4)+((COUNTIF('Elève (6ème1)'!BS19:BU19,"B"))*3)+((COUNTIF('Elève (6ème1)'!BS19:BU19,"C"))*2)+((COUNTIF('Elève (6ème1)'!BS19:BU19,"D"))*1))/(COUNTA(BS19:BU19)),"")</f>
        <v>4</v>
      </c>
      <c r="BW19" s="115" t="str">
        <f t="shared" si="16"/>
        <v>A</v>
      </c>
      <c r="BX19" s="166"/>
      <c r="BY19" s="90"/>
      <c r="BZ19" s="138"/>
      <c r="CA19" s="114" t="str">
        <f>IFERROR((((COUNTIF('Elève (6ème1)'!BX19:BZ19,"A"))*4)+((COUNTIF('Elève (6ème1)'!BX19:BZ19,"B"))*3)+((COUNTIF('Elève (6ème1)'!BX19:BZ19,"C"))*2)+((COUNTIF('Elève (6ème1)'!BX19:BZ19,"D"))*1))/(COUNTA(BX19:BZ19)),"")</f>
        <v/>
      </c>
      <c r="CB19" s="115" t="str">
        <f t="shared" si="17"/>
        <v/>
      </c>
      <c r="CC19" s="89"/>
      <c r="CD19" s="90"/>
      <c r="CE19" s="138"/>
      <c r="CF19" s="114" t="str">
        <f>IFERROR((((COUNTIF('Elève (6ème1)'!CC19:CE19,"A"))*4)+((COUNTIF('Elève (6ème1)'!CC19:CE19,"B"))*3)+((COUNTIF('Elève (6ème1)'!CC19:CE19,"C"))*2)+((COUNTIF('Elève (6ème1)'!CC19:CE19,"D"))*1))/(COUNTA(CC19:CE19)),"")</f>
        <v/>
      </c>
      <c r="CG19" s="115" t="str">
        <f t="shared" si="18"/>
        <v/>
      </c>
      <c r="CH19" s="181">
        <f>IF(COUNT(BV19,CA19,CF19)=0,"",SUM(BV19,CA19,CF19)/COUNT(BV19,CA19,CF19))</f>
        <v>4</v>
      </c>
      <c r="CI19" s="140" t="str">
        <f t="shared" si="19"/>
        <v>A</v>
      </c>
      <c r="CJ19" s="164" t="s">
        <v>24</v>
      </c>
      <c r="CK19" s="165"/>
      <c r="CL19" s="163"/>
      <c r="CM19" s="114">
        <f>IFERROR((((COUNTIF('Elève (6ème1)'!CJ19:CL19,"A"))*4)+((COUNTIF('Elève (6ème1)'!CJ19:CL19,"B"))*3)+((COUNTIF('Elève (6ème1)'!CJ19:CL19,"C"))*2)+((COUNTIF('Elève (6ème1)'!CJ19:CL19,"D"))*1))/(COUNTA(CJ19:CL19)),"")</f>
        <v>4</v>
      </c>
      <c r="CN19" s="115" t="str">
        <f t="shared" si="20"/>
        <v>A</v>
      </c>
      <c r="CO19" s="166"/>
      <c r="CP19" s="90"/>
      <c r="CQ19" s="138"/>
      <c r="CR19" s="114" t="str">
        <f>IFERROR((((COUNTIF('Elève (6ème1)'!CO19:CQ19,"A"))*4)+((COUNTIF('Elève (6ème1)'!CO19:CQ19,"B"))*3)+((COUNTIF('Elève (6ème1)'!CO19:CQ19,"C"))*2)+((COUNTIF('Elève (6ème1)'!CO19:CQ19,"D"))*1))/(COUNTA(CO19:CQ19)),"")</f>
        <v/>
      </c>
      <c r="CS19" s="115" t="str">
        <f t="shared" si="21"/>
        <v/>
      </c>
      <c r="CT19" s="89"/>
      <c r="CU19" s="90"/>
      <c r="CV19" s="138"/>
      <c r="CW19" s="114" t="str">
        <f>IFERROR((((COUNTIF('Elève (6ème1)'!CT19:CV19,"A"))*4)+((COUNTIF('Elève (6ème1)'!CT19:CV19,"B"))*3)+((COUNTIF('Elève (6ème1)'!CT19:CV19,"C"))*2)+((COUNTIF('Elève (6ème1)'!CT19:CV19,"D"))*1))/(COUNTA(CT19:CV19)),"")</f>
        <v/>
      </c>
      <c r="CX19" s="115" t="str">
        <f t="shared" si="22"/>
        <v/>
      </c>
      <c r="CY19" s="181">
        <f>IF(COUNT(CM19,CR19,CW19)=0,"",SUM(CM19,CR19,CW19)/COUNT(CM19,CR19,CW19))</f>
        <v>4</v>
      </c>
      <c r="CZ19" s="140" t="str">
        <f t="shared" si="23"/>
        <v>A</v>
      </c>
      <c r="DA19" s="164" t="s">
        <v>24</v>
      </c>
      <c r="DB19" s="165"/>
      <c r="DC19" s="163"/>
      <c r="DD19" s="114">
        <f>IFERROR((((COUNTIF('Elève (6ème1)'!DA19:DC19,"A"))*4)+((COUNTIF('Elève (6ème1)'!DA19:DC19,"B"))*3)+((COUNTIF('Elève (6ème1)'!DA19:DC19,"C"))*2)+((COUNTIF('Elève (6ème1)'!DA19:DC19,"D"))*1))/(COUNTA(DA19:DC19)),"")</f>
        <v>4</v>
      </c>
      <c r="DE19" s="115" t="str">
        <f t="shared" si="24"/>
        <v>A</v>
      </c>
      <c r="DF19" s="166"/>
      <c r="DG19" s="90"/>
      <c r="DH19" s="138"/>
      <c r="DI19" s="114" t="str">
        <f>IFERROR((((COUNTIF('Elève (6ème1)'!DF19:DH19,"A"))*4)+((COUNTIF('Elève (6ème1)'!DF19:DH19,"B"))*3)+((COUNTIF('Elève (6ème1)'!DF19:DH19,"C"))*2)+((COUNTIF('Elève (6ème1)'!DF19:DH19,"D"))*1))/(COUNTA(DF19:DH19)),"")</f>
        <v/>
      </c>
      <c r="DJ19" s="115" t="str">
        <f t="shared" si="25"/>
        <v/>
      </c>
      <c r="DK19" s="89"/>
      <c r="DL19" s="90"/>
      <c r="DM19" s="138"/>
      <c r="DN19" s="114" t="str">
        <f>IFERROR((((COUNTIF('Elève (6ème1)'!DK19:DM19,"A"))*4)+((COUNTIF('Elève (6ème1)'!DK19:DM19,"B"))*3)+((COUNTIF('Elève (6ème1)'!DK19:DM19,"C"))*2)+((COUNTIF('Elève (6ème1)'!DK19:DM19,"D"))*1))/(COUNTA(DK19:DM19)),"")</f>
        <v/>
      </c>
      <c r="DO19" s="115" t="str">
        <f t="shared" si="26"/>
        <v/>
      </c>
      <c r="DP19" s="181">
        <f>IF(COUNT(DD19,DI19,DN19)=0,"",SUM(DD19,DI19,DN19)/COUNT(DD19,DI19,DN19))</f>
        <v>4</v>
      </c>
      <c r="DQ19" s="140" t="str">
        <f t="shared" si="27"/>
        <v>A</v>
      </c>
      <c r="DR19" s="164" t="s">
        <v>24</v>
      </c>
      <c r="DS19" s="165"/>
      <c r="DT19" s="163"/>
      <c r="DU19" s="114">
        <f>IFERROR((((COUNTIF('Elève (6ème1)'!DR19:DT19,"A"))*4)+((COUNTIF('Elève (6ème1)'!DR19:DT19,"B"))*3)+((COUNTIF('Elève (6ème1)'!DR19:DT19,"C"))*2)+((COUNTIF('Elève (6ème1)'!DR19:DT19,"D"))*1))/(COUNTA(DR19:DT19)),"")</f>
        <v>4</v>
      </c>
      <c r="DV19" s="115" t="str">
        <f t="shared" si="28"/>
        <v>A</v>
      </c>
      <c r="DW19" s="166"/>
      <c r="DX19" s="90"/>
      <c r="DY19" s="138"/>
      <c r="DZ19" s="114" t="str">
        <f>IFERROR((((COUNTIF('Elève (6ème1)'!DW19:DY19,"A"))*4)+((COUNTIF('Elève (6ème1)'!DW19:DY19,"B"))*3)+((COUNTIF('Elève (6ème1)'!DW19:DY19,"C"))*2)+((COUNTIF('Elève (6ème1)'!DW19:DY19,"D"))*1))/(COUNTA(DW19:DY19)),"")</f>
        <v/>
      </c>
      <c r="EA19" s="115" t="str">
        <f t="shared" si="29"/>
        <v/>
      </c>
      <c r="EB19" s="89"/>
      <c r="EC19" s="90"/>
      <c r="ED19" s="138"/>
      <c r="EE19" s="114" t="str">
        <f>IFERROR((((COUNTIF('Elève (6ème1)'!EB19:ED19,"A"))*4)+((COUNTIF('Elève (6ème1)'!EB19:ED19,"B"))*3)+((COUNTIF('Elève (6ème1)'!EB19:ED19,"C"))*2)+((COUNTIF('Elève (6ème1)'!EB19:ED19,"D"))*1))/(COUNTA(EB19:ED19)),"")</f>
        <v/>
      </c>
      <c r="EF19" s="115" t="str">
        <f t="shared" si="30"/>
        <v/>
      </c>
      <c r="EG19" s="181">
        <f>IF(COUNT(DU19,DZ19,EE19)=0,"",SUM(DU19,DZ19,EE19)/COUNT(DU19,DZ19,EE19))</f>
        <v>4</v>
      </c>
      <c r="EH19" s="140" t="str">
        <f t="shared" si="31"/>
        <v>A</v>
      </c>
      <c r="EI19" s="164" t="s">
        <v>24</v>
      </c>
      <c r="EJ19" s="165"/>
      <c r="EK19" s="163"/>
      <c r="EL19" s="114">
        <f>IFERROR((((COUNTIF('Elève (6ème1)'!EI19:EK19,"A"))*4)+((COUNTIF('Elève (6ème1)'!EI19:EK19,"B"))*3)+((COUNTIF('Elève (6ème1)'!EI19:EK19,"C"))*2)+((COUNTIF('Elève (6ème1)'!EI19:EK19,"D"))*1))/(COUNTA(EI19:EK19)),"")</f>
        <v>4</v>
      </c>
      <c r="EM19" s="115" t="str">
        <f t="shared" si="32"/>
        <v>A</v>
      </c>
      <c r="EN19" s="166"/>
      <c r="EO19" s="90"/>
      <c r="EP19" s="138"/>
      <c r="EQ19" s="114" t="str">
        <f>IFERROR((((COUNTIF('Elève (6ème1)'!EN19:EP19,"A"))*4)+((COUNTIF('Elève (6ème1)'!EN19:EP19,"B"))*3)+((COUNTIF('Elève (6ème1)'!EN19:EP19,"C"))*2)+((COUNTIF('Elève (6ème1)'!EN19:EP19,"D"))*1))/(COUNTA(EN19:EP19)),"")</f>
        <v/>
      </c>
      <c r="ER19" s="115" t="str">
        <f t="shared" si="33"/>
        <v/>
      </c>
      <c r="ES19" s="89"/>
      <c r="ET19" s="90"/>
      <c r="EU19" s="138"/>
      <c r="EV19" s="114" t="str">
        <f>IFERROR((((COUNTIF('Elève (6ème1)'!ES19:EU19,"A"))*4)+((COUNTIF('Elève (6ème1)'!ES19:EU19,"B"))*3)+((COUNTIF('Elève (6ème1)'!ES19:EU19,"C"))*2)+((COUNTIF('Elève (6ème1)'!ES19:EU19,"D"))*1))/(COUNTA(ES19:EU19)),"")</f>
        <v/>
      </c>
      <c r="EW19" s="115" t="str">
        <f t="shared" si="34"/>
        <v/>
      </c>
      <c r="EX19" s="181">
        <f>IF(COUNT(EL19,EQ19,EV19)=0,"",SUM(EL19,EQ19,EV19)/COUNT(EL19,EQ19,EV19))</f>
        <v>4</v>
      </c>
      <c r="EY19" s="140" t="str">
        <f t="shared" si="35"/>
        <v>A</v>
      </c>
      <c r="EZ19" s="164" t="s">
        <v>24</v>
      </c>
      <c r="FA19" s="165"/>
      <c r="FB19" s="163"/>
      <c r="FC19" s="114">
        <f>IFERROR((((COUNTIF('Elève (6ème1)'!EZ19:FB19,"A"))*4)+((COUNTIF('Elève (6ème1)'!EZ19:FB19,"B"))*3)+((COUNTIF('Elève (6ème1)'!EZ19:FB19,"C"))*2)+((COUNTIF('Elève (6ème1)'!EZ19:FB19,"D"))*1))/(COUNTA(EZ19:FB19)),"")</f>
        <v>4</v>
      </c>
      <c r="FD19" s="115" t="str">
        <f t="shared" si="36"/>
        <v>A</v>
      </c>
      <c r="FE19" s="166"/>
      <c r="FF19" s="90"/>
      <c r="FG19" s="138"/>
      <c r="FH19" s="114" t="str">
        <f>IFERROR((((COUNTIF('Elève (6ème1)'!FE19:FG19,"A"))*4)+((COUNTIF('Elève (6ème1)'!FE19:FG19,"B"))*3)+((COUNTIF('Elève (6ème1)'!FE19:FG19,"C"))*2)+((COUNTIF('Elève (6ème1)'!FE19:FG19,"D"))*1))/(COUNTA(FE19:FG19)),"")</f>
        <v/>
      </c>
      <c r="FI19" s="115" t="str">
        <f t="shared" si="37"/>
        <v/>
      </c>
      <c r="FJ19" s="89"/>
      <c r="FK19" s="90"/>
      <c r="FL19" s="138"/>
      <c r="FM19" s="114" t="str">
        <f>IFERROR((((COUNTIF('Elève (6ème1)'!FJ19:FL19,"A"))*4)+((COUNTIF('Elève (6ème1)'!FJ19:FL19,"B"))*3)+((COUNTIF('Elève (6ème1)'!FJ19:FL19,"C"))*2)+((COUNTIF('Elève (6ème1)'!FJ19:FL19,"D"))*1))/(COUNTA(FJ19:FL19)),"")</f>
        <v/>
      </c>
      <c r="FN19" s="115" t="str">
        <f t="shared" si="38"/>
        <v/>
      </c>
      <c r="FO19" s="181">
        <f>IF(COUNT(FC19,FH19,FM19)=0,"",SUM(FC19,FH19,FM19)/COUNT(FC19,FH19,FM19))</f>
        <v>4</v>
      </c>
      <c r="FP19" s="140" t="str">
        <f t="shared" si="39"/>
        <v>A</v>
      </c>
      <c r="FQ19" s="164" t="s">
        <v>24</v>
      </c>
      <c r="FR19" s="165"/>
      <c r="FS19" s="163"/>
      <c r="FT19" s="114">
        <f>IFERROR((((COUNTIF('Elève (6ème1)'!FQ19:FS19,"A"))*4)+((COUNTIF('Elève (6ème1)'!FQ19:FS19,"B"))*3)+((COUNTIF('Elève (6ème1)'!FQ19:FS19,"C"))*2)+((COUNTIF('Elève (6ème1)'!FQ19:FS19,"D"))*1))/(COUNTA(FQ19:FS19)),"")</f>
        <v>4</v>
      </c>
      <c r="FU19" s="115" t="str">
        <f t="shared" si="40"/>
        <v>A</v>
      </c>
      <c r="FV19" s="166"/>
      <c r="FW19" s="90"/>
      <c r="FX19" s="138"/>
      <c r="FY19" s="114" t="str">
        <f>IFERROR((((COUNTIF('Elève (6ème1)'!FV19:FX19,"A"))*4)+((COUNTIF('Elève (6ème1)'!FV19:FX19,"B"))*3)+((COUNTIF('Elève (6ème1)'!FV19:FX19,"C"))*2)+((COUNTIF('Elève (6ème1)'!FV19:FX19,"D"))*1))/(COUNTA(FV19:FX19)),"")</f>
        <v/>
      </c>
      <c r="FZ19" s="115" t="str">
        <f t="shared" si="41"/>
        <v/>
      </c>
      <c r="GA19" s="89"/>
      <c r="GB19" s="90"/>
      <c r="GC19" s="138"/>
      <c r="GD19" s="114" t="str">
        <f>IFERROR((((COUNTIF('Elève (6ème1)'!GA19:GC19,"A"))*4)+((COUNTIF('Elève (6ème1)'!GA19:GC19,"B"))*3)+((COUNTIF('Elève (6ème1)'!GA19:GC19,"C"))*2)+((COUNTIF('Elève (6ème1)'!GA19:GC19,"D"))*1))/(COUNTA(GA19:GC19)),"")</f>
        <v/>
      </c>
      <c r="GE19" s="115" t="str">
        <f t="shared" si="42"/>
        <v/>
      </c>
      <c r="GF19" s="181">
        <f>IF(COUNT(FT19,FY19,GD19)=0,"",SUM(FT19,FY19,GD19)/COUNT(FT19,FY19,GD19))</f>
        <v>4</v>
      </c>
      <c r="GG19" s="140" t="str">
        <f t="shared" si="43"/>
        <v>A</v>
      </c>
      <c r="GH19" s="164" t="s">
        <v>24</v>
      </c>
      <c r="GI19" s="165"/>
      <c r="GJ19" s="163"/>
      <c r="GK19" s="114">
        <f>IFERROR((((COUNTIF('Elève (6ème1)'!GH19:GJ19,"A"))*4)+((COUNTIF('Elève (6ème1)'!GH19:GJ19,"B"))*3)+((COUNTIF('Elève (6ème1)'!GH19:GJ19,"C"))*2)+((COUNTIF('Elève (6ème1)'!GH19:GJ19,"D"))*1))/(COUNTA(GH19:GJ19)),"")</f>
        <v>4</v>
      </c>
      <c r="GL19" s="115" t="str">
        <f t="shared" si="44"/>
        <v>A</v>
      </c>
      <c r="GM19" s="166"/>
      <c r="GN19" s="90"/>
      <c r="GO19" s="138"/>
      <c r="GP19" s="114" t="str">
        <f>IFERROR((((COUNTIF('Elève (6ème1)'!GM19:GO19,"A"))*4)+((COUNTIF('Elève (6ème1)'!GM19:GO19,"B"))*3)+((COUNTIF('Elève (6ème1)'!GM19:GO19,"C"))*2)+((COUNTIF('Elève (6ème1)'!GM19:GO19,"D"))*1))/(COUNTA(GM19:GO19)),"")</f>
        <v/>
      </c>
      <c r="GQ19" s="115" t="str">
        <f t="shared" si="45"/>
        <v/>
      </c>
      <c r="GR19" s="89"/>
      <c r="GS19" s="90"/>
      <c r="GT19" s="138"/>
      <c r="GU19" s="114" t="str">
        <f>IFERROR((((COUNTIF('Elève (6ème1)'!GR19:GT19,"A"))*4)+((COUNTIF('Elève (6ème1)'!GR19:GT19,"B"))*3)+((COUNTIF('Elève (6ème1)'!GR19:GT19,"C"))*2)+((COUNTIF('Elève (6ème1)'!GR19:GT19,"D"))*1))/(COUNTA(GR19:GT19)),"")</f>
        <v/>
      </c>
      <c r="GV19" s="115" t="str">
        <f t="shared" si="46"/>
        <v/>
      </c>
      <c r="GW19" s="181">
        <f>IF(COUNT(GK19,GP19,GU19)=0,"",SUM(GK19,GP19,GU19)/COUNT(GK19,GP19,GU19))</f>
        <v>4</v>
      </c>
      <c r="GX19" s="140" t="str">
        <f t="shared" si="47"/>
        <v>A</v>
      </c>
      <c r="GY19" s="164" t="s">
        <v>24</v>
      </c>
      <c r="GZ19" s="165"/>
      <c r="HA19" s="163"/>
      <c r="HB19" s="114">
        <f>IFERROR((((COUNTIF('Elève (6ème1)'!GY19:HA19,"A"))*4)+((COUNTIF('Elève (6ème1)'!GY19:HA19,"B"))*3)+((COUNTIF('Elève (6ème1)'!GY19:HA19,"C"))*2)+((COUNTIF('Elève (6ème1)'!GY19:HA19,"D"))*1))/(COUNTA(GY19:HA19)),"")</f>
        <v>4</v>
      </c>
      <c r="HC19" s="115" t="str">
        <f t="shared" si="48"/>
        <v>A</v>
      </c>
      <c r="HD19" s="166"/>
      <c r="HE19" s="90"/>
      <c r="HF19" s="138"/>
      <c r="HG19" s="114" t="str">
        <f>IFERROR((((COUNTIF('Elève (6ème1)'!HD19:HF19,"A"))*4)+((COUNTIF('Elève (6ème1)'!HD19:HF19,"B"))*3)+((COUNTIF('Elève (6ème1)'!HD19:HF19,"C"))*2)+((COUNTIF('Elève (6ème1)'!HD19:HF19,"D"))*1))/(COUNTA(HD19:HF19)),"")</f>
        <v/>
      </c>
      <c r="HH19" s="115" t="str">
        <f t="shared" si="49"/>
        <v/>
      </c>
      <c r="HI19" s="89"/>
      <c r="HJ19" s="90"/>
      <c r="HK19" s="138"/>
      <c r="HL19" s="114" t="str">
        <f>IFERROR((((COUNTIF('Elève (6ème1)'!HI19:HK19,"A"))*4)+((COUNTIF('Elève (6ème1)'!HI19:HK19,"B"))*3)+((COUNTIF('Elève (6ème1)'!HI19:HK19,"C"))*2)+((COUNTIF('Elève (6ème1)'!HI19:HK19,"D"))*1))/(COUNTA(HI19:HK19)),"")</f>
        <v/>
      </c>
      <c r="HM19" s="115" t="str">
        <f t="shared" si="50"/>
        <v/>
      </c>
      <c r="HN19" s="181">
        <f>IF(COUNT(HB19,HG19,HL19)=0,"",SUM(HB19,HG19,HL19)/COUNT(HB19,HG19,HL19))</f>
        <v>4</v>
      </c>
      <c r="HO19" s="140" t="str">
        <f t="shared" si="51"/>
        <v>A</v>
      </c>
      <c r="HP19" s="164" t="s">
        <v>24</v>
      </c>
      <c r="HQ19" s="165"/>
      <c r="HR19" s="163"/>
      <c r="HS19" s="114">
        <f>IFERROR((((COUNTIF('Elève (6ème1)'!HP19:HR19,"A"))*4)+((COUNTIF('Elève (6ème1)'!HP19:HR19,"B"))*3)+((COUNTIF('Elève (6ème1)'!HP19:HR19,"C"))*2)+((COUNTIF('Elève (6ème1)'!HP19:HR19,"D"))*1))/(COUNTA(HP19:HR19)),"")</f>
        <v>4</v>
      </c>
      <c r="HT19" s="115" t="str">
        <f t="shared" si="52"/>
        <v>A</v>
      </c>
      <c r="HU19" s="166"/>
      <c r="HV19" s="90"/>
      <c r="HW19" s="138"/>
      <c r="HX19" s="114" t="str">
        <f>IFERROR((((COUNTIF('Elève (6ème1)'!HU19:HW19,"A"))*4)+((COUNTIF('Elève (6ème1)'!HU19:HW19,"B"))*3)+((COUNTIF('Elève (6ème1)'!HU19:HW19,"C"))*2)+((COUNTIF('Elève (6ème1)'!HU19:HW19,"D"))*1))/(COUNTA(HU19:HW19)),"")</f>
        <v/>
      </c>
      <c r="HY19" s="115" t="str">
        <f t="shared" si="53"/>
        <v/>
      </c>
      <c r="HZ19" s="89"/>
      <c r="IA19" s="90"/>
      <c r="IB19" s="138"/>
      <c r="IC19" s="114" t="str">
        <f>IFERROR((((COUNTIF('Elève (6ème1)'!HZ19:IB19,"A"))*4)+((COUNTIF('Elève (6ème1)'!HZ19:IB19,"B"))*3)+((COUNTIF('Elève (6ème1)'!HZ19:IB19,"C"))*2)+((COUNTIF('Elève (6ème1)'!HZ19:IB19,"D"))*1))/(COUNTA(HZ19:IB19)),"")</f>
        <v/>
      </c>
      <c r="ID19" s="115" t="str">
        <f t="shared" si="54"/>
        <v/>
      </c>
      <c r="IE19" s="181">
        <f>IF(COUNT(HS19,HX19,IC19)=0,"",SUM(HS19,HX19,IC19)/COUNT(HS19,HX19,IC19))</f>
        <v>4</v>
      </c>
      <c r="IF19" s="140" t="str">
        <f t="shared" si="55"/>
        <v>A</v>
      </c>
      <c r="IG19" s="164" t="s">
        <v>24</v>
      </c>
      <c r="IH19" s="165"/>
      <c r="II19" s="163"/>
      <c r="IJ19" s="114">
        <f>IFERROR((((COUNTIF('Elève (6ème1)'!IG19:II19,"A"))*4)+((COUNTIF('Elève (6ème1)'!IG19:II19,"B"))*3)+((COUNTIF('Elève (6ème1)'!IG19:II19,"C"))*2)+((COUNTIF('Elève (6ème1)'!IG19:II19,"D"))*1))/(COUNTA(IG19:II19)),"")</f>
        <v>4</v>
      </c>
      <c r="IK19" s="115" t="str">
        <f t="shared" si="56"/>
        <v>A</v>
      </c>
      <c r="IL19" s="166"/>
      <c r="IM19" s="90"/>
      <c r="IN19" s="138"/>
      <c r="IO19" s="114" t="str">
        <f>IFERROR((((COUNTIF('Elève (6ème1)'!IL19:IN19,"A"))*4)+((COUNTIF('Elève (6ème1)'!IL19:IN19,"B"))*3)+((COUNTIF('Elève (6ème1)'!IL19:IN19,"C"))*2)+((COUNTIF('Elève (6ème1)'!IL19:IN19,"D"))*1))/(COUNTA(IL19:IN19)),"")</f>
        <v/>
      </c>
      <c r="IP19" s="115" t="str">
        <f t="shared" si="57"/>
        <v/>
      </c>
      <c r="IQ19" s="89"/>
      <c r="IR19" s="90"/>
      <c r="IS19" s="138"/>
      <c r="IT19" s="114" t="str">
        <f>IFERROR((((COUNTIF('Elève (6ème1)'!IQ19:IS19,"A"))*4)+((COUNTIF('Elève (6ème1)'!IQ19:IS19,"B"))*3)+((COUNTIF('Elève (6ème1)'!IQ19:IS19,"C"))*2)+((COUNTIF('Elève (6ème1)'!IQ19:IS19,"D"))*1))/(COUNTA(IQ19:IS19)),"")</f>
        <v/>
      </c>
      <c r="IU19" s="115" t="str">
        <f t="shared" si="58"/>
        <v/>
      </c>
      <c r="IV19" s="181">
        <f>IF(COUNT(IJ19,IO19,IT19)=0,"",SUM(IJ19,IO19,IT19)/COUNT(IJ19,IO19,IT19))</f>
        <v>4</v>
      </c>
      <c r="IW19" s="140" t="str">
        <f t="shared" si="59"/>
        <v>A</v>
      </c>
      <c r="IX19" s="164" t="s">
        <v>24</v>
      </c>
      <c r="IY19" s="165"/>
      <c r="IZ19" s="163"/>
      <c r="JA19" s="114">
        <f>IFERROR((((COUNTIF('Elève (6ème1)'!IX19:IZ19,"A"))*4)+((COUNTIF('Elève (6ème1)'!IX19:IZ19,"B"))*3)+((COUNTIF('Elève (6ème1)'!IX19:IZ19,"C"))*2)+((COUNTIF('Elève (6ème1)'!IX19:IZ19,"D"))*1))/(COUNTA(IX19:IZ19)),"")</f>
        <v>4</v>
      </c>
      <c r="JB19" s="115" t="str">
        <f t="shared" si="60"/>
        <v>A</v>
      </c>
      <c r="JC19" s="166"/>
      <c r="JD19" s="90"/>
      <c r="JE19" s="138"/>
      <c r="JF19" s="114" t="str">
        <f>IFERROR((((COUNTIF('Elève (6ème1)'!JC19:JE19,"A"))*4)+((COUNTIF('Elève (6ème1)'!JC19:JE19,"B"))*3)+((COUNTIF('Elève (6ème1)'!JC19:JE19,"C"))*2)+((COUNTIF('Elève (6ème1)'!JC19:JE19,"D"))*1))/(COUNTA(JC19:JE19)),"")</f>
        <v/>
      </c>
      <c r="JG19" s="115" t="str">
        <f t="shared" si="61"/>
        <v/>
      </c>
      <c r="JH19" s="89"/>
      <c r="JI19" s="90"/>
      <c r="JJ19" s="138"/>
      <c r="JK19" s="114" t="str">
        <f>IFERROR((((COUNTIF('Elève (6ème1)'!JH19:JJ19,"A"))*4)+((COUNTIF('Elève (6ème1)'!JH19:JJ19,"B"))*3)+((COUNTIF('Elève (6ème1)'!JH19:JJ19,"C"))*2)+((COUNTIF('Elève (6ème1)'!JH19:JJ19,"D"))*1))/(COUNTA(JH19:JJ19)),"")</f>
        <v/>
      </c>
      <c r="JL19" s="115" t="str">
        <f t="shared" si="62"/>
        <v/>
      </c>
      <c r="JM19" s="181">
        <f>IF(COUNT(JA19,JF19,JK19)=0,"",SUM(JA19,JF19,JK19)/COUNT(JA19,JF19,JK19))</f>
        <v>4</v>
      </c>
      <c r="JN19" s="140" t="str">
        <f t="shared" si="63"/>
        <v>A</v>
      </c>
      <c r="JO19" s="164" t="s">
        <v>24</v>
      </c>
      <c r="JP19" s="165"/>
      <c r="JQ19" s="163"/>
      <c r="JR19" s="114">
        <f>IFERROR((((COUNTIF('Elève (6ème1)'!JO19:JQ19,"A"))*4)+((COUNTIF('Elève (6ème1)'!JO19:JQ19,"B"))*3)+((COUNTIF('Elève (6ème1)'!JO19:JQ19,"C"))*2)+((COUNTIF('Elève (6ème1)'!JO19:JQ19,"D"))*1))/(COUNTA(JO19:JQ19)),"")</f>
        <v>4</v>
      </c>
      <c r="JS19" s="115" t="str">
        <f t="shared" si="64"/>
        <v>A</v>
      </c>
      <c r="JT19" s="166"/>
      <c r="JU19" s="90"/>
      <c r="JV19" s="138"/>
      <c r="JW19" s="114" t="str">
        <f>IFERROR((((COUNTIF('Elève (6ème1)'!JT19:JV19,"A"))*4)+((COUNTIF('Elève (6ème1)'!JT19:JV19,"B"))*3)+((COUNTIF('Elève (6ème1)'!JT19:JV19,"C"))*2)+((COUNTIF('Elève (6ème1)'!JT19:JV19,"D"))*1))/(COUNTA(JT19:JV19)),"")</f>
        <v/>
      </c>
      <c r="JX19" s="115" t="str">
        <f t="shared" si="65"/>
        <v/>
      </c>
      <c r="JY19" s="89"/>
      <c r="JZ19" s="90"/>
      <c r="KA19" s="138"/>
      <c r="KB19" s="114" t="str">
        <f>IFERROR((((COUNTIF('Elève (6ème1)'!JY19:KA19,"A"))*4)+((COUNTIF('Elève (6ème1)'!JY19:KA19,"B"))*3)+((COUNTIF('Elève (6ème1)'!JY19:KA19,"C"))*2)+((COUNTIF('Elève (6ème1)'!JY19:KA19,"D"))*1))/(COUNTA(JY19:KA19)),"")</f>
        <v/>
      </c>
      <c r="KC19" s="115" t="str">
        <f t="shared" si="66"/>
        <v/>
      </c>
      <c r="KD19" s="181">
        <f>IF(COUNT(JR19,JW19,KB19)=0,"",SUM(JR19,JW19,KB19)/COUNT(JR19,JW19,KB19))</f>
        <v>4</v>
      </c>
      <c r="KE19" s="140" t="str">
        <f t="shared" si="67"/>
        <v>A</v>
      </c>
      <c r="KF19" s="164" t="s">
        <v>24</v>
      </c>
      <c r="KG19" s="165"/>
      <c r="KH19" s="163"/>
      <c r="KI19" s="114">
        <f>IFERROR((((COUNTIF('Elève (6ème1)'!KF19:KH19,"A"))*4)+((COUNTIF('Elève (6ème1)'!KF19:KH19,"B"))*3)+((COUNTIF('Elève (6ème1)'!KF19:KH19,"C"))*2)+((COUNTIF('Elève (6ème1)'!KF19:KH19,"D"))*1))/(COUNTA(KF19:KH19)),"")</f>
        <v>4</v>
      </c>
      <c r="KJ19" s="115" t="str">
        <f t="shared" si="68"/>
        <v>A</v>
      </c>
      <c r="KK19" s="166"/>
      <c r="KL19" s="90"/>
      <c r="KM19" s="138"/>
      <c r="KN19" s="114" t="str">
        <f>IFERROR((((COUNTIF('Elève (6ème1)'!KK19:KM19,"A"))*4)+((COUNTIF('Elève (6ème1)'!KK19:KM19,"B"))*3)+((COUNTIF('Elève (6ème1)'!KK19:KM19,"C"))*2)+((COUNTIF('Elève (6ème1)'!KK19:KM19,"D"))*1))/(COUNTA(KK19:KM19)),"")</f>
        <v/>
      </c>
      <c r="KO19" s="115" t="str">
        <f t="shared" si="69"/>
        <v/>
      </c>
      <c r="KP19" s="89"/>
      <c r="KQ19" s="90"/>
      <c r="KR19" s="138"/>
      <c r="KS19" s="114" t="str">
        <f>IFERROR((((COUNTIF('Elève (6ème1)'!KP19:KR19,"A"))*4)+((COUNTIF('Elève (6ème1)'!KP19:KR19,"B"))*3)+((COUNTIF('Elève (6ème1)'!KP19:KR19,"C"))*2)+((COUNTIF('Elève (6ème1)'!KP19:KR19,"D"))*1))/(COUNTA(KP19:KR19)),"")</f>
        <v/>
      </c>
      <c r="KT19" s="115" t="str">
        <f t="shared" si="70"/>
        <v/>
      </c>
      <c r="KU19" s="181">
        <f>IF(COUNT(KI19,KN19,KS19)=0,"",SUM(KI19,KN19,KS19)/COUNT(KI19,KN19,KS19))</f>
        <v>4</v>
      </c>
      <c r="KV19" s="140" t="str">
        <f t="shared" si="71"/>
        <v>A</v>
      </c>
      <c r="KW19" s="164" t="s">
        <v>24</v>
      </c>
      <c r="KX19" s="165"/>
      <c r="KY19" s="163"/>
      <c r="KZ19" s="114">
        <f>IFERROR((((COUNTIF('Elève (6ème1)'!KW19:KY19,"A"))*4)+((COUNTIF('Elève (6ème1)'!KW19:KY19,"B"))*3)+((COUNTIF('Elève (6ème1)'!KW19:KY19,"C"))*2)+((COUNTIF('Elève (6ème1)'!KW19:KY19,"D"))*1))/(COUNTA(KW19:KY19)),"")</f>
        <v>4</v>
      </c>
      <c r="LA19" s="115" t="str">
        <f t="shared" si="72"/>
        <v>A</v>
      </c>
      <c r="LB19" s="166"/>
      <c r="LC19" s="90"/>
      <c r="LD19" s="138"/>
      <c r="LE19" s="114" t="str">
        <f>IFERROR((((COUNTIF('Elève (6ème1)'!LB19:LD19,"A"))*4)+((COUNTIF('Elève (6ème1)'!LB19:LD19,"B"))*3)+((COUNTIF('Elève (6ème1)'!LB19:LD19,"C"))*2)+((COUNTIF('Elève (6ème1)'!LB19:LD19,"D"))*1))/(COUNTA(LB19:LD19)),"")</f>
        <v/>
      </c>
      <c r="LF19" s="115" t="str">
        <f t="shared" si="73"/>
        <v/>
      </c>
      <c r="LG19" s="89"/>
      <c r="LH19" s="90"/>
      <c r="LI19" s="138"/>
      <c r="LJ19" s="114" t="str">
        <f>IFERROR((((COUNTIF('Elève (6ème1)'!LG19:LI19,"A"))*4)+((COUNTIF('Elève (6ème1)'!LG19:LI19,"B"))*3)+((COUNTIF('Elève (6ème1)'!LG19:LI19,"C"))*2)+((COUNTIF('Elève (6ème1)'!LG19:LI19,"D"))*1))/(COUNTA(LG19:LI19)),"")</f>
        <v/>
      </c>
      <c r="LK19" s="115" t="str">
        <f t="shared" si="74"/>
        <v/>
      </c>
      <c r="LL19" s="181">
        <f>IF(COUNT(KZ19,LE19,LJ19)=0,"",SUM(KZ19,LE19,LJ19)/COUNT(KZ19,LE19,LJ19))</f>
        <v>4</v>
      </c>
      <c r="LM19" s="140" t="str">
        <f t="shared" si="75"/>
        <v>A</v>
      </c>
      <c r="LN19" s="164" t="s">
        <v>24</v>
      </c>
      <c r="LO19" s="165"/>
      <c r="LP19" s="163"/>
      <c r="LQ19" s="114">
        <f>IFERROR((((COUNTIF('Elève (6ème1)'!LN19:LP19,"A"))*4)+((COUNTIF('Elève (6ème1)'!LN19:LP19,"B"))*3)+((COUNTIF('Elève (6ème1)'!LN19:LP19,"C"))*2)+((COUNTIF('Elève (6ème1)'!LN19:LP19,"D"))*1))/(COUNTA(LN19:LP19)),"")</f>
        <v>4</v>
      </c>
      <c r="LR19" s="115" t="str">
        <f t="shared" si="76"/>
        <v>A</v>
      </c>
      <c r="LS19" s="166"/>
      <c r="LT19" s="90"/>
      <c r="LU19" s="138"/>
      <c r="LV19" s="114" t="str">
        <f>IFERROR((((COUNTIF('Elève (6ème1)'!LS19:LU19,"A"))*4)+((COUNTIF('Elève (6ème1)'!LS19:LU19,"B"))*3)+((COUNTIF('Elève (6ème1)'!LS19:LU19,"C"))*2)+((COUNTIF('Elève (6ème1)'!LS19:LU19,"D"))*1))/(COUNTA(LS19:LU19)),"")</f>
        <v/>
      </c>
      <c r="LW19" s="115" t="str">
        <f t="shared" si="77"/>
        <v/>
      </c>
      <c r="LX19" s="89"/>
      <c r="LY19" s="90"/>
      <c r="LZ19" s="138"/>
      <c r="MA19" s="114" t="str">
        <f>IFERROR((((COUNTIF('Elève (6ème1)'!LX19:LZ19,"A"))*4)+((COUNTIF('Elève (6ème1)'!LX19:LZ19,"B"))*3)+((COUNTIF('Elève (6ème1)'!LX19:LZ19,"C"))*2)+((COUNTIF('Elève (6ème1)'!LX19:LZ19,"D"))*1))/(COUNTA(LX19:LZ19)),"")</f>
        <v/>
      </c>
      <c r="MB19" s="115" t="str">
        <f t="shared" si="78"/>
        <v/>
      </c>
      <c r="MC19" s="181">
        <f>IF(COUNT(LQ19,LV19,MA19)=0,"",SUM(LQ19,LV19,MA19)/COUNT(LQ19,LV19,MA19))</f>
        <v>4</v>
      </c>
      <c r="MD19" s="140" t="str">
        <f t="shared" si="79"/>
        <v>A</v>
      </c>
      <c r="ME19" s="164" t="s">
        <v>24</v>
      </c>
      <c r="MF19" s="165"/>
      <c r="MG19" s="163"/>
      <c r="MH19" s="114">
        <f>IFERROR((((COUNTIF('Elève (6ème1)'!ME19:MG19,"A"))*4)+((COUNTIF('Elève (6ème1)'!ME19:MG19,"B"))*3)+((COUNTIF('Elève (6ème1)'!ME19:MG19,"C"))*2)+((COUNTIF('Elève (6ème1)'!ME19:MG19,"D"))*1))/(COUNTA(ME19:MG19)),"")</f>
        <v>4</v>
      </c>
      <c r="MI19" s="115" t="str">
        <f t="shared" si="80"/>
        <v>A</v>
      </c>
      <c r="MJ19" s="166"/>
      <c r="MK19" s="90"/>
      <c r="ML19" s="138"/>
      <c r="MM19" s="114" t="str">
        <f>IFERROR((((COUNTIF('Elève (6ème1)'!MJ19:ML19,"A"))*4)+((COUNTIF('Elève (6ème1)'!MJ19:ML19,"B"))*3)+((COUNTIF('Elève (6ème1)'!MJ19:ML19,"C"))*2)+((COUNTIF('Elève (6ème1)'!MJ19:ML19,"D"))*1))/(COUNTA(MJ19:ML19)),"")</f>
        <v/>
      </c>
      <c r="MN19" s="115" t="str">
        <f t="shared" si="81"/>
        <v/>
      </c>
      <c r="MO19" s="89"/>
      <c r="MP19" s="90"/>
      <c r="MQ19" s="138"/>
      <c r="MR19" s="114" t="str">
        <f>IFERROR((((COUNTIF('Elève (6ème1)'!MO19:MQ19,"A"))*4)+((COUNTIF('Elève (6ème1)'!MO19:MQ19,"B"))*3)+((COUNTIF('Elève (6ème1)'!MO19:MQ19,"C"))*2)+((COUNTIF('Elève (6ème1)'!MO19:MQ19,"D"))*1))/(COUNTA(MO19:MQ19)),"")</f>
        <v/>
      </c>
      <c r="MS19" s="115" t="str">
        <f t="shared" si="82"/>
        <v/>
      </c>
      <c r="MT19" s="181">
        <f>IF(COUNT(MH19,MM19,MR19)=0,"",SUM(MH19,MM19,MR19)/COUNT(MH19,MM19,MR19))</f>
        <v>4</v>
      </c>
      <c r="MU19" s="140" t="str">
        <f t="shared" si="83"/>
        <v>A</v>
      </c>
      <c r="MV19" s="164" t="s">
        <v>24</v>
      </c>
      <c r="MW19" s="165"/>
      <c r="MX19" s="163"/>
      <c r="MY19" s="114">
        <f>IFERROR((((COUNTIF('Elève (6ème1)'!MV19:MX19,"A"))*4)+((COUNTIF('Elève (6ème1)'!MV19:MX19,"B"))*3)+((COUNTIF('Elève (6ème1)'!MV19:MX19,"C"))*2)+((COUNTIF('Elève (6ème1)'!MV19:MX19,"D"))*1))/(COUNTA(MV19:MX19)),"")</f>
        <v>4</v>
      </c>
      <c r="MZ19" s="115" t="str">
        <f t="shared" si="84"/>
        <v>A</v>
      </c>
      <c r="NA19" s="166"/>
      <c r="NB19" s="90"/>
      <c r="NC19" s="138"/>
      <c r="ND19" s="114" t="str">
        <f>IFERROR((((COUNTIF('Elève (6ème1)'!NA19:NC19,"A"))*4)+((COUNTIF('Elève (6ème1)'!NA19:NC19,"B"))*3)+((COUNTIF('Elève (6ème1)'!NA19:NC19,"C"))*2)+((COUNTIF('Elève (6ème1)'!NA19:NC19,"D"))*1))/(COUNTA(NA19:NC19)),"")</f>
        <v/>
      </c>
      <c r="NE19" s="115" t="str">
        <f t="shared" si="85"/>
        <v/>
      </c>
      <c r="NF19" s="89"/>
      <c r="NG19" s="90"/>
      <c r="NH19" s="138"/>
      <c r="NI19" s="114" t="str">
        <f>IFERROR((((COUNTIF('Elève (6ème1)'!NF19:NH19,"A"))*4)+((COUNTIF('Elève (6ème1)'!NF19:NH19,"B"))*3)+((COUNTIF('Elève (6ème1)'!NF19:NH19,"C"))*2)+((COUNTIF('Elève (6ème1)'!NF19:NH19,"D"))*1))/(COUNTA(NF19:NH19)),"")</f>
        <v/>
      </c>
      <c r="NJ19" s="115" t="str">
        <f t="shared" si="86"/>
        <v/>
      </c>
      <c r="NK19" s="181">
        <f>IF(COUNT(MY19,ND19,NI19)=0,"",SUM(MY19,ND19,NI19)/COUNT(MY19,ND19,NI19))</f>
        <v>4</v>
      </c>
      <c r="NL19" s="140" t="str">
        <f t="shared" si="87"/>
        <v>A</v>
      </c>
      <c r="NM19" s="164" t="s">
        <v>24</v>
      </c>
      <c r="NN19" s="165"/>
      <c r="NO19" s="163"/>
      <c r="NP19" s="114">
        <f>IFERROR((((COUNTIF('Elève (6ème1)'!NM19:NO19,"A"))*4)+((COUNTIF('Elève (6ème1)'!NM19:NO19,"B"))*3)+((COUNTIF('Elève (6ème1)'!NM19:NO19,"C"))*2)+((COUNTIF('Elève (6ème1)'!NM19:NO19,"D"))*1))/(COUNTA(NM19:NO19)),"")</f>
        <v>4</v>
      </c>
      <c r="NQ19" s="115" t="str">
        <f t="shared" si="88"/>
        <v>A</v>
      </c>
      <c r="NR19" s="166"/>
      <c r="NS19" s="90"/>
      <c r="NT19" s="138"/>
      <c r="NU19" s="114" t="str">
        <f>IFERROR((((COUNTIF('Elève (6ème1)'!NR19:NT19,"A"))*4)+((COUNTIF('Elève (6ème1)'!NR19:NT19,"B"))*3)+((COUNTIF('Elève (6ème1)'!NR19:NT19,"C"))*2)+((COUNTIF('Elève (6ème1)'!NR19:NT19,"D"))*1))/(COUNTA(NR19:NT19)),"")</f>
        <v/>
      </c>
      <c r="NV19" s="115" t="str">
        <f t="shared" si="89"/>
        <v/>
      </c>
      <c r="NW19" s="89"/>
      <c r="NX19" s="90"/>
      <c r="NY19" s="138"/>
      <c r="NZ19" s="114" t="str">
        <f>IFERROR((((COUNTIF('Elève (6ème1)'!NW19:NY19,"A"))*4)+((COUNTIF('Elève (6ème1)'!NW19:NY19,"B"))*3)+((COUNTIF('Elève (6ème1)'!NW19:NY19,"C"))*2)+((COUNTIF('Elève (6ème1)'!NW19:NY19,"D"))*1))/(COUNTA(NW19:NY19)),"")</f>
        <v/>
      </c>
      <c r="OA19" s="115" t="str">
        <f t="shared" si="90"/>
        <v/>
      </c>
      <c r="OB19" s="181">
        <f>IF(COUNT(NP19,NU19,NZ19)=0,"",SUM(NP19,NU19,NZ19)/COUNT(NP19,NU19,NZ19))</f>
        <v>4</v>
      </c>
      <c r="OC19" s="140" t="str">
        <f t="shared" si="91"/>
        <v>A</v>
      </c>
      <c r="OD19" s="164" t="s">
        <v>24</v>
      </c>
      <c r="OE19" s="165"/>
      <c r="OF19" s="163"/>
      <c r="OG19" s="114">
        <f>IFERROR((((COUNTIF('Elève (6ème1)'!OD19:OF19,"A"))*4)+((COUNTIF('Elève (6ème1)'!OD19:OF19,"B"))*3)+((COUNTIF('Elève (6ème1)'!OD19:OF19,"C"))*2)+((COUNTIF('Elève (6ème1)'!OD19:OF19,"D"))*1))/(COUNTA(OD19:OF19)),"")</f>
        <v>4</v>
      </c>
      <c r="OH19" s="115" t="str">
        <f t="shared" si="92"/>
        <v>A</v>
      </c>
      <c r="OI19" s="166"/>
      <c r="OJ19" s="90"/>
      <c r="OK19" s="138"/>
      <c r="OL19" s="114" t="str">
        <f>IFERROR((((COUNTIF('Elève (6ème1)'!OI19:OK19,"A"))*4)+((COUNTIF('Elève (6ème1)'!OI19:OK19,"B"))*3)+((COUNTIF('Elève (6ème1)'!OI19:OK19,"C"))*2)+((COUNTIF('Elève (6ème1)'!OI19:OK19,"D"))*1))/(COUNTA(OI19:OK19)),"")</f>
        <v/>
      </c>
      <c r="OM19" s="115" t="str">
        <f t="shared" si="93"/>
        <v/>
      </c>
      <c r="ON19" s="89"/>
      <c r="OO19" s="90"/>
      <c r="OP19" s="138"/>
      <c r="OQ19" s="114" t="str">
        <f>IFERROR((((COUNTIF('Elève (6ème1)'!ON19:OP19,"A"))*4)+((COUNTIF('Elève (6ème1)'!ON19:OP19,"B"))*3)+((COUNTIF('Elève (6ème1)'!ON19:OP19,"C"))*2)+((COUNTIF('Elève (6ème1)'!ON19:OP19,"D"))*1))/(COUNTA(ON19:OP19)),"")</f>
        <v/>
      </c>
      <c r="OR19" s="115" t="str">
        <f t="shared" si="94"/>
        <v/>
      </c>
      <c r="OS19" s="181">
        <f>IF(COUNT(OG19,OL19,OQ19)=0,"",SUM(OG19,OL19,OQ19)/COUNT(OG19,OL19,OQ19))</f>
        <v>4</v>
      </c>
      <c r="OT19" s="140" t="str">
        <f t="shared" si="95"/>
        <v>A</v>
      </c>
      <c r="OU19" s="164" t="s">
        <v>24</v>
      </c>
      <c r="OV19" s="165"/>
      <c r="OW19" s="163"/>
      <c r="OX19" s="114">
        <f>IFERROR((((COUNTIF('Elève (6ème1)'!OU19:OW19,"A"))*4)+((COUNTIF('Elève (6ème1)'!OU19:OW19,"B"))*3)+((COUNTIF('Elève (6ème1)'!OU19:OW19,"C"))*2)+((COUNTIF('Elève (6ème1)'!OU19:OW19,"D"))*1))/(COUNTA(OU19:OW19)),"")</f>
        <v>4</v>
      </c>
      <c r="OY19" s="115" t="str">
        <f t="shared" si="96"/>
        <v>A</v>
      </c>
      <c r="OZ19" s="166"/>
      <c r="PA19" s="90"/>
      <c r="PB19" s="138"/>
      <c r="PC19" s="114" t="str">
        <f>IFERROR((((COUNTIF('Elève (6ème1)'!OZ19:PB19,"A"))*4)+((COUNTIF('Elève (6ème1)'!OZ19:PB19,"B"))*3)+((COUNTIF('Elève (6ème1)'!OZ19:PB19,"C"))*2)+((COUNTIF('Elève (6ème1)'!OZ19:PB19,"D"))*1))/(COUNTA(OZ19:PB19)),"")</f>
        <v/>
      </c>
      <c r="PD19" s="115" t="str">
        <f t="shared" si="97"/>
        <v/>
      </c>
      <c r="PE19" s="89"/>
      <c r="PF19" s="90"/>
      <c r="PG19" s="138"/>
      <c r="PH19" s="114" t="str">
        <f>IFERROR((((COUNTIF('Elève (6ème1)'!PE19:PG19,"A"))*4)+((COUNTIF('Elève (6ème1)'!PE19:PG19,"B"))*3)+((COUNTIF('Elève (6ème1)'!PE19:PG19,"C"))*2)+((COUNTIF('Elève (6ème1)'!PE19:PG19,"D"))*1))/(COUNTA(PE19:PG19)),"")</f>
        <v/>
      </c>
      <c r="PI19" s="115" t="str">
        <f t="shared" si="98"/>
        <v/>
      </c>
      <c r="PJ19" s="181">
        <f>IF(COUNT(OX19,PC19,PH19)=0,"",SUM(OX19,PC19,PH19)/COUNT(OX19,PC19,PH19))</f>
        <v>4</v>
      </c>
      <c r="PK19" s="140" t="str">
        <f t="shared" si="99"/>
        <v>A</v>
      </c>
      <c r="PL19" s="164" t="s">
        <v>24</v>
      </c>
      <c r="PM19" s="165"/>
      <c r="PN19" s="163"/>
      <c r="PO19" s="114">
        <f>IFERROR((((COUNTIF('Elève (6ème1)'!PL19:PN19,"A"))*4)+((COUNTIF('Elève (6ème1)'!PL19:PN19,"B"))*3)+((COUNTIF('Elève (6ème1)'!PL19:PN19,"C"))*2)+((COUNTIF('Elève (6ème1)'!PL19:PN19,"D"))*1))/(COUNTA(PL19:PN19)),"")</f>
        <v>4</v>
      </c>
      <c r="PP19" s="115" t="str">
        <f t="shared" si="100"/>
        <v>A</v>
      </c>
      <c r="PQ19" s="166"/>
      <c r="PR19" s="90"/>
      <c r="PS19" s="138"/>
      <c r="PT19" s="114" t="str">
        <f>IFERROR((((COUNTIF('Elève (6ème1)'!PQ19:PS19,"A"))*4)+((COUNTIF('Elève (6ème1)'!PQ19:PS19,"B"))*3)+((COUNTIF('Elève (6ème1)'!PQ19:PS19,"C"))*2)+((COUNTIF('Elève (6ème1)'!PQ19:PS19,"D"))*1))/(COUNTA(PQ19:PS19)),"")</f>
        <v/>
      </c>
      <c r="PU19" s="115" t="str">
        <f t="shared" si="101"/>
        <v/>
      </c>
      <c r="PV19" s="89"/>
      <c r="PW19" s="90"/>
      <c r="PX19" s="138"/>
      <c r="PY19" s="114" t="str">
        <f>IFERROR((((COUNTIF('Elève (6ème1)'!PV19:PX19,"A"))*4)+((COUNTIF('Elève (6ème1)'!PV19:PX19,"B"))*3)+((COUNTIF('Elève (6ème1)'!PV19:PX19,"C"))*2)+((COUNTIF('Elève (6ème1)'!PV19:PX19,"D"))*1))/(COUNTA(PV19:PX19)),"")</f>
        <v/>
      </c>
      <c r="PZ19" s="115" t="str">
        <f t="shared" si="102"/>
        <v/>
      </c>
      <c r="QA19" s="181">
        <f>IF(COUNT(PO19,PT19,PY19)=0,"",SUM(PO19,PT19,PY19)/COUNT(PO19,PT19,PY19))</f>
        <v>4</v>
      </c>
      <c r="QB19" s="140" t="str">
        <f t="shared" si="103"/>
        <v>A</v>
      </c>
      <c r="QC19" s="164" t="s">
        <v>24</v>
      </c>
      <c r="QD19" s="165"/>
      <c r="QE19" s="163"/>
      <c r="QF19" s="114">
        <f>IFERROR((((COUNTIF('Elève (6ème1)'!QC19:QE19,"A"))*4)+((COUNTIF('Elève (6ème1)'!QC19:QE19,"B"))*3)+((COUNTIF('Elève (6ème1)'!QC19:QE19,"C"))*2)+((COUNTIF('Elève (6ème1)'!QC19:QE19,"D"))*1))/(COUNTA(QC19:QE19)),"")</f>
        <v>4</v>
      </c>
      <c r="QG19" s="115" t="str">
        <f t="shared" si="104"/>
        <v>A</v>
      </c>
      <c r="QH19" s="166"/>
      <c r="QI19" s="90"/>
      <c r="QJ19" s="138"/>
      <c r="QK19" s="114" t="str">
        <f>IFERROR((((COUNTIF('Elève (6ème1)'!QH19:QJ19,"A"))*4)+((COUNTIF('Elève (6ème1)'!QH19:QJ19,"B"))*3)+((COUNTIF('Elève (6ème1)'!QH19:QJ19,"C"))*2)+((COUNTIF('Elève (6ème1)'!QH19:QJ19,"D"))*1))/(COUNTA(QH19:QJ19)),"")</f>
        <v/>
      </c>
      <c r="QL19" s="115" t="str">
        <f t="shared" si="105"/>
        <v/>
      </c>
      <c r="QM19" s="89"/>
      <c r="QN19" s="90"/>
      <c r="QO19" s="138"/>
      <c r="QP19" s="114" t="str">
        <f>IFERROR((((COUNTIF('Elève (6ème1)'!QM19:QO19,"A"))*4)+((COUNTIF('Elève (6ème1)'!QM19:QO19,"B"))*3)+((COUNTIF('Elève (6ème1)'!QM19:QO19,"C"))*2)+((COUNTIF('Elève (6ème1)'!QM19:QO19,"D"))*1))/(COUNTA(QM19:QO19)),"")</f>
        <v/>
      </c>
      <c r="QQ19" s="115" t="str">
        <f t="shared" si="106"/>
        <v/>
      </c>
      <c r="QR19" s="181">
        <f>IF(COUNT(QF19,QK19,QP19)=0,"",SUM(QF19,QK19,QP19)/COUNT(QF19,QK19,QP19))</f>
        <v>4</v>
      </c>
      <c r="QS19" s="140" t="str">
        <f t="shared" si="107"/>
        <v>A</v>
      </c>
      <c r="QT19" s="164"/>
      <c r="QU19" s="165"/>
      <c r="QV19" s="163"/>
      <c r="QW19" s="114" t="str">
        <f>IFERROR((((COUNTIF('Elève (6ème1)'!QT19:QV19,"A"))*4)+((COUNTIF('Elève (6ème1)'!QT19:QV19,"B"))*3)+((COUNTIF('Elève (6ème1)'!QT19:QV19,"C"))*2)+((COUNTIF('Elève (6ème1)'!QT19:QV19,"D"))*1))/(COUNTA(QT19:QV19)),"")</f>
        <v/>
      </c>
      <c r="QX19" s="115" t="str">
        <f t="shared" si="108"/>
        <v/>
      </c>
      <c r="QY19" s="166"/>
      <c r="QZ19" s="90"/>
      <c r="RA19" s="138"/>
      <c r="RB19" s="114" t="str">
        <f>IFERROR((((COUNTIF('Elève (6ème1)'!QY19:RA19,"A"))*4)+((COUNTIF('Elève (6ème1)'!QY19:RA19,"B"))*3)+((COUNTIF('Elève (6ème1)'!QY19:RA19,"C"))*2)+((COUNTIF('Elève (6ème1)'!QY19:RA19,"D"))*1))/(COUNTA(QY19:RA19)),"")</f>
        <v/>
      </c>
      <c r="RC19" s="115" t="str">
        <f t="shared" si="109"/>
        <v/>
      </c>
      <c r="RD19" s="89"/>
      <c r="RE19" s="90"/>
      <c r="RF19" s="138"/>
      <c r="RG19" s="114" t="str">
        <f>IFERROR((((COUNTIF('Elève (6ème1)'!RD19:RF19,"A"))*4)+((COUNTIF('Elève (6ème1)'!RD19:RF19,"B"))*3)+((COUNTIF('Elève (6ème1)'!RD19:RF19,"C"))*2)+((COUNTIF('Elève (6ème1)'!RD19:RF19,"D"))*1))/(COUNTA(RD19:RF19)),"")</f>
        <v/>
      </c>
      <c r="RH19" s="115" t="str">
        <f t="shared" si="110"/>
        <v/>
      </c>
      <c r="RI19" s="181" t="str">
        <f>IF(COUNT(QW19,RB19,RG19)=0,"",SUM(QW19,RB19,RG19)/COUNT(QW19,RB19,RG19))</f>
        <v/>
      </c>
      <c r="RJ19" s="140" t="str">
        <f t="shared" si="111"/>
        <v/>
      </c>
      <c r="RK19" s="164"/>
      <c r="RL19" s="165"/>
      <c r="RM19" s="163"/>
      <c r="RN19" s="114" t="str">
        <f>IFERROR((((COUNTIF('Elève (6ème1)'!RK19:RM19,"A"))*4)+((COUNTIF('Elève (6ème1)'!RK19:RM19,"B"))*3)+((COUNTIF('Elève (6ème1)'!RK19:RM19,"C"))*2)+((COUNTIF('Elève (6ème1)'!RK19:RM19,"D"))*1))/(COUNTA(RK19:RM19)),"")</f>
        <v/>
      </c>
      <c r="RO19" s="115" t="str">
        <f t="shared" si="112"/>
        <v/>
      </c>
      <c r="RP19" s="166"/>
      <c r="RQ19" s="90"/>
      <c r="RR19" s="138"/>
      <c r="RS19" s="114" t="str">
        <f>IFERROR((((COUNTIF('Elève (6ème1)'!RP19:RR19,"A"))*4)+((COUNTIF('Elève (6ème1)'!RP19:RR19,"B"))*3)+((COUNTIF('Elève (6ème1)'!RP19:RR19,"C"))*2)+((COUNTIF('Elève (6ème1)'!RP19:RR19,"D"))*1))/(COUNTA(RP19:RR19)),"")</f>
        <v/>
      </c>
      <c r="RT19" s="115" t="str">
        <f t="shared" si="113"/>
        <v/>
      </c>
      <c r="RU19" s="89"/>
      <c r="RV19" s="90"/>
      <c r="RW19" s="138"/>
      <c r="RX19" s="114" t="str">
        <f>IFERROR((((COUNTIF('Elève (6ème1)'!RU19:RW19,"A"))*4)+((COUNTIF('Elève (6ème1)'!RU19:RW19,"B"))*3)+((COUNTIF('Elève (6ème1)'!RU19:RW19,"C"))*2)+((COUNTIF('Elève (6ème1)'!RU19:RW19,"D"))*1))/(COUNTA(RU19:RW19)),"")</f>
        <v/>
      </c>
      <c r="RY19" s="115" t="str">
        <f t="shared" si="114"/>
        <v/>
      </c>
      <c r="RZ19" s="181" t="str">
        <f>IF(COUNT(RN19,RS19,RX19)=0,"",SUM(RN19,RS19,RX19)/COUNT(RN19,RS19,RX19))</f>
        <v/>
      </c>
      <c r="SA19" s="140" t="str">
        <f t="shared" si="115"/>
        <v/>
      </c>
      <c r="SB19" s="164"/>
      <c r="SC19" s="165"/>
      <c r="SD19" s="163"/>
      <c r="SE19" s="114" t="str">
        <f>IFERROR((((COUNTIF('Elève (6ème1)'!SB19:SD19,"A"))*4)+((COUNTIF('Elève (6ème1)'!SB19:SD19,"B"))*3)+((COUNTIF('Elève (6ème1)'!SB19:SD19,"C"))*2)+((COUNTIF('Elève (6ème1)'!SB19:SD19,"D"))*1))/(COUNTA(SB19:SD19)),"")</f>
        <v/>
      </c>
      <c r="SF19" s="115" t="str">
        <f t="shared" si="116"/>
        <v/>
      </c>
      <c r="SG19" s="166"/>
      <c r="SH19" s="90"/>
      <c r="SI19" s="138"/>
      <c r="SJ19" s="114" t="str">
        <f>IFERROR((((COUNTIF('Elève (6ème1)'!SG19:SI19,"A"))*4)+((COUNTIF('Elève (6ème1)'!SG19:SI19,"B"))*3)+((COUNTIF('Elève (6ème1)'!SG19:SI19,"C"))*2)+((COUNTIF('Elève (6ème1)'!SG19:SI19,"D"))*1))/(COUNTA(SG19:SI19)),"")</f>
        <v/>
      </c>
      <c r="SK19" s="115" t="str">
        <f t="shared" si="117"/>
        <v/>
      </c>
      <c r="SL19" s="89"/>
      <c r="SM19" s="90"/>
      <c r="SN19" s="138"/>
      <c r="SO19" s="114" t="str">
        <f>IFERROR((((COUNTIF('Elève (6ème1)'!SL19:SN19,"A"))*4)+((COUNTIF('Elève (6ème1)'!SL19:SN19,"B"))*3)+((COUNTIF('Elève (6ème1)'!SL19:SN19,"C"))*2)+((COUNTIF('Elève (6ème1)'!SL19:SN19,"D"))*1))/(COUNTA(SL19:SN19)),"")</f>
        <v/>
      </c>
      <c r="SP19" s="115" t="str">
        <f t="shared" si="118"/>
        <v/>
      </c>
      <c r="SQ19" s="181" t="str">
        <f>IF(COUNT(SE19,SJ19,SO19)=0,"",SUM(SE19,SJ19,SO19)/COUNT(SE19,SJ19,SO19))</f>
        <v/>
      </c>
      <c r="SR19" s="140" t="str">
        <f t="shared" si="119"/>
        <v/>
      </c>
    </row>
    <row r="20" spans="1:512" s="72" customFormat="1" ht="17.25" thickBot="1" x14ac:dyDescent="0.3">
      <c r="A20" s="238" t="s">
        <v>23</v>
      </c>
      <c r="B20" s="239"/>
      <c r="C20" s="167">
        <f ca="1">IF(COUNTA(C5:C19)=0,"",5*SUM(IFERROR((((COUNTIF(C5:C6,"A"))*4)+((COUNTIF(C5:C6,"B"))*3)+((COUNTIF(C5:C6,"C"))*2)+((COUNTIF(C5:C6,"D"))*1))*CELL("contenu",$B$4),0),IFERROR((((COUNTIF(C8:C11,"A"))*4)+((COUNTIF(C8:C11,"B"))*3)+((COUNTIF(C8:C11,"C"))*2)+((COUNTIF(C8:C11,"D"))*1))*CELL("contenu",$B$7),0),IFERROR((((COUNTIF(C13:C13,"A"))*4)+((COUNTIF(C13:C13,"B"))*3)+((COUNTIF(C13:C13,"C"))*2)+((COUNTIF(C13:C13,"D"))*1))*CELL("contenu",$B$12),0),IFERROR((((COUNTIF(C15:C17,"A"))*4)+((COUNTIF(C15:C17,"B"))*3)+((COUNTIF(C15:C17,"C"))*2)+((COUNTIF(C15:C17,"D"))*1))*CELL("contenu",$B$14),0),IFERROR((((COUNTIF(C19:C19,"A"))*4)+((COUNTIF(C19:C19,"B"))*3)+((COUNTIF(C19:C19,"C"))*2)+((COUNTIF(C19:C19,"D"))*1))*CELL("contenu",$B$18),0))/IF(SUM(COUNTA(C5:C6)*CELL("contenu",$B$4),COUNTA(C8:C11)*CELL("contenu",$B$7),COUNTA(C13:C13)*CELL("contenu",$B$12),COUNTA(C15:C17)*CELL("contenu",$B$14),COUNTA(C19:C19)*CELL("contenu",$B$18))=0,1,SUM(COUNTA(C5:C6)*CELL("contenu",$B$4),COUNTA(C8:C11)*CELL("contenu",$B$7),COUNTA(C13:C13)*CELL("contenu",$B$12),COUNTA(C15:C17)*CELL("contenu",$B$14),COUNTA(C19:C19)*CELL("contenu",$B$18))))</f>
        <v>16.666666666666668</v>
      </c>
      <c r="D20" s="168">
        <f ca="1">IF(COUNTA(D5:D19)=0,"",5*SUM(IFERROR((((COUNTIF(D5:D6,"A"))*4)+((COUNTIF(D5:D6,"B"))*3)+((COUNTIF(D5:D6,"C"))*2)+((COUNTIF(D5:D6,"D"))*1))*CELL("contenu",$B$4),0),IFERROR((((COUNTIF(D8:D11,"A"))*4)+((COUNTIF(D8:D11,"B"))*3)+((COUNTIF(D8:D11,"C"))*2)+((COUNTIF(D8:D11,"D"))*1))*CELL("contenu",$B$7),0),IFERROR((((COUNTIF(D13:D13,"A"))*4)+((COUNTIF(D13:D13,"B"))*3)+((COUNTIF(D13:D13,"C"))*2)+((COUNTIF(D13:D13,"D"))*1))*CELL("contenu",$B$12),0),IFERROR((((COUNTIF(D15:D17,"A"))*4)+((COUNTIF(D15:D17,"B"))*3)+((COUNTIF(D15:D17,"C"))*2)+((COUNTIF(D15:D17,"D"))*1))*CELL("contenu",$B$14),0),IFERROR((((COUNTIF(D19:D19,"A"))*4)+((COUNTIF(D19:D19,"B"))*3)+((COUNTIF(D19:D19,"C"))*2)+((COUNTIF(D19:D19,"D"))*1))*CELL("contenu",$B$18),0))/IF(SUM(COUNTA(D5:D6)*CELL("contenu",$B$4),COUNTA(D8:D11)*CELL("contenu",$B$7),COUNTA(D13:D13)*CELL("contenu",$B$12),COUNTA(D15:D17)*CELL("contenu",$B$14),COUNTA(D19:D19)*CELL("contenu",$B$18))=0,1,SUM(COUNTA(D5:D6)*CELL("contenu",$B$4),COUNTA(D8:D11)*CELL("contenu",$B$7),COUNTA(D13:D13)*CELL("contenu",$B$12),COUNTA(D15:D17)*CELL("contenu",$B$14),COUNTA(D19:D19)*CELL("contenu",$B$18))))</f>
        <v>18.333333333333332</v>
      </c>
      <c r="E20" s="169" t="str">
        <f ca="1">IF(COUNTA(E5:E19)=0,"",5*SUM(IFERROR((((COUNTIF(E5:E6,"A"))*4)+((COUNTIF(E5:E6,"B"))*3)+((COUNTIF(E5:E6,"C"))*2)+((COUNTIF(E5:E6,"D"))*1))*CELL("contenu",$B$4),0),IFERROR((((COUNTIF(E8:E11,"A"))*4)+((COUNTIF(E8:E11,"B"))*3)+((COUNTIF(E8:E11,"C"))*2)+((COUNTIF(E8:E11,"D"))*1))*CELL("contenu",$B$7),0),IFERROR((((COUNTIF(E13:E13,"A"))*4)+((COUNTIF(E13:E13,"B"))*3)+((COUNTIF(E13:E13,"C"))*2)+((COUNTIF(E13:E13,"D"))*1))*CELL("contenu",$B$12),0),IFERROR((((COUNTIF(E15:E17,"A"))*4)+((COUNTIF(E15:E17,"B"))*3)+((COUNTIF(E15:E17,"C"))*2)+((COUNTIF(E15:E17,"D"))*1))*CELL("contenu",$B$14),0),IFERROR((((COUNTIF(E19:E19,"A"))*4)+((COUNTIF(E19:E19,"B"))*3)+((COUNTIF(E19:E19,"C"))*2)+((COUNTIF(E19:E19,"D"))*1))*CELL("contenu",$B$18),0))/IF(SUM(COUNTA(E5:E6)*CELL("contenu",$B$4),COUNTA(E8:E11)*CELL("contenu",$B$7),COUNTA(E13:E13)*CELL("contenu",$B$12),COUNTA(E15:E17)*CELL("contenu",$B$14),COUNTA(E19:E19)*CELL("contenu",$B$18))=0,1,SUM(COUNTA(E5:E6)*CELL("contenu",$B$4),COUNTA(E8:E11)*CELL("contenu",$B$7),COUNTA(E13:E13)*CELL("contenu",$B$12),COUNTA(E15:E17)*CELL("contenu",$B$14),COUNTA(E19:E19)*CELL("contenu",$B$18))))</f>
        <v/>
      </c>
      <c r="F20" s="116"/>
      <c r="G20" s="192">
        <f ca="1">IF(COUNTA(C20:E20)-COUNTBLANK(C20:E20)=0,"",SUM(C20:E20)/(COUNTA(C20:E20)-COUNTBLANK(C20:E20)))</f>
        <v>17.5</v>
      </c>
      <c r="H20" s="182" t="str">
        <f ca="1">IF(COUNTA(H5:H19)=0,"",5*SUM(IFERROR((((COUNTIF(H5:H6,"A"))*4)+((COUNTIF(H5:H6,"B"))*3)+((COUNTIF(H5:H6,"C"))*2)+((COUNTIF(H5:H6,"D"))*1))*CELL("contenu",$B$4),0),IFERROR((((COUNTIF(H8:H11,"A"))*4)+((COUNTIF(H8:H11,"B"))*3)+((COUNTIF(H8:H11,"C"))*2)+((COUNTIF(H8:H11,"D"))*1))*CELL("contenu",$B$7),0),IFERROR((((COUNTIF(H13:H13,"A"))*4)+((COUNTIF(H13:H13,"B"))*3)+((COUNTIF(H13:H13,"C"))*2)+((COUNTIF(H13:H13,"D"))*1))*CELL("contenu",$B$12),0),IFERROR((((COUNTIF(H15:H17,"A"))*4)+((COUNTIF(H15:H17,"B"))*3)+((COUNTIF(H15:H17,"C"))*2)+((COUNTIF(H15:H17,"D"))*1))*CELL("contenu",$B$14),0),IFERROR((((COUNTIF(H19:H19,"A"))*4)+((COUNTIF(H19:H19,"B"))*3)+((COUNTIF(H19:H19,"C"))*2)+((COUNTIF(H19:H19,"D"))*1))*CELL("contenu",$B$18),0))/IF(SUM(COUNTA(H5:H6)*CELL("contenu",$B$4),COUNTA(H8:H11)*CELL("contenu",$B$7),COUNTA(H13:H13)*CELL("contenu",$B$12),COUNTA(H15:H17)*CELL("contenu",$B$14),COUNTA(H19:H19)*CELL("contenu",$B$18))=0,1,SUM(COUNTA(H5:H6)*CELL("contenu",$B$4),COUNTA(H8:H11)*CELL("contenu",$B$7),COUNTA(H13:H13)*CELL("contenu",$B$12),COUNTA(H15:H17)*CELL("contenu",$B$14),COUNTA(H19:H19)*CELL("contenu",$B$18))))</f>
        <v/>
      </c>
      <c r="I20" s="183" t="str">
        <f ca="1">IF(COUNTA(I5:I19)=0,"",5*SUM(IFERROR((((COUNTIF(I5:I6,"A"))*4)+((COUNTIF(I5:I6,"B"))*3)+((COUNTIF(I5:I6,"C"))*2)+((COUNTIF(I5:I6,"D"))*1))*CELL("contenu",$B$4),0),IFERROR((((COUNTIF(I8:I11,"A"))*4)+((COUNTIF(I8:I11,"B"))*3)+((COUNTIF(I8:I11,"C"))*2)+((COUNTIF(I8:I11,"D"))*1))*CELL("contenu",$B$7),0),IFERROR((((COUNTIF(I13:I13,"A"))*4)+((COUNTIF(I13:I13,"B"))*3)+((COUNTIF(I13:I13,"C"))*2)+((COUNTIF(I13:I13,"D"))*1))*CELL("contenu",$B$12),0),IFERROR((((COUNTIF(I15:I17,"A"))*4)+((COUNTIF(I15:I17,"B"))*3)+((COUNTIF(I15:I17,"C"))*2)+((COUNTIF(I15:I17,"D"))*1))*CELL("contenu",$B$14),0),IFERROR((((COUNTIF(I19:I19,"A"))*4)+((COUNTIF(I19:I19,"B"))*3)+((COUNTIF(I19:I19,"C"))*2)+((COUNTIF(I19:I19,"D"))*1))*CELL("contenu",$B$18),0))/IF(SUM(COUNTA(I5:I6)*CELL("contenu",$B$4),COUNTA(I8:I11)*CELL("contenu",$B$7),COUNTA(I13:I13)*CELL("contenu",$B$12),COUNTA(I15:I17)*CELL("contenu",$B$14),COUNTA(I19:I19)*CELL("contenu",$B$18))=0,1,SUM(COUNTA(I5:I6)*CELL("contenu",$B$4),COUNTA(I8:I11)*CELL("contenu",$B$7),COUNTA(I13:I13)*CELL("contenu",$B$12),COUNTA(I15:I17)*CELL("contenu",$B$14),COUNTA(I19:I19)*CELL("contenu",$B$18))))</f>
        <v/>
      </c>
      <c r="J20" s="184" t="str">
        <f ca="1">IF(COUNTA(J5:J19)=0,"",5*SUM(IFERROR((((COUNTIF(J5:J6,"A"))*4)+((COUNTIF(J5:J6,"B"))*3)+((COUNTIF(J5:J6,"C"))*2)+((COUNTIF(J5:J6,"D"))*1))*CELL("contenu",$B$4),0),IFERROR((((COUNTIF(J8:J11,"A"))*4)+((COUNTIF(J8:J11,"B"))*3)+((COUNTIF(J8:J11,"C"))*2)+((COUNTIF(J8:J11,"D"))*1))*CELL("contenu",$B$7),0),IFERROR((((COUNTIF(J13:J13,"A"))*4)+((COUNTIF(J13:J13,"B"))*3)+((COUNTIF(J13:J13,"C"))*2)+((COUNTIF(J13:J13,"D"))*1))*CELL("contenu",$B$12),0),IFERROR((((COUNTIF(J15:J17,"A"))*4)+((COUNTIF(J15:J17,"B"))*3)+((COUNTIF(J15:J17,"C"))*2)+((COUNTIF(J15:J17,"D"))*1))*CELL("contenu",$B$14),0),IFERROR((((COUNTIF(J19:J19,"A"))*4)+((COUNTIF(J19:J19,"B"))*3)+((COUNTIF(J19:J19,"C"))*2)+((COUNTIF(J19:J19,"D"))*1))*CELL("contenu",$B$18),0))/IF(SUM(COUNTA(J5:J6)*CELL("contenu",$B$4),COUNTA(J8:J11)*CELL("contenu",$B$7),COUNTA(J13:J13)*CELL("contenu",$B$12),COUNTA(J15:J17)*CELL("contenu",$B$14),COUNTA(J19:J19)*CELL("contenu",$B$18))=0,1,SUM(COUNTA(J5:J6)*CELL("contenu",$B$4),COUNTA(J8:J11)*CELL("contenu",$B$7),COUNTA(J13:J13)*CELL("contenu",$B$12),COUNTA(J15:J17)*CELL("contenu",$B$14),COUNTA(J19:J19)*CELL("contenu",$B$18))))</f>
        <v/>
      </c>
      <c r="K20" s="176"/>
      <c r="L20" s="175" t="str">
        <f ca="1">IF(COUNTA(H20:J20)-COUNTBLANK(H20:J20)=0,"",SUM(H20:J20)/(COUNTA(H20:J20)-COUNTBLANK(H20:J20)))</f>
        <v/>
      </c>
      <c r="M20" s="182" t="str">
        <f ca="1">IF(COUNTA(M5:M19)=0,"",5*SUM(IFERROR((((COUNTIF(M5:M6,"A"))*4)+((COUNTIF(M5:M6,"B"))*3)+((COUNTIF(M5:M6,"C"))*2)+((COUNTIF(M5:M6,"D"))*1))*CELL("contenu",$B$4),0),IFERROR((((COUNTIF(M8:M11,"A"))*4)+((COUNTIF(M8:M11,"B"))*3)+((COUNTIF(M8:M11,"C"))*2)+((COUNTIF(M8:M11,"D"))*1))*CELL("contenu",$B$7),0),IFERROR((((COUNTIF(M13:M13,"A"))*4)+((COUNTIF(M13:M13,"B"))*3)+((COUNTIF(M13:M13,"C"))*2)+((COUNTIF(M13:M13,"D"))*1))*CELL("contenu",$B$12),0),IFERROR((((COUNTIF(M15:M17,"A"))*4)+((COUNTIF(M15:M17,"B"))*3)+((COUNTIF(M15:M17,"C"))*2)+((COUNTIF(M15:M17,"D"))*1))*CELL("contenu",$B$14),0),IFERROR((((COUNTIF(M19:M19,"A"))*4)+((COUNTIF(M19:M19,"B"))*3)+((COUNTIF(M19:M19,"C"))*2)+((COUNTIF(M19:M19,"D"))*1))*CELL("contenu",$B$18),0))/IF(SUM(COUNTA(M5:M6)*CELL("contenu",$B$4),COUNTA(M8:M11)*CELL("contenu",$B$7),COUNTA(M13:M13)*CELL("contenu",$B$12),COUNTA(M15:M17)*CELL("contenu",$B$14),COUNTA(M19:M19)*CELL("contenu",$B$18))=0,1,SUM(COUNTA(M5:M6)*CELL("contenu",$B$4),COUNTA(M8:M11)*CELL("contenu",$B$7),COUNTA(M13:M13)*CELL("contenu",$B$12),COUNTA(M15:M17)*CELL("contenu",$B$14),COUNTA(M19:M19)*CELL("contenu",$B$18))))</f>
        <v/>
      </c>
      <c r="N20" s="183" t="str">
        <f ca="1">IF(COUNTA(N5:N19)=0,"",5*SUM(IFERROR((((COUNTIF(N5:N6,"A"))*4)+((COUNTIF(N5:N6,"B"))*3)+((COUNTIF(N5:N6,"C"))*2)+((COUNTIF(N5:N6,"D"))*1))*CELL("contenu",$B$4),0),IFERROR((((COUNTIF(N8:N11,"A"))*4)+((COUNTIF(N8:N11,"B"))*3)+((COUNTIF(N8:N11,"C"))*2)+((COUNTIF(N8:N11,"D"))*1))*CELL("contenu",$B$7),0),IFERROR((((COUNTIF(N13:N13,"A"))*4)+((COUNTIF(N13:N13,"B"))*3)+((COUNTIF(N13:N13,"C"))*2)+((COUNTIF(N13:N13,"D"))*1))*CELL("contenu",$B$12),0),IFERROR((((COUNTIF(N15:N17,"A"))*4)+((COUNTIF(N15:N17,"B"))*3)+((COUNTIF(N15:N17,"C"))*2)+((COUNTIF(N15:N17,"D"))*1))*CELL("contenu",$B$14),0),IFERROR((((COUNTIF(N19:N19,"A"))*4)+((COUNTIF(N19:N19,"B"))*3)+((COUNTIF(N19:N19,"C"))*2)+((COUNTIF(N19:N19,"D"))*1))*CELL("contenu",$B$18),0))/IF(SUM(COUNTA(N5:N6)*CELL("contenu",$B$4),COUNTA(N8:N11)*CELL("contenu",$B$7),COUNTA(N13:N13)*CELL("contenu",$B$12),COUNTA(N15:N17)*CELL("contenu",$B$14),COUNTA(N19:N19)*CELL("contenu",$B$18))=0,1,SUM(COUNTA(N5:N6)*CELL("contenu",$B$4),COUNTA(N8:N11)*CELL("contenu",$B$7),COUNTA(N13:N13)*CELL("contenu",$B$12),COUNTA(N15:N17)*CELL("contenu",$B$14),COUNTA(N19:N19)*CELL("contenu",$B$18))))</f>
        <v/>
      </c>
      <c r="O20" s="184" t="str">
        <f ca="1">IF(COUNTA(O5:O19)=0,"",5*SUM(IFERROR((((COUNTIF(O5:O6,"A"))*4)+((COUNTIF(O5:O6,"B"))*3)+((COUNTIF(O5:O6,"C"))*2)+((COUNTIF(O5:O6,"D"))*1))*CELL("contenu",$B$4),0),IFERROR((((COUNTIF(O8:O11,"A"))*4)+((COUNTIF(O8:O11,"B"))*3)+((COUNTIF(O8:O11,"C"))*2)+((COUNTIF(O8:O11,"D"))*1))*CELL("contenu",$B$7),0),IFERROR((((COUNTIF(O13:O13,"A"))*4)+((COUNTIF(O13:O13,"B"))*3)+((COUNTIF(O13:O13,"C"))*2)+((COUNTIF(O13:O13,"D"))*1))*CELL("contenu",$B$12),0),IFERROR((((COUNTIF(O15:O17,"A"))*4)+((COUNTIF(O15:O17,"B"))*3)+((COUNTIF(O15:O17,"C"))*2)+((COUNTIF(O15:O17,"D"))*1))*CELL("contenu",$B$14),0),IFERROR((((COUNTIF(O19:O19,"A"))*4)+((COUNTIF(O19:O19,"B"))*3)+((COUNTIF(O19:O19,"C"))*2)+((COUNTIF(O19:O19,"D"))*1))*CELL("contenu",$B$18),0))/IF(SUM(COUNTA(O5:O6)*CELL("contenu",$B$4),COUNTA(O8:O11)*CELL("contenu",$B$7),COUNTA(O13:O13)*CELL("contenu",$B$12),COUNTA(O15:O17)*CELL("contenu",$B$14),COUNTA(O19:O19)*CELL("contenu",$B$18))=0,1,SUM(COUNTA(O5:O6)*CELL("contenu",$B$4),COUNTA(O8:O11)*CELL("contenu",$B$7),COUNTA(O13:O13)*CELL("contenu",$B$12),COUNTA(O15:O17)*CELL("contenu",$B$14),COUNTA(O19:O19)*CELL("contenu",$B$18))))</f>
        <v/>
      </c>
      <c r="P20" s="176"/>
      <c r="Q20" s="174" t="str">
        <f ca="1">IF(COUNTA(M20:O20)-COUNTBLANK(M20:O20)=0,"",SUM(M20:O20)/(COUNTA(M20:O20)-COUNTBLANK(M20:O20)))</f>
        <v/>
      </c>
      <c r="R20" s="103"/>
      <c r="S20" s="141"/>
      <c r="T20" s="167">
        <f ca="1">IF(COUNTA(T5:T19)=0,"",5*SUM(IFERROR((((COUNTIF(T5:T6,"A"))*4)+((COUNTIF(T5:T6,"B"))*3)+((COUNTIF(T5:T6,"C"))*2)+((COUNTIF(T5:T6,"D"))*1))*CELL("contenu",$B$4),0),IFERROR((((COUNTIF(T8:T11,"A"))*4)+((COUNTIF(T8:T11,"B"))*3)+((COUNTIF(T8:T11,"C"))*2)+((COUNTIF(T8:T11,"D"))*1))*CELL("contenu",$B$7),0),IFERROR((((COUNTIF(T13:T13,"A"))*4)+((COUNTIF(T13:T13,"B"))*3)+((COUNTIF(T13:T13,"C"))*2)+((COUNTIF(T13:T13,"D"))*1))*CELL("contenu",$B$12),0),IFERROR((((COUNTIF(T15:T17,"A"))*4)+((COUNTIF(T15:T17,"B"))*3)+((COUNTIF(T15:T17,"C"))*2)+((COUNTIF(T15:T17,"D"))*1))*CELL("contenu",$B$14),0),IFERROR((((COUNTIF(T19:T19,"A"))*4)+((COUNTIF(T19:T19,"B"))*3)+((COUNTIF(T19:T19,"C"))*2)+((COUNTIF(T19:T19,"D"))*1))*CELL("contenu",$B$18),0))/IF(SUM(COUNTA(T5:T6)*CELL("contenu",$B$4),COUNTA(T8:T11)*CELL("contenu",$B$7),COUNTA(T13:T13)*CELL("contenu",$B$12),COUNTA(T15:T17)*CELL("contenu",$B$14),COUNTA(T19:T19)*CELL("contenu",$B$18))=0,1,SUM(COUNTA(T5:T6)*CELL("contenu",$B$4),COUNTA(T8:T11)*CELL("contenu",$B$7),COUNTA(T13:T13)*CELL("contenu",$B$12),COUNTA(T15:T17)*CELL("contenu",$B$14),COUNTA(T19:T19)*CELL("contenu",$B$18))))</f>
        <v>20</v>
      </c>
      <c r="U20" s="168">
        <f ca="1">IF(COUNTA(U5:U19)=0,"",5*SUM(IFERROR((((COUNTIF(U5:U6,"A"))*4)+((COUNTIF(U5:U6,"B"))*3)+((COUNTIF(U5:U6,"C"))*2)+((COUNTIF(U5:U6,"D"))*1))*CELL("contenu",$B$4),0),IFERROR((((COUNTIF(U8:U11,"A"))*4)+((COUNTIF(U8:U11,"B"))*3)+((COUNTIF(U8:U11,"C"))*2)+((COUNTIF(U8:U11,"D"))*1))*CELL("contenu",$B$7),0),IFERROR((((COUNTIF(U13:U13,"A"))*4)+((COUNTIF(U13:U13,"B"))*3)+((COUNTIF(U13:U13,"C"))*2)+((COUNTIF(U13:U13,"D"))*1))*CELL("contenu",$B$12),0),IFERROR((((COUNTIF(U15:U17,"A"))*4)+((COUNTIF(U15:U17,"B"))*3)+((COUNTIF(U15:U17,"C"))*2)+((COUNTIF(U15:U17,"D"))*1))*CELL("contenu",$B$14),0),IFERROR((((COUNTIF(U19:U19,"A"))*4)+((COUNTIF(U19:U19,"B"))*3)+((COUNTIF(U19:U19,"C"))*2)+((COUNTIF(U19:U19,"D"))*1))*CELL("contenu",$B$18),0))/IF(SUM(COUNTA(U5:U6)*CELL("contenu",$B$4),COUNTA(U8:U11)*CELL("contenu",$B$7),COUNTA(U13:U13)*CELL("contenu",$B$12),COUNTA(U15:U17)*CELL("contenu",$B$14),COUNTA(U19:U19)*CELL("contenu",$B$18))=0,1,SUM(COUNTA(U5:U6)*CELL("contenu",$B$4),COUNTA(U8:U11)*CELL("contenu",$B$7),COUNTA(U13:U13)*CELL("contenu",$B$12),COUNTA(U15:U17)*CELL("contenu",$B$14),COUNTA(U19:U19)*CELL("contenu",$B$18))))</f>
        <v>15</v>
      </c>
      <c r="V20" s="169" t="str">
        <f ca="1">IF(COUNTA(V5:V19)=0,"",5*SUM(IFERROR((((COUNTIF(V5:V6,"A"))*4)+((COUNTIF(V5:V6,"B"))*3)+((COUNTIF(V5:V6,"C"))*2)+((COUNTIF(V5:V6,"D"))*1))*CELL("contenu",$B$4),0),IFERROR((((COUNTIF(V8:V11,"A"))*4)+((COUNTIF(V8:V11,"B"))*3)+((COUNTIF(V8:V11,"C"))*2)+((COUNTIF(V8:V11,"D"))*1))*CELL("contenu",$B$7),0),IFERROR((((COUNTIF(V13:V13,"A"))*4)+((COUNTIF(V13:V13,"B"))*3)+((COUNTIF(V13:V13,"C"))*2)+((COUNTIF(V13:V13,"D"))*1))*CELL("contenu",$B$12),0),IFERROR((((COUNTIF(V15:V17,"A"))*4)+((COUNTIF(V15:V17,"B"))*3)+((COUNTIF(V15:V17,"C"))*2)+((COUNTIF(V15:V17,"D"))*1))*CELL("contenu",$B$14),0),IFERROR((((COUNTIF(V19:V19,"A"))*4)+((COUNTIF(V19:V19,"B"))*3)+((COUNTIF(V19:V19,"C"))*2)+((COUNTIF(V19:V19,"D"))*1))*CELL("contenu",$B$18),0))/IF(SUM(COUNTA(V5:V6)*CELL("contenu",$B$4),COUNTA(V8:V11)*CELL("contenu",$B$7),COUNTA(V13:V13)*CELL("contenu",$B$12),COUNTA(V15:V17)*CELL("contenu",$B$14),COUNTA(V19:V19)*CELL("contenu",$B$18))=0,1,SUM(COUNTA(V5:V6)*CELL("contenu",$B$4),COUNTA(V8:V11)*CELL("contenu",$B$7),COUNTA(V13:V13)*CELL("contenu",$B$12),COUNTA(V15:V17)*CELL("contenu",$B$14),COUNTA(V19:V19)*CELL("contenu",$B$18))))</f>
        <v/>
      </c>
      <c r="W20" s="116"/>
      <c r="X20" s="192">
        <f ca="1">IF(COUNTA(T20:V20)-COUNTBLANK(T20:V20)=0,"",SUM(T20:V20)/(COUNTA(T20:V20)-COUNTBLANK(T20:V20)))</f>
        <v>17.5</v>
      </c>
      <c r="Y20" s="182" t="str">
        <f ca="1">IF(COUNTA(Y5:Y19)=0,"",5*SUM(IFERROR((((COUNTIF(Y5:Y6,"A"))*4)+((COUNTIF(Y5:Y6,"B"))*3)+((COUNTIF(Y5:Y6,"C"))*2)+((COUNTIF(Y5:Y6,"D"))*1))*CELL("contenu",$B$4),0),IFERROR((((COUNTIF(Y8:Y11,"A"))*4)+((COUNTIF(Y8:Y11,"B"))*3)+((COUNTIF(Y8:Y11,"C"))*2)+((COUNTIF(Y8:Y11,"D"))*1))*CELL("contenu",$B$7),0),IFERROR((((COUNTIF(Y13:Y13,"A"))*4)+((COUNTIF(Y13:Y13,"B"))*3)+((COUNTIF(Y13:Y13,"C"))*2)+((COUNTIF(Y13:Y13,"D"))*1))*CELL("contenu",$B$12),0),IFERROR((((COUNTIF(Y15:Y17,"A"))*4)+((COUNTIF(Y15:Y17,"B"))*3)+((COUNTIF(Y15:Y17,"C"))*2)+((COUNTIF(Y15:Y17,"D"))*1))*CELL("contenu",$B$14),0),IFERROR((((COUNTIF(Y19:Y19,"A"))*4)+((COUNTIF(Y19:Y19,"B"))*3)+((COUNTIF(Y19:Y19,"C"))*2)+((COUNTIF(Y19:Y19,"D"))*1))*CELL("contenu",$B$18),0))/IF(SUM(COUNTA(Y5:Y6)*CELL("contenu",$B$4),COUNTA(Y8:Y11)*CELL("contenu",$B$7),COUNTA(Y13:Y13)*CELL("contenu",$B$12),COUNTA(Y15:Y17)*CELL("contenu",$B$14),COUNTA(Y19:Y19)*CELL("contenu",$B$18))=0,1,SUM(COUNTA(Y5:Y6)*CELL("contenu",$B$4),COUNTA(Y8:Y11)*CELL("contenu",$B$7),COUNTA(Y13:Y13)*CELL("contenu",$B$12),COUNTA(Y15:Y17)*CELL("contenu",$B$14),COUNTA(Y19:Y19)*CELL("contenu",$B$18))))</f>
        <v/>
      </c>
      <c r="Z20" s="183" t="str">
        <f ca="1">IF(COUNTA(Z5:Z19)=0,"",5*SUM(IFERROR((((COUNTIF(Z5:Z6,"A"))*4)+((COUNTIF(Z5:Z6,"B"))*3)+((COUNTIF(Z5:Z6,"C"))*2)+((COUNTIF(Z5:Z6,"D"))*1))*CELL("contenu",$B$4),0),IFERROR((((COUNTIF(Z8:Z11,"A"))*4)+((COUNTIF(Z8:Z11,"B"))*3)+((COUNTIF(Z8:Z11,"C"))*2)+((COUNTIF(Z8:Z11,"D"))*1))*CELL("contenu",$B$7),0),IFERROR((((COUNTIF(Z13:Z13,"A"))*4)+((COUNTIF(Z13:Z13,"B"))*3)+((COUNTIF(Z13:Z13,"C"))*2)+((COUNTIF(Z13:Z13,"D"))*1))*CELL("contenu",$B$12),0),IFERROR((((COUNTIF(Z15:Z17,"A"))*4)+((COUNTIF(Z15:Z17,"B"))*3)+((COUNTIF(Z15:Z17,"C"))*2)+((COUNTIF(Z15:Z17,"D"))*1))*CELL("contenu",$B$14),0),IFERROR((((COUNTIF(Z19:Z19,"A"))*4)+((COUNTIF(Z19:Z19,"B"))*3)+((COUNTIF(Z19:Z19,"C"))*2)+((COUNTIF(Z19:Z19,"D"))*1))*CELL("contenu",$B$18),0))/IF(SUM(COUNTA(Z5:Z6)*CELL("contenu",$B$4),COUNTA(Z8:Z11)*CELL("contenu",$B$7),COUNTA(Z13:Z13)*CELL("contenu",$B$12),COUNTA(Z15:Z17)*CELL("contenu",$B$14),COUNTA(Z19:Z19)*CELL("contenu",$B$18))=0,1,SUM(COUNTA(Z5:Z6)*CELL("contenu",$B$4),COUNTA(Z8:Z11)*CELL("contenu",$B$7),COUNTA(Z13:Z13)*CELL("contenu",$B$12),COUNTA(Z15:Z17)*CELL("contenu",$B$14),COUNTA(Z19:Z19)*CELL("contenu",$B$18))))</f>
        <v/>
      </c>
      <c r="AA20" s="184" t="str">
        <f ca="1">IF(COUNTA(AA5:AA19)=0,"",5*SUM(IFERROR((((COUNTIF(AA5:AA6,"A"))*4)+((COUNTIF(AA5:AA6,"B"))*3)+((COUNTIF(AA5:AA6,"C"))*2)+((COUNTIF(AA5:AA6,"D"))*1))*CELL("contenu",$B$4),0),IFERROR((((COUNTIF(AA8:AA11,"A"))*4)+((COUNTIF(AA8:AA11,"B"))*3)+((COUNTIF(AA8:AA11,"C"))*2)+((COUNTIF(AA8:AA11,"D"))*1))*CELL("contenu",$B$7),0),IFERROR((((COUNTIF(AA13:AA13,"A"))*4)+((COUNTIF(AA13:AA13,"B"))*3)+((COUNTIF(AA13:AA13,"C"))*2)+((COUNTIF(AA13:AA13,"D"))*1))*CELL("contenu",$B$12),0),IFERROR((((COUNTIF(AA15:AA17,"A"))*4)+((COUNTIF(AA15:AA17,"B"))*3)+((COUNTIF(AA15:AA17,"C"))*2)+((COUNTIF(AA15:AA17,"D"))*1))*CELL("contenu",$B$14),0),IFERROR((((COUNTIF(AA19:AA19,"A"))*4)+((COUNTIF(AA19:AA19,"B"))*3)+((COUNTIF(AA19:AA19,"C"))*2)+((COUNTIF(AA19:AA19,"D"))*1))*CELL("contenu",$B$18),0))/IF(SUM(COUNTA(AA5:AA6)*CELL("contenu",$B$4),COUNTA(AA8:AA11)*CELL("contenu",$B$7),COUNTA(AA13:AA13)*CELL("contenu",$B$12),COUNTA(AA15:AA17)*CELL("contenu",$B$14),COUNTA(AA19:AA19)*CELL("contenu",$B$18))=0,1,SUM(COUNTA(AA5:AA6)*CELL("contenu",$B$4),COUNTA(AA8:AA11)*CELL("contenu",$B$7),COUNTA(AA13:AA13)*CELL("contenu",$B$12),COUNTA(AA15:AA17)*CELL("contenu",$B$14),COUNTA(AA19:AA19)*CELL("contenu",$B$18))))</f>
        <v/>
      </c>
      <c r="AB20" s="176"/>
      <c r="AC20" s="175" t="str">
        <f ca="1">IF(COUNTA(Y20:AA20)-COUNTBLANK(Y20:AA20)=0,"",SUM(Y20:AA20)/(COUNTA(Y20:AA20)-COUNTBLANK(Y20:AA20)))</f>
        <v/>
      </c>
      <c r="AD20" s="182" t="str">
        <f ca="1">IF(COUNTA(AD5:AD19)=0,"",5*SUM(IFERROR((((COUNTIF(AD5:AD6,"A"))*4)+((COUNTIF(AD5:AD6,"B"))*3)+((COUNTIF(AD5:AD6,"C"))*2)+((COUNTIF(AD5:AD6,"D"))*1))*CELL("contenu",$B$4),0),IFERROR((((COUNTIF(AD8:AD11,"A"))*4)+((COUNTIF(AD8:AD11,"B"))*3)+((COUNTIF(AD8:AD11,"C"))*2)+((COUNTIF(AD8:AD11,"D"))*1))*CELL("contenu",$B$7),0),IFERROR((((COUNTIF(AD13:AD13,"A"))*4)+((COUNTIF(AD13:AD13,"B"))*3)+((COUNTIF(AD13:AD13,"C"))*2)+((COUNTIF(AD13:AD13,"D"))*1))*CELL("contenu",$B$12),0),IFERROR((((COUNTIF(AD15:AD17,"A"))*4)+((COUNTIF(AD15:AD17,"B"))*3)+((COUNTIF(AD15:AD17,"C"))*2)+((COUNTIF(AD15:AD17,"D"))*1))*CELL("contenu",$B$14),0),IFERROR((((COUNTIF(AD19:AD19,"A"))*4)+((COUNTIF(AD19:AD19,"B"))*3)+((COUNTIF(AD19:AD19,"C"))*2)+((COUNTIF(AD19:AD19,"D"))*1))*CELL("contenu",$B$18),0))/IF(SUM(COUNTA(AD5:AD6)*CELL("contenu",$B$4),COUNTA(AD8:AD11)*CELL("contenu",$B$7),COUNTA(AD13:AD13)*CELL("contenu",$B$12),COUNTA(AD15:AD17)*CELL("contenu",$B$14),COUNTA(AD19:AD19)*CELL("contenu",$B$18))=0,1,SUM(COUNTA(AD5:AD6)*CELL("contenu",$B$4),COUNTA(AD8:AD11)*CELL("contenu",$B$7),COUNTA(AD13:AD13)*CELL("contenu",$B$12),COUNTA(AD15:AD17)*CELL("contenu",$B$14),COUNTA(AD19:AD19)*CELL("contenu",$B$18))))</f>
        <v/>
      </c>
      <c r="AE20" s="183" t="str">
        <f ca="1">IF(COUNTA(AE5:AE19)=0,"",5*SUM(IFERROR((((COUNTIF(AE5:AE6,"A"))*4)+((COUNTIF(AE5:AE6,"B"))*3)+((COUNTIF(AE5:AE6,"C"))*2)+((COUNTIF(AE5:AE6,"D"))*1))*CELL("contenu",$B$4),0),IFERROR((((COUNTIF(AE8:AE11,"A"))*4)+((COUNTIF(AE8:AE11,"B"))*3)+((COUNTIF(AE8:AE11,"C"))*2)+((COUNTIF(AE8:AE11,"D"))*1))*CELL("contenu",$B$7),0),IFERROR((((COUNTIF(AE13:AE13,"A"))*4)+((COUNTIF(AE13:AE13,"B"))*3)+((COUNTIF(AE13:AE13,"C"))*2)+((COUNTIF(AE13:AE13,"D"))*1))*CELL("contenu",$B$12),0),IFERROR((((COUNTIF(AE15:AE17,"A"))*4)+((COUNTIF(AE15:AE17,"B"))*3)+((COUNTIF(AE15:AE17,"C"))*2)+((COUNTIF(AE15:AE17,"D"))*1))*CELL("contenu",$B$14),0),IFERROR((((COUNTIF(AE19:AE19,"A"))*4)+((COUNTIF(AE19:AE19,"B"))*3)+((COUNTIF(AE19:AE19,"C"))*2)+((COUNTIF(AE19:AE19,"D"))*1))*CELL("contenu",$B$18),0))/IF(SUM(COUNTA(AE5:AE6)*CELL("contenu",$B$4),COUNTA(AE8:AE11)*CELL("contenu",$B$7),COUNTA(AE13:AE13)*CELL("contenu",$B$12),COUNTA(AE15:AE17)*CELL("contenu",$B$14),COUNTA(AE19:AE19)*CELL("contenu",$B$18))=0,1,SUM(COUNTA(AE5:AE6)*CELL("contenu",$B$4),COUNTA(AE8:AE11)*CELL("contenu",$B$7),COUNTA(AE13:AE13)*CELL("contenu",$B$12),COUNTA(AE15:AE17)*CELL("contenu",$B$14),COUNTA(AE19:AE19)*CELL("contenu",$B$18))))</f>
        <v/>
      </c>
      <c r="AF20" s="184" t="str">
        <f ca="1">IF(COUNTA(AF5:AF19)=0,"",5*SUM(IFERROR((((COUNTIF(AF5:AF6,"A"))*4)+((COUNTIF(AF5:AF6,"B"))*3)+((COUNTIF(AF5:AF6,"C"))*2)+((COUNTIF(AF5:AF6,"D"))*1))*CELL("contenu",$B$4),0),IFERROR((((COUNTIF(AF8:AF11,"A"))*4)+((COUNTIF(AF8:AF11,"B"))*3)+((COUNTIF(AF8:AF11,"C"))*2)+((COUNTIF(AF8:AF11,"D"))*1))*CELL("contenu",$B$7),0),IFERROR((((COUNTIF(AF13:AF13,"A"))*4)+((COUNTIF(AF13:AF13,"B"))*3)+((COUNTIF(AF13:AF13,"C"))*2)+((COUNTIF(AF13:AF13,"D"))*1))*CELL("contenu",$B$12),0),IFERROR((((COUNTIF(AF15:AF17,"A"))*4)+((COUNTIF(AF15:AF17,"B"))*3)+((COUNTIF(AF15:AF17,"C"))*2)+((COUNTIF(AF15:AF17,"D"))*1))*CELL("contenu",$B$14),0),IFERROR((((COUNTIF(AF19:AF19,"A"))*4)+((COUNTIF(AF19:AF19,"B"))*3)+((COUNTIF(AF19:AF19,"C"))*2)+((COUNTIF(AF19:AF19,"D"))*1))*CELL("contenu",$B$18),0))/IF(SUM(COUNTA(AF5:AF6)*CELL("contenu",$B$4),COUNTA(AF8:AF11)*CELL("contenu",$B$7),COUNTA(AF13:AF13)*CELL("contenu",$B$12),COUNTA(AF15:AF17)*CELL("contenu",$B$14),COUNTA(AF19:AF19)*CELL("contenu",$B$18))=0,1,SUM(COUNTA(AF5:AF6)*CELL("contenu",$B$4),COUNTA(AF8:AF11)*CELL("contenu",$B$7),COUNTA(AF13:AF13)*CELL("contenu",$B$12),COUNTA(AF15:AF17)*CELL("contenu",$B$14),COUNTA(AF19:AF19)*CELL("contenu",$B$18))))</f>
        <v/>
      </c>
      <c r="AG20" s="176"/>
      <c r="AH20" s="174" t="str">
        <f ca="1">IF(COUNTA(AD20:AF20)-COUNTBLANK(AD20:AF20)=0,"",SUM(AD20:AF20)/(COUNTA(AD20:AF20)-COUNTBLANK(AD20:AF20)))</f>
        <v/>
      </c>
      <c r="AI20" s="103"/>
      <c r="AJ20" s="141"/>
      <c r="AK20" s="167">
        <f ca="1">IF(COUNTA(AK5:AK19)=0,"",5*SUM(IFERROR((((COUNTIF(AK5:AK6,"A"))*4)+((COUNTIF(AK5:AK6,"B"))*3)+((COUNTIF(AK5:AK6,"C"))*2)+((COUNTIF(AK5:AK6,"D"))*1))*CELL("contenu",$B$4),0),IFERROR((((COUNTIF(AK8:AK11,"A"))*4)+((COUNTIF(AK8:AK11,"B"))*3)+((COUNTIF(AK8:AK11,"C"))*2)+((COUNTIF(AK8:AK11,"D"))*1))*CELL("contenu",$B$7),0),IFERROR((((COUNTIF(AK13:AK13,"A"))*4)+((COUNTIF(AK13:AK13,"B"))*3)+((COUNTIF(AK13:AK13,"C"))*2)+((COUNTIF(AK13:AK13,"D"))*1))*CELL("contenu",$B$12),0),IFERROR((((COUNTIF(AK15:AK17,"A"))*4)+((COUNTIF(AK15:AK17,"B"))*3)+((COUNTIF(AK15:AK17,"C"))*2)+((COUNTIF(AK15:AK17,"D"))*1))*CELL("contenu",$B$14),0),IFERROR((((COUNTIF(AK19:AK19,"A"))*4)+((COUNTIF(AK19:AK19,"B"))*3)+((COUNTIF(AK19:AK19,"C"))*2)+((COUNTIF(AK19:AK19,"D"))*1))*CELL("contenu",$B$18),0))/IF(SUM(COUNTA(AK5:AK6)*CELL("contenu",$B$4),COUNTA(AK8:AK11)*CELL("contenu",$B$7),COUNTA(AK13:AK13)*CELL("contenu",$B$12),COUNTA(AK15:AK17)*CELL("contenu",$B$14),COUNTA(AK19:AK19)*CELL("contenu",$B$18))=0,1,SUM(COUNTA(AK5:AK6)*CELL("contenu",$B$4),COUNTA(AK8:AK11)*CELL("contenu",$B$7),COUNTA(AK13:AK13)*CELL("contenu",$B$12),COUNTA(AK15:AK17)*CELL("contenu",$B$14),COUNTA(AK19:AK19)*CELL("contenu",$B$18))))</f>
        <v>15</v>
      </c>
      <c r="AL20" s="168">
        <f ca="1">IF(COUNTA(AL5:AL19)=0,"",5*SUM(IFERROR((((COUNTIF(AL5:AL6,"A"))*4)+((COUNTIF(AL5:AL6,"B"))*3)+((COUNTIF(AL5:AL6,"C"))*2)+((COUNTIF(AL5:AL6,"D"))*1))*CELL("contenu",$B$4),0),IFERROR((((COUNTIF(AL8:AL11,"A"))*4)+((COUNTIF(AL8:AL11,"B"))*3)+((COUNTIF(AL8:AL11,"C"))*2)+((COUNTIF(AL8:AL11,"D"))*1))*CELL("contenu",$B$7),0),IFERROR((((COUNTIF(AL13:AL13,"A"))*4)+((COUNTIF(AL13:AL13,"B"))*3)+((COUNTIF(AL13:AL13,"C"))*2)+((COUNTIF(AL13:AL13,"D"))*1))*CELL("contenu",$B$12),0),IFERROR((((COUNTIF(AL15:AL17,"A"))*4)+((COUNTIF(AL15:AL17,"B"))*3)+((COUNTIF(AL15:AL17,"C"))*2)+((COUNTIF(AL15:AL17,"D"))*1))*CELL("contenu",$B$14),0),IFERROR((((COUNTIF(AL19:AL19,"A"))*4)+((COUNTIF(AL19:AL19,"B"))*3)+((COUNTIF(AL19:AL19,"C"))*2)+((COUNTIF(AL19:AL19,"D"))*1))*CELL("contenu",$B$18),0))/IF(SUM(COUNTA(AL5:AL6)*CELL("contenu",$B$4),COUNTA(AL8:AL11)*CELL("contenu",$B$7),COUNTA(AL13:AL13)*CELL("contenu",$B$12),COUNTA(AL15:AL17)*CELL("contenu",$B$14),COUNTA(AL19:AL19)*CELL("contenu",$B$18))=0,1,SUM(COUNTA(AL5:AL6)*CELL("contenu",$B$4),COUNTA(AL8:AL11)*CELL("contenu",$B$7),COUNTA(AL13:AL13)*CELL("contenu",$B$12),COUNTA(AL15:AL17)*CELL("contenu",$B$14),COUNTA(AL19:AL19)*CELL("contenu",$B$18))))</f>
        <v>20</v>
      </c>
      <c r="AM20" s="169" t="str">
        <f ca="1">IF(COUNTA(AM5:AM19)=0,"",5*SUM(IFERROR((((COUNTIF(AM5:AM6,"A"))*4)+((COUNTIF(AM5:AM6,"B"))*3)+((COUNTIF(AM5:AM6,"C"))*2)+((COUNTIF(AM5:AM6,"D"))*1))*CELL("contenu",$B$4),0),IFERROR((((COUNTIF(AM8:AM11,"A"))*4)+((COUNTIF(AM8:AM11,"B"))*3)+((COUNTIF(AM8:AM11,"C"))*2)+((COUNTIF(AM8:AM11,"D"))*1))*CELL("contenu",$B$7),0),IFERROR((((COUNTIF(AM13:AM13,"A"))*4)+((COUNTIF(AM13:AM13,"B"))*3)+((COUNTIF(AM13:AM13,"C"))*2)+((COUNTIF(AM13:AM13,"D"))*1))*CELL("contenu",$B$12),0),IFERROR((((COUNTIF(AM15:AM17,"A"))*4)+((COUNTIF(AM15:AM17,"B"))*3)+((COUNTIF(AM15:AM17,"C"))*2)+((COUNTIF(AM15:AM17,"D"))*1))*CELL("contenu",$B$14),0),IFERROR((((COUNTIF(AM19:AM19,"A"))*4)+((COUNTIF(AM19:AM19,"B"))*3)+((COUNTIF(AM19:AM19,"C"))*2)+((COUNTIF(AM19:AM19,"D"))*1))*CELL("contenu",$B$18),0))/IF(SUM(COUNTA(AM5:AM6)*CELL("contenu",$B$4),COUNTA(AM8:AM11)*CELL("contenu",$B$7),COUNTA(AM13:AM13)*CELL("contenu",$B$12),COUNTA(AM15:AM17)*CELL("contenu",$B$14),COUNTA(AM19:AM19)*CELL("contenu",$B$18))=0,1,SUM(COUNTA(AM5:AM6)*CELL("contenu",$B$4),COUNTA(AM8:AM11)*CELL("contenu",$B$7),COUNTA(AM13:AM13)*CELL("contenu",$B$12),COUNTA(AM15:AM17)*CELL("contenu",$B$14),COUNTA(AM19:AM19)*CELL("contenu",$B$18))))</f>
        <v/>
      </c>
      <c r="AN20" s="116"/>
      <c r="AO20" s="192">
        <f ca="1">IF(COUNTA(AK20:AM20)-COUNTBLANK(AK20:AM20)=0,"",SUM(AK20:AM20)/(COUNTA(AK20:AM20)-COUNTBLANK(AK20:AM20)))</f>
        <v>17.5</v>
      </c>
      <c r="AP20" s="182" t="str">
        <f ca="1">IF(COUNTA(AP5:AP19)=0,"",5*SUM(IFERROR((((COUNTIF(AP5:AP6,"A"))*4)+((COUNTIF(AP5:AP6,"B"))*3)+((COUNTIF(AP5:AP6,"C"))*2)+((COUNTIF(AP5:AP6,"D"))*1))*CELL("contenu",$B$4),0),IFERROR((((COUNTIF(AP8:AP11,"A"))*4)+((COUNTIF(AP8:AP11,"B"))*3)+((COUNTIF(AP8:AP11,"C"))*2)+((COUNTIF(AP8:AP11,"D"))*1))*CELL("contenu",$B$7),0),IFERROR((((COUNTIF(AP13:AP13,"A"))*4)+((COUNTIF(AP13:AP13,"B"))*3)+((COUNTIF(AP13:AP13,"C"))*2)+((COUNTIF(AP13:AP13,"D"))*1))*CELL("contenu",$B$12),0),IFERROR((((COUNTIF(AP15:AP17,"A"))*4)+((COUNTIF(AP15:AP17,"B"))*3)+((COUNTIF(AP15:AP17,"C"))*2)+((COUNTIF(AP15:AP17,"D"))*1))*CELL("contenu",$B$14),0),IFERROR((((COUNTIF(AP19:AP19,"A"))*4)+((COUNTIF(AP19:AP19,"B"))*3)+((COUNTIF(AP19:AP19,"C"))*2)+((COUNTIF(AP19:AP19,"D"))*1))*CELL("contenu",$B$18),0))/IF(SUM(COUNTA(AP5:AP6)*CELL("contenu",$B$4),COUNTA(AP8:AP11)*CELL("contenu",$B$7),COUNTA(AP13:AP13)*CELL("contenu",$B$12),COUNTA(AP15:AP17)*CELL("contenu",$B$14),COUNTA(AP19:AP19)*CELL("contenu",$B$18))=0,1,SUM(COUNTA(AP5:AP6)*CELL("contenu",$B$4),COUNTA(AP8:AP11)*CELL("contenu",$B$7),COUNTA(AP13:AP13)*CELL("contenu",$B$12),COUNTA(AP15:AP17)*CELL("contenu",$B$14),COUNTA(AP19:AP19)*CELL("contenu",$B$18))))</f>
        <v/>
      </c>
      <c r="AQ20" s="183" t="str">
        <f ca="1">IF(COUNTA(AQ5:AQ19)=0,"",5*SUM(IFERROR((((COUNTIF(AQ5:AQ6,"A"))*4)+((COUNTIF(AQ5:AQ6,"B"))*3)+((COUNTIF(AQ5:AQ6,"C"))*2)+((COUNTIF(AQ5:AQ6,"D"))*1))*CELL("contenu",$B$4),0),IFERROR((((COUNTIF(AQ8:AQ11,"A"))*4)+((COUNTIF(AQ8:AQ11,"B"))*3)+((COUNTIF(AQ8:AQ11,"C"))*2)+((COUNTIF(AQ8:AQ11,"D"))*1))*CELL("contenu",$B$7),0),IFERROR((((COUNTIF(AQ13:AQ13,"A"))*4)+((COUNTIF(AQ13:AQ13,"B"))*3)+((COUNTIF(AQ13:AQ13,"C"))*2)+((COUNTIF(AQ13:AQ13,"D"))*1))*CELL("contenu",$B$12),0),IFERROR((((COUNTIF(AQ15:AQ17,"A"))*4)+((COUNTIF(AQ15:AQ17,"B"))*3)+((COUNTIF(AQ15:AQ17,"C"))*2)+((COUNTIF(AQ15:AQ17,"D"))*1))*CELL("contenu",$B$14),0),IFERROR((((COUNTIF(AQ19:AQ19,"A"))*4)+((COUNTIF(AQ19:AQ19,"B"))*3)+((COUNTIF(AQ19:AQ19,"C"))*2)+((COUNTIF(AQ19:AQ19,"D"))*1))*CELL("contenu",$B$18),0))/IF(SUM(COUNTA(AQ5:AQ6)*CELL("contenu",$B$4),COUNTA(AQ8:AQ11)*CELL("contenu",$B$7),COUNTA(AQ13:AQ13)*CELL("contenu",$B$12),COUNTA(AQ15:AQ17)*CELL("contenu",$B$14),COUNTA(AQ19:AQ19)*CELL("contenu",$B$18))=0,1,SUM(COUNTA(AQ5:AQ6)*CELL("contenu",$B$4),COUNTA(AQ8:AQ11)*CELL("contenu",$B$7),COUNTA(AQ13:AQ13)*CELL("contenu",$B$12),COUNTA(AQ15:AQ17)*CELL("contenu",$B$14),COUNTA(AQ19:AQ19)*CELL("contenu",$B$18))))</f>
        <v/>
      </c>
      <c r="AR20" s="184" t="str">
        <f ca="1">IF(COUNTA(AR5:AR19)=0,"",5*SUM(IFERROR((((COUNTIF(AR5:AR6,"A"))*4)+((COUNTIF(AR5:AR6,"B"))*3)+((COUNTIF(AR5:AR6,"C"))*2)+((COUNTIF(AR5:AR6,"D"))*1))*CELL("contenu",$B$4),0),IFERROR((((COUNTIF(AR8:AR11,"A"))*4)+((COUNTIF(AR8:AR11,"B"))*3)+((COUNTIF(AR8:AR11,"C"))*2)+((COUNTIF(AR8:AR11,"D"))*1))*CELL("contenu",$B$7),0),IFERROR((((COUNTIF(AR13:AR13,"A"))*4)+((COUNTIF(AR13:AR13,"B"))*3)+((COUNTIF(AR13:AR13,"C"))*2)+((COUNTIF(AR13:AR13,"D"))*1))*CELL("contenu",$B$12),0),IFERROR((((COUNTIF(AR15:AR17,"A"))*4)+((COUNTIF(AR15:AR17,"B"))*3)+((COUNTIF(AR15:AR17,"C"))*2)+((COUNTIF(AR15:AR17,"D"))*1))*CELL("contenu",$B$14),0),IFERROR((((COUNTIF(AR19:AR19,"A"))*4)+((COUNTIF(AR19:AR19,"B"))*3)+((COUNTIF(AR19:AR19,"C"))*2)+((COUNTIF(AR19:AR19,"D"))*1))*CELL("contenu",$B$18),0))/IF(SUM(COUNTA(AR5:AR6)*CELL("contenu",$B$4),COUNTA(AR8:AR11)*CELL("contenu",$B$7),COUNTA(AR13:AR13)*CELL("contenu",$B$12),COUNTA(AR15:AR17)*CELL("contenu",$B$14),COUNTA(AR19:AR19)*CELL("contenu",$B$18))=0,1,SUM(COUNTA(AR5:AR6)*CELL("contenu",$B$4),COUNTA(AR8:AR11)*CELL("contenu",$B$7),COUNTA(AR13:AR13)*CELL("contenu",$B$12),COUNTA(AR15:AR17)*CELL("contenu",$B$14),COUNTA(AR19:AR19)*CELL("contenu",$B$18))))</f>
        <v/>
      </c>
      <c r="AS20" s="176"/>
      <c r="AT20" s="175" t="str">
        <f ca="1">IF(COUNTA(AP20:AR20)-COUNTBLANK(AP20:AR20)=0,"",SUM(AP20:AR20)/(COUNTA(AP20:AR20)-COUNTBLANK(AP20:AR20)))</f>
        <v/>
      </c>
      <c r="AU20" s="182" t="str">
        <f ca="1">IF(COUNTA(AU5:AU19)=0,"",5*SUM(IFERROR((((COUNTIF(AU5:AU6,"A"))*4)+((COUNTIF(AU5:AU6,"B"))*3)+((COUNTIF(AU5:AU6,"C"))*2)+((COUNTIF(AU5:AU6,"D"))*1))*CELL("contenu",$B$4),0),IFERROR((((COUNTIF(AU8:AU11,"A"))*4)+((COUNTIF(AU8:AU11,"B"))*3)+((COUNTIF(AU8:AU11,"C"))*2)+((COUNTIF(AU8:AU11,"D"))*1))*CELL("contenu",$B$7),0),IFERROR((((COUNTIF(AU13:AU13,"A"))*4)+((COUNTIF(AU13:AU13,"B"))*3)+((COUNTIF(AU13:AU13,"C"))*2)+((COUNTIF(AU13:AU13,"D"))*1))*CELL("contenu",$B$12),0),IFERROR((((COUNTIF(AU15:AU17,"A"))*4)+((COUNTIF(AU15:AU17,"B"))*3)+((COUNTIF(AU15:AU17,"C"))*2)+((COUNTIF(AU15:AU17,"D"))*1))*CELL("contenu",$B$14),0),IFERROR((((COUNTIF(AU19:AU19,"A"))*4)+((COUNTIF(AU19:AU19,"B"))*3)+((COUNTIF(AU19:AU19,"C"))*2)+((COUNTIF(AU19:AU19,"D"))*1))*CELL("contenu",$B$18),0))/IF(SUM(COUNTA(AU5:AU6)*CELL("contenu",$B$4),COUNTA(AU8:AU11)*CELL("contenu",$B$7),COUNTA(AU13:AU13)*CELL("contenu",$B$12),COUNTA(AU15:AU17)*CELL("contenu",$B$14),COUNTA(AU19:AU19)*CELL("contenu",$B$18))=0,1,SUM(COUNTA(AU5:AU6)*CELL("contenu",$B$4),COUNTA(AU8:AU11)*CELL("contenu",$B$7),COUNTA(AU13:AU13)*CELL("contenu",$B$12),COUNTA(AU15:AU17)*CELL("contenu",$B$14),COUNTA(AU19:AU19)*CELL("contenu",$B$18))))</f>
        <v/>
      </c>
      <c r="AV20" s="183" t="str">
        <f ca="1">IF(COUNTA(AV5:AV19)=0,"",5*SUM(IFERROR((((COUNTIF(AV5:AV6,"A"))*4)+((COUNTIF(AV5:AV6,"B"))*3)+((COUNTIF(AV5:AV6,"C"))*2)+((COUNTIF(AV5:AV6,"D"))*1))*CELL("contenu",$B$4),0),IFERROR((((COUNTIF(AV8:AV11,"A"))*4)+((COUNTIF(AV8:AV11,"B"))*3)+((COUNTIF(AV8:AV11,"C"))*2)+((COUNTIF(AV8:AV11,"D"))*1))*CELL("contenu",$B$7),0),IFERROR((((COUNTIF(AV13:AV13,"A"))*4)+((COUNTIF(AV13:AV13,"B"))*3)+((COUNTIF(AV13:AV13,"C"))*2)+((COUNTIF(AV13:AV13,"D"))*1))*CELL("contenu",$B$12),0),IFERROR((((COUNTIF(AV15:AV17,"A"))*4)+((COUNTIF(AV15:AV17,"B"))*3)+((COUNTIF(AV15:AV17,"C"))*2)+((COUNTIF(AV15:AV17,"D"))*1))*CELL("contenu",$B$14),0),IFERROR((((COUNTIF(AV19:AV19,"A"))*4)+((COUNTIF(AV19:AV19,"B"))*3)+((COUNTIF(AV19:AV19,"C"))*2)+((COUNTIF(AV19:AV19,"D"))*1))*CELL("contenu",$B$18),0))/IF(SUM(COUNTA(AV5:AV6)*CELL("contenu",$B$4),COUNTA(AV8:AV11)*CELL("contenu",$B$7),COUNTA(AV13:AV13)*CELL("contenu",$B$12),COUNTA(AV15:AV17)*CELL("contenu",$B$14),COUNTA(AV19:AV19)*CELL("contenu",$B$18))=0,1,SUM(COUNTA(AV5:AV6)*CELL("contenu",$B$4),COUNTA(AV8:AV11)*CELL("contenu",$B$7),COUNTA(AV13:AV13)*CELL("contenu",$B$12),COUNTA(AV15:AV17)*CELL("contenu",$B$14),COUNTA(AV19:AV19)*CELL("contenu",$B$18))))</f>
        <v/>
      </c>
      <c r="AW20" s="184" t="str">
        <f ca="1">IF(COUNTA(AW5:AW19)=0,"",5*SUM(IFERROR((((COUNTIF(AW5:AW6,"A"))*4)+((COUNTIF(AW5:AW6,"B"))*3)+((COUNTIF(AW5:AW6,"C"))*2)+((COUNTIF(AW5:AW6,"D"))*1))*CELL("contenu",$B$4),0),IFERROR((((COUNTIF(AW8:AW11,"A"))*4)+((COUNTIF(AW8:AW11,"B"))*3)+((COUNTIF(AW8:AW11,"C"))*2)+((COUNTIF(AW8:AW11,"D"))*1))*CELL("contenu",$B$7),0),IFERROR((((COUNTIF(AW13:AW13,"A"))*4)+((COUNTIF(AW13:AW13,"B"))*3)+((COUNTIF(AW13:AW13,"C"))*2)+((COUNTIF(AW13:AW13,"D"))*1))*CELL("contenu",$B$12),0),IFERROR((((COUNTIF(AW15:AW17,"A"))*4)+((COUNTIF(AW15:AW17,"B"))*3)+((COUNTIF(AW15:AW17,"C"))*2)+((COUNTIF(AW15:AW17,"D"))*1))*CELL("contenu",$B$14),0),IFERROR((((COUNTIF(AW19:AW19,"A"))*4)+((COUNTIF(AW19:AW19,"B"))*3)+((COUNTIF(AW19:AW19,"C"))*2)+((COUNTIF(AW19:AW19,"D"))*1))*CELL("contenu",$B$18),0))/IF(SUM(COUNTA(AW5:AW6)*CELL("contenu",$B$4),COUNTA(AW8:AW11)*CELL("contenu",$B$7),COUNTA(AW13:AW13)*CELL("contenu",$B$12),COUNTA(AW15:AW17)*CELL("contenu",$B$14),COUNTA(AW19:AW19)*CELL("contenu",$B$18))=0,1,SUM(COUNTA(AW5:AW6)*CELL("contenu",$B$4),COUNTA(AW8:AW11)*CELL("contenu",$B$7),COUNTA(AW13:AW13)*CELL("contenu",$B$12),COUNTA(AW15:AW17)*CELL("contenu",$B$14),COUNTA(AW19:AW19)*CELL("contenu",$B$18))))</f>
        <v/>
      </c>
      <c r="AX20" s="176"/>
      <c r="AY20" s="174" t="str">
        <f ca="1">IF(COUNTA(AU20:AW20)-COUNTBLANK(AU20:AW20)=0,"",SUM(AU20:AW20)/(COUNTA(AU20:AW20)-COUNTBLANK(AU20:AW20)))</f>
        <v/>
      </c>
      <c r="AZ20" s="103"/>
      <c r="BA20" s="141"/>
      <c r="BB20" s="167">
        <f ca="1">IF(COUNTA(BB5:BB19)=0,"",5*SUM(IFERROR((((COUNTIF(BB5:BB6,"A"))*4)+((COUNTIF(BB5:BB6,"B"))*3)+((COUNTIF(BB5:BB6,"C"))*2)+((COUNTIF(BB5:BB6,"D"))*1))*CELL("contenu",$B$4),0),IFERROR((((COUNTIF(BB8:BB11,"A"))*4)+((COUNTIF(BB8:BB11,"B"))*3)+((COUNTIF(BB8:BB11,"C"))*2)+((COUNTIF(BB8:BB11,"D"))*1))*CELL("contenu",$B$7),0),IFERROR((((COUNTIF(BB13:BB13,"A"))*4)+((COUNTIF(BB13:BB13,"B"))*3)+((COUNTIF(BB13:BB13,"C"))*2)+((COUNTIF(BB13:BB13,"D"))*1))*CELL("contenu",$B$12),0),IFERROR((((COUNTIF(BB15:BB17,"A"))*4)+((COUNTIF(BB15:BB17,"B"))*3)+((COUNTIF(BB15:BB17,"C"))*2)+((COUNTIF(BB15:BB17,"D"))*1))*CELL("contenu",$B$14),0),IFERROR((((COUNTIF(BB19:BB19,"A"))*4)+((COUNTIF(BB19:BB19,"B"))*3)+((COUNTIF(BB19:BB19,"C"))*2)+((COUNTIF(BB19:BB19,"D"))*1))*CELL("contenu",$B$18),0))/IF(SUM(COUNTA(BB5:BB6)*CELL("contenu",$B$4),COUNTA(BB8:BB11)*CELL("contenu",$B$7),COUNTA(BB13:BB13)*CELL("contenu",$B$12),COUNTA(BB15:BB17)*CELL("contenu",$B$14),COUNTA(BB19:BB19)*CELL("contenu",$B$18))=0,1,SUM(COUNTA(BB5:BB6)*CELL("contenu",$B$4),COUNTA(BB8:BB11)*CELL("contenu",$B$7),COUNTA(BB13:BB13)*CELL("contenu",$B$12),COUNTA(BB15:BB17)*CELL("contenu",$B$14),COUNTA(BB19:BB19)*CELL("contenu",$B$18))))</f>
        <v>16.666666666666668</v>
      </c>
      <c r="BC20" s="168">
        <f ca="1">IF(COUNTA(BC5:BC19)=0,"",5*SUM(IFERROR((((COUNTIF(BC5:BC6,"A"))*4)+((COUNTIF(BC5:BC6,"B"))*3)+((COUNTIF(BC5:BC6,"C"))*2)+((COUNTIF(BC5:BC6,"D"))*1))*CELL("contenu",$B$4),0),IFERROR((((COUNTIF(BC8:BC11,"A"))*4)+((COUNTIF(BC8:BC11,"B"))*3)+((COUNTIF(BC8:BC11,"C"))*2)+((COUNTIF(BC8:BC11,"D"))*1))*CELL("contenu",$B$7),0),IFERROR((((COUNTIF(BC13:BC13,"A"))*4)+((COUNTIF(BC13:BC13,"B"))*3)+((COUNTIF(BC13:BC13,"C"))*2)+((COUNTIF(BC13:BC13,"D"))*1))*CELL("contenu",$B$12),0),IFERROR((((COUNTIF(BC15:BC17,"A"))*4)+((COUNTIF(BC15:BC17,"B"))*3)+((COUNTIF(BC15:BC17,"C"))*2)+((COUNTIF(BC15:BC17,"D"))*1))*CELL("contenu",$B$14),0),IFERROR((((COUNTIF(BC19:BC19,"A"))*4)+((COUNTIF(BC19:BC19,"B"))*3)+((COUNTIF(BC19:BC19,"C"))*2)+((COUNTIF(BC19:BC19,"D"))*1))*CELL("contenu",$B$18),0))/IF(SUM(COUNTA(BC5:BC6)*CELL("contenu",$B$4),COUNTA(BC8:BC11)*CELL("contenu",$B$7),COUNTA(BC13:BC13)*CELL("contenu",$B$12),COUNTA(BC15:BC17)*CELL("contenu",$B$14),COUNTA(BC19:BC19)*CELL("contenu",$B$18))=0,1,SUM(COUNTA(BC5:BC6)*CELL("contenu",$B$4),COUNTA(BC8:BC11)*CELL("contenu",$B$7),COUNTA(BC13:BC13)*CELL("contenu",$B$12),COUNTA(BC15:BC17)*CELL("contenu",$B$14),COUNTA(BC19:BC19)*CELL("contenu",$B$18))))</f>
        <v>11.666666666666666</v>
      </c>
      <c r="BD20" s="169" t="str">
        <f ca="1">IF(COUNTA(BD5:BD19)=0,"",5*SUM(IFERROR((((COUNTIF(BD5:BD6,"A"))*4)+((COUNTIF(BD5:BD6,"B"))*3)+((COUNTIF(BD5:BD6,"C"))*2)+((COUNTIF(BD5:BD6,"D"))*1))*CELL("contenu",$B$4),0),IFERROR((((COUNTIF(BD8:BD11,"A"))*4)+((COUNTIF(BD8:BD11,"B"))*3)+((COUNTIF(BD8:BD11,"C"))*2)+((COUNTIF(BD8:BD11,"D"))*1))*CELL("contenu",$B$7),0),IFERROR((((COUNTIF(BD13:BD13,"A"))*4)+((COUNTIF(BD13:BD13,"B"))*3)+((COUNTIF(BD13:BD13,"C"))*2)+((COUNTIF(BD13:BD13,"D"))*1))*CELL("contenu",$B$12),0),IFERROR((((COUNTIF(BD15:BD17,"A"))*4)+((COUNTIF(BD15:BD17,"B"))*3)+((COUNTIF(BD15:BD17,"C"))*2)+((COUNTIF(BD15:BD17,"D"))*1))*CELL("contenu",$B$14),0),IFERROR((((COUNTIF(BD19:BD19,"A"))*4)+((COUNTIF(BD19:BD19,"B"))*3)+((COUNTIF(BD19:BD19,"C"))*2)+((COUNTIF(BD19:BD19,"D"))*1))*CELL("contenu",$B$18),0))/IF(SUM(COUNTA(BD5:BD6)*CELL("contenu",$B$4),COUNTA(BD8:BD11)*CELL("contenu",$B$7),COUNTA(BD13:BD13)*CELL("contenu",$B$12),COUNTA(BD15:BD17)*CELL("contenu",$B$14),COUNTA(BD19:BD19)*CELL("contenu",$B$18))=0,1,SUM(COUNTA(BD5:BD6)*CELL("contenu",$B$4),COUNTA(BD8:BD11)*CELL("contenu",$B$7),COUNTA(BD13:BD13)*CELL("contenu",$B$12),COUNTA(BD15:BD17)*CELL("contenu",$B$14),COUNTA(BD19:BD19)*CELL("contenu",$B$18))))</f>
        <v/>
      </c>
      <c r="BE20" s="116"/>
      <c r="BF20" s="192">
        <f ca="1">IF(COUNTA(BB20:BD20)-COUNTBLANK(BB20:BD20)=0,"",SUM(BB20:BD20)/(COUNTA(BB20:BD20)-COUNTBLANK(BB20:BD20)))</f>
        <v>14.166666666666668</v>
      </c>
      <c r="BG20" s="182" t="str">
        <f ca="1">IF(COUNTA(BG5:BG19)=0,"",5*SUM(IFERROR((((COUNTIF(BG5:BG6,"A"))*4)+((COUNTIF(BG5:BG6,"B"))*3)+((COUNTIF(BG5:BG6,"C"))*2)+((COUNTIF(BG5:BG6,"D"))*1))*CELL("contenu",$B$4),0),IFERROR((((COUNTIF(BG8:BG11,"A"))*4)+((COUNTIF(BG8:BG11,"B"))*3)+((COUNTIF(BG8:BG11,"C"))*2)+((COUNTIF(BG8:BG11,"D"))*1))*CELL("contenu",$B$7),0),IFERROR((((COUNTIF(BG13:BG13,"A"))*4)+((COUNTIF(BG13:BG13,"B"))*3)+((COUNTIF(BG13:BG13,"C"))*2)+((COUNTIF(BG13:BG13,"D"))*1))*CELL("contenu",$B$12),0),IFERROR((((COUNTIF(BG15:BG17,"A"))*4)+((COUNTIF(BG15:BG17,"B"))*3)+((COUNTIF(BG15:BG17,"C"))*2)+((COUNTIF(BG15:BG17,"D"))*1))*CELL("contenu",$B$14),0),IFERROR((((COUNTIF(BG19:BG19,"A"))*4)+((COUNTIF(BG19:BG19,"B"))*3)+((COUNTIF(BG19:BG19,"C"))*2)+((COUNTIF(BG19:BG19,"D"))*1))*CELL("contenu",$B$18),0))/IF(SUM(COUNTA(BG5:BG6)*CELL("contenu",$B$4),COUNTA(BG8:BG11)*CELL("contenu",$B$7),COUNTA(BG13:BG13)*CELL("contenu",$B$12),COUNTA(BG15:BG17)*CELL("contenu",$B$14),COUNTA(BG19:BG19)*CELL("contenu",$B$18))=0,1,SUM(COUNTA(BG5:BG6)*CELL("contenu",$B$4),COUNTA(BG8:BG11)*CELL("contenu",$B$7),COUNTA(BG13:BG13)*CELL("contenu",$B$12),COUNTA(BG15:BG17)*CELL("contenu",$B$14),COUNTA(BG19:BG19)*CELL("contenu",$B$18))))</f>
        <v/>
      </c>
      <c r="BH20" s="183" t="str">
        <f ca="1">IF(COUNTA(BH5:BH19)=0,"",5*SUM(IFERROR((((COUNTIF(BH5:BH6,"A"))*4)+((COUNTIF(BH5:BH6,"B"))*3)+((COUNTIF(BH5:BH6,"C"))*2)+((COUNTIF(BH5:BH6,"D"))*1))*CELL("contenu",$B$4),0),IFERROR((((COUNTIF(BH8:BH11,"A"))*4)+((COUNTIF(BH8:BH11,"B"))*3)+((COUNTIF(BH8:BH11,"C"))*2)+((COUNTIF(BH8:BH11,"D"))*1))*CELL("contenu",$B$7),0),IFERROR((((COUNTIF(BH13:BH13,"A"))*4)+((COUNTIF(BH13:BH13,"B"))*3)+((COUNTIF(BH13:BH13,"C"))*2)+((COUNTIF(BH13:BH13,"D"))*1))*CELL("contenu",$B$12),0),IFERROR((((COUNTIF(BH15:BH17,"A"))*4)+((COUNTIF(BH15:BH17,"B"))*3)+((COUNTIF(BH15:BH17,"C"))*2)+((COUNTIF(BH15:BH17,"D"))*1))*CELL("contenu",$B$14),0),IFERROR((((COUNTIF(BH19:BH19,"A"))*4)+((COUNTIF(BH19:BH19,"B"))*3)+((COUNTIF(BH19:BH19,"C"))*2)+((COUNTIF(BH19:BH19,"D"))*1))*CELL("contenu",$B$18),0))/IF(SUM(COUNTA(BH5:BH6)*CELL("contenu",$B$4),COUNTA(BH8:BH11)*CELL("contenu",$B$7),COUNTA(BH13:BH13)*CELL("contenu",$B$12),COUNTA(BH15:BH17)*CELL("contenu",$B$14),COUNTA(BH19:BH19)*CELL("contenu",$B$18))=0,1,SUM(COUNTA(BH5:BH6)*CELL("contenu",$B$4),COUNTA(BH8:BH11)*CELL("contenu",$B$7),COUNTA(BH13:BH13)*CELL("contenu",$B$12),COUNTA(BH15:BH17)*CELL("contenu",$B$14),COUNTA(BH19:BH19)*CELL("contenu",$B$18))))</f>
        <v/>
      </c>
      <c r="BI20" s="184" t="str">
        <f ca="1">IF(COUNTA(BI5:BI19)=0,"",5*SUM(IFERROR((((COUNTIF(BI5:BI6,"A"))*4)+((COUNTIF(BI5:BI6,"B"))*3)+((COUNTIF(BI5:BI6,"C"))*2)+((COUNTIF(BI5:BI6,"D"))*1))*CELL("contenu",$B$4),0),IFERROR((((COUNTIF(BI8:BI11,"A"))*4)+((COUNTIF(BI8:BI11,"B"))*3)+((COUNTIF(BI8:BI11,"C"))*2)+((COUNTIF(BI8:BI11,"D"))*1))*CELL("contenu",$B$7),0),IFERROR((((COUNTIF(BI13:BI13,"A"))*4)+((COUNTIF(BI13:BI13,"B"))*3)+((COUNTIF(BI13:BI13,"C"))*2)+((COUNTIF(BI13:BI13,"D"))*1))*CELL("contenu",$B$12),0),IFERROR((((COUNTIF(BI15:BI17,"A"))*4)+((COUNTIF(BI15:BI17,"B"))*3)+((COUNTIF(BI15:BI17,"C"))*2)+((COUNTIF(BI15:BI17,"D"))*1))*CELL("contenu",$B$14),0),IFERROR((((COUNTIF(BI19:BI19,"A"))*4)+((COUNTIF(BI19:BI19,"B"))*3)+((COUNTIF(BI19:BI19,"C"))*2)+((COUNTIF(BI19:BI19,"D"))*1))*CELL("contenu",$B$18),0))/IF(SUM(COUNTA(BI5:BI6)*CELL("contenu",$B$4),COUNTA(BI8:BI11)*CELL("contenu",$B$7),COUNTA(BI13:BI13)*CELL("contenu",$B$12),COUNTA(BI15:BI17)*CELL("contenu",$B$14),COUNTA(BI19:BI19)*CELL("contenu",$B$18))=0,1,SUM(COUNTA(BI5:BI6)*CELL("contenu",$B$4),COUNTA(BI8:BI11)*CELL("contenu",$B$7),COUNTA(BI13:BI13)*CELL("contenu",$B$12),COUNTA(BI15:BI17)*CELL("contenu",$B$14),COUNTA(BI19:BI19)*CELL("contenu",$B$18))))</f>
        <v/>
      </c>
      <c r="BJ20" s="176"/>
      <c r="BK20" s="175" t="str">
        <f ca="1">IF(COUNTA(BG20:BI20)-COUNTBLANK(BG20:BI20)=0,"",SUM(BG20:BI20)/(COUNTA(BG20:BI20)-COUNTBLANK(BG20:BI20)))</f>
        <v/>
      </c>
      <c r="BL20" s="182" t="str">
        <f ca="1">IF(COUNTA(BL5:BL19)=0,"",5*SUM(IFERROR((((COUNTIF(BL5:BL6,"A"))*4)+((COUNTIF(BL5:BL6,"B"))*3)+((COUNTIF(BL5:BL6,"C"))*2)+((COUNTIF(BL5:BL6,"D"))*1))*CELL("contenu",$B$4),0),IFERROR((((COUNTIF(BL8:BL11,"A"))*4)+((COUNTIF(BL8:BL11,"B"))*3)+((COUNTIF(BL8:BL11,"C"))*2)+((COUNTIF(BL8:BL11,"D"))*1))*CELL("contenu",$B$7),0),IFERROR((((COUNTIF(BL13:BL13,"A"))*4)+((COUNTIF(BL13:BL13,"B"))*3)+((COUNTIF(BL13:BL13,"C"))*2)+((COUNTIF(BL13:BL13,"D"))*1))*CELL("contenu",$B$12),0),IFERROR((((COUNTIF(BL15:BL17,"A"))*4)+((COUNTIF(BL15:BL17,"B"))*3)+((COUNTIF(BL15:BL17,"C"))*2)+((COUNTIF(BL15:BL17,"D"))*1))*CELL("contenu",$B$14),0),IFERROR((((COUNTIF(BL19:BL19,"A"))*4)+((COUNTIF(BL19:BL19,"B"))*3)+((COUNTIF(BL19:BL19,"C"))*2)+((COUNTIF(BL19:BL19,"D"))*1))*CELL("contenu",$B$18),0))/IF(SUM(COUNTA(BL5:BL6)*CELL("contenu",$B$4),COUNTA(BL8:BL11)*CELL("contenu",$B$7),COUNTA(BL13:BL13)*CELL("contenu",$B$12),COUNTA(BL15:BL17)*CELL("contenu",$B$14),COUNTA(BL19:BL19)*CELL("contenu",$B$18))=0,1,SUM(COUNTA(BL5:BL6)*CELL("contenu",$B$4),COUNTA(BL8:BL11)*CELL("contenu",$B$7),COUNTA(BL13:BL13)*CELL("contenu",$B$12),COUNTA(BL15:BL17)*CELL("contenu",$B$14),COUNTA(BL19:BL19)*CELL("contenu",$B$18))))</f>
        <v/>
      </c>
      <c r="BM20" s="183" t="str">
        <f ca="1">IF(COUNTA(BM5:BM19)=0,"",5*SUM(IFERROR((((COUNTIF(BM5:BM6,"A"))*4)+((COUNTIF(BM5:BM6,"B"))*3)+((COUNTIF(BM5:BM6,"C"))*2)+((COUNTIF(BM5:BM6,"D"))*1))*CELL("contenu",$B$4),0),IFERROR((((COUNTIF(BM8:BM11,"A"))*4)+((COUNTIF(BM8:BM11,"B"))*3)+((COUNTIF(BM8:BM11,"C"))*2)+((COUNTIF(BM8:BM11,"D"))*1))*CELL("contenu",$B$7),0),IFERROR((((COUNTIF(BM13:BM13,"A"))*4)+((COUNTIF(BM13:BM13,"B"))*3)+((COUNTIF(BM13:BM13,"C"))*2)+((COUNTIF(BM13:BM13,"D"))*1))*CELL("contenu",$B$12),0),IFERROR((((COUNTIF(BM15:BM17,"A"))*4)+((COUNTIF(BM15:BM17,"B"))*3)+((COUNTIF(BM15:BM17,"C"))*2)+((COUNTIF(BM15:BM17,"D"))*1))*CELL("contenu",$B$14),0),IFERROR((((COUNTIF(BM19:BM19,"A"))*4)+((COUNTIF(BM19:BM19,"B"))*3)+((COUNTIF(BM19:BM19,"C"))*2)+((COUNTIF(BM19:BM19,"D"))*1))*CELL("contenu",$B$18),0))/IF(SUM(COUNTA(BM5:BM6)*CELL("contenu",$B$4),COUNTA(BM8:BM11)*CELL("contenu",$B$7),COUNTA(BM13:BM13)*CELL("contenu",$B$12),COUNTA(BM15:BM17)*CELL("contenu",$B$14),COUNTA(BM19:BM19)*CELL("contenu",$B$18))=0,1,SUM(COUNTA(BM5:BM6)*CELL("contenu",$B$4),COUNTA(BM8:BM11)*CELL("contenu",$B$7),COUNTA(BM13:BM13)*CELL("contenu",$B$12),COUNTA(BM15:BM17)*CELL("contenu",$B$14),COUNTA(BM19:BM19)*CELL("contenu",$B$18))))</f>
        <v/>
      </c>
      <c r="BN20" s="184" t="str">
        <f ca="1">IF(COUNTA(BN5:BN19)=0,"",5*SUM(IFERROR((((COUNTIF(BN5:BN6,"A"))*4)+((COUNTIF(BN5:BN6,"B"))*3)+((COUNTIF(BN5:BN6,"C"))*2)+((COUNTIF(BN5:BN6,"D"))*1))*CELL("contenu",$B$4),0),IFERROR((((COUNTIF(BN8:BN11,"A"))*4)+((COUNTIF(BN8:BN11,"B"))*3)+((COUNTIF(BN8:BN11,"C"))*2)+((COUNTIF(BN8:BN11,"D"))*1))*CELL("contenu",$B$7),0),IFERROR((((COUNTIF(BN13:BN13,"A"))*4)+((COUNTIF(BN13:BN13,"B"))*3)+((COUNTIF(BN13:BN13,"C"))*2)+((COUNTIF(BN13:BN13,"D"))*1))*CELL("contenu",$B$12),0),IFERROR((((COUNTIF(BN15:BN17,"A"))*4)+((COUNTIF(BN15:BN17,"B"))*3)+((COUNTIF(BN15:BN17,"C"))*2)+((COUNTIF(BN15:BN17,"D"))*1))*CELL("contenu",$B$14),0),IFERROR((((COUNTIF(BN19:BN19,"A"))*4)+((COUNTIF(BN19:BN19,"B"))*3)+((COUNTIF(BN19:BN19,"C"))*2)+((COUNTIF(BN19:BN19,"D"))*1))*CELL("contenu",$B$18),0))/IF(SUM(COUNTA(BN5:BN6)*CELL("contenu",$B$4),COUNTA(BN8:BN11)*CELL("contenu",$B$7),COUNTA(BN13:BN13)*CELL("contenu",$B$12),COUNTA(BN15:BN17)*CELL("contenu",$B$14),COUNTA(BN19:BN19)*CELL("contenu",$B$18))=0,1,SUM(COUNTA(BN5:BN6)*CELL("contenu",$B$4),COUNTA(BN8:BN11)*CELL("contenu",$B$7),COUNTA(BN13:BN13)*CELL("contenu",$B$12),COUNTA(BN15:BN17)*CELL("contenu",$B$14),COUNTA(BN19:BN19)*CELL("contenu",$B$18))))</f>
        <v/>
      </c>
      <c r="BO20" s="176"/>
      <c r="BP20" s="174" t="str">
        <f ca="1">IF(COUNTA(BL20:BN20)-COUNTBLANK(BL20:BN20)=0,"",SUM(BL20:BN20)/(COUNTA(BL20:BN20)-COUNTBLANK(BL20:BN20)))</f>
        <v/>
      </c>
      <c r="BQ20" s="103"/>
      <c r="BR20" s="141"/>
      <c r="BS20" s="167">
        <f ca="1">IF(COUNTA(BS5:BS19)=0,"",5*SUM(IFERROR((((COUNTIF(BS5:BS6,"A"))*4)+((COUNTIF(BS5:BS6,"B"))*3)+((COUNTIF(BS5:BS6,"C"))*2)+((COUNTIF(BS5:BS6,"D"))*1))*CELL("contenu",$B$4),0),IFERROR((((COUNTIF(BS8:BS11,"A"))*4)+((COUNTIF(BS8:BS11,"B"))*3)+((COUNTIF(BS8:BS11,"C"))*2)+((COUNTIF(BS8:BS11,"D"))*1))*CELL("contenu",$B$7),0),IFERROR((((COUNTIF(BS13:BS13,"A"))*4)+((COUNTIF(BS13:BS13,"B"))*3)+((COUNTIF(BS13:BS13,"C"))*2)+((COUNTIF(BS13:BS13,"D"))*1))*CELL("contenu",$B$12),0),IFERROR((((COUNTIF(BS15:BS17,"A"))*4)+((COUNTIF(BS15:BS17,"B"))*3)+((COUNTIF(BS15:BS17,"C"))*2)+((COUNTIF(BS15:BS17,"D"))*1))*CELL("contenu",$B$14),0),IFERROR((((COUNTIF(BS19:BS19,"A"))*4)+((COUNTIF(BS19:BS19,"B"))*3)+((COUNTIF(BS19:BS19,"C"))*2)+((COUNTIF(BS19:BS19,"D"))*1))*CELL("contenu",$B$18),0))/IF(SUM(COUNTA(BS5:BS6)*CELL("contenu",$B$4),COUNTA(BS8:BS11)*CELL("contenu",$B$7),COUNTA(BS13:BS13)*CELL("contenu",$B$12),COUNTA(BS15:BS17)*CELL("contenu",$B$14),COUNTA(BS19:BS19)*CELL("contenu",$B$18))=0,1,SUM(COUNTA(BS5:BS6)*CELL("contenu",$B$4),COUNTA(BS8:BS11)*CELL("contenu",$B$7),COUNTA(BS13:BS13)*CELL("contenu",$B$12),COUNTA(BS15:BS17)*CELL("contenu",$B$14),COUNTA(BS19:BS19)*CELL("contenu",$B$18))))</f>
        <v>15</v>
      </c>
      <c r="BT20" s="168">
        <f ca="1">IF(COUNTA(BT5:BT19)=0,"",5*SUM(IFERROR((((COUNTIF(BT5:BT6,"A"))*4)+((COUNTIF(BT5:BT6,"B"))*3)+((COUNTIF(BT5:BT6,"C"))*2)+((COUNTIF(BT5:BT6,"D"))*1))*CELL("contenu",$B$4),0),IFERROR((((COUNTIF(BT8:BT11,"A"))*4)+((COUNTIF(BT8:BT11,"B"))*3)+((COUNTIF(BT8:BT11,"C"))*2)+((COUNTIF(BT8:BT11,"D"))*1))*CELL("contenu",$B$7),0),IFERROR((((COUNTIF(BT13:BT13,"A"))*4)+((COUNTIF(BT13:BT13,"B"))*3)+((COUNTIF(BT13:BT13,"C"))*2)+((COUNTIF(BT13:BT13,"D"))*1))*CELL("contenu",$B$12),0),IFERROR((((COUNTIF(BT15:BT17,"A"))*4)+((COUNTIF(BT15:BT17,"B"))*3)+((COUNTIF(BT15:BT17,"C"))*2)+((COUNTIF(BT15:BT17,"D"))*1))*CELL("contenu",$B$14),0),IFERROR((((COUNTIF(BT19:BT19,"A"))*4)+((COUNTIF(BT19:BT19,"B"))*3)+((COUNTIF(BT19:BT19,"C"))*2)+((COUNTIF(BT19:BT19,"D"))*1))*CELL("contenu",$B$18),0))/IF(SUM(COUNTA(BT5:BT6)*CELL("contenu",$B$4),COUNTA(BT8:BT11)*CELL("contenu",$B$7),COUNTA(BT13:BT13)*CELL("contenu",$B$12),COUNTA(BT15:BT17)*CELL("contenu",$B$14),COUNTA(BT19:BT19)*CELL("contenu",$B$18))=0,1,SUM(COUNTA(BT5:BT6)*CELL("contenu",$B$4),COUNTA(BT8:BT11)*CELL("contenu",$B$7),COUNTA(BT13:BT13)*CELL("contenu",$B$12),COUNTA(BT15:BT17)*CELL("contenu",$B$14),COUNTA(BT19:BT19)*CELL("contenu",$B$18))))</f>
        <v>18.333333333333332</v>
      </c>
      <c r="BU20" s="169" t="str">
        <f ca="1">IF(COUNTA(BU5:BU19)=0,"",5*SUM(IFERROR((((COUNTIF(BU5:BU6,"A"))*4)+((COUNTIF(BU5:BU6,"B"))*3)+((COUNTIF(BU5:BU6,"C"))*2)+((COUNTIF(BU5:BU6,"D"))*1))*CELL("contenu",$B$4),0),IFERROR((((COUNTIF(BU8:BU11,"A"))*4)+((COUNTIF(BU8:BU11,"B"))*3)+((COUNTIF(BU8:BU11,"C"))*2)+((COUNTIF(BU8:BU11,"D"))*1))*CELL("contenu",$B$7),0),IFERROR((((COUNTIF(BU13:BU13,"A"))*4)+((COUNTIF(BU13:BU13,"B"))*3)+((COUNTIF(BU13:BU13,"C"))*2)+((COUNTIF(BU13:BU13,"D"))*1))*CELL("contenu",$B$12),0),IFERROR((((COUNTIF(BU15:BU17,"A"))*4)+((COUNTIF(BU15:BU17,"B"))*3)+((COUNTIF(BU15:BU17,"C"))*2)+((COUNTIF(BU15:BU17,"D"))*1))*CELL("contenu",$B$14),0),IFERROR((((COUNTIF(BU19:BU19,"A"))*4)+((COUNTIF(BU19:BU19,"B"))*3)+((COUNTIF(BU19:BU19,"C"))*2)+((COUNTIF(BU19:BU19,"D"))*1))*CELL("contenu",$B$18),0))/IF(SUM(COUNTA(BU5:BU6)*CELL("contenu",$B$4),COUNTA(BU8:BU11)*CELL("contenu",$B$7),COUNTA(BU13:BU13)*CELL("contenu",$B$12),COUNTA(BU15:BU17)*CELL("contenu",$B$14),COUNTA(BU19:BU19)*CELL("contenu",$B$18))=0,1,SUM(COUNTA(BU5:BU6)*CELL("contenu",$B$4),COUNTA(BU8:BU11)*CELL("contenu",$B$7),COUNTA(BU13:BU13)*CELL("contenu",$B$12),COUNTA(BU15:BU17)*CELL("contenu",$B$14),COUNTA(BU19:BU19)*CELL("contenu",$B$18))))</f>
        <v/>
      </c>
      <c r="BV20" s="116"/>
      <c r="BW20" s="192">
        <f ca="1">IF(COUNTA(BS20:BU20)-COUNTBLANK(BS20:BU20)=0,"",SUM(BS20:BU20)/(COUNTA(BS20:BU20)-COUNTBLANK(BS20:BU20)))</f>
        <v>16.666666666666664</v>
      </c>
      <c r="BX20" s="182" t="str">
        <f ca="1">IF(COUNTA(BX5:BX19)=0,"",5*SUM(IFERROR((((COUNTIF(BX5:BX6,"A"))*4)+((COUNTIF(BX5:BX6,"B"))*3)+((COUNTIF(BX5:BX6,"C"))*2)+((COUNTIF(BX5:BX6,"D"))*1))*CELL("contenu",$B$4),0),IFERROR((((COUNTIF(BX8:BX11,"A"))*4)+((COUNTIF(BX8:BX11,"B"))*3)+((COUNTIF(BX8:BX11,"C"))*2)+((COUNTIF(BX8:BX11,"D"))*1))*CELL("contenu",$B$7),0),IFERROR((((COUNTIF(BX13:BX13,"A"))*4)+((COUNTIF(BX13:BX13,"B"))*3)+((COUNTIF(BX13:BX13,"C"))*2)+((COUNTIF(BX13:BX13,"D"))*1))*CELL("contenu",$B$12),0),IFERROR((((COUNTIF(BX15:BX17,"A"))*4)+((COUNTIF(BX15:BX17,"B"))*3)+((COUNTIF(BX15:BX17,"C"))*2)+((COUNTIF(BX15:BX17,"D"))*1))*CELL("contenu",$B$14),0),IFERROR((((COUNTIF(BX19:BX19,"A"))*4)+((COUNTIF(BX19:BX19,"B"))*3)+((COUNTIF(BX19:BX19,"C"))*2)+((COUNTIF(BX19:BX19,"D"))*1))*CELL("contenu",$B$18),0))/IF(SUM(COUNTA(BX5:BX6)*CELL("contenu",$B$4),COUNTA(BX8:BX11)*CELL("contenu",$B$7),COUNTA(BX13:BX13)*CELL("contenu",$B$12),COUNTA(BX15:BX17)*CELL("contenu",$B$14),COUNTA(BX19:BX19)*CELL("contenu",$B$18))=0,1,SUM(COUNTA(BX5:BX6)*CELL("contenu",$B$4),COUNTA(BX8:BX11)*CELL("contenu",$B$7),COUNTA(BX13:BX13)*CELL("contenu",$B$12),COUNTA(BX15:BX17)*CELL("contenu",$B$14),COUNTA(BX19:BX19)*CELL("contenu",$B$18))))</f>
        <v/>
      </c>
      <c r="BY20" s="183" t="str">
        <f ca="1">IF(COUNTA(BY5:BY19)=0,"",5*SUM(IFERROR((((COUNTIF(BY5:BY6,"A"))*4)+((COUNTIF(BY5:BY6,"B"))*3)+((COUNTIF(BY5:BY6,"C"))*2)+((COUNTIF(BY5:BY6,"D"))*1))*CELL("contenu",$B$4),0),IFERROR((((COUNTIF(BY8:BY11,"A"))*4)+((COUNTIF(BY8:BY11,"B"))*3)+((COUNTIF(BY8:BY11,"C"))*2)+((COUNTIF(BY8:BY11,"D"))*1))*CELL("contenu",$B$7),0),IFERROR((((COUNTIF(BY13:BY13,"A"))*4)+((COUNTIF(BY13:BY13,"B"))*3)+((COUNTIF(BY13:BY13,"C"))*2)+((COUNTIF(BY13:BY13,"D"))*1))*CELL("contenu",$B$12),0),IFERROR((((COUNTIF(BY15:BY17,"A"))*4)+((COUNTIF(BY15:BY17,"B"))*3)+((COUNTIF(BY15:BY17,"C"))*2)+((COUNTIF(BY15:BY17,"D"))*1))*CELL("contenu",$B$14),0),IFERROR((((COUNTIF(BY19:BY19,"A"))*4)+((COUNTIF(BY19:BY19,"B"))*3)+((COUNTIF(BY19:BY19,"C"))*2)+((COUNTIF(BY19:BY19,"D"))*1))*CELL("contenu",$B$18),0))/IF(SUM(COUNTA(BY5:BY6)*CELL("contenu",$B$4),COUNTA(BY8:BY11)*CELL("contenu",$B$7),COUNTA(BY13:BY13)*CELL("contenu",$B$12),COUNTA(BY15:BY17)*CELL("contenu",$B$14),COUNTA(BY19:BY19)*CELL("contenu",$B$18))=0,1,SUM(COUNTA(BY5:BY6)*CELL("contenu",$B$4),COUNTA(BY8:BY11)*CELL("contenu",$B$7),COUNTA(BY13:BY13)*CELL("contenu",$B$12),COUNTA(BY15:BY17)*CELL("contenu",$B$14),COUNTA(BY19:BY19)*CELL("contenu",$B$18))))</f>
        <v/>
      </c>
      <c r="BZ20" s="184" t="str">
        <f ca="1">IF(COUNTA(BZ5:BZ19)=0,"",5*SUM(IFERROR((((COUNTIF(BZ5:BZ6,"A"))*4)+((COUNTIF(BZ5:BZ6,"B"))*3)+((COUNTIF(BZ5:BZ6,"C"))*2)+((COUNTIF(BZ5:BZ6,"D"))*1))*CELL("contenu",$B$4),0),IFERROR((((COUNTIF(BZ8:BZ11,"A"))*4)+((COUNTIF(BZ8:BZ11,"B"))*3)+((COUNTIF(BZ8:BZ11,"C"))*2)+((COUNTIF(BZ8:BZ11,"D"))*1))*CELL("contenu",$B$7),0),IFERROR((((COUNTIF(BZ13:BZ13,"A"))*4)+((COUNTIF(BZ13:BZ13,"B"))*3)+((COUNTIF(BZ13:BZ13,"C"))*2)+((COUNTIF(BZ13:BZ13,"D"))*1))*CELL("contenu",$B$12),0),IFERROR((((COUNTIF(BZ15:BZ17,"A"))*4)+((COUNTIF(BZ15:BZ17,"B"))*3)+((COUNTIF(BZ15:BZ17,"C"))*2)+((COUNTIF(BZ15:BZ17,"D"))*1))*CELL("contenu",$B$14),0),IFERROR((((COUNTIF(BZ19:BZ19,"A"))*4)+((COUNTIF(BZ19:BZ19,"B"))*3)+((COUNTIF(BZ19:BZ19,"C"))*2)+((COUNTIF(BZ19:BZ19,"D"))*1))*CELL("contenu",$B$18),0))/IF(SUM(COUNTA(BZ5:BZ6)*CELL("contenu",$B$4),COUNTA(BZ8:BZ11)*CELL("contenu",$B$7),COUNTA(BZ13:BZ13)*CELL("contenu",$B$12),COUNTA(BZ15:BZ17)*CELL("contenu",$B$14),COUNTA(BZ19:BZ19)*CELL("contenu",$B$18))=0,1,SUM(COUNTA(BZ5:BZ6)*CELL("contenu",$B$4),COUNTA(BZ8:BZ11)*CELL("contenu",$B$7),COUNTA(BZ13:BZ13)*CELL("contenu",$B$12),COUNTA(BZ15:BZ17)*CELL("contenu",$B$14),COUNTA(BZ19:BZ19)*CELL("contenu",$B$18))))</f>
        <v/>
      </c>
      <c r="CA20" s="176"/>
      <c r="CB20" s="175" t="str">
        <f ca="1">IF(COUNTA(BX20:BZ20)-COUNTBLANK(BX20:BZ20)=0,"",SUM(BX20:BZ20)/(COUNTA(BX20:BZ20)-COUNTBLANK(BX20:BZ20)))</f>
        <v/>
      </c>
      <c r="CC20" s="182" t="str">
        <f ca="1">IF(COUNTA(CC5:CC19)=0,"",5*SUM(IFERROR((((COUNTIF(CC5:CC6,"A"))*4)+((COUNTIF(CC5:CC6,"B"))*3)+((COUNTIF(CC5:CC6,"C"))*2)+((COUNTIF(CC5:CC6,"D"))*1))*CELL("contenu",$B$4),0),IFERROR((((COUNTIF(CC8:CC11,"A"))*4)+((COUNTIF(CC8:CC11,"B"))*3)+((COUNTIF(CC8:CC11,"C"))*2)+((COUNTIF(CC8:CC11,"D"))*1))*CELL("contenu",$B$7),0),IFERROR((((COUNTIF(CC13:CC13,"A"))*4)+((COUNTIF(CC13:CC13,"B"))*3)+((COUNTIF(CC13:CC13,"C"))*2)+((COUNTIF(CC13:CC13,"D"))*1))*CELL("contenu",$B$12),0),IFERROR((((COUNTIF(CC15:CC17,"A"))*4)+((COUNTIF(CC15:CC17,"B"))*3)+((COUNTIF(CC15:CC17,"C"))*2)+((COUNTIF(CC15:CC17,"D"))*1))*CELL("contenu",$B$14),0),IFERROR((((COUNTIF(CC19:CC19,"A"))*4)+((COUNTIF(CC19:CC19,"B"))*3)+((COUNTIF(CC19:CC19,"C"))*2)+((COUNTIF(CC19:CC19,"D"))*1))*CELL("contenu",$B$18),0))/IF(SUM(COUNTA(CC5:CC6)*CELL("contenu",$B$4),COUNTA(CC8:CC11)*CELL("contenu",$B$7),COUNTA(CC13:CC13)*CELL("contenu",$B$12),COUNTA(CC15:CC17)*CELL("contenu",$B$14),COUNTA(CC19:CC19)*CELL("contenu",$B$18))=0,1,SUM(COUNTA(CC5:CC6)*CELL("contenu",$B$4),COUNTA(CC8:CC11)*CELL("contenu",$B$7),COUNTA(CC13:CC13)*CELL("contenu",$B$12),COUNTA(CC15:CC17)*CELL("contenu",$B$14),COUNTA(CC19:CC19)*CELL("contenu",$B$18))))</f>
        <v/>
      </c>
      <c r="CD20" s="183" t="str">
        <f ca="1">IF(COUNTA(CD5:CD19)=0,"",5*SUM(IFERROR((((COUNTIF(CD5:CD6,"A"))*4)+((COUNTIF(CD5:CD6,"B"))*3)+((COUNTIF(CD5:CD6,"C"))*2)+((COUNTIF(CD5:CD6,"D"))*1))*CELL("contenu",$B$4),0),IFERROR((((COUNTIF(CD8:CD11,"A"))*4)+((COUNTIF(CD8:CD11,"B"))*3)+((COUNTIF(CD8:CD11,"C"))*2)+((COUNTIF(CD8:CD11,"D"))*1))*CELL("contenu",$B$7),0),IFERROR((((COUNTIF(CD13:CD13,"A"))*4)+((COUNTIF(CD13:CD13,"B"))*3)+((COUNTIF(CD13:CD13,"C"))*2)+((COUNTIF(CD13:CD13,"D"))*1))*CELL("contenu",$B$12),0),IFERROR((((COUNTIF(CD15:CD17,"A"))*4)+((COUNTIF(CD15:CD17,"B"))*3)+((COUNTIF(CD15:CD17,"C"))*2)+((COUNTIF(CD15:CD17,"D"))*1))*CELL("contenu",$B$14),0),IFERROR((((COUNTIF(CD19:CD19,"A"))*4)+((COUNTIF(CD19:CD19,"B"))*3)+((COUNTIF(CD19:CD19,"C"))*2)+((COUNTIF(CD19:CD19,"D"))*1))*CELL("contenu",$B$18),0))/IF(SUM(COUNTA(CD5:CD6)*CELL("contenu",$B$4),COUNTA(CD8:CD11)*CELL("contenu",$B$7),COUNTA(CD13:CD13)*CELL("contenu",$B$12),COUNTA(CD15:CD17)*CELL("contenu",$B$14),COUNTA(CD19:CD19)*CELL("contenu",$B$18))=0,1,SUM(COUNTA(CD5:CD6)*CELL("contenu",$B$4),COUNTA(CD8:CD11)*CELL("contenu",$B$7),COUNTA(CD13:CD13)*CELL("contenu",$B$12),COUNTA(CD15:CD17)*CELL("contenu",$B$14),COUNTA(CD19:CD19)*CELL("contenu",$B$18))))</f>
        <v/>
      </c>
      <c r="CE20" s="184" t="str">
        <f ca="1">IF(COUNTA(CE5:CE19)=0,"",5*SUM(IFERROR((((COUNTIF(CE5:CE6,"A"))*4)+((COUNTIF(CE5:CE6,"B"))*3)+((COUNTIF(CE5:CE6,"C"))*2)+((COUNTIF(CE5:CE6,"D"))*1))*CELL("contenu",$B$4),0),IFERROR((((COUNTIF(CE8:CE11,"A"))*4)+((COUNTIF(CE8:CE11,"B"))*3)+((COUNTIF(CE8:CE11,"C"))*2)+((COUNTIF(CE8:CE11,"D"))*1))*CELL("contenu",$B$7),0),IFERROR((((COUNTIF(CE13:CE13,"A"))*4)+((COUNTIF(CE13:CE13,"B"))*3)+((COUNTIF(CE13:CE13,"C"))*2)+((COUNTIF(CE13:CE13,"D"))*1))*CELL("contenu",$B$12),0),IFERROR((((COUNTIF(CE15:CE17,"A"))*4)+((COUNTIF(CE15:CE17,"B"))*3)+((COUNTIF(CE15:CE17,"C"))*2)+((COUNTIF(CE15:CE17,"D"))*1))*CELL("contenu",$B$14),0),IFERROR((((COUNTIF(CE19:CE19,"A"))*4)+((COUNTIF(CE19:CE19,"B"))*3)+((COUNTIF(CE19:CE19,"C"))*2)+((COUNTIF(CE19:CE19,"D"))*1))*CELL("contenu",$B$18),0))/IF(SUM(COUNTA(CE5:CE6)*CELL("contenu",$B$4),COUNTA(CE8:CE11)*CELL("contenu",$B$7),COUNTA(CE13:CE13)*CELL("contenu",$B$12),COUNTA(CE15:CE17)*CELL("contenu",$B$14),COUNTA(CE19:CE19)*CELL("contenu",$B$18))=0,1,SUM(COUNTA(CE5:CE6)*CELL("contenu",$B$4),COUNTA(CE8:CE11)*CELL("contenu",$B$7),COUNTA(CE13:CE13)*CELL("contenu",$B$12),COUNTA(CE15:CE17)*CELL("contenu",$B$14),COUNTA(CE19:CE19)*CELL("contenu",$B$18))))</f>
        <v/>
      </c>
      <c r="CF20" s="176"/>
      <c r="CG20" s="174" t="str">
        <f ca="1">IF(COUNTA(CC20:CE20)-COUNTBLANK(CC20:CE20)=0,"",SUM(CC20:CE20)/(COUNTA(CC20:CE20)-COUNTBLANK(CC20:CE20)))</f>
        <v/>
      </c>
      <c r="CH20" s="103"/>
      <c r="CI20" s="141"/>
      <c r="CJ20" s="167">
        <f ca="1">IF(COUNTA(CJ5:CJ19)=0,"",5*SUM(IFERROR((((COUNTIF(CJ5:CJ6,"A"))*4)+((COUNTIF(CJ5:CJ6,"B"))*3)+((COUNTIF(CJ5:CJ6,"C"))*2)+((COUNTIF(CJ5:CJ6,"D"))*1))*CELL("contenu",$B$4),0),IFERROR((((COUNTIF(CJ8:CJ11,"A"))*4)+((COUNTIF(CJ8:CJ11,"B"))*3)+((COUNTIF(CJ8:CJ11,"C"))*2)+((COUNTIF(CJ8:CJ11,"D"))*1))*CELL("contenu",$B$7),0),IFERROR((((COUNTIF(CJ13:CJ13,"A"))*4)+((COUNTIF(CJ13:CJ13,"B"))*3)+((COUNTIF(CJ13:CJ13,"C"))*2)+((COUNTIF(CJ13:CJ13,"D"))*1))*CELL("contenu",$B$12),0),IFERROR((((COUNTIF(CJ15:CJ17,"A"))*4)+((COUNTIF(CJ15:CJ17,"B"))*3)+((COUNTIF(CJ15:CJ17,"C"))*2)+((COUNTIF(CJ15:CJ17,"D"))*1))*CELL("contenu",$B$14),0),IFERROR((((COUNTIF(CJ19:CJ19,"A"))*4)+((COUNTIF(CJ19:CJ19,"B"))*3)+((COUNTIF(CJ19:CJ19,"C"))*2)+((COUNTIF(CJ19:CJ19,"D"))*1))*CELL("contenu",$B$18),0))/IF(SUM(COUNTA(CJ5:CJ6)*CELL("contenu",$B$4),COUNTA(CJ8:CJ11)*CELL("contenu",$B$7),COUNTA(CJ13:CJ13)*CELL("contenu",$B$12),COUNTA(CJ15:CJ17)*CELL("contenu",$B$14),COUNTA(CJ19:CJ19)*CELL("contenu",$B$18))=0,1,SUM(COUNTA(CJ5:CJ6)*CELL("contenu",$B$4),COUNTA(CJ8:CJ11)*CELL("contenu",$B$7),COUNTA(CJ13:CJ13)*CELL("contenu",$B$12),COUNTA(CJ15:CJ17)*CELL("contenu",$B$14),COUNTA(CJ19:CJ19)*CELL("contenu",$B$18))))</f>
        <v>20</v>
      </c>
      <c r="CK20" s="168">
        <f ca="1">IF(COUNTA(CK5:CK19)=0,"",5*SUM(IFERROR((((COUNTIF(CK5:CK6,"A"))*4)+((COUNTIF(CK5:CK6,"B"))*3)+((COUNTIF(CK5:CK6,"C"))*2)+((COUNTIF(CK5:CK6,"D"))*1))*CELL("contenu",$B$4),0),IFERROR((((COUNTIF(CK8:CK11,"A"))*4)+((COUNTIF(CK8:CK11,"B"))*3)+((COUNTIF(CK8:CK11,"C"))*2)+((COUNTIF(CK8:CK11,"D"))*1))*CELL("contenu",$B$7),0),IFERROR((((COUNTIF(CK13:CK13,"A"))*4)+((COUNTIF(CK13:CK13,"B"))*3)+((COUNTIF(CK13:CK13,"C"))*2)+((COUNTIF(CK13:CK13,"D"))*1))*CELL("contenu",$B$12),0),IFERROR((((COUNTIF(CK15:CK17,"A"))*4)+((COUNTIF(CK15:CK17,"B"))*3)+((COUNTIF(CK15:CK17,"C"))*2)+((COUNTIF(CK15:CK17,"D"))*1))*CELL("contenu",$B$14),0),IFERROR((((COUNTIF(CK19:CK19,"A"))*4)+((COUNTIF(CK19:CK19,"B"))*3)+((COUNTIF(CK19:CK19,"C"))*2)+((COUNTIF(CK19:CK19,"D"))*1))*CELL("contenu",$B$18),0))/IF(SUM(COUNTA(CK5:CK6)*CELL("contenu",$B$4),COUNTA(CK8:CK11)*CELL("contenu",$B$7),COUNTA(CK13:CK13)*CELL("contenu",$B$12),COUNTA(CK15:CK17)*CELL("contenu",$B$14),COUNTA(CK19:CK19)*CELL("contenu",$B$18))=0,1,SUM(COUNTA(CK5:CK6)*CELL("contenu",$B$4),COUNTA(CK8:CK11)*CELL("contenu",$B$7),COUNTA(CK13:CK13)*CELL("contenu",$B$12),COUNTA(CK15:CK17)*CELL("contenu",$B$14),COUNTA(CK19:CK19)*CELL("contenu",$B$18))))</f>
        <v>13.333333333333334</v>
      </c>
      <c r="CL20" s="169" t="str">
        <f ca="1">IF(COUNTA(CL5:CL19)=0,"",5*SUM(IFERROR((((COUNTIF(CL5:CL6,"A"))*4)+((COUNTIF(CL5:CL6,"B"))*3)+((COUNTIF(CL5:CL6,"C"))*2)+((COUNTIF(CL5:CL6,"D"))*1))*CELL("contenu",$B$4),0),IFERROR((((COUNTIF(CL8:CL11,"A"))*4)+((COUNTIF(CL8:CL11,"B"))*3)+((COUNTIF(CL8:CL11,"C"))*2)+((COUNTIF(CL8:CL11,"D"))*1))*CELL("contenu",$B$7),0),IFERROR((((COUNTIF(CL13:CL13,"A"))*4)+((COUNTIF(CL13:CL13,"B"))*3)+((COUNTIF(CL13:CL13,"C"))*2)+((COUNTIF(CL13:CL13,"D"))*1))*CELL("contenu",$B$12),0),IFERROR((((COUNTIF(CL15:CL17,"A"))*4)+((COUNTIF(CL15:CL17,"B"))*3)+((COUNTIF(CL15:CL17,"C"))*2)+((COUNTIF(CL15:CL17,"D"))*1))*CELL("contenu",$B$14),0),IFERROR((((COUNTIF(CL19:CL19,"A"))*4)+((COUNTIF(CL19:CL19,"B"))*3)+((COUNTIF(CL19:CL19,"C"))*2)+((COUNTIF(CL19:CL19,"D"))*1))*CELL("contenu",$B$18),0))/IF(SUM(COUNTA(CL5:CL6)*CELL("contenu",$B$4),COUNTA(CL8:CL11)*CELL("contenu",$B$7),COUNTA(CL13:CL13)*CELL("contenu",$B$12),COUNTA(CL15:CL17)*CELL("contenu",$B$14),COUNTA(CL19:CL19)*CELL("contenu",$B$18))=0,1,SUM(COUNTA(CL5:CL6)*CELL("contenu",$B$4),COUNTA(CL8:CL11)*CELL("contenu",$B$7),COUNTA(CL13:CL13)*CELL("contenu",$B$12),COUNTA(CL15:CL17)*CELL("contenu",$B$14),COUNTA(CL19:CL19)*CELL("contenu",$B$18))))</f>
        <v/>
      </c>
      <c r="CM20" s="116"/>
      <c r="CN20" s="192">
        <f ca="1">IF(COUNTA(CJ20:CL20)-COUNTBLANK(CJ20:CL20)=0,"",SUM(CJ20:CL20)/(COUNTA(CJ20:CL20)-COUNTBLANK(CJ20:CL20)))</f>
        <v>16.666666666666668</v>
      </c>
      <c r="CO20" s="182" t="str">
        <f ca="1">IF(COUNTA(CO5:CO19)=0,"",5*SUM(IFERROR((((COUNTIF(CO5:CO6,"A"))*4)+((COUNTIF(CO5:CO6,"B"))*3)+((COUNTIF(CO5:CO6,"C"))*2)+((COUNTIF(CO5:CO6,"D"))*1))*CELL("contenu",$B$4),0),IFERROR((((COUNTIF(CO8:CO11,"A"))*4)+((COUNTIF(CO8:CO11,"B"))*3)+((COUNTIF(CO8:CO11,"C"))*2)+((COUNTIF(CO8:CO11,"D"))*1))*CELL("contenu",$B$7),0),IFERROR((((COUNTIF(CO13:CO13,"A"))*4)+((COUNTIF(CO13:CO13,"B"))*3)+((COUNTIF(CO13:CO13,"C"))*2)+((COUNTIF(CO13:CO13,"D"))*1))*CELL("contenu",$B$12),0),IFERROR((((COUNTIF(CO15:CO17,"A"))*4)+((COUNTIF(CO15:CO17,"B"))*3)+((COUNTIF(CO15:CO17,"C"))*2)+((COUNTIF(CO15:CO17,"D"))*1))*CELL("contenu",$B$14),0),IFERROR((((COUNTIF(CO19:CO19,"A"))*4)+((COUNTIF(CO19:CO19,"B"))*3)+((COUNTIF(CO19:CO19,"C"))*2)+((COUNTIF(CO19:CO19,"D"))*1))*CELL("contenu",$B$18),0))/IF(SUM(COUNTA(CO5:CO6)*CELL("contenu",$B$4),COUNTA(CO8:CO11)*CELL("contenu",$B$7),COUNTA(CO13:CO13)*CELL("contenu",$B$12),COUNTA(CO15:CO17)*CELL("contenu",$B$14),COUNTA(CO19:CO19)*CELL("contenu",$B$18))=0,1,SUM(COUNTA(CO5:CO6)*CELL("contenu",$B$4),COUNTA(CO8:CO11)*CELL("contenu",$B$7),COUNTA(CO13:CO13)*CELL("contenu",$B$12),COUNTA(CO15:CO17)*CELL("contenu",$B$14),COUNTA(CO19:CO19)*CELL("contenu",$B$18))))</f>
        <v/>
      </c>
      <c r="CP20" s="183" t="str">
        <f ca="1">IF(COUNTA(CP5:CP19)=0,"",5*SUM(IFERROR((((COUNTIF(CP5:CP6,"A"))*4)+((COUNTIF(CP5:CP6,"B"))*3)+((COUNTIF(CP5:CP6,"C"))*2)+((COUNTIF(CP5:CP6,"D"))*1))*CELL("contenu",$B$4),0),IFERROR((((COUNTIF(CP8:CP11,"A"))*4)+((COUNTIF(CP8:CP11,"B"))*3)+((COUNTIF(CP8:CP11,"C"))*2)+((COUNTIF(CP8:CP11,"D"))*1))*CELL("contenu",$B$7),0),IFERROR((((COUNTIF(CP13:CP13,"A"))*4)+((COUNTIF(CP13:CP13,"B"))*3)+((COUNTIF(CP13:CP13,"C"))*2)+((COUNTIF(CP13:CP13,"D"))*1))*CELL("contenu",$B$12),0),IFERROR((((COUNTIF(CP15:CP17,"A"))*4)+((COUNTIF(CP15:CP17,"B"))*3)+((COUNTIF(CP15:CP17,"C"))*2)+((COUNTIF(CP15:CP17,"D"))*1))*CELL("contenu",$B$14),0),IFERROR((((COUNTIF(CP19:CP19,"A"))*4)+((COUNTIF(CP19:CP19,"B"))*3)+((COUNTIF(CP19:CP19,"C"))*2)+((COUNTIF(CP19:CP19,"D"))*1))*CELL("contenu",$B$18),0))/IF(SUM(COUNTA(CP5:CP6)*CELL("contenu",$B$4),COUNTA(CP8:CP11)*CELL("contenu",$B$7),COUNTA(CP13:CP13)*CELL("contenu",$B$12),COUNTA(CP15:CP17)*CELL("contenu",$B$14),COUNTA(CP19:CP19)*CELL("contenu",$B$18))=0,1,SUM(COUNTA(CP5:CP6)*CELL("contenu",$B$4),COUNTA(CP8:CP11)*CELL("contenu",$B$7),COUNTA(CP13:CP13)*CELL("contenu",$B$12),COUNTA(CP15:CP17)*CELL("contenu",$B$14),COUNTA(CP19:CP19)*CELL("contenu",$B$18))))</f>
        <v/>
      </c>
      <c r="CQ20" s="184" t="str">
        <f ca="1">IF(COUNTA(CQ5:CQ19)=0,"",5*SUM(IFERROR((((COUNTIF(CQ5:CQ6,"A"))*4)+((COUNTIF(CQ5:CQ6,"B"))*3)+((COUNTIF(CQ5:CQ6,"C"))*2)+((COUNTIF(CQ5:CQ6,"D"))*1))*CELL("contenu",$B$4),0),IFERROR((((COUNTIF(CQ8:CQ11,"A"))*4)+((COUNTIF(CQ8:CQ11,"B"))*3)+((COUNTIF(CQ8:CQ11,"C"))*2)+((COUNTIF(CQ8:CQ11,"D"))*1))*CELL("contenu",$B$7),0),IFERROR((((COUNTIF(CQ13:CQ13,"A"))*4)+((COUNTIF(CQ13:CQ13,"B"))*3)+((COUNTIF(CQ13:CQ13,"C"))*2)+((COUNTIF(CQ13:CQ13,"D"))*1))*CELL("contenu",$B$12),0),IFERROR((((COUNTIF(CQ15:CQ17,"A"))*4)+((COUNTIF(CQ15:CQ17,"B"))*3)+((COUNTIF(CQ15:CQ17,"C"))*2)+((COUNTIF(CQ15:CQ17,"D"))*1))*CELL("contenu",$B$14),0),IFERROR((((COUNTIF(CQ19:CQ19,"A"))*4)+((COUNTIF(CQ19:CQ19,"B"))*3)+((COUNTIF(CQ19:CQ19,"C"))*2)+((COUNTIF(CQ19:CQ19,"D"))*1))*CELL("contenu",$B$18),0))/IF(SUM(COUNTA(CQ5:CQ6)*CELL("contenu",$B$4),COUNTA(CQ8:CQ11)*CELL("contenu",$B$7),COUNTA(CQ13:CQ13)*CELL("contenu",$B$12),COUNTA(CQ15:CQ17)*CELL("contenu",$B$14),COUNTA(CQ19:CQ19)*CELL("contenu",$B$18))=0,1,SUM(COUNTA(CQ5:CQ6)*CELL("contenu",$B$4),COUNTA(CQ8:CQ11)*CELL("contenu",$B$7),COUNTA(CQ13:CQ13)*CELL("contenu",$B$12),COUNTA(CQ15:CQ17)*CELL("contenu",$B$14),COUNTA(CQ19:CQ19)*CELL("contenu",$B$18))))</f>
        <v/>
      </c>
      <c r="CR20" s="176"/>
      <c r="CS20" s="175" t="str">
        <f ca="1">IF(COUNTA(CO20:CQ20)-COUNTBLANK(CO20:CQ20)=0,"",SUM(CO20:CQ20)/(COUNTA(CO20:CQ20)-COUNTBLANK(CO20:CQ20)))</f>
        <v/>
      </c>
      <c r="CT20" s="182" t="str">
        <f ca="1">IF(COUNTA(CT5:CT19)=0,"",5*SUM(IFERROR((((COUNTIF(CT5:CT6,"A"))*4)+((COUNTIF(CT5:CT6,"B"))*3)+((COUNTIF(CT5:CT6,"C"))*2)+((COUNTIF(CT5:CT6,"D"))*1))*CELL("contenu",$B$4),0),IFERROR((((COUNTIF(CT8:CT11,"A"))*4)+((COUNTIF(CT8:CT11,"B"))*3)+((COUNTIF(CT8:CT11,"C"))*2)+((COUNTIF(CT8:CT11,"D"))*1))*CELL("contenu",$B$7),0),IFERROR((((COUNTIF(CT13:CT13,"A"))*4)+((COUNTIF(CT13:CT13,"B"))*3)+((COUNTIF(CT13:CT13,"C"))*2)+((COUNTIF(CT13:CT13,"D"))*1))*CELL("contenu",$B$12),0),IFERROR((((COUNTIF(CT15:CT17,"A"))*4)+((COUNTIF(CT15:CT17,"B"))*3)+((COUNTIF(CT15:CT17,"C"))*2)+((COUNTIF(CT15:CT17,"D"))*1))*CELL("contenu",$B$14),0),IFERROR((((COUNTIF(CT19:CT19,"A"))*4)+((COUNTIF(CT19:CT19,"B"))*3)+((COUNTIF(CT19:CT19,"C"))*2)+((COUNTIF(CT19:CT19,"D"))*1))*CELL("contenu",$B$18),0))/IF(SUM(COUNTA(CT5:CT6)*CELL("contenu",$B$4),COUNTA(CT8:CT11)*CELL("contenu",$B$7),COUNTA(CT13:CT13)*CELL("contenu",$B$12),COUNTA(CT15:CT17)*CELL("contenu",$B$14),COUNTA(CT19:CT19)*CELL("contenu",$B$18))=0,1,SUM(COUNTA(CT5:CT6)*CELL("contenu",$B$4),COUNTA(CT8:CT11)*CELL("contenu",$B$7),COUNTA(CT13:CT13)*CELL("contenu",$B$12),COUNTA(CT15:CT17)*CELL("contenu",$B$14),COUNTA(CT19:CT19)*CELL("contenu",$B$18))))</f>
        <v/>
      </c>
      <c r="CU20" s="183" t="str">
        <f ca="1">IF(COUNTA(CU5:CU19)=0,"",5*SUM(IFERROR((((COUNTIF(CU5:CU6,"A"))*4)+((COUNTIF(CU5:CU6,"B"))*3)+((COUNTIF(CU5:CU6,"C"))*2)+((COUNTIF(CU5:CU6,"D"))*1))*CELL("contenu",$B$4),0),IFERROR((((COUNTIF(CU8:CU11,"A"))*4)+((COUNTIF(CU8:CU11,"B"))*3)+((COUNTIF(CU8:CU11,"C"))*2)+((COUNTIF(CU8:CU11,"D"))*1))*CELL("contenu",$B$7),0),IFERROR((((COUNTIF(CU13:CU13,"A"))*4)+((COUNTIF(CU13:CU13,"B"))*3)+((COUNTIF(CU13:CU13,"C"))*2)+((COUNTIF(CU13:CU13,"D"))*1))*CELL("contenu",$B$12),0),IFERROR((((COUNTIF(CU15:CU17,"A"))*4)+((COUNTIF(CU15:CU17,"B"))*3)+((COUNTIF(CU15:CU17,"C"))*2)+((COUNTIF(CU15:CU17,"D"))*1))*CELL("contenu",$B$14),0),IFERROR((((COUNTIF(CU19:CU19,"A"))*4)+((COUNTIF(CU19:CU19,"B"))*3)+((COUNTIF(CU19:CU19,"C"))*2)+((COUNTIF(CU19:CU19,"D"))*1))*CELL("contenu",$B$18),0))/IF(SUM(COUNTA(CU5:CU6)*CELL("contenu",$B$4),COUNTA(CU8:CU11)*CELL("contenu",$B$7),COUNTA(CU13:CU13)*CELL("contenu",$B$12),COUNTA(CU15:CU17)*CELL("contenu",$B$14),COUNTA(CU19:CU19)*CELL("contenu",$B$18))=0,1,SUM(COUNTA(CU5:CU6)*CELL("contenu",$B$4),COUNTA(CU8:CU11)*CELL("contenu",$B$7),COUNTA(CU13:CU13)*CELL("contenu",$B$12),COUNTA(CU15:CU17)*CELL("contenu",$B$14),COUNTA(CU19:CU19)*CELL("contenu",$B$18))))</f>
        <v/>
      </c>
      <c r="CV20" s="184" t="str">
        <f ca="1">IF(COUNTA(CV5:CV19)=0,"",5*SUM(IFERROR((((COUNTIF(CV5:CV6,"A"))*4)+((COUNTIF(CV5:CV6,"B"))*3)+((COUNTIF(CV5:CV6,"C"))*2)+((COUNTIF(CV5:CV6,"D"))*1))*CELL("contenu",$B$4),0),IFERROR((((COUNTIF(CV8:CV11,"A"))*4)+((COUNTIF(CV8:CV11,"B"))*3)+((COUNTIF(CV8:CV11,"C"))*2)+((COUNTIF(CV8:CV11,"D"))*1))*CELL("contenu",$B$7),0),IFERROR((((COUNTIF(CV13:CV13,"A"))*4)+((COUNTIF(CV13:CV13,"B"))*3)+((COUNTIF(CV13:CV13,"C"))*2)+((COUNTIF(CV13:CV13,"D"))*1))*CELL("contenu",$B$12),0),IFERROR((((COUNTIF(CV15:CV17,"A"))*4)+((COUNTIF(CV15:CV17,"B"))*3)+((COUNTIF(CV15:CV17,"C"))*2)+((COUNTIF(CV15:CV17,"D"))*1))*CELL("contenu",$B$14),0),IFERROR((((COUNTIF(CV19:CV19,"A"))*4)+((COUNTIF(CV19:CV19,"B"))*3)+((COUNTIF(CV19:CV19,"C"))*2)+((COUNTIF(CV19:CV19,"D"))*1))*CELL("contenu",$B$18),0))/IF(SUM(COUNTA(CV5:CV6)*CELL("contenu",$B$4),COUNTA(CV8:CV11)*CELL("contenu",$B$7),COUNTA(CV13:CV13)*CELL("contenu",$B$12),COUNTA(CV15:CV17)*CELL("contenu",$B$14),COUNTA(CV19:CV19)*CELL("contenu",$B$18))=0,1,SUM(COUNTA(CV5:CV6)*CELL("contenu",$B$4),COUNTA(CV8:CV11)*CELL("contenu",$B$7),COUNTA(CV13:CV13)*CELL("contenu",$B$12),COUNTA(CV15:CV17)*CELL("contenu",$B$14),COUNTA(CV19:CV19)*CELL("contenu",$B$18))))</f>
        <v/>
      </c>
      <c r="CW20" s="176"/>
      <c r="CX20" s="174" t="str">
        <f ca="1">IF(COUNTA(CT20:CV20)-COUNTBLANK(CT20:CV20)=0,"",SUM(CT20:CV20)/(COUNTA(CT20:CV20)-COUNTBLANK(CT20:CV20)))</f>
        <v/>
      </c>
      <c r="CY20" s="103"/>
      <c r="CZ20" s="141"/>
      <c r="DA20" s="167">
        <f ca="1">IF(COUNTA(DA5:DA19)=0,"",5*SUM(IFERROR((((COUNTIF(DA5:DA6,"A"))*4)+((COUNTIF(DA5:DA6,"B"))*3)+((COUNTIF(DA5:DA6,"C"))*2)+((COUNTIF(DA5:DA6,"D"))*1))*CELL("contenu",$B$4),0),IFERROR((((COUNTIF(DA8:DA11,"A"))*4)+((COUNTIF(DA8:DA11,"B"))*3)+((COUNTIF(DA8:DA11,"C"))*2)+((COUNTIF(DA8:DA11,"D"))*1))*CELL("contenu",$B$7),0),IFERROR((((COUNTIF(DA13:DA13,"A"))*4)+((COUNTIF(DA13:DA13,"B"))*3)+((COUNTIF(DA13:DA13,"C"))*2)+((COUNTIF(DA13:DA13,"D"))*1))*CELL("contenu",$B$12),0),IFERROR((((COUNTIF(DA15:DA17,"A"))*4)+((COUNTIF(DA15:DA17,"B"))*3)+((COUNTIF(DA15:DA17,"C"))*2)+((COUNTIF(DA15:DA17,"D"))*1))*CELL("contenu",$B$14),0),IFERROR((((COUNTIF(DA19:DA19,"A"))*4)+((COUNTIF(DA19:DA19,"B"))*3)+((COUNTIF(DA19:DA19,"C"))*2)+((COUNTIF(DA19:DA19,"D"))*1))*CELL("contenu",$B$18),0))/IF(SUM(COUNTA(DA5:DA6)*CELL("contenu",$B$4),COUNTA(DA8:DA11)*CELL("contenu",$B$7),COUNTA(DA13:DA13)*CELL("contenu",$B$12),COUNTA(DA15:DA17)*CELL("contenu",$B$14),COUNTA(DA19:DA19)*CELL("contenu",$B$18))=0,1,SUM(COUNTA(DA5:DA6)*CELL("contenu",$B$4),COUNTA(DA8:DA11)*CELL("contenu",$B$7),COUNTA(DA13:DA13)*CELL("contenu",$B$12),COUNTA(DA15:DA17)*CELL("contenu",$B$14),COUNTA(DA19:DA19)*CELL("contenu",$B$18))))</f>
        <v>18.333333333333332</v>
      </c>
      <c r="DB20" s="168">
        <f ca="1">IF(COUNTA(DB5:DB19)=0,"",5*SUM(IFERROR((((COUNTIF(DB5:DB6,"A"))*4)+((COUNTIF(DB5:DB6,"B"))*3)+((COUNTIF(DB5:DB6,"C"))*2)+((COUNTIF(DB5:DB6,"D"))*1))*CELL("contenu",$B$4),0),IFERROR((((COUNTIF(DB8:DB11,"A"))*4)+((COUNTIF(DB8:DB11,"B"))*3)+((COUNTIF(DB8:DB11,"C"))*2)+((COUNTIF(DB8:DB11,"D"))*1))*CELL("contenu",$B$7),0),IFERROR((((COUNTIF(DB13:DB13,"A"))*4)+((COUNTIF(DB13:DB13,"B"))*3)+((COUNTIF(DB13:DB13,"C"))*2)+((COUNTIF(DB13:DB13,"D"))*1))*CELL("contenu",$B$12),0),IFERROR((((COUNTIF(DB15:DB17,"A"))*4)+((COUNTIF(DB15:DB17,"B"))*3)+((COUNTIF(DB15:DB17,"C"))*2)+((COUNTIF(DB15:DB17,"D"))*1))*CELL("contenu",$B$14),0),IFERROR((((COUNTIF(DB19:DB19,"A"))*4)+((COUNTIF(DB19:DB19,"B"))*3)+((COUNTIF(DB19:DB19,"C"))*2)+((COUNTIF(DB19:DB19,"D"))*1))*CELL("contenu",$B$18),0))/IF(SUM(COUNTA(DB5:DB6)*CELL("contenu",$B$4),COUNTA(DB8:DB11)*CELL("contenu",$B$7),COUNTA(DB13:DB13)*CELL("contenu",$B$12),COUNTA(DB15:DB17)*CELL("contenu",$B$14),COUNTA(DB19:DB19)*CELL("contenu",$B$18))=0,1,SUM(COUNTA(DB5:DB6)*CELL("contenu",$B$4),COUNTA(DB8:DB11)*CELL("contenu",$B$7),COUNTA(DB13:DB13)*CELL("contenu",$B$12),COUNTA(DB15:DB17)*CELL("contenu",$B$14),COUNTA(DB19:DB19)*CELL("contenu",$B$18))))</f>
        <v>11.666666666666666</v>
      </c>
      <c r="DC20" s="169" t="str">
        <f ca="1">IF(COUNTA(DC5:DC19)=0,"",5*SUM(IFERROR((((COUNTIF(DC5:DC6,"A"))*4)+((COUNTIF(DC5:DC6,"B"))*3)+((COUNTIF(DC5:DC6,"C"))*2)+((COUNTIF(DC5:DC6,"D"))*1))*CELL("contenu",$B$4),0),IFERROR((((COUNTIF(DC8:DC11,"A"))*4)+((COUNTIF(DC8:DC11,"B"))*3)+((COUNTIF(DC8:DC11,"C"))*2)+((COUNTIF(DC8:DC11,"D"))*1))*CELL("contenu",$B$7),0),IFERROR((((COUNTIF(DC13:DC13,"A"))*4)+((COUNTIF(DC13:DC13,"B"))*3)+((COUNTIF(DC13:DC13,"C"))*2)+((COUNTIF(DC13:DC13,"D"))*1))*CELL("contenu",$B$12),0),IFERROR((((COUNTIF(DC15:DC17,"A"))*4)+((COUNTIF(DC15:DC17,"B"))*3)+((COUNTIF(DC15:DC17,"C"))*2)+((COUNTIF(DC15:DC17,"D"))*1))*CELL("contenu",$B$14),0),IFERROR((((COUNTIF(DC19:DC19,"A"))*4)+((COUNTIF(DC19:DC19,"B"))*3)+((COUNTIF(DC19:DC19,"C"))*2)+((COUNTIF(DC19:DC19,"D"))*1))*CELL("contenu",$B$18),0))/IF(SUM(COUNTA(DC5:DC6)*CELL("contenu",$B$4),COUNTA(DC8:DC11)*CELL("contenu",$B$7),COUNTA(DC13:DC13)*CELL("contenu",$B$12),COUNTA(DC15:DC17)*CELL("contenu",$B$14),COUNTA(DC19:DC19)*CELL("contenu",$B$18))=0,1,SUM(COUNTA(DC5:DC6)*CELL("contenu",$B$4),COUNTA(DC8:DC11)*CELL("contenu",$B$7),COUNTA(DC13:DC13)*CELL("contenu",$B$12),COUNTA(DC15:DC17)*CELL("contenu",$B$14),COUNTA(DC19:DC19)*CELL("contenu",$B$18))))</f>
        <v/>
      </c>
      <c r="DD20" s="116"/>
      <c r="DE20" s="192">
        <f ca="1">IF(COUNTA(DA20:DC20)-COUNTBLANK(DA20:DC20)=0,"",SUM(DA20:DC20)/(COUNTA(DA20:DC20)-COUNTBLANK(DA20:DC20)))</f>
        <v>15</v>
      </c>
      <c r="DF20" s="182" t="str">
        <f ca="1">IF(COUNTA(DF5:DF19)=0,"",5*SUM(IFERROR((((COUNTIF(DF5:DF6,"A"))*4)+((COUNTIF(DF5:DF6,"B"))*3)+((COUNTIF(DF5:DF6,"C"))*2)+((COUNTIF(DF5:DF6,"D"))*1))*CELL("contenu",$B$4),0),IFERROR((((COUNTIF(DF8:DF11,"A"))*4)+((COUNTIF(DF8:DF11,"B"))*3)+((COUNTIF(DF8:DF11,"C"))*2)+((COUNTIF(DF8:DF11,"D"))*1))*CELL("contenu",$B$7),0),IFERROR((((COUNTIF(DF13:DF13,"A"))*4)+((COUNTIF(DF13:DF13,"B"))*3)+((COUNTIF(DF13:DF13,"C"))*2)+((COUNTIF(DF13:DF13,"D"))*1))*CELL("contenu",$B$12),0),IFERROR((((COUNTIF(DF15:DF17,"A"))*4)+((COUNTIF(DF15:DF17,"B"))*3)+((COUNTIF(DF15:DF17,"C"))*2)+((COUNTIF(DF15:DF17,"D"))*1))*CELL("contenu",$B$14),0),IFERROR((((COUNTIF(DF19:DF19,"A"))*4)+((COUNTIF(DF19:DF19,"B"))*3)+((COUNTIF(DF19:DF19,"C"))*2)+((COUNTIF(DF19:DF19,"D"))*1))*CELL("contenu",$B$18),0))/IF(SUM(COUNTA(DF5:DF6)*CELL("contenu",$B$4),COUNTA(DF8:DF11)*CELL("contenu",$B$7),COUNTA(DF13:DF13)*CELL("contenu",$B$12),COUNTA(DF15:DF17)*CELL("contenu",$B$14),COUNTA(DF19:DF19)*CELL("contenu",$B$18))=0,1,SUM(COUNTA(DF5:DF6)*CELL("contenu",$B$4),COUNTA(DF8:DF11)*CELL("contenu",$B$7),COUNTA(DF13:DF13)*CELL("contenu",$B$12),COUNTA(DF15:DF17)*CELL("contenu",$B$14),COUNTA(DF19:DF19)*CELL("contenu",$B$18))))</f>
        <v/>
      </c>
      <c r="DG20" s="183" t="str">
        <f ca="1">IF(COUNTA(DG5:DG19)=0,"",5*SUM(IFERROR((((COUNTIF(DG5:DG6,"A"))*4)+((COUNTIF(DG5:DG6,"B"))*3)+((COUNTIF(DG5:DG6,"C"))*2)+((COUNTIF(DG5:DG6,"D"))*1))*CELL("contenu",$B$4),0),IFERROR((((COUNTIF(DG8:DG11,"A"))*4)+((COUNTIF(DG8:DG11,"B"))*3)+((COUNTIF(DG8:DG11,"C"))*2)+((COUNTIF(DG8:DG11,"D"))*1))*CELL("contenu",$B$7),0),IFERROR((((COUNTIF(DG13:DG13,"A"))*4)+((COUNTIF(DG13:DG13,"B"))*3)+((COUNTIF(DG13:DG13,"C"))*2)+((COUNTIF(DG13:DG13,"D"))*1))*CELL("contenu",$B$12),0),IFERROR((((COUNTIF(DG15:DG17,"A"))*4)+((COUNTIF(DG15:DG17,"B"))*3)+((COUNTIF(DG15:DG17,"C"))*2)+((COUNTIF(DG15:DG17,"D"))*1))*CELL("contenu",$B$14),0),IFERROR((((COUNTIF(DG19:DG19,"A"))*4)+((COUNTIF(DG19:DG19,"B"))*3)+((COUNTIF(DG19:DG19,"C"))*2)+((COUNTIF(DG19:DG19,"D"))*1))*CELL("contenu",$B$18),0))/IF(SUM(COUNTA(DG5:DG6)*CELL("contenu",$B$4),COUNTA(DG8:DG11)*CELL("contenu",$B$7),COUNTA(DG13:DG13)*CELL("contenu",$B$12),COUNTA(DG15:DG17)*CELL("contenu",$B$14),COUNTA(DG19:DG19)*CELL("contenu",$B$18))=0,1,SUM(COUNTA(DG5:DG6)*CELL("contenu",$B$4),COUNTA(DG8:DG11)*CELL("contenu",$B$7),COUNTA(DG13:DG13)*CELL("contenu",$B$12),COUNTA(DG15:DG17)*CELL("contenu",$B$14),COUNTA(DG19:DG19)*CELL("contenu",$B$18))))</f>
        <v/>
      </c>
      <c r="DH20" s="184" t="str">
        <f ca="1">IF(COUNTA(DH5:DH19)=0,"",5*SUM(IFERROR((((COUNTIF(DH5:DH6,"A"))*4)+((COUNTIF(DH5:DH6,"B"))*3)+((COUNTIF(DH5:DH6,"C"))*2)+((COUNTIF(DH5:DH6,"D"))*1))*CELL("contenu",$B$4),0),IFERROR((((COUNTIF(DH8:DH11,"A"))*4)+((COUNTIF(DH8:DH11,"B"))*3)+((COUNTIF(DH8:DH11,"C"))*2)+((COUNTIF(DH8:DH11,"D"))*1))*CELL("contenu",$B$7),0),IFERROR((((COUNTIF(DH13:DH13,"A"))*4)+((COUNTIF(DH13:DH13,"B"))*3)+((COUNTIF(DH13:DH13,"C"))*2)+((COUNTIF(DH13:DH13,"D"))*1))*CELL("contenu",$B$12),0),IFERROR((((COUNTIF(DH15:DH17,"A"))*4)+((COUNTIF(DH15:DH17,"B"))*3)+((COUNTIF(DH15:DH17,"C"))*2)+((COUNTIF(DH15:DH17,"D"))*1))*CELL("contenu",$B$14),0),IFERROR((((COUNTIF(DH19:DH19,"A"))*4)+((COUNTIF(DH19:DH19,"B"))*3)+((COUNTIF(DH19:DH19,"C"))*2)+((COUNTIF(DH19:DH19,"D"))*1))*CELL("contenu",$B$18),0))/IF(SUM(COUNTA(DH5:DH6)*CELL("contenu",$B$4),COUNTA(DH8:DH11)*CELL("contenu",$B$7),COUNTA(DH13:DH13)*CELL("contenu",$B$12),COUNTA(DH15:DH17)*CELL("contenu",$B$14),COUNTA(DH19:DH19)*CELL("contenu",$B$18))=0,1,SUM(COUNTA(DH5:DH6)*CELL("contenu",$B$4),COUNTA(DH8:DH11)*CELL("contenu",$B$7),COUNTA(DH13:DH13)*CELL("contenu",$B$12),COUNTA(DH15:DH17)*CELL("contenu",$B$14),COUNTA(DH19:DH19)*CELL("contenu",$B$18))))</f>
        <v/>
      </c>
      <c r="DI20" s="176"/>
      <c r="DJ20" s="175" t="str">
        <f ca="1">IF(COUNTA(DF20:DH20)-COUNTBLANK(DF20:DH20)=0,"",SUM(DF20:DH20)/(COUNTA(DF20:DH20)-COUNTBLANK(DF20:DH20)))</f>
        <v/>
      </c>
      <c r="DK20" s="182" t="str">
        <f ca="1">IF(COUNTA(DK5:DK19)=0,"",5*SUM(IFERROR((((COUNTIF(DK5:DK6,"A"))*4)+((COUNTIF(DK5:DK6,"B"))*3)+((COUNTIF(DK5:DK6,"C"))*2)+((COUNTIF(DK5:DK6,"D"))*1))*CELL("contenu",$B$4),0),IFERROR((((COUNTIF(DK8:DK11,"A"))*4)+((COUNTIF(DK8:DK11,"B"))*3)+((COUNTIF(DK8:DK11,"C"))*2)+((COUNTIF(DK8:DK11,"D"))*1))*CELL("contenu",$B$7),0),IFERROR((((COUNTIF(DK13:DK13,"A"))*4)+((COUNTIF(DK13:DK13,"B"))*3)+((COUNTIF(DK13:DK13,"C"))*2)+((COUNTIF(DK13:DK13,"D"))*1))*CELL("contenu",$B$12),0),IFERROR((((COUNTIF(DK15:DK17,"A"))*4)+((COUNTIF(DK15:DK17,"B"))*3)+((COUNTIF(DK15:DK17,"C"))*2)+((COUNTIF(DK15:DK17,"D"))*1))*CELL("contenu",$B$14),0),IFERROR((((COUNTIF(DK19:DK19,"A"))*4)+((COUNTIF(DK19:DK19,"B"))*3)+((COUNTIF(DK19:DK19,"C"))*2)+((COUNTIF(DK19:DK19,"D"))*1))*CELL("contenu",$B$18),0))/IF(SUM(COUNTA(DK5:DK6)*CELL("contenu",$B$4),COUNTA(DK8:DK11)*CELL("contenu",$B$7),COUNTA(DK13:DK13)*CELL("contenu",$B$12),COUNTA(DK15:DK17)*CELL("contenu",$B$14),COUNTA(DK19:DK19)*CELL("contenu",$B$18))=0,1,SUM(COUNTA(DK5:DK6)*CELL("contenu",$B$4),COUNTA(DK8:DK11)*CELL("contenu",$B$7),COUNTA(DK13:DK13)*CELL("contenu",$B$12),COUNTA(DK15:DK17)*CELL("contenu",$B$14),COUNTA(DK19:DK19)*CELL("contenu",$B$18))))</f>
        <v/>
      </c>
      <c r="DL20" s="183" t="str">
        <f ca="1">IF(COUNTA(DL5:DL19)=0,"",5*SUM(IFERROR((((COUNTIF(DL5:DL6,"A"))*4)+((COUNTIF(DL5:DL6,"B"))*3)+((COUNTIF(DL5:DL6,"C"))*2)+((COUNTIF(DL5:DL6,"D"))*1))*CELL("contenu",$B$4),0),IFERROR((((COUNTIF(DL8:DL11,"A"))*4)+((COUNTIF(DL8:DL11,"B"))*3)+((COUNTIF(DL8:DL11,"C"))*2)+((COUNTIF(DL8:DL11,"D"))*1))*CELL("contenu",$B$7),0),IFERROR((((COUNTIF(DL13:DL13,"A"))*4)+((COUNTIF(DL13:DL13,"B"))*3)+((COUNTIF(DL13:DL13,"C"))*2)+((COUNTIF(DL13:DL13,"D"))*1))*CELL("contenu",$B$12),0),IFERROR((((COUNTIF(DL15:DL17,"A"))*4)+((COUNTIF(DL15:DL17,"B"))*3)+((COUNTIF(DL15:DL17,"C"))*2)+((COUNTIF(DL15:DL17,"D"))*1))*CELL("contenu",$B$14),0),IFERROR((((COUNTIF(DL19:DL19,"A"))*4)+((COUNTIF(DL19:DL19,"B"))*3)+((COUNTIF(DL19:DL19,"C"))*2)+((COUNTIF(DL19:DL19,"D"))*1))*CELL("contenu",$B$18),0))/IF(SUM(COUNTA(DL5:DL6)*CELL("contenu",$B$4),COUNTA(DL8:DL11)*CELL("contenu",$B$7),COUNTA(DL13:DL13)*CELL("contenu",$B$12),COUNTA(DL15:DL17)*CELL("contenu",$B$14),COUNTA(DL19:DL19)*CELL("contenu",$B$18))=0,1,SUM(COUNTA(DL5:DL6)*CELL("contenu",$B$4),COUNTA(DL8:DL11)*CELL("contenu",$B$7),COUNTA(DL13:DL13)*CELL("contenu",$B$12),COUNTA(DL15:DL17)*CELL("contenu",$B$14),COUNTA(DL19:DL19)*CELL("contenu",$B$18))))</f>
        <v/>
      </c>
      <c r="DM20" s="184" t="str">
        <f ca="1">IF(COUNTA(DM5:DM19)=0,"",5*SUM(IFERROR((((COUNTIF(DM5:DM6,"A"))*4)+((COUNTIF(DM5:DM6,"B"))*3)+((COUNTIF(DM5:DM6,"C"))*2)+((COUNTIF(DM5:DM6,"D"))*1))*CELL("contenu",$B$4),0),IFERROR((((COUNTIF(DM8:DM11,"A"))*4)+((COUNTIF(DM8:DM11,"B"))*3)+((COUNTIF(DM8:DM11,"C"))*2)+((COUNTIF(DM8:DM11,"D"))*1))*CELL("contenu",$B$7),0),IFERROR((((COUNTIF(DM13:DM13,"A"))*4)+((COUNTIF(DM13:DM13,"B"))*3)+((COUNTIF(DM13:DM13,"C"))*2)+((COUNTIF(DM13:DM13,"D"))*1))*CELL("contenu",$B$12),0),IFERROR((((COUNTIF(DM15:DM17,"A"))*4)+((COUNTIF(DM15:DM17,"B"))*3)+((COUNTIF(DM15:DM17,"C"))*2)+((COUNTIF(DM15:DM17,"D"))*1))*CELL("contenu",$B$14),0),IFERROR((((COUNTIF(DM19:DM19,"A"))*4)+((COUNTIF(DM19:DM19,"B"))*3)+((COUNTIF(DM19:DM19,"C"))*2)+((COUNTIF(DM19:DM19,"D"))*1))*CELL("contenu",$B$18),0))/IF(SUM(COUNTA(DM5:DM6)*CELL("contenu",$B$4),COUNTA(DM8:DM11)*CELL("contenu",$B$7),COUNTA(DM13:DM13)*CELL("contenu",$B$12),COUNTA(DM15:DM17)*CELL("contenu",$B$14),COUNTA(DM19:DM19)*CELL("contenu",$B$18))=0,1,SUM(COUNTA(DM5:DM6)*CELL("contenu",$B$4),COUNTA(DM8:DM11)*CELL("contenu",$B$7),COUNTA(DM13:DM13)*CELL("contenu",$B$12),COUNTA(DM15:DM17)*CELL("contenu",$B$14),COUNTA(DM19:DM19)*CELL("contenu",$B$18))))</f>
        <v/>
      </c>
      <c r="DN20" s="176"/>
      <c r="DO20" s="174" t="str">
        <f ca="1">IF(COUNTA(DK20:DM20)-COUNTBLANK(DK20:DM20)=0,"",SUM(DK20:DM20)/(COUNTA(DK20:DM20)-COUNTBLANK(DK20:DM20)))</f>
        <v/>
      </c>
      <c r="DP20" s="103"/>
      <c r="DQ20" s="141"/>
      <c r="DR20" s="167">
        <f ca="1">IF(COUNTA(DR5:DR19)=0,"",5*SUM(IFERROR((((COUNTIF(DR5:DR6,"A"))*4)+((COUNTIF(DR5:DR6,"B"))*3)+((COUNTIF(DR5:DR6,"C"))*2)+((COUNTIF(DR5:DR6,"D"))*1))*CELL("contenu",$B$4),0),IFERROR((((COUNTIF(DR8:DR11,"A"))*4)+((COUNTIF(DR8:DR11,"B"))*3)+((COUNTIF(DR8:DR11,"C"))*2)+((COUNTIF(DR8:DR11,"D"))*1))*CELL("contenu",$B$7),0),IFERROR((((COUNTIF(DR13:DR13,"A"))*4)+((COUNTIF(DR13:DR13,"B"))*3)+((COUNTIF(DR13:DR13,"C"))*2)+((COUNTIF(DR13:DR13,"D"))*1))*CELL("contenu",$B$12),0),IFERROR((((COUNTIF(DR15:DR17,"A"))*4)+((COUNTIF(DR15:DR17,"B"))*3)+((COUNTIF(DR15:DR17,"C"))*2)+((COUNTIF(DR15:DR17,"D"))*1))*CELL("contenu",$B$14),0),IFERROR((((COUNTIF(DR19:DR19,"A"))*4)+((COUNTIF(DR19:DR19,"B"))*3)+((COUNTIF(DR19:DR19,"C"))*2)+((COUNTIF(DR19:DR19,"D"))*1))*CELL("contenu",$B$18),0))/IF(SUM(COUNTA(DR5:DR6)*CELL("contenu",$B$4),COUNTA(DR8:DR11)*CELL("contenu",$B$7),COUNTA(DR13:DR13)*CELL("contenu",$B$12),COUNTA(DR15:DR17)*CELL("contenu",$B$14),COUNTA(DR19:DR19)*CELL("contenu",$B$18))=0,1,SUM(COUNTA(DR5:DR6)*CELL("contenu",$B$4),COUNTA(DR8:DR11)*CELL("contenu",$B$7),COUNTA(DR13:DR13)*CELL("contenu",$B$12),COUNTA(DR15:DR17)*CELL("contenu",$B$14),COUNTA(DR19:DR19)*CELL("contenu",$B$18))))</f>
        <v>13.333333333333334</v>
      </c>
      <c r="DS20" s="168">
        <f ca="1">IF(COUNTA(DS5:DS19)=0,"",5*SUM(IFERROR((((COUNTIF(DS5:DS6,"A"))*4)+((COUNTIF(DS5:DS6,"B"))*3)+((COUNTIF(DS5:DS6,"C"))*2)+((COUNTIF(DS5:DS6,"D"))*1))*CELL("contenu",$B$4),0),IFERROR((((COUNTIF(DS8:DS11,"A"))*4)+((COUNTIF(DS8:DS11,"B"))*3)+((COUNTIF(DS8:DS11,"C"))*2)+((COUNTIF(DS8:DS11,"D"))*1))*CELL("contenu",$B$7),0),IFERROR((((COUNTIF(DS13:DS13,"A"))*4)+((COUNTIF(DS13:DS13,"B"))*3)+((COUNTIF(DS13:DS13,"C"))*2)+((COUNTIF(DS13:DS13,"D"))*1))*CELL("contenu",$B$12),0),IFERROR((((COUNTIF(DS15:DS17,"A"))*4)+((COUNTIF(DS15:DS17,"B"))*3)+((COUNTIF(DS15:DS17,"C"))*2)+((COUNTIF(DS15:DS17,"D"))*1))*CELL("contenu",$B$14),0),IFERROR((((COUNTIF(DS19:DS19,"A"))*4)+((COUNTIF(DS19:DS19,"B"))*3)+((COUNTIF(DS19:DS19,"C"))*2)+((COUNTIF(DS19:DS19,"D"))*1))*CELL("contenu",$B$18),0))/IF(SUM(COUNTA(DS5:DS6)*CELL("contenu",$B$4),COUNTA(DS8:DS11)*CELL("contenu",$B$7),COUNTA(DS13:DS13)*CELL("contenu",$B$12),COUNTA(DS15:DS17)*CELL("contenu",$B$14),COUNTA(DS19:DS19)*CELL("contenu",$B$18))=0,1,SUM(COUNTA(DS5:DS6)*CELL("contenu",$B$4),COUNTA(DS8:DS11)*CELL("contenu",$B$7),COUNTA(DS13:DS13)*CELL("contenu",$B$12),COUNTA(DS15:DS17)*CELL("contenu",$B$14),COUNTA(DS19:DS19)*CELL("contenu",$B$18))))</f>
        <v>11.666666666666666</v>
      </c>
      <c r="DT20" s="169" t="str">
        <f ca="1">IF(COUNTA(DT5:DT19)=0,"",5*SUM(IFERROR((((COUNTIF(DT5:DT6,"A"))*4)+((COUNTIF(DT5:DT6,"B"))*3)+((COUNTIF(DT5:DT6,"C"))*2)+((COUNTIF(DT5:DT6,"D"))*1))*CELL("contenu",$B$4),0),IFERROR((((COUNTIF(DT8:DT11,"A"))*4)+((COUNTIF(DT8:DT11,"B"))*3)+((COUNTIF(DT8:DT11,"C"))*2)+((COUNTIF(DT8:DT11,"D"))*1))*CELL("contenu",$B$7),0),IFERROR((((COUNTIF(DT13:DT13,"A"))*4)+((COUNTIF(DT13:DT13,"B"))*3)+((COUNTIF(DT13:DT13,"C"))*2)+((COUNTIF(DT13:DT13,"D"))*1))*CELL("contenu",$B$12),0),IFERROR((((COUNTIF(DT15:DT17,"A"))*4)+((COUNTIF(DT15:DT17,"B"))*3)+((COUNTIF(DT15:DT17,"C"))*2)+((COUNTIF(DT15:DT17,"D"))*1))*CELL("contenu",$B$14),0),IFERROR((((COUNTIF(DT19:DT19,"A"))*4)+((COUNTIF(DT19:DT19,"B"))*3)+((COUNTIF(DT19:DT19,"C"))*2)+((COUNTIF(DT19:DT19,"D"))*1))*CELL("contenu",$B$18),0))/IF(SUM(COUNTA(DT5:DT6)*CELL("contenu",$B$4),COUNTA(DT8:DT11)*CELL("contenu",$B$7),COUNTA(DT13:DT13)*CELL("contenu",$B$12),COUNTA(DT15:DT17)*CELL("contenu",$B$14),COUNTA(DT19:DT19)*CELL("contenu",$B$18))=0,1,SUM(COUNTA(DT5:DT6)*CELL("contenu",$B$4),COUNTA(DT8:DT11)*CELL("contenu",$B$7),COUNTA(DT13:DT13)*CELL("contenu",$B$12),COUNTA(DT15:DT17)*CELL("contenu",$B$14),COUNTA(DT19:DT19)*CELL("contenu",$B$18))))</f>
        <v/>
      </c>
      <c r="DU20" s="116"/>
      <c r="DV20" s="192">
        <f ca="1">IF(COUNTA(DR20:DT20)-COUNTBLANK(DR20:DT20)=0,"",SUM(DR20:DT20)/(COUNTA(DR20:DT20)-COUNTBLANK(DR20:DT20)))</f>
        <v>12.5</v>
      </c>
      <c r="DW20" s="182" t="str">
        <f ca="1">IF(COUNTA(DW5:DW19)=0,"",5*SUM(IFERROR((((COUNTIF(DW5:DW6,"A"))*4)+((COUNTIF(DW5:DW6,"B"))*3)+((COUNTIF(DW5:DW6,"C"))*2)+((COUNTIF(DW5:DW6,"D"))*1))*CELL("contenu",$B$4),0),IFERROR((((COUNTIF(DW8:DW11,"A"))*4)+((COUNTIF(DW8:DW11,"B"))*3)+((COUNTIF(DW8:DW11,"C"))*2)+((COUNTIF(DW8:DW11,"D"))*1))*CELL("contenu",$B$7),0),IFERROR((((COUNTIF(DW13:DW13,"A"))*4)+((COUNTIF(DW13:DW13,"B"))*3)+((COUNTIF(DW13:DW13,"C"))*2)+((COUNTIF(DW13:DW13,"D"))*1))*CELL("contenu",$B$12),0),IFERROR((((COUNTIF(DW15:DW17,"A"))*4)+((COUNTIF(DW15:DW17,"B"))*3)+((COUNTIF(DW15:DW17,"C"))*2)+((COUNTIF(DW15:DW17,"D"))*1))*CELL("contenu",$B$14),0),IFERROR((((COUNTIF(DW19:DW19,"A"))*4)+((COUNTIF(DW19:DW19,"B"))*3)+((COUNTIF(DW19:DW19,"C"))*2)+((COUNTIF(DW19:DW19,"D"))*1))*CELL("contenu",$B$18),0))/IF(SUM(COUNTA(DW5:DW6)*CELL("contenu",$B$4),COUNTA(DW8:DW11)*CELL("contenu",$B$7),COUNTA(DW13:DW13)*CELL("contenu",$B$12),COUNTA(DW15:DW17)*CELL("contenu",$B$14),COUNTA(DW19:DW19)*CELL("contenu",$B$18))=0,1,SUM(COUNTA(DW5:DW6)*CELL("contenu",$B$4),COUNTA(DW8:DW11)*CELL("contenu",$B$7),COUNTA(DW13:DW13)*CELL("contenu",$B$12),COUNTA(DW15:DW17)*CELL("contenu",$B$14),COUNTA(DW19:DW19)*CELL("contenu",$B$18))))</f>
        <v/>
      </c>
      <c r="DX20" s="183" t="str">
        <f ca="1">IF(COUNTA(DX5:DX19)=0,"",5*SUM(IFERROR((((COUNTIF(DX5:DX6,"A"))*4)+((COUNTIF(DX5:DX6,"B"))*3)+((COUNTIF(DX5:DX6,"C"))*2)+((COUNTIF(DX5:DX6,"D"))*1))*CELL("contenu",$B$4),0),IFERROR((((COUNTIF(DX8:DX11,"A"))*4)+((COUNTIF(DX8:DX11,"B"))*3)+((COUNTIF(DX8:DX11,"C"))*2)+((COUNTIF(DX8:DX11,"D"))*1))*CELL("contenu",$B$7),0),IFERROR((((COUNTIF(DX13:DX13,"A"))*4)+((COUNTIF(DX13:DX13,"B"))*3)+((COUNTIF(DX13:DX13,"C"))*2)+((COUNTIF(DX13:DX13,"D"))*1))*CELL("contenu",$B$12),0),IFERROR((((COUNTIF(DX15:DX17,"A"))*4)+((COUNTIF(DX15:DX17,"B"))*3)+((COUNTIF(DX15:DX17,"C"))*2)+((COUNTIF(DX15:DX17,"D"))*1))*CELL("contenu",$B$14),0),IFERROR((((COUNTIF(DX19:DX19,"A"))*4)+((COUNTIF(DX19:DX19,"B"))*3)+((COUNTIF(DX19:DX19,"C"))*2)+((COUNTIF(DX19:DX19,"D"))*1))*CELL("contenu",$B$18),0))/IF(SUM(COUNTA(DX5:DX6)*CELL("contenu",$B$4),COUNTA(DX8:DX11)*CELL("contenu",$B$7),COUNTA(DX13:DX13)*CELL("contenu",$B$12),COUNTA(DX15:DX17)*CELL("contenu",$B$14),COUNTA(DX19:DX19)*CELL("contenu",$B$18))=0,1,SUM(COUNTA(DX5:DX6)*CELL("contenu",$B$4),COUNTA(DX8:DX11)*CELL("contenu",$B$7),COUNTA(DX13:DX13)*CELL("contenu",$B$12),COUNTA(DX15:DX17)*CELL("contenu",$B$14),COUNTA(DX19:DX19)*CELL("contenu",$B$18))))</f>
        <v/>
      </c>
      <c r="DY20" s="184" t="str">
        <f ca="1">IF(COUNTA(DY5:DY19)=0,"",5*SUM(IFERROR((((COUNTIF(DY5:DY6,"A"))*4)+((COUNTIF(DY5:DY6,"B"))*3)+((COUNTIF(DY5:DY6,"C"))*2)+((COUNTIF(DY5:DY6,"D"))*1))*CELL("contenu",$B$4),0),IFERROR((((COUNTIF(DY8:DY11,"A"))*4)+((COUNTIF(DY8:DY11,"B"))*3)+((COUNTIF(DY8:DY11,"C"))*2)+((COUNTIF(DY8:DY11,"D"))*1))*CELL("contenu",$B$7),0),IFERROR((((COUNTIF(DY13:DY13,"A"))*4)+((COUNTIF(DY13:DY13,"B"))*3)+((COUNTIF(DY13:DY13,"C"))*2)+((COUNTIF(DY13:DY13,"D"))*1))*CELL("contenu",$B$12),0),IFERROR((((COUNTIF(DY15:DY17,"A"))*4)+((COUNTIF(DY15:DY17,"B"))*3)+((COUNTIF(DY15:DY17,"C"))*2)+((COUNTIF(DY15:DY17,"D"))*1))*CELL("contenu",$B$14),0),IFERROR((((COUNTIF(DY19:DY19,"A"))*4)+((COUNTIF(DY19:DY19,"B"))*3)+((COUNTIF(DY19:DY19,"C"))*2)+((COUNTIF(DY19:DY19,"D"))*1))*CELL("contenu",$B$18),0))/IF(SUM(COUNTA(DY5:DY6)*CELL("contenu",$B$4),COUNTA(DY8:DY11)*CELL("contenu",$B$7),COUNTA(DY13:DY13)*CELL("contenu",$B$12),COUNTA(DY15:DY17)*CELL("contenu",$B$14),COUNTA(DY19:DY19)*CELL("contenu",$B$18))=0,1,SUM(COUNTA(DY5:DY6)*CELL("contenu",$B$4),COUNTA(DY8:DY11)*CELL("contenu",$B$7),COUNTA(DY13:DY13)*CELL("contenu",$B$12),COUNTA(DY15:DY17)*CELL("contenu",$B$14),COUNTA(DY19:DY19)*CELL("contenu",$B$18))))</f>
        <v/>
      </c>
      <c r="DZ20" s="176"/>
      <c r="EA20" s="175" t="str">
        <f ca="1">IF(COUNTA(DW20:DY20)-COUNTBLANK(DW20:DY20)=0,"",SUM(DW20:DY20)/(COUNTA(DW20:DY20)-COUNTBLANK(DW20:DY20)))</f>
        <v/>
      </c>
      <c r="EB20" s="182" t="str">
        <f ca="1">IF(COUNTA(EB5:EB19)=0,"",5*SUM(IFERROR((((COUNTIF(EB5:EB6,"A"))*4)+((COUNTIF(EB5:EB6,"B"))*3)+((COUNTIF(EB5:EB6,"C"))*2)+((COUNTIF(EB5:EB6,"D"))*1))*CELL("contenu",$B$4),0),IFERROR((((COUNTIF(EB8:EB11,"A"))*4)+((COUNTIF(EB8:EB11,"B"))*3)+((COUNTIF(EB8:EB11,"C"))*2)+((COUNTIF(EB8:EB11,"D"))*1))*CELL("contenu",$B$7),0),IFERROR((((COUNTIF(EB13:EB13,"A"))*4)+((COUNTIF(EB13:EB13,"B"))*3)+((COUNTIF(EB13:EB13,"C"))*2)+((COUNTIF(EB13:EB13,"D"))*1))*CELL("contenu",$B$12),0),IFERROR((((COUNTIF(EB15:EB17,"A"))*4)+((COUNTIF(EB15:EB17,"B"))*3)+((COUNTIF(EB15:EB17,"C"))*2)+((COUNTIF(EB15:EB17,"D"))*1))*CELL("contenu",$B$14),0),IFERROR((((COUNTIF(EB19:EB19,"A"))*4)+((COUNTIF(EB19:EB19,"B"))*3)+((COUNTIF(EB19:EB19,"C"))*2)+((COUNTIF(EB19:EB19,"D"))*1))*CELL("contenu",$B$18),0))/IF(SUM(COUNTA(EB5:EB6)*CELL("contenu",$B$4),COUNTA(EB8:EB11)*CELL("contenu",$B$7),COUNTA(EB13:EB13)*CELL("contenu",$B$12),COUNTA(EB15:EB17)*CELL("contenu",$B$14),COUNTA(EB19:EB19)*CELL("contenu",$B$18))=0,1,SUM(COUNTA(EB5:EB6)*CELL("contenu",$B$4),COUNTA(EB8:EB11)*CELL("contenu",$B$7),COUNTA(EB13:EB13)*CELL("contenu",$B$12),COUNTA(EB15:EB17)*CELL("contenu",$B$14),COUNTA(EB19:EB19)*CELL("contenu",$B$18))))</f>
        <v/>
      </c>
      <c r="EC20" s="183" t="str">
        <f ca="1">IF(COUNTA(EC5:EC19)=0,"",5*SUM(IFERROR((((COUNTIF(EC5:EC6,"A"))*4)+((COUNTIF(EC5:EC6,"B"))*3)+((COUNTIF(EC5:EC6,"C"))*2)+((COUNTIF(EC5:EC6,"D"))*1))*CELL("contenu",$B$4),0),IFERROR((((COUNTIF(EC8:EC11,"A"))*4)+((COUNTIF(EC8:EC11,"B"))*3)+((COUNTIF(EC8:EC11,"C"))*2)+((COUNTIF(EC8:EC11,"D"))*1))*CELL("contenu",$B$7),0),IFERROR((((COUNTIF(EC13:EC13,"A"))*4)+((COUNTIF(EC13:EC13,"B"))*3)+((COUNTIF(EC13:EC13,"C"))*2)+((COUNTIF(EC13:EC13,"D"))*1))*CELL("contenu",$B$12),0),IFERROR((((COUNTIF(EC15:EC17,"A"))*4)+((COUNTIF(EC15:EC17,"B"))*3)+((COUNTIF(EC15:EC17,"C"))*2)+((COUNTIF(EC15:EC17,"D"))*1))*CELL("contenu",$B$14),0),IFERROR((((COUNTIF(EC19:EC19,"A"))*4)+((COUNTIF(EC19:EC19,"B"))*3)+((COUNTIF(EC19:EC19,"C"))*2)+((COUNTIF(EC19:EC19,"D"))*1))*CELL("contenu",$B$18),0))/IF(SUM(COUNTA(EC5:EC6)*CELL("contenu",$B$4),COUNTA(EC8:EC11)*CELL("contenu",$B$7),COUNTA(EC13:EC13)*CELL("contenu",$B$12),COUNTA(EC15:EC17)*CELL("contenu",$B$14),COUNTA(EC19:EC19)*CELL("contenu",$B$18))=0,1,SUM(COUNTA(EC5:EC6)*CELL("contenu",$B$4),COUNTA(EC8:EC11)*CELL("contenu",$B$7),COUNTA(EC13:EC13)*CELL("contenu",$B$12),COUNTA(EC15:EC17)*CELL("contenu",$B$14),COUNTA(EC19:EC19)*CELL("contenu",$B$18))))</f>
        <v/>
      </c>
      <c r="ED20" s="184" t="str">
        <f ca="1">IF(COUNTA(ED5:ED19)=0,"",5*SUM(IFERROR((((COUNTIF(ED5:ED6,"A"))*4)+((COUNTIF(ED5:ED6,"B"))*3)+((COUNTIF(ED5:ED6,"C"))*2)+((COUNTIF(ED5:ED6,"D"))*1))*CELL("contenu",$B$4),0),IFERROR((((COUNTIF(ED8:ED11,"A"))*4)+((COUNTIF(ED8:ED11,"B"))*3)+((COUNTIF(ED8:ED11,"C"))*2)+((COUNTIF(ED8:ED11,"D"))*1))*CELL("contenu",$B$7),0),IFERROR((((COUNTIF(ED13:ED13,"A"))*4)+((COUNTIF(ED13:ED13,"B"))*3)+((COUNTIF(ED13:ED13,"C"))*2)+((COUNTIF(ED13:ED13,"D"))*1))*CELL("contenu",$B$12),0),IFERROR((((COUNTIF(ED15:ED17,"A"))*4)+((COUNTIF(ED15:ED17,"B"))*3)+((COUNTIF(ED15:ED17,"C"))*2)+((COUNTIF(ED15:ED17,"D"))*1))*CELL("contenu",$B$14),0),IFERROR((((COUNTIF(ED19:ED19,"A"))*4)+((COUNTIF(ED19:ED19,"B"))*3)+((COUNTIF(ED19:ED19,"C"))*2)+((COUNTIF(ED19:ED19,"D"))*1))*CELL("contenu",$B$18),0))/IF(SUM(COUNTA(ED5:ED6)*CELL("contenu",$B$4),COUNTA(ED8:ED11)*CELL("contenu",$B$7),COUNTA(ED13:ED13)*CELL("contenu",$B$12),COUNTA(ED15:ED17)*CELL("contenu",$B$14),COUNTA(ED19:ED19)*CELL("contenu",$B$18))=0,1,SUM(COUNTA(ED5:ED6)*CELL("contenu",$B$4),COUNTA(ED8:ED11)*CELL("contenu",$B$7),COUNTA(ED13:ED13)*CELL("contenu",$B$12),COUNTA(ED15:ED17)*CELL("contenu",$B$14),COUNTA(ED19:ED19)*CELL("contenu",$B$18))))</f>
        <v/>
      </c>
      <c r="EE20" s="176"/>
      <c r="EF20" s="174" t="str">
        <f ca="1">IF(COUNTA(EB20:ED20)-COUNTBLANK(EB20:ED20)=0,"",SUM(EB20:ED20)/(COUNTA(EB20:ED20)-COUNTBLANK(EB20:ED20)))</f>
        <v/>
      </c>
      <c r="EG20" s="103"/>
      <c r="EH20" s="141"/>
      <c r="EI20" s="167">
        <f ca="1">IF(COUNTA(EI5:EI19)=0,"",5*SUM(IFERROR((((COUNTIF(EI5:EI6,"A"))*4)+((COUNTIF(EI5:EI6,"B"))*3)+((COUNTIF(EI5:EI6,"C"))*2)+((COUNTIF(EI5:EI6,"D"))*1))*CELL("contenu",$B$4),0),IFERROR((((COUNTIF(EI8:EI11,"A"))*4)+((COUNTIF(EI8:EI11,"B"))*3)+((COUNTIF(EI8:EI11,"C"))*2)+((COUNTIF(EI8:EI11,"D"))*1))*CELL("contenu",$B$7),0),IFERROR((((COUNTIF(EI13:EI13,"A"))*4)+((COUNTIF(EI13:EI13,"B"))*3)+((COUNTIF(EI13:EI13,"C"))*2)+((COUNTIF(EI13:EI13,"D"))*1))*CELL("contenu",$B$12),0),IFERROR((((COUNTIF(EI15:EI17,"A"))*4)+((COUNTIF(EI15:EI17,"B"))*3)+((COUNTIF(EI15:EI17,"C"))*2)+((COUNTIF(EI15:EI17,"D"))*1))*CELL("contenu",$B$14),0),IFERROR((((COUNTIF(EI19:EI19,"A"))*4)+((COUNTIF(EI19:EI19,"B"))*3)+((COUNTIF(EI19:EI19,"C"))*2)+((COUNTIF(EI19:EI19,"D"))*1))*CELL("contenu",$B$18),0))/IF(SUM(COUNTA(EI5:EI6)*CELL("contenu",$B$4),COUNTA(EI8:EI11)*CELL("contenu",$B$7),COUNTA(EI13:EI13)*CELL("contenu",$B$12),COUNTA(EI15:EI17)*CELL("contenu",$B$14),COUNTA(EI19:EI19)*CELL("contenu",$B$18))=0,1,SUM(COUNTA(EI5:EI6)*CELL("contenu",$B$4),COUNTA(EI8:EI11)*CELL("contenu",$B$7),COUNTA(EI13:EI13)*CELL("contenu",$B$12),COUNTA(EI15:EI17)*CELL("contenu",$B$14),COUNTA(EI19:EI19)*CELL("contenu",$B$18))))</f>
        <v>15</v>
      </c>
      <c r="EJ20" s="168">
        <f ca="1">IF(COUNTA(EJ5:EJ19)=0,"",5*SUM(IFERROR((((COUNTIF(EJ5:EJ6,"A"))*4)+((COUNTIF(EJ5:EJ6,"B"))*3)+((COUNTIF(EJ5:EJ6,"C"))*2)+((COUNTIF(EJ5:EJ6,"D"))*1))*CELL("contenu",$B$4),0),IFERROR((((COUNTIF(EJ8:EJ11,"A"))*4)+((COUNTIF(EJ8:EJ11,"B"))*3)+((COUNTIF(EJ8:EJ11,"C"))*2)+((COUNTIF(EJ8:EJ11,"D"))*1))*CELL("contenu",$B$7),0),IFERROR((((COUNTIF(EJ13:EJ13,"A"))*4)+((COUNTIF(EJ13:EJ13,"B"))*3)+((COUNTIF(EJ13:EJ13,"C"))*2)+((COUNTIF(EJ13:EJ13,"D"))*1))*CELL("contenu",$B$12),0),IFERROR((((COUNTIF(EJ15:EJ17,"A"))*4)+((COUNTIF(EJ15:EJ17,"B"))*3)+((COUNTIF(EJ15:EJ17,"C"))*2)+((COUNTIF(EJ15:EJ17,"D"))*1))*CELL("contenu",$B$14),0),IFERROR((((COUNTIF(EJ19:EJ19,"A"))*4)+((COUNTIF(EJ19:EJ19,"B"))*3)+((COUNTIF(EJ19:EJ19,"C"))*2)+((COUNTIF(EJ19:EJ19,"D"))*1))*CELL("contenu",$B$18),0))/IF(SUM(COUNTA(EJ5:EJ6)*CELL("contenu",$B$4),COUNTA(EJ8:EJ11)*CELL("contenu",$B$7),COUNTA(EJ13:EJ13)*CELL("contenu",$B$12),COUNTA(EJ15:EJ17)*CELL("contenu",$B$14),COUNTA(EJ19:EJ19)*CELL("contenu",$B$18))=0,1,SUM(COUNTA(EJ5:EJ6)*CELL("contenu",$B$4),COUNTA(EJ8:EJ11)*CELL("contenu",$B$7),COUNTA(EJ13:EJ13)*CELL("contenu",$B$12),COUNTA(EJ15:EJ17)*CELL("contenu",$B$14),COUNTA(EJ19:EJ19)*CELL("contenu",$B$18))))</f>
        <v>18.333333333333332</v>
      </c>
      <c r="EK20" s="169" t="str">
        <f ca="1">IF(COUNTA(EK5:EK19)=0,"",5*SUM(IFERROR((((COUNTIF(EK5:EK6,"A"))*4)+((COUNTIF(EK5:EK6,"B"))*3)+((COUNTIF(EK5:EK6,"C"))*2)+((COUNTIF(EK5:EK6,"D"))*1))*CELL("contenu",$B$4),0),IFERROR((((COUNTIF(EK8:EK11,"A"))*4)+((COUNTIF(EK8:EK11,"B"))*3)+((COUNTIF(EK8:EK11,"C"))*2)+((COUNTIF(EK8:EK11,"D"))*1))*CELL("contenu",$B$7),0),IFERROR((((COUNTIF(EK13:EK13,"A"))*4)+((COUNTIF(EK13:EK13,"B"))*3)+((COUNTIF(EK13:EK13,"C"))*2)+((COUNTIF(EK13:EK13,"D"))*1))*CELL("contenu",$B$12),0),IFERROR((((COUNTIF(EK15:EK17,"A"))*4)+((COUNTIF(EK15:EK17,"B"))*3)+((COUNTIF(EK15:EK17,"C"))*2)+((COUNTIF(EK15:EK17,"D"))*1))*CELL("contenu",$B$14),0),IFERROR((((COUNTIF(EK19:EK19,"A"))*4)+((COUNTIF(EK19:EK19,"B"))*3)+((COUNTIF(EK19:EK19,"C"))*2)+((COUNTIF(EK19:EK19,"D"))*1))*CELL("contenu",$B$18),0))/IF(SUM(COUNTA(EK5:EK6)*CELL("contenu",$B$4),COUNTA(EK8:EK11)*CELL("contenu",$B$7),COUNTA(EK13:EK13)*CELL("contenu",$B$12),COUNTA(EK15:EK17)*CELL("contenu",$B$14),COUNTA(EK19:EK19)*CELL("contenu",$B$18))=0,1,SUM(COUNTA(EK5:EK6)*CELL("contenu",$B$4),COUNTA(EK8:EK11)*CELL("contenu",$B$7),COUNTA(EK13:EK13)*CELL("contenu",$B$12),COUNTA(EK15:EK17)*CELL("contenu",$B$14),COUNTA(EK19:EK19)*CELL("contenu",$B$18))))</f>
        <v/>
      </c>
      <c r="EL20" s="116"/>
      <c r="EM20" s="192">
        <f ca="1">IF(COUNTA(EI20:EK20)-COUNTBLANK(EI20:EK20)=0,"",SUM(EI20:EK20)/(COUNTA(EI20:EK20)-COUNTBLANK(EI20:EK20)))</f>
        <v>16.666666666666664</v>
      </c>
      <c r="EN20" s="182" t="str">
        <f ca="1">IF(COUNTA(EN5:EN19)=0,"",5*SUM(IFERROR((((COUNTIF(EN5:EN6,"A"))*4)+((COUNTIF(EN5:EN6,"B"))*3)+((COUNTIF(EN5:EN6,"C"))*2)+((COUNTIF(EN5:EN6,"D"))*1))*CELL("contenu",$B$4),0),IFERROR((((COUNTIF(EN8:EN11,"A"))*4)+((COUNTIF(EN8:EN11,"B"))*3)+((COUNTIF(EN8:EN11,"C"))*2)+((COUNTIF(EN8:EN11,"D"))*1))*CELL("contenu",$B$7),0),IFERROR((((COUNTIF(EN13:EN13,"A"))*4)+((COUNTIF(EN13:EN13,"B"))*3)+((COUNTIF(EN13:EN13,"C"))*2)+((COUNTIF(EN13:EN13,"D"))*1))*CELL("contenu",$B$12),0),IFERROR((((COUNTIF(EN15:EN17,"A"))*4)+((COUNTIF(EN15:EN17,"B"))*3)+((COUNTIF(EN15:EN17,"C"))*2)+((COUNTIF(EN15:EN17,"D"))*1))*CELL("contenu",$B$14),0),IFERROR((((COUNTIF(EN19:EN19,"A"))*4)+((COUNTIF(EN19:EN19,"B"))*3)+((COUNTIF(EN19:EN19,"C"))*2)+((COUNTIF(EN19:EN19,"D"))*1))*CELL("contenu",$B$18),0))/IF(SUM(COUNTA(EN5:EN6)*CELL("contenu",$B$4),COUNTA(EN8:EN11)*CELL("contenu",$B$7),COUNTA(EN13:EN13)*CELL("contenu",$B$12),COUNTA(EN15:EN17)*CELL("contenu",$B$14),COUNTA(EN19:EN19)*CELL("contenu",$B$18))=0,1,SUM(COUNTA(EN5:EN6)*CELL("contenu",$B$4),COUNTA(EN8:EN11)*CELL("contenu",$B$7),COUNTA(EN13:EN13)*CELL("contenu",$B$12),COUNTA(EN15:EN17)*CELL("contenu",$B$14),COUNTA(EN19:EN19)*CELL("contenu",$B$18))))</f>
        <v/>
      </c>
      <c r="EO20" s="183" t="str">
        <f ca="1">IF(COUNTA(EO5:EO19)=0,"",5*SUM(IFERROR((((COUNTIF(EO5:EO6,"A"))*4)+((COUNTIF(EO5:EO6,"B"))*3)+((COUNTIF(EO5:EO6,"C"))*2)+((COUNTIF(EO5:EO6,"D"))*1))*CELL("contenu",$B$4),0),IFERROR((((COUNTIF(EO8:EO11,"A"))*4)+((COUNTIF(EO8:EO11,"B"))*3)+((COUNTIF(EO8:EO11,"C"))*2)+((COUNTIF(EO8:EO11,"D"))*1))*CELL("contenu",$B$7),0),IFERROR((((COUNTIF(EO13:EO13,"A"))*4)+((COUNTIF(EO13:EO13,"B"))*3)+((COUNTIF(EO13:EO13,"C"))*2)+((COUNTIF(EO13:EO13,"D"))*1))*CELL("contenu",$B$12),0),IFERROR((((COUNTIF(EO15:EO17,"A"))*4)+((COUNTIF(EO15:EO17,"B"))*3)+((COUNTIF(EO15:EO17,"C"))*2)+((COUNTIF(EO15:EO17,"D"))*1))*CELL("contenu",$B$14),0),IFERROR((((COUNTIF(EO19:EO19,"A"))*4)+((COUNTIF(EO19:EO19,"B"))*3)+((COUNTIF(EO19:EO19,"C"))*2)+((COUNTIF(EO19:EO19,"D"))*1))*CELL("contenu",$B$18),0))/IF(SUM(COUNTA(EO5:EO6)*CELL("contenu",$B$4),COUNTA(EO8:EO11)*CELL("contenu",$B$7),COUNTA(EO13:EO13)*CELL("contenu",$B$12),COUNTA(EO15:EO17)*CELL("contenu",$B$14),COUNTA(EO19:EO19)*CELL("contenu",$B$18))=0,1,SUM(COUNTA(EO5:EO6)*CELL("contenu",$B$4),COUNTA(EO8:EO11)*CELL("contenu",$B$7),COUNTA(EO13:EO13)*CELL("contenu",$B$12),COUNTA(EO15:EO17)*CELL("contenu",$B$14),COUNTA(EO19:EO19)*CELL("contenu",$B$18))))</f>
        <v/>
      </c>
      <c r="EP20" s="184" t="str">
        <f ca="1">IF(COUNTA(EP5:EP19)=0,"",5*SUM(IFERROR((((COUNTIF(EP5:EP6,"A"))*4)+((COUNTIF(EP5:EP6,"B"))*3)+((COUNTIF(EP5:EP6,"C"))*2)+((COUNTIF(EP5:EP6,"D"))*1))*CELL("contenu",$B$4),0),IFERROR((((COUNTIF(EP8:EP11,"A"))*4)+((COUNTIF(EP8:EP11,"B"))*3)+((COUNTIF(EP8:EP11,"C"))*2)+((COUNTIF(EP8:EP11,"D"))*1))*CELL("contenu",$B$7),0),IFERROR((((COUNTIF(EP13:EP13,"A"))*4)+((COUNTIF(EP13:EP13,"B"))*3)+((COUNTIF(EP13:EP13,"C"))*2)+((COUNTIF(EP13:EP13,"D"))*1))*CELL("contenu",$B$12),0),IFERROR((((COUNTIF(EP15:EP17,"A"))*4)+((COUNTIF(EP15:EP17,"B"))*3)+((COUNTIF(EP15:EP17,"C"))*2)+((COUNTIF(EP15:EP17,"D"))*1))*CELL("contenu",$B$14),0),IFERROR((((COUNTIF(EP19:EP19,"A"))*4)+((COUNTIF(EP19:EP19,"B"))*3)+((COUNTIF(EP19:EP19,"C"))*2)+((COUNTIF(EP19:EP19,"D"))*1))*CELL("contenu",$B$18),0))/IF(SUM(COUNTA(EP5:EP6)*CELL("contenu",$B$4),COUNTA(EP8:EP11)*CELL("contenu",$B$7),COUNTA(EP13:EP13)*CELL("contenu",$B$12),COUNTA(EP15:EP17)*CELL("contenu",$B$14),COUNTA(EP19:EP19)*CELL("contenu",$B$18))=0,1,SUM(COUNTA(EP5:EP6)*CELL("contenu",$B$4),COUNTA(EP8:EP11)*CELL("contenu",$B$7),COUNTA(EP13:EP13)*CELL("contenu",$B$12),COUNTA(EP15:EP17)*CELL("contenu",$B$14),COUNTA(EP19:EP19)*CELL("contenu",$B$18))))</f>
        <v/>
      </c>
      <c r="EQ20" s="176"/>
      <c r="ER20" s="175" t="str">
        <f ca="1">IF(COUNTA(EN20:EP20)-COUNTBLANK(EN20:EP20)=0,"",SUM(EN20:EP20)/(COUNTA(EN20:EP20)-COUNTBLANK(EN20:EP20)))</f>
        <v/>
      </c>
      <c r="ES20" s="182" t="str">
        <f ca="1">IF(COUNTA(ES5:ES19)=0,"",5*SUM(IFERROR((((COUNTIF(ES5:ES6,"A"))*4)+((COUNTIF(ES5:ES6,"B"))*3)+((COUNTIF(ES5:ES6,"C"))*2)+((COUNTIF(ES5:ES6,"D"))*1))*CELL("contenu",$B$4),0),IFERROR((((COUNTIF(ES8:ES11,"A"))*4)+((COUNTIF(ES8:ES11,"B"))*3)+((COUNTIF(ES8:ES11,"C"))*2)+((COUNTIF(ES8:ES11,"D"))*1))*CELL("contenu",$B$7),0),IFERROR((((COUNTIF(ES13:ES13,"A"))*4)+((COUNTIF(ES13:ES13,"B"))*3)+((COUNTIF(ES13:ES13,"C"))*2)+((COUNTIF(ES13:ES13,"D"))*1))*CELL("contenu",$B$12),0),IFERROR((((COUNTIF(ES15:ES17,"A"))*4)+((COUNTIF(ES15:ES17,"B"))*3)+((COUNTIF(ES15:ES17,"C"))*2)+((COUNTIF(ES15:ES17,"D"))*1))*CELL("contenu",$B$14),0),IFERROR((((COUNTIF(ES19:ES19,"A"))*4)+((COUNTIF(ES19:ES19,"B"))*3)+((COUNTIF(ES19:ES19,"C"))*2)+((COUNTIF(ES19:ES19,"D"))*1))*CELL("contenu",$B$18),0))/IF(SUM(COUNTA(ES5:ES6)*CELL("contenu",$B$4),COUNTA(ES8:ES11)*CELL("contenu",$B$7),COUNTA(ES13:ES13)*CELL("contenu",$B$12),COUNTA(ES15:ES17)*CELL("contenu",$B$14),COUNTA(ES19:ES19)*CELL("contenu",$B$18))=0,1,SUM(COUNTA(ES5:ES6)*CELL("contenu",$B$4),COUNTA(ES8:ES11)*CELL("contenu",$B$7),COUNTA(ES13:ES13)*CELL("contenu",$B$12),COUNTA(ES15:ES17)*CELL("contenu",$B$14),COUNTA(ES19:ES19)*CELL("contenu",$B$18))))</f>
        <v/>
      </c>
      <c r="ET20" s="183" t="str">
        <f ca="1">IF(COUNTA(ET5:ET19)=0,"",5*SUM(IFERROR((((COUNTIF(ET5:ET6,"A"))*4)+((COUNTIF(ET5:ET6,"B"))*3)+((COUNTIF(ET5:ET6,"C"))*2)+((COUNTIF(ET5:ET6,"D"))*1))*CELL("contenu",$B$4),0),IFERROR((((COUNTIF(ET8:ET11,"A"))*4)+((COUNTIF(ET8:ET11,"B"))*3)+((COUNTIF(ET8:ET11,"C"))*2)+((COUNTIF(ET8:ET11,"D"))*1))*CELL("contenu",$B$7),0),IFERROR((((COUNTIF(ET13:ET13,"A"))*4)+((COUNTIF(ET13:ET13,"B"))*3)+((COUNTIF(ET13:ET13,"C"))*2)+((COUNTIF(ET13:ET13,"D"))*1))*CELL("contenu",$B$12),0),IFERROR((((COUNTIF(ET15:ET17,"A"))*4)+((COUNTIF(ET15:ET17,"B"))*3)+((COUNTIF(ET15:ET17,"C"))*2)+((COUNTIF(ET15:ET17,"D"))*1))*CELL("contenu",$B$14),0),IFERROR((((COUNTIF(ET19:ET19,"A"))*4)+((COUNTIF(ET19:ET19,"B"))*3)+((COUNTIF(ET19:ET19,"C"))*2)+((COUNTIF(ET19:ET19,"D"))*1))*CELL("contenu",$B$18),0))/IF(SUM(COUNTA(ET5:ET6)*CELL("contenu",$B$4),COUNTA(ET8:ET11)*CELL("contenu",$B$7),COUNTA(ET13:ET13)*CELL("contenu",$B$12),COUNTA(ET15:ET17)*CELL("contenu",$B$14),COUNTA(ET19:ET19)*CELL("contenu",$B$18))=0,1,SUM(COUNTA(ET5:ET6)*CELL("contenu",$B$4),COUNTA(ET8:ET11)*CELL("contenu",$B$7),COUNTA(ET13:ET13)*CELL("contenu",$B$12),COUNTA(ET15:ET17)*CELL("contenu",$B$14),COUNTA(ET19:ET19)*CELL("contenu",$B$18))))</f>
        <v/>
      </c>
      <c r="EU20" s="184" t="str">
        <f ca="1">IF(COUNTA(EU5:EU19)=0,"",5*SUM(IFERROR((((COUNTIF(EU5:EU6,"A"))*4)+((COUNTIF(EU5:EU6,"B"))*3)+((COUNTIF(EU5:EU6,"C"))*2)+((COUNTIF(EU5:EU6,"D"))*1))*CELL("contenu",$B$4),0),IFERROR((((COUNTIF(EU8:EU11,"A"))*4)+((COUNTIF(EU8:EU11,"B"))*3)+((COUNTIF(EU8:EU11,"C"))*2)+((COUNTIF(EU8:EU11,"D"))*1))*CELL("contenu",$B$7),0),IFERROR((((COUNTIF(EU13:EU13,"A"))*4)+((COUNTIF(EU13:EU13,"B"))*3)+((COUNTIF(EU13:EU13,"C"))*2)+((COUNTIF(EU13:EU13,"D"))*1))*CELL("contenu",$B$12),0),IFERROR((((COUNTIF(EU15:EU17,"A"))*4)+((COUNTIF(EU15:EU17,"B"))*3)+((COUNTIF(EU15:EU17,"C"))*2)+((COUNTIF(EU15:EU17,"D"))*1))*CELL("contenu",$B$14),0),IFERROR((((COUNTIF(EU19:EU19,"A"))*4)+((COUNTIF(EU19:EU19,"B"))*3)+((COUNTIF(EU19:EU19,"C"))*2)+((COUNTIF(EU19:EU19,"D"))*1))*CELL("contenu",$B$18),0))/IF(SUM(COUNTA(EU5:EU6)*CELL("contenu",$B$4),COUNTA(EU8:EU11)*CELL("contenu",$B$7),COUNTA(EU13:EU13)*CELL("contenu",$B$12),COUNTA(EU15:EU17)*CELL("contenu",$B$14),COUNTA(EU19:EU19)*CELL("contenu",$B$18))=0,1,SUM(COUNTA(EU5:EU6)*CELL("contenu",$B$4),COUNTA(EU8:EU11)*CELL("contenu",$B$7),COUNTA(EU13:EU13)*CELL("contenu",$B$12),COUNTA(EU15:EU17)*CELL("contenu",$B$14),COUNTA(EU19:EU19)*CELL("contenu",$B$18))))</f>
        <v/>
      </c>
      <c r="EV20" s="176"/>
      <c r="EW20" s="174" t="str">
        <f ca="1">IF(COUNTA(ES20:EU20)-COUNTBLANK(ES20:EU20)=0,"",SUM(ES20:EU20)/(COUNTA(ES20:EU20)-COUNTBLANK(ES20:EU20)))</f>
        <v/>
      </c>
      <c r="EX20" s="103"/>
      <c r="EY20" s="141"/>
      <c r="EZ20" s="167">
        <f ca="1">IF(COUNTA(EZ5:EZ19)=0,"",5*SUM(IFERROR((((COUNTIF(EZ5:EZ6,"A"))*4)+((COUNTIF(EZ5:EZ6,"B"))*3)+((COUNTIF(EZ5:EZ6,"C"))*2)+((COUNTIF(EZ5:EZ6,"D"))*1))*CELL("contenu",$B$4),0),IFERROR((((COUNTIF(EZ8:EZ11,"A"))*4)+((COUNTIF(EZ8:EZ11,"B"))*3)+((COUNTIF(EZ8:EZ11,"C"))*2)+((COUNTIF(EZ8:EZ11,"D"))*1))*CELL("contenu",$B$7),0),IFERROR((((COUNTIF(EZ13:EZ13,"A"))*4)+((COUNTIF(EZ13:EZ13,"B"))*3)+((COUNTIF(EZ13:EZ13,"C"))*2)+((COUNTIF(EZ13:EZ13,"D"))*1))*CELL("contenu",$B$12),0),IFERROR((((COUNTIF(EZ15:EZ17,"A"))*4)+((COUNTIF(EZ15:EZ17,"B"))*3)+((COUNTIF(EZ15:EZ17,"C"))*2)+((COUNTIF(EZ15:EZ17,"D"))*1))*CELL("contenu",$B$14),0),IFERROR((((COUNTIF(EZ19:EZ19,"A"))*4)+((COUNTIF(EZ19:EZ19,"B"))*3)+((COUNTIF(EZ19:EZ19,"C"))*2)+((COUNTIF(EZ19:EZ19,"D"))*1))*CELL("contenu",$B$18),0))/IF(SUM(COUNTA(EZ5:EZ6)*CELL("contenu",$B$4),COUNTA(EZ8:EZ11)*CELL("contenu",$B$7),COUNTA(EZ13:EZ13)*CELL("contenu",$B$12),COUNTA(EZ15:EZ17)*CELL("contenu",$B$14),COUNTA(EZ19:EZ19)*CELL("contenu",$B$18))=0,1,SUM(COUNTA(EZ5:EZ6)*CELL("contenu",$B$4),COUNTA(EZ8:EZ11)*CELL("contenu",$B$7),COUNTA(EZ13:EZ13)*CELL("contenu",$B$12),COUNTA(EZ15:EZ17)*CELL("contenu",$B$14),COUNTA(EZ19:EZ19)*CELL("contenu",$B$18))))</f>
        <v>16.666666666666668</v>
      </c>
      <c r="FA20" s="168">
        <f ca="1">IF(COUNTA(FA5:FA19)=0,"",5*SUM(IFERROR((((COUNTIF(FA5:FA6,"A"))*4)+((COUNTIF(FA5:FA6,"B"))*3)+((COUNTIF(FA5:FA6,"C"))*2)+((COUNTIF(FA5:FA6,"D"))*1))*CELL("contenu",$B$4),0),IFERROR((((COUNTIF(FA8:FA11,"A"))*4)+((COUNTIF(FA8:FA11,"B"))*3)+((COUNTIF(FA8:FA11,"C"))*2)+((COUNTIF(FA8:FA11,"D"))*1))*CELL("contenu",$B$7),0),IFERROR((((COUNTIF(FA13:FA13,"A"))*4)+((COUNTIF(FA13:FA13,"B"))*3)+((COUNTIF(FA13:FA13,"C"))*2)+((COUNTIF(FA13:FA13,"D"))*1))*CELL("contenu",$B$12),0),IFERROR((((COUNTIF(FA15:FA17,"A"))*4)+((COUNTIF(FA15:FA17,"B"))*3)+((COUNTIF(FA15:FA17,"C"))*2)+((COUNTIF(FA15:FA17,"D"))*1))*CELL("contenu",$B$14),0),IFERROR((((COUNTIF(FA19:FA19,"A"))*4)+((COUNTIF(FA19:FA19,"B"))*3)+((COUNTIF(FA19:FA19,"C"))*2)+((COUNTIF(FA19:FA19,"D"))*1))*CELL("contenu",$B$18),0))/IF(SUM(COUNTA(FA5:FA6)*CELL("contenu",$B$4),COUNTA(FA8:FA11)*CELL("contenu",$B$7),COUNTA(FA13:FA13)*CELL("contenu",$B$12),COUNTA(FA15:FA17)*CELL("contenu",$B$14),COUNTA(FA19:FA19)*CELL("contenu",$B$18))=0,1,SUM(COUNTA(FA5:FA6)*CELL("contenu",$B$4),COUNTA(FA8:FA11)*CELL("contenu",$B$7),COUNTA(FA13:FA13)*CELL("contenu",$B$12),COUNTA(FA15:FA17)*CELL("contenu",$B$14),COUNTA(FA19:FA19)*CELL("contenu",$B$18))))</f>
        <v>11.666666666666666</v>
      </c>
      <c r="FB20" s="169" t="str">
        <f ca="1">IF(COUNTA(FB5:FB19)=0,"",5*SUM(IFERROR((((COUNTIF(FB5:FB6,"A"))*4)+((COUNTIF(FB5:FB6,"B"))*3)+((COUNTIF(FB5:FB6,"C"))*2)+((COUNTIF(FB5:FB6,"D"))*1))*CELL("contenu",$B$4),0),IFERROR((((COUNTIF(FB8:FB11,"A"))*4)+((COUNTIF(FB8:FB11,"B"))*3)+((COUNTIF(FB8:FB11,"C"))*2)+((COUNTIF(FB8:FB11,"D"))*1))*CELL("contenu",$B$7),0),IFERROR((((COUNTIF(FB13:FB13,"A"))*4)+((COUNTIF(FB13:FB13,"B"))*3)+((COUNTIF(FB13:FB13,"C"))*2)+((COUNTIF(FB13:FB13,"D"))*1))*CELL("contenu",$B$12),0),IFERROR((((COUNTIF(FB15:FB17,"A"))*4)+((COUNTIF(FB15:FB17,"B"))*3)+((COUNTIF(FB15:FB17,"C"))*2)+((COUNTIF(FB15:FB17,"D"))*1))*CELL("contenu",$B$14),0),IFERROR((((COUNTIF(FB19:FB19,"A"))*4)+((COUNTIF(FB19:FB19,"B"))*3)+((COUNTIF(FB19:FB19,"C"))*2)+((COUNTIF(FB19:FB19,"D"))*1))*CELL("contenu",$B$18),0))/IF(SUM(COUNTA(FB5:FB6)*CELL("contenu",$B$4),COUNTA(FB8:FB11)*CELL("contenu",$B$7),COUNTA(FB13:FB13)*CELL("contenu",$B$12),COUNTA(FB15:FB17)*CELL("contenu",$B$14),COUNTA(FB19:FB19)*CELL("contenu",$B$18))=0,1,SUM(COUNTA(FB5:FB6)*CELL("contenu",$B$4),COUNTA(FB8:FB11)*CELL("contenu",$B$7),COUNTA(FB13:FB13)*CELL("contenu",$B$12),COUNTA(FB15:FB17)*CELL("contenu",$B$14),COUNTA(FB19:FB19)*CELL("contenu",$B$18))))</f>
        <v/>
      </c>
      <c r="FC20" s="116"/>
      <c r="FD20" s="192">
        <f ca="1">IF(COUNTA(EZ20:FB20)-COUNTBLANK(EZ20:FB20)=0,"",SUM(EZ20:FB20)/(COUNTA(EZ20:FB20)-COUNTBLANK(EZ20:FB20)))</f>
        <v>14.166666666666668</v>
      </c>
      <c r="FE20" s="182" t="str">
        <f ca="1">IF(COUNTA(FE5:FE19)=0,"",5*SUM(IFERROR((((COUNTIF(FE5:FE6,"A"))*4)+((COUNTIF(FE5:FE6,"B"))*3)+((COUNTIF(FE5:FE6,"C"))*2)+((COUNTIF(FE5:FE6,"D"))*1))*CELL("contenu",$B$4),0),IFERROR((((COUNTIF(FE8:FE11,"A"))*4)+((COUNTIF(FE8:FE11,"B"))*3)+((COUNTIF(FE8:FE11,"C"))*2)+((COUNTIF(FE8:FE11,"D"))*1))*CELL("contenu",$B$7),0),IFERROR((((COUNTIF(FE13:FE13,"A"))*4)+((COUNTIF(FE13:FE13,"B"))*3)+((COUNTIF(FE13:FE13,"C"))*2)+((COUNTIF(FE13:FE13,"D"))*1))*CELL("contenu",$B$12),0),IFERROR((((COUNTIF(FE15:FE17,"A"))*4)+((COUNTIF(FE15:FE17,"B"))*3)+((COUNTIF(FE15:FE17,"C"))*2)+((COUNTIF(FE15:FE17,"D"))*1))*CELL("contenu",$B$14),0),IFERROR((((COUNTIF(FE19:FE19,"A"))*4)+((COUNTIF(FE19:FE19,"B"))*3)+((COUNTIF(FE19:FE19,"C"))*2)+((COUNTIF(FE19:FE19,"D"))*1))*CELL("contenu",$B$18),0))/IF(SUM(COUNTA(FE5:FE6)*CELL("contenu",$B$4),COUNTA(FE8:FE11)*CELL("contenu",$B$7),COUNTA(FE13:FE13)*CELL("contenu",$B$12),COUNTA(FE15:FE17)*CELL("contenu",$B$14),COUNTA(FE19:FE19)*CELL("contenu",$B$18))=0,1,SUM(COUNTA(FE5:FE6)*CELL("contenu",$B$4),COUNTA(FE8:FE11)*CELL("contenu",$B$7),COUNTA(FE13:FE13)*CELL("contenu",$B$12),COUNTA(FE15:FE17)*CELL("contenu",$B$14),COUNTA(FE19:FE19)*CELL("contenu",$B$18))))</f>
        <v/>
      </c>
      <c r="FF20" s="183" t="str">
        <f ca="1">IF(COUNTA(FF5:FF19)=0,"",5*SUM(IFERROR((((COUNTIF(FF5:FF6,"A"))*4)+((COUNTIF(FF5:FF6,"B"))*3)+((COUNTIF(FF5:FF6,"C"))*2)+((COUNTIF(FF5:FF6,"D"))*1))*CELL("contenu",$B$4),0),IFERROR((((COUNTIF(FF8:FF11,"A"))*4)+((COUNTIF(FF8:FF11,"B"))*3)+((COUNTIF(FF8:FF11,"C"))*2)+((COUNTIF(FF8:FF11,"D"))*1))*CELL("contenu",$B$7),0),IFERROR((((COUNTIF(FF13:FF13,"A"))*4)+((COUNTIF(FF13:FF13,"B"))*3)+((COUNTIF(FF13:FF13,"C"))*2)+((COUNTIF(FF13:FF13,"D"))*1))*CELL("contenu",$B$12),0),IFERROR((((COUNTIF(FF15:FF17,"A"))*4)+((COUNTIF(FF15:FF17,"B"))*3)+((COUNTIF(FF15:FF17,"C"))*2)+((COUNTIF(FF15:FF17,"D"))*1))*CELL("contenu",$B$14),0),IFERROR((((COUNTIF(FF19:FF19,"A"))*4)+((COUNTIF(FF19:FF19,"B"))*3)+((COUNTIF(FF19:FF19,"C"))*2)+((COUNTIF(FF19:FF19,"D"))*1))*CELL("contenu",$B$18),0))/IF(SUM(COUNTA(FF5:FF6)*CELL("contenu",$B$4),COUNTA(FF8:FF11)*CELL("contenu",$B$7),COUNTA(FF13:FF13)*CELL("contenu",$B$12),COUNTA(FF15:FF17)*CELL("contenu",$B$14),COUNTA(FF19:FF19)*CELL("contenu",$B$18))=0,1,SUM(COUNTA(FF5:FF6)*CELL("contenu",$B$4),COUNTA(FF8:FF11)*CELL("contenu",$B$7),COUNTA(FF13:FF13)*CELL("contenu",$B$12),COUNTA(FF15:FF17)*CELL("contenu",$B$14),COUNTA(FF19:FF19)*CELL("contenu",$B$18))))</f>
        <v/>
      </c>
      <c r="FG20" s="184" t="str">
        <f ca="1">IF(COUNTA(FG5:FG19)=0,"",5*SUM(IFERROR((((COUNTIF(FG5:FG6,"A"))*4)+((COUNTIF(FG5:FG6,"B"))*3)+((COUNTIF(FG5:FG6,"C"))*2)+((COUNTIF(FG5:FG6,"D"))*1))*CELL("contenu",$B$4),0),IFERROR((((COUNTIF(FG8:FG11,"A"))*4)+((COUNTIF(FG8:FG11,"B"))*3)+((COUNTIF(FG8:FG11,"C"))*2)+((COUNTIF(FG8:FG11,"D"))*1))*CELL("contenu",$B$7),0),IFERROR((((COUNTIF(FG13:FG13,"A"))*4)+((COUNTIF(FG13:FG13,"B"))*3)+((COUNTIF(FG13:FG13,"C"))*2)+((COUNTIF(FG13:FG13,"D"))*1))*CELL("contenu",$B$12),0),IFERROR((((COUNTIF(FG15:FG17,"A"))*4)+((COUNTIF(FG15:FG17,"B"))*3)+((COUNTIF(FG15:FG17,"C"))*2)+((COUNTIF(FG15:FG17,"D"))*1))*CELL("contenu",$B$14),0),IFERROR((((COUNTIF(FG19:FG19,"A"))*4)+((COUNTIF(FG19:FG19,"B"))*3)+((COUNTIF(FG19:FG19,"C"))*2)+((COUNTIF(FG19:FG19,"D"))*1))*CELL("contenu",$B$18),0))/IF(SUM(COUNTA(FG5:FG6)*CELL("contenu",$B$4),COUNTA(FG8:FG11)*CELL("contenu",$B$7),COUNTA(FG13:FG13)*CELL("contenu",$B$12),COUNTA(FG15:FG17)*CELL("contenu",$B$14),COUNTA(FG19:FG19)*CELL("contenu",$B$18))=0,1,SUM(COUNTA(FG5:FG6)*CELL("contenu",$B$4),COUNTA(FG8:FG11)*CELL("contenu",$B$7),COUNTA(FG13:FG13)*CELL("contenu",$B$12),COUNTA(FG15:FG17)*CELL("contenu",$B$14),COUNTA(FG19:FG19)*CELL("contenu",$B$18))))</f>
        <v/>
      </c>
      <c r="FH20" s="176"/>
      <c r="FI20" s="175" t="str">
        <f ca="1">IF(COUNTA(FE20:FG20)-COUNTBLANK(FE20:FG20)=0,"",SUM(FE20:FG20)/(COUNTA(FE20:FG20)-COUNTBLANK(FE20:FG20)))</f>
        <v/>
      </c>
      <c r="FJ20" s="182" t="str">
        <f ca="1">IF(COUNTA(FJ5:FJ19)=0,"",5*SUM(IFERROR((((COUNTIF(FJ5:FJ6,"A"))*4)+((COUNTIF(FJ5:FJ6,"B"))*3)+((COUNTIF(FJ5:FJ6,"C"))*2)+((COUNTIF(FJ5:FJ6,"D"))*1))*CELL("contenu",$B$4),0),IFERROR((((COUNTIF(FJ8:FJ11,"A"))*4)+((COUNTIF(FJ8:FJ11,"B"))*3)+((COUNTIF(FJ8:FJ11,"C"))*2)+((COUNTIF(FJ8:FJ11,"D"))*1))*CELL("contenu",$B$7),0),IFERROR((((COUNTIF(FJ13:FJ13,"A"))*4)+((COUNTIF(FJ13:FJ13,"B"))*3)+((COUNTIF(FJ13:FJ13,"C"))*2)+((COUNTIF(FJ13:FJ13,"D"))*1))*CELL("contenu",$B$12),0),IFERROR((((COUNTIF(FJ15:FJ17,"A"))*4)+((COUNTIF(FJ15:FJ17,"B"))*3)+((COUNTIF(FJ15:FJ17,"C"))*2)+((COUNTIF(FJ15:FJ17,"D"))*1))*CELL("contenu",$B$14),0),IFERROR((((COUNTIF(FJ19:FJ19,"A"))*4)+((COUNTIF(FJ19:FJ19,"B"))*3)+((COUNTIF(FJ19:FJ19,"C"))*2)+((COUNTIF(FJ19:FJ19,"D"))*1))*CELL("contenu",$B$18),0))/IF(SUM(COUNTA(FJ5:FJ6)*CELL("contenu",$B$4),COUNTA(FJ8:FJ11)*CELL("contenu",$B$7),COUNTA(FJ13:FJ13)*CELL("contenu",$B$12),COUNTA(FJ15:FJ17)*CELL("contenu",$B$14),COUNTA(FJ19:FJ19)*CELL("contenu",$B$18))=0,1,SUM(COUNTA(FJ5:FJ6)*CELL("contenu",$B$4),COUNTA(FJ8:FJ11)*CELL("contenu",$B$7),COUNTA(FJ13:FJ13)*CELL("contenu",$B$12),COUNTA(FJ15:FJ17)*CELL("contenu",$B$14),COUNTA(FJ19:FJ19)*CELL("contenu",$B$18))))</f>
        <v/>
      </c>
      <c r="FK20" s="183" t="str">
        <f ca="1">IF(COUNTA(FK5:FK19)=0,"",5*SUM(IFERROR((((COUNTIF(FK5:FK6,"A"))*4)+((COUNTIF(FK5:FK6,"B"))*3)+((COUNTIF(FK5:FK6,"C"))*2)+((COUNTIF(FK5:FK6,"D"))*1))*CELL("contenu",$B$4),0),IFERROR((((COUNTIF(FK8:FK11,"A"))*4)+((COUNTIF(FK8:FK11,"B"))*3)+((COUNTIF(FK8:FK11,"C"))*2)+((COUNTIF(FK8:FK11,"D"))*1))*CELL("contenu",$B$7),0),IFERROR((((COUNTIF(FK13:FK13,"A"))*4)+((COUNTIF(FK13:FK13,"B"))*3)+((COUNTIF(FK13:FK13,"C"))*2)+((COUNTIF(FK13:FK13,"D"))*1))*CELL("contenu",$B$12),0),IFERROR((((COUNTIF(FK15:FK17,"A"))*4)+((COUNTIF(FK15:FK17,"B"))*3)+((COUNTIF(FK15:FK17,"C"))*2)+((COUNTIF(FK15:FK17,"D"))*1))*CELL("contenu",$B$14),0),IFERROR((((COUNTIF(FK19:FK19,"A"))*4)+((COUNTIF(FK19:FK19,"B"))*3)+((COUNTIF(FK19:FK19,"C"))*2)+((COUNTIF(FK19:FK19,"D"))*1))*CELL("contenu",$B$18),0))/IF(SUM(COUNTA(FK5:FK6)*CELL("contenu",$B$4),COUNTA(FK8:FK11)*CELL("contenu",$B$7),COUNTA(FK13:FK13)*CELL("contenu",$B$12),COUNTA(FK15:FK17)*CELL("contenu",$B$14),COUNTA(FK19:FK19)*CELL("contenu",$B$18))=0,1,SUM(COUNTA(FK5:FK6)*CELL("contenu",$B$4),COUNTA(FK8:FK11)*CELL("contenu",$B$7),COUNTA(FK13:FK13)*CELL("contenu",$B$12),COUNTA(FK15:FK17)*CELL("contenu",$B$14),COUNTA(FK19:FK19)*CELL("contenu",$B$18))))</f>
        <v/>
      </c>
      <c r="FL20" s="184" t="str">
        <f ca="1">IF(COUNTA(FL5:FL19)=0,"",5*SUM(IFERROR((((COUNTIF(FL5:FL6,"A"))*4)+((COUNTIF(FL5:FL6,"B"))*3)+((COUNTIF(FL5:FL6,"C"))*2)+((COUNTIF(FL5:FL6,"D"))*1))*CELL("contenu",$B$4),0),IFERROR((((COUNTIF(FL8:FL11,"A"))*4)+((COUNTIF(FL8:FL11,"B"))*3)+((COUNTIF(FL8:FL11,"C"))*2)+((COUNTIF(FL8:FL11,"D"))*1))*CELL("contenu",$B$7),0),IFERROR((((COUNTIF(FL13:FL13,"A"))*4)+((COUNTIF(FL13:FL13,"B"))*3)+((COUNTIF(FL13:FL13,"C"))*2)+((COUNTIF(FL13:FL13,"D"))*1))*CELL("contenu",$B$12),0),IFERROR((((COUNTIF(FL15:FL17,"A"))*4)+((COUNTIF(FL15:FL17,"B"))*3)+((COUNTIF(FL15:FL17,"C"))*2)+((COUNTIF(FL15:FL17,"D"))*1))*CELL("contenu",$B$14),0),IFERROR((((COUNTIF(FL19:FL19,"A"))*4)+((COUNTIF(FL19:FL19,"B"))*3)+((COUNTIF(FL19:FL19,"C"))*2)+((COUNTIF(FL19:FL19,"D"))*1))*CELL("contenu",$B$18),0))/IF(SUM(COUNTA(FL5:FL6)*CELL("contenu",$B$4),COUNTA(FL8:FL11)*CELL("contenu",$B$7),COUNTA(FL13:FL13)*CELL("contenu",$B$12),COUNTA(FL15:FL17)*CELL("contenu",$B$14),COUNTA(FL19:FL19)*CELL("contenu",$B$18))=0,1,SUM(COUNTA(FL5:FL6)*CELL("contenu",$B$4),COUNTA(FL8:FL11)*CELL("contenu",$B$7),COUNTA(FL13:FL13)*CELL("contenu",$B$12),COUNTA(FL15:FL17)*CELL("contenu",$B$14),COUNTA(FL19:FL19)*CELL("contenu",$B$18))))</f>
        <v/>
      </c>
      <c r="FM20" s="176"/>
      <c r="FN20" s="174" t="str">
        <f ca="1">IF(COUNTA(FJ20:FL20)-COUNTBLANK(FJ20:FL20)=0,"",SUM(FJ20:FL20)/(COUNTA(FJ20:FL20)-COUNTBLANK(FJ20:FL20)))</f>
        <v/>
      </c>
      <c r="FO20" s="103"/>
      <c r="FP20" s="141"/>
      <c r="FQ20" s="167">
        <f ca="1">IF(COUNTA(FQ5:FQ19)=0,"",5*SUM(IFERROR((((COUNTIF(FQ5:FQ6,"A"))*4)+((COUNTIF(FQ5:FQ6,"B"))*3)+((COUNTIF(FQ5:FQ6,"C"))*2)+((COUNTIF(FQ5:FQ6,"D"))*1))*CELL("contenu",$B$4),0),IFERROR((((COUNTIF(FQ8:FQ11,"A"))*4)+((COUNTIF(FQ8:FQ11,"B"))*3)+((COUNTIF(FQ8:FQ11,"C"))*2)+((COUNTIF(FQ8:FQ11,"D"))*1))*CELL("contenu",$B$7),0),IFERROR((((COUNTIF(FQ13:FQ13,"A"))*4)+((COUNTIF(FQ13:FQ13,"B"))*3)+((COUNTIF(FQ13:FQ13,"C"))*2)+((COUNTIF(FQ13:FQ13,"D"))*1))*CELL("contenu",$B$12),0),IFERROR((((COUNTIF(FQ15:FQ17,"A"))*4)+((COUNTIF(FQ15:FQ17,"B"))*3)+((COUNTIF(FQ15:FQ17,"C"))*2)+((COUNTIF(FQ15:FQ17,"D"))*1))*CELL("contenu",$B$14),0),IFERROR((((COUNTIF(FQ19:FQ19,"A"))*4)+((COUNTIF(FQ19:FQ19,"B"))*3)+((COUNTIF(FQ19:FQ19,"C"))*2)+((COUNTIF(FQ19:FQ19,"D"))*1))*CELL("contenu",$B$18),0))/IF(SUM(COUNTA(FQ5:FQ6)*CELL("contenu",$B$4),COUNTA(FQ8:FQ11)*CELL("contenu",$B$7),COUNTA(FQ13:FQ13)*CELL("contenu",$B$12),COUNTA(FQ15:FQ17)*CELL("contenu",$B$14),COUNTA(FQ19:FQ19)*CELL("contenu",$B$18))=0,1,SUM(COUNTA(FQ5:FQ6)*CELL("contenu",$B$4),COUNTA(FQ8:FQ11)*CELL("contenu",$B$7),COUNTA(FQ13:FQ13)*CELL("contenu",$B$12),COUNTA(FQ15:FQ17)*CELL("contenu",$B$14),COUNTA(FQ19:FQ19)*CELL("contenu",$B$18))))</f>
        <v>16.666666666666668</v>
      </c>
      <c r="FR20" s="168">
        <f ca="1">IF(COUNTA(FR5:FR19)=0,"",5*SUM(IFERROR((((COUNTIF(FR5:FR6,"A"))*4)+((COUNTIF(FR5:FR6,"B"))*3)+((COUNTIF(FR5:FR6,"C"))*2)+((COUNTIF(FR5:FR6,"D"))*1))*CELL("contenu",$B$4),0),IFERROR((((COUNTIF(FR8:FR11,"A"))*4)+((COUNTIF(FR8:FR11,"B"))*3)+((COUNTIF(FR8:FR11,"C"))*2)+((COUNTIF(FR8:FR11,"D"))*1))*CELL("contenu",$B$7),0),IFERROR((((COUNTIF(FR13:FR13,"A"))*4)+((COUNTIF(FR13:FR13,"B"))*3)+((COUNTIF(FR13:FR13,"C"))*2)+((COUNTIF(FR13:FR13,"D"))*1))*CELL("contenu",$B$12),0),IFERROR((((COUNTIF(FR15:FR17,"A"))*4)+((COUNTIF(FR15:FR17,"B"))*3)+((COUNTIF(FR15:FR17,"C"))*2)+((COUNTIF(FR15:FR17,"D"))*1))*CELL("contenu",$B$14),0),IFERROR((((COUNTIF(FR19:FR19,"A"))*4)+((COUNTIF(FR19:FR19,"B"))*3)+((COUNTIF(FR19:FR19,"C"))*2)+((COUNTIF(FR19:FR19,"D"))*1))*CELL("contenu",$B$18),0))/IF(SUM(COUNTA(FR5:FR6)*CELL("contenu",$B$4),COUNTA(FR8:FR11)*CELL("contenu",$B$7),COUNTA(FR13:FR13)*CELL("contenu",$B$12),COUNTA(FR15:FR17)*CELL("contenu",$B$14),COUNTA(FR19:FR19)*CELL("contenu",$B$18))=0,1,SUM(COUNTA(FR5:FR6)*CELL("contenu",$B$4),COUNTA(FR8:FR11)*CELL("contenu",$B$7),COUNTA(FR13:FR13)*CELL("contenu",$B$12),COUNTA(FR15:FR17)*CELL("contenu",$B$14),COUNTA(FR19:FR19)*CELL("contenu",$B$18))))</f>
        <v>16.666666666666668</v>
      </c>
      <c r="FS20" s="169" t="str">
        <f ca="1">IF(COUNTA(FS5:FS19)=0,"",5*SUM(IFERROR((((COUNTIF(FS5:FS6,"A"))*4)+((COUNTIF(FS5:FS6,"B"))*3)+((COUNTIF(FS5:FS6,"C"))*2)+((COUNTIF(FS5:FS6,"D"))*1))*CELL("contenu",$B$4),0),IFERROR((((COUNTIF(FS8:FS11,"A"))*4)+((COUNTIF(FS8:FS11,"B"))*3)+((COUNTIF(FS8:FS11,"C"))*2)+((COUNTIF(FS8:FS11,"D"))*1))*CELL("contenu",$B$7),0),IFERROR((((COUNTIF(FS13:FS13,"A"))*4)+((COUNTIF(FS13:FS13,"B"))*3)+((COUNTIF(FS13:FS13,"C"))*2)+((COUNTIF(FS13:FS13,"D"))*1))*CELL("contenu",$B$12),0),IFERROR((((COUNTIF(FS15:FS17,"A"))*4)+((COUNTIF(FS15:FS17,"B"))*3)+((COUNTIF(FS15:FS17,"C"))*2)+((COUNTIF(FS15:FS17,"D"))*1))*CELL("contenu",$B$14),0),IFERROR((((COUNTIF(FS19:FS19,"A"))*4)+((COUNTIF(FS19:FS19,"B"))*3)+((COUNTIF(FS19:FS19,"C"))*2)+((COUNTIF(FS19:FS19,"D"))*1))*CELL("contenu",$B$18),0))/IF(SUM(COUNTA(FS5:FS6)*CELL("contenu",$B$4),COUNTA(FS8:FS11)*CELL("contenu",$B$7),COUNTA(FS13:FS13)*CELL("contenu",$B$12),COUNTA(FS15:FS17)*CELL("contenu",$B$14),COUNTA(FS19:FS19)*CELL("contenu",$B$18))=0,1,SUM(COUNTA(FS5:FS6)*CELL("contenu",$B$4),COUNTA(FS8:FS11)*CELL("contenu",$B$7),COUNTA(FS13:FS13)*CELL("contenu",$B$12),COUNTA(FS15:FS17)*CELL("contenu",$B$14),COUNTA(FS19:FS19)*CELL("contenu",$B$18))))</f>
        <v/>
      </c>
      <c r="FT20" s="116"/>
      <c r="FU20" s="192">
        <f ca="1">IF(COUNTA(FQ20:FS20)-COUNTBLANK(FQ20:FS20)=0,"",SUM(FQ20:FS20)/(COUNTA(FQ20:FS20)-COUNTBLANK(FQ20:FS20)))</f>
        <v>16.666666666666668</v>
      </c>
      <c r="FV20" s="182" t="str">
        <f ca="1">IF(COUNTA(FV5:FV19)=0,"",5*SUM(IFERROR((((COUNTIF(FV5:FV6,"A"))*4)+((COUNTIF(FV5:FV6,"B"))*3)+((COUNTIF(FV5:FV6,"C"))*2)+((COUNTIF(FV5:FV6,"D"))*1))*CELL("contenu",$B$4),0),IFERROR((((COUNTIF(FV8:FV11,"A"))*4)+((COUNTIF(FV8:FV11,"B"))*3)+((COUNTIF(FV8:FV11,"C"))*2)+((COUNTIF(FV8:FV11,"D"))*1))*CELL("contenu",$B$7),0),IFERROR((((COUNTIF(FV13:FV13,"A"))*4)+((COUNTIF(FV13:FV13,"B"))*3)+((COUNTIF(FV13:FV13,"C"))*2)+((COUNTIF(FV13:FV13,"D"))*1))*CELL("contenu",$B$12),0),IFERROR((((COUNTIF(FV15:FV17,"A"))*4)+((COUNTIF(FV15:FV17,"B"))*3)+((COUNTIF(FV15:FV17,"C"))*2)+((COUNTIF(FV15:FV17,"D"))*1))*CELL("contenu",$B$14),0),IFERROR((((COUNTIF(FV19:FV19,"A"))*4)+((COUNTIF(FV19:FV19,"B"))*3)+((COUNTIF(FV19:FV19,"C"))*2)+((COUNTIF(FV19:FV19,"D"))*1))*CELL("contenu",$B$18),0))/IF(SUM(COUNTA(FV5:FV6)*CELL("contenu",$B$4),COUNTA(FV8:FV11)*CELL("contenu",$B$7),COUNTA(FV13:FV13)*CELL("contenu",$B$12),COUNTA(FV15:FV17)*CELL("contenu",$B$14),COUNTA(FV19:FV19)*CELL("contenu",$B$18))=0,1,SUM(COUNTA(FV5:FV6)*CELL("contenu",$B$4),COUNTA(FV8:FV11)*CELL("contenu",$B$7),COUNTA(FV13:FV13)*CELL("contenu",$B$12),COUNTA(FV15:FV17)*CELL("contenu",$B$14),COUNTA(FV19:FV19)*CELL("contenu",$B$18))))</f>
        <v/>
      </c>
      <c r="FW20" s="183" t="str">
        <f ca="1">IF(COUNTA(FW5:FW19)=0,"",5*SUM(IFERROR((((COUNTIF(FW5:FW6,"A"))*4)+((COUNTIF(FW5:FW6,"B"))*3)+((COUNTIF(FW5:FW6,"C"))*2)+((COUNTIF(FW5:FW6,"D"))*1))*CELL("contenu",$B$4),0),IFERROR((((COUNTIF(FW8:FW11,"A"))*4)+((COUNTIF(FW8:FW11,"B"))*3)+((COUNTIF(FW8:FW11,"C"))*2)+((COUNTIF(FW8:FW11,"D"))*1))*CELL("contenu",$B$7),0),IFERROR((((COUNTIF(FW13:FW13,"A"))*4)+((COUNTIF(FW13:FW13,"B"))*3)+((COUNTIF(FW13:FW13,"C"))*2)+((COUNTIF(FW13:FW13,"D"))*1))*CELL("contenu",$B$12),0),IFERROR((((COUNTIF(FW15:FW17,"A"))*4)+((COUNTIF(FW15:FW17,"B"))*3)+((COUNTIF(FW15:FW17,"C"))*2)+((COUNTIF(FW15:FW17,"D"))*1))*CELL("contenu",$B$14),0),IFERROR((((COUNTIF(FW19:FW19,"A"))*4)+((COUNTIF(FW19:FW19,"B"))*3)+((COUNTIF(FW19:FW19,"C"))*2)+((COUNTIF(FW19:FW19,"D"))*1))*CELL("contenu",$B$18),0))/IF(SUM(COUNTA(FW5:FW6)*CELL("contenu",$B$4),COUNTA(FW8:FW11)*CELL("contenu",$B$7),COUNTA(FW13:FW13)*CELL("contenu",$B$12),COUNTA(FW15:FW17)*CELL("contenu",$B$14),COUNTA(FW19:FW19)*CELL("contenu",$B$18))=0,1,SUM(COUNTA(FW5:FW6)*CELL("contenu",$B$4),COUNTA(FW8:FW11)*CELL("contenu",$B$7),COUNTA(FW13:FW13)*CELL("contenu",$B$12),COUNTA(FW15:FW17)*CELL("contenu",$B$14),COUNTA(FW19:FW19)*CELL("contenu",$B$18))))</f>
        <v/>
      </c>
      <c r="FX20" s="184" t="str">
        <f ca="1">IF(COUNTA(FX5:FX19)=0,"",5*SUM(IFERROR((((COUNTIF(FX5:FX6,"A"))*4)+((COUNTIF(FX5:FX6,"B"))*3)+((COUNTIF(FX5:FX6,"C"))*2)+((COUNTIF(FX5:FX6,"D"))*1))*CELL("contenu",$B$4),0),IFERROR((((COUNTIF(FX8:FX11,"A"))*4)+((COUNTIF(FX8:FX11,"B"))*3)+((COUNTIF(FX8:FX11,"C"))*2)+((COUNTIF(FX8:FX11,"D"))*1))*CELL("contenu",$B$7),0),IFERROR((((COUNTIF(FX13:FX13,"A"))*4)+((COUNTIF(FX13:FX13,"B"))*3)+((COUNTIF(FX13:FX13,"C"))*2)+((COUNTIF(FX13:FX13,"D"))*1))*CELL("contenu",$B$12),0),IFERROR((((COUNTIF(FX15:FX17,"A"))*4)+((COUNTIF(FX15:FX17,"B"))*3)+((COUNTIF(FX15:FX17,"C"))*2)+((COUNTIF(FX15:FX17,"D"))*1))*CELL("contenu",$B$14),0),IFERROR((((COUNTIF(FX19:FX19,"A"))*4)+((COUNTIF(FX19:FX19,"B"))*3)+((COUNTIF(FX19:FX19,"C"))*2)+((COUNTIF(FX19:FX19,"D"))*1))*CELL("contenu",$B$18),0))/IF(SUM(COUNTA(FX5:FX6)*CELL("contenu",$B$4),COUNTA(FX8:FX11)*CELL("contenu",$B$7),COUNTA(FX13:FX13)*CELL("contenu",$B$12),COUNTA(FX15:FX17)*CELL("contenu",$B$14),COUNTA(FX19:FX19)*CELL("contenu",$B$18))=0,1,SUM(COUNTA(FX5:FX6)*CELL("contenu",$B$4),COUNTA(FX8:FX11)*CELL("contenu",$B$7),COUNTA(FX13:FX13)*CELL("contenu",$B$12),COUNTA(FX15:FX17)*CELL("contenu",$B$14),COUNTA(FX19:FX19)*CELL("contenu",$B$18))))</f>
        <v/>
      </c>
      <c r="FY20" s="176"/>
      <c r="FZ20" s="175" t="str">
        <f ca="1">IF(COUNTA(FV20:FX20)-COUNTBLANK(FV20:FX20)=0,"",SUM(FV20:FX20)/(COUNTA(FV20:FX20)-COUNTBLANK(FV20:FX20)))</f>
        <v/>
      </c>
      <c r="GA20" s="182" t="str">
        <f ca="1">IF(COUNTA(GA5:GA19)=0,"",5*SUM(IFERROR((((COUNTIF(GA5:GA6,"A"))*4)+((COUNTIF(GA5:GA6,"B"))*3)+((COUNTIF(GA5:GA6,"C"))*2)+((COUNTIF(GA5:GA6,"D"))*1))*CELL("contenu",$B$4),0),IFERROR((((COUNTIF(GA8:GA11,"A"))*4)+((COUNTIF(GA8:GA11,"B"))*3)+((COUNTIF(GA8:GA11,"C"))*2)+((COUNTIF(GA8:GA11,"D"))*1))*CELL("contenu",$B$7),0),IFERROR((((COUNTIF(GA13:GA13,"A"))*4)+((COUNTIF(GA13:GA13,"B"))*3)+((COUNTIF(GA13:GA13,"C"))*2)+((COUNTIF(GA13:GA13,"D"))*1))*CELL("contenu",$B$12),0),IFERROR((((COUNTIF(GA15:GA17,"A"))*4)+((COUNTIF(GA15:GA17,"B"))*3)+((COUNTIF(GA15:GA17,"C"))*2)+((COUNTIF(GA15:GA17,"D"))*1))*CELL("contenu",$B$14),0),IFERROR((((COUNTIF(GA19:GA19,"A"))*4)+((COUNTIF(GA19:GA19,"B"))*3)+((COUNTIF(GA19:GA19,"C"))*2)+((COUNTIF(GA19:GA19,"D"))*1))*CELL("contenu",$B$18),0))/IF(SUM(COUNTA(GA5:GA6)*CELL("contenu",$B$4),COUNTA(GA8:GA11)*CELL("contenu",$B$7),COUNTA(GA13:GA13)*CELL("contenu",$B$12),COUNTA(GA15:GA17)*CELL("contenu",$B$14),COUNTA(GA19:GA19)*CELL("contenu",$B$18))=0,1,SUM(COUNTA(GA5:GA6)*CELL("contenu",$B$4),COUNTA(GA8:GA11)*CELL("contenu",$B$7),COUNTA(GA13:GA13)*CELL("contenu",$B$12),COUNTA(GA15:GA17)*CELL("contenu",$B$14),COUNTA(GA19:GA19)*CELL("contenu",$B$18))))</f>
        <v/>
      </c>
      <c r="GB20" s="183" t="str">
        <f ca="1">IF(COUNTA(GB5:GB19)=0,"",5*SUM(IFERROR((((COUNTIF(GB5:GB6,"A"))*4)+((COUNTIF(GB5:GB6,"B"))*3)+((COUNTIF(GB5:GB6,"C"))*2)+((COUNTIF(GB5:GB6,"D"))*1))*CELL("contenu",$B$4),0),IFERROR((((COUNTIF(GB8:GB11,"A"))*4)+((COUNTIF(GB8:GB11,"B"))*3)+((COUNTIF(GB8:GB11,"C"))*2)+((COUNTIF(GB8:GB11,"D"))*1))*CELL("contenu",$B$7),0),IFERROR((((COUNTIF(GB13:GB13,"A"))*4)+((COUNTIF(GB13:GB13,"B"))*3)+((COUNTIF(GB13:GB13,"C"))*2)+((COUNTIF(GB13:GB13,"D"))*1))*CELL("contenu",$B$12),0),IFERROR((((COUNTIF(GB15:GB17,"A"))*4)+((COUNTIF(GB15:GB17,"B"))*3)+((COUNTIF(GB15:GB17,"C"))*2)+((COUNTIF(GB15:GB17,"D"))*1))*CELL("contenu",$B$14),0),IFERROR((((COUNTIF(GB19:GB19,"A"))*4)+((COUNTIF(GB19:GB19,"B"))*3)+((COUNTIF(GB19:GB19,"C"))*2)+((COUNTIF(GB19:GB19,"D"))*1))*CELL("contenu",$B$18),0))/IF(SUM(COUNTA(GB5:GB6)*CELL("contenu",$B$4),COUNTA(GB8:GB11)*CELL("contenu",$B$7),COUNTA(GB13:GB13)*CELL("contenu",$B$12),COUNTA(GB15:GB17)*CELL("contenu",$B$14),COUNTA(GB19:GB19)*CELL("contenu",$B$18))=0,1,SUM(COUNTA(GB5:GB6)*CELL("contenu",$B$4),COUNTA(GB8:GB11)*CELL("contenu",$B$7),COUNTA(GB13:GB13)*CELL("contenu",$B$12),COUNTA(GB15:GB17)*CELL("contenu",$B$14),COUNTA(GB19:GB19)*CELL("contenu",$B$18))))</f>
        <v/>
      </c>
      <c r="GC20" s="184" t="str">
        <f ca="1">IF(COUNTA(GC5:GC19)=0,"",5*SUM(IFERROR((((COUNTIF(GC5:GC6,"A"))*4)+((COUNTIF(GC5:GC6,"B"))*3)+((COUNTIF(GC5:GC6,"C"))*2)+((COUNTIF(GC5:GC6,"D"))*1))*CELL("contenu",$B$4),0),IFERROR((((COUNTIF(GC8:GC11,"A"))*4)+((COUNTIF(GC8:GC11,"B"))*3)+((COUNTIF(GC8:GC11,"C"))*2)+((COUNTIF(GC8:GC11,"D"))*1))*CELL("contenu",$B$7),0),IFERROR((((COUNTIF(GC13:GC13,"A"))*4)+((COUNTIF(GC13:GC13,"B"))*3)+((COUNTIF(GC13:GC13,"C"))*2)+((COUNTIF(GC13:GC13,"D"))*1))*CELL("contenu",$B$12),0),IFERROR((((COUNTIF(GC15:GC17,"A"))*4)+((COUNTIF(GC15:GC17,"B"))*3)+((COUNTIF(GC15:GC17,"C"))*2)+((COUNTIF(GC15:GC17,"D"))*1))*CELL("contenu",$B$14),0),IFERROR((((COUNTIF(GC19:GC19,"A"))*4)+((COUNTIF(GC19:GC19,"B"))*3)+((COUNTIF(GC19:GC19,"C"))*2)+((COUNTIF(GC19:GC19,"D"))*1))*CELL("contenu",$B$18),0))/IF(SUM(COUNTA(GC5:GC6)*CELL("contenu",$B$4),COUNTA(GC8:GC11)*CELL("contenu",$B$7),COUNTA(GC13:GC13)*CELL("contenu",$B$12),COUNTA(GC15:GC17)*CELL("contenu",$B$14),COUNTA(GC19:GC19)*CELL("contenu",$B$18))=0,1,SUM(COUNTA(GC5:GC6)*CELL("contenu",$B$4),COUNTA(GC8:GC11)*CELL("contenu",$B$7),COUNTA(GC13:GC13)*CELL("contenu",$B$12),COUNTA(GC15:GC17)*CELL("contenu",$B$14),COUNTA(GC19:GC19)*CELL("contenu",$B$18))))</f>
        <v/>
      </c>
      <c r="GD20" s="176"/>
      <c r="GE20" s="174" t="str">
        <f ca="1">IF(COUNTA(GA20:GC20)-COUNTBLANK(GA20:GC20)=0,"",SUM(GA20:GC20)/(COUNTA(GA20:GC20)-COUNTBLANK(GA20:GC20)))</f>
        <v/>
      </c>
      <c r="GF20" s="103"/>
      <c r="GG20" s="141"/>
      <c r="GH20" s="167">
        <f ca="1">IF(COUNTA(GH5:GH19)=0,"",5*SUM(IFERROR((((COUNTIF(GH5:GH6,"A"))*4)+((COUNTIF(GH5:GH6,"B"))*3)+((COUNTIF(GH5:GH6,"C"))*2)+((COUNTIF(GH5:GH6,"D"))*1))*CELL("contenu",$B$4),0),IFERROR((((COUNTIF(GH8:GH11,"A"))*4)+((COUNTIF(GH8:GH11,"B"))*3)+((COUNTIF(GH8:GH11,"C"))*2)+((COUNTIF(GH8:GH11,"D"))*1))*CELL("contenu",$B$7),0),IFERROR((((COUNTIF(GH13:GH13,"A"))*4)+((COUNTIF(GH13:GH13,"B"))*3)+((COUNTIF(GH13:GH13,"C"))*2)+((COUNTIF(GH13:GH13,"D"))*1))*CELL("contenu",$B$12),0),IFERROR((((COUNTIF(GH15:GH17,"A"))*4)+((COUNTIF(GH15:GH17,"B"))*3)+((COUNTIF(GH15:GH17,"C"))*2)+((COUNTIF(GH15:GH17,"D"))*1))*CELL("contenu",$B$14),0),IFERROR((((COUNTIF(GH19:GH19,"A"))*4)+((COUNTIF(GH19:GH19,"B"))*3)+((COUNTIF(GH19:GH19,"C"))*2)+((COUNTIF(GH19:GH19,"D"))*1))*CELL("contenu",$B$18),0))/IF(SUM(COUNTA(GH5:GH6)*CELL("contenu",$B$4),COUNTA(GH8:GH11)*CELL("contenu",$B$7),COUNTA(GH13:GH13)*CELL("contenu",$B$12),COUNTA(GH15:GH17)*CELL("contenu",$B$14),COUNTA(GH19:GH19)*CELL("contenu",$B$18))=0,1,SUM(COUNTA(GH5:GH6)*CELL("contenu",$B$4),COUNTA(GH8:GH11)*CELL("contenu",$B$7),COUNTA(GH13:GH13)*CELL("contenu",$B$12),COUNTA(GH15:GH17)*CELL("contenu",$B$14),COUNTA(GH19:GH19)*CELL("contenu",$B$18))))</f>
        <v>16.666666666666668</v>
      </c>
      <c r="GI20" s="168">
        <f ca="1">IF(COUNTA(GI5:GI19)=0,"",5*SUM(IFERROR((((COUNTIF(GI5:GI6,"A"))*4)+((COUNTIF(GI5:GI6,"B"))*3)+((COUNTIF(GI5:GI6,"C"))*2)+((COUNTIF(GI5:GI6,"D"))*1))*CELL("contenu",$B$4),0),IFERROR((((COUNTIF(GI8:GI11,"A"))*4)+((COUNTIF(GI8:GI11,"B"))*3)+((COUNTIF(GI8:GI11,"C"))*2)+((COUNTIF(GI8:GI11,"D"))*1))*CELL("contenu",$B$7),0),IFERROR((((COUNTIF(GI13:GI13,"A"))*4)+((COUNTIF(GI13:GI13,"B"))*3)+((COUNTIF(GI13:GI13,"C"))*2)+((COUNTIF(GI13:GI13,"D"))*1))*CELL("contenu",$B$12),0),IFERROR((((COUNTIF(GI15:GI17,"A"))*4)+((COUNTIF(GI15:GI17,"B"))*3)+((COUNTIF(GI15:GI17,"C"))*2)+((COUNTIF(GI15:GI17,"D"))*1))*CELL("contenu",$B$14),0),IFERROR((((COUNTIF(GI19:GI19,"A"))*4)+((COUNTIF(GI19:GI19,"B"))*3)+((COUNTIF(GI19:GI19,"C"))*2)+((COUNTIF(GI19:GI19,"D"))*1))*CELL("contenu",$B$18),0))/IF(SUM(COUNTA(GI5:GI6)*CELL("contenu",$B$4),COUNTA(GI8:GI11)*CELL("contenu",$B$7),COUNTA(GI13:GI13)*CELL("contenu",$B$12),COUNTA(GI15:GI17)*CELL("contenu",$B$14),COUNTA(GI19:GI19)*CELL("contenu",$B$18))=0,1,SUM(COUNTA(GI5:GI6)*CELL("contenu",$B$4),COUNTA(GI8:GI11)*CELL("contenu",$B$7),COUNTA(GI13:GI13)*CELL("contenu",$B$12),COUNTA(GI15:GI17)*CELL("contenu",$B$14),COUNTA(GI19:GI19)*CELL("contenu",$B$18))))</f>
        <v>10</v>
      </c>
      <c r="GJ20" s="169" t="str">
        <f ca="1">IF(COUNTA(GJ5:GJ19)=0,"",5*SUM(IFERROR((((COUNTIF(GJ5:GJ6,"A"))*4)+((COUNTIF(GJ5:GJ6,"B"))*3)+((COUNTIF(GJ5:GJ6,"C"))*2)+((COUNTIF(GJ5:GJ6,"D"))*1))*CELL("contenu",$B$4),0),IFERROR((((COUNTIF(GJ8:GJ11,"A"))*4)+((COUNTIF(GJ8:GJ11,"B"))*3)+((COUNTIF(GJ8:GJ11,"C"))*2)+((COUNTIF(GJ8:GJ11,"D"))*1))*CELL("contenu",$B$7),0),IFERROR((((COUNTIF(GJ13:GJ13,"A"))*4)+((COUNTIF(GJ13:GJ13,"B"))*3)+((COUNTIF(GJ13:GJ13,"C"))*2)+((COUNTIF(GJ13:GJ13,"D"))*1))*CELL("contenu",$B$12),0),IFERROR((((COUNTIF(GJ15:GJ17,"A"))*4)+((COUNTIF(GJ15:GJ17,"B"))*3)+((COUNTIF(GJ15:GJ17,"C"))*2)+((COUNTIF(GJ15:GJ17,"D"))*1))*CELL("contenu",$B$14),0),IFERROR((((COUNTIF(GJ19:GJ19,"A"))*4)+((COUNTIF(GJ19:GJ19,"B"))*3)+((COUNTIF(GJ19:GJ19,"C"))*2)+((COUNTIF(GJ19:GJ19,"D"))*1))*CELL("contenu",$B$18),0))/IF(SUM(COUNTA(GJ5:GJ6)*CELL("contenu",$B$4),COUNTA(GJ8:GJ11)*CELL("contenu",$B$7),COUNTA(GJ13:GJ13)*CELL("contenu",$B$12),COUNTA(GJ15:GJ17)*CELL("contenu",$B$14),COUNTA(GJ19:GJ19)*CELL("contenu",$B$18))=0,1,SUM(COUNTA(GJ5:GJ6)*CELL("contenu",$B$4),COUNTA(GJ8:GJ11)*CELL("contenu",$B$7),COUNTA(GJ13:GJ13)*CELL("contenu",$B$12),COUNTA(GJ15:GJ17)*CELL("contenu",$B$14),COUNTA(GJ19:GJ19)*CELL("contenu",$B$18))))</f>
        <v/>
      </c>
      <c r="GK20" s="116"/>
      <c r="GL20" s="192">
        <f ca="1">IF(COUNTA(GH20:GJ20)-COUNTBLANK(GH20:GJ20)=0,"",SUM(GH20:GJ20)/(COUNTA(GH20:GJ20)-COUNTBLANK(GH20:GJ20)))</f>
        <v>13.333333333333334</v>
      </c>
      <c r="GM20" s="182" t="str">
        <f ca="1">IF(COUNTA(GM5:GM19)=0,"",5*SUM(IFERROR((((COUNTIF(GM5:GM6,"A"))*4)+((COUNTIF(GM5:GM6,"B"))*3)+((COUNTIF(GM5:GM6,"C"))*2)+((COUNTIF(GM5:GM6,"D"))*1))*CELL("contenu",$B$4),0),IFERROR((((COUNTIF(GM8:GM11,"A"))*4)+((COUNTIF(GM8:GM11,"B"))*3)+((COUNTIF(GM8:GM11,"C"))*2)+((COUNTIF(GM8:GM11,"D"))*1))*CELL("contenu",$B$7),0),IFERROR((((COUNTIF(GM13:GM13,"A"))*4)+((COUNTIF(GM13:GM13,"B"))*3)+((COUNTIF(GM13:GM13,"C"))*2)+((COUNTIF(GM13:GM13,"D"))*1))*CELL("contenu",$B$12),0),IFERROR((((COUNTIF(GM15:GM17,"A"))*4)+((COUNTIF(GM15:GM17,"B"))*3)+((COUNTIF(GM15:GM17,"C"))*2)+((COUNTIF(GM15:GM17,"D"))*1))*CELL("contenu",$B$14),0),IFERROR((((COUNTIF(GM19:GM19,"A"))*4)+((COUNTIF(GM19:GM19,"B"))*3)+((COUNTIF(GM19:GM19,"C"))*2)+((COUNTIF(GM19:GM19,"D"))*1))*CELL("contenu",$B$18),0))/IF(SUM(COUNTA(GM5:GM6)*CELL("contenu",$B$4),COUNTA(GM8:GM11)*CELL("contenu",$B$7),COUNTA(GM13:GM13)*CELL("contenu",$B$12),COUNTA(GM15:GM17)*CELL("contenu",$B$14),COUNTA(GM19:GM19)*CELL("contenu",$B$18))=0,1,SUM(COUNTA(GM5:GM6)*CELL("contenu",$B$4),COUNTA(GM8:GM11)*CELL("contenu",$B$7),COUNTA(GM13:GM13)*CELL("contenu",$B$12),COUNTA(GM15:GM17)*CELL("contenu",$B$14),COUNTA(GM19:GM19)*CELL("contenu",$B$18))))</f>
        <v/>
      </c>
      <c r="GN20" s="183" t="str">
        <f ca="1">IF(COUNTA(GN5:GN19)=0,"",5*SUM(IFERROR((((COUNTIF(GN5:GN6,"A"))*4)+((COUNTIF(GN5:GN6,"B"))*3)+((COUNTIF(GN5:GN6,"C"))*2)+((COUNTIF(GN5:GN6,"D"))*1))*CELL("contenu",$B$4),0),IFERROR((((COUNTIF(GN8:GN11,"A"))*4)+((COUNTIF(GN8:GN11,"B"))*3)+((COUNTIF(GN8:GN11,"C"))*2)+((COUNTIF(GN8:GN11,"D"))*1))*CELL("contenu",$B$7),0),IFERROR((((COUNTIF(GN13:GN13,"A"))*4)+((COUNTIF(GN13:GN13,"B"))*3)+((COUNTIF(GN13:GN13,"C"))*2)+((COUNTIF(GN13:GN13,"D"))*1))*CELL("contenu",$B$12),0),IFERROR((((COUNTIF(GN15:GN17,"A"))*4)+((COUNTIF(GN15:GN17,"B"))*3)+((COUNTIF(GN15:GN17,"C"))*2)+((COUNTIF(GN15:GN17,"D"))*1))*CELL("contenu",$B$14),0),IFERROR((((COUNTIF(GN19:GN19,"A"))*4)+((COUNTIF(GN19:GN19,"B"))*3)+((COUNTIF(GN19:GN19,"C"))*2)+((COUNTIF(GN19:GN19,"D"))*1))*CELL("contenu",$B$18),0))/IF(SUM(COUNTA(GN5:GN6)*CELL("contenu",$B$4),COUNTA(GN8:GN11)*CELL("contenu",$B$7),COUNTA(GN13:GN13)*CELL("contenu",$B$12),COUNTA(GN15:GN17)*CELL("contenu",$B$14),COUNTA(GN19:GN19)*CELL("contenu",$B$18))=0,1,SUM(COUNTA(GN5:GN6)*CELL("contenu",$B$4),COUNTA(GN8:GN11)*CELL("contenu",$B$7),COUNTA(GN13:GN13)*CELL("contenu",$B$12),COUNTA(GN15:GN17)*CELL("contenu",$B$14),COUNTA(GN19:GN19)*CELL("contenu",$B$18))))</f>
        <v/>
      </c>
      <c r="GO20" s="184" t="str">
        <f ca="1">IF(COUNTA(GO5:GO19)=0,"",5*SUM(IFERROR((((COUNTIF(GO5:GO6,"A"))*4)+((COUNTIF(GO5:GO6,"B"))*3)+((COUNTIF(GO5:GO6,"C"))*2)+((COUNTIF(GO5:GO6,"D"))*1))*CELL("contenu",$B$4),0),IFERROR((((COUNTIF(GO8:GO11,"A"))*4)+((COUNTIF(GO8:GO11,"B"))*3)+((COUNTIF(GO8:GO11,"C"))*2)+((COUNTIF(GO8:GO11,"D"))*1))*CELL("contenu",$B$7),0),IFERROR((((COUNTIF(GO13:GO13,"A"))*4)+((COUNTIF(GO13:GO13,"B"))*3)+((COUNTIF(GO13:GO13,"C"))*2)+((COUNTIF(GO13:GO13,"D"))*1))*CELL("contenu",$B$12),0),IFERROR((((COUNTIF(GO15:GO17,"A"))*4)+((COUNTIF(GO15:GO17,"B"))*3)+((COUNTIF(GO15:GO17,"C"))*2)+((COUNTIF(GO15:GO17,"D"))*1))*CELL("contenu",$B$14),0),IFERROR((((COUNTIF(GO19:GO19,"A"))*4)+((COUNTIF(GO19:GO19,"B"))*3)+((COUNTIF(GO19:GO19,"C"))*2)+((COUNTIF(GO19:GO19,"D"))*1))*CELL("contenu",$B$18),0))/IF(SUM(COUNTA(GO5:GO6)*CELL("contenu",$B$4),COUNTA(GO8:GO11)*CELL("contenu",$B$7),COUNTA(GO13:GO13)*CELL("contenu",$B$12),COUNTA(GO15:GO17)*CELL("contenu",$B$14),COUNTA(GO19:GO19)*CELL("contenu",$B$18))=0,1,SUM(COUNTA(GO5:GO6)*CELL("contenu",$B$4),COUNTA(GO8:GO11)*CELL("contenu",$B$7),COUNTA(GO13:GO13)*CELL("contenu",$B$12),COUNTA(GO15:GO17)*CELL("contenu",$B$14),COUNTA(GO19:GO19)*CELL("contenu",$B$18))))</f>
        <v/>
      </c>
      <c r="GP20" s="176"/>
      <c r="GQ20" s="175" t="str">
        <f ca="1">IF(COUNTA(GM20:GO20)-COUNTBLANK(GM20:GO20)=0,"",SUM(GM20:GO20)/(COUNTA(GM20:GO20)-COUNTBLANK(GM20:GO20)))</f>
        <v/>
      </c>
      <c r="GR20" s="182" t="str">
        <f ca="1">IF(COUNTA(GR5:GR19)=0,"",5*SUM(IFERROR((((COUNTIF(GR5:GR6,"A"))*4)+((COUNTIF(GR5:GR6,"B"))*3)+((COUNTIF(GR5:GR6,"C"))*2)+((COUNTIF(GR5:GR6,"D"))*1))*CELL("contenu",$B$4),0),IFERROR((((COUNTIF(GR8:GR11,"A"))*4)+((COUNTIF(GR8:GR11,"B"))*3)+((COUNTIF(GR8:GR11,"C"))*2)+((COUNTIF(GR8:GR11,"D"))*1))*CELL("contenu",$B$7),0),IFERROR((((COUNTIF(GR13:GR13,"A"))*4)+((COUNTIF(GR13:GR13,"B"))*3)+((COUNTIF(GR13:GR13,"C"))*2)+((COUNTIF(GR13:GR13,"D"))*1))*CELL("contenu",$B$12),0),IFERROR((((COUNTIF(GR15:GR17,"A"))*4)+((COUNTIF(GR15:GR17,"B"))*3)+((COUNTIF(GR15:GR17,"C"))*2)+((COUNTIF(GR15:GR17,"D"))*1))*CELL("contenu",$B$14),0),IFERROR((((COUNTIF(GR19:GR19,"A"))*4)+((COUNTIF(GR19:GR19,"B"))*3)+((COUNTIF(GR19:GR19,"C"))*2)+((COUNTIF(GR19:GR19,"D"))*1))*CELL("contenu",$B$18),0))/IF(SUM(COUNTA(GR5:GR6)*CELL("contenu",$B$4),COUNTA(GR8:GR11)*CELL("contenu",$B$7),COUNTA(GR13:GR13)*CELL("contenu",$B$12),COUNTA(GR15:GR17)*CELL("contenu",$B$14),COUNTA(GR19:GR19)*CELL("contenu",$B$18))=0,1,SUM(COUNTA(GR5:GR6)*CELL("contenu",$B$4),COUNTA(GR8:GR11)*CELL("contenu",$B$7),COUNTA(GR13:GR13)*CELL("contenu",$B$12),COUNTA(GR15:GR17)*CELL("contenu",$B$14),COUNTA(GR19:GR19)*CELL("contenu",$B$18))))</f>
        <v/>
      </c>
      <c r="GS20" s="183" t="str">
        <f ca="1">IF(COUNTA(GS5:GS19)=0,"",5*SUM(IFERROR((((COUNTIF(GS5:GS6,"A"))*4)+((COUNTIF(GS5:GS6,"B"))*3)+((COUNTIF(GS5:GS6,"C"))*2)+((COUNTIF(GS5:GS6,"D"))*1))*CELL("contenu",$B$4),0),IFERROR((((COUNTIF(GS8:GS11,"A"))*4)+((COUNTIF(GS8:GS11,"B"))*3)+((COUNTIF(GS8:GS11,"C"))*2)+((COUNTIF(GS8:GS11,"D"))*1))*CELL("contenu",$B$7),0),IFERROR((((COUNTIF(GS13:GS13,"A"))*4)+((COUNTIF(GS13:GS13,"B"))*3)+((COUNTIF(GS13:GS13,"C"))*2)+((COUNTIF(GS13:GS13,"D"))*1))*CELL("contenu",$B$12),0),IFERROR((((COUNTIF(GS15:GS17,"A"))*4)+((COUNTIF(GS15:GS17,"B"))*3)+((COUNTIF(GS15:GS17,"C"))*2)+((COUNTIF(GS15:GS17,"D"))*1))*CELL("contenu",$B$14),0),IFERROR((((COUNTIF(GS19:GS19,"A"))*4)+((COUNTIF(GS19:GS19,"B"))*3)+((COUNTIF(GS19:GS19,"C"))*2)+((COUNTIF(GS19:GS19,"D"))*1))*CELL("contenu",$B$18),0))/IF(SUM(COUNTA(GS5:GS6)*CELL("contenu",$B$4),COUNTA(GS8:GS11)*CELL("contenu",$B$7),COUNTA(GS13:GS13)*CELL("contenu",$B$12),COUNTA(GS15:GS17)*CELL("contenu",$B$14),COUNTA(GS19:GS19)*CELL("contenu",$B$18))=0,1,SUM(COUNTA(GS5:GS6)*CELL("contenu",$B$4),COUNTA(GS8:GS11)*CELL("contenu",$B$7),COUNTA(GS13:GS13)*CELL("contenu",$B$12),COUNTA(GS15:GS17)*CELL("contenu",$B$14),COUNTA(GS19:GS19)*CELL("contenu",$B$18))))</f>
        <v/>
      </c>
      <c r="GT20" s="184" t="str">
        <f ca="1">IF(COUNTA(GT5:GT19)=0,"",5*SUM(IFERROR((((COUNTIF(GT5:GT6,"A"))*4)+((COUNTIF(GT5:GT6,"B"))*3)+((COUNTIF(GT5:GT6,"C"))*2)+((COUNTIF(GT5:GT6,"D"))*1))*CELL("contenu",$B$4),0),IFERROR((((COUNTIF(GT8:GT11,"A"))*4)+((COUNTIF(GT8:GT11,"B"))*3)+((COUNTIF(GT8:GT11,"C"))*2)+((COUNTIF(GT8:GT11,"D"))*1))*CELL("contenu",$B$7),0),IFERROR((((COUNTIF(GT13:GT13,"A"))*4)+((COUNTIF(GT13:GT13,"B"))*3)+((COUNTIF(GT13:GT13,"C"))*2)+((COUNTIF(GT13:GT13,"D"))*1))*CELL("contenu",$B$12),0),IFERROR((((COUNTIF(GT15:GT17,"A"))*4)+((COUNTIF(GT15:GT17,"B"))*3)+((COUNTIF(GT15:GT17,"C"))*2)+((COUNTIF(GT15:GT17,"D"))*1))*CELL("contenu",$B$14),0),IFERROR((((COUNTIF(GT19:GT19,"A"))*4)+((COUNTIF(GT19:GT19,"B"))*3)+((COUNTIF(GT19:GT19,"C"))*2)+((COUNTIF(GT19:GT19,"D"))*1))*CELL("contenu",$B$18),0))/IF(SUM(COUNTA(GT5:GT6)*CELL("contenu",$B$4),COUNTA(GT8:GT11)*CELL("contenu",$B$7),COUNTA(GT13:GT13)*CELL("contenu",$B$12),COUNTA(GT15:GT17)*CELL("contenu",$B$14),COUNTA(GT19:GT19)*CELL("contenu",$B$18))=0,1,SUM(COUNTA(GT5:GT6)*CELL("contenu",$B$4),COUNTA(GT8:GT11)*CELL("contenu",$B$7),COUNTA(GT13:GT13)*CELL("contenu",$B$12),COUNTA(GT15:GT17)*CELL("contenu",$B$14),COUNTA(GT19:GT19)*CELL("contenu",$B$18))))</f>
        <v/>
      </c>
      <c r="GU20" s="176"/>
      <c r="GV20" s="174" t="str">
        <f ca="1">IF(COUNTA(GR20:GT20)-COUNTBLANK(GR20:GT20)=0,"",SUM(GR20:GT20)/(COUNTA(GR20:GT20)-COUNTBLANK(GR20:GT20)))</f>
        <v/>
      </c>
      <c r="GW20" s="103"/>
      <c r="GX20" s="141"/>
      <c r="GY20" s="167">
        <f ca="1">IF(COUNTA(GY5:GY19)=0,"",5*SUM(IFERROR((((COUNTIF(GY5:GY6,"A"))*4)+((COUNTIF(GY5:GY6,"B"))*3)+((COUNTIF(GY5:GY6,"C"))*2)+((COUNTIF(GY5:GY6,"D"))*1))*CELL("contenu",$B$4),0),IFERROR((((COUNTIF(GY8:GY11,"A"))*4)+((COUNTIF(GY8:GY11,"B"))*3)+((COUNTIF(GY8:GY11,"C"))*2)+((COUNTIF(GY8:GY11,"D"))*1))*CELL("contenu",$B$7),0),IFERROR((((COUNTIF(GY13:GY13,"A"))*4)+((COUNTIF(GY13:GY13,"B"))*3)+((COUNTIF(GY13:GY13,"C"))*2)+((COUNTIF(GY13:GY13,"D"))*1))*CELL("contenu",$B$12),0),IFERROR((((COUNTIF(GY15:GY17,"A"))*4)+((COUNTIF(GY15:GY17,"B"))*3)+((COUNTIF(GY15:GY17,"C"))*2)+((COUNTIF(GY15:GY17,"D"))*1))*CELL("contenu",$B$14),0),IFERROR((((COUNTIF(GY19:GY19,"A"))*4)+((COUNTIF(GY19:GY19,"B"))*3)+((COUNTIF(GY19:GY19,"C"))*2)+((COUNTIF(GY19:GY19,"D"))*1))*CELL("contenu",$B$18),0))/IF(SUM(COUNTA(GY5:GY6)*CELL("contenu",$B$4),COUNTA(GY8:GY11)*CELL("contenu",$B$7),COUNTA(GY13:GY13)*CELL("contenu",$B$12),COUNTA(GY15:GY17)*CELL("contenu",$B$14),COUNTA(GY19:GY19)*CELL("contenu",$B$18))=0,1,SUM(COUNTA(GY5:GY6)*CELL("contenu",$B$4),COUNTA(GY8:GY11)*CELL("contenu",$B$7),COUNTA(GY13:GY13)*CELL("contenu",$B$12),COUNTA(GY15:GY17)*CELL("contenu",$B$14),COUNTA(GY19:GY19)*CELL("contenu",$B$18))))</f>
        <v>16.666666666666668</v>
      </c>
      <c r="GZ20" s="168">
        <f ca="1">IF(COUNTA(GZ5:GZ19)=0,"",5*SUM(IFERROR((((COUNTIF(GZ5:GZ6,"A"))*4)+((COUNTIF(GZ5:GZ6,"B"))*3)+((COUNTIF(GZ5:GZ6,"C"))*2)+((COUNTIF(GZ5:GZ6,"D"))*1))*CELL("contenu",$B$4),0),IFERROR((((COUNTIF(GZ8:GZ11,"A"))*4)+((COUNTIF(GZ8:GZ11,"B"))*3)+((COUNTIF(GZ8:GZ11,"C"))*2)+((COUNTIF(GZ8:GZ11,"D"))*1))*CELL("contenu",$B$7),0),IFERROR((((COUNTIF(GZ13:GZ13,"A"))*4)+((COUNTIF(GZ13:GZ13,"B"))*3)+((COUNTIF(GZ13:GZ13,"C"))*2)+((COUNTIF(GZ13:GZ13,"D"))*1))*CELL("contenu",$B$12),0),IFERROR((((COUNTIF(GZ15:GZ17,"A"))*4)+((COUNTIF(GZ15:GZ17,"B"))*3)+((COUNTIF(GZ15:GZ17,"C"))*2)+((COUNTIF(GZ15:GZ17,"D"))*1))*CELL("contenu",$B$14),0),IFERROR((((COUNTIF(GZ19:GZ19,"A"))*4)+((COUNTIF(GZ19:GZ19,"B"))*3)+((COUNTIF(GZ19:GZ19,"C"))*2)+((COUNTIF(GZ19:GZ19,"D"))*1))*CELL("contenu",$B$18),0))/IF(SUM(COUNTA(GZ5:GZ6)*CELL("contenu",$B$4),COUNTA(GZ8:GZ11)*CELL("contenu",$B$7),COUNTA(GZ13:GZ13)*CELL("contenu",$B$12),COUNTA(GZ15:GZ17)*CELL("contenu",$B$14),COUNTA(GZ19:GZ19)*CELL("contenu",$B$18))=0,1,SUM(COUNTA(GZ5:GZ6)*CELL("contenu",$B$4),COUNTA(GZ8:GZ11)*CELL("contenu",$B$7),COUNTA(GZ13:GZ13)*CELL("contenu",$B$12),COUNTA(GZ15:GZ17)*CELL("contenu",$B$14),COUNTA(GZ19:GZ19)*CELL("contenu",$B$18))))</f>
        <v>6.666666666666667</v>
      </c>
      <c r="HA20" s="169" t="str">
        <f ca="1">IF(COUNTA(HA5:HA19)=0,"",5*SUM(IFERROR((((COUNTIF(HA5:HA6,"A"))*4)+((COUNTIF(HA5:HA6,"B"))*3)+((COUNTIF(HA5:HA6,"C"))*2)+((COUNTIF(HA5:HA6,"D"))*1))*CELL("contenu",$B$4),0),IFERROR((((COUNTIF(HA8:HA11,"A"))*4)+((COUNTIF(HA8:HA11,"B"))*3)+((COUNTIF(HA8:HA11,"C"))*2)+((COUNTIF(HA8:HA11,"D"))*1))*CELL("contenu",$B$7),0),IFERROR((((COUNTIF(HA13:HA13,"A"))*4)+((COUNTIF(HA13:HA13,"B"))*3)+((COUNTIF(HA13:HA13,"C"))*2)+((COUNTIF(HA13:HA13,"D"))*1))*CELL("contenu",$B$12),0),IFERROR((((COUNTIF(HA15:HA17,"A"))*4)+((COUNTIF(HA15:HA17,"B"))*3)+((COUNTIF(HA15:HA17,"C"))*2)+((COUNTIF(HA15:HA17,"D"))*1))*CELL("contenu",$B$14),0),IFERROR((((COUNTIF(HA19:HA19,"A"))*4)+((COUNTIF(HA19:HA19,"B"))*3)+((COUNTIF(HA19:HA19,"C"))*2)+((COUNTIF(HA19:HA19,"D"))*1))*CELL("contenu",$B$18),0))/IF(SUM(COUNTA(HA5:HA6)*CELL("contenu",$B$4),COUNTA(HA8:HA11)*CELL("contenu",$B$7),COUNTA(HA13:HA13)*CELL("contenu",$B$12),COUNTA(HA15:HA17)*CELL("contenu",$B$14),COUNTA(HA19:HA19)*CELL("contenu",$B$18))=0,1,SUM(COUNTA(HA5:HA6)*CELL("contenu",$B$4),COUNTA(HA8:HA11)*CELL("contenu",$B$7),COUNTA(HA13:HA13)*CELL("contenu",$B$12),COUNTA(HA15:HA17)*CELL("contenu",$B$14),COUNTA(HA19:HA19)*CELL("contenu",$B$18))))</f>
        <v/>
      </c>
      <c r="HB20" s="116"/>
      <c r="HC20" s="192">
        <f ca="1">IF(COUNTA(GY20:HA20)-COUNTBLANK(GY20:HA20)=0,"",SUM(GY20:HA20)/(COUNTA(GY20:HA20)-COUNTBLANK(GY20:HA20)))</f>
        <v>11.666666666666668</v>
      </c>
      <c r="HD20" s="182" t="str">
        <f ca="1">IF(COUNTA(HD5:HD19)=0,"",5*SUM(IFERROR((((COUNTIF(HD5:HD6,"A"))*4)+((COUNTIF(HD5:HD6,"B"))*3)+((COUNTIF(HD5:HD6,"C"))*2)+((COUNTIF(HD5:HD6,"D"))*1))*CELL("contenu",$B$4),0),IFERROR((((COUNTIF(HD8:HD11,"A"))*4)+((COUNTIF(HD8:HD11,"B"))*3)+((COUNTIF(HD8:HD11,"C"))*2)+((COUNTIF(HD8:HD11,"D"))*1))*CELL("contenu",$B$7),0),IFERROR((((COUNTIF(HD13:HD13,"A"))*4)+((COUNTIF(HD13:HD13,"B"))*3)+((COUNTIF(HD13:HD13,"C"))*2)+((COUNTIF(HD13:HD13,"D"))*1))*CELL("contenu",$B$12),0),IFERROR((((COUNTIF(HD15:HD17,"A"))*4)+((COUNTIF(HD15:HD17,"B"))*3)+((COUNTIF(HD15:HD17,"C"))*2)+((COUNTIF(HD15:HD17,"D"))*1))*CELL("contenu",$B$14),0),IFERROR((((COUNTIF(HD19:HD19,"A"))*4)+((COUNTIF(HD19:HD19,"B"))*3)+((COUNTIF(HD19:HD19,"C"))*2)+((COUNTIF(HD19:HD19,"D"))*1))*CELL("contenu",$B$18),0))/IF(SUM(COUNTA(HD5:HD6)*CELL("contenu",$B$4),COUNTA(HD8:HD11)*CELL("contenu",$B$7),COUNTA(HD13:HD13)*CELL("contenu",$B$12),COUNTA(HD15:HD17)*CELL("contenu",$B$14),COUNTA(HD19:HD19)*CELL("contenu",$B$18))=0,1,SUM(COUNTA(HD5:HD6)*CELL("contenu",$B$4),COUNTA(HD8:HD11)*CELL("contenu",$B$7),COUNTA(HD13:HD13)*CELL("contenu",$B$12),COUNTA(HD15:HD17)*CELL("contenu",$B$14),COUNTA(HD19:HD19)*CELL("contenu",$B$18))))</f>
        <v/>
      </c>
      <c r="HE20" s="183" t="str">
        <f ca="1">IF(COUNTA(HE5:HE19)=0,"",5*SUM(IFERROR((((COUNTIF(HE5:HE6,"A"))*4)+((COUNTIF(HE5:HE6,"B"))*3)+((COUNTIF(HE5:HE6,"C"))*2)+((COUNTIF(HE5:HE6,"D"))*1))*CELL("contenu",$B$4),0),IFERROR((((COUNTIF(HE8:HE11,"A"))*4)+((COUNTIF(HE8:HE11,"B"))*3)+((COUNTIF(HE8:HE11,"C"))*2)+((COUNTIF(HE8:HE11,"D"))*1))*CELL("contenu",$B$7),0),IFERROR((((COUNTIF(HE13:HE13,"A"))*4)+((COUNTIF(HE13:HE13,"B"))*3)+((COUNTIF(HE13:HE13,"C"))*2)+((COUNTIF(HE13:HE13,"D"))*1))*CELL("contenu",$B$12),0),IFERROR((((COUNTIF(HE15:HE17,"A"))*4)+((COUNTIF(HE15:HE17,"B"))*3)+((COUNTIF(HE15:HE17,"C"))*2)+((COUNTIF(HE15:HE17,"D"))*1))*CELL("contenu",$B$14),0),IFERROR((((COUNTIF(HE19:HE19,"A"))*4)+((COUNTIF(HE19:HE19,"B"))*3)+((COUNTIF(HE19:HE19,"C"))*2)+((COUNTIF(HE19:HE19,"D"))*1))*CELL("contenu",$B$18),0))/IF(SUM(COUNTA(HE5:HE6)*CELL("contenu",$B$4),COUNTA(HE8:HE11)*CELL("contenu",$B$7),COUNTA(HE13:HE13)*CELL("contenu",$B$12),COUNTA(HE15:HE17)*CELL("contenu",$B$14),COUNTA(HE19:HE19)*CELL("contenu",$B$18))=0,1,SUM(COUNTA(HE5:HE6)*CELL("contenu",$B$4),COUNTA(HE8:HE11)*CELL("contenu",$B$7),COUNTA(HE13:HE13)*CELL("contenu",$B$12),COUNTA(HE15:HE17)*CELL("contenu",$B$14),COUNTA(HE19:HE19)*CELL("contenu",$B$18))))</f>
        <v/>
      </c>
      <c r="HF20" s="184" t="str">
        <f ca="1">IF(COUNTA(HF5:HF19)=0,"",5*SUM(IFERROR((((COUNTIF(HF5:HF6,"A"))*4)+((COUNTIF(HF5:HF6,"B"))*3)+((COUNTIF(HF5:HF6,"C"))*2)+((COUNTIF(HF5:HF6,"D"))*1))*CELL("contenu",$B$4),0),IFERROR((((COUNTIF(HF8:HF11,"A"))*4)+((COUNTIF(HF8:HF11,"B"))*3)+((COUNTIF(HF8:HF11,"C"))*2)+((COUNTIF(HF8:HF11,"D"))*1))*CELL("contenu",$B$7),0),IFERROR((((COUNTIF(HF13:HF13,"A"))*4)+((COUNTIF(HF13:HF13,"B"))*3)+((COUNTIF(HF13:HF13,"C"))*2)+((COUNTIF(HF13:HF13,"D"))*1))*CELL("contenu",$B$12),0),IFERROR((((COUNTIF(HF15:HF17,"A"))*4)+((COUNTIF(HF15:HF17,"B"))*3)+((COUNTIF(HF15:HF17,"C"))*2)+((COUNTIF(HF15:HF17,"D"))*1))*CELL("contenu",$B$14),0),IFERROR((((COUNTIF(HF19:HF19,"A"))*4)+((COUNTIF(HF19:HF19,"B"))*3)+((COUNTIF(HF19:HF19,"C"))*2)+((COUNTIF(HF19:HF19,"D"))*1))*CELL("contenu",$B$18),0))/IF(SUM(COUNTA(HF5:HF6)*CELL("contenu",$B$4),COUNTA(HF8:HF11)*CELL("contenu",$B$7),COUNTA(HF13:HF13)*CELL("contenu",$B$12),COUNTA(HF15:HF17)*CELL("contenu",$B$14),COUNTA(HF19:HF19)*CELL("contenu",$B$18))=0,1,SUM(COUNTA(HF5:HF6)*CELL("contenu",$B$4),COUNTA(HF8:HF11)*CELL("contenu",$B$7),COUNTA(HF13:HF13)*CELL("contenu",$B$12),COUNTA(HF15:HF17)*CELL("contenu",$B$14),COUNTA(HF19:HF19)*CELL("contenu",$B$18))))</f>
        <v/>
      </c>
      <c r="HG20" s="176"/>
      <c r="HH20" s="175" t="str">
        <f ca="1">IF(COUNTA(HD20:HF20)-COUNTBLANK(HD20:HF20)=0,"",SUM(HD20:HF20)/(COUNTA(HD20:HF20)-COUNTBLANK(HD20:HF20)))</f>
        <v/>
      </c>
      <c r="HI20" s="182" t="str">
        <f ca="1">IF(COUNTA(HI5:HI19)=0,"",5*SUM(IFERROR((((COUNTIF(HI5:HI6,"A"))*4)+((COUNTIF(HI5:HI6,"B"))*3)+((COUNTIF(HI5:HI6,"C"))*2)+((COUNTIF(HI5:HI6,"D"))*1))*CELL("contenu",$B$4),0),IFERROR((((COUNTIF(HI8:HI11,"A"))*4)+((COUNTIF(HI8:HI11,"B"))*3)+((COUNTIF(HI8:HI11,"C"))*2)+((COUNTIF(HI8:HI11,"D"))*1))*CELL("contenu",$B$7),0),IFERROR((((COUNTIF(HI13:HI13,"A"))*4)+((COUNTIF(HI13:HI13,"B"))*3)+((COUNTIF(HI13:HI13,"C"))*2)+((COUNTIF(HI13:HI13,"D"))*1))*CELL("contenu",$B$12),0),IFERROR((((COUNTIF(HI15:HI17,"A"))*4)+((COUNTIF(HI15:HI17,"B"))*3)+((COUNTIF(HI15:HI17,"C"))*2)+((COUNTIF(HI15:HI17,"D"))*1))*CELL("contenu",$B$14),0),IFERROR((((COUNTIF(HI19:HI19,"A"))*4)+((COUNTIF(HI19:HI19,"B"))*3)+((COUNTIF(HI19:HI19,"C"))*2)+((COUNTIF(HI19:HI19,"D"))*1))*CELL("contenu",$B$18),0))/IF(SUM(COUNTA(HI5:HI6)*CELL("contenu",$B$4),COUNTA(HI8:HI11)*CELL("contenu",$B$7),COUNTA(HI13:HI13)*CELL("contenu",$B$12),COUNTA(HI15:HI17)*CELL("contenu",$B$14),COUNTA(HI19:HI19)*CELL("contenu",$B$18))=0,1,SUM(COUNTA(HI5:HI6)*CELL("contenu",$B$4),COUNTA(HI8:HI11)*CELL("contenu",$B$7),COUNTA(HI13:HI13)*CELL("contenu",$B$12),COUNTA(HI15:HI17)*CELL("contenu",$B$14),COUNTA(HI19:HI19)*CELL("contenu",$B$18))))</f>
        <v/>
      </c>
      <c r="HJ20" s="183" t="str">
        <f ca="1">IF(COUNTA(HJ5:HJ19)=0,"",5*SUM(IFERROR((((COUNTIF(HJ5:HJ6,"A"))*4)+((COUNTIF(HJ5:HJ6,"B"))*3)+((COUNTIF(HJ5:HJ6,"C"))*2)+((COUNTIF(HJ5:HJ6,"D"))*1))*CELL("contenu",$B$4),0),IFERROR((((COUNTIF(HJ8:HJ11,"A"))*4)+((COUNTIF(HJ8:HJ11,"B"))*3)+((COUNTIF(HJ8:HJ11,"C"))*2)+((COUNTIF(HJ8:HJ11,"D"))*1))*CELL("contenu",$B$7),0),IFERROR((((COUNTIF(HJ13:HJ13,"A"))*4)+((COUNTIF(HJ13:HJ13,"B"))*3)+((COUNTIF(HJ13:HJ13,"C"))*2)+((COUNTIF(HJ13:HJ13,"D"))*1))*CELL("contenu",$B$12),0),IFERROR((((COUNTIF(HJ15:HJ17,"A"))*4)+((COUNTIF(HJ15:HJ17,"B"))*3)+((COUNTIF(HJ15:HJ17,"C"))*2)+((COUNTIF(HJ15:HJ17,"D"))*1))*CELL("contenu",$B$14),0),IFERROR((((COUNTIF(HJ19:HJ19,"A"))*4)+((COUNTIF(HJ19:HJ19,"B"))*3)+((COUNTIF(HJ19:HJ19,"C"))*2)+((COUNTIF(HJ19:HJ19,"D"))*1))*CELL("contenu",$B$18),0))/IF(SUM(COUNTA(HJ5:HJ6)*CELL("contenu",$B$4),COUNTA(HJ8:HJ11)*CELL("contenu",$B$7),COUNTA(HJ13:HJ13)*CELL("contenu",$B$12),COUNTA(HJ15:HJ17)*CELL("contenu",$B$14),COUNTA(HJ19:HJ19)*CELL("contenu",$B$18))=0,1,SUM(COUNTA(HJ5:HJ6)*CELL("contenu",$B$4),COUNTA(HJ8:HJ11)*CELL("contenu",$B$7),COUNTA(HJ13:HJ13)*CELL("contenu",$B$12),COUNTA(HJ15:HJ17)*CELL("contenu",$B$14),COUNTA(HJ19:HJ19)*CELL("contenu",$B$18))))</f>
        <v/>
      </c>
      <c r="HK20" s="184" t="str">
        <f ca="1">IF(COUNTA(HK5:HK19)=0,"",5*SUM(IFERROR((((COUNTIF(HK5:HK6,"A"))*4)+((COUNTIF(HK5:HK6,"B"))*3)+((COUNTIF(HK5:HK6,"C"))*2)+((COUNTIF(HK5:HK6,"D"))*1))*CELL("contenu",$B$4),0),IFERROR((((COUNTIF(HK8:HK11,"A"))*4)+((COUNTIF(HK8:HK11,"B"))*3)+((COUNTIF(HK8:HK11,"C"))*2)+((COUNTIF(HK8:HK11,"D"))*1))*CELL("contenu",$B$7),0),IFERROR((((COUNTIF(HK13:HK13,"A"))*4)+((COUNTIF(HK13:HK13,"B"))*3)+((COUNTIF(HK13:HK13,"C"))*2)+((COUNTIF(HK13:HK13,"D"))*1))*CELL("contenu",$B$12),0),IFERROR((((COUNTIF(HK15:HK17,"A"))*4)+((COUNTIF(HK15:HK17,"B"))*3)+((COUNTIF(HK15:HK17,"C"))*2)+((COUNTIF(HK15:HK17,"D"))*1))*CELL("contenu",$B$14),0),IFERROR((((COUNTIF(HK19:HK19,"A"))*4)+((COUNTIF(HK19:HK19,"B"))*3)+((COUNTIF(HK19:HK19,"C"))*2)+((COUNTIF(HK19:HK19,"D"))*1))*CELL("contenu",$B$18),0))/IF(SUM(COUNTA(HK5:HK6)*CELL("contenu",$B$4),COUNTA(HK8:HK11)*CELL("contenu",$B$7),COUNTA(HK13:HK13)*CELL("contenu",$B$12),COUNTA(HK15:HK17)*CELL("contenu",$B$14),COUNTA(HK19:HK19)*CELL("contenu",$B$18))=0,1,SUM(COUNTA(HK5:HK6)*CELL("contenu",$B$4),COUNTA(HK8:HK11)*CELL("contenu",$B$7),COUNTA(HK13:HK13)*CELL("contenu",$B$12),COUNTA(HK15:HK17)*CELL("contenu",$B$14),COUNTA(HK19:HK19)*CELL("contenu",$B$18))))</f>
        <v/>
      </c>
      <c r="HL20" s="176"/>
      <c r="HM20" s="174" t="str">
        <f ca="1">IF(COUNTA(HI20:HK20)-COUNTBLANK(HI20:HK20)=0,"",SUM(HI20:HK20)/(COUNTA(HI20:HK20)-COUNTBLANK(HI20:HK20)))</f>
        <v/>
      </c>
      <c r="HN20" s="103"/>
      <c r="HO20" s="141"/>
      <c r="HP20" s="167">
        <f ca="1">IF(COUNTA(HP5:HP19)=0,"",5*SUM(IFERROR((((COUNTIF(HP5:HP6,"A"))*4)+((COUNTIF(HP5:HP6,"B"))*3)+((COUNTIF(HP5:HP6,"C"))*2)+((COUNTIF(HP5:HP6,"D"))*1))*CELL("contenu",$B$4),0),IFERROR((((COUNTIF(HP8:HP11,"A"))*4)+((COUNTIF(HP8:HP11,"B"))*3)+((COUNTIF(HP8:HP11,"C"))*2)+((COUNTIF(HP8:HP11,"D"))*1))*CELL("contenu",$B$7),0),IFERROR((((COUNTIF(HP13:HP13,"A"))*4)+((COUNTIF(HP13:HP13,"B"))*3)+((COUNTIF(HP13:HP13,"C"))*2)+((COUNTIF(HP13:HP13,"D"))*1))*CELL("contenu",$B$12),0),IFERROR((((COUNTIF(HP15:HP17,"A"))*4)+((COUNTIF(HP15:HP17,"B"))*3)+((COUNTIF(HP15:HP17,"C"))*2)+((COUNTIF(HP15:HP17,"D"))*1))*CELL("contenu",$B$14),0),IFERROR((((COUNTIF(HP19:HP19,"A"))*4)+((COUNTIF(HP19:HP19,"B"))*3)+((COUNTIF(HP19:HP19,"C"))*2)+((COUNTIF(HP19:HP19,"D"))*1))*CELL("contenu",$B$18),0))/IF(SUM(COUNTA(HP5:HP6)*CELL("contenu",$B$4),COUNTA(HP8:HP11)*CELL("contenu",$B$7),COUNTA(HP13:HP13)*CELL("contenu",$B$12),COUNTA(HP15:HP17)*CELL("contenu",$B$14),COUNTA(HP19:HP19)*CELL("contenu",$B$18))=0,1,SUM(COUNTA(HP5:HP6)*CELL("contenu",$B$4),COUNTA(HP8:HP11)*CELL("contenu",$B$7),COUNTA(HP13:HP13)*CELL("contenu",$B$12),COUNTA(HP15:HP17)*CELL("contenu",$B$14),COUNTA(HP19:HP19)*CELL("contenu",$B$18))))</f>
        <v>16.666666666666668</v>
      </c>
      <c r="HQ20" s="168">
        <f ca="1">IF(COUNTA(HQ5:HQ19)=0,"",5*SUM(IFERROR((((COUNTIF(HQ5:HQ6,"A"))*4)+((COUNTIF(HQ5:HQ6,"B"))*3)+((COUNTIF(HQ5:HQ6,"C"))*2)+((COUNTIF(HQ5:HQ6,"D"))*1))*CELL("contenu",$B$4),0),IFERROR((((COUNTIF(HQ8:HQ11,"A"))*4)+((COUNTIF(HQ8:HQ11,"B"))*3)+((COUNTIF(HQ8:HQ11,"C"))*2)+((COUNTIF(HQ8:HQ11,"D"))*1))*CELL("contenu",$B$7),0),IFERROR((((COUNTIF(HQ13:HQ13,"A"))*4)+((COUNTIF(HQ13:HQ13,"B"))*3)+((COUNTIF(HQ13:HQ13,"C"))*2)+((COUNTIF(HQ13:HQ13,"D"))*1))*CELL("contenu",$B$12),0),IFERROR((((COUNTIF(HQ15:HQ17,"A"))*4)+((COUNTIF(HQ15:HQ17,"B"))*3)+((COUNTIF(HQ15:HQ17,"C"))*2)+((COUNTIF(HQ15:HQ17,"D"))*1))*CELL("contenu",$B$14),0),IFERROR((((COUNTIF(HQ19:HQ19,"A"))*4)+((COUNTIF(HQ19:HQ19,"B"))*3)+((COUNTIF(HQ19:HQ19,"C"))*2)+((COUNTIF(HQ19:HQ19,"D"))*1))*CELL("contenu",$B$18),0))/IF(SUM(COUNTA(HQ5:HQ6)*CELL("contenu",$B$4),COUNTA(HQ8:HQ11)*CELL("contenu",$B$7),COUNTA(HQ13:HQ13)*CELL("contenu",$B$12),COUNTA(HQ15:HQ17)*CELL("contenu",$B$14),COUNTA(HQ19:HQ19)*CELL("contenu",$B$18))=0,1,SUM(COUNTA(HQ5:HQ6)*CELL("contenu",$B$4),COUNTA(HQ8:HQ11)*CELL("contenu",$B$7),COUNTA(HQ13:HQ13)*CELL("contenu",$B$12),COUNTA(HQ15:HQ17)*CELL("contenu",$B$14),COUNTA(HQ19:HQ19)*CELL("contenu",$B$18))))</f>
        <v>6.666666666666667</v>
      </c>
      <c r="HR20" s="169" t="str">
        <f ca="1">IF(COUNTA(HR5:HR19)=0,"",5*SUM(IFERROR((((COUNTIF(HR5:HR6,"A"))*4)+((COUNTIF(HR5:HR6,"B"))*3)+((COUNTIF(HR5:HR6,"C"))*2)+((COUNTIF(HR5:HR6,"D"))*1))*CELL("contenu",$B$4),0),IFERROR((((COUNTIF(HR8:HR11,"A"))*4)+((COUNTIF(HR8:HR11,"B"))*3)+((COUNTIF(HR8:HR11,"C"))*2)+((COUNTIF(HR8:HR11,"D"))*1))*CELL("contenu",$B$7),0),IFERROR((((COUNTIF(HR13:HR13,"A"))*4)+((COUNTIF(HR13:HR13,"B"))*3)+((COUNTIF(HR13:HR13,"C"))*2)+((COUNTIF(HR13:HR13,"D"))*1))*CELL("contenu",$B$12),0),IFERROR((((COUNTIF(HR15:HR17,"A"))*4)+((COUNTIF(HR15:HR17,"B"))*3)+((COUNTIF(HR15:HR17,"C"))*2)+((COUNTIF(HR15:HR17,"D"))*1))*CELL("contenu",$B$14),0),IFERROR((((COUNTIF(HR19:HR19,"A"))*4)+((COUNTIF(HR19:HR19,"B"))*3)+((COUNTIF(HR19:HR19,"C"))*2)+((COUNTIF(HR19:HR19,"D"))*1))*CELL("contenu",$B$18),0))/IF(SUM(COUNTA(HR5:HR6)*CELL("contenu",$B$4),COUNTA(HR8:HR11)*CELL("contenu",$B$7),COUNTA(HR13:HR13)*CELL("contenu",$B$12),COUNTA(HR15:HR17)*CELL("contenu",$B$14),COUNTA(HR19:HR19)*CELL("contenu",$B$18))=0,1,SUM(COUNTA(HR5:HR6)*CELL("contenu",$B$4),COUNTA(HR8:HR11)*CELL("contenu",$B$7),COUNTA(HR13:HR13)*CELL("contenu",$B$12),COUNTA(HR15:HR17)*CELL("contenu",$B$14),COUNTA(HR19:HR19)*CELL("contenu",$B$18))))</f>
        <v/>
      </c>
      <c r="HS20" s="116"/>
      <c r="HT20" s="192">
        <f ca="1">IF(COUNTA(HP20:HR20)-COUNTBLANK(HP20:HR20)=0,"",SUM(HP20:HR20)/(COUNTA(HP20:HR20)-COUNTBLANK(HP20:HR20)))</f>
        <v>11.666666666666668</v>
      </c>
      <c r="HU20" s="182" t="str">
        <f ca="1">IF(COUNTA(HU5:HU19)=0,"",5*SUM(IFERROR((((COUNTIF(HU5:HU6,"A"))*4)+((COUNTIF(HU5:HU6,"B"))*3)+((COUNTIF(HU5:HU6,"C"))*2)+((COUNTIF(HU5:HU6,"D"))*1))*CELL("contenu",$B$4),0),IFERROR((((COUNTIF(HU8:HU11,"A"))*4)+((COUNTIF(HU8:HU11,"B"))*3)+((COUNTIF(HU8:HU11,"C"))*2)+((COUNTIF(HU8:HU11,"D"))*1))*CELL("contenu",$B$7),0),IFERROR((((COUNTIF(HU13:HU13,"A"))*4)+((COUNTIF(HU13:HU13,"B"))*3)+((COUNTIF(HU13:HU13,"C"))*2)+((COUNTIF(HU13:HU13,"D"))*1))*CELL("contenu",$B$12),0),IFERROR((((COUNTIF(HU15:HU17,"A"))*4)+((COUNTIF(HU15:HU17,"B"))*3)+((COUNTIF(HU15:HU17,"C"))*2)+((COUNTIF(HU15:HU17,"D"))*1))*CELL("contenu",$B$14),0),IFERROR((((COUNTIF(HU19:HU19,"A"))*4)+((COUNTIF(HU19:HU19,"B"))*3)+((COUNTIF(HU19:HU19,"C"))*2)+((COUNTIF(HU19:HU19,"D"))*1))*CELL("contenu",$B$18),0))/IF(SUM(COUNTA(HU5:HU6)*CELL("contenu",$B$4),COUNTA(HU8:HU11)*CELL("contenu",$B$7),COUNTA(HU13:HU13)*CELL("contenu",$B$12),COUNTA(HU15:HU17)*CELL("contenu",$B$14),COUNTA(HU19:HU19)*CELL("contenu",$B$18))=0,1,SUM(COUNTA(HU5:HU6)*CELL("contenu",$B$4),COUNTA(HU8:HU11)*CELL("contenu",$B$7),COUNTA(HU13:HU13)*CELL("contenu",$B$12),COUNTA(HU15:HU17)*CELL("contenu",$B$14),COUNTA(HU19:HU19)*CELL("contenu",$B$18))))</f>
        <v/>
      </c>
      <c r="HV20" s="183" t="str">
        <f ca="1">IF(COUNTA(HV5:HV19)=0,"",5*SUM(IFERROR((((COUNTIF(HV5:HV6,"A"))*4)+((COUNTIF(HV5:HV6,"B"))*3)+((COUNTIF(HV5:HV6,"C"))*2)+((COUNTIF(HV5:HV6,"D"))*1))*CELL("contenu",$B$4),0),IFERROR((((COUNTIF(HV8:HV11,"A"))*4)+((COUNTIF(HV8:HV11,"B"))*3)+((COUNTIF(HV8:HV11,"C"))*2)+((COUNTIF(HV8:HV11,"D"))*1))*CELL("contenu",$B$7),0),IFERROR((((COUNTIF(HV13:HV13,"A"))*4)+((COUNTIF(HV13:HV13,"B"))*3)+((COUNTIF(HV13:HV13,"C"))*2)+((COUNTIF(HV13:HV13,"D"))*1))*CELL("contenu",$B$12),0),IFERROR((((COUNTIF(HV15:HV17,"A"))*4)+((COUNTIF(HV15:HV17,"B"))*3)+((COUNTIF(HV15:HV17,"C"))*2)+((COUNTIF(HV15:HV17,"D"))*1))*CELL("contenu",$B$14),0),IFERROR((((COUNTIF(HV19:HV19,"A"))*4)+((COUNTIF(HV19:HV19,"B"))*3)+((COUNTIF(HV19:HV19,"C"))*2)+((COUNTIF(HV19:HV19,"D"))*1))*CELL("contenu",$B$18),0))/IF(SUM(COUNTA(HV5:HV6)*CELL("contenu",$B$4),COUNTA(HV8:HV11)*CELL("contenu",$B$7),COUNTA(HV13:HV13)*CELL("contenu",$B$12),COUNTA(HV15:HV17)*CELL("contenu",$B$14),COUNTA(HV19:HV19)*CELL("contenu",$B$18))=0,1,SUM(COUNTA(HV5:HV6)*CELL("contenu",$B$4),COUNTA(HV8:HV11)*CELL("contenu",$B$7),COUNTA(HV13:HV13)*CELL("contenu",$B$12),COUNTA(HV15:HV17)*CELL("contenu",$B$14),COUNTA(HV19:HV19)*CELL("contenu",$B$18))))</f>
        <v/>
      </c>
      <c r="HW20" s="184" t="str">
        <f ca="1">IF(COUNTA(HW5:HW19)=0,"",5*SUM(IFERROR((((COUNTIF(HW5:HW6,"A"))*4)+((COUNTIF(HW5:HW6,"B"))*3)+((COUNTIF(HW5:HW6,"C"))*2)+((COUNTIF(HW5:HW6,"D"))*1))*CELL("contenu",$B$4),0),IFERROR((((COUNTIF(HW8:HW11,"A"))*4)+((COUNTIF(HW8:HW11,"B"))*3)+((COUNTIF(HW8:HW11,"C"))*2)+((COUNTIF(HW8:HW11,"D"))*1))*CELL("contenu",$B$7),0),IFERROR((((COUNTIF(HW13:HW13,"A"))*4)+((COUNTIF(HW13:HW13,"B"))*3)+((COUNTIF(HW13:HW13,"C"))*2)+((COUNTIF(HW13:HW13,"D"))*1))*CELL("contenu",$B$12),0),IFERROR((((COUNTIF(HW15:HW17,"A"))*4)+((COUNTIF(HW15:HW17,"B"))*3)+((COUNTIF(HW15:HW17,"C"))*2)+((COUNTIF(HW15:HW17,"D"))*1))*CELL("contenu",$B$14),0),IFERROR((((COUNTIF(HW19:HW19,"A"))*4)+((COUNTIF(HW19:HW19,"B"))*3)+((COUNTIF(HW19:HW19,"C"))*2)+((COUNTIF(HW19:HW19,"D"))*1))*CELL("contenu",$B$18),0))/IF(SUM(COUNTA(HW5:HW6)*CELL("contenu",$B$4),COUNTA(HW8:HW11)*CELL("contenu",$B$7),COUNTA(HW13:HW13)*CELL("contenu",$B$12),COUNTA(HW15:HW17)*CELL("contenu",$B$14),COUNTA(HW19:HW19)*CELL("contenu",$B$18))=0,1,SUM(COUNTA(HW5:HW6)*CELL("contenu",$B$4),COUNTA(HW8:HW11)*CELL("contenu",$B$7),COUNTA(HW13:HW13)*CELL("contenu",$B$12),COUNTA(HW15:HW17)*CELL("contenu",$B$14),COUNTA(HW19:HW19)*CELL("contenu",$B$18))))</f>
        <v/>
      </c>
      <c r="HX20" s="176"/>
      <c r="HY20" s="175" t="str">
        <f ca="1">IF(COUNTA(HU20:HW20)-COUNTBLANK(HU20:HW20)=0,"",SUM(HU20:HW20)/(COUNTA(HU20:HW20)-COUNTBLANK(HU20:HW20)))</f>
        <v/>
      </c>
      <c r="HZ20" s="182" t="str">
        <f ca="1">IF(COUNTA(HZ5:HZ19)=0,"",5*SUM(IFERROR((((COUNTIF(HZ5:HZ6,"A"))*4)+((COUNTIF(HZ5:HZ6,"B"))*3)+((COUNTIF(HZ5:HZ6,"C"))*2)+((COUNTIF(HZ5:HZ6,"D"))*1))*CELL("contenu",$B$4),0),IFERROR((((COUNTIF(HZ8:HZ11,"A"))*4)+((COUNTIF(HZ8:HZ11,"B"))*3)+((COUNTIF(HZ8:HZ11,"C"))*2)+((COUNTIF(HZ8:HZ11,"D"))*1))*CELL("contenu",$B$7),0),IFERROR((((COUNTIF(HZ13:HZ13,"A"))*4)+((COUNTIF(HZ13:HZ13,"B"))*3)+((COUNTIF(HZ13:HZ13,"C"))*2)+((COUNTIF(HZ13:HZ13,"D"))*1))*CELL("contenu",$B$12),0),IFERROR((((COUNTIF(HZ15:HZ17,"A"))*4)+((COUNTIF(HZ15:HZ17,"B"))*3)+((COUNTIF(HZ15:HZ17,"C"))*2)+((COUNTIF(HZ15:HZ17,"D"))*1))*CELL("contenu",$B$14),0),IFERROR((((COUNTIF(HZ19:HZ19,"A"))*4)+((COUNTIF(HZ19:HZ19,"B"))*3)+((COUNTIF(HZ19:HZ19,"C"))*2)+((COUNTIF(HZ19:HZ19,"D"))*1))*CELL("contenu",$B$18),0))/IF(SUM(COUNTA(HZ5:HZ6)*CELL("contenu",$B$4),COUNTA(HZ8:HZ11)*CELL("contenu",$B$7),COUNTA(HZ13:HZ13)*CELL("contenu",$B$12),COUNTA(HZ15:HZ17)*CELL("contenu",$B$14),COUNTA(HZ19:HZ19)*CELL("contenu",$B$18))=0,1,SUM(COUNTA(HZ5:HZ6)*CELL("contenu",$B$4),COUNTA(HZ8:HZ11)*CELL("contenu",$B$7),COUNTA(HZ13:HZ13)*CELL("contenu",$B$12),COUNTA(HZ15:HZ17)*CELL("contenu",$B$14),COUNTA(HZ19:HZ19)*CELL("contenu",$B$18))))</f>
        <v/>
      </c>
      <c r="IA20" s="183" t="str">
        <f ca="1">IF(COUNTA(IA5:IA19)=0,"",5*SUM(IFERROR((((COUNTIF(IA5:IA6,"A"))*4)+((COUNTIF(IA5:IA6,"B"))*3)+((COUNTIF(IA5:IA6,"C"))*2)+((COUNTIF(IA5:IA6,"D"))*1))*CELL("contenu",$B$4),0),IFERROR((((COUNTIF(IA8:IA11,"A"))*4)+((COUNTIF(IA8:IA11,"B"))*3)+((COUNTIF(IA8:IA11,"C"))*2)+((COUNTIF(IA8:IA11,"D"))*1))*CELL("contenu",$B$7),0),IFERROR((((COUNTIF(IA13:IA13,"A"))*4)+((COUNTIF(IA13:IA13,"B"))*3)+((COUNTIF(IA13:IA13,"C"))*2)+((COUNTIF(IA13:IA13,"D"))*1))*CELL("contenu",$B$12),0),IFERROR((((COUNTIF(IA15:IA17,"A"))*4)+((COUNTIF(IA15:IA17,"B"))*3)+((COUNTIF(IA15:IA17,"C"))*2)+((COUNTIF(IA15:IA17,"D"))*1))*CELL("contenu",$B$14),0),IFERROR((((COUNTIF(IA19:IA19,"A"))*4)+((COUNTIF(IA19:IA19,"B"))*3)+((COUNTIF(IA19:IA19,"C"))*2)+((COUNTIF(IA19:IA19,"D"))*1))*CELL("contenu",$B$18),0))/IF(SUM(COUNTA(IA5:IA6)*CELL("contenu",$B$4),COUNTA(IA8:IA11)*CELL("contenu",$B$7),COUNTA(IA13:IA13)*CELL("contenu",$B$12),COUNTA(IA15:IA17)*CELL("contenu",$B$14),COUNTA(IA19:IA19)*CELL("contenu",$B$18))=0,1,SUM(COUNTA(IA5:IA6)*CELL("contenu",$B$4),COUNTA(IA8:IA11)*CELL("contenu",$B$7),COUNTA(IA13:IA13)*CELL("contenu",$B$12),COUNTA(IA15:IA17)*CELL("contenu",$B$14),COUNTA(IA19:IA19)*CELL("contenu",$B$18))))</f>
        <v/>
      </c>
      <c r="IB20" s="184" t="str">
        <f ca="1">IF(COUNTA(IB5:IB19)=0,"",5*SUM(IFERROR((((COUNTIF(IB5:IB6,"A"))*4)+((COUNTIF(IB5:IB6,"B"))*3)+((COUNTIF(IB5:IB6,"C"))*2)+((COUNTIF(IB5:IB6,"D"))*1))*CELL("contenu",$B$4),0),IFERROR((((COUNTIF(IB8:IB11,"A"))*4)+((COUNTIF(IB8:IB11,"B"))*3)+((COUNTIF(IB8:IB11,"C"))*2)+((COUNTIF(IB8:IB11,"D"))*1))*CELL("contenu",$B$7),0),IFERROR((((COUNTIF(IB13:IB13,"A"))*4)+((COUNTIF(IB13:IB13,"B"))*3)+((COUNTIF(IB13:IB13,"C"))*2)+((COUNTIF(IB13:IB13,"D"))*1))*CELL("contenu",$B$12),0),IFERROR((((COUNTIF(IB15:IB17,"A"))*4)+((COUNTIF(IB15:IB17,"B"))*3)+((COUNTIF(IB15:IB17,"C"))*2)+((COUNTIF(IB15:IB17,"D"))*1))*CELL("contenu",$B$14),0),IFERROR((((COUNTIF(IB19:IB19,"A"))*4)+((COUNTIF(IB19:IB19,"B"))*3)+((COUNTIF(IB19:IB19,"C"))*2)+((COUNTIF(IB19:IB19,"D"))*1))*CELL("contenu",$B$18),0))/IF(SUM(COUNTA(IB5:IB6)*CELL("contenu",$B$4),COUNTA(IB8:IB11)*CELL("contenu",$B$7),COUNTA(IB13:IB13)*CELL("contenu",$B$12),COUNTA(IB15:IB17)*CELL("contenu",$B$14),COUNTA(IB19:IB19)*CELL("contenu",$B$18))=0,1,SUM(COUNTA(IB5:IB6)*CELL("contenu",$B$4),COUNTA(IB8:IB11)*CELL("contenu",$B$7),COUNTA(IB13:IB13)*CELL("contenu",$B$12),COUNTA(IB15:IB17)*CELL("contenu",$B$14),COUNTA(IB19:IB19)*CELL("contenu",$B$18))))</f>
        <v/>
      </c>
      <c r="IC20" s="176"/>
      <c r="ID20" s="174" t="str">
        <f ca="1">IF(COUNTA(HZ20:IB20)-COUNTBLANK(HZ20:IB20)=0,"",SUM(HZ20:IB20)/(COUNTA(HZ20:IB20)-COUNTBLANK(HZ20:IB20)))</f>
        <v/>
      </c>
      <c r="IE20" s="103"/>
      <c r="IF20" s="141"/>
      <c r="IG20" s="167">
        <f ca="1">IF(COUNTA(IG5:IG19)=0,"",5*SUM(IFERROR((((COUNTIF(IG5:IG6,"A"))*4)+((COUNTIF(IG5:IG6,"B"))*3)+((COUNTIF(IG5:IG6,"C"))*2)+((COUNTIF(IG5:IG6,"D"))*1))*CELL("contenu",$B$4),0),IFERROR((((COUNTIF(IG8:IG11,"A"))*4)+((COUNTIF(IG8:IG11,"B"))*3)+((COUNTIF(IG8:IG11,"C"))*2)+((COUNTIF(IG8:IG11,"D"))*1))*CELL("contenu",$B$7),0),IFERROR((((COUNTIF(IG13:IG13,"A"))*4)+((COUNTIF(IG13:IG13,"B"))*3)+((COUNTIF(IG13:IG13,"C"))*2)+((COUNTIF(IG13:IG13,"D"))*1))*CELL("contenu",$B$12),0),IFERROR((((COUNTIF(IG15:IG17,"A"))*4)+((COUNTIF(IG15:IG17,"B"))*3)+((COUNTIF(IG15:IG17,"C"))*2)+((COUNTIF(IG15:IG17,"D"))*1))*CELL("contenu",$B$14),0),IFERROR((((COUNTIF(IG19:IG19,"A"))*4)+((COUNTIF(IG19:IG19,"B"))*3)+((COUNTIF(IG19:IG19,"C"))*2)+((COUNTIF(IG19:IG19,"D"))*1))*CELL("contenu",$B$18),0))/IF(SUM(COUNTA(IG5:IG6)*CELL("contenu",$B$4),COUNTA(IG8:IG11)*CELL("contenu",$B$7),COUNTA(IG13:IG13)*CELL("contenu",$B$12),COUNTA(IG15:IG17)*CELL("contenu",$B$14),COUNTA(IG19:IG19)*CELL("contenu",$B$18))=0,1,SUM(COUNTA(IG5:IG6)*CELL("contenu",$B$4),COUNTA(IG8:IG11)*CELL("contenu",$B$7),COUNTA(IG13:IG13)*CELL("contenu",$B$12),COUNTA(IG15:IG17)*CELL("contenu",$B$14),COUNTA(IG19:IG19)*CELL("contenu",$B$18))))</f>
        <v>18.333333333333332</v>
      </c>
      <c r="IH20" s="168">
        <f ca="1">IF(COUNTA(IH5:IH19)=0,"",5*SUM(IFERROR((((COUNTIF(IH5:IH6,"A"))*4)+((COUNTIF(IH5:IH6,"B"))*3)+((COUNTIF(IH5:IH6,"C"))*2)+((COUNTIF(IH5:IH6,"D"))*1))*CELL("contenu",$B$4),0),IFERROR((((COUNTIF(IH8:IH11,"A"))*4)+((COUNTIF(IH8:IH11,"B"))*3)+((COUNTIF(IH8:IH11,"C"))*2)+((COUNTIF(IH8:IH11,"D"))*1))*CELL("contenu",$B$7),0),IFERROR((((COUNTIF(IH13:IH13,"A"))*4)+((COUNTIF(IH13:IH13,"B"))*3)+((COUNTIF(IH13:IH13,"C"))*2)+((COUNTIF(IH13:IH13,"D"))*1))*CELL("contenu",$B$12),0),IFERROR((((COUNTIF(IH15:IH17,"A"))*4)+((COUNTIF(IH15:IH17,"B"))*3)+((COUNTIF(IH15:IH17,"C"))*2)+((COUNTIF(IH15:IH17,"D"))*1))*CELL("contenu",$B$14),0),IFERROR((((COUNTIF(IH19:IH19,"A"))*4)+((COUNTIF(IH19:IH19,"B"))*3)+((COUNTIF(IH19:IH19,"C"))*2)+((COUNTIF(IH19:IH19,"D"))*1))*CELL("contenu",$B$18),0))/IF(SUM(COUNTA(IH5:IH6)*CELL("contenu",$B$4),COUNTA(IH8:IH11)*CELL("contenu",$B$7),COUNTA(IH13:IH13)*CELL("contenu",$B$12),COUNTA(IH15:IH17)*CELL("contenu",$B$14),COUNTA(IH19:IH19)*CELL("contenu",$B$18))=0,1,SUM(COUNTA(IH5:IH6)*CELL("contenu",$B$4),COUNTA(IH8:IH11)*CELL("contenu",$B$7),COUNTA(IH13:IH13)*CELL("contenu",$B$12),COUNTA(IH15:IH17)*CELL("contenu",$B$14),COUNTA(IH19:IH19)*CELL("contenu",$B$18))))</f>
        <v>16.666666666666668</v>
      </c>
      <c r="II20" s="169" t="str">
        <f ca="1">IF(COUNTA(II5:II19)=0,"",5*SUM(IFERROR((((COUNTIF(II5:II6,"A"))*4)+((COUNTIF(II5:II6,"B"))*3)+((COUNTIF(II5:II6,"C"))*2)+((COUNTIF(II5:II6,"D"))*1))*CELL("contenu",$B$4),0),IFERROR((((COUNTIF(II8:II11,"A"))*4)+((COUNTIF(II8:II11,"B"))*3)+((COUNTIF(II8:II11,"C"))*2)+((COUNTIF(II8:II11,"D"))*1))*CELL("contenu",$B$7),0),IFERROR((((COUNTIF(II13:II13,"A"))*4)+((COUNTIF(II13:II13,"B"))*3)+((COUNTIF(II13:II13,"C"))*2)+((COUNTIF(II13:II13,"D"))*1))*CELL("contenu",$B$12),0),IFERROR((((COUNTIF(II15:II17,"A"))*4)+((COUNTIF(II15:II17,"B"))*3)+((COUNTIF(II15:II17,"C"))*2)+((COUNTIF(II15:II17,"D"))*1))*CELL("contenu",$B$14),0),IFERROR((((COUNTIF(II19:II19,"A"))*4)+((COUNTIF(II19:II19,"B"))*3)+((COUNTIF(II19:II19,"C"))*2)+((COUNTIF(II19:II19,"D"))*1))*CELL("contenu",$B$18),0))/IF(SUM(COUNTA(II5:II6)*CELL("contenu",$B$4),COUNTA(II8:II11)*CELL("contenu",$B$7),COUNTA(II13:II13)*CELL("contenu",$B$12),COUNTA(II15:II17)*CELL("contenu",$B$14),COUNTA(II19:II19)*CELL("contenu",$B$18))=0,1,SUM(COUNTA(II5:II6)*CELL("contenu",$B$4),COUNTA(II8:II11)*CELL("contenu",$B$7),COUNTA(II13:II13)*CELL("contenu",$B$12),COUNTA(II15:II17)*CELL("contenu",$B$14),COUNTA(II19:II19)*CELL("contenu",$B$18))))</f>
        <v/>
      </c>
      <c r="IJ20" s="116"/>
      <c r="IK20" s="192">
        <f ca="1">IF(COUNTA(IG20:II20)-COUNTBLANK(IG20:II20)=0,"",SUM(IG20:II20)/(COUNTA(IG20:II20)-COUNTBLANK(IG20:II20)))</f>
        <v>17.5</v>
      </c>
      <c r="IL20" s="182" t="str">
        <f ca="1">IF(COUNTA(IL5:IL19)=0,"",5*SUM(IFERROR((((COUNTIF(IL5:IL6,"A"))*4)+((COUNTIF(IL5:IL6,"B"))*3)+((COUNTIF(IL5:IL6,"C"))*2)+((COUNTIF(IL5:IL6,"D"))*1))*CELL("contenu",$B$4),0),IFERROR((((COUNTIF(IL8:IL11,"A"))*4)+((COUNTIF(IL8:IL11,"B"))*3)+((COUNTIF(IL8:IL11,"C"))*2)+((COUNTIF(IL8:IL11,"D"))*1))*CELL("contenu",$B$7),0),IFERROR((((COUNTIF(IL13:IL13,"A"))*4)+((COUNTIF(IL13:IL13,"B"))*3)+((COUNTIF(IL13:IL13,"C"))*2)+((COUNTIF(IL13:IL13,"D"))*1))*CELL("contenu",$B$12),0),IFERROR((((COUNTIF(IL15:IL17,"A"))*4)+((COUNTIF(IL15:IL17,"B"))*3)+((COUNTIF(IL15:IL17,"C"))*2)+((COUNTIF(IL15:IL17,"D"))*1))*CELL("contenu",$B$14),0),IFERROR((((COUNTIF(IL19:IL19,"A"))*4)+((COUNTIF(IL19:IL19,"B"))*3)+((COUNTIF(IL19:IL19,"C"))*2)+((COUNTIF(IL19:IL19,"D"))*1))*CELL("contenu",$B$18),0))/IF(SUM(COUNTA(IL5:IL6)*CELL("contenu",$B$4),COUNTA(IL8:IL11)*CELL("contenu",$B$7),COUNTA(IL13:IL13)*CELL("contenu",$B$12),COUNTA(IL15:IL17)*CELL("contenu",$B$14),COUNTA(IL19:IL19)*CELL("contenu",$B$18))=0,1,SUM(COUNTA(IL5:IL6)*CELL("contenu",$B$4),COUNTA(IL8:IL11)*CELL("contenu",$B$7),COUNTA(IL13:IL13)*CELL("contenu",$B$12),COUNTA(IL15:IL17)*CELL("contenu",$B$14),COUNTA(IL19:IL19)*CELL("contenu",$B$18))))</f>
        <v/>
      </c>
      <c r="IM20" s="183" t="str">
        <f ca="1">IF(COUNTA(IM5:IM19)=0,"",5*SUM(IFERROR((((COUNTIF(IM5:IM6,"A"))*4)+((COUNTIF(IM5:IM6,"B"))*3)+((COUNTIF(IM5:IM6,"C"))*2)+((COUNTIF(IM5:IM6,"D"))*1))*CELL("contenu",$B$4),0),IFERROR((((COUNTIF(IM8:IM11,"A"))*4)+((COUNTIF(IM8:IM11,"B"))*3)+((COUNTIF(IM8:IM11,"C"))*2)+((COUNTIF(IM8:IM11,"D"))*1))*CELL("contenu",$B$7),0),IFERROR((((COUNTIF(IM13:IM13,"A"))*4)+((COUNTIF(IM13:IM13,"B"))*3)+((COUNTIF(IM13:IM13,"C"))*2)+((COUNTIF(IM13:IM13,"D"))*1))*CELL("contenu",$B$12),0),IFERROR((((COUNTIF(IM15:IM17,"A"))*4)+((COUNTIF(IM15:IM17,"B"))*3)+((COUNTIF(IM15:IM17,"C"))*2)+((COUNTIF(IM15:IM17,"D"))*1))*CELL("contenu",$B$14),0),IFERROR((((COUNTIF(IM19:IM19,"A"))*4)+((COUNTIF(IM19:IM19,"B"))*3)+((COUNTIF(IM19:IM19,"C"))*2)+((COUNTIF(IM19:IM19,"D"))*1))*CELL("contenu",$B$18),0))/IF(SUM(COUNTA(IM5:IM6)*CELL("contenu",$B$4),COUNTA(IM8:IM11)*CELL("contenu",$B$7),COUNTA(IM13:IM13)*CELL("contenu",$B$12),COUNTA(IM15:IM17)*CELL("contenu",$B$14),COUNTA(IM19:IM19)*CELL("contenu",$B$18))=0,1,SUM(COUNTA(IM5:IM6)*CELL("contenu",$B$4),COUNTA(IM8:IM11)*CELL("contenu",$B$7),COUNTA(IM13:IM13)*CELL("contenu",$B$12),COUNTA(IM15:IM17)*CELL("contenu",$B$14),COUNTA(IM19:IM19)*CELL("contenu",$B$18))))</f>
        <v/>
      </c>
      <c r="IN20" s="184" t="str">
        <f ca="1">IF(COUNTA(IN5:IN19)=0,"",5*SUM(IFERROR((((COUNTIF(IN5:IN6,"A"))*4)+((COUNTIF(IN5:IN6,"B"))*3)+((COUNTIF(IN5:IN6,"C"))*2)+((COUNTIF(IN5:IN6,"D"))*1))*CELL("contenu",$B$4),0),IFERROR((((COUNTIF(IN8:IN11,"A"))*4)+((COUNTIF(IN8:IN11,"B"))*3)+((COUNTIF(IN8:IN11,"C"))*2)+((COUNTIF(IN8:IN11,"D"))*1))*CELL("contenu",$B$7),0),IFERROR((((COUNTIF(IN13:IN13,"A"))*4)+((COUNTIF(IN13:IN13,"B"))*3)+((COUNTIF(IN13:IN13,"C"))*2)+((COUNTIF(IN13:IN13,"D"))*1))*CELL("contenu",$B$12),0),IFERROR((((COUNTIF(IN15:IN17,"A"))*4)+((COUNTIF(IN15:IN17,"B"))*3)+((COUNTIF(IN15:IN17,"C"))*2)+((COUNTIF(IN15:IN17,"D"))*1))*CELL("contenu",$B$14),0),IFERROR((((COUNTIF(IN19:IN19,"A"))*4)+((COUNTIF(IN19:IN19,"B"))*3)+((COUNTIF(IN19:IN19,"C"))*2)+((COUNTIF(IN19:IN19,"D"))*1))*CELL("contenu",$B$18),0))/IF(SUM(COUNTA(IN5:IN6)*CELL("contenu",$B$4),COUNTA(IN8:IN11)*CELL("contenu",$B$7),COUNTA(IN13:IN13)*CELL("contenu",$B$12),COUNTA(IN15:IN17)*CELL("contenu",$B$14),COUNTA(IN19:IN19)*CELL("contenu",$B$18))=0,1,SUM(COUNTA(IN5:IN6)*CELL("contenu",$B$4),COUNTA(IN8:IN11)*CELL("contenu",$B$7),COUNTA(IN13:IN13)*CELL("contenu",$B$12),COUNTA(IN15:IN17)*CELL("contenu",$B$14),COUNTA(IN19:IN19)*CELL("contenu",$B$18))))</f>
        <v/>
      </c>
      <c r="IO20" s="176"/>
      <c r="IP20" s="175" t="str">
        <f ca="1">IF(COUNTA(IL20:IN20)-COUNTBLANK(IL20:IN20)=0,"",SUM(IL20:IN20)/(COUNTA(IL20:IN20)-COUNTBLANK(IL20:IN20)))</f>
        <v/>
      </c>
      <c r="IQ20" s="182" t="str">
        <f ca="1">IF(COUNTA(IQ5:IQ19)=0,"",5*SUM(IFERROR((((COUNTIF(IQ5:IQ6,"A"))*4)+((COUNTIF(IQ5:IQ6,"B"))*3)+((COUNTIF(IQ5:IQ6,"C"))*2)+((COUNTIF(IQ5:IQ6,"D"))*1))*CELL("contenu",$B$4),0),IFERROR((((COUNTIF(IQ8:IQ11,"A"))*4)+((COUNTIF(IQ8:IQ11,"B"))*3)+((COUNTIF(IQ8:IQ11,"C"))*2)+((COUNTIF(IQ8:IQ11,"D"))*1))*CELL("contenu",$B$7),0),IFERROR((((COUNTIF(IQ13:IQ13,"A"))*4)+((COUNTIF(IQ13:IQ13,"B"))*3)+((COUNTIF(IQ13:IQ13,"C"))*2)+((COUNTIF(IQ13:IQ13,"D"))*1))*CELL("contenu",$B$12),0),IFERROR((((COUNTIF(IQ15:IQ17,"A"))*4)+((COUNTIF(IQ15:IQ17,"B"))*3)+((COUNTIF(IQ15:IQ17,"C"))*2)+((COUNTIF(IQ15:IQ17,"D"))*1))*CELL("contenu",$B$14),0),IFERROR((((COUNTIF(IQ19:IQ19,"A"))*4)+((COUNTIF(IQ19:IQ19,"B"))*3)+((COUNTIF(IQ19:IQ19,"C"))*2)+((COUNTIF(IQ19:IQ19,"D"))*1))*CELL("contenu",$B$18),0))/IF(SUM(COUNTA(IQ5:IQ6)*CELL("contenu",$B$4),COUNTA(IQ8:IQ11)*CELL("contenu",$B$7),COUNTA(IQ13:IQ13)*CELL("contenu",$B$12),COUNTA(IQ15:IQ17)*CELL("contenu",$B$14),COUNTA(IQ19:IQ19)*CELL("contenu",$B$18))=0,1,SUM(COUNTA(IQ5:IQ6)*CELL("contenu",$B$4),COUNTA(IQ8:IQ11)*CELL("contenu",$B$7),COUNTA(IQ13:IQ13)*CELL("contenu",$B$12),COUNTA(IQ15:IQ17)*CELL("contenu",$B$14),COUNTA(IQ19:IQ19)*CELL("contenu",$B$18))))</f>
        <v/>
      </c>
      <c r="IR20" s="183" t="str">
        <f ca="1">IF(COUNTA(IR5:IR19)=0,"",5*SUM(IFERROR((((COUNTIF(IR5:IR6,"A"))*4)+((COUNTIF(IR5:IR6,"B"))*3)+((COUNTIF(IR5:IR6,"C"))*2)+((COUNTIF(IR5:IR6,"D"))*1))*CELL("contenu",$B$4),0),IFERROR((((COUNTIF(IR8:IR11,"A"))*4)+((COUNTIF(IR8:IR11,"B"))*3)+((COUNTIF(IR8:IR11,"C"))*2)+((COUNTIF(IR8:IR11,"D"))*1))*CELL("contenu",$B$7),0),IFERROR((((COUNTIF(IR13:IR13,"A"))*4)+((COUNTIF(IR13:IR13,"B"))*3)+((COUNTIF(IR13:IR13,"C"))*2)+((COUNTIF(IR13:IR13,"D"))*1))*CELL("contenu",$B$12),0),IFERROR((((COUNTIF(IR15:IR17,"A"))*4)+((COUNTIF(IR15:IR17,"B"))*3)+((COUNTIF(IR15:IR17,"C"))*2)+((COUNTIF(IR15:IR17,"D"))*1))*CELL("contenu",$B$14),0),IFERROR((((COUNTIF(IR19:IR19,"A"))*4)+((COUNTIF(IR19:IR19,"B"))*3)+((COUNTIF(IR19:IR19,"C"))*2)+((COUNTIF(IR19:IR19,"D"))*1))*CELL("contenu",$B$18),0))/IF(SUM(COUNTA(IR5:IR6)*CELL("contenu",$B$4),COUNTA(IR8:IR11)*CELL("contenu",$B$7),COUNTA(IR13:IR13)*CELL("contenu",$B$12),COUNTA(IR15:IR17)*CELL("contenu",$B$14),COUNTA(IR19:IR19)*CELL("contenu",$B$18))=0,1,SUM(COUNTA(IR5:IR6)*CELL("contenu",$B$4),COUNTA(IR8:IR11)*CELL("contenu",$B$7),COUNTA(IR13:IR13)*CELL("contenu",$B$12),COUNTA(IR15:IR17)*CELL("contenu",$B$14),COUNTA(IR19:IR19)*CELL("contenu",$B$18))))</f>
        <v/>
      </c>
      <c r="IS20" s="184" t="str">
        <f ca="1">IF(COUNTA(IS5:IS19)=0,"",5*SUM(IFERROR((((COUNTIF(IS5:IS6,"A"))*4)+((COUNTIF(IS5:IS6,"B"))*3)+((COUNTIF(IS5:IS6,"C"))*2)+((COUNTIF(IS5:IS6,"D"))*1))*CELL("contenu",$B$4),0),IFERROR((((COUNTIF(IS8:IS11,"A"))*4)+((COUNTIF(IS8:IS11,"B"))*3)+((COUNTIF(IS8:IS11,"C"))*2)+((COUNTIF(IS8:IS11,"D"))*1))*CELL("contenu",$B$7),0),IFERROR((((COUNTIF(IS13:IS13,"A"))*4)+((COUNTIF(IS13:IS13,"B"))*3)+((COUNTIF(IS13:IS13,"C"))*2)+((COUNTIF(IS13:IS13,"D"))*1))*CELL("contenu",$B$12),0),IFERROR((((COUNTIF(IS15:IS17,"A"))*4)+((COUNTIF(IS15:IS17,"B"))*3)+((COUNTIF(IS15:IS17,"C"))*2)+((COUNTIF(IS15:IS17,"D"))*1))*CELL("contenu",$B$14),0),IFERROR((((COUNTIF(IS19:IS19,"A"))*4)+((COUNTIF(IS19:IS19,"B"))*3)+((COUNTIF(IS19:IS19,"C"))*2)+((COUNTIF(IS19:IS19,"D"))*1))*CELL("contenu",$B$18),0))/IF(SUM(COUNTA(IS5:IS6)*CELL("contenu",$B$4),COUNTA(IS8:IS11)*CELL("contenu",$B$7),COUNTA(IS13:IS13)*CELL("contenu",$B$12),COUNTA(IS15:IS17)*CELL("contenu",$B$14),COUNTA(IS19:IS19)*CELL("contenu",$B$18))=0,1,SUM(COUNTA(IS5:IS6)*CELL("contenu",$B$4),COUNTA(IS8:IS11)*CELL("contenu",$B$7),COUNTA(IS13:IS13)*CELL("contenu",$B$12),COUNTA(IS15:IS17)*CELL("contenu",$B$14),COUNTA(IS19:IS19)*CELL("contenu",$B$18))))</f>
        <v/>
      </c>
      <c r="IT20" s="176"/>
      <c r="IU20" s="174" t="str">
        <f ca="1">IF(COUNTA(IQ20:IS20)-COUNTBLANK(IQ20:IS20)=0,"",SUM(IQ20:IS20)/(COUNTA(IQ20:IS20)-COUNTBLANK(IQ20:IS20)))</f>
        <v/>
      </c>
      <c r="IV20" s="103"/>
      <c r="IW20" s="141"/>
      <c r="IX20" s="167">
        <f ca="1">IF(COUNTA(IX5:IX19)=0,"",5*SUM(IFERROR((((COUNTIF(IX5:IX6,"A"))*4)+((COUNTIF(IX5:IX6,"B"))*3)+((COUNTIF(IX5:IX6,"C"))*2)+((COUNTIF(IX5:IX6,"D"))*1))*CELL("contenu",$B$4),0),IFERROR((((COUNTIF(IX8:IX11,"A"))*4)+((COUNTIF(IX8:IX11,"B"))*3)+((COUNTIF(IX8:IX11,"C"))*2)+((COUNTIF(IX8:IX11,"D"))*1))*CELL("contenu",$B$7),0),IFERROR((((COUNTIF(IX13:IX13,"A"))*4)+((COUNTIF(IX13:IX13,"B"))*3)+((COUNTIF(IX13:IX13,"C"))*2)+((COUNTIF(IX13:IX13,"D"))*1))*CELL("contenu",$B$12),0),IFERROR((((COUNTIF(IX15:IX17,"A"))*4)+((COUNTIF(IX15:IX17,"B"))*3)+((COUNTIF(IX15:IX17,"C"))*2)+((COUNTIF(IX15:IX17,"D"))*1))*CELL("contenu",$B$14),0),IFERROR((((COUNTIF(IX19:IX19,"A"))*4)+((COUNTIF(IX19:IX19,"B"))*3)+((COUNTIF(IX19:IX19,"C"))*2)+((COUNTIF(IX19:IX19,"D"))*1))*CELL("contenu",$B$18),0))/IF(SUM(COUNTA(IX5:IX6)*CELL("contenu",$B$4),COUNTA(IX8:IX11)*CELL("contenu",$B$7),COUNTA(IX13:IX13)*CELL("contenu",$B$12),COUNTA(IX15:IX17)*CELL("contenu",$B$14),COUNTA(IX19:IX19)*CELL("contenu",$B$18))=0,1,SUM(COUNTA(IX5:IX6)*CELL("contenu",$B$4),COUNTA(IX8:IX11)*CELL("contenu",$B$7),COUNTA(IX13:IX13)*CELL("contenu",$B$12),COUNTA(IX15:IX17)*CELL("contenu",$B$14),COUNTA(IX19:IX19)*CELL("contenu",$B$18))))</f>
        <v>18.333333333333332</v>
      </c>
      <c r="IY20" s="168">
        <f ca="1">IF(COUNTA(IY5:IY19)=0,"",5*SUM(IFERROR((((COUNTIF(IY5:IY6,"A"))*4)+((COUNTIF(IY5:IY6,"B"))*3)+((COUNTIF(IY5:IY6,"C"))*2)+((COUNTIF(IY5:IY6,"D"))*1))*CELL("contenu",$B$4),0),IFERROR((((COUNTIF(IY8:IY11,"A"))*4)+((COUNTIF(IY8:IY11,"B"))*3)+((COUNTIF(IY8:IY11,"C"))*2)+((COUNTIF(IY8:IY11,"D"))*1))*CELL("contenu",$B$7),0),IFERROR((((COUNTIF(IY13:IY13,"A"))*4)+((COUNTIF(IY13:IY13,"B"))*3)+((COUNTIF(IY13:IY13,"C"))*2)+((COUNTIF(IY13:IY13,"D"))*1))*CELL("contenu",$B$12),0),IFERROR((((COUNTIF(IY15:IY17,"A"))*4)+((COUNTIF(IY15:IY17,"B"))*3)+((COUNTIF(IY15:IY17,"C"))*2)+((COUNTIF(IY15:IY17,"D"))*1))*CELL("contenu",$B$14),0),IFERROR((((COUNTIF(IY19:IY19,"A"))*4)+((COUNTIF(IY19:IY19,"B"))*3)+((COUNTIF(IY19:IY19,"C"))*2)+((COUNTIF(IY19:IY19,"D"))*1))*CELL("contenu",$B$18),0))/IF(SUM(COUNTA(IY5:IY6)*CELL("contenu",$B$4),COUNTA(IY8:IY11)*CELL("contenu",$B$7),COUNTA(IY13:IY13)*CELL("contenu",$B$12),COUNTA(IY15:IY17)*CELL("contenu",$B$14),COUNTA(IY19:IY19)*CELL("contenu",$B$18))=0,1,SUM(COUNTA(IY5:IY6)*CELL("contenu",$B$4),COUNTA(IY8:IY11)*CELL("contenu",$B$7),COUNTA(IY13:IY13)*CELL("contenu",$B$12),COUNTA(IY15:IY17)*CELL("contenu",$B$14),COUNTA(IY19:IY19)*CELL("contenu",$B$18))))</f>
        <v>13.333333333333334</v>
      </c>
      <c r="IZ20" s="169" t="str">
        <f ca="1">IF(COUNTA(IZ5:IZ19)=0,"",5*SUM(IFERROR((((COUNTIF(IZ5:IZ6,"A"))*4)+((COUNTIF(IZ5:IZ6,"B"))*3)+((COUNTIF(IZ5:IZ6,"C"))*2)+((COUNTIF(IZ5:IZ6,"D"))*1))*CELL("contenu",$B$4),0),IFERROR((((COUNTIF(IZ8:IZ11,"A"))*4)+((COUNTIF(IZ8:IZ11,"B"))*3)+((COUNTIF(IZ8:IZ11,"C"))*2)+((COUNTIF(IZ8:IZ11,"D"))*1))*CELL("contenu",$B$7),0),IFERROR((((COUNTIF(IZ13:IZ13,"A"))*4)+((COUNTIF(IZ13:IZ13,"B"))*3)+((COUNTIF(IZ13:IZ13,"C"))*2)+((COUNTIF(IZ13:IZ13,"D"))*1))*CELL("contenu",$B$12),0),IFERROR((((COUNTIF(IZ15:IZ17,"A"))*4)+((COUNTIF(IZ15:IZ17,"B"))*3)+((COUNTIF(IZ15:IZ17,"C"))*2)+((COUNTIF(IZ15:IZ17,"D"))*1))*CELL("contenu",$B$14),0),IFERROR((((COUNTIF(IZ19:IZ19,"A"))*4)+((COUNTIF(IZ19:IZ19,"B"))*3)+((COUNTIF(IZ19:IZ19,"C"))*2)+((COUNTIF(IZ19:IZ19,"D"))*1))*CELL("contenu",$B$18),0))/IF(SUM(COUNTA(IZ5:IZ6)*CELL("contenu",$B$4),COUNTA(IZ8:IZ11)*CELL("contenu",$B$7),COUNTA(IZ13:IZ13)*CELL("contenu",$B$12),COUNTA(IZ15:IZ17)*CELL("contenu",$B$14),COUNTA(IZ19:IZ19)*CELL("contenu",$B$18))=0,1,SUM(COUNTA(IZ5:IZ6)*CELL("contenu",$B$4),COUNTA(IZ8:IZ11)*CELL("contenu",$B$7),COUNTA(IZ13:IZ13)*CELL("contenu",$B$12),COUNTA(IZ15:IZ17)*CELL("contenu",$B$14),COUNTA(IZ19:IZ19)*CELL("contenu",$B$18))))</f>
        <v/>
      </c>
      <c r="JA20" s="116"/>
      <c r="JB20" s="192">
        <f ca="1">IF(COUNTA(IX20:IZ20)-COUNTBLANK(IX20:IZ20)=0,"",SUM(IX20:IZ20)/(COUNTA(IX20:IZ20)-COUNTBLANK(IX20:IZ20)))</f>
        <v>15.833333333333332</v>
      </c>
      <c r="JC20" s="182" t="str">
        <f ca="1">IF(COUNTA(JC5:JC19)=0,"",5*SUM(IFERROR((((COUNTIF(JC5:JC6,"A"))*4)+((COUNTIF(JC5:JC6,"B"))*3)+((COUNTIF(JC5:JC6,"C"))*2)+((COUNTIF(JC5:JC6,"D"))*1))*CELL("contenu",$B$4),0),IFERROR((((COUNTIF(JC8:JC11,"A"))*4)+((COUNTIF(JC8:JC11,"B"))*3)+((COUNTIF(JC8:JC11,"C"))*2)+((COUNTIF(JC8:JC11,"D"))*1))*CELL("contenu",$B$7),0),IFERROR((((COUNTIF(JC13:JC13,"A"))*4)+((COUNTIF(JC13:JC13,"B"))*3)+((COUNTIF(JC13:JC13,"C"))*2)+((COUNTIF(JC13:JC13,"D"))*1))*CELL("contenu",$B$12),0),IFERROR((((COUNTIF(JC15:JC17,"A"))*4)+((COUNTIF(JC15:JC17,"B"))*3)+((COUNTIF(JC15:JC17,"C"))*2)+((COUNTIF(JC15:JC17,"D"))*1))*CELL("contenu",$B$14),0),IFERROR((((COUNTIF(JC19:JC19,"A"))*4)+((COUNTIF(JC19:JC19,"B"))*3)+((COUNTIF(JC19:JC19,"C"))*2)+((COUNTIF(JC19:JC19,"D"))*1))*CELL("contenu",$B$18),0))/IF(SUM(COUNTA(JC5:JC6)*CELL("contenu",$B$4),COUNTA(JC8:JC11)*CELL("contenu",$B$7),COUNTA(JC13:JC13)*CELL("contenu",$B$12),COUNTA(JC15:JC17)*CELL("contenu",$B$14),COUNTA(JC19:JC19)*CELL("contenu",$B$18))=0,1,SUM(COUNTA(JC5:JC6)*CELL("contenu",$B$4),COUNTA(JC8:JC11)*CELL("contenu",$B$7),COUNTA(JC13:JC13)*CELL("contenu",$B$12),COUNTA(JC15:JC17)*CELL("contenu",$B$14),COUNTA(JC19:JC19)*CELL("contenu",$B$18))))</f>
        <v/>
      </c>
      <c r="JD20" s="183" t="str">
        <f ca="1">IF(COUNTA(JD5:JD19)=0,"",5*SUM(IFERROR((((COUNTIF(JD5:JD6,"A"))*4)+((COUNTIF(JD5:JD6,"B"))*3)+((COUNTIF(JD5:JD6,"C"))*2)+((COUNTIF(JD5:JD6,"D"))*1))*CELL("contenu",$B$4),0),IFERROR((((COUNTIF(JD8:JD11,"A"))*4)+((COUNTIF(JD8:JD11,"B"))*3)+((COUNTIF(JD8:JD11,"C"))*2)+((COUNTIF(JD8:JD11,"D"))*1))*CELL("contenu",$B$7),0),IFERROR((((COUNTIF(JD13:JD13,"A"))*4)+((COUNTIF(JD13:JD13,"B"))*3)+((COUNTIF(JD13:JD13,"C"))*2)+((COUNTIF(JD13:JD13,"D"))*1))*CELL("contenu",$B$12),0),IFERROR((((COUNTIF(JD15:JD17,"A"))*4)+((COUNTIF(JD15:JD17,"B"))*3)+((COUNTIF(JD15:JD17,"C"))*2)+((COUNTIF(JD15:JD17,"D"))*1))*CELL("contenu",$B$14),0),IFERROR((((COUNTIF(JD19:JD19,"A"))*4)+((COUNTIF(JD19:JD19,"B"))*3)+((COUNTIF(JD19:JD19,"C"))*2)+((COUNTIF(JD19:JD19,"D"))*1))*CELL("contenu",$B$18),0))/IF(SUM(COUNTA(JD5:JD6)*CELL("contenu",$B$4),COUNTA(JD8:JD11)*CELL("contenu",$B$7),COUNTA(JD13:JD13)*CELL("contenu",$B$12),COUNTA(JD15:JD17)*CELL("contenu",$B$14),COUNTA(JD19:JD19)*CELL("contenu",$B$18))=0,1,SUM(COUNTA(JD5:JD6)*CELL("contenu",$B$4),COUNTA(JD8:JD11)*CELL("contenu",$B$7),COUNTA(JD13:JD13)*CELL("contenu",$B$12),COUNTA(JD15:JD17)*CELL("contenu",$B$14),COUNTA(JD19:JD19)*CELL("contenu",$B$18))))</f>
        <v/>
      </c>
      <c r="JE20" s="184" t="str">
        <f ca="1">IF(COUNTA(JE5:JE19)=0,"",5*SUM(IFERROR((((COUNTIF(JE5:JE6,"A"))*4)+((COUNTIF(JE5:JE6,"B"))*3)+((COUNTIF(JE5:JE6,"C"))*2)+((COUNTIF(JE5:JE6,"D"))*1))*CELL("contenu",$B$4),0),IFERROR((((COUNTIF(JE8:JE11,"A"))*4)+((COUNTIF(JE8:JE11,"B"))*3)+((COUNTIF(JE8:JE11,"C"))*2)+((COUNTIF(JE8:JE11,"D"))*1))*CELL("contenu",$B$7),0),IFERROR((((COUNTIF(JE13:JE13,"A"))*4)+((COUNTIF(JE13:JE13,"B"))*3)+((COUNTIF(JE13:JE13,"C"))*2)+((COUNTIF(JE13:JE13,"D"))*1))*CELL("contenu",$B$12),0),IFERROR((((COUNTIF(JE15:JE17,"A"))*4)+((COUNTIF(JE15:JE17,"B"))*3)+((COUNTIF(JE15:JE17,"C"))*2)+((COUNTIF(JE15:JE17,"D"))*1))*CELL("contenu",$B$14),0),IFERROR((((COUNTIF(JE19:JE19,"A"))*4)+((COUNTIF(JE19:JE19,"B"))*3)+((COUNTIF(JE19:JE19,"C"))*2)+((COUNTIF(JE19:JE19,"D"))*1))*CELL("contenu",$B$18),0))/IF(SUM(COUNTA(JE5:JE6)*CELL("contenu",$B$4),COUNTA(JE8:JE11)*CELL("contenu",$B$7),COUNTA(JE13:JE13)*CELL("contenu",$B$12),COUNTA(JE15:JE17)*CELL("contenu",$B$14),COUNTA(JE19:JE19)*CELL("contenu",$B$18))=0,1,SUM(COUNTA(JE5:JE6)*CELL("contenu",$B$4),COUNTA(JE8:JE11)*CELL("contenu",$B$7),COUNTA(JE13:JE13)*CELL("contenu",$B$12),COUNTA(JE15:JE17)*CELL("contenu",$B$14),COUNTA(JE19:JE19)*CELL("contenu",$B$18))))</f>
        <v/>
      </c>
      <c r="JF20" s="176"/>
      <c r="JG20" s="175" t="str">
        <f ca="1">IF(COUNTA(JC20:JE20)-COUNTBLANK(JC20:JE20)=0,"",SUM(JC20:JE20)/(COUNTA(JC20:JE20)-COUNTBLANK(JC20:JE20)))</f>
        <v/>
      </c>
      <c r="JH20" s="182" t="str">
        <f ca="1">IF(COUNTA(JH5:JH19)=0,"",5*SUM(IFERROR((((COUNTIF(JH5:JH6,"A"))*4)+((COUNTIF(JH5:JH6,"B"))*3)+((COUNTIF(JH5:JH6,"C"))*2)+((COUNTIF(JH5:JH6,"D"))*1))*CELL("contenu",$B$4),0),IFERROR((((COUNTIF(JH8:JH11,"A"))*4)+((COUNTIF(JH8:JH11,"B"))*3)+((COUNTIF(JH8:JH11,"C"))*2)+((COUNTIF(JH8:JH11,"D"))*1))*CELL("contenu",$B$7),0),IFERROR((((COUNTIF(JH13:JH13,"A"))*4)+((COUNTIF(JH13:JH13,"B"))*3)+((COUNTIF(JH13:JH13,"C"))*2)+((COUNTIF(JH13:JH13,"D"))*1))*CELL("contenu",$B$12),0),IFERROR((((COUNTIF(JH15:JH17,"A"))*4)+((COUNTIF(JH15:JH17,"B"))*3)+((COUNTIF(JH15:JH17,"C"))*2)+((COUNTIF(JH15:JH17,"D"))*1))*CELL("contenu",$B$14),0),IFERROR((((COUNTIF(JH19:JH19,"A"))*4)+((COUNTIF(JH19:JH19,"B"))*3)+((COUNTIF(JH19:JH19,"C"))*2)+((COUNTIF(JH19:JH19,"D"))*1))*CELL("contenu",$B$18),0))/IF(SUM(COUNTA(JH5:JH6)*CELL("contenu",$B$4),COUNTA(JH8:JH11)*CELL("contenu",$B$7),COUNTA(JH13:JH13)*CELL("contenu",$B$12),COUNTA(JH15:JH17)*CELL("contenu",$B$14),COUNTA(JH19:JH19)*CELL("contenu",$B$18))=0,1,SUM(COUNTA(JH5:JH6)*CELL("contenu",$B$4),COUNTA(JH8:JH11)*CELL("contenu",$B$7),COUNTA(JH13:JH13)*CELL("contenu",$B$12),COUNTA(JH15:JH17)*CELL("contenu",$B$14),COUNTA(JH19:JH19)*CELL("contenu",$B$18))))</f>
        <v/>
      </c>
      <c r="JI20" s="183" t="str">
        <f ca="1">IF(COUNTA(JI5:JI19)=0,"",5*SUM(IFERROR((((COUNTIF(JI5:JI6,"A"))*4)+((COUNTIF(JI5:JI6,"B"))*3)+((COUNTIF(JI5:JI6,"C"))*2)+((COUNTIF(JI5:JI6,"D"))*1))*CELL("contenu",$B$4),0),IFERROR((((COUNTIF(JI8:JI11,"A"))*4)+((COUNTIF(JI8:JI11,"B"))*3)+((COUNTIF(JI8:JI11,"C"))*2)+((COUNTIF(JI8:JI11,"D"))*1))*CELL("contenu",$B$7),0),IFERROR((((COUNTIF(JI13:JI13,"A"))*4)+((COUNTIF(JI13:JI13,"B"))*3)+((COUNTIF(JI13:JI13,"C"))*2)+((COUNTIF(JI13:JI13,"D"))*1))*CELL("contenu",$B$12),0),IFERROR((((COUNTIF(JI15:JI17,"A"))*4)+((COUNTIF(JI15:JI17,"B"))*3)+((COUNTIF(JI15:JI17,"C"))*2)+((COUNTIF(JI15:JI17,"D"))*1))*CELL("contenu",$B$14),0),IFERROR((((COUNTIF(JI19:JI19,"A"))*4)+((COUNTIF(JI19:JI19,"B"))*3)+((COUNTIF(JI19:JI19,"C"))*2)+((COUNTIF(JI19:JI19,"D"))*1))*CELL("contenu",$B$18),0))/IF(SUM(COUNTA(JI5:JI6)*CELL("contenu",$B$4),COUNTA(JI8:JI11)*CELL("contenu",$B$7),COUNTA(JI13:JI13)*CELL("contenu",$B$12),COUNTA(JI15:JI17)*CELL("contenu",$B$14),COUNTA(JI19:JI19)*CELL("contenu",$B$18))=0,1,SUM(COUNTA(JI5:JI6)*CELL("contenu",$B$4),COUNTA(JI8:JI11)*CELL("contenu",$B$7),COUNTA(JI13:JI13)*CELL("contenu",$B$12),COUNTA(JI15:JI17)*CELL("contenu",$B$14),COUNTA(JI19:JI19)*CELL("contenu",$B$18))))</f>
        <v/>
      </c>
      <c r="JJ20" s="184" t="str">
        <f ca="1">IF(COUNTA(JJ5:JJ19)=0,"",5*SUM(IFERROR((((COUNTIF(JJ5:JJ6,"A"))*4)+((COUNTIF(JJ5:JJ6,"B"))*3)+((COUNTIF(JJ5:JJ6,"C"))*2)+((COUNTIF(JJ5:JJ6,"D"))*1))*CELL("contenu",$B$4),0),IFERROR((((COUNTIF(JJ8:JJ11,"A"))*4)+((COUNTIF(JJ8:JJ11,"B"))*3)+((COUNTIF(JJ8:JJ11,"C"))*2)+((COUNTIF(JJ8:JJ11,"D"))*1))*CELL("contenu",$B$7),0),IFERROR((((COUNTIF(JJ13:JJ13,"A"))*4)+((COUNTIF(JJ13:JJ13,"B"))*3)+((COUNTIF(JJ13:JJ13,"C"))*2)+((COUNTIF(JJ13:JJ13,"D"))*1))*CELL("contenu",$B$12),0),IFERROR((((COUNTIF(JJ15:JJ17,"A"))*4)+((COUNTIF(JJ15:JJ17,"B"))*3)+((COUNTIF(JJ15:JJ17,"C"))*2)+((COUNTIF(JJ15:JJ17,"D"))*1))*CELL("contenu",$B$14),0),IFERROR((((COUNTIF(JJ19:JJ19,"A"))*4)+((COUNTIF(JJ19:JJ19,"B"))*3)+((COUNTIF(JJ19:JJ19,"C"))*2)+((COUNTIF(JJ19:JJ19,"D"))*1))*CELL("contenu",$B$18),0))/IF(SUM(COUNTA(JJ5:JJ6)*CELL("contenu",$B$4),COUNTA(JJ8:JJ11)*CELL("contenu",$B$7),COUNTA(JJ13:JJ13)*CELL("contenu",$B$12),COUNTA(JJ15:JJ17)*CELL("contenu",$B$14),COUNTA(JJ19:JJ19)*CELL("contenu",$B$18))=0,1,SUM(COUNTA(JJ5:JJ6)*CELL("contenu",$B$4),COUNTA(JJ8:JJ11)*CELL("contenu",$B$7),COUNTA(JJ13:JJ13)*CELL("contenu",$B$12),COUNTA(JJ15:JJ17)*CELL("contenu",$B$14),COUNTA(JJ19:JJ19)*CELL("contenu",$B$18))))</f>
        <v/>
      </c>
      <c r="JK20" s="176"/>
      <c r="JL20" s="174" t="str">
        <f ca="1">IF(COUNTA(JH20:JJ20)-COUNTBLANK(JH20:JJ20)=0,"",SUM(JH20:JJ20)/(COUNTA(JH20:JJ20)-COUNTBLANK(JH20:JJ20)))</f>
        <v/>
      </c>
      <c r="JM20" s="103"/>
      <c r="JN20" s="141"/>
      <c r="JO20" s="167">
        <f ca="1">IF(COUNTA(JO5:JO19)=0,"",5*SUM(IFERROR((((COUNTIF(JO5:JO6,"A"))*4)+((COUNTIF(JO5:JO6,"B"))*3)+((COUNTIF(JO5:JO6,"C"))*2)+((COUNTIF(JO5:JO6,"D"))*1))*CELL("contenu",$B$4),0),IFERROR((((COUNTIF(JO8:JO11,"A"))*4)+((COUNTIF(JO8:JO11,"B"))*3)+((COUNTIF(JO8:JO11,"C"))*2)+((COUNTIF(JO8:JO11,"D"))*1))*CELL("contenu",$B$7),0),IFERROR((((COUNTIF(JO13:JO13,"A"))*4)+((COUNTIF(JO13:JO13,"B"))*3)+((COUNTIF(JO13:JO13,"C"))*2)+((COUNTIF(JO13:JO13,"D"))*1))*CELL("contenu",$B$12),0),IFERROR((((COUNTIF(JO15:JO17,"A"))*4)+((COUNTIF(JO15:JO17,"B"))*3)+((COUNTIF(JO15:JO17,"C"))*2)+((COUNTIF(JO15:JO17,"D"))*1))*CELL("contenu",$B$14),0),IFERROR((((COUNTIF(JO19:JO19,"A"))*4)+((COUNTIF(JO19:JO19,"B"))*3)+((COUNTIF(JO19:JO19,"C"))*2)+((COUNTIF(JO19:JO19,"D"))*1))*CELL("contenu",$B$18),0))/IF(SUM(COUNTA(JO5:JO6)*CELL("contenu",$B$4),COUNTA(JO8:JO11)*CELL("contenu",$B$7),COUNTA(JO13:JO13)*CELL("contenu",$B$12),COUNTA(JO15:JO17)*CELL("contenu",$B$14),COUNTA(JO19:JO19)*CELL("contenu",$B$18))=0,1,SUM(COUNTA(JO5:JO6)*CELL("contenu",$B$4),COUNTA(JO8:JO11)*CELL("contenu",$B$7),COUNTA(JO13:JO13)*CELL("contenu",$B$12),COUNTA(JO15:JO17)*CELL("contenu",$B$14),COUNTA(JO19:JO19)*CELL("contenu",$B$18))))</f>
        <v>18.333333333333332</v>
      </c>
      <c r="JP20" s="168">
        <f ca="1">IF(COUNTA(JP5:JP19)=0,"",5*SUM(IFERROR((((COUNTIF(JP5:JP6,"A"))*4)+((COUNTIF(JP5:JP6,"B"))*3)+((COUNTIF(JP5:JP6,"C"))*2)+((COUNTIF(JP5:JP6,"D"))*1))*CELL("contenu",$B$4),0),IFERROR((((COUNTIF(JP8:JP11,"A"))*4)+((COUNTIF(JP8:JP11,"B"))*3)+((COUNTIF(JP8:JP11,"C"))*2)+((COUNTIF(JP8:JP11,"D"))*1))*CELL("contenu",$B$7),0),IFERROR((((COUNTIF(JP13:JP13,"A"))*4)+((COUNTIF(JP13:JP13,"B"))*3)+((COUNTIF(JP13:JP13,"C"))*2)+((COUNTIF(JP13:JP13,"D"))*1))*CELL("contenu",$B$12),0),IFERROR((((COUNTIF(JP15:JP17,"A"))*4)+((COUNTIF(JP15:JP17,"B"))*3)+((COUNTIF(JP15:JP17,"C"))*2)+((COUNTIF(JP15:JP17,"D"))*1))*CELL("contenu",$B$14),0),IFERROR((((COUNTIF(JP19:JP19,"A"))*4)+((COUNTIF(JP19:JP19,"B"))*3)+((COUNTIF(JP19:JP19,"C"))*2)+((COUNTIF(JP19:JP19,"D"))*1))*CELL("contenu",$B$18),0))/IF(SUM(COUNTA(JP5:JP6)*CELL("contenu",$B$4),COUNTA(JP8:JP11)*CELL("contenu",$B$7),COUNTA(JP13:JP13)*CELL("contenu",$B$12),COUNTA(JP15:JP17)*CELL("contenu",$B$14),COUNTA(JP19:JP19)*CELL("contenu",$B$18))=0,1,SUM(COUNTA(JP5:JP6)*CELL("contenu",$B$4),COUNTA(JP8:JP11)*CELL("contenu",$B$7),COUNTA(JP13:JP13)*CELL("contenu",$B$12),COUNTA(JP15:JP17)*CELL("contenu",$B$14),COUNTA(JP19:JP19)*CELL("contenu",$B$18))))</f>
        <v>10</v>
      </c>
      <c r="JQ20" s="169" t="str">
        <f ca="1">IF(COUNTA(JQ5:JQ19)=0,"",5*SUM(IFERROR((((COUNTIF(JQ5:JQ6,"A"))*4)+((COUNTIF(JQ5:JQ6,"B"))*3)+((COUNTIF(JQ5:JQ6,"C"))*2)+((COUNTIF(JQ5:JQ6,"D"))*1))*CELL("contenu",$B$4),0),IFERROR((((COUNTIF(JQ8:JQ11,"A"))*4)+((COUNTIF(JQ8:JQ11,"B"))*3)+((COUNTIF(JQ8:JQ11,"C"))*2)+((COUNTIF(JQ8:JQ11,"D"))*1))*CELL("contenu",$B$7),0),IFERROR((((COUNTIF(JQ13:JQ13,"A"))*4)+((COUNTIF(JQ13:JQ13,"B"))*3)+((COUNTIF(JQ13:JQ13,"C"))*2)+((COUNTIF(JQ13:JQ13,"D"))*1))*CELL("contenu",$B$12),0),IFERROR((((COUNTIF(JQ15:JQ17,"A"))*4)+((COUNTIF(JQ15:JQ17,"B"))*3)+((COUNTIF(JQ15:JQ17,"C"))*2)+((COUNTIF(JQ15:JQ17,"D"))*1))*CELL("contenu",$B$14),0),IFERROR((((COUNTIF(JQ19:JQ19,"A"))*4)+((COUNTIF(JQ19:JQ19,"B"))*3)+((COUNTIF(JQ19:JQ19,"C"))*2)+((COUNTIF(JQ19:JQ19,"D"))*1))*CELL("contenu",$B$18),0))/IF(SUM(COUNTA(JQ5:JQ6)*CELL("contenu",$B$4),COUNTA(JQ8:JQ11)*CELL("contenu",$B$7),COUNTA(JQ13:JQ13)*CELL("contenu",$B$12),COUNTA(JQ15:JQ17)*CELL("contenu",$B$14),COUNTA(JQ19:JQ19)*CELL("contenu",$B$18))=0,1,SUM(COUNTA(JQ5:JQ6)*CELL("contenu",$B$4),COUNTA(JQ8:JQ11)*CELL("contenu",$B$7),COUNTA(JQ13:JQ13)*CELL("contenu",$B$12),COUNTA(JQ15:JQ17)*CELL("contenu",$B$14),COUNTA(JQ19:JQ19)*CELL("contenu",$B$18))))</f>
        <v/>
      </c>
      <c r="JR20" s="116"/>
      <c r="JS20" s="192">
        <f ca="1">IF(COUNTA(JO20:JQ20)-COUNTBLANK(JO20:JQ20)=0,"",SUM(JO20:JQ20)/(COUNTA(JO20:JQ20)-COUNTBLANK(JO20:JQ20)))</f>
        <v>14.166666666666666</v>
      </c>
      <c r="JT20" s="182" t="str">
        <f ca="1">IF(COUNTA(JT5:JT19)=0,"",5*SUM(IFERROR((((COUNTIF(JT5:JT6,"A"))*4)+((COUNTIF(JT5:JT6,"B"))*3)+((COUNTIF(JT5:JT6,"C"))*2)+((COUNTIF(JT5:JT6,"D"))*1))*CELL("contenu",$B$4),0),IFERROR((((COUNTIF(JT8:JT11,"A"))*4)+((COUNTIF(JT8:JT11,"B"))*3)+((COUNTIF(JT8:JT11,"C"))*2)+((COUNTIF(JT8:JT11,"D"))*1))*CELL("contenu",$B$7),0),IFERROR((((COUNTIF(JT13:JT13,"A"))*4)+((COUNTIF(JT13:JT13,"B"))*3)+((COUNTIF(JT13:JT13,"C"))*2)+((COUNTIF(JT13:JT13,"D"))*1))*CELL("contenu",$B$12),0),IFERROR((((COUNTIF(JT15:JT17,"A"))*4)+((COUNTIF(JT15:JT17,"B"))*3)+((COUNTIF(JT15:JT17,"C"))*2)+((COUNTIF(JT15:JT17,"D"))*1))*CELL("contenu",$B$14),0),IFERROR((((COUNTIF(JT19:JT19,"A"))*4)+((COUNTIF(JT19:JT19,"B"))*3)+((COUNTIF(JT19:JT19,"C"))*2)+((COUNTIF(JT19:JT19,"D"))*1))*CELL("contenu",$B$18),0))/IF(SUM(COUNTA(JT5:JT6)*CELL("contenu",$B$4),COUNTA(JT8:JT11)*CELL("contenu",$B$7),COUNTA(JT13:JT13)*CELL("contenu",$B$12),COUNTA(JT15:JT17)*CELL("contenu",$B$14),COUNTA(JT19:JT19)*CELL("contenu",$B$18))=0,1,SUM(COUNTA(JT5:JT6)*CELL("contenu",$B$4),COUNTA(JT8:JT11)*CELL("contenu",$B$7),COUNTA(JT13:JT13)*CELL("contenu",$B$12),COUNTA(JT15:JT17)*CELL("contenu",$B$14),COUNTA(JT19:JT19)*CELL("contenu",$B$18))))</f>
        <v/>
      </c>
      <c r="JU20" s="183" t="str">
        <f ca="1">IF(COUNTA(JU5:JU19)=0,"",5*SUM(IFERROR((((COUNTIF(JU5:JU6,"A"))*4)+((COUNTIF(JU5:JU6,"B"))*3)+((COUNTIF(JU5:JU6,"C"))*2)+((COUNTIF(JU5:JU6,"D"))*1))*CELL("contenu",$B$4),0),IFERROR((((COUNTIF(JU8:JU11,"A"))*4)+((COUNTIF(JU8:JU11,"B"))*3)+((COUNTIF(JU8:JU11,"C"))*2)+((COUNTIF(JU8:JU11,"D"))*1))*CELL("contenu",$B$7),0),IFERROR((((COUNTIF(JU13:JU13,"A"))*4)+((COUNTIF(JU13:JU13,"B"))*3)+((COUNTIF(JU13:JU13,"C"))*2)+((COUNTIF(JU13:JU13,"D"))*1))*CELL("contenu",$B$12),0),IFERROR((((COUNTIF(JU15:JU17,"A"))*4)+((COUNTIF(JU15:JU17,"B"))*3)+((COUNTIF(JU15:JU17,"C"))*2)+((COUNTIF(JU15:JU17,"D"))*1))*CELL("contenu",$B$14),0),IFERROR((((COUNTIF(JU19:JU19,"A"))*4)+((COUNTIF(JU19:JU19,"B"))*3)+((COUNTIF(JU19:JU19,"C"))*2)+((COUNTIF(JU19:JU19,"D"))*1))*CELL("contenu",$B$18),0))/IF(SUM(COUNTA(JU5:JU6)*CELL("contenu",$B$4),COUNTA(JU8:JU11)*CELL("contenu",$B$7),COUNTA(JU13:JU13)*CELL("contenu",$B$12),COUNTA(JU15:JU17)*CELL("contenu",$B$14),COUNTA(JU19:JU19)*CELL("contenu",$B$18))=0,1,SUM(COUNTA(JU5:JU6)*CELL("contenu",$B$4),COUNTA(JU8:JU11)*CELL("contenu",$B$7),COUNTA(JU13:JU13)*CELL("contenu",$B$12),COUNTA(JU15:JU17)*CELL("contenu",$B$14),COUNTA(JU19:JU19)*CELL("contenu",$B$18))))</f>
        <v/>
      </c>
      <c r="JV20" s="184" t="str">
        <f ca="1">IF(COUNTA(JV5:JV19)=0,"",5*SUM(IFERROR((((COUNTIF(JV5:JV6,"A"))*4)+((COUNTIF(JV5:JV6,"B"))*3)+((COUNTIF(JV5:JV6,"C"))*2)+((COUNTIF(JV5:JV6,"D"))*1))*CELL("contenu",$B$4),0),IFERROR((((COUNTIF(JV8:JV11,"A"))*4)+((COUNTIF(JV8:JV11,"B"))*3)+((COUNTIF(JV8:JV11,"C"))*2)+((COUNTIF(JV8:JV11,"D"))*1))*CELL("contenu",$B$7),0),IFERROR((((COUNTIF(JV13:JV13,"A"))*4)+((COUNTIF(JV13:JV13,"B"))*3)+((COUNTIF(JV13:JV13,"C"))*2)+((COUNTIF(JV13:JV13,"D"))*1))*CELL("contenu",$B$12),0),IFERROR((((COUNTIF(JV15:JV17,"A"))*4)+((COUNTIF(JV15:JV17,"B"))*3)+((COUNTIF(JV15:JV17,"C"))*2)+((COUNTIF(JV15:JV17,"D"))*1))*CELL("contenu",$B$14),0),IFERROR((((COUNTIF(JV19:JV19,"A"))*4)+((COUNTIF(JV19:JV19,"B"))*3)+((COUNTIF(JV19:JV19,"C"))*2)+((COUNTIF(JV19:JV19,"D"))*1))*CELL("contenu",$B$18),0))/IF(SUM(COUNTA(JV5:JV6)*CELL("contenu",$B$4),COUNTA(JV8:JV11)*CELL("contenu",$B$7),COUNTA(JV13:JV13)*CELL("contenu",$B$12),COUNTA(JV15:JV17)*CELL("contenu",$B$14),COUNTA(JV19:JV19)*CELL("contenu",$B$18))=0,1,SUM(COUNTA(JV5:JV6)*CELL("contenu",$B$4),COUNTA(JV8:JV11)*CELL("contenu",$B$7),COUNTA(JV13:JV13)*CELL("contenu",$B$12),COUNTA(JV15:JV17)*CELL("contenu",$B$14),COUNTA(JV19:JV19)*CELL("contenu",$B$18))))</f>
        <v/>
      </c>
      <c r="JW20" s="176"/>
      <c r="JX20" s="175" t="str">
        <f ca="1">IF(COUNTA(JT20:JV20)-COUNTBLANK(JT20:JV20)=0,"",SUM(JT20:JV20)/(COUNTA(JT20:JV20)-COUNTBLANK(JT20:JV20)))</f>
        <v/>
      </c>
      <c r="JY20" s="182" t="str">
        <f ca="1">IF(COUNTA(JY5:JY19)=0,"",5*SUM(IFERROR((((COUNTIF(JY5:JY6,"A"))*4)+((COUNTIF(JY5:JY6,"B"))*3)+((COUNTIF(JY5:JY6,"C"))*2)+((COUNTIF(JY5:JY6,"D"))*1))*CELL("contenu",$B$4),0),IFERROR((((COUNTIF(JY8:JY11,"A"))*4)+((COUNTIF(JY8:JY11,"B"))*3)+((COUNTIF(JY8:JY11,"C"))*2)+((COUNTIF(JY8:JY11,"D"))*1))*CELL("contenu",$B$7),0),IFERROR((((COUNTIF(JY13:JY13,"A"))*4)+((COUNTIF(JY13:JY13,"B"))*3)+((COUNTIF(JY13:JY13,"C"))*2)+((COUNTIF(JY13:JY13,"D"))*1))*CELL("contenu",$B$12),0),IFERROR((((COUNTIF(JY15:JY17,"A"))*4)+((COUNTIF(JY15:JY17,"B"))*3)+((COUNTIF(JY15:JY17,"C"))*2)+((COUNTIF(JY15:JY17,"D"))*1))*CELL("contenu",$B$14),0),IFERROR((((COUNTIF(JY19:JY19,"A"))*4)+((COUNTIF(JY19:JY19,"B"))*3)+((COUNTIF(JY19:JY19,"C"))*2)+((COUNTIF(JY19:JY19,"D"))*1))*CELL("contenu",$B$18),0))/IF(SUM(COUNTA(JY5:JY6)*CELL("contenu",$B$4),COUNTA(JY8:JY11)*CELL("contenu",$B$7),COUNTA(JY13:JY13)*CELL("contenu",$B$12),COUNTA(JY15:JY17)*CELL("contenu",$B$14),COUNTA(JY19:JY19)*CELL("contenu",$B$18))=0,1,SUM(COUNTA(JY5:JY6)*CELL("contenu",$B$4),COUNTA(JY8:JY11)*CELL("contenu",$B$7),COUNTA(JY13:JY13)*CELL("contenu",$B$12),COUNTA(JY15:JY17)*CELL("contenu",$B$14),COUNTA(JY19:JY19)*CELL("contenu",$B$18))))</f>
        <v/>
      </c>
      <c r="JZ20" s="183" t="str">
        <f ca="1">IF(COUNTA(JZ5:JZ19)=0,"",5*SUM(IFERROR((((COUNTIF(JZ5:JZ6,"A"))*4)+((COUNTIF(JZ5:JZ6,"B"))*3)+((COUNTIF(JZ5:JZ6,"C"))*2)+((COUNTIF(JZ5:JZ6,"D"))*1))*CELL("contenu",$B$4),0),IFERROR((((COUNTIF(JZ8:JZ11,"A"))*4)+((COUNTIF(JZ8:JZ11,"B"))*3)+((COUNTIF(JZ8:JZ11,"C"))*2)+((COUNTIF(JZ8:JZ11,"D"))*1))*CELL("contenu",$B$7),0),IFERROR((((COUNTIF(JZ13:JZ13,"A"))*4)+((COUNTIF(JZ13:JZ13,"B"))*3)+((COUNTIF(JZ13:JZ13,"C"))*2)+((COUNTIF(JZ13:JZ13,"D"))*1))*CELL("contenu",$B$12),0),IFERROR((((COUNTIF(JZ15:JZ17,"A"))*4)+((COUNTIF(JZ15:JZ17,"B"))*3)+((COUNTIF(JZ15:JZ17,"C"))*2)+((COUNTIF(JZ15:JZ17,"D"))*1))*CELL("contenu",$B$14),0),IFERROR((((COUNTIF(JZ19:JZ19,"A"))*4)+((COUNTIF(JZ19:JZ19,"B"))*3)+((COUNTIF(JZ19:JZ19,"C"))*2)+((COUNTIF(JZ19:JZ19,"D"))*1))*CELL("contenu",$B$18),0))/IF(SUM(COUNTA(JZ5:JZ6)*CELL("contenu",$B$4),COUNTA(JZ8:JZ11)*CELL("contenu",$B$7),COUNTA(JZ13:JZ13)*CELL("contenu",$B$12),COUNTA(JZ15:JZ17)*CELL("contenu",$B$14),COUNTA(JZ19:JZ19)*CELL("contenu",$B$18))=0,1,SUM(COUNTA(JZ5:JZ6)*CELL("contenu",$B$4),COUNTA(JZ8:JZ11)*CELL("contenu",$B$7),COUNTA(JZ13:JZ13)*CELL("contenu",$B$12),COUNTA(JZ15:JZ17)*CELL("contenu",$B$14),COUNTA(JZ19:JZ19)*CELL("contenu",$B$18))))</f>
        <v/>
      </c>
      <c r="KA20" s="184" t="str">
        <f ca="1">IF(COUNTA(KA5:KA19)=0,"",5*SUM(IFERROR((((COUNTIF(KA5:KA6,"A"))*4)+((COUNTIF(KA5:KA6,"B"))*3)+((COUNTIF(KA5:KA6,"C"))*2)+((COUNTIF(KA5:KA6,"D"))*1))*CELL("contenu",$B$4),0),IFERROR((((COUNTIF(KA8:KA11,"A"))*4)+((COUNTIF(KA8:KA11,"B"))*3)+((COUNTIF(KA8:KA11,"C"))*2)+((COUNTIF(KA8:KA11,"D"))*1))*CELL("contenu",$B$7),0),IFERROR((((COUNTIF(KA13:KA13,"A"))*4)+((COUNTIF(KA13:KA13,"B"))*3)+((COUNTIF(KA13:KA13,"C"))*2)+((COUNTIF(KA13:KA13,"D"))*1))*CELL("contenu",$B$12),0),IFERROR((((COUNTIF(KA15:KA17,"A"))*4)+((COUNTIF(KA15:KA17,"B"))*3)+((COUNTIF(KA15:KA17,"C"))*2)+((COUNTIF(KA15:KA17,"D"))*1))*CELL("contenu",$B$14),0),IFERROR((((COUNTIF(KA19:KA19,"A"))*4)+((COUNTIF(KA19:KA19,"B"))*3)+((COUNTIF(KA19:KA19,"C"))*2)+((COUNTIF(KA19:KA19,"D"))*1))*CELL("contenu",$B$18),0))/IF(SUM(COUNTA(KA5:KA6)*CELL("contenu",$B$4),COUNTA(KA8:KA11)*CELL("contenu",$B$7),COUNTA(KA13:KA13)*CELL("contenu",$B$12),COUNTA(KA15:KA17)*CELL("contenu",$B$14),COUNTA(KA19:KA19)*CELL("contenu",$B$18))=0,1,SUM(COUNTA(KA5:KA6)*CELL("contenu",$B$4),COUNTA(KA8:KA11)*CELL("contenu",$B$7),COUNTA(KA13:KA13)*CELL("contenu",$B$12),COUNTA(KA15:KA17)*CELL("contenu",$B$14),COUNTA(KA19:KA19)*CELL("contenu",$B$18))))</f>
        <v/>
      </c>
      <c r="KB20" s="176"/>
      <c r="KC20" s="174" t="str">
        <f ca="1">IF(COUNTA(JY20:KA20)-COUNTBLANK(JY20:KA20)=0,"",SUM(JY20:KA20)/(COUNTA(JY20:KA20)-COUNTBLANK(JY20:KA20)))</f>
        <v/>
      </c>
      <c r="KD20" s="103"/>
      <c r="KE20" s="141"/>
      <c r="KF20" s="167">
        <f ca="1">IF(COUNTA(KF5:KF19)=0,"",5*SUM(IFERROR((((COUNTIF(KF5:KF6,"A"))*4)+((COUNTIF(KF5:KF6,"B"))*3)+((COUNTIF(KF5:KF6,"C"))*2)+((COUNTIF(KF5:KF6,"D"))*1))*CELL("contenu",$B$4),0),IFERROR((((COUNTIF(KF8:KF11,"A"))*4)+((COUNTIF(KF8:KF11,"B"))*3)+((COUNTIF(KF8:KF11,"C"))*2)+((COUNTIF(KF8:KF11,"D"))*1))*CELL("contenu",$B$7),0),IFERROR((((COUNTIF(KF13:KF13,"A"))*4)+((COUNTIF(KF13:KF13,"B"))*3)+((COUNTIF(KF13:KF13,"C"))*2)+((COUNTIF(KF13:KF13,"D"))*1))*CELL("contenu",$B$12),0),IFERROR((((COUNTIF(KF15:KF17,"A"))*4)+((COUNTIF(KF15:KF17,"B"))*3)+((COUNTIF(KF15:KF17,"C"))*2)+((COUNTIF(KF15:KF17,"D"))*1))*CELL("contenu",$B$14),0),IFERROR((((COUNTIF(KF19:KF19,"A"))*4)+((COUNTIF(KF19:KF19,"B"))*3)+((COUNTIF(KF19:KF19,"C"))*2)+((COUNTIF(KF19:KF19,"D"))*1))*CELL("contenu",$B$18),0))/IF(SUM(COUNTA(KF5:KF6)*CELL("contenu",$B$4),COUNTA(KF8:KF11)*CELL("contenu",$B$7),COUNTA(KF13:KF13)*CELL("contenu",$B$12),COUNTA(KF15:KF17)*CELL("contenu",$B$14),COUNTA(KF19:KF19)*CELL("contenu",$B$18))=0,1,SUM(COUNTA(KF5:KF6)*CELL("contenu",$B$4),COUNTA(KF8:KF11)*CELL("contenu",$B$7),COUNTA(KF13:KF13)*CELL("contenu",$B$12),COUNTA(KF15:KF17)*CELL("contenu",$B$14),COUNTA(KF19:KF19)*CELL("contenu",$B$18))))</f>
        <v>16.666666666666668</v>
      </c>
      <c r="KG20" s="168">
        <f ca="1">IF(COUNTA(KG5:KG19)=0,"",5*SUM(IFERROR((((COUNTIF(KG5:KG6,"A"))*4)+((COUNTIF(KG5:KG6,"B"))*3)+((COUNTIF(KG5:KG6,"C"))*2)+((COUNTIF(KG5:KG6,"D"))*1))*CELL("contenu",$B$4),0),IFERROR((((COUNTIF(KG8:KG11,"A"))*4)+((COUNTIF(KG8:KG11,"B"))*3)+((COUNTIF(KG8:KG11,"C"))*2)+((COUNTIF(KG8:KG11,"D"))*1))*CELL("contenu",$B$7),0),IFERROR((((COUNTIF(KG13:KG13,"A"))*4)+((COUNTIF(KG13:KG13,"B"))*3)+((COUNTIF(KG13:KG13,"C"))*2)+((COUNTIF(KG13:KG13,"D"))*1))*CELL("contenu",$B$12),0),IFERROR((((COUNTIF(KG15:KG17,"A"))*4)+((COUNTIF(KG15:KG17,"B"))*3)+((COUNTIF(KG15:KG17,"C"))*2)+((COUNTIF(KG15:KG17,"D"))*1))*CELL("contenu",$B$14),0),IFERROR((((COUNTIF(KG19:KG19,"A"))*4)+((COUNTIF(KG19:KG19,"B"))*3)+((COUNTIF(KG19:KG19,"C"))*2)+((COUNTIF(KG19:KG19,"D"))*1))*CELL("contenu",$B$18),0))/IF(SUM(COUNTA(KG5:KG6)*CELL("contenu",$B$4),COUNTA(KG8:KG11)*CELL("contenu",$B$7),COUNTA(KG13:KG13)*CELL("contenu",$B$12),COUNTA(KG15:KG17)*CELL("contenu",$B$14),COUNTA(KG19:KG19)*CELL("contenu",$B$18))=0,1,SUM(COUNTA(KG5:KG6)*CELL("contenu",$B$4),COUNTA(KG8:KG11)*CELL("contenu",$B$7),COUNTA(KG13:KG13)*CELL("contenu",$B$12),COUNTA(KG15:KG17)*CELL("contenu",$B$14),COUNTA(KG19:KG19)*CELL("contenu",$B$18))))</f>
        <v>10</v>
      </c>
      <c r="KH20" s="169" t="str">
        <f ca="1">IF(COUNTA(KH5:KH19)=0,"",5*SUM(IFERROR((((COUNTIF(KH5:KH6,"A"))*4)+((COUNTIF(KH5:KH6,"B"))*3)+((COUNTIF(KH5:KH6,"C"))*2)+((COUNTIF(KH5:KH6,"D"))*1))*CELL("contenu",$B$4),0),IFERROR((((COUNTIF(KH8:KH11,"A"))*4)+((COUNTIF(KH8:KH11,"B"))*3)+((COUNTIF(KH8:KH11,"C"))*2)+((COUNTIF(KH8:KH11,"D"))*1))*CELL("contenu",$B$7),0),IFERROR((((COUNTIF(KH13:KH13,"A"))*4)+((COUNTIF(KH13:KH13,"B"))*3)+((COUNTIF(KH13:KH13,"C"))*2)+((COUNTIF(KH13:KH13,"D"))*1))*CELL("contenu",$B$12),0),IFERROR((((COUNTIF(KH15:KH17,"A"))*4)+((COUNTIF(KH15:KH17,"B"))*3)+((COUNTIF(KH15:KH17,"C"))*2)+((COUNTIF(KH15:KH17,"D"))*1))*CELL("contenu",$B$14),0),IFERROR((((COUNTIF(KH19:KH19,"A"))*4)+((COUNTIF(KH19:KH19,"B"))*3)+((COUNTIF(KH19:KH19,"C"))*2)+((COUNTIF(KH19:KH19,"D"))*1))*CELL("contenu",$B$18),0))/IF(SUM(COUNTA(KH5:KH6)*CELL("contenu",$B$4),COUNTA(KH8:KH11)*CELL("contenu",$B$7),COUNTA(KH13:KH13)*CELL("contenu",$B$12),COUNTA(KH15:KH17)*CELL("contenu",$B$14),COUNTA(KH19:KH19)*CELL("contenu",$B$18))=0,1,SUM(COUNTA(KH5:KH6)*CELL("contenu",$B$4),COUNTA(KH8:KH11)*CELL("contenu",$B$7),COUNTA(KH13:KH13)*CELL("contenu",$B$12),COUNTA(KH15:KH17)*CELL("contenu",$B$14),COUNTA(KH19:KH19)*CELL("contenu",$B$18))))</f>
        <v/>
      </c>
      <c r="KI20" s="116"/>
      <c r="KJ20" s="192">
        <f ca="1">IF(COUNTA(KF20:KH20)-COUNTBLANK(KF20:KH20)=0,"",SUM(KF20:KH20)/(COUNTA(KF20:KH20)-COUNTBLANK(KF20:KH20)))</f>
        <v>13.333333333333334</v>
      </c>
      <c r="KK20" s="182" t="str">
        <f ca="1">IF(COUNTA(KK5:KK19)=0,"",5*SUM(IFERROR((((COUNTIF(KK5:KK6,"A"))*4)+((COUNTIF(KK5:KK6,"B"))*3)+((COUNTIF(KK5:KK6,"C"))*2)+((COUNTIF(KK5:KK6,"D"))*1))*CELL("contenu",$B$4),0),IFERROR((((COUNTIF(KK8:KK11,"A"))*4)+((COUNTIF(KK8:KK11,"B"))*3)+((COUNTIF(KK8:KK11,"C"))*2)+((COUNTIF(KK8:KK11,"D"))*1))*CELL("contenu",$B$7),0),IFERROR((((COUNTIF(KK13:KK13,"A"))*4)+((COUNTIF(KK13:KK13,"B"))*3)+((COUNTIF(KK13:KK13,"C"))*2)+((COUNTIF(KK13:KK13,"D"))*1))*CELL("contenu",$B$12),0),IFERROR((((COUNTIF(KK15:KK17,"A"))*4)+((COUNTIF(KK15:KK17,"B"))*3)+((COUNTIF(KK15:KK17,"C"))*2)+((COUNTIF(KK15:KK17,"D"))*1))*CELL("contenu",$B$14),0),IFERROR((((COUNTIF(KK19:KK19,"A"))*4)+((COUNTIF(KK19:KK19,"B"))*3)+((COUNTIF(KK19:KK19,"C"))*2)+((COUNTIF(KK19:KK19,"D"))*1))*CELL("contenu",$B$18),0))/IF(SUM(COUNTA(KK5:KK6)*CELL("contenu",$B$4),COUNTA(KK8:KK11)*CELL("contenu",$B$7),COUNTA(KK13:KK13)*CELL("contenu",$B$12),COUNTA(KK15:KK17)*CELL("contenu",$B$14),COUNTA(KK19:KK19)*CELL("contenu",$B$18))=0,1,SUM(COUNTA(KK5:KK6)*CELL("contenu",$B$4),COUNTA(KK8:KK11)*CELL("contenu",$B$7),COUNTA(KK13:KK13)*CELL("contenu",$B$12),COUNTA(KK15:KK17)*CELL("contenu",$B$14),COUNTA(KK19:KK19)*CELL("contenu",$B$18))))</f>
        <v/>
      </c>
      <c r="KL20" s="183" t="str">
        <f ca="1">IF(COUNTA(KL5:KL19)=0,"",5*SUM(IFERROR((((COUNTIF(KL5:KL6,"A"))*4)+((COUNTIF(KL5:KL6,"B"))*3)+((COUNTIF(KL5:KL6,"C"))*2)+((COUNTIF(KL5:KL6,"D"))*1))*CELL("contenu",$B$4),0),IFERROR((((COUNTIF(KL8:KL11,"A"))*4)+((COUNTIF(KL8:KL11,"B"))*3)+((COUNTIF(KL8:KL11,"C"))*2)+((COUNTIF(KL8:KL11,"D"))*1))*CELL("contenu",$B$7),0),IFERROR((((COUNTIF(KL13:KL13,"A"))*4)+((COUNTIF(KL13:KL13,"B"))*3)+((COUNTIF(KL13:KL13,"C"))*2)+((COUNTIF(KL13:KL13,"D"))*1))*CELL("contenu",$B$12),0),IFERROR((((COUNTIF(KL15:KL17,"A"))*4)+((COUNTIF(KL15:KL17,"B"))*3)+((COUNTIF(KL15:KL17,"C"))*2)+((COUNTIF(KL15:KL17,"D"))*1))*CELL("contenu",$B$14),0),IFERROR((((COUNTIF(KL19:KL19,"A"))*4)+((COUNTIF(KL19:KL19,"B"))*3)+((COUNTIF(KL19:KL19,"C"))*2)+((COUNTIF(KL19:KL19,"D"))*1))*CELL("contenu",$B$18),0))/IF(SUM(COUNTA(KL5:KL6)*CELL("contenu",$B$4),COUNTA(KL8:KL11)*CELL("contenu",$B$7),COUNTA(KL13:KL13)*CELL("contenu",$B$12),COUNTA(KL15:KL17)*CELL("contenu",$B$14),COUNTA(KL19:KL19)*CELL("contenu",$B$18))=0,1,SUM(COUNTA(KL5:KL6)*CELL("contenu",$B$4),COUNTA(KL8:KL11)*CELL("contenu",$B$7),COUNTA(KL13:KL13)*CELL("contenu",$B$12),COUNTA(KL15:KL17)*CELL("contenu",$B$14),COUNTA(KL19:KL19)*CELL("contenu",$B$18))))</f>
        <v/>
      </c>
      <c r="KM20" s="184" t="str">
        <f ca="1">IF(COUNTA(KM5:KM19)=0,"",5*SUM(IFERROR((((COUNTIF(KM5:KM6,"A"))*4)+((COUNTIF(KM5:KM6,"B"))*3)+((COUNTIF(KM5:KM6,"C"))*2)+((COUNTIF(KM5:KM6,"D"))*1))*CELL("contenu",$B$4),0),IFERROR((((COUNTIF(KM8:KM11,"A"))*4)+((COUNTIF(KM8:KM11,"B"))*3)+((COUNTIF(KM8:KM11,"C"))*2)+((COUNTIF(KM8:KM11,"D"))*1))*CELL("contenu",$B$7),0),IFERROR((((COUNTIF(KM13:KM13,"A"))*4)+((COUNTIF(KM13:KM13,"B"))*3)+((COUNTIF(KM13:KM13,"C"))*2)+((COUNTIF(KM13:KM13,"D"))*1))*CELL("contenu",$B$12),0),IFERROR((((COUNTIF(KM15:KM17,"A"))*4)+((COUNTIF(KM15:KM17,"B"))*3)+((COUNTIF(KM15:KM17,"C"))*2)+((COUNTIF(KM15:KM17,"D"))*1))*CELL("contenu",$B$14),0),IFERROR((((COUNTIF(KM19:KM19,"A"))*4)+((COUNTIF(KM19:KM19,"B"))*3)+((COUNTIF(KM19:KM19,"C"))*2)+((COUNTIF(KM19:KM19,"D"))*1))*CELL("contenu",$B$18),0))/IF(SUM(COUNTA(KM5:KM6)*CELL("contenu",$B$4),COUNTA(KM8:KM11)*CELL("contenu",$B$7),COUNTA(KM13:KM13)*CELL("contenu",$B$12),COUNTA(KM15:KM17)*CELL("contenu",$B$14),COUNTA(KM19:KM19)*CELL("contenu",$B$18))=0,1,SUM(COUNTA(KM5:KM6)*CELL("contenu",$B$4),COUNTA(KM8:KM11)*CELL("contenu",$B$7),COUNTA(KM13:KM13)*CELL("contenu",$B$12),COUNTA(KM15:KM17)*CELL("contenu",$B$14),COUNTA(KM19:KM19)*CELL("contenu",$B$18))))</f>
        <v/>
      </c>
      <c r="KN20" s="176"/>
      <c r="KO20" s="175" t="str">
        <f ca="1">IF(COUNTA(KK20:KM20)-COUNTBLANK(KK20:KM20)=0,"",SUM(KK20:KM20)/(COUNTA(KK20:KM20)-COUNTBLANK(KK20:KM20)))</f>
        <v/>
      </c>
      <c r="KP20" s="182" t="str">
        <f ca="1">IF(COUNTA(KP5:KP19)=0,"",5*SUM(IFERROR((((COUNTIF(KP5:KP6,"A"))*4)+((COUNTIF(KP5:KP6,"B"))*3)+((COUNTIF(KP5:KP6,"C"))*2)+((COUNTIF(KP5:KP6,"D"))*1))*CELL("contenu",$B$4),0),IFERROR((((COUNTIF(KP8:KP11,"A"))*4)+((COUNTIF(KP8:KP11,"B"))*3)+((COUNTIF(KP8:KP11,"C"))*2)+((COUNTIF(KP8:KP11,"D"))*1))*CELL("contenu",$B$7),0),IFERROR((((COUNTIF(KP13:KP13,"A"))*4)+((COUNTIF(KP13:KP13,"B"))*3)+((COUNTIF(KP13:KP13,"C"))*2)+((COUNTIF(KP13:KP13,"D"))*1))*CELL("contenu",$B$12),0),IFERROR((((COUNTIF(KP15:KP17,"A"))*4)+((COUNTIF(KP15:KP17,"B"))*3)+((COUNTIF(KP15:KP17,"C"))*2)+((COUNTIF(KP15:KP17,"D"))*1))*CELL("contenu",$B$14),0),IFERROR((((COUNTIF(KP19:KP19,"A"))*4)+((COUNTIF(KP19:KP19,"B"))*3)+((COUNTIF(KP19:KP19,"C"))*2)+((COUNTIF(KP19:KP19,"D"))*1))*CELL("contenu",$B$18),0))/IF(SUM(COUNTA(KP5:KP6)*CELL("contenu",$B$4),COUNTA(KP8:KP11)*CELL("contenu",$B$7),COUNTA(KP13:KP13)*CELL("contenu",$B$12),COUNTA(KP15:KP17)*CELL("contenu",$B$14),COUNTA(KP19:KP19)*CELL("contenu",$B$18))=0,1,SUM(COUNTA(KP5:KP6)*CELL("contenu",$B$4),COUNTA(KP8:KP11)*CELL("contenu",$B$7),COUNTA(KP13:KP13)*CELL("contenu",$B$12),COUNTA(KP15:KP17)*CELL("contenu",$B$14),COUNTA(KP19:KP19)*CELL("contenu",$B$18))))</f>
        <v/>
      </c>
      <c r="KQ20" s="183" t="str">
        <f ca="1">IF(COUNTA(KQ5:KQ19)=0,"",5*SUM(IFERROR((((COUNTIF(KQ5:KQ6,"A"))*4)+((COUNTIF(KQ5:KQ6,"B"))*3)+((COUNTIF(KQ5:KQ6,"C"))*2)+((COUNTIF(KQ5:KQ6,"D"))*1))*CELL("contenu",$B$4),0),IFERROR((((COUNTIF(KQ8:KQ11,"A"))*4)+((COUNTIF(KQ8:KQ11,"B"))*3)+((COUNTIF(KQ8:KQ11,"C"))*2)+((COUNTIF(KQ8:KQ11,"D"))*1))*CELL("contenu",$B$7),0),IFERROR((((COUNTIF(KQ13:KQ13,"A"))*4)+((COUNTIF(KQ13:KQ13,"B"))*3)+((COUNTIF(KQ13:KQ13,"C"))*2)+((COUNTIF(KQ13:KQ13,"D"))*1))*CELL("contenu",$B$12),0),IFERROR((((COUNTIF(KQ15:KQ17,"A"))*4)+((COUNTIF(KQ15:KQ17,"B"))*3)+((COUNTIF(KQ15:KQ17,"C"))*2)+((COUNTIF(KQ15:KQ17,"D"))*1))*CELL("contenu",$B$14),0),IFERROR((((COUNTIF(KQ19:KQ19,"A"))*4)+((COUNTIF(KQ19:KQ19,"B"))*3)+((COUNTIF(KQ19:KQ19,"C"))*2)+((COUNTIF(KQ19:KQ19,"D"))*1))*CELL("contenu",$B$18),0))/IF(SUM(COUNTA(KQ5:KQ6)*CELL("contenu",$B$4),COUNTA(KQ8:KQ11)*CELL("contenu",$B$7),COUNTA(KQ13:KQ13)*CELL("contenu",$B$12),COUNTA(KQ15:KQ17)*CELL("contenu",$B$14),COUNTA(KQ19:KQ19)*CELL("contenu",$B$18))=0,1,SUM(COUNTA(KQ5:KQ6)*CELL("contenu",$B$4),COUNTA(KQ8:KQ11)*CELL("contenu",$B$7),COUNTA(KQ13:KQ13)*CELL("contenu",$B$12),COUNTA(KQ15:KQ17)*CELL("contenu",$B$14),COUNTA(KQ19:KQ19)*CELL("contenu",$B$18))))</f>
        <v/>
      </c>
      <c r="KR20" s="184" t="str">
        <f ca="1">IF(COUNTA(KR5:KR19)=0,"",5*SUM(IFERROR((((COUNTIF(KR5:KR6,"A"))*4)+((COUNTIF(KR5:KR6,"B"))*3)+((COUNTIF(KR5:KR6,"C"))*2)+((COUNTIF(KR5:KR6,"D"))*1))*CELL("contenu",$B$4),0),IFERROR((((COUNTIF(KR8:KR11,"A"))*4)+((COUNTIF(KR8:KR11,"B"))*3)+((COUNTIF(KR8:KR11,"C"))*2)+((COUNTIF(KR8:KR11,"D"))*1))*CELL("contenu",$B$7),0),IFERROR((((COUNTIF(KR13:KR13,"A"))*4)+((COUNTIF(KR13:KR13,"B"))*3)+((COUNTIF(KR13:KR13,"C"))*2)+((COUNTIF(KR13:KR13,"D"))*1))*CELL("contenu",$B$12),0),IFERROR((((COUNTIF(KR15:KR17,"A"))*4)+((COUNTIF(KR15:KR17,"B"))*3)+((COUNTIF(KR15:KR17,"C"))*2)+((COUNTIF(KR15:KR17,"D"))*1))*CELL("contenu",$B$14),0),IFERROR((((COUNTIF(KR19:KR19,"A"))*4)+((COUNTIF(KR19:KR19,"B"))*3)+((COUNTIF(KR19:KR19,"C"))*2)+((COUNTIF(KR19:KR19,"D"))*1))*CELL("contenu",$B$18),0))/IF(SUM(COUNTA(KR5:KR6)*CELL("contenu",$B$4),COUNTA(KR8:KR11)*CELL("contenu",$B$7),COUNTA(KR13:KR13)*CELL("contenu",$B$12),COUNTA(KR15:KR17)*CELL("contenu",$B$14),COUNTA(KR19:KR19)*CELL("contenu",$B$18))=0,1,SUM(COUNTA(KR5:KR6)*CELL("contenu",$B$4),COUNTA(KR8:KR11)*CELL("contenu",$B$7),COUNTA(KR13:KR13)*CELL("contenu",$B$12),COUNTA(KR15:KR17)*CELL("contenu",$B$14),COUNTA(KR19:KR19)*CELL("contenu",$B$18))))</f>
        <v/>
      </c>
      <c r="KS20" s="176"/>
      <c r="KT20" s="174" t="str">
        <f ca="1">IF(COUNTA(KP20:KR20)-COUNTBLANK(KP20:KR20)=0,"",SUM(KP20:KR20)/(COUNTA(KP20:KR20)-COUNTBLANK(KP20:KR20)))</f>
        <v/>
      </c>
      <c r="KU20" s="103"/>
      <c r="KV20" s="141"/>
      <c r="KW20" s="167">
        <f ca="1">IF(COUNTA(KW5:KW19)=0,"",5*SUM(IFERROR((((COUNTIF(KW5:KW6,"A"))*4)+((COUNTIF(KW5:KW6,"B"))*3)+((COUNTIF(KW5:KW6,"C"))*2)+((COUNTIF(KW5:KW6,"D"))*1))*CELL("contenu",$B$4),0),IFERROR((((COUNTIF(KW8:KW11,"A"))*4)+((COUNTIF(KW8:KW11,"B"))*3)+((COUNTIF(KW8:KW11,"C"))*2)+((COUNTIF(KW8:KW11,"D"))*1))*CELL("contenu",$B$7),0),IFERROR((((COUNTIF(KW13:KW13,"A"))*4)+((COUNTIF(KW13:KW13,"B"))*3)+((COUNTIF(KW13:KW13,"C"))*2)+((COUNTIF(KW13:KW13,"D"))*1))*CELL("contenu",$B$12),0),IFERROR((((COUNTIF(KW15:KW17,"A"))*4)+((COUNTIF(KW15:KW17,"B"))*3)+((COUNTIF(KW15:KW17,"C"))*2)+((COUNTIF(KW15:KW17,"D"))*1))*CELL("contenu",$B$14),0),IFERROR((((COUNTIF(KW19:KW19,"A"))*4)+((COUNTIF(KW19:KW19,"B"))*3)+((COUNTIF(KW19:KW19,"C"))*2)+((COUNTIF(KW19:KW19,"D"))*1))*CELL("contenu",$B$18),0))/IF(SUM(COUNTA(KW5:KW6)*CELL("contenu",$B$4),COUNTA(KW8:KW11)*CELL("contenu",$B$7),COUNTA(KW13:KW13)*CELL("contenu",$B$12),COUNTA(KW15:KW17)*CELL("contenu",$B$14),COUNTA(KW19:KW19)*CELL("contenu",$B$18))=0,1,SUM(COUNTA(KW5:KW6)*CELL("contenu",$B$4),COUNTA(KW8:KW11)*CELL("contenu",$B$7),COUNTA(KW13:KW13)*CELL("contenu",$B$12),COUNTA(KW15:KW17)*CELL("contenu",$B$14),COUNTA(KW19:KW19)*CELL("contenu",$B$18))))</f>
        <v>13.333333333333334</v>
      </c>
      <c r="KX20" s="168">
        <f ca="1">IF(COUNTA(KX5:KX19)=0,"",5*SUM(IFERROR((((COUNTIF(KX5:KX6,"A"))*4)+((COUNTIF(KX5:KX6,"B"))*3)+((COUNTIF(KX5:KX6,"C"))*2)+((COUNTIF(KX5:KX6,"D"))*1))*CELL("contenu",$B$4),0),IFERROR((((COUNTIF(KX8:KX11,"A"))*4)+((COUNTIF(KX8:KX11,"B"))*3)+((COUNTIF(KX8:KX11,"C"))*2)+((COUNTIF(KX8:KX11,"D"))*1))*CELL("contenu",$B$7),0),IFERROR((((COUNTIF(KX13:KX13,"A"))*4)+((COUNTIF(KX13:KX13,"B"))*3)+((COUNTIF(KX13:KX13,"C"))*2)+((COUNTIF(KX13:KX13,"D"))*1))*CELL("contenu",$B$12),0),IFERROR((((COUNTIF(KX15:KX17,"A"))*4)+((COUNTIF(KX15:KX17,"B"))*3)+((COUNTIF(KX15:KX17,"C"))*2)+((COUNTIF(KX15:KX17,"D"))*1))*CELL("contenu",$B$14),0),IFERROR((((COUNTIF(KX19:KX19,"A"))*4)+((COUNTIF(KX19:KX19,"B"))*3)+((COUNTIF(KX19:KX19,"C"))*2)+((COUNTIF(KX19:KX19,"D"))*1))*CELL("contenu",$B$18),0))/IF(SUM(COUNTA(KX5:KX6)*CELL("contenu",$B$4),COUNTA(KX8:KX11)*CELL("contenu",$B$7),COUNTA(KX13:KX13)*CELL("contenu",$B$12),COUNTA(KX15:KX17)*CELL("contenu",$B$14),COUNTA(KX19:KX19)*CELL("contenu",$B$18))=0,1,SUM(COUNTA(KX5:KX6)*CELL("contenu",$B$4),COUNTA(KX8:KX11)*CELL("contenu",$B$7),COUNTA(KX13:KX13)*CELL("contenu",$B$12),COUNTA(KX15:KX17)*CELL("contenu",$B$14),COUNTA(KX19:KX19)*CELL("contenu",$B$18))))</f>
        <v>11.666666666666666</v>
      </c>
      <c r="KY20" s="169" t="str">
        <f ca="1">IF(COUNTA(KY5:KY19)=0,"",5*SUM(IFERROR((((COUNTIF(KY5:KY6,"A"))*4)+((COUNTIF(KY5:KY6,"B"))*3)+((COUNTIF(KY5:KY6,"C"))*2)+((COUNTIF(KY5:KY6,"D"))*1))*CELL("contenu",$B$4),0),IFERROR((((COUNTIF(KY8:KY11,"A"))*4)+((COUNTIF(KY8:KY11,"B"))*3)+((COUNTIF(KY8:KY11,"C"))*2)+((COUNTIF(KY8:KY11,"D"))*1))*CELL("contenu",$B$7),0),IFERROR((((COUNTIF(KY13:KY13,"A"))*4)+((COUNTIF(KY13:KY13,"B"))*3)+((COUNTIF(KY13:KY13,"C"))*2)+((COUNTIF(KY13:KY13,"D"))*1))*CELL("contenu",$B$12),0),IFERROR((((COUNTIF(KY15:KY17,"A"))*4)+((COUNTIF(KY15:KY17,"B"))*3)+((COUNTIF(KY15:KY17,"C"))*2)+((COUNTIF(KY15:KY17,"D"))*1))*CELL("contenu",$B$14),0),IFERROR((((COUNTIF(KY19:KY19,"A"))*4)+((COUNTIF(KY19:KY19,"B"))*3)+((COUNTIF(KY19:KY19,"C"))*2)+((COUNTIF(KY19:KY19,"D"))*1))*CELL("contenu",$B$18),0))/IF(SUM(COUNTA(KY5:KY6)*CELL("contenu",$B$4),COUNTA(KY8:KY11)*CELL("contenu",$B$7),COUNTA(KY13:KY13)*CELL("contenu",$B$12),COUNTA(KY15:KY17)*CELL("contenu",$B$14),COUNTA(KY19:KY19)*CELL("contenu",$B$18))=0,1,SUM(COUNTA(KY5:KY6)*CELL("contenu",$B$4),COUNTA(KY8:KY11)*CELL("contenu",$B$7),COUNTA(KY13:KY13)*CELL("contenu",$B$12),COUNTA(KY15:KY17)*CELL("contenu",$B$14),COUNTA(KY19:KY19)*CELL("contenu",$B$18))))</f>
        <v/>
      </c>
      <c r="KZ20" s="116"/>
      <c r="LA20" s="192">
        <f ca="1">IF(COUNTA(KW20:KY20)-COUNTBLANK(KW20:KY20)=0,"",SUM(KW20:KY20)/(COUNTA(KW20:KY20)-COUNTBLANK(KW20:KY20)))</f>
        <v>12.5</v>
      </c>
      <c r="LB20" s="182" t="str">
        <f ca="1">IF(COUNTA(LB5:LB19)=0,"",5*SUM(IFERROR((((COUNTIF(LB5:LB6,"A"))*4)+((COUNTIF(LB5:LB6,"B"))*3)+((COUNTIF(LB5:LB6,"C"))*2)+((COUNTIF(LB5:LB6,"D"))*1))*CELL("contenu",$B$4),0),IFERROR((((COUNTIF(LB8:LB11,"A"))*4)+((COUNTIF(LB8:LB11,"B"))*3)+((COUNTIF(LB8:LB11,"C"))*2)+((COUNTIF(LB8:LB11,"D"))*1))*CELL("contenu",$B$7),0),IFERROR((((COUNTIF(LB13:LB13,"A"))*4)+((COUNTIF(LB13:LB13,"B"))*3)+((COUNTIF(LB13:LB13,"C"))*2)+((COUNTIF(LB13:LB13,"D"))*1))*CELL("contenu",$B$12),0),IFERROR((((COUNTIF(LB15:LB17,"A"))*4)+((COUNTIF(LB15:LB17,"B"))*3)+((COUNTIF(LB15:LB17,"C"))*2)+((COUNTIF(LB15:LB17,"D"))*1))*CELL("contenu",$B$14),0),IFERROR((((COUNTIF(LB19:LB19,"A"))*4)+((COUNTIF(LB19:LB19,"B"))*3)+((COUNTIF(LB19:LB19,"C"))*2)+((COUNTIF(LB19:LB19,"D"))*1))*CELL("contenu",$B$18),0))/IF(SUM(COUNTA(LB5:LB6)*CELL("contenu",$B$4),COUNTA(LB8:LB11)*CELL("contenu",$B$7),COUNTA(LB13:LB13)*CELL("contenu",$B$12),COUNTA(LB15:LB17)*CELL("contenu",$B$14),COUNTA(LB19:LB19)*CELL("contenu",$B$18))=0,1,SUM(COUNTA(LB5:LB6)*CELL("contenu",$B$4),COUNTA(LB8:LB11)*CELL("contenu",$B$7),COUNTA(LB13:LB13)*CELL("contenu",$B$12),COUNTA(LB15:LB17)*CELL("contenu",$B$14),COUNTA(LB19:LB19)*CELL("contenu",$B$18))))</f>
        <v/>
      </c>
      <c r="LC20" s="183" t="str">
        <f ca="1">IF(COUNTA(LC5:LC19)=0,"",5*SUM(IFERROR((((COUNTIF(LC5:LC6,"A"))*4)+((COUNTIF(LC5:LC6,"B"))*3)+((COUNTIF(LC5:LC6,"C"))*2)+((COUNTIF(LC5:LC6,"D"))*1))*CELL("contenu",$B$4),0),IFERROR((((COUNTIF(LC8:LC11,"A"))*4)+((COUNTIF(LC8:LC11,"B"))*3)+((COUNTIF(LC8:LC11,"C"))*2)+((COUNTIF(LC8:LC11,"D"))*1))*CELL("contenu",$B$7),0),IFERROR((((COUNTIF(LC13:LC13,"A"))*4)+((COUNTIF(LC13:LC13,"B"))*3)+((COUNTIF(LC13:LC13,"C"))*2)+((COUNTIF(LC13:LC13,"D"))*1))*CELL("contenu",$B$12),0),IFERROR((((COUNTIF(LC15:LC17,"A"))*4)+((COUNTIF(LC15:LC17,"B"))*3)+((COUNTIF(LC15:LC17,"C"))*2)+((COUNTIF(LC15:LC17,"D"))*1))*CELL("contenu",$B$14),0),IFERROR((((COUNTIF(LC19:LC19,"A"))*4)+((COUNTIF(LC19:LC19,"B"))*3)+((COUNTIF(LC19:LC19,"C"))*2)+((COUNTIF(LC19:LC19,"D"))*1))*CELL("contenu",$B$18),0))/IF(SUM(COUNTA(LC5:LC6)*CELL("contenu",$B$4),COUNTA(LC8:LC11)*CELL("contenu",$B$7),COUNTA(LC13:LC13)*CELL("contenu",$B$12),COUNTA(LC15:LC17)*CELL("contenu",$B$14),COUNTA(LC19:LC19)*CELL("contenu",$B$18))=0,1,SUM(COUNTA(LC5:LC6)*CELL("contenu",$B$4),COUNTA(LC8:LC11)*CELL("contenu",$B$7),COUNTA(LC13:LC13)*CELL("contenu",$B$12),COUNTA(LC15:LC17)*CELL("contenu",$B$14),COUNTA(LC19:LC19)*CELL("contenu",$B$18))))</f>
        <v/>
      </c>
      <c r="LD20" s="184" t="str">
        <f ca="1">IF(COUNTA(LD5:LD19)=0,"",5*SUM(IFERROR((((COUNTIF(LD5:LD6,"A"))*4)+((COUNTIF(LD5:LD6,"B"))*3)+((COUNTIF(LD5:LD6,"C"))*2)+((COUNTIF(LD5:LD6,"D"))*1))*CELL("contenu",$B$4),0),IFERROR((((COUNTIF(LD8:LD11,"A"))*4)+((COUNTIF(LD8:LD11,"B"))*3)+((COUNTIF(LD8:LD11,"C"))*2)+((COUNTIF(LD8:LD11,"D"))*1))*CELL("contenu",$B$7),0),IFERROR((((COUNTIF(LD13:LD13,"A"))*4)+((COUNTIF(LD13:LD13,"B"))*3)+((COUNTIF(LD13:LD13,"C"))*2)+((COUNTIF(LD13:LD13,"D"))*1))*CELL("contenu",$B$12),0),IFERROR((((COUNTIF(LD15:LD17,"A"))*4)+((COUNTIF(LD15:LD17,"B"))*3)+((COUNTIF(LD15:LD17,"C"))*2)+((COUNTIF(LD15:LD17,"D"))*1))*CELL("contenu",$B$14),0),IFERROR((((COUNTIF(LD19:LD19,"A"))*4)+((COUNTIF(LD19:LD19,"B"))*3)+((COUNTIF(LD19:LD19,"C"))*2)+((COUNTIF(LD19:LD19,"D"))*1))*CELL("contenu",$B$18),0))/IF(SUM(COUNTA(LD5:LD6)*CELL("contenu",$B$4),COUNTA(LD8:LD11)*CELL("contenu",$B$7),COUNTA(LD13:LD13)*CELL("contenu",$B$12),COUNTA(LD15:LD17)*CELL("contenu",$B$14),COUNTA(LD19:LD19)*CELL("contenu",$B$18))=0,1,SUM(COUNTA(LD5:LD6)*CELL("contenu",$B$4),COUNTA(LD8:LD11)*CELL("contenu",$B$7),COUNTA(LD13:LD13)*CELL("contenu",$B$12),COUNTA(LD15:LD17)*CELL("contenu",$B$14),COUNTA(LD19:LD19)*CELL("contenu",$B$18))))</f>
        <v/>
      </c>
      <c r="LE20" s="176"/>
      <c r="LF20" s="175" t="str">
        <f ca="1">IF(COUNTA(LB20:LD20)-COUNTBLANK(LB20:LD20)=0,"",SUM(LB20:LD20)/(COUNTA(LB20:LD20)-COUNTBLANK(LB20:LD20)))</f>
        <v/>
      </c>
      <c r="LG20" s="182" t="str">
        <f ca="1">IF(COUNTA(LG5:LG19)=0,"",5*SUM(IFERROR((((COUNTIF(LG5:LG6,"A"))*4)+((COUNTIF(LG5:LG6,"B"))*3)+((COUNTIF(LG5:LG6,"C"))*2)+((COUNTIF(LG5:LG6,"D"))*1))*CELL("contenu",$B$4),0),IFERROR((((COUNTIF(LG8:LG11,"A"))*4)+((COUNTIF(LG8:LG11,"B"))*3)+((COUNTIF(LG8:LG11,"C"))*2)+((COUNTIF(LG8:LG11,"D"))*1))*CELL("contenu",$B$7),0),IFERROR((((COUNTIF(LG13:LG13,"A"))*4)+((COUNTIF(LG13:LG13,"B"))*3)+((COUNTIF(LG13:LG13,"C"))*2)+((COUNTIF(LG13:LG13,"D"))*1))*CELL("contenu",$B$12),0),IFERROR((((COUNTIF(LG15:LG17,"A"))*4)+((COUNTIF(LG15:LG17,"B"))*3)+((COUNTIF(LG15:LG17,"C"))*2)+((COUNTIF(LG15:LG17,"D"))*1))*CELL("contenu",$B$14),0),IFERROR((((COUNTIF(LG19:LG19,"A"))*4)+((COUNTIF(LG19:LG19,"B"))*3)+((COUNTIF(LG19:LG19,"C"))*2)+((COUNTIF(LG19:LG19,"D"))*1))*CELL("contenu",$B$18),0))/IF(SUM(COUNTA(LG5:LG6)*CELL("contenu",$B$4),COUNTA(LG8:LG11)*CELL("contenu",$B$7),COUNTA(LG13:LG13)*CELL("contenu",$B$12),COUNTA(LG15:LG17)*CELL("contenu",$B$14),COUNTA(LG19:LG19)*CELL("contenu",$B$18))=0,1,SUM(COUNTA(LG5:LG6)*CELL("contenu",$B$4),COUNTA(LG8:LG11)*CELL("contenu",$B$7),COUNTA(LG13:LG13)*CELL("contenu",$B$12),COUNTA(LG15:LG17)*CELL("contenu",$B$14),COUNTA(LG19:LG19)*CELL("contenu",$B$18))))</f>
        <v/>
      </c>
      <c r="LH20" s="183" t="str">
        <f ca="1">IF(COUNTA(LH5:LH19)=0,"",5*SUM(IFERROR((((COUNTIF(LH5:LH6,"A"))*4)+((COUNTIF(LH5:LH6,"B"))*3)+((COUNTIF(LH5:LH6,"C"))*2)+((COUNTIF(LH5:LH6,"D"))*1))*CELL("contenu",$B$4),0),IFERROR((((COUNTIF(LH8:LH11,"A"))*4)+((COUNTIF(LH8:LH11,"B"))*3)+((COUNTIF(LH8:LH11,"C"))*2)+((COUNTIF(LH8:LH11,"D"))*1))*CELL("contenu",$B$7),0),IFERROR((((COUNTIF(LH13:LH13,"A"))*4)+((COUNTIF(LH13:LH13,"B"))*3)+((COUNTIF(LH13:LH13,"C"))*2)+((COUNTIF(LH13:LH13,"D"))*1))*CELL("contenu",$B$12),0),IFERROR((((COUNTIF(LH15:LH17,"A"))*4)+((COUNTIF(LH15:LH17,"B"))*3)+((COUNTIF(LH15:LH17,"C"))*2)+((COUNTIF(LH15:LH17,"D"))*1))*CELL("contenu",$B$14),0),IFERROR((((COUNTIF(LH19:LH19,"A"))*4)+((COUNTIF(LH19:LH19,"B"))*3)+((COUNTIF(LH19:LH19,"C"))*2)+((COUNTIF(LH19:LH19,"D"))*1))*CELL("contenu",$B$18),0))/IF(SUM(COUNTA(LH5:LH6)*CELL("contenu",$B$4),COUNTA(LH8:LH11)*CELL("contenu",$B$7),COUNTA(LH13:LH13)*CELL("contenu",$B$12),COUNTA(LH15:LH17)*CELL("contenu",$B$14),COUNTA(LH19:LH19)*CELL("contenu",$B$18))=0,1,SUM(COUNTA(LH5:LH6)*CELL("contenu",$B$4),COUNTA(LH8:LH11)*CELL("contenu",$B$7),COUNTA(LH13:LH13)*CELL("contenu",$B$12),COUNTA(LH15:LH17)*CELL("contenu",$B$14),COUNTA(LH19:LH19)*CELL("contenu",$B$18))))</f>
        <v/>
      </c>
      <c r="LI20" s="184" t="str">
        <f ca="1">IF(COUNTA(LI5:LI19)=0,"",5*SUM(IFERROR((((COUNTIF(LI5:LI6,"A"))*4)+((COUNTIF(LI5:LI6,"B"))*3)+((COUNTIF(LI5:LI6,"C"))*2)+((COUNTIF(LI5:LI6,"D"))*1))*CELL("contenu",$B$4),0),IFERROR((((COUNTIF(LI8:LI11,"A"))*4)+((COUNTIF(LI8:LI11,"B"))*3)+((COUNTIF(LI8:LI11,"C"))*2)+((COUNTIF(LI8:LI11,"D"))*1))*CELL("contenu",$B$7),0),IFERROR((((COUNTIF(LI13:LI13,"A"))*4)+((COUNTIF(LI13:LI13,"B"))*3)+((COUNTIF(LI13:LI13,"C"))*2)+((COUNTIF(LI13:LI13,"D"))*1))*CELL("contenu",$B$12),0),IFERROR((((COUNTIF(LI15:LI17,"A"))*4)+((COUNTIF(LI15:LI17,"B"))*3)+((COUNTIF(LI15:LI17,"C"))*2)+((COUNTIF(LI15:LI17,"D"))*1))*CELL("contenu",$B$14),0),IFERROR((((COUNTIF(LI19:LI19,"A"))*4)+((COUNTIF(LI19:LI19,"B"))*3)+((COUNTIF(LI19:LI19,"C"))*2)+((COUNTIF(LI19:LI19,"D"))*1))*CELL("contenu",$B$18),0))/IF(SUM(COUNTA(LI5:LI6)*CELL("contenu",$B$4),COUNTA(LI8:LI11)*CELL("contenu",$B$7),COUNTA(LI13:LI13)*CELL("contenu",$B$12),COUNTA(LI15:LI17)*CELL("contenu",$B$14),COUNTA(LI19:LI19)*CELL("contenu",$B$18))=0,1,SUM(COUNTA(LI5:LI6)*CELL("contenu",$B$4),COUNTA(LI8:LI11)*CELL("contenu",$B$7),COUNTA(LI13:LI13)*CELL("contenu",$B$12),COUNTA(LI15:LI17)*CELL("contenu",$B$14),COUNTA(LI19:LI19)*CELL("contenu",$B$18))))</f>
        <v/>
      </c>
      <c r="LJ20" s="176"/>
      <c r="LK20" s="174" t="str">
        <f ca="1">IF(COUNTA(LG20:LI20)-COUNTBLANK(LG20:LI20)=0,"",SUM(LG20:LI20)/(COUNTA(LG20:LI20)-COUNTBLANK(LG20:LI20)))</f>
        <v/>
      </c>
      <c r="LL20" s="103"/>
      <c r="LM20" s="141"/>
      <c r="LN20" s="167">
        <f ca="1">IF(COUNTA(LN5:LN19)=0,"",5*SUM(IFERROR((((COUNTIF(LN5:LN6,"A"))*4)+((COUNTIF(LN5:LN6,"B"))*3)+((COUNTIF(LN5:LN6,"C"))*2)+((COUNTIF(LN5:LN6,"D"))*1))*CELL("contenu",$B$4),0),IFERROR((((COUNTIF(LN8:LN11,"A"))*4)+((COUNTIF(LN8:LN11,"B"))*3)+((COUNTIF(LN8:LN11,"C"))*2)+((COUNTIF(LN8:LN11,"D"))*1))*CELL("contenu",$B$7),0),IFERROR((((COUNTIF(LN13:LN13,"A"))*4)+((COUNTIF(LN13:LN13,"B"))*3)+((COUNTIF(LN13:LN13,"C"))*2)+((COUNTIF(LN13:LN13,"D"))*1))*CELL("contenu",$B$12),0),IFERROR((((COUNTIF(LN15:LN17,"A"))*4)+((COUNTIF(LN15:LN17,"B"))*3)+((COUNTIF(LN15:LN17,"C"))*2)+((COUNTIF(LN15:LN17,"D"))*1))*CELL("contenu",$B$14),0),IFERROR((((COUNTIF(LN19:LN19,"A"))*4)+((COUNTIF(LN19:LN19,"B"))*3)+((COUNTIF(LN19:LN19,"C"))*2)+((COUNTIF(LN19:LN19,"D"))*1))*CELL("contenu",$B$18),0))/IF(SUM(COUNTA(LN5:LN6)*CELL("contenu",$B$4),COUNTA(LN8:LN11)*CELL("contenu",$B$7),COUNTA(LN13:LN13)*CELL("contenu",$B$12),COUNTA(LN15:LN17)*CELL("contenu",$B$14),COUNTA(LN19:LN19)*CELL("contenu",$B$18))=0,1,SUM(COUNTA(LN5:LN6)*CELL("contenu",$B$4),COUNTA(LN8:LN11)*CELL("contenu",$B$7),COUNTA(LN13:LN13)*CELL("contenu",$B$12),COUNTA(LN15:LN17)*CELL("contenu",$B$14),COUNTA(LN19:LN19)*CELL("contenu",$B$18))))</f>
        <v>20</v>
      </c>
      <c r="LO20" s="168">
        <f ca="1">IF(COUNTA(LO5:LO19)=0,"",5*SUM(IFERROR((((COUNTIF(LO5:LO6,"A"))*4)+((COUNTIF(LO5:LO6,"B"))*3)+((COUNTIF(LO5:LO6,"C"))*2)+((COUNTIF(LO5:LO6,"D"))*1))*CELL("contenu",$B$4),0),IFERROR((((COUNTIF(LO8:LO11,"A"))*4)+((COUNTIF(LO8:LO11,"B"))*3)+((COUNTIF(LO8:LO11,"C"))*2)+((COUNTIF(LO8:LO11,"D"))*1))*CELL("contenu",$B$7),0),IFERROR((((COUNTIF(LO13:LO13,"A"))*4)+((COUNTIF(LO13:LO13,"B"))*3)+((COUNTIF(LO13:LO13,"C"))*2)+((COUNTIF(LO13:LO13,"D"))*1))*CELL("contenu",$B$12),0),IFERROR((((COUNTIF(LO15:LO17,"A"))*4)+((COUNTIF(LO15:LO17,"B"))*3)+((COUNTIF(LO15:LO17,"C"))*2)+((COUNTIF(LO15:LO17,"D"))*1))*CELL("contenu",$B$14),0),IFERROR((((COUNTIF(LO19:LO19,"A"))*4)+((COUNTIF(LO19:LO19,"B"))*3)+((COUNTIF(LO19:LO19,"C"))*2)+((COUNTIF(LO19:LO19,"D"))*1))*CELL("contenu",$B$18),0))/IF(SUM(COUNTA(LO5:LO6)*CELL("contenu",$B$4),COUNTA(LO8:LO11)*CELL("contenu",$B$7),COUNTA(LO13:LO13)*CELL("contenu",$B$12),COUNTA(LO15:LO17)*CELL("contenu",$B$14),COUNTA(LO19:LO19)*CELL("contenu",$B$18))=0,1,SUM(COUNTA(LO5:LO6)*CELL("contenu",$B$4),COUNTA(LO8:LO11)*CELL("contenu",$B$7),COUNTA(LO13:LO13)*CELL("contenu",$B$12),COUNTA(LO15:LO17)*CELL("contenu",$B$14),COUNTA(LO19:LO19)*CELL("contenu",$B$18))))</f>
        <v>13.333333333333334</v>
      </c>
      <c r="LP20" s="169" t="str">
        <f ca="1">IF(COUNTA(LP5:LP19)=0,"",5*SUM(IFERROR((((COUNTIF(LP5:LP6,"A"))*4)+((COUNTIF(LP5:LP6,"B"))*3)+((COUNTIF(LP5:LP6,"C"))*2)+((COUNTIF(LP5:LP6,"D"))*1))*CELL("contenu",$B$4),0),IFERROR((((COUNTIF(LP8:LP11,"A"))*4)+((COUNTIF(LP8:LP11,"B"))*3)+((COUNTIF(LP8:LP11,"C"))*2)+((COUNTIF(LP8:LP11,"D"))*1))*CELL("contenu",$B$7),0),IFERROR((((COUNTIF(LP13:LP13,"A"))*4)+((COUNTIF(LP13:LP13,"B"))*3)+((COUNTIF(LP13:LP13,"C"))*2)+((COUNTIF(LP13:LP13,"D"))*1))*CELL("contenu",$B$12),0),IFERROR((((COUNTIF(LP15:LP17,"A"))*4)+((COUNTIF(LP15:LP17,"B"))*3)+((COUNTIF(LP15:LP17,"C"))*2)+((COUNTIF(LP15:LP17,"D"))*1))*CELL("contenu",$B$14),0),IFERROR((((COUNTIF(LP19:LP19,"A"))*4)+((COUNTIF(LP19:LP19,"B"))*3)+((COUNTIF(LP19:LP19,"C"))*2)+((COUNTIF(LP19:LP19,"D"))*1))*CELL("contenu",$B$18),0))/IF(SUM(COUNTA(LP5:LP6)*CELL("contenu",$B$4),COUNTA(LP8:LP11)*CELL("contenu",$B$7),COUNTA(LP13:LP13)*CELL("contenu",$B$12),COUNTA(LP15:LP17)*CELL("contenu",$B$14),COUNTA(LP19:LP19)*CELL("contenu",$B$18))=0,1,SUM(COUNTA(LP5:LP6)*CELL("contenu",$B$4),COUNTA(LP8:LP11)*CELL("contenu",$B$7),COUNTA(LP13:LP13)*CELL("contenu",$B$12),COUNTA(LP15:LP17)*CELL("contenu",$B$14),COUNTA(LP19:LP19)*CELL("contenu",$B$18))))</f>
        <v/>
      </c>
      <c r="LQ20" s="116"/>
      <c r="LR20" s="192">
        <f ca="1">IF(COUNTA(LN20:LP20)-COUNTBLANK(LN20:LP20)=0,"",SUM(LN20:LP20)/(COUNTA(LN20:LP20)-COUNTBLANK(LN20:LP20)))</f>
        <v>16.666666666666668</v>
      </c>
      <c r="LS20" s="182" t="str">
        <f ca="1">IF(COUNTA(LS5:LS19)=0,"",5*SUM(IFERROR((((COUNTIF(LS5:LS6,"A"))*4)+((COUNTIF(LS5:LS6,"B"))*3)+((COUNTIF(LS5:LS6,"C"))*2)+((COUNTIF(LS5:LS6,"D"))*1))*CELL("contenu",$B$4),0),IFERROR((((COUNTIF(LS8:LS11,"A"))*4)+((COUNTIF(LS8:LS11,"B"))*3)+((COUNTIF(LS8:LS11,"C"))*2)+((COUNTIF(LS8:LS11,"D"))*1))*CELL("contenu",$B$7),0),IFERROR((((COUNTIF(LS13:LS13,"A"))*4)+((COUNTIF(LS13:LS13,"B"))*3)+((COUNTIF(LS13:LS13,"C"))*2)+((COUNTIF(LS13:LS13,"D"))*1))*CELL("contenu",$B$12),0),IFERROR((((COUNTIF(LS15:LS17,"A"))*4)+((COUNTIF(LS15:LS17,"B"))*3)+((COUNTIF(LS15:LS17,"C"))*2)+((COUNTIF(LS15:LS17,"D"))*1))*CELL("contenu",$B$14),0),IFERROR((((COUNTIF(LS19:LS19,"A"))*4)+((COUNTIF(LS19:LS19,"B"))*3)+((COUNTIF(LS19:LS19,"C"))*2)+((COUNTIF(LS19:LS19,"D"))*1))*CELL("contenu",$B$18),0))/IF(SUM(COUNTA(LS5:LS6)*CELL("contenu",$B$4),COUNTA(LS8:LS11)*CELL("contenu",$B$7),COUNTA(LS13:LS13)*CELL("contenu",$B$12),COUNTA(LS15:LS17)*CELL("contenu",$B$14),COUNTA(LS19:LS19)*CELL("contenu",$B$18))=0,1,SUM(COUNTA(LS5:LS6)*CELL("contenu",$B$4),COUNTA(LS8:LS11)*CELL("contenu",$B$7),COUNTA(LS13:LS13)*CELL("contenu",$B$12),COUNTA(LS15:LS17)*CELL("contenu",$B$14),COUNTA(LS19:LS19)*CELL("contenu",$B$18))))</f>
        <v/>
      </c>
      <c r="LT20" s="183" t="str">
        <f ca="1">IF(COUNTA(LT5:LT19)=0,"",5*SUM(IFERROR((((COUNTIF(LT5:LT6,"A"))*4)+((COUNTIF(LT5:LT6,"B"))*3)+((COUNTIF(LT5:LT6,"C"))*2)+((COUNTIF(LT5:LT6,"D"))*1))*CELL("contenu",$B$4),0),IFERROR((((COUNTIF(LT8:LT11,"A"))*4)+((COUNTIF(LT8:LT11,"B"))*3)+((COUNTIF(LT8:LT11,"C"))*2)+((COUNTIF(LT8:LT11,"D"))*1))*CELL("contenu",$B$7),0),IFERROR((((COUNTIF(LT13:LT13,"A"))*4)+((COUNTIF(LT13:LT13,"B"))*3)+((COUNTIF(LT13:LT13,"C"))*2)+((COUNTIF(LT13:LT13,"D"))*1))*CELL("contenu",$B$12),0),IFERROR((((COUNTIF(LT15:LT17,"A"))*4)+((COUNTIF(LT15:LT17,"B"))*3)+((COUNTIF(LT15:LT17,"C"))*2)+((COUNTIF(LT15:LT17,"D"))*1))*CELL("contenu",$B$14),0),IFERROR((((COUNTIF(LT19:LT19,"A"))*4)+((COUNTIF(LT19:LT19,"B"))*3)+((COUNTIF(LT19:LT19,"C"))*2)+((COUNTIF(LT19:LT19,"D"))*1))*CELL("contenu",$B$18),0))/IF(SUM(COUNTA(LT5:LT6)*CELL("contenu",$B$4),COUNTA(LT8:LT11)*CELL("contenu",$B$7),COUNTA(LT13:LT13)*CELL("contenu",$B$12),COUNTA(LT15:LT17)*CELL("contenu",$B$14),COUNTA(LT19:LT19)*CELL("contenu",$B$18))=0,1,SUM(COUNTA(LT5:LT6)*CELL("contenu",$B$4),COUNTA(LT8:LT11)*CELL("contenu",$B$7),COUNTA(LT13:LT13)*CELL("contenu",$B$12),COUNTA(LT15:LT17)*CELL("contenu",$B$14),COUNTA(LT19:LT19)*CELL("contenu",$B$18))))</f>
        <v/>
      </c>
      <c r="LU20" s="184" t="str">
        <f ca="1">IF(COUNTA(LU5:LU19)=0,"",5*SUM(IFERROR((((COUNTIF(LU5:LU6,"A"))*4)+((COUNTIF(LU5:LU6,"B"))*3)+((COUNTIF(LU5:LU6,"C"))*2)+((COUNTIF(LU5:LU6,"D"))*1))*CELL("contenu",$B$4),0),IFERROR((((COUNTIF(LU8:LU11,"A"))*4)+((COUNTIF(LU8:LU11,"B"))*3)+((COUNTIF(LU8:LU11,"C"))*2)+((COUNTIF(LU8:LU11,"D"))*1))*CELL("contenu",$B$7),0),IFERROR((((COUNTIF(LU13:LU13,"A"))*4)+((COUNTIF(LU13:LU13,"B"))*3)+((COUNTIF(LU13:LU13,"C"))*2)+((COUNTIF(LU13:LU13,"D"))*1))*CELL("contenu",$B$12),0),IFERROR((((COUNTIF(LU15:LU17,"A"))*4)+((COUNTIF(LU15:LU17,"B"))*3)+((COUNTIF(LU15:LU17,"C"))*2)+((COUNTIF(LU15:LU17,"D"))*1))*CELL("contenu",$B$14),0),IFERROR((((COUNTIF(LU19:LU19,"A"))*4)+((COUNTIF(LU19:LU19,"B"))*3)+((COUNTIF(LU19:LU19,"C"))*2)+((COUNTIF(LU19:LU19,"D"))*1))*CELL("contenu",$B$18),0))/IF(SUM(COUNTA(LU5:LU6)*CELL("contenu",$B$4),COUNTA(LU8:LU11)*CELL("contenu",$B$7),COUNTA(LU13:LU13)*CELL("contenu",$B$12),COUNTA(LU15:LU17)*CELL("contenu",$B$14),COUNTA(LU19:LU19)*CELL("contenu",$B$18))=0,1,SUM(COUNTA(LU5:LU6)*CELL("contenu",$B$4),COUNTA(LU8:LU11)*CELL("contenu",$B$7),COUNTA(LU13:LU13)*CELL("contenu",$B$12),COUNTA(LU15:LU17)*CELL("contenu",$B$14),COUNTA(LU19:LU19)*CELL("contenu",$B$18))))</f>
        <v/>
      </c>
      <c r="LV20" s="176"/>
      <c r="LW20" s="175" t="str">
        <f ca="1">IF(COUNTA(LS20:LU20)-COUNTBLANK(LS20:LU20)=0,"",SUM(LS20:LU20)/(COUNTA(LS20:LU20)-COUNTBLANK(LS20:LU20)))</f>
        <v/>
      </c>
      <c r="LX20" s="182" t="str">
        <f ca="1">IF(COUNTA(LX5:LX19)=0,"",5*SUM(IFERROR((((COUNTIF(LX5:LX6,"A"))*4)+((COUNTIF(LX5:LX6,"B"))*3)+((COUNTIF(LX5:LX6,"C"))*2)+((COUNTIF(LX5:LX6,"D"))*1))*CELL("contenu",$B$4),0),IFERROR((((COUNTIF(LX8:LX11,"A"))*4)+((COUNTIF(LX8:LX11,"B"))*3)+((COUNTIF(LX8:LX11,"C"))*2)+((COUNTIF(LX8:LX11,"D"))*1))*CELL("contenu",$B$7),0),IFERROR((((COUNTIF(LX13:LX13,"A"))*4)+((COUNTIF(LX13:LX13,"B"))*3)+((COUNTIF(LX13:LX13,"C"))*2)+((COUNTIF(LX13:LX13,"D"))*1))*CELL("contenu",$B$12),0),IFERROR((((COUNTIF(LX15:LX17,"A"))*4)+((COUNTIF(LX15:LX17,"B"))*3)+((COUNTIF(LX15:LX17,"C"))*2)+((COUNTIF(LX15:LX17,"D"))*1))*CELL("contenu",$B$14),0),IFERROR((((COUNTIF(LX19:LX19,"A"))*4)+((COUNTIF(LX19:LX19,"B"))*3)+((COUNTIF(LX19:LX19,"C"))*2)+((COUNTIF(LX19:LX19,"D"))*1))*CELL("contenu",$B$18),0))/IF(SUM(COUNTA(LX5:LX6)*CELL("contenu",$B$4),COUNTA(LX8:LX11)*CELL("contenu",$B$7),COUNTA(LX13:LX13)*CELL("contenu",$B$12),COUNTA(LX15:LX17)*CELL("contenu",$B$14),COUNTA(LX19:LX19)*CELL("contenu",$B$18))=0,1,SUM(COUNTA(LX5:LX6)*CELL("contenu",$B$4),COUNTA(LX8:LX11)*CELL("contenu",$B$7),COUNTA(LX13:LX13)*CELL("contenu",$B$12),COUNTA(LX15:LX17)*CELL("contenu",$B$14),COUNTA(LX19:LX19)*CELL("contenu",$B$18))))</f>
        <v/>
      </c>
      <c r="LY20" s="183" t="str">
        <f ca="1">IF(COUNTA(LY5:LY19)=0,"",5*SUM(IFERROR((((COUNTIF(LY5:LY6,"A"))*4)+((COUNTIF(LY5:LY6,"B"))*3)+((COUNTIF(LY5:LY6,"C"))*2)+((COUNTIF(LY5:LY6,"D"))*1))*CELL("contenu",$B$4),0),IFERROR((((COUNTIF(LY8:LY11,"A"))*4)+((COUNTIF(LY8:LY11,"B"))*3)+((COUNTIF(LY8:LY11,"C"))*2)+((COUNTIF(LY8:LY11,"D"))*1))*CELL("contenu",$B$7),0),IFERROR((((COUNTIF(LY13:LY13,"A"))*4)+((COUNTIF(LY13:LY13,"B"))*3)+((COUNTIF(LY13:LY13,"C"))*2)+((COUNTIF(LY13:LY13,"D"))*1))*CELL("contenu",$B$12),0),IFERROR((((COUNTIF(LY15:LY17,"A"))*4)+((COUNTIF(LY15:LY17,"B"))*3)+((COUNTIF(LY15:LY17,"C"))*2)+((COUNTIF(LY15:LY17,"D"))*1))*CELL("contenu",$B$14),0),IFERROR((((COUNTIF(LY19:LY19,"A"))*4)+((COUNTIF(LY19:LY19,"B"))*3)+((COUNTIF(LY19:LY19,"C"))*2)+((COUNTIF(LY19:LY19,"D"))*1))*CELL("contenu",$B$18),0))/IF(SUM(COUNTA(LY5:LY6)*CELL("contenu",$B$4),COUNTA(LY8:LY11)*CELL("contenu",$B$7),COUNTA(LY13:LY13)*CELL("contenu",$B$12),COUNTA(LY15:LY17)*CELL("contenu",$B$14),COUNTA(LY19:LY19)*CELL("contenu",$B$18))=0,1,SUM(COUNTA(LY5:LY6)*CELL("contenu",$B$4),COUNTA(LY8:LY11)*CELL("contenu",$B$7),COUNTA(LY13:LY13)*CELL("contenu",$B$12),COUNTA(LY15:LY17)*CELL("contenu",$B$14),COUNTA(LY19:LY19)*CELL("contenu",$B$18))))</f>
        <v/>
      </c>
      <c r="LZ20" s="184" t="str">
        <f ca="1">IF(COUNTA(LZ5:LZ19)=0,"",5*SUM(IFERROR((((COUNTIF(LZ5:LZ6,"A"))*4)+((COUNTIF(LZ5:LZ6,"B"))*3)+((COUNTIF(LZ5:LZ6,"C"))*2)+((COUNTIF(LZ5:LZ6,"D"))*1))*CELL("contenu",$B$4),0),IFERROR((((COUNTIF(LZ8:LZ11,"A"))*4)+((COUNTIF(LZ8:LZ11,"B"))*3)+((COUNTIF(LZ8:LZ11,"C"))*2)+((COUNTIF(LZ8:LZ11,"D"))*1))*CELL("contenu",$B$7),0),IFERROR((((COUNTIF(LZ13:LZ13,"A"))*4)+((COUNTIF(LZ13:LZ13,"B"))*3)+((COUNTIF(LZ13:LZ13,"C"))*2)+((COUNTIF(LZ13:LZ13,"D"))*1))*CELL("contenu",$B$12),0),IFERROR((((COUNTIF(LZ15:LZ17,"A"))*4)+((COUNTIF(LZ15:LZ17,"B"))*3)+((COUNTIF(LZ15:LZ17,"C"))*2)+((COUNTIF(LZ15:LZ17,"D"))*1))*CELL("contenu",$B$14),0),IFERROR((((COUNTIF(LZ19:LZ19,"A"))*4)+((COUNTIF(LZ19:LZ19,"B"))*3)+((COUNTIF(LZ19:LZ19,"C"))*2)+((COUNTIF(LZ19:LZ19,"D"))*1))*CELL("contenu",$B$18),0))/IF(SUM(COUNTA(LZ5:LZ6)*CELL("contenu",$B$4),COUNTA(LZ8:LZ11)*CELL("contenu",$B$7),COUNTA(LZ13:LZ13)*CELL("contenu",$B$12),COUNTA(LZ15:LZ17)*CELL("contenu",$B$14),COUNTA(LZ19:LZ19)*CELL("contenu",$B$18))=0,1,SUM(COUNTA(LZ5:LZ6)*CELL("contenu",$B$4),COUNTA(LZ8:LZ11)*CELL("contenu",$B$7),COUNTA(LZ13:LZ13)*CELL("contenu",$B$12),COUNTA(LZ15:LZ17)*CELL("contenu",$B$14),COUNTA(LZ19:LZ19)*CELL("contenu",$B$18))))</f>
        <v/>
      </c>
      <c r="MA20" s="176"/>
      <c r="MB20" s="174" t="str">
        <f ca="1">IF(COUNTA(LX20:LZ20)-COUNTBLANK(LX20:LZ20)=0,"",SUM(LX20:LZ20)/(COUNTA(LX20:LZ20)-COUNTBLANK(LX20:LZ20)))</f>
        <v/>
      </c>
      <c r="MC20" s="103"/>
      <c r="MD20" s="141"/>
      <c r="ME20" s="167">
        <f ca="1">IF(COUNTA(ME5:ME19)=0,"",5*SUM(IFERROR((((COUNTIF(ME5:ME6,"A"))*4)+((COUNTIF(ME5:ME6,"B"))*3)+((COUNTIF(ME5:ME6,"C"))*2)+((COUNTIF(ME5:ME6,"D"))*1))*CELL("contenu",$B$4),0),IFERROR((((COUNTIF(ME8:ME11,"A"))*4)+((COUNTIF(ME8:ME11,"B"))*3)+((COUNTIF(ME8:ME11,"C"))*2)+((COUNTIF(ME8:ME11,"D"))*1))*CELL("contenu",$B$7),0),IFERROR((((COUNTIF(ME13:ME13,"A"))*4)+((COUNTIF(ME13:ME13,"B"))*3)+((COUNTIF(ME13:ME13,"C"))*2)+((COUNTIF(ME13:ME13,"D"))*1))*CELL("contenu",$B$12),0),IFERROR((((COUNTIF(ME15:ME17,"A"))*4)+((COUNTIF(ME15:ME17,"B"))*3)+((COUNTIF(ME15:ME17,"C"))*2)+((COUNTIF(ME15:ME17,"D"))*1))*CELL("contenu",$B$14),0),IFERROR((((COUNTIF(ME19:ME19,"A"))*4)+((COUNTIF(ME19:ME19,"B"))*3)+((COUNTIF(ME19:ME19,"C"))*2)+((COUNTIF(ME19:ME19,"D"))*1))*CELL("contenu",$B$18),0))/IF(SUM(COUNTA(ME5:ME6)*CELL("contenu",$B$4),COUNTA(ME8:ME11)*CELL("contenu",$B$7),COUNTA(ME13:ME13)*CELL("contenu",$B$12),COUNTA(ME15:ME17)*CELL("contenu",$B$14),COUNTA(ME19:ME19)*CELL("contenu",$B$18))=0,1,SUM(COUNTA(ME5:ME6)*CELL("contenu",$B$4),COUNTA(ME8:ME11)*CELL("contenu",$B$7),COUNTA(ME13:ME13)*CELL("contenu",$B$12),COUNTA(ME15:ME17)*CELL("contenu",$B$14),COUNTA(ME19:ME19)*CELL("contenu",$B$18))))</f>
        <v>15</v>
      </c>
      <c r="MF20" s="168">
        <f ca="1">IF(COUNTA(MF5:MF19)=0,"",5*SUM(IFERROR((((COUNTIF(MF5:MF6,"A"))*4)+((COUNTIF(MF5:MF6,"B"))*3)+((COUNTIF(MF5:MF6,"C"))*2)+((COUNTIF(MF5:MF6,"D"))*1))*CELL("contenu",$B$4),0),IFERROR((((COUNTIF(MF8:MF11,"A"))*4)+((COUNTIF(MF8:MF11,"B"))*3)+((COUNTIF(MF8:MF11,"C"))*2)+((COUNTIF(MF8:MF11,"D"))*1))*CELL("contenu",$B$7),0),IFERROR((((COUNTIF(MF13:MF13,"A"))*4)+((COUNTIF(MF13:MF13,"B"))*3)+((COUNTIF(MF13:MF13,"C"))*2)+((COUNTIF(MF13:MF13,"D"))*1))*CELL("contenu",$B$12),0),IFERROR((((COUNTIF(MF15:MF17,"A"))*4)+((COUNTIF(MF15:MF17,"B"))*3)+((COUNTIF(MF15:MF17,"C"))*2)+((COUNTIF(MF15:MF17,"D"))*1))*CELL("contenu",$B$14),0),IFERROR((((COUNTIF(MF19:MF19,"A"))*4)+((COUNTIF(MF19:MF19,"B"))*3)+((COUNTIF(MF19:MF19,"C"))*2)+((COUNTIF(MF19:MF19,"D"))*1))*CELL("contenu",$B$18),0))/IF(SUM(COUNTA(MF5:MF6)*CELL("contenu",$B$4),COUNTA(MF8:MF11)*CELL("contenu",$B$7),COUNTA(MF13:MF13)*CELL("contenu",$B$12),COUNTA(MF15:MF17)*CELL("contenu",$B$14),COUNTA(MF19:MF19)*CELL("contenu",$B$18))=0,1,SUM(COUNTA(MF5:MF6)*CELL("contenu",$B$4),COUNTA(MF8:MF11)*CELL("contenu",$B$7),COUNTA(MF13:MF13)*CELL("contenu",$B$12),COUNTA(MF15:MF17)*CELL("contenu",$B$14),COUNTA(MF19:MF19)*CELL("contenu",$B$18))))</f>
        <v>15</v>
      </c>
      <c r="MG20" s="169" t="str">
        <f ca="1">IF(COUNTA(MG5:MG19)=0,"",5*SUM(IFERROR((((COUNTIF(MG5:MG6,"A"))*4)+((COUNTIF(MG5:MG6,"B"))*3)+((COUNTIF(MG5:MG6,"C"))*2)+((COUNTIF(MG5:MG6,"D"))*1))*CELL("contenu",$B$4),0),IFERROR((((COUNTIF(MG8:MG11,"A"))*4)+((COUNTIF(MG8:MG11,"B"))*3)+((COUNTIF(MG8:MG11,"C"))*2)+((COUNTIF(MG8:MG11,"D"))*1))*CELL("contenu",$B$7),0),IFERROR((((COUNTIF(MG13:MG13,"A"))*4)+((COUNTIF(MG13:MG13,"B"))*3)+((COUNTIF(MG13:MG13,"C"))*2)+((COUNTIF(MG13:MG13,"D"))*1))*CELL("contenu",$B$12),0),IFERROR((((COUNTIF(MG15:MG17,"A"))*4)+((COUNTIF(MG15:MG17,"B"))*3)+((COUNTIF(MG15:MG17,"C"))*2)+((COUNTIF(MG15:MG17,"D"))*1))*CELL("contenu",$B$14),0),IFERROR((((COUNTIF(MG19:MG19,"A"))*4)+((COUNTIF(MG19:MG19,"B"))*3)+((COUNTIF(MG19:MG19,"C"))*2)+((COUNTIF(MG19:MG19,"D"))*1))*CELL("contenu",$B$18),0))/IF(SUM(COUNTA(MG5:MG6)*CELL("contenu",$B$4),COUNTA(MG8:MG11)*CELL("contenu",$B$7),COUNTA(MG13:MG13)*CELL("contenu",$B$12),COUNTA(MG15:MG17)*CELL("contenu",$B$14),COUNTA(MG19:MG19)*CELL("contenu",$B$18))=0,1,SUM(COUNTA(MG5:MG6)*CELL("contenu",$B$4),COUNTA(MG8:MG11)*CELL("contenu",$B$7),COUNTA(MG13:MG13)*CELL("contenu",$B$12),COUNTA(MG15:MG17)*CELL("contenu",$B$14),COUNTA(MG19:MG19)*CELL("contenu",$B$18))))</f>
        <v/>
      </c>
      <c r="MH20" s="116"/>
      <c r="MI20" s="192">
        <f ca="1">IF(COUNTA(ME20:MG20)-COUNTBLANK(ME20:MG20)=0,"",SUM(ME20:MG20)/(COUNTA(ME20:MG20)-COUNTBLANK(ME20:MG20)))</f>
        <v>15</v>
      </c>
      <c r="MJ20" s="182" t="str">
        <f ca="1">IF(COUNTA(MJ5:MJ19)=0,"",5*SUM(IFERROR((((COUNTIF(MJ5:MJ6,"A"))*4)+((COUNTIF(MJ5:MJ6,"B"))*3)+((COUNTIF(MJ5:MJ6,"C"))*2)+((COUNTIF(MJ5:MJ6,"D"))*1))*CELL("contenu",$B$4),0),IFERROR((((COUNTIF(MJ8:MJ11,"A"))*4)+((COUNTIF(MJ8:MJ11,"B"))*3)+((COUNTIF(MJ8:MJ11,"C"))*2)+((COUNTIF(MJ8:MJ11,"D"))*1))*CELL("contenu",$B$7),0),IFERROR((((COUNTIF(MJ13:MJ13,"A"))*4)+((COUNTIF(MJ13:MJ13,"B"))*3)+((COUNTIF(MJ13:MJ13,"C"))*2)+((COUNTIF(MJ13:MJ13,"D"))*1))*CELL("contenu",$B$12),0),IFERROR((((COUNTIF(MJ15:MJ17,"A"))*4)+((COUNTIF(MJ15:MJ17,"B"))*3)+((COUNTIF(MJ15:MJ17,"C"))*2)+((COUNTIF(MJ15:MJ17,"D"))*1))*CELL("contenu",$B$14),0),IFERROR((((COUNTIF(MJ19:MJ19,"A"))*4)+((COUNTIF(MJ19:MJ19,"B"))*3)+((COUNTIF(MJ19:MJ19,"C"))*2)+((COUNTIF(MJ19:MJ19,"D"))*1))*CELL("contenu",$B$18),0))/IF(SUM(COUNTA(MJ5:MJ6)*CELL("contenu",$B$4),COUNTA(MJ8:MJ11)*CELL("contenu",$B$7),COUNTA(MJ13:MJ13)*CELL("contenu",$B$12),COUNTA(MJ15:MJ17)*CELL("contenu",$B$14),COUNTA(MJ19:MJ19)*CELL("contenu",$B$18))=0,1,SUM(COUNTA(MJ5:MJ6)*CELL("contenu",$B$4),COUNTA(MJ8:MJ11)*CELL("contenu",$B$7),COUNTA(MJ13:MJ13)*CELL("contenu",$B$12),COUNTA(MJ15:MJ17)*CELL("contenu",$B$14),COUNTA(MJ19:MJ19)*CELL("contenu",$B$18))))</f>
        <v/>
      </c>
      <c r="MK20" s="183" t="str">
        <f ca="1">IF(COUNTA(MK5:MK19)=0,"",5*SUM(IFERROR((((COUNTIF(MK5:MK6,"A"))*4)+((COUNTIF(MK5:MK6,"B"))*3)+((COUNTIF(MK5:MK6,"C"))*2)+((COUNTIF(MK5:MK6,"D"))*1))*CELL("contenu",$B$4),0),IFERROR((((COUNTIF(MK8:MK11,"A"))*4)+((COUNTIF(MK8:MK11,"B"))*3)+((COUNTIF(MK8:MK11,"C"))*2)+((COUNTIF(MK8:MK11,"D"))*1))*CELL("contenu",$B$7),0),IFERROR((((COUNTIF(MK13:MK13,"A"))*4)+((COUNTIF(MK13:MK13,"B"))*3)+((COUNTIF(MK13:MK13,"C"))*2)+((COUNTIF(MK13:MK13,"D"))*1))*CELL("contenu",$B$12),0),IFERROR((((COUNTIF(MK15:MK17,"A"))*4)+((COUNTIF(MK15:MK17,"B"))*3)+((COUNTIF(MK15:MK17,"C"))*2)+((COUNTIF(MK15:MK17,"D"))*1))*CELL("contenu",$B$14),0),IFERROR((((COUNTIF(MK19:MK19,"A"))*4)+((COUNTIF(MK19:MK19,"B"))*3)+((COUNTIF(MK19:MK19,"C"))*2)+((COUNTIF(MK19:MK19,"D"))*1))*CELL("contenu",$B$18),0))/IF(SUM(COUNTA(MK5:MK6)*CELL("contenu",$B$4),COUNTA(MK8:MK11)*CELL("contenu",$B$7),COUNTA(MK13:MK13)*CELL("contenu",$B$12),COUNTA(MK15:MK17)*CELL("contenu",$B$14),COUNTA(MK19:MK19)*CELL("contenu",$B$18))=0,1,SUM(COUNTA(MK5:MK6)*CELL("contenu",$B$4),COUNTA(MK8:MK11)*CELL("contenu",$B$7),COUNTA(MK13:MK13)*CELL("contenu",$B$12),COUNTA(MK15:MK17)*CELL("contenu",$B$14),COUNTA(MK19:MK19)*CELL("contenu",$B$18))))</f>
        <v/>
      </c>
      <c r="ML20" s="184" t="str">
        <f ca="1">IF(COUNTA(ML5:ML19)=0,"",5*SUM(IFERROR((((COUNTIF(ML5:ML6,"A"))*4)+((COUNTIF(ML5:ML6,"B"))*3)+((COUNTIF(ML5:ML6,"C"))*2)+((COUNTIF(ML5:ML6,"D"))*1))*CELL("contenu",$B$4),0),IFERROR((((COUNTIF(ML8:ML11,"A"))*4)+((COUNTIF(ML8:ML11,"B"))*3)+((COUNTIF(ML8:ML11,"C"))*2)+((COUNTIF(ML8:ML11,"D"))*1))*CELL("contenu",$B$7),0),IFERROR((((COUNTIF(ML13:ML13,"A"))*4)+((COUNTIF(ML13:ML13,"B"))*3)+((COUNTIF(ML13:ML13,"C"))*2)+((COUNTIF(ML13:ML13,"D"))*1))*CELL("contenu",$B$12),0),IFERROR((((COUNTIF(ML15:ML17,"A"))*4)+((COUNTIF(ML15:ML17,"B"))*3)+((COUNTIF(ML15:ML17,"C"))*2)+((COUNTIF(ML15:ML17,"D"))*1))*CELL("contenu",$B$14),0),IFERROR((((COUNTIF(ML19:ML19,"A"))*4)+((COUNTIF(ML19:ML19,"B"))*3)+((COUNTIF(ML19:ML19,"C"))*2)+((COUNTIF(ML19:ML19,"D"))*1))*CELL("contenu",$B$18),0))/IF(SUM(COUNTA(ML5:ML6)*CELL("contenu",$B$4),COUNTA(ML8:ML11)*CELL("contenu",$B$7),COUNTA(ML13:ML13)*CELL("contenu",$B$12),COUNTA(ML15:ML17)*CELL("contenu",$B$14),COUNTA(ML19:ML19)*CELL("contenu",$B$18))=0,1,SUM(COUNTA(ML5:ML6)*CELL("contenu",$B$4),COUNTA(ML8:ML11)*CELL("contenu",$B$7),COUNTA(ML13:ML13)*CELL("contenu",$B$12),COUNTA(ML15:ML17)*CELL("contenu",$B$14),COUNTA(ML19:ML19)*CELL("contenu",$B$18))))</f>
        <v/>
      </c>
      <c r="MM20" s="176"/>
      <c r="MN20" s="175" t="str">
        <f ca="1">IF(COUNTA(MJ20:ML20)-COUNTBLANK(MJ20:ML20)=0,"",SUM(MJ20:ML20)/(COUNTA(MJ20:ML20)-COUNTBLANK(MJ20:ML20)))</f>
        <v/>
      </c>
      <c r="MO20" s="182" t="str">
        <f ca="1">IF(COUNTA(MO5:MO19)=0,"",5*SUM(IFERROR((((COUNTIF(MO5:MO6,"A"))*4)+((COUNTIF(MO5:MO6,"B"))*3)+((COUNTIF(MO5:MO6,"C"))*2)+((COUNTIF(MO5:MO6,"D"))*1))*CELL("contenu",$B$4),0),IFERROR((((COUNTIF(MO8:MO11,"A"))*4)+((COUNTIF(MO8:MO11,"B"))*3)+((COUNTIF(MO8:MO11,"C"))*2)+((COUNTIF(MO8:MO11,"D"))*1))*CELL("contenu",$B$7),0),IFERROR((((COUNTIF(MO13:MO13,"A"))*4)+((COUNTIF(MO13:MO13,"B"))*3)+((COUNTIF(MO13:MO13,"C"))*2)+((COUNTIF(MO13:MO13,"D"))*1))*CELL("contenu",$B$12),0),IFERROR((((COUNTIF(MO15:MO17,"A"))*4)+((COUNTIF(MO15:MO17,"B"))*3)+((COUNTIF(MO15:MO17,"C"))*2)+((COUNTIF(MO15:MO17,"D"))*1))*CELL("contenu",$B$14),0),IFERROR((((COUNTIF(MO19:MO19,"A"))*4)+((COUNTIF(MO19:MO19,"B"))*3)+((COUNTIF(MO19:MO19,"C"))*2)+((COUNTIF(MO19:MO19,"D"))*1))*CELL("contenu",$B$18),0))/IF(SUM(COUNTA(MO5:MO6)*CELL("contenu",$B$4),COUNTA(MO8:MO11)*CELL("contenu",$B$7),COUNTA(MO13:MO13)*CELL("contenu",$B$12),COUNTA(MO15:MO17)*CELL("contenu",$B$14),COUNTA(MO19:MO19)*CELL("contenu",$B$18))=0,1,SUM(COUNTA(MO5:MO6)*CELL("contenu",$B$4),COUNTA(MO8:MO11)*CELL("contenu",$B$7),COUNTA(MO13:MO13)*CELL("contenu",$B$12),COUNTA(MO15:MO17)*CELL("contenu",$B$14),COUNTA(MO19:MO19)*CELL("contenu",$B$18))))</f>
        <v/>
      </c>
      <c r="MP20" s="183" t="str">
        <f ca="1">IF(COUNTA(MP5:MP19)=0,"",5*SUM(IFERROR((((COUNTIF(MP5:MP6,"A"))*4)+((COUNTIF(MP5:MP6,"B"))*3)+((COUNTIF(MP5:MP6,"C"))*2)+((COUNTIF(MP5:MP6,"D"))*1))*CELL("contenu",$B$4),0),IFERROR((((COUNTIF(MP8:MP11,"A"))*4)+((COUNTIF(MP8:MP11,"B"))*3)+((COUNTIF(MP8:MP11,"C"))*2)+((COUNTIF(MP8:MP11,"D"))*1))*CELL("contenu",$B$7),0),IFERROR((((COUNTIF(MP13:MP13,"A"))*4)+((COUNTIF(MP13:MP13,"B"))*3)+((COUNTIF(MP13:MP13,"C"))*2)+((COUNTIF(MP13:MP13,"D"))*1))*CELL("contenu",$B$12),0),IFERROR((((COUNTIF(MP15:MP17,"A"))*4)+((COUNTIF(MP15:MP17,"B"))*3)+((COUNTIF(MP15:MP17,"C"))*2)+((COUNTIF(MP15:MP17,"D"))*1))*CELL("contenu",$B$14),0),IFERROR((((COUNTIF(MP19:MP19,"A"))*4)+((COUNTIF(MP19:MP19,"B"))*3)+((COUNTIF(MP19:MP19,"C"))*2)+((COUNTIF(MP19:MP19,"D"))*1))*CELL("contenu",$B$18),0))/IF(SUM(COUNTA(MP5:MP6)*CELL("contenu",$B$4),COUNTA(MP8:MP11)*CELL("contenu",$B$7),COUNTA(MP13:MP13)*CELL("contenu",$B$12),COUNTA(MP15:MP17)*CELL("contenu",$B$14),COUNTA(MP19:MP19)*CELL("contenu",$B$18))=0,1,SUM(COUNTA(MP5:MP6)*CELL("contenu",$B$4),COUNTA(MP8:MP11)*CELL("contenu",$B$7),COUNTA(MP13:MP13)*CELL("contenu",$B$12),COUNTA(MP15:MP17)*CELL("contenu",$B$14),COUNTA(MP19:MP19)*CELL("contenu",$B$18))))</f>
        <v/>
      </c>
      <c r="MQ20" s="184" t="str">
        <f ca="1">IF(COUNTA(MQ5:MQ19)=0,"",5*SUM(IFERROR((((COUNTIF(MQ5:MQ6,"A"))*4)+((COUNTIF(MQ5:MQ6,"B"))*3)+((COUNTIF(MQ5:MQ6,"C"))*2)+((COUNTIF(MQ5:MQ6,"D"))*1))*CELL("contenu",$B$4),0),IFERROR((((COUNTIF(MQ8:MQ11,"A"))*4)+((COUNTIF(MQ8:MQ11,"B"))*3)+((COUNTIF(MQ8:MQ11,"C"))*2)+((COUNTIF(MQ8:MQ11,"D"))*1))*CELL("contenu",$B$7),0),IFERROR((((COUNTIF(MQ13:MQ13,"A"))*4)+((COUNTIF(MQ13:MQ13,"B"))*3)+((COUNTIF(MQ13:MQ13,"C"))*2)+((COUNTIF(MQ13:MQ13,"D"))*1))*CELL("contenu",$B$12),0),IFERROR((((COUNTIF(MQ15:MQ17,"A"))*4)+((COUNTIF(MQ15:MQ17,"B"))*3)+((COUNTIF(MQ15:MQ17,"C"))*2)+((COUNTIF(MQ15:MQ17,"D"))*1))*CELL("contenu",$B$14),0),IFERROR((((COUNTIF(MQ19:MQ19,"A"))*4)+((COUNTIF(MQ19:MQ19,"B"))*3)+((COUNTIF(MQ19:MQ19,"C"))*2)+((COUNTIF(MQ19:MQ19,"D"))*1))*CELL("contenu",$B$18),0))/IF(SUM(COUNTA(MQ5:MQ6)*CELL("contenu",$B$4),COUNTA(MQ8:MQ11)*CELL("contenu",$B$7),COUNTA(MQ13:MQ13)*CELL("contenu",$B$12),COUNTA(MQ15:MQ17)*CELL("contenu",$B$14),COUNTA(MQ19:MQ19)*CELL("contenu",$B$18))=0,1,SUM(COUNTA(MQ5:MQ6)*CELL("contenu",$B$4),COUNTA(MQ8:MQ11)*CELL("contenu",$B$7),COUNTA(MQ13:MQ13)*CELL("contenu",$B$12),COUNTA(MQ15:MQ17)*CELL("contenu",$B$14),COUNTA(MQ19:MQ19)*CELL("contenu",$B$18))))</f>
        <v/>
      </c>
      <c r="MR20" s="176"/>
      <c r="MS20" s="174" t="str">
        <f ca="1">IF(COUNTA(MO20:MQ20)-COUNTBLANK(MO20:MQ20)=0,"",SUM(MO20:MQ20)/(COUNTA(MO20:MQ20)-COUNTBLANK(MO20:MQ20)))</f>
        <v/>
      </c>
      <c r="MT20" s="103"/>
      <c r="MU20" s="141"/>
      <c r="MV20" s="167">
        <f ca="1">IF(COUNTA(MV5:MV19)=0,"",5*SUM(IFERROR((((COUNTIF(MV5:MV6,"A"))*4)+((COUNTIF(MV5:MV6,"B"))*3)+((COUNTIF(MV5:MV6,"C"))*2)+((COUNTIF(MV5:MV6,"D"))*1))*CELL("contenu",$B$4),0),IFERROR((((COUNTIF(MV8:MV11,"A"))*4)+((COUNTIF(MV8:MV11,"B"))*3)+((COUNTIF(MV8:MV11,"C"))*2)+((COUNTIF(MV8:MV11,"D"))*1))*CELL("contenu",$B$7),0),IFERROR((((COUNTIF(MV13:MV13,"A"))*4)+((COUNTIF(MV13:MV13,"B"))*3)+((COUNTIF(MV13:MV13,"C"))*2)+((COUNTIF(MV13:MV13,"D"))*1))*CELL("contenu",$B$12),0),IFERROR((((COUNTIF(MV15:MV17,"A"))*4)+((COUNTIF(MV15:MV17,"B"))*3)+((COUNTIF(MV15:MV17,"C"))*2)+((COUNTIF(MV15:MV17,"D"))*1))*CELL("contenu",$B$14),0),IFERROR((((COUNTIF(MV19:MV19,"A"))*4)+((COUNTIF(MV19:MV19,"B"))*3)+((COUNTIF(MV19:MV19,"C"))*2)+((COUNTIF(MV19:MV19,"D"))*1))*CELL("contenu",$B$18),0))/IF(SUM(COUNTA(MV5:MV6)*CELL("contenu",$B$4),COUNTA(MV8:MV11)*CELL("contenu",$B$7),COUNTA(MV13:MV13)*CELL("contenu",$B$12),COUNTA(MV15:MV17)*CELL("contenu",$B$14),COUNTA(MV19:MV19)*CELL("contenu",$B$18))=0,1,SUM(COUNTA(MV5:MV6)*CELL("contenu",$B$4),COUNTA(MV8:MV11)*CELL("contenu",$B$7),COUNTA(MV13:MV13)*CELL("contenu",$B$12),COUNTA(MV15:MV17)*CELL("contenu",$B$14),COUNTA(MV19:MV19)*CELL("contenu",$B$18))))</f>
        <v>16.666666666666668</v>
      </c>
      <c r="MW20" s="168">
        <f ca="1">IF(COUNTA(MW5:MW19)=0,"",5*SUM(IFERROR((((COUNTIF(MW5:MW6,"A"))*4)+((COUNTIF(MW5:MW6,"B"))*3)+((COUNTIF(MW5:MW6,"C"))*2)+((COUNTIF(MW5:MW6,"D"))*1))*CELL("contenu",$B$4),0),IFERROR((((COUNTIF(MW8:MW11,"A"))*4)+((COUNTIF(MW8:MW11,"B"))*3)+((COUNTIF(MW8:MW11,"C"))*2)+((COUNTIF(MW8:MW11,"D"))*1))*CELL("contenu",$B$7),0),IFERROR((((COUNTIF(MW13:MW13,"A"))*4)+((COUNTIF(MW13:MW13,"B"))*3)+((COUNTIF(MW13:MW13,"C"))*2)+((COUNTIF(MW13:MW13,"D"))*1))*CELL("contenu",$B$12),0),IFERROR((((COUNTIF(MW15:MW17,"A"))*4)+((COUNTIF(MW15:MW17,"B"))*3)+((COUNTIF(MW15:MW17,"C"))*2)+((COUNTIF(MW15:MW17,"D"))*1))*CELL("contenu",$B$14),0),IFERROR((((COUNTIF(MW19:MW19,"A"))*4)+((COUNTIF(MW19:MW19,"B"))*3)+((COUNTIF(MW19:MW19,"C"))*2)+((COUNTIF(MW19:MW19,"D"))*1))*CELL("contenu",$B$18),0))/IF(SUM(COUNTA(MW5:MW6)*CELL("contenu",$B$4),COUNTA(MW8:MW11)*CELL("contenu",$B$7),COUNTA(MW13:MW13)*CELL("contenu",$B$12),COUNTA(MW15:MW17)*CELL("contenu",$B$14),COUNTA(MW19:MW19)*CELL("contenu",$B$18))=0,1,SUM(COUNTA(MW5:MW6)*CELL("contenu",$B$4),COUNTA(MW8:MW11)*CELL("contenu",$B$7),COUNTA(MW13:MW13)*CELL("contenu",$B$12),COUNTA(MW15:MW17)*CELL("contenu",$B$14),COUNTA(MW19:MW19)*CELL("contenu",$B$18))))</f>
        <v>16.666666666666668</v>
      </c>
      <c r="MX20" s="169" t="str">
        <f ca="1">IF(COUNTA(MX5:MX19)=0,"",5*SUM(IFERROR((((COUNTIF(MX5:MX6,"A"))*4)+((COUNTIF(MX5:MX6,"B"))*3)+((COUNTIF(MX5:MX6,"C"))*2)+((COUNTIF(MX5:MX6,"D"))*1))*CELL("contenu",$B$4),0),IFERROR((((COUNTIF(MX8:MX11,"A"))*4)+((COUNTIF(MX8:MX11,"B"))*3)+((COUNTIF(MX8:MX11,"C"))*2)+((COUNTIF(MX8:MX11,"D"))*1))*CELL("contenu",$B$7),0),IFERROR((((COUNTIF(MX13:MX13,"A"))*4)+((COUNTIF(MX13:MX13,"B"))*3)+((COUNTIF(MX13:MX13,"C"))*2)+((COUNTIF(MX13:MX13,"D"))*1))*CELL("contenu",$B$12),0),IFERROR((((COUNTIF(MX15:MX17,"A"))*4)+((COUNTIF(MX15:MX17,"B"))*3)+((COUNTIF(MX15:MX17,"C"))*2)+((COUNTIF(MX15:MX17,"D"))*1))*CELL("contenu",$B$14),0),IFERROR((((COUNTIF(MX19:MX19,"A"))*4)+((COUNTIF(MX19:MX19,"B"))*3)+((COUNTIF(MX19:MX19,"C"))*2)+((COUNTIF(MX19:MX19,"D"))*1))*CELL("contenu",$B$18),0))/IF(SUM(COUNTA(MX5:MX6)*CELL("contenu",$B$4),COUNTA(MX8:MX11)*CELL("contenu",$B$7),COUNTA(MX13:MX13)*CELL("contenu",$B$12),COUNTA(MX15:MX17)*CELL("contenu",$B$14),COUNTA(MX19:MX19)*CELL("contenu",$B$18))=0,1,SUM(COUNTA(MX5:MX6)*CELL("contenu",$B$4),COUNTA(MX8:MX11)*CELL("contenu",$B$7),COUNTA(MX13:MX13)*CELL("contenu",$B$12),COUNTA(MX15:MX17)*CELL("contenu",$B$14),COUNTA(MX19:MX19)*CELL("contenu",$B$18))))</f>
        <v/>
      </c>
      <c r="MY20" s="116"/>
      <c r="MZ20" s="192">
        <f ca="1">IF(COUNTA(MV20:MX20)-COUNTBLANK(MV20:MX20)=0,"",SUM(MV20:MX20)/(COUNTA(MV20:MX20)-COUNTBLANK(MV20:MX20)))</f>
        <v>16.666666666666668</v>
      </c>
      <c r="NA20" s="182" t="str">
        <f ca="1">IF(COUNTA(NA5:NA19)=0,"",5*SUM(IFERROR((((COUNTIF(NA5:NA6,"A"))*4)+((COUNTIF(NA5:NA6,"B"))*3)+((COUNTIF(NA5:NA6,"C"))*2)+((COUNTIF(NA5:NA6,"D"))*1))*CELL("contenu",$B$4),0),IFERROR((((COUNTIF(NA8:NA11,"A"))*4)+((COUNTIF(NA8:NA11,"B"))*3)+((COUNTIF(NA8:NA11,"C"))*2)+((COUNTIF(NA8:NA11,"D"))*1))*CELL("contenu",$B$7),0),IFERROR((((COUNTIF(NA13:NA13,"A"))*4)+((COUNTIF(NA13:NA13,"B"))*3)+((COUNTIF(NA13:NA13,"C"))*2)+((COUNTIF(NA13:NA13,"D"))*1))*CELL("contenu",$B$12),0),IFERROR((((COUNTIF(NA15:NA17,"A"))*4)+((COUNTIF(NA15:NA17,"B"))*3)+((COUNTIF(NA15:NA17,"C"))*2)+((COUNTIF(NA15:NA17,"D"))*1))*CELL("contenu",$B$14),0),IFERROR((((COUNTIF(NA19:NA19,"A"))*4)+((COUNTIF(NA19:NA19,"B"))*3)+((COUNTIF(NA19:NA19,"C"))*2)+((COUNTIF(NA19:NA19,"D"))*1))*CELL("contenu",$B$18),0))/IF(SUM(COUNTA(NA5:NA6)*CELL("contenu",$B$4),COUNTA(NA8:NA11)*CELL("contenu",$B$7),COUNTA(NA13:NA13)*CELL("contenu",$B$12),COUNTA(NA15:NA17)*CELL("contenu",$B$14),COUNTA(NA19:NA19)*CELL("contenu",$B$18))=0,1,SUM(COUNTA(NA5:NA6)*CELL("contenu",$B$4),COUNTA(NA8:NA11)*CELL("contenu",$B$7),COUNTA(NA13:NA13)*CELL("contenu",$B$12),COUNTA(NA15:NA17)*CELL("contenu",$B$14),COUNTA(NA19:NA19)*CELL("contenu",$B$18))))</f>
        <v/>
      </c>
      <c r="NB20" s="183" t="str">
        <f ca="1">IF(COUNTA(NB5:NB19)=0,"",5*SUM(IFERROR((((COUNTIF(NB5:NB6,"A"))*4)+((COUNTIF(NB5:NB6,"B"))*3)+((COUNTIF(NB5:NB6,"C"))*2)+((COUNTIF(NB5:NB6,"D"))*1))*CELL("contenu",$B$4),0),IFERROR((((COUNTIF(NB8:NB11,"A"))*4)+((COUNTIF(NB8:NB11,"B"))*3)+((COUNTIF(NB8:NB11,"C"))*2)+((COUNTIF(NB8:NB11,"D"))*1))*CELL("contenu",$B$7),0),IFERROR((((COUNTIF(NB13:NB13,"A"))*4)+((COUNTIF(NB13:NB13,"B"))*3)+((COUNTIF(NB13:NB13,"C"))*2)+((COUNTIF(NB13:NB13,"D"))*1))*CELL("contenu",$B$12),0),IFERROR((((COUNTIF(NB15:NB17,"A"))*4)+((COUNTIF(NB15:NB17,"B"))*3)+((COUNTIF(NB15:NB17,"C"))*2)+((COUNTIF(NB15:NB17,"D"))*1))*CELL("contenu",$B$14),0),IFERROR((((COUNTIF(NB19:NB19,"A"))*4)+((COUNTIF(NB19:NB19,"B"))*3)+((COUNTIF(NB19:NB19,"C"))*2)+((COUNTIF(NB19:NB19,"D"))*1))*CELL("contenu",$B$18),0))/IF(SUM(COUNTA(NB5:NB6)*CELL("contenu",$B$4),COUNTA(NB8:NB11)*CELL("contenu",$B$7),COUNTA(NB13:NB13)*CELL("contenu",$B$12),COUNTA(NB15:NB17)*CELL("contenu",$B$14),COUNTA(NB19:NB19)*CELL("contenu",$B$18))=0,1,SUM(COUNTA(NB5:NB6)*CELL("contenu",$B$4),COUNTA(NB8:NB11)*CELL("contenu",$B$7),COUNTA(NB13:NB13)*CELL("contenu",$B$12),COUNTA(NB15:NB17)*CELL("contenu",$B$14),COUNTA(NB19:NB19)*CELL("contenu",$B$18))))</f>
        <v/>
      </c>
      <c r="NC20" s="184" t="str">
        <f ca="1">IF(COUNTA(NC5:NC19)=0,"",5*SUM(IFERROR((((COUNTIF(NC5:NC6,"A"))*4)+((COUNTIF(NC5:NC6,"B"))*3)+((COUNTIF(NC5:NC6,"C"))*2)+((COUNTIF(NC5:NC6,"D"))*1))*CELL("contenu",$B$4),0),IFERROR((((COUNTIF(NC8:NC11,"A"))*4)+((COUNTIF(NC8:NC11,"B"))*3)+((COUNTIF(NC8:NC11,"C"))*2)+((COUNTIF(NC8:NC11,"D"))*1))*CELL("contenu",$B$7),0),IFERROR((((COUNTIF(NC13:NC13,"A"))*4)+((COUNTIF(NC13:NC13,"B"))*3)+((COUNTIF(NC13:NC13,"C"))*2)+((COUNTIF(NC13:NC13,"D"))*1))*CELL("contenu",$B$12),0),IFERROR((((COUNTIF(NC15:NC17,"A"))*4)+((COUNTIF(NC15:NC17,"B"))*3)+((COUNTIF(NC15:NC17,"C"))*2)+((COUNTIF(NC15:NC17,"D"))*1))*CELL("contenu",$B$14),0),IFERROR((((COUNTIF(NC19:NC19,"A"))*4)+((COUNTIF(NC19:NC19,"B"))*3)+((COUNTIF(NC19:NC19,"C"))*2)+((COUNTIF(NC19:NC19,"D"))*1))*CELL("contenu",$B$18),0))/IF(SUM(COUNTA(NC5:NC6)*CELL("contenu",$B$4),COUNTA(NC8:NC11)*CELL("contenu",$B$7),COUNTA(NC13:NC13)*CELL("contenu",$B$12),COUNTA(NC15:NC17)*CELL("contenu",$B$14),COUNTA(NC19:NC19)*CELL("contenu",$B$18))=0,1,SUM(COUNTA(NC5:NC6)*CELL("contenu",$B$4),COUNTA(NC8:NC11)*CELL("contenu",$B$7),COUNTA(NC13:NC13)*CELL("contenu",$B$12),COUNTA(NC15:NC17)*CELL("contenu",$B$14),COUNTA(NC19:NC19)*CELL("contenu",$B$18))))</f>
        <v/>
      </c>
      <c r="ND20" s="176"/>
      <c r="NE20" s="175" t="str">
        <f ca="1">IF(COUNTA(NA20:NC20)-COUNTBLANK(NA20:NC20)=0,"",SUM(NA20:NC20)/(COUNTA(NA20:NC20)-COUNTBLANK(NA20:NC20)))</f>
        <v/>
      </c>
      <c r="NF20" s="182" t="str">
        <f ca="1">IF(COUNTA(NF5:NF19)=0,"",5*SUM(IFERROR((((COUNTIF(NF5:NF6,"A"))*4)+((COUNTIF(NF5:NF6,"B"))*3)+((COUNTIF(NF5:NF6,"C"))*2)+((COUNTIF(NF5:NF6,"D"))*1))*CELL("contenu",$B$4),0),IFERROR((((COUNTIF(NF8:NF11,"A"))*4)+((COUNTIF(NF8:NF11,"B"))*3)+((COUNTIF(NF8:NF11,"C"))*2)+((COUNTIF(NF8:NF11,"D"))*1))*CELL("contenu",$B$7),0),IFERROR((((COUNTIF(NF13:NF13,"A"))*4)+((COUNTIF(NF13:NF13,"B"))*3)+((COUNTIF(NF13:NF13,"C"))*2)+((COUNTIF(NF13:NF13,"D"))*1))*CELL("contenu",$B$12),0),IFERROR((((COUNTIF(NF15:NF17,"A"))*4)+((COUNTIF(NF15:NF17,"B"))*3)+((COUNTIF(NF15:NF17,"C"))*2)+((COUNTIF(NF15:NF17,"D"))*1))*CELL("contenu",$B$14),0),IFERROR((((COUNTIF(NF19:NF19,"A"))*4)+((COUNTIF(NF19:NF19,"B"))*3)+((COUNTIF(NF19:NF19,"C"))*2)+((COUNTIF(NF19:NF19,"D"))*1))*CELL("contenu",$B$18),0))/IF(SUM(COUNTA(NF5:NF6)*CELL("contenu",$B$4),COUNTA(NF8:NF11)*CELL("contenu",$B$7),COUNTA(NF13:NF13)*CELL("contenu",$B$12),COUNTA(NF15:NF17)*CELL("contenu",$B$14),COUNTA(NF19:NF19)*CELL("contenu",$B$18))=0,1,SUM(COUNTA(NF5:NF6)*CELL("contenu",$B$4),COUNTA(NF8:NF11)*CELL("contenu",$B$7),COUNTA(NF13:NF13)*CELL("contenu",$B$12),COUNTA(NF15:NF17)*CELL("contenu",$B$14),COUNTA(NF19:NF19)*CELL("contenu",$B$18))))</f>
        <v/>
      </c>
      <c r="NG20" s="183" t="str">
        <f ca="1">IF(COUNTA(NG5:NG19)=0,"",5*SUM(IFERROR((((COUNTIF(NG5:NG6,"A"))*4)+((COUNTIF(NG5:NG6,"B"))*3)+((COUNTIF(NG5:NG6,"C"))*2)+((COUNTIF(NG5:NG6,"D"))*1))*CELL("contenu",$B$4),0),IFERROR((((COUNTIF(NG8:NG11,"A"))*4)+((COUNTIF(NG8:NG11,"B"))*3)+((COUNTIF(NG8:NG11,"C"))*2)+((COUNTIF(NG8:NG11,"D"))*1))*CELL("contenu",$B$7),0),IFERROR((((COUNTIF(NG13:NG13,"A"))*4)+((COUNTIF(NG13:NG13,"B"))*3)+((COUNTIF(NG13:NG13,"C"))*2)+((COUNTIF(NG13:NG13,"D"))*1))*CELL("contenu",$B$12),0),IFERROR((((COUNTIF(NG15:NG17,"A"))*4)+((COUNTIF(NG15:NG17,"B"))*3)+((COUNTIF(NG15:NG17,"C"))*2)+((COUNTIF(NG15:NG17,"D"))*1))*CELL("contenu",$B$14),0),IFERROR((((COUNTIF(NG19:NG19,"A"))*4)+((COUNTIF(NG19:NG19,"B"))*3)+((COUNTIF(NG19:NG19,"C"))*2)+((COUNTIF(NG19:NG19,"D"))*1))*CELL("contenu",$B$18),0))/IF(SUM(COUNTA(NG5:NG6)*CELL("contenu",$B$4),COUNTA(NG8:NG11)*CELL("contenu",$B$7),COUNTA(NG13:NG13)*CELL("contenu",$B$12),COUNTA(NG15:NG17)*CELL("contenu",$B$14),COUNTA(NG19:NG19)*CELL("contenu",$B$18))=0,1,SUM(COUNTA(NG5:NG6)*CELL("contenu",$B$4),COUNTA(NG8:NG11)*CELL("contenu",$B$7),COUNTA(NG13:NG13)*CELL("contenu",$B$12),COUNTA(NG15:NG17)*CELL("contenu",$B$14),COUNTA(NG19:NG19)*CELL("contenu",$B$18))))</f>
        <v/>
      </c>
      <c r="NH20" s="184" t="str">
        <f ca="1">IF(COUNTA(NH5:NH19)=0,"",5*SUM(IFERROR((((COUNTIF(NH5:NH6,"A"))*4)+((COUNTIF(NH5:NH6,"B"))*3)+((COUNTIF(NH5:NH6,"C"))*2)+((COUNTIF(NH5:NH6,"D"))*1))*CELL("contenu",$B$4),0),IFERROR((((COUNTIF(NH8:NH11,"A"))*4)+((COUNTIF(NH8:NH11,"B"))*3)+((COUNTIF(NH8:NH11,"C"))*2)+((COUNTIF(NH8:NH11,"D"))*1))*CELL("contenu",$B$7),0),IFERROR((((COUNTIF(NH13:NH13,"A"))*4)+((COUNTIF(NH13:NH13,"B"))*3)+((COUNTIF(NH13:NH13,"C"))*2)+((COUNTIF(NH13:NH13,"D"))*1))*CELL("contenu",$B$12),0),IFERROR((((COUNTIF(NH15:NH17,"A"))*4)+((COUNTIF(NH15:NH17,"B"))*3)+((COUNTIF(NH15:NH17,"C"))*2)+((COUNTIF(NH15:NH17,"D"))*1))*CELL("contenu",$B$14),0),IFERROR((((COUNTIF(NH19:NH19,"A"))*4)+((COUNTIF(NH19:NH19,"B"))*3)+((COUNTIF(NH19:NH19,"C"))*2)+((COUNTIF(NH19:NH19,"D"))*1))*CELL("contenu",$B$18),0))/IF(SUM(COUNTA(NH5:NH6)*CELL("contenu",$B$4),COUNTA(NH8:NH11)*CELL("contenu",$B$7),COUNTA(NH13:NH13)*CELL("contenu",$B$12),COUNTA(NH15:NH17)*CELL("contenu",$B$14),COUNTA(NH19:NH19)*CELL("contenu",$B$18))=0,1,SUM(COUNTA(NH5:NH6)*CELL("contenu",$B$4),COUNTA(NH8:NH11)*CELL("contenu",$B$7),COUNTA(NH13:NH13)*CELL("contenu",$B$12),COUNTA(NH15:NH17)*CELL("contenu",$B$14),COUNTA(NH19:NH19)*CELL("contenu",$B$18))))</f>
        <v/>
      </c>
      <c r="NI20" s="176"/>
      <c r="NJ20" s="174" t="str">
        <f ca="1">IF(COUNTA(NF20:NH20)-COUNTBLANK(NF20:NH20)=0,"",SUM(NF20:NH20)/(COUNTA(NF20:NH20)-COUNTBLANK(NF20:NH20)))</f>
        <v/>
      </c>
      <c r="NK20" s="103"/>
      <c r="NL20" s="141"/>
      <c r="NM20" s="167">
        <f ca="1">IF(COUNTA(NM5:NM19)=0,"",5*SUM(IFERROR((((COUNTIF(NM5:NM6,"A"))*4)+((COUNTIF(NM5:NM6,"B"))*3)+((COUNTIF(NM5:NM6,"C"))*2)+((COUNTIF(NM5:NM6,"D"))*1))*CELL("contenu",$B$4),0),IFERROR((((COUNTIF(NM8:NM11,"A"))*4)+((COUNTIF(NM8:NM11,"B"))*3)+((COUNTIF(NM8:NM11,"C"))*2)+((COUNTIF(NM8:NM11,"D"))*1))*CELL("contenu",$B$7),0),IFERROR((((COUNTIF(NM13:NM13,"A"))*4)+((COUNTIF(NM13:NM13,"B"))*3)+((COUNTIF(NM13:NM13,"C"))*2)+((COUNTIF(NM13:NM13,"D"))*1))*CELL("contenu",$B$12),0),IFERROR((((COUNTIF(NM15:NM17,"A"))*4)+((COUNTIF(NM15:NM17,"B"))*3)+((COUNTIF(NM15:NM17,"C"))*2)+((COUNTIF(NM15:NM17,"D"))*1))*CELL("contenu",$B$14),0),IFERROR((((COUNTIF(NM19:NM19,"A"))*4)+((COUNTIF(NM19:NM19,"B"))*3)+((COUNTIF(NM19:NM19,"C"))*2)+((COUNTIF(NM19:NM19,"D"))*1))*CELL("contenu",$B$18),0))/IF(SUM(COUNTA(NM5:NM6)*CELL("contenu",$B$4),COUNTA(NM8:NM11)*CELL("contenu",$B$7),COUNTA(NM13:NM13)*CELL("contenu",$B$12),COUNTA(NM15:NM17)*CELL("contenu",$B$14),COUNTA(NM19:NM19)*CELL("contenu",$B$18))=0,1,SUM(COUNTA(NM5:NM6)*CELL("contenu",$B$4),COUNTA(NM8:NM11)*CELL("contenu",$B$7),COUNTA(NM13:NM13)*CELL("contenu",$B$12),COUNTA(NM15:NM17)*CELL("contenu",$B$14),COUNTA(NM19:NM19)*CELL("contenu",$B$18))))</f>
        <v>16.666666666666668</v>
      </c>
      <c r="NN20" s="168">
        <f ca="1">IF(COUNTA(NN5:NN19)=0,"",5*SUM(IFERROR((((COUNTIF(NN5:NN6,"A"))*4)+((COUNTIF(NN5:NN6,"B"))*3)+((COUNTIF(NN5:NN6,"C"))*2)+((COUNTIF(NN5:NN6,"D"))*1))*CELL("contenu",$B$4),0),IFERROR((((COUNTIF(NN8:NN11,"A"))*4)+((COUNTIF(NN8:NN11,"B"))*3)+((COUNTIF(NN8:NN11,"C"))*2)+((COUNTIF(NN8:NN11,"D"))*1))*CELL("contenu",$B$7),0),IFERROR((((COUNTIF(NN13:NN13,"A"))*4)+((COUNTIF(NN13:NN13,"B"))*3)+((COUNTIF(NN13:NN13,"C"))*2)+((COUNTIF(NN13:NN13,"D"))*1))*CELL("contenu",$B$12),0),IFERROR((((COUNTIF(NN15:NN17,"A"))*4)+((COUNTIF(NN15:NN17,"B"))*3)+((COUNTIF(NN15:NN17,"C"))*2)+((COUNTIF(NN15:NN17,"D"))*1))*CELL("contenu",$B$14),0),IFERROR((((COUNTIF(NN19:NN19,"A"))*4)+((COUNTIF(NN19:NN19,"B"))*3)+((COUNTIF(NN19:NN19,"C"))*2)+((COUNTIF(NN19:NN19,"D"))*1))*CELL("contenu",$B$18),0))/IF(SUM(COUNTA(NN5:NN6)*CELL("contenu",$B$4),COUNTA(NN8:NN11)*CELL("contenu",$B$7),COUNTA(NN13:NN13)*CELL("contenu",$B$12),COUNTA(NN15:NN17)*CELL("contenu",$B$14),COUNTA(NN19:NN19)*CELL("contenu",$B$18))=0,1,SUM(COUNTA(NN5:NN6)*CELL("contenu",$B$4),COUNTA(NN8:NN11)*CELL("contenu",$B$7),COUNTA(NN13:NN13)*CELL("contenu",$B$12),COUNTA(NN15:NN17)*CELL("contenu",$B$14),COUNTA(NN19:NN19)*CELL("contenu",$B$18))))</f>
        <v>18.333333333333332</v>
      </c>
      <c r="NO20" s="169" t="str">
        <f ca="1">IF(COUNTA(NO5:NO19)=0,"",5*SUM(IFERROR((((COUNTIF(NO5:NO6,"A"))*4)+((COUNTIF(NO5:NO6,"B"))*3)+((COUNTIF(NO5:NO6,"C"))*2)+((COUNTIF(NO5:NO6,"D"))*1))*CELL("contenu",$B$4),0),IFERROR((((COUNTIF(NO8:NO11,"A"))*4)+((COUNTIF(NO8:NO11,"B"))*3)+((COUNTIF(NO8:NO11,"C"))*2)+((COUNTIF(NO8:NO11,"D"))*1))*CELL("contenu",$B$7),0),IFERROR((((COUNTIF(NO13:NO13,"A"))*4)+((COUNTIF(NO13:NO13,"B"))*3)+((COUNTIF(NO13:NO13,"C"))*2)+((COUNTIF(NO13:NO13,"D"))*1))*CELL("contenu",$B$12),0),IFERROR((((COUNTIF(NO15:NO17,"A"))*4)+((COUNTIF(NO15:NO17,"B"))*3)+((COUNTIF(NO15:NO17,"C"))*2)+((COUNTIF(NO15:NO17,"D"))*1))*CELL("contenu",$B$14),0),IFERROR((((COUNTIF(NO19:NO19,"A"))*4)+((COUNTIF(NO19:NO19,"B"))*3)+((COUNTIF(NO19:NO19,"C"))*2)+((COUNTIF(NO19:NO19,"D"))*1))*CELL("contenu",$B$18),0))/IF(SUM(COUNTA(NO5:NO6)*CELL("contenu",$B$4),COUNTA(NO8:NO11)*CELL("contenu",$B$7),COUNTA(NO13:NO13)*CELL("contenu",$B$12),COUNTA(NO15:NO17)*CELL("contenu",$B$14),COUNTA(NO19:NO19)*CELL("contenu",$B$18))=0,1,SUM(COUNTA(NO5:NO6)*CELL("contenu",$B$4),COUNTA(NO8:NO11)*CELL("contenu",$B$7),COUNTA(NO13:NO13)*CELL("contenu",$B$12),COUNTA(NO15:NO17)*CELL("contenu",$B$14),COUNTA(NO19:NO19)*CELL("contenu",$B$18))))</f>
        <v/>
      </c>
      <c r="NP20" s="116"/>
      <c r="NQ20" s="192">
        <f ca="1">IF(COUNTA(NM20:NO20)-COUNTBLANK(NM20:NO20)=0,"",SUM(NM20:NO20)/(COUNTA(NM20:NO20)-COUNTBLANK(NM20:NO20)))</f>
        <v>17.5</v>
      </c>
      <c r="NR20" s="182" t="str">
        <f ca="1">IF(COUNTA(NR5:NR19)=0,"",5*SUM(IFERROR((((COUNTIF(NR5:NR6,"A"))*4)+((COUNTIF(NR5:NR6,"B"))*3)+((COUNTIF(NR5:NR6,"C"))*2)+((COUNTIF(NR5:NR6,"D"))*1))*CELL("contenu",$B$4),0),IFERROR((((COUNTIF(NR8:NR11,"A"))*4)+((COUNTIF(NR8:NR11,"B"))*3)+((COUNTIF(NR8:NR11,"C"))*2)+((COUNTIF(NR8:NR11,"D"))*1))*CELL("contenu",$B$7),0),IFERROR((((COUNTIF(NR13:NR13,"A"))*4)+((COUNTIF(NR13:NR13,"B"))*3)+((COUNTIF(NR13:NR13,"C"))*2)+((COUNTIF(NR13:NR13,"D"))*1))*CELL("contenu",$B$12),0),IFERROR((((COUNTIF(NR15:NR17,"A"))*4)+((COUNTIF(NR15:NR17,"B"))*3)+((COUNTIF(NR15:NR17,"C"))*2)+((COUNTIF(NR15:NR17,"D"))*1))*CELL("contenu",$B$14),0),IFERROR((((COUNTIF(NR19:NR19,"A"))*4)+((COUNTIF(NR19:NR19,"B"))*3)+((COUNTIF(NR19:NR19,"C"))*2)+((COUNTIF(NR19:NR19,"D"))*1))*CELL("contenu",$B$18),0))/IF(SUM(COUNTA(NR5:NR6)*CELL("contenu",$B$4),COUNTA(NR8:NR11)*CELL("contenu",$B$7),COUNTA(NR13:NR13)*CELL("contenu",$B$12),COUNTA(NR15:NR17)*CELL("contenu",$B$14),COUNTA(NR19:NR19)*CELL("contenu",$B$18))=0,1,SUM(COUNTA(NR5:NR6)*CELL("contenu",$B$4),COUNTA(NR8:NR11)*CELL("contenu",$B$7),COUNTA(NR13:NR13)*CELL("contenu",$B$12),COUNTA(NR15:NR17)*CELL("contenu",$B$14),COUNTA(NR19:NR19)*CELL("contenu",$B$18))))</f>
        <v/>
      </c>
      <c r="NS20" s="183" t="str">
        <f ca="1">IF(COUNTA(NS5:NS19)=0,"",5*SUM(IFERROR((((COUNTIF(NS5:NS6,"A"))*4)+((COUNTIF(NS5:NS6,"B"))*3)+((COUNTIF(NS5:NS6,"C"))*2)+((COUNTIF(NS5:NS6,"D"))*1))*CELL("contenu",$B$4),0),IFERROR((((COUNTIF(NS8:NS11,"A"))*4)+((COUNTIF(NS8:NS11,"B"))*3)+((COUNTIF(NS8:NS11,"C"))*2)+((COUNTIF(NS8:NS11,"D"))*1))*CELL("contenu",$B$7),0),IFERROR((((COUNTIF(NS13:NS13,"A"))*4)+((COUNTIF(NS13:NS13,"B"))*3)+((COUNTIF(NS13:NS13,"C"))*2)+((COUNTIF(NS13:NS13,"D"))*1))*CELL("contenu",$B$12),0),IFERROR((((COUNTIF(NS15:NS17,"A"))*4)+((COUNTIF(NS15:NS17,"B"))*3)+((COUNTIF(NS15:NS17,"C"))*2)+((COUNTIF(NS15:NS17,"D"))*1))*CELL("contenu",$B$14),0),IFERROR((((COUNTIF(NS19:NS19,"A"))*4)+((COUNTIF(NS19:NS19,"B"))*3)+((COUNTIF(NS19:NS19,"C"))*2)+((COUNTIF(NS19:NS19,"D"))*1))*CELL("contenu",$B$18),0))/IF(SUM(COUNTA(NS5:NS6)*CELL("contenu",$B$4),COUNTA(NS8:NS11)*CELL("contenu",$B$7),COUNTA(NS13:NS13)*CELL("contenu",$B$12),COUNTA(NS15:NS17)*CELL("contenu",$B$14),COUNTA(NS19:NS19)*CELL("contenu",$B$18))=0,1,SUM(COUNTA(NS5:NS6)*CELL("contenu",$B$4),COUNTA(NS8:NS11)*CELL("contenu",$B$7),COUNTA(NS13:NS13)*CELL("contenu",$B$12),COUNTA(NS15:NS17)*CELL("contenu",$B$14),COUNTA(NS19:NS19)*CELL("contenu",$B$18))))</f>
        <v/>
      </c>
      <c r="NT20" s="184" t="str">
        <f ca="1">IF(COUNTA(NT5:NT19)=0,"",5*SUM(IFERROR((((COUNTIF(NT5:NT6,"A"))*4)+((COUNTIF(NT5:NT6,"B"))*3)+((COUNTIF(NT5:NT6,"C"))*2)+((COUNTIF(NT5:NT6,"D"))*1))*CELL("contenu",$B$4),0),IFERROR((((COUNTIF(NT8:NT11,"A"))*4)+((COUNTIF(NT8:NT11,"B"))*3)+((COUNTIF(NT8:NT11,"C"))*2)+((COUNTIF(NT8:NT11,"D"))*1))*CELL("contenu",$B$7),0),IFERROR((((COUNTIF(NT13:NT13,"A"))*4)+((COUNTIF(NT13:NT13,"B"))*3)+((COUNTIF(NT13:NT13,"C"))*2)+((COUNTIF(NT13:NT13,"D"))*1))*CELL("contenu",$B$12),0),IFERROR((((COUNTIF(NT15:NT17,"A"))*4)+((COUNTIF(NT15:NT17,"B"))*3)+((COUNTIF(NT15:NT17,"C"))*2)+((COUNTIF(NT15:NT17,"D"))*1))*CELL("contenu",$B$14),0),IFERROR((((COUNTIF(NT19:NT19,"A"))*4)+((COUNTIF(NT19:NT19,"B"))*3)+((COUNTIF(NT19:NT19,"C"))*2)+((COUNTIF(NT19:NT19,"D"))*1))*CELL("contenu",$B$18),0))/IF(SUM(COUNTA(NT5:NT6)*CELL("contenu",$B$4),COUNTA(NT8:NT11)*CELL("contenu",$B$7),COUNTA(NT13:NT13)*CELL("contenu",$B$12),COUNTA(NT15:NT17)*CELL("contenu",$B$14),COUNTA(NT19:NT19)*CELL("contenu",$B$18))=0,1,SUM(COUNTA(NT5:NT6)*CELL("contenu",$B$4),COUNTA(NT8:NT11)*CELL("contenu",$B$7),COUNTA(NT13:NT13)*CELL("contenu",$B$12),COUNTA(NT15:NT17)*CELL("contenu",$B$14),COUNTA(NT19:NT19)*CELL("contenu",$B$18))))</f>
        <v/>
      </c>
      <c r="NU20" s="176"/>
      <c r="NV20" s="175" t="str">
        <f ca="1">IF(COUNTA(NR20:NT20)-COUNTBLANK(NR20:NT20)=0,"",SUM(NR20:NT20)/(COUNTA(NR20:NT20)-COUNTBLANK(NR20:NT20)))</f>
        <v/>
      </c>
      <c r="NW20" s="182" t="str">
        <f ca="1">IF(COUNTA(NW5:NW19)=0,"",5*SUM(IFERROR((((COUNTIF(NW5:NW6,"A"))*4)+((COUNTIF(NW5:NW6,"B"))*3)+((COUNTIF(NW5:NW6,"C"))*2)+((COUNTIF(NW5:NW6,"D"))*1))*CELL("contenu",$B$4),0),IFERROR((((COUNTIF(NW8:NW11,"A"))*4)+((COUNTIF(NW8:NW11,"B"))*3)+((COUNTIF(NW8:NW11,"C"))*2)+((COUNTIF(NW8:NW11,"D"))*1))*CELL("contenu",$B$7),0),IFERROR((((COUNTIF(NW13:NW13,"A"))*4)+((COUNTIF(NW13:NW13,"B"))*3)+((COUNTIF(NW13:NW13,"C"))*2)+((COUNTIF(NW13:NW13,"D"))*1))*CELL("contenu",$B$12),0),IFERROR((((COUNTIF(NW15:NW17,"A"))*4)+((COUNTIF(NW15:NW17,"B"))*3)+((COUNTIF(NW15:NW17,"C"))*2)+((COUNTIF(NW15:NW17,"D"))*1))*CELL("contenu",$B$14),0),IFERROR((((COUNTIF(NW19:NW19,"A"))*4)+((COUNTIF(NW19:NW19,"B"))*3)+((COUNTIF(NW19:NW19,"C"))*2)+((COUNTIF(NW19:NW19,"D"))*1))*CELL("contenu",$B$18),0))/IF(SUM(COUNTA(NW5:NW6)*CELL("contenu",$B$4),COUNTA(NW8:NW11)*CELL("contenu",$B$7),COUNTA(NW13:NW13)*CELL("contenu",$B$12),COUNTA(NW15:NW17)*CELL("contenu",$B$14),COUNTA(NW19:NW19)*CELL("contenu",$B$18))=0,1,SUM(COUNTA(NW5:NW6)*CELL("contenu",$B$4),COUNTA(NW8:NW11)*CELL("contenu",$B$7),COUNTA(NW13:NW13)*CELL("contenu",$B$12),COUNTA(NW15:NW17)*CELL("contenu",$B$14),COUNTA(NW19:NW19)*CELL("contenu",$B$18))))</f>
        <v/>
      </c>
      <c r="NX20" s="183" t="str">
        <f ca="1">IF(COUNTA(NX5:NX19)=0,"",5*SUM(IFERROR((((COUNTIF(NX5:NX6,"A"))*4)+((COUNTIF(NX5:NX6,"B"))*3)+((COUNTIF(NX5:NX6,"C"))*2)+((COUNTIF(NX5:NX6,"D"))*1))*CELL("contenu",$B$4),0),IFERROR((((COUNTIF(NX8:NX11,"A"))*4)+((COUNTIF(NX8:NX11,"B"))*3)+((COUNTIF(NX8:NX11,"C"))*2)+((COUNTIF(NX8:NX11,"D"))*1))*CELL("contenu",$B$7),0),IFERROR((((COUNTIF(NX13:NX13,"A"))*4)+((COUNTIF(NX13:NX13,"B"))*3)+((COUNTIF(NX13:NX13,"C"))*2)+((COUNTIF(NX13:NX13,"D"))*1))*CELL("contenu",$B$12),0),IFERROR((((COUNTIF(NX15:NX17,"A"))*4)+((COUNTIF(NX15:NX17,"B"))*3)+((COUNTIF(NX15:NX17,"C"))*2)+((COUNTIF(NX15:NX17,"D"))*1))*CELL("contenu",$B$14),0),IFERROR((((COUNTIF(NX19:NX19,"A"))*4)+((COUNTIF(NX19:NX19,"B"))*3)+((COUNTIF(NX19:NX19,"C"))*2)+((COUNTIF(NX19:NX19,"D"))*1))*CELL("contenu",$B$18),0))/IF(SUM(COUNTA(NX5:NX6)*CELL("contenu",$B$4),COUNTA(NX8:NX11)*CELL("contenu",$B$7),COUNTA(NX13:NX13)*CELL("contenu",$B$12),COUNTA(NX15:NX17)*CELL("contenu",$B$14),COUNTA(NX19:NX19)*CELL("contenu",$B$18))=0,1,SUM(COUNTA(NX5:NX6)*CELL("contenu",$B$4),COUNTA(NX8:NX11)*CELL("contenu",$B$7),COUNTA(NX13:NX13)*CELL("contenu",$B$12),COUNTA(NX15:NX17)*CELL("contenu",$B$14),COUNTA(NX19:NX19)*CELL("contenu",$B$18))))</f>
        <v/>
      </c>
      <c r="NY20" s="184" t="str">
        <f ca="1">IF(COUNTA(NY5:NY19)=0,"",5*SUM(IFERROR((((COUNTIF(NY5:NY6,"A"))*4)+((COUNTIF(NY5:NY6,"B"))*3)+((COUNTIF(NY5:NY6,"C"))*2)+((COUNTIF(NY5:NY6,"D"))*1))*CELL("contenu",$B$4),0),IFERROR((((COUNTIF(NY8:NY11,"A"))*4)+((COUNTIF(NY8:NY11,"B"))*3)+((COUNTIF(NY8:NY11,"C"))*2)+((COUNTIF(NY8:NY11,"D"))*1))*CELL("contenu",$B$7),0),IFERROR((((COUNTIF(NY13:NY13,"A"))*4)+((COUNTIF(NY13:NY13,"B"))*3)+((COUNTIF(NY13:NY13,"C"))*2)+((COUNTIF(NY13:NY13,"D"))*1))*CELL("contenu",$B$12),0),IFERROR((((COUNTIF(NY15:NY17,"A"))*4)+((COUNTIF(NY15:NY17,"B"))*3)+((COUNTIF(NY15:NY17,"C"))*2)+((COUNTIF(NY15:NY17,"D"))*1))*CELL("contenu",$B$14),0),IFERROR((((COUNTIF(NY19:NY19,"A"))*4)+((COUNTIF(NY19:NY19,"B"))*3)+((COUNTIF(NY19:NY19,"C"))*2)+((COUNTIF(NY19:NY19,"D"))*1))*CELL("contenu",$B$18),0))/IF(SUM(COUNTA(NY5:NY6)*CELL("contenu",$B$4),COUNTA(NY8:NY11)*CELL("contenu",$B$7),COUNTA(NY13:NY13)*CELL("contenu",$B$12),COUNTA(NY15:NY17)*CELL("contenu",$B$14),COUNTA(NY19:NY19)*CELL("contenu",$B$18))=0,1,SUM(COUNTA(NY5:NY6)*CELL("contenu",$B$4),COUNTA(NY8:NY11)*CELL("contenu",$B$7),COUNTA(NY13:NY13)*CELL("contenu",$B$12),COUNTA(NY15:NY17)*CELL("contenu",$B$14),COUNTA(NY19:NY19)*CELL("contenu",$B$18))))</f>
        <v/>
      </c>
      <c r="NZ20" s="176"/>
      <c r="OA20" s="174" t="str">
        <f ca="1">IF(COUNTA(NW20:NY20)-COUNTBLANK(NW20:NY20)=0,"",SUM(NW20:NY20)/(COUNTA(NW20:NY20)-COUNTBLANK(NW20:NY20)))</f>
        <v/>
      </c>
      <c r="OB20" s="103"/>
      <c r="OC20" s="141"/>
      <c r="OD20" s="167">
        <f ca="1">IF(COUNTA(OD5:OD19)=0,"",5*SUM(IFERROR((((COUNTIF(OD5:OD6,"A"))*4)+((COUNTIF(OD5:OD6,"B"))*3)+((COUNTIF(OD5:OD6,"C"))*2)+((COUNTIF(OD5:OD6,"D"))*1))*CELL("contenu",$B$4),0),IFERROR((((COUNTIF(OD8:OD11,"A"))*4)+((COUNTIF(OD8:OD11,"B"))*3)+((COUNTIF(OD8:OD11,"C"))*2)+((COUNTIF(OD8:OD11,"D"))*1))*CELL("contenu",$B$7),0),IFERROR((((COUNTIF(OD13:OD13,"A"))*4)+((COUNTIF(OD13:OD13,"B"))*3)+((COUNTIF(OD13:OD13,"C"))*2)+((COUNTIF(OD13:OD13,"D"))*1))*CELL("contenu",$B$12),0),IFERROR((((COUNTIF(OD15:OD17,"A"))*4)+((COUNTIF(OD15:OD17,"B"))*3)+((COUNTIF(OD15:OD17,"C"))*2)+((COUNTIF(OD15:OD17,"D"))*1))*CELL("contenu",$B$14),0),IFERROR((((COUNTIF(OD19:OD19,"A"))*4)+((COUNTIF(OD19:OD19,"B"))*3)+((COUNTIF(OD19:OD19,"C"))*2)+((COUNTIF(OD19:OD19,"D"))*1))*CELL("contenu",$B$18),0))/IF(SUM(COUNTA(OD5:OD6)*CELL("contenu",$B$4),COUNTA(OD8:OD11)*CELL("contenu",$B$7),COUNTA(OD13:OD13)*CELL("contenu",$B$12),COUNTA(OD15:OD17)*CELL("contenu",$B$14),COUNTA(OD19:OD19)*CELL("contenu",$B$18))=0,1,SUM(COUNTA(OD5:OD6)*CELL("contenu",$B$4),COUNTA(OD8:OD11)*CELL("contenu",$B$7),COUNTA(OD13:OD13)*CELL("contenu",$B$12),COUNTA(OD15:OD17)*CELL("contenu",$B$14),COUNTA(OD19:OD19)*CELL("contenu",$B$18))))</f>
        <v>15</v>
      </c>
      <c r="OE20" s="168">
        <f ca="1">IF(COUNTA(OE5:OE19)=0,"",5*SUM(IFERROR((((COUNTIF(OE5:OE6,"A"))*4)+((COUNTIF(OE5:OE6,"B"))*3)+((COUNTIF(OE5:OE6,"C"))*2)+((COUNTIF(OE5:OE6,"D"))*1))*CELL("contenu",$B$4),0),IFERROR((((COUNTIF(OE8:OE11,"A"))*4)+((COUNTIF(OE8:OE11,"B"))*3)+((COUNTIF(OE8:OE11,"C"))*2)+((COUNTIF(OE8:OE11,"D"))*1))*CELL("contenu",$B$7),0),IFERROR((((COUNTIF(OE13:OE13,"A"))*4)+((COUNTIF(OE13:OE13,"B"))*3)+((COUNTIF(OE13:OE13,"C"))*2)+((COUNTIF(OE13:OE13,"D"))*1))*CELL("contenu",$B$12),0),IFERROR((((COUNTIF(OE15:OE17,"A"))*4)+((COUNTIF(OE15:OE17,"B"))*3)+((COUNTIF(OE15:OE17,"C"))*2)+((COUNTIF(OE15:OE17,"D"))*1))*CELL("contenu",$B$14),0),IFERROR((((COUNTIF(OE19:OE19,"A"))*4)+((COUNTIF(OE19:OE19,"B"))*3)+((COUNTIF(OE19:OE19,"C"))*2)+((COUNTIF(OE19:OE19,"D"))*1))*CELL("contenu",$B$18),0))/IF(SUM(COUNTA(OE5:OE6)*CELL("contenu",$B$4),COUNTA(OE8:OE11)*CELL("contenu",$B$7),COUNTA(OE13:OE13)*CELL("contenu",$B$12),COUNTA(OE15:OE17)*CELL("contenu",$B$14),COUNTA(OE19:OE19)*CELL("contenu",$B$18))=0,1,SUM(COUNTA(OE5:OE6)*CELL("contenu",$B$4),COUNTA(OE8:OE11)*CELL("contenu",$B$7),COUNTA(OE13:OE13)*CELL("contenu",$B$12),COUNTA(OE15:OE17)*CELL("contenu",$B$14),COUNTA(OE19:OE19)*CELL("contenu",$B$18))))</f>
        <v>13.333333333333334</v>
      </c>
      <c r="OF20" s="169" t="str">
        <f ca="1">IF(COUNTA(OF5:OF19)=0,"",5*SUM(IFERROR((((COUNTIF(OF5:OF6,"A"))*4)+((COUNTIF(OF5:OF6,"B"))*3)+((COUNTIF(OF5:OF6,"C"))*2)+((COUNTIF(OF5:OF6,"D"))*1))*CELL("contenu",$B$4),0),IFERROR((((COUNTIF(OF8:OF11,"A"))*4)+((COUNTIF(OF8:OF11,"B"))*3)+((COUNTIF(OF8:OF11,"C"))*2)+((COUNTIF(OF8:OF11,"D"))*1))*CELL("contenu",$B$7),0),IFERROR((((COUNTIF(OF13:OF13,"A"))*4)+((COUNTIF(OF13:OF13,"B"))*3)+((COUNTIF(OF13:OF13,"C"))*2)+((COUNTIF(OF13:OF13,"D"))*1))*CELL("contenu",$B$12),0),IFERROR((((COUNTIF(OF15:OF17,"A"))*4)+((COUNTIF(OF15:OF17,"B"))*3)+((COUNTIF(OF15:OF17,"C"))*2)+((COUNTIF(OF15:OF17,"D"))*1))*CELL("contenu",$B$14),0),IFERROR((((COUNTIF(OF19:OF19,"A"))*4)+((COUNTIF(OF19:OF19,"B"))*3)+((COUNTIF(OF19:OF19,"C"))*2)+((COUNTIF(OF19:OF19,"D"))*1))*CELL("contenu",$B$18),0))/IF(SUM(COUNTA(OF5:OF6)*CELL("contenu",$B$4),COUNTA(OF8:OF11)*CELL("contenu",$B$7),COUNTA(OF13:OF13)*CELL("contenu",$B$12),COUNTA(OF15:OF17)*CELL("contenu",$B$14),COUNTA(OF19:OF19)*CELL("contenu",$B$18))=0,1,SUM(COUNTA(OF5:OF6)*CELL("contenu",$B$4),COUNTA(OF8:OF11)*CELL("contenu",$B$7),COUNTA(OF13:OF13)*CELL("contenu",$B$12),COUNTA(OF15:OF17)*CELL("contenu",$B$14),COUNTA(OF19:OF19)*CELL("contenu",$B$18))))</f>
        <v/>
      </c>
      <c r="OG20" s="116"/>
      <c r="OH20" s="192">
        <f ca="1">IF(COUNTA(OD20:OF20)-COUNTBLANK(OD20:OF20)=0,"",SUM(OD20:OF20)/(COUNTA(OD20:OF20)-COUNTBLANK(OD20:OF20)))</f>
        <v>14.166666666666668</v>
      </c>
      <c r="OI20" s="182" t="str">
        <f ca="1">IF(COUNTA(OI5:OI19)=0,"",5*SUM(IFERROR((((COUNTIF(OI5:OI6,"A"))*4)+((COUNTIF(OI5:OI6,"B"))*3)+((COUNTIF(OI5:OI6,"C"))*2)+((COUNTIF(OI5:OI6,"D"))*1))*CELL("contenu",$B$4),0),IFERROR((((COUNTIF(OI8:OI11,"A"))*4)+((COUNTIF(OI8:OI11,"B"))*3)+((COUNTIF(OI8:OI11,"C"))*2)+((COUNTIF(OI8:OI11,"D"))*1))*CELL("contenu",$B$7),0),IFERROR((((COUNTIF(OI13:OI13,"A"))*4)+((COUNTIF(OI13:OI13,"B"))*3)+((COUNTIF(OI13:OI13,"C"))*2)+((COUNTIF(OI13:OI13,"D"))*1))*CELL("contenu",$B$12),0),IFERROR((((COUNTIF(OI15:OI17,"A"))*4)+((COUNTIF(OI15:OI17,"B"))*3)+((COUNTIF(OI15:OI17,"C"))*2)+((COUNTIF(OI15:OI17,"D"))*1))*CELL("contenu",$B$14),0),IFERROR((((COUNTIF(OI19:OI19,"A"))*4)+((COUNTIF(OI19:OI19,"B"))*3)+((COUNTIF(OI19:OI19,"C"))*2)+((COUNTIF(OI19:OI19,"D"))*1))*CELL("contenu",$B$18),0))/IF(SUM(COUNTA(OI5:OI6)*CELL("contenu",$B$4),COUNTA(OI8:OI11)*CELL("contenu",$B$7),COUNTA(OI13:OI13)*CELL("contenu",$B$12),COUNTA(OI15:OI17)*CELL("contenu",$B$14),COUNTA(OI19:OI19)*CELL("contenu",$B$18))=0,1,SUM(COUNTA(OI5:OI6)*CELL("contenu",$B$4),COUNTA(OI8:OI11)*CELL("contenu",$B$7),COUNTA(OI13:OI13)*CELL("contenu",$B$12),COUNTA(OI15:OI17)*CELL("contenu",$B$14),COUNTA(OI19:OI19)*CELL("contenu",$B$18))))</f>
        <v/>
      </c>
      <c r="OJ20" s="183" t="str">
        <f ca="1">IF(COUNTA(OJ5:OJ19)=0,"",5*SUM(IFERROR((((COUNTIF(OJ5:OJ6,"A"))*4)+((COUNTIF(OJ5:OJ6,"B"))*3)+((COUNTIF(OJ5:OJ6,"C"))*2)+((COUNTIF(OJ5:OJ6,"D"))*1))*CELL("contenu",$B$4),0),IFERROR((((COUNTIF(OJ8:OJ11,"A"))*4)+((COUNTIF(OJ8:OJ11,"B"))*3)+((COUNTIF(OJ8:OJ11,"C"))*2)+((COUNTIF(OJ8:OJ11,"D"))*1))*CELL("contenu",$B$7),0),IFERROR((((COUNTIF(OJ13:OJ13,"A"))*4)+((COUNTIF(OJ13:OJ13,"B"))*3)+((COUNTIF(OJ13:OJ13,"C"))*2)+((COUNTIF(OJ13:OJ13,"D"))*1))*CELL("contenu",$B$12),0),IFERROR((((COUNTIF(OJ15:OJ17,"A"))*4)+((COUNTIF(OJ15:OJ17,"B"))*3)+((COUNTIF(OJ15:OJ17,"C"))*2)+((COUNTIF(OJ15:OJ17,"D"))*1))*CELL("contenu",$B$14),0),IFERROR((((COUNTIF(OJ19:OJ19,"A"))*4)+((COUNTIF(OJ19:OJ19,"B"))*3)+((COUNTIF(OJ19:OJ19,"C"))*2)+((COUNTIF(OJ19:OJ19,"D"))*1))*CELL("contenu",$B$18),0))/IF(SUM(COUNTA(OJ5:OJ6)*CELL("contenu",$B$4),COUNTA(OJ8:OJ11)*CELL("contenu",$B$7),COUNTA(OJ13:OJ13)*CELL("contenu",$B$12),COUNTA(OJ15:OJ17)*CELL("contenu",$B$14),COUNTA(OJ19:OJ19)*CELL("contenu",$B$18))=0,1,SUM(COUNTA(OJ5:OJ6)*CELL("contenu",$B$4),COUNTA(OJ8:OJ11)*CELL("contenu",$B$7),COUNTA(OJ13:OJ13)*CELL("contenu",$B$12),COUNTA(OJ15:OJ17)*CELL("contenu",$B$14),COUNTA(OJ19:OJ19)*CELL("contenu",$B$18))))</f>
        <v/>
      </c>
      <c r="OK20" s="184" t="str">
        <f ca="1">IF(COUNTA(OK5:OK19)=0,"",5*SUM(IFERROR((((COUNTIF(OK5:OK6,"A"))*4)+((COUNTIF(OK5:OK6,"B"))*3)+((COUNTIF(OK5:OK6,"C"))*2)+((COUNTIF(OK5:OK6,"D"))*1))*CELL("contenu",$B$4),0),IFERROR((((COUNTIF(OK8:OK11,"A"))*4)+((COUNTIF(OK8:OK11,"B"))*3)+((COUNTIF(OK8:OK11,"C"))*2)+((COUNTIF(OK8:OK11,"D"))*1))*CELL("contenu",$B$7),0),IFERROR((((COUNTIF(OK13:OK13,"A"))*4)+((COUNTIF(OK13:OK13,"B"))*3)+((COUNTIF(OK13:OK13,"C"))*2)+((COUNTIF(OK13:OK13,"D"))*1))*CELL("contenu",$B$12),0),IFERROR((((COUNTIF(OK15:OK17,"A"))*4)+((COUNTIF(OK15:OK17,"B"))*3)+((COUNTIF(OK15:OK17,"C"))*2)+((COUNTIF(OK15:OK17,"D"))*1))*CELL("contenu",$B$14),0),IFERROR((((COUNTIF(OK19:OK19,"A"))*4)+((COUNTIF(OK19:OK19,"B"))*3)+((COUNTIF(OK19:OK19,"C"))*2)+((COUNTIF(OK19:OK19,"D"))*1))*CELL("contenu",$B$18),0))/IF(SUM(COUNTA(OK5:OK6)*CELL("contenu",$B$4),COUNTA(OK8:OK11)*CELL("contenu",$B$7),COUNTA(OK13:OK13)*CELL("contenu",$B$12),COUNTA(OK15:OK17)*CELL("contenu",$B$14),COUNTA(OK19:OK19)*CELL("contenu",$B$18))=0,1,SUM(COUNTA(OK5:OK6)*CELL("contenu",$B$4),COUNTA(OK8:OK11)*CELL("contenu",$B$7),COUNTA(OK13:OK13)*CELL("contenu",$B$12),COUNTA(OK15:OK17)*CELL("contenu",$B$14),COUNTA(OK19:OK19)*CELL("contenu",$B$18))))</f>
        <v/>
      </c>
      <c r="OL20" s="176"/>
      <c r="OM20" s="175" t="str">
        <f ca="1">IF(COUNTA(OI20:OK20)-COUNTBLANK(OI20:OK20)=0,"",SUM(OI20:OK20)/(COUNTA(OI20:OK20)-COUNTBLANK(OI20:OK20)))</f>
        <v/>
      </c>
      <c r="ON20" s="182" t="str">
        <f ca="1">IF(COUNTA(ON5:ON19)=0,"",5*SUM(IFERROR((((COUNTIF(ON5:ON6,"A"))*4)+((COUNTIF(ON5:ON6,"B"))*3)+((COUNTIF(ON5:ON6,"C"))*2)+((COUNTIF(ON5:ON6,"D"))*1))*CELL("contenu",$B$4),0),IFERROR((((COUNTIF(ON8:ON11,"A"))*4)+((COUNTIF(ON8:ON11,"B"))*3)+((COUNTIF(ON8:ON11,"C"))*2)+((COUNTIF(ON8:ON11,"D"))*1))*CELL("contenu",$B$7),0),IFERROR((((COUNTIF(ON13:ON13,"A"))*4)+((COUNTIF(ON13:ON13,"B"))*3)+((COUNTIF(ON13:ON13,"C"))*2)+((COUNTIF(ON13:ON13,"D"))*1))*CELL("contenu",$B$12),0),IFERROR((((COUNTIF(ON15:ON17,"A"))*4)+((COUNTIF(ON15:ON17,"B"))*3)+((COUNTIF(ON15:ON17,"C"))*2)+((COUNTIF(ON15:ON17,"D"))*1))*CELL("contenu",$B$14),0),IFERROR((((COUNTIF(ON19:ON19,"A"))*4)+((COUNTIF(ON19:ON19,"B"))*3)+((COUNTIF(ON19:ON19,"C"))*2)+((COUNTIF(ON19:ON19,"D"))*1))*CELL("contenu",$B$18),0))/IF(SUM(COUNTA(ON5:ON6)*CELL("contenu",$B$4),COUNTA(ON8:ON11)*CELL("contenu",$B$7),COUNTA(ON13:ON13)*CELL("contenu",$B$12),COUNTA(ON15:ON17)*CELL("contenu",$B$14),COUNTA(ON19:ON19)*CELL("contenu",$B$18))=0,1,SUM(COUNTA(ON5:ON6)*CELL("contenu",$B$4),COUNTA(ON8:ON11)*CELL("contenu",$B$7),COUNTA(ON13:ON13)*CELL("contenu",$B$12),COUNTA(ON15:ON17)*CELL("contenu",$B$14),COUNTA(ON19:ON19)*CELL("contenu",$B$18))))</f>
        <v/>
      </c>
      <c r="OO20" s="183" t="str">
        <f ca="1">IF(COUNTA(OO5:OO19)=0,"",5*SUM(IFERROR((((COUNTIF(OO5:OO6,"A"))*4)+((COUNTIF(OO5:OO6,"B"))*3)+((COUNTIF(OO5:OO6,"C"))*2)+((COUNTIF(OO5:OO6,"D"))*1))*CELL("contenu",$B$4),0),IFERROR((((COUNTIF(OO8:OO11,"A"))*4)+((COUNTIF(OO8:OO11,"B"))*3)+((COUNTIF(OO8:OO11,"C"))*2)+((COUNTIF(OO8:OO11,"D"))*1))*CELL("contenu",$B$7),0),IFERROR((((COUNTIF(OO13:OO13,"A"))*4)+((COUNTIF(OO13:OO13,"B"))*3)+((COUNTIF(OO13:OO13,"C"))*2)+((COUNTIF(OO13:OO13,"D"))*1))*CELL("contenu",$B$12),0),IFERROR((((COUNTIF(OO15:OO17,"A"))*4)+((COUNTIF(OO15:OO17,"B"))*3)+((COUNTIF(OO15:OO17,"C"))*2)+((COUNTIF(OO15:OO17,"D"))*1))*CELL("contenu",$B$14),0),IFERROR((((COUNTIF(OO19:OO19,"A"))*4)+((COUNTIF(OO19:OO19,"B"))*3)+((COUNTIF(OO19:OO19,"C"))*2)+((COUNTIF(OO19:OO19,"D"))*1))*CELL("contenu",$B$18),0))/IF(SUM(COUNTA(OO5:OO6)*CELL("contenu",$B$4),COUNTA(OO8:OO11)*CELL("contenu",$B$7),COUNTA(OO13:OO13)*CELL("contenu",$B$12),COUNTA(OO15:OO17)*CELL("contenu",$B$14),COUNTA(OO19:OO19)*CELL("contenu",$B$18))=0,1,SUM(COUNTA(OO5:OO6)*CELL("contenu",$B$4),COUNTA(OO8:OO11)*CELL("contenu",$B$7),COUNTA(OO13:OO13)*CELL("contenu",$B$12),COUNTA(OO15:OO17)*CELL("contenu",$B$14),COUNTA(OO19:OO19)*CELL("contenu",$B$18))))</f>
        <v/>
      </c>
      <c r="OP20" s="184" t="str">
        <f ca="1">IF(COUNTA(OP5:OP19)=0,"",5*SUM(IFERROR((((COUNTIF(OP5:OP6,"A"))*4)+((COUNTIF(OP5:OP6,"B"))*3)+((COUNTIF(OP5:OP6,"C"))*2)+((COUNTIF(OP5:OP6,"D"))*1))*CELL("contenu",$B$4),0),IFERROR((((COUNTIF(OP8:OP11,"A"))*4)+((COUNTIF(OP8:OP11,"B"))*3)+((COUNTIF(OP8:OP11,"C"))*2)+((COUNTIF(OP8:OP11,"D"))*1))*CELL("contenu",$B$7),0),IFERROR((((COUNTIF(OP13:OP13,"A"))*4)+((COUNTIF(OP13:OP13,"B"))*3)+((COUNTIF(OP13:OP13,"C"))*2)+((COUNTIF(OP13:OP13,"D"))*1))*CELL("contenu",$B$12),0),IFERROR((((COUNTIF(OP15:OP17,"A"))*4)+((COUNTIF(OP15:OP17,"B"))*3)+((COUNTIF(OP15:OP17,"C"))*2)+((COUNTIF(OP15:OP17,"D"))*1))*CELL("contenu",$B$14),0),IFERROR((((COUNTIF(OP19:OP19,"A"))*4)+((COUNTIF(OP19:OP19,"B"))*3)+((COUNTIF(OP19:OP19,"C"))*2)+((COUNTIF(OP19:OP19,"D"))*1))*CELL("contenu",$B$18),0))/IF(SUM(COUNTA(OP5:OP6)*CELL("contenu",$B$4),COUNTA(OP8:OP11)*CELL("contenu",$B$7),COUNTA(OP13:OP13)*CELL("contenu",$B$12),COUNTA(OP15:OP17)*CELL("contenu",$B$14),COUNTA(OP19:OP19)*CELL("contenu",$B$18))=0,1,SUM(COUNTA(OP5:OP6)*CELL("contenu",$B$4),COUNTA(OP8:OP11)*CELL("contenu",$B$7),COUNTA(OP13:OP13)*CELL("contenu",$B$12),COUNTA(OP15:OP17)*CELL("contenu",$B$14),COUNTA(OP19:OP19)*CELL("contenu",$B$18))))</f>
        <v/>
      </c>
      <c r="OQ20" s="176"/>
      <c r="OR20" s="174" t="str">
        <f ca="1">IF(COUNTA(ON20:OP20)-COUNTBLANK(ON20:OP20)=0,"",SUM(ON20:OP20)/(COUNTA(ON20:OP20)-COUNTBLANK(ON20:OP20)))</f>
        <v/>
      </c>
      <c r="OS20" s="103"/>
      <c r="OT20" s="141"/>
      <c r="OU20" s="167">
        <f ca="1">IF(COUNTA(OU5:OU19)=0,"",5*SUM(IFERROR((((COUNTIF(OU5:OU6,"A"))*4)+((COUNTIF(OU5:OU6,"B"))*3)+((COUNTIF(OU5:OU6,"C"))*2)+((COUNTIF(OU5:OU6,"D"))*1))*CELL("contenu",$B$4),0),IFERROR((((COUNTIF(OU8:OU11,"A"))*4)+((COUNTIF(OU8:OU11,"B"))*3)+((COUNTIF(OU8:OU11,"C"))*2)+((COUNTIF(OU8:OU11,"D"))*1))*CELL("contenu",$B$7),0),IFERROR((((COUNTIF(OU13:OU13,"A"))*4)+((COUNTIF(OU13:OU13,"B"))*3)+((COUNTIF(OU13:OU13,"C"))*2)+((COUNTIF(OU13:OU13,"D"))*1))*CELL("contenu",$B$12),0),IFERROR((((COUNTIF(OU15:OU17,"A"))*4)+((COUNTIF(OU15:OU17,"B"))*3)+((COUNTIF(OU15:OU17,"C"))*2)+((COUNTIF(OU15:OU17,"D"))*1))*CELL("contenu",$B$14),0),IFERROR((((COUNTIF(OU19:OU19,"A"))*4)+((COUNTIF(OU19:OU19,"B"))*3)+((COUNTIF(OU19:OU19,"C"))*2)+((COUNTIF(OU19:OU19,"D"))*1))*CELL("contenu",$B$18),0))/IF(SUM(COUNTA(OU5:OU6)*CELL("contenu",$B$4),COUNTA(OU8:OU11)*CELL("contenu",$B$7),COUNTA(OU13:OU13)*CELL("contenu",$B$12),COUNTA(OU15:OU17)*CELL("contenu",$B$14),COUNTA(OU19:OU19)*CELL("contenu",$B$18))=0,1,SUM(COUNTA(OU5:OU6)*CELL("contenu",$B$4),COUNTA(OU8:OU11)*CELL("contenu",$B$7),COUNTA(OU13:OU13)*CELL("contenu",$B$12),COUNTA(OU15:OU17)*CELL("contenu",$B$14),COUNTA(OU19:OU19)*CELL("contenu",$B$18))))</f>
        <v>16.666666666666668</v>
      </c>
      <c r="OV20" s="168">
        <f ca="1">IF(COUNTA(OV5:OV19)=0,"",5*SUM(IFERROR((((COUNTIF(OV5:OV6,"A"))*4)+((COUNTIF(OV5:OV6,"B"))*3)+((COUNTIF(OV5:OV6,"C"))*2)+((COUNTIF(OV5:OV6,"D"))*1))*CELL("contenu",$B$4),0),IFERROR((((COUNTIF(OV8:OV11,"A"))*4)+((COUNTIF(OV8:OV11,"B"))*3)+((COUNTIF(OV8:OV11,"C"))*2)+((COUNTIF(OV8:OV11,"D"))*1))*CELL("contenu",$B$7),0),IFERROR((((COUNTIF(OV13:OV13,"A"))*4)+((COUNTIF(OV13:OV13,"B"))*3)+((COUNTIF(OV13:OV13,"C"))*2)+((COUNTIF(OV13:OV13,"D"))*1))*CELL("contenu",$B$12),0),IFERROR((((COUNTIF(OV15:OV17,"A"))*4)+((COUNTIF(OV15:OV17,"B"))*3)+((COUNTIF(OV15:OV17,"C"))*2)+((COUNTIF(OV15:OV17,"D"))*1))*CELL("contenu",$B$14),0),IFERROR((((COUNTIF(OV19:OV19,"A"))*4)+((COUNTIF(OV19:OV19,"B"))*3)+((COUNTIF(OV19:OV19,"C"))*2)+((COUNTIF(OV19:OV19,"D"))*1))*CELL("contenu",$B$18),0))/IF(SUM(COUNTA(OV5:OV6)*CELL("contenu",$B$4),COUNTA(OV8:OV11)*CELL("contenu",$B$7),COUNTA(OV13:OV13)*CELL("contenu",$B$12),COUNTA(OV15:OV17)*CELL("contenu",$B$14),COUNTA(OV19:OV19)*CELL("contenu",$B$18))=0,1,SUM(COUNTA(OV5:OV6)*CELL("contenu",$B$4),COUNTA(OV8:OV11)*CELL("contenu",$B$7),COUNTA(OV13:OV13)*CELL("contenu",$B$12),COUNTA(OV15:OV17)*CELL("contenu",$B$14),COUNTA(OV19:OV19)*CELL("contenu",$B$18))))</f>
        <v>20</v>
      </c>
      <c r="OW20" s="169" t="str">
        <f ca="1">IF(COUNTA(OW5:OW19)=0,"",5*SUM(IFERROR((((COUNTIF(OW5:OW6,"A"))*4)+((COUNTIF(OW5:OW6,"B"))*3)+((COUNTIF(OW5:OW6,"C"))*2)+((COUNTIF(OW5:OW6,"D"))*1))*CELL("contenu",$B$4),0),IFERROR((((COUNTIF(OW8:OW11,"A"))*4)+((COUNTIF(OW8:OW11,"B"))*3)+((COUNTIF(OW8:OW11,"C"))*2)+((COUNTIF(OW8:OW11,"D"))*1))*CELL("contenu",$B$7),0),IFERROR((((COUNTIF(OW13:OW13,"A"))*4)+((COUNTIF(OW13:OW13,"B"))*3)+((COUNTIF(OW13:OW13,"C"))*2)+((COUNTIF(OW13:OW13,"D"))*1))*CELL("contenu",$B$12),0),IFERROR((((COUNTIF(OW15:OW17,"A"))*4)+((COUNTIF(OW15:OW17,"B"))*3)+((COUNTIF(OW15:OW17,"C"))*2)+((COUNTIF(OW15:OW17,"D"))*1))*CELL("contenu",$B$14),0),IFERROR((((COUNTIF(OW19:OW19,"A"))*4)+((COUNTIF(OW19:OW19,"B"))*3)+((COUNTIF(OW19:OW19,"C"))*2)+((COUNTIF(OW19:OW19,"D"))*1))*CELL("contenu",$B$18),0))/IF(SUM(COUNTA(OW5:OW6)*CELL("contenu",$B$4),COUNTA(OW8:OW11)*CELL("contenu",$B$7),COUNTA(OW13:OW13)*CELL("contenu",$B$12),COUNTA(OW15:OW17)*CELL("contenu",$B$14),COUNTA(OW19:OW19)*CELL("contenu",$B$18))=0,1,SUM(COUNTA(OW5:OW6)*CELL("contenu",$B$4),COUNTA(OW8:OW11)*CELL("contenu",$B$7),COUNTA(OW13:OW13)*CELL("contenu",$B$12),COUNTA(OW15:OW17)*CELL("contenu",$B$14),COUNTA(OW19:OW19)*CELL("contenu",$B$18))))</f>
        <v/>
      </c>
      <c r="OX20" s="116"/>
      <c r="OY20" s="192">
        <f ca="1">IF(COUNTA(OU20:OW20)-COUNTBLANK(OU20:OW20)=0,"",SUM(OU20:OW20)/(COUNTA(OU20:OW20)-COUNTBLANK(OU20:OW20)))</f>
        <v>18.333333333333336</v>
      </c>
      <c r="OZ20" s="182" t="str">
        <f ca="1">IF(COUNTA(OZ5:OZ19)=0,"",5*SUM(IFERROR((((COUNTIF(OZ5:OZ6,"A"))*4)+((COUNTIF(OZ5:OZ6,"B"))*3)+((COUNTIF(OZ5:OZ6,"C"))*2)+((COUNTIF(OZ5:OZ6,"D"))*1))*CELL("contenu",$B$4),0),IFERROR((((COUNTIF(OZ8:OZ11,"A"))*4)+((COUNTIF(OZ8:OZ11,"B"))*3)+((COUNTIF(OZ8:OZ11,"C"))*2)+((COUNTIF(OZ8:OZ11,"D"))*1))*CELL("contenu",$B$7),0),IFERROR((((COUNTIF(OZ13:OZ13,"A"))*4)+((COUNTIF(OZ13:OZ13,"B"))*3)+((COUNTIF(OZ13:OZ13,"C"))*2)+((COUNTIF(OZ13:OZ13,"D"))*1))*CELL("contenu",$B$12),0),IFERROR((((COUNTIF(OZ15:OZ17,"A"))*4)+((COUNTIF(OZ15:OZ17,"B"))*3)+((COUNTIF(OZ15:OZ17,"C"))*2)+((COUNTIF(OZ15:OZ17,"D"))*1))*CELL("contenu",$B$14),0),IFERROR((((COUNTIF(OZ19:OZ19,"A"))*4)+((COUNTIF(OZ19:OZ19,"B"))*3)+((COUNTIF(OZ19:OZ19,"C"))*2)+((COUNTIF(OZ19:OZ19,"D"))*1))*CELL("contenu",$B$18),0))/IF(SUM(COUNTA(OZ5:OZ6)*CELL("contenu",$B$4),COUNTA(OZ8:OZ11)*CELL("contenu",$B$7),COUNTA(OZ13:OZ13)*CELL("contenu",$B$12),COUNTA(OZ15:OZ17)*CELL("contenu",$B$14),COUNTA(OZ19:OZ19)*CELL("contenu",$B$18))=0,1,SUM(COUNTA(OZ5:OZ6)*CELL("contenu",$B$4),COUNTA(OZ8:OZ11)*CELL("contenu",$B$7),COUNTA(OZ13:OZ13)*CELL("contenu",$B$12),COUNTA(OZ15:OZ17)*CELL("contenu",$B$14),COUNTA(OZ19:OZ19)*CELL("contenu",$B$18))))</f>
        <v/>
      </c>
      <c r="PA20" s="183" t="str">
        <f ca="1">IF(COUNTA(PA5:PA19)=0,"",5*SUM(IFERROR((((COUNTIF(PA5:PA6,"A"))*4)+((COUNTIF(PA5:PA6,"B"))*3)+((COUNTIF(PA5:PA6,"C"))*2)+((COUNTIF(PA5:PA6,"D"))*1))*CELL("contenu",$B$4),0),IFERROR((((COUNTIF(PA8:PA11,"A"))*4)+((COUNTIF(PA8:PA11,"B"))*3)+((COUNTIF(PA8:PA11,"C"))*2)+((COUNTIF(PA8:PA11,"D"))*1))*CELL("contenu",$B$7),0),IFERROR((((COUNTIF(PA13:PA13,"A"))*4)+((COUNTIF(PA13:PA13,"B"))*3)+((COUNTIF(PA13:PA13,"C"))*2)+((COUNTIF(PA13:PA13,"D"))*1))*CELL("contenu",$B$12),0),IFERROR((((COUNTIF(PA15:PA17,"A"))*4)+((COUNTIF(PA15:PA17,"B"))*3)+((COUNTIF(PA15:PA17,"C"))*2)+((COUNTIF(PA15:PA17,"D"))*1))*CELL("contenu",$B$14),0),IFERROR((((COUNTIF(PA19:PA19,"A"))*4)+((COUNTIF(PA19:PA19,"B"))*3)+((COUNTIF(PA19:PA19,"C"))*2)+((COUNTIF(PA19:PA19,"D"))*1))*CELL("contenu",$B$18),0))/IF(SUM(COUNTA(PA5:PA6)*CELL("contenu",$B$4),COUNTA(PA8:PA11)*CELL("contenu",$B$7),COUNTA(PA13:PA13)*CELL("contenu",$B$12),COUNTA(PA15:PA17)*CELL("contenu",$B$14),COUNTA(PA19:PA19)*CELL("contenu",$B$18))=0,1,SUM(COUNTA(PA5:PA6)*CELL("contenu",$B$4),COUNTA(PA8:PA11)*CELL("contenu",$B$7),COUNTA(PA13:PA13)*CELL("contenu",$B$12),COUNTA(PA15:PA17)*CELL("contenu",$B$14),COUNTA(PA19:PA19)*CELL("contenu",$B$18))))</f>
        <v/>
      </c>
      <c r="PB20" s="184" t="str">
        <f ca="1">IF(COUNTA(PB5:PB19)=0,"",5*SUM(IFERROR((((COUNTIF(PB5:PB6,"A"))*4)+((COUNTIF(PB5:PB6,"B"))*3)+((COUNTIF(PB5:PB6,"C"))*2)+((COUNTIF(PB5:PB6,"D"))*1))*CELL("contenu",$B$4),0),IFERROR((((COUNTIF(PB8:PB11,"A"))*4)+((COUNTIF(PB8:PB11,"B"))*3)+((COUNTIF(PB8:PB11,"C"))*2)+((COUNTIF(PB8:PB11,"D"))*1))*CELL("contenu",$B$7),0),IFERROR((((COUNTIF(PB13:PB13,"A"))*4)+((COUNTIF(PB13:PB13,"B"))*3)+((COUNTIF(PB13:PB13,"C"))*2)+((COUNTIF(PB13:PB13,"D"))*1))*CELL("contenu",$B$12),0),IFERROR((((COUNTIF(PB15:PB17,"A"))*4)+((COUNTIF(PB15:PB17,"B"))*3)+((COUNTIF(PB15:PB17,"C"))*2)+((COUNTIF(PB15:PB17,"D"))*1))*CELL("contenu",$B$14),0),IFERROR((((COUNTIF(PB19:PB19,"A"))*4)+((COUNTIF(PB19:PB19,"B"))*3)+((COUNTIF(PB19:PB19,"C"))*2)+((COUNTIF(PB19:PB19,"D"))*1))*CELL("contenu",$B$18),0))/IF(SUM(COUNTA(PB5:PB6)*CELL("contenu",$B$4),COUNTA(PB8:PB11)*CELL("contenu",$B$7),COUNTA(PB13:PB13)*CELL("contenu",$B$12),COUNTA(PB15:PB17)*CELL("contenu",$B$14),COUNTA(PB19:PB19)*CELL("contenu",$B$18))=0,1,SUM(COUNTA(PB5:PB6)*CELL("contenu",$B$4),COUNTA(PB8:PB11)*CELL("contenu",$B$7),COUNTA(PB13:PB13)*CELL("contenu",$B$12),COUNTA(PB15:PB17)*CELL("contenu",$B$14),COUNTA(PB19:PB19)*CELL("contenu",$B$18))))</f>
        <v/>
      </c>
      <c r="PC20" s="176"/>
      <c r="PD20" s="175" t="str">
        <f ca="1">IF(COUNTA(OZ20:PB20)-COUNTBLANK(OZ20:PB20)=0,"",SUM(OZ20:PB20)/(COUNTA(OZ20:PB20)-COUNTBLANK(OZ20:PB20)))</f>
        <v/>
      </c>
      <c r="PE20" s="182" t="str">
        <f ca="1">IF(COUNTA(PE5:PE19)=0,"",5*SUM(IFERROR((((COUNTIF(PE5:PE6,"A"))*4)+((COUNTIF(PE5:PE6,"B"))*3)+((COUNTIF(PE5:PE6,"C"))*2)+((COUNTIF(PE5:PE6,"D"))*1))*CELL("contenu",$B$4),0),IFERROR((((COUNTIF(PE8:PE11,"A"))*4)+((COUNTIF(PE8:PE11,"B"))*3)+((COUNTIF(PE8:PE11,"C"))*2)+((COUNTIF(PE8:PE11,"D"))*1))*CELL("contenu",$B$7),0),IFERROR((((COUNTIF(PE13:PE13,"A"))*4)+((COUNTIF(PE13:PE13,"B"))*3)+((COUNTIF(PE13:PE13,"C"))*2)+((COUNTIF(PE13:PE13,"D"))*1))*CELL("contenu",$B$12),0),IFERROR((((COUNTIF(PE15:PE17,"A"))*4)+((COUNTIF(PE15:PE17,"B"))*3)+((COUNTIF(PE15:PE17,"C"))*2)+((COUNTIF(PE15:PE17,"D"))*1))*CELL("contenu",$B$14),0),IFERROR((((COUNTIF(PE19:PE19,"A"))*4)+((COUNTIF(PE19:PE19,"B"))*3)+((COUNTIF(PE19:PE19,"C"))*2)+((COUNTIF(PE19:PE19,"D"))*1))*CELL("contenu",$B$18),0))/IF(SUM(COUNTA(PE5:PE6)*CELL("contenu",$B$4),COUNTA(PE8:PE11)*CELL("contenu",$B$7),COUNTA(PE13:PE13)*CELL("contenu",$B$12),COUNTA(PE15:PE17)*CELL("contenu",$B$14),COUNTA(PE19:PE19)*CELL("contenu",$B$18))=0,1,SUM(COUNTA(PE5:PE6)*CELL("contenu",$B$4),COUNTA(PE8:PE11)*CELL("contenu",$B$7),COUNTA(PE13:PE13)*CELL("contenu",$B$12),COUNTA(PE15:PE17)*CELL("contenu",$B$14),COUNTA(PE19:PE19)*CELL("contenu",$B$18))))</f>
        <v/>
      </c>
      <c r="PF20" s="183" t="str">
        <f ca="1">IF(COUNTA(PF5:PF19)=0,"",5*SUM(IFERROR((((COUNTIF(PF5:PF6,"A"))*4)+((COUNTIF(PF5:PF6,"B"))*3)+((COUNTIF(PF5:PF6,"C"))*2)+((COUNTIF(PF5:PF6,"D"))*1))*CELL("contenu",$B$4),0),IFERROR((((COUNTIF(PF8:PF11,"A"))*4)+((COUNTIF(PF8:PF11,"B"))*3)+((COUNTIF(PF8:PF11,"C"))*2)+((COUNTIF(PF8:PF11,"D"))*1))*CELL("contenu",$B$7),0),IFERROR((((COUNTIF(PF13:PF13,"A"))*4)+((COUNTIF(PF13:PF13,"B"))*3)+((COUNTIF(PF13:PF13,"C"))*2)+((COUNTIF(PF13:PF13,"D"))*1))*CELL("contenu",$B$12),0),IFERROR((((COUNTIF(PF15:PF17,"A"))*4)+((COUNTIF(PF15:PF17,"B"))*3)+((COUNTIF(PF15:PF17,"C"))*2)+((COUNTIF(PF15:PF17,"D"))*1))*CELL("contenu",$B$14),0),IFERROR((((COUNTIF(PF19:PF19,"A"))*4)+((COUNTIF(PF19:PF19,"B"))*3)+((COUNTIF(PF19:PF19,"C"))*2)+((COUNTIF(PF19:PF19,"D"))*1))*CELL("contenu",$B$18),0))/IF(SUM(COUNTA(PF5:PF6)*CELL("contenu",$B$4),COUNTA(PF8:PF11)*CELL("contenu",$B$7),COUNTA(PF13:PF13)*CELL("contenu",$B$12),COUNTA(PF15:PF17)*CELL("contenu",$B$14),COUNTA(PF19:PF19)*CELL("contenu",$B$18))=0,1,SUM(COUNTA(PF5:PF6)*CELL("contenu",$B$4),COUNTA(PF8:PF11)*CELL("contenu",$B$7),COUNTA(PF13:PF13)*CELL("contenu",$B$12),COUNTA(PF15:PF17)*CELL("contenu",$B$14),COUNTA(PF19:PF19)*CELL("contenu",$B$18))))</f>
        <v/>
      </c>
      <c r="PG20" s="184" t="str">
        <f ca="1">IF(COUNTA(PG5:PG19)=0,"",5*SUM(IFERROR((((COUNTIF(PG5:PG6,"A"))*4)+((COUNTIF(PG5:PG6,"B"))*3)+((COUNTIF(PG5:PG6,"C"))*2)+((COUNTIF(PG5:PG6,"D"))*1))*CELL("contenu",$B$4),0),IFERROR((((COUNTIF(PG8:PG11,"A"))*4)+((COUNTIF(PG8:PG11,"B"))*3)+((COUNTIF(PG8:PG11,"C"))*2)+((COUNTIF(PG8:PG11,"D"))*1))*CELL("contenu",$B$7),0),IFERROR((((COUNTIF(PG13:PG13,"A"))*4)+((COUNTIF(PG13:PG13,"B"))*3)+((COUNTIF(PG13:PG13,"C"))*2)+((COUNTIF(PG13:PG13,"D"))*1))*CELL("contenu",$B$12),0),IFERROR((((COUNTIF(PG15:PG17,"A"))*4)+((COUNTIF(PG15:PG17,"B"))*3)+((COUNTIF(PG15:PG17,"C"))*2)+((COUNTIF(PG15:PG17,"D"))*1))*CELL("contenu",$B$14),0),IFERROR((((COUNTIF(PG19:PG19,"A"))*4)+((COUNTIF(PG19:PG19,"B"))*3)+((COUNTIF(PG19:PG19,"C"))*2)+((COUNTIF(PG19:PG19,"D"))*1))*CELL("contenu",$B$18),0))/IF(SUM(COUNTA(PG5:PG6)*CELL("contenu",$B$4),COUNTA(PG8:PG11)*CELL("contenu",$B$7),COUNTA(PG13:PG13)*CELL("contenu",$B$12),COUNTA(PG15:PG17)*CELL("contenu",$B$14),COUNTA(PG19:PG19)*CELL("contenu",$B$18))=0,1,SUM(COUNTA(PG5:PG6)*CELL("contenu",$B$4),COUNTA(PG8:PG11)*CELL("contenu",$B$7),COUNTA(PG13:PG13)*CELL("contenu",$B$12),COUNTA(PG15:PG17)*CELL("contenu",$B$14),COUNTA(PG19:PG19)*CELL("contenu",$B$18))))</f>
        <v/>
      </c>
      <c r="PH20" s="176"/>
      <c r="PI20" s="174" t="str">
        <f ca="1">IF(COUNTA(PE20:PG20)-COUNTBLANK(PE20:PG20)=0,"",SUM(PE20:PG20)/(COUNTA(PE20:PG20)-COUNTBLANK(PE20:PG20)))</f>
        <v/>
      </c>
      <c r="PJ20" s="103"/>
      <c r="PK20" s="141"/>
      <c r="PL20" s="167">
        <f ca="1">IF(COUNTA(PL5:PL19)=0,"",5*SUM(IFERROR((((COUNTIF(PL5:PL6,"A"))*4)+((COUNTIF(PL5:PL6,"B"))*3)+((COUNTIF(PL5:PL6,"C"))*2)+((COUNTIF(PL5:PL6,"D"))*1))*CELL("contenu",$B$4),0),IFERROR((((COUNTIF(PL8:PL11,"A"))*4)+((COUNTIF(PL8:PL11,"B"))*3)+((COUNTIF(PL8:PL11,"C"))*2)+((COUNTIF(PL8:PL11,"D"))*1))*CELL("contenu",$B$7),0),IFERROR((((COUNTIF(PL13:PL13,"A"))*4)+((COUNTIF(PL13:PL13,"B"))*3)+((COUNTIF(PL13:PL13,"C"))*2)+((COUNTIF(PL13:PL13,"D"))*1))*CELL("contenu",$B$12),0),IFERROR((((COUNTIF(PL15:PL17,"A"))*4)+((COUNTIF(PL15:PL17,"B"))*3)+((COUNTIF(PL15:PL17,"C"))*2)+((COUNTIF(PL15:PL17,"D"))*1))*CELL("contenu",$B$14),0),IFERROR((((COUNTIF(PL19:PL19,"A"))*4)+((COUNTIF(PL19:PL19,"B"))*3)+((COUNTIF(PL19:PL19,"C"))*2)+((COUNTIF(PL19:PL19,"D"))*1))*CELL("contenu",$B$18),0))/IF(SUM(COUNTA(PL5:PL6)*CELL("contenu",$B$4),COUNTA(PL8:PL11)*CELL("contenu",$B$7),COUNTA(PL13:PL13)*CELL("contenu",$B$12),COUNTA(PL15:PL17)*CELL("contenu",$B$14),COUNTA(PL19:PL19)*CELL("contenu",$B$18))=0,1,SUM(COUNTA(PL5:PL6)*CELL("contenu",$B$4),COUNTA(PL8:PL11)*CELL("contenu",$B$7),COUNTA(PL13:PL13)*CELL("contenu",$B$12),COUNTA(PL15:PL17)*CELL("contenu",$B$14),COUNTA(PL19:PL19)*CELL("contenu",$B$18))))</f>
        <v>13.333333333333334</v>
      </c>
      <c r="PM20" s="168">
        <f ca="1">IF(COUNTA(PM5:PM19)=0,"",5*SUM(IFERROR((((COUNTIF(PM5:PM6,"A"))*4)+((COUNTIF(PM5:PM6,"B"))*3)+((COUNTIF(PM5:PM6,"C"))*2)+((COUNTIF(PM5:PM6,"D"))*1))*CELL("contenu",$B$4),0),IFERROR((((COUNTIF(PM8:PM11,"A"))*4)+((COUNTIF(PM8:PM11,"B"))*3)+((COUNTIF(PM8:PM11,"C"))*2)+((COUNTIF(PM8:PM11,"D"))*1))*CELL("contenu",$B$7),0),IFERROR((((COUNTIF(PM13:PM13,"A"))*4)+((COUNTIF(PM13:PM13,"B"))*3)+((COUNTIF(PM13:PM13,"C"))*2)+((COUNTIF(PM13:PM13,"D"))*1))*CELL("contenu",$B$12),0),IFERROR((((COUNTIF(PM15:PM17,"A"))*4)+((COUNTIF(PM15:PM17,"B"))*3)+((COUNTIF(PM15:PM17,"C"))*2)+((COUNTIF(PM15:PM17,"D"))*1))*CELL("contenu",$B$14),0),IFERROR((((COUNTIF(PM19:PM19,"A"))*4)+((COUNTIF(PM19:PM19,"B"))*3)+((COUNTIF(PM19:PM19,"C"))*2)+((COUNTIF(PM19:PM19,"D"))*1))*CELL("contenu",$B$18),0))/IF(SUM(COUNTA(PM5:PM6)*CELL("contenu",$B$4),COUNTA(PM8:PM11)*CELL("contenu",$B$7),COUNTA(PM13:PM13)*CELL("contenu",$B$12),COUNTA(PM15:PM17)*CELL("contenu",$B$14),COUNTA(PM19:PM19)*CELL("contenu",$B$18))=0,1,SUM(COUNTA(PM5:PM6)*CELL("contenu",$B$4),COUNTA(PM8:PM11)*CELL("contenu",$B$7),COUNTA(PM13:PM13)*CELL("contenu",$B$12),COUNTA(PM15:PM17)*CELL("contenu",$B$14),COUNTA(PM19:PM19)*CELL("contenu",$B$18))))</f>
        <v>20</v>
      </c>
      <c r="PN20" s="169" t="str">
        <f ca="1">IF(COUNTA(PN5:PN19)=0,"",5*SUM(IFERROR((((COUNTIF(PN5:PN6,"A"))*4)+((COUNTIF(PN5:PN6,"B"))*3)+((COUNTIF(PN5:PN6,"C"))*2)+((COUNTIF(PN5:PN6,"D"))*1))*CELL("contenu",$B$4),0),IFERROR((((COUNTIF(PN8:PN11,"A"))*4)+((COUNTIF(PN8:PN11,"B"))*3)+((COUNTIF(PN8:PN11,"C"))*2)+((COUNTIF(PN8:PN11,"D"))*1))*CELL("contenu",$B$7),0),IFERROR((((COUNTIF(PN13:PN13,"A"))*4)+((COUNTIF(PN13:PN13,"B"))*3)+((COUNTIF(PN13:PN13,"C"))*2)+((COUNTIF(PN13:PN13,"D"))*1))*CELL("contenu",$B$12),0),IFERROR((((COUNTIF(PN15:PN17,"A"))*4)+((COUNTIF(PN15:PN17,"B"))*3)+((COUNTIF(PN15:PN17,"C"))*2)+((COUNTIF(PN15:PN17,"D"))*1))*CELL("contenu",$B$14),0),IFERROR((((COUNTIF(PN19:PN19,"A"))*4)+((COUNTIF(PN19:PN19,"B"))*3)+((COUNTIF(PN19:PN19,"C"))*2)+((COUNTIF(PN19:PN19,"D"))*1))*CELL("contenu",$B$18),0))/IF(SUM(COUNTA(PN5:PN6)*CELL("contenu",$B$4),COUNTA(PN8:PN11)*CELL("contenu",$B$7),COUNTA(PN13:PN13)*CELL("contenu",$B$12),COUNTA(PN15:PN17)*CELL("contenu",$B$14),COUNTA(PN19:PN19)*CELL("contenu",$B$18))=0,1,SUM(COUNTA(PN5:PN6)*CELL("contenu",$B$4),COUNTA(PN8:PN11)*CELL("contenu",$B$7),COUNTA(PN13:PN13)*CELL("contenu",$B$12),COUNTA(PN15:PN17)*CELL("contenu",$B$14),COUNTA(PN19:PN19)*CELL("contenu",$B$18))))</f>
        <v/>
      </c>
      <c r="PO20" s="116"/>
      <c r="PP20" s="192">
        <f ca="1">IF(COUNTA(PL20:PN20)-COUNTBLANK(PL20:PN20)=0,"",SUM(PL20:PN20)/(COUNTA(PL20:PN20)-COUNTBLANK(PL20:PN20)))</f>
        <v>16.666666666666668</v>
      </c>
      <c r="PQ20" s="182" t="str">
        <f ca="1">IF(COUNTA(PQ5:PQ19)=0,"",5*SUM(IFERROR((((COUNTIF(PQ5:PQ6,"A"))*4)+((COUNTIF(PQ5:PQ6,"B"))*3)+((COUNTIF(PQ5:PQ6,"C"))*2)+((COUNTIF(PQ5:PQ6,"D"))*1))*CELL("contenu",$B$4),0),IFERROR((((COUNTIF(PQ8:PQ11,"A"))*4)+((COUNTIF(PQ8:PQ11,"B"))*3)+((COUNTIF(PQ8:PQ11,"C"))*2)+((COUNTIF(PQ8:PQ11,"D"))*1))*CELL("contenu",$B$7),0),IFERROR((((COUNTIF(PQ13:PQ13,"A"))*4)+((COUNTIF(PQ13:PQ13,"B"))*3)+((COUNTIF(PQ13:PQ13,"C"))*2)+((COUNTIF(PQ13:PQ13,"D"))*1))*CELL("contenu",$B$12),0),IFERROR((((COUNTIF(PQ15:PQ17,"A"))*4)+((COUNTIF(PQ15:PQ17,"B"))*3)+((COUNTIF(PQ15:PQ17,"C"))*2)+((COUNTIF(PQ15:PQ17,"D"))*1))*CELL("contenu",$B$14),0),IFERROR((((COUNTIF(PQ19:PQ19,"A"))*4)+((COUNTIF(PQ19:PQ19,"B"))*3)+((COUNTIF(PQ19:PQ19,"C"))*2)+((COUNTIF(PQ19:PQ19,"D"))*1))*CELL("contenu",$B$18),0))/IF(SUM(COUNTA(PQ5:PQ6)*CELL("contenu",$B$4),COUNTA(PQ8:PQ11)*CELL("contenu",$B$7),COUNTA(PQ13:PQ13)*CELL("contenu",$B$12),COUNTA(PQ15:PQ17)*CELL("contenu",$B$14),COUNTA(PQ19:PQ19)*CELL("contenu",$B$18))=0,1,SUM(COUNTA(PQ5:PQ6)*CELL("contenu",$B$4),COUNTA(PQ8:PQ11)*CELL("contenu",$B$7),COUNTA(PQ13:PQ13)*CELL("contenu",$B$12),COUNTA(PQ15:PQ17)*CELL("contenu",$B$14),COUNTA(PQ19:PQ19)*CELL("contenu",$B$18))))</f>
        <v/>
      </c>
      <c r="PR20" s="183" t="str">
        <f ca="1">IF(COUNTA(PR5:PR19)=0,"",5*SUM(IFERROR((((COUNTIF(PR5:PR6,"A"))*4)+((COUNTIF(PR5:PR6,"B"))*3)+((COUNTIF(PR5:PR6,"C"))*2)+((COUNTIF(PR5:PR6,"D"))*1))*CELL("contenu",$B$4),0),IFERROR((((COUNTIF(PR8:PR11,"A"))*4)+((COUNTIF(PR8:PR11,"B"))*3)+((COUNTIF(PR8:PR11,"C"))*2)+((COUNTIF(PR8:PR11,"D"))*1))*CELL("contenu",$B$7),0),IFERROR((((COUNTIF(PR13:PR13,"A"))*4)+((COUNTIF(PR13:PR13,"B"))*3)+((COUNTIF(PR13:PR13,"C"))*2)+((COUNTIF(PR13:PR13,"D"))*1))*CELL("contenu",$B$12),0),IFERROR((((COUNTIF(PR15:PR17,"A"))*4)+((COUNTIF(PR15:PR17,"B"))*3)+((COUNTIF(PR15:PR17,"C"))*2)+((COUNTIF(PR15:PR17,"D"))*1))*CELL("contenu",$B$14),0),IFERROR((((COUNTIF(PR19:PR19,"A"))*4)+((COUNTIF(PR19:PR19,"B"))*3)+((COUNTIF(PR19:PR19,"C"))*2)+((COUNTIF(PR19:PR19,"D"))*1))*CELL("contenu",$B$18),0))/IF(SUM(COUNTA(PR5:PR6)*CELL("contenu",$B$4),COUNTA(PR8:PR11)*CELL("contenu",$B$7),COUNTA(PR13:PR13)*CELL("contenu",$B$12),COUNTA(PR15:PR17)*CELL("contenu",$B$14),COUNTA(PR19:PR19)*CELL("contenu",$B$18))=0,1,SUM(COUNTA(PR5:PR6)*CELL("contenu",$B$4),COUNTA(PR8:PR11)*CELL("contenu",$B$7),COUNTA(PR13:PR13)*CELL("contenu",$B$12),COUNTA(PR15:PR17)*CELL("contenu",$B$14),COUNTA(PR19:PR19)*CELL("contenu",$B$18))))</f>
        <v/>
      </c>
      <c r="PS20" s="184" t="str">
        <f ca="1">IF(COUNTA(PS5:PS19)=0,"",5*SUM(IFERROR((((COUNTIF(PS5:PS6,"A"))*4)+((COUNTIF(PS5:PS6,"B"))*3)+((COUNTIF(PS5:PS6,"C"))*2)+((COUNTIF(PS5:PS6,"D"))*1))*CELL("contenu",$B$4),0),IFERROR((((COUNTIF(PS8:PS11,"A"))*4)+((COUNTIF(PS8:PS11,"B"))*3)+((COUNTIF(PS8:PS11,"C"))*2)+((COUNTIF(PS8:PS11,"D"))*1))*CELL("contenu",$B$7),0),IFERROR((((COUNTIF(PS13:PS13,"A"))*4)+((COUNTIF(PS13:PS13,"B"))*3)+((COUNTIF(PS13:PS13,"C"))*2)+((COUNTIF(PS13:PS13,"D"))*1))*CELL("contenu",$B$12),0),IFERROR((((COUNTIF(PS15:PS17,"A"))*4)+((COUNTIF(PS15:PS17,"B"))*3)+((COUNTIF(PS15:PS17,"C"))*2)+((COUNTIF(PS15:PS17,"D"))*1))*CELL("contenu",$B$14),0),IFERROR((((COUNTIF(PS19:PS19,"A"))*4)+((COUNTIF(PS19:PS19,"B"))*3)+((COUNTIF(PS19:PS19,"C"))*2)+((COUNTIF(PS19:PS19,"D"))*1))*CELL("contenu",$B$18),0))/IF(SUM(COUNTA(PS5:PS6)*CELL("contenu",$B$4),COUNTA(PS8:PS11)*CELL("contenu",$B$7),COUNTA(PS13:PS13)*CELL("contenu",$B$12),COUNTA(PS15:PS17)*CELL("contenu",$B$14),COUNTA(PS19:PS19)*CELL("contenu",$B$18))=0,1,SUM(COUNTA(PS5:PS6)*CELL("contenu",$B$4),COUNTA(PS8:PS11)*CELL("contenu",$B$7),COUNTA(PS13:PS13)*CELL("contenu",$B$12),COUNTA(PS15:PS17)*CELL("contenu",$B$14),COUNTA(PS19:PS19)*CELL("contenu",$B$18))))</f>
        <v/>
      </c>
      <c r="PT20" s="176"/>
      <c r="PU20" s="175" t="str">
        <f ca="1">IF(COUNTA(PQ20:PS20)-COUNTBLANK(PQ20:PS20)=0,"",SUM(PQ20:PS20)/(COUNTA(PQ20:PS20)-COUNTBLANK(PQ20:PS20)))</f>
        <v/>
      </c>
      <c r="PV20" s="182" t="str">
        <f ca="1">IF(COUNTA(PV5:PV19)=0,"",5*SUM(IFERROR((((COUNTIF(PV5:PV6,"A"))*4)+((COUNTIF(PV5:PV6,"B"))*3)+((COUNTIF(PV5:PV6,"C"))*2)+((COUNTIF(PV5:PV6,"D"))*1))*CELL("contenu",$B$4),0),IFERROR((((COUNTIF(PV8:PV11,"A"))*4)+((COUNTIF(PV8:PV11,"B"))*3)+((COUNTIF(PV8:PV11,"C"))*2)+((COUNTIF(PV8:PV11,"D"))*1))*CELL("contenu",$B$7),0),IFERROR((((COUNTIF(PV13:PV13,"A"))*4)+((COUNTIF(PV13:PV13,"B"))*3)+((COUNTIF(PV13:PV13,"C"))*2)+((COUNTIF(PV13:PV13,"D"))*1))*CELL("contenu",$B$12),0),IFERROR((((COUNTIF(PV15:PV17,"A"))*4)+((COUNTIF(PV15:PV17,"B"))*3)+((COUNTIF(PV15:PV17,"C"))*2)+((COUNTIF(PV15:PV17,"D"))*1))*CELL("contenu",$B$14),0),IFERROR((((COUNTIF(PV19:PV19,"A"))*4)+((COUNTIF(PV19:PV19,"B"))*3)+((COUNTIF(PV19:PV19,"C"))*2)+((COUNTIF(PV19:PV19,"D"))*1))*CELL("contenu",$B$18),0))/IF(SUM(COUNTA(PV5:PV6)*CELL("contenu",$B$4),COUNTA(PV8:PV11)*CELL("contenu",$B$7),COUNTA(PV13:PV13)*CELL("contenu",$B$12),COUNTA(PV15:PV17)*CELL("contenu",$B$14),COUNTA(PV19:PV19)*CELL("contenu",$B$18))=0,1,SUM(COUNTA(PV5:PV6)*CELL("contenu",$B$4),COUNTA(PV8:PV11)*CELL("contenu",$B$7),COUNTA(PV13:PV13)*CELL("contenu",$B$12),COUNTA(PV15:PV17)*CELL("contenu",$B$14),COUNTA(PV19:PV19)*CELL("contenu",$B$18))))</f>
        <v/>
      </c>
      <c r="PW20" s="183" t="str">
        <f ca="1">IF(COUNTA(PW5:PW19)=0,"",5*SUM(IFERROR((((COUNTIF(PW5:PW6,"A"))*4)+((COUNTIF(PW5:PW6,"B"))*3)+((COUNTIF(PW5:PW6,"C"))*2)+((COUNTIF(PW5:PW6,"D"))*1))*CELL("contenu",$B$4),0),IFERROR((((COUNTIF(PW8:PW11,"A"))*4)+((COUNTIF(PW8:PW11,"B"))*3)+((COUNTIF(PW8:PW11,"C"))*2)+((COUNTIF(PW8:PW11,"D"))*1))*CELL("contenu",$B$7),0),IFERROR((((COUNTIF(PW13:PW13,"A"))*4)+((COUNTIF(PW13:PW13,"B"))*3)+((COUNTIF(PW13:PW13,"C"))*2)+((COUNTIF(PW13:PW13,"D"))*1))*CELL("contenu",$B$12),0),IFERROR((((COUNTIF(PW15:PW17,"A"))*4)+((COUNTIF(PW15:PW17,"B"))*3)+((COUNTIF(PW15:PW17,"C"))*2)+((COUNTIF(PW15:PW17,"D"))*1))*CELL("contenu",$B$14),0),IFERROR((((COUNTIF(PW19:PW19,"A"))*4)+((COUNTIF(PW19:PW19,"B"))*3)+((COUNTIF(PW19:PW19,"C"))*2)+((COUNTIF(PW19:PW19,"D"))*1))*CELL("contenu",$B$18),0))/IF(SUM(COUNTA(PW5:PW6)*CELL("contenu",$B$4),COUNTA(PW8:PW11)*CELL("contenu",$B$7),COUNTA(PW13:PW13)*CELL("contenu",$B$12),COUNTA(PW15:PW17)*CELL("contenu",$B$14),COUNTA(PW19:PW19)*CELL("contenu",$B$18))=0,1,SUM(COUNTA(PW5:PW6)*CELL("contenu",$B$4),COUNTA(PW8:PW11)*CELL("contenu",$B$7),COUNTA(PW13:PW13)*CELL("contenu",$B$12),COUNTA(PW15:PW17)*CELL("contenu",$B$14),COUNTA(PW19:PW19)*CELL("contenu",$B$18))))</f>
        <v/>
      </c>
      <c r="PX20" s="184" t="str">
        <f ca="1">IF(COUNTA(PX5:PX19)=0,"",5*SUM(IFERROR((((COUNTIF(PX5:PX6,"A"))*4)+((COUNTIF(PX5:PX6,"B"))*3)+((COUNTIF(PX5:PX6,"C"))*2)+((COUNTIF(PX5:PX6,"D"))*1))*CELL("contenu",$B$4),0),IFERROR((((COUNTIF(PX8:PX11,"A"))*4)+((COUNTIF(PX8:PX11,"B"))*3)+((COUNTIF(PX8:PX11,"C"))*2)+((COUNTIF(PX8:PX11,"D"))*1))*CELL("contenu",$B$7),0),IFERROR((((COUNTIF(PX13:PX13,"A"))*4)+((COUNTIF(PX13:PX13,"B"))*3)+((COUNTIF(PX13:PX13,"C"))*2)+((COUNTIF(PX13:PX13,"D"))*1))*CELL("contenu",$B$12),0),IFERROR((((COUNTIF(PX15:PX17,"A"))*4)+((COUNTIF(PX15:PX17,"B"))*3)+((COUNTIF(PX15:PX17,"C"))*2)+((COUNTIF(PX15:PX17,"D"))*1))*CELL("contenu",$B$14),0),IFERROR((((COUNTIF(PX19:PX19,"A"))*4)+((COUNTIF(PX19:PX19,"B"))*3)+((COUNTIF(PX19:PX19,"C"))*2)+((COUNTIF(PX19:PX19,"D"))*1))*CELL("contenu",$B$18),0))/IF(SUM(COUNTA(PX5:PX6)*CELL("contenu",$B$4),COUNTA(PX8:PX11)*CELL("contenu",$B$7),COUNTA(PX13:PX13)*CELL("contenu",$B$12),COUNTA(PX15:PX17)*CELL("contenu",$B$14),COUNTA(PX19:PX19)*CELL("contenu",$B$18))=0,1,SUM(COUNTA(PX5:PX6)*CELL("contenu",$B$4),COUNTA(PX8:PX11)*CELL("contenu",$B$7),COUNTA(PX13:PX13)*CELL("contenu",$B$12),COUNTA(PX15:PX17)*CELL("contenu",$B$14),COUNTA(PX19:PX19)*CELL("contenu",$B$18))))</f>
        <v/>
      </c>
      <c r="PY20" s="176"/>
      <c r="PZ20" s="174" t="str">
        <f ca="1">IF(COUNTA(PV20:PX20)-COUNTBLANK(PV20:PX20)=0,"",SUM(PV20:PX20)/(COUNTA(PV20:PX20)-COUNTBLANK(PV20:PX20)))</f>
        <v/>
      </c>
      <c r="QA20" s="103"/>
      <c r="QB20" s="141"/>
      <c r="QC20" s="167">
        <f ca="1">IF(COUNTA(QC5:QC19)=0,"",5*SUM(IFERROR((((COUNTIF(QC5:QC6,"A"))*4)+((COUNTIF(QC5:QC6,"B"))*3)+((COUNTIF(QC5:QC6,"C"))*2)+((COUNTIF(QC5:QC6,"D"))*1))*CELL("contenu",$B$4),0),IFERROR((((COUNTIF(QC8:QC11,"A"))*4)+((COUNTIF(QC8:QC11,"B"))*3)+((COUNTIF(QC8:QC11,"C"))*2)+((COUNTIF(QC8:QC11,"D"))*1))*CELL("contenu",$B$7),0),IFERROR((((COUNTIF(QC13:QC13,"A"))*4)+((COUNTIF(QC13:QC13,"B"))*3)+((COUNTIF(QC13:QC13,"C"))*2)+((COUNTIF(QC13:QC13,"D"))*1))*CELL("contenu",$B$12),0),IFERROR((((COUNTIF(QC15:QC17,"A"))*4)+((COUNTIF(QC15:QC17,"B"))*3)+((COUNTIF(QC15:QC17,"C"))*2)+((COUNTIF(QC15:QC17,"D"))*1))*CELL("contenu",$B$14),0),IFERROR((((COUNTIF(QC19:QC19,"A"))*4)+((COUNTIF(QC19:QC19,"B"))*3)+((COUNTIF(QC19:QC19,"C"))*2)+((COUNTIF(QC19:QC19,"D"))*1))*CELL("contenu",$B$18),0))/IF(SUM(COUNTA(QC5:QC6)*CELL("contenu",$B$4),COUNTA(QC8:QC11)*CELL("contenu",$B$7),COUNTA(QC13:QC13)*CELL("contenu",$B$12),COUNTA(QC15:QC17)*CELL("contenu",$B$14),COUNTA(QC19:QC19)*CELL("contenu",$B$18))=0,1,SUM(COUNTA(QC5:QC6)*CELL("contenu",$B$4),COUNTA(QC8:QC11)*CELL("contenu",$B$7),COUNTA(QC13:QC13)*CELL("contenu",$B$12),COUNTA(QC15:QC17)*CELL("contenu",$B$14),COUNTA(QC19:QC19)*CELL("contenu",$B$18))))</f>
        <v>16.666666666666668</v>
      </c>
      <c r="QD20" s="168">
        <f ca="1">IF(COUNTA(QD5:QD19)=0,"",5*SUM(IFERROR((((COUNTIF(QD5:QD6,"A"))*4)+((COUNTIF(QD5:QD6,"B"))*3)+((COUNTIF(QD5:QD6,"C"))*2)+((COUNTIF(QD5:QD6,"D"))*1))*CELL("contenu",$B$4),0),IFERROR((((COUNTIF(QD8:QD11,"A"))*4)+((COUNTIF(QD8:QD11,"B"))*3)+((COUNTIF(QD8:QD11,"C"))*2)+((COUNTIF(QD8:QD11,"D"))*1))*CELL("contenu",$B$7),0),IFERROR((((COUNTIF(QD13:QD13,"A"))*4)+((COUNTIF(QD13:QD13,"B"))*3)+((COUNTIF(QD13:QD13,"C"))*2)+((COUNTIF(QD13:QD13,"D"))*1))*CELL("contenu",$B$12),0),IFERROR((((COUNTIF(QD15:QD17,"A"))*4)+((COUNTIF(QD15:QD17,"B"))*3)+((COUNTIF(QD15:QD17,"C"))*2)+((COUNTIF(QD15:QD17,"D"))*1))*CELL("contenu",$B$14),0),IFERROR((((COUNTIF(QD19:QD19,"A"))*4)+((COUNTIF(QD19:QD19,"B"))*3)+((COUNTIF(QD19:QD19,"C"))*2)+((COUNTIF(QD19:QD19,"D"))*1))*CELL("contenu",$B$18),0))/IF(SUM(COUNTA(QD5:QD6)*CELL("contenu",$B$4),COUNTA(QD8:QD11)*CELL("contenu",$B$7),COUNTA(QD13:QD13)*CELL("contenu",$B$12),COUNTA(QD15:QD17)*CELL("contenu",$B$14),COUNTA(QD19:QD19)*CELL("contenu",$B$18))=0,1,SUM(COUNTA(QD5:QD6)*CELL("contenu",$B$4),COUNTA(QD8:QD11)*CELL("contenu",$B$7),COUNTA(QD13:QD13)*CELL("contenu",$B$12),COUNTA(QD15:QD17)*CELL("contenu",$B$14),COUNTA(QD19:QD19)*CELL("contenu",$B$18))))</f>
        <v>16.666666666666668</v>
      </c>
      <c r="QE20" s="169" t="str">
        <f ca="1">IF(COUNTA(QE5:QE19)=0,"",5*SUM(IFERROR((((COUNTIF(QE5:QE6,"A"))*4)+((COUNTIF(QE5:QE6,"B"))*3)+((COUNTIF(QE5:QE6,"C"))*2)+((COUNTIF(QE5:QE6,"D"))*1))*CELL("contenu",$B$4),0),IFERROR((((COUNTIF(QE8:QE11,"A"))*4)+((COUNTIF(QE8:QE11,"B"))*3)+((COUNTIF(QE8:QE11,"C"))*2)+((COUNTIF(QE8:QE11,"D"))*1))*CELL("contenu",$B$7),0),IFERROR((((COUNTIF(QE13:QE13,"A"))*4)+((COUNTIF(QE13:QE13,"B"))*3)+((COUNTIF(QE13:QE13,"C"))*2)+((COUNTIF(QE13:QE13,"D"))*1))*CELL("contenu",$B$12),0),IFERROR((((COUNTIF(QE15:QE17,"A"))*4)+((COUNTIF(QE15:QE17,"B"))*3)+((COUNTIF(QE15:QE17,"C"))*2)+((COUNTIF(QE15:QE17,"D"))*1))*CELL("contenu",$B$14),0),IFERROR((((COUNTIF(QE19:QE19,"A"))*4)+((COUNTIF(QE19:QE19,"B"))*3)+((COUNTIF(QE19:QE19,"C"))*2)+((COUNTIF(QE19:QE19,"D"))*1))*CELL("contenu",$B$18),0))/IF(SUM(COUNTA(QE5:QE6)*CELL("contenu",$B$4),COUNTA(QE8:QE11)*CELL("contenu",$B$7),COUNTA(QE13:QE13)*CELL("contenu",$B$12),COUNTA(QE15:QE17)*CELL("contenu",$B$14),COUNTA(QE19:QE19)*CELL("contenu",$B$18))=0,1,SUM(COUNTA(QE5:QE6)*CELL("contenu",$B$4),COUNTA(QE8:QE11)*CELL("contenu",$B$7),COUNTA(QE13:QE13)*CELL("contenu",$B$12),COUNTA(QE15:QE17)*CELL("contenu",$B$14),COUNTA(QE19:QE19)*CELL("contenu",$B$18))))</f>
        <v/>
      </c>
      <c r="QF20" s="116"/>
      <c r="QG20" s="192">
        <f ca="1">IF(COUNTA(QC20:QE20)-COUNTBLANK(QC20:QE20)=0,"",SUM(QC20:QE20)/(COUNTA(QC20:QE20)-COUNTBLANK(QC20:QE20)))</f>
        <v>16.666666666666668</v>
      </c>
      <c r="QH20" s="182" t="str">
        <f ca="1">IF(COUNTA(QH5:QH19)=0,"",5*SUM(IFERROR((((COUNTIF(QH5:QH6,"A"))*4)+((COUNTIF(QH5:QH6,"B"))*3)+((COUNTIF(QH5:QH6,"C"))*2)+((COUNTIF(QH5:QH6,"D"))*1))*CELL("contenu",$B$4),0),IFERROR((((COUNTIF(QH8:QH11,"A"))*4)+((COUNTIF(QH8:QH11,"B"))*3)+((COUNTIF(QH8:QH11,"C"))*2)+((COUNTIF(QH8:QH11,"D"))*1))*CELL("contenu",$B$7),0),IFERROR((((COUNTIF(QH13:QH13,"A"))*4)+((COUNTIF(QH13:QH13,"B"))*3)+((COUNTIF(QH13:QH13,"C"))*2)+((COUNTIF(QH13:QH13,"D"))*1))*CELL("contenu",$B$12),0),IFERROR((((COUNTIF(QH15:QH17,"A"))*4)+((COUNTIF(QH15:QH17,"B"))*3)+((COUNTIF(QH15:QH17,"C"))*2)+((COUNTIF(QH15:QH17,"D"))*1))*CELL("contenu",$B$14),0),IFERROR((((COUNTIF(QH19:QH19,"A"))*4)+((COUNTIF(QH19:QH19,"B"))*3)+((COUNTIF(QH19:QH19,"C"))*2)+((COUNTIF(QH19:QH19,"D"))*1))*CELL("contenu",$B$18),0))/IF(SUM(COUNTA(QH5:QH6)*CELL("contenu",$B$4),COUNTA(QH8:QH11)*CELL("contenu",$B$7),COUNTA(QH13:QH13)*CELL("contenu",$B$12),COUNTA(QH15:QH17)*CELL("contenu",$B$14),COUNTA(QH19:QH19)*CELL("contenu",$B$18))=0,1,SUM(COUNTA(QH5:QH6)*CELL("contenu",$B$4),COUNTA(QH8:QH11)*CELL("contenu",$B$7),COUNTA(QH13:QH13)*CELL("contenu",$B$12),COUNTA(QH15:QH17)*CELL("contenu",$B$14),COUNTA(QH19:QH19)*CELL("contenu",$B$18))))</f>
        <v/>
      </c>
      <c r="QI20" s="183" t="str">
        <f ca="1">IF(COUNTA(QI5:QI19)=0,"",5*SUM(IFERROR((((COUNTIF(QI5:QI6,"A"))*4)+((COUNTIF(QI5:QI6,"B"))*3)+((COUNTIF(QI5:QI6,"C"))*2)+((COUNTIF(QI5:QI6,"D"))*1))*CELL("contenu",$B$4),0),IFERROR((((COUNTIF(QI8:QI11,"A"))*4)+((COUNTIF(QI8:QI11,"B"))*3)+((COUNTIF(QI8:QI11,"C"))*2)+((COUNTIF(QI8:QI11,"D"))*1))*CELL("contenu",$B$7),0),IFERROR((((COUNTIF(QI13:QI13,"A"))*4)+((COUNTIF(QI13:QI13,"B"))*3)+((COUNTIF(QI13:QI13,"C"))*2)+((COUNTIF(QI13:QI13,"D"))*1))*CELL("contenu",$B$12),0),IFERROR((((COUNTIF(QI15:QI17,"A"))*4)+((COUNTIF(QI15:QI17,"B"))*3)+((COUNTIF(QI15:QI17,"C"))*2)+((COUNTIF(QI15:QI17,"D"))*1))*CELL("contenu",$B$14),0),IFERROR((((COUNTIF(QI19:QI19,"A"))*4)+((COUNTIF(QI19:QI19,"B"))*3)+((COUNTIF(QI19:QI19,"C"))*2)+((COUNTIF(QI19:QI19,"D"))*1))*CELL("contenu",$B$18),0))/IF(SUM(COUNTA(QI5:QI6)*CELL("contenu",$B$4),COUNTA(QI8:QI11)*CELL("contenu",$B$7),COUNTA(QI13:QI13)*CELL("contenu",$B$12),COUNTA(QI15:QI17)*CELL("contenu",$B$14),COUNTA(QI19:QI19)*CELL("contenu",$B$18))=0,1,SUM(COUNTA(QI5:QI6)*CELL("contenu",$B$4),COUNTA(QI8:QI11)*CELL("contenu",$B$7),COUNTA(QI13:QI13)*CELL("contenu",$B$12),COUNTA(QI15:QI17)*CELL("contenu",$B$14),COUNTA(QI19:QI19)*CELL("contenu",$B$18))))</f>
        <v/>
      </c>
      <c r="QJ20" s="184" t="str">
        <f ca="1">IF(COUNTA(QJ5:QJ19)=0,"",5*SUM(IFERROR((((COUNTIF(QJ5:QJ6,"A"))*4)+((COUNTIF(QJ5:QJ6,"B"))*3)+((COUNTIF(QJ5:QJ6,"C"))*2)+((COUNTIF(QJ5:QJ6,"D"))*1))*CELL("contenu",$B$4),0),IFERROR((((COUNTIF(QJ8:QJ11,"A"))*4)+((COUNTIF(QJ8:QJ11,"B"))*3)+((COUNTIF(QJ8:QJ11,"C"))*2)+((COUNTIF(QJ8:QJ11,"D"))*1))*CELL("contenu",$B$7),0),IFERROR((((COUNTIF(QJ13:QJ13,"A"))*4)+((COUNTIF(QJ13:QJ13,"B"))*3)+((COUNTIF(QJ13:QJ13,"C"))*2)+((COUNTIF(QJ13:QJ13,"D"))*1))*CELL("contenu",$B$12),0),IFERROR((((COUNTIF(QJ15:QJ17,"A"))*4)+((COUNTIF(QJ15:QJ17,"B"))*3)+((COUNTIF(QJ15:QJ17,"C"))*2)+((COUNTIF(QJ15:QJ17,"D"))*1))*CELL("contenu",$B$14),0),IFERROR((((COUNTIF(QJ19:QJ19,"A"))*4)+((COUNTIF(QJ19:QJ19,"B"))*3)+((COUNTIF(QJ19:QJ19,"C"))*2)+((COUNTIF(QJ19:QJ19,"D"))*1))*CELL("contenu",$B$18),0))/IF(SUM(COUNTA(QJ5:QJ6)*CELL("contenu",$B$4),COUNTA(QJ8:QJ11)*CELL("contenu",$B$7),COUNTA(QJ13:QJ13)*CELL("contenu",$B$12),COUNTA(QJ15:QJ17)*CELL("contenu",$B$14),COUNTA(QJ19:QJ19)*CELL("contenu",$B$18))=0,1,SUM(COUNTA(QJ5:QJ6)*CELL("contenu",$B$4),COUNTA(QJ8:QJ11)*CELL("contenu",$B$7),COUNTA(QJ13:QJ13)*CELL("contenu",$B$12),COUNTA(QJ15:QJ17)*CELL("contenu",$B$14),COUNTA(QJ19:QJ19)*CELL("contenu",$B$18))))</f>
        <v/>
      </c>
      <c r="QK20" s="176"/>
      <c r="QL20" s="175" t="str">
        <f ca="1">IF(COUNTA(QH20:QJ20)-COUNTBLANK(QH20:QJ20)=0,"",SUM(QH20:QJ20)/(COUNTA(QH20:QJ20)-COUNTBLANK(QH20:QJ20)))</f>
        <v/>
      </c>
      <c r="QM20" s="182" t="str">
        <f ca="1">IF(COUNTA(QM5:QM19)=0,"",5*SUM(IFERROR((((COUNTIF(QM5:QM6,"A"))*4)+((COUNTIF(QM5:QM6,"B"))*3)+((COUNTIF(QM5:QM6,"C"))*2)+((COUNTIF(QM5:QM6,"D"))*1))*CELL("contenu",$B$4),0),IFERROR((((COUNTIF(QM8:QM11,"A"))*4)+((COUNTIF(QM8:QM11,"B"))*3)+((COUNTIF(QM8:QM11,"C"))*2)+((COUNTIF(QM8:QM11,"D"))*1))*CELL("contenu",$B$7),0),IFERROR((((COUNTIF(QM13:QM13,"A"))*4)+((COUNTIF(QM13:QM13,"B"))*3)+((COUNTIF(QM13:QM13,"C"))*2)+((COUNTIF(QM13:QM13,"D"))*1))*CELL("contenu",$B$12),0),IFERROR((((COUNTIF(QM15:QM17,"A"))*4)+((COUNTIF(QM15:QM17,"B"))*3)+((COUNTIF(QM15:QM17,"C"))*2)+((COUNTIF(QM15:QM17,"D"))*1))*CELL("contenu",$B$14),0),IFERROR((((COUNTIF(QM19:QM19,"A"))*4)+((COUNTIF(QM19:QM19,"B"))*3)+((COUNTIF(QM19:QM19,"C"))*2)+((COUNTIF(QM19:QM19,"D"))*1))*CELL("contenu",$B$18),0))/IF(SUM(COUNTA(QM5:QM6)*CELL("contenu",$B$4),COUNTA(QM8:QM11)*CELL("contenu",$B$7),COUNTA(QM13:QM13)*CELL("contenu",$B$12),COUNTA(QM15:QM17)*CELL("contenu",$B$14),COUNTA(QM19:QM19)*CELL("contenu",$B$18))=0,1,SUM(COUNTA(QM5:QM6)*CELL("contenu",$B$4),COUNTA(QM8:QM11)*CELL("contenu",$B$7),COUNTA(QM13:QM13)*CELL("contenu",$B$12),COUNTA(QM15:QM17)*CELL("contenu",$B$14),COUNTA(QM19:QM19)*CELL("contenu",$B$18))))</f>
        <v/>
      </c>
      <c r="QN20" s="183" t="str">
        <f ca="1">IF(COUNTA(QN5:QN19)=0,"",5*SUM(IFERROR((((COUNTIF(QN5:QN6,"A"))*4)+((COUNTIF(QN5:QN6,"B"))*3)+((COUNTIF(QN5:QN6,"C"))*2)+((COUNTIF(QN5:QN6,"D"))*1))*CELL("contenu",$B$4),0),IFERROR((((COUNTIF(QN8:QN11,"A"))*4)+((COUNTIF(QN8:QN11,"B"))*3)+((COUNTIF(QN8:QN11,"C"))*2)+((COUNTIF(QN8:QN11,"D"))*1))*CELL("contenu",$B$7),0),IFERROR((((COUNTIF(QN13:QN13,"A"))*4)+((COUNTIF(QN13:QN13,"B"))*3)+((COUNTIF(QN13:QN13,"C"))*2)+((COUNTIF(QN13:QN13,"D"))*1))*CELL("contenu",$B$12),0),IFERROR((((COUNTIF(QN15:QN17,"A"))*4)+((COUNTIF(QN15:QN17,"B"))*3)+((COUNTIF(QN15:QN17,"C"))*2)+((COUNTIF(QN15:QN17,"D"))*1))*CELL("contenu",$B$14),0),IFERROR((((COUNTIF(QN19:QN19,"A"))*4)+((COUNTIF(QN19:QN19,"B"))*3)+((COUNTIF(QN19:QN19,"C"))*2)+((COUNTIF(QN19:QN19,"D"))*1))*CELL("contenu",$B$18),0))/IF(SUM(COUNTA(QN5:QN6)*CELL("contenu",$B$4),COUNTA(QN8:QN11)*CELL("contenu",$B$7),COUNTA(QN13:QN13)*CELL("contenu",$B$12),COUNTA(QN15:QN17)*CELL("contenu",$B$14),COUNTA(QN19:QN19)*CELL("contenu",$B$18))=0,1,SUM(COUNTA(QN5:QN6)*CELL("contenu",$B$4),COUNTA(QN8:QN11)*CELL("contenu",$B$7),COUNTA(QN13:QN13)*CELL("contenu",$B$12),COUNTA(QN15:QN17)*CELL("contenu",$B$14),COUNTA(QN19:QN19)*CELL("contenu",$B$18))))</f>
        <v/>
      </c>
      <c r="QO20" s="184" t="str">
        <f ca="1">IF(COUNTA(QO5:QO19)=0,"",5*SUM(IFERROR((((COUNTIF(QO5:QO6,"A"))*4)+((COUNTIF(QO5:QO6,"B"))*3)+((COUNTIF(QO5:QO6,"C"))*2)+((COUNTIF(QO5:QO6,"D"))*1))*CELL("contenu",$B$4),0),IFERROR((((COUNTIF(QO8:QO11,"A"))*4)+((COUNTIF(QO8:QO11,"B"))*3)+((COUNTIF(QO8:QO11,"C"))*2)+((COUNTIF(QO8:QO11,"D"))*1))*CELL("contenu",$B$7),0),IFERROR((((COUNTIF(QO13:QO13,"A"))*4)+((COUNTIF(QO13:QO13,"B"))*3)+((COUNTIF(QO13:QO13,"C"))*2)+((COUNTIF(QO13:QO13,"D"))*1))*CELL("contenu",$B$12),0),IFERROR((((COUNTIF(QO15:QO17,"A"))*4)+((COUNTIF(QO15:QO17,"B"))*3)+((COUNTIF(QO15:QO17,"C"))*2)+((COUNTIF(QO15:QO17,"D"))*1))*CELL("contenu",$B$14),0),IFERROR((((COUNTIF(QO19:QO19,"A"))*4)+((COUNTIF(QO19:QO19,"B"))*3)+((COUNTIF(QO19:QO19,"C"))*2)+((COUNTIF(QO19:QO19,"D"))*1))*CELL("contenu",$B$18),0))/IF(SUM(COUNTA(QO5:QO6)*CELL("contenu",$B$4),COUNTA(QO8:QO11)*CELL("contenu",$B$7),COUNTA(QO13:QO13)*CELL("contenu",$B$12),COUNTA(QO15:QO17)*CELL("contenu",$B$14),COUNTA(QO19:QO19)*CELL("contenu",$B$18))=0,1,SUM(COUNTA(QO5:QO6)*CELL("contenu",$B$4),COUNTA(QO8:QO11)*CELL("contenu",$B$7),COUNTA(QO13:QO13)*CELL("contenu",$B$12),COUNTA(QO15:QO17)*CELL("contenu",$B$14),COUNTA(QO19:QO19)*CELL("contenu",$B$18))))</f>
        <v/>
      </c>
      <c r="QP20" s="176"/>
      <c r="QQ20" s="174" t="str">
        <f ca="1">IF(COUNTA(QM20:QO20)-COUNTBLANK(QM20:QO20)=0,"",SUM(QM20:QO20)/(COUNTA(QM20:QO20)-COUNTBLANK(QM20:QO20)))</f>
        <v/>
      </c>
      <c r="QR20" s="103"/>
      <c r="QS20" s="141"/>
      <c r="QT20" s="167" t="str">
        <f ca="1">IF(COUNTA(QT5:QT19)=0,"",5*SUM(IFERROR((((COUNTIF(QT5:QT6,"A"))*4)+((COUNTIF(QT5:QT6,"B"))*3)+((COUNTIF(QT5:QT6,"C"))*2)+((COUNTIF(QT5:QT6,"D"))*1))*CELL("contenu",$B$4),0),IFERROR((((COUNTIF(QT8:QT11,"A"))*4)+((COUNTIF(QT8:QT11,"B"))*3)+((COUNTIF(QT8:QT11,"C"))*2)+((COUNTIF(QT8:QT11,"D"))*1))*CELL("contenu",$B$7),0),IFERROR((((COUNTIF(QT13:QT13,"A"))*4)+((COUNTIF(QT13:QT13,"B"))*3)+((COUNTIF(QT13:QT13,"C"))*2)+((COUNTIF(QT13:QT13,"D"))*1))*CELL("contenu",$B$12),0),IFERROR((((COUNTIF(QT15:QT17,"A"))*4)+((COUNTIF(QT15:QT17,"B"))*3)+((COUNTIF(QT15:QT17,"C"))*2)+((COUNTIF(QT15:QT17,"D"))*1))*CELL("contenu",$B$14),0),IFERROR((((COUNTIF(QT19:QT19,"A"))*4)+((COUNTIF(QT19:QT19,"B"))*3)+((COUNTIF(QT19:QT19,"C"))*2)+((COUNTIF(QT19:QT19,"D"))*1))*CELL("contenu",$B$18),0))/IF(SUM(COUNTA(QT5:QT6)*CELL("contenu",$B$4),COUNTA(QT8:QT11)*CELL("contenu",$B$7),COUNTA(QT13:QT13)*CELL("contenu",$B$12),COUNTA(QT15:QT17)*CELL("contenu",$B$14),COUNTA(QT19:QT19)*CELL("contenu",$B$18))=0,1,SUM(COUNTA(QT5:QT6)*CELL("contenu",$B$4),COUNTA(QT8:QT11)*CELL("contenu",$B$7),COUNTA(QT13:QT13)*CELL("contenu",$B$12),COUNTA(QT15:QT17)*CELL("contenu",$B$14),COUNTA(QT19:QT19)*CELL("contenu",$B$18))))</f>
        <v/>
      </c>
      <c r="QU20" s="168" t="str">
        <f ca="1">IF(COUNTA(QU5:QU19)=0,"",5*SUM(IFERROR((((COUNTIF(QU5:QU6,"A"))*4)+((COUNTIF(QU5:QU6,"B"))*3)+((COUNTIF(QU5:QU6,"C"))*2)+((COUNTIF(QU5:QU6,"D"))*1))*CELL("contenu",$B$4),0),IFERROR((((COUNTIF(QU8:QU11,"A"))*4)+((COUNTIF(QU8:QU11,"B"))*3)+((COUNTIF(QU8:QU11,"C"))*2)+((COUNTIF(QU8:QU11,"D"))*1))*CELL("contenu",$B$7),0),IFERROR((((COUNTIF(QU13:QU13,"A"))*4)+((COUNTIF(QU13:QU13,"B"))*3)+((COUNTIF(QU13:QU13,"C"))*2)+((COUNTIF(QU13:QU13,"D"))*1))*CELL("contenu",$B$12),0),IFERROR((((COUNTIF(QU15:QU17,"A"))*4)+((COUNTIF(QU15:QU17,"B"))*3)+((COUNTIF(QU15:QU17,"C"))*2)+((COUNTIF(QU15:QU17,"D"))*1))*CELL("contenu",$B$14),0),IFERROR((((COUNTIF(QU19:QU19,"A"))*4)+((COUNTIF(QU19:QU19,"B"))*3)+((COUNTIF(QU19:QU19,"C"))*2)+((COUNTIF(QU19:QU19,"D"))*1))*CELL("contenu",$B$18),0))/IF(SUM(COUNTA(QU5:QU6)*CELL("contenu",$B$4),COUNTA(QU8:QU11)*CELL("contenu",$B$7),COUNTA(QU13:QU13)*CELL("contenu",$B$12),COUNTA(QU15:QU17)*CELL("contenu",$B$14),COUNTA(QU19:QU19)*CELL("contenu",$B$18))=0,1,SUM(COUNTA(QU5:QU6)*CELL("contenu",$B$4),COUNTA(QU8:QU11)*CELL("contenu",$B$7),COUNTA(QU13:QU13)*CELL("contenu",$B$12),COUNTA(QU15:QU17)*CELL("contenu",$B$14),COUNTA(QU19:QU19)*CELL("contenu",$B$18))))</f>
        <v/>
      </c>
      <c r="QV20" s="169" t="str">
        <f ca="1">IF(COUNTA(QV5:QV19)=0,"",5*SUM(IFERROR((((COUNTIF(QV5:QV6,"A"))*4)+((COUNTIF(QV5:QV6,"B"))*3)+((COUNTIF(QV5:QV6,"C"))*2)+((COUNTIF(QV5:QV6,"D"))*1))*CELL("contenu",$B$4),0),IFERROR((((COUNTIF(QV8:QV11,"A"))*4)+((COUNTIF(QV8:QV11,"B"))*3)+((COUNTIF(QV8:QV11,"C"))*2)+((COUNTIF(QV8:QV11,"D"))*1))*CELL("contenu",$B$7),0),IFERROR((((COUNTIF(QV13:QV13,"A"))*4)+((COUNTIF(QV13:QV13,"B"))*3)+((COUNTIF(QV13:QV13,"C"))*2)+((COUNTIF(QV13:QV13,"D"))*1))*CELL("contenu",$B$12),0),IFERROR((((COUNTIF(QV15:QV17,"A"))*4)+((COUNTIF(QV15:QV17,"B"))*3)+((COUNTIF(QV15:QV17,"C"))*2)+((COUNTIF(QV15:QV17,"D"))*1))*CELL("contenu",$B$14),0),IFERROR((((COUNTIF(QV19:QV19,"A"))*4)+((COUNTIF(QV19:QV19,"B"))*3)+((COUNTIF(QV19:QV19,"C"))*2)+((COUNTIF(QV19:QV19,"D"))*1))*CELL("contenu",$B$18),0))/IF(SUM(COUNTA(QV5:QV6)*CELL("contenu",$B$4),COUNTA(QV8:QV11)*CELL("contenu",$B$7),COUNTA(QV13:QV13)*CELL("contenu",$B$12),COUNTA(QV15:QV17)*CELL("contenu",$B$14),COUNTA(QV19:QV19)*CELL("contenu",$B$18))=0,1,SUM(COUNTA(QV5:QV6)*CELL("contenu",$B$4),COUNTA(QV8:QV11)*CELL("contenu",$B$7),COUNTA(QV13:QV13)*CELL("contenu",$B$12),COUNTA(QV15:QV17)*CELL("contenu",$B$14),COUNTA(QV19:QV19)*CELL("contenu",$B$18))))</f>
        <v/>
      </c>
      <c r="QW20" s="116"/>
      <c r="QX20" s="192" t="str">
        <f ca="1">IF(COUNTA(QT20:QV20)-COUNTBLANK(QT20:QV20)=0,"",SUM(QT20:QV20)/(COUNTA(QT20:QV20)-COUNTBLANK(QT20:QV20)))</f>
        <v/>
      </c>
      <c r="QY20" s="182" t="str">
        <f ca="1">IF(COUNTA(QY5:QY19)=0,"",5*SUM(IFERROR((((COUNTIF(QY5:QY6,"A"))*4)+((COUNTIF(QY5:QY6,"B"))*3)+((COUNTIF(QY5:QY6,"C"))*2)+((COUNTIF(QY5:QY6,"D"))*1))*CELL("contenu",$B$4),0),IFERROR((((COUNTIF(QY8:QY11,"A"))*4)+((COUNTIF(QY8:QY11,"B"))*3)+((COUNTIF(QY8:QY11,"C"))*2)+((COUNTIF(QY8:QY11,"D"))*1))*CELL("contenu",$B$7),0),IFERROR((((COUNTIF(QY13:QY13,"A"))*4)+((COUNTIF(QY13:QY13,"B"))*3)+((COUNTIF(QY13:QY13,"C"))*2)+((COUNTIF(QY13:QY13,"D"))*1))*CELL("contenu",$B$12),0),IFERROR((((COUNTIF(QY15:QY17,"A"))*4)+((COUNTIF(QY15:QY17,"B"))*3)+((COUNTIF(QY15:QY17,"C"))*2)+((COUNTIF(QY15:QY17,"D"))*1))*CELL("contenu",$B$14),0),IFERROR((((COUNTIF(QY19:QY19,"A"))*4)+((COUNTIF(QY19:QY19,"B"))*3)+((COUNTIF(QY19:QY19,"C"))*2)+((COUNTIF(QY19:QY19,"D"))*1))*CELL("contenu",$B$18),0))/IF(SUM(COUNTA(QY5:QY6)*CELL("contenu",$B$4),COUNTA(QY8:QY11)*CELL("contenu",$B$7),COUNTA(QY13:QY13)*CELL("contenu",$B$12),COUNTA(QY15:QY17)*CELL("contenu",$B$14),COUNTA(QY19:QY19)*CELL("contenu",$B$18))=0,1,SUM(COUNTA(QY5:QY6)*CELL("contenu",$B$4),COUNTA(QY8:QY11)*CELL("contenu",$B$7),COUNTA(QY13:QY13)*CELL("contenu",$B$12),COUNTA(QY15:QY17)*CELL("contenu",$B$14),COUNTA(QY19:QY19)*CELL("contenu",$B$18))))</f>
        <v/>
      </c>
      <c r="QZ20" s="183" t="str">
        <f ca="1">IF(COUNTA(QZ5:QZ19)=0,"",5*SUM(IFERROR((((COUNTIF(QZ5:QZ6,"A"))*4)+((COUNTIF(QZ5:QZ6,"B"))*3)+((COUNTIF(QZ5:QZ6,"C"))*2)+((COUNTIF(QZ5:QZ6,"D"))*1))*CELL("contenu",$B$4),0),IFERROR((((COUNTIF(QZ8:QZ11,"A"))*4)+((COUNTIF(QZ8:QZ11,"B"))*3)+((COUNTIF(QZ8:QZ11,"C"))*2)+((COUNTIF(QZ8:QZ11,"D"))*1))*CELL("contenu",$B$7),0),IFERROR((((COUNTIF(QZ13:QZ13,"A"))*4)+((COUNTIF(QZ13:QZ13,"B"))*3)+((COUNTIF(QZ13:QZ13,"C"))*2)+((COUNTIF(QZ13:QZ13,"D"))*1))*CELL("contenu",$B$12),0),IFERROR((((COUNTIF(QZ15:QZ17,"A"))*4)+((COUNTIF(QZ15:QZ17,"B"))*3)+((COUNTIF(QZ15:QZ17,"C"))*2)+((COUNTIF(QZ15:QZ17,"D"))*1))*CELL("contenu",$B$14),0),IFERROR((((COUNTIF(QZ19:QZ19,"A"))*4)+((COUNTIF(QZ19:QZ19,"B"))*3)+((COUNTIF(QZ19:QZ19,"C"))*2)+((COUNTIF(QZ19:QZ19,"D"))*1))*CELL("contenu",$B$18),0))/IF(SUM(COUNTA(QZ5:QZ6)*CELL("contenu",$B$4),COUNTA(QZ8:QZ11)*CELL("contenu",$B$7),COUNTA(QZ13:QZ13)*CELL("contenu",$B$12),COUNTA(QZ15:QZ17)*CELL("contenu",$B$14),COUNTA(QZ19:QZ19)*CELL("contenu",$B$18))=0,1,SUM(COUNTA(QZ5:QZ6)*CELL("contenu",$B$4),COUNTA(QZ8:QZ11)*CELL("contenu",$B$7),COUNTA(QZ13:QZ13)*CELL("contenu",$B$12),COUNTA(QZ15:QZ17)*CELL("contenu",$B$14),COUNTA(QZ19:QZ19)*CELL("contenu",$B$18))))</f>
        <v/>
      </c>
      <c r="RA20" s="184" t="str">
        <f ca="1">IF(COUNTA(RA5:RA19)=0,"",5*SUM(IFERROR((((COUNTIF(RA5:RA6,"A"))*4)+((COUNTIF(RA5:RA6,"B"))*3)+((COUNTIF(RA5:RA6,"C"))*2)+((COUNTIF(RA5:RA6,"D"))*1))*CELL("contenu",$B$4),0),IFERROR((((COUNTIF(RA8:RA11,"A"))*4)+((COUNTIF(RA8:RA11,"B"))*3)+((COUNTIF(RA8:RA11,"C"))*2)+((COUNTIF(RA8:RA11,"D"))*1))*CELL("contenu",$B$7),0),IFERROR((((COUNTIF(RA13:RA13,"A"))*4)+((COUNTIF(RA13:RA13,"B"))*3)+((COUNTIF(RA13:RA13,"C"))*2)+((COUNTIF(RA13:RA13,"D"))*1))*CELL("contenu",$B$12),0),IFERROR((((COUNTIF(RA15:RA17,"A"))*4)+((COUNTIF(RA15:RA17,"B"))*3)+((COUNTIF(RA15:RA17,"C"))*2)+((COUNTIF(RA15:RA17,"D"))*1))*CELL("contenu",$B$14),0),IFERROR((((COUNTIF(RA19:RA19,"A"))*4)+((COUNTIF(RA19:RA19,"B"))*3)+((COUNTIF(RA19:RA19,"C"))*2)+((COUNTIF(RA19:RA19,"D"))*1))*CELL("contenu",$B$18),0))/IF(SUM(COUNTA(RA5:RA6)*CELL("contenu",$B$4),COUNTA(RA8:RA11)*CELL("contenu",$B$7),COUNTA(RA13:RA13)*CELL("contenu",$B$12),COUNTA(RA15:RA17)*CELL("contenu",$B$14),COUNTA(RA19:RA19)*CELL("contenu",$B$18))=0,1,SUM(COUNTA(RA5:RA6)*CELL("contenu",$B$4),COUNTA(RA8:RA11)*CELL("contenu",$B$7),COUNTA(RA13:RA13)*CELL("contenu",$B$12),COUNTA(RA15:RA17)*CELL("contenu",$B$14),COUNTA(RA19:RA19)*CELL("contenu",$B$18))))</f>
        <v/>
      </c>
      <c r="RB20" s="176"/>
      <c r="RC20" s="175" t="str">
        <f ca="1">IF(COUNTA(QY20:RA20)-COUNTBLANK(QY20:RA20)=0,"",SUM(QY20:RA20)/(COUNTA(QY20:RA20)-COUNTBLANK(QY20:RA20)))</f>
        <v/>
      </c>
      <c r="RD20" s="182" t="str">
        <f ca="1">IF(COUNTA(RD5:RD19)=0,"",5*SUM(IFERROR((((COUNTIF(RD5:RD6,"A"))*4)+((COUNTIF(RD5:RD6,"B"))*3)+((COUNTIF(RD5:RD6,"C"))*2)+((COUNTIF(RD5:RD6,"D"))*1))*CELL("contenu",$B$4),0),IFERROR((((COUNTIF(RD8:RD11,"A"))*4)+((COUNTIF(RD8:RD11,"B"))*3)+((COUNTIF(RD8:RD11,"C"))*2)+((COUNTIF(RD8:RD11,"D"))*1))*CELL("contenu",$B$7),0),IFERROR((((COUNTIF(RD13:RD13,"A"))*4)+((COUNTIF(RD13:RD13,"B"))*3)+((COUNTIF(RD13:RD13,"C"))*2)+((COUNTIF(RD13:RD13,"D"))*1))*CELL("contenu",$B$12),0),IFERROR((((COUNTIF(RD15:RD17,"A"))*4)+((COUNTIF(RD15:RD17,"B"))*3)+((COUNTIF(RD15:RD17,"C"))*2)+((COUNTIF(RD15:RD17,"D"))*1))*CELL("contenu",$B$14),0),IFERROR((((COUNTIF(RD19:RD19,"A"))*4)+((COUNTIF(RD19:RD19,"B"))*3)+((COUNTIF(RD19:RD19,"C"))*2)+((COUNTIF(RD19:RD19,"D"))*1))*CELL("contenu",$B$18),0))/IF(SUM(COUNTA(RD5:RD6)*CELL("contenu",$B$4),COUNTA(RD8:RD11)*CELL("contenu",$B$7),COUNTA(RD13:RD13)*CELL("contenu",$B$12),COUNTA(RD15:RD17)*CELL("contenu",$B$14),COUNTA(RD19:RD19)*CELL("contenu",$B$18))=0,1,SUM(COUNTA(RD5:RD6)*CELL("contenu",$B$4),COUNTA(RD8:RD11)*CELL("contenu",$B$7),COUNTA(RD13:RD13)*CELL("contenu",$B$12),COUNTA(RD15:RD17)*CELL("contenu",$B$14),COUNTA(RD19:RD19)*CELL("contenu",$B$18))))</f>
        <v/>
      </c>
      <c r="RE20" s="183" t="str">
        <f ca="1">IF(COUNTA(RE5:RE19)=0,"",5*SUM(IFERROR((((COUNTIF(RE5:RE6,"A"))*4)+((COUNTIF(RE5:RE6,"B"))*3)+((COUNTIF(RE5:RE6,"C"))*2)+((COUNTIF(RE5:RE6,"D"))*1))*CELL("contenu",$B$4),0),IFERROR((((COUNTIF(RE8:RE11,"A"))*4)+((COUNTIF(RE8:RE11,"B"))*3)+((COUNTIF(RE8:RE11,"C"))*2)+((COUNTIF(RE8:RE11,"D"))*1))*CELL("contenu",$B$7),0),IFERROR((((COUNTIF(RE13:RE13,"A"))*4)+((COUNTIF(RE13:RE13,"B"))*3)+((COUNTIF(RE13:RE13,"C"))*2)+((COUNTIF(RE13:RE13,"D"))*1))*CELL("contenu",$B$12),0),IFERROR((((COUNTIF(RE15:RE17,"A"))*4)+((COUNTIF(RE15:RE17,"B"))*3)+((COUNTIF(RE15:RE17,"C"))*2)+((COUNTIF(RE15:RE17,"D"))*1))*CELL("contenu",$B$14),0),IFERROR((((COUNTIF(RE19:RE19,"A"))*4)+((COUNTIF(RE19:RE19,"B"))*3)+((COUNTIF(RE19:RE19,"C"))*2)+((COUNTIF(RE19:RE19,"D"))*1))*CELL("contenu",$B$18),0))/IF(SUM(COUNTA(RE5:RE6)*CELL("contenu",$B$4),COUNTA(RE8:RE11)*CELL("contenu",$B$7),COUNTA(RE13:RE13)*CELL("contenu",$B$12),COUNTA(RE15:RE17)*CELL("contenu",$B$14),COUNTA(RE19:RE19)*CELL("contenu",$B$18))=0,1,SUM(COUNTA(RE5:RE6)*CELL("contenu",$B$4),COUNTA(RE8:RE11)*CELL("contenu",$B$7),COUNTA(RE13:RE13)*CELL("contenu",$B$12),COUNTA(RE15:RE17)*CELL("contenu",$B$14),COUNTA(RE19:RE19)*CELL("contenu",$B$18))))</f>
        <v/>
      </c>
      <c r="RF20" s="184" t="str">
        <f ca="1">IF(COUNTA(RF5:RF19)=0,"",5*SUM(IFERROR((((COUNTIF(RF5:RF6,"A"))*4)+((COUNTIF(RF5:RF6,"B"))*3)+((COUNTIF(RF5:RF6,"C"))*2)+((COUNTIF(RF5:RF6,"D"))*1))*CELL("contenu",$B$4),0),IFERROR((((COUNTIF(RF8:RF11,"A"))*4)+((COUNTIF(RF8:RF11,"B"))*3)+((COUNTIF(RF8:RF11,"C"))*2)+((COUNTIF(RF8:RF11,"D"))*1))*CELL("contenu",$B$7),0),IFERROR((((COUNTIF(RF13:RF13,"A"))*4)+((COUNTIF(RF13:RF13,"B"))*3)+((COUNTIF(RF13:RF13,"C"))*2)+((COUNTIF(RF13:RF13,"D"))*1))*CELL("contenu",$B$12),0),IFERROR((((COUNTIF(RF15:RF17,"A"))*4)+((COUNTIF(RF15:RF17,"B"))*3)+((COUNTIF(RF15:RF17,"C"))*2)+((COUNTIF(RF15:RF17,"D"))*1))*CELL("contenu",$B$14),0),IFERROR((((COUNTIF(RF19:RF19,"A"))*4)+((COUNTIF(RF19:RF19,"B"))*3)+((COUNTIF(RF19:RF19,"C"))*2)+((COUNTIF(RF19:RF19,"D"))*1))*CELL("contenu",$B$18),0))/IF(SUM(COUNTA(RF5:RF6)*CELL("contenu",$B$4),COUNTA(RF8:RF11)*CELL("contenu",$B$7),COUNTA(RF13:RF13)*CELL("contenu",$B$12),COUNTA(RF15:RF17)*CELL("contenu",$B$14),COUNTA(RF19:RF19)*CELL("contenu",$B$18))=0,1,SUM(COUNTA(RF5:RF6)*CELL("contenu",$B$4),COUNTA(RF8:RF11)*CELL("contenu",$B$7),COUNTA(RF13:RF13)*CELL("contenu",$B$12),COUNTA(RF15:RF17)*CELL("contenu",$B$14),COUNTA(RF19:RF19)*CELL("contenu",$B$18))))</f>
        <v/>
      </c>
      <c r="RG20" s="176"/>
      <c r="RH20" s="174" t="str">
        <f ca="1">IF(COUNTA(RD20:RF20)-COUNTBLANK(RD20:RF20)=0,"",SUM(RD20:RF20)/(COUNTA(RD20:RF20)-COUNTBLANK(RD20:RF20)))</f>
        <v/>
      </c>
      <c r="RI20" s="103"/>
      <c r="RJ20" s="141"/>
      <c r="RK20" s="167" t="str">
        <f ca="1">IF(COUNTA(RK5:RK19)=0,"",5*SUM(IFERROR((((COUNTIF(RK5:RK6,"A"))*4)+((COUNTIF(RK5:RK6,"B"))*3)+((COUNTIF(RK5:RK6,"C"))*2)+((COUNTIF(RK5:RK6,"D"))*1))*CELL("contenu",$B$4),0),IFERROR((((COUNTIF(RK8:RK11,"A"))*4)+((COUNTIF(RK8:RK11,"B"))*3)+((COUNTIF(RK8:RK11,"C"))*2)+((COUNTIF(RK8:RK11,"D"))*1))*CELL("contenu",$B$7),0),IFERROR((((COUNTIF(RK13:RK13,"A"))*4)+((COUNTIF(RK13:RK13,"B"))*3)+((COUNTIF(RK13:RK13,"C"))*2)+((COUNTIF(RK13:RK13,"D"))*1))*CELL("contenu",$B$12),0),IFERROR((((COUNTIF(RK15:RK17,"A"))*4)+((COUNTIF(RK15:RK17,"B"))*3)+((COUNTIF(RK15:RK17,"C"))*2)+((COUNTIF(RK15:RK17,"D"))*1))*CELL("contenu",$B$14),0),IFERROR((((COUNTIF(RK19:RK19,"A"))*4)+((COUNTIF(RK19:RK19,"B"))*3)+((COUNTIF(RK19:RK19,"C"))*2)+((COUNTIF(RK19:RK19,"D"))*1))*CELL("contenu",$B$18),0))/IF(SUM(COUNTA(RK5:RK6)*CELL("contenu",$B$4),COUNTA(RK8:RK11)*CELL("contenu",$B$7),COUNTA(RK13:RK13)*CELL("contenu",$B$12),COUNTA(RK15:RK17)*CELL("contenu",$B$14),COUNTA(RK19:RK19)*CELL("contenu",$B$18))=0,1,SUM(COUNTA(RK5:RK6)*CELL("contenu",$B$4),COUNTA(RK8:RK11)*CELL("contenu",$B$7),COUNTA(RK13:RK13)*CELL("contenu",$B$12),COUNTA(RK15:RK17)*CELL("contenu",$B$14),COUNTA(RK19:RK19)*CELL("contenu",$B$18))))</f>
        <v/>
      </c>
      <c r="RL20" s="168" t="str">
        <f ca="1">IF(COUNTA(RL5:RL19)=0,"",5*SUM(IFERROR((((COUNTIF(RL5:RL6,"A"))*4)+((COUNTIF(RL5:RL6,"B"))*3)+((COUNTIF(RL5:RL6,"C"))*2)+((COUNTIF(RL5:RL6,"D"))*1))*CELL("contenu",$B$4),0),IFERROR((((COUNTIF(RL8:RL11,"A"))*4)+((COUNTIF(RL8:RL11,"B"))*3)+((COUNTIF(RL8:RL11,"C"))*2)+((COUNTIF(RL8:RL11,"D"))*1))*CELL("contenu",$B$7),0),IFERROR((((COUNTIF(RL13:RL13,"A"))*4)+((COUNTIF(RL13:RL13,"B"))*3)+((COUNTIF(RL13:RL13,"C"))*2)+((COUNTIF(RL13:RL13,"D"))*1))*CELL("contenu",$B$12),0),IFERROR((((COUNTIF(RL15:RL17,"A"))*4)+((COUNTIF(RL15:RL17,"B"))*3)+((COUNTIF(RL15:RL17,"C"))*2)+((COUNTIF(RL15:RL17,"D"))*1))*CELL("contenu",$B$14),0),IFERROR((((COUNTIF(RL19:RL19,"A"))*4)+((COUNTIF(RL19:RL19,"B"))*3)+((COUNTIF(RL19:RL19,"C"))*2)+((COUNTIF(RL19:RL19,"D"))*1))*CELL("contenu",$B$18),0))/IF(SUM(COUNTA(RL5:RL6)*CELL("contenu",$B$4),COUNTA(RL8:RL11)*CELL("contenu",$B$7),COUNTA(RL13:RL13)*CELL("contenu",$B$12),COUNTA(RL15:RL17)*CELL("contenu",$B$14),COUNTA(RL19:RL19)*CELL("contenu",$B$18))=0,1,SUM(COUNTA(RL5:RL6)*CELL("contenu",$B$4),COUNTA(RL8:RL11)*CELL("contenu",$B$7),COUNTA(RL13:RL13)*CELL("contenu",$B$12),COUNTA(RL15:RL17)*CELL("contenu",$B$14),COUNTA(RL19:RL19)*CELL("contenu",$B$18))))</f>
        <v/>
      </c>
      <c r="RM20" s="169" t="str">
        <f ca="1">IF(COUNTA(RM5:RM19)=0,"",5*SUM(IFERROR((((COUNTIF(RM5:RM6,"A"))*4)+((COUNTIF(RM5:RM6,"B"))*3)+((COUNTIF(RM5:RM6,"C"))*2)+((COUNTIF(RM5:RM6,"D"))*1))*CELL("contenu",$B$4),0),IFERROR((((COUNTIF(RM8:RM11,"A"))*4)+((COUNTIF(RM8:RM11,"B"))*3)+((COUNTIF(RM8:RM11,"C"))*2)+((COUNTIF(RM8:RM11,"D"))*1))*CELL("contenu",$B$7),0),IFERROR((((COUNTIF(RM13:RM13,"A"))*4)+((COUNTIF(RM13:RM13,"B"))*3)+((COUNTIF(RM13:RM13,"C"))*2)+((COUNTIF(RM13:RM13,"D"))*1))*CELL("contenu",$B$12),0),IFERROR((((COUNTIF(RM15:RM17,"A"))*4)+((COUNTIF(RM15:RM17,"B"))*3)+((COUNTIF(RM15:RM17,"C"))*2)+((COUNTIF(RM15:RM17,"D"))*1))*CELL("contenu",$B$14),0),IFERROR((((COUNTIF(RM19:RM19,"A"))*4)+((COUNTIF(RM19:RM19,"B"))*3)+((COUNTIF(RM19:RM19,"C"))*2)+((COUNTIF(RM19:RM19,"D"))*1))*CELL("contenu",$B$18),0))/IF(SUM(COUNTA(RM5:RM6)*CELL("contenu",$B$4),COUNTA(RM8:RM11)*CELL("contenu",$B$7),COUNTA(RM13:RM13)*CELL("contenu",$B$12),COUNTA(RM15:RM17)*CELL("contenu",$B$14),COUNTA(RM19:RM19)*CELL("contenu",$B$18))=0,1,SUM(COUNTA(RM5:RM6)*CELL("contenu",$B$4),COUNTA(RM8:RM11)*CELL("contenu",$B$7),COUNTA(RM13:RM13)*CELL("contenu",$B$12),COUNTA(RM15:RM17)*CELL("contenu",$B$14),COUNTA(RM19:RM19)*CELL("contenu",$B$18))))</f>
        <v/>
      </c>
      <c r="RN20" s="116"/>
      <c r="RO20" s="192" t="str">
        <f ca="1">IF(COUNTA(RK20:RM20)-COUNTBLANK(RK20:RM20)=0,"",SUM(RK20:RM20)/(COUNTA(RK20:RM20)-COUNTBLANK(RK20:RM20)))</f>
        <v/>
      </c>
      <c r="RP20" s="182" t="str">
        <f ca="1">IF(COUNTA(RP5:RP19)=0,"",5*SUM(IFERROR((((COUNTIF(RP5:RP6,"A"))*4)+((COUNTIF(RP5:RP6,"B"))*3)+((COUNTIF(RP5:RP6,"C"))*2)+((COUNTIF(RP5:RP6,"D"))*1))*CELL("contenu",$B$4),0),IFERROR((((COUNTIF(RP8:RP11,"A"))*4)+((COUNTIF(RP8:RP11,"B"))*3)+((COUNTIF(RP8:RP11,"C"))*2)+((COUNTIF(RP8:RP11,"D"))*1))*CELL("contenu",$B$7),0),IFERROR((((COUNTIF(RP13:RP13,"A"))*4)+((COUNTIF(RP13:RP13,"B"))*3)+((COUNTIF(RP13:RP13,"C"))*2)+((COUNTIF(RP13:RP13,"D"))*1))*CELL("contenu",$B$12),0),IFERROR((((COUNTIF(RP15:RP17,"A"))*4)+((COUNTIF(RP15:RP17,"B"))*3)+((COUNTIF(RP15:RP17,"C"))*2)+((COUNTIF(RP15:RP17,"D"))*1))*CELL("contenu",$B$14),0),IFERROR((((COUNTIF(RP19:RP19,"A"))*4)+((COUNTIF(RP19:RP19,"B"))*3)+((COUNTIF(RP19:RP19,"C"))*2)+((COUNTIF(RP19:RP19,"D"))*1))*CELL("contenu",$B$18),0))/IF(SUM(COUNTA(RP5:RP6)*CELL("contenu",$B$4),COUNTA(RP8:RP11)*CELL("contenu",$B$7),COUNTA(RP13:RP13)*CELL("contenu",$B$12),COUNTA(RP15:RP17)*CELL("contenu",$B$14),COUNTA(RP19:RP19)*CELL("contenu",$B$18))=0,1,SUM(COUNTA(RP5:RP6)*CELL("contenu",$B$4),COUNTA(RP8:RP11)*CELL("contenu",$B$7),COUNTA(RP13:RP13)*CELL("contenu",$B$12),COUNTA(RP15:RP17)*CELL("contenu",$B$14),COUNTA(RP19:RP19)*CELL("contenu",$B$18))))</f>
        <v/>
      </c>
      <c r="RQ20" s="183" t="str">
        <f ca="1">IF(COUNTA(RQ5:RQ19)=0,"",5*SUM(IFERROR((((COUNTIF(RQ5:RQ6,"A"))*4)+((COUNTIF(RQ5:RQ6,"B"))*3)+((COUNTIF(RQ5:RQ6,"C"))*2)+((COUNTIF(RQ5:RQ6,"D"))*1))*CELL("contenu",$B$4),0),IFERROR((((COUNTIF(RQ8:RQ11,"A"))*4)+((COUNTIF(RQ8:RQ11,"B"))*3)+((COUNTIF(RQ8:RQ11,"C"))*2)+((COUNTIF(RQ8:RQ11,"D"))*1))*CELL("contenu",$B$7),0),IFERROR((((COUNTIF(RQ13:RQ13,"A"))*4)+((COUNTIF(RQ13:RQ13,"B"))*3)+((COUNTIF(RQ13:RQ13,"C"))*2)+((COUNTIF(RQ13:RQ13,"D"))*1))*CELL("contenu",$B$12),0),IFERROR((((COUNTIF(RQ15:RQ17,"A"))*4)+((COUNTIF(RQ15:RQ17,"B"))*3)+((COUNTIF(RQ15:RQ17,"C"))*2)+((COUNTIF(RQ15:RQ17,"D"))*1))*CELL("contenu",$B$14),0),IFERROR((((COUNTIF(RQ19:RQ19,"A"))*4)+((COUNTIF(RQ19:RQ19,"B"))*3)+((COUNTIF(RQ19:RQ19,"C"))*2)+((COUNTIF(RQ19:RQ19,"D"))*1))*CELL("contenu",$B$18),0))/IF(SUM(COUNTA(RQ5:RQ6)*CELL("contenu",$B$4),COUNTA(RQ8:RQ11)*CELL("contenu",$B$7),COUNTA(RQ13:RQ13)*CELL("contenu",$B$12),COUNTA(RQ15:RQ17)*CELL("contenu",$B$14),COUNTA(RQ19:RQ19)*CELL("contenu",$B$18))=0,1,SUM(COUNTA(RQ5:RQ6)*CELL("contenu",$B$4),COUNTA(RQ8:RQ11)*CELL("contenu",$B$7),COUNTA(RQ13:RQ13)*CELL("contenu",$B$12),COUNTA(RQ15:RQ17)*CELL("contenu",$B$14),COUNTA(RQ19:RQ19)*CELL("contenu",$B$18))))</f>
        <v/>
      </c>
      <c r="RR20" s="184" t="str">
        <f ca="1">IF(COUNTA(RR5:RR19)=0,"",5*SUM(IFERROR((((COUNTIF(RR5:RR6,"A"))*4)+((COUNTIF(RR5:RR6,"B"))*3)+((COUNTIF(RR5:RR6,"C"))*2)+((COUNTIF(RR5:RR6,"D"))*1))*CELL("contenu",$B$4),0),IFERROR((((COUNTIF(RR8:RR11,"A"))*4)+((COUNTIF(RR8:RR11,"B"))*3)+((COUNTIF(RR8:RR11,"C"))*2)+((COUNTIF(RR8:RR11,"D"))*1))*CELL("contenu",$B$7),0),IFERROR((((COUNTIF(RR13:RR13,"A"))*4)+((COUNTIF(RR13:RR13,"B"))*3)+((COUNTIF(RR13:RR13,"C"))*2)+((COUNTIF(RR13:RR13,"D"))*1))*CELL("contenu",$B$12),0),IFERROR((((COUNTIF(RR15:RR17,"A"))*4)+((COUNTIF(RR15:RR17,"B"))*3)+((COUNTIF(RR15:RR17,"C"))*2)+((COUNTIF(RR15:RR17,"D"))*1))*CELL("contenu",$B$14),0),IFERROR((((COUNTIF(RR19:RR19,"A"))*4)+((COUNTIF(RR19:RR19,"B"))*3)+((COUNTIF(RR19:RR19,"C"))*2)+((COUNTIF(RR19:RR19,"D"))*1))*CELL("contenu",$B$18),0))/IF(SUM(COUNTA(RR5:RR6)*CELL("contenu",$B$4),COUNTA(RR8:RR11)*CELL("contenu",$B$7),COUNTA(RR13:RR13)*CELL("contenu",$B$12),COUNTA(RR15:RR17)*CELL("contenu",$B$14),COUNTA(RR19:RR19)*CELL("contenu",$B$18))=0,1,SUM(COUNTA(RR5:RR6)*CELL("contenu",$B$4),COUNTA(RR8:RR11)*CELL("contenu",$B$7),COUNTA(RR13:RR13)*CELL("contenu",$B$12),COUNTA(RR15:RR17)*CELL("contenu",$B$14),COUNTA(RR19:RR19)*CELL("contenu",$B$18))))</f>
        <v/>
      </c>
      <c r="RS20" s="176"/>
      <c r="RT20" s="175" t="str">
        <f ca="1">IF(COUNTA(RP20:RR20)-COUNTBLANK(RP20:RR20)=0,"",SUM(RP20:RR20)/(COUNTA(RP20:RR20)-COUNTBLANK(RP20:RR20)))</f>
        <v/>
      </c>
      <c r="RU20" s="182" t="str">
        <f ca="1">IF(COUNTA(RU5:RU19)=0,"",5*SUM(IFERROR((((COUNTIF(RU5:RU6,"A"))*4)+((COUNTIF(RU5:RU6,"B"))*3)+((COUNTIF(RU5:RU6,"C"))*2)+((COUNTIF(RU5:RU6,"D"))*1))*CELL("contenu",$B$4),0),IFERROR((((COUNTIF(RU8:RU11,"A"))*4)+((COUNTIF(RU8:RU11,"B"))*3)+((COUNTIF(RU8:RU11,"C"))*2)+((COUNTIF(RU8:RU11,"D"))*1))*CELL("contenu",$B$7),0),IFERROR((((COUNTIF(RU13:RU13,"A"))*4)+((COUNTIF(RU13:RU13,"B"))*3)+((COUNTIF(RU13:RU13,"C"))*2)+((COUNTIF(RU13:RU13,"D"))*1))*CELL("contenu",$B$12),0),IFERROR((((COUNTIF(RU15:RU17,"A"))*4)+((COUNTIF(RU15:RU17,"B"))*3)+((COUNTIF(RU15:RU17,"C"))*2)+((COUNTIF(RU15:RU17,"D"))*1))*CELL("contenu",$B$14),0),IFERROR((((COUNTIF(RU19:RU19,"A"))*4)+((COUNTIF(RU19:RU19,"B"))*3)+((COUNTIF(RU19:RU19,"C"))*2)+((COUNTIF(RU19:RU19,"D"))*1))*CELL("contenu",$B$18),0))/IF(SUM(COUNTA(RU5:RU6)*CELL("contenu",$B$4),COUNTA(RU8:RU11)*CELL("contenu",$B$7),COUNTA(RU13:RU13)*CELL("contenu",$B$12),COUNTA(RU15:RU17)*CELL("contenu",$B$14),COUNTA(RU19:RU19)*CELL("contenu",$B$18))=0,1,SUM(COUNTA(RU5:RU6)*CELL("contenu",$B$4),COUNTA(RU8:RU11)*CELL("contenu",$B$7),COUNTA(RU13:RU13)*CELL("contenu",$B$12),COUNTA(RU15:RU17)*CELL("contenu",$B$14),COUNTA(RU19:RU19)*CELL("contenu",$B$18))))</f>
        <v/>
      </c>
      <c r="RV20" s="183" t="str">
        <f ca="1">IF(COUNTA(RV5:RV19)=0,"",5*SUM(IFERROR((((COUNTIF(RV5:RV6,"A"))*4)+((COUNTIF(RV5:RV6,"B"))*3)+((COUNTIF(RV5:RV6,"C"))*2)+((COUNTIF(RV5:RV6,"D"))*1))*CELL("contenu",$B$4),0),IFERROR((((COUNTIF(RV8:RV11,"A"))*4)+((COUNTIF(RV8:RV11,"B"))*3)+((COUNTIF(RV8:RV11,"C"))*2)+((COUNTIF(RV8:RV11,"D"))*1))*CELL("contenu",$B$7),0),IFERROR((((COUNTIF(RV13:RV13,"A"))*4)+((COUNTIF(RV13:RV13,"B"))*3)+((COUNTIF(RV13:RV13,"C"))*2)+((COUNTIF(RV13:RV13,"D"))*1))*CELL("contenu",$B$12),0),IFERROR((((COUNTIF(RV15:RV17,"A"))*4)+((COUNTIF(RV15:RV17,"B"))*3)+((COUNTIF(RV15:RV17,"C"))*2)+((COUNTIF(RV15:RV17,"D"))*1))*CELL("contenu",$B$14),0),IFERROR((((COUNTIF(RV19:RV19,"A"))*4)+((COUNTIF(RV19:RV19,"B"))*3)+((COUNTIF(RV19:RV19,"C"))*2)+((COUNTIF(RV19:RV19,"D"))*1))*CELL("contenu",$B$18),0))/IF(SUM(COUNTA(RV5:RV6)*CELL("contenu",$B$4),COUNTA(RV8:RV11)*CELL("contenu",$B$7),COUNTA(RV13:RV13)*CELL("contenu",$B$12),COUNTA(RV15:RV17)*CELL("contenu",$B$14),COUNTA(RV19:RV19)*CELL("contenu",$B$18))=0,1,SUM(COUNTA(RV5:RV6)*CELL("contenu",$B$4),COUNTA(RV8:RV11)*CELL("contenu",$B$7),COUNTA(RV13:RV13)*CELL("contenu",$B$12),COUNTA(RV15:RV17)*CELL("contenu",$B$14),COUNTA(RV19:RV19)*CELL("contenu",$B$18))))</f>
        <v/>
      </c>
      <c r="RW20" s="184" t="str">
        <f ca="1">IF(COUNTA(RW5:RW19)=0,"",5*SUM(IFERROR((((COUNTIF(RW5:RW6,"A"))*4)+((COUNTIF(RW5:RW6,"B"))*3)+((COUNTIF(RW5:RW6,"C"))*2)+((COUNTIF(RW5:RW6,"D"))*1))*CELL("contenu",$B$4),0),IFERROR((((COUNTIF(RW8:RW11,"A"))*4)+((COUNTIF(RW8:RW11,"B"))*3)+((COUNTIF(RW8:RW11,"C"))*2)+((COUNTIF(RW8:RW11,"D"))*1))*CELL("contenu",$B$7),0),IFERROR((((COUNTIF(RW13:RW13,"A"))*4)+((COUNTIF(RW13:RW13,"B"))*3)+((COUNTIF(RW13:RW13,"C"))*2)+((COUNTIF(RW13:RW13,"D"))*1))*CELL("contenu",$B$12),0),IFERROR((((COUNTIF(RW15:RW17,"A"))*4)+((COUNTIF(RW15:RW17,"B"))*3)+((COUNTIF(RW15:RW17,"C"))*2)+((COUNTIF(RW15:RW17,"D"))*1))*CELL("contenu",$B$14),0),IFERROR((((COUNTIF(RW19:RW19,"A"))*4)+((COUNTIF(RW19:RW19,"B"))*3)+((COUNTIF(RW19:RW19,"C"))*2)+((COUNTIF(RW19:RW19,"D"))*1))*CELL("contenu",$B$18),0))/IF(SUM(COUNTA(RW5:RW6)*CELL("contenu",$B$4),COUNTA(RW8:RW11)*CELL("contenu",$B$7),COUNTA(RW13:RW13)*CELL("contenu",$B$12),COUNTA(RW15:RW17)*CELL("contenu",$B$14),COUNTA(RW19:RW19)*CELL("contenu",$B$18))=0,1,SUM(COUNTA(RW5:RW6)*CELL("contenu",$B$4),COUNTA(RW8:RW11)*CELL("contenu",$B$7),COUNTA(RW13:RW13)*CELL("contenu",$B$12),COUNTA(RW15:RW17)*CELL("contenu",$B$14),COUNTA(RW19:RW19)*CELL("contenu",$B$18))))</f>
        <v/>
      </c>
      <c r="RX20" s="176"/>
      <c r="RY20" s="174" t="str">
        <f ca="1">IF(COUNTA(RU20:RW20)-COUNTBLANK(RU20:RW20)=0,"",SUM(RU20:RW20)/(COUNTA(RU20:RW20)-COUNTBLANK(RU20:RW20)))</f>
        <v/>
      </c>
      <c r="RZ20" s="103"/>
      <c r="SA20" s="141"/>
      <c r="SB20" s="167" t="str">
        <f ca="1">IF(COUNTA(SB5:SB19)=0,"",5*SUM(IFERROR((((COUNTIF(SB5:SB6,"A"))*4)+((COUNTIF(SB5:SB6,"B"))*3)+((COUNTIF(SB5:SB6,"C"))*2)+((COUNTIF(SB5:SB6,"D"))*1))*CELL("contenu",$B$4),0),IFERROR((((COUNTIF(SB8:SB11,"A"))*4)+((COUNTIF(SB8:SB11,"B"))*3)+((COUNTIF(SB8:SB11,"C"))*2)+((COUNTIF(SB8:SB11,"D"))*1))*CELL("contenu",$B$7),0),IFERROR((((COUNTIF(SB13:SB13,"A"))*4)+((COUNTIF(SB13:SB13,"B"))*3)+((COUNTIF(SB13:SB13,"C"))*2)+((COUNTIF(SB13:SB13,"D"))*1))*CELL("contenu",$B$12),0),IFERROR((((COUNTIF(SB15:SB17,"A"))*4)+((COUNTIF(SB15:SB17,"B"))*3)+((COUNTIF(SB15:SB17,"C"))*2)+((COUNTIF(SB15:SB17,"D"))*1))*CELL("contenu",$B$14),0),IFERROR((((COUNTIF(SB19:SB19,"A"))*4)+((COUNTIF(SB19:SB19,"B"))*3)+((COUNTIF(SB19:SB19,"C"))*2)+((COUNTIF(SB19:SB19,"D"))*1))*CELL("contenu",$B$18),0))/IF(SUM(COUNTA(SB5:SB6)*CELL("contenu",$B$4),COUNTA(SB8:SB11)*CELL("contenu",$B$7),COUNTA(SB13:SB13)*CELL("contenu",$B$12),COUNTA(SB15:SB17)*CELL("contenu",$B$14),COUNTA(SB19:SB19)*CELL("contenu",$B$18))=0,1,SUM(COUNTA(SB5:SB6)*CELL("contenu",$B$4),COUNTA(SB8:SB11)*CELL("contenu",$B$7),COUNTA(SB13:SB13)*CELL("contenu",$B$12),COUNTA(SB15:SB17)*CELL("contenu",$B$14),COUNTA(SB19:SB19)*CELL("contenu",$B$18))))</f>
        <v/>
      </c>
      <c r="SC20" s="168" t="str">
        <f ca="1">IF(COUNTA(SC5:SC19)=0,"",5*SUM(IFERROR((((COUNTIF(SC5:SC6,"A"))*4)+((COUNTIF(SC5:SC6,"B"))*3)+((COUNTIF(SC5:SC6,"C"))*2)+((COUNTIF(SC5:SC6,"D"))*1))*CELL("contenu",$B$4),0),IFERROR((((COUNTIF(SC8:SC11,"A"))*4)+((COUNTIF(SC8:SC11,"B"))*3)+((COUNTIF(SC8:SC11,"C"))*2)+((COUNTIF(SC8:SC11,"D"))*1))*CELL("contenu",$B$7),0),IFERROR((((COUNTIF(SC13:SC13,"A"))*4)+((COUNTIF(SC13:SC13,"B"))*3)+((COUNTIF(SC13:SC13,"C"))*2)+((COUNTIF(SC13:SC13,"D"))*1))*CELL("contenu",$B$12),0),IFERROR((((COUNTIF(SC15:SC17,"A"))*4)+((COUNTIF(SC15:SC17,"B"))*3)+((COUNTIF(SC15:SC17,"C"))*2)+((COUNTIF(SC15:SC17,"D"))*1))*CELL("contenu",$B$14),0),IFERROR((((COUNTIF(SC19:SC19,"A"))*4)+((COUNTIF(SC19:SC19,"B"))*3)+((COUNTIF(SC19:SC19,"C"))*2)+((COUNTIF(SC19:SC19,"D"))*1))*CELL("contenu",$B$18),0))/IF(SUM(COUNTA(SC5:SC6)*CELL("contenu",$B$4),COUNTA(SC8:SC11)*CELL("contenu",$B$7),COUNTA(SC13:SC13)*CELL("contenu",$B$12),COUNTA(SC15:SC17)*CELL("contenu",$B$14),COUNTA(SC19:SC19)*CELL("contenu",$B$18))=0,1,SUM(COUNTA(SC5:SC6)*CELL("contenu",$B$4),COUNTA(SC8:SC11)*CELL("contenu",$B$7),COUNTA(SC13:SC13)*CELL("contenu",$B$12),COUNTA(SC15:SC17)*CELL("contenu",$B$14),COUNTA(SC19:SC19)*CELL("contenu",$B$18))))</f>
        <v/>
      </c>
      <c r="SD20" s="169" t="str">
        <f ca="1">IF(COUNTA(SD5:SD19)=0,"",5*SUM(IFERROR((((COUNTIF(SD5:SD6,"A"))*4)+((COUNTIF(SD5:SD6,"B"))*3)+((COUNTIF(SD5:SD6,"C"))*2)+((COUNTIF(SD5:SD6,"D"))*1))*CELL("contenu",$B$4),0),IFERROR((((COUNTIF(SD8:SD11,"A"))*4)+((COUNTIF(SD8:SD11,"B"))*3)+((COUNTIF(SD8:SD11,"C"))*2)+((COUNTIF(SD8:SD11,"D"))*1))*CELL("contenu",$B$7),0),IFERROR((((COUNTIF(SD13:SD13,"A"))*4)+((COUNTIF(SD13:SD13,"B"))*3)+((COUNTIF(SD13:SD13,"C"))*2)+((COUNTIF(SD13:SD13,"D"))*1))*CELL("contenu",$B$12),0),IFERROR((((COUNTIF(SD15:SD17,"A"))*4)+((COUNTIF(SD15:SD17,"B"))*3)+((COUNTIF(SD15:SD17,"C"))*2)+((COUNTIF(SD15:SD17,"D"))*1))*CELL("contenu",$B$14),0),IFERROR((((COUNTIF(SD19:SD19,"A"))*4)+((COUNTIF(SD19:SD19,"B"))*3)+((COUNTIF(SD19:SD19,"C"))*2)+((COUNTIF(SD19:SD19,"D"))*1))*CELL("contenu",$B$18),0))/IF(SUM(COUNTA(SD5:SD6)*CELL("contenu",$B$4),COUNTA(SD8:SD11)*CELL("contenu",$B$7),COUNTA(SD13:SD13)*CELL("contenu",$B$12),COUNTA(SD15:SD17)*CELL("contenu",$B$14),COUNTA(SD19:SD19)*CELL("contenu",$B$18))=0,1,SUM(COUNTA(SD5:SD6)*CELL("contenu",$B$4),COUNTA(SD8:SD11)*CELL("contenu",$B$7),COUNTA(SD13:SD13)*CELL("contenu",$B$12),COUNTA(SD15:SD17)*CELL("contenu",$B$14),COUNTA(SD19:SD19)*CELL("contenu",$B$18))))</f>
        <v/>
      </c>
      <c r="SE20" s="116"/>
      <c r="SF20" s="192" t="str">
        <f ca="1">IF(COUNTA(SB20:SD20)-COUNTBLANK(SB20:SD20)=0,"",SUM(SB20:SD20)/(COUNTA(SB20:SD20)-COUNTBLANK(SB20:SD20)))</f>
        <v/>
      </c>
      <c r="SG20" s="182" t="str">
        <f ca="1">IF(COUNTA(SG5:SG19)=0,"",5*SUM(IFERROR((((COUNTIF(SG5:SG6,"A"))*4)+((COUNTIF(SG5:SG6,"B"))*3)+((COUNTIF(SG5:SG6,"C"))*2)+((COUNTIF(SG5:SG6,"D"))*1))*CELL("contenu",$B$4),0),IFERROR((((COUNTIF(SG8:SG11,"A"))*4)+((COUNTIF(SG8:SG11,"B"))*3)+((COUNTIF(SG8:SG11,"C"))*2)+((COUNTIF(SG8:SG11,"D"))*1))*CELL("contenu",$B$7),0),IFERROR((((COUNTIF(SG13:SG13,"A"))*4)+((COUNTIF(SG13:SG13,"B"))*3)+((COUNTIF(SG13:SG13,"C"))*2)+((COUNTIF(SG13:SG13,"D"))*1))*CELL("contenu",$B$12),0),IFERROR((((COUNTIF(SG15:SG17,"A"))*4)+((COUNTIF(SG15:SG17,"B"))*3)+((COUNTIF(SG15:SG17,"C"))*2)+((COUNTIF(SG15:SG17,"D"))*1))*CELL("contenu",$B$14),0),IFERROR((((COUNTIF(SG19:SG19,"A"))*4)+((COUNTIF(SG19:SG19,"B"))*3)+((COUNTIF(SG19:SG19,"C"))*2)+((COUNTIF(SG19:SG19,"D"))*1))*CELL("contenu",$B$18),0))/IF(SUM(COUNTA(SG5:SG6)*CELL("contenu",$B$4),COUNTA(SG8:SG11)*CELL("contenu",$B$7),COUNTA(SG13:SG13)*CELL("contenu",$B$12),COUNTA(SG15:SG17)*CELL("contenu",$B$14),COUNTA(SG19:SG19)*CELL("contenu",$B$18))=0,1,SUM(COUNTA(SG5:SG6)*CELL("contenu",$B$4),COUNTA(SG8:SG11)*CELL("contenu",$B$7),COUNTA(SG13:SG13)*CELL("contenu",$B$12),COUNTA(SG15:SG17)*CELL("contenu",$B$14),COUNTA(SG19:SG19)*CELL("contenu",$B$18))))</f>
        <v/>
      </c>
      <c r="SH20" s="183" t="str">
        <f ca="1">IF(COUNTA(SH5:SH19)=0,"",5*SUM(IFERROR((((COUNTIF(SH5:SH6,"A"))*4)+((COUNTIF(SH5:SH6,"B"))*3)+((COUNTIF(SH5:SH6,"C"))*2)+((COUNTIF(SH5:SH6,"D"))*1))*CELL("contenu",$B$4),0),IFERROR((((COUNTIF(SH8:SH11,"A"))*4)+((COUNTIF(SH8:SH11,"B"))*3)+((COUNTIF(SH8:SH11,"C"))*2)+((COUNTIF(SH8:SH11,"D"))*1))*CELL("contenu",$B$7),0),IFERROR((((COUNTIF(SH13:SH13,"A"))*4)+((COUNTIF(SH13:SH13,"B"))*3)+((COUNTIF(SH13:SH13,"C"))*2)+((COUNTIF(SH13:SH13,"D"))*1))*CELL("contenu",$B$12),0),IFERROR((((COUNTIF(SH15:SH17,"A"))*4)+((COUNTIF(SH15:SH17,"B"))*3)+((COUNTIF(SH15:SH17,"C"))*2)+((COUNTIF(SH15:SH17,"D"))*1))*CELL("contenu",$B$14),0),IFERROR((((COUNTIF(SH19:SH19,"A"))*4)+((COUNTIF(SH19:SH19,"B"))*3)+((COUNTIF(SH19:SH19,"C"))*2)+((COUNTIF(SH19:SH19,"D"))*1))*CELL("contenu",$B$18),0))/IF(SUM(COUNTA(SH5:SH6)*CELL("contenu",$B$4),COUNTA(SH8:SH11)*CELL("contenu",$B$7),COUNTA(SH13:SH13)*CELL("contenu",$B$12),COUNTA(SH15:SH17)*CELL("contenu",$B$14),COUNTA(SH19:SH19)*CELL("contenu",$B$18))=0,1,SUM(COUNTA(SH5:SH6)*CELL("contenu",$B$4),COUNTA(SH8:SH11)*CELL("contenu",$B$7),COUNTA(SH13:SH13)*CELL("contenu",$B$12),COUNTA(SH15:SH17)*CELL("contenu",$B$14),COUNTA(SH19:SH19)*CELL("contenu",$B$18))))</f>
        <v/>
      </c>
      <c r="SI20" s="184" t="str">
        <f ca="1">IF(COUNTA(SI5:SI19)=0,"",5*SUM(IFERROR((((COUNTIF(SI5:SI6,"A"))*4)+((COUNTIF(SI5:SI6,"B"))*3)+((COUNTIF(SI5:SI6,"C"))*2)+((COUNTIF(SI5:SI6,"D"))*1))*CELL("contenu",$B$4),0),IFERROR((((COUNTIF(SI8:SI11,"A"))*4)+((COUNTIF(SI8:SI11,"B"))*3)+((COUNTIF(SI8:SI11,"C"))*2)+((COUNTIF(SI8:SI11,"D"))*1))*CELL("contenu",$B$7),0),IFERROR((((COUNTIF(SI13:SI13,"A"))*4)+((COUNTIF(SI13:SI13,"B"))*3)+((COUNTIF(SI13:SI13,"C"))*2)+((COUNTIF(SI13:SI13,"D"))*1))*CELL("contenu",$B$12),0),IFERROR((((COUNTIF(SI15:SI17,"A"))*4)+((COUNTIF(SI15:SI17,"B"))*3)+((COUNTIF(SI15:SI17,"C"))*2)+((COUNTIF(SI15:SI17,"D"))*1))*CELL("contenu",$B$14),0),IFERROR((((COUNTIF(SI19:SI19,"A"))*4)+((COUNTIF(SI19:SI19,"B"))*3)+((COUNTIF(SI19:SI19,"C"))*2)+((COUNTIF(SI19:SI19,"D"))*1))*CELL("contenu",$B$18),0))/IF(SUM(COUNTA(SI5:SI6)*CELL("contenu",$B$4),COUNTA(SI8:SI11)*CELL("contenu",$B$7),COUNTA(SI13:SI13)*CELL("contenu",$B$12),COUNTA(SI15:SI17)*CELL("contenu",$B$14),COUNTA(SI19:SI19)*CELL("contenu",$B$18))=0,1,SUM(COUNTA(SI5:SI6)*CELL("contenu",$B$4),COUNTA(SI8:SI11)*CELL("contenu",$B$7),COUNTA(SI13:SI13)*CELL("contenu",$B$12),COUNTA(SI15:SI17)*CELL("contenu",$B$14),COUNTA(SI19:SI19)*CELL("contenu",$B$18))))</f>
        <v/>
      </c>
      <c r="SJ20" s="176"/>
      <c r="SK20" s="175" t="str">
        <f ca="1">IF(COUNTA(SG20:SI20)-COUNTBLANK(SG20:SI20)=0,"",SUM(SG20:SI20)/(COUNTA(SG20:SI20)-COUNTBLANK(SG20:SI20)))</f>
        <v/>
      </c>
      <c r="SL20" s="182" t="str">
        <f ca="1">IF(COUNTA(SL5:SL19)=0,"",5*SUM(IFERROR((((COUNTIF(SL5:SL6,"A"))*4)+((COUNTIF(SL5:SL6,"B"))*3)+((COUNTIF(SL5:SL6,"C"))*2)+((COUNTIF(SL5:SL6,"D"))*1))*CELL("contenu",$B$4),0),IFERROR((((COUNTIF(SL8:SL11,"A"))*4)+((COUNTIF(SL8:SL11,"B"))*3)+((COUNTIF(SL8:SL11,"C"))*2)+((COUNTIF(SL8:SL11,"D"))*1))*CELL("contenu",$B$7),0),IFERROR((((COUNTIF(SL13:SL13,"A"))*4)+((COUNTIF(SL13:SL13,"B"))*3)+((COUNTIF(SL13:SL13,"C"))*2)+((COUNTIF(SL13:SL13,"D"))*1))*CELL("contenu",$B$12),0),IFERROR((((COUNTIF(SL15:SL17,"A"))*4)+((COUNTIF(SL15:SL17,"B"))*3)+((COUNTIF(SL15:SL17,"C"))*2)+((COUNTIF(SL15:SL17,"D"))*1))*CELL("contenu",$B$14),0),IFERROR((((COUNTIF(SL19:SL19,"A"))*4)+((COUNTIF(SL19:SL19,"B"))*3)+((COUNTIF(SL19:SL19,"C"))*2)+((COUNTIF(SL19:SL19,"D"))*1))*CELL("contenu",$B$18),0))/IF(SUM(COUNTA(SL5:SL6)*CELL("contenu",$B$4),COUNTA(SL8:SL11)*CELL("contenu",$B$7),COUNTA(SL13:SL13)*CELL("contenu",$B$12),COUNTA(SL15:SL17)*CELL("contenu",$B$14),COUNTA(SL19:SL19)*CELL("contenu",$B$18))=0,1,SUM(COUNTA(SL5:SL6)*CELL("contenu",$B$4),COUNTA(SL8:SL11)*CELL("contenu",$B$7),COUNTA(SL13:SL13)*CELL("contenu",$B$12),COUNTA(SL15:SL17)*CELL("contenu",$B$14),COUNTA(SL19:SL19)*CELL("contenu",$B$18))))</f>
        <v/>
      </c>
      <c r="SM20" s="183" t="str">
        <f ca="1">IF(COUNTA(SM5:SM19)=0,"",5*SUM(IFERROR((((COUNTIF(SM5:SM6,"A"))*4)+((COUNTIF(SM5:SM6,"B"))*3)+((COUNTIF(SM5:SM6,"C"))*2)+((COUNTIF(SM5:SM6,"D"))*1))*CELL("contenu",$B$4),0),IFERROR((((COUNTIF(SM8:SM11,"A"))*4)+((COUNTIF(SM8:SM11,"B"))*3)+((COUNTIF(SM8:SM11,"C"))*2)+((COUNTIF(SM8:SM11,"D"))*1))*CELL("contenu",$B$7),0),IFERROR((((COUNTIF(SM13:SM13,"A"))*4)+((COUNTIF(SM13:SM13,"B"))*3)+((COUNTIF(SM13:SM13,"C"))*2)+((COUNTIF(SM13:SM13,"D"))*1))*CELL("contenu",$B$12),0),IFERROR((((COUNTIF(SM15:SM17,"A"))*4)+((COUNTIF(SM15:SM17,"B"))*3)+((COUNTIF(SM15:SM17,"C"))*2)+((COUNTIF(SM15:SM17,"D"))*1))*CELL("contenu",$B$14),0),IFERROR((((COUNTIF(SM19:SM19,"A"))*4)+((COUNTIF(SM19:SM19,"B"))*3)+((COUNTIF(SM19:SM19,"C"))*2)+((COUNTIF(SM19:SM19,"D"))*1))*CELL("contenu",$B$18),0))/IF(SUM(COUNTA(SM5:SM6)*CELL("contenu",$B$4),COUNTA(SM8:SM11)*CELL("contenu",$B$7),COUNTA(SM13:SM13)*CELL("contenu",$B$12),COUNTA(SM15:SM17)*CELL("contenu",$B$14),COUNTA(SM19:SM19)*CELL("contenu",$B$18))=0,1,SUM(COUNTA(SM5:SM6)*CELL("contenu",$B$4),COUNTA(SM8:SM11)*CELL("contenu",$B$7),COUNTA(SM13:SM13)*CELL("contenu",$B$12),COUNTA(SM15:SM17)*CELL("contenu",$B$14),COUNTA(SM19:SM19)*CELL("contenu",$B$18))))</f>
        <v/>
      </c>
      <c r="SN20" s="184" t="str">
        <f ca="1">IF(COUNTA(SN5:SN19)=0,"",5*SUM(IFERROR((((COUNTIF(SN5:SN6,"A"))*4)+((COUNTIF(SN5:SN6,"B"))*3)+((COUNTIF(SN5:SN6,"C"))*2)+((COUNTIF(SN5:SN6,"D"))*1))*CELL("contenu",$B$4),0),IFERROR((((COUNTIF(SN8:SN11,"A"))*4)+((COUNTIF(SN8:SN11,"B"))*3)+((COUNTIF(SN8:SN11,"C"))*2)+((COUNTIF(SN8:SN11,"D"))*1))*CELL("contenu",$B$7),0),IFERROR((((COUNTIF(SN13:SN13,"A"))*4)+((COUNTIF(SN13:SN13,"B"))*3)+((COUNTIF(SN13:SN13,"C"))*2)+((COUNTIF(SN13:SN13,"D"))*1))*CELL("contenu",$B$12),0),IFERROR((((COUNTIF(SN15:SN17,"A"))*4)+((COUNTIF(SN15:SN17,"B"))*3)+((COUNTIF(SN15:SN17,"C"))*2)+((COUNTIF(SN15:SN17,"D"))*1))*CELL("contenu",$B$14),0),IFERROR((((COUNTIF(SN19:SN19,"A"))*4)+((COUNTIF(SN19:SN19,"B"))*3)+((COUNTIF(SN19:SN19,"C"))*2)+((COUNTIF(SN19:SN19,"D"))*1))*CELL("contenu",$B$18),0))/IF(SUM(COUNTA(SN5:SN6)*CELL("contenu",$B$4),COUNTA(SN8:SN11)*CELL("contenu",$B$7),COUNTA(SN13:SN13)*CELL("contenu",$B$12),COUNTA(SN15:SN17)*CELL("contenu",$B$14),COUNTA(SN19:SN19)*CELL("contenu",$B$18))=0,1,SUM(COUNTA(SN5:SN6)*CELL("contenu",$B$4),COUNTA(SN8:SN11)*CELL("contenu",$B$7),COUNTA(SN13:SN13)*CELL("contenu",$B$12),COUNTA(SN15:SN17)*CELL("contenu",$B$14),COUNTA(SN19:SN19)*CELL("contenu",$B$18))))</f>
        <v/>
      </c>
      <c r="SO20" s="176"/>
      <c r="SP20" s="174" t="str">
        <f ca="1">IF(COUNTA(SL20:SN20)-COUNTBLANK(SL20:SN20)=0,"",SUM(SL20:SN20)/(COUNTA(SL20:SN20)-COUNTBLANK(SL20:SN20)))</f>
        <v/>
      </c>
      <c r="SQ20" s="103"/>
      <c r="SR20" s="141"/>
    </row>
    <row r="21" spans="1:512" s="142" customFormat="1" ht="16.5" x14ac:dyDescent="0.3">
      <c r="A21" s="170"/>
      <c r="B21" s="170"/>
      <c r="C21" s="199"/>
      <c r="D21" s="199"/>
      <c r="E21" s="199"/>
      <c r="F21" s="170"/>
      <c r="G21" s="170"/>
      <c r="R21" s="143"/>
      <c r="S21" s="143"/>
      <c r="AI21" s="143"/>
      <c r="AJ21" s="143"/>
      <c r="AZ21" s="143"/>
      <c r="BA21" s="143"/>
      <c r="BQ21" s="143"/>
      <c r="BR21" s="143"/>
      <c r="CH21" s="143"/>
      <c r="CI21" s="143"/>
      <c r="CY21" s="143"/>
      <c r="CZ21" s="143"/>
      <c r="DP21" s="143"/>
      <c r="DQ21" s="143"/>
      <c r="EG21" s="143"/>
      <c r="EH21" s="143"/>
      <c r="EX21" s="143"/>
      <c r="EY21" s="143"/>
      <c r="FO21" s="143"/>
      <c r="FP21" s="143"/>
      <c r="GF21" s="143"/>
      <c r="GG21" s="143"/>
      <c r="GW21" s="143"/>
      <c r="GX21" s="143"/>
      <c r="HN21" s="143"/>
      <c r="HO21" s="143"/>
      <c r="IE21" s="143"/>
      <c r="IF21" s="143"/>
      <c r="IV21" s="143"/>
      <c r="IW21" s="143"/>
      <c r="JM21" s="143"/>
      <c r="JN21" s="143"/>
      <c r="KD21" s="143"/>
      <c r="KE21" s="143"/>
      <c r="KU21" s="143"/>
      <c r="KV21" s="143"/>
      <c r="LL21" s="143"/>
      <c r="LM21" s="143"/>
      <c r="MC21" s="143"/>
      <c r="MD21" s="143"/>
      <c r="MT21" s="143"/>
      <c r="MU21" s="143"/>
      <c r="NK21" s="143"/>
      <c r="NL21" s="143"/>
      <c r="OB21" s="143"/>
      <c r="OC21" s="143"/>
      <c r="OS21" s="143"/>
      <c r="OT21" s="143"/>
      <c r="PJ21" s="143"/>
      <c r="PK21" s="143"/>
      <c r="QA21" s="143"/>
      <c r="QB21" s="143"/>
      <c r="QR21" s="143"/>
      <c r="QS21" s="143"/>
      <c r="RI21" s="143"/>
      <c r="RJ21" s="143"/>
      <c r="RZ21" s="143"/>
      <c r="SA21" s="143"/>
      <c r="SQ21" s="143"/>
      <c r="SR21" s="143"/>
    </row>
    <row r="22" spans="1:512" s="144" customFormat="1" ht="16.5" x14ac:dyDescent="0.25">
      <c r="A22" s="171"/>
      <c r="B22" s="171"/>
      <c r="C22" s="200"/>
      <c r="D22" s="200"/>
      <c r="E22" s="200"/>
      <c r="F22" s="172"/>
      <c r="G22" s="173"/>
      <c r="H22" s="201"/>
      <c r="I22" s="201"/>
      <c r="J22" s="201"/>
      <c r="K22" s="143"/>
      <c r="L22" s="143"/>
      <c r="M22" s="201"/>
      <c r="N22" s="201"/>
      <c r="O22" s="201"/>
      <c r="P22" s="143"/>
      <c r="Q22" s="143"/>
      <c r="R22" s="143" t="str">
        <f>IFERROR((((COUNTIF(C5:E6,"A")+COUNTIF(H5:J6,"A")+COUNTIF(M5:O6,"A"))*4)+((COUNTIF(C5:E6,"B")+COUNTIF(H5:J6,"B")+COUNTIF(M5:O6,"B"))*3)+((COUNTIF(C5:E6,"C")+COUNTIF(H5:J6,"C")+COUNTIF(M5:O6,"C"))*2)+((COUNTIF(C5:E6,"D")+COUNTIF(H5:J6,"D")+COUNTIF(M5:O6,"D"))*1))/(COUNTA(C5:E6)+COUNTA(H5:J6)+COUNTA(M5:O6)),"")</f>
        <v/>
      </c>
      <c r="S22" s="143"/>
      <c r="T22" s="102"/>
      <c r="U22" s="102"/>
      <c r="V22" s="102"/>
      <c r="W22" s="102"/>
      <c r="X22" s="143"/>
      <c r="Y22" s="201"/>
      <c r="Z22" s="201"/>
      <c r="AA22" s="201"/>
      <c r="AB22" s="143"/>
      <c r="AC22" s="143"/>
      <c r="AD22" s="201"/>
      <c r="AE22" s="201"/>
      <c r="AF22" s="201"/>
      <c r="AG22" s="143"/>
      <c r="AH22" s="143"/>
      <c r="AI22" s="143"/>
      <c r="AJ22" s="143"/>
      <c r="AK22" s="102"/>
      <c r="AL22" s="102"/>
      <c r="AM22" s="102"/>
      <c r="AN22" s="102"/>
      <c r="AO22" s="143"/>
      <c r="AP22" s="201"/>
      <c r="AQ22" s="201"/>
      <c r="AR22" s="201"/>
      <c r="AS22" s="143"/>
      <c r="AT22" s="143"/>
      <c r="AU22" s="201"/>
      <c r="AV22" s="201"/>
      <c r="AW22" s="201"/>
      <c r="AX22" s="143"/>
      <c r="AY22" s="143"/>
      <c r="AZ22" s="143"/>
      <c r="BA22" s="143"/>
      <c r="BB22" s="102"/>
      <c r="BC22" s="102"/>
      <c r="BD22" s="102"/>
      <c r="BE22" s="102"/>
      <c r="BF22" s="143"/>
      <c r="BG22" s="201"/>
      <c r="BH22" s="201"/>
      <c r="BI22" s="201"/>
      <c r="BJ22" s="143"/>
      <c r="BK22" s="143"/>
      <c r="BL22" s="201"/>
      <c r="BM22" s="201"/>
      <c r="BN22" s="201"/>
      <c r="BO22" s="143"/>
      <c r="BP22" s="143"/>
      <c r="BQ22" s="143"/>
      <c r="BR22" s="143"/>
      <c r="BS22" s="102"/>
      <c r="BT22" s="102"/>
      <c r="BU22" s="102"/>
      <c r="BV22" s="102"/>
      <c r="BW22" s="143"/>
      <c r="BX22" s="201"/>
      <c r="BY22" s="201"/>
      <c r="BZ22" s="201"/>
      <c r="CA22" s="143"/>
      <c r="CB22" s="143"/>
      <c r="CC22" s="201"/>
      <c r="CD22" s="201"/>
      <c r="CE22" s="201"/>
      <c r="CF22" s="143"/>
      <c r="CG22" s="143"/>
      <c r="CH22" s="143"/>
      <c r="CI22" s="143"/>
      <c r="CJ22" s="102"/>
      <c r="CK22" s="102"/>
      <c r="CL22" s="102"/>
      <c r="CM22" s="102"/>
      <c r="CN22" s="143"/>
      <c r="CO22" s="201"/>
      <c r="CP22" s="201"/>
      <c r="CQ22" s="201"/>
      <c r="CR22" s="143"/>
      <c r="CS22" s="143"/>
      <c r="CT22" s="201"/>
      <c r="CU22" s="201"/>
      <c r="CV22" s="201"/>
      <c r="CW22" s="143"/>
      <c r="CX22" s="143"/>
      <c r="CY22" s="143"/>
      <c r="CZ22" s="143"/>
      <c r="DA22" s="102"/>
      <c r="DB22" s="102"/>
      <c r="DC22" s="102"/>
      <c r="DD22" s="102"/>
      <c r="DE22" s="143"/>
      <c r="DF22" s="201"/>
      <c r="DG22" s="201"/>
      <c r="DH22" s="201"/>
      <c r="DI22" s="143"/>
      <c r="DJ22" s="143"/>
      <c r="DK22" s="201"/>
      <c r="DL22" s="201"/>
      <c r="DM22" s="201"/>
      <c r="DN22" s="143"/>
      <c r="DO22" s="143"/>
      <c r="DP22" s="143"/>
      <c r="DQ22" s="143"/>
      <c r="DR22" s="102"/>
      <c r="DS22" s="102"/>
      <c r="DT22" s="102"/>
      <c r="DU22" s="102"/>
      <c r="DV22" s="143"/>
      <c r="DW22" s="201"/>
      <c r="DX22" s="201"/>
      <c r="DY22" s="201"/>
      <c r="DZ22" s="143"/>
      <c r="EA22" s="143"/>
      <c r="EB22" s="201"/>
      <c r="EC22" s="201"/>
      <c r="ED22" s="201"/>
      <c r="EE22" s="143"/>
      <c r="EF22" s="143"/>
      <c r="EG22" s="143"/>
      <c r="EH22" s="143"/>
      <c r="EI22" s="102"/>
      <c r="EJ22" s="102"/>
      <c r="EK22" s="102"/>
      <c r="EL22" s="102"/>
      <c r="EM22" s="143"/>
      <c r="EN22" s="201"/>
      <c r="EO22" s="201"/>
      <c r="EP22" s="201"/>
      <c r="EQ22" s="143"/>
      <c r="ER22" s="143"/>
      <c r="ES22" s="201"/>
      <c r="ET22" s="201"/>
      <c r="EU22" s="201"/>
      <c r="EV22" s="143"/>
      <c r="EW22" s="143"/>
      <c r="EX22" s="143"/>
      <c r="EY22" s="143"/>
      <c r="EZ22" s="102"/>
      <c r="FA22" s="102"/>
      <c r="FB22" s="102"/>
      <c r="FC22" s="102"/>
      <c r="FD22" s="143"/>
      <c r="FE22" s="201"/>
      <c r="FF22" s="201"/>
      <c r="FG22" s="201"/>
      <c r="FH22" s="143"/>
      <c r="FI22" s="143"/>
      <c r="FJ22" s="201"/>
      <c r="FK22" s="201"/>
      <c r="FL22" s="201"/>
      <c r="FM22" s="143"/>
      <c r="FN22" s="143"/>
      <c r="FO22" s="143"/>
      <c r="FP22" s="143"/>
      <c r="FQ22" s="102"/>
      <c r="FR22" s="102"/>
      <c r="FS22" s="102"/>
      <c r="FT22" s="102"/>
      <c r="FU22" s="143"/>
      <c r="FV22" s="201"/>
      <c r="FW22" s="201"/>
      <c r="FX22" s="201"/>
      <c r="FY22" s="143"/>
      <c r="FZ22" s="143"/>
      <c r="GA22" s="201"/>
      <c r="GB22" s="201"/>
      <c r="GC22" s="201"/>
      <c r="GD22" s="143"/>
      <c r="GE22" s="143"/>
      <c r="GF22" s="143"/>
      <c r="GG22" s="143"/>
      <c r="GH22" s="102"/>
      <c r="GI22" s="102"/>
      <c r="GJ22" s="102"/>
      <c r="GK22" s="102"/>
      <c r="GL22" s="143"/>
      <c r="GM22" s="201"/>
      <c r="GN22" s="201"/>
      <c r="GO22" s="201"/>
      <c r="GP22" s="143"/>
      <c r="GQ22" s="143"/>
      <c r="GR22" s="201"/>
      <c r="GS22" s="201"/>
      <c r="GT22" s="201"/>
      <c r="GU22" s="143"/>
      <c r="GV22" s="143"/>
      <c r="GW22" s="143"/>
      <c r="GX22" s="143"/>
      <c r="GY22" s="102"/>
      <c r="GZ22" s="102"/>
      <c r="HA22" s="102"/>
      <c r="HB22" s="102"/>
      <c r="HC22" s="143"/>
      <c r="HD22" s="201"/>
      <c r="HE22" s="201"/>
      <c r="HF22" s="201"/>
      <c r="HG22" s="143"/>
      <c r="HH22" s="143"/>
      <c r="HI22" s="201"/>
      <c r="HJ22" s="201"/>
      <c r="HK22" s="201"/>
      <c r="HL22" s="143"/>
      <c r="HM22" s="143"/>
      <c r="HN22" s="143"/>
      <c r="HO22" s="143"/>
      <c r="HP22" s="102"/>
      <c r="HQ22" s="102"/>
      <c r="HR22" s="102"/>
      <c r="HS22" s="102"/>
      <c r="HT22" s="143"/>
      <c r="HU22" s="201"/>
      <c r="HV22" s="201"/>
      <c r="HW22" s="201"/>
      <c r="HX22" s="143"/>
      <c r="HY22" s="143"/>
      <c r="HZ22" s="201"/>
      <c r="IA22" s="201"/>
      <c r="IB22" s="201"/>
      <c r="IC22" s="143"/>
      <c r="ID22" s="143"/>
      <c r="IE22" s="143"/>
      <c r="IF22" s="143"/>
      <c r="IG22" s="102"/>
      <c r="IH22" s="102"/>
      <c r="II22" s="102"/>
      <c r="IJ22" s="102"/>
      <c r="IK22" s="143"/>
      <c r="IL22" s="201"/>
      <c r="IM22" s="201"/>
      <c r="IN22" s="201"/>
      <c r="IO22" s="143"/>
      <c r="IP22" s="143"/>
      <c r="IQ22" s="201"/>
      <c r="IR22" s="201"/>
      <c r="IS22" s="201"/>
      <c r="IT22" s="143"/>
      <c r="IU22" s="143"/>
      <c r="IV22" s="143"/>
      <c r="IW22" s="143"/>
      <c r="IX22" s="102"/>
      <c r="IY22" s="102"/>
      <c r="IZ22" s="102"/>
      <c r="JA22" s="102"/>
      <c r="JB22" s="143"/>
      <c r="JC22" s="201"/>
      <c r="JD22" s="201"/>
      <c r="JE22" s="201"/>
      <c r="JF22" s="143"/>
      <c r="JG22" s="143"/>
      <c r="JH22" s="201"/>
      <c r="JI22" s="201"/>
      <c r="JJ22" s="201"/>
      <c r="JK22" s="143"/>
      <c r="JL22" s="143"/>
      <c r="JM22" s="143"/>
      <c r="JN22" s="143"/>
      <c r="JO22" s="102"/>
      <c r="JP22" s="102"/>
      <c r="JQ22" s="102"/>
      <c r="JR22" s="102"/>
      <c r="JS22" s="143"/>
      <c r="JT22" s="201"/>
      <c r="JU22" s="201"/>
      <c r="JV22" s="201"/>
      <c r="JW22" s="143"/>
      <c r="JX22" s="143"/>
      <c r="JY22" s="201"/>
      <c r="JZ22" s="201"/>
      <c r="KA22" s="201"/>
      <c r="KB22" s="143"/>
      <c r="KC22" s="143"/>
      <c r="KD22" s="143"/>
      <c r="KE22" s="143"/>
      <c r="KF22" s="102"/>
      <c r="KG22" s="102"/>
      <c r="KH22" s="102"/>
      <c r="KI22" s="102"/>
      <c r="KJ22" s="143"/>
      <c r="KK22" s="201"/>
      <c r="KL22" s="201"/>
      <c r="KM22" s="201"/>
      <c r="KN22" s="143"/>
      <c r="KO22" s="143"/>
      <c r="KP22" s="201"/>
      <c r="KQ22" s="201"/>
      <c r="KR22" s="201"/>
      <c r="KS22" s="143"/>
      <c r="KT22" s="143"/>
      <c r="KU22" s="143"/>
      <c r="KV22" s="143"/>
      <c r="KW22" s="102"/>
      <c r="KX22" s="102"/>
      <c r="KY22" s="102"/>
      <c r="KZ22" s="102"/>
      <c r="LA22" s="143"/>
      <c r="LB22" s="201"/>
      <c r="LC22" s="201"/>
      <c r="LD22" s="201"/>
      <c r="LE22" s="143"/>
      <c r="LF22" s="143"/>
      <c r="LG22" s="201"/>
      <c r="LH22" s="201"/>
      <c r="LI22" s="201"/>
      <c r="LJ22" s="143"/>
      <c r="LK22" s="143"/>
      <c r="LL22" s="143"/>
      <c r="LM22" s="143"/>
      <c r="LN22" s="102"/>
      <c r="LO22" s="102"/>
      <c r="LP22" s="102"/>
      <c r="LQ22" s="102"/>
      <c r="LR22" s="143"/>
      <c r="LS22" s="201"/>
      <c r="LT22" s="201"/>
      <c r="LU22" s="201"/>
      <c r="LV22" s="143"/>
      <c r="LW22" s="143"/>
      <c r="LX22" s="201"/>
      <c r="LY22" s="201"/>
      <c r="LZ22" s="201"/>
      <c r="MA22" s="143"/>
      <c r="MB22" s="143"/>
      <c r="MC22" s="143"/>
      <c r="MD22" s="143"/>
      <c r="ME22" s="102"/>
      <c r="MF22" s="102"/>
      <c r="MG22" s="102"/>
      <c r="MH22" s="102"/>
      <c r="MI22" s="143"/>
      <c r="MJ22" s="201"/>
      <c r="MK22" s="201"/>
      <c r="ML22" s="201"/>
      <c r="MM22" s="143"/>
      <c r="MN22" s="143"/>
      <c r="MO22" s="201"/>
      <c r="MP22" s="201"/>
      <c r="MQ22" s="201"/>
      <c r="MR22" s="143"/>
      <c r="MS22" s="143"/>
      <c r="MT22" s="143"/>
      <c r="MU22" s="143"/>
      <c r="MV22" s="102"/>
      <c r="MW22" s="102"/>
      <c r="MX22" s="102"/>
      <c r="MY22" s="102"/>
      <c r="MZ22" s="143"/>
      <c r="NA22" s="201"/>
      <c r="NB22" s="201"/>
      <c r="NC22" s="201"/>
      <c r="ND22" s="143"/>
      <c r="NE22" s="143"/>
      <c r="NF22" s="201"/>
      <c r="NG22" s="201"/>
      <c r="NH22" s="201"/>
      <c r="NI22" s="143"/>
      <c r="NJ22" s="143"/>
      <c r="NK22" s="143"/>
      <c r="NL22" s="143"/>
      <c r="NM22" s="102"/>
      <c r="NN22" s="102"/>
      <c r="NO22" s="102"/>
      <c r="NP22" s="102"/>
      <c r="NQ22" s="143"/>
      <c r="NR22" s="201"/>
      <c r="NS22" s="201"/>
      <c r="NT22" s="201"/>
      <c r="NU22" s="143"/>
      <c r="NV22" s="143"/>
      <c r="NW22" s="201"/>
      <c r="NX22" s="201"/>
      <c r="NY22" s="201"/>
      <c r="NZ22" s="143"/>
      <c r="OA22" s="143"/>
      <c r="OB22" s="143"/>
      <c r="OC22" s="143"/>
      <c r="OD22" s="102"/>
      <c r="OE22" s="102"/>
      <c r="OF22" s="102"/>
      <c r="OG22" s="102"/>
      <c r="OH22" s="143"/>
      <c r="OI22" s="201"/>
      <c r="OJ22" s="201"/>
      <c r="OK22" s="201"/>
      <c r="OL22" s="143"/>
      <c r="OM22" s="143"/>
      <c r="ON22" s="201"/>
      <c r="OO22" s="201"/>
      <c r="OP22" s="201"/>
      <c r="OQ22" s="143"/>
      <c r="OR22" s="143"/>
      <c r="OS22" s="143"/>
      <c r="OT22" s="143"/>
      <c r="OU22" s="102"/>
      <c r="OV22" s="102"/>
      <c r="OW22" s="102"/>
      <c r="OX22" s="102"/>
      <c r="OY22" s="143"/>
      <c r="OZ22" s="201"/>
      <c r="PA22" s="201"/>
      <c r="PB22" s="201"/>
      <c r="PC22" s="143"/>
      <c r="PD22" s="143"/>
      <c r="PE22" s="201"/>
      <c r="PF22" s="201"/>
      <c r="PG22" s="201"/>
      <c r="PH22" s="143"/>
      <c r="PI22" s="143"/>
      <c r="PJ22" s="143"/>
      <c r="PK22" s="143"/>
      <c r="PL22" s="102"/>
      <c r="PM22" s="102"/>
      <c r="PN22" s="102"/>
      <c r="PO22" s="102"/>
      <c r="PP22" s="143"/>
      <c r="PQ22" s="201"/>
      <c r="PR22" s="201"/>
      <c r="PS22" s="201"/>
      <c r="PT22" s="143"/>
      <c r="PU22" s="143"/>
      <c r="PV22" s="201"/>
      <c r="PW22" s="201"/>
      <c r="PX22" s="201"/>
      <c r="PY22" s="143"/>
      <c r="PZ22" s="143"/>
      <c r="QA22" s="143"/>
      <c r="QB22" s="143"/>
      <c r="QC22" s="102"/>
      <c r="QD22" s="102"/>
      <c r="QE22" s="102"/>
      <c r="QF22" s="102"/>
      <c r="QG22" s="143"/>
      <c r="QH22" s="201"/>
      <c r="QI22" s="201"/>
      <c r="QJ22" s="201"/>
      <c r="QK22" s="143"/>
      <c r="QL22" s="143"/>
      <c r="QM22" s="201"/>
      <c r="QN22" s="201"/>
      <c r="QO22" s="201"/>
      <c r="QP22" s="143"/>
      <c r="QQ22" s="143"/>
      <c r="QR22" s="143"/>
      <c r="QS22" s="143"/>
      <c r="QT22" s="102"/>
      <c r="QU22" s="102"/>
      <c r="QV22" s="102"/>
      <c r="QW22" s="102"/>
      <c r="QX22" s="143"/>
      <c r="QY22" s="201"/>
      <c r="QZ22" s="201"/>
      <c r="RA22" s="201"/>
      <c r="RB22" s="143"/>
      <c r="RC22" s="143"/>
      <c r="RD22" s="201"/>
      <c r="RE22" s="201"/>
      <c r="RF22" s="201"/>
      <c r="RG22" s="143"/>
      <c r="RH22" s="143"/>
      <c r="RI22" s="143"/>
      <c r="RJ22" s="143"/>
      <c r="RK22" s="102"/>
      <c r="RL22" s="102"/>
      <c r="RM22" s="102"/>
      <c r="RN22" s="102"/>
      <c r="RO22" s="143"/>
      <c r="RP22" s="201"/>
      <c r="RQ22" s="201"/>
      <c r="RR22" s="201"/>
      <c r="RS22" s="143"/>
      <c r="RT22" s="143"/>
      <c r="RU22" s="201"/>
      <c r="RV22" s="201"/>
      <c r="RW22" s="201"/>
      <c r="RX22" s="143"/>
      <c r="RY22" s="143"/>
      <c r="RZ22" s="143"/>
      <c r="SA22" s="143"/>
      <c r="SB22" s="102"/>
      <c r="SC22" s="102"/>
      <c r="SD22" s="102"/>
      <c r="SE22" s="102"/>
      <c r="SF22" s="143"/>
      <c r="SG22" s="201"/>
      <c r="SH22" s="201"/>
      <c r="SI22" s="201"/>
      <c r="SJ22" s="143"/>
      <c r="SK22" s="143"/>
      <c r="SL22" s="201"/>
      <c r="SM22" s="201"/>
      <c r="SN22" s="201"/>
      <c r="SO22" s="143"/>
      <c r="SP22" s="143"/>
      <c r="SQ22" s="143"/>
      <c r="SR22" s="143"/>
    </row>
    <row r="23" spans="1:512" s="144" customFormat="1" ht="16.5" x14ac:dyDescent="0.25">
      <c r="A23" s="171"/>
      <c r="B23" s="171"/>
      <c r="C23" s="200"/>
      <c r="D23" s="200"/>
      <c r="E23" s="200"/>
      <c r="F23" s="172"/>
      <c r="G23" s="173"/>
      <c r="H23" s="201"/>
      <c r="I23" s="201"/>
      <c r="J23" s="201"/>
      <c r="K23" s="143"/>
      <c r="L23" s="143"/>
      <c r="M23" s="201"/>
      <c r="N23" s="201"/>
      <c r="O23" s="201"/>
      <c r="P23" s="143"/>
      <c r="Q23" s="143"/>
      <c r="R23" s="143"/>
      <c r="S23" s="143"/>
      <c r="T23" s="102"/>
      <c r="U23" s="102"/>
      <c r="V23" s="102"/>
      <c r="W23" s="102"/>
      <c r="X23" s="143"/>
      <c r="Y23" s="201"/>
      <c r="Z23" s="201"/>
      <c r="AA23" s="201"/>
      <c r="AB23" s="143"/>
      <c r="AC23" s="143"/>
      <c r="AD23" s="201"/>
      <c r="AE23" s="201"/>
      <c r="AF23" s="201"/>
      <c r="AG23" s="143"/>
      <c r="AH23" s="143"/>
      <c r="AI23" s="143"/>
      <c r="AJ23" s="143"/>
      <c r="AK23" s="102"/>
      <c r="AL23" s="102"/>
      <c r="AM23" s="102"/>
      <c r="AN23" s="102"/>
      <c r="AO23" s="143"/>
      <c r="AP23" s="201"/>
      <c r="AQ23" s="201"/>
      <c r="AR23" s="201"/>
      <c r="AS23" s="143"/>
      <c r="AT23" s="143"/>
      <c r="AU23" s="201"/>
      <c r="AV23" s="201"/>
      <c r="AW23" s="201"/>
      <c r="AX23" s="143"/>
      <c r="AY23" s="143"/>
      <c r="AZ23" s="143"/>
      <c r="BA23" s="143"/>
      <c r="BB23" s="102"/>
      <c r="BC23" s="102"/>
      <c r="BD23" s="102"/>
      <c r="BE23" s="102"/>
      <c r="BF23" s="143"/>
      <c r="BG23" s="201"/>
      <c r="BH23" s="201"/>
      <c r="BI23" s="201"/>
      <c r="BJ23" s="143"/>
      <c r="BK23" s="143"/>
      <c r="BL23" s="201"/>
      <c r="BM23" s="201"/>
      <c r="BN23" s="201"/>
      <c r="BO23" s="143"/>
      <c r="BP23" s="143"/>
      <c r="BQ23" s="143"/>
      <c r="BR23" s="143"/>
      <c r="BS23" s="102"/>
      <c r="BT23" s="102"/>
      <c r="BU23" s="102"/>
      <c r="BV23" s="102"/>
      <c r="BW23" s="143"/>
      <c r="BX23" s="201"/>
      <c r="BY23" s="201"/>
      <c r="BZ23" s="201"/>
      <c r="CA23" s="143"/>
      <c r="CB23" s="143"/>
      <c r="CC23" s="201"/>
      <c r="CD23" s="201"/>
      <c r="CE23" s="201"/>
      <c r="CF23" s="143"/>
      <c r="CG23" s="143"/>
      <c r="CH23" s="143"/>
      <c r="CI23" s="143"/>
      <c r="CJ23" s="102"/>
      <c r="CK23" s="102"/>
      <c r="CL23" s="102"/>
      <c r="CM23" s="102"/>
      <c r="CN23" s="143"/>
      <c r="CO23" s="201"/>
      <c r="CP23" s="201"/>
      <c r="CQ23" s="201"/>
      <c r="CR23" s="143"/>
      <c r="CS23" s="143"/>
      <c r="CT23" s="201"/>
      <c r="CU23" s="201"/>
      <c r="CV23" s="201"/>
      <c r="CW23" s="143"/>
      <c r="CX23" s="143"/>
      <c r="CY23" s="143"/>
      <c r="CZ23" s="143"/>
      <c r="DA23" s="102"/>
      <c r="DB23" s="102"/>
      <c r="DC23" s="102"/>
      <c r="DD23" s="102"/>
      <c r="DE23" s="143"/>
      <c r="DF23" s="201"/>
      <c r="DG23" s="201"/>
      <c r="DH23" s="201"/>
      <c r="DI23" s="143"/>
      <c r="DJ23" s="143"/>
      <c r="DK23" s="201"/>
      <c r="DL23" s="201"/>
      <c r="DM23" s="201"/>
      <c r="DN23" s="143"/>
      <c r="DO23" s="143"/>
      <c r="DP23" s="143"/>
      <c r="DQ23" s="143"/>
      <c r="DR23" s="102"/>
      <c r="DS23" s="102"/>
      <c r="DT23" s="102"/>
      <c r="DU23" s="102"/>
      <c r="DV23" s="143"/>
      <c r="DW23" s="201"/>
      <c r="DX23" s="201"/>
      <c r="DY23" s="201"/>
      <c r="DZ23" s="143"/>
      <c r="EA23" s="143"/>
      <c r="EB23" s="201"/>
      <c r="EC23" s="201"/>
      <c r="ED23" s="201"/>
      <c r="EE23" s="143"/>
      <c r="EF23" s="143"/>
      <c r="EG23" s="143"/>
      <c r="EH23" s="143"/>
      <c r="EI23" s="102"/>
      <c r="EJ23" s="102"/>
      <c r="EK23" s="102"/>
      <c r="EL23" s="102"/>
      <c r="EM23" s="143"/>
      <c r="EN23" s="201"/>
      <c r="EO23" s="201"/>
      <c r="EP23" s="201"/>
      <c r="EQ23" s="143"/>
      <c r="ER23" s="143"/>
      <c r="ES23" s="201"/>
      <c r="ET23" s="201"/>
      <c r="EU23" s="201"/>
      <c r="EV23" s="143"/>
      <c r="EW23" s="143"/>
      <c r="EX23" s="143"/>
      <c r="EY23" s="143"/>
      <c r="EZ23" s="102"/>
      <c r="FA23" s="102"/>
      <c r="FB23" s="102"/>
      <c r="FC23" s="102"/>
      <c r="FD23" s="143"/>
      <c r="FE23" s="201"/>
      <c r="FF23" s="201"/>
      <c r="FG23" s="201"/>
      <c r="FH23" s="143"/>
      <c r="FI23" s="143"/>
      <c r="FJ23" s="201"/>
      <c r="FK23" s="201"/>
      <c r="FL23" s="201"/>
      <c r="FM23" s="143"/>
      <c r="FN23" s="143"/>
      <c r="FO23" s="143"/>
      <c r="FP23" s="143"/>
      <c r="FQ23" s="102"/>
      <c r="FR23" s="102"/>
      <c r="FS23" s="102"/>
      <c r="FT23" s="102"/>
      <c r="FU23" s="143"/>
      <c r="FV23" s="201"/>
      <c r="FW23" s="201"/>
      <c r="FX23" s="201"/>
      <c r="FY23" s="143"/>
      <c r="FZ23" s="143"/>
      <c r="GA23" s="201"/>
      <c r="GB23" s="201"/>
      <c r="GC23" s="201"/>
      <c r="GD23" s="143"/>
      <c r="GE23" s="143"/>
      <c r="GF23" s="143"/>
      <c r="GG23" s="143"/>
      <c r="GH23" s="102"/>
      <c r="GI23" s="102"/>
      <c r="GJ23" s="102"/>
      <c r="GK23" s="102"/>
      <c r="GL23" s="143"/>
      <c r="GM23" s="201"/>
      <c r="GN23" s="201"/>
      <c r="GO23" s="201"/>
      <c r="GP23" s="143"/>
      <c r="GQ23" s="143"/>
      <c r="GR23" s="201"/>
      <c r="GS23" s="201"/>
      <c r="GT23" s="201"/>
      <c r="GU23" s="143"/>
      <c r="GV23" s="143"/>
      <c r="GW23" s="143"/>
      <c r="GX23" s="143"/>
      <c r="GY23" s="102"/>
      <c r="GZ23" s="102"/>
      <c r="HA23" s="102"/>
      <c r="HB23" s="102"/>
      <c r="HC23" s="143"/>
      <c r="HD23" s="201"/>
      <c r="HE23" s="201"/>
      <c r="HF23" s="201"/>
      <c r="HG23" s="143"/>
      <c r="HH23" s="143"/>
      <c r="HI23" s="201"/>
      <c r="HJ23" s="201"/>
      <c r="HK23" s="201"/>
      <c r="HL23" s="143"/>
      <c r="HM23" s="143"/>
      <c r="HN23" s="143"/>
      <c r="HO23" s="143"/>
      <c r="HP23" s="102"/>
      <c r="HQ23" s="102"/>
      <c r="HR23" s="102"/>
      <c r="HS23" s="102"/>
      <c r="HT23" s="143"/>
      <c r="HU23" s="201"/>
      <c r="HV23" s="201"/>
      <c r="HW23" s="201"/>
      <c r="HX23" s="143"/>
      <c r="HY23" s="143"/>
      <c r="HZ23" s="201"/>
      <c r="IA23" s="201"/>
      <c r="IB23" s="201"/>
      <c r="IC23" s="143"/>
      <c r="ID23" s="143"/>
      <c r="IE23" s="143"/>
      <c r="IF23" s="143"/>
      <c r="IG23" s="102"/>
      <c r="IH23" s="102"/>
      <c r="II23" s="102"/>
      <c r="IJ23" s="102"/>
      <c r="IK23" s="143"/>
      <c r="IL23" s="201"/>
      <c r="IM23" s="201"/>
      <c r="IN23" s="201"/>
      <c r="IO23" s="143"/>
      <c r="IP23" s="143"/>
      <c r="IQ23" s="201"/>
      <c r="IR23" s="201"/>
      <c r="IS23" s="201"/>
      <c r="IT23" s="143"/>
      <c r="IU23" s="143"/>
      <c r="IV23" s="143"/>
      <c r="IW23" s="143"/>
      <c r="IX23" s="102"/>
      <c r="IY23" s="102"/>
      <c r="IZ23" s="102"/>
      <c r="JA23" s="102"/>
      <c r="JB23" s="143"/>
      <c r="JC23" s="201"/>
      <c r="JD23" s="201"/>
      <c r="JE23" s="201"/>
      <c r="JF23" s="143"/>
      <c r="JG23" s="143"/>
      <c r="JH23" s="201"/>
      <c r="JI23" s="201"/>
      <c r="JJ23" s="201"/>
      <c r="JK23" s="143"/>
      <c r="JL23" s="143"/>
      <c r="JM23" s="143"/>
      <c r="JN23" s="143"/>
      <c r="JO23" s="102"/>
      <c r="JP23" s="102"/>
      <c r="JQ23" s="102"/>
      <c r="JR23" s="102"/>
      <c r="JS23" s="143"/>
      <c r="JT23" s="201"/>
      <c r="JU23" s="201"/>
      <c r="JV23" s="201"/>
      <c r="JW23" s="143"/>
      <c r="JX23" s="143"/>
      <c r="JY23" s="201"/>
      <c r="JZ23" s="201"/>
      <c r="KA23" s="201"/>
      <c r="KB23" s="143"/>
      <c r="KC23" s="143"/>
      <c r="KD23" s="143"/>
      <c r="KE23" s="143"/>
      <c r="KF23" s="102"/>
      <c r="KG23" s="102"/>
      <c r="KH23" s="102"/>
      <c r="KI23" s="102"/>
      <c r="KJ23" s="143"/>
      <c r="KK23" s="201"/>
      <c r="KL23" s="201"/>
      <c r="KM23" s="201"/>
      <c r="KN23" s="143"/>
      <c r="KO23" s="143"/>
      <c r="KP23" s="201"/>
      <c r="KQ23" s="201"/>
      <c r="KR23" s="201"/>
      <c r="KS23" s="143"/>
      <c r="KT23" s="143"/>
      <c r="KU23" s="143"/>
      <c r="KV23" s="143"/>
      <c r="KW23" s="102"/>
      <c r="KX23" s="102"/>
      <c r="KY23" s="102"/>
      <c r="KZ23" s="102"/>
      <c r="LA23" s="143"/>
      <c r="LB23" s="201"/>
      <c r="LC23" s="201"/>
      <c r="LD23" s="201"/>
      <c r="LE23" s="143"/>
      <c r="LF23" s="143"/>
      <c r="LG23" s="201"/>
      <c r="LH23" s="201"/>
      <c r="LI23" s="201"/>
      <c r="LJ23" s="143"/>
      <c r="LK23" s="143"/>
      <c r="LL23" s="143"/>
      <c r="LM23" s="143"/>
      <c r="LN23" s="102"/>
      <c r="LO23" s="102"/>
      <c r="LP23" s="102"/>
      <c r="LQ23" s="102"/>
      <c r="LR23" s="143"/>
      <c r="LS23" s="201"/>
      <c r="LT23" s="201"/>
      <c r="LU23" s="201"/>
      <c r="LV23" s="143"/>
      <c r="LW23" s="143"/>
      <c r="LX23" s="201"/>
      <c r="LY23" s="201"/>
      <c r="LZ23" s="201"/>
      <c r="MA23" s="143"/>
      <c r="MB23" s="143"/>
      <c r="MC23" s="143"/>
      <c r="MD23" s="143"/>
      <c r="ME23" s="102"/>
      <c r="MF23" s="102"/>
      <c r="MG23" s="102"/>
      <c r="MH23" s="102"/>
      <c r="MI23" s="143"/>
      <c r="MJ23" s="201"/>
      <c r="MK23" s="201"/>
      <c r="ML23" s="201"/>
      <c r="MM23" s="143"/>
      <c r="MN23" s="143"/>
      <c r="MO23" s="201"/>
      <c r="MP23" s="201"/>
      <c r="MQ23" s="201"/>
      <c r="MR23" s="143"/>
      <c r="MS23" s="143"/>
      <c r="MT23" s="143"/>
      <c r="MU23" s="143"/>
      <c r="MV23" s="102"/>
      <c r="MW23" s="102"/>
      <c r="MX23" s="102"/>
      <c r="MY23" s="102"/>
      <c r="MZ23" s="143"/>
      <c r="NA23" s="201"/>
      <c r="NB23" s="201"/>
      <c r="NC23" s="201"/>
      <c r="ND23" s="143"/>
      <c r="NE23" s="143"/>
      <c r="NF23" s="201"/>
      <c r="NG23" s="201"/>
      <c r="NH23" s="201"/>
      <c r="NI23" s="143"/>
      <c r="NJ23" s="143"/>
      <c r="NK23" s="143"/>
      <c r="NL23" s="143"/>
      <c r="NM23" s="102"/>
      <c r="NN23" s="102"/>
      <c r="NO23" s="102"/>
      <c r="NP23" s="102"/>
      <c r="NQ23" s="143"/>
      <c r="NR23" s="201"/>
      <c r="NS23" s="201"/>
      <c r="NT23" s="201"/>
      <c r="NU23" s="143"/>
      <c r="NV23" s="143"/>
      <c r="NW23" s="201"/>
      <c r="NX23" s="201"/>
      <c r="NY23" s="201"/>
      <c r="NZ23" s="143"/>
      <c r="OA23" s="143"/>
      <c r="OB23" s="143"/>
      <c r="OC23" s="143"/>
      <c r="OD23" s="102"/>
      <c r="OE23" s="102"/>
      <c r="OF23" s="102"/>
      <c r="OG23" s="102"/>
      <c r="OH23" s="143"/>
      <c r="OI23" s="201"/>
      <c r="OJ23" s="201"/>
      <c r="OK23" s="201"/>
      <c r="OL23" s="143"/>
      <c r="OM23" s="143"/>
      <c r="ON23" s="201"/>
      <c r="OO23" s="201"/>
      <c r="OP23" s="201"/>
      <c r="OQ23" s="143"/>
      <c r="OR23" s="143"/>
      <c r="OS23" s="143"/>
      <c r="OT23" s="143"/>
      <c r="OU23" s="102"/>
      <c r="OV23" s="102"/>
      <c r="OW23" s="102"/>
      <c r="OX23" s="102"/>
      <c r="OY23" s="143"/>
      <c r="OZ23" s="201"/>
      <c r="PA23" s="201"/>
      <c r="PB23" s="201"/>
      <c r="PC23" s="143"/>
      <c r="PD23" s="143"/>
      <c r="PE23" s="201"/>
      <c r="PF23" s="201"/>
      <c r="PG23" s="201"/>
      <c r="PH23" s="143"/>
      <c r="PI23" s="143"/>
      <c r="PJ23" s="143"/>
      <c r="PK23" s="143"/>
      <c r="PL23" s="102"/>
      <c r="PM23" s="102"/>
      <c r="PN23" s="102"/>
      <c r="PO23" s="102"/>
      <c r="PP23" s="143"/>
      <c r="PQ23" s="201"/>
      <c r="PR23" s="201"/>
      <c r="PS23" s="201"/>
      <c r="PT23" s="143"/>
      <c r="PU23" s="143"/>
      <c r="PV23" s="201"/>
      <c r="PW23" s="201"/>
      <c r="PX23" s="201"/>
      <c r="PY23" s="143"/>
      <c r="PZ23" s="143"/>
      <c r="QA23" s="143"/>
      <c r="QB23" s="143"/>
      <c r="QC23" s="102"/>
      <c r="QD23" s="102"/>
      <c r="QE23" s="102"/>
      <c r="QF23" s="102"/>
      <c r="QG23" s="143"/>
      <c r="QH23" s="201"/>
      <c r="QI23" s="201"/>
      <c r="QJ23" s="201"/>
      <c r="QK23" s="143"/>
      <c r="QL23" s="143"/>
      <c r="QM23" s="201"/>
      <c r="QN23" s="201"/>
      <c r="QO23" s="201"/>
      <c r="QP23" s="143"/>
      <c r="QQ23" s="143"/>
      <c r="QR23" s="143"/>
      <c r="QS23" s="143"/>
      <c r="QT23" s="102"/>
      <c r="QU23" s="102"/>
      <c r="QV23" s="102"/>
      <c r="QW23" s="102"/>
      <c r="QX23" s="143"/>
      <c r="QY23" s="201"/>
      <c r="QZ23" s="201"/>
      <c r="RA23" s="201"/>
      <c r="RB23" s="143"/>
      <c r="RC23" s="143"/>
      <c r="RD23" s="201"/>
      <c r="RE23" s="201"/>
      <c r="RF23" s="201"/>
      <c r="RG23" s="143"/>
      <c r="RH23" s="143"/>
      <c r="RI23" s="143"/>
      <c r="RJ23" s="143"/>
      <c r="RK23" s="102"/>
      <c r="RL23" s="102"/>
      <c r="RM23" s="102"/>
      <c r="RN23" s="102"/>
      <c r="RO23" s="143"/>
      <c r="RP23" s="201"/>
      <c r="RQ23" s="201"/>
      <c r="RR23" s="201"/>
      <c r="RS23" s="143"/>
      <c r="RT23" s="143"/>
      <c r="RU23" s="201"/>
      <c r="RV23" s="201"/>
      <c r="RW23" s="201"/>
      <c r="RX23" s="143"/>
      <c r="RY23" s="143"/>
      <c r="RZ23" s="143"/>
      <c r="SA23" s="143"/>
      <c r="SB23" s="102"/>
      <c r="SC23" s="102"/>
      <c r="SD23" s="102"/>
      <c r="SE23" s="102"/>
      <c r="SF23" s="143"/>
      <c r="SG23" s="201"/>
      <c r="SH23" s="201"/>
      <c r="SI23" s="201"/>
      <c r="SJ23" s="143"/>
      <c r="SK23" s="143"/>
      <c r="SL23" s="201"/>
      <c r="SM23" s="201"/>
      <c r="SN23" s="201"/>
      <c r="SO23" s="143"/>
      <c r="SP23" s="143"/>
      <c r="SQ23" s="143"/>
      <c r="SR23" s="143"/>
    </row>
    <row r="24" spans="1:512" s="144" customFormat="1" ht="16.5" x14ac:dyDescent="0.25">
      <c r="C24" s="191"/>
      <c r="D24" s="191"/>
      <c r="E24" s="191"/>
      <c r="F24" s="102"/>
      <c r="G24" s="143"/>
      <c r="H24" s="201"/>
      <c r="I24" s="201"/>
      <c r="J24" s="201"/>
      <c r="K24" s="143"/>
      <c r="L24" s="143"/>
      <c r="M24" s="201"/>
      <c r="N24" s="201"/>
      <c r="O24" s="201"/>
      <c r="P24" s="143"/>
      <c r="Q24" s="143"/>
      <c r="R24" s="143"/>
      <c r="S24" s="143"/>
      <c r="T24" s="102"/>
      <c r="U24" s="102"/>
      <c r="V24" s="102"/>
      <c r="W24" s="102"/>
      <c r="X24" s="143"/>
      <c r="Y24" s="201"/>
      <c r="Z24" s="201"/>
      <c r="AA24" s="201"/>
      <c r="AB24" s="143"/>
      <c r="AC24" s="143"/>
      <c r="AD24" s="201"/>
      <c r="AE24" s="201"/>
      <c r="AF24" s="201"/>
      <c r="AG24" s="143"/>
      <c r="AH24" s="143"/>
      <c r="AI24" s="143"/>
      <c r="AJ24" s="143"/>
      <c r="AK24" s="102"/>
      <c r="AL24" s="102"/>
      <c r="AM24" s="102"/>
      <c r="AN24" s="102"/>
      <c r="AO24" s="143"/>
      <c r="AP24" s="201"/>
      <c r="AQ24" s="201"/>
      <c r="AR24" s="201"/>
      <c r="AS24" s="143"/>
      <c r="AT24" s="143"/>
      <c r="AU24" s="201"/>
      <c r="AV24" s="201"/>
      <c r="AW24" s="201"/>
      <c r="AX24" s="143"/>
      <c r="AY24" s="143"/>
      <c r="AZ24" s="143"/>
      <c r="BA24" s="143"/>
      <c r="BB24" s="102"/>
      <c r="BC24" s="102"/>
      <c r="BD24" s="102"/>
      <c r="BE24" s="102"/>
      <c r="BF24" s="143"/>
      <c r="BG24" s="201"/>
      <c r="BH24" s="201"/>
      <c r="BI24" s="201"/>
      <c r="BJ24" s="143"/>
      <c r="BK24" s="143"/>
      <c r="BL24" s="201"/>
      <c r="BM24" s="201"/>
      <c r="BN24" s="201"/>
      <c r="BO24" s="143"/>
      <c r="BP24" s="143"/>
      <c r="BQ24" s="143"/>
      <c r="BR24" s="143"/>
      <c r="BS24" s="102"/>
      <c r="BT24" s="102"/>
      <c r="BU24" s="102"/>
      <c r="BV24" s="102"/>
      <c r="BW24" s="143"/>
      <c r="BX24" s="201"/>
      <c r="BY24" s="201"/>
      <c r="BZ24" s="201"/>
      <c r="CA24" s="143"/>
      <c r="CB24" s="143"/>
      <c r="CC24" s="201"/>
      <c r="CD24" s="201"/>
      <c r="CE24" s="201"/>
      <c r="CF24" s="143"/>
      <c r="CG24" s="143"/>
      <c r="CH24" s="143"/>
      <c r="CI24" s="143"/>
      <c r="CJ24" s="102"/>
      <c r="CK24" s="102"/>
      <c r="CL24" s="102"/>
      <c r="CM24" s="102"/>
      <c r="CN24" s="143"/>
      <c r="CO24" s="201"/>
      <c r="CP24" s="201"/>
      <c r="CQ24" s="201"/>
      <c r="CR24" s="143"/>
      <c r="CS24" s="143"/>
      <c r="CT24" s="201"/>
      <c r="CU24" s="201"/>
      <c r="CV24" s="201"/>
      <c r="CW24" s="143"/>
      <c r="CX24" s="143"/>
      <c r="CY24" s="143"/>
      <c r="CZ24" s="143"/>
      <c r="DA24" s="102"/>
      <c r="DB24" s="102"/>
      <c r="DC24" s="102"/>
      <c r="DD24" s="102"/>
      <c r="DE24" s="143"/>
      <c r="DF24" s="201"/>
      <c r="DG24" s="201"/>
      <c r="DH24" s="201"/>
      <c r="DI24" s="143"/>
      <c r="DJ24" s="143"/>
      <c r="DK24" s="201"/>
      <c r="DL24" s="201"/>
      <c r="DM24" s="201"/>
      <c r="DN24" s="143"/>
      <c r="DO24" s="143"/>
      <c r="DP24" s="143"/>
      <c r="DQ24" s="143"/>
      <c r="DR24" s="102"/>
      <c r="DS24" s="102"/>
      <c r="DT24" s="102"/>
      <c r="DU24" s="102"/>
      <c r="DV24" s="143"/>
      <c r="DW24" s="201"/>
      <c r="DX24" s="201"/>
      <c r="DY24" s="201"/>
      <c r="DZ24" s="143"/>
      <c r="EA24" s="143"/>
      <c r="EB24" s="201"/>
      <c r="EC24" s="201"/>
      <c r="ED24" s="201"/>
      <c r="EE24" s="143"/>
      <c r="EF24" s="143"/>
      <c r="EG24" s="143"/>
      <c r="EH24" s="143"/>
      <c r="EI24" s="102"/>
      <c r="EJ24" s="102"/>
      <c r="EK24" s="102"/>
      <c r="EL24" s="102"/>
      <c r="EM24" s="143"/>
      <c r="EN24" s="201"/>
      <c r="EO24" s="201"/>
      <c r="EP24" s="201"/>
      <c r="EQ24" s="143"/>
      <c r="ER24" s="143"/>
      <c r="ES24" s="201"/>
      <c r="ET24" s="201"/>
      <c r="EU24" s="201"/>
      <c r="EV24" s="143"/>
      <c r="EW24" s="143"/>
      <c r="EX24" s="143"/>
      <c r="EY24" s="143"/>
      <c r="EZ24" s="102"/>
      <c r="FA24" s="102"/>
      <c r="FB24" s="102"/>
      <c r="FC24" s="102"/>
      <c r="FD24" s="143"/>
      <c r="FE24" s="201"/>
      <c r="FF24" s="201"/>
      <c r="FG24" s="201"/>
      <c r="FH24" s="143"/>
      <c r="FI24" s="143"/>
      <c r="FJ24" s="201"/>
      <c r="FK24" s="201"/>
      <c r="FL24" s="201"/>
      <c r="FM24" s="143"/>
      <c r="FN24" s="143"/>
      <c r="FO24" s="143"/>
      <c r="FP24" s="143"/>
      <c r="FQ24" s="102"/>
      <c r="FR24" s="102"/>
      <c r="FS24" s="102"/>
      <c r="FT24" s="102"/>
      <c r="FU24" s="143"/>
      <c r="FV24" s="201"/>
      <c r="FW24" s="201"/>
      <c r="FX24" s="201"/>
      <c r="FY24" s="143"/>
      <c r="FZ24" s="143"/>
      <c r="GA24" s="201"/>
      <c r="GB24" s="201"/>
      <c r="GC24" s="201"/>
      <c r="GD24" s="143"/>
      <c r="GE24" s="143"/>
      <c r="GF24" s="143"/>
      <c r="GG24" s="143"/>
      <c r="GH24" s="102"/>
      <c r="GI24" s="102"/>
      <c r="GJ24" s="102"/>
      <c r="GK24" s="102"/>
      <c r="GL24" s="143"/>
      <c r="GM24" s="201"/>
      <c r="GN24" s="201"/>
      <c r="GO24" s="201"/>
      <c r="GP24" s="143"/>
      <c r="GQ24" s="143"/>
      <c r="GR24" s="201"/>
      <c r="GS24" s="201"/>
      <c r="GT24" s="201"/>
      <c r="GU24" s="143"/>
      <c r="GV24" s="143"/>
      <c r="GW24" s="143"/>
      <c r="GX24" s="143"/>
      <c r="GY24" s="102"/>
      <c r="GZ24" s="102"/>
      <c r="HA24" s="102"/>
      <c r="HB24" s="102"/>
      <c r="HC24" s="143"/>
      <c r="HD24" s="201"/>
      <c r="HE24" s="201"/>
      <c r="HF24" s="201"/>
      <c r="HG24" s="143"/>
      <c r="HH24" s="143"/>
      <c r="HI24" s="201"/>
      <c r="HJ24" s="201"/>
      <c r="HK24" s="201"/>
      <c r="HL24" s="143"/>
      <c r="HM24" s="143"/>
      <c r="HN24" s="143"/>
      <c r="HO24" s="143"/>
      <c r="HP24" s="102"/>
      <c r="HQ24" s="102"/>
      <c r="HR24" s="102"/>
      <c r="HS24" s="102"/>
      <c r="HT24" s="143"/>
      <c r="HU24" s="201"/>
      <c r="HV24" s="201"/>
      <c r="HW24" s="201"/>
      <c r="HX24" s="143"/>
      <c r="HY24" s="143"/>
      <c r="HZ24" s="201"/>
      <c r="IA24" s="201"/>
      <c r="IB24" s="201"/>
      <c r="IC24" s="143"/>
      <c r="ID24" s="143"/>
      <c r="IE24" s="143"/>
      <c r="IF24" s="143"/>
      <c r="IG24" s="102"/>
      <c r="IH24" s="102"/>
      <c r="II24" s="102"/>
      <c r="IJ24" s="102"/>
      <c r="IK24" s="143"/>
      <c r="IL24" s="201"/>
      <c r="IM24" s="201"/>
      <c r="IN24" s="201"/>
      <c r="IO24" s="143"/>
      <c r="IP24" s="143"/>
      <c r="IQ24" s="201"/>
      <c r="IR24" s="201"/>
      <c r="IS24" s="201"/>
      <c r="IT24" s="143"/>
      <c r="IU24" s="143"/>
      <c r="IV24" s="143"/>
      <c r="IW24" s="143"/>
      <c r="IX24" s="102"/>
      <c r="IY24" s="102"/>
      <c r="IZ24" s="102"/>
      <c r="JA24" s="102"/>
      <c r="JB24" s="143"/>
      <c r="JC24" s="201"/>
      <c r="JD24" s="201"/>
      <c r="JE24" s="201"/>
      <c r="JF24" s="143"/>
      <c r="JG24" s="143"/>
      <c r="JH24" s="201"/>
      <c r="JI24" s="201"/>
      <c r="JJ24" s="201"/>
      <c r="JK24" s="143"/>
      <c r="JL24" s="143"/>
      <c r="JM24" s="143"/>
      <c r="JN24" s="143"/>
      <c r="JO24" s="102"/>
      <c r="JP24" s="102"/>
      <c r="JQ24" s="102"/>
      <c r="JR24" s="102"/>
      <c r="JS24" s="143"/>
      <c r="JT24" s="201"/>
      <c r="JU24" s="201"/>
      <c r="JV24" s="201"/>
      <c r="JW24" s="143"/>
      <c r="JX24" s="143"/>
      <c r="JY24" s="201"/>
      <c r="JZ24" s="201"/>
      <c r="KA24" s="201"/>
      <c r="KB24" s="143"/>
      <c r="KC24" s="143"/>
      <c r="KD24" s="143"/>
      <c r="KE24" s="143"/>
      <c r="KF24" s="102"/>
      <c r="KG24" s="102"/>
      <c r="KH24" s="102"/>
      <c r="KI24" s="102"/>
      <c r="KJ24" s="143"/>
      <c r="KK24" s="201"/>
      <c r="KL24" s="201"/>
      <c r="KM24" s="201"/>
      <c r="KN24" s="143"/>
      <c r="KO24" s="143"/>
      <c r="KP24" s="201"/>
      <c r="KQ24" s="201"/>
      <c r="KR24" s="201"/>
      <c r="KS24" s="143"/>
      <c r="KT24" s="143"/>
      <c r="KU24" s="143"/>
      <c r="KV24" s="143"/>
      <c r="KW24" s="102"/>
      <c r="KX24" s="102"/>
      <c r="KY24" s="102"/>
      <c r="KZ24" s="102"/>
      <c r="LA24" s="143"/>
      <c r="LB24" s="201"/>
      <c r="LC24" s="201"/>
      <c r="LD24" s="201"/>
      <c r="LE24" s="143"/>
      <c r="LF24" s="143"/>
      <c r="LG24" s="201"/>
      <c r="LH24" s="201"/>
      <c r="LI24" s="201"/>
      <c r="LJ24" s="143"/>
      <c r="LK24" s="143"/>
      <c r="LL24" s="143"/>
      <c r="LM24" s="143"/>
      <c r="LN24" s="102"/>
      <c r="LO24" s="102"/>
      <c r="LP24" s="102"/>
      <c r="LQ24" s="102"/>
      <c r="LR24" s="143"/>
      <c r="LS24" s="201"/>
      <c r="LT24" s="201"/>
      <c r="LU24" s="201"/>
      <c r="LV24" s="143"/>
      <c r="LW24" s="143"/>
      <c r="LX24" s="201"/>
      <c r="LY24" s="201"/>
      <c r="LZ24" s="201"/>
      <c r="MA24" s="143"/>
      <c r="MB24" s="143"/>
      <c r="MC24" s="143"/>
      <c r="MD24" s="143"/>
      <c r="ME24" s="102"/>
      <c r="MF24" s="102"/>
      <c r="MG24" s="102"/>
      <c r="MH24" s="102"/>
      <c r="MI24" s="143"/>
      <c r="MJ24" s="201"/>
      <c r="MK24" s="201"/>
      <c r="ML24" s="201"/>
      <c r="MM24" s="143"/>
      <c r="MN24" s="143"/>
      <c r="MO24" s="201"/>
      <c r="MP24" s="201"/>
      <c r="MQ24" s="201"/>
      <c r="MR24" s="143"/>
      <c r="MS24" s="143"/>
      <c r="MT24" s="143"/>
      <c r="MU24" s="143"/>
      <c r="MV24" s="102"/>
      <c r="MW24" s="102"/>
      <c r="MX24" s="102"/>
      <c r="MY24" s="102"/>
      <c r="MZ24" s="143"/>
      <c r="NA24" s="201"/>
      <c r="NB24" s="201"/>
      <c r="NC24" s="201"/>
      <c r="ND24" s="143"/>
      <c r="NE24" s="143"/>
      <c r="NF24" s="201"/>
      <c r="NG24" s="201"/>
      <c r="NH24" s="201"/>
      <c r="NI24" s="143"/>
      <c r="NJ24" s="143"/>
      <c r="NK24" s="143"/>
      <c r="NL24" s="143"/>
      <c r="NM24" s="102"/>
      <c r="NN24" s="102"/>
      <c r="NO24" s="102"/>
      <c r="NP24" s="102"/>
      <c r="NQ24" s="143"/>
      <c r="NR24" s="201"/>
      <c r="NS24" s="201"/>
      <c r="NT24" s="201"/>
      <c r="NU24" s="143"/>
      <c r="NV24" s="143"/>
      <c r="NW24" s="201"/>
      <c r="NX24" s="201"/>
      <c r="NY24" s="201"/>
      <c r="NZ24" s="143"/>
      <c r="OA24" s="143"/>
      <c r="OB24" s="143"/>
      <c r="OC24" s="143"/>
      <c r="OD24" s="102"/>
      <c r="OE24" s="102"/>
      <c r="OF24" s="102"/>
      <c r="OG24" s="102"/>
      <c r="OH24" s="143"/>
      <c r="OI24" s="201"/>
      <c r="OJ24" s="201"/>
      <c r="OK24" s="201"/>
      <c r="OL24" s="143"/>
      <c r="OM24" s="143"/>
      <c r="ON24" s="201"/>
      <c r="OO24" s="201"/>
      <c r="OP24" s="201"/>
      <c r="OQ24" s="143"/>
      <c r="OR24" s="143"/>
      <c r="OS24" s="143"/>
      <c r="OT24" s="143"/>
      <c r="OU24" s="102"/>
      <c r="OV24" s="102"/>
      <c r="OW24" s="102"/>
      <c r="OX24" s="102"/>
      <c r="OY24" s="143"/>
      <c r="OZ24" s="201"/>
      <c r="PA24" s="201"/>
      <c r="PB24" s="201"/>
      <c r="PC24" s="143"/>
      <c r="PD24" s="143"/>
      <c r="PE24" s="201"/>
      <c r="PF24" s="201"/>
      <c r="PG24" s="201"/>
      <c r="PH24" s="143"/>
      <c r="PI24" s="143"/>
      <c r="PJ24" s="143"/>
      <c r="PK24" s="143"/>
      <c r="PL24" s="102"/>
      <c r="PM24" s="102"/>
      <c r="PN24" s="102"/>
      <c r="PO24" s="102"/>
      <c r="PP24" s="143"/>
      <c r="PQ24" s="201"/>
      <c r="PR24" s="201"/>
      <c r="PS24" s="201"/>
      <c r="PT24" s="143"/>
      <c r="PU24" s="143"/>
      <c r="PV24" s="201"/>
      <c r="PW24" s="201"/>
      <c r="PX24" s="201"/>
      <c r="PY24" s="143"/>
      <c r="PZ24" s="143"/>
      <c r="QA24" s="143"/>
      <c r="QB24" s="143"/>
      <c r="QC24" s="102"/>
      <c r="QD24" s="102"/>
      <c r="QE24" s="102"/>
      <c r="QF24" s="102"/>
      <c r="QG24" s="143"/>
      <c r="QH24" s="201"/>
      <c r="QI24" s="201"/>
      <c r="QJ24" s="201"/>
      <c r="QK24" s="143"/>
      <c r="QL24" s="143"/>
      <c r="QM24" s="201"/>
      <c r="QN24" s="201"/>
      <c r="QO24" s="201"/>
      <c r="QP24" s="143"/>
      <c r="QQ24" s="143"/>
      <c r="QR24" s="143"/>
      <c r="QS24" s="143"/>
      <c r="QT24" s="102"/>
      <c r="QU24" s="102"/>
      <c r="QV24" s="102"/>
      <c r="QW24" s="102"/>
      <c r="QX24" s="143"/>
      <c r="QY24" s="201"/>
      <c r="QZ24" s="201"/>
      <c r="RA24" s="201"/>
      <c r="RB24" s="143"/>
      <c r="RC24" s="143"/>
      <c r="RD24" s="201"/>
      <c r="RE24" s="201"/>
      <c r="RF24" s="201"/>
      <c r="RG24" s="143"/>
      <c r="RH24" s="143"/>
      <c r="RI24" s="143"/>
      <c r="RJ24" s="143"/>
      <c r="RK24" s="102"/>
      <c r="RL24" s="102"/>
      <c r="RM24" s="102"/>
      <c r="RN24" s="102"/>
      <c r="RO24" s="143"/>
      <c r="RP24" s="201"/>
      <c r="RQ24" s="201"/>
      <c r="RR24" s="201"/>
      <c r="RS24" s="143"/>
      <c r="RT24" s="143"/>
      <c r="RU24" s="201"/>
      <c r="RV24" s="201"/>
      <c r="RW24" s="201"/>
      <c r="RX24" s="143"/>
      <c r="RY24" s="143"/>
      <c r="RZ24" s="143"/>
      <c r="SA24" s="143"/>
      <c r="SB24" s="102"/>
      <c r="SC24" s="102"/>
      <c r="SD24" s="102"/>
      <c r="SE24" s="102"/>
      <c r="SF24" s="143"/>
      <c r="SG24" s="201"/>
      <c r="SH24" s="201"/>
      <c r="SI24" s="201"/>
      <c r="SJ24" s="143"/>
      <c r="SK24" s="143"/>
      <c r="SL24" s="201"/>
      <c r="SM24" s="201"/>
      <c r="SN24" s="201"/>
      <c r="SO24" s="143"/>
      <c r="SP24" s="143"/>
      <c r="SQ24" s="143"/>
      <c r="SR24" s="143"/>
    </row>
    <row r="25" spans="1:512" s="144" customFormat="1" ht="16.5" x14ac:dyDescent="0.25">
      <c r="C25" s="191"/>
      <c r="D25" s="191"/>
      <c r="E25" s="191"/>
      <c r="F25" s="102"/>
      <c r="G25" s="143"/>
      <c r="H25" s="201"/>
      <c r="I25" s="201"/>
      <c r="J25" s="201"/>
      <c r="K25" s="143"/>
      <c r="L25" s="143"/>
      <c r="M25" s="201"/>
      <c r="N25" s="201"/>
      <c r="O25" s="201"/>
      <c r="P25" s="143"/>
      <c r="Q25" s="143"/>
      <c r="R25" s="143"/>
      <c r="S25" s="143"/>
      <c r="T25" s="102"/>
      <c r="U25" s="102"/>
      <c r="V25" s="102"/>
      <c r="W25" s="102"/>
      <c r="X25" s="143"/>
      <c r="Y25" s="201"/>
      <c r="Z25" s="201"/>
      <c r="AA25" s="201"/>
      <c r="AB25" s="143"/>
      <c r="AC25" s="143"/>
      <c r="AD25" s="201"/>
      <c r="AE25" s="201"/>
      <c r="AF25" s="201"/>
      <c r="AG25" s="143"/>
      <c r="AH25" s="143"/>
      <c r="AI25" s="143"/>
      <c r="AJ25" s="143"/>
      <c r="AK25" s="102"/>
      <c r="AL25" s="102"/>
      <c r="AM25" s="102"/>
      <c r="AN25" s="102"/>
      <c r="AO25" s="143"/>
      <c r="AP25" s="201"/>
      <c r="AQ25" s="201"/>
      <c r="AR25" s="201"/>
      <c r="AS25" s="143"/>
      <c r="AT25" s="143"/>
      <c r="AU25" s="201"/>
      <c r="AV25" s="201"/>
      <c r="AW25" s="201"/>
      <c r="AX25" s="143"/>
      <c r="AY25" s="143"/>
      <c r="AZ25" s="143"/>
      <c r="BA25" s="143"/>
      <c r="BB25" s="102"/>
      <c r="BC25" s="102"/>
      <c r="BD25" s="102"/>
      <c r="BE25" s="102"/>
      <c r="BF25" s="143"/>
      <c r="BG25" s="201"/>
      <c r="BH25" s="201"/>
      <c r="BI25" s="201"/>
      <c r="BJ25" s="143"/>
      <c r="BK25" s="143"/>
      <c r="BL25" s="201"/>
      <c r="BM25" s="201"/>
      <c r="BN25" s="201"/>
      <c r="BO25" s="143"/>
      <c r="BP25" s="143"/>
      <c r="BQ25" s="143"/>
      <c r="BR25" s="143"/>
      <c r="BS25" s="102"/>
      <c r="BT25" s="102"/>
      <c r="BU25" s="102"/>
      <c r="BV25" s="102"/>
      <c r="BW25" s="143"/>
      <c r="BX25" s="201"/>
      <c r="BY25" s="201"/>
      <c r="BZ25" s="201"/>
      <c r="CA25" s="143"/>
      <c r="CB25" s="143"/>
      <c r="CC25" s="201"/>
      <c r="CD25" s="201"/>
      <c r="CE25" s="201"/>
      <c r="CF25" s="143"/>
      <c r="CG25" s="143"/>
      <c r="CH25" s="143"/>
      <c r="CI25" s="143"/>
      <c r="CJ25" s="102"/>
      <c r="CK25" s="102"/>
      <c r="CL25" s="102"/>
      <c r="CM25" s="102"/>
      <c r="CN25" s="143"/>
      <c r="CO25" s="201"/>
      <c r="CP25" s="201"/>
      <c r="CQ25" s="201"/>
      <c r="CR25" s="143"/>
      <c r="CS25" s="143"/>
      <c r="CT25" s="201"/>
      <c r="CU25" s="201"/>
      <c r="CV25" s="201"/>
      <c r="CW25" s="143"/>
      <c r="CX25" s="143"/>
      <c r="CY25" s="143"/>
      <c r="CZ25" s="143"/>
      <c r="DA25" s="102"/>
      <c r="DB25" s="102"/>
      <c r="DC25" s="102"/>
      <c r="DD25" s="102"/>
      <c r="DE25" s="143"/>
      <c r="DF25" s="201"/>
      <c r="DG25" s="201"/>
      <c r="DH25" s="201"/>
      <c r="DI25" s="143"/>
      <c r="DJ25" s="143"/>
      <c r="DK25" s="201"/>
      <c r="DL25" s="201"/>
      <c r="DM25" s="201"/>
      <c r="DN25" s="143"/>
      <c r="DO25" s="143"/>
      <c r="DP25" s="143"/>
      <c r="DQ25" s="143"/>
      <c r="DR25" s="102"/>
      <c r="DS25" s="102"/>
      <c r="DT25" s="102"/>
      <c r="DU25" s="102"/>
      <c r="DV25" s="143"/>
      <c r="DW25" s="201"/>
      <c r="DX25" s="201"/>
      <c r="DY25" s="201"/>
      <c r="DZ25" s="143"/>
      <c r="EA25" s="143"/>
      <c r="EB25" s="201"/>
      <c r="EC25" s="201"/>
      <c r="ED25" s="201"/>
      <c r="EE25" s="143"/>
      <c r="EF25" s="143"/>
      <c r="EG25" s="143"/>
      <c r="EH25" s="143"/>
      <c r="EI25" s="102"/>
      <c r="EJ25" s="102"/>
      <c r="EK25" s="102"/>
      <c r="EL25" s="102"/>
      <c r="EM25" s="143"/>
      <c r="EN25" s="201"/>
      <c r="EO25" s="201"/>
      <c r="EP25" s="201"/>
      <c r="EQ25" s="143"/>
      <c r="ER25" s="143"/>
      <c r="ES25" s="201"/>
      <c r="ET25" s="201"/>
      <c r="EU25" s="201"/>
      <c r="EV25" s="143"/>
      <c r="EW25" s="143"/>
      <c r="EX25" s="143"/>
      <c r="EY25" s="143"/>
      <c r="EZ25" s="102"/>
      <c r="FA25" s="102"/>
      <c r="FB25" s="102"/>
      <c r="FC25" s="102"/>
      <c r="FD25" s="143"/>
      <c r="FE25" s="201"/>
      <c r="FF25" s="201"/>
      <c r="FG25" s="201"/>
      <c r="FH25" s="143"/>
      <c r="FI25" s="143"/>
      <c r="FJ25" s="201"/>
      <c r="FK25" s="201"/>
      <c r="FL25" s="201"/>
      <c r="FM25" s="143"/>
      <c r="FN25" s="143"/>
      <c r="FO25" s="143"/>
      <c r="FP25" s="143"/>
      <c r="FQ25" s="102"/>
      <c r="FR25" s="102"/>
      <c r="FS25" s="102"/>
      <c r="FT25" s="102"/>
      <c r="FU25" s="143"/>
      <c r="FV25" s="201"/>
      <c r="FW25" s="201"/>
      <c r="FX25" s="201"/>
      <c r="FY25" s="143"/>
      <c r="FZ25" s="143"/>
      <c r="GA25" s="201"/>
      <c r="GB25" s="201"/>
      <c r="GC25" s="201"/>
      <c r="GD25" s="143"/>
      <c r="GE25" s="143"/>
      <c r="GF25" s="143"/>
      <c r="GG25" s="143"/>
      <c r="GH25" s="102"/>
      <c r="GI25" s="102"/>
      <c r="GJ25" s="102"/>
      <c r="GK25" s="102"/>
      <c r="GL25" s="143"/>
      <c r="GM25" s="201"/>
      <c r="GN25" s="201"/>
      <c r="GO25" s="201"/>
      <c r="GP25" s="143"/>
      <c r="GQ25" s="143"/>
      <c r="GR25" s="201"/>
      <c r="GS25" s="201"/>
      <c r="GT25" s="201"/>
      <c r="GU25" s="143"/>
      <c r="GV25" s="143"/>
      <c r="GW25" s="143"/>
      <c r="GX25" s="143"/>
      <c r="GY25" s="102"/>
      <c r="GZ25" s="102"/>
      <c r="HA25" s="102"/>
      <c r="HB25" s="102"/>
      <c r="HC25" s="143"/>
      <c r="HD25" s="201"/>
      <c r="HE25" s="201"/>
      <c r="HF25" s="201"/>
      <c r="HG25" s="143"/>
      <c r="HH25" s="143"/>
      <c r="HI25" s="201"/>
      <c r="HJ25" s="201"/>
      <c r="HK25" s="201"/>
      <c r="HL25" s="143"/>
      <c r="HM25" s="143"/>
      <c r="HN25" s="143"/>
      <c r="HO25" s="143"/>
      <c r="HP25" s="102"/>
      <c r="HQ25" s="102"/>
      <c r="HR25" s="102"/>
      <c r="HS25" s="102"/>
      <c r="HT25" s="143"/>
      <c r="HU25" s="201"/>
      <c r="HV25" s="201"/>
      <c r="HW25" s="201"/>
      <c r="HX25" s="143"/>
      <c r="HY25" s="143"/>
      <c r="HZ25" s="201"/>
      <c r="IA25" s="201"/>
      <c r="IB25" s="201"/>
      <c r="IC25" s="143"/>
      <c r="ID25" s="143"/>
      <c r="IE25" s="143"/>
      <c r="IF25" s="143"/>
      <c r="IG25" s="102"/>
      <c r="IH25" s="102"/>
      <c r="II25" s="102"/>
      <c r="IJ25" s="102"/>
      <c r="IK25" s="143"/>
      <c r="IL25" s="201"/>
      <c r="IM25" s="201"/>
      <c r="IN25" s="201"/>
      <c r="IO25" s="143"/>
      <c r="IP25" s="143"/>
      <c r="IQ25" s="201"/>
      <c r="IR25" s="201"/>
      <c r="IS25" s="201"/>
      <c r="IT25" s="143"/>
      <c r="IU25" s="143"/>
      <c r="IV25" s="143"/>
      <c r="IW25" s="143"/>
      <c r="IX25" s="102"/>
      <c r="IY25" s="102"/>
      <c r="IZ25" s="102"/>
      <c r="JA25" s="102"/>
      <c r="JB25" s="143"/>
      <c r="JC25" s="201"/>
      <c r="JD25" s="201"/>
      <c r="JE25" s="201"/>
      <c r="JF25" s="143"/>
      <c r="JG25" s="143"/>
      <c r="JH25" s="201"/>
      <c r="JI25" s="201"/>
      <c r="JJ25" s="201"/>
      <c r="JK25" s="143"/>
      <c r="JL25" s="143"/>
      <c r="JM25" s="143"/>
      <c r="JN25" s="143"/>
      <c r="JO25" s="102"/>
      <c r="JP25" s="102"/>
      <c r="JQ25" s="102"/>
      <c r="JR25" s="102"/>
      <c r="JS25" s="143"/>
      <c r="JT25" s="201"/>
      <c r="JU25" s="201"/>
      <c r="JV25" s="201"/>
      <c r="JW25" s="143"/>
      <c r="JX25" s="143"/>
      <c r="JY25" s="201"/>
      <c r="JZ25" s="201"/>
      <c r="KA25" s="201"/>
      <c r="KB25" s="143"/>
      <c r="KC25" s="143"/>
      <c r="KD25" s="143"/>
      <c r="KE25" s="143"/>
      <c r="KF25" s="102"/>
      <c r="KG25" s="102"/>
      <c r="KH25" s="102"/>
      <c r="KI25" s="102"/>
      <c r="KJ25" s="143"/>
      <c r="KK25" s="201"/>
      <c r="KL25" s="201"/>
      <c r="KM25" s="201"/>
      <c r="KN25" s="143"/>
      <c r="KO25" s="143"/>
      <c r="KP25" s="201"/>
      <c r="KQ25" s="201"/>
      <c r="KR25" s="201"/>
      <c r="KS25" s="143"/>
      <c r="KT25" s="143"/>
      <c r="KU25" s="143"/>
      <c r="KV25" s="143"/>
      <c r="KW25" s="102"/>
      <c r="KX25" s="102"/>
      <c r="KY25" s="102"/>
      <c r="KZ25" s="102"/>
      <c r="LA25" s="143"/>
      <c r="LB25" s="201"/>
      <c r="LC25" s="201"/>
      <c r="LD25" s="201"/>
      <c r="LE25" s="143"/>
      <c r="LF25" s="143"/>
      <c r="LG25" s="201"/>
      <c r="LH25" s="201"/>
      <c r="LI25" s="201"/>
      <c r="LJ25" s="143"/>
      <c r="LK25" s="143"/>
      <c r="LL25" s="143"/>
      <c r="LM25" s="143"/>
      <c r="LN25" s="102"/>
      <c r="LO25" s="102"/>
      <c r="LP25" s="102"/>
      <c r="LQ25" s="102"/>
      <c r="LR25" s="143"/>
      <c r="LS25" s="201"/>
      <c r="LT25" s="201"/>
      <c r="LU25" s="201"/>
      <c r="LV25" s="143"/>
      <c r="LW25" s="143"/>
      <c r="LX25" s="201"/>
      <c r="LY25" s="201"/>
      <c r="LZ25" s="201"/>
      <c r="MA25" s="143"/>
      <c r="MB25" s="143"/>
      <c r="MC25" s="143"/>
      <c r="MD25" s="143"/>
      <c r="ME25" s="102"/>
      <c r="MF25" s="102"/>
      <c r="MG25" s="102"/>
      <c r="MH25" s="102"/>
      <c r="MI25" s="143"/>
      <c r="MJ25" s="201"/>
      <c r="MK25" s="201"/>
      <c r="ML25" s="201"/>
      <c r="MM25" s="143"/>
      <c r="MN25" s="143"/>
      <c r="MO25" s="201"/>
      <c r="MP25" s="201"/>
      <c r="MQ25" s="201"/>
      <c r="MR25" s="143"/>
      <c r="MS25" s="143"/>
      <c r="MT25" s="143"/>
      <c r="MU25" s="143"/>
      <c r="MV25" s="102"/>
      <c r="MW25" s="102"/>
      <c r="MX25" s="102"/>
      <c r="MY25" s="102"/>
      <c r="MZ25" s="143"/>
      <c r="NA25" s="201"/>
      <c r="NB25" s="201"/>
      <c r="NC25" s="201"/>
      <c r="ND25" s="143"/>
      <c r="NE25" s="143"/>
      <c r="NF25" s="201"/>
      <c r="NG25" s="201"/>
      <c r="NH25" s="201"/>
      <c r="NI25" s="143"/>
      <c r="NJ25" s="143"/>
      <c r="NK25" s="143"/>
      <c r="NL25" s="143"/>
      <c r="NM25" s="102"/>
      <c r="NN25" s="102"/>
      <c r="NO25" s="102"/>
      <c r="NP25" s="102"/>
      <c r="NQ25" s="143"/>
      <c r="NR25" s="201"/>
      <c r="NS25" s="201"/>
      <c r="NT25" s="201"/>
      <c r="NU25" s="143"/>
      <c r="NV25" s="143"/>
      <c r="NW25" s="201"/>
      <c r="NX25" s="201"/>
      <c r="NY25" s="201"/>
      <c r="NZ25" s="143"/>
      <c r="OA25" s="143"/>
      <c r="OB25" s="143"/>
      <c r="OC25" s="143"/>
      <c r="OD25" s="102"/>
      <c r="OE25" s="102"/>
      <c r="OF25" s="102"/>
      <c r="OG25" s="102"/>
      <c r="OH25" s="143"/>
      <c r="OI25" s="201"/>
      <c r="OJ25" s="201"/>
      <c r="OK25" s="201"/>
      <c r="OL25" s="143"/>
      <c r="OM25" s="143"/>
      <c r="ON25" s="201"/>
      <c r="OO25" s="201"/>
      <c r="OP25" s="201"/>
      <c r="OQ25" s="143"/>
      <c r="OR25" s="143"/>
      <c r="OS25" s="143"/>
      <c r="OT25" s="143"/>
      <c r="OU25" s="102"/>
      <c r="OV25" s="102"/>
      <c r="OW25" s="102"/>
      <c r="OX25" s="102"/>
      <c r="OY25" s="143"/>
      <c r="OZ25" s="201"/>
      <c r="PA25" s="201"/>
      <c r="PB25" s="201"/>
      <c r="PC25" s="143"/>
      <c r="PD25" s="143"/>
      <c r="PE25" s="201"/>
      <c r="PF25" s="201"/>
      <c r="PG25" s="201"/>
      <c r="PH25" s="143"/>
      <c r="PI25" s="143"/>
      <c r="PJ25" s="143"/>
      <c r="PK25" s="143"/>
      <c r="PL25" s="102"/>
      <c r="PM25" s="102"/>
      <c r="PN25" s="102"/>
      <c r="PO25" s="102"/>
      <c r="PP25" s="143"/>
      <c r="PQ25" s="201"/>
      <c r="PR25" s="201"/>
      <c r="PS25" s="201"/>
      <c r="PT25" s="143"/>
      <c r="PU25" s="143"/>
      <c r="PV25" s="201"/>
      <c r="PW25" s="201"/>
      <c r="PX25" s="201"/>
      <c r="PY25" s="143"/>
      <c r="PZ25" s="143"/>
      <c r="QA25" s="143"/>
      <c r="QB25" s="143"/>
      <c r="QC25" s="102"/>
      <c r="QD25" s="102"/>
      <c r="QE25" s="102"/>
      <c r="QF25" s="102"/>
      <c r="QG25" s="143"/>
      <c r="QH25" s="201"/>
      <c r="QI25" s="201"/>
      <c r="QJ25" s="201"/>
      <c r="QK25" s="143"/>
      <c r="QL25" s="143"/>
      <c r="QM25" s="201"/>
      <c r="QN25" s="201"/>
      <c r="QO25" s="201"/>
      <c r="QP25" s="143"/>
      <c r="QQ25" s="143"/>
      <c r="QR25" s="143"/>
      <c r="QS25" s="143"/>
      <c r="QT25" s="102"/>
      <c r="QU25" s="102"/>
      <c r="QV25" s="102"/>
      <c r="QW25" s="102"/>
      <c r="QX25" s="143"/>
      <c r="QY25" s="201"/>
      <c r="QZ25" s="201"/>
      <c r="RA25" s="201"/>
      <c r="RB25" s="143"/>
      <c r="RC25" s="143"/>
      <c r="RD25" s="201"/>
      <c r="RE25" s="201"/>
      <c r="RF25" s="201"/>
      <c r="RG25" s="143"/>
      <c r="RH25" s="143"/>
      <c r="RI25" s="143"/>
      <c r="RJ25" s="143"/>
      <c r="RK25" s="102"/>
      <c r="RL25" s="102"/>
      <c r="RM25" s="102"/>
      <c r="RN25" s="102"/>
      <c r="RO25" s="143"/>
      <c r="RP25" s="201"/>
      <c r="RQ25" s="201"/>
      <c r="RR25" s="201"/>
      <c r="RS25" s="143"/>
      <c r="RT25" s="143"/>
      <c r="RU25" s="201"/>
      <c r="RV25" s="201"/>
      <c r="RW25" s="201"/>
      <c r="RX25" s="143"/>
      <c r="RY25" s="143"/>
      <c r="RZ25" s="143"/>
      <c r="SA25" s="143"/>
      <c r="SB25" s="102"/>
      <c r="SC25" s="102"/>
      <c r="SD25" s="102"/>
      <c r="SE25" s="102"/>
      <c r="SF25" s="143"/>
      <c r="SG25" s="201"/>
      <c r="SH25" s="201"/>
      <c r="SI25" s="201"/>
      <c r="SJ25" s="143"/>
      <c r="SK25" s="143"/>
      <c r="SL25" s="201"/>
      <c r="SM25" s="201"/>
      <c r="SN25" s="201"/>
      <c r="SO25" s="143"/>
      <c r="SP25" s="143"/>
      <c r="SQ25" s="143"/>
      <c r="SR25" s="143"/>
    </row>
    <row r="26" spans="1:512" ht="18" x14ac:dyDescent="0.25"/>
    <row r="27" spans="1:512" ht="18" x14ac:dyDescent="0.25"/>
    <row r="28" spans="1:512" ht="18" x14ac:dyDescent="0.25"/>
    <row r="29" spans="1:512" ht="18" x14ac:dyDescent="0.25"/>
    <row r="30" spans="1:512" ht="18" x14ac:dyDescent="0.25"/>
    <row r="31" spans="1:512" ht="18" x14ac:dyDescent="0.25"/>
    <row r="32" spans="1:512" ht="18" x14ac:dyDescent="0.25"/>
  </sheetData>
  <sheetProtection algorithmName="SHA-512" hashValue="URQW16oDcw4ajBwgMPx6xdD5yonsQIdb3Ium1LfE67o7KxxlEXm2+sbdSE+eOzgBk8Autk0JASsCQELiss8PwA==" saltValue="/0njobyAJskCENuUo/dUkg==" spinCount="100000" sheet="1" insertColumns="0" deleteColumns="0" selectLockedCells="1"/>
  <dataConsolidate/>
  <mergeCells count="13">
    <mergeCell ref="A5:B5"/>
    <mergeCell ref="A1:B1"/>
    <mergeCell ref="A13:B13"/>
    <mergeCell ref="A8:B8"/>
    <mergeCell ref="A11:B11"/>
    <mergeCell ref="A6:B6"/>
    <mergeCell ref="A9:B9"/>
    <mergeCell ref="A10:B10"/>
    <mergeCell ref="A19:B19"/>
    <mergeCell ref="A20:B20"/>
    <mergeCell ref="A15:B15"/>
    <mergeCell ref="A16:B16"/>
    <mergeCell ref="A17:B17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ref!$B$3:$B$6</xm:f>
          </x14:formula1>
          <xm:sqref>H5:J6 C5:E6 M5:O6 QM8:QO11 QH8:QJ11 QC8:QE11 C13:E13 H13:J13 M13:O13 PE8:PG11 OZ8:PB11 OU8:OW11 C15:E17 H15:J17 M15:O17 ON8:OP11 OI8:OK11 OD8:OF11 C19:E19 H19:J19 M19:O19 M8:O11 H8:J11 C8:E11 OD5:OF6 OI5:OK6 ON5:OP6 OD13:OF13 OI13:OK13 ON13:OP13 OD15:OF17 OI15:OK17 ON15:OP17 OD19:OF19 OI19:OK19 ON19:OP19 OU5:OW6 OZ5:PB6 PE5:PG6 OU13:OW13 OZ13:PB13 PE13:PG13 OU15:OW17 OZ15:PB17 PE15:PG17 OU19:OW19 OZ19:PB19 PE19:PG19 QC5:QE6 QH5:QJ6 QM5:QO6 QC13:QE13 QH13:QJ13 QM13:QO13 QC15:QE17 QH15:QJ17 QM15:QO17 QC19:QE19 QH19:QJ19 QM19:QO19 PL5:PN6 PQ5:PS6 PV5:PX6 PL13:PN13 PQ13:PS13 PV13:PX13 PL15:PN17 PQ15:PS17 PV15:PX17 PL19:PN19 PQ19:PS19 PV19:PX19 QT5:QV6 QY5:RA6 RD5:RF6 QT13:QV13 QY13:RA13 RD13:RF13 QT15:QV17 QY15:RA17 RD15:RF17 QT19:QV19 QY19:RA19 RD19:RF19 RK5:RM6 RP5:RR6 RU5:RW6 RK13:RM13 RP13:RR13 RU13:RW13 RK15:RM17 RP15:RR17 RU15:RW17 RK19:RM19 RP19:RR19 RU19:RW19 Y5:AA6 T5:V6 AD5:AF6 T13:V13 Y13:AA13 AD13:AF13 T15:V17 Y15:AA17 AD15:AF17 T19:V19 Y19:AA19 AD19:AF19 BB5:BD6 BG5:BI6 BL5:BN6 BB13:BD13 BG13:BI13 BL13:BN13 BB15:BD17 BG15:BI17 BL15:BN17 BB19:BD19 BG19:BI19 BL19:BN19 BS5:BU6 BX5:BZ6 CC5:CE6 BS13:BU13 BX13:BZ13 CC13:CE13 BS15:BU17 BX15:BZ17 CC15:CE17 BS19:BU19 BX19:BZ19 CC19:CE19 CJ5:CL6 CO5:CQ6 CT5:CV6 CJ13:CL13 CO13:CQ13 CT13:CV13 CJ15:CL17 CO15:CQ17 CT15:CV17 CJ19:CL19 CO19:CQ19 CT19:CV19 DA5:DC6 DF5:DH6 DK5:DM6 DA13:DC13 DF13:DH13 DK13:DM13 DA15:DC17 DF15:DH17 DK15:DM17 DA19:DC19 DF19:DH19 DK19:DM19 DR5:DT6 DW5:DY6 EB5:ED6 DR13:DT13 DW13:DY13 EB13:ED13 DR15:DT17 DW15:DY17 EB15:ED17 DR19:DT19 DW19:DY19 EB19:ED19 EI5:EK6 EN5:EP6 ES5:EU6 EI13:EK13 EN13:EP13 ES13:EU13 EI15:EK17 EN15:EP17 ES15:EU17 EI19:EK19 EN19:EP19 ES19:EU19 EZ5:FB6 FE5:FG6 FJ5:FL6 EZ13:FB13 FE13:FG13 FJ13:FL13 EZ15:FB17 FE15:FG17 FJ15:FL17 EZ19:FB19 FE19:FG19 FJ19:FL19 FQ5:FS6 FV5:FX6 GA5:GC6 FQ13:FS13 FV13:FX13 GA13:GC13 FQ15:FS17 FV15:FX17 GA15:GC17 FQ19:FS19 FV19:FX19 GA19:GC19 GH5:GJ6 GM5:GO6 GR5:GT6 GH13:GJ13 GM13:GO13 GR13:GT13 GH15:GJ17 GM15:GO17 GR15:GT17 GH19:GJ19 GM19:GO19 GR19:GT19 GY5:HA6 HD5:HF6 HI5:HK6 GY13:HA13 HD13:HF13 HI13:HK13 GY15:HA17 HD15:HF17 HI15:HK17 GY19:HA19 HD19:HF19 HI19:HK19 HP5:HR6 HU5:HW6 HZ5:IB6 HP13:HR13 HU13:HW13 HZ13:IB13 HP15:HR17 HU15:HW17 HZ15:IB17 HP19:HR19 HU19:HW19 HZ19:IB19 IG5:II6 IL5:IN6 IQ5:IS6 IG13:II13 IL13:IN13 IQ13:IS13 IG15:II17 IL15:IN17 IQ15:IS17 IG19:II19 IL19:IN19 IQ19:IS19 IX5:IZ6 JC5:JE6 JH5:JJ6 IX13:IZ13 JC13:JE13 JH13:JJ13 IX15:IZ17 JC15:JE17 JH15:JJ17 IX19:IZ19 JC19:JE19 JH19:JJ19 JO5:JQ6 JT5:JV6 JY5:KA6 JO13:JQ13 JT13:JV13 JY13:KA13 JO15:JQ17 JT15:JV17 JY15:KA17 JO19:JQ19 JT19:JV19 JY19:KA19 KF5:KH6 KK5:KM6 KP5:KR6 KF13:KH13 KK13:KM13 KP13:KR13 KF15:KH17 KK15:KM17 KP15:KR17 KF19:KH19 KK19:KM19 KP19:KR19 KW5:KY6 LB5:LD6 LG5:LI6 KW13:KY13 LB13:LD13 LG13:LI13 KW15:KY17 LB15:LD17 LG15:LI17 KW19:KY19 LB19:LD19 LG19:LI19 LN5:LP6 LS5:LU6 LX5:LZ6 LN13:LP13 LS13:LU13 LX13:LZ13 LN15:LP17 LS15:LU17 LX15:LZ17 LN19:LP19 LS19:LU19 LX19:LZ19 ME5:MG6 MJ5:ML6 MO5:MQ6 ME13:MG13 MJ13:ML13 MO13:MQ13 ME15:MG17 MJ15:ML17 MO15:MQ17 ME19:MG19 MJ19:ML19 MO19:MQ19 MV5:MX6 NA5:NC6 NF5:NH6 MV13:MX13 NA13:NC13 NF13:NH13 MV15:MX17 NA15:NC17 NF15:NH17 MV19:MX19 NA19:NC19 NF19:NH19 NM5:NO6 NR5:NT6 NW5:NY6 NM13:NO13 NR13:NT13 NW13:NY13 NM15:NO17 NR15:NT17 NW15:NY17 NM19:NO19 NR19:NT19 NW19:NY19 SB5:SD6 SG5:SI6 SL5:SN6 SB13:SD13 SG13:SI13 SL13:SN13 SB15:SD17 SG15:SI17 SL15:SN17 SB19:SD19 SG19:SI19 SL19:SN19 SL8:SN11 SG8:SI11 SB8:SD11 NW8:NY11 NR8:NT11 NM8:NO11 NF8:NH11 NA8:NC11 MV8:MX11 MO8:MQ11 MJ8:ML11 ME8:MG11 LX8:LZ11 LS8:LU11 LN8:LP11 LG8:LI11 LB8:LD11 KW8:KY11 KP8:KR11 KK8:KM11 KF8:KH11 JY8:KA11 JT8:JV11 JO8:JQ11 JH8:JJ11 JC8:JE11 IX8:IZ11 IQ8:IS11 IL8:IN11 IG8:II11 HZ8:IB11 HU8:HW11 HP8:HR11 HI8:HK11 HD8:HF11 GY8:HA11 GR8:GT11 GM8:GO11 GH8:GJ11 GA8:GC11 FV8:FX11 FQ8:FS11 FJ8:FL11 FE8:FG11 EZ8:FB11 ES8:EU11 EN8:EP11 EI8:EK11 EB8:ED11 DW8:DY11 DR8:DT11 DK8:DM11 DF8:DH11 DA8:DC11 CT8:CV11 CO8:CQ11 CJ8:CL11 CC8:CE11 BX8:BZ11 BS8:BU11 BL8:BN11 BG8:BI11 BB8:BD11 AD8:AF11 Y8:AA11 T8:V11 RU8:RW11 RP8:RR11 RK8:RM11 RD8:RF11 QY8:RA11 QT8:QV11 PV8:PX11 PQ8:PS11 PL8:PN11 AP5:AR6 AK5:AM6 AU5:AW6 AK13:AM13 AP13:AR13 AU13:AW13 AK15:AM17 AP15:AR17 AU15:AW17 AK19:AM19 AP19:AR19 AU19:AW19 AU8:AW11 AP8:AR11 AK8:AM11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5"/>
  <dimension ref="A1:AC33"/>
  <sheetViews>
    <sheetView zoomScale="90" zoomScaleNormal="90" workbookViewId="0">
      <selection activeCell="AC3" sqref="AC3"/>
    </sheetView>
  </sheetViews>
  <sheetFormatPr baseColWidth="10" defaultRowHeight="15" x14ac:dyDescent="0.25"/>
  <cols>
    <col min="1" max="1" width="30.7109375" style="48" customWidth="1"/>
    <col min="2" max="27" width="6.7109375" style="48" customWidth="1"/>
    <col min="28" max="28" width="3" style="48" customWidth="1"/>
    <col min="29" max="29" width="20.140625" style="48" customWidth="1"/>
    <col min="30" max="16384" width="11.42578125" style="48"/>
  </cols>
  <sheetData>
    <row r="1" spans="1:29" ht="31.5" customHeight="1" thickBot="1" x14ac:dyDescent="0.3">
      <c r="A1" s="37" t="s">
        <v>196</v>
      </c>
      <c r="B1" s="221" t="s">
        <v>0</v>
      </c>
      <c r="C1" s="221"/>
      <c r="D1" s="221"/>
      <c r="E1" s="221"/>
      <c r="F1" s="221"/>
      <c r="G1" s="221"/>
      <c r="H1" s="221"/>
      <c r="I1" s="221"/>
      <c r="J1" s="221"/>
      <c r="K1" s="221"/>
      <c r="L1" s="221"/>
      <c r="M1" s="221"/>
      <c r="N1" s="221"/>
      <c r="O1" s="221"/>
      <c r="P1" s="221"/>
      <c r="Q1" s="221"/>
      <c r="R1" s="221"/>
      <c r="S1" s="221"/>
      <c r="T1" s="221"/>
      <c r="U1" s="221"/>
      <c r="V1" s="221"/>
      <c r="W1" s="221"/>
      <c r="X1" s="221"/>
      <c r="Y1" s="221"/>
      <c r="Z1" s="221"/>
      <c r="AA1" s="222"/>
      <c r="AC1" s="38" t="s">
        <v>36</v>
      </c>
    </row>
    <row r="2" spans="1:29" ht="24.95" customHeight="1" thickTop="1" x14ac:dyDescent="0.25">
      <c r="A2" s="223" t="s">
        <v>1</v>
      </c>
      <c r="B2" s="225" t="s">
        <v>2</v>
      </c>
      <c r="C2" s="225"/>
      <c r="D2" s="225"/>
      <c r="E2" s="226"/>
      <c r="F2" s="227" t="s">
        <v>3</v>
      </c>
      <c r="G2" s="228"/>
      <c r="H2" s="228"/>
      <c r="I2" s="229"/>
      <c r="J2" s="227" t="s">
        <v>4</v>
      </c>
      <c r="K2" s="228"/>
      <c r="L2" s="228"/>
      <c r="M2" s="229"/>
      <c r="N2" s="227" t="s">
        <v>5</v>
      </c>
      <c r="O2" s="228"/>
      <c r="P2" s="228"/>
      <c r="Q2" s="229"/>
      <c r="R2" s="227" t="s">
        <v>6</v>
      </c>
      <c r="S2" s="228"/>
      <c r="T2" s="228"/>
      <c r="U2" s="229"/>
      <c r="V2" s="230" t="s">
        <v>34</v>
      </c>
      <c r="W2" s="231"/>
      <c r="X2" s="232"/>
      <c r="Y2" s="233" t="s">
        <v>33</v>
      </c>
      <c r="Z2" s="234"/>
      <c r="AA2" s="235"/>
      <c r="AC2" s="47" t="s">
        <v>198</v>
      </c>
    </row>
    <row r="3" spans="1:29" ht="24.95" customHeight="1" thickBot="1" x14ac:dyDescent="0.3">
      <c r="A3" s="224"/>
      <c r="B3" s="18" t="s">
        <v>28</v>
      </c>
      <c r="C3" s="19" t="s">
        <v>29</v>
      </c>
      <c r="D3" s="18" t="s">
        <v>30</v>
      </c>
      <c r="E3" s="20" t="s">
        <v>10</v>
      </c>
      <c r="F3" s="21" t="s">
        <v>28</v>
      </c>
      <c r="G3" s="22" t="s">
        <v>29</v>
      </c>
      <c r="H3" s="23" t="s">
        <v>30</v>
      </c>
      <c r="I3" s="24" t="s">
        <v>10</v>
      </c>
      <c r="J3" s="25" t="s">
        <v>28</v>
      </c>
      <c r="K3" s="26" t="s">
        <v>29</v>
      </c>
      <c r="L3" s="23" t="s">
        <v>30</v>
      </c>
      <c r="M3" s="24" t="s">
        <v>10</v>
      </c>
      <c r="N3" s="21" t="s">
        <v>28</v>
      </c>
      <c r="O3" s="27" t="s">
        <v>29</v>
      </c>
      <c r="P3" s="23" t="s">
        <v>30</v>
      </c>
      <c r="Q3" s="24" t="s">
        <v>10</v>
      </c>
      <c r="R3" s="21" t="s">
        <v>28</v>
      </c>
      <c r="S3" s="27" t="s">
        <v>29</v>
      </c>
      <c r="T3" s="23" t="s">
        <v>30</v>
      </c>
      <c r="U3" s="24" t="s">
        <v>10</v>
      </c>
      <c r="V3" s="16" t="s">
        <v>28</v>
      </c>
      <c r="W3" s="17" t="s">
        <v>29</v>
      </c>
      <c r="X3" s="17" t="s">
        <v>30</v>
      </c>
      <c r="Y3" s="40"/>
      <c r="Z3" s="41"/>
      <c r="AA3" s="42"/>
      <c r="AB3" s="43"/>
      <c r="AC3" s="39" t="s">
        <v>194</v>
      </c>
    </row>
    <row r="4" spans="1:29" ht="15.75" customHeight="1" thickTop="1" x14ac:dyDescent="0.25">
      <c r="A4" s="44" t="str">
        <f ca="1">CELL("contenu",INDIRECT(ADDRESS(ROW()-2,3,1,,CELL("contenu",$AC$3))))</f>
        <v>AGATHON Trystan</v>
      </c>
      <c r="B4" s="1" t="str">
        <f ca="1">CELL("contenu",INDIRECT(ADDRESS(ref!$K$3,ref!E3,1,,CELL("contenu",$AC$2))))</f>
        <v/>
      </c>
      <c r="C4" s="2" t="str">
        <f ca="1">CELL("contenu",INDIRECT(ADDRESS(ref!$K$3,ref!F3,1,,CELL("contenu",$AC$2))))</f>
        <v/>
      </c>
      <c r="D4" s="3" t="str">
        <f ca="1">CELL("contenu",INDIRECT(ADDRESS(ref!$K$3,ref!G3,1,,CELL("contenu",$AC$2))))</f>
        <v/>
      </c>
      <c r="E4" s="4" t="str">
        <f ca="1">CELL("contenu",INDIRECT(ADDRESS(ref!$K$3,ref!H3,1,,CELL("contenu",$AC$2))))</f>
        <v/>
      </c>
      <c r="F4" s="5" t="str">
        <f ca="1">CELL("contenu",INDIRECT(ADDRESS(ref!$K$4,ref!E3,1,,CELL("contenu",$AC$2))))</f>
        <v>B</v>
      </c>
      <c r="G4" s="2" t="str">
        <f ca="1">CELL("contenu",INDIRECT(ADDRESS(ref!$K$4,ref!F3,1,,CELL("contenu",$AC$2))))</f>
        <v/>
      </c>
      <c r="H4" s="3" t="str">
        <f ca="1">CELL("contenu",INDIRECT(ADDRESS(ref!$K$4,ref!G3,1,,CELL("contenu",$AC$2))))</f>
        <v/>
      </c>
      <c r="I4" s="4" t="str">
        <f ca="1">CELL("contenu",INDIRECT(ADDRESS(ref!$K$4,ref!H3,1,,CELL("contenu",$AC$2))))</f>
        <v>B</v>
      </c>
      <c r="J4" s="5" t="str">
        <f ca="1">CELL("contenu",INDIRECT(ADDRESS(ref!$K$5,ref!E3,1,,CELL("contenu",$AC$2))))</f>
        <v>C</v>
      </c>
      <c r="K4" s="2" t="str">
        <f ca="1">CELL("contenu",INDIRECT(ADDRESS(ref!$K$5,ref!F3,1,,CELL("contenu",$AC$2))))</f>
        <v/>
      </c>
      <c r="L4" s="3" t="str">
        <f ca="1">CELL("contenu",INDIRECT(ADDRESS(ref!$K$5,ref!G3,1,,CELL("contenu",$AC$2))))</f>
        <v/>
      </c>
      <c r="M4" s="4" t="str">
        <f ca="1">CELL("contenu",INDIRECT(ADDRESS(ref!$K$5,ref!H3,1,,CELL("contenu",$AC$2))))</f>
        <v>C</v>
      </c>
      <c r="N4" s="5" t="str">
        <f ca="1">CELL("contenu",INDIRECT(ADDRESS(ref!$K$6,ref!E3,1,,CELL("contenu",$AC$2))))</f>
        <v>A</v>
      </c>
      <c r="O4" s="2" t="str">
        <f ca="1">CELL("contenu",INDIRECT(ADDRESS(ref!$K$6,ref!F3,1,,CELL("contenu",$AC$2))))</f>
        <v/>
      </c>
      <c r="P4" s="3" t="str">
        <f ca="1">CELL("contenu",INDIRECT(ADDRESS(ref!$K$6,ref!G3,1,,CELL("contenu",$AC$2))))</f>
        <v/>
      </c>
      <c r="Q4" s="4" t="str">
        <f ca="1">CELL("contenu",INDIRECT(ADDRESS(ref!$K$6,ref!H3,1,,CELL("contenu",$AC$2))))</f>
        <v>A</v>
      </c>
      <c r="R4" s="5" t="str">
        <f ca="1">CELL("contenu",INDIRECT(ADDRESS(ref!$K$7,ref!E3,1,,CELL("contenu",$AC$2))))</f>
        <v>A</v>
      </c>
      <c r="S4" s="2" t="str">
        <f ca="1">CELL("contenu",INDIRECT(ADDRESS(ref!$K$7,ref!F3,1,,CELL("contenu",$AC$2))))</f>
        <v/>
      </c>
      <c r="T4" s="3" t="str">
        <f ca="1">CELL("contenu",INDIRECT(ADDRESS(ref!$K$7,ref!G3,1,,CELL("contenu",$AC$2))))</f>
        <v/>
      </c>
      <c r="U4" s="4" t="str">
        <f ca="1">CELL("contenu",INDIRECT(ADDRESS(ref!$K$7,ref!H3,1,,CELL("contenu",$AC$2))))</f>
        <v>A</v>
      </c>
      <c r="V4" s="28">
        <f ca="1">CELL("contenu",INDIRECT(ADDRESS(ref!$K$8,ref!E3,1,,CELL("contenu",$AC$2))))</f>
        <v>16.666666666666668</v>
      </c>
      <c r="W4" s="29" t="str">
        <f ca="1">CELL("contenu",INDIRECT(ADDRESS(ref!$K$8,ref!F3,1,,CELL("contenu",$AC$2))))</f>
        <v/>
      </c>
      <c r="X4" s="30" t="str">
        <f ca="1">CELL("contenu",INDIRECT(ADDRESS(ref!$K$8,ref!G3,1,,CELL("contenu",$AC$2))))</f>
        <v/>
      </c>
      <c r="Y4" s="6" t="str">
        <f ca="1">CELL("contenu",INDIRECT(ADDRESS(ref!$K$9,ref!H3,1,,CELL("contenu",$AC$2))))</f>
        <v/>
      </c>
      <c r="Z4" s="3" t="str">
        <f ca="1">CELL("contenu",INDIRECT(ADDRESS(ref!$K$10,ref!H3,1,,CELL("contenu",$AC$2))))</f>
        <v>C</v>
      </c>
      <c r="AA4" s="7" t="str">
        <f ca="1">CELL("contenu",INDIRECT(ADDRESS(ref!$K$11,ref!H3,1,,CELL("contenu",$AC$2))))</f>
        <v>A</v>
      </c>
    </row>
    <row r="5" spans="1:29" x14ac:dyDescent="0.25">
      <c r="A5" s="44" t="str">
        <f t="shared" ref="A5:A33" ca="1" si="0">CELL("contenu",INDIRECT(ADDRESS(ROW()-2,3,1,,CELL("contenu",$AC$3))))</f>
        <v>BAILLOU Claire</v>
      </c>
      <c r="B5" s="1" t="str">
        <f ca="1">CELL("contenu",INDIRECT(ADDRESS(ref!$K$3,ref!E4,1,,CELL("contenu",$AC$2))))</f>
        <v/>
      </c>
      <c r="C5" s="2" t="str">
        <f ca="1">CELL("contenu",INDIRECT(ADDRESS(ref!$K$3,ref!F4,1,,CELL("contenu",$AC$2))))</f>
        <v/>
      </c>
      <c r="D5" s="3" t="str">
        <f ca="1">CELL("contenu",INDIRECT(ADDRESS(ref!$K$3,ref!G4,1,,CELL("contenu",$AC$2))))</f>
        <v/>
      </c>
      <c r="E5" s="4" t="str">
        <f ca="1">CELL("contenu",INDIRECT(ADDRESS(ref!$K$3,ref!H4,1,,CELL("contenu",$AC$2))))</f>
        <v/>
      </c>
      <c r="F5" s="5" t="str">
        <f ca="1">CELL("contenu",INDIRECT(ADDRESS(ref!$K$4,ref!E4,1,,CELL("contenu",$AC$2))))</f>
        <v>B</v>
      </c>
      <c r="G5" s="2" t="str">
        <f ca="1">CELL("contenu",INDIRECT(ADDRESS(ref!$K$4,ref!F4,1,,CELL("contenu",$AC$2))))</f>
        <v/>
      </c>
      <c r="H5" s="3" t="str">
        <f ca="1">CELL("contenu",INDIRECT(ADDRESS(ref!$K$4,ref!G4,1,,CELL("contenu",$AC$2))))</f>
        <v/>
      </c>
      <c r="I5" s="4" t="str">
        <f ca="1">CELL("contenu",INDIRECT(ADDRESS(ref!$K$4,ref!H4,1,,CELL("contenu",$AC$2))))</f>
        <v>B</v>
      </c>
      <c r="J5" s="5" t="str">
        <f ca="1">CELL("contenu",INDIRECT(ADDRESS(ref!$K$5,ref!E4,1,,CELL("contenu",$AC$2))))</f>
        <v>C</v>
      </c>
      <c r="K5" s="2" t="str">
        <f ca="1">CELL("contenu",INDIRECT(ADDRESS(ref!$K$5,ref!F4,1,,CELL("contenu",$AC$2))))</f>
        <v/>
      </c>
      <c r="L5" s="3" t="str">
        <f ca="1">CELL("contenu",INDIRECT(ADDRESS(ref!$K$5,ref!G4,1,,CELL("contenu",$AC$2))))</f>
        <v/>
      </c>
      <c r="M5" s="4" t="str">
        <f ca="1">CELL("contenu",INDIRECT(ADDRESS(ref!$K$5,ref!H4,1,,CELL("contenu",$AC$2))))</f>
        <v>C</v>
      </c>
      <c r="N5" s="5" t="str">
        <f ca="1">CELL("contenu",INDIRECT(ADDRESS(ref!$K$6,ref!E4,1,,CELL("contenu",$AC$2))))</f>
        <v>B</v>
      </c>
      <c r="O5" s="2" t="str">
        <f ca="1">CELL("contenu",INDIRECT(ADDRESS(ref!$K$6,ref!F4,1,,CELL("contenu",$AC$2))))</f>
        <v/>
      </c>
      <c r="P5" s="3" t="str">
        <f ca="1">CELL("contenu",INDIRECT(ADDRESS(ref!$K$6,ref!G4,1,,CELL("contenu",$AC$2))))</f>
        <v/>
      </c>
      <c r="Q5" s="4" t="str">
        <f ca="1">CELL("contenu",INDIRECT(ADDRESS(ref!$K$6,ref!H4,1,,CELL("contenu",$AC$2))))</f>
        <v>B</v>
      </c>
      <c r="R5" s="5" t="str">
        <f ca="1">CELL("contenu",INDIRECT(ADDRESS(ref!$K$7,ref!E4,1,,CELL("contenu",$AC$2))))</f>
        <v>A</v>
      </c>
      <c r="S5" s="2" t="str">
        <f ca="1">CELL("contenu",INDIRECT(ADDRESS(ref!$K$7,ref!F4,1,,CELL("contenu",$AC$2))))</f>
        <v/>
      </c>
      <c r="T5" s="3" t="str">
        <f ca="1">CELL("contenu",INDIRECT(ADDRESS(ref!$K$7,ref!G4,1,,CELL("contenu",$AC$2))))</f>
        <v/>
      </c>
      <c r="U5" s="4" t="str">
        <f ca="1">CELL("contenu",INDIRECT(ADDRESS(ref!$K$7,ref!H4,1,,CELL("contenu",$AC$2))))</f>
        <v>A</v>
      </c>
      <c r="V5" s="28">
        <f ca="1">CELL("contenu",INDIRECT(ADDRESS(ref!$K$8,ref!E4,1,,CELL("contenu",$AC$2))))</f>
        <v>15.833333333333332</v>
      </c>
      <c r="W5" s="29" t="str">
        <f ca="1">CELL("contenu",INDIRECT(ADDRESS(ref!$K$8,ref!F4,1,,CELL("contenu",$AC$2))))</f>
        <v/>
      </c>
      <c r="X5" s="30" t="str">
        <f ca="1">CELL("contenu",INDIRECT(ADDRESS(ref!$K$8,ref!G4,1,,CELL("contenu",$AC$2))))</f>
        <v/>
      </c>
      <c r="Y5" s="6" t="str">
        <f ca="1">CELL("contenu",INDIRECT(ADDRESS(ref!$K$9,ref!H4,1,,CELL("contenu",$AC$2))))</f>
        <v/>
      </c>
      <c r="Z5" s="3" t="str">
        <f ca="1">CELL("contenu",INDIRECT(ADDRESS(ref!$K$10,ref!H4,1,,CELL("contenu",$AC$2))))</f>
        <v>C</v>
      </c>
      <c r="AA5" s="7" t="str">
        <f ca="1">CELL("contenu",INDIRECT(ADDRESS(ref!$K$11,ref!H4,1,,CELL("contenu",$AC$2))))</f>
        <v>B</v>
      </c>
    </row>
    <row r="6" spans="1:29" x14ac:dyDescent="0.25">
      <c r="A6" s="44" t="str">
        <f t="shared" ca="1" si="0"/>
        <v>BOUTET Lisa</v>
      </c>
      <c r="B6" s="1" t="str">
        <f ca="1">CELL("contenu",INDIRECT(ADDRESS(ref!$K$3,ref!E5,1,,CELL("contenu",$AC$2))))</f>
        <v/>
      </c>
      <c r="C6" s="2" t="str">
        <f ca="1">CELL("contenu",INDIRECT(ADDRESS(ref!$K$3,ref!F5,1,,CELL("contenu",$AC$2))))</f>
        <v/>
      </c>
      <c r="D6" s="3" t="str">
        <f ca="1">CELL("contenu",INDIRECT(ADDRESS(ref!$K$3,ref!G5,1,,CELL("contenu",$AC$2))))</f>
        <v/>
      </c>
      <c r="E6" s="4" t="str">
        <f ca="1">CELL("contenu",INDIRECT(ADDRESS(ref!$K$3,ref!H5,1,,CELL("contenu",$AC$2))))</f>
        <v/>
      </c>
      <c r="F6" s="5" t="str">
        <f ca="1">CELL("contenu",INDIRECT(ADDRESS(ref!$K$4,ref!E5,1,,CELL("contenu",$AC$2))))</f>
        <v>C</v>
      </c>
      <c r="G6" s="2" t="str">
        <f ca="1">CELL("contenu",INDIRECT(ADDRESS(ref!$K$4,ref!F5,1,,CELL("contenu",$AC$2))))</f>
        <v/>
      </c>
      <c r="H6" s="3" t="str">
        <f ca="1">CELL("contenu",INDIRECT(ADDRESS(ref!$K$4,ref!G5,1,,CELL("contenu",$AC$2))))</f>
        <v/>
      </c>
      <c r="I6" s="4" t="str">
        <f ca="1">CELL("contenu",INDIRECT(ADDRESS(ref!$K$4,ref!H5,1,,CELL("contenu",$AC$2))))</f>
        <v>C</v>
      </c>
      <c r="J6" s="5" t="str">
        <f ca="1">CELL("contenu",INDIRECT(ADDRESS(ref!$K$5,ref!E5,1,,CELL("contenu",$AC$2))))</f>
        <v>C</v>
      </c>
      <c r="K6" s="2" t="str">
        <f ca="1">CELL("contenu",INDIRECT(ADDRESS(ref!$K$5,ref!F5,1,,CELL("contenu",$AC$2))))</f>
        <v/>
      </c>
      <c r="L6" s="3" t="str">
        <f ca="1">CELL("contenu",INDIRECT(ADDRESS(ref!$K$5,ref!G5,1,,CELL("contenu",$AC$2))))</f>
        <v/>
      </c>
      <c r="M6" s="4" t="str">
        <f ca="1">CELL("contenu",INDIRECT(ADDRESS(ref!$K$5,ref!H5,1,,CELL("contenu",$AC$2))))</f>
        <v>C</v>
      </c>
      <c r="N6" s="5" t="str">
        <f ca="1">CELL("contenu",INDIRECT(ADDRESS(ref!$K$6,ref!E5,1,,CELL("contenu",$AC$2))))</f>
        <v>B</v>
      </c>
      <c r="O6" s="2" t="str">
        <f ca="1">CELL("contenu",INDIRECT(ADDRESS(ref!$K$6,ref!F5,1,,CELL("contenu",$AC$2))))</f>
        <v/>
      </c>
      <c r="P6" s="3" t="str">
        <f ca="1">CELL("contenu",INDIRECT(ADDRESS(ref!$K$6,ref!G5,1,,CELL("contenu",$AC$2))))</f>
        <v/>
      </c>
      <c r="Q6" s="4" t="str">
        <f ca="1">CELL("contenu",INDIRECT(ADDRESS(ref!$K$6,ref!H5,1,,CELL("contenu",$AC$2))))</f>
        <v>B</v>
      </c>
      <c r="R6" s="5" t="str">
        <f ca="1">CELL("contenu",INDIRECT(ADDRESS(ref!$K$7,ref!E5,1,,CELL("contenu",$AC$2))))</f>
        <v>A</v>
      </c>
      <c r="S6" s="2" t="str">
        <f ca="1">CELL("contenu",INDIRECT(ADDRESS(ref!$K$7,ref!F5,1,,CELL("contenu",$AC$2))))</f>
        <v/>
      </c>
      <c r="T6" s="3" t="str">
        <f ca="1">CELL("contenu",INDIRECT(ADDRESS(ref!$K$7,ref!G5,1,,CELL("contenu",$AC$2))))</f>
        <v/>
      </c>
      <c r="U6" s="4" t="str">
        <f ca="1">CELL("contenu",INDIRECT(ADDRESS(ref!$K$7,ref!H5,1,,CELL("contenu",$AC$2))))</f>
        <v>A</v>
      </c>
      <c r="V6" s="28">
        <f ca="1">CELL("contenu",INDIRECT(ADDRESS(ref!$K$8,ref!E5,1,,CELL("contenu",$AC$2))))</f>
        <v>13.333333333333334</v>
      </c>
      <c r="W6" s="29" t="str">
        <f ca="1">CELL("contenu",INDIRECT(ADDRESS(ref!$K$8,ref!F5,1,,CELL("contenu",$AC$2))))</f>
        <v/>
      </c>
      <c r="X6" s="30" t="str">
        <f ca="1">CELL("contenu",INDIRECT(ADDRESS(ref!$K$8,ref!G5,1,,CELL("contenu",$AC$2))))</f>
        <v/>
      </c>
      <c r="Y6" s="6" t="str">
        <f ca="1">CELL("contenu",INDIRECT(ADDRESS(ref!$K$9,ref!H5,1,,CELL("contenu",$AC$2))))</f>
        <v/>
      </c>
      <c r="Z6" s="3" t="str">
        <f ca="1">CELL("contenu",INDIRECT(ADDRESS(ref!$K$10,ref!H5,1,,CELL("contenu",$AC$2))))</f>
        <v>C</v>
      </c>
      <c r="AA6" s="7" t="str">
        <f ca="1">CELL("contenu",INDIRECT(ADDRESS(ref!$K$11,ref!H5,1,,CELL("contenu",$AC$2))))</f>
        <v>B</v>
      </c>
    </row>
    <row r="7" spans="1:29" x14ac:dyDescent="0.25">
      <c r="A7" s="44" t="str">
        <f t="shared" ca="1" si="0"/>
        <v>BOYER Clara</v>
      </c>
      <c r="B7" s="1" t="str">
        <f ca="1">CELL("contenu",INDIRECT(ADDRESS(ref!$K$3,ref!E6,1,,CELL("contenu",$AC$2))))</f>
        <v/>
      </c>
      <c r="C7" s="2" t="str">
        <f ca="1">CELL("contenu",INDIRECT(ADDRESS(ref!$K$3,ref!F6,1,,CELL("contenu",$AC$2))))</f>
        <v/>
      </c>
      <c r="D7" s="3" t="str">
        <f ca="1">CELL("contenu",INDIRECT(ADDRESS(ref!$K$3,ref!G6,1,,CELL("contenu",$AC$2))))</f>
        <v/>
      </c>
      <c r="E7" s="4" t="str">
        <f ca="1">CELL("contenu",INDIRECT(ADDRESS(ref!$K$3,ref!H6,1,,CELL("contenu",$AC$2))))</f>
        <v/>
      </c>
      <c r="F7" s="5" t="str">
        <f ca="1">CELL("contenu",INDIRECT(ADDRESS(ref!$K$4,ref!E6,1,,CELL("contenu",$AC$2))))</f>
        <v>A</v>
      </c>
      <c r="G7" s="2" t="str">
        <f ca="1">CELL("contenu",INDIRECT(ADDRESS(ref!$K$4,ref!F6,1,,CELL("contenu",$AC$2))))</f>
        <v/>
      </c>
      <c r="H7" s="3" t="str">
        <f ca="1">CELL("contenu",INDIRECT(ADDRESS(ref!$K$4,ref!G6,1,,CELL("contenu",$AC$2))))</f>
        <v/>
      </c>
      <c r="I7" s="4" t="str">
        <f ca="1">CELL("contenu",INDIRECT(ADDRESS(ref!$K$4,ref!H6,1,,CELL("contenu",$AC$2))))</f>
        <v>A</v>
      </c>
      <c r="J7" s="5" t="str">
        <f ca="1">CELL("contenu",INDIRECT(ADDRESS(ref!$K$5,ref!E6,1,,CELL("contenu",$AC$2))))</f>
        <v>B</v>
      </c>
      <c r="K7" s="2" t="str">
        <f ca="1">CELL("contenu",INDIRECT(ADDRESS(ref!$K$5,ref!F6,1,,CELL("contenu",$AC$2))))</f>
        <v/>
      </c>
      <c r="L7" s="3" t="str">
        <f ca="1">CELL("contenu",INDIRECT(ADDRESS(ref!$K$5,ref!G6,1,,CELL("contenu",$AC$2))))</f>
        <v/>
      </c>
      <c r="M7" s="4" t="str">
        <f ca="1">CELL("contenu",INDIRECT(ADDRESS(ref!$K$5,ref!H6,1,,CELL("contenu",$AC$2))))</f>
        <v>B</v>
      </c>
      <c r="N7" s="5" t="str">
        <f ca="1">CELL("contenu",INDIRECT(ADDRESS(ref!$K$6,ref!E6,1,,CELL("contenu",$AC$2))))</f>
        <v>C</v>
      </c>
      <c r="O7" s="2" t="str">
        <f ca="1">CELL("contenu",INDIRECT(ADDRESS(ref!$K$6,ref!F6,1,,CELL("contenu",$AC$2))))</f>
        <v/>
      </c>
      <c r="P7" s="3" t="str">
        <f ca="1">CELL("contenu",INDIRECT(ADDRESS(ref!$K$6,ref!G6,1,,CELL("contenu",$AC$2))))</f>
        <v/>
      </c>
      <c r="Q7" s="4" t="str">
        <f ca="1">CELL("contenu",INDIRECT(ADDRESS(ref!$K$6,ref!H6,1,,CELL("contenu",$AC$2))))</f>
        <v>C</v>
      </c>
      <c r="R7" s="5" t="str">
        <f ca="1">CELL("contenu",INDIRECT(ADDRESS(ref!$K$7,ref!E6,1,,CELL("contenu",$AC$2))))</f>
        <v>A</v>
      </c>
      <c r="S7" s="2" t="str">
        <f ca="1">CELL("contenu",INDIRECT(ADDRESS(ref!$K$7,ref!F6,1,,CELL("contenu",$AC$2))))</f>
        <v/>
      </c>
      <c r="T7" s="3" t="str">
        <f ca="1">CELL("contenu",INDIRECT(ADDRESS(ref!$K$7,ref!G6,1,,CELL("contenu",$AC$2))))</f>
        <v/>
      </c>
      <c r="U7" s="4" t="str">
        <f ca="1">CELL("contenu",INDIRECT(ADDRESS(ref!$K$7,ref!H6,1,,CELL("contenu",$AC$2))))</f>
        <v>A</v>
      </c>
      <c r="V7" s="28">
        <f ca="1">CELL("contenu",INDIRECT(ADDRESS(ref!$K$8,ref!E6,1,,CELL("contenu",$AC$2))))</f>
        <v>15.833333333333332</v>
      </c>
      <c r="W7" s="29" t="str">
        <f ca="1">CELL("contenu",INDIRECT(ADDRESS(ref!$K$8,ref!F6,1,,CELL("contenu",$AC$2))))</f>
        <v/>
      </c>
      <c r="X7" s="30" t="str">
        <f ca="1">CELL("contenu",INDIRECT(ADDRESS(ref!$K$8,ref!G6,1,,CELL("contenu",$AC$2))))</f>
        <v/>
      </c>
      <c r="Y7" s="6" t="str">
        <f ca="1">CELL("contenu",INDIRECT(ADDRESS(ref!$K$9,ref!H6,1,,CELL("contenu",$AC$2))))</f>
        <v/>
      </c>
      <c r="Z7" s="3" t="str">
        <f ca="1">CELL("contenu",INDIRECT(ADDRESS(ref!$K$10,ref!H6,1,,CELL("contenu",$AC$2))))</f>
        <v>B</v>
      </c>
      <c r="AA7" s="7" t="str">
        <f ca="1">CELL("contenu",INDIRECT(ADDRESS(ref!$K$11,ref!H6,1,,CELL("contenu",$AC$2))))</f>
        <v>C</v>
      </c>
    </row>
    <row r="8" spans="1:29" x14ac:dyDescent="0.25">
      <c r="A8" s="44" t="str">
        <f t="shared" ca="1" si="0"/>
        <v>BRIERE DE LA HOSSERAY Augustin</v>
      </c>
      <c r="B8" s="1" t="str">
        <f ca="1">CELL("contenu",INDIRECT(ADDRESS(ref!$K$3,ref!E7,1,,CELL("contenu",$AC$2))))</f>
        <v/>
      </c>
      <c r="C8" s="2" t="str">
        <f ca="1">CELL("contenu",INDIRECT(ADDRESS(ref!$K$3,ref!F7,1,,CELL("contenu",$AC$2))))</f>
        <v/>
      </c>
      <c r="D8" s="3" t="str">
        <f ca="1">CELL("contenu",INDIRECT(ADDRESS(ref!$K$3,ref!G7,1,,CELL("contenu",$AC$2))))</f>
        <v/>
      </c>
      <c r="E8" s="4" t="str">
        <f ca="1">CELL("contenu",INDIRECT(ADDRESS(ref!$K$3,ref!H7,1,,CELL("contenu",$AC$2))))</f>
        <v/>
      </c>
      <c r="F8" s="5" t="str">
        <f ca="1">CELL("contenu",INDIRECT(ADDRESS(ref!$K$4,ref!E7,1,,CELL("contenu",$AC$2))))</f>
        <v>A</v>
      </c>
      <c r="G8" s="2" t="str">
        <f ca="1">CELL("contenu",INDIRECT(ADDRESS(ref!$K$4,ref!F7,1,,CELL("contenu",$AC$2))))</f>
        <v/>
      </c>
      <c r="H8" s="3" t="str">
        <f ca="1">CELL("contenu",INDIRECT(ADDRESS(ref!$K$4,ref!G7,1,,CELL("contenu",$AC$2))))</f>
        <v/>
      </c>
      <c r="I8" s="4" t="str">
        <f ca="1">CELL("contenu",INDIRECT(ADDRESS(ref!$K$4,ref!H7,1,,CELL("contenu",$AC$2))))</f>
        <v>A</v>
      </c>
      <c r="J8" s="5" t="str">
        <f ca="1">CELL("contenu",INDIRECT(ADDRESS(ref!$K$5,ref!E7,1,,CELL("contenu",$AC$2))))</f>
        <v>B</v>
      </c>
      <c r="K8" s="2" t="str">
        <f ca="1">CELL("contenu",INDIRECT(ADDRESS(ref!$K$5,ref!F7,1,,CELL("contenu",$AC$2))))</f>
        <v/>
      </c>
      <c r="L8" s="3" t="str">
        <f ca="1">CELL("contenu",INDIRECT(ADDRESS(ref!$K$5,ref!G7,1,,CELL("contenu",$AC$2))))</f>
        <v/>
      </c>
      <c r="M8" s="4" t="str">
        <f ca="1">CELL("contenu",INDIRECT(ADDRESS(ref!$K$5,ref!H7,1,,CELL("contenu",$AC$2))))</f>
        <v>B</v>
      </c>
      <c r="N8" s="5" t="str">
        <f ca="1">CELL("contenu",INDIRECT(ADDRESS(ref!$K$6,ref!E7,1,,CELL("contenu",$AC$2))))</f>
        <v>B</v>
      </c>
      <c r="O8" s="2" t="str">
        <f ca="1">CELL("contenu",INDIRECT(ADDRESS(ref!$K$6,ref!F7,1,,CELL("contenu",$AC$2))))</f>
        <v/>
      </c>
      <c r="P8" s="3" t="str">
        <f ca="1">CELL("contenu",INDIRECT(ADDRESS(ref!$K$6,ref!G7,1,,CELL("contenu",$AC$2))))</f>
        <v/>
      </c>
      <c r="Q8" s="4" t="str">
        <f ca="1">CELL("contenu",INDIRECT(ADDRESS(ref!$K$6,ref!H7,1,,CELL("contenu",$AC$2))))</f>
        <v>B</v>
      </c>
      <c r="R8" s="5" t="str">
        <f ca="1">CELL("contenu",INDIRECT(ADDRESS(ref!$K$7,ref!E7,1,,CELL("contenu",$AC$2))))</f>
        <v>A</v>
      </c>
      <c r="S8" s="2" t="str">
        <f ca="1">CELL("contenu",INDIRECT(ADDRESS(ref!$K$7,ref!F7,1,,CELL("contenu",$AC$2))))</f>
        <v/>
      </c>
      <c r="T8" s="3" t="str">
        <f ca="1">CELL("contenu",INDIRECT(ADDRESS(ref!$K$7,ref!G7,1,,CELL("contenu",$AC$2))))</f>
        <v/>
      </c>
      <c r="U8" s="4" t="str">
        <f ca="1">CELL("contenu",INDIRECT(ADDRESS(ref!$K$7,ref!H7,1,,CELL("contenu",$AC$2))))</f>
        <v>A</v>
      </c>
      <c r="V8" s="28">
        <f ca="1">CELL("contenu",INDIRECT(ADDRESS(ref!$K$8,ref!E7,1,,CELL("contenu",$AC$2))))</f>
        <v>17.5</v>
      </c>
      <c r="W8" s="29" t="str">
        <f ca="1">CELL("contenu",INDIRECT(ADDRESS(ref!$K$8,ref!F7,1,,CELL("contenu",$AC$2))))</f>
        <v/>
      </c>
      <c r="X8" s="30" t="str">
        <f ca="1">CELL("contenu",INDIRECT(ADDRESS(ref!$K$8,ref!G7,1,,CELL("contenu",$AC$2))))</f>
        <v/>
      </c>
      <c r="Y8" s="6" t="str">
        <f ca="1">CELL("contenu",INDIRECT(ADDRESS(ref!$K$9,ref!H7,1,,CELL("contenu",$AC$2))))</f>
        <v/>
      </c>
      <c r="Z8" s="3" t="str">
        <f ca="1">CELL("contenu",INDIRECT(ADDRESS(ref!$K$10,ref!H7,1,,CELL("contenu",$AC$2))))</f>
        <v>B</v>
      </c>
      <c r="AA8" s="7" t="str">
        <f ca="1">CELL("contenu",INDIRECT(ADDRESS(ref!$K$11,ref!H7,1,,CELL("contenu",$AC$2))))</f>
        <v>B</v>
      </c>
    </row>
    <row r="9" spans="1:29" x14ac:dyDescent="0.25">
      <c r="A9" s="44" t="str">
        <f t="shared" ca="1" si="0"/>
        <v>CHADOUTAUD Come</v>
      </c>
      <c r="B9" s="1" t="str">
        <f ca="1">CELL("contenu",INDIRECT(ADDRESS(ref!$K$3,ref!E8,1,,CELL("contenu",$AC$2))))</f>
        <v/>
      </c>
      <c r="C9" s="2" t="str">
        <f ca="1">CELL("contenu",INDIRECT(ADDRESS(ref!$K$3,ref!F8,1,,CELL("contenu",$AC$2))))</f>
        <v/>
      </c>
      <c r="D9" s="3" t="str">
        <f ca="1">CELL("contenu",INDIRECT(ADDRESS(ref!$K$3,ref!G8,1,,CELL("contenu",$AC$2))))</f>
        <v/>
      </c>
      <c r="E9" s="4" t="str">
        <f ca="1">CELL("contenu",INDIRECT(ADDRESS(ref!$K$3,ref!H8,1,,CELL("contenu",$AC$2))))</f>
        <v/>
      </c>
      <c r="F9" s="5" t="str">
        <f ca="1">CELL("contenu",INDIRECT(ADDRESS(ref!$K$4,ref!E8,1,,CELL("contenu",$AC$2))))</f>
        <v>B</v>
      </c>
      <c r="G9" s="2" t="str">
        <f ca="1">CELL("contenu",INDIRECT(ADDRESS(ref!$K$4,ref!F8,1,,CELL("contenu",$AC$2))))</f>
        <v/>
      </c>
      <c r="H9" s="3" t="str">
        <f ca="1">CELL("contenu",INDIRECT(ADDRESS(ref!$K$4,ref!G8,1,,CELL("contenu",$AC$2))))</f>
        <v/>
      </c>
      <c r="I9" s="4" t="str">
        <f ca="1">CELL("contenu",INDIRECT(ADDRESS(ref!$K$4,ref!H8,1,,CELL("contenu",$AC$2))))</f>
        <v>B</v>
      </c>
      <c r="J9" s="5" t="str">
        <f ca="1">CELL("contenu",INDIRECT(ADDRESS(ref!$K$5,ref!E8,1,,CELL("contenu",$AC$2))))</f>
        <v>C</v>
      </c>
      <c r="K9" s="2" t="str">
        <f ca="1">CELL("contenu",INDIRECT(ADDRESS(ref!$K$5,ref!F8,1,,CELL("contenu",$AC$2))))</f>
        <v/>
      </c>
      <c r="L9" s="3" t="str">
        <f ca="1">CELL("contenu",INDIRECT(ADDRESS(ref!$K$5,ref!G8,1,,CELL("contenu",$AC$2))))</f>
        <v/>
      </c>
      <c r="M9" s="4" t="str">
        <f ca="1">CELL("contenu",INDIRECT(ADDRESS(ref!$K$5,ref!H8,1,,CELL("contenu",$AC$2))))</f>
        <v>C</v>
      </c>
      <c r="N9" s="5" t="str">
        <f ca="1">CELL("contenu",INDIRECT(ADDRESS(ref!$K$6,ref!E8,1,,CELL("contenu",$AC$2))))</f>
        <v>D</v>
      </c>
      <c r="O9" s="2" t="str">
        <f ca="1">CELL("contenu",INDIRECT(ADDRESS(ref!$K$6,ref!F8,1,,CELL("contenu",$AC$2))))</f>
        <v/>
      </c>
      <c r="P9" s="3" t="str">
        <f ca="1">CELL("contenu",INDIRECT(ADDRESS(ref!$K$6,ref!G8,1,,CELL("contenu",$AC$2))))</f>
        <v/>
      </c>
      <c r="Q9" s="4" t="str">
        <f ca="1">CELL("contenu",INDIRECT(ADDRESS(ref!$K$6,ref!H8,1,,CELL("contenu",$AC$2))))</f>
        <v>D</v>
      </c>
      <c r="R9" s="5" t="str">
        <f ca="1">CELL("contenu",INDIRECT(ADDRESS(ref!$K$7,ref!E8,1,,CELL("contenu",$AC$2))))</f>
        <v>A</v>
      </c>
      <c r="S9" s="2" t="str">
        <f ca="1">CELL("contenu",INDIRECT(ADDRESS(ref!$K$7,ref!F8,1,,CELL("contenu",$AC$2))))</f>
        <v/>
      </c>
      <c r="T9" s="3" t="str">
        <f ca="1">CELL("contenu",INDIRECT(ADDRESS(ref!$K$7,ref!G8,1,,CELL("contenu",$AC$2))))</f>
        <v/>
      </c>
      <c r="U9" s="4" t="str">
        <f ca="1">CELL("contenu",INDIRECT(ADDRESS(ref!$K$7,ref!H8,1,,CELL("contenu",$AC$2))))</f>
        <v>A</v>
      </c>
      <c r="V9" s="28">
        <f ca="1">CELL("contenu",INDIRECT(ADDRESS(ref!$K$8,ref!E8,1,,CELL("contenu",$AC$2))))</f>
        <v>11.666666666666668</v>
      </c>
      <c r="W9" s="29" t="str">
        <f ca="1">CELL("contenu",INDIRECT(ADDRESS(ref!$K$8,ref!F8,1,,CELL("contenu",$AC$2))))</f>
        <v/>
      </c>
      <c r="X9" s="30" t="str">
        <f ca="1">CELL("contenu",INDIRECT(ADDRESS(ref!$K$8,ref!G8,1,,CELL("contenu",$AC$2))))</f>
        <v/>
      </c>
      <c r="Y9" s="6" t="str">
        <f ca="1">CELL("contenu",INDIRECT(ADDRESS(ref!$K$9,ref!H8,1,,CELL("contenu",$AC$2))))</f>
        <v/>
      </c>
      <c r="Z9" s="3" t="str">
        <f ca="1">CELL("contenu",INDIRECT(ADDRESS(ref!$K$10,ref!H8,1,,CELL("contenu",$AC$2))))</f>
        <v>C</v>
      </c>
      <c r="AA9" s="7" t="str">
        <f ca="1">CELL("contenu",INDIRECT(ADDRESS(ref!$K$11,ref!H8,1,,CELL("contenu",$AC$2))))</f>
        <v>D</v>
      </c>
    </row>
    <row r="10" spans="1:29" x14ac:dyDescent="0.25">
      <c r="A10" s="44" t="str">
        <f t="shared" ca="1" si="0"/>
        <v>CHARRIER Clotilde</v>
      </c>
      <c r="B10" s="1" t="str">
        <f ca="1">CELL("contenu",INDIRECT(ADDRESS(ref!$K$3,ref!E9,1,,CELL("contenu",$AC$2))))</f>
        <v/>
      </c>
      <c r="C10" s="2" t="str">
        <f ca="1">CELL("contenu",INDIRECT(ADDRESS(ref!$K$3,ref!F9,1,,CELL("contenu",$AC$2))))</f>
        <v/>
      </c>
      <c r="D10" s="3" t="str">
        <f ca="1">CELL("contenu",INDIRECT(ADDRESS(ref!$K$3,ref!G9,1,,CELL("contenu",$AC$2))))</f>
        <v/>
      </c>
      <c r="E10" s="4" t="str">
        <f ca="1">CELL("contenu",INDIRECT(ADDRESS(ref!$K$3,ref!H9,1,,CELL("contenu",$AC$2))))</f>
        <v/>
      </c>
      <c r="F10" s="5" t="str">
        <f ca="1">CELL("contenu",INDIRECT(ADDRESS(ref!$K$4,ref!E9,1,,CELL("contenu",$AC$2))))</f>
        <v>A</v>
      </c>
      <c r="G10" s="2" t="str">
        <f ca="1">CELL("contenu",INDIRECT(ADDRESS(ref!$K$4,ref!F9,1,,CELL("contenu",$AC$2))))</f>
        <v/>
      </c>
      <c r="H10" s="3" t="str">
        <f ca="1">CELL("contenu",INDIRECT(ADDRESS(ref!$K$4,ref!G9,1,,CELL("contenu",$AC$2))))</f>
        <v/>
      </c>
      <c r="I10" s="4" t="str">
        <f ca="1">CELL("contenu",INDIRECT(ADDRESS(ref!$K$4,ref!H9,1,,CELL("contenu",$AC$2))))</f>
        <v>A</v>
      </c>
      <c r="J10" s="5" t="str">
        <f ca="1">CELL("contenu",INDIRECT(ADDRESS(ref!$K$5,ref!E9,1,,CELL("contenu",$AC$2))))</f>
        <v>A</v>
      </c>
      <c r="K10" s="2" t="str">
        <f ca="1">CELL("contenu",INDIRECT(ADDRESS(ref!$K$5,ref!F9,1,,CELL("contenu",$AC$2))))</f>
        <v/>
      </c>
      <c r="L10" s="3" t="str">
        <f ca="1">CELL("contenu",INDIRECT(ADDRESS(ref!$K$5,ref!G9,1,,CELL("contenu",$AC$2))))</f>
        <v/>
      </c>
      <c r="M10" s="4" t="str">
        <f ca="1">CELL("contenu",INDIRECT(ADDRESS(ref!$K$5,ref!H9,1,,CELL("contenu",$AC$2))))</f>
        <v>A</v>
      </c>
      <c r="N10" s="5" t="str">
        <f ca="1">CELL("contenu",INDIRECT(ADDRESS(ref!$K$6,ref!E9,1,,CELL("contenu",$AC$2))))</f>
        <v>B</v>
      </c>
      <c r="O10" s="2" t="str">
        <f ca="1">CELL("contenu",INDIRECT(ADDRESS(ref!$K$6,ref!F9,1,,CELL("contenu",$AC$2))))</f>
        <v/>
      </c>
      <c r="P10" s="3" t="str">
        <f ca="1">CELL("contenu",INDIRECT(ADDRESS(ref!$K$6,ref!G9,1,,CELL("contenu",$AC$2))))</f>
        <v/>
      </c>
      <c r="Q10" s="4" t="str">
        <f ca="1">CELL("contenu",INDIRECT(ADDRESS(ref!$K$6,ref!H9,1,,CELL("contenu",$AC$2))))</f>
        <v>B</v>
      </c>
      <c r="R10" s="5" t="str">
        <f ca="1">CELL("contenu",INDIRECT(ADDRESS(ref!$K$7,ref!E9,1,,CELL("contenu",$AC$2))))</f>
        <v>A</v>
      </c>
      <c r="S10" s="2" t="str">
        <f ca="1">CELL("contenu",INDIRECT(ADDRESS(ref!$K$7,ref!F9,1,,CELL("contenu",$AC$2))))</f>
        <v/>
      </c>
      <c r="T10" s="3" t="str">
        <f ca="1">CELL("contenu",INDIRECT(ADDRESS(ref!$K$7,ref!G9,1,,CELL("contenu",$AC$2))))</f>
        <v/>
      </c>
      <c r="U10" s="4" t="str">
        <f ca="1">CELL("contenu",INDIRECT(ADDRESS(ref!$K$7,ref!H9,1,,CELL("contenu",$AC$2))))</f>
        <v>A</v>
      </c>
      <c r="V10" s="28">
        <f ca="1">CELL("contenu",INDIRECT(ADDRESS(ref!$K$8,ref!E9,1,,CELL("contenu",$AC$2))))</f>
        <v>18.333333333333336</v>
      </c>
      <c r="W10" s="29" t="str">
        <f ca="1">CELL("contenu",INDIRECT(ADDRESS(ref!$K$8,ref!F9,1,,CELL("contenu",$AC$2))))</f>
        <v/>
      </c>
      <c r="X10" s="30" t="str">
        <f ca="1">CELL("contenu",INDIRECT(ADDRESS(ref!$K$8,ref!G9,1,,CELL("contenu",$AC$2))))</f>
        <v/>
      </c>
      <c r="Y10" s="6" t="str">
        <f ca="1">CELL("contenu",INDIRECT(ADDRESS(ref!$K$9,ref!H9,1,,CELL("contenu",$AC$2))))</f>
        <v/>
      </c>
      <c r="Z10" s="3" t="str">
        <f ca="1">CELL("contenu",INDIRECT(ADDRESS(ref!$K$10,ref!H9,1,,CELL("contenu",$AC$2))))</f>
        <v>A</v>
      </c>
      <c r="AA10" s="7" t="str">
        <f ca="1">CELL("contenu",INDIRECT(ADDRESS(ref!$K$11,ref!H9,1,,CELL("contenu",$AC$2))))</f>
        <v>B</v>
      </c>
    </row>
    <row r="11" spans="1:29" x14ac:dyDescent="0.25">
      <c r="A11" s="44" t="str">
        <f t="shared" ca="1" si="0"/>
        <v>DUCHENE Aliénor</v>
      </c>
      <c r="B11" s="1" t="str">
        <f ca="1">CELL("contenu",INDIRECT(ADDRESS(ref!$K$3,ref!E10,1,,CELL("contenu",$AC$2))))</f>
        <v/>
      </c>
      <c r="C11" s="2" t="str">
        <f ca="1">CELL("contenu",INDIRECT(ADDRESS(ref!$K$3,ref!F10,1,,CELL("contenu",$AC$2))))</f>
        <v/>
      </c>
      <c r="D11" s="3" t="str">
        <f ca="1">CELL("contenu",INDIRECT(ADDRESS(ref!$K$3,ref!G10,1,,CELL("contenu",$AC$2))))</f>
        <v/>
      </c>
      <c r="E11" s="4" t="str">
        <f ca="1">CELL("contenu",INDIRECT(ADDRESS(ref!$K$3,ref!H10,1,,CELL("contenu",$AC$2))))</f>
        <v/>
      </c>
      <c r="F11" s="5" t="str">
        <f ca="1">CELL("contenu",INDIRECT(ADDRESS(ref!$K$4,ref!E10,1,,CELL("contenu",$AC$2))))</f>
        <v>B</v>
      </c>
      <c r="G11" s="2" t="str">
        <f ca="1">CELL("contenu",INDIRECT(ADDRESS(ref!$K$4,ref!F10,1,,CELL("contenu",$AC$2))))</f>
        <v/>
      </c>
      <c r="H11" s="3" t="str">
        <f ca="1">CELL("contenu",INDIRECT(ADDRESS(ref!$K$4,ref!G10,1,,CELL("contenu",$AC$2))))</f>
        <v/>
      </c>
      <c r="I11" s="4" t="str">
        <f ca="1">CELL("contenu",INDIRECT(ADDRESS(ref!$K$4,ref!H10,1,,CELL("contenu",$AC$2))))</f>
        <v>B</v>
      </c>
      <c r="J11" s="5" t="str">
        <f ca="1">CELL("contenu",INDIRECT(ADDRESS(ref!$K$5,ref!E10,1,,CELL("contenu",$AC$2))))</f>
        <v>B</v>
      </c>
      <c r="K11" s="2" t="str">
        <f ca="1">CELL("contenu",INDIRECT(ADDRESS(ref!$K$5,ref!F10,1,,CELL("contenu",$AC$2))))</f>
        <v/>
      </c>
      <c r="L11" s="3" t="str">
        <f ca="1">CELL("contenu",INDIRECT(ADDRESS(ref!$K$5,ref!G10,1,,CELL("contenu",$AC$2))))</f>
        <v/>
      </c>
      <c r="M11" s="4" t="str">
        <f ca="1">CELL("contenu",INDIRECT(ADDRESS(ref!$K$5,ref!H10,1,,CELL("contenu",$AC$2))))</f>
        <v>B</v>
      </c>
      <c r="N11" s="5" t="str">
        <f ca="1">CELL("contenu",INDIRECT(ADDRESS(ref!$K$6,ref!E10,1,,CELL("contenu",$AC$2))))</f>
        <v>C</v>
      </c>
      <c r="O11" s="2" t="str">
        <f ca="1">CELL("contenu",INDIRECT(ADDRESS(ref!$K$6,ref!F10,1,,CELL("contenu",$AC$2))))</f>
        <v/>
      </c>
      <c r="P11" s="3" t="str">
        <f ca="1">CELL("contenu",INDIRECT(ADDRESS(ref!$K$6,ref!G10,1,,CELL("contenu",$AC$2))))</f>
        <v/>
      </c>
      <c r="Q11" s="4" t="str">
        <f ca="1">CELL("contenu",INDIRECT(ADDRESS(ref!$K$6,ref!H10,1,,CELL("contenu",$AC$2))))</f>
        <v>C</v>
      </c>
      <c r="R11" s="5" t="str">
        <f ca="1">CELL("contenu",INDIRECT(ADDRESS(ref!$K$7,ref!E10,1,,CELL("contenu",$AC$2))))</f>
        <v>A</v>
      </c>
      <c r="S11" s="2" t="str">
        <f ca="1">CELL("contenu",INDIRECT(ADDRESS(ref!$K$7,ref!F10,1,,CELL("contenu",$AC$2))))</f>
        <v/>
      </c>
      <c r="T11" s="3" t="str">
        <f ca="1">CELL("contenu",INDIRECT(ADDRESS(ref!$K$7,ref!G10,1,,CELL("contenu",$AC$2))))</f>
        <v/>
      </c>
      <c r="U11" s="4" t="str">
        <f ca="1">CELL("contenu",INDIRECT(ADDRESS(ref!$K$7,ref!H10,1,,CELL("contenu",$AC$2))))</f>
        <v>A</v>
      </c>
      <c r="V11" s="28">
        <f ca="1">CELL("contenu",INDIRECT(ADDRESS(ref!$K$8,ref!E10,1,,CELL("contenu",$AC$2))))</f>
        <v>15</v>
      </c>
      <c r="W11" s="29" t="str">
        <f ca="1">CELL("contenu",INDIRECT(ADDRESS(ref!$K$8,ref!F10,1,,CELL("contenu",$AC$2))))</f>
        <v/>
      </c>
      <c r="X11" s="30" t="str">
        <f ca="1">CELL("contenu",INDIRECT(ADDRESS(ref!$K$8,ref!G10,1,,CELL("contenu",$AC$2))))</f>
        <v/>
      </c>
      <c r="Y11" s="6" t="str">
        <f ca="1">CELL("contenu",INDIRECT(ADDRESS(ref!$K$9,ref!H10,1,,CELL("contenu",$AC$2))))</f>
        <v/>
      </c>
      <c r="Z11" s="3" t="str">
        <f ca="1">CELL("contenu",INDIRECT(ADDRESS(ref!$K$10,ref!H10,1,,CELL("contenu",$AC$2))))</f>
        <v>B</v>
      </c>
      <c r="AA11" s="7" t="str">
        <f ca="1">CELL("contenu",INDIRECT(ADDRESS(ref!$K$11,ref!H10,1,,CELL("contenu",$AC$2))))</f>
        <v>C</v>
      </c>
    </row>
    <row r="12" spans="1:29" x14ac:dyDescent="0.25">
      <c r="A12" s="44" t="str">
        <f t="shared" ca="1" si="0"/>
        <v>DUVIVIER Annonciade</v>
      </c>
      <c r="B12" s="1" t="str">
        <f ca="1">CELL("contenu",INDIRECT(ADDRESS(ref!$K$3,ref!E11,1,,CELL("contenu",$AC$2))))</f>
        <v/>
      </c>
      <c r="C12" s="2" t="str">
        <f ca="1">CELL("contenu",INDIRECT(ADDRESS(ref!$K$3,ref!F11,1,,CELL("contenu",$AC$2))))</f>
        <v/>
      </c>
      <c r="D12" s="3" t="str">
        <f ca="1">CELL("contenu",INDIRECT(ADDRESS(ref!$K$3,ref!G11,1,,CELL("contenu",$AC$2))))</f>
        <v/>
      </c>
      <c r="E12" s="4" t="str">
        <f ca="1">CELL("contenu",INDIRECT(ADDRESS(ref!$K$3,ref!H11,1,,CELL("contenu",$AC$2))))</f>
        <v/>
      </c>
      <c r="F12" s="5" t="str">
        <f ca="1">CELL("contenu",INDIRECT(ADDRESS(ref!$K$4,ref!E11,1,,CELL("contenu",$AC$2))))</f>
        <v>D</v>
      </c>
      <c r="G12" s="2" t="str">
        <f ca="1">CELL("contenu",INDIRECT(ADDRESS(ref!$K$4,ref!F11,1,,CELL("contenu",$AC$2))))</f>
        <v/>
      </c>
      <c r="H12" s="3" t="str">
        <f ca="1">CELL("contenu",INDIRECT(ADDRESS(ref!$K$4,ref!G11,1,,CELL("contenu",$AC$2))))</f>
        <v/>
      </c>
      <c r="I12" s="4" t="str">
        <f ca="1">CELL("contenu",INDIRECT(ADDRESS(ref!$K$4,ref!H11,1,,CELL("contenu",$AC$2))))</f>
        <v>D</v>
      </c>
      <c r="J12" s="5" t="str">
        <f ca="1">CELL("contenu",INDIRECT(ADDRESS(ref!$K$5,ref!E11,1,,CELL("contenu",$AC$2))))</f>
        <v>C</v>
      </c>
      <c r="K12" s="2" t="str">
        <f ca="1">CELL("contenu",INDIRECT(ADDRESS(ref!$K$5,ref!F11,1,,CELL("contenu",$AC$2))))</f>
        <v/>
      </c>
      <c r="L12" s="3" t="str">
        <f ca="1">CELL("contenu",INDIRECT(ADDRESS(ref!$K$5,ref!G11,1,,CELL("contenu",$AC$2))))</f>
        <v/>
      </c>
      <c r="M12" s="4" t="str">
        <f ca="1">CELL("contenu",INDIRECT(ADDRESS(ref!$K$5,ref!H11,1,,CELL("contenu",$AC$2))))</f>
        <v>C</v>
      </c>
      <c r="N12" s="5" t="str">
        <f ca="1">CELL("contenu",INDIRECT(ADDRESS(ref!$K$6,ref!E11,1,,CELL("contenu",$AC$2))))</f>
        <v>C</v>
      </c>
      <c r="O12" s="2" t="str">
        <f ca="1">CELL("contenu",INDIRECT(ADDRESS(ref!$K$6,ref!F11,1,,CELL("contenu",$AC$2))))</f>
        <v/>
      </c>
      <c r="P12" s="3" t="str">
        <f ca="1">CELL("contenu",INDIRECT(ADDRESS(ref!$K$6,ref!G11,1,,CELL("contenu",$AC$2))))</f>
        <v/>
      </c>
      <c r="Q12" s="4" t="str">
        <f ca="1">CELL("contenu",INDIRECT(ADDRESS(ref!$K$6,ref!H11,1,,CELL("contenu",$AC$2))))</f>
        <v>C</v>
      </c>
      <c r="R12" s="5" t="str">
        <f ca="1">CELL("contenu",INDIRECT(ADDRESS(ref!$K$7,ref!E11,1,,CELL("contenu",$AC$2))))</f>
        <v>A</v>
      </c>
      <c r="S12" s="2" t="str">
        <f ca="1">CELL("contenu",INDIRECT(ADDRESS(ref!$K$7,ref!F11,1,,CELL("contenu",$AC$2))))</f>
        <v/>
      </c>
      <c r="T12" s="3" t="str">
        <f ca="1">CELL("contenu",INDIRECT(ADDRESS(ref!$K$7,ref!G11,1,,CELL("contenu",$AC$2))))</f>
        <v/>
      </c>
      <c r="U12" s="4" t="str">
        <f ca="1">CELL("contenu",INDIRECT(ADDRESS(ref!$K$7,ref!H11,1,,CELL("contenu",$AC$2))))</f>
        <v>A</v>
      </c>
      <c r="V12" s="28">
        <f ca="1">CELL("contenu",INDIRECT(ADDRESS(ref!$K$8,ref!E11,1,,CELL("contenu",$AC$2))))</f>
        <v>10.833333333333332</v>
      </c>
      <c r="W12" s="29" t="str">
        <f ca="1">CELL("contenu",INDIRECT(ADDRESS(ref!$K$8,ref!F11,1,,CELL("contenu",$AC$2))))</f>
        <v/>
      </c>
      <c r="X12" s="30" t="str">
        <f ca="1">CELL("contenu",INDIRECT(ADDRESS(ref!$K$8,ref!G11,1,,CELL("contenu",$AC$2))))</f>
        <v/>
      </c>
      <c r="Y12" s="6" t="str">
        <f ca="1">CELL("contenu",INDIRECT(ADDRESS(ref!$K$9,ref!H11,1,,CELL("contenu",$AC$2))))</f>
        <v/>
      </c>
      <c r="Z12" s="3" t="str">
        <f ca="1">CELL("contenu",INDIRECT(ADDRESS(ref!$K$10,ref!H11,1,,CELL("contenu",$AC$2))))</f>
        <v>C</v>
      </c>
      <c r="AA12" s="7" t="str">
        <f ca="1">CELL("contenu",INDIRECT(ADDRESS(ref!$K$11,ref!H11,1,,CELL("contenu",$AC$2))))</f>
        <v>C</v>
      </c>
    </row>
    <row r="13" spans="1:29" x14ac:dyDescent="0.25">
      <c r="A13" s="44" t="str">
        <f t="shared" ca="1" si="0"/>
        <v>GANCI Paola</v>
      </c>
      <c r="B13" s="1" t="str">
        <f ca="1">CELL("contenu",INDIRECT(ADDRESS(ref!$K$3,ref!E12,1,,CELL("contenu",$AC$2))))</f>
        <v/>
      </c>
      <c r="C13" s="2" t="str">
        <f ca="1">CELL("contenu",INDIRECT(ADDRESS(ref!$K$3,ref!F12,1,,CELL("contenu",$AC$2))))</f>
        <v/>
      </c>
      <c r="D13" s="3" t="str">
        <f ca="1">CELL("contenu",INDIRECT(ADDRESS(ref!$K$3,ref!G12,1,,CELL("contenu",$AC$2))))</f>
        <v/>
      </c>
      <c r="E13" s="4" t="str">
        <f ca="1">CELL("contenu",INDIRECT(ADDRESS(ref!$K$3,ref!H12,1,,CELL("contenu",$AC$2))))</f>
        <v/>
      </c>
      <c r="F13" s="5" t="str">
        <f ca="1">CELL("contenu",INDIRECT(ADDRESS(ref!$K$4,ref!E12,1,,CELL("contenu",$AC$2))))</f>
        <v>B</v>
      </c>
      <c r="G13" s="2" t="str">
        <f ca="1">CELL("contenu",INDIRECT(ADDRESS(ref!$K$4,ref!F12,1,,CELL("contenu",$AC$2))))</f>
        <v/>
      </c>
      <c r="H13" s="3" t="str">
        <f ca="1">CELL("contenu",INDIRECT(ADDRESS(ref!$K$4,ref!G12,1,,CELL("contenu",$AC$2))))</f>
        <v/>
      </c>
      <c r="I13" s="4" t="str">
        <f ca="1">CELL("contenu",INDIRECT(ADDRESS(ref!$K$4,ref!H12,1,,CELL("contenu",$AC$2))))</f>
        <v>B</v>
      </c>
      <c r="J13" s="5" t="str">
        <f ca="1">CELL("contenu",INDIRECT(ADDRESS(ref!$K$5,ref!E12,1,,CELL("contenu",$AC$2))))</f>
        <v>B</v>
      </c>
      <c r="K13" s="2" t="str">
        <f ca="1">CELL("contenu",INDIRECT(ADDRESS(ref!$K$5,ref!F12,1,,CELL("contenu",$AC$2))))</f>
        <v/>
      </c>
      <c r="L13" s="3" t="str">
        <f ca="1">CELL("contenu",INDIRECT(ADDRESS(ref!$K$5,ref!G12,1,,CELL("contenu",$AC$2))))</f>
        <v/>
      </c>
      <c r="M13" s="4" t="str">
        <f ca="1">CELL("contenu",INDIRECT(ADDRESS(ref!$K$5,ref!H12,1,,CELL("contenu",$AC$2))))</f>
        <v>B</v>
      </c>
      <c r="N13" s="5" t="str">
        <f ca="1">CELL("contenu",INDIRECT(ADDRESS(ref!$K$6,ref!E12,1,,CELL("contenu",$AC$2))))</f>
        <v>B</v>
      </c>
      <c r="O13" s="2" t="str">
        <f ca="1">CELL("contenu",INDIRECT(ADDRESS(ref!$K$6,ref!F12,1,,CELL("contenu",$AC$2))))</f>
        <v/>
      </c>
      <c r="P13" s="3" t="str">
        <f ca="1">CELL("contenu",INDIRECT(ADDRESS(ref!$K$6,ref!G12,1,,CELL("contenu",$AC$2))))</f>
        <v/>
      </c>
      <c r="Q13" s="4" t="str">
        <f ca="1">CELL("contenu",INDIRECT(ADDRESS(ref!$K$6,ref!H12,1,,CELL("contenu",$AC$2))))</f>
        <v>B</v>
      </c>
      <c r="R13" s="5" t="str">
        <f ca="1">CELL("contenu",INDIRECT(ADDRESS(ref!$K$7,ref!E12,1,,CELL("contenu",$AC$2))))</f>
        <v>A</v>
      </c>
      <c r="S13" s="2" t="str">
        <f ca="1">CELL("contenu",INDIRECT(ADDRESS(ref!$K$7,ref!F12,1,,CELL("contenu",$AC$2))))</f>
        <v/>
      </c>
      <c r="T13" s="3" t="str">
        <f ca="1">CELL("contenu",INDIRECT(ADDRESS(ref!$K$7,ref!G12,1,,CELL("contenu",$AC$2))))</f>
        <v/>
      </c>
      <c r="U13" s="4" t="str">
        <f ca="1">CELL("contenu",INDIRECT(ADDRESS(ref!$K$7,ref!H12,1,,CELL("contenu",$AC$2))))</f>
        <v>A</v>
      </c>
      <c r="V13" s="28">
        <f ca="1">CELL("contenu",INDIRECT(ADDRESS(ref!$K$8,ref!E12,1,,CELL("contenu",$AC$2))))</f>
        <v>16.666666666666664</v>
      </c>
      <c r="W13" s="29" t="str">
        <f ca="1">CELL("contenu",INDIRECT(ADDRESS(ref!$K$8,ref!F12,1,,CELL("contenu",$AC$2))))</f>
        <v/>
      </c>
      <c r="X13" s="30" t="str">
        <f ca="1">CELL("contenu",INDIRECT(ADDRESS(ref!$K$8,ref!G12,1,,CELL("contenu",$AC$2))))</f>
        <v/>
      </c>
      <c r="Y13" s="6" t="str">
        <f ca="1">CELL("contenu",INDIRECT(ADDRESS(ref!$K$9,ref!H12,1,,CELL("contenu",$AC$2))))</f>
        <v/>
      </c>
      <c r="Z13" s="3" t="str">
        <f ca="1">CELL("contenu",INDIRECT(ADDRESS(ref!$K$10,ref!H12,1,,CELL("contenu",$AC$2))))</f>
        <v>B</v>
      </c>
      <c r="AA13" s="7" t="str">
        <f ca="1">CELL("contenu",INDIRECT(ADDRESS(ref!$K$11,ref!H12,1,,CELL("contenu",$AC$2))))</f>
        <v>B</v>
      </c>
    </row>
    <row r="14" spans="1:29" x14ac:dyDescent="0.25">
      <c r="A14" s="44" t="str">
        <f t="shared" ca="1" si="0"/>
        <v>GODON Jean</v>
      </c>
      <c r="B14" s="1" t="str">
        <f ca="1">CELL("contenu",INDIRECT(ADDRESS(ref!$K$3,ref!E13,1,,CELL("contenu",$AC$2))))</f>
        <v/>
      </c>
      <c r="C14" s="2" t="str">
        <f ca="1">CELL("contenu",INDIRECT(ADDRESS(ref!$K$3,ref!F13,1,,CELL("contenu",$AC$2))))</f>
        <v/>
      </c>
      <c r="D14" s="3" t="str">
        <f ca="1">CELL("contenu",INDIRECT(ADDRESS(ref!$K$3,ref!G13,1,,CELL("contenu",$AC$2))))</f>
        <v/>
      </c>
      <c r="E14" s="4" t="str">
        <f ca="1">CELL("contenu",INDIRECT(ADDRESS(ref!$K$3,ref!H13,1,,CELL("contenu",$AC$2))))</f>
        <v/>
      </c>
      <c r="F14" s="5" t="str">
        <f ca="1">CELL("contenu",INDIRECT(ADDRESS(ref!$K$4,ref!E13,1,,CELL("contenu",$AC$2))))</f>
        <v>A</v>
      </c>
      <c r="G14" s="2" t="str">
        <f ca="1">CELL("contenu",INDIRECT(ADDRESS(ref!$K$4,ref!F13,1,,CELL("contenu",$AC$2))))</f>
        <v/>
      </c>
      <c r="H14" s="3" t="str">
        <f ca="1">CELL("contenu",INDIRECT(ADDRESS(ref!$K$4,ref!G13,1,,CELL("contenu",$AC$2))))</f>
        <v/>
      </c>
      <c r="I14" s="4" t="str">
        <f ca="1">CELL("contenu",INDIRECT(ADDRESS(ref!$K$4,ref!H13,1,,CELL("contenu",$AC$2))))</f>
        <v>A</v>
      </c>
      <c r="J14" s="5" t="str">
        <f ca="1">CELL("contenu",INDIRECT(ADDRESS(ref!$K$5,ref!E13,1,,CELL("contenu",$AC$2))))</f>
        <v>B</v>
      </c>
      <c r="K14" s="2" t="str">
        <f ca="1">CELL("contenu",INDIRECT(ADDRESS(ref!$K$5,ref!F13,1,,CELL("contenu",$AC$2))))</f>
        <v/>
      </c>
      <c r="L14" s="3" t="str">
        <f ca="1">CELL("contenu",INDIRECT(ADDRESS(ref!$K$5,ref!G13,1,,CELL("contenu",$AC$2))))</f>
        <v/>
      </c>
      <c r="M14" s="4" t="str">
        <f ca="1">CELL("contenu",INDIRECT(ADDRESS(ref!$K$5,ref!H13,1,,CELL("contenu",$AC$2))))</f>
        <v>B</v>
      </c>
      <c r="N14" s="5" t="str">
        <f ca="1">CELL("contenu",INDIRECT(ADDRESS(ref!$K$6,ref!E13,1,,CELL("contenu",$AC$2))))</f>
        <v>B</v>
      </c>
      <c r="O14" s="2" t="str">
        <f ca="1">CELL("contenu",INDIRECT(ADDRESS(ref!$K$6,ref!F13,1,,CELL("contenu",$AC$2))))</f>
        <v/>
      </c>
      <c r="P14" s="3" t="str">
        <f ca="1">CELL("contenu",INDIRECT(ADDRESS(ref!$K$6,ref!G13,1,,CELL("contenu",$AC$2))))</f>
        <v/>
      </c>
      <c r="Q14" s="4" t="str">
        <f ca="1">CELL("contenu",INDIRECT(ADDRESS(ref!$K$6,ref!H13,1,,CELL("contenu",$AC$2))))</f>
        <v>B</v>
      </c>
      <c r="R14" s="5" t="str">
        <f ca="1">CELL("contenu",INDIRECT(ADDRESS(ref!$K$7,ref!E13,1,,CELL("contenu",$AC$2))))</f>
        <v>A</v>
      </c>
      <c r="S14" s="2" t="str">
        <f ca="1">CELL("contenu",INDIRECT(ADDRESS(ref!$K$7,ref!F13,1,,CELL("contenu",$AC$2))))</f>
        <v/>
      </c>
      <c r="T14" s="3" t="str">
        <f ca="1">CELL("contenu",INDIRECT(ADDRESS(ref!$K$7,ref!G13,1,,CELL("contenu",$AC$2))))</f>
        <v/>
      </c>
      <c r="U14" s="4" t="str">
        <f ca="1">CELL("contenu",INDIRECT(ADDRESS(ref!$K$7,ref!H13,1,,CELL("contenu",$AC$2))))</f>
        <v>A</v>
      </c>
      <c r="V14" s="28">
        <f ca="1">CELL("contenu",INDIRECT(ADDRESS(ref!$K$8,ref!E13,1,,CELL("contenu",$AC$2))))</f>
        <v>17.5</v>
      </c>
      <c r="W14" s="29" t="str">
        <f ca="1">CELL("contenu",INDIRECT(ADDRESS(ref!$K$8,ref!F13,1,,CELL("contenu",$AC$2))))</f>
        <v/>
      </c>
      <c r="X14" s="30" t="str">
        <f ca="1">CELL("contenu",INDIRECT(ADDRESS(ref!$K$8,ref!G13,1,,CELL("contenu",$AC$2))))</f>
        <v/>
      </c>
      <c r="Y14" s="6" t="str">
        <f ca="1">CELL("contenu",INDIRECT(ADDRESS(ref!$K$9,ref!H13,1,,CELL("contenu",$AC$2))))</f>
        <v/>
      </c>
      <c r="Z14" s="3" t="str">
        <f ca="1">CELL("contenu",INDIRECT(ADDRESS(ref!$K$10,ref!H13,1,,CELL("contenu",$AC$2))))</f>
        <v>B</v>
      </c>
      <c r="AA14" s="7" t="str">
        <f ca="1">CELL("contenu",INDIRECT(ADDRESS(ref!$K$11,ref!H13,1,,CELL("contenu",$AC$2))))</f>
        <v>B</v>
      </c>
    </row>
    <row r="15" spans="1:29" x14ac:dyDescent="0.25">
      <c r="A15" s="44" t="str">
        <f t="shared" ca="1" si="0"/>
        <v>HADAD Nadir</v>
      </c>
      <c r="B15" s="1" t="str">
        <f ca="1">CELL("contenu",INDIRECT(ADDRESS(ref!$K$3,ref!E14,1,,CELL("contenu",$AC$2))))</f>
        <v/>
      </c>
      <c r="C15" s="2" t="str">
        <f ca="1">CELL("contenu",INDIRECT(ADDRESS(ref!$K$3,ref!F14,1,,CELL("contenu",$AC$2))))</f>
        <v/>
      </c>
      <c r="D15" s="3" t="str">
        <f ca="1">CELL("contenu",INDIRECT(ADDRESS(ref!$K$3,ref!G14,1,,CELL("contenu",$AC$2))))</f>
        <v/>
      </c>
      <c r="E15" s="4" t="str">
        <f ca="1">CELL("contenu",INDIRECT(ADDRESS(ref!$K$3,ref!H14,1,,CELL("contenu",$AC$2))))</f>
        <v/>
      </c>
      <c r="F15" s="5" t="str">
        <f ca="1">CELL("contenu",INDIRECT(ADDRESS(ref!$K$4,ref!E14,1,,CELL("contenu",$AC$2))))</f>
        <v>C</v>
      </c>
      <c r="G15" s="2" t="str">
        <f ca="1">CELL("contenu",INDIRECT(ADDRESS(ref!$K$4,ref!F14,1,,CELL("contenu",$AC$2))))</f>
        <v/>
      </c>
      <c r="H15" s="3" t="str">
        <f ca="1">CELL("contenu",INDIRECT(ADDRESS(ref!$K$4,ref!G14,1,,CELL("contenu",$AC$2))))</f>
        <v/>
      </c>
      <c r="I15" s="4" t="str">
        <f ca="1">CELL("contenu",INDIRECT(ADDRESS(ref!$K$4,ref!H14,1,,CELL("contenu",$AC$2))))</f>
        <v>C</v>
      </c>
      <c r="J15" s="5" t="str">
        <f ca="1">CELL("contenu",INDIRECT(ADDRESS(ref!$K$5,ref!E14,1,,CELL("contenu",$AC$2))))</f>
        <v>C</v>
      </c>
      <c r="K15" s="2" t="str">
        <f ca="1">CELL("contenu",INDIRECT(ADDRESS(ref!$K$5,ref!F14,1,,CELL("contenu",$AC$2))))</f>
        <v/>
      </c>
      <c r="L15" s="3" t="str">
        <f ca="1">CELL("contenu",INDIRECT(ADDRESS(ref!$K$5,ref!G14,1,,CELL("contenu",$AC$2))))</f>
        <v/>
      </c>
      <c r="M15" s="4" t="str">
        <f ca="1">CELL("contenu",INDIRECT(ADDRESS(ref!$K$5,ref!H14,1,,CELL("contenu",$AC$2))))</f>
        <v>C</v>
      </c>
      <c r="N15" s="5" t="str">
        <f ca="1">CELL("contenu",INDIRECT(ADDRESS(ref!$K$6,ref!E14,1,,CELL("contenu",$AC$2))))</f>
        <v>C</v>
      </c>
      <c r="O15" s="2" t="str">
        <f ca="1">CELL("contenu",INDIRECT(ADDRESS(ref!$K$6,ref!F14,1,,CELL("contenu",$AC$2))))</f>
        <v/>
      </c>
      <c r="P15" s="3" t="str">
        <f ca="1">CELL("contenu",INDIRECT(ADDRESS(ref!$K$6,ref!G14,1,,CELL("contenu",$AC$2))))</f>
        <v/>
      </c>
      <c r="Q15" s="4" t="str">
        <f ca="1">CELL("contenu",INDIRECT(ADDRESS(ref!$K$6,ref!H14,1,,CELL("contenu",$AC$2))))</f>
        <v>C</v>
      </c>
      <c r="R15" s="5" t="str">
        <f ca="1">CELL("contenu",INDIRECT(ADDRESS(ref!$K$7,ref!E14,1,,CELL("contenu",$AC$2))))</f>
        <v>A</v>
      </c>
      <c r="S15" s="2" t="str">
        <f ca="1">CELL("contenu",INDIRECT(ADDRESS(ref!$K$7,ref!F14,1,,CELL("contenu",$AC$2))))</f>
        <v/>
      </c>
      <c r="T15" s="3" t="str">
        <f ca="1">CELL("contenu",INDIRECT(ADDRESS(ref!$K$7,ref!G14,1,,CELL("contenu",$AC$2))))</f>
        <v/>
      </c>
      <c r="U15" s="4" t="str">
        <f ca="1">CELL("contenu",INDIRECT(ADDRESS(ref!$K$7,ref!H14,1,,CELL("contenu",$AC$2))))</f>
        <v>A</v>
      </c>
      <c r="V15" s="28">
        <f ca="1">CELL("contenu",INDIRECT(ADDRESS(ref!$K$8,ref!E14,1,,CELL("contenu",$AC$2))))</f>
        <v>12.5</v>
      </c>
      <c r="W15" s="29" t="str">
        <f ca="1">CELL("contenu",INDIRECT(ADDRESS(ref!$K$8,ref!F14,1,,CELL("contenu",$AC$2))))</f>
        <v/>
      </c>
      <c r="X15" s="30" t="str">
        <f ca="1">CELL("contenu",INDIRECT(ADDRESS(ref!$K$8,ref!G14,1,,CELL("contenu",$AC$2))))</f>
        <v/>
      </c>
      <c r="Y15" s="6" t="str">
        <f ca="1">CELL("contenu",INDIRECT(ADDRESS(ref!$K$9,ref!H14,1,,CELL("contenu",$AC$2))))</f>
        <v/>
      </c>
      <c r="Z15" s="3" t="str">
        <f ca="1">CELL("contenu",INDIRECT(ADDRESS(ref!$K$10,ref!H14,1,,CELL("contenu",$AC$2))))</f>
        <v>C</v>
      </c>
      <c r="AA15" s="7" t="str">
        <f ca="1">CELL("contenu",INDIRECT(ADDRESS(ref!$K$11,ref!H14,1,,CELL("contenu",$AC$2))))</f>
        <v>C</v>
      </c>
    </row>
    <row r="16" spans="1:29" x14ac:dyDescent="0.25">
      <c r="A16" s="44" t="str">
        <f t="shared" ca="1" si="0"/>
        <v>LAURENT Mélissa</v>
      </c>
      <c r="B16" s="1" t="str">
        <f ca="1">CELL("contenu",INDIRECT(ADDRESS(ref!$K$3,ref!E15,1,,CELL("contenu",$AC$2))))</f>
        <v/>
      </c>
      <c r="C16" s="2" t="str">
        <f ca="1">CELL("contenu",INDIRECT(ADDRESS(ref!$K$3,ref!F15,1,,CELL("contenu",$AC$2))))</f>
        <v/>
      </c>
      <c r="D16" s="3" t="str">
        <f ca="1">CELL("contenu",INDIRECT(ADDRESS(ref!$K$3,ref!G15,1,,CELL("contenu",$AC$2))))</f>
        <v/>
      </c>
      <c r="E16" s="4" t="str">
        <f ca="1">CELL("contenu",INDIRECT(ADDRESS(ref!$K$3,ref!H15,1,,CELL("contenu",$AC$2))))</f>
        <v/>
      </c>
      <c r="F16" s="5" t="str">
        <f ca="1">CELL("contenu",INDIRECT(ADDRESS(ref!$K$4,ref!E15,1,,CELL("contenu",$AC$2))))</f>
        <v>B</v>
      </c>
      <c r="G16" s="2" t="str">
        <f ca="1">CELL("contenu",INDIRECT(ADDRESS(ref!$K$4,ref!F15,1,,CELL("contenu",$AC$2))))</f>
        <v/>
      </c>
      <c r="H16" s="3" t="str">
        <f ca="1">CELL("contenu",INDIRECT(ADDRESS(ref!$K$4,ref!G15,1,,CELL("contenu",$AC$2))))</f>
        <v/>
      </c>
      <c r="I16" s="4" t="str">
        <f ca="1">CELL("contenu",INDIRECT(ADDRESS(ref!$K$4,ref!H15,1,,CELL("contenu",$AC$2))))</f>
        <v>B</v>
      </c>
      <c r="J16" s="5" t="str">
        <f ca="1">CELL("contenu",INDIRECT(ADDRESS(ref!$K$5,ref!E15,1,,CELL("contenu",$AC$2))))</f>
        <v>B</v>
      </c>
      <c r="K16" s="2" t="str">
        <f ca="1">CELL("contenu",INDIRECT(ADDRESS(ref!$K$5,ref!F15,1,,CELL("contenu",$AC$2))))</f>
        <v/>
      </c>
      <c r="L16" s="3" t="str">
        <f ca="1">CELL("contenu",INDIRECT(ADDRESS(ref!$K$5,ref!G15,1,,CELL("contenu",$AC$2))))</f>
        <v/>
      </c>
      <c r="M16" s="4" t="str">
        <f ca="1">CELL("contenu",INDIRECT(ADDRESS(ref!$K$5,ref!H15,1,,CELL("contenu",$AC$2))))</f>
        <v>B</v>
      </c>
      <c r="N16" s="5" t="str">
        <f ca="1">CELL("contenu",INDIRECT(ADDRESS(ref!$K$6,ref!E15,1,,CELL("contenu",$AC$2))))</f>
        <v>D</v>
      </c>
      <c r="O16" s="2" t="str">
        <f ca="1">CELL("contenu",INDIRECT(ADDRESS(ref!$K$6,ref!F15,1,,CELL("contenu",$AC$2))))</f>
        <v/>
      </c>
      <c r="P16" s="3" t="str">
        <f ca="1">CELL("contenu",INDIRECT(ADDRESS(ref!$K$6,ref!G15,1,,CELL("contenu",$AC$2))))</f>
        <v/>
      </c>
      <c r="Q16" s="4" t="str">
        <f ca="1">CELL("contenu",INDIRECT(ADDRESS(ref!$K$6,ref!H15,1,,CELL("contenu",$AC$2))))</f>
        <v>D</v>
      </c>
      <c r="R16" s="5" t="str">
        <f ca="1">CELL("contenu",INDIRECT(ADDRESS(ref!$K$7,ref!E15,1,,CELL("contenu",$AC$2))))</f>
        <v>A</v>
      </c>
      <c r="S16" s="2" t="str">
        <f ca="1">CELL("contenu",INDIRECT(ADDRESS(ref!$K$7,ref!F15,1,,CELL("contenu",$AC$2))))</f>
        <v/>
      </c>
      <c r="T16" s="3" t="str">
        <f ca="1">CELL("contenu",INDIRECT(ADDRESS(ref!$K$7,ref!G15,1,,CELL("contenu",$AC$2))))</f>
        <v/>
      </c>
      <c r="U16" s="4" t="str">
        <f ca="1">CELL("contenu",INDIRECT(ADDRESS(ref!$K$7,ref!H15,1,,CELL("contenu",$AC$2))))</f>
        <v>A</v>
      </c>
      <c r="V16" s="28">
        <f ca="1">CELL("contenu",INDIRECT(ADDRESS(ref!$K$8,ref!E15,1,,CELL("contenu",$AC$2))))</f>
        <v>13.333333333333332</v>
      </c>
      <c r="W16" s="29" t="str">
        <f ca="1">CELL("contenu",INDIRECT(ADDRESS(ref!$K$8,ref!F15,1,,CELL("contenu",$AC$2))))</f>
        <v/>
      </c>
      <c r="X16" s="30" t="str">
        <f ca="1">CELL("contenu",INDIRECT(ADDRESS(ref!$K$8,ref!G15,1,,CELL("contenu",$AC$2))))</f>
        <v/>
      </c>
      <c r="Y16" s="6" t="str">
        <f ca="1">CELL("contenu",INDIRECT(ADDRESS(ref!$K$9,ref!H15,1,,CELL("contenu",$AC$2))))</f>
        <v/>
      </c>
      <c r="Z16" s="3" t="str">
        <f ca="1">CELL("contenu",INDIRECT(ADDRESS(ref!$K$10,ref!H15,1,,CELL("contenu",$AC$2))))</f>
        <v>B</v>
      </c>
      <c r="AA16" s="7" t="str">
        <f ca="1">CELL("contenu",INDIRECT(ADDRESS(ref!$K$11,ref!H15,1,,CELL("contenu",$AC$2))))</f>
        <v>D</v>
      </c>
    </row>
    <row r="17" spans="1:27" x14ac:dyDescent="0.25">
      <c r="A17" s="44" t="str">
        <f t="shared" ca="1" si="0"/>
        <v>LEBLANC Axel</v>
      </c>
      <c r="B17" s="1" t="str">
        <f ca="1">CELL("contenu",INDIRECT(ADDRESS(ref!$K$3,ref!E16,1,,CELL("contenu",$AC$2))))</f>
        <v/>
      </c>
      <c r="C17" s="2" t="str">
        <f ca="1">CELL("contenu",INDIRECT(ADDRESS(ref!$K$3,ref!F16,1,,CELL("contenu",$AC$2))))</f>
        <v/>
      </c>
      <c r="D17" s="3" t="str">
        <f ca="1">CELL("contenu",INDIRECT(ADDRESS(ref!$K$3,ref!G16,1,,CELL("contenu",$AC$2))))</f>
        <v/>
      </c>
      <c r="E17" s="4" t="str">
        <f ca="1">CELL("contenu",INDIRECT(ADDRESS(ref!$K$3,ref!H16,1,,CELL("contenu",$AC$2))))</f>
        <v/>
      </c>
      <c r="F17" s="5" t="str">
        <f ca="1">CELL("contenu",INDIRECT(ADDRESS(ref!$K$4,ref!E16,1,,CELL("contenu",$AC$2))))</f>
        <v>D</v>
      </c>
      <c r="G17" s="2" t="str">
        <f ca="1">CELL("contenu",INDIRECT(ADDRESS(ref!$K$4,ref!F16,1,,CELL("contenu",$AC$2))))</f>
        <v/>
      </c>
      <c r="H17" s="3" t="str">
        <f ca="1">CELL("contenu",INDIRECT(ADDRESS(ref!$K$4,ref!G16,1,,CELL("contenu",$AC$2))))</f>
        <v/>
      </c>
      <c r="I17" s="4" t="str">
        <f ca="1">CELL("contenu",INDIRECT(ADDRESS(ref!$K$4,ref!H16,1,,CELL("contenu",$AC$2))))</f>
        <v>D</v>
      </c>
      <c r="J17" s="5" t="str">
        <f ca="1">CELL("contenu",INDIRECT(ADDRESS(ref!$K$5,ref!E16,1,,CELL("contenu",$AC$2))))</f>
        <v>B</v>
      </c>
      <c r="K17" s="2" t="str">
        <f ca="1">CELL("contenu",INDIRECT(ADDRESS(ref!$K$5,ref!F16,1,,CELL("contenu",$AC$2))))</f>
        <v/>
      </c>
      <c r="L17" s="3" t="str">
        <f ca="1">CELL("contenu",INDIRECT(ADDRESS(ref!$K$5,ref!G16,1,,CELL("contenu",$AC$2))))</f>
        <v/>
      </c>
      <c r="M17" s="4" t="str">
        <f ca="1">CELL("contenu",INDIRECT(ADDRESS(ref!$K$5,ref!H16,1,,CELL("contenu",$AC$2))))</f>
        <v>B</v>
      </c>
      <c r="N17" s="5" t="str">
        <f ca="1">CELL("contenu",INDIRECT(ADDRESS(ref!$K$6,ref!E16,1,,CELL("contenu",$AC$2))))</f>
        <v>B</v>
      </c>
      <c r="O17" s="2" t="str">
        <f ca="1">CELL("contenu",INDIRECT(ADDRESS(ref!$K$6,ref!F16,1,,CELL("contenu",$AC$2))))</f>
        <v/>
      </c>
      <c r="P17" s="3" t="str">
        <f ca="1">CELL("contenu",INDIRECT(ADDRESS(ref!$K$6,ref!G16,1,,CELL("contenu",$AC$2))))</f>
        <v/>
      </c>
      <c r="Q17" s="4" t="str">
        <f ca="1">CELL("contenu",INDIRECT(ADDRESS(ref!$K$6,ref!H16,1,,CELL("contenu",$AC$2))))</f>
        <v>B</v>
      </c>
      <c r="R17" s="5" t="str">
        <f ca="1">CELL("contenu",INDIRECT(ADDRESS(ref!$K$7,ref!E16,1,,CELL("contenu",$AC$2))))</f>
        <v>A</v>
      </c>
      <c r="S17" s="2" t="str">
        <f ca="1">CELL("contenu",INDIRECT(ADDRESS(ref!$K$7,ref!F16,1,,CELL("contenu",$AC$2))))</f>
        <v/>
      </c>
      <c r="T17" s="3" t="str">
        <f ca="1">CELL("contenu",INDIRECT(ADDRESS(ref!$K$7,ref!G16,1,,CELL("contenu",$AC$2))))</f>
        <v/>
      </c>
      <c r="U17" s="4" t="str">
        <f ca="1">CELL("contenu",INDIRECT(ADDRESS(ref!$K$7,ref!H16,1,,CELL("contenu",$AC$2))))</f>
        <v>A</v>
      </c>
      <c r="V17" s="28">
        <f ca="1">CELL("contenu",INDIRECT(ADDRESS(ref!$K$8,ref!E16,1,,CELL("contenu",$AC$2))))</f>
        <v>13.333333333333332</v>
      </c>
      <c r="W17" s="29" t="str">
        <f ca="1">CELL("contenu",INDIRECT(ADDRESS(ref!$K$8,ref!F16,1,,CELL("contenu",$AC$2))))</f>
        <v/>
      </c>
      <c r="X17" s="30" t="str">
        <f ca="1">CELL("contenu",INDIRECT(ADDRESS(ref!$K$8,ref!G16,1,,CELL("contenu",$AC$2))))</f>
        <v/>
      </c>
      <c r="Y17" s="6" t="str">
        <f ca="1">CELL("contenu",INDIRECT(ADDRESS(ref!$K$9,ref!H16,1,,CELL("contenu",$AC$2))))</f>
        <v/>
      </c>
      <c r="Z17" s="3" t="str">
        <f ca="1">CELL("contenu",INDIRECT(ADDRESS(ref!$K$10,ref!H16,1,,CELL("contenu",$AC$2))))</f>
        <v>B</v>
      </c>
      <c r="AA17" s="7" t="str">
        <f ca="1">CELL("contenu",INDIRECT(ADDRESS(ref!$K$11,ref!H16,1,,CELL("contenu",$AC$2))))</f>
        <v>B</v>
      </c>
    </row>
    <row r="18" spans="1:27" x14ac:dyDescent="0.25">
      <c r="A18" s="44" t="str">
        <f t="shared" ca="1" si="0"/>
        <v>LESEQUE Clémence</v>
      </c>
      <c r="B18" s="1" t="str">
        <f ca="1">CELL("contenu",INDIRECT(ADDRESS(ref!$K$3,ref!E17,1,,CELL("contenu",$AC$2))))</f>
        <v/>
      </c>
      <c r="C18" s="2" t="str">
        <f ca="1">CELL("contenu",INDIRECT(ADDRESS(ref!$K$3,ref!F17,1,,CELL("contenu",$AC$2))))</f>
        <v/>
      </c>
      <c r="D18" s="3" t="str">
        <f ca="1">CELL("contenu",INDIRECT(ADDRESS(ref!$K$3,ref!G17,1,,CELL("contenu",$AC$2))))</f>
        <v/>
      </c>
      <c r="E18" s="4" t="str">
        <f ca="1">CELL("contenu",INDIRECT(ADDRESS(ref!$K$3,ref!H17,1,,CELL("contenu",$AC$2))))</f>
        <v/>
      </c>
      <c r="F18" s="5" t="str">
        <f ca="1">CELL("contenu",INDIRECT(ADDRESS(ref!$K$4,ref!E17,1,,CELL("contenu",$AC$2))))</f>
        <v>B</v>
      </c>
      <c r="G18" s="2" t="str">
        <f ca="1">CELL("contenu",INDIRECT(ADDRESS(ref!$K$4,ref!F17,1,,CELL("contenu",$AC$2))))</f>
        <v/>
      </c>
      <c r="H18" s="3" t="str">
        <f ca="1">CELL("contenu",INDIRECT(ADDRESS(ref!$K$4,ref!G17,1,,CELL("contenu",$AC$2))))</f>
        <v/>
      </c>
      <c r="I18" s="4" t="str">
        <f ca="1">CELL("contenu",INDIRECT(ADDRESS(ref!$K$4,ref!H17,1,,CELL("contenu",$AC$2))))</f>
        <v>B</v>
      </c>
      <c r="J18" s="5" t="str">
        <f ca="1">CELL("contenu",INDIRECT(ADDRESS(ref!$K$5,ref!E17,1,,CELL("contenu",$AC$2))))</f>
        <v>B</v>
      </c>
      <c r="K18" s="2" t="str">
        <f ca="1">CELL("contenu",INDIRECT(ADDRESS(ref!$K$5,ref!F17,1,,CELL("contenu",$AC$2))))</f>
        <v/>
      </c>
      <c r="L18" s="3" t="str">
        <f ca="1">CELL("contenu",INDIRECT(ADDRESS(ref!$K$5,ref!G17,1,,CELL("contenu",$AC$2))))</f>
        <v/>
      </c>
      <c r="M18" s="4" t="str">
        <f ca="1">CELL("contenu",INDIRECT(ADDRESS(ref!$K$5,ref!H17,1,,CELL("contenu",$AC$2))))</f>
        <v>B</v>
      </c>
      <c r="N18" s="5" t="str">
        <f ca="1">CELL("contenu",INDIRECT(ADDRESS(ref!$K$6,ref!E17,1,,CELL("contenu",$AC$2))))</f>
        <v>D</v>
      </c>
      <c r="O18" s="2" t="str">
        <f ca="1">CELL("contenu",INDIRECT(ADDRESS(ref!$K$6,ref!F17,1,,CELL("contenu",$AC$2))))</f>
        <v/>
      </c>
      <c r="P18" s="3" t="str">
        <f ca="1">CELL("contenu",INDIRECT(ADDRESS(ref!$K$6,ref!G17,1,,CELL("contenu",$AC$2))))</f>
        <v/>
      </c>
      <c r="Q18" s="4" t="str">
        <f ca="1">CELL("contenu",INDIRECT(ADDRESS(ref!$K$6,ref!H17,1,,CELL("contenu",$AC$2))))</f>
        <v>D</v>
      </c>
      <c r="R18" s="5" t="str">
        <f ca="1">CELL("contenu",INDIRECT(ADDRESS(ref!$K$7,ref!E17,1,,CELL("contenu",$AC$2))))</f>
        <v>A</v>
      </c>
      <c r="S18" s="2" t="str">
        <f ca="1">CELL("contenu",INDIRECT(ADDRESS(ref!$K$7,ref!F17,1,,CELL("contenu",$AC$2))))</f>
        <v/>
      </c>
      <c r="T18" s="3" t="str">
        <f ca="1">CELL("contenu",INDIRECT(ADDRESS(ref!$K$7,ref!G17,1,,CELL("contenu",$AC$2))))</f>
        <v/>
      </c>
      <c r="U18" s="4" t="str">
        <f ca="1">CELL("contenu",INDIRECT(ADDRESS(ref!$K$7,ref!H17,1,,CELL("contenu",$AC$2))))</f>
        <v>A</v>
      </c>
      <c r="V18" s="28">
        <f ca="1">CELL("contenu",INDIRECT(ADDRESS(ref!$K$8,ref!E17,1,,CELL("contenu",$AC$2))))</f>
        <v>13.333333333333332</v>
      </c>
      <c r="W18" s="29" t="str">
        <f ca="1">CELL("contenu",INDIRECT(ADDRESS(ref!$K$8,ref!F17,1,,CELL("contenu",$AC$2))))</f>
        <v/>
      </c>
      <c r="X18" s="30" t="str">
        <f ca="1">CELL("contenu",INDIRECT(ADDRESS(ref!$K$8,ref!G17,1,,CELL("contenu",$AC$2))))</f>
        <v/>
      </c>
      <c r="Y18" s="6" t="str">
        <f ca="1">CELL("contenu",INDIRECT(ADDRESS(ref!$K$9,ref!H17,1,,CELL("contenu",$AC$2))))</f>
        <v/>
      </c>
      <c r="Z18" s="3" t="str">
        <f ca="1">CELL("contenu",INDIRECT(ADDRESS(ref!$K$10,ref!H17,1,,CELL("contenu",$AC$2))))</f>
        <v>B</v>
      </c>
      <c r="AA18" s="7" t="str">
        <f ca="1">CELL("contenu",INDIRECT(ADDRESS(ref!$K$11,ref!H17,1,,CELL("contenu",$AC$2))))</f>
        <v>D</v>
      </c>
    </row>
    <row r="19" spans="1:27" x14ac:dyDescent="0.25">
      <c r="A19" s="44" t="str">
        <f t="shared" ca="1" si="0"/>
        <v>MICHEL Arthur</v>
      </c>
      <c r="B19" s="1" t="str">
        <f ca="1">CELL("contenu",INDIRECT(ADDRESS(ref!$K$3,ref!E18,1,,CELL("contenu",$AC$2))))</f>
        <v/>
      </c>
      <c r="C19" s="2" t="str">
        <f ca="1">CELL("contenu",INDIRECT(ADDRESS(ref!$K$3,ref!F18,1,,CELL("contenu",$AC$2))))</f>
        <v/>
      </c>
      <c r="D19" s="3" t="str">
        <f ca="1">CELL("contenu",INDIRECT(ADDRESS(ref!$K$3,ref!G18,1,,CELL("contenu",$AC$2))))</f>
        <v/>
      </c>
      <c r="E19" s="4" t="str">
        <f ca="1">CELL("contenu",INDIRECT(ADDRESS(ref!$K$3,ref!H18,1,,CELL("contenu",$AC$2))))</f>
        <v/>
      </c>
      <c r="F19" s="5" t="str">
        <f ca="1">CELL("contenu",INDIRECT(ADDRESS(ref!$K$4,ref!E18,1,,CELL("contenu",$AC$2))))</f>
        <v>B</v>
      </c>
      <c r="G19" s="2" t="str">
        <f ca="1">CELL("contenu",INDIRECT(ADDRESS(ref!$K$4,ref!F18,1,,CELL("contenu",$AC$2))))</f>
        <v/>
      </c>
      <c r="H19" s="3" t="str">
        <f ca="1">CELL("contenu",INDIRECT(ADDRESS(ref!$K$4,ref!G18,1,,CELL("contenu",$AC$2))))</f>
        <v/>
      </c>
      <c r="I19" s="4" t="str">
        <f ca="1">CELL("contenu",INDIRECT(ADDRESS(ref!$K$4,ref!H18,1,,CELL("contenu",$AC$2))))</f>
        <v>B</v>
      </c>
      <c r="J19" s="5" t="str">
        <f ca="1">CELL("contenu",INDIRECT(ADDRESS(ref!$K$5,ref!E18,1,,CELL("contenu",$AC$2))))</f>
        <v>B</v>
      </c>
      <c r="K19" s="2" t="str">
        <f ca="1">CELL("contenu",INDIRECT(ADDRESS(ref!$K$5,ref!F18,1,,CELL("contenu",$AC$2))))</f>
        <v/>
      </c>
      <c r="L19" s="3" t="str">
        <f ca="1">CELL("contenu",INDIRECT(ADDRESS(ref!$K$5,ref!G18,1,,CELL("contenu",$AC$2))))</f>
        <v/>
      </c>
      <c r="M19" s="4" t="str">
        <f ca="1">CELL("contenu",INDIRECT(ADDRESS(ref!$K$5,ref!H18,1,,CELL("contenu",$AC$2))))</f>
        <v>B</v>
      </c>
      <c r="N19" s="5" t="str">
        <f ca="1">CELL("contenu",INDIRECT(ADDRESS(ref!$K$6,ref!E18,1,,CELL("contenu",$AC$2))))</f>
        <v>B</v>
      </c>
      <c r="O19" s="2" t="str">
        <f ca="1">CELL("contenu",INDIRECT(ADDRESS(ref!$K$6,ref!F18,1,,CELL("contenu",$AC$2))))</f>
        <v/>
      </c>
      <c r="P19" s="3" t="str">
        <f ca="1">CELL("contenu",INDIRECT(ADDRESS(ref!$K$6,ref!G18,1,,CELL("contenu",$AC$2))))</f>
        <v/>
      </c>
      <c r="Q19" s="4" t="str">
        <f ca="1">CELL("contenu",INDIRECT(ADDRESS(ref!$K$6,ref!H18,1,,CELL("contenu",$AC$2))))</f>
        <v>B</v>
      </c>
      <c r="R19" s="5" t="str">
        <f ca="1">CELL("contenu",INDIRECT(ADDRESS(ref!$K$7,ref!E18,1,,CELL("contenu",$AC$2))))</f>
        <v>A</v>
      </c>
      <c r="S19" s="2" t="str">
        <f ca="1">CELL("contenu",INDIRECT(ADDRESS(ref!$K$7,ref!F18,1,,CELL("contenu",$AC$2))))</f>
        <v/>
      </c>
      <c r="T19" s="3" t="str">
        <f ca="1">CELL("contenu",INDIRECT(ADDRESS(ref!$K$7,ref!G18,1,,CELL("contenu",$AC$2))))</f>
        <v/>
      </c>
      <c r="U19" s="4" t="str">
        <f ca="1">CELL("contenu",INDIRECT(ADDRESS(ref!$K$7,ref!H18,1,,CELL("contenu",$AC$2))))</f>
        <v>A</v>
      </c>
      <c r="V19" s="28">
        <f ca="1">CELL("contenu",INDIRECT(ADDRESS(ref!$K$8,ref!E18,1,,CELL("contenu",$AC$2))))</f>
        <v>16.666666666666664</v>
      </c>
      <c r="W19" s="29" t="str">
        <f ca="1">CELL("contenu",INDIRECT(ADDRESS(ref!$K$8,ref!F18,1,,CELL("contenu",$AC$2))))</f>
        <v/>
      </c>
      <c r="X19" s="30" t="str">
        <f ca="1">CELL("contenu",INDIRECT(ADDRESS(ref!$K$8,ref!G18,1,,CELL("contenu",$AC$2))))</f>
        <v/>
      </c>
      <c r="Y19" s="6" t="str">
        <f ca="1">CELL("contenu",INDIRECT(ADDRESS(ref!$K$9,ref!H18,1,,CELL("contenu",$AC$2))))</f>
        <v/>
      </c>
      <c r="Z19" s="3" t="str">
        <f ca="1">CELL("contenu",INDIRECT(ADDRESS(ref!$K$10,ref!H18,1,,CELL("contenu",$AC$2))))</f>
        <v>B</v>
      </c>
      <c r="AA19" s="7" t="str">
        <f ca="1">CELL("contenu",INDIRECT(ADDRESS(ref!$K$11,ref!H18,1,,CELL("contenu",$AC$2))))</f>
        <v>B</v>
      </c>
    </row>
    <row r="20" spans="1:27" x14ac:dyDescent="0.25">
      <c r="A20" s="44" t="str">
        <f t="shared" ca="1" si="0"/>
        <v>MONNEAU Carla</v>
      </c>
      <c r="B20" s="1" t="str">
        <f ca="1">CELL("contenu",INDIRECT(ADDRESS(ref!$K$3,ref!E19,1,,CELL("contenu",$AC$2))))</f>
        <v/>
      </c>
      <c r="C20" s="2" t="str">
        <f ca="1">CELL("contenu",INDIRECT(ADDRESS(ref!$K$3,ref!F19,1,,CELL("contenu",$AC$2))))</f>
        <v/>
      </c>
      <c r="D20" s="3" t="str">
        <f ca="1">CELL("contenu",INDIRECT(ADDRESS(ref!$K$3,ref!G19,1,,CELL("contenu",$AC$2))))</f>
        <v/>
      </c>
      <c r="E20" s="4" t="str">
        <f ca="1">CELL("contenu",INDIRECT(ADDRESS(ref!$K$3,ref!H19,1,,CELL("contenu",$AC$2))))</f>
        <v/>
      </c>
      <c r="F20" s="5" t="str">
        <f ca="1">CELL("contenu",INDIRECT(ADDRESS(ref!$K$4,ref!E19,1,,CELL("contenu",$AC$2))))</f>
        <v>B</v>
      </c>
      <c r="G20" s="2" t="str">
        <f ca="1">CELL("contenu",INDIRECT(ADDRESS(ref!$K$4,ref!F19,1,,CELL("contenu",$AC$2))))</f>
        <v/>
      </c>
      <c r="H20" s="3" t="str">
        <f ca="1">CELL("contenu",INDIRECT(ADDRESS(ref!$K$4,ref!G19,1,,CELL("contenu",$AC$2))))</f>
        <v/>
      </c>
      <c r="I20" s="4" t="str">
        <f ca="1">CELL("contenu",INDIRECT(ADDRESS(ref!$K$4,ref!H19,1,,CELL("contenu",$AC$2))))</f>
        <v>B</v>
      </c>
      <c r="J20" s="5" t="str">
        <f ca="1">CELL("contenu",INDIRECT(ADDRESS(ref!$K$5,ref!E19,1,,CELL("contenu",$AC$2))))</f>
        <v>C</v>
      </c>
      <c r="K20" s="2" t="str">
        <f ca="1">CELL("contenu",INDIRECT(ADDRESS(ref!$K$5,ref!F19,1,,CELL("contenu",$AC$2))))</f>
        <v/>
      </c>
      <c r="L20" s="3" t="str">
        <f ca="1">CELL("contenu",INDIRECT(ADDRESS(ref!$K$5,ref!G19,1,,CELL("contenu",$AC$2))))</f>
        <v/>
      </c>
      <c r="M20" s="4" t="str">
        <f ca="1">CELL("contenu",INDIRECT(ADDRESS(ref!$K$5,ref!H19,1,,CELL("contenu",$AC$2))))</f>
        <v>C</v>
      </c>
      <c r="N20" s="5" t="str">
        <f ca="1">CELL("contenu",INDIRECT(ADDRESS(ref!$K$6,ref!E19,1,,CELL("contenu",$AC$2))))</f>
        <v>C</v>
      </c>
      <c r="O20" s="2" t="str">
        <f ca="1">CELL("contenu",INDIRECT(ADDRESS(ref!$K$6,ref!F19,1,,CELL("contenu",$AC$2))))</f>
        <v/>
      </c>
      <c r="P20" s="3" t="str">
        <f ca="1">CELL("contenu",INDIRECT(ADDRESS(ref!$K$6,ref!G19,1,,CELL("contenu",$AC$2))))</f>
        <v/>
      </c>
      <c r="Q20" s="4" t="str">
        <f ca="1">CELL("contenu",INDIRECT(ADDRESS(ref!$K$6,ref!H19,1,,CELL("contenu",$AC$2))))</f>
        <v>C</v>
      </c>
      <c r="R20" s="5" t="str">
        <f ca="1">CELL("contenu",INDIRECT(ADDRESS(ref!$K$7,ref!E19,1,,CELL("contenu",$AC$2))))</f>
        <v>A</v>
      </c>
      <c r="S20" s="2" t="str">
        <f ca="1">CELL("contenu",INDIRECT(ADDRESS(ref!$K$7,ref!F19,1,,CELL("contenu",$AC$2))))</f>
        <v/>
      </c>
      <c r="T20" s="3" t="str">
        <f ca="1">CELL("contenu",INDIRECT(ADDRESS(ref!$K$7,ref!G19,1,,CELL("contenu",$AC$2))))</f>
        <v/>
      </c>
      <c r="U20" s="4" t="str">
        <f ca="1">CELL("contenu",INDIRECT(ADDRESS(ref!$K$7,ref!H19,1,,CELL("contenu",$AC$2))))</f>
        <v>A</v>
      </c>
      <c r="V20" s="28">
        <f ca="1">CELL("contenu",INDIRECT(ADDRESS(ref!$K$8,ref!E19,1,,CELL("contenu",$AC$2))))</f>
        <v>13.333333333333334</v>
      </c>
      <c r="W20" s="29" t="str">
        <f ca="1">CELL("contenu",INDIRECT(ADDRESS(ref!$K$8,ref!F19,1,,CELL("contenu",$AC$2))))</f>
        <v/>
      </c>
      <c r="X20" s="30" t="str">
        <f ca="1">CELL("contenu",INDIRECT(ADDRESS(ref!$K$8,ref!G19,1,,CELL("contenu",$AC$2))))</f>
        <v/>
      </c>
      <c r="Y20" s="6" t="str">
        <f ca="1">CELL("contenu",INDIRECT(ADDRESS(ref!$K$9,ref!H19,1,,CELL("contenu",$AC$2))))</f>
        <v/>
      </c>
      <c r="Z20" s="3" t="str">
        <f ca="1">CELL("contenu",INDIRECT(ADDRESS(ref!$K$10,ref!H19,1,,CELL("contenu",$AC$2))))</f>
        <v>C</v>
      </c>
      <c r="AA20" s="7" t="str">
        <f ca="1">CELL("contenu",INDIRECT(ADDRESS(ref!$K$11,ref!H19,1,,CELL("contenu",$AC$2))))</f>
        <v>C</v>
      </c>
    </row>
    <row r="21" spans="1:27" x14ac:dyDescent="0.25">
      <c r="A21" s="44" t="str">
        <f t="shared" ca="1" si="0"/>
        <v>MORIN Joséphine</v>
      </c>
      <c r="B21" s="1" t="str">
        <f ca="1">CELL("contenu",INDIRECT(ADDRESS(ref!$K$3,ref!E20,1,,CELL("contenu",$AC$2))))</f>
        <v/>
      </c>
      <c r="C21" s="2" t="str">
        <f ca="1">CELL("contenu",INDIRECT(ADDRESS(ref!$K$3,ref!F20,1,,CELL("contenu",$AC$2))))</f>
        <v/>
      </c>
      <c r="D21" s="3" t="str">
        <f ca="1">CELL("contenu",INDIRECT(ADDRESS(ref!$K$3,ref!G20,1,,CELL("contenu",$AC$2))))</f>
        <v/>
      </c>
      <c r="E21" s="4" t="str">
        <f ca="1">CELL("contenu",INDIRECT(ADDRESS(ref!$K$3,ref!H20,1,,CELL("contenu",$AC$2))))</f>
        <v/>
      </c>
      <c r="F21" s="5" t="str">
        <f ca="1">CELL("contenu",INDIRECT(ADDRESS(ref!$K$4,ref!E20,1,,CELL("contenu",$AC$2))))</f>
        <v>B</v>
      </c>
      <c r="G21" s="2" t="str">
        <f ca="1">CELL("contenu",INDIRECT(ADDRESS(ref!$K$4,ref!F20,1,,CELL("contenu",$AC$2))))</f>
        <v/>
      </c>
      <c r="H21" s="3" t="str">
        <f ca="1">CELL("contenu",INDIRECT(ADDRESS(ref!$K$4,ref!G20,1,,CELL("contenu",$AC$2))))</f>
        <v/>
      </c>
      <c r="I21" s="4" t="str">
        <f ca="1">CELL("contenu",INDIRECT(ADDRESS(ref!$K$4,ref!H20,1,,CELL("contenu",$AC$2))))</f>
        <v>B</v>
      </c>
      <c r="J21" s="5" t="str">
        <f ca="1">CELL("contenu",INDIRECT(ADDRESS(ref!$K$5,ref!E20,1,,CELL("contenu",$AC$2))))</f>
        <v>A</v>
      </c>
      <c r="K21" s="2" t="str">
        <f ca="1">CELL("contenu",INDIRECT(ADDRESS(ref!$K$5,ref!F20,1,,CELL("contenu",$AC$2))))</f>
        <v/>
      </c>
      <c r="L21" s="3" t="str">
        <f ca="1">CELL("contenu",INDIRECT(ADDRESS(ref!$K$5,ref!G20,1,,CELL("contenu",$AC$2))))</f>
        <v/>
      </c>
      <c r="M21" s="4" t="str">
        <f ca="1">CELL("contenu",INDIRECT(ADDRESS(ref!$K$5,ref!H20,1,,CELL("contenu",$AC$2))))</f>
        <v>A</v>
      </c>
      <c r="N21" s="5" t="str">
        <f ca="1">CELL("contenu",INDIRECT(ADDRESS(ref!$K$6,ref!E20,1,,CELL("contenu",$AC$2))))</f>
        <v>A</v>
      </c>
      <c r="O21" s="2" t="str">
        <f ca="1">CELL("contenu",INDIRECT(ADDRESS(ref!$K$6,ref!F20,1,,CELL("contenu",$AC$2))))</f>
        <v/>
      </c>
      <c r="P21" s="3" t="str">
        <f ca="1">CELL("contenu",INDIRECT(ADDRESS(ref!$K$6,ref!G20,1,,CELL("contenu",$AC$2))))</f>
        <v/>
      </c>
      <c r="Q21" s="4" t="str">
        <f ca="1">CELL("contenu",INDIRECT(ADDRESS(ref!$K$6,ref!H20,1,,CELL("contenu",$AC$2))))</f>
        <v>A</v>
      </c>
      <c r="R21" s="5" t="str">
        <f ca="1">CELL("contenu",INDIRECT(ADDRESS(ref!$K$7,ref!E20,1,,CELL("contenu",$AC$2))))</f>
        <v>A</v>
      </c>
      <c r="S21" s="2" t="str">
        <f ca="1">CELL("contenu",INDIRECT(ADDRESS(ref!$K$7,ref!F20,1,,CELL("contenu",$AC$2))))</f>
        <v/>
      </c>
      <c r="T21" s="3" t="str">
        <f ca="1">CELL("contenu",INDIRECT(ADDRESS(ref!$K$7,ref!G20,1,,CELL("contenu",$AC$2))))</f>
        <v/>
      </c>
      <c r="U21" s="4" t="str">
        <f ca="1">CELL("contenu",INDIRECT(ADDRESS(ref!$K$7,ref!H20,1,,CELL("contenu",$AC$2))))</f>
        <v>A</v>
      </c>
      <c r="V21" s="28">
        <f ca="1">CELL("contenu",INDIRECT(ADDRESS(ref!$K$8,ref!E20,1,,CELL("contenu",$AC$2))))</f>
        <v>18.333333333333336</v>
      </c>
      <c r="W21" s="29" t="str">
        <f ca="1">CELL("contenu",INDIRECT(ADDRESS(ref!$K$8,ref!F20,1,,CELL("contenu",$AC$2))))</f>
        <v/>
      </c>
      <c r="X21" s="30" t="str">
        <f ca="1">CELL("contenu",INDIRECT(ADDRESS(ref!$K$8,ref!G20,1,,CELL("contenu",$AC$2))))</f>
        <v/>
      </c>
      <c r="Y21" s="6" t="str">
        <f ca="1">CELL("contenu",INDIRECT(ADDRESS(ref!$K$9,ref!H20,1,,CELL("contenu",$AC$2))))</f>
        <v/>
      </c>
      <c r="Z21" s="3" t="str">
        <f ca="1">CELL("contenu",INDIRECT(ADDRESS(ref!$K$10,ref!H20,1,,CELL("contenu",$AC$2))))</f>
        <v>A</v>
      </c>
      <c r="AA21" s="7" t="str">
        <f ca="1">CELL("contenu",INDIRECT(ADDRESS(ref!$K$11,ref!H20,1,,CELL("contenu",$AC$2))))</f>
        <v>A</v>
      </c>
    </row>
    <row r="22" spans="1:27" x14ac:dyDescent="0.25">
      <c r="A22" s="44" t="str">
        <f t="shared" ca="1" si="0"/>
        <v>PIGEAUD Martin</v>
      </c>
      <c r="B22" s="1" t="str">
        <f ca="1">CELL("contenu",INDIRECT(ADDRESS(ref!$K$3,ref!E21,1,,CELL("contenu",$AC$2))))</f>
        <v/>
      </c>
      <c r="C22" s="2" t="str">
        <f ca="1">CELL("contenu",INDIRECT(ADDRESS(ref!$K$3,ref!F21,1,,CELL("contenu",$AC$2))))</f>
        <v/>
      </c>
      <c r="D22" s="3" t="str">
        <f ca="1">CELL("contenu",INDIRECT(ADDRESS(ref!$K$3,ref!G21,1,,CELL("contenu",$AC$2))))</f>
        <v/>
      </c>
      <c r="E22" s="4" t="str">
        <f ca="1">CELL("contenu",INDIRECT(ADDRESS(ref!$K$3,ref!H21,1,,CELL("contenu",$AC$2))))</f>
        <v/>
      </c>
      <c r="F22" s="5" t="str">
        <f ca="1">CELL("contenu",INDIRECT(ADDRESS(ref!$K$4,ref!E21,1,,CELL("contenu",$AC$2))))</f>
        <v>B</v>
      </c>
      <c r="G22" s="2" t="str">
        <f ca="1">CELL("contenu",INDIRECT(ADDRESS(ref!$K$4,ref!F21,1,,CELL("contenu",$AC$2))))</f>
        <v/>
      </c>
      <c r="H22" s="3" t="str">
        <f ca="1">CELL("contenu",INDIRECT(ADDRESS(ref!$K$4,ref!G21,1,,CELL("contenu",$AC$2))))</f>
        <v/>
      </c>
      <c r="I22" s="4" t="str">
        <f ca="1">CELL("contenu",INDIRECT(ADDRESS(ref!$K$4,ref!H21,1,,CELL("contenu",$AC$2))))</f>
        <v>B</v>
      </c>
      <c r="J22" s="5" t="str">
        <f ca="1">CELL("contenu",INDIRECT(ADDRESS(ref!$K$5,ref!E21,1,,CELL("contenu",$AC$2))))</f>
        <v>B</v>
      </c>
      <c r="K22" s="2" t="str">
        <f ca="1">CELL("contenu",INDIRECT(ADDRESS(ref!$K$5,ref!F21,1,,CELL("contenu",$AC$2))))</f>
        <v/>
      </c>
      <c r="L22" s="3" t="str">
        <f ca="1">CELL("contenu",INDIRECT(ADDRESS(ref!$K$5,ref!G21,1,,CELL("contenu",$AC$2))))</f>
        <v/>
      </c>
      <c r="M22" s="4" t="str">
        <f ca="1">CELL("contenu",INDIRECT(ADDRESS(ref!$K$5,ref!H21,1,,CELL("contenu",$AC$2))))</f>
        <v>B</v>
      </c>
      <c r="N22" s="5" t="str">
        <f ca="1">CELL("contenu",INDIRECT(ADDRESS(ref!$K$6,ref!E21,1,,CELL("contenu",$AC$2))))</f>
        <v>C</v>
      </c>
      <c r="O22" s="2" t="str">
        <f ca="1">CELL("contenu",INDIRECT(ADDRESS(ref!$K$6,ref!F21,1,,CELL("contenu",$AC$2))))</f>
        <v/>
      </c>
      <c r="P22" s="3" t="str">
        <f ca="1">CELL("contenu",INDIRECT(ADDRESS(ref!$K$6,ref!G21,1,,CELL("contenu",$AC$2))))</f>
        <v/>
      </c>
      <c r="Q22" s="4" t="str">
        <f ca="1">CELL("contenu",INDIRECT(ADDRESS(ref!$K$6,ref!H21,1,,CELL("contenu",$AC$2))))</f>
        <v>C</v>
      </c>
      <c r="R22" s="5" t="str">
        <f ca="1">CELL("contenu",INDIRECT(ADDRESS(ref!$K$7,ref!E21,1,,CELL("contenu",$AC$2))))</f>
        <v>A</v>
      </c>
      <c r="S22" s="2" t="str">
        <f ca="1">CELL("contenu",INDIRECT(ADDRESS(ref!$K$7,ref!F21,1,,CELL("contenu",$AC$2))))</f>
        <v/>
      </c>
      <c r="T22" s="3" t="str">
        <f ca="1">CELL("contenu",INDIRECT(ADDRESS(ref!$K$7,ref!G21,1,,CELL("contenu",$AC$2))))</f>
        <v/>
      </c>
      <c r="U22" s="4" t="str">
        <f ca="1">CELL("contenu",INDIRECT(ADDRESS(ref!$K$7,ref!H21,1,,CELL("contenu",$AC$2))))</f>
        <v>A</v>
      </c>
      <c r="V22" s="28">
        <f ca="1">CELL("contenu",INDIRECT(ADDRESS(ref!$K$8,ref!E21,1,,CELL("contenu",$AC$2))))</f>
        <v>14.166666666666668</v>
      </c>
      <c r="W22" s="29" t="str">
        <f ca="1">CELL("contenu",INDIRECT(ADDRESS(ref!$K$8,ref!F21,1,,CELL("contenu",$AC$2))))</f>
        <v/>
      </c>
      <c r="X22" s="30" t="str">
        <f ca="1">CELL("contenu",INDIRECT(ADDRESS(ref!$K$8,ref!G21,1,,CELL("contenu",$AC$2))))</f>
        <v/>
      </c>
      <c r="Y22" s="6" t="str">
        <f ca="1">CELL("contenu",INDIRECT(ADDRESS(ref!$K$9,ref!H21,1,,CELL("contenu",$AC$2))))</f>
        <v/>
      </c>
      <c r="Z22" s="3" t="str">
        <f ca="1">CELL("contenu",INDIRECT(ADDRESS(ref!$K$10,ref!H21,1,,CELL("contenu",$AC$2))))</f>
        <v>B</v>
      </c>
      <c r="AA22" s="7" t="str">
        <f ca="1">CELL("contenu",INDIRECT(ADDRESS(ref!$K$11,ref!H21,1,,CELL("contenu",$AC$2))))</f>
        <v>C</v>
      </c>
    </row>
    <row r="23" spans="1:27" x14ac:dyDescent="0.25">
      <c r="A23" s="44" t="str">
        <f t="shared" ca="1" si="0"/>
        <v>RAHARIMANANA Léo</v>
      </c>
      <c r="B23" s="1" t="str">
        <f ca="1">CELL("contenu",INDIRECT(ADDRESS(ref!$K$3,ref!E22,1,,CELL("contenu",$AC$2))))</f>
        <v/>
      </c>
      <c r="C23" s="2" t="str">
        <f ca="1">CELL("contenu",INDIRECT(ADDRESS(ref!$K$3,ref!F22,1,,CELL("contenu",$AC$2))))</f>
        <v/>
      </c>
      <c r="D23" s="3" t="str">
        <f ca="1">CELL("contenu",INDIRECT(ADDRESS(ref!$K$3,ref!G22,1,,CELL("contenu",$AC$2))))</f>
        <v/>
      </c>
      <c r="E23" s="4" t="str">
        <f ca="1">CELL("contenu",INDIRECT(ADDRESS(ref!$K$3,ref!H22,1,,CELL("contenu",$AC$2))))</f>
        <v/>
      </c>
      <c r="F23" s="5" t="str">
        <f ca="1">CELL("contenu",INDIRECT(ADDRESS(ref!$K$4,ref!E22,1,,CELL("contenu",$AC$2))))</f>
        <v>B</v>
      </c>
      <c r="G23" s="2" t="str">
        <f ca="1">CELL("contenu",INDIRECT(ADDRESS(ref!$K$4,ref!F22,1,,CELL("contenu",$AC$2))))</f>
        <v/>
      </c>
      <c r="H23" s="3" t="str">
        <f ca="1">CELL("contenu",INDIRECT(ADDRESS(ref!$K$4,ref!G22,1,,CELL("contenu",$AC$2))))</f>
        <v/>
      </c>
      <c r="I23" s="4" t="str">
        <f ca="1">CELL("contenu",INDIRECT(ADDRESS(ref!$K$4,ref!H22,1,,CELL("contenu",$AC$2))))</f>
        <v>B</v>
      </c>
      <c r="J23" s="5" t="str">
        <f ca="1">CELL("contenu",INDIRECT(ADDRESS(ref!$K$5,ref!E22,1,,CELL("contenu",$AC$2))))</f>
        <v>B</v>
      </c>
      <c r="K23" s="2" t="str">
        <f ca="1">CELL("contenu",INDIRECT(ADDRESS(ref!$K$5,ref!F22,1,,CELL("contenu",$AC$2))))</f>
        <v/>
      </c>
      <c r="L23" s="3" t="str">
        <f ca="1">CELL("contenu",INDIRECT(ADDRESS(ref!$K$5,ref!G22,1,,CELL("contenu",$AC$2))))</f>
        <v/>
      </c>
      <c r="M23" s="4" t="str">
        <f ca="1">CELL("contenu",INDIRECT(ADDRESS(ref!$K$5,ref!H22,1,,CELL("contenu",$AC$2))))</f>
        <v>B</v>
      </c>
      <c r="N23" s="5" t="str">
        <f ca="1">CELL("contenu",INDIRECT(ADDRESS(ref!$K$6,ref!E22,1,,CELL("contenu",$AC$2))))</f>
        <v>B</v>
      </c>
      <c r="O23" s="2" t="str">
        <f ca="1">CELL("contenu",INDIRECT(ADDRESS(ref!$K$6,ref!F22,1,,CELL("contenu",$AC$2))))</f>
        <v/>
      </c>
      <c r="P23" s="3" t="str">
        <f ca="1">CELL("contenu",INDIRECT(ADDRESS(ref!$K$6,ref!G22,1,,CELL("contenu",$AC$2))))</f>
        <v/>
      </c>
      <c r="Q23" s="4" t="str">
        <f ca="1">CELL("contenu",INDIRECT(ADDRESS(ref!$K$6,ref!H22,1,,CELL("contenu",$AC$2))))</f>
        <v>B</v>
      </c>
      <c r="R23" s="5" t="str">
        <f ca="1">CELL("contenu",INDIRECT(ADDRESS(ref!$K$7,ref!E22,1,,CELL("contenu",$AC$2))))</f>
        <v>A</v>
      </c>
      <c r="S23" s="2" t="str">
        <f ca="1">CELL("contenu",INDIRECT(ADDRESS(ref!$K$7,ref!F22,1,,CELL("contenu",$AC$2))))</f>
        <v/>
      </c>
      <c r="T23" s="3" t="str">
        <f ca="1">CELL("contenu",INDIRECT(ADDRESS(ref!$K$7,ref!G22,1,,CELL("contenu",$AC$2))))</f>
        <v/>
      </c>
      <c r="U23" s="4" t="str">
        <f ca="1">CELL("contenu",INDIRECT(ADDRESS(ref!$K$7,ref!H22,1,,CELL("contenu",$AC$2))))</f>
        <v>A</v>
      </c>
      <c r="V23" s="28">
        <f ca="1">CELL("contenu",INDIRECT(ADDRESS(ref!$K$8,ref!E22,1,,CELL("contenu",$AC$2))))</f>
        <v>16.666666666666664</v>
      </c>
      <c r="W23" s="29" t="str">
        <f ca="1">CELL("contenu",INDIRECT(ADDRESS(ref!$K$8,ref!F22,1,,CELL("contenu",$AC$2))))</f>
        <v/>
      </c>
      <c r="X23" s="30" t="str">
        <f ca="1">CELL("contenu",INDIRECT(ADDRESS(ref!$K$8,ref!G22,1,,CELL("contenu",$AC$2))))</f>
        <v/>
      </c>
      <c r="Y23" s="6" t="str">
        <f ca="1">CELL("contenu",INDIRECT(ADDRESS(ref!$K$9,ref!H22,1,,CELL("contenu",$AC$2))))</f>
        <v/>
      </c>
      <c r="Z23" s="3" t="str">
        <f ca="1">CELL("contenu",INDIRECT(ADDRESS(ref!$K$10,ref!H22,1,,CELL("contenu",$AC$2))))</f>
        <v>B</v>
      </c>
      <c r="AA23" s="7" t="str">
        <f ca="1">CELL("contenu",INDIRECT(ADDRESS(ref!$K$11,ref!H22,1,,CELL("contenu",$AC$2))))</f>
        <v>B</v>
      </c>
    </row>
    <row r="24" spans="1:27" x14ac:dyDescent="0.25">
      <c r="A24" s="44" t="str">
        <f t="shared" ca="1" si="0"/>
        <v>RAVIER Sacha</v>
      </c>
      <c r="B24" s="1" t="str">
        <f ca="1">CELL("contenu",INDIRECT(ADDRESS(ref!$K$3,ref!E23,1,,CELL("contenu",$AC$2))))</f>
        <v/>
      </c>
      <c r="C24" s="2" t="str">
        <f ca="1">CELL("contenu",INDIRECT(ADDRESS(ref!$K$3,ref!F23,1,,CELL("contenu",$AC$2))))</f>
        <v/>
      </c>
      <c r="D24" s="3" t="str">
        <f ca="1">CELL("contenu",INDIRECT(ADDRESS(ref!$K$3,ref!G23,1,,CELL("contenu",$AC$2))))</f>
        <v/>
      </c>
      <c r="E24" s="4" t="str">
        <f ca="1">CELL("contenu",INDIRECT(ADDRESS(ref!$K$3,ref!H23,1,,CELL("contenu",$AC$2))))</f>
        <v/>
      </c>
      <c r="F24" s="5" t="str">
        <f ca="1">CELL("contenu",INDIRECT(ADDRESS(ref!$K$4,ref!E23,1,,CELL("contenu",$AC$2))))</f>
        <v>B</v>
      </c>
      <c r="G24" s="2" t="str">
        <f ca="1">CELL("contenu",INDIRECT(ADDRESS(ref!$K$4,ref!F23,1,,CELL("contenu",$AC$2))))</f>
        <v/>
      </c>
      <c r="H24" s="3" t="str">
        <f ca="1">CELL("contenu",INDIRECT(ADDRESS(ref!$K$4,ref!G23,1,,CELL("contenu",$AC$2))))</f>
        <v/>
      </c>
      <c r="I24" s="4" t="str">
        <f ca="1">CELL("contenu",INDIRECT(ADDRESS(ref!$K$4,ref!H23,1,,CELL("contenu",$AC$2))))</f>
        <v>B</v>
      </c>
      <c r="J24" s="5" t="str">
        <f ca="1">CELL("contenu",INDIRECT(ADDRESS(ref!$K$5,ref!E23,1,,CELL("contenu",$AC$2))))</f>
        <v>B</v>
      </c>
      <c r="K24" s="2" t="str">
        <f ca="1">CELL("contenu",INDIRECT(ADDRESS(ref!$K$5,ref!F23,1,,CELL("contenu",$AC$2))))</f>
        <v/>
      </c>
      <c r="L24" s="3" t="str">
        <f ca="1">CELL("contenu",INDIRECT(ADDRESS(ref!$K$5,ref!G23,1,,CELL("contenu",$AC$2))))</f>
        <v/>
      </c>
      <c r="M24" s="4" t="str">
        <f ca="1">CELL("contenu",INDIRECT(ADDRESS(ref!$K$5,ref!H23,1,,CELL("contenu",$AC$2))))</f>
        <v>B</v>
      </c>
      <c r="N24" s="5" t="str">
        <f ca="1">CELL("contenu",INDIRECT(ADDRESS(ref!$K$6,ref!E23,1,,CELL("contenu",$AC$2))))</f>
        <v>B</v>
      </c>
      <c r="O24" s="2" t="str">
        <f ca="1">CELL("contenu",INDIRECT(ADDRESS(ref!$K$6,ref!F23,1,,CELL("contenu",$AC$2))))</f>
        <v/>
      </c>
      <c r="P24" s="3" t="str">
        <f ca="1">CELL("contenu",INDIRECT(ADDRESS(ref!$K$6,ref!G23,1,,CELL("contenu",$AC$2))))</f>
        <v/>
      </c>
      <c r="Q24" s="4" t="str">
        <f ca="1">CELL("contenu",INDIRECT(ADDRESS(ref!$K$6,ref!H23,1,,CELL("contenu",$AC$2))))</f>
        <v>B</v>
      </c>
      <c r="R24" s="5" t="str">
        <f ca="1">CELL("contenu",INDIRECT(ADDRESS(ref!$K$7,ref!E23,1,,CELL("contenu",$AC$2))))</f>
        <v>A</v>
      </c>
      <c r="S24" s="2" t="str">
        <f ca="1">CELL("contenu",INDIRECT(ADDRESS(ref!$K$7,ref!F23,1,,CELL("contenu",$AC$2))))</f>
        <v/>
      </c>
      <c r="T24" s="3" t="str">
        <f ca="1">CELL("contenu",INDIRECT(ADDRESS(ref!$K$7,ref!G23,1,,CELL("contenu",$AC$2))))</f>
        <v/>
      </c>
      <c r="U24" s="4" t="str">
        <f ca="1">CELL("contenu",INDIRECT(ADDRESS(ref!$K$7,ref!H23,1,,CELL("contenu",$AC$2))))</f>
        <v>A</v>
      </c>
      <c r="V24" s="28">
        <f ca="1">CELL("contenu",INDIRECT(ADDRESS(ref!$K$8,ref!E23,1,,CELL("contenu",$AC$2))))</f>
        <v>16.666666666666664</v>
      </c>
      <c r="W24" s="29" t="str">
        <f ca="1">CELL("contenu",INDIRECT(ADDRESS(ref!$K$8,ref!F23,1,,CELL("contenu",$AC$2))))</f>
        <v/>
      </c>
      <c r="X24" s="30" t="str">
        <f ca="1">CELL("contenu",INDIRECT(ADDRESS(ref!$K$8,ref!G23,1,,CELL("contenu",$AC$2))))</f>
        <v/>
      </c>
      <c r="Y24" s="6" t="str">
        <f ca="1">CELL("contenu",INDIRECT(ADDRESS(ref!$K$9,ref!H23,1,,CELL("contenu",$AC$2))))</f>
        <v/>
      </c>
      <c r="Z24" s="3" t="str">
        <f ca="1">CELL("contenu",INDIRECT(ADDRESS(ref!$K$10,ref!H23,1,,CELL("contenu",$AC$2))))</f>
        <v>B</v>
      </c>
      <c r="AA24" s="7" t="str">
        <f ca="1">CELL("contenu",INDIRECT(ADDRESS(ref!$K$11,ref!H23,1,,CELL("contenu",$AC$2))))</f>
        <v>B</v>
      </c>
    </row>
    <row r="25" spans="1:27" x14ac:dyDescent="0.25">
      <c r="A25" s="44" t="str">
        <f t="shared" ca="1" si="0"/>
        <v>ROUSSELLE Camille</v>
      </c>
      <c r="B25" s="1" t="str">
        <f ca="1">CELL("contenu",INDIRECT(ADDRESS(ref!$K$3,ref!E24,1,,CELL("contenu",$AC$2))))</f>
        <v/>
      </c>
      <c r="C25" s="2" t="str">
        <f ca="1">CELL("contenu",INDIRECT(ADDRESS(ref!$K$3,ref!F24,1,,CELL("contenu",$AC$2))))</f>
        <v/>
      </c>
      <c r="D25" s="3" t="str">
        <f ca="1">CELL("contenu",INDIRECT(ADDRESS(ref!$K$3,ref!G24,1,,CELL("contenu",$AC$2))))</f>
        <v/>
      </c>
      <c r="E25" s="4" t="str">
        <f ca="1">CELL("contenu",INDIRECT(ADDRESS(ref!$K$3,ref!H24,1,,CELL("contenu",$AC$2))))</f>
        <v/>
      </c>
      <c r="F25" s="5" t="str">
        <f ca="1">CELL("contenu",INDIRECT(ADDRESS(ref!$K$4,ref!E24,1,,CELL("contenu",$AC$2))))</f>
        <v>C</v>
      </c>
      <c r="G25" s="2" t="str">
        <f ca="1">CELL("contenu",INDIRECT(ADDRESS(ref!$K$4,ref!F24,1,,CELL("contenu",$AC$2))))</f>
        <v/>
      </c>
      <c r="H25" s="3" t="str">
        <f ca="1">CELL("contenu",INDIRECT(ADDRESS(ref!$K$4,ref!G24,1,,CELL("contenu",$AC$2))))</f>
        <v/>
      </c>
      <c r="I25" s="4" t="str">
        <f ca="1">CELL("contenu",INDIRECT(ADDRESS(ref!$K$4,ref!H24,1,,CELL("contenu",$AC$2))))</f>
        <v>C</v>
      </c>
      <c r="J25" s="5" t="str">
        <f ca="1">CELL("contenu",INDIRECT(ADDRESS(ref!$K$5,ref!E24,1,,CELL("contenu",$AC$2))))</f>
        <v>D</v>
      </c>
      <c r="K25" s="2" t="str">
        <f ca="1">CELL("contenu",INDIRECT(ADDRESS(ref!$K$5,ref!F24,1,,CELL("contenu",$AC$2))))</f>
        <v/>
      </c>
      <c r="L25" s="3" t="str">
        <f ca="1">CELL("contenu",INDIRECT(ADDRESS(ref!$K$5,ref!G24,1,,CELL("contenu",$AC$2))))</f>
        <v/>
      </c>
      <c r="M25" s="4" t="str">
        <f ca="1">CELL("contenu",INDIRECT(ADDRESS(ref!$K$5,ref!H24,1,,CELL("contenu",$AC$2))))</f>
        <v>D</v>
      </c>
      <c r="N25" s="5" t="str">
        <f ca="1">CELL("contenu",INDIRECT(ADDRESS(ref!$K$6,ref!E24,1,,CELL("contenu",$AC$2))))</f>
        <v>D</v>
      </c>
      <c r="O25" s="2" t="str">
        <f ca="1">CELL("contenu",INDIRECT(ADDRESS(ref!$K$6,ref!F24,1,,CELL("contenu",$AC$2))))</f>
        <v/>
      </c>
      <c r="P25" s="3" t="str">
        <f ca="1">CELL("contenu",INDIRECT(ADDRESS(ref!$K$6,ref!G24,1,,CELL("contenu",$AC$2))))</f>
        <v/>
      </c>
      <c r="Q25" s="4" t="str">
        <f ca="1">CELL("contenu",INDIRECT(ADDRESS(ref!$K$6,ref!H24,1,,CELL("contenu",$AC$2))))</f>
        <v>D</v>
      </c>
      <c r="R25" s="5" t="str">
        <f ca="1">CELL("contenu",INDIRECT(ADDRESS(ref!$K$7,ref!E24,1,,CELL("contenu",$AC$2))))</f>
        <v>A</v>
      </c>
      <c r="S25" s="2" t="str">
        <f ca="1">CELL("contenu",INDIRECT(ADDRESS(ref!$K$7,ref!F24,1,,CELL("contenu",$AC$2))))</f>
        <v/>
      </c>
      <c r="T25" s="3" t="str">
        <f ca="1">CELL("contenu",INDIRECT(ADDRESS(ref!$K$7,ref!G24,1,,CELL("contenu",$AC$2))))</f>
        <v/>
      </c>
      <c r="U25" s="4" t="str">
        <f ca="1">CELL("contenu",INDIRECT(ADDRESS(ref!$K$7,ref!H24,1,,CELL("contenu",$AC$2))))</f>
        <v>A</v>
      </c>
      <c r="V25" s="28">
        <f ca="1">CELL("contenu",INDIRECT(ADDRESS(ref!$K$8,ref!E24,1,,CELL("contenu",$AC$2))))</f>
        <v>10</v>
      </c>
      <c r="W25" s="29" t="str">
        <f ca="1">CELL("contenu",INDIRECT(ADDRESS(ref!$K$8,ref!F24,1,,CELL("contenu",$AC$2))))</f>
        <v/>
      </c>
      <c r="X25" s="30" t="str">
        <f ca="1">CELL("contenu",INDIRECT(ADDRESS(ref!$K$8,ref!G24,1,,CELL("contenu",$AC$2))))</f>
        <v/>
      </c>
      <c r="Y25" s="6" t="str">
        <f ca="1">CELL("contenu",INDIRECT(ADDRESS(ref!$K$9,ref!H24,1,,CELL("contenu",$AC$2))))</f>
        <v/>
      </c>
      <c r="Z25" s="3" t="str">
        <f ca="1">CELL("contenu",INDIRECT(ADDRESS(ref!$K$10,ref!H24,1,,CELL("contenu",$AC$2))))</f>
        <v>D</v>
      </c>
      <c r="AA25" s="7" t="str">
        <f ca="1">CELL("contenu",INDIRECT(ADDRESS(ref!$K$11,ref!H24,1,,CELL("contenu",$AC$2))))</f>
        <v>D</v>
      </c>
    </row>
    <row r="26" spans="1:27" x14ac:dyDescent="0.25">
      <c r="A26" s="44" t="str">
        <f t="shared" ca="1" si="0"/>
        <v>SALNOT Bertille</v>
      </c>
      <c r="B26" s="1" t="str">
        <f ca="1">CELL("contenu",INDIRECT(ADDRESS(ref!$K$3,ref!E25,1,,CELL("contenu",$AC$2))))</f>
        <v/>
      </c>
      <c r="C26" s="2" t="str">
        <f ca="1">CELL("contenu",INDIRECT(ADDRESS(ref!$K$3,ref!F25,1,,CELL("contenu",$AC$2))))</f>
        <v/>
      </c>
      <c r="D26" s="3" t="str">
        <f ca="1">CELL("contenu",INDIRECT(ADDRESS(ref!$K$3,ref!G25,1,,CELL("contenu",$AC$2))))</f>
        <v/>
      </c>
      <c r="E26" s="4" t="str">
        <f ca="1">CELL("contenu",INDIRECT(ADDRESS(ref!$K$3,ref!H25,1,,CELL("contenu",$AC$2))))</f>
        <v/>
      </c>
      <c r="F26" s="5" t="str">
        <f ca="1">CELL("contenu",INDIRECT(ADDRESS(ref!$K$4,ref!E25,1,,CELL("contenu",$AC$2))))</f>
        <v/>
      </c>
      <c r="G26" s="2" t="str">
        <f ca="1">CELL("contenu",INDIRECT(ADDRESS(ref!$K$4,ref!F25,1,,CELL("contenu",$AC$2))))</f>
        <v/>
      </c>
      <c r="H26" s="3" t="str">
        <f ca="1">CELL("contenu",INDIRECT(ADDRESS(ref!$K$4,ref!G25,1,,CELL("contenu",$AC$2))))</f>
        <v/>
      </c>
      <c r="I26" s="4" t="str">
        <f ca="1">CELL("contenu",INDIRECT(ADDRESS(ref!$K$4,ref!H25,1,,CELL("contenu",$AC$2))))</f>
        <v/>
      </c>
      <c r="J26" s="5" t="str">
        <f ca="1">CELL("contenu",INDIRECT(ADDRESS(ref!$K$5,ref!E25,1,,CELL("contenu",$AC$2))))</f>
        <v/>
      </c>
      <c r="K26" s="2" t="str">
        <f ca="1">CELL("contenu",INDIRECT(ADDRESS(ref!$K$5,ref!F25,1,,CELL("contenu",$AC$2))))</f>
        <v/>
      </c>
      <c r="L26" s="3" t="str">
        <f ca="1">CELL("contenu",INDIRECT(ADDRESS(ref!$K$5,ref!G25,1,,CELL("contenu",$AC$2))))</f>
        <v/>
      </c>
      <c r="M26" s="4" t="str">
        <f ca="1">CELL("contenu",INDIRECT(ADDRESS(ref!$K$5,ref!H25,1,,CELL("contenu",$AC$2))))</f>
        <v/>
      </c>
      <c r="N26" s="5" t="str">
        <f ca="1">CELL("contenu",INDIRECT(ADDRESS(ref!$K$6,ref!E25,1,,CELL("contenu",$AC$2))))</f>
        <v/>
      </c>
      <c r="O26" s="2" t="str">
        <f ca="1">CELL("contenu",INDIRECT(ADDRESS(ref!$K$6,ref!F25,1,,CELL("contenu",$AC$2))))</f>
        <v/>
      </c>
      <c r="P26" s="3" t="str">
        <f ca="1">CELL("contenu",INDIRECT(ADDRESS(ref!$K$6,ref!G25,1,,CELL("contenu",$AC$2))))</f>
        <v/>
      </c>
      <c r="Q26" s="4" t="str">
        <f ca="1">CELL("contenu",INDIRECT(ADDRESS(ref!$K$6,ref!H25,1,,CELL("contenu",$AC$2))))</f>
        <v/>
      </c>
      <c r="R26" s="5" t="str">
        <f ca="1">CELL("contenu",INDIRECT(ADDRESS(ref!$K$7,ref!E25,1,,CELL("contenu",$AC$2))))</f>
        <v/>
      </c>
      <c r="S26" s="2" t="str">
        <f ca="1">CELL("contenu",INDIRECT(ADDRESS(ref!$K$7,ref!F25,1,,CELL("contenu",$AC$2))))</f>
        <v/>
      </c>
      <c r="T26" s="3" t="str">
        <f ca="1">CELL("contenu",INDIRECT(ADDRESS(ref!$K$7,ref!G25,1,,CELL("contenu",$AC$2))))</f>
        <v/>
      </c>
      <c r="U26" s="4" t="str">
        <f ca="1">CELL("contenu",INDIRECT(ADDRESS(ref!$K$7,ref!H25,1,,CELL("contenu",$AC$2))))</f>
        <v/>
      </c>
      <c r="V26" s="28" t="str">
        <f ca="1">CELL("contenu",INDIRECT(ADDRESS(ref!$K$8,ref!E25,1,,CELL("contenu",$AC$2))))</f>
        <v/>
      </c>
      <c r="W26" s="29" t="str">
        <f ca="1">CELL("contenu",INDIRECT(ADDRESS(ref!$K$8,ref!F25,1,,CELL("contenu",$AC$2))))</f>
        <v/>
      </c>
      <c r="X26" s="30" t="str">
        <f ca="1">CELL("contenu",INDIRECT(ADDRESS(ref!$K$8,ref!G25,1,,CELL("contenu",$AC$2))))</f>
        <v/>
      </c>
      <c r="Y26" s="6" t="str">
        <f ca="1">CELL("contenu",INDIRECT(ADDRESS(ref!$K$9,ref!H25,1,,CELL("contenu",$AC$2))))</f>
        <v/>
      </c>
      <c r="Z26" s="3" t="str">
        <f ca="1">CELL("contenu",INDIRECT(ADDRESS(ref!$K$10,ref!H25,1,,CELL("contenu",$AC$2))))</f>
        <v/>
      </c>
      <c r="AA26" s="7" t="str">
        <f ca="1">CELL("contenu",INDIRECT(ADDRESS(ref!$K$11,ref!H25,1,,CELL("contenu",$AC$2))))</f>
        <v/>
      </c>
    </row>
    <row r="27" spans="1:27" x14ac:dyDescent="0.25">
      <c r="A27" s="44" t="str">
        <f t="shared" ca="1" si="0"/>
        <v>SOULEZ Soizic</v>
      </c>
      <c r="B27" s="1" t="str">
        <f ca="1">CELL("contenu",INDIRECT(ADDRESS(ref!$K$3,ref!E26,1,,CELL("contenu",$AC$2))))</f>
        <v/>
      </c>
      <c r="C27" s="2" t="str">
        <f ca="1">CELL("contenu",INDIRECT(ADDRESS(ref!$K$3,ref!F26,1,,CELL("contenu",$AC$2))))</f>
        <v/>
      </c>
      <c r="D27" s="3" t="str">
        <f ca="1">CELL("contenu",INDIRECT(ADDRESS(ref!$K$3,ref!G26,1,,CELL("contenu",$AC$2))))</f>
        <v/>
      </c>
      <c r="E27" s="4" t="str">
        <f ca="1">CELL("contenu",INDIRECT(ADDRESS(ref!$K$3,ref!H26,1,,CELL("contenu",$AC$2))))</f>
        <v/>
      </c>
      <c r="F27" s="5" t="str">
        <f ca="1">CELL("contenu",INDIRECT(ADDRESS(ref!$K$4,ref!E26,1,,CELL("contenu",$AC$2))))</f>
        <v>D</v>
      </c>
      <c r="G27" s="2" t="str">
        <f ca="1">CELL("contenu",INDIRECT(ADDRESS(ref!$K$4,ref!F26,1,,CELL("contenu",$AC$2))))</f>
        <v/>
      </c>
      <c r="H27" s="3" t="str">
        <f ca="1">CELL("contenu",INDIRECT(ADDRESS(ref!$K$4,ref!G26,1,,CELL("contenu",$AC$2))))</f>
        <v/>
      </c>
      <c r="I27" s="4" t="str">
        <f ca="1">CELL("contenu",INDIRECT(ADDRESS(ref!$K$4,ref!H26,1,,CELL("contenu",$AC$2))))</f>
        <v>D</v>
      </c>
      <c r="J27" s="5" t="str">
        <f ca="1">CELL("contenu",INDIRECT(ADDRESS(ref!$K$5,ref!E26,1,,CELL("contenu",$AC$2))))</f>
        <v>B</v>
      </c>
      <c r="K27" s="2" t="str">
        <f ca="1">CELL("contenu",INDIRECT(ADDRESS(ref!$K$5,ref!F26,1,,CELL("contenu",$AC$2))))</f>
        <v/>
      </c>
      <c r="L27" s="3" t="str">
        <f ca="1">CELL("contenu",INDIRECT(ADDRESS(ref!$K$5,ref!G26,1,,CELL("contenu",$AC$2))))</f>
        <v/>
      </c>
      <c r="M27" s="4" t="str">
        <f ca="1">CELL("contenu",INDIRECT(ADDRESS(ref!$K$5,ref!H26,1,,CELL("contenu",$AC$2))))</f>
        <v>B</v>
      </c>
      <c r="N27" s="5" t="str">
        <f ca="1">CELL("contenu",INDIRECT(ADDRESS(ref!$K$6,ref!E26,1,,CELL("contenu",$AC$2))))</f>
        <v>C</v>
      </c>
      <c r="O27" s="2" t="str">
        <f ca="1">CELL("contenu",INDIRECT(ADDRESS(ref!$K$6,ref!F26,1,,CELL("contenu",$AC$2))))</f>
        <v/>
      </c>
      <c r="P27" s="3" t="str">
        <f ca="1">CELL("contenu",INDIRECT(ADDRESS(ref!$K$6,ref!G26,1,,CELL("contenu",$AC$2))))</f>
        <v/>
      </c>
      <c r="Q27" s="4" t="str">
        <f ca="1">CELL("contenu",INDIRECT(ADDRESS(ref!$K$6,ref!H26,1,,CELL("contenu",$AC$2))))</f>
        <v>C</v>
      </c>
      <c r="R27" s="5" t="str">
        <f ca="1">CELL("contenu",INDIRECT(ADDRESS(ref!$K$7,ref!E26,1,,CELL("contenu",$AC$2))))</f>
        <v>A</v>
      </c>
      <c r="S27" s="2" t="str">
        <f ca="1">CELL("contenu",INDIRECT(ADDRESS(ref!$K$7,ref!F26,1,,CELL("contenu",$AC$2))))</f>
        <v/>
      </c>
      <c r="T27" s="3" t="str">
        <f ca="1">CELL("contenu",INDIRECT(ADDRESS(ref!$K$7,ref!G26,1,,CELL("contenu",$AC$2))))</f>
        <v/>
      </c>
      <c r="U27" s="4" t="str">
        <f ca="1">CELL("contenu",INDIRECT(ADDRESS(ref!$K$7,ref!H26,1,,CELL("contenu",$AC$2))))</f>
        <v>A</v>
      </c>
      <c r="V27" s="28">
        <f ca="1">CELL("contenu",INDIRECT(ADDRESS(ref!$K$8,ref!E26,1,,CELL("contenu",$AC$2))))</f>
        <v>11.666666666666666</v>
      </c>
      <c r="W27" s="29" t="str">
        <f ca="1">CELL("contenu",INDIRECT(ADDRESS(ref!$K$8,ref!F26,1,,CELL("contenu",$AC$2))))</f>
        <v/>
      </c>
      <c r="X27" s="30" t="str">
        <f ca="1">CELL("contenu",INDIRECT(ADDRESS(ref!$K$8,ref!G26,1,,CELL("contenu",$AC$2))))</f>
        <v/>
      </c>
      <c r="Y27" s="6" t="str">
        <f ca="1">CELL("contenu",INDIRECT(ADDRESS(ref!$K$9,ref!H26,1,,CELL("contenu",$AC$2))))</f>
        <v/>
      </c>
      <c r="Z27" s="3" t="str">
        <f ca="1">CELL("contenu",INDIRECT(ADDRESS(ref!$K$10,ref!H26,1,,CELL("contenu",$AC$2))))</f>
        <v>B</v>
      </c>
      <c r="AA27" s="7" t="str">
        <f ca="1">CELL("contenu",INDIRECT(ADDRESS(ref!$K$11,ref!H26,1,,CELL("contenu",$AC$2))))</f>
        <v>C</v>
      </c>
    </row>
    <row r="28" spans="1:27" x14ac:dyDescent="0.25">
      <c r="A28" s="44" t="str">
        <f t="shared" ca="1" si="0"/>
        <v>VALLEE Constance</v>
      </c>
      <c r="B28" s="1" t="str">
        <f ca="1">CELL("contenu",INDIRECT(ADDRESS(ref!$K$3,ref!E27,1,,CELL("contenu",$AC$2))))</f>
        <v/>
      </c>
      <c r="C28" s="2" t="str">
        <f ca="1">CELL("contenu",INDIRECT(ADDRESS(ref!$K$3,ref!F27,1,,CELL("contenu",$AC$2))))</f>
        <v/>
      </c>
      <c r="D28" s="3" t="str">
        <f ca="1">CELL("contenu",INDIRECT(ADDRESS(ref!$K$3,ref!G27,1,,CELL("contenu",$AC$2))))</f>
        <v/>
      </c>
      <c r="E28" s="4" t="str">
        <f ca="1">CELL("contenu",INDIRECT(ADDRESS(ref!$K$3,ref!H27,1,,CELL("contenu",$AC$2))))</f>
        <v/>
      </c>
      <c r="F28" s="5" t="str">
        <f ca="1">CELL("contenu",INDIRECT(ADDRESS(ref!$K$4,ref!E27,1,,CELL("contenu",$AC$2))))</f>
        <v>B</v>
      </c>
      <c r="G28" s="2" t="str">
        <f ca="1">CELL("contenu",INDIRECT(ADDRESS(ref!$K$4,ref!F27,1,,CELL("contenu",$AC$2))))</f>
        <v/>
      </c>
      <c r="H28" s="3" t="str">
        <f ca="1">CELL("contenu",INDIRECT(ADDRESS(ref!$K$4,ref!G27,1,,CELL("contenu",$AC$2))))</f>
        <v/>
      </c>
      <c r="I28" s="4" t="str">
        <f ca="1">CELL("contenu",INDIRECT(ADDRESS(ref!$K$4,ref!H27,1,,CELL("contenu",$AC$2))))</f>
        <v>B</v>
      </c>
      <c r="J28" s="5" t="str">
        <f ca="1">CELL("contenu",INDIRECT(ADDRESS(ref!$K$5,ref!E27,1,,CELL("contenu",$AC$2))))</f>
        <v>B</v>
      </c>
      <c r="K28" s="2" t="str">
        <f ca="1">CELL("contenu",INDIRECT(ADDRESS(ref!$K$5,ref!F27,1,,CELL("contenu",$AC$2))))</f>
        <v/>
      </c>
      <c r="L28" s="3" t="str">
        <f ca="1">CELL("contenu",INDIRECT(ADDRESS(ref!$K$5,ref!G27,1,,CELL("contenu",$AC$2))))</f>
        <v/>
      </c>
      <c r="M28" s="4" t="str">
        <f ca="1">CELL("contenu",INDIRECT(ADDRESS(ref!$K$5,ref!H27,1,,CELL("contenu",$AC$2))))</f>
        <v>B</v>
      </c>
      <c r="N28" s="5" t="str">
        <f ca="1">CELL("contenu",INDIRECT(ADDRESS(ref!$K$6,ref!E27,1,,CELL("contenu",$AC$2))))</f>
        <v>B</v>
      </c>
      <c r="O28" s="2" t="str">
        <f ca="1">CELL("contenu",INDIRECT(ADDRESS(ref!$K$6,ref!F27,1,,CELL("contenu",$AC$2))))</f>
        <v/>
      </c>
      <c r="P28" s="3" t="str">
        <f ca="1">CELL("contenu",INDIRECT(ADDRESS(ref!$K$6,ref!G27,1,,CELL("contenu",$AC$2))))</f>
        <v/>
      </c>
      <c r="Q28" s="4" t="str">
        <f ca="1">CELL("contenu",INDIRECT(ADDRESS(ref!$K$6,ref!H27,1,,CELL("contenu",$AC$2))))</f>
        <v>B</v>
      </c>
      <c r="R28" s="5" t="str">
        <f ca="1">CELL("contenu",INDIRECT(ADDRESS(ref!$K$7,ref!E27,1,,CELL("contenu",$AC$2))))</f>
        <v>A</v>
      </c>
      <c r="S28" s="2" t="str">
        <f ca="1">CELL("contenu",INDIRECT(ADDRESS(ref!$K$7,ref!F27,1,,CELL("contenu",$AC$2))))</f>
        <v/>
      </c>
      <c r="T28" s="3" t="str">
        <f ca="1">CELL("contenu",INDIRECT(ADDRESS(ref!$K$7,ref!G27,1,,CELL("contenu",$AC$2))))</f>
        <v/>
      </c>
      <c r="U28" s="4" t="str">
        <f ca="1">CELL("contenu",INDIRECT(ADDRESS(ref!$K$7,ref!H27,1,,CELL("contenu",$AC$2))))</f>
        <v>A</v>
      </c>
      <c r="V28" s="28">
        <f ca="1">CELL("contenu",INDIRECT(ADDRESS(ref!$K$8,ref!E27,1,,CELL("contenu",$AC$2))))</f>
        <v>16.666666666666664</v>
      </c>
      <c r="W28" s="29" t="str">
        <f ca="1">CELL("contenu",INDIRECT(ADDRESS(ref!$K$8,ref!F27,1,,CELL("contenu",$AC$2))))</f>
        <v/>
      </c>
      <c r="X28" s="30" t="str">
        <f ca="1">CELL("contenu",INDIRECT(ADDRESS(ref!$K$8,ref!G27,1,,CELL("contenu",$AC$2))))</f>
        <v/>
      </c>
      <c r="Y28" s="6" t="str">
        <f ca="1">CELL("contenu",INDIRECT(ADDRESS(ref!$K$9,ref!H27,1,,CELL("contenu",$AC$2))))</f>
        <v/>
      </c>
      <c r="Z28" s="3" t="str">
        <f ca="1">CELL("contenu",INDIRECT(ADDRESS(ref!$K$10,ref!H27,1,,CELL("contenu",$AC$2))))</f>
        <v>B</v>
      </c>
      <c r="AA28" s="7" t="str">
        <f ca="1">CELL("contenu",INDIRECT(ADDRESS(ref!$K$11,ref!H27,1,,CELL("contenu",$AC$2))))</f>
        <v>B</v>
      </c>
    </row>
    <row r="29" spans="1:27" x14ac:dyDescent="0.25">
      <c r="A29" s="44" t="str">
        <f t="shared" ca="1" si="0"/>
        <v>VEYRET-LOGERIAS Mahaut</v>
      </c>
      <c r="B29" s="1" t="str">
        <f ca="1">CELL("contenu",INDIRECT(ADDRESS(ref!$K$3,ref!E28,1,,CELL("contenu",$AC$2))))</f>
        <v/>
      </c>
      <c r="C29" s="2" t="str">
        <f ca="1">CELL("contenu",INDIRECT(ADDRESS(ref!$K$3,ref!F28,1,,CELL("contenu",$AC$2))))</f>
        <v/>
      </c>
      <c r="D29" s="3" t="str">
        <f ca="1">CELL("contenu",INDIRECT(ADDRESS(ref!$K$3,ref!G28,1,,CELL("contenu",$AC$2))))</f>
        <v/>
      </c>
      <c r="E29" s="4" t="str">
        <f ca="1">CELL("contenu",INDIRECT(ADDRESS(ref!$K$3,ref!H28,1,,CELL("contenu",$AC$2))))</f>
        <v/>
      </c>
      <c r="F29" s="5" t="str">
        <f ca="1">CELL("contenu",INDIRECT(ADDRESS(ref!$K$4,ref!E28,1,,CELL("contenu",$AC$2))))</f>
        <v>B</v>
      </c>
      <c r="G29" s="2" t="str">
        <f ca="1">CELL("contenu",INDIRECT(ADDRESS(ref!$K$4,ref!F28,1,,CELL("contenu",$AC$2))))</f>
        <v/>
      </c>
      <c r="H29" s="3" t="str">
        <f ca="1">CELL("contenu",INDIRECT(ADDRESS(ref!$K$4,ref!G28,1,,CELL("contenu",$AC$2))))</f>
        <v/>
      </c>
      <c r="I29" s="4" t="str">
        <f ca="1">CELL("contenu",INDIRECT(ADDRESS(ref!$K$4,ref!H28,1,,CELL("contenu",$AC$2))))</f>
        <v>B</v>
      </c>
      <c r="J29" s="5" t="str">
        <f ca="1">CELL("contenu",INDIRECT(ADDRESS(ref!$K$5,ref!E28,1,,CELL("contenu",$AC$2))))</f>
        <v>C</v>
      </c>
      <c r="K29" s="2" t="str">
        <f ca="1">CELL("contenu",INDIRECT(ADDRESS(ref!$K$5,ref!F28,1,,CELL("contenu",$AC$2))))</f>
        <v/>
      </c>
      <c r="L29" s="3" t="str">
        <f ca="1">CELL("contenu",INDIRECT(ADDRESS(ref!$K$5,ref!G28,1,,CELL("contenu",$AC$2))))</f>
        <v/>
      </c>
      <c r="M29" s="4" t="str">
        <f ca="1">CELL("contenu",INDIRECT(ADDRESS(ref!$K$5,ref!H28,1,,CELL("contenu",$AC$2))))</f>
        <v>C</v>
      </c>
      <c r="N29" s="5" t="str">
        <f ca="1">CELL("contenu",INDIRECT(ADDRESS(ref!$K$6,ref!E28,1,,CELL("contenu",$AC$2))))</f>
        <v>C</v>
      </c>
      <c r="O29" s="2" t="str">
        <f ca="1">CELL("contenu",INDIRECT(ADDRESS(ref!$K$6,ref!F28,1,,CELL("contenu",$AC$2))))</f>
        <v/>
      </c>
      <c r="P29" s="3" t="str">
        <f ca="1">CELL("contenu",INDIRECT(ADDRESS(ref!$K$6,ref!G28,1,,CELL("contenu",$AC$2))))</f>
        <v/>
      </c>
      <c r="Q29" s="4" t="str">
        <f ca="1">CELL("contenu",INDIRECT(ADDRESS(ref!$K$6,ref!H28,1,,CELL("contenu",$AC$2))))</f>
        <v>C</v>
      </c>
      <c r="R29" s="5" t="str">
        <f ca="1">CELL("contenu",INDIRECT(ADDRESS(ref!$K$7,ref!E28,1,,CELL("contenu",$AC$2))))</f>
        <v>A</v>
      </c>
      <c r="S29" s="2" t="str">
        <f ca="1">CELL("contenu",INDIRECT(ADDRESS(ref!$K$7,ref!F28,1,,CELL("contenu",$AC$2))))</f>
        <v/>
      </c>
      <c r="T29" s="3" t="str">
        <f ca="1">CELL("contenu",INDIRECT(ADDRESS(ref!$K$7,ref!G28,1,,CELL("contenu",$AC$2))))</f>
        <v/>
      </c>
      <c r="U29" s="4" t="str">
        <f ca="1">CELL("contenu",INDIRECT(ADDRESS(ref!$K$7,ref!H28,1,,CELL("contenu",$AC$2))))</f>
        <v>A</v>
      </c>
      <c r="V29" s="28">
        <f ca="1">CELL("contenu",INDIRECT(ADDRESS(ref!$K$8,ref!E28,1,,CELL("contenu",$AC$2))))</f>
        <v>14.166666666666666</v>
      </c>
      <c r="W29" s="29" t="str">
        <f ca="1">CELL("contenu",INDIRECT(ADDRESS(ref!$K$8,ref!F28,1,,CELL("contenu",$AC$2))))</f>
        <v/>
      </c>
      <c r="X29" s="30" t="str">
        <f ca="1">CELL("contenu",INDIRECT(ADDRESS(ref!$K$8,ref!G28,1,,CELL("contenu",$AC$2))))</f>
        <v/>
      </c>
      <c r="Y29" s="6" t="str">
        <f ca="1">CELL("contenu",INDIRECT(ADDRESS(ref!$K$9,ref!H28,1,,CELL("contenu",$AC$2))))</f>
        <v/>
      </c>
      <c r="Z29" s="3" t="str">
        <f ca="1">CELL("contenu",INDIRECT(ADDRESS(ref!$K$10,ref!H28,1,,CELL("contenu",$AC$2))))</f>
        <v>C</v>
      </c>
      <c r="AA29" s="7" t="str">
        <f ca="1">CELL("contenu",INDIRECT(ADDRESS(ref!$K$11,ref!H28,1,,CELL("contenu",$AC$2))))</f>
        <v>C</v>
      </c>
    </row>
    <row r="30" spans="1:27" x14ac:dyDescent="0.25">
      <c r="A30" s="44" t="str">
        <f t="shared" ca="1" si="0"/>
        <v>VIRVOULVET Louis</v>
      </c>
      <c r="B30" s="1" t="str">
        <f ca="1">CELL("contenu",INDIRECT(ADDRESS(ref!$K$3,ref!E29,1,,CELL("contenu",$AC$2))))</f>
        <v/>
      </c>
      <c r="C30" s="2" t="str">
        <f ca="1">CELL("contenu",INDIRECT(ADDRESS(ref!$K$3,ref!F29,1,,CELL("contenu",$AC$2))))</f>
        <v/>
      </c>
      <c r="D30" s="3" t="str">
        <f ca="1">CELL("contenu",INDIRECT(ADDRESS(ref!$K$3,ref!G29,1,,CELL("contenu",$AC$2))))</f>
        <v/>
      </c>
      <c r="E30" s="4" t="str">
        <f ca="1">CELL("contenu",INDIRECT(ADDRESS(ref!$K$3,ref!H29,1,,CELL("contenu",$AC$2))))</f>
        <v/>
      </c>
      <c r="F30" s="5" t="str">
        <f ca="1">CELL("contenu",INDIRECT(ADDRESS(ref!$K$4,ref!E29,1,,CELL("contenu",$AC$2))))</f>
        <v>B</v>
      </c>
      <c r="G30" s="2" t="str">
        <f ca="1">CELL("contenu",INDIRECT(ADDRESS(ref!$K$4,ref!F29,1,,CELL("contenu",$AC$2))))</f>
        <v/>
      </c>
      <c r="H30" s="3" t="str">
        <f ca="1">CELL("contenu",INDIRECT(ADDRESS(ref!$K$4,ref!G29,1,,CELL("contenu",$AC$2))))</f>
        <v/>
      </c>
      <c r="I30" s="4" t="str">
        <f ca="1">CELL("contenu",INDIRECT(ADDRESS(ref!$K$4,ref!H29,1,,CELL("contenu",$AC$2))))</f>
        <v>B</v>
      </c>
      <c r="J30" s="5" t="str">
        <f ca="1">CELL("contenu",INDIRECT(ADDRESS(ref!$K$5,ref!E29,1,,CELL("contenu",$AC$2))))</f>
        <v>C</v>
      </c>
      <c r="K30" s="2" t="str">
        <f ca="1">CELL("contenu",INDIRECT(ADDRESS(ref!$K$5,ref!F29,1,,CELL("contenu",$AC$2))))</f>
        <v/>
      </c>
      <c r="L30" s="3" t="str">
        <f ca="1">CELL("contenu",INDIRECT(ADDRESS(ref!$K$5,ref!G29,1,,CELL("contenu",$AC$2))))</f>
        <v/>
      </c>
      <c r="M30" s="4" t="str">
        <f ca="1">CELL("contenu",INDIRECT(ADDRESS(ref!$K$5,ref!H29,1,,CELL("contenu",$AC$2))))</f>
        <v>C</v>
      </c>
      <c r="N30" s="5" t="str">
        <f ca="1">CELL("contenu",INDIRECT(ADDRESS(ref!$K$6,ref!E29,1,,CELL("contenu",$AC$2))))</f>
        <v>A</v>
      </c>
      <c r="O30" s="2" t="str">
        <f ca="1">CELL("contenu",INDIRECT(ADDRESS(ref!$K$6,ref!F29,1,,CELL("contenu",$AC$2))))</f>
        <v/>
      </c>
      <c r="P30" s="3" t="str">
        <f ca="1">CELL("contenu",INDIRECT(ADDRESS(ref!$K$6,ref!G29,1,,CELL("contenu",$AC$2))))</f>
        <v/>
      </c>
      <c r="Q30" s="4" t="str">
        <f ca="1">CELL("contenu",INDIRECT(ADDRESS(ref!$K$6,ref!H29,1,,CELL("contenu",$AC$2))))</f>
        <v>A</v>
      </c>
      <c r="R30" s="5" t="str">
        <f ca="1">CELL("contenu",INDIRECT(ADDRESS(ref!$K$7,ref!E29,1,,CELL("contenu",$AC$2))))</f>
        <v>A</v>
      </c>
      <c r="S30" s="2" t="str">
        <f ca="1">CELL("contenu",INDIRECT(ADDRESS(ref!$K$7,ref!F29,1,,CELL("contenu",$AC$2))))</f>
        <v/>
      </c>
      <c r="T30" s="3" t="str">
        <f ca="1">CELL("contenu",INDIRECT(ADDRESS(ref!$K$7,ref!G29,1,,CELL("contenu",$AC$2))))</f>
        <v/>
      </c>
      <c r="U30" s="4" t="str">
        <f ca="1">CELL("contenu",INDIRECT(ADDRESS(ref!$K$7,ref!H29,1,,CELL("contenu",$AC$2))))</f>
        <v>A</v>
      </c>
      <c r="V30" s="28">
        <f ca="1">CELL("contenu",INDIRECT(ADDRESS(ref!$K$8,ref!E29,1,,CELL("contenu",$AC$2))))</f>
        <v>17.5</v>
      </c>
      <c r="W30" s="29" t="str">
        <f ca="1">CELL("contenu",INDIRECT(ADDRESS(ref!$K$8,ref!F29,1,,CELL("contenu",$AC$2))))</f>
        <v/>
      </c>
      <c r="X30" s="30" t="str">
        <f ca="1">CELL("contenu",INDIRECT(ADDRESS(ref!$K$8,ref!G29,1,,CELL("contenu",$AC$2))))</f>
        <v/>
      </c>
      <c r="Y30" s="6" t="str">
        <f ca="1">CELL("contenu",INDIRECT(ADDRESS(ref!$K$9,ref!H29,1,,CELL("contenu",$AC$2))))</f>
        <v/>
      </c>
      <c r="Z30" s="3" t="str">
        <f ca="1">CELL("contenu",INDIRECT(ADDRESS(ref!$K$10,ref!H29,1,,CELL("contenu",$AC$2))))</f>
        <v>C</v>
      </c>
      <c r="AA30" s="7" t="str">
        <f ca="1">CELL("contenu",INDIRECT(ADDRESS(ref!$K$11,ref!H29,1,,CELL("contenu",$AC$2))))</f>
        <v>A</v>
      </c>
    </row>
    <row r="31" spans="1:27" x14ac:dyDescent="0.25">
      <c r="A31" s="44">
        <f ca="1">CELL("contenu",INDIRECT(ADDRESS(ROW()-2,3,1,,CELL("contenu",$AC$3))))</f>
        <v>0</v>
      </c>
      <c r="B31" s="1" t="str">
        <f ca="1">CELL("contenu",INDIRECT(ADDRESS(ref!$K$3,ref!E30,1,,CELL("contenu",$AC$2))))</f>
        <v/>
      </c>
      <c r="C31" s="2" t="str">
        <f ca="1">CELL("contenu",INDIRECT(ADDRESS(ref!$K$3,ref!F30,1,,CELL("contenu",$AC$2))))</f>
        <v/>
      </c>
      <c r="D31" s="3" t="str">
        <f ca="1">CELL("contenu",INDIRECT(ADDRESS(ref!$K$3,ref!G30,1,,CELL("contenu",$AC$2))))</f>
        <v/>
      </c>
      <c r="E31" s="4" t="str">
        <f ca="1">CELL("contenu",INDIRECT(ADDRESS(ref!$K$3,ref!H30,1,,CELL("contenu",$AC$2))))</f>
        <v/>
      </c>
      <c r="F31" s="5" t="str">
        <f ca="1">CELL("contenu",INDIRECT(ADDRESS(ref!$K$4,ref!E30,1,,CELL("contenu",$AC$2))))</f>
        <v/>
      </c>
      <c r="G31" s="2" t="str">
        <f ca="1">CELL("contenu",INDIRECT(ADDRESS(ref!$K$4,ref!F30,1,,CELL("contenu",$AC$2))))</f>
        <v/>
      </c>
      <c r="H31" s="3" t="str">
        <f ca="1">CELL("contenu",INDIRECT(ADDRESS(ref!$K$4,ref!G30,1,,CELL("contenu",$AC$2))))</f>
        <v/>
      </c>
      <c r="I31" s="4" t="str">
        <f ca="1">CELL("contenu",INDIRECT(ADDRESS(ref!$K$4,ref!H30,1,,CELL("contenu",$AC$2))))</f>
        <v/>
      </c>
      <c r="J31" s="5" t="str">
        <f ca="1">CELL("contenu",INDIRECT(ADDRESS(ref!$K$5,ref!E30,1,,CELL("contenu",$AC$2))))</f>
        <v/>
      </c>
      <c r="K31" s="2" t="str">
        <f ca="1">CELL("contenu",INDIRECT(ADDRESS(ref!$K$5,ref!F30,1,,CELL("contenu",$AC$2))))</f>
        <v/>
      </c>
      <c r="L31" s="3" t="str">
        <f ca="1">CELL("contenu",INDIRECT(ADDRESS(ref!$K$5,ref!G30,1,,CELL("contenu",$AC$2))))</f>
        <v/>
      </c>
      <c r="M31" s="4" t="str">
        <f ca="1">CELL("contenu",INDIRECT(ADDRESS(ref!$K$5,ref!H30,1,,CELL("contenu",$AC$2))))</f>
        <v/>
      </c>
      <c r="N31" s="5" t="str">
        <f ca="1">CELL("contenu",INDIRECT(ADDRESS(ref!$K$6,ref!E30,1,,CELL("contenu",$AC$2))))</f>
        <v/>
      </c>
      <c r="O31" s="2" t="str">
        <f ca="1">CELL("contenu",INDIRECT(ADDRESS(ref!$K$6,ref!F30,1,,CELL("contenu",$AC$2))))</f>
        <v/>
      </c>
      <c r="P31" s="3" t="str">
        <f ca="1">CELL("contenu",INDIRECT(ADDRESS(ref!$K$6,ref!G30,1,,CELL("contenu",$AC$2))))</f>
        <v/>
      </c>
      <c r="Q31" s="4" t="str">
        <f ca="1">CELL("contenu",INDIRECT(ADDRESS(ref!$K$6,ref!H30,1,,CELL("contenu",$AC$2))))</f>
        <v/>
      </c>
      <c r="R31" s="5" t="str">
        <f ca="1">CELL("contenu",INDIRECT(ADDRESS(ref!$K$7,ref!E30,1,,CELL("contenu",$AC$2))))</f>
        <v/>
      </c>
      <c r="S31" s="2" t="str">
        <f ca="1">CELL("contenu",INDIRECT(ADDRESS(ref!$K$7,ref!F30,1,,CELL("contenu",$AC$2))))</f>
        <v/>
      </c>
      <c r="T31" s="3" t="str">
        <f ca="1">CELL("contenu",INDIRECT(ADDRESS(ref!$K$7,ref!G30,1,,CELL("contenu",$AC$2))))</f>
        <v/>
      </c>
      <c r="U31" s="4" t="str">
        <f ca="1">CELL("contenu",INDIRECT(ADDRESS(ref!$K$7,ref!H30,1,,CELL("contenu",$AC$2))))</f>
        <v/>
      </c>
      <c r="V31" s="28" t="str">
        <f ca="1">CELL("contenu",INDIRECT(ADDRESS(ref!$K$8,ref!E30,1,,CELL("contenu",$AC$2))))</f>
        <v/>
      </c>
      <c r="W31" s="29" t="str">
        <f ca="1">CELL("contenu",INDIRECT(ADDRESS(ref!$K$8,ref!F30,1,,CELL("contenu",$AC$2))))</f>
        <v/>
      </c>
      <c r="X31" s="30" t="str">
        <f ca="1">CELL("contenu",INDIRECT(ADDRESS(ref!$K$8,ref!G30,1,,CELL("contenu",$AC$2))))</f>
        <v/>
      </c>
      <c r="Y31" s="6" t="str">
        <f ca="1">CELL("contenu",INDIRECT(ADDRESS(ref!$K$9,ref!H30,1,,CELL("contenu",$AC$2))))</f>
        <v/>
      </c>
      <c r="Z31" s="3" t="str">
        <f ca="1">CELL("contenu",INDIRECT(ADDRESS(ref!$K$10,ref!H30,1,,CELL("contenu",$AC$2))))</f>
        <v/>
      </c>
      <c r="AA31" s="7" t="str">
        <f ca="1">CELL("contenu",INDIRECT(ADDRESS(ref!$K$11,ref!H30,1,,CELL("contenu",$AC$2))))</f>
        <v/>
      </c>
    </row>
    <row r="32" spans="1:27" x14ac:dyDescent="0.25">
      <c r="A32" s="44">
        <f t="shared" ca="1" si="0"/>
        <v>0</v>
      </c>
      <c r="B32" s="1" t="str">
        <f ca="1">CELL("contenu",INDIRECT(ADDRESS(ref!$K$3,ref!E31,1,,CELL("contenu",$AC$2))))</f>
        <v/>
      </c>
      <c r="C32" s="2" t="str">
        <f ca="1">CELL("contenu",INDIRECT(ADDRESS(ref!$K$3,ref!F31,1,,CELL("contenu",$AC$2))))</f>
        <v/>
      </c>
      <c r="D32" s="3" t="str">
        <f ca="1">CELL("contenu",INDIRECT(ADDRESS(ref!$K$3,ref!G31,1,,CELL("contenu",$AC$2))))</f>
        <v/>
      </c>
      <c r="E32" s="4" t="str">
        <f ca="1">CELL("contenu",INDIRECT(ADDRESS(ref!$K$3,ref!H31,1,,CELL("contenu",$AC$2))))</f>
        <v/>
      </c>
      <c r="F32" s="5" t="str">
        <f ca="1">CELL("contenu",INDIRECT(ADDRESS(ref!$K$4,ref!E31,1,,CELL("contenu",$AC$2))))</f>
        <v/>
      </c>
      <c r="G32" s="2" t="str">
        <f ca="1">CELL("contenu",INDIRECT(ADDRESS(ref!$K$4,ref!F31,1,,CELL("contenu",$AC$2))))</f>
        <v/>
      </c>
      <c r="H32" s="3" t="str">
        <f ca="1">CELL("contenu",INDIRECT(ADDRESS(ref!$K$4,ref!G31,1,,CELL("contenu",$AC$2))))</f>
        <v/>
      </c>
      <c r="I32" s="4" t="str">
        <f ca="1">CELL("contenu",INDIRECT(ADDRESS(ref!$K$4,ref!H31,1,,CELL("contenu",$AC$2))))</f>
        <v/>
      </c>
      <c r="J32" s="5" t="str">
        <f ca="1">CELL("contenu",INDIRECT(ADDRESS(ref!$K$5,ref!E31,1,,CELL("contenu",$AC$2))))</f>
        <v/>
      </c>
      <c r="K32" s="2" t="str">
        <f ca="1">CELL("contenu",INDIRECT(ADDRESS(ref!$K$5,ref!F31,1,,CELL("contenu",$AC$2))))</f>
        <v/>
      </c>
      <c r="L32" s="3" t="str">
        <f ca="1">CELL("contenu",INDIRECT(ADDRESS(ref!$K$5,ref!G31,1,,CELL("contenu",$AC$2))))</f>
        <v/>
      </c>
      <c r="M32" s="4" t="str">
        <f ca="1">CELL("contenu",INDIRECT(ADDRESS(ref!$K$5,ref!H31,1,,CELL("contenu",$AC$2))))</f>
        <v/>
      </c>
      <c r="N32" s="5" t="str">
        <f ca="1">CELL("contenu",INDIRECT(ADDRESS(ref!$K$6,ref!E31,1,,CELL("contenu",$AC$2))))</f>
        <v/>
      </c>
      <c r="O32" s="2" t="str">
        <f ca="1">CELL("contenu",INDIRECT(ADDRESS(ref!$K$6,ref!F31,1,,CELL("contenu",$AC$2))))</f>
        <v/>
      </c>
      <c r="P32" s="3" t="str">
        <f ca="1">CELL("contenu",INDIRECT(ADDRESS(ref!$K$6,ref!G31,1,,CELL("contenu",$AC$2))))</f>
        <v/>
      </c>
      <c r="Q32" s="4" t="str">
        <f ca="1">CELL("contenu",INDIRECT(ADDRESS(ref!$K$6,ref!H31,1,,CELL("contenu",$AC$2))))</f>
        <v/>
      </c>
      <c r="R32" s="5" t="str">
        <f ca="1">CELL("contenu",INDIRECT(ADDRESS(ref!$K$7,ref!E31,1,,CELL("contenu",$AC$2))))</f>
        <v/>
      </c>
      <c r="S32" s="2" t="str">
        <f ca="1">CELL("contenu",INDIRECT(ADDRESS(ref!$K$7,ref!F31,1,,CELL("contenu",$AC$2))))</f>
        <v/>
      </c>
      <c r="T32" s="3" t="str">
        <f ca="1">CELL("contenu",INDIRECT(ADDRESS(ref!$K$7,ref!G31,1,,CELL("contenu",$AC$2))))</f>
        <v/>
      </c>
      <c r="U32" s="4" t="str">
        <f ca="1">CELL("contenu",INDIRECT(ADDRESS(ref!$K$7,ref!H31,1,,CELL("contenu",$AC$2))))</f>
        <v/>
      </c>
      <c r="V32" s="28" t="str">
        <f ca="1">CELL("contenu",INDIRECT(ADDRESS(ref!$K$8,ref!E31,1,,CELL("contenu",$AC$2))))</f>
        <v/>
      </c>
      <c r="W32" s="29" t="str">
        <f ca="1">CELL("contenu",INDIRECT(ADDRESS(ref!$K$8,ref!F31,1,,CELL("contenu",$AC$2))))</f>
        <v/>
      </c>
      <c r="X32" s="30" t="str">
        <f ca="1">CELL("contenu",INDIRECT(ADDRESS(ref!$K$8,ref!G31,1,,CELL("contenu",$AC$2))))</f>
        <v/>
      </c>
      <c r="Y32" s="6" t="str">
        <f ca="1">CELL("contenu",INDIRECT(ADDRESS(ref!$K$9,ref!H31,1,,CELL("contenu",$AC$2))))</f>
        <v/>
      </c>
      <c r="Z32" s="3" t="str">
        <f ca="1">CELL("contenu",INDIRECT(ADDRESS(ref!$K$10,ref!H31,1,,CELL("contenu",$AC$2))))</f>
        <v/>
      </c>
      <c r="AA32" s="7" t="str">
        <f ca="1">CELL("contenu",INDIRECT(ADDRESS(ref!$K$11,ref!H31,1,,CELL("contenu",$AC$2))))</f>
        <v/>
      </c>
    </row>
    <row r="33" spans="1:27" ht="15.75" thickBot="1" x14ac:dyDescent="0.3">
      <c r="A33" s="44">
        <f t="shared" ca="1" si="0"/>
        <v>0</v>
      </c>
      <c r="B33" s="15" t="str">
        <f ca="1">CELL("contenu",INDIRECT(ADDRESS(ref!$K$3,ref!E32,1,,CELL("contenu",$AC$2))))</f>
        <v/>
      </c>
      <c r="C33" s="8" t="str">
        <f ca="1">CELL("contenu",INDIRECT(ADDRESS(ref!$K$3,ref!F32,1,,CELL("contenu",$AC$2))))</f>
        <v/>
      </c>
      <c r="D33" s="9" t="str">
        <f ca="1">CELL("contenu",INDIRECT(ADDRESS(ref!$K$3,ref!G32,1,,CELL("contenu",$AC$2))))</f>
        <v/>
      </c>
      <c r="E33" s="10" t="str">
        <f ca="1">CELL("contenu",INDIRECT(ADDRESS(ref!$K$3,ref!H32,1,,CELL("contenu",$AC$2))))</f>
        <v/>
      </c>
      <c r="F33" s="11" t="str">
        <f ca="1">CELL("contenu",INDIRECT(ADDRESS(ref!$K$4,ref!E32,1,,CELL("contenu",$AC$2))))</f>
        <v/>
      </c>
      <c r="G33" s="8" t="str">
        <f ca="1">CELL("contenu",INDIRECT(ADDRESS(ref!$K$4,ref!F32,1,,CELL("contenu",$AC$2))))</f>
        <v/>
      </c>
      <c r="H33" s="9" t="str">
        <f ca="1">CELL("contenu",INDIRECT(ADDRESS(ref!$K$4,ref!G32,1,,CELL("contenu",$AC$2))))</f>
        <v/>
      </c>
      <c r="I33" s="10" t="str">
        <f ca="1">CELL("contenu",INDIRECT(ADDRESS(ref!$K$4,ref!H32,1,,CELL("contenu",$AC$2))))</f>
        <v/>
      </c>
      <c r="J33" s="11" t="str">
        <f ca="1">CELL("contenu",INDIRECT(ADDRESS(ref!$K$5,ref!E32,1,,CELL("contenu",$AC$2))))</f>
        <v/>
      </c>
      <c r="K33" s="8" t="str">
        <f ca="1">CELL("contenu",INDIRECT(ADDRESS(ref!$K$5,ref!F32,1,,CELL("contenu",$AC$2))))</f>
        <v/>
      </c>
      <c r="L33" s="9" t="str">
        <f ca="1">CELL("contenu",INDIRECT(ADDRESS(ref!$K$5,ref!G32,1,,CELL("contenu",$AC$2))))</f>
        <v/>
      </c>
      <c r="M33" s="10" t="str">
        <f ca="1">CELL("contenu",INDIRECT(ADDRESS(ref!$K$5,ref!H32,1,,CELL("contenu",$AC$2))))</f>
        <v/>
      </c>
      <c r="N33" s="11" t="str">
        <f ca="1">CELL("contenu",INDIRECT(ADDRESS(ref!$K$6,ref!E32,1,,CELL("contenu",$AC$2))))</f>
        <v/>
      </c>
      <c r="O33" s="8" t="str">
        <f ca="1">CELL("contenu",INDIRECT(ADDRESS(ref!$K$6,ref!F32,1,,CELL("contenu",$AC$2))))</f>
        <v/>
      </c>
      <c r="P33" s="9" t="str">
        <f ca="1">CELL("contenu",INDIRECT(ADDRESS(ref!$K$6,ref!G32,1,,CELL("contenu",$AC$2))))</f>
        <v/>
      </c>
      <c r="Q33" s="10" t="str">
        <f ca="1">CELL("contenu",INDIRECT(ADDRESS(ref!$K$6,ref!H32,1,,CELL("contenu",$AC$2))))</f>
        <v/>
      </c>
      <c r="R33" s="11" t="str">
        <f ca="1">CELL("contenu",INDIRECT(ADDRESS(ref!$K$7,ref!E32,1,,CELL("contenu",$AC$2))))</f>
        <v/>
      </c>
      <c r="S33" s="8" t="str">
        <f ca="1">CELL("contenu",INDIRECT(ADDRESS(ref!$K$7,ref!F32,1,,CELL("contenu",$AC$2))))</f>
        <v/>
      </c>
      <c r="T33" s="9" t="str">
        <f ca="1">CELL("contenu",INDIRECT(ADDRESS(ref!$K$7,ref!G32,1,,CELL("contenu",$AC$2))))</f>
        <v/>
      </c>
      <c r="U33" s="10" t="str">
        <f ca="1">CELL("contenu",INDIRECT(ADDRESS(ref!$K$7,ref!H32,1,,CELL("contenu",$AC$2))))</f>
        <v/>
      </c>
      <c r="V33" s="31" t="str">
        <f ca="1">CELL("contenu",INDIRECT(ADDRESS(ref!$K$8,ref!E32,1,,CELL("contenu",$AC$2))))</f>
        <v/>
      </c>
      <c r="W33" s="32" t="str">
        <f ca="1">CELL("contenu",INDIRECT(ADDRESS(ref!$K$8,ref!F32,1,,CELL("contenu",$AC$2))))</f>
        <v/>
      </c>
      <c r="X33" s="33" t="str">
        <f ca="1">CELL("contenu",INDIRECT(ADDRESS(ref!$K$8,ref!G32,1,,CELL("contenu",$AC$2))))</f>
        <v/>
      </c>
      <c r="Y33" s="12" t="str">
        <f ca="1">CELL("contenu",INDIRECT(ADDRESS(ref!$K$9,ref!H32,1,,CELL("contenu",$AC$2))))</f>
        <v/>
      </c>
      <c r="Z33" s="9" t="str">
        <f ca="1">CELL("contenu",INDIRECT(ADDRESS(ref!$K$10,ref!H32,1,,CELL("contenu",$AC$2))))</f>
        <v/>
      </c>
      <c r="AA33" s="13" t="str">
        <f ca="1">CELL("contenu",INDIRECT(ADDRESS(ref!$K$11,ref!H32,1,,CELL("contenu",$AC$2))))</f>
        <v/>
      </c>
    </row>
  </sheetData>
  <sheetProtection algorithmName="SHA-512" hashValue="hYicmFciqn61v5mdBLmAAm2MQT+PdYJJg7tO7Z8FhW2zqpGwVR8nkZdkKR4jTVZ5D9RYiC/fY/fNRXytvNabwA==" saltValue="aJnCEzMNF5mkZJlBioiwAg==" spinCount="100000" sheet="1" selectLockedCells="1" selectUn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6"/>
  <dimension ref="A1:SR25"/>
  <sheetViews>
    <sheetView tabSelected="1" zoomScale="70" zoomScaleNormal="70" workbookViewId="0">
      <pane xSplit="2" topLeftCell="ME1" activePane="topRight" state="frozen"/>
      <selection activeCell="Y3" sqref="Y3:AA3"/>
      <selection pane="topRight" activeCell="NN15" sqref="NN15"/>
    </sheetView>
  </sheetViews>
  <sheetFormatPr baseColWidth="10" defaultColWidth="5.7109375" defaultRowHeight="15" x14ac:dyDescent="0.25"/>
  <cols>
    <col min="1" max="1" width="17.7109375" style="98" customWidth="1"/>
    <col min="2" max="2" width="13.7109375" style="98" customWidth="1"/>
    <col min="3" max="5" width="4.7109375" style="202" customWidth="1"/>
    <col min="6" max="6" width="4.7109375" style="117" customWidth="1"/>
    <col min="7" max="7" width="8.7109375" style="118" customWidth="1"/>
    <col min="8" max="10" width="4.7109375" style="97" customWidth="1"/>
    <col min="11" max="11" width="4.7109375" style="118" customWidth="1"/>
    <col min="12" max="12" width="8.7109375" style="118" customWidth="1"/>
    <col min="13" max="15" width="4.7109375" style="97" customWidth="1"/>
    <col min="16" max="16" width="4.7109375" style="118" customWidth="1"/>
    <col min="17" max="17" width="8.7109375" style="118" customWidth="1"/>
    <col min="18" max="18" width="4.7109375" style="118" customWidth="1"/>
    <col min="19" max="19" width="8.7109375" style="118" customWidth="1"/>
    <col min="20" max="23" width="4.7109375" style="117" customWidth="1"/>
    <col min="24" max="24" width="8.7109375" style="118" customWidth="1"/>
    <col min="25" max="27" width="4.7109375" style="97" customWidth="1"/>
    <col min="28" max="28" width="4.7109375" style="118" customWidth="1"/>
    <col min="29" max="29" width="8.7109375" style="118" customWidth="1"/>
    <col min="30" max="32" width="4.7109375" style="97" customWidth="1"/>
    <col min="33" max="33" width="4.7109375" style="118" customWidth="1"/>
    <col min="34" max="34" width="8.7109375" style="118" customWidth="1"/>
    <col min="35" max="35" width="4.7109375" style="118" customWidth="1"/>
    <col min="36" max="36" width="8.7109375" style="118" customWidth="1"/>
    <col min="37" max="40" width="4.7109375" style="117" customWidth="1"/>
    <col min="41" max="41" width="8.7109375" style="118" customWidth="1"/>
    <col min="42" max="44" width="4.7109375" style="97" customWidth="1"/>
    <col min="45" max="45" width="4.7109375" style="118" customWidth="1"/>
    <col min="46" max="46" width="8.7109375" style="118" customWidth="1"/>
    <col min="47" max="49" width="4.7109375" style="97" customWidth="1"/>
    <col min="50" max="50" width="4.7109375" style="118" customWidth="1"/>
    <col min="51" max="51" width="8.7109375" style="118" customWidth="1"/>
    <col min="52" max="52" width="4.7109375" style="118" customWidth="1"/>
    <col min="53" max="53" width="8.7109375" style="118" customWidth="1"/>
    <col min="54" max="57" width="4.7109375" style="117" customWidth="1"/>
    <col min="58" max="58" width="8.7109375" style="118" customWidth="1"/>
    <col min="59" max="61" width="4.7109375" style="97" customWidth="1"/>
    <col min="62" max="62" width="4.7109375" style="118" customWidth="1"/>
    <col min="63" max="63" width="8.7109375" style="118" customWidth="1"/>
    <col min="64" max="66" width="4.7109375" style="97" customWidth="1"/>
    <col min="67" max="67" width="4.7109375" style="118" customWidth="1"/>
    <col min="68" max="68" width="8.7109375" style="118" customWidth="1"/>
    <col min="69" max="69" width="4.7109375" style="118" customWidth="1"/>
    <col min="70" max="70" width="8.7109375" style="118" customWidth="1"/>
    <col min="71" max="74" width="4.7109375" style="117" customWidth="1"/>
    <col min="75" max="75" width="8.7109375" style="118" customWidth="1"/>
    <col min="76" max="78" width="4.7109375" style="97" customWidth="1"/>
    <col min="79" max="79" width="4.7109375" style="118" customWidth="1"/>
    <col min="80" max="80" width="8.7109375" style="118" customWidth="1"/>
    <col min="81" max="83" width="4.7109375" style="97" customWidth="1"/>
    <col min="84" max="84" width="4.7109375" style="118" customWidth="1"/>
    <col min="85" max="85" width="8.7109375" style="118" customWidth="1"/>
    <col min="86" max="86" width="4.7109375" style="118" customWidth="1"/>
    <col min="87" max="87" width="8.7109375" style="118" customWidth="1"/>
    <col min="88" max="91" width="4.7109375" style="117" customWidth="1"/>
    <col min="92" max="92" width="8.7109375" style="118" customWidth="1"/>
    <col min="93" max="95" width="4.7109375" style="97" customWidth="1"/>
    <col min="96" max="96" width="4.7109375" style="118" customWidth="1"/>
    <col min="97" max="97" width="8.7109375" style="118" customWidth="1"/>
    <col min="98" max="100" width="4.7109375" style="97" customWidth="1"/>
    <col min="101" max="101" width="4.7109375" style="118" customWidth="1"/>
    <col min="102" max="102" width="8.7109375" style="118" customWidth="1"/>
    <col min="103" max="103" width="4.7109375" style="118" customWidth="1"/>
    <col min="104" max="104" width="8.7109375" style="118" customWidth="1"/>
    <col min="105" max="108" width="4.7109375" style="117" customWidth="1"/>
    <col min="109" max="109" width="8.7109375" style="118" customWidth="1"/>
    <col min="110" max="112" width="4.7109375" style="97" customWidth="1"/>
    <col min="113" max="113" width="4.7109375" style="118" customWidth="1"/>
    <col min="114" max="114" width="8.7109375" style="118" customWidth="1"/>
    <col min="115" max="117" width="4.7109375" style="97" customWidth="1"/>
    <col min="118" max="118" width="4.7109375" style="118" customWidth="1"/>
    <col min="119" max="119" width="8.7109375" style="118" customWidth="1"/>
    <col min="120" max="120" width="4.7109375" style="118" customWidth="1"/>
    <col min="121" max="121" width="8.7109375" style="118" customWidth="1"/>
    <col min="122" max="125" width="4.7109375" style="117" customWidth="1"/>
    <col min="126" max="126" width="8.7109375" style="118" customWidth="1"/>
    <col min="127" max="129" width="4.7109375" style="97" customWidth="1"/>
    <col min="130" max="130" width="4.7109375" style="118" customWidth="1"/>
    <col min="131" max="131" width="8.7109375" style="118" customWidth="1"/>
    <col min="132" max="134" width="4.7109375" style="97" customWidth="1"/>
    <col min="135" max="135" width="4.7109375" style="118" customWidth="1"/>
    <col min="136" max="136" width="8.7109375" style="118" customWidth="1"/>
    <col min="137" max="137" width="4.7109375" style="118" customWidth="1"/>
    <col min="138" max="138" width="8.7109375" style="118" customWidth="1"/>
    <col min="139" max="142" width="4.7109375" style="117" customWidth="1"/>
    <col min="143" max="143" width="8.7109375" style="118" customWidth="1"/>
    <col min="144" max="146" width="4.7109375" style="97" customWidth="1"/>
    <col min="147" max="147" width="4.7109375" style="118" customWidth="1"/>
    <col min="148" max="148" width="8.7109375" style="118" customWidth="1"/>
    <col min="149" max="151" width="4.7109375" style="97" customWidth="1"/>
    <col min="152" max="152" width="4.7109375" style="118" customWidth="1"/>
    <col min="153" max="153" width="8.7109375" style="118" customWidth="1"/>
    <col min="154" max="154" width="4.7109375" style="118" customWidth="1"/>
    <col min="155" max="155" width="8.7109375" style="118" customWidth="1"/>
    <col min="156" max="159" width="4.7109375" style="117" customWidth="1"/>
    <col min="160" max="160" width="8.7109375" style="118" customWidth="1"/>
    <col min="161" max="163" width="4.7109375" style="97" customWidth="1"/>
    <col min="164" max="164" width="4.7109375" style="118" customWidth="1"/>
    <col min="165" max="165" width="8.7109375" style="118" customWidth="1"/>
    <col min="166" max="168" width="4.7109375" style="97" customWidth="1"/>
    <col min="169" max="169" width="4.7109375" style="118" customWidth="1"/>
    <col min="170" max="170" width="8.7109375" style="118" customWidth="1"/>
    <col min="171" max="171" width="4.7109375" style="118" customWidth="1"/>
    <col min="172" max="172" width="8.7109375" style="118" customWidth="1"/>
    <col min="173" max="176" width="4.7109375" style="117" customWidth="1"/>
    <col min="177" max="177" width="8.7109375" style="118" customWidth="1"/>
    <col min="178" max="180" width="4.7109375" style="97" customWidth="1"/>
    <col min="181" max="181" width="4.7109375" style="118" customWidth="1"/>
    <col min="182" max="182" width="8.7109375" style="118" customWidth="1"/>
    <col min="183" max="185" width="4.7109375" style="97" customWidth="1"/>
    <col min="186" max="186" width="4.7109375" style="118" customWidth="1"/>
    <col min="187" max="187" width="8.7109375" style="118" customWidth="1"/>
    <col min="188" max="188" width="4.7109375" style="118" customWidth="1"/>
    <col min="189" max="189" width="8.7109375" style="118" customWidth="1"/>
    <col min="190" max="193" width="4.7109375" style="117" customWidth="1"/>
    <col min="194" max="194" width="8.7109375" style="118" customWidth="1"/>
    <col min="195" max="197" width="4.7109375" style="97" customWidth="1"/>
    <col min="198" max="198" width="4.7109375" style="118" customWidth="1"/>
    <col min="199" max="199" width="8.7109375" style="118" customWidth="1"/>
    <col min="200" max="202" width="4.7109375" style="97" customWidth="1"/>
    <col min="203" max="203" width="4.7109375" style="118" customWidth="1"/>
    <col min="204" max="204" width="8.7109375" style="118" customWidth="1"/>
    <col min="205" max="205" width="4.7109375" style="118" customWidth="1"/>
    <col min="206" max="206" width="8.7109375" style="118" customWidth="1"/>
    <col min="207" max="210" width="4.7109375" style="117" customWidth="1"/>
    <col min="211" max="211" width="8.7109375" style="118" customWidth="1"/>
    <col min="212" max="214" width="4.7109375" style="97" customWidth="1"/>
    <col min="215" max="215" width="4.7109375" style="118" customWidth="1"/>
    <col min="216" max="216" width="8.7109375" style="118" customWidth="1"/>
    <col min="217" max="219" width="4.7109375" style="97" customWidth="1"/>
    <col min="220" max="220" width="4.7109375" style="118" customWidth="1"/>
    <col min="221" max="221" width="8.7109375" style="118" customWidth="1"/>
    <col min="222" max="222" width="4.7109375" style="118" customWidth="1"/>
    <col min="223" max="223" width="8.7109375" style="118" customWidth="1"/>
    <col min="224" max="227" width="4.7109375" style="117" customWidth="1"/>
    <col min="228" max="228" width="8.7109375" style="118" customWidth="1"/>
    <col min="229" max="231" width="4.7109375" style="97" customWidth="1"/>
    <col min="232" max="232" width="4.7109375" style="118" customWidth="1"/>
    <col min="233" max="233" width="8.7109375" style="118" customWidth="1"/>
    <col min="234" max="236" width="4.7109375" style="97" customWidth="1"/>
    <col min="237" max="237" width="4.7109375" style="118" customWidth="1"/>
    <col min="238" max="238" width="8.7109375" style="118" customWidth="1"/>
    <col min="239" max="239" width="4.7109375" style="118" customWidth="1"/>
    <col min="240" max="240" width="8.7109375" style="118" customWidth="1"/>
    <col min="241" max="244" width="4.7109375" style="117" customWidth="1"/>
    <col min="245" max="245" width="8.7109375" style="118" customWidth="1"/>
    <col min="246" max="248" width="4.7109375" style="97" customWidth="1"/>
    <col min="249" max="249" width="4.7109375" style="118" customWidth="1"/>
    <col min="250" max="250" width="8.7109375" style="118" customWidth="1"/>
    <col min="251" max="253" width="4.7109375" style="97" customWidth="1"/>
    <col min="254" max="254" width="4.7109375" style="118" customWidth="1"/>
    <col min="255" max="255" width="8.7109375" style="118" customWidth="1"/>
    <col min="256" max="256" width="4.7109375" style="118" customWidth="1"/>
    <col min="257" max="257" width="8.7109375" style="118" customWidth="1"/>
    <col min="258" max="261" width="4.7109375" style="117" customWidth="1"/>
    <col min="262" max="262" width="8.7109375" style="118" customWidth="1"/>
    <col min="263" max="265" width="4.7109375" style="97" customWidth="1"/>
    <col min="266" max="266" width="4.7109375" style="118" customWidth="1"/>
    <col min="267" max="267" width="8.7109375" style="118" customWidth="1"/>
    <col min="268" max="270" width="4.7109375" style="97" customWidth="1"/>
    <col min="271" max="271" width="4.7109375" style="118" customWidth="1"/>
    <col min="272" max="272" width="8.7109375" style="118" customWidth="1"/>
    <col min="273" max="273" width="4.7109375" style="118" customWidth="1"/>
    <col min="274" max="274" width="8.7109375" style="118" customWidth="1"/>
    <col min="275" max="278" width="4.7109375" style="117" customWidth="1"/>
    <col min="279" max="279" width="8.7109375" style="118" customWidth="1"/>
    <col min="280" max="282" width="4.7109375" style="97" customWidth="1"/>
    <col min="283" max="283" width="4.7109375" style="118" customWidth="1"/>
    <col min="284" max="284" width="8.7109375" style="118" customWidth="1"/>
    <col min="285" max="287" width="4.7109375" style="97" customWidth="1"/>
    <col min="288" max="288" width="4.7109375" style="118" customWidth="1"/>
    <col min="289" max="289" width="8.7109375" style="118" customWidth="1"/>
    <col min="290" max="290" width="4.7109375" style="118" customWidth="1"/>
    <col min="291" max="291" width="8.7109375" style="118" customWidth="1"/>
    <col min="292" max="295" width="4.7109375" style="117" customWidth="1"/>
    <col min="296" max="296" width="8.7109375" style="118" customWidth="1"/>
    <col min="297" max="299" width="4.7109375" style="97" customWidth="1"/>
    <col min="300" max="300" width="4.7109375" style="118" customWidth="1"/>
    <col min="301" max="301" width="8.7109375" style="118" customWidth="1"/>
    <col min="302" max="304" width="4.7109375" style="97" customWidth="1"/>
    <col min="305" max="305" width="4.7109375" style="118" customWidth="1"/>
    <col min="306" max="306" width="8.7109375" style="118" customWidth="1"/>
    <col min="307" max="307" width="4.7109375" style="118" customWidth="1"/>
    <col min="308" max="308" width="8.7109375" style="118" customWidth="1"/>
    <col min="309" max="312" width="4.7109375" style="117" customWidth="1"/>
    <col min="313" max="313" width="8.7109375" style="118" customWidth="1"/>
    <col min="314" max="316" width="4.7109375" style="97" customWidth="1"/>
    <col min="317" max="317" width="4.7109375" style="118" customWidth="1"/>
    <col min="318" max="318" width="8.7109375" style="118" customWidth="1"/>
    <col min="319" max="321" width="4.7109375" style="97" customWidth="1"/>
    <col min="322" max="322" width="4.7109375" style="118" customWidth="1"/>
    <col min="323" max="323" width="8.7109375" style="118" customWidth="1"/>
    <col min="324" max="324" width="4.7109375" style="118" customWidth="1"/>
    <col min="325" max="325" width="8.7109375" style="118" customWidth="1"/>
    <col min="326" max="329" width="4.7109375" style="117" customWidth="1"/>
    <col min="330" max="330" width="8.7109375" style="118" customWidth="1"/>
    <col min="331" max="333" width="4.7109375" style="97" customWidth="1"/>
    <col min="334" max="334" width="4.7109375" style="118" customWidth="1"/>
    <col min="335" max="335" width="8.7109375" style="118" customWidth="1"/>
    <col min="336" max="338" width="4.7109375" style="97" customWidth="1"/>
    <col min="339" max="339" width="4.7109375" style="118" customWidth="1"/>
    <col min="340" max="340" width="8.7109375" style="118" customWidth="1"/>
    <col min="341" max="341" width="4.7109375" style="118" customWidth="1"/>
    <col min="342" max="342" width="8.7109375" style="118" customWidth="1"/>
    <col min="343" max="346" width="4.7109375" style="117" customWidth="1"/>
    <col min="347" max="347" width="8.7109375" style="118" customWidth="1"/>
    <col min="348" max="350" width="4.7109375" style="97" customWidth="1"/>
    <col min="351" max="351" width="4.7109375" style="118" customWidth="1"/>
    <col min="352" max="352" width="8.7109375" style="118" customWidth="1"/>
    <col min="353" max="355" width="4.7109375" style="97" customWidth="1"/>
    <col min="356" max="356" width="4.7109375" style="118" customWidth="1"/>
    <col min="357" max="357" width="8.7109375" style="118" customWidth="1"/>
    <col min="358" max="358" width="4.7109375" style="118" customWidth="1"/>
    <col min="359" max="359" width="8.7109375" style="118" customWidth="1"/>
    <col min="360" max="363" width="4.7109375" style="117" customWidth="1"/>
    <col min="364" max="364" width="8.7109375" style="118" customWidth="1"/>
    <col min="365" max="367" width="4.7109375" style="97" customWidth="1"/>
    <col min="368" max="368" width="4.7109375" style="118" customWidth="1"/>
    <col min="369" max="369" width="8.7109375" style="118" customWidth="1"/>
    <col min="370" max="372" width="4.7109375" style="97" customWidth="1"/>
    <col min="373" max="373" width="4.7109375" style="118" customWidth="1"/>
    <col min="374" max="374" width="8.7109375" style="118" customWidth="1"/>
    <col min="375" max="375" width="4.7109375" style="118" customWidth="1"/>
    <col min="376" max="376" width="8.7109375" style="118" customWidth="1"/>
    <col min="377" max="380" width="4.7109375" style="117" customWidth="1"/>
    <col min="381" max="381" width="8.7109375" style="118" customWidth="1"/>
    <col min="382" max="384" width="4.7109375" style="97" customWidth="1"/>
    <col min="385" max="385" width="4.7109375" style="118" customWidth="1"/>
    <col min="386" max="386" width="8.7109375" style="118" customWidth="1"/>
    <col min="387" max="389" width="4.7109375" style="97" customWidth="1"/>
    <col min="390" max="390" width="4.7109375" style="118" customWidth="1"/>
    <col min="391" max="391" width="8.7109375" style="118" customWidth="1"/>
    <col min="392" max="392" width="4.7109375" style="118" customWidth="1"/>
    <col min="393" max="393" width="8.7109375" style="118" customWidth="1"/>
    <col min="394" max="397" width="4.7109375" style="117" customWidth="1"/>
    <col min="398" max="398" width="8.7109375" style="118" customWidth="1"/>
    <col min="399" max="401" width="4.7109375" style="97" customWidth="1"/>
    <col min="402" max="402" width="4.7109375" style="118" customWidth="1"/>
    <col min="403" max="403" width="8.7109375" style="118" customWidth="1"/>
    <col min="404" max="406" width="4.7109375" style="97" customWidth="1"/>
    <col min="407" max="407" width="4.7109375" style="118" customWidth="1"/>
    <col min="408" max="408" width="8.7109375" style="118" customWidth="1"/>
    <col min="409" max="409" width="4.7109375" style="118" customWidth="1"/>
    <col min="410" max="410" width="8.7109375" style="118" customWidth="1"/>
    <col min="411" max="414" width="4.7109375" style="117" customWidth="1"/>
    <col min="415" max="415" width="8.7109375" style="118" customWidth="1"/>
    <col min="416" max="418" width="4.7109375" style="97" customWidth="1"/>
    <col min="419" max="419" width="4.7109375" style="118" customWidth="1"/>
    <col min="420" max="420" width="8.7109375" style="118" customWidth="1"/>
    <col min="421" max="423" width="4.7109375" style="97" customWidth="1"/>
    <col min="424" max="424" width="4.7109375" style="118" customWidth="1"/>
    <col min="425" max="425" width="8.7109375" style="118" customWidth="1"/>
    <col min="426" max="426" width="4.7109375" style="118" customWidth="1"/>
    <col min="427" max="427" width="8.7109375" style="118" customWidth="1"/>
    <col min="428" max="431" width="4.7109375" style="117" customWidth="1"/>
    <col min="432" max="432" width="8.7109375" style="118" customWidth="1"/>
    <col min="433" max="435" width="4.7109375" style="97" customWidth="1"/>
    <col min="436" max="436" width="4.7109375" style="118" customWidth="1"/>
    <col min="437" max="437" width="8.7109375" style="118" customWidth="1"/>
    <col min="438" max="440" width="4.7109375" style="97" customWidth="1"/>
    <col min="441" max="441" width="4.7109375" style="118" customWidth="1"/>
    <col min="442" max="442" width="8.7109375" style="118" customWidth="1"/>
    <col min="443" max="443" width="4.7109375" style="118" customWidth="1"/>
    <col min="444" max="444" width="8.7109375" style="118" customWidth="1"/>
    <col min="445" max="448" width="4.7109375" style="117" customWidth="1"/>
    <col min="449" max="449" width="8.7109375" style="118" customWidth="1"/>
    <col min="450" max="452" width="4.7109375" style="97" customWidth="1"/>
    <col min="453" max="453" width="4.7109375" style="118" customWidth="1"/>
    <col min="454" max="454" width="8.7109375" style="118" customWidth="1"/>
    <col min="455" max="457" width="4.7109375" style="97" customWidth="1"/>
    <col min="458" max="458" width="4.7109375" style="118" customWidth="1"/>
    <col min="459" max="459" width="8.7109375" style="118" customWidth="1"/>
    <col min="460" max="460" width="4.7109375" style="118" customWidth="1"/>
    <col min="461" max="461" width="8.7109375" style="118" customWidth="1"/>
    <col min="462" max="465" width="4.7109375" style="117" customWidth="1"/>
    <col min="466" max="466" width="8.7109375" style="118" customWidth="1"/>
    <col min="467" max="469" width="4.7109375" style="97" customWidth="1"/>
    <col min="470" max="470" width="4.7109375" style="118" customWidth="1"/>
    <col min="471" max="471" width="8.7109375" style="118" customWidth="1"/>
    <col min="472" max="474" width="4.7109375" style="97" customWidth="1"/>
    <col min="475" max="475" width="4.7109375" style="118" customWidth="1"/>
    <col min="476" max="476" width="8.7109375" style="118" customWidth="1"/>
    <col min="477" max="477" width="4.7109375" style="118" customWidth="1"/>
    <col min="478" max="478" width="8.7109375" style="118" customWidth="1"/>
    <col min="479" max="482" width="4.7109375" style="117" customWidth="1"/>
    <col min="483" max="483" width="8.7109375" style="118" customWidth="1"/>
    <col min="484" max="486" width="4.7109375" style="97" customWidth="1"/>
    <col min="487" max="487" width="4.7109375" style="118" customWidth="1"/>
    <col min="488" max="488" width="8.7109375" style="118" customWidth="1"/>
    <col min="489" max="491" width="4.7109375" style="97" customWidth="1"/>
    <col min="492" max="492" width="4.7109375" style="118" customWidth="1"/>
    <col min="493" max="493" width="8.7109375" style="118" customWidth="1"/>
    <col min="494" max="494" width="4.7109375" style="118" customWidth="1"/>
    <col min="495" max="495" width="8.7109375" style="118" customWidth="1"/>
    <col min="496" max="499" width="4.7109375" style="117" customWidth="1"/>
    <col min="500" max="500" width="8.7109375" style="118" customWidth="1"/>
    <col min="501" max="503" width="4.7109375" style="97" customWidth="1"/>
    <col min="504" max="504" width="4.7109375" style="118" customWidth="1"/>
    <col min="505" max="505" width="8.7109375" style="118" customWidth="1"/>
    <col min="506" max="508" width="4.7109375" style="97" customWidth="1"/>
    <col min="509" max="509" width="4.7109375" style="118" customWidth="1"/>
    <col min="510" max="510" width="8.7109375" style="118" customWidth="1"/>
    <col min="511" max="511" width="4.7109375" style="118" customWidth="1"/>
    <col min="512" max="512" width="8.7109375" style="118" customWidth="1"/>
    <col min="513" max="16384" width="5.7109375" style="98"/>
  </cols>
  <sheetData>
    <row r="1" spans="1:512" ht="18" customHeight="1" thickBot="1" x14ac:dyDescent="0.3">
      <c r="A1" s="246" t="s">
        <v>37</v>
      </c>
      <c r="B1" s="247"/>
      <c r="C1" s="147">
        <v>4</v>
      </c>
      <c r="D1" s="191"/>
      <c r="E1" s="191"/>
      <c r="F1" s="102"/>
      <c r="G1" s="103"/>
      <c r="H1" s="101"/>
      <c r="I1" s="101"/>
      <c r="J1" s="101"/>
      <c r="K1" s="103"/>
      <c r="L1" s="103"/>
      <c r="M1" s="101"/>
      <c r="N1" s="101"/>
      <c r="O1" s="101"/>
      <c r="P1" s="103"/>
      <c r="Q1" s="103"/>
      <c r="R1" s="103"/>
      <c r="S1" s="122"/>
      <c r="T1" s="135">
        <f>C1+1</f>
        <v>5</v>
      </c>
      <c r="U1" s="102"/>
      <c r="V1" s="102"/>
      <c r="W1" s="102"/>
      <c r="X1" s="103"/>
      <c r="Y1" s="101"/>
      <c r="Z1" s="101"/>
      <c r="AA1" s="101"/>
      <c r="AB1" s="103"/>
      <c r="AC1" s="103"/>
      <c r="AD1" s="101"/>
      <c r="AE1" s="101"/>
      <c r="AF1" s="101"/>
      <c r="AG1" s="103"/>
      <c r="AH1" s="103"/>
      <c r="AI1" s="103"/>
      <c r="AJ1" s="103"/>
      <c r="AK1" s="135">
        <f>T1+1</f>
        <v>6</v>
      </c>
      <c r="AL1" s="102"/>
      <c r="AM1" s="102"/>
      <c r="AN1" s="102"/>
      <c r="AO1" s="103"/>
      <c r="AP1" s="101"/>
      <c r="AQ1" s="101"/>
      <c r="AR1" s="101"/>
      <c r="AS1" s="103"/>
      <c r="AT1" s="103"/>
      <c r="AU1" s="101"/>
      <c r="AV1" s="101"/>
      <c r="AW1" s="101"/>
      <c r="AX1" s="103"/>
      <c r="AY1" s="103"/>
      <c r="AZ1" s="103"/>
      <c r="BA1" s="103"/>
      <c r="BB1" s="135">
        <f>AK1+1</f>
        <v>7</v>
      </c>
      <c r="BC1" s="102"/>
      <c r="BD1" s="102"/>
      <c r="BE1" s="102"/>
      <c r="BF1" s="103"/>
      <c r="BG1" s="101"/>
      <c r="BH1" s="101"/>
      <c r="BI1" s="101"/>
      <c r="BJ1" s="103"/>
      <c r="BK1" s="103"/>
      <c r="BL1" s="101"/>
      <c r="BM1" s="101"/>
      <c r="BN1" s="101"/>
      <c r="BO1" s="103"/>
      <c r="BP1" s="103"/>
      <c r="BQ1" s="103"/>
      <c r="BR1" s="103"/>
      <c r="BS1" s="135">
        <f>BB1+1</f>
        <v>8</v>
      </c>
      <c r="BT1" s="102"/>
      <c r="BU1" s="102"/>
      <c r="BV1" s="102"/>
      <c r="BW1" s="103"/>
      <c r="BX1" s="101"/>
      <c r="BY1" s="101"/>
      <c r="BZ1" s="101"/>
      <c r="CA1" s="103"/>
      <c r="CB1" s="103"/>
      <c r="CC1" s="101"/>
      <c r="CD1" s="101"/>
      <c r="CE1" s="101"/>
      <c r="CF1" s="103"/>
      <c r="CG1" s="103"/>
      <c r="CH1" s="103"/>
      <c r="CI1" s="103"/>
      <c r="CJ1" s="135">
        <f>BS1+1</f>
        <v>9</v>
      </c>
      <c r="CK1" s="102"/>
      <c r="CL1" s="102"/>
      <c r="CM1" s="102"/>
      <c r="CN1" s="103"/>
      <c r="CO1" s="101"/>
      <c r="CP1" s="101"/>
      <c r="CQ1" s="101"/>
      <c r="CR1" s="103"/>
      <c r="CS1" s="103"/>
      <c r="CT1" s="101"/>
      <c r="CU1" s="101"/>
      <c r="CV1" s="101"/>
      <c r="CW1" s="103"/>
      <c r="CX1" s="103"/>
      <c r="CY1" s="103"/>
      <c r="CZ1" s="103"/>
      <c r="DA1" s="135">
        <f>CJ1+1</f>
        <v>10</v>
      </c>
      <c r="DB1" s="102"/>
      <c r="DC1" s="102"/>
      <c r="DD1" s="102"/>
      <c r="DE1" s="103"/>
      <c r="DF1" s="101"/>
      <c r="DG1" s="101"/>
      <c r="DH1" s="101"/>
      <c r="DI1" s="103"/>
      <c r="DJ1" s="103"/>
      <c r="DK1" s="101"/>
      <c r="DL1" s="101"/>
      <c r="DM1" s="101"/>
      <c r="DN1" s="103"/>
      <c r="DO1" s="103"/>
      <c r="DP1" s="103"/>
      <c r="DQ1" s="103"/>
      <c r="DR1" s="135">
        <f>DA1+1</f>
        <v>11</v>
      </c>
      <c r="DS1" s="102"/>
      <c r="DT1" s="102"/>
      <c r="DU1" s="102"/>
      <c r="DV1" s="103"/>
      <c r="DW1" s="101"/>
      <c r="DX1" s="101"/>
      <c r="DY1" s="101"/>
      <c r="DZ1" s="103"/>
      <c r="EA1" s="103"/>
      <c r="EB1" s="101"/>
      <c r="EC1" s="101"/>
      <c r="ED1" s="101"/>
      <c r="EE1" s="103"/>
      <c r="EF1" s="103"/>
      <c r="EG1" s="103"/>
      <c r="EH1" s="103"/>
      <c r="EI1" s="135">
        <f>DR1+1</f>
        <v>12</v>
      </c>
      <c r="EJ1" s="102"/>
      <c r="EK1" s="102"/>
      <c r="EL1" s="102"/>
      <c r="EM1" s="103"/>
      <c r="EN1" s="101"/>
      <c r="EO1" s="101"/>
      <c r="EP1" s="101"/>
      <c r="EQ1" s="103"/>
      <c r="ER1" s="103"/>
      <c r="ES1" s="101"/>
      <c r="ET1" s="101"/>
      <c r="EU1" s="101"/>
      <c r="EV1" s="103"/>
      <c r="EW1" s="103"/>
      <c r="EX1" s="103"/>
      <c r="EY1" s="103"/>
      <c r="EZ1" s="135">
        <f>EI1+1</f>
        <v>13</v>
      </c>
      <c r="FA1" s="102"/>
      <c r="FB1" s="102"/>
      <c r="FC1" s="102"/>
      <c r="FD1" s="103"/>
      <c r="FE1" s="101"/>
      <c r="FF1" s="101"/>
      <c r="FG1" s="101"/>
      <c r="FH1" s="103"/>
      <c r="FI1" s="103"/>
      <c r="FJ1" s="101"/>
      <c r="FK1" s="101"/>
      <c r="FL1" s="101"/>
      <c r="FM1" s="103"/>
      <c r="FN1" s="103"/>
      <c r="FO1" s="103"/>
      <c r="FP1" s="103"/>
      <c r="FQ1" s="135">
        <f>EZ1+1</f>
        <v>14</v>
      </c>
      <c r="FR1" s="102"/>
      <c r="FS1" s="102"/>
      <c r="FT1" s="102"/>
      <c r="FU1" s="103"/>
      <c r="FV1" s="101"/>
      <c r="FW1" s="101"/>
      <c r="FX1" s="101"/>
      <c r="FY1" s="103"/>
      <c r="FZ1" s="103"/>
      <c r="GA1" s="101"/>
      <c r="GB1" s="101"/>
      <c r="GC1" s="101"/>
      <c r="GD1" s="103"/>
      <c r="GE1" s="103"/>
      <c r="GF1" s="103"/>
      <c r="GG1" s="103"/>
      <c r="GH1" s="135">
        <f>FQ1+1</f>
        <v>15</v>
      </c>
      <c r="GI1" s="102"/>
      <c r="GJ1" s="102"/>
      <c r="GK1" s="102"/>
      <c r="GL1" s="103"/>
      <c r="GM1" s="101"/>
      <c r="GN1" s="101"/>
      <c r="GO1" s="101"/>
      <c r="GP1" s="103"/>
      <c r="GQ1" s="103"/>
      <c r="GR1" s="101"/>
      <c r="GS1" s="101"/>
      <c r="GT1" s="101"/>
      <c r="GU1" s="103"/>
      <c r="GV1" s="103"/>
      <c r="GW1" s="103"/>
      <c r="GX1" s="103"/>
      <c r="GY1" s="135">
        <f>GH1+1</f>
        <v>16</v>
      </c>
      <c r="GZ1" s="102"/>
      <c r="HA1" s="102"/>
      <c r="HB1" s="102"/>
      <c r="HC1" s="103"/>
      <c r="HD1" s="101"/>
      <c r="HE1" s="101"/>
      <c r="HF1" s="101"/>
      <c r="HG1" s="103"/>
      <c r="HH1" s="103"/>
      <c r="HI1" s="101"/>
      <c r="HJ1" s="101"/>
      <c r="HK1" s="101"/>
      <c r="HL1" s="103"/>
      <c r="HM1" s="103"/>
      <c r="HN1" s="103"/>
      <c r="HO1" s="103"/>
      <c r="HP1" s="135">
        <f>GY1+1</f>
        <v>17</v>
      </c>
      <c r="HQ1" s="102"/>
      <c r="HR1" s="102"/>
      <c r="HS1" s="102"/>
      <c r="HT1" s="103"/>
      <c r="HU1" s="101"/>
      <c r="HV1" s="101"/>
      <c r="HW1" s="101"/>
      <c r="HX1" s="103"/>
      <c r="HY1" s="103"/>
      <c r="HZ1" s="101"/>
      <c r="IA1" s="101"/>
      <c r="IB1" s="101"/>
      <c r="IC1" s="103"/>
      <c r="ID1" s="103"/>
      <c r="IE1" s="103"/>
      <c r="IF1" s="103"/>
      <c r="IG1" s="135">
        <f>HP1+1</f>
        <v>18</v>
      </c>
      <c r="IH1" s="102"/>
      <c r="II1" s="102"/>
      <c r="IJ1" s="102"/>
      <c r="IK1" s="103"/>
      <c r="IL1" s="101"/>
      <c r="IM1" s="101"/>
      <c r="IN1" s="101"/>
      <c r="IO1" s="103"/>
      <c r="IP1" s="103"/>
      <c r="IQ1" s="101"/>
      <c r="IR1" s="101"/>
      <c r="IS1" s="101"/>
      <c r="IT1" s="103"/>
      <c r="IU1" s="103"/>
      <c r="IV1" s="103"/>
      <c r="IW1" s="103"/>
      <c r="IX1" s="135">
        <f>IG1+1</f>
        <v>19</v>
      </c>
      <c r="IY1" s="102"/>
      <c r="IZ1" s="102"/>
      <c r="JA1" s="102"/>
      <c r="JB1" s="103"/>
      <c r="JC1" s="101"/>
      <c r="JD1" s="101"/>
      <c r="JE1" s="101"/>
      <c r="JF1" s="103"/>
      <c r="JG1" s="103"/>
      <c r="JH1" s="101"/>
      <c r="JI1" s="101"/>
      <c r="JJ1" s="101"/>
      <c r="JK1" s="103"/>
      <c r="JL1" s="103"/>
      <c r="JM1" s="103"/>
      <c r="JN1" s="103"/>
      <c r="JO1" s="135">
        <f>IX1+1</f>
        <v>20</v>
      </c>
      <c r="JP1" s="102"/>
      <c r="JQ1" s="102"/>
      <c r="JR1" s="102"/>
      <c r="JS1" s="103"/>
      <c r="JT1" s="101"/>
      <c r="JU1" s="101"/>
      <c r="JV1" s="101"/>
      <c r="JW1" s="103"/>
      <c r="JX1" s="103"/>
      <c r="JY1" s="101"/>
      <c r="JZ1" s="101"/>
      <c r="KA1" s="101"/>
      <c r="KB1" s="103"/>
      <c r="KC1" s="103"/>
      <c r="KD1" s="103"/>
      <c r="KE1" s="103"/>
      <c r="KF1" s="135">
        <f>JO1+1</f>
        <v>21</v>
      </c>
      <c r="KG1" s="102"/>
      <c r="KH1" s="102"/>
      <c r="KI1" s="102"/>
      <c r="KJ1" s="103"/>
      <c r="KK1" s="101"/>
      <c r="KL1" s="101"/>
      <c r="KM1" s="101"/>
      <c r="KN1" s="103"/>
      <c r="KO1" s="103"/>
      <c r="KP1" s="101"/>
      <c r="KQ1" s="101"/>
      <c r="KR1" s="101"/>
      <c r="KS1" s="103"/>
      <c r="KT1" s="103"/>
      <c r="KU1" s="103"/>
      <c r="KV1" s="103"/>
      <c r="KW1" s="135">
        <f>KF1+1</f>
        <v>22</v>
      </c>
      <c r="KX1" s="102"/>
      <c r="KY1" s="102"/>
      <c r="KZ1" s="102"/>
      <c r="LA1" s="103"/>
      <c r="LB1" s="101"/>
      <c r="LC1" s="101"/>
      <c r="LD1" s="101"/>
      <c r="LE1" s="103"/>
      <c r="LF1" s="103"/>
      <c r="LG1" s="101"/>
      <c r="LH1" s="101"/>
      <c r="LI1" s="101"/>
      <c r="LJ1" s="103"/>
      <c r="LK1" s="103"/>
      <c r="LL1" s="103"/>
      <c r="LM1" s="103"/>
      <c r="LN1" s="135">
        <f>KW1+1</f>
        <v>23</v>
      </c>
      <c r="LO1" s="102"/>
      <c r="LP1" s="102"/>
      <c r="LQ1" s="102"/>
      <c r="LR1" s="103"/>
      <c r="LS1" s="101"/>
      <c r="LT1" s="101"/>
      <c r="LU1" s="101"/>
      <c r="LV1" s="103"/>
      <c r="LW1" s="103"/>
      <c r="LX1" s="101"/>
      <c r="LY1" s="101"/>
      <c r="LZ1" s="101"/>
      <c r="MA1" s="103"/>
      <c r="MB1" s="103"/>
      <c r="MC1" s="103"/>
      <c r="MD1" s="103"/>
      <c r="ME1" s="135">
        <f>LN1+1</f>
        <v>24</v>
      </c>
      <c r="MF1" s="102"/>
      <c r="MG1" s="102"/>
      <c r="MH1" s="102"/>
      <c r="MI1" s="103"/>
      <c r="MJ1" s="101"/>
      <c r="MK1" s="101"/>
      <c r="ML1" s="101"/>
      <c r="MM1" s="103"/>
      <c r="MN1" s="103"/>
      <c r="MO1" s="101"/>
      <c r="MP1" s="101"/>
      <c r="MQ1" s="101"/>
      <c r="MR1" s="103"/>
      <c r="MS1" s="103"/>
      <c r="MT1" s="103"/>
      <c r="MU1" s="103"/>
      <c r="MV1" s="135">
        <f>ME1+1</f>
        <v>25</v>
      </c>
      <c r="MW1" s="102"/>
      <c r="MX1" s="102"/>
      <c r="MY1" s="102"/>
      <c r="MZ1" s="103"/>
      <c r="NA1" s="101"/>
      <c r="NB1" s="101"/>
      <c r="NC1" s="101"/>
      <c r="ND1" s="103"/>
      <c r="NE1" s="103"/>
      <c r="NF1" s="101"/>
      <c r="NG1" s="101"/>
      <c r="NH1" s="101"/>
      <c r="NI1" s="103"/>
      <c r="NJ1" s="103"/>
      <c r="NK1" s="103"/>
      <c r="NL1" s="103"/>
      <c r="NM1" s="135">
        <f>MV1+1</f>
        <v>26</v>
      </c>
      <c r="NN1" s="102"/>
      <c r="NO1" s="102"/>
      <c r="NP1" s="102"/>
      <c r="NQ1" s="103"/>
      <c r="NR1" s="101"/>
      <c r="NS1" s="101"/>
      <c r="NT1" s="101"/>
      <c r="NU1" s="103"/>
      <c r="NV1" s="103"/>
      <c r="NW1" s="101"/>
      <c r="NX1" s="101"/>
      <c r="NY1" s="101"/>
      <c r="NZ1" s="103"/>
      <c r="OA1" s="103"/>
      <c r="OB1" s="103"/>
      <c r="OC1" s="103"/>
      <c r="OD1" s="135">
        <f>NM1+1</f>
        <v>27</v>
      </c>
      <c r="OE1" s="102"/>
      <c r="OF1" s="102"/>
      <c r="OG1" s="102"/>
      <c r="OH1" s="103"/>
      <c r="OI1" s="101"/>
      <c r="OJ1" s="101"/>
      <c r="OK1" s="101"/>
      <c r="OL1" s="103"/>
      <c r="OM1" s="103"/>
      <c r="ON1" s="101"/>
      <c r="OO1" s="101"/>
      <c r="OP1" s="101"/>
      <c r="OQ1" s="103"/>
      <c r="OR1" s="103"/>
      <c r="OS1" s="103"/>
      <c r="OT1" s="103"/>
      <c r="OU1" s="135">
        <f>OD1+1</f>
        <v>28</v>
      </c>
      <c r="OV1" s="102"/>
      <c r="OW1" s="102"/>
      <c r="OX1" s="102"/>
      <c r="OY1" s="103"/>
      <c r="OZ1" s="101"/>
      <c r="PA1" s="101"/>
      <c r="PB1" s="101"/>
      <c r="PC1" s="103"/>
      <c r="PD1" s="103"/>
      <c r="PE1" s="101"/>
      <c r="PF1" s="101"/>
      <c r="PG1" s="101"/>
      <c r="PH1" s="103"/>
      <c r="PI1" s="103"/>
      <c r="PJ1" s="103"/>
      <c r="PK1" s="103"/>
      <c r="PL1" s="135">
        <f>OU1+1</f>
        <v>29</v>
      </c>
      <c r="PM1" s="102"/>
      <c r="PN1" s="102"/>
      <c r="PO1" s="102"/>
      <c r="PP1" s="103"/>
      <c r="PQ1" s="101"/>
      <c r="PR1" s="101"/>
      <c r="PS1" s="101"/>
      <c r="PT1" s="103"/>
      <c r="PU1" s="103"/>
      <c r="PV1" s="101"/>
      <c r="PW1" s="101"/>
      <c r="PX1" s="101"/>
      <c r="PY1" s="103"/>
      <c r="PZ1" s="103"/>
      <c r="QA1" s="103"/>
      <c r="QB1" s="103"/>
      <c r="QC1" s="135">
        <f>PL1+1</f>
        <v>30</v>
      </c>
      <c r="QD1" s="102"/>
      <c r="QE1" s="102"/>
      <c r="QF1" s="102"/>
      <c r="QG1" s="103"/>
      <c r="QH1" s="101"/>
      <c r="QI1" s="101"/>
      <c r="QJ1" s="101"/>
      <c r="QK1" s="103"/>
      <c r="QL1" s="103"/>
      <c r="QM1" s="101"/>
      <c r="QN1" s="101"/>
      <c r="QO1" s="101"/>
      <c r="QP1" s="103"/>
      <c r="QQ1" s="103"/>
      <c r="QR1" s="103"/>
      <c r="QS1" s="103"/>
      <c r="QT1" s="135">
        <f>QC1+1</f>
        <v>31</v>
      </c>
      <c r="QU1" s="102"/>
      <c r="QV1" s="102"/>
      <c r="QW1" s="102"/>
      <c r="QX1" s="103"/>
      <c r="QY1" s="101"/>
      <c r="QZ1" s="101"/>
      <c r="RA1" s="101"/>
      <c r="RB1" s="103"/>
      <c r="RC1" s="103"/>
      <c r="RD1" s="101"/>
      <c r="RE1" s="101"/>
      <c r="RF1" s="101"/>
      <c r="RG1" s="103"/>
      <c r="RH1" s="103"/>
      <c r="RI1" s="103"/>
      <c r="RJ1" s="103"/>
      <c r="RK1" s="135">
        <f>QT1+1</f>
        <v>32</v>
      </c>
      <c r="RL1" s="102"/>
      <c r="RM1" s="102"/>
      <c r="RN1" s="102"/>
      <c r="RO1" s="103"/>
      <c r="RP1" s="101"/>
      <c r="RQ1" s="101"/>
      <c r="RR1" s="101"/>
      <c r="RS1" s="103"/>
      <c r="RT1" s="103"/>
      <c r="RU1" s="101"/>
      <c r="RV1" s="101"/>
      <c r="RW1" s="101"/>
      <c r="RX1" s="103"/>
      <c r="RY1" s="103"/>
      <c r="RZ1" s="103"/>
      <c r="SA1" s="103"/>
      <c r="SB1" s="135">
        <f>RK1+1</f>
        <v>33</v>
      </c>
      <c r="SC1" s="102"/>
      <c r="SD1" s="102"/>
      <c r="SE1" s="102"/>
      <c r="SF1" s="103"/>
      <c r="SG1" s="101"/>
      <c r="SH1" s="101"/>
      <c r="SI1" s="101"/>
      <c r="SJ1" s="103"/>
      <c r="SK1" s="103"/>
      <c r="SL1" s="101"/>
      <c r="SM1" s="101"/>
      <c r="SN1" s="101"/>
      <c r="SO1" s="103"/>
      <c r="SP1" s="103"/>
      <c r="SQ1" s="103"/>
      <c r="SR1" s="103"/>
    </row>
    <row r="2" spans="1:512" ht="60" customHeight="1" thickBot="1" x14ac:dyDescent="0.3">
      <c r="A2" s="91" t="s">
        <v>36</v>
      </c>
      <c r="B2" s="92" t="s">
        <v>197</v>
      </c>
      <c r="C2" s="148" t="str">
        <f ca="1">IF(CELL("contenu",INDIRECT(ADDRESS(C1,1,1,1,CELL("contenu",$B$2))))="","----",CELL("contenu",INDIRECT(ADDRESS(C1,1,1,1,CELL("contenu",$B$2)))))</f>
        <v>AGATHON Trystan</v>
      </c>
      <c r="D2" s="148"/>
      <c r="E2" s="148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123"/>
      <c r="T2" s="99" t="str">
        <f ca="1">IF(CELL("contenu",INDIRECT(ADDRESS(T1,1,1,1,CELL("contenu",$B$2))))="","----",CELL("contenu",INDIRECT(ADDRESS(T1,1,1,1,CELL("contenu",$B$2)))))</f>
        <v>BAILLOU Claire</v>
      </c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123"/>
      <c r="AK2" s="99" t="str">
        <f ca="1">IF(CELL("contenu",INDIRECT(ADDRESS(AK1,1,1,1,CELL("contenu",$B$2))))="","----",CELL("contenu",INDIRECT(ADDRESS(AK1,1,1,1,CELL("contenu",$B$2)))))</f>
        <v>BOUTET Lisa</v>
      </c>
      <c r="AL2" s="99"/>
      <c r="AM2" s="99"/>
      <c r="AN2" s="99"/>
      <c r="AO2" s="99"/>
      <c r="AP2" s="99"/>
      <c r="AQ2" s="99"/>
      <c r="AR2" s="99"/>
      <c r="AS2" s="99"/>
      <c r="AT2" s="99"/>
      <c r="AU2" s="99"/>
      <c r="AV2" s="99"/>
      <c r="AW2" s="99"/>
      <c r="AX2" s="99"/>
      <c r="AY2" s="99"/>
      <c r="AZ2" s="99"/>
      <c r="BA2" s="123"/>
      <c r="BB2" s="99" t="str">
        <f ca="1">IF(CELL("contenu",INDIRECT(ADDRESS(BB1,1,1,1,CELL("contenu",$B$2))))="","----",CELL("contenu",INDIRECT(ADDRESS(BB1,1,1,1,CELL("contenu",$B$2)))))</f>
        <v>BOYER Clara</v>
      </c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99"/>
      <c r="BP2" s="99"/>
      <c r="BQ2" s="99"/>
      <c r="BR2" s="123"/>
      <c r="BS2" s="99" t="str">
        <f ca="1">IF(CELL("contenu",INDIRECT(ADDRESS(BS1,1,1,1,CELL("contenu",$B$2))))="","----",CELL("contenu",INDIRECT(ADDRESS(BS1,1,1,1,CELL("contenu",$B$2)))))</f>
        <v>BRIERE DE LA HOSSERAY Augustin</v>
      </c>
      <c r="BT2" s="99"/>
      <c r="BU2" s="99"/>
      <c r="BV2" s="99"/>
      <c r="BW2" s="99"/>
      <c r="BX2" s="99"/>
      <c r="BY2" s="99"/>
      <c r="BZ2" s="99"/>
      <c r="CA2" s="99"/>
      <c r="CB2" s="99"/>
      <c r="CC2" s="99"/>
      <c r="CD2" s="99"/>
      <c r="CE2" s="99"/>
      <c r="CF2" s="99"/>
      <c r="CG2" s="99"/>
      <c r="CH2" s="99"/>
      <c r="CI2" s="123"/>
      <c r="CJ2" s="99" t="str">
        <f ca="1">IF(CELL("contenu",INDIRECT(ADDRESS(CJ1,1,1,1,CELL("contenu",$B$2))))="","----",CELL("contenu",INDIRECT(ADDRESS(CJ1,1,1,1,CELL("contenu",$B$2)))))</f>
        <v>CHADOUTAUD Come</v>
      </c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99"/>
      <c r="CV2" s="99"/>
      <c r="CW2" s="99"/>
      <c r="CX2" s="99"/>
      <c r="CY2" s="99"/>
      <c r="CZ2" s="123"/>
      <c r="DA2" s="99" t="str">
        <f ca="1">IF(CELL("contenu",INDIRECT(ADDRESS(DA1,1,1,1,CELL("contenu",$B$2))))="","----",CELL("contenu",INDIRECT(ADDRESS(DA1,1,1,1,CELL("contenu",$B$2)))))</f>
        <v>CHARRIER Clotilde</v>
      </c>
      <c r="DB2" s="99"/>
      <c r="DC2" s="99"/>
      <c r="DD2" s="99"/>
      <c r="DE2" s="99"/>
      <c r="DF2" s="99"/>
      <c r="DG2" s="99"/>
      <c r="DH2" s="99"/>
      <c r="DI2" s="99"/>
      <c r="DJ2" s="99"/>
      <c r="DK2" s="99"/>
      <c r="DL2" s="99"/>
      <c r="DM2" s="99"/>
      <c r="DN2" s="99"/>
      <c r="DO2" s="99"/>
      <c r="DP2" s="99"/>
      <c r="DQ2" s="123"/>
      <c r="DR2" s="99" t="str">
        <f ca="1">IF(CELL("contenu",INDIRECT(ADDRESS(DR1,1,1,1,CELL("contenu",$B$2))))="","----",CELL("contenu",INDIRECT(ADDRESS(DR1,1,1,1,CELL("contenu",$B$2)))))</f>
        <v>DUCHENE Aliénor</v>
      </c>
      <c r="DS2" s="99"/>
      <c r="DT2" s="99"/>
      <c r="DU2" s="99"/>
      <c r="DV2" s="99"/>
      <c r="DW2" s="99"/>
      <c r="DX2" s="99"/>
      <c r="DY2" s="99"/>
      <c r="DZ2" s="99"/>
      <c r="EA2" s="99"/>
      <c r="EB2" s="99"/>
      <c r="EC2" s="99"/>
      <c r="ED2" s="99"/>
      <c r="EE2" s="99"/>
      <c r="EF2" s="99"/>
      <c r="EG2" s="99"/>
      <c r="EH2" s="123"/>
      <c r="EI2" s="99" t="str">
        <f ca="1">IF(CELL("contenu",INDIRECT(ADDRESS(EI1,1,1,1,CELL("contenu",$B$2))))="","----",CELL("contenu",INDIRECT(ADDRESS(EI1,1,1,1,CELL("contenu",$B$2)))))</f>
        <v>DUVIVIER Annonciade</v>
      </c>
      <c r="EJ2" s="99"/>
      <c r="EK2" s="99"/>
      <c r="EL2" s="99"/>
      <c r="EM2" s="99"/>
      <c r="EN2" s="99"/>
      <c r="EO2" s="99"/>
      <c r="EP2" s="99"/>
      <c r="EQ2" s="99"/>
      <c r="ER2" s="99"/>
      <c r="ES2" s="99"/>
      <c r="ET2" s="99"/>
      <c r="EU2" s="99"/>
      <c r="EV2" s="99"/>
      <c r="EW2" s="99"/>
      <c r="EX2" s="99"/>
      <c r="EY2" s="123"/>
      <c r="EZ2" s="99" t="str">
        <f ca="1">IF(CELL("contenu",INDIRECT(ADDRESS(EZ1,1,1,1,CELL("contenu",$B$2))))="","----",CELL("contenu",INDIRECT(ADDRESS(EZ1,1,1,1,CELL("contenu",$B$2)))))</f>
        <v>GANCI Paola</v>
      </c>
      <c r="FA2" s="99"/>
      <c r="FB2" s="99"/>
      <c r="FC2" s="99"/>
      <c r="FD2" s="99"/>
      <c r="FE2" s="99"/>
      <c r="FF2" s="99"/>
      <c r="FG2" s="99"/>
      <c r="FH2" s="99"/>
      <c r="FI2" s="99"/>
      <c r="FJ2" s="99"/>
      <c r="FK2" s="99"/>
      <c r="FL2" s="99"/>
      <c r="FM2" s="99"/>
      <c r="FN2" s="99"/>
      <c r="FO2" s="99"/>
      <c r="FP2" s="123"/>
      <c r="FQ2" s="99" t="str">
        <f ca="1">IF(CELL("contenu",INDIRECT(ADDRESS(FQ1,1,1,1,CELL("contenu",$B$2))))="","----",CELL("contenu",INDIRECT(ADDRESS(FQ1,1,1,1,CELL("contenu",$B$2)))))</f>
        <v>GODON Jean</v>
      </c>
      <c r="FR2" s="99"/>
      <c r="FS2" s="99"/>
      <c r="FT2" s="99"/>
      <c r="FU2" s="99"/>
      <c r="FV2" s="99"/>
      <c r="FW2" s="99"/>
      <c r="FX2" s="99"/>
      <c r="FY2" s="99"/>
      <c r="FZ2" s="99"/>
      <c r="GA2" s="99"/>
      <c r="GB2" s="99"/>
      <c r="GC2" s="99"/>
      <c r="GD2" s="99"/>
      <c r="GE2" s="99"/>
      <c r="GF2" s="99"/>
      <c r="GG2" s="123"/>
      <c r="GH2" s="99" t="str">
        <f ca="1">IF(CELL("contenu",INDIRECT(ADDRESS(GH1,1,1,1,CELL("contenu",$B$2))))="","----",CELL("contenu",INDIRECT(ADDRESS(GH1,1,1,1,CELL("contenu",$B$2)))))</f>
        <v>HADAD Nadir</v>
      </c>
      <c r="GI2" s="99"/>
      <c r="GJ2" s="99"/>
      <c r="GK2" s="99"/>
      <c r="GL2" s="99"/>
      <c r="GM2" s="99"/>
      <c r="GN2" s="99"/>
      <c r="GO2" s="99"/>
      <c r="GP2" s="99"/>
      <c r="GQ2" s="99"/>
      <c r="GR2" s="99"/>
      <c r="GS2" s="99"/>
      <c r="GT2" s="99"/>
      <c r="GU2" s="99"/>
      <c r="GV2" s="99"/>
      <c r="GW2" s="99"/>
      <c r="GX2" s="123"/>
      <c r="GY2" s="99" t="str">
        <f ca="1">IF(CELL("contenu",INDIRECT(ADDRESS(GY1,1,1,1,CELL("contenu",$B$2))))="","----",CELL("contenu",INDIRECT(ADDRESS(GY1,1,1,1,CELL("contenu",$B$2)))))</f>
        <v>LAURENT Mélissa</v>
      </c>
      <c r="GZ2" s="99"/>
      <c r="HA2" s="99"/>
      <c r="HB2" s="99"/>
      <c r="HC2" s="99"/>
      <c r="HD2" s="99"/>
      <c r="HE2" s="99"/>
      <c r="HF2" s="99"/>
      <c r="HG2" s="99"/>
      <c r="HH2" s="99"/>
      <c r="HI2" s="99"/>
      <c r="HJ2" s="99"/>
      <c r="HK2" s="99"/>
      <c r="HL2" s="99"/>
      <c r="HM2" s="99"/>
      <c r="HN2" s="99"/>
      <c r="HO2" s="123"/>
      <c r="HP2" s="99" t="str">
        <f ca="1">IF(CELL("contenu",INDIRECT(ADDRESS(HP1,1,1,1,CELL("contenu",$B$2))))="","----",CELL("contenu",INDIRECT(ADDRESS(HP1,1,1,1,CELL("contenu",$B$2)))))</f>
        <v>LEBLANC Axel</v>
      </c>
      <c r="HQ2" s="99"/>
      <c r="HR2" s="99"/>
      <c r="HS2" s="99"/>
      <c r="HT2" s="99"/>
      <c r="HU2" s="99"/>
      <c r="HV2" s="99"/>
      <c r="HW2" s="99"/>
      <c r="HX2" s="99"/>
      <c r="HY2" s="99"/>
      <c r="HZ2" s="99"/>
      <c r="IA2" s="99"/>
      <c r="IB2" s="99"/>
      <c r="IC2" s="99"/>
      <c r="ID2" s="99"/>
      <c r="IE2" s="99"/>
      <c r="IF2" s="123"/>
      <c r="IG2" s="99" t="str">
        <f ca="1">IF(CELL("contenu",INDIRECT(ADDRESS(IG1,1,1,1,CELL("contenu",$B$2))))="","----",CELL("contenu",INDIRECT(ADDRESS(IG1,1,1,1,CELL("contenu",$B$2)))))</f>
        <v>LESEQUE Clémence</v>
      </c>
      <c r="IH2" s="99"/>
      <c r="II2" s="99"/>
      <c r="IJ2" s="99"/>
      <c r="IK2" s="99"/>
      <c r="IL2" s="99"/>
      <c r="IM2" s="99"/>
      <c r="IN2" s="99"/>
      <c r="IO2" s="99"/>
      <c r="IP2" s="99"/>
      <c r="IQ2" s="99"/>
      <c r="IR2" s="99"/>
      <c r="IS2" s="99"/>
      <c r="IT2" s="99"/>
      <c r="IU2" s="99"/>
      <c r="IV2" s="99"/>
      <c r="IW2" s="123"/>
      <c r="IX2" s="99" t="str">
        <f ca="1">IF(CELL("contenu",INDIRECT(ADDRESS(IX1,1,1,1,CELL("contenu",$B$2))))="","----",CELL("contenu",INDIRECT(ADDRESS(IX1,1,1,1,CELL("contenu",$B$2)))))</f>
        <v>MICHEL Arthur</v>
      </c>
      <c r="IY2" s="99"/>
      <c r="IZ2" s="99"/>
      <c r="JA2" s="99"/>
      <c r="JB2" s="99"/>
      <c r="JC2" s="99"/>
      <c r="JD2" s="99"/>
      <c r="JE2" s="99"/>
      <c r="JF2" s="99"/>
      <c r="JG2" s="99"/>
      <c r="JH2" s="99"/>
      <c r="JI2" s="99"/>
      <c r="JJ2" s="99"/>
      <c r="JK2" s="99"/>
      <c r="JL2" s="99"/>
      <c r="JM2" s="99"/>
      <c r="JN2" s="123"/>
      <c r="JO2" s="99" t="str">
        <f ca="1">IF(CELL("contenu",INDIRECT(ADDRESS(JO1,1,1,1,CELL("contenu",$B$2))))="","----",CELL("contenu",INDIRECT(ADDRESS(JO1,1,1,1,CELL("contenu",$B$2)))))</f>
        <v>MONNEAU Carla</v>
      </c>
      <c r="JP2" s="99"/>
      <c r="JQ2" s="99"/>
      <c r="JR2" s="99"/>
      <c r="JS2" s="99"/>
      <c r="JT2" s="99"/>
      <c r="JU2" s="99"/>
      <c r="JV2" s="99"/>
      <c r="JW2" s="99"/>
      <c r="JX2" s="99"/>
      <c r="JY2" s="99"/>
      <c r="JZ2" s="99"/>
      <c r="KA2" s="99"/>
      <c r="KB2" s="99"/>
      <c r="KC2" s="99"/>
      <c r="KD2" s="99"/>
      <c r="KE2" s="123"/>
      <c r="KF2" s="99" t="str">
        <f ca="1">IF(CELL("contenu",INDIRECT(ADDRESS(KF1,1,1,1,CELL("contenu",$B$2))))="","----",CELL("contenu",INDIRECT(ADDRESS(KF1,1,1,1,CELL("contenu",$B$2)))))</f>
        <v>MORIN Joséphine</v>
      </c>
      <c r="KG2" s="99"/>
      <c r="KH2" s="99"/>
      <c r="KI2" s="99"/>
      <c r="KJ2" s="99"/>
      <c r="KK2" s="99"/>
      <c r="KL2" s="99"/>
      <c r="KM2" s="99"/>
      <c r="KN2" s="99"/>
      <c r="KO2" s="99"/>
      <c r="KP2" s="99"/>
      <c r="KQ2" s="99"/>
      <c r="KR2" s="99"/>
      <c r="KS2" s="99"/>
      <c r="KT2" s="99"/>
      <c r="KU2" s="99"/>
      <c r="KV2" s="123"/>
      <c r="KW2" s="99" t="str">
        <f ca="1">IF(CELL("contenu",INDIRECT(ADDRESS(KW1,1,1,1,CELL("contenu",$B$2))))="","----",CELL("contenu",INDIRECT(ADDRESS(KW1,1,1,1,CELL("contenu",$B$2)))))</f>
        <v>PIGEAUD Martin</v>
      </c>
      <c r="KX2" s="99"/>
      <c r="KY2" s="99"/>
      <c r="KZ2" s="99"/>
      <c r="LA2" s="99"/>
      <c r="LB2" s="99"/>
      <c r="LC2" s="99"/>
      <c r="LD2" s="99"/>
      <c r="LE2" s="99"/>
      <c r="LF2" s="99"/>
      <c r="LG2" s="99"/>
      <c r="LH2" s="99"/>
      <c r="LI2" s="99"/>
      <c r="LJ2" s="99"/>
      <c r="LK2" s="99"/>
      <c r="LL2" s="99"/>
      <c r="LM2" s="123"/>
      <c r="LN2" s="99" t="str">
        <f ca="1">IF(CELL("contenu",INDIRECT(ADDRESS(LN1,1,1,1,CELL("contenu",$B$2))))="","----",CELL("contenu",INDIRECT(ADDRESS(LN1,1,1,1,CELL("contenu",$B$2)))))</f>
        <v>RAHARIMANANA Léo</v>
      </c>
      <c r="LO2" s="99"/>
      <c r="LP2" s="99"/>
      <c r="LQ2" s="99"/>
      <c r="LR2" s="99"/>
      <c r="LS2" s="99"/>
      <c r="LT2" s="99"/>
      <c r="LU2" s="99"/>
      <c r="LV2" s="99"/>
      <c r="LW2" s="99"/>
      <c r="LX2" s="99"/>
      <c r="LY2" s="99"/>
      <c r="LZ2" s="99"/>
      <c r="MA2" s="99"/>
      <c r="MB2" s="99"/>
      <c r="MC2" s="99"/>
      <c r="MD2" s="123"/>
      <c r="ME2" s="99" t="str">
        <f ca="1">IF(CELL("contenu",INDIRECT(ADDRESS(ME1,1,1,1,CELL("contenu",$B$2))))="","----",CELL("contenu",INDIRECT(ADDRESS(ME1,1,1,1,CELL("contenu",$B$2)))))</f>
        <v>RAVIER Sacha</v>
      </c>
      <c r="MF2" s="99"/>
      <c r="MG2" s="99"/>
      <c r="MH2" s="99"/>
      <c r="MI2" s="99"/>
      <c r="MJ2" s="99"/>
      <c r="MK2" s="99"/>
      <c r="ML2" s="99"/>
      <c r="MM2" s="99"/>
      <c r="MN2" s="99"/>
      <c r="MO2" s="99"/>
      <c r="MP2" s="99"/>
      <c r="MQ2" s="99"/>
      <c r="MR2" s="99"/>
      <c r="MS2" s="99"/>
      <c r="MT2" s="99"/>
      <c r="MU2" s="123"/>
      <c r="MV2" s="99" t="str">
        <f ca="1">IF(CELL("contenu",INDIRECT(ADDRESS(MV1,1,1,1,CELL("contenu",$B$2))))="","----",CELL("contenu",INDIRECT(ADDRESS(MV1,1,1,1,CELL("contenu",$B$2)))))</f>
        <v>ROUSSELLE Camille</v>
      </c>
      <c r="MW2" s="99"/>
      <c r="MX2" s="99"/>
      <c r="MY2" s="99"/>
      <c r="MZ2" s="99"/>
      <c r="NA2" s="99"/>
      <c r="NB2" s="99"/>
      <c r="NC2" s="99"/>
      <c r="ND2" s="99"/>
      <c r="NE2" s="99"/>
      <c r="NF2" s="99"/>
      <c r="NG2" s="99"/>
      <c r="NH2" s="99"/>
      <c r="NI2" s="99"/>
      <c r="NJ2" s="99"/>
      <c r="NK2" s="99"/>
      <c r="NL2" s="123"/>
      <c r="NM2" s="99" t="str">
        <f ca="1">IF(CELL("contenu",INDIRECT(ADDRESS(NM1,1,1,1,CELL("contenu",$B$2))))="","----",CELL("contenu",INDIRECT(ADDRESS(NM1,1,1,1,CELL("contenu",$B$2)))))</f>
        <v>SALNOT Bertille</v>
      </c>
      <c r="NN2" s="99"/>
      <c r="NO2" s="99"/>
      <c r="NP2" s="99"/>
      <c r="NQ2" s="99"/>
      <c r="NR2" s="99"/>
      <c r="NS2" s="99"/>
      <c r="NT2" s="99"/>
      <c r="NU2" s="99"/>
      <c r="NV2" s="99"/>
      <c r="NW2" s="99"/>
      <c r="NX2" s="99"/>
      <c r="NY2" s="99"/>
      <c r="NZ2" s="99"/>
      <c r="OA2" s="99"/>
      <c r="OB2" s="99"/>
      <c r="OC2" s="123"/>
      <c r="OD2" s="99" t="str">
        <f ca="1">IF(CELL("contenu",INDIRECT(ADDRESS(OD1,1,1,1,CELL("contenu",$B$2))))="","----",CELL("contenu",INDIRECT(ADDRESS(OD1,1,1,1,CELL("contenu",$B$2)))))</f>
        <v>SOULEZ Soizic</v>
      </c>
      <c r="OE2" s="99"/>
      <c r="OF2" s="99"/>
      <c r="OG2" s="99"/>
      <c r="OH2" s="99"/>
      <c r="OI2" s="99"/>
      <c r="OJ2" s="99"/>
      <c r="OK2" s="99"/>
      <c r="OL2" s="99"/>
      <c r="OM2" s="99"/>
      <c r="ON2" s="99"/>
      <c r="OO2" s="99"/>
      <c r="OP2" s="99"/>
      <c r="OQ2" s="99"/>
      <c r="OR2" s="99"/>
      <c r="OS2" s="99"/>
      <c r="OT2" s="123"/>
      <c r="OU2" s="99" t="str">
        <f ca="1">IF(CELL("contenu",INDIRECT(ADDRESS(OU1,1,1,1,CELL("contenu",$B$2))))="","----",CELL("contenu",INDIRECT(ADDRESS(OU1,1,1,1,CELL("contenu",$B$2)))))</f>
        <v>VALLEE Constance</v>
      </c>
      <c r="OV2" s="99"/>
      <c r="OW2" s="99"/>
      <c r="OX2" s="99"/>
      <c r="OY2" s="99"/>
      <c r="OZ2" s="99"/>
      <c r="PA2" s="99"/>
      <c r="PB2" s="99"/>
      <c r="PC2" s="99"/>
      <c r="PD2" s="99"/>
      <c r="PE2" s="99"/>
      <c r="PF2" s="99"/>
      <c r="PG2" s="99"/>
      <c r="PH2" s="99"/>
      <c r="PI2" s="99"/>
      <c r="PJ2" s="99"/>
      <c r="PK2" s="123"/>
      <c r="PL2" s="99" t="str">
        <f ca="1">IF(CELL("contenu",INDIRECT(ADDRESS(PL1,1,1,1,CELL("contenu",$B$2))))="","----",CELL("contenu",INDIRECT(ADDRESS(PL1,1,1,1,CELL("contenu",$B$2)))))</f>
        <v>VEYRET-LOGERIAS Mahaut</v>
      </c>
      <c r="PM2" s="99"/>
      <c r="PN2" s="99"/>
      <c r="PO2" s="99"/>
      <c r="PP2" s="99"/>
      <c r="PQ2" s="99"/>
      <c r="PR2" s="99"/>
      <c r="PS2" s="99"/>
      <c r="PT2" s="99"/>
      <c r="PU2" s="99"/>
      <c r="PV2" s="99"/>
      <c r="PW2" s="99"/>
      <c r="PX2" s="99"/>
      <c r="PY2" s="99"/>
      <c r="PZ2" s="99"/>
      <c r="QA2" s="99"/>
      <c r="QB2" s="123"/>
      <c r="QC2" s="99" t="str">
        <f ca="1">IF(CELL("contenu",INDIRECT(ADDRESS(QC1,1,1,1,CELL("contenu",$B$2))))="","----",CELL("contenu",INDIRECT(ADDRESS(QC1,1,1,1,CELL("contenu",$B$2)))))</f>
        <v>VIRVOULVET Louis</v>
      </c>
      <c r="QD2" s="99"/>
      <c r="QE2" s="99"/>
      <c r="QF2" s="99"/>
      <c r="QG2" s="99"/>
      <c r="QH2" s="99"/>
      <c r="QI2" s="99"/>
      <c r="QJ2" s="99"/>
      <c r="QK2" s="99"/>
      <c r="QL2" s="99"/>
      <c r="QM2" s="99"/>
      <c r="QN2" s="99"/>
      <c r="QO2" s="99"/>
      <c r="QP2" s="99"/>
      <c r="QQ2" s="99"/>
      <c r="QR2" s="99"/>
      <c r="QS2" s="123"/>
      <c r="QT2" s="99">
        <f ca="1">IF(CELL("contenu",INDIRECT(ADDRESS(QT1,1,1,1,CELL("contenu",$B$2))))="","----",CELL("contenu",INDIRECT(ADDRESS(QT1,1,1,1,CELL("contenu",$B$2)))))</f>
        <v>0</v>
      </c>
      <c r="QU2" s="99"/>
      <c r="QV2" s="99"/>
      <c r="QW2" s="99"/>
      <c r="QX2" s="99"/>
      <c r="QY2" s="99"/>
      <c r="QZ2" s="99"/>
      <c r="RA2" s="99"/>
      <c r="RB2" s="99"/>
      <c r="RC2" s="99"/>
      <c r="RD2" s="99"/>
      <c r="RE2" s="99"/>
      <c r="RF2" s="99"/>
      <c r="RG2" s="99"/>
      <c r="RH2" s="99"/>
      <c r="RI2" s="99"/>
      <c r="RJ2" s="123"/>
      <c r="RK2" s="99">
        <f ca="1">IF(CELL("contenu",INDIRECT(ADDRESS(RK1,1,1,1,CELL("contenu",$B$2))))="","----",CELL("contenu",INDIRECT(ADDRESS(RK1,1,1,1,CELL("contenu",$B$2)))))</f>
        <v>0</v>
      </c>
      <c r="RL2" s="99"/>
      <c r="RM2" s="99"/>
      <c r="RN2" s="99"/>
      <c r="RO2" s="99"/>
      <c r="RP2" s="99"/>
      <c r="RQ2" s="99"/>
      <c r="RR2" s="99"/>
      <c r="RS2" s="99"/>
      <c r="RT2" s="99"/>
      <c r="RU2" s="99"/>
      <c r="RV2" s="99"/>
      <c r="RW2" s="99"/>
      <c r="RX2" s="99"/>
      <c r="RY2" s="99"/>
      <c r="RZ2" s="99"/>
      <c r="SA2" s="123"/>
      <c r="SB2" s="99">
        <f ca="1">IF(CELL("contenu",INDIRECT(ADDRESS(SB1,1,1,1,CELL("contenu",$B$2))))="","----",CELL("contenu",INDIRECT(ADDRESS(SB1,1,1,1,CELL("contenu",$B$2)))))</f>
        <v>0</v>
      </c>
      <c r="SC2" s="99"/>
      <c r="SD2" s="99"/>
      <c r="SE2" s="99"/>
      <c r="SF2" s="99"/>
      <c r="SG2" s="99"/>
      <c r="SH2" s="99"/>
      <c r="SI2" s="99"/>
      <c r="SJ2" s="99"/>
      <c r="SK2" s="99"/>
      <c r="SL2" s="99"/>
      <c r="SM2" s="99"/>
      <c r="SN2" s="99"/>
      <c r="SO2" s="99"/>
      <c r="SP2" s="99"/>
      <c r="SQ2" s="99"/>
      <c r="SR2" s="123"/>
    </row>
    <row r="3" spans="1:512" ht="60" customHeight="1" thickBot="1" x14ac:dyDescent="0.3">
      <c r="A3" s="93"/>
      <c r="B3" s="94" t="s">
        <v>31</v>
      </c>
      <c r="C3" s="149" t="s">
        <v>208</v>
      </c>
      <c r="D3" s="150" t="s">
        <v>212</v>
      </c>
      <c r="E3" s="151"/>
      <c r="F3" s="104" t="s">
        <v>7</v>
      </c>
      <c r="G3" s="105"/>
      <c r="H3" s="73"/>
      <c r="I3" s="75"/>
      <c r="J3" s="74"/>
      <c r="K3" s="119" t="s">
        <v>8</v>
      </c>
      <c r="L3" s="120"/>
      <c r="M3" s="73"/>
      <c r="N3" s="75"/>
      <c r="O3" s="74"/>
      <c r="P3" s="124" t="s">
        <v>9</v>
      </c>
      <c r="Q3" s="125"/>
      <c r="R3" s="126" t="s">
        <v>10</v>
      </c>
      <c r="S3" s="127"/>
      <c r="T3" s="193" t="str">
        <f>IF(C3="","",C3)</f>
        <v>CH1/1</v>
      </c>
      <c r="U3" s="194" t="str">
        <f>IF(D3="","",D3)</f>
        <v>Eval 1</v>
      </c>
      <c r="V3" s="195" t="str">
        <f>IF(E3="","",E3)</f>
        <v/>
      </c>
      <c r="W3" s="104" t="s">
        <v>7</v>
      </c>
      <c r="X3" s="105"/>
      <c r="Y3" s="196" t="str">
        <f>IF(H3="","",H3)</f>
        <v/>
      </c>
      <c r="Z3" s="194" t="str">
        <f>IF(I3="","",I3)</f>
        <v/>
      </c>
      <c r="AA3" s="197" t="str">
        <f>IF(J3="","",J3)</f>
        <v/>
      </c>
      <c r="AB3" s="119" t="s">
        <v>8</v>
      </c>
      <c r="AC3" s="120"/>
      <c r="AD3" s="196" t="str">
        <f>IF(M3="","",M3)</f>
        <v/>
      </c>
      <c r="AE3" s="194" t="str">
        <f>IF(N3="","",N3)</f>
        <v/>
      </c>
      <c r="AF3" s="197" t="str">
        <f>IF(O3="","",O3)</f>
        <v/>
      </c>
      <c r="AG3" s="124" t="s">
        <v>9</v>
      </c>
      <c r="AH3" s="125"/>
      <c r="AI3" s="126" t="s">
        <v>10</v>
      </c>
      <c r="AJ3" s="127"/>
      <c r="AK3" s="193" t="str">
        <f>IF(T3="","",T3)</f>
        <v>CH1/1</v>
      </c>
      <c r="AL3" s="194" t="str">
        <f>IF(U3="","",U3)</f>
        <v>Eval 1</v>
      </c>
      <c r="AM3" s="195" t="str">
        <f>IF(V3="","",V3)</f>
        <v/>
      </c>
      <c r="AN3" s="104" t="s">
        <v>7</v>
      </c>
      <c r="AO3" s="105"/>
      <c r="AP3" s="196" t="str">
        <f>IF(Y3="","",Y3)</f>
        <v/>
      </c>
      <c r="AQ3" s="194" t="str">
        <f>IF(Z3="","",Z3)</f>
        <v/>
      </c>
      <c r="AR3" s="197" t="str">
        <f>IF(AA3="","",AA3)</f>
        <v/>
      </c>
      <c r="AS3" s="119" t="s">
        <v>8</v>
      </c>
      <c r="AT3" s="120"/>
      <c r="AU3" s="196" t="str">
        <f>IF(AD3="","",AD3)</f>
        <v/>
      </c>
      <c r="AV3" s="194" t="str">
        <f>IF(AE3="","",AE3)</f>
        <v/>
      </c>
      <c r="AW3" s="197" t="str">
        <f>IF(AF3="","",AF3)</f>
        <v/>
      </c>
      <c r="AX3" s="124" t="s">
        <v>9</v>
      </c>
      <c r="AY3" s="125"/>
      <c r="AZ3" s="126" t="s">
        <v>10</v>
      </c>
      <c r="BA3" s="127"/>
      <c r="BB3" s="193" t="str">
        <f>IF(AK3="","",AK3)</f>
        <v>CH1/1</v>
      </c>
      <c r="BC3" s="194" t="str">
        <f>IF(AL3="","",AL3)</f>
        <v>Eval 1</v>
      </c>
      <c r="BD3" s="195" t="str">
        <f>IF(AM3="","",AM3)</f>
        <v/>
      </c>
      <c r="BE3" s="104" t="s">
        <v>7</v>
      </c>
      <c r="BF3" s="105"/>
      <c r="BG3" s="196" t="str">
        <f>IF(AP3="","",AP3)</f>
        <v/>
      </c>
      <c r="BH3" s="194" t="str">
        <f>IF(AQ3="","",AQ3)</f>
        <v/>
      </c>
      <c r="BI3" s="197" t="str">
        <f>IF(AR3="","",AR3)</f>
        <v/>
      </c>
      <c r="BJ3" s="119" t="s">
        <v>8</v>
      </c>
      <c r="BK3" s="120"/>
      <c r="BL3" s="196" t="str">
        <f>IF(AU3="","",AU3)</f>
        <v/>
      </c>
      <c r="BM3" s="194" t="str">
        <f>IF(AV3="","",AV3)</f>
        <v/>
      </c>
      <c r="BN3" s="197" t="str">
        <f>IF(AW3="","",AW3)</f>
        <v/>
      </c>
      <c r="BO3" s="124" t="s">
        <v>9</v>
      </c>
      <c r="BP3" s="125"/>
      <c r="BQ3" s="126" t="s">
        <v>10</v>
      </c>
      <c r="BR3" s="127"/>
      <c r="BS3" s="193" t="str">
        <f>IF(BB3="","",BB3)</f>
        <v>CH1/1</v>
      </c>
      <c r="BT3" s="194" t="str">
        <f>IF(BC3="","",BC3)</f>
        <v>Eval 1</v>
      </c>
      <c r="BU3" s="195" t="str">
        <f>IF(BD3="","",BD3)</f>
        <v/>
      </c>
      <c r="BV3" s="104" t="s">
        <v>7</v>
      </c>
      <c r="BW3" s="105"/>
      <c r="BX3" s="196" t="str">
        <f>IF(BG3="","",BG3)</f>
        <v/>
      </c>
      <c r="BY3" s="194" t="str">
        <f>IF(BH3="","",BH3)</f>
        <v/>
      </c>
      <c r="BZ3" s="197" t="str">
        <f>IF(BI3="","",BI3)</f>
        <v/>
      </c>
      <c r="CA3" s="119" t="s">
        <v>8</v>
      </c>
      <c r="CB3" s="120"/>
      <c r="CC3" s="196" t="str">
        <f>IF(BL3="","",BL3)</f>
        <v/>
      </c>
      <c r="CD3" s="194" t="str">
        <f>IF(BM3="","",BM3)</f>
        <v/>
      </c>
      <c r="CE3" s="197" t="str">
        <f>IF(BN3="","",BN3)</f>
        <v/>
      </c>
      <c r="CF3" s="124" t="s">
        <v>9</v>
      </c>
      <c r="CG3" s="125"/>
      <c r="CH3" s="126" t="s">
        <v>10</v>
      </c>
      <c r="CI3" s="127"/>
      <c r="CJ3" s="193" t="str">
        <f>IF(BS3="","",BS3)</f>
        <v>CH1/1</v>
      </c>
      <c r="CK3" s="194" t="str">
        <f>IF(BT3="","",BT3)</f>
        <v>Eval 1</v>
      </c>
      <c r="CL3" s="195" t="str">
        <f>IF(BU3="","",BU3)</f>
        <v/>
      </c>
      <c r="CM3" s="104" t="s">
        <v>7</v>
      </c>
      <c r="CN3" s="105"/>
      <c r="CO3" s="196" t="str">
        <f>IF(BX3="","",BX3)</f>
        <v/>
      </c>
      <c r="CP3" s="194" t="str">
        <f>IF(BY3="","",BY3)</f>
        <v/>
      </c>
      <c r="CQ3" s="197" t="str">
        <f>IF(BZ3="","",BZ3)</f>
        <v/>
      </c>
      <c r="CR3" s="119" t="s">
        <v>8</v>
      </c>
      <c r="CS3" s="120"/>
      <c r="CT3" s="196" t="str">
        <f>IF(CC3="","",CC3)</f>
        <v/>
      </c>
      <c r="CU3" s="194" t="str">
        <f>IF(CD3="","",CD3)</f>
        <v/>
      </c>
      <c r="CV3" s="197" t="str">
        <f>IF(CE3="","",CE3)</f>
        <v/>
      </c>
      <c r="CW3" s="124" t="s">
        <v>9</v>
      </c>
      <c r="CX3" s="125"/>
      <c r="CY3" s="126" t="s">
        <v>10</v>
      </c>
      <c r="CZ3" s="127"/>
      <c r="DA3" s="193" t="str">
        <f>IF(CJ3="","",CJ3)</f>
        <v>CH1/1</v>
      </c>
      <c r="DB3" s="194" t="str">
        <f>IF(CK3="","",CK3)</f>
        <v>Eval 1</v>
      </c>
      <c r="DC3" s="195" t="str">
        <f>IF(CL3="","",CL3)</f>
        <v/>
      </c>
      <c r="DD3" s="104" t="s">
        <v>7</v>
      </c>
      <c r="DE3" s="105"/>
      <c r="DF3" s="196" t="str">
        <f>IF(CO3="","",CO3)</f>
        <v/>
      </c>
      <c r="DG3" s="194" t="str">
        <f>IF(CP3="","",CP3)</f>
        <v/>
      </c>
      <c r="DH3" s="197" t="str">
        <f>IF(CQ3="","",CQ3)</f>
        <v/>
      </c>
      <c r="DI3" s="119" t="s">
        <v>8</v>
      </c>
      <c r="DJ3" s="120"/>
      <c r="DK3" s="196" t="str">
        <f>IF(CT3="","",CT3)</f>
        <v/>
      </c>
      <c r="DL3" s="194" t="str">
        <f>IF(CU3="","",CU3)</f>
        <v/>
      </c>
      <c r="DM3" s="197" t="str">
        <f>IF(CV3="","",CV3)</f>
        <v/>
      </c>
      <c r="DN3" s="124" t="s">
        <v>9</v>
      </c>
      <c r="DO3" s="125"/>
      <c r="DP3" s="126" t="s">
        <v>10</v>
      </c>
      <c r="DQ3" s="127"/>
      <c r="DR3" s="193" t="str">
        <f>IF(DA3="","",DA3)</f>
        <v>CH1/1</v>
      </c>
      <c r="DS3" s="194" t="str">
        <f>IF(DB3="","",DB3)</f>
        <v>Eval 1</v>
      </c>
      <c r="DT3" s="195" t="str">
        <f>IF(DC3="","",DC3)</f>
        <v/>
      </c>
      <c r="DU3" s="104" t="s">
        <v>7</v>
      </c>
      <c r="DV3" s="105"/>
      <c r="DW3" s="196" t="str">
        <f>IF(DF3="","",DF3)</f>
        <v/>
      </c>
      <c r="DX3" s="194" t="str">
        <f>IF(DG3="","",DG3)</f>
        <v/>
      </c>
      <c r="DY3" s="197" t="str">
        <f>IF(DH3="","",DH3)</f>
        <v/>
      </c>
      <c r="DZ3" s="119" t="s">
        <v>8</v>
      </c>
      <c r="EA3" s="120"/>
      <c r="EB3" s="196" t="str">
        <f>IF(DK3="","",DK3)</f>
        <v/>
      </c>
      <c r="EC3" s="194" t="str">
        <f>IF(DL3="","",DL3)</f>
        <v/>
      </c>
      <c r="ED3" s="197" t="str">
        <f>IF(DM3="","",DM3)</f>
        <v/>
      </c>
      <c r="EE3" s="124" t="s">
        <v>9</v>
      </c>
      <c r="EF3" s="125"/>
      <c r="EG3" s="126" t="s">
        <v>10</v>
      </c>
      <c r="EH3" s="127"/>
      <c r="EI3" s="193" t="str">
        <f>IF(DR3="","",DR3)</f>
        <v>CH1/1</v>
      </c>
      <c r="EJ3" s="194" t="str">
        <f>IF(DS3="","",DS3)</f>
        <v>Eval 1</v>
      </c>
      <c r="EK3" s="195" t="str">
        <f>IF(DT3="","",DT3)</f>
        <v/>
      </c>
      <c r="EL3" s="104" t="s">
        <v>7</v>
      </c>
      <c r="EM3" s="105"/>
      <c r="EN3" s="196" t="str">
        <f>IF(DW3="","",DW3)</f>
        <v/>
      </c>
      <c r="EO3" s="194" t="str">
        <f>IF(DX3="","",DX3)</f>
        <v/>
      </c>
      <c r="EP3" s="197" t="str">
        <f>IF(DY3="","",DY3)</f>
        <v/>
      </c>
      <c r="EQ3" s="119" t="s">
        <v>8</v>
      </c>
      <c r="ER3" s="120"/>
      <c r="ES3" s="196" t="str">
        <f>IF(EB3="","",EB3)</f>
        <v/>
      </c>
      <c r="ET3" s="194" t="str">
        <f>IF(EC3="","",EC3)</f>
        <v/>
      </c>
      <c r="EU3" s="197" t="str">
        <f>IF(ED3="","",ED3)</f>
        <v/>
      </c>
      <c r="EV3" s="124" t="s">
        <v>9</v>
      </c>
      <c r="EW3" s="125"/>
      <c r="EX3" s="126" t="s">
        <v>10</v>
      </c>
      <c r="EY3" s="127"/>
      <c r="EZ3" s="193" t="str">
        <f>IF(EI3="","",EI3)</f>
        <v>CH1/1</v>
      </c>
      <c r="FA3" s="194" t="str">
        <f>IF(EJ3="","",EJ3)</f>
        <v>Eval 1</v>
      </c>
      <c r="FB3" s="195" t="str">
        <f>IF(EK3="","",EK3)</f>
        <v/>
      </c>
      <c r="FC3" s="104" t="s">
        <v>7</v>
      </c>
      <c r="FD3" s="105"/>
      <c r="FE3" s="196" t="str">
        <f>IF(EN3="","",EN3)</f>
        <v/>
      </c>
      <c r="FF3" s="194" t="str">
        <f>IF(EO3="","",EO3)</f>
        <v/>
      </c>
      <c r="FG3" s="197" t="str">
        <f>IF(EP3="","",EP3)</f>
        <v/>
      </c>
      <c r="FH3" s="119" t="s">
        <v>8</v>
      </c>
      <c r="FI3" s="120"/>
      <c r="FJ3" s="196" t="str">
        <f>IF(ES3="","",ES3)</f>
        <v/>
      </c>
      <c r="FK3" s="194" t="str">
        <f>IF(ET3="","",ET3)</f>
        <v/>
      </c>
      <c r="FL3" s="197" t="str">
        <f>IF(EU3="","",EU3)</f>
        <v/>
      </c>
      <c r="FM3" s="124" t="s">
        <v>9</v>
      </c>
      <c r="FN3" s="125"/>
      <c r="FO3" s="126" t="s">
        <v>10</v>
      </c>
      <c r="FP3" s="127"/>
      <c r="FQ3" s="193" t="str">
        <f>IF(EZ3="","",EZ3)</f>
        <v>CH1/1</v>
      </c>
      <c r="FR3" s="194" t="str">
        <f>IF(FA3="","",FA3)</f>
        <v>Eval 1</v>
      </c>
      <c r="FS3" s="195" t="str">
        <f>IF(FB3="","",FB3)</f>
        <v/>
      </c>
      <c r="FT3" s="104" t="s">
        <v>7</v>
      </c>
      <c r="FU3" s="105"/>
      <c r="FV3" s="196" t="str">
        <f>IF(FE3="","",FE3)</f>
        <v/>
      </c>
      <c r="FW3" s="194" t="str">
        <f>IF(FF3="","",FF3)</f>
        <v/>
      </c>
      <c r="FX3" s="197" t="str">
        <f>IF(FG3="","",FG3)</f>
        <v/>
      </c>
      <c r="FY3" s="119" t="s">
        <v>8</v>
      </c>
      <c r="FZ3" s="120"/>
      <c r="GA3" s="196" t="str">
        <f>IF(FJ3="","",FJ3)</f>
        <v/>
      </c>
      <c r="GB3" s="194" t="str">
        <f>IF(FK3="","",FK3)</f>
        <v/>
      </c>
      <c r="GC3" s="197" t="str">
        <f>IF(FL3="","",FL3)</f>
        <v/>
      </c>
      <c r="GD3" s="124" t="s">
        <v>9</v>
      </c>
      <c r="GE3" s="125"/>
      <c r="GF3" s="126" t="s">
        <v>10</v>
      </c>
      <c r="GG3" s="127"/>
      <c r="GH3" s="193" t="str">
        <f>IF(FQ3="","",FQ3)</f>
        <v>CH1/1</v>
      </c>
      <c r="GI3" s="194" t="str">
        <f>IF(FR3="","",FR3)</f>
        <v>Eval 1</v>
      </c>
      <c r="GJ3" s="195" t="str">
        <f>IF(FS3="","",FS3)</f>
        <v/>
      </c>
      <c r="GK3" s="104" t="s">
        <v>7</v>
      </c>
      <c r="GL3" s="105"/>
      <c r="GM3" s="196" t="str">
        <f>IF(FV3="","",FV3)</f>
        <v/>
      </c>
      <c r="GN3" s="194" t="str">
        <f>IF(FW3="","",FW3)</f>
        <v/>
      </c>
      <c r="GO3" s="197" t="str">
        <f>IF(FX3="","",FX3)</f>
        <v/>
      </c>
      <c r="GP3" s="119" t="s">
        <v>8</v>
      </c>
      <c r="GQ3" s="120"/>
      <c r="GR3" s="196" t="str">
        <f>IF(GA3="","",GA3)</f>
        <v/>
      </c>
      <c r="GS3" s="194" t="str">
        <f>IF(GB3="","",GB3)</f>
        <v/>
      </c>
      <c r="GT3" s="197" t="str">
        <f>IF(GC3="","",GC3)</f>
        <v/>
      </c>
      <c r="GU3" s="124" t="s">
        <v>9</v>
      </c>
      <c r="GV3" s="125"/>
      <c r="GW3" s="126" t="s">
        <v>10</v>
      </c>
      <c r="GX3" s="127"/>
      <c r="GY3" s="193" t="str">
        <f>IF(GH3="","",GH3)</f>
        <v>CH1/1</v>
      </c>
      <c r="GZ3" s="194" t="str">
        <f>IF(GI3="","",GI3)</f>
        <v>Eval 1</v>
      </c>
      <c r="HA3" s="195" t="str">
        <f>IF(GJ3="","",GJ3)</f>
        <v/>
      </c>
      <c r="HB3" s="104" t="s">
        <v>7</v>
      </c>
      <c r="HC3" s="105"/>
      <c r="HD3" s="196" t="str">
        <f>IF(GM3="","",GM3)</f>
        <v/>
      </c>
      <c r="HE3" s="194" t="str">
        <f>IF(GN3="","",GN3)</f>
        <v/>
      </c>
      <c r="HF3" s="197" t="str">
        <f>IF(GO3="","",GO3)</f>
        <v/>
      </c>
      <c r="HG3" s="119" t="s">
        <v>8</v>
      </c>
      <c r="HH3" s="120"/>
      <c r="HI3" s="196" t="str">
        <f>IF(GR3="","",GR3)</f>
        <v/>
      </c>
      <c r="HJ3" s="194" t="str">
        <f>IF(GS3="","",GS3)</f>
        <v/>
      </c>
      <c r="HK3" s="197" t="str">
        <f>IF(GT3="","",GT3)</f>
        <v/>
      </c>
      <c r="HL3" s="124" t="s">
        <v>9</v>
      </c>
      <c r="HM3" s="125"/>
      <c r="HN3" s="126" t="s">
        <v>10</v>
      </c>
      <c r="HO3" s="127"/>
      <c r="HP3" s="193" t="str">
        <f>IF(GY3="","",GY3)</f>
        <v>CH1/1</v>
      </c>
      <c r="HQ3" s="194" t="str">
        <f>IF(GZ3="","",GZ3)</f>
        <v>Eval 1</v>
      </c>
      <c r="HR3" s="195" t="str">
        <f>IF(HA3="","",HA3)</f>
        <v/>
      </c>
      <c r="HS3" s="104" t="s">
        <v>7</v>
      </c>
      <c r="HT3" s="105"/>
      <c r="HU3" s="196" t="str">
        <f>IF(HD3="","",HD3)</f>
        <v/>
      </c>
      <c r="HV3" s="194" t="str">
        <f>IF(HE3="","",HE3)</f>
        <v/>
      </c>
      <c r="HW3" s="197" t="str">
        <f>IF(HF3="","",HF3)</f>
        <v/>
      </c>
      <c r="HX3" s="119" t="s">
        <v>8</v>
      </c>
      <c r="HY3" s="120"/>
      <c r="HZ3" s="196" t="str">
        <f>IF(HI3="","",HI3)</f>
        <v/>
      </c>
      <c r="IA3" s="194" t="str">
        <f>IF(HJ3="","",HJ3)</f>
        <v/>
      </c>
      <c r="IB3" s="197" t="str">
        <f>IF(HK3="","",HK3)</f>
        <v/>
      </c>
      <c r="IC3" s="124" t="s">
        <v>9</v>
      </c>
      <c r="ID3" s="125"/>
      <c r="IE3" s="126" t="s">
        <v>10</v>
      </c>
      <c r="IF3" s="127"/>
      <c r="IG3" s="193" t="str">
        <f>IF(HP3="","",HP3)</f>
        <v>CH1/1</v>
      </c>
      <c r="IH3" s="194" t="str">
        <f>IF(HQ3="","",HQ3)</f>
        <v>Eval 1</v>
      </c>
      <c r="II3" s="195" t="str">
        <f>IF(HR3="","",HR3)</f>
        <v/>
      </c>
      <c r="IJ3" s="104" t="s">
        <v>7</v>
      </c>
      <c r="IK3" s="105"/>
      <c r="IL3" s="196" t="str">
        <f>IF(HU3="","",HU3)</f>
        <v/>
      </c>
      <c r="IM3" s="194" t="str">
        <f>IF(HV3="","",HV3)</f>
        <v/>
      </c>
      <c r="IN3" s="197" t="str">
        <f>IF(HW3="","",HW3)</f>
        <v/>
      </c>
      <c r="IO3" s="119" t="s">
        <v>8</v>
      </c>
      <c r="IP3" s="120"/>
      <c r="IQ3" s="196" t="str">
        <f>IF(HZ3="","",HZ3)</f>
        <v/>
      </c>
      <c r="IR3" s="194" t="str">
        <f>IF(IA3="","",IA3)</f>
        <v/>
      </c>
      <c r="IS3" s="197" t="str">
        <f>IF(IB3="","",IB3)</f>
        <v/>
      </c>
      <c r="IT3" s="124" t="s">
        <v>9</v>
      </c>
      <c r="IU3" s="125"/>
      <c r="IV3" s="126" t="s">
        <v>10</v>
      </c>
      <c r="IW3" s="127"/>
      <c r="IX3" s="193" t="str">
        <f>IF(IG3="","",IG3)</f>
        <v>CH1/1</v>
      </c>
      <c r="IY3" s="194" t="str">
        <f>IF(IH3="","",IH3)</f>
        <v>Eval 1</v>
      </c>
      <c r="IZ3" s="195" t="str">
        <f>IF(II3="","",II3)</f>
        <v/>
      </c>
      <c r="JA3" s="104" t="s">
        <v>7</v>
      </c>
      <c r="JB3" s="105"/>
      <c r="JC3" s="196" t="str">
        <f>IF(IL3="","",IL3)</f>
        <v/>
      </c>
      <c r="JD3" s="194" t="str">
        <f>IF(IM3="","",IM3)</f>
        <v/>
      </c>
      <c r="JE3" s="197" t="str">
        <f>IF(IN3="","",IN3)</f>
        <v/>
      </c>
      <c r="JF3" s="119" t="s">
        <v>8</v>
      </c>
      <c r="JG3" s="120"/>
      <c r="JH3" s="196" t="str">
        <f>IF(IQ3="","",IQ3)</f>
        <v/>
      </c>
      <c r="JI3" s="194" t="str">
        <f>IF(IR3="","",IR3)</f>
        <v/>
      </c>
      <c r="JJ3" s="197" t="str">
        <f>IF(IS3="","",IS3)</f>
        <v/>
      </c>
      <c r="JK3" s="124" t="s">
        <v>9</v>
      </c>
      <c r="JL3" s="125"/>
      <c r="JM3" s="126" t="s">
        <v>10</v>
      </c>
      <c r="JN3" s="127"/>
      <c r="JO3" s="193" t="str">
        <f>IF(IX3="","",IX3)</f>
        <v>CH1/1</v>
      </c>
      <c r="JP3" s="194" t="str">
        <f>IF(IY3="","",IY3)</f>
        <v>Eval 1</v>
      </c>
      <c r="JQ3" s="195" t="str">
        <f>IF(IZ3="","",IZ3)</f>
        <v/>
      </c>
      <c r="JR3" s="104" t="s">
        <v>7</v>
      </c>
      <c r="JS3" s="105"/>
      <c r="JT3" s="196" t="str">
        <f>IF(JC3="","",JC3)</f>
        <v/>
      </c>
      <c r="JU3" s="194" t="str">
        <f>IF(JD3="","",JD3)</f>
        <v/>
      </c>
      <c r="JV3" s="197" t="str">
        <f>IF(JE3="","",JE3)</f>
        <v/>
      </c>
      <c r="JW3" s="119" t="s">
        <v>8</v>
      </c>
      <c r="JX3" s="120"/>
      <c r="JY3" s="196" t="str">
        <f>IF(JH3="","",JH3)</f>
        <v/>
      </c>
      <c r="JZ3" s="194" t="str">
        <f>IF(JI3="","",JI3)</f>
        <v/>
      </c>
      <c r="KA3" s="197" t="str">
        <f>IF(JJ3="","",JJ3)</f>
        <v/>
      </c>
      <c r="KB3" s="124" t="s">
        <v>9</v>
      </c>
      <c r="KC3" s="125"/>
      <c r="KD3" s="126" t="s">
        <v>10</v>
      </c>
      <c r="KE3" s="127"/>
      <c r="KF3" s="193" t="str">
        <f>IF(JO3="","",JO3)</f>
        <v>CH1/1</v>
      </c>
      <c r="KG3" s="194" t="str">
        <f>IF(JP3="","",JP3)</f>
        <v>Eval 1</v>
      </c>
      <c r="KH3" s="195" t="str">
        <f>IF(JQ3="","",JQ3)</f>
        <v/>
      </c>
      <c r="KI3" s="104" t="s">
        <v>7</v>
      </c>
      <c r="KJ3" s="105"/>
      <c r="KK3" s="196" t="str">
        <f>IF(JT3="","",JT3)</f>
        <v/>
      </c>
      <c r="KL3" s="194" t="str">
        <f>IF(JU3="","",JU3)</f>
        <v/>
      </c>
      <c r="KM3" s="197" t="str">
        <f>IF(JV3="","",JV3)</f>
        <v/>
      </c>
      <c r="KN3" s="119" t="s">
        <v>8</v>
      </c>
      <c r="KO3" s="120"/>
      <c r="KP3" s="196" t="str">
        <f>IF(JY3="","",JY3)</f>
        <v/>
      </c>
      <c r="KQ3" s="194" t="str">
        <f>IF(JZ3="","",JZ3)</f>
        <v/>
      </c>
      <c r="KR3" s="197" t="str">
        <f>IF(KA3="","",KA3)</f>
        <v/>
      </c>
      <c r="KS3" s="124" t="s">
        <v>9</v>
      </c>
      <c r="KT3" s="125"/>
      <c r="KU3" s="126" t="s">
        <v>10</v>
      </c>
      <c r="KV3" s="127"/>
      <c r="KW3" s="193" t="str">
        <f>IF(KF3="","",KF3)</f>
        <v>CH1/1</v>
      </c>
      <c r="KX3" s="194" t="str">
        <f>IF(KG3="","",KG3)</f>
        <v>Eval 1</v>
      </c>
      <c r="KY3" s="195" t="str">
        <f>IF(KH3="","",KH3)</f>
        <v/>
      </c>
      <c r="KZ3" s="104" t="s">
        <v>7</v>
      </c>
      <c r="LA3" s="105"/>
      <c r="LB3" s="196" t="str">
        <f>IF(KK3="","",KK3)</f>
        <v/>
      </c>
      <c r="LC3" s="194" t="str">
        <f>IF(KL3="","",KL3)</f>
        <v/>
      </c>
      <c r="LD3" s="197" t="str">
        <f>IF(KM3="","",KM3)</f>
        <v/>
      </c>
      <c r="LE3" s="119" t="s">
        <v>8</v>
      </c>
      <c r="LF3" s="120"/>
      <c r="LG3" s="196" t="str">
        <f>IF(KP3="","",KP3)</f>
        <v/>
      </c>
      <c r="LH3" s="194" t="str">
        <f>IF(KQ3="","",KQ3)</f>
        <v/>
      </c>
      <c r="LI3" s="197" t="str">
        <f>IF(KR3="","",KR3)</f>
        <v/>
      </c>
      <c r="LJ3" s="124" t="s">
        <v>9</v>
      </c>
      <c r="LK3" s="125"/>
      <c r="LL3" s="126" t="s">
        <v>10</v>
      </c>
      <c r="LM3" s="127"/>
      <c r="LN3" s="193" t="str">
        <f>IF(KW3="","",KW3)</f>
        <v>CH1/1</v>
      </c>
      <c r="LO3" s="194" t="str">
        <f>IF(KX3="","",KX3)</f>
        <v>Eval 1</v>
      </c>
      <c r="LP3" s="195" t="str">
        <f>IF(KY3="","",KY3)</f>
        <v/>
      </c>
      <c r="LQ3" s="104" t="s">
        <v>7</v>
      </c>
      <c r="LR3" s="105"/>
      <c r="LS3" s="196" t="str">
        <f>IF(LB3="","",LB3)</f>
        <v/>
      </c>
      <c r="LT3" s="194" t="str">
        <f>IF(LC3="","",LC3)</f>
        <v/>
      </c>
      <c r="LU3" s="197" t="str">
        <f>IF(LD3="","",LD3)</f>
        <v/>
      </c>
      <c r="LV3" s="119" t="s">
        <v>8</v>
      </c>
      <c r="LW3" s="120"/>
      <c r="LX3" s="196" t="str">
        <f>IF(LG3="","",LG3)</f>
        <v/>
      </c>
      <c r="LY3" s="194" t="str">
        <f>IF(LH3="","",LH3)</f>
        <v/>
      </c>
      <c r="LZ3" s="197" t="str">
        <f>IF(LI3="","",LI3)</f>
        <v/>
      </c>
      <c r="MA3" s="124" t="s">
        <v>9</v>
      </c>
      <c r="MB3" s="125"/>
      <c r="MC3" s="126" t="s">
        <v>10</v>
      </c>
      <c r="MD3" s="127"/>
      <c r="ME3" s="193" t="str">
        <f>IF(LN3="","",LN3)</f>
        <v>CH1/1</v>
      </c>
      <c r="MF3" s="194" t="str">
        <f>IF(LO3="","",LO3)</f>
        <v>Eval 1</v>
      </c>
      <c r="MG3" s="195" t="str">
        <f>IF(LP3="","",LP3)</f>
        <v/>
      </c>
      <c r="MH3" s="104" t="s">
        <v>7</v>
      </c>
      <c r="MI3" s="105"/>
      <c r="MJ3" s="196" t="str">
        <f>IF(LS3="","",LS3)</f>
        <v/>
      </c>
      <c r="MK3" s="194" t="str">
        <f>IF(LT3="","",LT3)</f>
        <v/>
      </c>
      <c r="ML3" s="197" t="str">
        <f>IF(LU3="","",LU3)</f>
        <v/>
      </c>
      <c r="MM3" s="119" t="s">
        <v>8</v>
      </c>
      <c r="MN3" s="120"/>
      <c r="MO3" s="196" t="str">
        <f>IF(LX3="","",LX3)</f>
        <v/>
      </c>
      <c r="MP3" s="194" t="str">
        <f>IF(LY3="","",LY3)</f>
        <v/>
      </c>
      <c r="MQ3" s="197" t="str">
        <f>IF(LZ3="","",LZ3)</f>
        <v/>
      </c>
      <c r="MR3" s="124" t="s">
        <v>9</v>
      </c>
      <c r="MS3" s="125"/>
      <c r="MT3" s="126" t="s">
        <v>10</v>
      </c>
      <c r="MU3" s="127"/>
      <c r="MV3" s="193" t="str">
        <f>IF(ME3="","",ME3)</f>
        <v>CH1/1</v>
      </c>
      <c r="MW3" s="194" t="str">
        <f>IF(MF3="","",MF3)</f>
        <v>Eval 1</v>
      </c>
      <c r="MX3" s="195" t="str">
        <f>IF(MG3="","",MG3)</f>
        <v/>
      </c>
      <c r="MY3" s="104" t="s">
        <v>7</v>
      </c>
      <c r="MZ3" s="105"/>
      <c r="NA3" s="196" t="str">
        <f>IF(MJ3="","",MJ3)</f>
        <v/>
      </c>
      <c r="NB3" s="194" t="str">
        <f>IF(MK3="","",MK3)</f>
        <v/>
      </c>
      <c r="NC3" s="197" t="str">
        <f>IF(ML3="","",ML3)</f>
        <v/>
      </c>
      <c r="ND3" s="119" t="s">
        <v>8</v>
      </c>
      <c r="NE3" s="120"/>
      <c r="NF3" s="196" t="str">
        <f>IF(MO3="","",MO3)</f>
        <v/>
      </c>
      <c r="NG3" s="194" t="str">
        <f>IF(MP3="","",MP3)</f>
        <v/>
      </c>
      <c r="NH3" s="197" t="str">
        <f>IF(MQ3="","",MQ3)</f>
        <v/>
      </c>
      <c r="NI3" s="124" t="s">
        <v>9</v>
      </c>
      <c r="NJ3" s="125"/>
      <c r="NK3" s="126" t="s">
        <v>10</v>
      </c>
      <c r="NL3" s="127"/>
      <c r="NM3" s="193" t="str">
        <f>IF(MV3="","",MV3)</f>
        <v>CH1/1</v>
      </c>
      <c r="NN3" s="194" t="str">
        <f>IF(MW3="","",MW3)</f>
        <v>Eval 1</v>
      </c>
      <c r="NO3" s="195" t="str">
        <f>IF(MX3="","",MX3)</f>
        <v/>
      </c>
      <c r="NP3" s="104" t="s">
        <v>7</v>
      </c>
      <c r="NQ3" s="105"/>
      <c r="NR3" s="196" t="str">
        <f>IF(NA3="","",NA3)</f>
        <v/>
      </c>
      <c r="NS3" s="194" t="str">
        <f>IF(NB3="","",NB3)</f>
        <v/>
      </c>
      <c r="NT3" s="197" t="str">
        <f>IF(NC3="","",NC3)</f>
        <v/>
      </c>
      <c r="NU3" s="119" t="s">
        <v>8</v>
      </c>
      <c r="NV3" s="120"/>
      <c r="NW3" s="196" t="str">
        <f>IF(NF3="","",NF3)</f>
        <v/>
      </c>
      <c r="NX3" s="194" t="str">
        <f>IF(NG3="","",NG3)</f>
        <v/>
      </c>
      <c r="NY3" s="197" t="str">
        <f>IF(NH3="","",NH3)</f>
        <v/>
      </c>
      <c r="NZ3" s="124" t="s">
        <v>9</v>
      </c>
      <c r="OA3" s="125"/>
      <c r="OB3" s="126" t="s">
        <v>10</v>
      </c>
      <c r="OC3" s="127"/>
      <c r="OD3" s="193" t="str">
        <f>IF(NM3="","",NM3)</f>
        <v>CH1/1</v>
      </c>
      <c r="OE3" s="194" t="str">
        <f>IF(NN3="","",NN3)</f>
        <v>Eval 1</v>
      </c>
      <c r="OF3" s="195" t="str">
        <f>IF(NO3="","",NO3)</f>
        <v/>
      </c>
      <c r="OG3" s="104" t="s">
        <v>7</v>
      </c>
      <c r="OH3" s="105"/>
      <c r="OI3" s="196" t="str">
        <f>IF(NR3="","",NR3)</f>
        <v/>
      </c>
      <c r="OJ3" s="194" t="str">
        <f>IF(NS3="","",NS3)</f>
        <v/>
      </c>
      <c r="OK3" s="197" t="str">
        <f>IF(NT3="","",NT3)</f>
        <v/>
      </c>
      <c r="OL3" s="119" t="s">
        <v>8</v>
      </c>
      <c r="OM3" s="120"/>
      <c r="ON3" s="196" t="str">
        <f>IF(NW3="","",NW3)</f>
        <v/>
      </c>
      <c r="OO3" s="194" t="str">
        <f>IF(NX3="","",NX3)</f>
        <v/>
      </c>
      <c r="OP3" s="197" t="str">
        <f>IF(NY3="","",NY3)</f>
        <v/>
      </c>
      <c r="OQ3" s="124" t="s">
        <v>9</v>
      </c>
      <c r="OR3" s="125"/>
      <c r="OS3" s="126" t="s">
        <v>10</v>
      </c>
      <c r="OT3" s="127"/>
      <c r="OU3" s="193" t="str">
        <f>IF(OD3="","",OD3)</f>
        <v>CH1/1</v>
      </c>
      <c r="OV3" s="194" t="str">
        <f>IF(OE3="","",OE3)</f>
        <v>Eval 1</v>
      </c>
      <c r="OW3" s="195" t="str">
        <f>IF(OF3="","",OF3)</f>
        <v/>
      </c>
      <c r="OX3" s="104" t="s">
        <v>7</v>
      </c>
      <c r="OY3" s="105"/>
      <c r="OZ3" s="196" t="str">
        <f>IF(OI3="","",OI3)</f>
        <v/>
      </c>
      <c r="PA3" s="194" t="str">
        <f>IF(OJ3="","",OJ3)</f>
        <v/>
      </c>
      <c r="PB3" s="197" t="str">
        <f>IF(OK3="","",OK3)</f>
        <v/>
      </c>
      <c r="PC3" s="119" t="s">
        <v>8</v>
      </c>
      <c r="PD3" s="120"/>
      <c r="PE3" s="196" t="str">
        <f>IF(ON3="","",ON3)</f>
        <v/>
      </c>
      <c r="PF3" s="194" t="str">
        <f>IF(OO3="","",OO3)</f>
        <v/>
      </c>
      <c r="PG3" s="197" t="str">
        <f>IF(OP3="","",OP3)</f>
        <v/>
      </c>
      <c r="PH3" s="124" t="s">
        <v>9</v>
      </c>
      <c r="PI3" s="125"/>
      <c r="PJ3" s="126" t="s">
        <v>10</v>
      </c>
      <c r="PK3" s="127"/>
      <c r="PL3" s="193" t="str">
        <f>IF(OU3="","",OU3)</f>
        <v>CH1/1</v>
      </c>
      <c r="PM3" s="194" t="str">
        <f>IF(OV3="","",OV3)</f>
        <v>Eval 1</v>
      </c>
      <c r="PN3" s="195" t="str">
        <f>IF(OW3="","",OW3)</f>
        <v/>
      </c>
      <c r="PO3" s="104" t="s">
        <v>7</v>
      </c>
      <c r="PP3" s="105"/>
      <c r="PQ3" s="196" t="str">
        <f>IF(OZ3="","",OZ3)</f>
        <v/>
      </c>
      <c r="PR3" s="194" t="str">
        <f>IF(PA3="","",PA3)</f>
        <v/>
      </c>
      <c r="PS3" s="197" t="str">
        <f>IF(PB3="","",PB3)</f>
        <v/>
      </c>
      <c r="PT3" s="119" t="s">
        <v>8</v>
      </c>
      <c r="PU3" s="120"/>
      <c r="PV3" s="196" t="str">
        <f>IF(PE3="","",PE3)</f>
        <v/>
      </c>
      <c r="PW3" s="194" t="str">
        <f>IF(PF3="","",PF3)</f>
        <v/>
      </c>
      <c r="PX3" s="197" t="str">
        <f>IF(PG3="","",PG3)</f>
        <v/>
      </c>
      <c r="PY3" s="124" t="s">
        <v>9</v>
      </c>
      <c r="PZ3" s="125"/>
      <c r="QA3" s="126" t="s">
        <v>10</v>
      </c>
      <c r="QB3" s="127"/>
      <c r="QC3" s="193" t="str">
        <f>IF(PL3="","",PL3)</f>
        <v>CH1/1</v>
      </c>
      <c r="QD3" s="194" t="str">
        <f>IF(PM3="","",PM3)</f>
        <v>Eval 1</v>
      </c>
      <c r="QE3" s="195" t="str">
        <f>IF(PN3="","",PN3)</f>
        <v/>
      </c>
      <c r="QF3" s="104" t="s">
        <v>7</v>
      </c>
      <c r="QG3" s="105"/>
      <c r="QH3" s="196" t="str">
        <f>IF(PQ3="","",PQ3)</f>
        <v/>
      </c>
      <c r="QI3" s="194" t="str">
        <f>IF(PR3="","",PR3)</f>
        <v/>
      </c>
      <c r="QJ3" s="197" t="str">
        <f>IF(PS3="","",PS3)</f>
        <v/>
      </c>
      <c r="QK3" s="119" t="s">
        <v>8</v>
      </c>
      <c r="QL3" s="120"/>
      <c r="QM3" s="196" t="str">
        <f>IF(PV3="","",PV3)</f>
        <v/>
      </c>
      <c r="QN3" s="194" t="str">
        <f>IF(PW3="","",PW3)</f>
        <v/>
      </c>
      <c r="QO3" s="197" t="str">
        <f>IF(PX3="","",PX3)</f>
        <v/>
      </c>
      <c r="QP3" s="124" t="s">
        <v>9</v>
      </c>
      <c r="QQ3" s="125"/>
      <c r="QR3" s="126" t="s">
        <v>10</v>
      </c>
      <c r="QS3" s="127"/>
      <c r="QT3" s="193" t="str">
        <f>IF(QC3="","",QC3)</f>
        <v>CH1/1</v>
      </c>
      <c r="QU3" s="194" t="str">
        <f>IF(QD3="","",QD3)</f>
        <v>Eval 1</v>
      </c>
      <c r="QV3" s="195" t="str">
        <f>IF(QE3="","",QE3)</f>
        <v/>
      </c>
      <c r="QW3" s="104" t="s">
        <v>7</v>
      </c>
      <c r="QX3" s="105"/>
      <c r="QY3" s="196" t="str">
        <f>IF(QH3="","",QH3)</f>
        <v/>
      </c>
      <c r="QZ3" s="194" t="str">
        <f>IF(QI3="","",QI3)</f>
        <v/>
      </c>
      <c r="RA3" s="197" t="str">
        <f>IF(QJ3="","",QJ3)</f>
        <v/>
      </c>
      <c r="RB3" s="119" t="s">
        <v>8</v>
      </c>
      <c r="RC3" s="120"/>
      <c r="RD3" s="196" t="str">
        <f>IF(QM3="","",QM3)</f>
        <v/>
      </c>
      <c r="RE3" s="194" t="str">
        <f>IF(QN3="","",QN3)</f>
        <v/>
      </c>
      <c r="RF3" s="197" t="str">
        <f>IF(QO3="","",QO3)</f>
        <v/>
      </c>
      <c r="RG3" s="124" t="s">
        <v>9</v>
      </c>
      <c r="RH3" s="125"/>
      <c r="RI3" s="126" t="s">
        <v>10</v>
      </c>
      <c r="RJ3" s="127"/>
      <c r="RK3" s="193" t="str">
        <f>IF(QT3="","",QT3)</f>
        <v>CH1/1</v>
      </c>
      <c r="RL3" s="194" t="str">
        <f>IF(QU3="","",QU3)</f>
        <v>Eval 1</v>
      </c>
      <c r="RM3" s="195" t="str">
        <f>IF(QV3="","",QV3)</f>
        <v/>
      </c>
      <c r="RN3" s="104" t="s">
        <v>7</v>
      </c>
      <c r="RO3" s="105"/>
      <c r="RP3" s="196" t="str">
        <f>IF(QY3="","",QY3)</f>
        <v/>
      </c>
      <c r="RQ3" s="194" t="str">
        <f>IF(QZ3="","",QZ3)</f>
        <v/>
      </c>
      <c r="RR3" s="197" t="str">
        <f>IF(RA3="","",RA3)</f>
        <v/>
      </c>
      <c r="RS3" s="119" t="s">
        <v>8</v>
      </c>
      <c r="RT3" s="120"/>
      <c r="RU3" s="196" t="str">
        <f>IF(RD3="","",RD3)</f>
        <v/>
      </c>
      <c r="RV3" s="194" t="str">
        <f>IF(RE3="","",RE3)</f>
        <v/>
      </c>
      <c r="RW3" s="197" t="str">
        <f>IF(RF3="","",RF3)</f>
        <v/>
      </c>
      <c r="RX3" s="124" t="s">
        <v>9</v>
      </c>
      <c r="RY3" s="125"/>
      <c r="RZ3" s="126" t="s">
        <v>10</v>
      </c>
      <c r="SA3" s="127"/>
      <c r="SB3" s="193" t="str">
        <f>IF(RK3="","",RK3)</f>
        <v>CH1/1</v>
      </c>
      <c r="SC3" s="194" t="str">
        <f>IF(RL3="","",RL3)</f>
        <v>Eval 1</v>
      </c>
      <c r="SD3" s="195" t="str">
        <f>IF(RM3="","",RM3)</f>
        <v/>
      </c>
      <c r="SE3" s="104" t="s">
        <v>7</v>
      </c>
      <c r="SF3" s="105"/>
      <c r="SG3" s="196" t="str">
        <f>IF(RP3="","",RP3)</f>
        <v/>
      </c>
      <c r="SH3" s="194" t="str">
        <f>IF(RQ3="","",RQ3)</f>
        <v/>
      </c>
      <c r="SI3" s="197" t="str">
        <f>IF(RR3="","",RR3)</f>
        <v/>
      </c>
      <c r="SJ3" s="119" t="s">
        <v>8</v>
      </c>
      <c r="SK3" s="120"/>
      <c r="SL3" s="196" t="str">
        <f>IF(RU3="","",RU3)</f>
        <v/>
      </c>
      <c r="SM3" s="194" t="str">
        <f>IF(RV3="","",RV3)</f>
        <v/>
      </c>
      <c r="SN3" s="197" t="str">
        <f>IF(RW3="","",RW3)</f>
        <v/>
      </c>
      <c r="SO3" s="124" t="s">
        <v>9</v>
      </c>
      <c r="SP3" s="125"/>
      <c r="SQ3" s="126" t="s">
        <v>10</v>
      </c>
      <c r="SR3" s="127"/>
    </row>
    <row r="4" spans="1:512" s="198" customFormat="1" ht="30" customHeight="1" thickBot="1" x14ac:dyDescent="0.3">
      <c r="A4" s="95" t="s">
        <v>11</v>
      </c>
      <c r="B4" s="76">
        <v>2</v>
      </c>
      <c r="C4" s="152"/>
      <c r="D4" s="185"/>
      <c r="E4" s="185"/>
      <c r="F4" s="106" t="str">
        <f>IFERROR((((COUNTIF('Elève (6ème2)'!C5:E6,"A"))*4)+((COUNTIF('Elève (6ème2)'!C5:E6,"B"))*3)+((COUNTIF('Elève (6ème2)'!C5:E6,"C"))*2)+((COUNTIF('Elève (6ème2)'!C5:E6,"D"))*1))/(COUNTA(C5:E6)),"")</f>
        <v/>
      </c>
      <c r="G4" s="107" t="str">
        <f t="shared" ref="G4:G19" si="0">IF(F4="","",IF(F4&gt;3.7,"A",IF(F4&gt;2.8,"B",IF(F4&gt;1.5,"C",IF(F4&gt;0,"D",IF(F4=0,""))))))</f>
        <v/>
      </c>
      <c r="H4" s="204"/>
      <c r="I4" s="186"/>
      <c r="J4" s="205"/>
      <c r="K4" s="106" t="str">
        <f>IFERROR((((COUNTIF('Elève (6ème2)'!H5:J6,"A"))*4)+((COUNTIF('Elève (6ème2)'!H5:J6,"B"))*3)+((COUNTIF('Elève (6ème2)'!H5:J6,"C"))*2)+((COUNTIF('Elève (6ème2)'!H5:J6,"D"))*1))/(COUNTA(H5:J6)),"")</f>
        <v/>
      </c>
      <c r="L4" s="121" t="str">
        <f t="shared" ref="L4:L19" si="1">IF(K4="","",IF(K4&gt;3.7,"A",IF(K4&gt;2.8,"B",IF(K4&gt;1.5,"C",IF(K4&gt;0,"D",IF(K4=0,""))))))</f>
        <v/>
      </c>
      <c r="M4" s="100"/>
      <c r="N4" s="187"/>
      <c r="O4" s="188"/>
      <c r="P4" s="106" t="str">
        <f>IFERROR((((COUNTIF('Elève (6ème2)'!M5:O6,"A"))*4)+((COUNTIF('Elève (6ème2)'!M5:O6,"B"))*3)+((COUNTIF('Elève (6ème2)'!M5:O6,"C"))*2)+((COUNTIF('Elève (6ème2)'!M5:O6,"D"))*1))/(COUNTA(M5:O6)),"")</f>
        <v/>
      </c>
      <c r="Q4" s="128" t="str">
        <f t="shared" ref="Q4:Q19" si="2">IF(P4="","",IF(P4&gt;3.7,"A",IF(P4&gt;2.8,"B",IF(P4&gt;1.5,"C",IF(P4&gt;0,"D",IF(P4=0,""))))))</f>
        <v/>
      </c>
      <c r="R4" s="177" t="str">
        <f>IFERROR((((COUNTIF(C5:E6,"A")+COUNTIF(H5:J6,"A")+COUNTIF(M5:O6,"A"))*4)+((COUNTIF(C5:E6,"B")+COUNTIF(H5:J6,"B")+COUNTIF(M5:O6,"B"))*3)+((COUNTIF(C5:E6,"C")+COUNTIF(H5:J6,"C")+COUNTIF(M5:O6,"C"))*2)+((COUNTIF(C5:E6,"D")+COUNTIF(H5:J6,"D")+COUNTIF(M5:O6,"D"))*1))/(COUNTA(C5:E6)+COUNTA(H5:J6)+COUNTA(M5:O6)),"")</f>
        <v/>
      </c>
      <c r="S4" s="130" t="str">
        <f t="shared" ref="S4:S19" si="3">IF(R4="","",IF(R4&gt;3.7,"A",IF(R4&gt;2.8,"B",IF(R4&gt;1.5,"C",IF(R4&gt;0,"D",IF(R4=0,""))))))</f>
        <v/>
      </c>
      <c r="T4" s="152"/>
      <c r="U4" s="185"/>
      <c r="V4" s="185"/>
      <c r="W4" s="106" t="str">
        <f>IFERROR((((COUNTIF('Elève (6ème2)'!T5:V6,"A"))*4)+((COUNTIF('Elève (6ème2)'!T5:V6,"B"))*3)+((COUNTIF('Elève (6ème2)'!T5:V6,"C"))*2)+((COUNTIF('Elève (6ème2)'!T5:V6,"D"))*1))/(COUNTA(T5:V6)),"")</f>
        <v/>
      </c>
      <c r="X4" s="107" t="str">
        <f t="shared" ref="X4:X19" si="4">IF(W4="","",IF(W4&gt;3.7,"A",IF(W4&gt;2.8,"B",IF(W4&gt;1.5,"C",IF(W4&gt;0,"D",IF(W4=0,""))))))</f>
        <v/>
      </c>
      <c r="Y4" s="204"/>
      <c r="Z4" s="186"/>
      <c r="AA4" s="205"/>
      <c r="AB4" s="106" t="str">
        <f>IFERROR((((COUNTIF('Elève (6ème2)'!Y5:AA6,"A"))*4)+((COUNTIF('Elève (6ème2)'!Y5:AA6,"B"))*3)+((COUNTIF('Elève (6ème2)'!Y5:AA6,"C"))*2)+((COUNTIF('Elève (6ème2)'!Y5:AA6,"D"))*1))/(COUNTA(Y5:AA6)),"")</f>
        <v/>
      </c>
      <c r="AC4" s="121" t="str">
        <f t="shared" ref="AC4:AC19" si="5">IF(AB4="","",IF(AB4&gt;3.7,"A",IF(AB4&gt;2.8,"B",IF(AB4&gt;1.5,"C",IF(AB4&gt;0,"D",IF(AB4=0,""))))))</f>
        <v/>
      </c>
      <c r="AD4" s="100"/>
      <c r="AE4" s="187"/>
      <c r="AF4" s="188"/>
      <c r="AG4" s="106" t="str">
        <f>IFERROR((((COUNTIF('Elève (6ème2)'!AD5:AF6,"A"))*4)+((COUNTIF('Elève (6ème2)'!AD5:AF6,"B"))*3)+((COUNTIF('Elève (6ème2)'!AD5:AF6,"C"))*2)+((COUNTIF('Elève (6ème2)'!AD5:AF6,"D"))*1))/(COUNTA(AD5:AF6)),"")</f>
        <v/>
      </c>
      <c r="AH4" s="128" t="str">
        <f t="shared" ref="AH4:AH19" si="6">IF(AG4="","",IF(AG4&gt;3.7,"A",IF(AG4&gt;2.8,"B",IF(AG4&gt;1.5,"C",IF(AG4&gt;0,"D",IF(AG4=0,""))))))</f>
        <v/>
      </c>
      <c r="AI4" s="177" t="str">
        <f>IFERROR((((COUNTIF(T5:V6,"A")+COUNTIF(Y5:AA6,"A")+COUNTIF(AD5:AF6,"A"))*4)+((COUNTIF(T5:V6,"B")+COUNTIF(Y5:AA6,"B")+COUNTIF(AD5:AF6,"B"))*3)+((COUNTIF(T5:V6,"C")+COUNTIF(Y5:AA6,"C")+COUNTIF(AD5:AF6,"C"))*2)+((COUNTIF(T5:V6,"D")+COUNTIF(Y5:AA6,"D")+COUNTIF(AD5:AF6,"D"))*1))/(COUNTA(T5:V6)+COUNTA(Y5:AA6)+COUNTA(AD5:AF6)),"")</f>
        <v/>
      </c>
      <c r="AJ4" s="130" t="str">
        <f t="shared" ref="AJ4:AJ19" si="7">IF(AI4="","",IF(AI4&gt;3.7,"A",IF(AI4&gt;2.8,"B",IF(AI4&gt;1.5,"C",IF(AI4&gt;0,"D",IF(AI4=0,""))))))</f>
        <v/>
      </c>
      <c r="AK4" s="152"/>
      <c r="AL4" s="185"/>
      <c r="AM4" s="185"/>
      <c r="AN4" s="106" t="str">
        <f>IFERROR((((COUNTIF('Elève (6ème2)'!AK5:AM6,"A"))*4)+((COUNTIF('Elève (6ème2)'!AK5:AM6,"B"))*3)+((COUNTIF('Elève (6ème2)'!AK5:AM6,"C"))*2)+((COUNTIF('Elève (6ème2)'!AK5:AM6,"D"))*1))/(COUNTA(AK5:AM6)),"")</f>
        <v/>
      </c>
      <c r="AO4" s="107" t="str">
        <f t="shared" ref="AO4:AO19" si="8">IF(AN4="","",IF(AN4&gt;3.7,"A",IF(AN4&gt;2.8,"B",IF(AN4&gt;1.5,"C",IF(AN4&gt;0,"D",IF(AN4=0,""))))))</f>
        <v/>
      </c>
      <c r="AP4" s="204"/>
      <c r="AQ4" s="186"/>
      <c r="AR4" s="205"/>
      <c r="AS4" s="106" t="str">
        <f>IFERROR((((COUNTIF('Elève (6ème2)'!AP5:AR6,"A"))*4)+((COUNTIF('Elève (6ème2)'!AP5:AR6,"B"))*3)+((COUNTIF('Elève (6ème2)'!AP5:AR6,"C"))*2)+((COUNTIF('Elève (6ème2)'!AP5:AR6,"D"))*1))/(COUNTA(AP5:AR6)),"")</f>
        <v/>
      </c>
      <c r="AT4" s="121" t="str">
        <f t="shared" ref="AT4:AT19" si="9">IF(AS4="","",IF(AS4&gt;3.7,"A",IF(AS4&gt;2.8,"B",IF(AS4&gt;1.5,"C",IF(AS4&gt;0,"D",IF(AS4=0,""))))))</f>
        <v/>
      </c>
      <c r="AU4" s="100"/>
      <c r="AV4" s="187"/>
      <c r="AW4" s="188"/>
      <c r="AX4" s="106" t="str">
        <f>IFERROR((((COUNTIF('Elève (6ème2)'!AU5:AW6,"A"))*4)+((COUNTIF('Elève (6ème2)'!AU5:AW6,"B"))*3)+((COUNTIF('Elève (6ème2)'!AU5:AW6,"C"))*2)+((COUNTIF('Elève (6ème2)'!AU5:AW6,"D"))*1))/(COUNTA(AU5:AW6)),"")</f>
        <v/>
      </c>
      <c r="AY4" s="128" t="str">
        <f t="shared" ref="AY4:AY19" si="10">IF(AX4="","",IF(AX4&gt;3.7,"A",IF(AX4&gt;2.8,"B",IF(AX4&gt;1.5,"C",IF(AX4&gt;0,"D",IF(AX4=0,""))))))</f>
        <v/>
      </c>
      <c r="AZ4" s="177" t="str">
        <f>IFERROR((((COUNTIF(AK5:AM6,"A")+COUNTIF(AP5:AR6,"A")+COUNTIF(AU5:AW6,"A"))*4)+((COUNTIF(AK5:AM6,"B")+COUNTIF(AP5:AR6,"B")+COUNTIF(AU5:AW6,"B"))*3)+((COUNTIF(AK5:AM6,"C")+COUNTIF(AP5:AR6,"C")+COUNTIF(AU5:AW6,"C"))*2)+((COUNTIF(AK5:AM6,"D")+COUNTIF(AP5:AR6,"D")+COUNTIF(AU5:AW6,"D"))*1))/(COUNTA(AK5:AM6)+COUNTA(AP5:AR6)+COUNTA(AU5:AW6)),"")</f>
        <v/>
      </c>
      <c r="BA4" s="130" t="str">
        <f t="shared" ref="BA4:BA19" si="11">IF(AZ4="","",IF(AZ4&gt;3.7,"A",IF(AZ4&gt;2.8,"B",IF(AZ4&gt;1.5,"C",IF(AZ4&gt;0,"D",IF(AZ4=0,""))))))</f>
        <v/>
      </c>
      <c r="BB4" s="152"/>
      <c r="BC4" s="185"/>
      <c r="BD4" s="185"/>
      <c r="BE4" s="106" t="str">
        <f>IFERROR((((COUNTIF('Elève (6ème2)'!BB5:BD6,"A"))*4)+((COUNTIF('Elève (6ème2)'!BB5:BD6,"B"))*3)+((COUNTIF('Elève (6ème2)'!BB5:BD6,"C"))*2)+((COUNTIF('Elève (6ème2)'!BB5:BD6,"D"))*1))/(COUNTA(BB5:BD6)),"")</f>
        <v/>
      </c>
      <c r="BF4" s="107" t="str">
        <f t="shared" ref="BF4:BF19" si="12">IF(BE4="","",IF(BE4&gt;3.7,"A",IF(BE4&gt;2.8,"B",IF(BE4&gt;1.5,"C",IF(BE4&gt;0,"D",IF(BE4=0,""))))))</f>
        <v/>
      </c>
      <c r="BG4" s="204"/>
      <c r="BH4" s="186"/>
      <c r="BI4" s="205"/>
      <c r="BJ4" s="106" t="str">
        <f>IFERROR((((COUNTIF('Elève (6ème2)'!BG5:BI6,"A"))*4)+((COUNTIF('Elève (6ème2)'!BG5:BI6,"B"))*3)+((COUNTIF('Elève (6ème2)'!BG5:BI6,"C"))*2)+((COUNTIF('Elève (6ème2)'!BG5:BI6,"D"))*1))/(COUNTA(BG5:BI6)),"")</f>
        <v/>
      </c>
      <c r="BK4" s="121" t="str">
        <f t="shared" ref="BK4:BK19" si="13">IF(BJ4="","",IF(BJ4&gt;3.7,"A",IF(BJ4&gt;2.8,"B",IF(BJ4&gt;1.5,"C",IF(BJ4&gt;0,"D",IF(BJ4=0,""))))))</f>
        <v/>
      </c>
      <c r="BL4" s="100"/>
      <c r="BM4" s="187"/>
      <c r="BN4" s="188"/>
      <c r="BO4" s="106" t="str">
        <f>IFERROR((((COUNTIF('Elève (6ème2)'!BL5:BN6,"A"))*4)+((COUNTIF('Elève (6ème2)'!BL5:BN6,"B"))*3)+((COUNTIF('Elève (6ème2)'!BL5:BN6,"C"))*2)+((COUNTIF('Elève (6ème2)'!BL5:BN6,"D"))*1))/(COUNTA(BL5:BN6)),"")</f>
        <v/>
      </c>
      <c r="BP4" s="128" t="str">
        <f t="shared" ref="BP4:BP19" si="14">IF(BO4="","",IF(BO4&gt;3.7,"A",IF(BO4&gt;2.8,"B",IF(BO4&gt;1.5,"C",IF(BO4&gt;0,"D",IF(BO4=0,""))))))</f>
        <v/>
      </c>
      <c r="BQ4" s="177" t="str">
        <f>IFERROR((((COUNTIF(BB5:BD6,"A")+COUNTIF(BG5:BI6,"A")+COUNTIF(BL5:BN6,"A"))*4)+((COUNTIF(BB5:BD6,"B")+COUNTIF(BG5:BI6,"B")+COUNTIF(BL5:BN6,"B"))*3)+((COUNTIF(BB5:BD6,"C")+COUNTIF(BG5:BI6,"C")+COUNTIF(BL5:BN6,"C"))*2)+((COUNTIF(BB5:BD6,"D")+COUNTIF(BG5:BI6,"D")+COUNTIF(BL5:BN6,"D"))*1))/(COUNTA(BB5:BD6)+COUNTA(BG5:BI6)+COUNTA(BL5:BN6)),"")</f>
        <v/>
      </c>
      <c r="BR4" s="130" t="str">
        <f t="shared" ref="BR4:BR19" si="15">IF(BQ4="","",IF(BQ4&gt;3.7,"A",IF(BQ4&gt;2.8,"B",IF(BQ4&gt;1.5,"C",IF(BQ4&gt;0,"D",IF(BQ4=0,""))))))</f>
        <v/>
      </c>
      <c r="BS4" s="152"/>
      <c r="BT4" s="185"/>
      <c r="BU4" s="185"/>
      <c r="BV4" s="106" t="str">
        <f>IFERROR((((COUNTIF('Elève (6ème2)'!BS5:BU6,"A"))*4)+((COUNTIF('Elève (6ème2)'!BS5:BU6,"B"))*3)+((COUNTIF('Elève (6ème2)'!BS5:BU6,"C"))*2)+((COUNTIF('Elève (6ème2)'!BS5:BU6,"D"))*1))/(COUNTA(BS5:BU6)),"")</f>
        <v/>
      </c>
      <c r="BW4" s="107" t="str">
        <f t="shared" ref="BW4:BW19" si="16">IF(BV4="","",IF(BV4&gt;3.7,"A",IF(BV4&gt;2.8,"B",IF(BV4&gt;1.5,"C",IF(BV4&gt;0,"D",IF(BV4=0,""))))))</f>
        <v/>
      </c>
      <c r="BX4" s="204"/>
      <c r="BY4" s="186"/>
      <c r="BZ4" s="205"/>
      <c r="CA4" s="106" t="str">
        <f>IFERROR((((COUNTIF('Elève (6ème2)'!BX5:BZ6,"A"))*4)+((COUNTIF('Elève (6ème2)'!BX5:BZ6,"B"))*3)+((COUNTIF('Elève (6ème2)'!BX5:BZ6,"C"))*2)+((COUNTIF('Elève (6ème2)'!BX5:BZ6,"D"))*1))/(COUNTA(BX5:BZ6)),"")</f>
        <v/>
      </c>
      <c r="CB4" s="121" t="str">
        <f t="shared" ref="CB4:CB19" si="17">IF(CA4="","",IF(CA4&gt;3.7,"A",IF(CA4&gt;2.8,"B",IF(CA4&gt;1.5,"C",IF(CA4&gt;0,"D",IF(CA4=0,""))))))</f>
        <v/>
      </c>
      <c r="CC4" s="100"/>
      <c r="CD4" s="187"/>
      <c r="CE4" s="188"/>
      <c r="CF4" s="106" t="str">
        <f>IFERROR((((COUNTIF('Elève (6ème2)'!CC5:CE6,"A"))*4)+((COUNTIF('Elève (6ème2)'!CC5:CE6,"B"))*3)+((COUNTIF('Elève (6ème2)'!CC5:CE6,"C"))*2)+((COUNTIF('Elève (6ème2)'!CC5:CE6,"D"))*1))/(COUNTA(CC5:CE6)),"")</f>
        <v/>
      </c>
      <c r="CG4" s="128" t="str">
        <f t="shared" ref="CG4:CG19" si="18">IF(CF4="","",IF(CF4&gt;3.7,"A",IF(CF4&gt;2.8,"B",IF(CF4&gt;1.5,"C",IF(CF4&gt;0,"D",IF(CF4=0,""))))))</f>
        <v/>
      </c>
      <c r="CH4" s="177" t="str">
        <f>IFERROR((((COUNTIF(BS5:BU6,"A")+COUNTIF(BX5:BZ6,"A")+COUNTIF(CC5:CE6,"A"))*4)+((COUNTIF(BS5:BU6,"B")+COUNTIF(BX5:BZ6,"B")+COUNTIF(CC5:CE6,"B"))*3)+((COUNTIF(BS5:BU6,"C")+COUNTIF(BX5:BZ6,"C")+COUNTIF(CC5:CE6,"C"))*2)+((COUNTIF(BS5:BU6,"D")+COUNTIF(BX5:BZ6,"D")+COUNTIF(CC5:CE6,"D"))*1))/(COUNTA(BS5:BU6)+COUNTA(BX5:BZ6)+COUNTA(CC5:CE6)),"")</f>
        <v/>
      </c>
      <c r="CI4" s="130" t="str">
        <f t="shared" ref="CI4:CI19" si="19">IF(CH4="","",IF(CH4&gt;3.7,"A",IF(CH4&gt;2.8,"B",IF(CH4&gt;1.5,"C",IF(CH4&gt;0,"D",IF(CH4=0,""))))))</f>
        <v/>
      </c>
      <c r="CJ4" s="152"/>
      <c r="CK4" s="185"/>
      <c r="CL4" s="185"/>
      <c r="CM4" s="106" t="str">
        <f>IFERROR((((COUNTIF('Elève (6ème2)'!CJ5:CL6,"A"))*4)+((COUNTIF('Elève (6ème2)'!CJ5:CL6,"B"))*3)+((COUNTIF('Elève (6ème2)'!CJ5:CL6,"C"))*2)+((COUNTIF('Elève (6ème2)'!CJ5:CL6,"D"))*1))/(COUNTA(CJ5:CL6)),"")</f>
        <v/>
      </c>
      <c r="CN4" s="107" t="str">
        <f t="shared" ref="CN4:CN19" si="20">IF(CM4="","",IF(CM4&gt;3.7,"A",IF(CM4&gt;2.8,"B",IF(CM4&gt;1.5,"C",IF(CM4&gt;0,"D",IF(CM4=0,""))))))</f>
        <v/>
      </c>
      <c r="CO4" s="204"/>
      <c r="CP4" s="186"/>
      <c r="CQ4" s="205"/>
      <c r="CR4" s="106" t="str">
        <f>IFERROR((((COUNTIF('Elève (6ème2)'!CO5:CQ6,"A"))*4)+((COUNTIF('Elève (6ème2)'!CO5:CQ6,"B"))*3)+((COUNTIF('Elève (6ème2)'!CO5:CQ6,"C"))*2)+((COUNTIF('Elève (6ème2)'!CO5:CQ6,"D"))*1))/(COUNTA(CO5:CQ6)),"")</f>
        <v/>
      </c>
      <c r="CS4" s="121" t="str">
        <f t="shared" ref="CS4:CS19" si="21">IF(CR4="","",IF(CR4&gt;3.7,"A",IF(CR4&gt;2.8,"B",IF(CR4&gt;1.5,"C",IF(CR4&gt;0,"D",IF(CR4=0,""))))))</f>
        <v/>
      </c>
      <c r="CT4" s="100"/>
      <c r="CU4" s="187"/>
      <c r="CV4" s="188"/>
      <c r="CW4" s="106" t="str">
        <f>IFERROR((((COUNTIF('Elève (6ème2)'!CT5:CV6,"A"))*4)+((COUNTIF('Elève (6ème2)'!CT5:CV6,"B"))*3)+((COUNTIF('Elève (6ème2)'!CT5:CV6,"C"))*2)+((COUNTIF('Elève (6ème2)'!CT5:CV6,"D"))*1))/(COUNTA(CT5:CV6)),"")</f>
        <v/>
      </c>
      <c r="CX4" s="128" t="str">
        <f t="shared" ref="CX4:CX19" si="22">IF(CW4="","",IF(CW4&gt;3.7,"A",IF(CW4&gt;2.8,"B",IF(CW4&gt;1.5,"C",IF(CW4&gt;0,"D",IF(CW4=0,""))))))</f>
        <v/>
      </c>
      <c r="CY4" s="177" t="str">
        <f>IFERROR((((COUNTIF(CJ5:CL6,"A")+COUNTIF(CO5:CQ6,"A")+COUNTIF(CT5:CV6,"A"))*4)+((COUNTIF(CJ5:CL6,"B")+COUNTIF(CO5:CQ6,"B")+COUNTIF(CT5:CV6,"B"))*3)+((COUNTIF(CJ5:CL6,"C")+COUNTIF(CO5:CQ6,"C")+COUNTIF(CT5:CV6,"C"))*2)+((COUNTIF(CJ5:CL6,"D")+COUNTIF(CO5:CQ6,"D")+COUNTIF(CT5:CV6,"D"))*1))/(COUNTA(CJ5:CL6)+COUNTA(CO5:CQ6)+COUNTA(CT5:CV6)),"")</f>
        <v/>
      </c>
      <c r="CZ4" s="130" t="str">
        <f t="shared" ref="CZ4:CZ19" si="23">IF(CY4="","",IF(CY4&gt;3.7,"A",IF(CY4&gt;2.8,"B",IF(CY4&gt;1.5,"C",IF(CY4&gt;0,"D",IF(CY4=0,""))))))</f>
        <v/>
      </c>
      <c r="DA4" s="152"/>
      <c r="DB4" s="185"/>
      <c r="DC4" s="185"/>
      <c r="DD4" s="106" t="str">
        <f>IFERROR((((COUNTIF('Elève (6ème2)'!DA5:DC6,"A"))*4)+((COUNTIF('Elève (6ème2)'!DA5:DC6,"B"))*3)+((COUNTIF('Elève (6ème2)'!DA5:DC6,"C"))*2)+((COUNTIF('Elève (6ème2)'!DA5:DC6,"D"))*1))/(COUNTA(DA5:DC6)),"")</f>
        <v/>
      </c>
      <c r="DE4" s="107" t="str">
        <f t="shared" ref="DE4:DE19" si="24">IF(DD4="","",IF(DD4&gt;3.7,"A",IF(DD4&gt;2.8,"B",IF(DD4&gt;1.5,"C",IF(DD4&gt;0,"D",IF(DD4=0,""))))))</f>
        <v/>
      </c>
      <c r="DF4" s="204"/>
      <c r="DG4" s="186"/>
      <c r="DH4" s="205"/>
      <c r="DI4" s="106" t="str">
        <f>IFERROR((((COUNTIF('Elève (6ème2)'!DF5:DH6,"A"))*4)+((COUNTIF('Elève (6ème2)'!DF5:DH6,"B"))*3)+((COUNTIF('Elève (6ème2)'!DF5:DH6,"C"))*2)+((COUNTIF('Elève (6ème2)'!DF5:DH6,"D"))*1))/(COUNTA(DF5:DH6)),"")</f>
        <v/>
      </c>
      <c r="DJ4" s="121" t="str">
        <f t="shared" ref="DJ4:DJ19" si="25">IF(DI4="","",IF(DI4&gt;3.7,"A",IF(DI4&gt;2.8,"B",IF(DI4&gt;1.5,"C",IF(DI4&gt;0,"D",IF(DI4=0,""))))))</f>
        <v/>
      </c>
      <c r="DK4" s="100"/>
      <c r="DL4" s="187"/>
      <c r="DM4" s="188"/>
      <c r="DN4" s="106" t="str">
        <f>IFERROR((((COUNTIF('Elève (6ème2)'!DK5:DM6,"A"))*4)+((COUNTIF('Elève (6ème2)'!DK5:DM6,"B"))*3)+((COUNTIF('Elève (6ème2)'!DK5:DM6,"C"))*2)+((COUNTIF('Elève (6ème2)'!DK5:DM6,"D"))*1))/(COUNTA(DK5:DM6)),"")</f>
        <v/>
      </c>
      <c r="DO4" s="128" t="str">
        <f t="shared" ref="DO4:DO19" si="26">IF(DN4="","",IF(DN4&gt;3.7,"A",IF(DN4&gt;2.8,"B",IF(DN4&gt;1.5,"C",IF(DN4&gt;0,"D",IF(DN4=0,""))))))</f>
        <v/>
      </c>
      <c r="DP4" s="177" t="str">
        <f>IFERROR((((COUNTIF(DA5:DC6,"A")+COUNTIF(DF5:DH6,"A")+COUNTIF(DK5:DM6,"A"))*4)+((COUNTIF(DA5:DC6,"B")+COUNTIF(DF5:DH6,"B")+COUNTIF(DK5:DM6,"B"))*3)+((COUNTIF(DA5:DC6,"C")+COUNTIF(DF5:DH6,"C")+COUNTIF(DK5:DM6,"C"))*2)+((COUNTIF(DA5:DC6,"D")+COUNTIF(DF5:DH6,"D")+COUNTIF(DK5:DM6,"D"))*1))/(COUNTA(DA5:DC6)+COUNTA(DF5:DH6)+COUNTA(DK5:DM6)),"")</f>
        <v/>
      </c>
      <c r="DQ4" s="130" t="str">
        <f t="shared" ref="DQ4:DQ19" si="27">IF(DP4="","",IF(DP4&gt;3.7,"A",IF(DP4&gt;2.8,"B",IF(DP4&gt;1.5,"C",IF(DP4&gt;0,"D",IF(DP4=0,""))))))</f>
        <v/>
      </c>
      <c r="DR4" s="152"/>
      <c r="DS4" s="185"/>
      <c r="DT4" s="185"/>
      <c r="DU4" s="106" t="str">
        <f>IFERROR((((COUNTIF('Elève (6ème2)'!DR5:DT6,"A"))*4)+((COUNTIF('Elève (6ème2)'!DR5:DT6,"B"))*3)+((COUNTIF('Elève (6ème2)'!DR5:DT6,"C"))*2)+((COUNTIF('Elève (6ème2)'!DR5:DT6,"D"))*1))/(COUNTA(DR5:DT6)),"")</f>
        <v/>
      </c>
      <c r="DV4" s="107" t="str">
        <f t="shared" ref="DV4:DV19" si="28">IF(DU4="","",IF(DU4&gt;3.7,"A",IF(DU4&gt;2.8,"B",IF(DU4&gt;1.5,"C",IF(DU4&gt;0,"D",IF(DU4=0,""))))))</f>
        <v/>
      </c>
      <c r="DW4" s="204"/>
      <c r="DX4" s="186"/>
      <c r="DY4" s="205"/>
      <c r="DZ4" s="106" t="str">
        <f>IFERROR((((COUNTIF('Elève (6ème2)'!DW5:DY6,"A"))*4)+((COUNTIF('Elève (6ème2)'!DW5:DY6,"B"))*3)+((COUNTIF('Elève (6ème2)'!DW5:DY6,"C"))*2)+((COUNTIF('Elève (6ème2)'!DW5:DY6,"D"))*1))/(COUNTA(DW5:DY6)),"")</f>
        <v/>
      </c>
      <c r="EA4" s="121" t="str">
        <f t="shared" ref="EA4:EA19" si="29">IF(DZ4="","",IF(DZ4&gt;3.7,"A",IF(DZ4&gt;2.8,"B",IF(DZ4&gt;1.5,"C",IF(DZ4&gt;0,"D",IF(DZ4=0,""))))))</f>
        <v/>
      </c>
      <c r="EB4" s="100"/>
      <c r="EC4" s="187"/>
      <c r="ED4" s="188"/>
      <c r="EE4" s="106" t="str">
        <f>IFERROR((((COUNTIF('Elève (6ème2)'!EB5:ED6,"A"))*4)+((COUNTIF('Elève (6ème2)'!EB5:ED6,"B"))*3)+((COUNTIF('Elève (6ème2)'!EB5:ED6,"C"))*2)+((COUNTIF('Elève (6ème2)'!EB5:ED6,"D"))*1))/(COUNTA(EB5:ED6)),"")</f>
        <v/>
      </c>
      <c r="EF4" s="128" t="str">
        <f t="shared" ref="EF4:EF19" si="30">IF(EE4="","",IF(EE4&gt;3.7,"A",IF(EE4&gt;2.8,"B",IF(EE4&gt;1.5,"C",IF(EE4&gt;0,"D",IF(EE4=0,""))))))</f>
        <v/>
      </c>
      <c r="EG4" s="177" t="str">
        <f>IFERROR((((COUNTIF(DR5:DT6,"A")+COUNTIF(DW5:DY6,"A")+COUNTIF(EB5:ED6,"A"))*4)+((COUNTIF(DR5:DT6,"B")+COUNTIF(DW5:DY6,"B")+COUNTIF(EB5:ED6,"B"))*3)+((COUNTIF(DR5:DT6,"C")+COUNTIF(DW5:DY6,"C")+COUNTIF(EB5:ED6,"C"))*2)+((COUNTIF(DR5:DT6,"D")+COUNTIF(DW5:DY6,"D")+COUNTIF(EB5:ED6,"D"))*1))/(COUNTA(DR5:DT6)+COUNTA(DW5:DY6)+COUNTA(EB5:ED6)),"")</f>
        <v/>
      </c>
      <c r="EH4" s="130" t="str">
        <f t="shared" ref="EH4:EH19" si="31">IF(EG4="","",IF(EG4&gt;3.7,"A",IF(EG4&gt;2.8,"B",IF(EG4&gt;1.5,"C",IF(EG4&gt;0,"D",IF(EG4=0,""))))))</f>
        <v/>
      </c>
      <c r="EI4" s="152"/>
      <c r="EJ4" s="185"/>
      <c r="EK4" s="185"/>
      <c r="EL4" s="106" t="str">
        <f>IFERROR((((COUNTIF('Elève (6ème2)'!EI5:EK6,"A"))*4)+((COUNTIF('Elève (6ème2)'!EI5:EK6,"B"))*3)+((COUNTIF('Elève (6ème2)'!EI5:EK6,"C"))*2)+((COUNTIF('Elève (6ème2)'!EI5:EK6,"D"))*1))/(COUNTA(EI5:EK6)),"")</f>
        <v/>
      </c>
      <c r="EM4" s="107" t="str">
        <f t="shared" ref="EM4:EM19" si="32">IF(EL4="","",IF(EL4&gt;3.7,"A",IF(EL4&gt;2.8,"B",IF(EL4&gt;1.5,"C",IF(EL4&gt;0,"D",IF(EL4=0,""))))))</f>
        <v/>
      </c>
      <c r="EN4" s="204"/>
      <c r="EO4" s="186"/>
      <c r="EP4" s="205"/>
      <c r="EQ4" s="106" t="str">
        <f>IFERROR((((COUNTIF('Elève (6ème2)'!EN5:EP6,"A"))*4)+((COUNTIF('Elève (6ème2)'!EN5:EP6,"B"))*3)+((COUNTIF('Elève (6ème2)'!EN5:EP6,"C"))*2)+((COUNTIF('Elève (6ème2)'!EN5:EP6,"D"))*1))/(COUNTA(EN5:EP6)),"")</f>
        <v/>
      </c>
      <c r="ER4" s="121" t="str">
        <f t="shared" ref="ER4:ER19" si="33">IF(EQ4="","",IF(EQ4&gt;3.7,"A",IF(EQ4&gt;2.8,"B",IF(EQ4&gt;1.5,"C",IF(EQ4&gt;0,"D",IF(EQ4=0,""))))))</f>
        <v/>
      </c>
      <c r="ES4" s="100"/>
      <c r="ET4" s="187"/>
      <c r="EU4" s="188"/>
      <c r="EV4" s="106" t="str">
        <f>IFERROR((((COUNTIF('Elève (6ème2)'!ES5:EU6,"A"))*4)+((COUNTIF('Elève (6ème2)'!ES5:EU6,"B"))*3)+((COUNTIF('Elève (6ème2)'!ES5:EU6,"C"))*2)+((COUNTIF('Elève (6ème2)'!ES5:EU6,"D"))*1))/(COUNTA(ES5:EU6)),"")</f>
        <v/>
      </c>
      <c r="EW4" s="128" t="str">
        <f t="shared" ref="EW4:EW19" si="34">IF(EV4="","",IF(EV4&gt;3.7,"A",IF(EV4&gt;2.8,"B",IF(EV4&gt;1.5,"C",IF(EV4&gt;0,"D",IF(EV4=0,""))))))</f>
        <v/>
      </c>
      <c r="EX4" s="177" t="str">
        <f>IFERROR((((COUNTIF(EI5:EK6,"A")+COUNTIF(EN5:EP6,"A")+COUNTIF(ES5:EU6,"A"))*4)+((COUNTIF(EI5:EK6,"B")+COUNTIF(EN5:EP6,"B")+COUNTIF(ES5:EU6,"B"))*3)+((COUNTIF(EI5:EK6,"C")+COUNTIF(EN5:EP6,"C")+COUNTIF(ES5:EU6,"C"))*2)+((COUNTIF(EI5:EK6,"D")+COUNTIF(EN5:EP6,"D")+COUNTIF(ES5:EU6,"D"))*1))/(COUNTA(EI5:EK6)+COUNTA(EN5:EP6)+COUNTA(ES5:EU6)),"")</f>
        <v/>
      </c>
      <c r="EY4" s="130" t="str">
        <f t="shared" ref="EY4:EY19" si="35">IF(EX4="","",IF(EX4&gt;3.7,"A",IF(EX4&gt;2.8,"B",IF(EX4&gt;1.5,"C",IF(EX4&gt;0,"D",IF(EX4=0,""))))))</f>
        <v/>
      </c>
      <c r="EZ4" s="152"/>
      <c r="FA4" s="185"/>
      <c r="FB4" s="185"/>
      <c r="FC4" s="106" t="str">
        <f>IFERROR((((COUNTIF('Elève (6ème2)'!EZ5:FB6,"A"))*4)+((COUNTIF('Elève (6ème2)'!EZ5:FB6,"B"))*3)+((COUNTIF('Elève (6ème2)'!EZ5:FB6,"C"))*2)+((COUNTIF('Elève (6ème2)'!EZ5:FB6,"D"))*1))/(COUNTA(EZ5:FB6)),"")</f>
        <v/>
      </c>
      <c r="FD4" s="107" t="str">
        <f t="shared" ref="FD4:FD19" si="36">IF(FC4="","",IF(FC4&gt;3.7,"A",IF(FC4&gt;2.8,"B",IF(FC4&gt;1.5,"C",IF(FC4&gt;0,"D",IF(FC4=0,""))))))</f>
        <v/>
      </c>
      <c r="FE4" s="204"/>
      <c r="FF4" s="186"/>
      <c r="FG4" s="205"/>
      <c r="FH4" s="106" t="str">
        <f>IFERROR((((COUNTIF('Elève (6ème2)'!FE5:FG6,"A"))*4)+((COUNTIF('Elève (6ème2)'!FE5:FG6,"B"))*3)+((COUNTIF('Elève (6ème2)'!FE5:FG6,"C"))*2)+((COUNTIF('Elève (6ème2)'!FE5:FG6,"D"))*1))/(COUNTA(FE5:FG6)),"")</f>
        <v/>
      </c>
      <c r="FI4" s="121" t="str">
        <f t="shared" ref="FI4:FI19" si="37">IF(FH4="","",IF(FH4&gt;3.7,"A",IF(FH4&gt;2.8,"B",IF(FH4&gt;1.5,"C",IF(FH4&gt;0,"D",IF(FH4=0,""))))))</f>
        <v/>
      </c>
      <c r="FJ4" s="100"/>
      <c r="FK4" s="187"/>
      <c r="FL4" s="188"/>
      <c r="FM4" s="106" t="str">
        <f>IFERROR((((COUNTIF('Elève (6ème2)'!FJ5:FL6,"A"))*4)+((COUNTIF('Elève (6ème2)'!FJ5:FL6,"B"))*3)+((COUNTIF('Elève (6ème2)'!FJ5:FL6,"C"))*2)+((COUNTIF('Elève (6ème2)'!FJ5:FL6,"D"))*1))/(COUNTA(FJ5:FL6)),"")</f>
        <v/>
      </c>
      <c r="FN4" s="128" t="str">
        <f t="shared" ref="FN4:FN19" si="38">IF(FM4="","",IF(FM4&gt;3.7,"A",IF(FM4&gt;2.8,"B",IF(FM4&gt;1.5,"C",IF(FM4&gt;0,"D",IF(FM4=0,""))))))</f>
        <v/>
      </c>
      <c r="FO4" s="177" t="str">
        <f>IFERROR((((COUNTIF(EZ5:FB6,"A")+COUNTIF(FE5:FG6,"A")+COUNTIF(FJ5:FL6,"A"))*4)+((COUNTIF(EZ5:FB6,"B")+COUNTIF(FE5:FG6,"B")+COUNTIF(FJ5:FL6,"B"))*3)+((COUNTIF(EZ5:FB6,"C")+COUNTIF(FE5:FG6,"C")+COUNTIF(FJ5:FL6,"C"))*2)+((COUNTIF(EZ5:FB6,"D")+COUNTIF(FE5:FG6,"D")+COUNTIF(FJ5:FL6,"D"))*1))/(COUNTA(EZ5:FB6)+COUNTA(FE5:FG6)+COUNTA(FJ5:FL6)),"")</f>
        <v/>
      </c>
      <c r="FP4" s="130" t="str">
        <f t="shared" ref="FP4:FP19" si="39">IF(FO4="","",IF(FO4&gt;3.7,"A",IF(FO4&gt;2.8,"B",IF(FO4&gt;1.5,"C",IF(FO4&gt;0,"D",IF(FO4=0,""))))))</f>
        <v/>
      </c>
      <c r="FQ4" s="152"/>
      <c r="FR4" s="185"/>
      <c r="FS4" s="185"/>
      <c r="FT4" s="106" t="str">
        <f>IFERROR((((COUNTIF('Elève (6ème2)'!FQ5:FS6,"A"))*4)+((COUNTIF('Elève (6ème2)'!FQ5:FS6,"B"))*3)+((COUNTIF('Elève (6ème2)'!FQ5:FS6,"C"))*2)+((COUNTIF('Elève (6ème2)'!FQ5:FS6,"D"))*1))/(COUNTA(FQ5:FS6)),"")</f>
        <v/>
      </c>
      <c r="FU4" s="107" t="str">
        <f t="shared" ref="FU4:FU19" si="40">IF(FT4="","",IF(FT4&gt;3.7,"A",IF(FT4&gt;2.8,"B",IF(FT4&gt;1.5,"C",IF(FT4&gt;0,"D",IF(FT4=0,""))))))</f>
        <v/>
      </c>
      <c r="FV4" s="204"/>
      <c r="FW4" s="186"/>
      <c r="FX4" s="205"/>
      <c r="FY4" s="106" t="str">
        <f>IFERROR((((COUNTIF('Elève (6ème2)'!FV5:FX6,"A"))*4)+((COUNTIF('Elève (6ème2)'!FV5:FX6,"B"))*3)+((COUNTIF('Elève (6ème2)'!FV5:FX6,"C"))*2)+((COUNTIF('Elève (6ème2)'!FV5:FX6,"D"))*1))/(COUNTA(FV5:FX6)),"")</f>
        <v/>
      </c>
      <c r="FZ4" s="121" t="str">
        <f t="shared" ref="FZ4:FZ19" si="41">IF(FY4="","",IF(FY4&gt;3.7,"A",IF(FY4&gt;2.8,"B",IF(FY4&gt;1.5,"C",IF(FY4&gt;0,"D",IF(FY4=0,""))))))</f>
        <v/>
      </c>
      <c r="GA4" s="100"/>
      <c r="GB4" s="187"/>
      <c r="GC4" s="188"/>
      <c r="GD4" s="106" t="str">
        <f>IFERROR((((COUNTIF('Elève (6ème2)'!GA5:GC6,"A"))*4)+((COUNTIF('Elève (6ème2)'!GA5:GC6,"B"))*3)+((COUNTIF('Elève (6ème2)'!GA5:GC6,"C"))*2)+((COUNTIF('Elève (6ème2)'!GA5:GC6,"D"))*1))/(COUNTA(GA5:GC6)),"")</f>
        <v/>
      </c>
      <c r="GE4" s="128" t="str">
        <f t="shared" ref="GE4:GE19" si="42">IF(GD4="","",IF(GD4&gt;3.7,"A",IF(GD4&gt;2.8,"B",IF(GD4&gt;1.5,"C",IF(GD4&gt;0,"D",IF(GD4=0,""))))))</f>
        <v/>
      </c>
      <c r="GF4" s="177" t="str">
        <f>IFERROR((((COUNTIF(FQ5:FS6,"A")+COUNTIF(FV5:FX6,"A")+COUNTIF(GA5:GC6,"A"))*4)+((COUNTIF(FQ5:FS6,"B")+COUNTIF(FV5:FX6,"B")+COUNTIF(GA5:GC6,"B"))*3)+((COUNTIF(FQ5:FS6,"C")+COUNTIF(FV5:FX6,"C")+COUNTIF(GA5:GC6,"C"))*2)+((COUNTIF(FQ5:FS6,"D")+COUNTIF(FV5:FX6,"D")+COUNTIF(GA5:GC6,"D"))*1))/(COUNTA(FQ5:FS6)+COUNTA(FV5:FX6)+COUNTA(GA5:GC6)),"")</f>
        <v/>
      </c>
      <c r="GG4" s="130" t="str">
        <f t="shared" ref="GG4:GG19" si="43">IF(GF4="","",IF(GF4&gt;3.7,"A",IF(GF4&gt;2.8,"B",IF(GF4&gt;1.5,"C",IF(GF4&gt;0,"D",IF(GF4=0,""))))))</f>
        <v/>
      </c>
      <c r="GH4" s="152"/>
      <c r="GI4" s="185"/>
      <c r="GJ4" s="185"/>
      <c r="GK4" s="106" t="str">
        <f>IFERROR((((COUNTIF('Elève (6ème2)'!GH5:GJ6,"A"))*4)+((COUNTIF('Elève (6ème2)'!GH5:GJ6,"B"))*3)+((COUNTIF('Elève (6ème2)'!GH5:GJ6,"C"))*2)+((COUNTIF('Elève (6ème2)'!GH5:GJ6,"D"))*1))/(COUNTA(GH5:GJ6)),"")</f>
        <v/>
      </c>
      <c r="GL4" s="107" t="str">
        <f t="shared" ref="GL4:GL19" si="44">IF(GK4="","",IF(GK4&gt;3.7,"A",IF(GK4&gt;2.8,"B",IF(GK4&gt;1.5,"C",IF(GK4&gt;0,"D",IF(GK4=0,""))))))</f>
        <v/>
      </c>
      <c r="GM4" s="204"/>
      <c r="GN4" s="186"/>
      <c r="GO4" s="205"/>
      <c r="GP4" s="106" t="str">
        <f>IFERROR((((COUNTIF('Elève (6ème2)'!GM5:GO6,"A"))*4)+((COUNTIF('Elève (6ème2)'!GM5:GO6,"B"))*3)+((COUNTIF('Elève (6ème2)'!GM5:GO6,"C"))*2)+((COUNTIF('Elève (6ème2)'!GM5:GO6,"D"))*1))/(COUNTA(GM5:GO6)),"")</f>
        <v/>
      </c>
      <c r="GQ4" s="121" t="str">
        <f t="shared" ref="GQ4:GQ19" si="45">IF(GP4="","",IF(GP4&gt;3.7,"A",IF(GP4&gt;2.8,"B",IF(GP4&gt;1.5,"C",IF(GP4&gt;0,"D",IF(GP4=0,""))))))</f>
        <v/>
      </c>
      <c r="GR4" s="100"/>
      <c r="GS4" s="187"/>
      <c r="GT4" s="188"/>
      <c r="GU4" s="106" t="str">
        <f>IFERROR((((COUNTIF('Elève (6ème2)'!GR5:GT6,"A"))*4)+((COUNTIF('Elève (6ème2)'!GR5:GT6,"B"))*3)+((COUNTIF('Elève (6ème2)'!GR5:GT6,"C"))*2)+((COUNTIF('Elève (6ème2)'!GR5:GT6,"D"))*1))/(COUNTA(GR5:GT6)),"")</f>
        <v/>
      </c>
      <c r="GV4" s="128" t="str">
        <f t="shared" ref="GV4:GV19" si="46">IF(GU4="","",IF(GU4&gt;3.7,"A",IF(GU4&gt;2.8,"B",IF(GU4&gt;1.5,"C",IF(GU4&gt;0,"D",IF(GU4=0,""))))))</f>
        <v/>
      </c>
      <c r="GW4" s="177" t="str">
        <f>IFERROR((((COUNTIF(GH5:GJ6,"A")+COUNTIF(GM5:GO6,"A")+COUNTIF(GR5:GT6,"A"))*4)+((COUNTIF(GH5:GJ6,"B")+COUNTIF(GM5:GO6,"B")+COUNTIF(GR5:GT6,"B"))*3)+((COUNTIF(GH5:GJ6,"C")+COUNTIF(GM5:GO6,"C")+COUNTIF(GR5:GT6,"C"))*2)+((COUNTIF(GH5:GJ6,"D")+COUNTIF(GM5:GO6,"D")+COUNTIF(GR5:GT6,"D"))*1))/(COUNTA(GH5:GJ6)+COUNTA(GM5:GO6)+COUNTA(GR5:GT6)),"")</f>
        <v/>
      </c>
      <c r="GX4" s="130" t="str">
        <f t="shared" ref="GX4:GX19" si="47">IF(GW4="","",IF(GW4&gt;3.7,"A",IF(GW4&gt;2.8,"B",IF(GW4&gt;1.5,"C",IF(GW4&gt;0,"D",IF(GW4=0,""))))))</f>
        <v/>
      </c>
      <c r="GY4" s="152"/>
      <c r="GZ4" s="185"/>
      <c r="HA4" s="185"/>
      <c r="HB4" s="106" t="str">
        <f>IFERROR((((COUNTIF('Elève (6ème2)'!GY5:HA6,"A"))*4)+((COUNTIF('Elève (6ème2)'!GY5:HA6,"B"))*3)+((COUNTIF('Elève (6ème2)'!GY5:HA6,"C"))*2)+((COUNTIF('Elève (6ème2)'!GY5:HA6,"D"))*1))/(COUNTA(GY5:HA6)),"")</f>
        <v/>
      </c>
      <c r="HC4" s="107" t="str">
        <f t="shared" ref="HC4:HC19" si="48">IF(HB4="","",IF(HB4&gt;3.7,"A",IF(HB4&gt;2.8,"B",IF(HB4&gt;1.5,"C",IF(HB4&gt;0,"D",IF(HB4=0,""))))))</f>
        <v/>
      </c>
      <c r="HD4" s="204"/>
      <c r="HE4" s="186"/>
      <c r="HF4" s="205"/>
      <c r="HG4" s="106" t="str">
        <f>IFERROR((((COUNTIF('Elève (6ème2)'!HD5:HF6,"A"))*4)+((COUNTIF('Elève (6ème2)'!HD5:HF6,"B"))*3)+((COUNTIF('Elève (6ème2)'!HD5:HF6,"C"))*2)+((COUNTIF('Elève (6ème2)'!HD5:HF6,"D"))*1))/(COUNTA(HD5:HF6)),"")</f>
        <v/>
      </c>
      <c r="HH4" s="121" t="str">
        <f t="shared" ref="HH4:HH19" si="49">IF(HG4="","",IF(HG4&gt;3.7,"A",IF(HG4&gt;2.8,"B",IF(HG4&gt;1.5,"C",IF(HG4&gt;0,"D",IF(HG4=0,""))))))</f>
        <v/>
      </c>
      <c r="HI4" s="100"/>
      <c r="HJ4" s="187"/>
      <c r="HK4" s="188"/>
      <c r="HL4" s="106" t="str">
        <f>IFERROR((((COUNTIF('Elève (6ème2)'!HI5:HK6,"A"))*4)+((COUNTIF('Elève (6ème2)'!HI5:HK6,"B"))*3)+((COUNTIF('Elève (6ème2)'!HI5:HK6,"C"))*2)+((COUNTIF('Elève (6ème2)'!HI5:HK6,"D"))*1))/(COUNTA(HI5:HK6)),"")</f>
        <v/>
      </c>
      <c r="HM4" s="128" t="str">
        <f t="shared" ref="HM4:HM19" si="50">IF(HL4="","",IF(HL4&gt;3.7,"A",IF(HL4&gt;2.8,"B",IF(HL4&gt;1.5,"C",IF(HL4&gt;0,"D",IF(HL4=0,""))))))</f>
        <v/>
      </c>
      <c r="HN4" s="177" t="str">
        <f>IFERROR((((COUNTIF(GY5:HA6,"A")+COUNTIF(HD5:HF6,"A")+COUNTIF(HI5:HK6,"A"))*4)+((COUNTIF(GY5:HA6,"B")+COUNTIF(HD5:HF6,"B")+COUNTIF(HI5:HK6,"B"))*3)+((COUNTIF(GY5:HA6,"C")+COUNTIF(HD5:HF6,"C")+COUNTIF(HI5:HK6,"C"))*2)+((COUNTIF(GY5:HA6,"D")+COUNTIF(HD5:HF6,"D")+COUNTIF(HI5:HK6,"D"))*1))/(COUNTA(GY5:HA6)+COUNTA(HD5:HF6)+COUNTA(HI5:HK6)),"")</f>
        <v/>
      </c>
      <c r="HO4" s="130" t="str">
        <f t="shared" ref="HO4:HO19" si="51">IF(HN4="","",IF(HN4&gt;3.7,"A",IF(HN4&gt;2.8,"B",IF(HN4&gt;1.5,"C",IF(HN4&gt;0,"D",IF(HN4=0,""))))))</f>
        <v/>
      </c>
      <c r="HP4" s="152"/>
      <c r="HQ4" s="185"/>
      <c r="HR4" s="185"/>
      <c r="HS4" s="106" t="str">
        <f>IFERROR((((COUNTIF('Elève (6ème2)'!HP5:HR6,"A"))*4)+((COUNTIF('Elève (6ème2)'!HP5:HR6,"B"))*3)+((COUNTIF('Elève (6ème2)'!HP5:HR6,"C"))*2)+((COUNTIF('Elève (6ème2)'!HP5:HR6,"D"))*1))/(COUNTA(HP5:HR6)),"")</f>
        <v/>
      </c>
      <c r="HT4" s="107" t="str">
        <f t="shared" ref="HT4:HT19" si="52">IF(HS4="","",IF(HS4&gt;3.7,"A",IF(HS4&gt;2.8,"B",IF(HS4&gt;1.5,"C",IF(HS4&gt;0,"D",IF(HS4=0,""))))))</f>
        <v/>
      </c>
      <c r="HU4" s="204"/>
      <c r="HV4" s="186"/>
      <c r="HW4" s="205"/>
      <c r="HX4" s="106" t="str">
        <f>IFERROR((((COUNTIF('Elève (6ème2)'!HU5:HW6,"A"))*4)+((COUNTIF('Elève (6ème2)'!HU5:HW6,"B"))*3)+((COUNTIF('Elève (6ème2)'!HU5:HW6,"C"))*2)+((COUNTIF('Elève (6ème2)'!HU5:HW6,"D"))*1))/(COUNTA(HU5:HW6)),"")</f>
        <v/>
      </c>
      <c r="HY4" s="121" t="str">
        <f t="shared" ref="HY4:HY19" si="53">IF(HX4="","",IF(HX4&gt;3.7,"A",IF(HX4&gt;2.8,"B",IF(HX4&gt;1.5,"C",IF(HX4&gt;0,"D",IF(HX4=0,""))))))</f>
        <v/>
      </c>
      <c r="HZ4" s="100"/>
      <c r="IA4" s="187"/>
      <c r="IB4" s="188"/>
      <c r="IC4" s="106" t="str">
        <f>IFERROR((((COUNTIF('Elève (6ème2)'!HZ5:IB6,"A"))*4)+((COUNTIF('Elève (6ème2)'!HZ5:IB6,"B"))*3)+((COUNTIF('Elève (6ème2)'!HZ5:IB6,"C"))*2)+((COUNTIF('Elève (6ème2)'!HZ5:IB6,"D"))*1))/(COUNTA(HZ5:IB6)),"")</f>
        <v/>
      </c>
      <c r="ID4" s="128" t="str">
        <f t="shared" ref="ID4:ID19" si="54">IF(IC4="","",IF(IC4&gt;3.7,"A",IF(IC4&gt;2.8,"B",IF(IC4&gt;1.5,"C",IF(IC4&gt;0,"D",IF(IC4=0,""))))))</f>
        <v/>
      </c>
      <c r="IE4" s="177" t="str">
        <f>IFERROR((((COUNTIF(HP5:HR6,"A")+COUNTIF(HU5:HW6,"A")+COUNTIF(HZ5:IB6,"A"))*4)+((COUNTIF(HP5:HR6,"B")+COUNTIF(HU5:HW6,"B")+COUNTIF(HZ5:IB6,"B"))*3)+((COUNTIF(HP5:HR6,"C")+COUNTIF(HU5:HW6,"C")+COUNTIF(HZ5:IB6,"C"))*2)+((COUNTIF(HP5:HR6,"D")+COUNTIF(HU5:HW6,"D")+COUNTIF(HZ5:IB6,"D"))*1))/(COUNTA(HP5:HR6)+COUNTA(HU5:HW6)+COUNTA(HZ5:IB6)),"")</f>
        <v/>
      </c>
      <c r="IF4" s="130" t="str">
        <f t="shared" ref="IF4:IF19" si="55">IF(IE4="","",IF(IE4&gt;3.7,"A",IF(IE4&gt;2.8,"B",IF(IE4&gt;1.5,"C",IF(IE4&gt;0,"D",IF(IE4=0,""))))))</f>
        <v/>
      </c>
      <c r="IG4" s="152"/>
      <c r="IH4" s="185"/>
      <c r="II4" s="185"/>
      <c r="IJ4" s="106" t="str">
        <f>IFERROR((((COUNTIF('Elève (6ème2)'!IG5:II6,"A"))*4)+((COUNTIF('Elève (6ème2)'!IG5:II6,"B"))*3)+((COUNTIF('Elève (6ème2)'!IG5:II6,"C"))*2)+((COUNTIF('Elève (6ème2)'!IG5:II6,"D"))*1))/(COUNTA(IG5:II6)),"")</f>
        <v/>
      </c>
      <c r="IK4" s="107" t="str">
        <f t="shared" ref="IK4:IK19" si="56">IF(IJ4="","",IF(IJ4&gt;3.7,"A",IF(IJ4&gt;2.8,"B",IF(IJ4&gt;1.5,"C",IF(IJ4&gt;0,"D",IF(IJ4=0,""))))))</f>
        <v/>
      </c>
      <c r="IL4" s="204"/>
      <c r="IM4" s="186"/>
      <c r="IN4" s="205"/>
      <c r="IO4" s="106" t="str">
        <f>IFERROR((((COUNTIF('Elève (6ème2)'!IL5:IN6,"A"))*4)+((COUNTIF('Elève (6ème2)'!IL5:IN6,"B"))*3)+((COUNTIF('Elève (6ème2)'!IL5:IN6,"C"))*2)+((COUNTIF('Elève (6ème2)'!IL5:IN6,"D"))*1))/(COUNTA(IL5:IN6)),"")</f>
        <v/>
      </c>
      <c r="IP4" s="121" t="str">
        <f t="shared" ref="IP4:IP19" si="57">IF(IO4="","",IF(IO4&gt;3.7,"A",IF(IO4&gt;2.8,"B",IF(IO4&gt;1.5,"C",IF(IO4&gt;0,"D",IF(IO4=0,""))))))</f>
        <v/>
      </c>
      <c r="IQ4" s="100"/>
      <c r="IR4" s="187"/>
      <c r="IS4" s="188"/>
      <c r="IT4" s="106" t="str">
        <f>IFERROR((((COUNTIF('Elève (6ème2)'!IQ5:IS6,"A"))*4)+((COUNTIF('Elève (6ème2)'!IQ5:IS6,"B"))*3)+((COUNTIF('Elève (6ème2)'!IQ5:IS6,"C"))*2)+((COUNTIF('Elève (6ème2)'!IQ5:IS6,"D"))*1))/(COUNTA(IQ5:IS6)),"")</f>
        <v/>
      </c>
      <c r="IU4" s="128" t="str">
        <f t="shared" ref="IU4:IU19" si="58">IF(IT4="","",IF(IT4&gt;3.7,"A",IF(IT4&gt;2.8,"B",IF(IT4&gt;1.5,"C",IF(IT4&gt;0,"D",IF(IT4=0,""))))))</f>
        <v/>
      </c>
      <c r="IV4" s="177" t="str">
        <f>IFERROR((((COUNTIF(IG5:II6,"A")+COUNTIF(IL5:IN6,"A")+COUNTIF(IQ5:IS6,"A"))*4)+((COUNTIF(IG5:II6,"B")+COUNTIF(IL5:IN6,"B")+COUNTIF(IQ5:IS6,"B"))*3)+((COUNTIF(IG5:II6,"C")+COUNTIF(IL5:IN6,"C")+COUNTIF(IQ5:IS6,"C"))*2)+((COUNTIF(IG5:II6,"D")+COUNTIF(IL5:IN6,"D")+COUNTIF(IQ5:IS6,"D"))*1))/(COUNTA(IG5:II6)+COUNTA(IL5:IN6)+COUNTA(IQ5:IS6)),"")</f>
        <v/>
      </c>
      <c r="IW4" s="130" t="str">
        <f t="shared" ref="IW4:IW19" si="59">IF(IV4="","",IF(IV4&gt;3.7,"A",IF(IV4&gt;2.8,"B",IF(IV4&gt;1.5,"C",IF(IV4&gt;0,"D",IF(IV4=0,""))))))</f>
        <v/>
      </c>
      <c r="IX4" s="152"/>
      <c r="IY4" s="185"/>
      <c r="IZ4" s="185"/>
      <c r="JA4" s="106" t="str">
        <f>IFERROR((((COUNTIF('Elève (6ème2)'!IX5:IZ6,"A"))*4)+((COUNTIF('Elève (6ème2)'!IX5:IZ6,"B"))*3)+((COUNTIF('Elève (6ème2)'!IX5:IZ6,"C"))*2)+((COUNTIF('Elève (6ème2)'!IX5:IZ6,"D"))*1))/(COUNTA(IX5:IZ6)),"")</f>
        <v/>
      </c>
      <c r="JB4" s="107" t="str">
        <f t="shared" ref="JB4:JB19" si="60">IF(JA4="","",IF(JA4&gt;3.7,"A",IF(JA4&gt;2.8,"B",IF(JA4&gt;1.5,"C",IF(JA4&gt;0,"D",IF(JA4=0,""))))))</f>
        <v/>
      </c>
      <c r="JC4" s="204"/>
      <c r="JD4" s="186"/>
      <c r="JE4" s="205"/>
      <c r="JF4" s="106" t="str">
        <f>IFERROR((((COUNTIF('Elève (6ème2)'!JC5:JE6,"A"))*4)+((COUNTIF('Elève (6ème2)'!JC5:JE6,"B"))*3)+((COUNTIF('Elève (6ème2)'!JC5:JE6,"C"))*2)+((COUNTIF('Elève (6ème2)'!JC5:JE6,"D"))*1))/(COUNTA(JC5:JE6)),"")</f>
        <v/>
      </c>
      <c r="JG4" s="121" t="str">
        <f t="shared" ref="JG4:JG19" si="61">IF(JF4="","",IF(JF4&gt;3.7,"A",IF(JF4&gt;2.8,"B",IF(JF4&gt;1.5,"C",IF(JF4&gt;0,"D",IF(JF4=0,""))))))</f>
        <v/>
      </c>
      <c r="JH4" s="100"/>
      <c r="JI4" s="187"/>
      <c r="JJ4" s="188"/>
      <c r="JK4" s="106" t="str">
        <f>IFERROR((((COUNTIF('Elève (6ème2)'!JH5:JJ6,"A"))*4)+((COUNTIF('Elève (6ème2)'!JH5:JJ6,"B"))*3)+((COUNTIF('Elève (6ème2)'!JH5:JJ6,"C"))*2)+((COUNTIF('Elève (6ème2)'!JH5:JJ6,"D"))*1))/(COUNTA(JH5:JJ6)),"")</f>
        <v/>
      </c>
      <c r="JL4" s="128" t="str">
        <f t="shared" ref="JL4:JL19" si="62">IF(JK4="","",IF(JK4&gt;3.7,"A",IF(JK4&gt;2.8,"B",IF(JK4&gt;1.5,"C",IF(JK4&gt;0,"D",IF(JK4=0,""))))))</f>
        <v/>
      </c>
      <c r="JM4" s="177" t="str">
        <f>IFERROR((((COUNTIF(IX5:IZ6,"A")+COUNTIF(JC5:JE6,"A")+COUNTIF(JH5:JJ6,"A"))*4)+((COUNTIF(IX5:IZ6,"B")+COUNTIF(JC5:JE6,"B")+COUNTIF(JH5:JJ6,"B"))*3)+((COUNTIF(IX5:IZ6,"C")+COUNTIF(JC5:JE6,"C")+COUNTIF(JH5:JJ6,"C"))*2)+((COUNTIF(IX5:IZ6,"D")+COUNTIF(JC5:JE6,"D")+COUNTIF(JH5:JJ6,"D"))*1))/(COUNTA(IX5:IZ6)+COUNTA(JC5:JE6)+COUNTA(JH5:JJ6)),"")</f>
        <v/>
      </c>
      <c r="JN4" s="130" t="str">
        <f t="shared" ref="JN4:JN19" si="63">IF(JM4="","",IF(JM4&gt;3.7,"A",IF(JM4&gt;2.8,"B",IF(JM4&gt;1.5,"C",IF(JM4&gt;0,"D",IF(JM4=0,""))))))</f>
        <v/>
      </c>
      <c r="JO4" s="152"/>
      <c r="JP4" s="185"/>
      <c r="JQ4" s="185"/>
      <c r="JR4" s="106" t="str">
        <f>IFERROR((((COUNTIF('Elève (6ème2)'!JO5:JQ6,"A"))*4)+((COUNTIF('Elève (6ème2)'!JO5:JQ6,"B"))*3)+((COUNTIF('Elève (6ème2)'!JO5:JQ6,"C"))*2)+((COUNTIF('Elève (6ème2)'!JO5:JQ6,"D"))*1))/(COUNTA(JO5:JQ6)),"")</f>
        <v/>
      </c>
      <c r="JS4" s="107" t="str">
        <f t="shared" ref="JS4:JS19" si="64">IF(JR4="","",IF(JR4&gt;3.7,"A",IF(JR4&gt;2.8,"B",IF(JR4&gt;1.5,"C",IF(JR4&gt;0,"D",IF(JR4=0,""))))))</f>
        <v/>
      </c>
      <c r="JT4" s="204"/>
      <c r="JU4" s="186"/>
      <c r="JV4" s="205"/>
      <c r="JW4" s="106" t="str">
        <f>IFERROR((((COUNTIF('Elève (6ème2)'!JT5:JV6,"A"))*4)+((COUNTIF('Elève (6ème2)'!JT5:JV6,"B"))*3)+((COUNTIF('Elève (6ème2)'!JT5:JV6,"C"))*2)+((COUNTIF('Elève (6ème2)'!JT5:JV6,"D"))*1))/(COUNTA(JT5:JV6)),"")</f>
        <v/>
      </c>
      <c r="JX4" s="121" t="str">
        <f t="shared" ref="JX4:JX19" si="65">IF(JW4="","",IF(JW4&gt;3.7,"A",IF(JW4&gt;2.8,"B",IF(JW4&gt;1.5,"C",IF(JW4&gt;0,"D",IF(JW4=0,""))))))</f>
        <v/>
      </c>
      <c r="JY4" s="100"/>
      <c r="JZ4" s="187"/>
      <c r="KA4" s="188"/>
      <c r="KB4" s="106" t="str">
        <f>IFERROR((((COUNTIF('Elève (6ème2)'!JY5:KA6,"A"))*4)+((COUNTIF('Elève (6ème2)'!JY5:KA6,"B"))*3)+((COUNTIF('Elève (6ème2)'!JY5:KA6,"C"))*2)+((COUNTIF('Elève (6ème2)'!JY5:KA6,"D"))*1))/(COUNTA(JY5:KA6)),"")</f>
        <v/>
      </c>
      <c r="KC4" s="128" t="str">
        <f t="shared" ref="KC4:KC19" si="66">IF(KB4="","",IF(KB4&gt;3.7,"A",IF(KB4&gt;2.8,"B",IF(KB4&gt;1.5,"C",IF(KB4&gt;0,"D",IF(KB4=0,""))))))</f>
        <v/>
      </c>
      <c r="KD4" s="177" t="str">
        <f>IFERROR((((COUNTIF(JO5:JQ6,"A")+COUNTIF(JT5:JV6,"A")+COUNTIF(JY5:KA6,"A"))*4)+((COUNTIF(JO5:JQ6,"B")+COUNTIF(JT5:JV6,"B")+COUNTIF(JY5:KA6,"B"))*3)+((COUNTIF(JO5:JQ6,"C")+COUNTIF(JT5:JV6,"C")+COUNTIF(JY5:KA6,"C"))*2)+((COUNTIF(JO5:JQ6,"D")+COUNTIF(JT5:JV6,"D")+COUNTIF(JY5:KA6,"D"))*1))/(COUNTA(JO5:JQ6)+COUNTA(JT5:JV6)+COUNTA(JY5:KA6)),"")</f>
        <v/>
      </c>
      <c r="KE4" s="130" t="str">
        <f t="shared" ref="KE4:KE19" si="67">IF(KD4="","",IF(KD4&gt;3.7,"A",IF(KD4&gt;2.8,"B",IF(KD4&gt;1.5,"C",IF(KD4&gt;0,"D",IF(KD4=0,""))))))</f>
        <v/>
      </c>
      <c r="KF4" s="152"/>
      <c r="KG4" s="185"/>
      <c r="KH4" s="185"/>
      <c r="KI4" s="106" t="str">
        <f>IFERROR((((COUNTIF('Elève (6ème2)'!KF5:KH6,"A"))*4)+((COUNTIF('Elève (6ème2)'!KF5:KH6,"B"))*3)+((COUNTIF('Elève (6ème2)'!KF5:KH6,"C"))*2)+((COUNTIF('Elève (6ème2)'!KF5:KH6,"D"))*1))/(COUNTA(KF5:KH6)),"")</f>
        <v/>
      </c>
      <c r="KJ4" s="107" t="str">
        <f t="shared" ref="KJ4:KJ19" si="68">IF(KI4="","",IF(KI4&gt;3.7,"A",IF(KI4&gt;2.8,"B",IF(KI4&gt;1.5,"C",IF(KI4&gt;0,"D",IF(KI4=0,""))))))</f>
        <v/>
      </c>
      <c r="KK4" s="204"/>
      <c r="KL4" s="186"/>
      <c r="KM4" s="205"/>
      <c r="KN4" s="106" t="str">
        <f>IFERROR((((COUNTIF('Elève (6ème2)'!KK5:KM6,"A"))*4)+((COUNTIF('Elève (6ème2)'!KK5:KM6,"B"))*3)+((COUNTIF('Elève (6ème2)'!KK5:KM6,"C"))*2)+((COUNTIF('Elève (6ème2)'!KK5:KM6,"D"))*1))/(COUNTA(KK5:KM6)),"")</f>
        <v/>
      </c>
      <c r="KO4" s="121" t="str">
        <f t="shared" ref="KO4:KO19" si="69">IF(KN4="","",IF(KN4&gt;3.7,"A",IF(KN4&gt;2.8,"B",IF(KN4&gt;1.5,"C",IF(KN4&gt;0,"D",IF(KN4=0,""))))))</f>
        <v/>
      </c>
      <c r="KP4" s="100"/>
      <c r="KQ4" s="187"/>
      <c r="KR4" s="188"/>
      <c r="KS4" s="106" t="str">
        <f>IFERROR((((COUNTIF('Elève (6ème2)'!KP5:KR6,"A"))*4)+((COUNTIF('Elève (6ème2)'!KP5:KR6,"B"))*3)+((COUNTIF('Elève (6ème2)'!KP5:KR6,"C"))*2)+((COUNTIF('Elève (6ème2)'!KP5:KR6,"D"))*1))/(COUNTA(KP5:KR6)),"")</f>
        <v/>
      </c>
      <c r="KT4" s="128" t="str">
        <f t="shared" ref="KT4:KT19" si="70">IF(KS4="","",IF(KS4&gt;3.7,"A",IF(KS4&gt;2.8,"B",IF(KS4&gt;1.5,"C",IF(KS4&gt;0,"D",IF(KS4=0,""))))))</f>
        <v/>
      </c>
      <c r="KU4" s="177" t="str">
        <f>IFERROR((((COUNTIF(KF5:KH6,"A")+COUNTIF(KK5:KM6,"A")+COUNTIF(KP5:KR6,"A"))*4)+((COUNTIF(KF5:KH6,"B")+COUNTIF(KK5:KM6,"B")+COUNTIF(KP5:KR6,"B"))*3)+((COUNTIF(KF5:KH6,"C")+COUNTIF(KK5:KM6,"C")+COUNTIF(KP5:KR6,"C"))*2)+((COUNTIF(KF5:KH6,"D")+COUNTIF(KK5:KM6,"D")+COUNTIF(KP5:KR6,"D"))*1))/(COUNTA(KF5:KH6)+COUNTA(KK5:KM6)+COUNTA(KP5:KR6)),"")</f>
        <v/>
      </c>
      <c r="KV4" s="130" t="str">
        <f t="shared" ref="KV4:KV19" si="71">IF(KU4="","",IF(KU4&gt;3.7,"A",IF(KU4&gt;2.8,"B",IF(KU4&gt;1.5,"C",IF(KU4&gt;0,"D",IF(KU4=0,""))))))</f>
        <v/>
      </c>
      <c r="KW4" s="152"/>
      <c r="KX4" s="185"/>
      <c r="KY4" s="185"/>
      <c r="KZ4" s="106" t="str">
        <f>IFERROR((((COUNTIF('Elève (6ème2)'!KW5:KY6,"A"))*4)+((COUNTIF('Elève (6ème2)'!KW5:KY6,"B"))*3)+((COUNTIF('Elève (6ème2)'!KW5:KY6,"C"))*2)+((COUNTIF('Elève (6ème2)'!KW5:KY6,"D"))*1))/(COUNTA(KW5:KY6)),"")</f>
        <v/>
      </c>
      <c r="LA4" s="107" t="str">
        <f t="shared" ref="LA4:LA19" si="72">IF(KZ4="","",IF(KZ4&gt;3.7,"A",IF(KZ4&gt;2.8,"B",IF(KZ4&gt;1.5,"C",IF(KZ4&gt;0,"D",IF(KZ4=0,""))))))</f>
        <v/>
      </c>
      <c r="LB4" s="204"/>
      <c r="LC4" s="186"/>
      <c r="LD4" s="205"/>
      <c r="LE4" s="106" t="str">
        <f>IFERROR((((COUNTIF('Elève (6ème2)'!LB5:LD6,"A"))*4)+((COUNTIF('Elève (6ème2)'!LB5:LD6,"B"))*3)+((COUNTIF('Elève (6ème2)'!LB5:LD6,"C"))*2)+((COUNTIF('Elève (6ème2)'!LB5:LD6,"D"))*1))/(COUNTA(LB5:LD6)),"")</f>
        <v/>
      </c>
      <c r="LF4" s="121" t="str">
        <f t="shared" ref="LF4:LF19" si="73">IF(LE4="","",IF(LE4&gt;3.7,"A",IF(LE4&gt;2.8,"B",IF(LE4&gt;1.5,"C",IF(LE4&gt;0,"D",IF(LE4=0,""))))))</f>
        <v/>
      </c>
      <c r="LG4" s="100"/>
      <c r="LH4" s="187"/>
      <c r="LI4" s="188"/>
      <c r="LJ4" s="106" t="str">
        <f>IFERROR((((COUNTIF('Elève (6ème2)'!LG5:LI6,"A"))*4)+((COUNTIF('Elève (6ème2)'!LG5:LI6,"B"))*3)+((COUNTIF('Elève (6ème2)'!LG5:LI6,"C"))*2)+((COUNTIF('Elève (6ème2)'!LG5:LI6,"D"))*1))/(COUNTA(LG5:LI6)),"")</f>
        <v/>
      </c>
      <c r="LK4" s="128" t="str">
        <f t="shared" ref="LK4:LK19" si="74">IF(LJ4="","",IF(LJ4&gt;3.7,"A",IF(LJ4&gt;2.8,"B",IF(LJ4&gt;1.5,"C",IF(LJ4&gt;0,"D",IF(LJ4=0,""))))))</f>
        <v/>
      </c>
      <c r="LL4" s="177" t="str">
        <f>IFERROR((((COUNTIF(KW5:KY6,"A")+COUNTIF(LB5:LD6,"A")+COUNTIF(LG5:LI6,"A"))*4)+((COUNTIF(KW5:KY6,"B")+COUNTIF(LB5:LD6,"B")+COUNTIF(LG5:LI6,"B"))*3)+((COUNTIF(KW5:KY6,"C")+COUNTIF(LB5:LD6,"C")+COUNTIF(LG5:LI6,"C"))*2)+((COUNTIF(KW5:KY6,"D")+COUNTIF(LB5:LD6,"D")+COUNTIF(LG5:LI6,"D"))*1))/(COUNTA(KW5:KY6)+COUNTA(LB5:LD6)+COUNTA(LG5:LI6)),"")</f>
        <v/>
      </c>
      <c r="LM4" s="130" t="str">
        <f t="shared" ref="LM4:LM19" si="75">IF(LL4="","",IF(LL4&gt;3.7,"A",IF(LL4&gt;2.8,"B",IF(LL4&gt;1.5,"C",IF(LL4&gt;0,"D",IF(LL4=0,""))))))</f>
        <v/>
      </c>
      <c r="LN4" s="152"/>
      <c r="LO4" s="185"/>
      <c r="LP4" s="185"/>
      <c r="LQ4" s="106" t="str">
        <f>IFERROR((((COUNTIF('Elève (6ème2)'!LN5:LP6,"A"))*4)+((COUNTIF('Elève (6ème2)'!LN5:LP6,"B"))*3)+((COUNTIF('Elève (6ème2)'!LN5:LP6,"C"))*2)+((COUNTIF('Elève (6ème2)'!LN5:LP6,"D"))*1))/(COUNTA(LN5:LP6)),"")</f>
        <v/>
      </c>
      <c r="LR4" s="107" t="str">
        <f t="shared" ref="LR4:LR19" si="76">IF(LQ4="","",IF(LQ4&gt;3.7,"A",IF(LQ4&gt;2.8,"B",IF(LQ4&gt;1.5,"C",IF(LQ4&gt;0,"D",IF(LQ4=0,""))))))</f>
        <v/>
      </c>
      <c r="LS4" s="204"/>
      <c r="LT4" s="186"/>
      <c r="LU4" s="205"/>
      <c r="LV4" s="106" t="str">
        <f>IFERROR((((COUNTIF('Elève (6ème2)'!LS5:LU6,"A"))*4)+((COUNTIF('Elève (6ème2)'!LS5:LU6,"B"))*3)+((COUNTIF('Elève (6ème2)'!LS5:LU6,"C"))*2)+((COUNTIF('Elève (6ème2)'!LS5:LU6,"D"))*1))/(COUNTA(LS5:LU6)),"")</f>
        <v/>
      </c>
      <c r="LW4" s="121" t="str">
        <f t="shared" ref="LW4:LW19" si="77">IF(LV4="","",IF(LV4&gt;3.7,"A",IF(LV4&gt;2.8,"B",IF(LV4&gt;1.5,"C",IF(LV4&gt;0,"D",IF(LV4=0,""))))))</f>
        <v/>
      </c>
      <c r="LX4" s="100"/>
      <c r="LY4" s="187"/>
      <c r="LZ4" s="188"/>
      <c r="MA4" s="106" t="str">
        <f>IFERROR((((COUNTIF('Elève (6ème2)'!LX5:LZ6,"A"))*4)+((COUNTIF('Elève (6ème2)'!LX5:LZ6,"B"))*3)+((COUNTIF('Elève (6ème2)'!LX5:LZ6,"C"))*2)+((COUNTIF('Elève (6ème2)'!LX5:LZ6,"D"))*1))/(COUNTA(LX5:LZ6)),"")</f>
        <v/>
      </c>
      <c r="MB4" s="128" t="str">
        <f t="shared" ref="MB4:MB19" si="78">IF(MA4="","",IF(MA4&gt;3.7,"A",IF(MA4&gt;2.8,"B",IF(MA4&gt;1.5,"C",IF(MA4&gt;0,"D",IF(MA4=0,""))))))</f>
        <v/>
      </c>
      <c r="MC4" s="177" t="str">
        <f>IFERROR((((COUNTIF(LN5:LP6,"A")+COUNTIF(LS5:LU6,"A")+COUNTIF(LX5:LZ6,"A"))*4)+((COUNTIF(LN5:LP6,"B")+COUNTIF(LS5:LU6,"B")+COUNTIF(LX5:LZ6,"B"))*3)+((COUNTIF(LN5:LP6,"C")+COUNTIF(LS5:LU6,"C")+COUNTIF(LX5:LZ6,"C"))*2)+((COUNTIF(LN5:LP6,"D")+COUNTIF(LS5:LU6,"D")+COUNTIF(LX5:LZ6,"D"))*1))/(COUNTA(LN5:LP6)+COUNTA(LS5:LU6)+COUNTA(LX5:LZ6)),"")</f>
        <v/>
      </c>
      <c r="MD4" s="130" t="str">
        <f t="shared" ref="MD4:MD19" si="79">IF(MC4="","",IF(MC4&gt;3.7,"A",IF(MC4&gt;2.8,"B",IF(MC4&gt;1.5,"C",IF(MC4&gt;0,"D",IF(MC4=0,""))))))</f>
        <v/>
      </c>
      <c r="ME4" s="152"/>
      <c r="MF4" s="185"/>
      <c r="MG4" s="185"/>
      <c r="MH4" s="106" t="str">
        <f>IFERROR((((COUNTIF('Elève (6ème2)'!ME5:MG6,"A"))*4)+((COUNTIF('Elève (6ème2)'!ME5:MG6,"B"))*3)+((COUNTIF('Elève (6ème2)'!ME5:MG6,"C"))*2)+((COUNTIF('Elève (6ème2)'!ME5:MG6,"D"))*1))/(COUNTA(ME5:MG6)),"")</f>
        <v/>
      </c>
      <c r="MI4" s="107" t="str">
        <f t="shared" ref="MI4:MI19" si="80">IF(MH4="","",IF(MH4&gt;3.7,"A",IF(MH4&gt;2.8,"B",IF(MH4&gt;1.5,"C",IF(MH4&gt;0,"D",IF(MH4=0,""))))))</f>
        <v/>
      </c>
      <c r="MJ4" s="204"/>
      <c r="MK4" s="186"/>
      <c r="ML4" s="205"/>
      <c r="MM4" s="106" t="str">
        <f>IFERROR((((COUNTIF('Elève (6ème2)'!MJ5:ML6,"A"))*4)+((COUNTIF('Elève (6ème2)'!MJ5:ML6,"B"))*3)+((COUNTIF('Elève (6ème2)'!MJ5:ML6,"C"))*2)+((COUNTIF('Elève (6ème2)'!MJ5:ML6,"D"))*1))/(COUNTA(MJ5:ML6)),"")</f>
        <v/>
      </c>
      <c r="MN4" s="121" t="str">
        <f t="shared" ref="MN4:MN19" si="81">IF(MM4="","",IF(MM4&gt;3.7,"A",IF(MM4&gt;2.8,"B",IF(MM4&gt;1.5,"C",IF(MM4&gt;0,"D",IF(MM4=0,""))))))</f>
        <v/>
      </c>
      <c r="MO4" s="100"/>
      <c r="MP4" s="187"/>
      <c r="MQ4" s="188"/>
      <c r="MR4" s="106" t="str">
        <f>IFERROR((((COUNTIF('Elève (6ème2)'!MO5:MQ6,"A"))*4)+((COUNTIF('Elève (6ème2)'!MO5:MQ6,"B"))*3)+((COUNTIF('Elève (6ème2)'!MO5:MQ6,"C"))*2)+((COUNTIF('Elève (6ème2)'!MO5:MQ6,"D"))*1))/(COUNTA(MO5:MQ6)),"")</f>
        <v/>
      </c>
      <c r="MS4" s="128" t="str">
        <f t="shared" ref="MS4:MS19" si="82">IF(MR4="","",IF(MR4&gt;3.7,"A",IF(MR4&gt;2.8,"B",IF(MR4&gt;1.5,"C",IF(MR4&gt;0,"D",IF(MR4=0,""))))))</f>
        <v/>
      </c>
      <c r="MT4" s="177" t="str">
        <f>IFERROR((((COUNTIF(ME5:MG6,"A")+COUNTIF(MJ5:ML6,"A")+COUNTIF(MO5:MQ6,"A"))*4)+((COUNTIF(ME5:MG6,"B")+COUNTIF(MJ5:ML6,"B")+COUNTIF(MO5:MQ6,"B"))*3)+((COUNTIF(ME5:MG6,"C")+COUNTIF(MJ5:ML6,"C")+COUNTIF(MO5:MQ6,"C"))*2)+((COUNTIF(ME5:MG6,"D")+COUNTIF(MJ5:ML6,"D")+COUNTIF(MO5:MQ6,"D"))*1))/(COUNTA(ME5:MG6)+COUNTA(MJ5:ML6)+COUNTA(MO5:MQ6)),"")</f>
        <v/>
      </c>
      <c r="MU4" s="130" t="str">
        <f t="shared" ref="MU4:MU19" si="83">IF(MT4="","",IF(MT4&gt;3.7,"A",IF(MT4&gt;2.8,"B",IF(MT4&gt;1.5,"C",IF(MT4&gt;0,"D",IF(MT4=0,""))))))</f>
        <v/>
      </c>
      <c r="MV4" s="152"/>
      <c r="MW4" s="185"/>
      <c r="MX4" s="185"/>
      <c r="MY4" s="106" t="str">
        <f>IFERROR((((COUNTIF('Elève (6ème2)'!MV5:MX6,"A"))*4)+((COUNTIF('Elève (6ème2)'!MV5:MX6,"B"))*3)+((COUNTIF('Elève (6ème2)'!MV5:MX6,"C"))*2)+((COUNTIF('Elève (6ème2)'!MV5:MX6,"D"))*1))/(COUNTA(MV5:MX6)),"")</f>
        <v/>
      </c>
      <c r="MZ4" s="107" t="str">
        <f t="shared" ref="MZ4:MZ19" si="84">IF(MY4="","",IF(MY4&gt;3.7,"A",IF(MY4&gt;2.8,"B",IF(MY4&gt;1.5,"C",IF(MY4&gt;0,"D",IF(MY4=0,""))))))</f>
        <v/>
      </c>
      <c r="NA4" s="204"/>
      <c r="NB4" s="186"/>
      <c r="NC4" s="205"/>
      <c r="ND4" s="106" t="str">
        <f>IFERROR((((COUNTIF('Elève (6ème2)'!NA5:NC6,"A"))*4)+((COUNTIF('Elève (6ème2)'!NA5:NC6,"B"))*3)+((COUNTIF('Elève (6ème2)'!NA5:NC6,"C"))*2)+((COUNTIF('Elève (6ème2)'!NA5:NC6,"D"))*1))/(COUNTA(NA5:NC6)),"")</f>
        <v/>
      </c>
      <c r="NE4" s="121" t="str">
        <f t="shared" ref="NE4:NE19" si="85">IF(ND4="","",IF(ND4&gt;3.7,"A",IF(ND4&gt;2.8,"B",IF(ND4&gt;1.5,"C",IF(ND4&gt;0,"D",IF(ND4=0,""))))))</f>
        <v/>
      </c>
      <c r="NF4" s="100"/>
      <c r="NG4" s="187"/>
      <c r="NH4" s="188"/>
      <c r="NI4" s="106" t="str">
        <f>IFERROR((((COUNTIF('Elève (6ème2)'!NF5:NH6,"A"))*4)+((COUNTIF('Elève (6ème2)'!NF5:NH6,"B"))*3)+((COUNTIF('Elève (6ème2)'!NF5:NH6,"C"))*2)+((COUNTIF('Elève (6ème2)'!NF5:NH6,"D"))*1))/(COUNTA(NF5:NH6)),"")</f>
        <v/>
      </c>
      <c r="NJ4" s="128" t="str">
        <f t="shared" ref="NJ4:NJ19" si="86">IF(NI4="","",IF(NI4&gt;3.7,"A",IF(NI4&gt;2.8,"B",IF(NI4&gt;1.5,"C",IF(NI4&gt;0,"D",IF(NI4=0,""))))))</f>
        <v/>
      </c>
      <c r="NK4" s="177" t="str">
        <f>IFERROR((((COUNTIF(MV5:MX6,"A")+COUNTIF(NA5:NC6,"A")+COUNTIF(NF5:NH6,"A"))*4)+((COUNTIF(MV5:MX6,"B")+COUNTIF(NA5:NC6,"B")+COUNTIF(NF5:NH6,"B"))*3)+((COUNTIF(MV5:MX6,"C")+COUNTIF(NA5:NC6,"C")+COUNTIF(NF5:NH6,"C"))*2)+((COUNTIF(MV5:MX6,"D")+COUNTIF(NA5:NC6,"D")+COUNTIF(NF5:NH6,"D"))*1))/(COUNTA(MV5:MX6)+COUNTA(NA5:NC6)+COUNTA(NF5:NH6)),"")</f>
        <v/>
      </c>
      <c r="NL4" s="130" t="str">
        <f t="shared" ref="NL4:NL19" si="87">IF(NK4="","",IF(NK4&gt;3.7,"A",IF(NK4&gt;2.8,"B",IF(NK4&gt;1.5,"C",IF(NK4&gt;0,"D",IF(NK4=0,""))))))</f>
        <v/>
      </c>
      <c r="NM4" s="152"/>
      <c r="NN4" s="185"/>
      <c r="NO4" s="185"/>
      <c r="NP4" s="106" t="str">
        <f>IFERROR((((COUNTIF('Elève (6ème2)'!NM5:NO6,"A"))*4)+((COUNTIF('Elève (6ème2)'!NM5:NO6,"B"))*3)+((COUNTIF('Elève (6ème2)'!NM5:NO6,"C"))*2)+((COUNTIF('Elève (6ème2)'!NM5:NO6,"D"))*1))/(COUNTA(NM5:NO6)),"")</f>
        <v/>
      </c>
      <c r="NQ4" s="107" t="str">
        <f t="shared" ref="NQ4:NQ19" si="88">IF(NP4="","",IF(NP4&gt;3.7,"A",IF(NP4&gt;2.8,"B",IF(NP4&gt;1.5,"C",IF(NP4&gt;0,"D",IF(NP4=0,""))))))</f>
        <v/>
      </c>
      <c r="NR4" s="204"/>
      <c r="NS4" s="186"/>
      <c r="NT4" s="205"/>
      <c r="NU4" s="106" t="str">
        <f>IFERROR((((COUNTIF('Elève (6ème2)'!NR5:NT6,"A"))*4)+((COUNTIF('Elève (6ème2)'!NR5:NT6,"B"))*3)+((COUNTIF('Elève (6ème2)'!NR5:NT6,"C"))*2)+((COUNTIF('Elève (6ème2)'!NR5:NT6,"D"))*1))/(COUNTA(NR5:NT6)),"")</f>
        <v/>
      </c>
      <c r="NV4" s="121" t="str">
        <f t="shared" ref="NV4:NV19" si="89">IF(NU4="","",IF(NU4&gt;3.7,"A",IF(NU4&gt;2.8,"B",IF(NU4&gt;1.5,"C",IF(NU4&gt;0,"D",IF(NU4=0,""))))))</f>
        <v/>
      </c>
      <c r="NW4" s="100"/>
      <c r="NX4" s="187"/>
      <c r="NY4" s="188"/>
      <c r="NZ4" s="106" t="str">
        <f>IFERROR((((COUNTIF('Elève (6ème2)'!NW5:NY6,"A"))*4)+((COUNTIF('Elève (6ème2)'!NW5:NY6,"B"))*3)+((COUNTIF('Elève (6ème2)'!NW5:NY6,"C"))*2)+((COUNTIF('Elève (6ème2)'!NW5:NY6,"D"))*1))/(COUNTA(NW5:NY6)),"")</f>
        <v/>
      </c>
      <c r="OA4" s="128" t="str">
        <f t="shared" ref="OA4:OA19" si="90">IF(NZ4="","",IF(NZ4&gt;3.7,"A",IF(NZ4&gt;2.8,"B",IF(NZ4&gt;1.5,"C",IF(NZ4&gt;0,"D",IF(NZ4=0,""))))))</f>
        <v/>
      </c>
      <c r="OB4" s="177" t="str">
        <f>IFERROR((((COUNTIF(NM5:NO6,"A")+COUNTIF(NR5:NT6,"A")+COUNTIF(NW5:NY6,"A"))*4)+((COUNTIF(NM5:NO6,"B")+COUNTIF(NR5:NT6,"B")+COUNTIF(NW5:NY6,"B"))*3)+((COUNTIF(NM5:NO6,"C")+COUNTIF(NR5:NT6,"C")+COUNTIF(NW5:NY6,"C"))*2)+((COUNTIF(NM5:NO6,"D")+COUNTIF(NR5:NT6,"D")+COUNTIF(NW5:NY6,"D"))*1))/(COUNTA(NM5:NO6)+COUNTA(NR5:NT6)+COUNTA(NW5:NY6)),"")</f>
        <v/>
      </c>
      <c r="OC4" s="130" t="str">
        <f t="shared" ref="OC4:OC19" si="91">IF(OB4="","",IF(OB4&gt;3.7,"A",IF(OB4&gt;2.8,"B",IF(OB4&gt;1.5,"C",IF(OB4&gt;0,"D",IF(OB4=0,""))))))</f>
        <v/>
      </c>
      <c r="OD4" s="152"/>
      <c r="OE4" s="185"/>
      <c r="OF4" s="185"/>
      <c r="OG4" s="106" t="str">
        <f>IFERROR((((COUNTIF('Elève (6ème2)'!OD5:OF6,"A"))*4)+((COUNTIF('Elève (6ème2)'!OD5:OF6,"B"))*3)+((COUNTIF('Elève (6ème2)'!OD5:OF6,"C"))*2)+((COUNTIF('Elève (6ème2)'!OD5:OF6,"D"))*1))/(COUNTA(OD5:OF6)),"")</f>
        <v/>
      </c>
      <c r="OH4" s="107" t="str">
        <f t="shared" ref="OH4:OH19" si="92">IF(OG4="","",IF(OG4&gt;3.7,"A",IF(OG4&gt;2.8,"B",IF(OG4&gt;1.5,"C",IF(OG4&gt;0,"D",IF(OG4=0,""))))))</f>
        <v/>
      </c>
      <c r="OI4" s="204"/>
      <c r="OJ4" s="186"/>
      <c r="OK4" s="205"/>
      <c r="OL4" s="106" t="str">
        <f>IFERROR((((COUNTIF('Elève (6ème2)'!OI5:OK6,"A"))*4)+((COUNTIF('Elève (6ème2)'!OI5:OK6,"B"))*3)+((COUNTIF('Elève (6ème2)'!OI5:OK6,"C"))*2)+((COUNTIF('Elève (6ème2)'!OI5:OK6,"D"))*1))/(COUNTA(OI5:OK6)),"")</f>
        <v/>
      </c>
      <c r="OM4" s="121" t="str">
        <f t="shared" ref="OM4:OM19" si="93">IF(OL4="","",IF(OL4&gt;3.7,"A",IF(OL4&gt;2.8,"B",IF(OL4&gt;1.5,"C",IF(OL4&gt;0,"D",IF(OL4=0,""))))))</f>
        <v/>
      </c>
      <c r="ON4" s="100"/>
      <c r="OO4" s="187"/>
      <c r="OP4" s="188"/>
      <c r="OQ4" s="106" t="str">
        <f>IFERROR((((COUNTIF('Elève (6ème2)'!ON5:OP6,"A"))*4)+((COUNTIF('Elève (6ème2)'!ON5:OP6,"B"))*3)+((COUNTIF('Elève (6ème2)'!ON5:OP6,"C"))*2)+((COUNTIF('Elève (6ème2)'!ON5:OP6,"D"))*1))/(COUNTA(ON5:OP6)),"")</f>
        <v/>
      </c>
      <c r="OR4" s="128" t="str">
        <f t="shared" ref="OR4:OR19" si="94">IF(OQ4="","",IF(OQ4&gt;3.7,"A",IF(OQ4&gt;2.8,"B",IF(OQ4&gt;1.5,"C",IF(OQ4&gt;0,"D",IF(OQ4=0,""))))))</f>
        <v/>
      </c>
      <c r="OS4" s="177" t="str">
        <f>IFERROR((((COUNTIF(OD5:OF6,"A")+COUNTIF(OI5:OK6,"A")+COUNTIF(ON5:OP6,"A"))*4)+((COUNTIF(OD5:OF6,"B")+COUNTIF(OI5:OK6,"B")+COUNTIF(ON5:OP6,"B"))*3)+((COUNTIF(OD5:OF6,"C")+COUNTIF(OI5:OK6,"C")+COUNTIF(ON5:OP6,"C"))*2)+((COUNTIF(OD5:OF6,"D")+COUNTIF(OI5:OK6,"D")+COUNTIF(ON5:OP6,"D"))*1))/(COUNTA(OD5:OF6)+COUNTA(OI5:OK6)+COUNTA(ON5:OP6)),"")</f>
        <v/>
      </c>
      <c r="OT4" s="130" t="str">
        <f t="shared" ref="OT4:OT19" si="95">IF(OS4="","",IF(OS4&gt;3.7,"A",IF(OS4&gt;2.8,"B",IF(OS4&gt;1.5,"C",IF(OS4&gt;0,"D",IF(OS4=0,""))))))</f>
        <v/>
      </c>
      <c r="OU4" s="152"/>
      <c r="OV4" s="185"/>
      <c r="OW4" s="185"/>
      <c r="OX4" s="106" t="str">
        <f>IFERROR((((COUNTIF('Elève (6ème2)'!OU5:OW6,"A"))*4)+((COUNTIF('Elève (6ème2)'!OU5:OW6,"B"))*3)+((COUNTIF('Elève (6ème2)'!OU5:OW6,"C"))*2)+((COUNTIF('Elève (6ème2)'!OU5:OW6,"D"))*1))/(COUNTA(OU5:OW6)),"")</f>
        <v/>
      </c>
      <c r="OY4" s="107" t="str">
        <f t="shared" ref="OY4:OY19" si="96">IF(OX4="","",IF(OX4&gt;3.7,"A",IF(OX4&gt;2.8,"B",IF(OX4&gt;1.5,"C",IF(OX4&gt;0,"D",IF(OX4=0,""))))))</f>
        <v/>
      </c>
      <c r="OZ4" s="204"/>
      <c r="PA4" s="186"/>
      <c r="PB4" s="205"/>
      <c r="PC4" s="106" t="str">
        <f>IFERROR((((COUNTIF('Elève (6ème2)'!OZ5:PB6,"A"))*4)+((COUNTIF('Elève (6ème2)'!OZ5:PB6,"B"))*3)+((COUNTIF('Elève (6ème2)'!OZ5:PB6,"C"))*2)+((COUNTIF('Elève (6ème2)'!OZ5:PB6,"D"))*1))/(COUNTA(OZ5:PB6)),"")</f>
        <v/>
      </c>
      <c r="PD4" s="121" t="str">
        <f t="shared" ref="PD4:PD19" si="97">IF(PC4="","",IF(PC4&gt;3.7,"A",IF(PC4&gt;2.8,"B",IF(PC4&gt;1.5,"C",IF(PC4&gt;0,"D",IF(PC4=0,""))))))</f>
        <v/>
      </c>
      <c r="PE4" s="100"/>
      <c r="PF4" s="187"/>
      <c r="PG4" s="188"/>
      <c r="PH4" s="106" t="str">
        <f>IFERROR((((COUNTIF('Elève (6ème2)'!PE5:PG6,"A"))*4)+((COUNTIF('Elève (6ème2)'!PE5:PG6,"B"))*3)+((COUNTIF('Elève (6ème2)'!PE5:PG6,"C"))*2)+((COUNTIF('Elève (6ème2)'!PE5:PG6,"D"))*1))/(COUNTA(PE5:PG6)),"")</f>
        <v/>
      </c>
      <c r="PI4" s="128" t="str">
        <f t="shared" ref="PI4:PI19" si="98">IF(PH4="","",IF(PH4&gt;3.7,"A",IF(PH4&gt;2.8,"B",IF(PH4&gt;1.5,"C",IF(PH4&gt;0,"D",IF(PH4=0,""))))))</f>
        <v/>
      </c>
      <c r="PJ4" s="177" t="str">
        <f>IFERROR((((COUNTIF(OU5:OW6,"A")+COUNTIF(OZ5:PB6,"A")+COUNTIF(PE5:PG6,"A"))*4)+((COUNTIF(OU5:OW6,"B")+COUNTIF(OZ5:PB6,"B")+COUNTIF(PE5:PG6,"B"))*3)+((COUNTIF(OU5:OW6,"C")+COUNTIF(OZ5:PB6,"C")+COUNTIF(PE5:PG6,"C"))*2)+((COUNTIF(OU5:OW6,"D")+COUNTIF(OZ5:PB6,"D")+COUNTIF(PE5:PG6,"D"))*1))/(COUNTA(OU5:OW6)+COUNTA(OZ5:PB6)+COUNTA(PE5:PG6)),"")</f>
        <v/>
      </c>
      <c r="PK4" s="130" t="str">
        <f t="shared" ref="PK4:PK19" si="99">IF(PJ4="","",IF(PJ4&gt;3.7,"A",IF(PJ4&gt;2.8,"B",IF(PJ4&gt;1.5,"C",IF(PJ4&gt;0,"D",IF(PJ4=0,""))))))</f>
        <v/>
      </c>
      <c r="PL4" s="152"/>
      <c r="PM4" s="185"/>
      <c r="PN4" s="185"/>
      <c r="PO4" s="106" t="str">
        <f>IFERROR((((COUNTIF('Elève (6ème2)'!PL5:PN6,"A"))*4)+((COUNTIF('Elève (6ème2)'!PL5:PN6,"B"))*3)+((COUNTIF('Elève (6ème2)'!PL5:PN6,"C"))*2)+((COUNTIF('Elève (6ème2)'!PL5:PN6,"D"))*1))/(COUNTA(PL5:PN6)),"")</f>
        <v/>
      </c>
      <c r="PP4" s="107" t="str">
        <f t="shared" ref="PP4:PP19" si="100">IF(PO4="","",IF(PO4&gt;3.7,"A",IF(PO4&gt;2.8,"B",IF(PO4&gt;1.5,"C",IF(PO4&gt;0,"D",IF(PO4=0,""))))))</f>
        <v/>
      </c>
      <c r="PQ4" s="204"/>
      <c r="PR4" s="186"/>
      <c r="PS4" s="205"/>
      <c r="PT4" s="106" t="str">
        <f>IFERROR((((COUNTIF('Elève (6ème2)'!PQ5:PS6,"A"))*4)+((COUNTIF('Elève (6ème2)'!PQ5:PS6,"B"))*3)+((COUNTIF('Elève (6ème2)'!PQ5:PS6,"C"))*2)+((COUNTIF('Elève (6ème2)'!PQ5:PS6,"D"))*1))/(COUNTA(PQ5:PS6)),"")</f>
        <v/>
      </c>
      <c r="PU4" s="121" t="str">
        <f t="shared" ref="PU4:PU19" si="101">IF(PT4="","",IF(PT4&gt;3.7,"A",IF(PT4&gt;2.8,"B",IF(PT4&gt;1.5,"C",IF(PT4&gt;0,"D",IF(PT4=0,""))))))</f>
        <v/>
      </c>
      <c r="PV4" s="100"/>
      <c r="PW4" s="187"/>
      <c r="PX4" s="188"/>
      <c r="PY4" s="106" t="str">
        <f>IFERROR((((COUNTIF('Elève (6ème2)'!PV5:PX6,"A"))*4)+((COUNTIF('Elève (6ème2)'!PV5:PX6,"B"))*3)+((COUNTIF('Elève (6ème2)'!PV5:PX6,"C"))*2)+((COUNTIF('Elève (6ème2)'!PV5:PX6,"D"))*1))/(COUNTA(PV5:PX6)),"")</f>
        <v/>
      </c>
      <c r="PZ4" s="128" t="str">
        <f t="shared" ref="PZ4:PZ19" si="102">IF(PY4="","",IF(PY4&gt;3.7,"A",IF(PY4&gt;2.8,"B",IF(PY4&gt;1.5,"C",IF(PY4&gt;0,"D",IF(PY4=0,""))))))</f>
        <v/>
      </c>
      <c r="QA4" s="177" t="str">
        <f>IFERROR((((COUNTIF(PL5:PN6,"A")+COUNTIF(PQ5:PS6,"A")+COUNTIF(PV5:PX6,"A"))*4)+((COUNTIF(PL5:PN6,"B")+COUNTIF(PQ5:PS6,"B")+COUNTIF(PV5:PX6,"B"))*3)+((COUNTIF(PL5:PN6,"C")+COUNTIF(PQ5:PS6,"C")+COUNTIF(PV5:PX6,"C"))*2)+((COUNTIF(PL5:PN6,"D")+COUNTIF(PQ5:PS6,"D")+COUNTIF(PV5:PX6,"D"))*1))/(COUNTA(PL5:PN6)+COUNTA(PQ5:PS6)+COUNTA(PV5:PX6)),"")</f>
        <v/>
      </c>
      <c r="QB4" s="130" t="str">
        <f t="shared" ref="QB4:QB19" si="103">IF(QA4="","",IF(QA4&gt;3.7,"A",IF(QA4&gt;2.8,"B",IF(QA4&gt;1.5,"C",IF(QA4&gt;0,"D",IF(QA4=0,""))))))</f>
        <v/>
      </c>
      <c r="QC4" s="152"/>
      <c r="QD4" s="185"/>
      <c r="QE4" s="185"/>
      <c r="QF4" s="106" t="str">
        <f>IFERROR((((COUNTIF('Elève (6ème2)'!QC5:QE6,"A"))*4)+((COUNTIF('Elève (6ème2)'!QC5:QE6,"B"))*3)+((COUNTIF('Elève (6ème2)'!QC5:QE6,"C"))*2)+((COUNTIF('Elève (6ème2)'!QC5:QE6,"D"))*1))/(COUNTA(QC5:QE6)),"")</f>
        <v/>
      </c>
      <c r="QG4" s="107" t="str">
        <f t="shared" ref="QG4:QG19" si="104">IF(QF4="","",IF(QF4&gt;3.7,"A",IF(QF4&gt;2.8,"B",IF(QF4&gt;1.5,"C",IF(QF4&gt;0,"D",IF(QF4=0,""))))))</f>
        <v/>
      </c>
      <c r="QH4" s="204"/>
      <c r="QI4" s="186"/>
      <c r="QJ4" s="205"/>
      <c r="QK4" s="106" t="str">
        <f>IFERROR((((COUNTIF('Elève (6ème2)'!QH5:QJ6,"A"))*4)+((COUNTIF('Elève (6ème2)'!QH5:QJ6,"B"))*3)+((COUNTIF('Elève (6ème2)'!QH5:QJ6,"C"))*2)+((COUNTIF('Elève (6ème2)'!QH5:QJ6,"D"))*1))/(COUNTA(QH5:QJ6)),"")</f>
        <v/>
      </c>
      <c r="QL4" s="121" t="str">
        <f t="shared" ref="QL4:QL19" si="105">IF(QK4="","",IF(QK4&gt;3.7,"A",IF(QK4&gt;2.8,"B",IF(QK4&gt;1.5,"C",IF(QK4&gt;0,"D",IF(QK4=0,""))))))</f>
        <v/>
      </c>
      <c r="QM4" s="100"/>
      <c r="QN4" s="187"/>
      <c r="QO4" s="188"/>
      <c r="QP4" s="106" t="str">
        <f>IFERROR((((COUNTIF('Elève (6ème2)'!QM5:QO6,"A"))*4)+((COUNTIF('Elève (6ème2)'!QM5:QO6,"B"))*3)+((COUNTIF('Elève (6ème2)'!QM5:QO6,"C"))*2)+((COUNTIF('Elève (6ème2)'!QM5:QO6,"D"))*1))/(COUNTA(QM5:QO6)),"")</f>
        <v/>
      </c>
      <c r="QQ4" s="128" t="str">
        <f t="shared" ref="QQ4:QQ19" si="106">IF(QP4="","",IF(QP4&gt;3.7,"A",IF(QP4&gt;2.8,"B",IF(QP4&gt;1.5,"C",IF(QP4&gt;0,"D",IF(QP4=0,""))))))</f>
        <v/>
      </c>
      <c r="QR4" s="177" t="str">
        <f>IFERROR((((COUNTIF(QC5:QE6,"A")+COUNTIF(QH5:QJ6,"A")+COUNTIF(QM5:QO6,"A"))*4)+((COUNTIF(QC5:QE6,"B")+COUNTIF(QH5:QJ6,"B")+COUNTIF(QM5:QO6,"B"))*3)+((COUNTIF(QC5:QE6,"C")+COUNTIF(QH5:QJ6,"C")+COUNTIF(QM5:QO6,"C"))*2)+((COUNTIF(QC5:QE6,"D")+COUNTIF(QH5:QJ6,"D")+COUNTIF(QM5:QO6,"D"))*1))/(COUNTA(QC5:QE6)+COUNTA(QH5:QJ6)+COUNTA(QM5:QO6)),"")</f>
        <v/>
      </c>
      <c r="QS4" s="130" t="str">
        <f t="shared" ref="QS4:QS19" si="107">IF(QR4="","",IF(QR4&gt;3.7,"A",IF(QR4&gt;2.8,"B",IF(QR4&gt;1.5,"C",IF(QR4&gt;0,"D",IF(QR4=0,""))))))</f>
        <v/>
      </c>
      <c r="QT4" s="152"/>
      <c r="QU4" s="185"/>
      <c r="QV4" s="185"/>
      <c r="QW4" s="106" t="str">
        <f>IFERROR((((COUNTIF('Elève (6ème2)'!QT5:QV6,"A"))*4)+((COUNTIF('Elève (6ème2)'!QT5:QV6,"B"))*3)+((COUNTIF('Elève (6ème2)'!QT5:QV6,"C"))*2)+((COUNTIF('Elève (6ème2)'!QT5:QV6,"D"))*1))/(COUNTA(QT5:QV6)),"")</f>
        <v/>
      </c>
      <c r="QX4" s="107" t="str">
        <f t="shared" ref="QX4:QX19" si="108">IF(QW4="","",IF(QW4&gt;3.7,"A",IF(QW4&gt;2.8,"B",IF(QW4&gt;1.5,"C",IF(QW4&gt;0,"D",IF(QW4=0,""))))))</f>
        <v/>
      </c>
      <c r="QY4" s="204"/>
      <c r="QZ4" s="186"/>
      <c r="RA4" s="205"/>
      <c r="RB4" s="106" t="str">
        <f>IFERROR((((COUNTIF('Elève (6ème2)'!QY5:RA6,"A"))*4)+((COUNTIF('Elève (6ème2)'!QY5:RA6,"B"))*3)+((COUNTIF('Elève (6ème2)'!QY5:RA6,"C"))*2)+((COUNTIF('Elève (6ème2)'!QY5:RA6,"D"))*1))/(COUNTA(QY5:RA6)),"")</f>
        <v/>
      </c>
      <c r="RC4" s="121" t="str">
        <f t="shared" ref="RC4:RC19" si="109">IF(RB4="","",IF(RB4&gt;3.7,"A",IF(RB4&gt;2.8,"B",IF(RB4&gt;1.5,"C",IF(RB4&gt;0,"D",IF(RB4=0,""))))))</f>
        <v/>
      </c>
      <c r="RD4" s="100"/>
      <c r="RE4" s="187"/>
      <c r="RF4" s="188"/>
      <c r="RG4" s="106" t="str">
        <f>IFERROR((((COUNTIF('Elève (6ème2)'!RD5:RF6,"A"))*4)+((COUNTIF('Elève (6ème2)'!RD5:RF6,"B"))*3)+((COUNTIF('Elève (6ème2)'!RD5:RF6,"C"))*2)+((COUNTIF('Elève (6ème2)'!RD5:RF6,"D"))*1))/(COUNTA(RD5:RF6)),"")</f>
        <v/>
      </c>
      <c r="RH4" s="128" t="str">
        <f t="shared" ref="RH4:RH19" si="110">IF(RG4="","",IF(RG4&gt;3.7,"A",IF(RG4&gt;2.8,"B",IF(RG4&gt;1.5,"C",IF(RG4&gt;0,"D",IF(RG4=0,""))))))</f>
        <v/>
      </c>
      <c r="RI4" s="177" t="str">
        <f>IFERROR((((COUNTIF(QT5:QV6,"A")+COUNTIF(QY5:RA6,"A")+COUNTIF(RD5:RF6,"A"))*4)+((COUNTIF(QT5:QV6,"B")+COUNTIF(QY5:RA6,"B")+COUNTIF(RD5:RF6,"B"))*3)+((COUNTIF(QT5:QV6,"C")+COUNTIF(QY5:RA6,"C")+COUNTIF(RD5:RF6,"C"))*2)+((COUNTIF(QT5:QV6,"D")+COUNTIF(QY5:RA6,"D")+COUNTIF(RD5:RF6,"D"))*1))/(COUNTA(QT5:QV6)+COUNTA(QY5:RA6)+COUNTA(RD5:RF6)),"")</f>
        <v/>
      </c>
      <c r="RJ4" s="130" t="str">
        <f t="shared" ref="RJ4:RJ19" si="111">IF(RI4="","",IF(RI4&gt;3.7,"A",IF(RI4&gt;2.8,"B",IF(RI4&gt;1.5,"C",IF(RI4&gt;0,"D",IF(RI4=0,""))))))</f>
        <v/>
      </c>
      <c r="RK4" s="152"/>
      <c r="RL4" s="185"/>
      <c r="RM4" s="185"/>
      <c r="RN4" s="106" t="str">
        <f>IFERROR((((COUNTIF('Elève (6ème2)'!RK5:RM6,"A"))*4)+((COUNTIF('Elève (6ème2)'!RK5:RM6,"B"))*3)+((COUNTIF('Elève (6ème2)'!RK5:RM6,"C"))*2)+((COUNTIF('Elève (6ème2)'!RK5:RM6,"D"))*1))/(COUNTA(RK5:RM6)),"")</f>
        <v/>
      </c>
      <c r="RO4" s="107" t="str">
        <f t="shared" ref="RO4:RO19" si="112">IF(RN4="","",IF(RN4&gt;3.7,"A",IF(RN4&gt;2.8,"B",IF(RN4&gt;1.5,"C",IF(RN4&gt;0,"D",IF(RN4=0,""))))))</f>
        <v/>
      </c>
      <c r="RP4" s="204"/>
      <c r="RQ4" s="186"/>
      <c r="RR4" s="205"/>
      <c r="RS4" s="106" t="str">
        <f>IFERROR((((COUNTIF('Elève (6ème2)'!RP5:RR6,"A"))*4)+((COUNTIF('Elève (6ème2)'!RP5:RR6,"B"))*3)+((COUNTIF('Elève (6ème2)'!RP5:RR6,"C"))*2)+((COUNTIF('Elève (6ème2)'!RP5:RR6,"D"))*1))/(COUNTA(RP5:RR6)),"")</f>
        <v/>
      </c>
      <c r="RT4" s="121" t="str">
        <f t="shared" ref="RT4:RT19" si="113">IF(RS4="","",IF(RS4&gt;3.7,"A",IF(RS4&gt;2.8,"B",IF(RS4&gt;1.5,"C",IF(RS4&gt;0,"D",IF(RS4=0,""))))))</f>
        <v/>
      </c>
      <c r="RU4" s="100"/>
      <c r="RV4" s="187"/>
      <c r="RW4" s="188"/>
      <c r="RX4" s="106" t="str">
        <f>IFERROR((((COUNTIF('Elève (6ème2)'!RU5:RW6,"A"))*4)+((COUNTIF('Elève (6ème2)'!RU5:RW6,"B"))*3)+((COUNTIF('Elève (6ème2)'!RU5:RW6,"C"))*2)+((COUNTIF('Elève (6ème2)'!RU5:RW6,"D"))*1))/(COUNTA(RU5:RW6)),"")</f>
        <v/>
      </c>
      <c r="RY4" s="128" t="str">
        <f t="shared" ref="RY4:RY19" si="114">IF(RX4="","",IF(RX4&gt;3.7,"A",IF(RX4&gt;2.8,"B",IF(RX4&gt;1.5,"C",IF(RX4&gt;0,"D",IF(RX4=0,""))))))</f>
        <v/>
      </c>
      <c r="RZ4" s="177" t="str">
        <f>IFERROR((((COUNTIF(RK5:RM6,"A")+COUNTIF(RP5:RR6,"A")+COUNTIF(RU5:RW6,"A"))*4)+((COUNTIF(RK5:RM6,"B")+COUNTIF(RP5:RR6,"B")+COUNTIF(RU5:RW6,"B"))*3)+((COUNTIF(RK5:RM6,"C")+COUNTIF(RP5:RR6,"C")+COUNTIF(RU5:RW6,"C"))*2)+((COUNTIF(RK5:RM6,"D")+COUNTIF(RP5:RR6,"D")+COUNTIF(RU5:RW6,"D"))*1))/(COUNTA(RK5:RM6)+COUNTA(RP5:RR6)+COUNTA(RU5:RW6)),"")</f>
        <v/>
      </c>
      <c r="SA4" s="130" t="str">
        <f t="shared" ref="SA4:SA19" si="115">IF(RZ4="","",IF(RZ4&gt;3.7,"A",IF(RZ4&gt;2.8,"B",IF(RZ4&gt;1.5,"C",IF(RZ4&gt;0,"D",IF(RZ4=0,""))))))</f>
        <v/>
      </c>
      <c r="SB4" s="152"/>
      <c r="SC4" s="185"/>
      <c r="SD4" s="185"/>
      <c r="SE4" s="106" t="str">
        <f>IFERROR((((COUNTIF('Elève (6ème2)'!SB5:SD6,"A"))*4)+((COUNTIF('Elève (6ème2)'!SB5:SD6,"B"))*3)+((COUNTIF('Elève (6ème2)'!SB5:SD6,"C"))*2)+((COUNTIF('Elève (6ème2)'!SB5:SD6,"D"))*1))/(COUNTA(SB5:SD6)),"")</f>
        <v/>
      </c>
      <c r="SF4" s="107" t="str">
        <f t="shared" ref="SF4:SF19" si="116">IF(SE4="","",IF(SE4&gt;3.7,"A",IF(SE4&gt;2.8,"B",IF(SE4&gt;1.5,"C",IF(SE4&gt;0,"D",IF(SE4=0,""))))))</f>
        <v/>
      </c>
      <c r="SG4" s="204"/>
      <c r="SH4" s="186"/>
      <c r="SI4" s="205"/>
      <c r="SJ4" s="106" t="str">
        <f>IFERROR((((COUNTIF('Elève (6ème2)'!SG5:SI6,"A"))*4)+((COUNTIF('Elève (6ème2)'!SG5:SI6,"B"))*3)+((COUNTIF('Elève (6ème2)'!SG5:SI6,"C"))*2)+((COUNTIF('Elève (6ème2)'!SG5:SI6,"D"))*1))/(COUNTA(SG5:SI6)),"")</f>
        <v/>
      </c>
      <c r="SK4" s="121" t="str">
        <f t="shared" ref="SK4:SK19" si="117">IF(SJ4="","",IF(SJ4&gt;3.7,"A",IF(SJ4&gt;2.8,"B",IF(SJ4&gt;1.5,"C",IF(SJ4&gt;0,"D",IF(SJ4=0,""))))))</f>
        <v/>
      </c>
      <c r="SL4" s="100"/>
      <c r="SM4" s="187"/>
      <c r="SN4" s="188"/>
      <c r="SO4" s="106" t="str">
        <f>IFERROR((((COUNTIF('Elève (6ème2)'!SL5:SN6,"A"))*4)+((COUNTIF('Elève (6ème2)'!SL5:SN6,"B"))*3)+((COUNTIF('Elève (6ème2)'!SL5:SN6,"C"))*2)+((COUNTIF('Elève (6ème2)'!SL5:SN6,"D"))*1))/(COUNTA(SL5:SN6)),"")</f>
        <v/>
      </c>
      <c r="SP4" s="128" t="str">
        <f t="shared" ref="SP4:SP19" si="118">IF(SO4="","",IF(SO4&gt;3.7,"A",IF(SO4&gt;2.8,"B",IF(SO4&gt;1.5,"C",IF(SO4&gt;0,"D",IF(SO4=0,""))))))</f>
        <v/>
      </c>
      <c r="SQ4" s="177" t="str">
        <f>IFERROR((((COUNTIF(SB5:SD6,"A")+COUNTIF(SG5:SI6,"A")+COUNTIF(SL5:SN6,"A"))*4)+((COUNTIF(SB5:SD6,"B")+COUNTIF(SG5:SI6,"B")+COUNTIF(SL5:SN6,"B"))*3)+((COUNTIF(SB5:SD6,"C")+COUNTIF(SG5:SI6,"C")+COUNTIF(SL5:SN6,"C"))*2)+((COUNTIF(SB5:SD6,"D")+COUNTIF(SG5:SI6,"D")+COUNTIF(SL5:SN6,"D"))*1))/(COUNTA(SB5:SD6)+COUNTA(SG5:SI6)+COUNTA(SL5:SN6)),"")</f>
        <v/>
      </c>
      <c r="SR4" s="130" t="str">
        <f t="shared" ref="SR4:SR19" si="119">IF(SQ4="","",IF(SQ4&gt;3.7,"A",IF(SQ4&gt;2.8,"B",IF(SQ4&gt;1.5,"C",IF(SQ4&gt;0,"D",IF(SQ4=0,""))))))</f>
        <v/>
      </c>
    </row>
    <row r="5" spans="1:512" s="72" customFormat="1" ht="18" customHeight="1" x14ac:dyDescent="0.25">
      <c r="A5" s="240" t="s">
        <v>12</v>
      </c>
      <c r="B5" s="241"/>
      <c r="C5" s="153"/>
      <c r="D5" s="154"/>
      <c r="E5" s="155"/>
      <c r="F5" s="108" t="str">
        <f>IFERROR((((COUNTIF('Elève (6ème2)'!C5:E5,"A"))*4)+((COUNTIF('Elève (6ème2)'!C5:E5,"B"))*3)+((COUNTIF('Elève (6ème2)'!C5:E5,"C"))*2)+((COUNTIF('Elève (6ème2)'!C5:E5,"D"))*1))/(COUNTA(C5:E5)),"")</f>
        <v/>
      </c>
      <c r="G5" s="109" t="str">
        <f t="shared" si="0"/>
        <v/>
      </c>
      <c r="H5" s="78"/>
      <c r="I5" s="79"/>
      <c r="J5" s="80"/>
      <c r="K5" s="108" t="str">
        <f>IFERROR((((COUNTIF('Elève (6ème2)'!H5:J5,"A"))*4)+((COUNTIF('Elève (6ème2)'!H5:J5,"B"))*3)+((COUNTIF('Elève (6ème2)'!H5:J5,"C"))*2)+((COUNTIF('Elève (6ème2)'!H5:J5,"D"))*1))/(COUNTA(H5:J5)),"")</f>
        <v/>
      </c>
      <c r="L5" s="109" t="str">
        <f t="shared" si="1"/>
        <v/>
      </c>
      <c r="M5" s="78"/>
      <c r="N5" s="79"/>
      <c r="O5" s="80"/>
      <c r="P5" s="108" t="str">
        <f>IFERROR((((COUNTIF('Elève (6ème2)'!M5:O5,"A"))*4)+((COUNTIF('Elève (6ème2)'!M5:O5,"B"))*3)+((COUNTIF('Elève (6ème2)'!M5:O5,"C"))*2)+((COUNTIF('Elève (6ème2)'!M5:O5,"D"))*1))/(COUNTA(M5:O5)),"")</f>
        <v/>
      </c>
      <c r="Q5" s="109" t="str">
        <f t="shared" si="2"/>
        <v/>
      </c>
      <c r="R5" s="178" t="str">
        <f>IF(COUNT(F5,K5,P5)=0,"",SUM(F5,K5,P5)/COUNT(F5,K5,P5))</f>
        <v/>
      </c>
      <c r="S5" s="131" t="str">
        <f t="shared" si="3"/>
        <v/>
      </c>
      <c r="T5" s="153"/>
      <c r="U5" s="154"/>
      <c r="V5" s="155"/>
      <c r="W5" s="108" t="str">
        <f>IFERROR((((COUNTIF('Elève (6ème2)'!T5:V5,"A"))*4)+((COUNTIF('Elève (6ème2)'!T5:V5,"B"))*3)+((COUNTIF('Elève (6ème2)'!T5:V5,"C"))*2)+((COUNTIF('Elève (6ème2)'!T5:V5,"D"))*1))/(COUNTA(T5:V5)),"")</f>
        <v/>
      </c>
      <c r="X5" s="109" t="str">
        <f t="shared" si="4"/>
        <v/>
      </c>
      <c r="Y5" s="78"/>
      <c r="Z5" s="79"/>
      <c r="AA5" s="80"/>
      <c r="AB5" s="108" t="str">
        <f>IFERROR((((COUNTIF('Elève (6ème2)'!Y5:AA5,"A"))*4)+((COUNTIF('Elève (6ème2)'!Y5:AA5,"B"))*3)+((COUNTIF('Elève (6ème2)'!Y5:AA5,"C"))*2)+((COUNTIF('Elève (6ème2)'!Y5:AA5,"D"))*1))/(COUNTA(Y5:AA5)),"")</f>
        <v/>
      </c>
      <c r="AC5" s="109" t="str">
        <f t="shared" si="5"/>
        <v/>
      </c>
      <c r="AD5" s="78"/>
      <c r="AE5" s="79"/>
      <c r="AF5" s="80"/>
      <c r="AG5" s="108" t="str">
        <f>IFERROR((((COUNTIF('Elève (6ème2)'!AD5:AF5,"A"))*4)+((COUNTIF('Elève (6ème2)'!AD5:AF5,"B"))*3)+((COUNTIF('Elève (6ème2)'!AD5:AF5,"C"))*2)+((COUNTIF('Elève (6ème2)'!AD5:AF5,"D"))*1))/(COUNTA(AD5:AF5)),"")</f>
        <v/>
      </c>
      <c r="AH5" s="109" t="str">
        <f t="shared" si="6"/>
        <v/>
      </c>
      <c r="AI5" s="178" t="str">
        <f>IF(COUNT(W5,AB5,AG5)=0,"",SUM(W5,AB5,AG5)/COUNT(W5,AB5,AG5))</f>
        <v/>
      </c>
      <c r="AJ5" s="131" t="str">
        <f t="shared" si="7"/>
        <v/>
      </c>
      <c r="AK5" s="153"/>
      <c r="AL5" s="154"/>
      <c r="AM5" s="155"/>
      <c r="AN5" s="108" t="str">
        <f>IFERROR((((COUNTIF('Elève (6ème2)'!AK5:AM5,"A"))*4)+((COUNTIF('Elève (6ème2)'!AK5:AM5,"B"))*3)+((COUNTIF('Elève (6ème2)'!AK5:AM5,"C"))*2)+((COUNTIF('Elève (6ème2)'!AK5:AM5,"D"))*1))/(COUNTA(AK5:AM5)),"")</f>
        <v/>
      </c>
      <c r="AO5" s="109" t="str">
        <f t="shared" si="8"/>
        <v/>
      </c>
      <c r="AP5" s="78"/>
      <c r="AQ5" s="79"/>
      <c r="AR5" s="80"/>
      <c r="AS5" s="108" t="str">
        <f>IFERROR((((COUNTIF('Elève (6ème2)'!AP5:AR5,"A"))*4)+((COUNTIF('Elève (6ème2)'!AP5:AR5,"B"))*3)+((COUNTIF('Elève (6ème2)'!AP5:AR5,"C"))*2)+((COUNTIF('Elève (6ème2)'!AP5:AR5,"D"))*1))/(COUNTA(AP5:AR5)),"")</f>
        <v/>
      </c>
      <c r="AT5" s="109" t="str">
        <f t="shared" si="9"/>
        <v/>
      </c>
      <c r="AU5" s="78"/>
      <c r="AV5" s="79"/>
      <c r="AW5" s="80"/>
      <c r="AX5" s="108" t="str">
        <f>IFERROR((((COUNTIF('Elève (6ème2)'!AU5:AW5,"A"))*4)+((COUNTIF('Elève (6ème2)'!AU5:AW5,"B"))*3)+((COUNTIF('Elève (6ème2)'!AU5:AW5,"C"))*2)+((COUNTIF('Elève (6ème2)'!AU5:AW5,"D"))*1))/(COUNTA(AU5:AW5)),"")</f>
        <v/>
      </c>
      <c r="AY5" s="109" t="str">
        <f t="shared" si="10"/>
        <v/>
      </c>
      <c r="AZ5" s="178" t="str">
        <f>IF(COUNT(AN5,AS5,AX5)=0,"",SUM(AN5,AS5,AX5)/COUNT(AN5,AS5,AX5))</f>
        <v/>
      </c>
      <c r="BA5" s="131" t="str">
        <f t="shared" si="11"/>
        <v/>
      </c>
      <c r="BB5" s="153"/>
      <c r="BC5" s="154"/>
      <c r="BD5" s="155"/>
      <c r="BE5" s="108" t="str">
        <f>IFERROR((((COUNTIF('Elève (6ème2)'!BB5:BD5,"A"))*4)+((COUNTIF('Elève (6ème2)'!BB5:BD5,"B"))*3)+((COUNTIF('Elève (6ème2)'!BB5:BD5,"C"))*2)+((COUNTIF('Elève (6ème2)'!BB5:BD5,"D"))*1))/(COUNTA(BB5:BD5)),"")</f>
        <v/>
      </c>
      <c r="BF5" s="109" t="str">
        <f t="shared" si="12"/>
        <v/>
      </c>
      <c r="BG5" s="78"/>
      <c r="BH5" s="79"/>
      <c r="BI5" s="80"/>
      <c r="BJ5" s="108" t="str">
        <f>IFERROR((((COUNTIF('Elève (6ème2)'!BG5:BI5,"A"))*4)+((COUNTIF('Elève (6ème2)'!BG5:BI5,"B"))*3)+((COUNTIF('Elève (6ème2)'!BG5:BI5,"C"))*2)+((COUNTIF('Elève (6ème2)'!BG5:BI5,"D"))*1))/(COUNTA(BG5:BI5)),"")</f>
        <v/>
      </c>
      <c r="BK5" s="109" t="str">
        <f t="shared" si="13"/>
        <v/>
      </c>
      <c r="BL5" s="78"/>
      <c r="BM5" s="79"/>
      <c r="BN5" s="80"/>
      <c r="BO5" s="108" t="str">
        <f>IFERROR((((COUNTIF('Elève (6ème2)'!BL5:BN5,"A"))*4)+((COUNTIF('Elève (6ème2)'!BL5:BN5,"B"))*3)+((COUNTIF('Elève (6ème2)'!BL5:BN5,"C"))*2)+((COUNTIF('Elève (6ème2)'!BL5:BN5,"D"))*1))/(COUNTA(BL5:BN5)),"")</f>
        <v/>
      </c>
      <c r="BP5" s="109" t="str">
        <f t="shared" si="14"/>
        <v/>
      </c>
      <c r="BQ5" s="178" t="str">
        <f>IF(COUNT(BE5,BJ5,BO5)=0,"",SUM(BE5,BJ5,BO5)/COUNT(BE5,BJ5,BO5))</f>
        <v/>
      </c>
      <c r="BR5" s="131" t="str">
        <f t="shared" si="15"/>
        <v/>
      </c>
      <c r="BS5" s="153"/>
      <c r="BT5" s="154"/>
      <c r="BU5" s="155"/>
      <c r="BV5" s="108" t="str">
        <f>IFERROR((((COUNTIF('Elève (6ème2)'!BS5:BU5,"A"))*4)+((COUNTIF('Elève (6ème2)'!BS5:BU5,"B"))*3)+((COUNTIF('Elève (6ème2)'!BS5:BU5,"C"))*2)+((COUNTIF('Elève (6ème2)'!BS5:BU5,"D"))*1))/(COUNTA(BS5:BU5)),"")</f>
        <v/>
      </c>
      <c r="BW5" s="109" t="str">
        <f t="shared" si="16"/>
        <v/>
      </c>
      <c r="BX5" s="78"/>
      <c r="BY5" s="79"/>
      <c r="BZ5" s="80"/>
      <c r="CA5" s="108" t="str">
        <f>IFERROR((((COUNTIF('Elève (6ème2)'!BX5:BZ5,"A"))*4)+((COUNTIF('Elève (6ème2)'!BX5:BZ5,"B"))*3)+((COUNTIF('Elève (6ème2)'!BX5:BZ5,"C"))*2)+((COUNTIF('Elève (6ème2)'!BX5:BZ5,"D"))*1))/(COUNTA(BX5:BZ5)),"")</f>
        <v/>
      </c>
      <c r="CB5" s="109" t="str">
        <f t="shared" si="17"/>
        <v/>
      </c>
      <c r="CC5" s="78"/>
      <c r="CD5" s="79"/>
      <c r="CE5" s="80"/>
      <c r="CF5" s="108" t="str">
        <f>IFERROR((((COUNTIF('Elève (6ème2)'!CC5:CE5,"A"))*4)+((COUNTIF('Elève (6ème2)'!CC5:CE5,"B"))*3)+((COUNTIF('Elève (6ème2)'!CC5:CE5,"C"))*2)+((COUNTIF('Elève (6ème2)'!CC5:CE5,"D"))*1))/(COUNTA(CC5:CE5)),"")</f>
        <v/>
      </c>
      <c r="CG5" s="109" t="str">
        <f t="shared" si="18"/>
        <v/>
      </c>
      <c r="CH5" s="178" t="str">
        <f>IF(COUNT(BV5,CA5,CF5)=0,"",SUM(BV5,CA5,CF5)/COUNT(BV5,CA5,CF5))</f>
        <v/>
      </c>
      <c r="CI5" s="131" t="str">
        <f t="shared" si="19"/>
        <v/>
      </c>
      <c r="CJ5" s="153"/>
      <c r="CK5" s="154"/>
      <c r="CL5" s="155"/>
      <c r="CM5" s="108" t="str">
        <f>IFERROR((((COUNTIF('Elève (6ème2)'!CJ5:CL5,"A"))*4)+((COUNTIF('Elève (6ème2)'!CJ5:CL5,"B"))*3)+((COUNTIF('Elève (6ème2)'!CJ5:CL5,"C"))*2)+((COUNTIF('Elève (6ème2)'!CJ5:CL5,"D"))*1))/(COUNTA(CJ5:CL5)),"")</f>
        <v/>
      </c>
      <c r="CN5" s="109" t="str">
        <f t="shared" si="20"/>
        <v/>
      </c>
      <c r="CO5" s="78"/>
      <c r="CP5" s="79"/>
      <c r="CQ5" s="80"/>
      <c r="CR5" s="108" t="str">
        <f>IFERROR((((COUNTIF('Elève (6ème2)'!CO5:CQ5,"A"))*4)+((COUNTIF('Elève (6ème2)'!CO5:CQ5,"B"))*3)+((COUNTIF('Elève (6ème2)'!CO5:CQ5,"C"))*2)+((COUNTIF('Elève (6ème2)'!CO5:CQ5,"D"))*1))/(COUNTA(CO5:CQ5)),"")</f>
        <v/>
      </c>
      <c r="CS5" s="109" t="str">
        <f t="shared" si="21"/>
        <v/>
      </c>
      <c r="CT5" s="78"/>
      <c r="CU5" s="79"/>
      <c r="CV5" s="80"/>
      <c r="CW5" s="108" t="str">
        <f>IFERROR((((COUNTIF('Elève (6ème2)'!CT5:CV5,"A"))*4)+((COUNTIF('Elève (6ème2)'!CT5:CV5,"B"))*3)+((COUNTIF('Elève (6ème2)'!CT5:CV5,"C"))*2)+((COUNTIF('Elève (6ème2)'!CT5:CV5,"D"))*1))/(COUNTA(CT5:CV5)),"")</f>
        <v/>
      </c>
      <c r="CX5" s="109" t="str">
        <f t="shared" si="22"/>
        <v/>
      </c>
      <c r="CY5" s="178" t="str">
        <f>IF(COUNT(CM5,CR5,CW5)=0,"",SUM(CM5,CR5,CW5)/COUNT(CM5,CR5,CW5))</f>
        <v/>
      </c>
      <c r="CZ5" s="131" t="str">
        <f t="shared" si="23"/>
        <v/>
      </c>
      <c r="DA5" s="153"/>
      <c r="DB5" s="154"/>
      <c r="DC5" s="155"/>
      <c r="DD5" s="108" t="str">
        <f>IFERROR((((COUNTIF('Elève (6ème2)'!DA5:DC5,"A"))*4)+((COUNTIF('Elève (6ème2)'!DA5:DC5,"B"))*3)+((COUNTIF('Elève (6ème2)'!DA5:DC5,"C"))*2)+((COUNTIF('Elève (6ème2)'!DA5:DC5,"D"))*1))/(COUNTA(DA5:DC5)),"")</f>
        <v/>
      </c>
      <c r="DE5" s="109" t="str">
        <f t="shared" si="24"/>
        <v/>
      </c>
      <c r="DF5" s="78"/>
      <c r="DG5" s="79"/>
      <c r="DH5" s="80"/>
      <c r="DI5" s="108" t="str">
        <f>IFERROR((((COUNTIF('Elève (6ème2)'!DF5:DH5,"A"))*4)+((COUNTIF('Elève (6ème2)'!DF5:DH5,"B"))*3)+((COUNTIF('Elève (6ème2)'!DF5:DH5,"C"))*2)+((COUNTIF('Elève (6ème2)'!DF5:DH5,"D"))*1))/(COUNTA(DF5:DH5)),"")</f>
        <v/>
      </c>
      <c r="DJ5" s="109" t="str">
        <f t="shared" si="25"/>
        <v/>
      </c>
      <c r="DK5" s="78"/>
      <c r="DL5" s="79"/>
      <c r="DM5" s="80"/>
      <c r="DN5" s="108" t="str">
        <f>IFERROR((((COUNTIF('Elève (6ème2)'!DK5:DM5,"A"))*4)+((COUNTIF('Elève (6ème2)'!DK5:DM5,"B"))*3)+((COUNTIF('Elève (6ème2)'!DK5:DM5,"C"))*2)+((COUNTIF('Elève (6ème2)'!DK5:DM5,"D"))*1))/(COUNTA(DK5:DM5)),"")</f>
        <v/>
      </c>
      <c r="DO5" s="109" t="str">
        <f t="shared" si="26"/>
        <v/>
      </c>
      <c r="DP5" s="178" t="str">
        <f>IF(COUNT(DD5,DI5,DN5)=0,"",SUM(DD5,DI5,DN5)/COUNT(DD5,DI5,DN5))</f>
        <v/>
      </c>
      <c r="DQ5" s="131" t="str">
        <f t="shared" si="27"/>
        <v/>
      </c>
      <c r="DR5" s="153"/>
      <c r="DS5" s="154"/>
      <c r="DT5" s="155"/>
      <c r="DU5" s="108" t="str">
        <f>IFERROR((((COUNTIF('Elève (6ème2)'!DR5:DT5,"A"))*4)+((COUNTIF('Elève (6ème2)'!DR5:DT5,"B"))*3)+((COUNTIF('Elève (6ème2)'!DR5:DT5,"C"))*2)+((COUNTIF('Elève (6ème2)'!DR5:DT5,"D"))*1))/(COUNTA(DR5:DT5)),"")</f>
        <v/>
      </c>
      <c r="DV5" s="109" t="str">
        <f t="shared" si="28"/>
        <v/>
      </c>
      <c r="DW5" s="78"/>
      <c r="DX5" s="79"/>
      <c r="DY5" s="80"/>
      <c r="DZ5" s="108" t="str">
        <f>IFERROR((((COUNTIF('Elève (6ème2)'!DW5:DY5,"A"))*4)+((COUNTIF('Elève (6ème2)'!DW5:DY5,"B"))*3)+((COUNTIF('Elève (6ème2)'!DW5:DY5,"C"))*2)+((COUNTIF('Elève (6ème2)'!DW5:DY5,"D"))*1))/(COUNTA(DW5:DY5)),"")</f>
        <v/>
      </c>
      <c r="EA5" s="109" t="str">
        <f t="shared" si="29"/>
        <v/>
      </c>
      <c r="EB5" s="78"/>
      <c r="EC5" s="79"/>
      <c r="ED5" s="80"/>
      <c r="EE5" s="108" t="str">
        <f>IFERROR((((COUNTIF('Elève (6ème2)'!EB5:ED5,"A"))*4)+((COUNTIF('Elève (6ème2)'!EB5:ED5,"B"))*3)+((COUNTIF('Elève (6ème2)'!EB5:ED5,"C"))*2)+((COUNTIF('Elève (6ème2)'!EB5:ED5,"D"))*1))/(COUNTA(EB5:ED5)),"")</f>
        <v/>
      </c>
      <c r="EF5" s="109" t="str">
        <f t="shared" si="30"/>
        <v/>
      </c>
      <c r="EG5" s="178" t="str">
        <f>IF(COUNT(DU5,DZ5,EE5)=0,"",SUM(DU5,DZ5,EE5)/COUNT(DU5,DZ5,EE5))</f>
        <v/>
      </c>
      <c r="EH5" s="131" t="str">
        <f t="shared" si="31"/>
        <v/>
      </c>
      <c r="EI5" s="153"/>
      <c r="EJ5" s="154"/>
      <c r="EK5" s="155"/>
      <c r="EL5" s="108" t="str">
        <f>IFERROR((((COUNTIF('Elève (6ème2)'!EI5:EK5,"A"))*4)+((COUNTIF('Elève (6ème2)'!EI5:EK5,"B"))*3)+((COUNTIF('Elève (6ème2)'!EI5:EK5,"C"))*2)+((COUNTIF('Elève (6ème2)'!EI5:EK5,"D"))*1))/(COUNTA(EI5:EK5)),"")</f>
        <v/>
      </c>
      <c r="EM5" s="109" t="str">
        <f t="shared" si="32"/>
        <v/>
      </c>
      <c r="EN5" s="78"/>
      <c r="EO5" s="79"/>
      <c r="EP5" s="80"/>
      <c r="EQ5" s="108" t="str">
        <f>IFERROR((((COUNTIF('Elève (6ème2)'!EN5:EP5,"A"))*4)+((COUNTIF('Elève (6ème2)'!EN5:EP5,"B"))*3)+((COUNTIF('Elève (6ème2)'!EN5:EP5,"C"))*2)+((COUNTIF('Elève (6ème2)'!EN5:EP5,"D"))*1))/(COUNTA(EN5:EP5)),"")</f>
        <v/>
      </c>
      <c r="ER5" s="109" t="str">
        <f t="shared" si="33"/>
        <v/>
      </c>
      <c r="ES5" s="78"/>
      <c r="ET5" s="79"/>
      <c r="EU5" s="80"/>
      <c r="EV5" s="108" t="str">
        <f>IFERROR((((COUNTIF('Elève (6ème2)'!ES5:EU5,"A"))*4)+((COUNTIF('Elève (6ème2)'!ES5:EU5,"B"))*3)+((COUNTIF('Elève (6ème2)'!ES5:EU5,"C"))*2)+((COUNTIF('Elève (6ème2)'!ES5:EU5,"D"))*1))/(COUNTA(ES5:EU5)),"")</f>
        <v/>
      </c>
      <c r="EW5" s="109" t="str">
        <f t="shared" si="34"/>
        <v/>
      </c>
      <c r="EX5" s="178" t="str">
        <f>IF(COUNT(EL5,EQ5,EV5)=0,"",SUM(EL5,EQ5,EV5)/COUNT(EL5,EQ5,EV5))</f>
        <v/>
      </c>
      <c r="EY5" s="131" t="str">
        <f t="shared" si="35"/>
        <v/>
      </c>
      <c r="EZ5" s="153"/>
      <c r="FA5" s="154"/>
      <c r="FB5" s="155"/>
      <c r="FC5" s="108" t="str">
        <f>IFERROR((((COUNTIF('Elève (6ème2)'!EZ5:FB5,"A"))*4)+((COUNTIF('Elève (6ème2)'!EZ5:FB5,"B"))*3)+((COUNTIF('Elève (6ème2)'!EZ5:FB5,"C"))*2)+((COUNTIF('Elève (6ème2)'!EZ5:FB5,"D"))*1))/(COUNTA(EZ5:FB5)),"")</f>
        <v/>
      </c>
      <c r="FD5" s="109" t="str">
        <f t="shared" si="36"/>
        <v/>
      </c>
      <c r="FE5" s="78"/>
      <c r="FF5" s="79"/>
      <c r="FG5" s="80"/>
      <c r="FH5" s="108" t="str">
        <f>IFERROR((((COUNTIF('Elève (6ème2)'!FE5:FG5,"A"))*4)+((COUNTIF('Elève (6ème2)'!FE5:FG5,"B"))*3)+((COUNTIF('Elève (6ème2)'!FE5:FG5,"C"))*2)+((COUNTIF('Elève (6ème2)'!FE5:FG5,"D"))*1))/(COUNTA(FE5:FG5)),"")</f>
        <v/>
      </c>
      <c r="FI5" s="109" t="str">
        <f t="shared" si="37"/>
        <v/>
      </c>
      <c r="FJ5" s="78"/>
      <c r="FK5" s="79"/>
      <c r="FL5" s="80"/>
      <c r="FM5" s="108" t="str">
        <f>IFERROR((((COUNTIF('Elève (6ème2)'!FJ5:FL5,"A"))*4)+((COUNTIF('Elève (6ème2)'!FJ5:FL5,"B"))*3)+((COUNTIF('Elève (6ème2)'!FJ5:FL5,"C"))*2)+((COUNTIF('Elève (6ème2)'!FJ5:FL5,"D"))*1))/(COUNTA(FJ5:FL5)),"")</f>
        <v/>
      </c>
      <c r="FN5" s="109" t="str">
        <f t="shared" si="38"/>
        <v/>
      </c>
      <c r="FO5" s="178" t="str">
        <f>IF(COUNT(FC5,FH5,FM5)=0,"",SUM(FC5,FH5,FM5)/COUNT(FC5,FH5,FM5))</f>
        <v/>
      </c>
      <c r="FP5" s="131" t="str">
        <f t="shared" si="39"/>
        <v/>
      </c>
      <c r="FQ5" s="153"/>
      <c r="FR5" s="154"/>
      <c r="FS5" s="155"/>
      <c r="FT5" s="108" t="str">
        <f>IFERROR((((COUNTIF('Elève (6ème2)'!FQ5:FS5,"A"))*4)+((COUNTIF('Elève (6ème2)'!FQ5:FS5,"B"))*3)+((COUNTIF('Elève (6ème2)'!FQ5:FS5,"C"))*2)+((COUNTIF('Elève (6ème2)'!FQ5:FS5,"D"))*1))/(COUNTA(FQ5:FS5)),"")</f>
        <v/>
      </c>
      <c r="FU5" s="109" t="str">
        <f t="shared" si="40"/>
        <v/>
      </c>
      <c r="FV5" s="78"/>
      <c r="FW5" s="79"/>
      <c r="FX5" s="80"/>
      <c r="FY5" s="108" t="str">
        <f>IFERROR((((COUNTIF('Elève (6ème2)'!FV5:FX5,"A"))*4)+((COUNTIF('Elève (6ème2)'!FV5:FX5,"B"))*3)+((COUNTIF('Elève (6ème2)'!FV5:FX5,"C"))*2)+((COUNTIF('Elève (6ème2)'!FV5:FX5,"D"))*1))/(COUNTA(FV5:FX5)),"")</f>
        <v/>
      </c>
      <c r="FZ5" s="109" t="str">
        <f t="shared" si="41"/>
        <v/>
      </c>
      <c r="GA5" s="78"/>
      <c r="GB5" s="79"/>
      <c r="GC5" s="80"/>
      <c r="GD5" s="108" t="str">
        <f>IFERROR((((COUNTIF('Elève (6ème2)'!GA5:GC5,"A"))*4)+((COUNTIF('Elève (6ème2)'!GA5:GC5,"B"))*3)+((COUNTIF('Elève (6ème2)'!GA5:GC5,"C"))*2)+((COUNTIF('Elève (6ème2)'!GA5:GC5,"D"))*1))/(COUNTA(GA5:GC5)),"")</f>
        <v/>
      </c>
      <c r="GE5" s="109" t="str">
        <f t="shared" si="42"/>
        <v/>
      </c>
      <c r="GF5" s="178" t="str">
        <f>IF(COUNT(FT5,FY5,GD5)=0,"",SUM(FT5,FY5,GD5)/COUNT(FT5,FY5,GD5))</f>
        <v/>
      </c>
      <c r="GG5" s="131" t="str">
        <f t="shared" si="43"/>
        <v/>
      </c>
      <c r="GH5" s="153"/>
      <c r="GI5" s="154"/>
      <c r="GJ5" s="155"/>
      <c r="GK5" s="108" t="str">
        <f>IFERROR((((COUNTIF('Elève (6ème2)'!GH5:GJ5,"A"))*4)+((COUNTIF('Elève (6ème2)'!GH5:GJ5,"B"))*3)+((COUNTIF('Elève (6ème2)'!GH5:GJ5,"C"))*2)+((COUNTIF('Elève (6ème2)'!GH5:GJ5,"D"))*1))/(COUNTA(GH5:GJ5)),"")</f>
        <v/>
      </c>
      <c r="GL5" s="109" t="str">
        <f t="shared" si="44"/>
        <v/>
      </c>
      <c r="GM5" s="78"/>
      <c r="GN5" s="79"/>
      <c r="GO5" s="80"/>
      <c r="GP5" s="108" t="str">
        <f>IFERROR((((COUNTIF('Elève (6ème2)'!GM5:GO5,"A"))*4)+((COUNTIF('Elève (6ème2)'!GM5:GO5,"B"))*3)+((COUNTIF('Elève (6ème2)'!GM5:GO5,"C"))*2)+((COUNTIF('Elève (6ème2)'!GM5:GO5,"D"))*1))/(COUNTA(GM5:GO5)),"")</f>
        <v/>
      </c>
      <c r="GQ5" s="109" t="str">
        <f t="shared" si="45"/>
        <v/>
      </c>
      <c r="GR5" s="78"/>
      <c r="GS5" s="79"/>
      <c r="GT5" s="80"/>
      <c r="GU5" s="108" t="str">
        <f>IFERROR((((COUNTIF('Elève (6ème2)'!GR5:GT5,"A"))*4)+((COUNTIF('Elève (6ème2)'!GR5:GT5,"B"))*3)+((COUNTIF('Elève (6ème2)'!GR5:GT5,"C"))*2)+((COUNTIF('Elève (6ème2)'!GR5:GT5,"D"))*1))/(COUNTA(GR5:GT5)),"")</f>
        <v/>
      </c>
      <c r="GV5" s="109" t="str">
        <f t="shared" si="46"/>
        <v/>
      </c>
      <c r="GW5" s="178" t="str">
        <f>IF(COUNT(GK5,GP5,GU5)=0,"",SUM(GK5,GP5,GU5)/COUNT(GK5,GP5,GU5))</f>
        <v/>
      </c>
      <c r="GX5" s="131" t="str">
        <f t="shared" si="47"/>
        <v/>
      </c>
      <c r="GY5" s="153"/>
      <c r="GZ5" s="154"/>
      <c r="HA5" s="155"/>
      <c r="HB5" s="108" t="str">
        <f>IFERROR((((COUNTIF('Elève (6ème2)'!GY5:HA5,"A"))*4)+((COUNTIF('Elève (6ème2)'!GY5:HA5,"B"))*3)+((COUNTIF('Elève (6ème2)'!GY5:HA5,"C"))*2)+((COUNTIF('Elève (6ème2)'!GY5:HA5,"D"))*1))/(COUNTA(GY5:HA5)),"")</f>
        <v/>
      </c>
      <c r="HC5" s="109" t="str">
        <f t="shared" si="48"/>
        <v/>
      </c>
      <c r="HD5" s="78"/>
      <c r="HE5" s="79"/>
      <c r="HF5" s="80"/>
      <c r="HG5" s="108" t="str">
        <f>IFERROR((((COUNTIF('Elève (6ème2)'!HD5:HF5,"A"))*4)+((COUNTIF('Elève (6ème2)'!HD5:HF5,"B"))*3)+((COUNTIF('Elève (6ème2)'!HD5:HF5,"C"))*2)+((COUNTIF('Elève (6ème2)'!HD5:HF5,"D"))*1))/(COUNTA(HD5:HF5)),"")</f>
        <v/>
      </c>
      <c r="HH5" s="109" t="str">
        <f t="shared" si="49"/>
        <v/>
      </c>
      <c r="HI5" s="78"/>
      <c r="HJ5" s="79"/>
      <c r="HK5" s="80"/>
      <c r="HL5" s="108" t="str">
        <f>IFERROR((((COUNTIF('Elève (6ème2)'!HI5:HK5,"A"))*4)+((COUNTIF('Elève (6ème2)'!HI5:HK5,"B"))*3)+((COUNTIF('Elève (6ème2)'!HI5:HK5,"C"))*2)+((COUNTIF('Elève (6ème2)'!HI5:HK5,"D"))*1))/(COUNTA(HI5:HK5)),"")</f>
        <v/>
      </c>
      <c r="HM5" s="109" t="str">
        <f t="shared" si="50"/>
        <v/>
      </c>
      <c r="HN5" s="178" t="str">
        <f>IF(COUNT(HB5,HG5,HL5)=0,"",SUM(HB5,HG5,HL5)/COUNT(HB5,HG5,HL5))</f>
        <v/>
      </c>
      <c r="HO5" s="131" t="str">
        <f t="shared" si="51"/>
        <v/>
      </c>
      <c r="HP5" s="153"/>
      <c r="HQ5" s="154"/>
      <c r="HR5" s="155"/>
      <c r="HS5" s="108" t="str">
        <f>IFERROR((((COUNTIF('Elève (6ème2)'!HP5:HR5,"A"))*4)+((COUNTIF('Elève (6ème2)'!HP5:HR5,"B"))*3)+((COUNTIF('Elève (6ème2)'!HP5:HR5,"C"))*2)+((COUNTIF('Elève (6ème2)'!HP5:HR5,"D"))*1))/(COUNTA(HP5:HR5)),"")</f>
        <v/>
      </c>
      <c r="HT5" s="109" t="str">
        <f t="shared" si="52"/>
        <v/>
      </c>
      <c r="HU5" s="78"/>
      <c r="HV5" s="79"/>
      <c r="HW5" s="80"/>
      <c r="HX5" s="108" t="str">
        <f>IFERROR((((COUNTIF('Elève (6ème2)'!HU5:HW5,"A"))*4)+((COUNTIF('Elève (6ème2)'!HU5:HW5,"B"))*3)+((COUNTIF('Elève (6ème2)'!HU5:HW5,"C"))*2)+((COUNTIF('Elève (6ème2)'!HU5:HW5,"D"))*1))/(COUNTA(HU5:HW5)),"")</f>
        <v/>
      </c>
      <c r="HY5" s="109" t="str">
        <f t="shared" si="53"/>
        <v/>
      </c>
      <c r="HZ5" s="78"/>
      <c r="IA5" s="79"/>
      <c r="IB5" s="80"/>
      <c r="IC5" s="108" t="str">
        <f>IFERROR((((COUNTIF('Elève (6ème2)'!HZ5:IB5,"A"))*4)+((COUNTIF('Elève (6ème2)'!HZ5:IB5,"B"))*3)+((COUNTIF('Elève (6ème2)'!HZ5:IB5,"C"))*2)+((COUNTIF('Elève (6ème2)'!HZ5:IB5,"D"))*1))/(COUNTA(HZ5:IB5)),"")</f>
        <v/>
      </c>
      <c r="ID5" s="109" t="str">
        <f t="shared" si="54"/>
        <v/>
      </c>
      <c r="IE5" s="178" t="str">
        <f>IF(COUNT(HS5,HX5,IC5)=0,"",SUM(HS5,HX5,IC5)/COUNT(HS5,HX5,IC5))</f>
        <v/>
      </c>
      <c r="IF5" s="131" t="str">
        <f t="shared" si="55"/>
        <v/>
      </c>
      <c r="IG5" s="153"/>
      <c r="IH5" s="154"/>
      <c r="II5" s="155"/>
      <c r="IJ5" s="108" t="str">
        <f>IFERROR((((COUNTIF('Elève (6ème2)'!IG5:II5,"A"))*4)+((COUNTIF('Elève (6ème2)'!IG5:II5,"B"))*3)+((COUNTIF('Elève (6ème2)'!IG5:II5,"C"))*2)+((COUNTIF('Elève (6ème2)'!IG5:II5,"D"))*1))/(COUNTA(IG5:II5)),"")</f>
        <v/>
      </c>
      <c r="IK5" s="109" t="str">
        <f t="shared" si="56"/>
        <v/>
      </c>
      <c r="IL5" s="78"/>
      <c r="IM5" s="79"/>
      <c r="IN5" s="80"/>
      <c r="IO5" s="108" t="str">
        <f>IFERROR((((COUNTIF('Elève (6ème2)'!IL5:IN5,"A"))*4)+((COUNTIF('Elève (6ème2)'!IL5:IN5,"B"))*3)+((COUNTIF('Elève (6ème2)'!IL5:IN5,"C"))*2)+((COUNTIF('Elève (6ème2)'!IL5:IN5,"D"))*1))/(COUNTA(IL5:IN5)),"")</f>
        <v/>
      </c>
      <c r="IP5" s="109" t="str">
        <f t="shared" si="57"/>
        <v/>
      </c>
      <c r="IQ5" s="78"/>
      <c r="IR5" s="79"/>
      <c r="IS5" s="80"/>
      <c r="IT5" s="108" t="str">
        <f>IFERROR((((COUNTIF('Elève (6ème2)'!IQ5:IS5,"A"))*4)+((COUNTIF('Elève (6ème2)'!IQ5:IS5,"B"))*3)+((COUNTIF('Elève (6ème2)'!IQ5:IS5,"C"))*2)+((COUNTIF('Elève (6ème2)'!IQ5:IS5,"D"))*1))/(COUNTA(IQ5:IS5)),"")</f>
        <v/>
      </c>
      <c r="IU5" s="109" t="str">
        <f t="shared" si="58"/>
        <v/>
      </c>
      <c r="IV5" s="178" t="str">
        <f>IF(COUNT(IJ5,IO5,IT5)=0,"",SUM(IJ5,IO5,IT5)/COUNT(IJ5,IO5,IT5))</f>
        <v/>
      </c>
      <c r="IW5" s="131" t="str">
        <f t="shared" si="59"/>
        <v/>
      </c>
      <c r="IX5" s="153"/>
      <c r="IY5" s="154"/>
      <c r="IZ5" s="155"/>
      <c r="JA5" s="108" t="str">
        <f>IFERROR((((COUNTIF('Elève (6ème2)'!IX5:IZ5,"A"))*4)+((COUNTIF('Elève (6ème2)'!IX5:IZ5,"B"))*3)+((COUNTIF('Elève (6ème2)'!IX5:IZ5,"C"))*2)+((COUNTIF('Elève (6ème2)'!IX5:IZ5,"D"))*1))/(COUNTA(IX5:IZ5)),"")</f>
        <v/>
      </c>
      <c r="JB5" s="109" t="str">
        <f t="shared" si="60"/>
        <v/>
      </c>
      <c r="JC5" s="78"/>
      <c r="JD5" s="79"/>
      <c r="JE5" s="80"/>
      <c r="JF5" s="108" t="str">
        <f>IFERROR((((COUNTIF('Elève (6ème2)'!JC5:JE5,"A"))*4)+((COUNTIF('Elève (6ème2)'!JC5:JE5,"B"))*3)+((COUNTIF('Elève (6ème2)'!JC5:JE5,"C"))*2)+((COUNTIF('Elève (6ème2)'!JC5:JE5,"D"))*1))/(COUNTA(JC5:JE5)),"")</f>
        <v/>
      </c>
      <c r="JG5" s="109" t="str">
        <f t="shared" si="61"/>
        <v/>
      </c>
      <c r="JH5" s="78"/>
      <c r="JI5" s="79"/>
      <c r="JJ5" s="80"/>
      <c r="JK5" s="108" t="str">
        <f>IFERROR((((COUNTIF('Elève (6ème2)'!JH5:JJ5,"A"))*4)+((COUNTIF('Elève (6ème2)'!JH5:JJ5,"B"))*3)+((COUNTIF('Elève (6ème2)'!JH5:JJ5,"C"))*2)+((COUNTIF('Elève (6ème2)'!JH5:JJ5,"D"))*1))/(COUNTA(JH5:JJ5)),"")</f>
        <v/>
      </c>
      <c r="JL5" s="109" t="str">
        <f t="shared" si="62"/>
        <v/>
      </c>
      <c r="JM5" s="178" t="str">
        <f>IF(COUNT(JA5,JF5,JK5)=0,"",SUM(JA5,JF5,JK5)/COUNT(JA5,JF5,JK5))</f>
        <v/>
      </c>
      <c r="JN5" s="131" t="str">
        <f t="shared" si="63"/>
        <v/>
      </c>
      <c r="JO5" s="153"/>
      <c r="JP5" s="154"/>
      <c r="JQ5" s="155"/>
      <c r="JR5" s="108" t="str">
        <f>IFERROR((((COUNTIF('Elève (6ème2)'!JO5:JQ5,"A"))*4)+((COUNTIF('Elève (6ème2)'!JO5:JQ5,"B"))*3)+((COUNTIF('Elève (6ème2)'!JO5:JQ5,"C"))*2)+((COUNTIF('Elève (6ème2)'!JO5:JQ5,"D"))*1))/(COUNTA(JO5:JQ5)),"")</f>
        <v/>
      </c>
      <c r="JS5" s="109" t="str">
        <f t="shared" si="64"/>
        <v/>
      </c>
      <c r="JT5" s="78"/>
      <c r="JU5" s="79"/>
      <c r="JV5" s="80"/>
      <c r="JW5" s="108" t="str">
        <f>IFERROR((((COUNTIF('Elève (6ème2)'!JT5:JV5,"A"))*4)+((COUNTIF('Elève (6ème2)'!JT5:JV5,"B"))*3)+((COUNTIF('Elève (6ème2)'!JT5:JV5,"C"))*2)+((COUNTIF('Elève (6ème2)'!JT5:JV5,"D"))*1))/(COUNTA(JT5:JV5)),"")</f>
        <v/>
      </c>
      <c r="JX5" s="109" t="str">
        <f t="shared" si="65"/>
        <v/>
      </c>
      <c r="JY5" s="78"/>
      <c r="JZ5" s="79"/>
      <c r="KA5" s="80"/>
      <c r="KB5" s="108" t="str">
        <f>IFERROR((((COUNTIF('Elève (6ème2)'!JY5:KA5,"A"))*4)+((COUNTIF('Elève (6ème2)'!JY5:KA5,"B"))*3)+((COUNTIF('Elève (6ème2)'!JY5:KA5,"C"))*2)+((COUNTIF('Elève (6ème2)'!JY5:KA5,"D"))*1))/(COUNTA(JY5:KA5)),"")</f>
        <v/>
      </c>
      <c r="KC5" s="109" t="str">
        <f t="shared" si="66"/>
        <v/>
      </c>
      <c r="KD5" s="178" t="str">
        <f>IF(COUNT(JR5,JW5,KB5)=0,"",SUM(JR5,JW5,KB5)/COUNT(JR5,JW5,KB5))</f>
        <v/>
      </c>
      <c r="KE5" s="131" t="str">
        <f t="shared" si="67"/>
        <v/>
      </c>
      <c r="KF5" s="153"/>
      <c r="KG5" s="154"/>
      <c r="KH5" s="155"/>
      <c r="KI5" s="108" t="str">
        <f>IFERROR((((COUNTIF('Elève (6ème2)'!KF5:KH5,"A"))*4)+((COUNTIF('Elève (6ème2)'!KF5:KH5,"B"))*3)+((COUNTIF('Elève (6ème2)'!KF5:KH5,"C"))*2)+((COUNTIF('Elève (6ème2)'!KF5:KH5,"D"))*1))/(COUNTA(KF5:KH5)),"")</f>
        <v/>
      </c>
      <c r="KJ5" s="109" t="str">
        <f t="shared" si="68"/>
        <v/>
      </c>
      <c r="KK5" s="78"/>
      <c r="KL5" s="79"/>
      <c r="KM5" s="80"/>
      <c r="KN5" s="108" t="str">
        <f>IFERROR((((COUNTIF('Elève (6ème2)'!KK5:KM5,"A"))*4)+((COUNTIF('Elève (6ème2)'!KK5:KM5,"B"))*3)+((COUNTIF('Elève (6ème2)'!KK5:KM5,"C"))*2)+((COUNTIF('Elève (6ème2)'!KK5:KM5,"D"))*1))/(COUNTA(KK5:KM5)),"")</f>
        <v/>
      </c>
      <c r="KO5" s="109" t="str">
        <f t="shared" si="69"/>
        <v/>
      </c>
      <c r="KP5" s="78"/>
      <c r="KQ5" s="79"/>
      <c r="KR5" s="80"/>
      <c r="KS5" s="108" t="str">
        <f>IFERROR((((COUNTIF('Elève (6ème2)'!KP5:KR5,"A"))*4)+((COUNTIF('Elève (6ème2)'!KP5:KR5,"B"))*3)+((COUNTIF('Elève (6ème2)'!KP5:KR5,"C"))*2)+((COUNTIF('Elève (6ème2)'!KP5:KR5,"D"))*1))/(COUNTA(KP5:KR5)),"")</f>
        <v/>
      </c>
      <c r="KT5" s="109" t="str">
        <f t="shared" si="70"/>
        <v/>
      </c>
      <c r="KU5" s="178" t="str">
        <f>IF(COUNT(KI5,KN5,KS5)=0,"",SUM(KI5,KN5,KS5)/COUNT(KI5,KN5,KS5))</f>
        <v/>
      </c>
      <c r="KV5" s="131" t="str">
        <f t="shared" si="71"/>
        <v/>
      </c>
      <c r="KW5" s="153"/>
      <c r="KX5" s="154"/>
      <c r="KY5" s="155"/>
      <c r="KZ5" s="108" t="str">
        <f>IFERROR((((COUNTIF('Elève (6ème2)'!KW5:KY5,"A"))*4)+((COUNTIF('Elève (6ème2)'!KW5:KY5,"B"))*3)+((COUNTIF('Elève (6ème2)'!KW5:KY5,"C"))*2)+((COUNTIF('Elève (6ème2)'!KW5:KY5,"D"))*1))/(COUNTA(KW5:KY5)),"")</f>
        <v/>
      </c>
      <c r="LA5" s="109" t="str">
        <f t="shared" si="72"/>
        <v/>
      </c>
      <c r="LB5" s="78"/>
      <c r="LC5" s="79"/>
      <c r="LD5" s="80"/>
      <c r="LE5" s="108" t="str">
        <f>IFERROR((((COUNTIF('Elève (6ème2)'!LB5:LD5,"A"))*4)+((COUNTIF('Elève (6ème2)'!LB5:LD5,"B"))*3)+((COUNTIF('Elève (6ème2)'!LB5:LD5,"C"))*2)+((COUNTIF('Elève (6ème2)'!LB5:LD5,"D"))*1))/(COUNTA(LB5:LD5)),"")</f>
        <v/>
      </c>
      <c r="LF5" s="109" t="str">
        <f t="shared" si="73"/>
        <v/>
      </c>
      <c r="LG5" s="78"/>
      <c r="LH5" s="79"/>
      <c r="LI5" s="80"/>
      <c r="LJ5" s="108" t="str">
        <f>IFERROR((((COUNTIF('Elève (6ème2)'!LG5:LI5,"A"))*4)+((COUNTIF('Elève (6ème2)'!LG5:LI5,"B"))*3)+((COUNTIF('Elève (6ème2)'!LG5:LI5,"C"))*2)+((COUNTIF('Elève (6ème2)'!LG5:LI5,"D"))*1))/(COUNTA(LG5:LI5)),"")</f>
        <v/>
      </c>
      <c r="LK5" s="109" t="str">
        <f t="shared" si="74"/>
        <v/>
      </c>
      <c r="LL5" s="178" t="str">
        <f>IF(COUNT(KZ5,LE5,LJ5)=0,"",SUM(KZ5,LE5,LJ5)/COUNT(KZ5,LE5,LJ5))</f>
        <v/>
      </c>
      <c r="LM5" s="131" t="str">
        <f t="shared" si="75"/>
        <v/>
      </c>
      <c r="LN5" s="153"/>
      <c r="LO5" s="154"/>
      <c r="LP5" s="155"/>
      <c r="LQ5" s="108" t="str">
        <f>IFERROR((((COUNTIF('Elève (6ème2)'!LN5:LP5,"A"))*4)+((COUNTIF('Elève (6ème2)'!LN5:LP5,"B"))*3)+((COUNTIF('Elève (6ème2)'!LN5:LP5,"C"))*2)+((COUNTIF('Elève (6ème2)'!LN5:LP5,"D"))*1))/(COUNTA(LN5:LP5)),"")</f>
        <v/>
      </c>
      <c r="LR5" s="109" t="str">
        <f t="shared" si="76"/>
        <v/>
      </c>
      <c r="LS5" s="78"/>
      <c r="LT5" s="79"/>
      <c r="LU5" s="80"/>
      <c r="LV5" s="108" t="str">
        <f>IFERROR((((COUNTIF('Elève (6ème2)'!LS5:LU5,"A"))*4)+((COUNTIF('Elève (6ème2)'!LS5:LU5,"B"))*3)+((COUNTIF('Elève (6ème2)'!LS5:LU5,"C"))*2)+((COUNTIF('Elève (6ème2)'!LS5:LU5,"D"))*1))/(COUNTA(LS5:LU5)),"")</f>
        <v/>
      </c>
      <c r="LW5" s="109" t="str">
        <f t="shared" si="77"/>
        <v/>
      </c>
      <c r="LX5" s="78"/>
      <c r="LY5" s="79"/>
      <c r="LZ5" s="80"/>
      <c r="MA5" s="108" t="str">
        <f>IFERROR((((COUNTIF('Elève (6ème2)'!LX5:LZ5,"A"))*4)+((COUNTIF('Elève (6ème2)'!LX5:LZ5,"B"))*3)+((COUNTIF('Elève (6ème2)'!LX5:LZ5,"C"))*2)+((COUNTIF('Elève (6ème2)'!LX5:LZ5,"D"))*1))/(COUNTA(LX5:LZ5)),"")</f>
        <v/>
      </c>
      <c r="MB5" s="109" t="str">
        <f t="shared" si="78"/>
        <v/>
      </c>
      <c r="MC5" s="178" t="str">
        <f>IF(COUNT(LQ5,LV5,MA5)=0,"",SUM(LQ5,LV5,MA5)/COUNT(LQ5,LV5,MA5))</f>
        <v/>
      </c>
      <c r="MD5" s="131" t="str">
        <f t="shared" si="79"/>
        <v/>
      </c>
      <c r="ME5" s="153"/>
      <c r="MF5" s="154"/>
      <c r="MG5" s="155"/>
      <c r="MH5" s="108" t="str">
        <f>IFERROR((((COUNTIF('Elève (6ème2)'!ME5:MG5,"A"))*4)+((COUNTIF('Elève (6ème2)'!ME5:MG5,"B"))*3)+((COUNTIF('Elève (6ème2)'!ME5:MG5,"C"))*2)+((COUNTIF('Elève (6ème2)'!ME5:MG5,"D"))*1))/(COUNTA(ME5:MG5)),"")</f>
        <v/>
      </c>
      <c r="MI5" s="109" t="str">
        <f t="shared" si="80"/>
        <v/>
      </c>
      <c r="MJ5" s="78"/>
      <c r="MK5" s="79"/>
      <c r="ML5" s="80"/>
      <c r="MM5" s="108" t="str">
        <f>IFERROR((((COUNTIF('Elève (6ème2)'!MJ5:ML5,"A"))*4)+((COUNTIF('Elève (6ème2)'!MJ5:ML5,"B"))*3)+((COUNTIF('Elève (6ème2)'!MJ5:ML5,"C"))*2)+((COUNTIF('Elève (6ème2)'!MJ5:ML5,"D"))*1))/(COUNTA(MJ5:ML5)),"")</f>
        <v/>
      </c>
      <c r="MN5" s="109" t="str">
        <f t="shared" si="81"/>
        <v/>
      </c>
      <c r="MO5" s="78"/>
      <c r="MP5" s="79"/>
      <c r="MQ5" s="80"/>
      <c r="MR5" s="108" t="str">
        <f>IFERROR((((COUNTIF('Elève (6ème2)'!MO5:MQ5,"A"))*4)+((COUNTIF('Elève (6ème2)'!MO5:MQ5,"B"))*3)+((COUNTIF('Elève (6ème2)'!MO5:MQ5,"C"))*2)+((COUNTIF('Elève (6ème2)'!MO5:MQ5,"D"))*1))/(COUNTA(MO5:MQ5)),"")</f>
        <v/>
      </c>
      <c r="MS5" s="109" t="str">
        <f t="shared" si="82"/>
        <v/>
      </c>
      <c r="MT5" s="178" t="str">
        <f>IF(COUNT(MH5,MM5,MR5)=0,"",SUM(MH5,MM5,MR5)/COUNT(MH5,MM5,MR5))</f>
        <v/>
      </c>
      <c r="MU5" s="131" t="str">
        <f t="shared" si="83"/>
        <v/>
      </c>
      <c r="MV5" s="153"/>
      <c r="MW5" s="154"/>
      <c r="MX5" s="155"/>
      <c r="MY5" s="108" t="str">
        <f>IFERROR((((COUNTIF('Elève (6ème2)'!MV5:MX5,"A"))*4)+((COUNTIF('Elève (6ème2)'!MV5:MX5,"B"))*3)+((COUNTIF('Elève (6ème2)'!MV5:MX5,"C"))*2)+((COUNTIF('Elève (6ème2)'!MV5:MX5,"D"))*1))/(COUNTA(MV5:MX5)),"")</f>
        <v/>
      </c>
      <c r="MZ5" s="109" t="str">
        <f t="shared" si="84"/>
        <v/>
      </c>
      <c r="NA5" s="78"/>
      <c r="NB5" s="79"/>
      <c r="NC5" s="80"/>
      <c r="ND5" s="108" t="str">
        <f>IFERROR((((COUNTIF('Elève (6ème2)'!NA5:NC5,"A"))*4)+((COUNTIF('Elève (6ème2)'!NA5:NC5,"B"))*3)+((COUNTIF('Elève (6ème2)'!NA5:NC5,"C"))*2)+((COUNTIF('Elève (6ème2)'!NA5:NC5,"D"))*1))/(COUNTA(NA5:NC5)),"")</f>
        <v/>
      </c>
      <c r="NE5" s="109" t="str">
        <f t="shared" si="85"/>
        <v/>
      </c>
      <c r="NF5" s="78"/>
      <c r="NG5" s="79"/>
      <c r="NH5" s="80"/>
      <c r="NI5" s="108" t="str">
        <f>IFERROR((((COUNTIF('Elève (6ème2)'!NF5:NH5,"A"))*4)+((COUNTIF('Elève (6ème2)'!NF5:NH5,"B"))*3)+((COUNTIF('Elève (6ème2)'!NF5:NH5,"C"))*2)+((COUNTIF('Elève (6ème2)'!NF5:NH5,"D"))*1))/(COUNTA(NF5:NH5)),"")</f>
        <v/>
      </c>
      <c r="NJ5" s="109" t="str">
        <f t="shared" si="86"/>
        <v/>
      </c>
      <c r="NK5" s="178" t="str">
        <f>IF(COUNT(MY5,ND5,NI5)=0,"",SUM(MY5,ND5,NI5)/COUNT(MY5,ND5,NI5))</f>
        <v/>
      </c>
      <c r="NL5" s="131" t="str">
        <f t="shared" si="87"/>
        <v/>
      </c>
      <c r="NM5" s="153"/>
      <c r="NN5" s="154"/>
      <c r="NO5" s="155"/>
      <c r="NP5" s="108" t="str">
        <f>IFERROR((((COUNTIF('Elève (6ème2)'!NM5:NO5,"A"))*4)+((COUNTIF('Elève (6ème2)'!NM5:NO5,"B"))*3)+((COUNTIF('Elève (6ème2)'!NM5:NO5,"C"))*2)+((COUNTIF('Elève (6ème2)'!NM5:NO5,"D"))*1))/(COUNTA(NM5:NO5)),"")</f>
        <v/>
      </c>
      <c r="NQ5" s="109" t="str">
        <f t="shared" si="88"/>
        <v/>
      </c>
      <c r="NR5" s="78"/>
      <c r="NS5" s="79"/>
      <c r="NT5" s="80"/>
      <c r="NU5" s="108" t="str">
        <f>IFERROR((((COUNTIF('Elève (6ème2)'!NR5:NT5,"A"))*4)+((COUNTIF('Elève (6ème2)'!NR5:NT5,"B"))*3)+((COUNTIF('Elève (6ème2)'!NR5:NT5,"C"))*2)+((COUNTIF('Elève (6ème2)'!NR5:NT5,"D"))*1))/(COUNTA(NR5:NT5)),"")</f>
        <v/>
      </c>
      <c r="NV5" s="109" t="str">
        <f t="shared" si="89"/>
        <v/>
      </c>
      <c r="NW5" s="78"/>
      <c r="NX5" s="79"/>
      <c r="NY5" s="80"/>
      <c r="NZ5" s="108" t="str">
        <f>IFERROR((((COUNTIF('Elève (6ème2)'!NW5:NY5,"A"))*4)+((COUNTIF('Elève (6ème2)'!NW5:NY5,"B"))*3)+((COUNTIF('Elève (6ème2)'!NW5:NY5,"C"))*2)+((COUNTIF('Elève (6ème2)'!NW5:NY5,"D"))*1))/(COUNTA(NW5:NY5)),"")</f>
        <v/>
      </c>
      <c r="OA5" s="109" t="str">
        <f t="shared" si="90"/>
        <v/>
      </c>
      <c r="OB5" s="178" t="str">
        <f>IF(COUNT(NP5,NU5,NZ5)=0,"",SUM(NP5,NU5,NZ5)/COUNT(NP5,NU5,NZ5))</f>
        <v/>
      </c>
      <c r="OC5" s="131" t="str">
        <f t="shared" si="91"/>
        <v/>
      </c>
      <c r="OD5" s="153"/>
      <c r="OE5" s="154"/>
      <c r="OF5" s="155"/>
      <c r="OG5" s="108" t="str">
        <f>IFERROR((((COUNTIF('Elève (6ème2)'!OD5:OF5,"A"))*4)+((COUNTIF('Elève (6ème2)'!OD5:OF5,"B"))*3)+((COUNTIF('Elève (6ème2)'!OD5:OF5,"C"))*2)+((COUNTIF('Elève (6ème2)'!OD5:OF5,"D"))*1))/(COUNTA(OD5:OF5)),"")</f>
        <v/>
      </c>
      <c r="OH5" s="109" t="str">
        <f t="shared" si="92"/>
        <v/>
      </c>
      <c r="OI5" s="78"/>
      <c r="OJ5" s="79"/>
      <c r="OK5" s="80"/>
      <c r="OL5" s="108" t="str">
        <f>IFERROR((((COUNTIF('Elève (6ème2)'!OI5:OK5,"A"))*4)+((COUNTIF('Elève (6ème2)'!OI5:OK5,"B"))*3)+((COUNTIF('Elève (6ème2)'!OI5:OK5,"C"))*2)+((COUNTIF('Elève (6ème2)'!OI5:OK5,"D"))*1))/(COUNTA(OI5:OK5)),"")</f>
        <v/>
      </c>
      <c r="OM5" s="109" t="str">
        <f t="shared" si="93"/>
        <v/>
      </c>
      <c r="ON5" s="78"/>
      <c r="OO5" s="79"/>
      <c r="OP5" s="80"/>
      <c r="OQ5" s="108" t="str">
        <f>IFERROR((((COUNTIF('Elève (6ème2)'!ON5:OP5,"A"))*4)+((COUNTIF('Elève (6ème2)'!ON5:OP5,"B"))*3)+((COUNTIF('Elève (6ème2)'!ON5:OP5,"C"))*2)+((COUNTIF('Elève (6ème2)'!ON5:OP5,"D"))*1))/(COUNTA(ON5:OP5)),"")</f>
        <v/>
      </c>
      <c r="OR5" s="109" t="str">
        <f t="shared" si="94"/>
        <v/>
      </c>
      <c r="OS5" s="178" t="str">
        <f>IF(COUNT(OG5,OL5,OQ5)=0,"",SUM(OG5,OL5,OQ5)/COUNT(OG5,OL5,OQ5))</f>
        <v/>
      </c>
      <c r="OT5" s="131" t="str">
        <f t="shared" si="95"/>
        <v/>
      </c>
      <c r="OU5" s="153"/>
      <c r="OV5" s="154"/>
      <c r="OW5" s="155"/>
      <c r="OX5" s="108" t="str">
        <f>IFERROR((((COUNTIF('Elève (6ème2)'!OU5:OW5,"A"))*4)+((COUNTIF('Elève (6ème2)'!OU5:OW5,"B"))*3)+((COUNTIF('Elève (6ème2)'!OU5:OW5,"C"))*2)+((COUNTIF('Elève (6ème2)'!OU5:OW5,"D"))*1))/(COUNTA(OU5:OW5)),"")</f>
        <v/>
      </c>
      <c r="OY5" s="109" t="str">
        <f t="shared" si="96"/>
        <v/>
      </c>
      <c r="OZ5" s="78"/>
      <c r="PA5" s="79"/>
      <c r="PB5" s="80"/>
      <c r="PC5" s="108" t="str">
        <f>IFERROR((((COUNTIF('Elève (6ème2)'!OZ5:PB5,"A"))*4)+((COUNTIF('Elève (6ème2)'!OZ5:PB5,"B"))*3)+((COUNTIF('Elève (6ème2)'!OZ5:PB5,"C"))*2)+((COUNTIF('Elève (6ème2)'!OZ5:PB5,"D"))*1))/(COUNTA(OZ5:PB5)),"")</f>
        <v/>
      </c>
      <c r="PD5" s="109" t="str">
        <f t="shared" si="97"/>
        <v/>
      </c>
      <c r="PE5" s="78"/>
      <c r="PF5" s="79"/>
      <c r="PG5" s="80"/>
      <c r="PH5" s="108" t="str">
        <f>IFERROR((((COUNTIF('Elève (6ème2)'!PE5:PG5,"A"))*4)+((COUNTIF('Elève (6ème2)'!PE5:PG5,"B"))*3)+((COUNTIF('Elève (6ème2)'!PE5:PG5,"C"))*2)+((COUNTIF('Elève (6ème2)'!PE5:PG5,"D"))*1))/(COUNTA(PE5:PG5)),"")</f>
        <v/>
      </c>
      <c r="PI5" s="109" t="str">
        <f t="shared" si="98"/>
        <v/>
      </c>
      <c r="PJ5" s="178" t="str">
        <f>IF(COUNT(OX5,PC5,PH5)=0,"",SUM(OX5,PC5,PH5)/COUNT(OX5,PC5,PH5))</f>
        <v/>
      </c>
      <c r="PK5" s="131" t="str">
        <f t="shared" si="99"/>
        <v/>
      </c>
      <c r="PL5" s="153"/>
      <c r="PM5" s="154"/>
      <c r="PN5" s="155"/>
      <c r="PO5" s="108" t="str">
        <f>IFERROR((((COUNTIF('Elève (6ème2)'!PL5:PN5,"A"))*4)+((COUNTIF('Elève (6ème2)'!PL5:PN5,"B"))*3)+((COUNTIF('Elève (6ème2)'!PL5:PN5,"C"))*2)+((COUNTIF('Elève (6ème2)'!PL5:PN5,"D"))*1))/(COUNTA(PL5:PN5)),"")</f>
        <v/>
      </c>
      <c r="PP5" s="109" t="str">
        <f t="shared" si="100"/>
        <v/>
      </c>
      <c r="PQ5" s="78"/>
      <c r="PR5" s="79"/>
      <c r="PS5" s="80"/>
      <c r="PT5" s="108" t="str">
        <f>IFERROR((((COUNTIF('Elève (6ème2)'!PQ5:PS5,"A"))*4)+((COUNTIF('Elève (6ème2)'!PQ5:PS5,"B"))*3)+((COUNTIF('Elève (6ème2)'!PQ5:PS5,"C"))*2)+((COUNTIF('Elève (6ème2)'!PQ5:PS5,"D"))*1))/(COUNTA(PQ5:PS5)),"")</f>
        <v/>
      </c>
      <c r="PU5" s="109" t="str">
        <f t="shared" si="101"/>
        <v/>
      </c>
      <c r="PV5" s="78"/>
      <c r="PW5" s="79"/>
      <c r="PX5" s="80"/>
      <c r="PY5" s="108" t="str">
        <f>IFERROR((((COUNTIF('Elève (6ème2)'!PV5:PX5,"A"))*4)+((COUNTIF('Elève (6ème2)'!PV5:PX5,"B"))*3)+((COUNTIF('Elève (6ème2)'!PV5:PX5,"C"))*2)+((COUNTIF('Elève (6ème2)'!PV5:PX5,"D"))*1))/(COUNTA(PV5:PX5)),"")</f>
        <v/>
      </c>
      <c r="PZ5" s="109" t="str">
        <f t="shared" si="102"/>
        <v/>
      </c>
      <c r="QA5" s="178" t="str">
        <f>IF(COUNT(PO5,PT5,PY5)=0,"",SUM(PO5,PT5,PY5)/COUNT(PO5,PT5,PY5))</f>
        <v/>
      </c>
      <c r="QB5" s="131" t="str">
        <f t="shared" si="103"/>
        <v/>
      </c>
      <c r="QC5" s="153"/>
      <c r="QD5" s="154"/>
      <c r="QE5" s="155"/>
      <c r="QF5" s="108" t="str">
        <f>IFERROR((((COUNTIF('Elève (6ème2)'!QC5:QE5,"A"))*4)+((COUNTIF('Elève (6ème2)'!QC5:QE5,"B"))*3)+((COUNTIF('Elève (6ème2)'!QC5:QE5,"C"))*2)+((COUNTIF('Elève (6ème2)'!QC5:QE5,"D"))*1))/(COUNTA(QC5:QE5)),"")</f>
        <v/>
      </c>
      <c r="QG5" s="109" t="str">
        <f t="shared" si="104"/>
        <v/>
      </c>
      <c r="QH5" s="78"/>
      <c r="QI5" s="79"/>
      <c r="QJ5" s="80"/>
      <c r="QK5" s="108" t="str">
        <f>IFERROR((((COUNTIF('Elève (6ème2)'!QH5:QJ5,"A"))*4)+((COUNTIF('Elève (6ème2)'!QH5:QJ5,"B"))*3)+((COUNTIF('Elève (6ème2)'!QH5:QJ5,"C"))*2)+((COUNTIF('Elève (6ème2)'!QH5:QJ5,"D"))*1))/(COUNTA(QH5:QJ5)),"")</f>
        <v/>
      </c>
      <c r="QL5" s="109" t="str">
        <f t="shared" si="105"/>
        <v/>
      </c>
      <c r="QM5" s="78"/>
      <c r="QN5" s="79"/>
      <c r="QO5" s="80"/>
      <c r="QP5" s="108" t="str">
        <f>IFERROR((((COUNTIF('Elève (6ème2)'!QM5:QO5,"A"))*4)+((COUNTIF('Elève (6ème2)'!QM5:QO5,"B"))*3)+((COUNTIF('Elève (6ème2)'!QM5:QO5,"C"))*2)+((COUNTIF('Elève (6ème2)'!QM5:QO5,"D"))*1))/(COUNTA(QM5:QO5)),"")</f>
        <v/>
      </c>
      <c r="QQ5" s="109" t="str">
        <f t="shared" si="106"/>
        <v/>
      </c>
      <c r="QR5" s="178" t="str">
        <f>IF(COUNT(QF5,QK5,QP5)=0,"",SUM(QF5,QK5,QP5)/COUNT(QF5,QK5,QP5))</f>
        <v/>
      </c>
      <c r="QS5" s="131" t="str">
        <f t="shared" si="107"/>
        <v/>
      </c>
      <c r="QT5" s="153"/>
      <c r="QU5" s="154"/>
      <c r="QV5" s="155"/>
      <c r="QW5" s="108" t="str">
        <f>IFERROR((((COUNTIF('Elève (6ème2)'!QT5:QV5,"A"))*4)+((COUNTIF('Elève (6ème2)'!QT5:QV5,"B"))*3)+((COUNTIF('Elève (6ème2)'!QT5:QV5,"C"))*2)+((COUNTIF('Elève (6ème2)'!QT5:QV5,"D"))*1))/(COUNTA(QT5:QV5)),"")</f>
        <v/>
      </c>
      <c r="QX5" s="109" t="str">
        <f t="shared" si="108"/>
        <v/>
      </c>
      <c r="QY5" s="78"/>
      <c r="QZ5" s="79"/>
      <c r="RA5" s="80"/>
      <c r="RB5" s="108" t="str">
        <f>IFERROR((((COUNTIF('Elève (6ème2)'!QY5:RA5,"A"))*4)+((COUNTIF('Elève (6ème2)'!QY5:RA5,"B"))*3)+((COUNTIF('Elève (6ème2)'!QY5:RA5,"C"))*2)+((COUNTIF('Elève (6ème2)'!QY5:RA5,"D"))*1))/(COUNTA(QY5:RA5)),"")</f>
        <v/>
      </c>
      <c r="RC5" s="109" t="str">
        <f t="shared" si="109"/>
        <v/>
      </c>
      <c r="RD5" s="78"/>
      <c r="RE5" s="79"/>
      <c r="RF5" s="80"/>
      <c r="RG5" s="108" t="str">
        <f>IFERROR((((COUNTIF('Elève (6ème2)'!RD5:RF5,"A"))*4)+((COUNTIF('Elève (6ème2)'!RD5:RF5,"B"))*3)+((COUNTIF('Elève (6ème2)'!RD5:RF5,"C"))*2)+((COUNTIF('Elève (6ème2)'!RD5:RF5,"D"))*1))/(COUNTA(RD5:RF5)),"")</f>
        <v/>
      </c>
      <c r="RH5" s="109" t="str">
        <f t="shared" si="110"/>
        <v/>
      </c>
      <c r="RI5" s="178" t="str">
        <f>IF(COUNT(QW5,RB5,RG5)=0,"",SUM(QW5,RB5,RG5)/COUNT(QW5,RB5,RG5))</f>
        <v/>
      </c>
      <c r="RJ5" s="131" t="str">
        <f t="shared" si="111"/>
        <v/>
      </c>
      <c r="RK5" s="153"/>
      <c r="RL5" s="154"/>
      <c r="RM5" s="155"/>
      <c r="RN5" s="108" t="str">
        <f>IFERROR((((COUNTIF('Elève (6ème2)'!RK5:RM5,"A"))*4)+((COUNTIF('Elève (6ème2)'!RK5:RM5,"B"))*3)+((COUNTIF('Elève (6ème2)'!RK5:RM5,"C"))*2)+((COUNTIF('Elève (6ème2)'!RK5:RM5,"D"))*1))/(COUNTA(RK5:RM5)),"")</f>
        <v/>
      </c>
      <c r="RO5" s="109" t="str">
        <f t="shared" si="112"/>
        <v/>
      </c>
      <c r="RP5" s="78"/>
      <c r="RQ5" s="79"/>
      <c r="RR5" s="80"/>
      <c r="RS5" s="108" t="str">
        <f>IFERROR((((COUNTIF('Elève (6ème2)'!RP5:RR5,"A"))*4)+((COUNTIF('Elève (6ème2)'!RP5:RR5,"B"))*3)+((COUNTIF('Elève (6ème2)'!RP5:RR5,"C"))*2)+((COUNTIF('Elève (6ème2)'!RP5:RR5,"D"))*1))/(COUNTA(RP5:RR5)),"")</f>
        <v/>
      </c>
      <c r="RT5" s="109" t="str">
        <f t="shared" si="113"/>
        <v/>
      </c>
      <c r="RU5" s="78"/>
      <c r="RV5" s="79"/>
      <c r="RW5" s="80"/>
      <c r="RX5" s="108" t="str">
        <f>IFERROR((((COUNTIF('Elève (6ème2)'!RU5:RW5,"A"))*4)+((COUNTIF('Elève (6ème2)'!RU5:RW5,"B"))*3)+((COUNTIF('Elève (6ème2)'!RU5:RW5,"C"))*2)+((COUNTIF('Elève (6ème2)'!RU5:RW5,"D"))*1))/(COUNTA(RU5:RW5)),"")</f>
        <v/>
      </c>
      <c r="RY5" s="109" t="str">
        <f t="shared" si="114"/>
        <v/>
      </c>
      <c r="RZ5" s="178" t="str">
        <f>IF(COUNT(RN5,RS5,RX5)=0,"",SUM(RN5,RS5,RX5)/COUNT(RN5,RS5,RX5))</f>
        <v/>
      </c>
      <c r="SA5" s="131" t="str">
        <f t="shared" si="115"/>
        <v/>
      </c>
      <c r="SB5" s="153"/>
      <c r="SC5" s="154"/>
      <c r="SD5" s="155"/>
      <c r="SE5" s="108" t="str">
        <f>IFERROR((((COUNTIF('Elève (6ème2)'!SB5:SD5,"A"))*4)+((COUNTIF('Elève (6ème2)'!SB5:SD5,"B"))*3)+((COUNTIF('Elève (6ème2)'!SB5:SD5,"C"))*2)+((COUNTIF('Elève (6ème2)'!SB5:SD5,"D"))*1))/(COUNTA(SB5:SD5)),"")</f>
        <v/>
      </c>
      <c r="SF5" s="109" t="str">
        <f t="shared" si="116"/>
        <v/>
      </c>
      <c r="SG5" s="78"/>
      <c r="SH5" s="79"/>
      <c r="SI5" s="80"/>
      <c r="SJ5" s="108" t="str">
        <f>IFERROR((((COUNTIF('Elève (6ème2)'!SG5:SI5,"A"))*4)+((COUNTIF('Elève (6ème2)'!SG5:SI5,"B"))*3)+((COUNTIF('Elève (6ème2)'!SG5:SI5,"C"))*2)+((COUNTIF('Elève (6ème2)'!SG5:SI5,"D"))*1))/(COUNTA(SG5:SI5)),"")</f>
        <v/>
      </c>
      <c r="SK5" s="109" t="str">
        <f t="shared" si="117"/>
        <v/>
      </c>
      <c r="SL5" s="78"/>
      <c r="SM5" s="79"/>
      <c r="SN5" s="80"/>
      <c r="SO5" s="108" t="str">
        <f>IFERROR((((COUNTIF('Elève (6ème2)'!SL5:SN5,"A"))*4)+((COUNTIF('Elève (6ème2)'!SL5:SN5,"B"))*3)+((COUNTIF('Elève (6ème2)'!SL5:SN5,"C"))*2)+((COUNTIF('Elève (6ème2)'!SL5:SN5,"D"))*1))/(COUNTA(SL5:SN5)),"")</f>
        <v/>
      </c>
      <c r="SP5" s="109" t="str">
        <f t="shared" si="118"/>
        <v/>
      </c>
      <c r="SQ5" s="178" t="str">
        <f>IF(COUNT(SE5,SJ5,SO5)=0,"",SUM(SE5,SJ5,SO5)/COUNT(SE5,SJ5,SO5))</f>
        <v/>
      </c>
      <c r="SR5" s="131" t="str">
        <f t="shared" si="119"/>
        <v/>
      </c>
    </row>
    <row r="6" spans="1:512" s="72" customFormat="1" ht="18" customHeight="1" thickBot="1" x14ac:dyDescent="0.3">
      <c r="A6" s="242" t="s">
        <v>13</v>
      </c>
      <c r="B6" s="243"/>
      <c r="C6" s="156"/>
      <c r="D6" s="157"/>
      <c r="E6" s="158"/>
      <c r="F6" s="110" t="str">
        <f>IFERROR((((COUNTIF('Elève (6ème2)'!C6:E6,"A"))*4)+((COUNTIF('Elève (6ème2)'!C6:E6,"B"))*3)+((COUNTIF('Elève (6ème2)'!C6:E6,"C"))*2)+((COUNTIF('Elève (6ème2)'!C6:E6,"D"))*1))/(COUNTA(C6:E6)),"")</f>
        <v/>
      </c>
      <c r="G6" s="111" t="str">
        <f t="shared" si="0"/>
        <v/>
      </c>
      <c r="H6" s="81"/>
      <c r="I6" s="82"/>
      <c r="J6" s="83"/>
      <c r="K6" s="110" t="str">
        <f>IFERROR((((COUNTIF('Elève (6ème2)'!H6:J6,"A"))*4)+((COUNTIF('Elève (6ème2)'!H6:J6,"B"))*3)+((COUNTIF('Elève (6ème2)'!H6:J6,"C"))*2)+((COUNTIF('Elève (6ème2)'!H6:J6,"D"))*1))/(COUNTA(H6:J6)),"")</f>
        <v/>
      </c>
      <c r="L6" s="111" t="str">
        <f t="shared" si="1"/>
        <v/>
      </c>
      <c r="M6" s="81"/>
      <c r="N6" s="82"/>
      <c r="O6" s="83"/>
      <c r="P6" s="110" t="str">
        <f>IFERROR((((COUNTIF('Elève (6ème2)'!M6:O6,"A"))*4)+((COUNTIF('Elève (6ème2)'!M6:O6,"B"))*3)+((COUNTIF('Elève (6ème2)'!M6:O6,"C"))*2)+((COUNTIF('Elève (6ème2)'!M6:O6,"D"))*1))/(COUNTA(M6:O6)),"")</f>
        <v/>
      </c>
      <c r="Q6" s="111" t="str">
        <f t="shared" si="2"/>
        <v/>
      </c>
      <c r="R6" s="179" t="str">
        <f>IF(COUNT(F6,K6,P6)=0,"",SUM(F6,K6,P6)/COUNT(F6,K6,P6))</f>
        <v/>
      </c>
      <c r="S6" s="132" t="str">
        <f t="shared" si="3"/>
        <v/>
      </c>
      <c r="T6" s="156"/>
      <c r="U6" s="157"/>
      <c r="V6" s="158"/>
      <c r="W6" s="110" t="str">
        <f>IFERROR((((COUNTIF('Elève (6ème2)'!T6:V6,"A"))*4)+((COUNTIF('Elève (6ème2)'!T6:V6,"B"))*3)+((COUNTIF('Elève (6ème2)'!T6:V6,"C"))*2)+((COUNTIF('Elève (6ème2)'!T6:V6,"D"))*1))/(COUNTA(T6:V6)),"")</f>
        <v/>
      </c>
      <c r="X6" s="111" t="str">
        <f t="shared" si="4"/>
        <v/>
      </c>
      <c r="Y6" s="81"/>
      <c r="Z6" s="82"/>
      <c r="AA6" s="83"/>
      <c r="AB6" s="110" t="str">
        <f>IFERROR((((COUNTIF('Elève (6ème2)'!Y6:AA6,"A"))*4)+((COUNTIF('Elève (6ème2)'!Y6:AA6,"B"))*3)+((COUNTIF('Elève (6ème2)'!Y6:AA6,"C"))*2)+((COUNTIF('Elève (6ème2)'!Y6:AA6,"D"))*1))/(COUNTA(Y6:AA6)),"")</f>
        <v/>
      </c>
      <c r="AC6" s="111" t="str">
        <f t="shared" si="5"/>
        <v/>
      </c>
      <c r="AD6" s="81"/>
      <c r="AE6" s="82"/>
      <c r="AF6" s="83"/>
      <c r="AG6" s="110" t="str">
        <f>IFERROR((((COUNTIF('Elève (6ème2)'!AD6:AF6,"A"))*4)+((COUNTIF('Elève (6ème2)'!AD6:AF6,"B"))*3)+((COUNTIF('Elève (6ème2)'!AD6:AF6,"C"))*2)+((COUNTIF('Elève (6ème2)'!AD6:AF6,"D"))*1))/(COUNTA(AD6:AF6)),"")</f>
        <v/>
      </c>
      <c r="AH6" s="111" t="str">
        <f t="shared" si="6"/>
        <v/>
      </c>
      <c r="AI6" s="179" t="str">
        <f>IF(COUNT(W6,AB6,AG6)=0,"",SUM(W6,AB6,AG6)/COUNT(W6,AB6,AG6))</f>
        <v/>
      </c>
      <c r="AJ6" s="132" t="str">
        <f t="shared" si="7"/>
        <v/>
      </c>
      <c r="AK6" s="156"/>
      <c r="AL6" s="157"/>
      <c r="AM6" s="158"/>
      <c r="AN6" s="110" t="str">
        <f>IFERROR((((COUNTIF('Elève (6ème2)'!AK6:AM6,"A"))*4)+((COUNTIF('Elève (6ème2)'!AK6:AM6,"B"))*3)+((COUNTIF('Elève (6ème2)'!AK6:AM6,"C"))*2)+((COUNTIF('Elève (6ème2)'!AK6:AM6,"D"))*1))/(COUNTA(AK6:AM6)),"")</f>
        <v/>
      </c>
      <c r="AO6" s="111" t="str">
        <f t="shared" si="8"/>
        <v/>
      </c>
      <c r="AP6" s="81"/>
      <c r="AQ6" s="82"/>
      <c r="AR6" s="83"/>
      <c r="AS6" s="110" t="str">
        <f>IFERROR((((COUNTIF('Elève (6ème2)'!AP6:AR6,"A"))*4)+((COUNTIF('Elève (6ème2)'!AP6:AR6,"B"))*3)+((COUNTIF('Elève (6ème2)'!AP6:AR6,"C"))*2)+((COUNTIF('Elève (6ème2)'!AP6:AR6,"D"))*1))/(COUNTA(AP6:AR6)),"")</f>
        <v/>
      </c>
      <c r="AT6" s="111" t="str">
        <f t="shared" si="9"/>
        <v/>
      </c>
      <c r="AU6" s="81"/>
      <c r="AV6" s="82"/>
      <c r="AW6" s="83"/>
      <c r="AX6" s="110" t="str">
        <f>IFERROR((((COUNTIF('Elève (6ème2)'!AU6:AW6,"A"))*4)+((COUNTIF('Elève (6ème2)'!AU6:AW6,"B"))*3)+((COUNTIF('Elève (6ème2)'!AU6:AW6,"C"))*2)+((COUNTIF('Elève (6ème2)'!AU6:AW6,"D"))*1))/(COUNTA(AU6:AW6)),"")</f>
        <v/>
      </c>
      <c r="AY6" s="111" t="str">
        <f t="shared" si="10"/>
        <v/>
      </c>
      <c r="AZ6" s="179" t="str">
        <f>IF(COUNT(AN6,AS6,AX6)=0,"",SUM(AN6,AS6,AX6)/COUNT(AN6,AS6,AX6))</f>
        <v/>
      </c>
      <c r="BA6" s="132" t="str">
        <f t="shared" si="11"/>
        <v/>
      </c>
      <c r="BB6" s="156"/>
      <c r="BC6" s="157"/>
      <c r="BD6" s="158"/>
      <c r="BE6" s="110" t="str">
        <f>IFERROR((((COUNTIF('Elève (6ème2)'!BB6:BD6,"A"))*4)+((COUNTIF('Elève (6ème2)'!BB6:BD6,"B"))*3)+((COUNTIF('Elève (6ème2)'!BB6:BD6,"C"))*2)+((COUNTIF('Elève (6ème2)'!BB6:BD6,"D"))*1))/(COUNTA(BB6:BD6)),"")</f>
        <v/>
      </c>
      <c r="BF6" s="111" t="str">
        <f t="shared" si="12"/>
        <v/>
      </c>
      <c r="BG6" s="81"/>
      <c r="BH6" s="82"/>
      <c r="BI6" s="83"/>
      <c r="BJ6" s="110" t="str">
        <f>IFERROR((((COUNTIF('Elève (6ème2)'!BG6:BI6,"A"))*4)+((COUNTIF('Elève (6ème2)'!BG6:BI6,"B"))*3)+((COUNTIF('Elève (6ème2)'!BG6:BI6,"C"))*2)+((COUNTIF('Elève (6ème2)'!BG6:BI6,"D"))*1))/(COUNTA(BG6:BI6)),"")</f>
        <v/>
      </c>
      <c r="BK6" s="111" t="str">
        <f t="shared" si="13"/>
        <v/>
      </c>
      <c r="BL6" s="81"/>
      <c r="BM6" s="82"/>
      <c r="BN6" s="83"/>
      <c r="BO6" s="110" t="str">
        <f>IFERROR((((COUNTIF('Elève (6ème2)'!BL6:BN6,"A"))*4)+((COUNTIF('Elève (6ème2)'!BL6:BN6,"B"))*3)+((COUNTIF('Elève (6ème2)'!BL6:BN6,"C"))*2)+((COUNTIF('Elève (6ème2)'!BL6:BN6,"D"))*1))/(COUNTA(BL6:BN6)),"")</f>
        <v/>
      </c>
      <c r="BP6" s="111" t="str">
        <f t="shared" si="14"/>
        <v/>
      </c>
      <c r="BQ6" s="179" t="str">
        <f>IF(COUNT(BE6,BJ6,BO6)=0,"",SUM(BE6,BJ6,BO6)/COUNT(BE6,BJ6,BO6))</f>
        <v/>
      </c>
      <c r="BR6" s="132" t="str">
        <f t="shared" si="15"/>
        <v/>
      </c>
      <c r="BS6" s="156"/>
      <c r="BT6" s="157"/>
      <c r="BU6" s="158"/>
      <c r="BV6" s="110" t="str">
        <f>IFERROR((((COUNTIF('Elève (6ème2)'!BS6:BU6,"A"))*4)+((COUNTIF('Elève (6ème2)'!BS6:BU6,"B"))*3)+((COUNTIF('Elève (6ème2)'!BS6:BU6,"C"))*2)+((COUNTIF('Elève (6ème2)'!BS6:BU6,"D"))*1))/(COUNTA(BS6:BU6)),"")</f>
        <v/>
      </c>
      <c r="BW6" s="111" t="str">
        <f t="shared" si="16"/>
        <v/>
      </c>
      <c r="BX6" s="81"/>
      <c r="BY6" s="82"/>
      <c r="BZ6" s="83"/>
      <c r="CA6" s="110" t="str">
        <f>IFERROR((((COUNTIF('Elève (6ème2)'!BX6:BZ6,"A"))*4)+((COUNTIF('Elève (6ème2)'!BX6:BZ6,"B"))*3)+((COUNTIF('Elève (6ème2)'!BX6:BZ6,"C"))*2)+((COUNTIF('Elève (6ème2)'!BX6:BZ6,"D"))*1))/(COUNTA(BX6:BZ6)),"")</f>
        <v/>
      </c>
      <c r="CB6" s="111" t="str">
        <f t="shared" si="17"/>
        <v/>
      </c>
      <c r="CC6" s="81"/>
      <c r="CD6" s="82"/>
      <c r="CE6" s="83"/>
      <c r="CF6" s="110" t="str">
        <f>IFERROR((((COUNTIF('Elève (6ème2)'!CC6:CE6,"A"))*4)+((COUNTIF('Elève (6ème2)'!CC6:CE6,"B"))*3)+((COUNTIF('Elève (6ème2)'!CC6:CE6,"C"))*2)+((COUNTIF('Elève (6ème2)'!CC6:CE6,"D"))*1))/(COUNTA(CC6:CE6)),"")</f>
        <v/>
      </c>
      <c r="CG6" s="111" t="str">
        <f t="shared" si="18"/>
        <v/>
      </c>
      <c r="CH6" s="179" t="str">
        <f>IF(COUNT(BV6,CA6,CF6)=0,"",SUM(BV6,CA6,CF6)/COUNT(BV6,CA6,CF6))</f>
        <v/>
      </c>
      <c r="CI6" s="132" t="str">
        <f t="shared" si="19"/>
        <v/>
      </c>
      <c r="CJ6" s="156"/>
      <c r="CK6" s="157"/>
      <c r="CL6" s="158"/>
      <c r="CM6" s="110" t="str">
        <f>IFERROR((((COUNTIF('Elève (6ème2)'!CJ6:CL6,"A"))*4)+((COUNTIF('Elève (6ème2)'!CJ6:CL6,"B"))*3)+((COUNTIF('Elève (6ème2)'!CJ6:CL6,"C"))*2)+((COUNTIF('Elève (6ème2)'!CJ6:CL6,"D"))*1))/(COUNTA(CJ6:CL6)),"")</f>
        <v/>
      </c>
      <c r="CN6" s="111" t="str">
        <f t="shared" si="20"/>
        <v/>
      </c>
      <c r="CO6" s="81"/>
      <c r="CP6" s="82"/>
      <c r="CQ6" s="83"/>
      <c r="CR6" s="110" t="str">
        <f>IFERROR((((COUNTIF('Elève (6ème2)'!CO6:CQ6,"A"))*4)+((COUNTIF('Elève (6ème2)'!CO6:CQ6,"B"))*3)+((COUNTIF('Elève (6ème2)'!CO6:CQ6,"C"))*2)+((COUNTIF('Elève (6ème2)'!CO6:CQ6,"D"))*1))/(COUNTA(CO6:CQ6)),"")</f>
        <v/>
      </c>
      <c r="CS6" s="111" t="str">
        <f t="shared" si="21"/>
        <v/>
      </c>
      <c r="CT6" s="81"/>
      <c r="CU6" s="82"/>
      <c r="CV6" s="83"/>
      <c r="CW6" s="110" t="str">
        <f>IFERROR((((COUNTIF('Elève (6ème2)'!CT6:CV6,"A"))*4)+((COUNTIF('Elève (6ème2)'!CT6:CV6,"B"))*3)+((COUNTIF('Elève (6ème2)'!CT6:CV6,"C"))*2)+((COUNTIF('Elève (6ème2)'!CT6:CV6,"D"))*1))/(COUNTA(CT6:CV6)),"")</f>
        <v/>
      </c>
      <c r="CX6" s="111" t="str">
        <f t="shared" si="22"/>
        <v/>
      </c>
      <c r="CY6" s="179" t="str">
        <f>IF(COUNT(CM6,CR6,CW6)=0,"",SUM(CM6,CR6,CW6)/COUNT(CM6,CR6,CW6))</f>
        <v/>
      </c>
      <c r="CZ6" s="132" t="str">
        <f t="shared" si="23"/>
        <v/>
      </c>
      <c r="DA6" s="156"/>
      <c r="DB6" s="157"/>
      <c r="DC6" s="158"/>
      <c r="DD6" s="110" t="str">
        <f>IFERROR((((COUNTIF('Elève (6ème2)'!DA6:DC6,"A"))*4)+((COUNTIF('Elève (6ème2)'!DA6:DC6,"B"))*3)+((COUNTIF('Elève (6ème2)'!DA6:DC6,"C"))*2)+((COUNTIF('Elève (6ème2)'!DA6:DC6,"D"))*1))/(COUNTA(DA6:DC6)),"")</f>
        <v/>
      </c>
      <c r="DE6" s="111" t="str">
        <f t="shared" si="24"/>
        <v/>
      </c>
      <c r="DF6" s="81"/>
      <c r="DG6" s="82"/>
      <c r="DH6" s="83"/>
      <c r="DI6" s="110" t="str">
        <f>IFERROR((((COUNTIF('Elève (6ème2)'!DF6:DH6,"A"))*4)+((COUNTIF('Elève (6ème2)'!DF6:DH6,"B"))*3)+((COUNTIF('Elève (6ème2)'!DF6:DH6,"C"))*2)+((COUNTIF('Elève (6ème2)'!DF6:DH6,"D"))*1))/(COUNTA(DF6:DH6)),"")</f>
        <v/>
      </c>
      <c r="DJ6" s="111" t="str">
        <f t="shared" si="25"/>
        <v/>
      </c>
      <c r="DK6" s="81"/>
      <c r="DL6" s="82"/>
      <c r="DM6" s="83"/>
      <c r="DN6" s="110" t="str">
        <f>IFERROR((((COUNTIF('Elève (6ème2)'!DK6:DM6,"A"))*4)+((COUNTIF('Elève (6ème2)'!DK6:DM6,"B"))*3)+((COUNTIF('Elève (6ème2)'!DK6:DM6,"C"))*2)+((COUNTIF('Elève (6ème2)'!DK6:DM6,"D"))*1))/(COUNTA(DK6:DM6)),"")</f>
        <v/>
      </c>
      <c r="DO6" s="111" t="str">
        <f t="shared" si="26"/>
        <v/>
      </c>
      <c r="DP6" s="179" t="str">
        <f>IF(COUNT(DD6,DI6,DN6)=0,"",SUM(DD6,DI6,DN6)/COUNT(DD6,DI6,DN6))</f>
        <v/>
      </c>
      <c r="DQ6" s="132" t="str">
        <f t="shared" si="27"/>
        <v/>
      </c>
      <c r="DR6" s="156"/>
      <c r="DS6" s="157"/>
      <c r="DT6" s="158"/>
      <c r="DU6" s="110" t="str">
        <f>IFERROR((((COUNTIF('Elève (6ème2)'!DR6:DT6,"A"))*4)+((COUNTIF('Elève (6ème2)'!DR6:DT6,"B"))*3)+((COUNTIF('Elève (6ème2)'!DR6:DT6,"C"))*2)+((COUNTIF('Elève (6ème2)'!DR6:DT6,"D"))*1))/(COUNTA(DR6:DT6)),"")</f>
        <v/>
      </c>
      <c r="DV6" s="111" t="str">
        <f t="shared" si="28"/>
        <v/>
      </c>
      <c r="DW6" s="81"/>
      <c r="DX6" s="82"/>
      <c r="DY6" s="83"/>
      <c r="DZ6" s="110" t="str">
        <f>IFERROR((((COUNTIF('Elève (6ème2)'!DW6:DY6,"A"))*4)+((COUNTIF('Elève (6ème2)'!DW6:DY6,"B"))*3)+((COUNTIF('Elève (6ème2)'!DW6:DY6,"C"))*2)+((COUNTIF('Elève (6ème2)'!DW6:DY6,"D"))*1))/(COUNTA(DW6:DY6)),"")</f>
        <v/>
      </c>
      <c r="EA6" s="111" t="str">
        <f t="shared" si="29"/>
        <v/>
      </c>
      <c r="EB6" s="81"/>
      <c r="EC6" s="82"/>
      <c r="ED6" s="83"/>
      <c r="EE6" s="110" t="str">
        <f>IFERROR((((COUNTIF('Elève (6ème2)'!EB6:ED6,"A"))*4)+((COUNTIF('Elève (6ème2)'!EB6:ED6,"B"))*3)+((COUNTIF('Elève (6ème2)'!EB6:ED6,"C"))*2)+((COUNTIF('Elève (6ème2)'!EB6:ED6,"D"))*1))/(COUNTA(EB6:ED6)),"")</f>
        <v/>
      </c>
      <c r="EF6" s="111" t="str">
        <f t="shared" si="30"/>
        <v/>
      </c>
      <c r="EG6" s="179" t="str">
        <f>IF(COUNT(DU6,DZ6,EE6)=0,"",SUM(DU6,DZ6,EE6)/COUNT(DU6,DZ6,EE6))</f>
        <v/>
      </c>
      <c r="EH6" s="132" t="str">
        <f t="shared" si="31"/>
        <v/>
      </c>
      <c r="EI6" s="156"/>
      <c r="EJ6" s="157"/>
      <c r="EK6" s="158"/>
      <c r="EL6" s="110" t="str">
        <f>IFERROR((((COUNTIF('Elève (6ème2)'!EI6:EK6,"A"))*4)+((COUNTIF('Elève (6ème2)'!EI6:EK6,"B"))*3)+((COUNTIF('Elève (6ème2)'!EI6:EK6,"C"))*2)+((COUNTIF('Elève (6ème2)'!EI6:EK6,"D"))*1))/(COUNTA(EI6:EK6)),"")</f>
        <v/>
      </c>
      <c r="EM6" s="111" t="str">
        <f t="shared" si="32"/>
        <v/>
      </c>
      <c r="EN6" s="81"/>
      <c r="EO6" s="82"/>
      <c r="EP6" s="83"/>
      <c r="EQ6" s="110" t="str">
        <f>IFERROR((((COUNTIF('Elève (6ème2)'!EN6:EP6,"A"))*4)+((COUNTIF('Elève (6ème2)'!EN6:EP6,"B"))*3)+((COUNTIF('Elève (6ème2)'!EN6:EP6,"C"))*2)+((COUNTIF('Elève (6ème2)'!EN6:EP6,"D"))*1))/(COUNTA(EN6:EP6)),"")</f>
        <v/>
      </c>
      <c r="ER6" s="111" t="str">
        <f t="shared" si="33"/>
        <v/>
      </c>
      <c r="ES6" s="81"/>
      <c r="ET6" s="82"/>
      <c r="EU6" s="83"/>
      <c r="EV6" s="110" t="str">
        <f>IFERROR((((COUNTIF('Elève (6ème2)'!ES6:EU6,"A"))*4)+((COUNTIF('Elève (6ème2)'!ES6:EU6,"B"))*3)+((COUNTIF('Elève (6ème2)'!ES6:EU6,"C"))*2)+((COUNTIF('Elève (6ème2)'!ES6:EU6,"D"))*1))/(COUNTA(ES6:EU6)),"")</f>
        <v/>
      </c>
      <c r="EW6" s="111" t="str">
        <f t="shared" si="34"/>
        <v/>
      </c>
      <c r="EX6" s="179" t="str">
        <f>IF(COUNT(EL6,EQ6,EV6)=0,"",SUM(EL6,EQ6,EV6)/COUNT(EL6,EQ6,EV6))</f>
        <v/>
      </c>
      <c r="EY6" s="132" t="str">
        <f t="shared" si="35"/>
        <v/>
      </c>
      <c r="EZ6" s="156"/>
      <c r="FA6" s="157"/>
      <c r="FB6" s="158"/>
      <c r="FC6" s="110" t="str">
        <f>IFERROR((((COUNTIF('Elève (6ème2)'!EZ6:FB6,"A"))*4)+((COUNTIF('Elève (6ème2)'!EZ6:FB6,"B"))*3)+((COUNTIF('Elève (6ème2)'!EZ6:FB6,"C"))*2)+((COUNTIF('Elève (6ème2)'!EZ6:FB6,"D"))*1))/(COUNTA(EZ6:FB6)),"")</f>
        <v/>
      </c>
      <c r="FD6" s="111" t="str">
        <f t="shared" si="36"/>
        <v/>
      </c>
      <c r="FE6" s="81"/>
      <c r="FF6" s="82"/>
      <c r="FG6" s="83"/>
      <c r="FH6" s="110" t="str">
        <f>IFERROR((((COUNTIF('Elève (6ème2)'!FE6:FG6,"A"))*4)+((COUNTIF('Elève (6ème2)'!FE6:FG6,"B"))*3)+((COUNTIF('Elève (6ème2)'!FE6:FG6,"C"))*2)+((COUNTIF('Elève (6ème2)'!FE6:FG6,"D"))*1))/(COUNTA(FE6:FG6)),"")</f>
        <v/>
      </c>
      <c r="FI6" s="111" t="str">
        <f t="shared" si="37"/>
        <v/>
      </c>
      <c r="FJ6" s="81"/>
      <c r="FK6" s="82"/>
      <c r="FL6" s="83"/>
      <c r="FM6" s="110" t="str">
        <f>IFERROR((((COUNTIF('Elève (6ème2)'!FJ6:FL6,"A"))*4)+((COUNTIF('Elève (6ème2)'!FJ6:FL6,"B"))*3)+((COUNTIF('Elève (6ème2)'!FJ6:FL6,"C"))*2)+((COUNTIF('Elève (6ème2)'!FJ6:FL6,"D"))*1))/(COUNTA(FJ6:FL6)),"")</f>
        <v/>
      </c>
      <c r="FN6" s="111" t="str">
        <f t="shared" si="38"/>
        <v/>
      </c>
      <c r="FO6" s="179" t="str">
        <f>IF(COUNT(FC6,FH6,FM6)=0,"",SUM(FC6,FH6,FM6)/COUNT(FC6,FH6,FM6))</f>
        <v/>
      </c>
      <c r="FP6" s="132" t="str">
        <f t="shared" si="39"/>
        <v/>
      </c>
      <c r="FQ6" s="156"/>
      <c r="FR6" s="157"/>
      <c r="FS6" s="158"/>
      <c r="FT6" s="110" t="str">
        <f>IFERROR((((COUNTIF('Elève (6ème2)'!FQ6:FS6,"A"))*4)+((COUNTIF('Elève (6ème2)'!FQ6:FS6,"B"))*3)+((COUNTIF('Elève (6ème2)'!FQ6:FS6,"C"))*2)+((COUNTIF('Elève (6ème2)'!FQ6:FS6,"D"))*1))/(COUNTA(FQ6:FS6)),"")</f>
        <v/>
      </c>
      <c r="FU6" s="111" t="str">
        <f t="shared" si="40"/>
        <v/>
      </c>
      <c r="FV6" s="81"/>
      <c r="FW6" s="82"/>
      <c r="FX6" s="83"/>
      <c r="FY6" s="110" t="str">
        <f>IFERROR((((COUNTIF('Elève (6ème2)'!FV6:FX6,"A"))*4)+((COUNTIF('Elève (6ème2)'!FV6:FX6,"B"))*3)+((COUNTIF('Elève (6ème2)'!FV6:FX6,"C"))*2)+((COUNTIF('Elève (6ème2)'!FV6:FX6,"D"))*1))/(COUNTA(FV6:FX6)),"")</f>
        <v/>
      </c>
      <c r="FZ6" s="111" t="str">
        <f t="shared" si="41"/>
        <v/>
      </c>
      <c r="GA6" s="81"/>
      <c r="GB6" s="82"/>
      <c r="GC6" s="83"/>
      <c r="GD6" s="110" t="str">
        <f>IFERROR((((COUNTIF('Elève (6ème2)'!GA6:GC6,"A"))*4)+((COUNTIF('Elève (6ème2)'!GA6:GC6,"B"))*3)+((COUNTIF('Elève (6ème2)'!GA6:GC6,"C"))*2)+((COUNTIF('Elève (6ème2)'!GA6:GC6,"D"))*1))/(COUNTA(GA6:GC6)),"")</f>
        <v/>
      </c>
      <c r="GE6" s="111" t="str">
        <f t="shared" si="42"/>
        <v/>
      </c>
      <c r="GF6" s="179" t="str">
        <f>IF(COUNT(FT6,FY6,GD6)=0,"",SUM(FT6,FY6,GD6)/COUNT(FT6,FY6,GD6))</f>
        <v/>
      </c>
      <c r="GG6" s="132" t="str">
        <f t="shared" si="43"/>
        <v/>
      </c>
      <c r="GH6" s="156"/>
      <c r="GI6" s="157"/>
      <c r="GJ6" s="158"/>
      <c r="GK6" s="110" t="str">
        <f>IFERROR((((COUNTIF('Elève (6ème2)'!GH6:GJ6,"A"))*4)+((COUNTIF('Elève (6ème2)'!GH6:GJ6,"B"))*3)+((COUNTIF('Elève (6ème2)'!GH6:GJ6,"C"))*2)+((COUNTIF('Elève (6ème2)'!GH6:GJ6,"D"))*1))/(COUNTA(GH6:GJ6)),"")</f>
        <v/>
      </c>
      <c r="GL6" s="111" t="str">
        <f t="shared" si="44"/>
        <v/>
      </c>
      <c r="GM6" s="81"/>
      <c r="GN6" s="82"/>
      <c r="GO6" s="83"/>
      <c r="GP6" s="110" t="str">
        <f>IFERROR((((COUNTIF('Elève (6ème2)'!GM6:GO6,"A"))*4)+((COUNTIF('Elève (6ème2)'!GM6:GO6,"B"))*3)+((COUNTIF('Elève (6ème2)'!GM6:GO6,"C"))*2)+((COUNTIF('Elève (6ème2)'!GM6:GO6,"D"))*1))/(COUNTA(GM6:GO6)),"")</f>
        <v/>
      </c>
      <c r="GQ6" s="111" t="str">
        <f t="shared" si="45"/>
        <v/>
      </c>
      <c r="GR6" s="81"/>
      <c r="GS6" s="82"/>
      <c r="GT6" s="83"/>
      <c r="GU6" s="110" t="str">
        <f>IFERROR((((COUNTIF('Elève (6ème2)'!GR6:GT6,"A"))*4)+((COUNTIF('Elève (6ème2)'!GR6:GT6,"B"))*3)+((COUNTIF('Elève (6ème2)'!GR6:GT6,"C"))*2)+((COUNTIF('Elève (6ème2)'!GR6:GT6,"D"))*1))/(COUNTA(GR6:GT6)),"")</f>
        <v/>
      </c>
      <c r="GV6" s="111" t="str">
        <f t="shared" si="46"/>
        <v/>
      </c>
      <c r="GW6" s="179" t="str">
        <f>IF(COUNT(GK6,GP6,GU6)=0,"",SUM(GK6,GP6,GU6)/COUNT(GK6,GP6,GU6))</f>
        <v/>
      </c>
      <c r="GX6" s="132" t="str">
        <f t="shared" si="47"/>
        <v/>
      </c>
      <c r="GY6" s="156"/>
      <c r="GZ6" s="157"/>
      <c r="HA6" s="158"/>
      <c r="HB6" s="110" t="str">
        <f>IFERROR((((COUNTIF('Elève (6ème2)'!GY6:HA6,"A"))*4)+((COUNTIF('Elève (6ème2)'!GY6:HA6,"B"))*3)+((COUNTIF('Elève (6ème2)'!GY6:HA6,"C"))*2)+((COUNTIF('Elève (6ème2)'!GY6:HA6,"D"))*1))/(COUNTA(GY6:HA6)),"")</f>
        <v/>
      </c>
      <c r="HC6" s="111" t="str">
        <f t="shared" si="48"/>
        <v/>
      </c>
      <c r="HD6" s="81"/>
      <c r="HE6" s="82"/>
      <c r="HF6" s="83"/>
      <c r="HG6" s="110" t="str">
        <f>IFERROR((((COUNTIF('Elève (6ème2)'!HD6:HF6,"A"))*4)+((COUNTIF('Elève (6ème2)'!HD6:HF6,"B"))*3)+((COUNTIF('Elève (6ème2)'!HD6:HF6,"C"))*2)+((COUNTIF('Elève (6ème2)'!HD6:HF6,"D"))*1))/(COUNTA(HD6:HF6)),"")</f>
        <v/>
      </c>
      <c r="HH6" s="111" t="str">
        <f t="shared" si="49"/>
        <v/>
      </c>
      <c r="HI6" s="81"/>
      <c r="HJ6" s="82"/>
      <c r="HK6" s="83"/>
      <c r="HL6" s="110" t="str">
        <f>IFERROR((((COUNTIF('Elève (6ème2)'!HI6:HK6,"A"))*4)+((COUNTIF('Elève (6ème2)'!HI6:HK6,"B"))*3)+((COUNTIF('Elève (6ème2)'!HI6:HK6,"C"))*2)+((COUNTIF('Elève (6ème2)'!HI6:HK6,"D"))*1))/(COUNTA(HI6:HK6)),"")</f>
        <v/>
      </c>
      <c r="HM6" s="111" t="str">
        <f t="shared" si="50"/>
        <v/>
      </c>
      <c r="HN6" s="179" t="str">
        <f>IF(COUNT(HB6,HG6,HL6)=0,"",SUM(HB6,HG6,HL6)/COUNT(HB6,HG6,HL6))</f>
        <v/>
      </c>
      <c r="HO6" s="132" t="str">
        <f t="shared" si="51"/>
        <v/>
      </c>
      <c r="HP6" s="156"/>
      <c r="HQ6" s="157"/>
      <c r="HR6" s="158"/>
      <c r="HS6" s="110" t="str">
        <f>IFERROR((((COUNTIF('Elève (6ème2)'!HP6:HR6,"A"))*4)+((COUNTIF('Elève (6ème2)'!HP6:HR6,"B"))*3)+((COUNTIF('Elève (6ème2)'!HP6:HR6,"C"))*2)+((COUNTIF('Elève (6ème2)'!HP6:HR6,"D"))*1))/(COUNTA(HP6:HR6)),"")</f>
        <v/>
      </c>
      <c r="HT6" s="111" t="str">
        <f t="shared" si="52"/>
        <v/>
      </c>
      <c r="HU6" s="81"/>
      <c r="HV6" s="82"/>
      <c r="HW6" s="83"/>
      <c r="HX6" s="110" t="str">
        <f>IFERROR((((COUNTIF('Elève (6ème2)'!HU6:HW6,"A"))*4)+((COUNTIF('Elève (6ème2)'!HU6:HW6,"B"))*3)+((COUNTIF('Elève (6ème2)'!HU6:HW6,"C"))*2)+((COUNTIF('Elève (6ème2)'!HU6:HW6,"D"))*1))/(COUNTA(HU6:HW6)),"")</f>
        <v/>
      </c>
      <c r="HY6" s="111" t="str">
        <f t="shared" si="53"/>
        <v/>
      </c>
      <c r="HZ6" s="81"/>
      <c r="IA6" s="82"/>
      <c r="IB6" s="83"/>
      <c r="IC6" s="110" t="str">
        <f>IFERROR((((COUNTIF('Elève (6ème2)'!HZ6:IB6,"A"))*4)+((COUNTIF('Elève (6ème2)'!HZ6:IB6,"B"))*3)+((COUNTIF('Elève (6ème2)'!HZ6:IB6,"C"))*2)+((COUNTIF('Elève (6ème2)'!HZ6:IB6,"D"))*1))/(COUNTA(HZ6:IB6)),"")</f>
        <v/>
      </c>
      <c r="ID6" s="111" t="str">
        <f t="shared" si="54"/>
        <v/>
      </c>
      <c r="IE6" s="179" t="str">
        <f>IF(COUNT(HS6,HX6,IC6)=0,"",SUM(HS6,HX6,IC6)/COUNT(HS6,HX6,IC6))</f>
        <v/>
      </c>
      <c r="IF6" s="132" t="str">
        <f t="shared" si="55"/>
        <v/>
      </c>
      <c r="IG6" s="156"/>
      <c r="IH6" s="157"/>
      <c r="II6" s="158"/>
      <c r="IJ6" s="110" t="str">
        <f>IFERROR((((COUNTIF('Elève (6ème2)'!IG6:II6,"A"))*4)+((COUNTIF('Elève (6ème2)'!IG6:II6,"B"))*3)+((COUNTIF('Elève (6ème2)'!IG6:II6,"C"))*2)+((COUNTIF('Elève (6ème2)'!IG6:II6,"D"))*1))/(COUNTA(IG6:II6)),"")</f>
        <v/>
      </c>
      <c r="IK6" s="111" t="str">
        <f t="shared" si="56"/>
        <v/>
      </c>
      <c r="IL6" s="81"/>
      <c r="IM6" s="82"/>
      <c r="IN6" s="83"/>
      <c r="IO6" s="110" t="str">
        <f>IFERROR((((COUNTIF('Elève (6ème2)'!IL6:IN6,"A"))*4)+((COUNTIF('Elève (6ème2)'!IL6:IN6,"B"))*3)+((COUNTIF('Elève (6ème2)'!IL6:IN6,"C"))*2)+((COUNTIF('Elève (6ème2)'!IL6:IN6,"D"))*1))/(COUNTA(IL6:IN6)),"")</f>
        <v/>
      </c>
      <c r="IP6" s="111" t="str">
        <f t="shared" si="57"/>
        <v/>
      </c>
      <c r="IQ6" s="81"/>
      <c r="IR6" s="82"/>
      <c r="IS6" s="83"/>
      <c r="IT6" s="110" t="str">
        <f>IFERROR((((COUNTIF('Elève (6ème2)'!IQ6:IS6,"A"))*4)+((COUNTIF('Elève (6ème2)'!IQ6:IS6,"B"))*3)+((COUNTIF('Elève (6ème2)'!IQ6:IS6,"C"))*2)+((COUNTIF('Elève (6ème2)'!IQ6:IS6,"D"))*1))/(COUNTA(IQ6:IS6)),"")</f>
        <v/>
      </c>
      <c r="IU6" s="111" t="str">
        <f t="shared" si="58"/>
        <v/>
      </c>
      <c r="IV6" s="179" t="str">
        <f>IF(COUNT(IJ6,IO6,IT6)=0,"",SUM(IJ6,IO6,IT6)/COUNT(IJ6,IO6,IT6))</f>
        <v/>
      </c>
      <c r="IW6" s="132" t="str">
        <f t="shared" si="59"/>
        <v/>
      </c>
      <c r="IX6" s="156"/>
      <c r="IY6" s="157"/>
      <c r="IZ6" s="158"/>
      <c r="JA6" s="110" t="str">
        <f>IFERROR((((COUNTIF('Elève (6ème2)'!IX6:IZ6,"A"))*4)+((COUNTIF('Elève (6ème2)'!IX6:IZ6,"B"))*3)+((COUNTIF('Elève (6ème2)'!IX6:IZ6,"C"))*2)+((COUNTIF('Elève (6ème2)'!IX6:IZ6,"D"))*1))/(COUNTA(IX6:IZ6)),"")</f>
        <v/>
      </c>
      <c r="JB6" s="111" t="str">
        <f t="shared" si="60"/>
        <v/>
      </c>
      <c r="JC6" s="81"/>
      <c r="JD6" s="82"/>
      <c r="JE6" s="83"/>
      <c r="JF6" s="110" t="str">
        <f>IFERROR((((COUNTIF('Elève (6ème2)'!JC6:JE6,"A"))*4)+((COUNTIF('Elève (6ème2)'!JC6:JE6,"B"))*3)+((COUNTIF('Elève (6ème2)'!JC6:JE6,"C"))*2)+((COUNTIF('Elève (6ème2)'!JC6:JE6,"D"))*1))/(COUNTA(JC6:JE6)),"")</f>
        <v/>
      </c>
      <c r="JG6" s="111" t="str">
        <f t="shared" si="61"/>
        <v/>
      </c>
      <c r="JH6" s="81"/>
      <c r="JI6" s="82"/>
      <c r="JJ6" s="83"/>
      <c r="JK6" s="110" t="str">
        <f>IFERROR((((COUNTIF('Elève (6ème2)'!JH6:JJ6,"A"))*4)+((COUNTIF('Elève (6ème2)'!JH6:JJ6,"B"))*3)+((COUNTIF('Elève (6ème2)'!JH6:JJ6,"C"))*2)+((COUNTIF('Elève (6ème2)'!JH6:JJ6,"D"))*1))/(COUNTA(JH6:JJ6)),"")</f>
        <v/>
      </c>
      <c r="JL6" s="111" t="str">
        <f t="shared" si="62"/>
        <v/>
      </c>
      <c r="JM6" s="179" t="str">
        <f>IF(COUNT(JA6,JF6,JK6)=0,"",SUM(JA6,JF6,JK6)/COUNT(JA6,JF6,JK6))</f>
        <v/>
      </c>
      <c r="JN6" s="132" t="str">
        <f t="shared" si="63"/>
        <v/>
      </c>
      <c r="JO6" s="156"/>
      <c r="JP6" s="157"/>
      <c r="JQ6" s="158"/>
      <c r="JR6" s="110" t="str">
        <f>IFERROR((((COUNTIF('Elève (6ème2)'!JO6:JQ6,"A"))*4)+((COUNTIF('Elève (6ème2)'!JO6:JQ6,"B"))*3)+((COUNTIF('Elève (6ème2)'!JO6:JQ6,"C"))*2)+((COUNTIF('Elève (6ème2)'!JO6:JQ6,"D"))*1))/(COUNTA(JO6:JQ6)),"")</f>
        <v/>
      </c>
      <c r="JS6" s="111" t="str">
        <f t="shared" si="64"/>
        <v/>
      </c>
      <c r="JT6" s="81"/>
      <c r="JU6" s="82"/>
      <c r="JV6" s="83"/>
      <c r="JW6" s="110" t="str">
        <f>IFERROR((((COUNTIF('Elève (6ème2)'!JT6:JV6,"A"))*4)+((COUNTIF('Elève (6ème2)'!JT6:JV6,"B"))*3)+((COUNTIF('Elève (6ème2)'!JT6:JV6,"C"))*2)+((COUNTIF('Elève (6ème2)'!JT6:JV6,"D"))*1))/(COUNTA(JT6:JV6)),"")</f>
        <v/>
      </c>
      <c r="JX6" s="111" t="str">
        <f t="shared" si="65"/>
        <v/>
      </c>
      <c r="JY6" s="81"/>
      <c r="JZ6" s="82"/>
      <c r="KA6" s="83"/>
      <c r="KB6" s="110" t="str">
        <f>IFERROR((((COUNTIF('Elève (6ème2)'!JY6:KA6,"A"))*4)+((COUNTIF('Elève (6ème2)'!JY6:KA6,"B"))*3)+((COUNTIF('Elève (6ème2)'!JY6:KA6,"C"))*2)+((COUNTIF('Elève (6ème2)'!JY6:KA6,"D"))*1))/(COUNTA(JY6:KA6)),"")</f>
        <v/>
      </c>
      <c r="KC6" s="111" t="str">
        <f t="shared" si="66"/>
        <v/>
      </c>
      <c r="KD6" s="179" t="str">
        <f>IF(COUNT(JR6,JW6,KB6)=0,"",SUM(JR6,JW6,KB6)/COUNT(JR6,JW6,KB6))</f>
        <v/>
      </c>
      <c r="KE6" s="132" t="str">
        <f t="shared" si="67"/>
        <v/>
      </c>
      <c r="KF6" s="156"/>
      <c r="KG6" s="157"/>
      <c r="KH6" s="158"/>
      <c r="KI6" s="110" t="str">
        <f>IFERROR((((COUNTIF('Elève (6ème2)'!KF6:KH6,"A"))*4)+((COUNTIF('Elève (6ème2)'!KF6:KH6,"B"))*3)+((COUNTIF('Elève (6ème2)'!KF6:KH6,"C"))*2)+((COUNTIF('Elève (6ème2)'!KF6:KH6,"D"))*1))/(COUNTA(KF6:KH6)),"")</f>
        <v/>
      </c>
      <c r="KJ6" s="111" t="str">
        <f t="shared" si="68"/>
        <v/>
      </c>
      <c r="KK6" s="81"/>
      <c r="KL6" s="82"/>
      <c r="KM6" s="83"/>
      <c r="KN6" s="110" t="str">
        <f>IFERROR((((COUNTIF('Elève (6ème2)'!KK6:KM6,"A"))*4)+((COUNTIF('Elève (6ème2)'!KK6:KM6,"B"))*3)+((COUNTIF('Elève (6ème2)'!KK6:KM6,"C"))*2)+((COUNTIF('Elève (6ème2)'!KK6:KM6,"D"))*1))/(COUNTA(KK6:KM6)),"")</f>
        <v/>
      </c>
      <c r="KO6" s="111" t="str">
        <f t="shared" si="69"/>
        <v/>
      </c>
      <c r="KP6" s="81"/>
      <c r="KQ6" s="82"/>
      <c r="KR6" s="83"/>
      <c r="KS6" s="110" t="str">
        <f>IFERROR((((COUNTIF('Elève (6ème2)'!KP6:KR6,"A"))*4)+((COUNTIF('Elève (6ème2)'!KP6:KR6,"B"))*3)+((COUNTIF('Elève (6ème2)'!KP6:KR6,"C"))*2)+((COUNTIF('Elève (6ème2)'!KP6:KR6,"D"))*1))/(COUNTA(KP6:KR6)),"")</f>
        <v/>
      </c>
      <c r="KT6" s="111" t="str">
        <f t="shared" si="70"/>
        <v/>
      </c>
      <c r="KU6" s="179" t="str">
        <f>IF(COUNT(KI6,KN6,KS6)=0,"",SUM(KI6,KN6,KS6)/COUNT(KI6,KN6,KS6))</f>
        <v/>
      </c>
      <c r="KV6" s="132" t="str">
        <f t="shared" si="71"/>
        <v/>
      </c>
      <c r="KW6" s="156"/>
      <c r="KX6" s="157"/>
      <c r="KY6" s="158"/>
      <c r="KZ6" s="110" t="str">
        <f>IFERROR((((COUNTIF('Elève (6ème2)'!KW6:KY6,"A"))*4)+((COUNTIF('Elève (6ème2)'!KW6:KY6,"B"))*3)+((COUNTIF('Elève (6ème2)'!KW6:KY6,"C"))*2)+((COUNTIF('Elève (6ème2)'!KW6:KY6,"D"))*1))/(COUNTA(KW6:KY6)),"")</f>
        <v/>
      </c>
      <c r="LA6" s="111" t="str">
        <f t="shared" si="72"/>
        <v/>
      </c>
      <c r="LB6" s="81"/>
      <c r="LC6" s="82"/>
      <c r="LD6" s="83"/>
      <c r="LE6" s="110" t="str">
        <f>IFERROR((((COUNTIF('Elève (6ème2)'!LB6:LD6,"A"))*4)+((COUNTIF('Elève (6ème2)'!LB6:LD6,"B"))*3)+((COUNTIF('Elève (6ème2)'!LB6:LD6,"C"))*2)+((COUNTIF('Elève (6ème2)'!LB6:LD6,"D"))*1))/(COUNTA(LB6:LD6)),"")</f>
        <v/>
      </c>
      <c r="LF6" s="111" t="str">
        <f t="shared" si="73"/>
        <v/>
      </c>
      <c r="LG6" s="81"/>
      <c r="LH6" s="82"/>
      <c r="LI6" s="83"/>
      <c r="LJ6" s="110" t="str">
        <f>IFERROR((((COUNTIF('Elève (6ème2)'!LG6:LI6,"A"))*4)+((COUNTIF('Elève (6ème2)'!LG6:LI6,"B"))*3)+((COUNTIF('Elève (6ème2)'!LG6:LI6,"C"))*2)+((COUNTIF('Elève (6ème2)'!LG6:LI6,"D"))*1))/(COUNTA(LG6:LI6)),"")</f>
        <v/>
      </c>
      <c r="LK6" s="111" t="str">
        <f t="shared" si="74"/>
        <v/>
      </c>
      <c r="LL6" s="179" t="str">
        <f>IF(COUNT(KZ6,LE6,LJ6)=0,"",SUM(KZ6,LE6,LJ6)/COUNT(KZ6,LE6,LJ6))</f>
        <v/>
      </c>
      <c r="LM6" s="132" t="str">
        <f t="shared" si="75"/>
        <v/>
      </c>
      <c r="LN6" s="156"/>
      <c r="LO6" s="157"/>
      <c r="LP6" s="158"/>
      <c r="LQ6" s="110" t="str">
        <f>IFERROR((((COUNTIF('Elève (6ème2)'!LN6:LP6,"A"))*4)+((COUNTIF('Elève (6ème2)'!LN6:LP6,"B"))*3)+((COUNTIF('Elève (6ème2)'!LN6:LP6,"C"))*2)+((COUNTIF('Elève (6ème2)'!LN6:LP6,"D"))*1))/(COUNTA(LN6:LP6)),"")</f>
        <v/>
      </c>
      <c r="LR6" s="111" t="str">
        <f t="shared" si="76"/>
        <v/>
      </c>
      <c r="LS6" s="81"/>
      <c r="LT6" s="82"/>
      <c r="LU6" s="83"/>
      <c r="LV6" s="110" t="str">
        <f>IFERROR((((COUNTIF('Elève (6ème2)'!LS6:LU6,"A"))*4)+((COUNTIF('Elève (6ème2)'!LS6:LU6,"B"))*3)+((COUNTIF('Elève (6ème2)'!LS6:LU6,"C"))*2)+((COUNTIF('Elève (6ème2)'!LS6:LU6,"D"))*1))/(COUNTA(LS6:LU6)),"")</f>
        <v/>
      </c>
      <c r="LW6" s="111" t="str">
        <f t="shared" si="77"/>
        <v/>
      </c>
      <c r="LX6" s="81"/>
      <c r="LY6" s="82"/>
      <c r="LZ6" s="83"/>
      <c r="MA6" s="110" t="str">
        <f>IFERROR((((COUNTIF('Elève (6ème2)'!LX6:LZ6,"A"))*4)+((COUNTIF('Elève (6ème2)'!LX6:LZ6,"B"))*3)+((COUNTIF('Elève (6ème2)'!LX6:LZ6,"C"))*2)+((COUNTIF('Elève (6ème2)'!LX6:LZ6,"D"))*1))/(COUNTA(LX6:LZ6)),"")</f>
        <v/>
      </c>
      <c r="MB6" s="111" t="str">
        <f t="shared" si="78"/>
        <v/>
      </c>
      <c r="MC6" s="179" t="str">
        <f>IF(COUNT(LQ6,LV6,MA6)=0,"",SUM(LQ6,LV6,MA6)/COUNT(LQ6,LV6,MA6))</f>
        <v/>
      </c>
      <c r="MD6" s="132" t="str">
        <f t="shared" si="79"/>
        <v/>
      </c>
      <c r="ME6" s="156"/>
      <c r="MF6" s="157"/>
      <c r="MG6" s="158"/>
      <c r="MH6" s="110" t="str">
        <f>IFERROR((((COUNTIF('Elève (6ème2)'!ME6:MG6,"A"))*4)+((COUNTIF('Elève (6ème2)'!ME6:MG6,"B"))*3)+((COUNTIF('Elève (6ème2)'!ME6:MG6,"C"))*2)+((COUNTIF('Elève (6ème2)'!ME6:MG6,"D"))*1))/(COUNTA(ME6:MG6)),"")</f>
        <v/>
      </c>
      <c r="MI6" s="111" t="str">
        <f t="shared" si="80"/>
        <v/>
      </c>
      <c r="MJ6" s="81"/>
      <c r="MK6" s="82"/>
      <c r="ML6" s="83"/>
      <c r="MM6" s="110" t="str">
        <f>IFERROR((((COUNTIF('Elève (6ème2)'!MJ6:ML6,"A"))*4)+((COUNTIF('Elève (6ème2)'!MJ6:ML6,"B"))*3)+((COUNTIF('Elève (6ème2)'!MJ6:ML6,"C"))*2)+((COUNTIF('Elève (6ème2)'!MJ6:ML6,"D"))*1))/(COUNTA(MJ6:ML6)),"")</f>
        <v/>
      </c>
      <c r="MN6" s="111" t="str">
        <f t="shared" si="81"/>
        <v/>
      </c>
      <c r="MO6" s="81"/>
      <c r="MP6" s="82"/>
      <c r="MQ6" s="83"/>
      <c r="MR6" s="110" t="str">
        <f>IFERROR((((COUNTIF('Elève (6ème2)'!MO6:MQ6,"A"))*4)+((COUNTIF('Elève (6ème2)'!MO6:MQ6,"B"))*3)+((COUNTIF('Elève (6ème2)'!MO6:MQ6,"C"))*2)+((COUNTIF('Elève (6ème2)'!MO6:MQ6,"D"))*1))/(COUNTA(MO6:MQ6)),"")</f>
        <v/>
      </c>
      <c r="MS6" s="111" t="str">
        <f t="shared" si="82"/>
        <v/>
      </c>
      <c r="MT6" s="179" t="str">
        <f>IF(COUNT(MH6,MM6,MR6)=0,"",SUM(MH6,MM6,MR6)/COUNT(MH6,MM6,MR6))</f>
        <v/>
      </c>
      <c r="MU6" s="132" t="str">
        <f t="shared" si="83"/>
        <v/>
      </c>
      <c r="MV6" s="156"/>
      <c r="MW6" s="157"/>
      <c r="MX6" s="158"/>
      <c r="MY6" s="110" t="str">
        <f>IFERROR((((COUNTIF('Elève (6ème2)'!MV6:MX6,"A"))*4)+((COUNTIF('Elève (6ème2)'!MV6:MX6,"B"))*3)+((COUNTIF('Elève (6ème2)'!MV6:MX6,"C"))*2)+((COUNTIF('Elève (6ème2)'!MV6:MX6,"D"))*1))/(COUNTA(MV6:MX6)),"")</f>
        <v/>
      </c>
      <c r="MZ6" s="111" t="str">
        <f t="shared" si="84"/>
        <v/>
      </c>
      <c r="NA6" s="81"/>
      <c r="NB6" s="82"/>
      <c r="NC6" s="83"/>
      <c r="ND6" s="110" t="str">
        <f>IFERROR((((COUNTIF('Elève (6ème2)'!NA6:NC6,"A"))*4)+((COUNTIF('Elève (6ème2)'!NA6:NC6,"B"))*3)+((COUNTIF('Elève (6ème2)'!NA6:NC6,"C"))*2)+((COUNTIF('Elève (6ème2)'!NA6:NC6,"D"))*1))/(COUNTA(NA6:NC6)),"")</f>
        <v/>
      </c>
      <c r="NE6" s="111" t="str">
        <f t="shared" si="85"/>
        <v/>
      </c>
      <c r="NF6" s="81"/>
      <c r="NG6" s="82"/>
      <c r="NH6" s="83"/>
      <c r="NI6" s="110" t="str">
        <f>IFERROR((((COUNTIF('Elève (6ème2)'!NF6:NH6,"A"))*4)+((COUNTIF('Elève (6ème2)'!NF6:NH6,"B"))*3)+((COUNTIF('Elève (6ème2)'!NF6:NH6,"C"))*2)+((COUNTIF('Elève (6ème2)'!NF6:NH6,"D"))*1))/(COUNTA(NF6:NH6)),"")</f>
        <v/>
      </c>
      <c r="NJ6" s="111" t="str">
        <f t="shared" si="86"/>
        <v/>
      </c>
      <c r="NK6" s="179" t="str">
        <f>IF(COUNT(MY6,ND6,NI6)=0,"",SUM(MY6,ND6,NI6)/COUNT(MY6,ND6,NI6))</f>
        <v/>
      </c>
      <c r="NL6" s="132" t="str">
        <f t="shared" si="87"/>
        <v/>
      </c>
      <c r="NM6" s="156"/>
      <c r="NN6" s="157"/>
      <c r="NO6" s="158"/>
      <c r="NP6" s="110" t="str">
        <f>IFERROR((((COUNTIF('Elève (6ème2)'!NM6:NO6,"A"))*4)+((COUNTIF('Elève (6ème2)'!NM6:NO6,"B"))*3)+((COUNTIF('Elève (6ème2)'!NM6:NO6,"C"))*2)+((COUNTIF('Elève (6ème2)'!NM6:NO6,"D"))*1))/(COUNTA(NM6:NO6)),"")</f>
        <v/>
      </c>
      <c r="NQ6" s="111" t="str">
        <f t="shared" si="88"/>
        <v/>
      </c>
      <c r="NR6" s="81"/>
      <c r="NS6" s="82"/>
      <c r="NT6" s="83"/>
      <c r="NU6" s="110" t="str">
        <f>IFERROR((((COUNTIF('Elève (6ème2)'!NR6:NT6,"A"))*4)+((COUNTIF('Elève (6ème2)'!NR6:NT6,"B"))*3)+((COUNTIF('Elève (6ème2)'!NR6:NT6,"C"))*2)+((COUNTIF('Elève (6ème2)'!NR6:NT6,"D"))*1))/(COUNTA(NR6:NT6)),"")</f>
        <v/>
      </c>
      <c r="NV6" s="111" t="str">
        <f t="shared" si="89"/>
        <v/>
      </c>
      <c r="NW6" s="81"/>
      <c r="NX6" s="82"/>
      <c r="NY6" s="83"/>
      <c r="NZ6" s="110" t="str">
        <f>IFERROR((((COUNTIF('Elève (6ème2)'!NW6:NY6,"A"))*4)+((COUNTIF('Elève (6ème2)'!NW6:NY6,"B"))*3)+((COUNTIF('Elève (6ème2)'!NW6:NY6,"C"))*2)+((COUNTIF('Elève (6ème2)'!NW6:NY6,"D"))*1))/(COUNTA(NW6:NY6)),"")</f>
        <v/>
      </c>
      <c r="OA6" s="111" t="str">
        <f t="shared" si="90"/>
        <v/>
      </c>
      <c r="OB6" s="179" t="str">
        <f>IF(COUNT(NP6,NU6,NZ6)=0,"",SUM(NP6,NU6,NZ6)/COUNT(NP6,NU6,NZ6))</f>
        <v/>
      </c>
      <c r="OC6" s="132" t="str">
        <f t="shared" si="91"/>
        <v/>
      </c>
      <c r="OD6" s="156"/>
      <c r="OE6" s="157"/>
      <c r="OF6" s="158"/>
      <c r="OG6" s="110" t="str">
        <f>IFERROR((((COUNTIF('Elève (6ème2)'!OD6:OF6,"A"))*4)+((COUNTIF('Elève (6ème2)'!OD6:OF6,"B"))*3)+((COUNTIF('Elève (6ème2)'!OD6:OF6,"C"))*2)+((COUNTIF('Elève (6ème2)'!OD6:OF6,"D"))*1))/(COUNTA(OD6:OF6)),"")</f>
        <v/>
      </c>
      <c r="OH6" s="111" t="str">
        <f t="shared" si="92"/>
        <v/>
      </c>
      <c r="OI6" s="81"/>
      <c r="OJ6" s="82"/>
      <c r="OK6" s="83"/>
      <c r="OL6" s="110" t="str">
        <f>IFERROR((((COUNTIF('Elève (6ème2)'!OI6:OK6,"A"))*4)+((COUNTIF('Elève (6ème2)'!OI6:OK6,"B"))*3)+((COUNTIF('Elève (6ème2)'!OI6:OK6,"C"))*2)+((COUNTIF('Elève (6ème2)'!OI6:OK6,"D"))*1))/(COUNTA(OI6:OK6)),"")</f>
        <v/>
      </c>
      <c r="OM6" s="111" t="str">
        <f t="shared" si="93"/>
        <v/>
      </c>
      <c r="ON6" s="81"/>
      <c r="OO6" s="82"/>
      <c r="OP6" s="83"/>
      <c r="OQ6" s="110" t="str">
        <f>IFERROR((((COUNTIF('Elève (6ème2)'!ON6:OP6,"A"))*4)+((COUNTIF('Elève (6ème2)'!ON6:OP6,"B"))*3)+((COUNTIF('Elève (6ème2)'!ON6:OP6,"C"))*2)+((COUNTIF('Elève (6ème2)'!ON6:OP6,"D"))*1))/(COUNTA(ON6:OP6)),"")</f>
        <v/>
      </c>
      <c r="OR6" s="111" t="str">
        <f t="shared" si="94"/>
        <v/>
      </c>
      <c r="OS6" s="179" t="str">
        <f>IF(COUNT(OG6,OL6,OQ6)=0,"",SUM(OG6,OL6,OQ6)/COUNT(OG6,OL6,OQ6))</f>
        <v/>
      </c>
      <c r="OT6" s="132" t="str">
        <f t="shared" si="95"/>
        <v/>
      </c>
      <c r="OU6" s="156"/>
      <c r="OV6" s="157"/>
      <c r="OW6" s="158"/>
      <c r="OX6" s="110" t="str">
        <f>IFERROR((((COUNTIF('Elève (6ème2)'!OU6:OW6,"A"))*4)+((COUNTIF('Elève (6ème2)'!OU6:OW6,"B"))*3)+((COUNTIF('Elève (6ème2)'!OU6:OW6,"C"))*2)+((COUNTIF('Elève (6ème2)'!OU6:OW6,"D"))*1))/(COUNTA(OU6:OW6)),"")</f>
        <v/>
      </c>
      <c r="OY6" s="111" t="str">
        <f t="shared" si="96"/>
        <v/>
      </c>
      <c r="OZ6" s="81"/>
      <c r="PA6" s="82"/>
      <c r="PB6" s="83"/>
      <c r="PC6" s="110" t="str">
        <f>IFERROR((((COUNTIF('Elève (6ème2)'!OZ6:PB6,"A"))*4)+((COUNTIF('Elève (6ème2)'!OZ6:PB6,"B"))*3)+((COUNTIF('Elève (6ème2)'!OZ6:PB6,"C"))*2)+((COUNTIF('Elève (6ème2)'!OZ6:PB6,"D"))*1))/(COUNTA(OZ6:PB6)),"")</f>
        <v/>
      </c>
      <c r="PD6" s="111" t="str">
        <f t="shared" si="97"/>
        <v/>
      </c>
      <c r="PE6" s="81"/>
      <c r="PF6" s="82"/>
      <c r="PG6" s="83"/>
      <c r="PH6" s="110" t="str">
        <f>IFERROR((((COUNTIF('Elève (6ème2)'!PE6:PG6,"A"))*4)+((COUNTIF('Elève (6ème2)'!PE6:PG6,"B"))*3)+((COUNTIF('Elève (6ème2)'!PE6:PG6,"C"))*2)+((COUNTIF('Elève (6ème2)'!PE6:PG6,"D"))*1))/(COUNTA(PE6:PG6)),"")</f>
        <v/>
      </c>
      <c r="PI6" s="111" t="str">
        <f t="shared" si="98"/>
        <v/>
      </c>
      <c r="PJ6" s="179" t="str">
        <f>IF(COUNT(OX6,PC6,PH6)=0,"",SUM(OX6,PC6,PH6)/COUNT(OX6,PC6,PH6))</f>
        <v/>
      </c>
      <c r="PK6" s="132" t="str">
        <f t="shared" si="99"/>
        <v/>
      </c>
      <c r="PL6" s="156"/>
      <c r="PM6" s="157"/>
      <c r="PN6" s="158"/>
      <c r="PO6" s="110" t="str">
        <f>IFERROR((((COUNTIF('Elève (6ème2)'!PL6:PN6,"A"))*4)+((COUNTIF('Elève (6ème2)'!PL6:PN6,"B"))*3)+((COUNTIF('Elève (6ème2)'!PL6:PN6,"C"))*2)+((COUNTIF('Elève (6ème2)'!PL6:PN6,"D"))*1))/(COUNTA(PL6:PN6)),"")</f>
        <v/>
      </c>
      <c r="PP6" s="111" t="str">
        <f t="shared" si="100"/>
        <v/>
      </c>
      <c r="PQ6" s="81"/>
      <c r="PR6" s="82"/>
      <c r="PS6" s="83"/>
      <c r="PT6" s="110" t="str">
        <f>IFERROR((((COUNTIF('Elève (6ème2)'!PQ6:PS6,"A"))*4)+((COUNTIF('Elève (6ème2)'!PQ6:PS6,"B"))*3)+((COUNTIF('Elève (6ème2)'!PQ6:PS6,"C"))*2)+((COUNTIF('Elève (6ème2)'!PQ6:PS6,"D"))*1))/(COUNTA(PQ6:PS6)),"")</f>
        <v/>
      </c>
      <c r="PU6" s="111" t="str">
        <f t="shared" si="101"/>
        <v/>
      </c>
      <c r="PV6" s="81"/>
      <c r="PW6" s="82"/>
      <c r="PX6" s="83"/>
      <c r="PY6" s="110" t="str">
        <f>IFERROR((((COUNTIF('Elève (6ème2)'!PV6:PX6,"A"))*4)+((COUNTIF('Elève (6ème2)'!PV6:PX6,"B"))*3)+((COUNTIF('Elève (6ème2)'!PV6:PX6,"C"))*2)+((COUNTIF('Elève (6ème2)'!PV6:PX6,"D"))*1))/(COUNTA(PV6:PX6)),"")</f>
        <v/>
      </c>
      <c r="PZ6" s="111" t="str">
        <f t="shared" si="102"/>
        <v/>
      </c>
      <c r="QA6" s="179" t="str">
        <f>IF(COUNT(PO6,PT6,PY6)=0,"",SUM(PO6,PT6,PY6)/COUNT(PO6,PT6,PY6))</f>
        <v/>
      </c>
      <c r="QB6" s="132" t="str">
        <f t="shared" si="103"/>
        <v/>
      </c>
      <c r="QC6" s="156"/>
      <c r="QD6" s="157"/>
      <c r="QE6" s="158"/>
      <c r="QF6" s="110" t="str">
        <f>IFERROR((((COUNTIF('Elève (6ème2)'!QC6:QE6,"A"))*4)+((COUNTIF('Elève (6ème2)'!QC6:QE6,"B"))*3)+((COUNTIF('Elève (6ème2)'!QC6:QE6,"C"))*2)+((COUNTIF('Elève (6ème2)'!QC6:QE6,"D"))*1))/(COUNTA(QC6:QE6)),"")</f>
        <v/>
      </c>
      <c r="QG6" s="111" t="str">
        <f t="shared" si="104"/>
        <v/>
      </c>
      <c r="QH6" s="81"/>
      <c r="QI6" s="82"/>
      <c r="QJ6" s="83"/>
      <c r="QK6" s="110" t="str">
        <f>IFERROR((((COUNTIF('Elève (6ème2)'!QH6:QJ6,"A"))*4)+((COUNTIF('Elève (6ème2)'!QH6:QJ6,"B"))*3)+((COUNTIF('Elève (6ème2)'!QH6:QJ6,"C"))*2)+((COUNTIF('Elève (6ème2)'!QH6:QJ6,"D"))*1))/(COUNTA(QH6:QJ6)),"")</f>
        <v/>
      </c>
      <c r="QL6" s="111" t="str">
        <f t="shared" si="105"/>
        <v/>
      </c>
      <c r="QM6" s="81"/>
      <c r="QN6" s="82"/>
      <c r="QO6" s="83"/>
      <c r="QP6" s="110" t="str">
        <f>IFERROR((((COUNTIF('Elève (6ème2)'!QM6:QO6,"A"))*4)+((COUNTIF('Elève (6ème2)'!QM6:QO6,"B"))*3)+((COUNTIF('Elève (6ème2)'!QM6:QO6,"C"))*2)+((COUNTIF('Elève (6ème2)'!QM6:QO6,"D"))*1))/(COUNTA(QM6:QO6)),"")</f>
        <v/>
      </c>
      <c r="QQ6" s="111" t="str">
        <f t="shared" si="106"/>
        <v/>
      </c>
      <c r="QR6" s="179" t="str">
        <f>IF(COUNT(QF6,QK6,QP6)=0,"",SUM(QF6,QK6,QP6)/COUNT(QF6,QK6,QP6))</f>
        <v/>
      </c>
      <c r="QS6" s="132" t="str">
        <f t="shared" si="107"/>
        <v/>
      </c>
      <c r="QT6" s="156"/>
      <c r="QU6" s="157"/>
      <c r="QV6" s="158"/>
      <c r="QW6" s="110" t="str">
        <f>IFERROR((((COUNTIF('Elève (6ème2)'!QT6:QV6,"A"))*4)+((COUNTIF('Elève (6ème2)'!QT6:QV6,"B"))*3)+((COUNTIF('Elève (6ème2)'!QT6:QV6,"C"))*2)+((COUNTIF('Elève (6ème2)'!QT6:QV6,"D"))*1))/(COUNTA(QT6:QV6)),"")</f>
        <v/>
      </c>
      <c r="QX6" s="111" t="str">
        <f t="shared" si="108"/>
        <v/>
      </c>
      <c r="QY6" s="81"/>
      <c r="QZ6" s="82"/>
      <c r="RA6" s="83"/>
      <c r="RB6" s="110" t="str">
        <f>IFERROR((((COUNTIF('Elève (6ème2)'!QY6:RA6,"A"))*4)+((COUNTIF('Elève (6ème2)'!QY6:RA6,"B"))*3)+((COUNTIF('Elève (6ème2)'!QY6:RA6,"C"))*2)+((COUNTIF('Elève (6ème2)'!QY6:RA6,"D"))*1))/(COUNTA(QY6:RA6)),"")</f>
        <v/>
      </c>
      <c r="RC6" s="111" t="str">
        <f t="shared" si="109"/>
        <v/>
      </c>
      <c r="RD6" s="81"/>
      <c r="RE6" s="82"/>
      <c r="RF6" s="83"/>
      <c r="RG6" s="110" t="str">
        <f>IFERROR((((COUNTIF('Elève (6ème2)'!RD6:RF6,"A"))*4)+((COUNTIF('Elève (6ème2)'!RD6:RF6,"B"))*3)+((COUNTIF('Elève (6ème2)'!RD6:RF6,"C"))*2)+((COUNTIF('Elève (6ème2)'!RD6:RF6,"D"))*1))/(COUNTA(RD6:RF6)),"")</f>
        <v/>
      </c>
      <c r="RH6" s="111" t="str">
        <f t="shared" si="110"/>
        <v/>
      </c>
      <c r="RI6" s="179" t="str">
        <f>IF(COUNT(QW6,RB6,RG6)=0,"",SUM(QW6,RB6,RG6)/COUNT(QW6,RB6,RG6))</f>
        <v/>
      </c>
      <c r="RJ6" s="132" t="str">
        <f t="shared" si="111"/>
        <v/>
      </c>
      <c r="RK6" s="156"/>
      <c r="RL6" s="157"/>
      <c r="RM6" s="158"/>
      <c r="RN6" s="110" t="str">
        <f>IFERROR((((COUNTIF('Elève (6ème2)'!RK6:RM6,"A"))*4)+((COUNTIF('Elève (6ème2)'!RK6:RM6,"B"))*3)+((COUNTIF('Elève (6ème2)'!RK6:RM6,"C"))*2)+((COUNTIF('Elève (6ème2)'!RK6:RM6,"D"))*1))/(COUNTA(RK6:RM6)),"")</f>
        <v/>
      </c>
      <c r="RO6" s="111" t="str">
        <f t="shared" si="112"/>
        <v/>
      </c>
      <c r="RP6" s="81"/>
      <c r="RQ6" s="82"/>
      <c r="RR6" s="83"/>
      <c r="RS6" s="110" t="str">
        <f>IFERROR((((COUNTIF('Elève (6ème2)'!RP6:RR6,"A"))*4)+((COUNTIF('Elève (6ème2)'!RP6:RR6,"B"))*3)+((COUNTIF('Elève (6ème2)'!RP6:RR6,"C"))*2)+((COUNTIF('Elève (6ème2)'!RP6:RR6,"D"))*1))/(COUNTA(RP6:RR6)),"")</f>
        <v/>
      </c>
      <c r="RT6" s="111" t="str">
        <f t="shared" si="113"/>
        <v/>
      </c>
      <c r="RU6" s="81"/>
      <c r="RV6" s="82"/>
      <c r="RW6" s="83"/>
      <c r="RX6" s="110" t="str">
        <f>IFERROR((((COUNTIF('Elève (6ème2)'!RU6:RW6,"A"))*4)+((COUNTIF('Elève (6ème2)'!RU6:RW6,"B"))*3)+((COUNTIF('Elève (6ème2)'!RU6:RW6,"C"))*2)+((COUNTIF('Elève (6ème2)'!RU6:RW6,"D"))*1))/(COUNTA(RU6:RW6)),"")</f>
        <v/>
      </c>
      <c r="RY6" s="111" t="str">
        <f t="shared" si="114"/>
        <v/>
      </c>
      <c r="RZ6" s="179" t="str">
        <f>IF(COUNT(RN6,RS6,RX6)=0,"",SUM(RN6,RS6,RX6)/COUNT(RN6,RS6,RX6))</f>
        <v/>
      </c>
      <c r="SA6" s="132" t="str">
        <f t="shared" si="115"/>
        <v/>
      </c>
      <c r="SB6" s="156"/>
      <c r="SC6" s="157"/>
      <c r="SD6" s="158"/>
      <c r="SE6" s="110" t="str">
        <f>IFERROR((((COUNTIF('Elève (6ème2)'!SB6:SD6,"A"))*4)+((COUNTIF('Elève (6ème2)'!SB6:SD6,"B"))*3)+((COUNTIF('Elève (6ème2)'!SB6:SD6,"C"))*2)+((COUNTIF('Elève (6ème2)'!SB6:SD6,"D"))*1))/(COUNTA(SB6:SD6)),"")</f>
        <v/>
      </c>
      <c r="SF6" s="111" t="str">
        <f t="shared" si="116"/>
        <v/>
      </c>
      <c r="SG6" s="81"/>
      <c r="SH6" s="82"/>
      <c r="SI6" s="83"/>
      <c r="SJ6" s="110" t="str">
        <f>IFERROR((((COUNTIF('Elève (6ème2)'!SG6:SI6,"A"))*4)+((COUNTIF('Elève (6ème2)'!SG6:SI6,"B"))*3)+((COUNTIF('Elève (6ème2)'!SG6:SI6,"C"))*2)+((COUNTIF('Elève (6ème2)'!SG6:SI6,"D"))*1))/(COUNTA(SG6:SI6)),"")</f>
        <v/>
      </c>
      <c r="SK6" s="111" t="str">
        <f t="shared" si="117"/>
        <v/>
      </c>
      <c r="SL6" s="81"/>
      <c r="SM6" s="82"/>
      <c r="SN6" s="83"/>
      <c r="SO6" s="110" t="str">
        <f>IFERROR((((COUNTIF('Elève (6ème2)'!SL6:SN6,"A"))*4)+((COUNTIF('Elève (6ème2)'!SL6:SN6,"B"))*3)+((COUNTIF('Elève (6ème2)'!SL6:SN6,"C"))*2)+((COUNTIF('Elève (6ème2)'!SL6:SN6,"D"))*1))/(COUNTA(SL6:SN6)),"")</f>
        <v/>
      </c>
      <c r="SP6" s="111" t="str">
        <f t="shared" si="118"/>
        <v/>
      </c>
      <c r="SQ6" s="179" t="str">
        <f>IF(COUNT(SE6,SJ6,SO6)=0,"",SUM(SE6,SJ6,SO6)/COUNT(SE6,SJ6,SO6))</f>
        <v/>
      </c>
      <c r="SR6" s="132" t="str">
        <f t="shared" si="119"/>
        <v/>
      </c>
    </row>
    <row r="7" spans="1:512" s="87" customFormat="1" ht="17.25" customHeight="1" thickBot="1" x14ac:dyDescent="0.3">
      <c r="A7" s="95" t="s">
        <v>14</v>
      </c>
      <c r="B7" s="76">
        <v>1</v>
      </c>
      <c r="C7" s="162"/>
      <c r="D7" s="189"/>
      <c r="E7" s="189"/>
      <c r="F7" s="106">
        <f>IFERROR((((COUNTIF('Elève (6ème2)'!C8:E11,"A"))*4)+((COUNTIF('Elève (6ème2)'!C8:E11,"B"))*3)+((COUNTIF('Elève (6ème2)'!C8:E11,"C"))*2)+((COUNTIF('Elève (6ème2)'!C8:E11,"D"))*1))/(COUNTA(C8:E11)),"")</f>
        <v>3</v>
      </c>
      <c r="G7" s="107" t="str">
        <f t="shared" si="0"/>
        <v>B</v>
      </c>
      <c r="H7" s="100"/>
      <c r="I7" s="187"/>
      <c r="J7" s="188"/>
      <c r="K7" s="106" t="str">
        <f>IFERROR((((COUNTIF('Elève (6ème2)'!H8:J11,"A"))*4)+((COUNTIF('Elève (6ème2)'!H8:J11,"B"))*3)+((COUNTIF('Elève (6ème2)'!H8:J11,"C"))*2)+((COUNTIF('Elève (6ème2)'!H8:J11,"D"))*1))/(COUNTA(H8:J11)),"")</f>
        <v/>
      </c>
      <c r="L7" s="121" t="str">
        <f t="shared" si="1"/>
        <v/>
      </c>
      <c r="M7" s="100"/>
      <c r="N7" s="187"/>
      <c r="O7" s="188"/>
      <c r="P7" s="106" t="str">
        <f>IFERROR((((COUNTIF('Elève (6ème2)'!M8:O11,"A"))*4)+((COUNTIF('Elève (6ème2)'!M8:O11,"B"))*3)+((COUNTIF('Elève (6ème2)'!M8:O11,"C"))*2)+((COUNTIF('Elève (6ème2)'!M8:O11,"D"))*1))/(COUNTA(M8:O11)),"")</f>
        <v/>
      </c>
      <c r="Q7" s="128" t="str">
        <f t="shared" si="2"/>
        <v/>
      </c>
      <c r="R7" s="177">
        <f>IFERROR((((COUNTIF(C8:E11,"A")+COUNTIF(H8:J11,"A")+COUNTIF(M8:O11,"A"))*4)+((COUNTIF(C8:E11,"B")+COUNTIF(H8:J11,"B")+COUNTIF(M8:O11,"B"))*3)+((COUNTIF(C8:E11,"C")+COUNTIF(H8:J11,"C")+COUNTIF(M8:O11,"C"))*2)+((COUNTIF(C8:E11,"D")+COUNTIF(H8:J11,"D")+COUNTIF(M8:O11,"D"))*1))/(COUNTA(C8:E11)+COUNTA(H8:J11)+COUNTA(M8:O11)),"")</f>
        <v>3</v>
      </c>
      <c r="S7" s="130" t="str">
        <f t="shared" si="3"/>
        <v>B</v>
      </c>
      <c r="T7" s="162"/>
      <c r="U7" s="189"/>
      <c r="V7" s="189"/>
      <c r="W7" s="106">
        <f>IFERROR((((COUNTIF('Elève (6ème2)'!T8:V11,"A"))*4)+((COUNTIF('Elève (6ème2)'!T8:V11,"B"))*3)+((COUNTIF('Elève (6ème2)'!T8:V11,"C"))*2)+((COUNTIF('Elève (6ème2)'!T8:V11,"D"))*1))/(COUNTA(T8:V11)),"")</f>
        <v>3.5</v>
      </c>
      <c r="X7" s="107" t="str">
        <f t="shared" si="4"/>
        <v>B</v>
      </c>
      <c r="Y7" s="100"/>
      <c r="Z7" s="187"/>
      <c r="AA7" s="188"/>
      <c r="AB7" s="106" t="str">
        <f>IFERROR((((COUNTIF('Elève (6ème2)'!Y8:AA11,"A"))*4)+((COUNTIF('Elève (6ème2)'!Y8:AA11,"B"))*3)+((COUNTIF('Elève (6ème2)'!Y8:AA11,"C"))*2)+((COUNTIF('Elève (6ème2)'!Y8:AA11,"D"))*1))/(COUNTA(Y8:AA11)),"")</f>
        <v/>
      </c>
      <c r="AC7" s="121" t="str">
        <f t="shared" si="5"/>
        <v/>
      </c>
      <c r="AD7" s="100"/>
      <c r="AE7" s="187"/>
      <c r="AF7" s="188"/>
      <c r="AG7" s="106" t="str">
        <f>IFERROR((((COUNTIF('Elève (6ème2)'!AD8:AF11,"A"))*4)+((COUNTIF('Elève (6ème2)'!AD8:AF11,"B"))*3)+((COUNTIF('Elève (6ème2)'!AD8:AF11,"C"))*2)+((COUNTIF('Elève (6ème2)'!AD8:AF11,"D"))*1))/(COUNTA(AD8:AF11)),"")</f>
        <v/>
      </c>
      <c r="AH7" s="128" t="str">
        <f t="shared" si="6"/>
        <v/>
      </c>
      <c r="AI7" s="177">
        <f>IFERROR((((COUNTIF(T8:V11,"A")+COUNTIF(Y8:AA11,"A")+COUNTIF(AD8:AF11,"A"))*4)+((COUNTIF(T8:V11,"B")+COUNTIF(Y8:AA11,"B")+COUNTIF(AD8:AF11,"B"))*3)+((COUNTIF(T8:V11,"C")+COUNTIF(Y8:AA11,"C")+COUNTIF(AD8:AF11,"C"))*2)+((COUNTIF(T8:V11,"D")+COUNTIF(Y8:AA11,"D")+COUNTIF(AD8:AF11,"D"))*1))/(COUNTA(T8:V11)+COUNTA(Y8:AA11)+COUNTA(AD8:AF11)),"")</f>
        <v>3.5</v>
      </c>
      <c r="AJ7" s="130" t="str">
        <f t="shared" si="7"/>
        <v>B</v>
      </c>
      <c r="AK7" s="162"/>
      <c r="AL7" s="189"/>
      <c r="AM7" s="189"/>
      <c r="AN7" s="106">
        <f>IFERROR((((COUNTIF('Elève (6ème2)'!AK8:AM11,"A"))*4)+((COUNTIF('Elève (6ème2)'!AK8:AM11,"B"))*3)+((COUNTIF('Elève (6ème2)'!AK8:AM11,"C"))*2)+((COUNTIF('Elève (6ème2)'!AK8:AM11,"D"))*1))/(COUNTA(AK8:AM11)),"")</f>
        <v>2</v>
      </c>
      <c r="AO7" s="107" t="str">
        <f t="shared" si="8"/>
        <v>C</v>
      </c>
      <c r="AP7" s="100"/>
      <c r="AQ7" s="187"/>
      <c r="AR7" s="188"/>
      <c r="AS7" s="106" t="str">
        <f>IFERROR((((COUNTIF('Elève (6ème2)'!AP8:AR11,"A"))*4)+((COUNTIF('Elève (6ème2)'!AP8:AR11,"B"))*3)+((COUNTIF('Elève (6ème2)'!AP8:AR11,"C"))*2)+((COUNTIF('Elève (6ème2)'!AP8:AR11,"D"))*1))/(COUNTA(AP8:AR11)),"")</f>
        <v/>
      </c>
      <c r="AT7" s="121" t="str">
        <f t="shared" si="9"/>
        <v/>
      </c>
      <c r="AU7" s="100"/>
      <c r="AV7" s="187"/>
      <c r="AW7" s="188"/>
      <c r="AX7" s="106" t="str">
        <f>IFERROR((((COUNTIF('Elève (6ème2)'!AU8:AW11,"A"))*4)+((COUNTIF('Elève (6ème2)'!AU8:AW11,"B"))*3)+((COUNTIF('Elève (6ème2)'!AU8:AW11,"C"))*2)+((COUNTIF('Elève (6ème2)'!AU8:AW11,"D"))*1))/(COUNTA(AU8:AW11)),"")</f>
        <v/>
      </c>
      <c r="AY7" s="128" t="str">
        <f t="shared" si="10"/>
        <v/>
      </c>
      <c r="AZ7" s="177">
        <f>IFERROR((((COUNTIF(AK8:AM11,"A")+COUNTIF(AP8:AR11,"A")+COUNTIF(AU8:AW11,"A"))*4)+((COUNTIF(AK8:AM11,"B")+COUNTIF(AP8:AR11,"B")+COUNTIF(AU8:AW11,"B"))*3)+((COUNTIF(AK8:AM11,"C")+COUNTIF(AP8:AR11,"C")+COUNTIF(AU8:AW11,"C"))*2)+((COUNTIF(AK8:AM11,"D")+COUNTIF(AP8:AR11,"D")+COUNTIF(AU8:AW11,"D"))*1))/(COUNTA(AK8:AM11)+COUNTA(AP8:AR11)+COUNTA(AU8:AW11)),"")</f>
        <v>2</v>
      </c>
      <c r="BA7" s="130" t="str">
        <f t="shared" si="11"/>
        <v>C</v>
      </c>
      <c r="BB7" s="162"/>
      <c r="BC7" s="189"/>
      <c r="BD7" s="189"/>
      <c r="BE7" s="106">
        <f>IFERROR((((COUNTIF('Elève (6ème2)'!BB8:BD11,"A"))*4)+((COUNTIF('Elève (6ème2)'!BB8:BD11,"B"))*3)+((COUNTIF('Elève (6ème2)'!BB8:BD11,"C"))*2)+((COUNTIF('Elève (6ème2)'!BB8:BD11,"D"))*1))/(COUNTA(BB8:BD11)),"")</f>
        <v>4</v>
      </c>
      <c r="BF7" s="107" t="str">
        <f t="shared" si="12"/>
        <v>A</v>
      </c>
      <c r="BG7" s="100"/>
      <c r="BH7" s="187"/>
      <c r="BI7" s="188"/>
      <c r="BJ7" s="106" t="str">
        <f>IFERROR((((COUNTIF('Elève (6ème2)'!BG8:BI11,"A"))*4)+((COUNTIF('Elève (6ème2)'!BG8:BI11,"B"))*3)+((COUNTIF('Elève (6ème2)'!BG8:BI11,"C"))*2)+((COUNTIF('Elève (6ème2)'!BG8:BI11,"D"))*1))/(COUNTA(BG8:BI11)),"")</f>
        <v/>
      </c>
      <c r="BK7" s="121" t="str">
        <f t="shared" si="13"/>
        <v/>
      </c>
      <c r="BL7" s="100"/>
      <c r="BM7" s="187"/>
      <c r="BN7" s="188"/>
      <c r="BO7" s="106" t="str">
        <f>IFERROR((((COUNTIF('Elève (6ème2)'!BL8:BN11,"A"))*4)+((COUNTIF('Elève (6ème2)'!BL8:BN11,"B"))*3)+((COUNTIF('Elève (6ème2)'!BL8:BN11,"C"))*2)+((COUNTIF('Elève (6ème2)'!BL8:BN11,"D"))*1))/(COUNTA(BL8:BN11)),"")</f>
        <v/>
      </c>
      <c r="BP7" s="128" t="str">
        <f t="shared" si="14"/>
        <v/>
      </c>
      <c r="BQ7" s="177">
        <f>IFERROR((((COUNTIF(BB8:BD11,"A")+COUNTIF(BG8:BI11,"A")+COUNTIF(BL8:BN11,"A"))*4)+((COUNTIF(BB8:BD11,"B")+COUNTIF(BG8:BI11,"B")+COUNTIF(BL8:BN11,"B"))*3)+((COUNTIF(BB8:BD11,"C")+COUNTIF(BG8:BI11,"C")+COUNTIF(BL8:BN11,"C"))*2)+((COUNTIF(BB8:BD11,"D")+COUNTIF(BG8:BI11,"D")+COUNTIF(BL8:BN11,"D"))*1))/(COUNTA(BB8:BD11)+COUNTA(BG8:BI11)+COUNTA(BL8:BN11)),"")</f>
        <v>4</v>
      </c>
      <c r="BR7" s="130" t="str">
        <f t="shared" si="15"/>
        <v>A</v>
      </c>
      <c r="BS7" s="162"/>
      <c r="BT7" s="189"/>
      <c r="BU7" s="189"/>
      <c r="BV7" s="106">
        <f>IFERROR((((COUNTIF('Elève (6ème2)'!BS8:BU11,"A"))*4)+((COUNTIF('Elève (6ème2)'!BS8:BU11,"B"))*3)+((COUNTIF('Elève (6ème2)'!BS8:BU11,"C"))*2)+((COUNTIF('Elève (6ème2)'!BS8:BU11,"D"))*1))/(COUNTA(BS8:BU11)),"")</f>
        <v>4</v>
      </c>
      <c r="BW7" s="107" t="str">
        <f t="shared" si="16"/>
        <v>A</v>
      </c>
      <c r="BX7" s="100"/>
      <c r="BY7" s="187"/>
      <c r="BZ7" s="188"/>
      <c r="CA7" s="106" t="str">
        <f>IFERROR((((COUNTIF('Elève (6ème2)'!BX8:BZ11,"A"))*4)+((COUNTIF('Elève (6ème2)'!BX8:BZ11,"B"))*3)+((COUNTIF('Elève (6ème2)'!BX8:BZ11,"C"))*2)+((COUNTIF('Elève (6ème2)'!BX8:BZ11,"D"))*1))/(COUNTA(BX8:BZ11)),"")</f>
        <v/>
      </c>
      <c r="CB7" s="121" t="str">
        <f t="shared" si="17"/>
        <v/>
      </c>
      <c r="CC7" s="100"/>
      <c r="CD7" s="187"/>
      <c r="CE7" s="188"/>
      <c r="CF7" s="106" t="str">
        <f>IFERROR((((COUNTIF('Elève (6ème2)'!CC8:CE11,"A"))*4)+((COUNTIF('Elève (6ème2)'!CC8:CE11,"B"))*3)+((COUNTIF('Elève (6ème2)'!CC8:CE11,"C"))*2)+((COUNTIF('Elève (6ème2)'!CC8:CE11,"D"))*1))/(COUNTA(CC8:CE11)),"")</f>
        <v/>
      </c>
      <c r="CG7" s="128" t="str">
        <f t="shared" si="18"/>
        <v/>
      </c>
      <c r="CH7" s="177">
        <f>IFERROR((((COUNTIF(BS8:BU11,"A")+COUNTIF(BX8:BZ11,"A")+COUNTIF(CC8:CE11,"A"))*4)+((COUNTIF(BS8:BU11,"B")+COUNTIF(BX8:BZ11,"B")+COUNTIF(CC8:CE11,"B"))*3)+((COUNTIF(BS8:BU11,"C")+COUNTIF(BX8:BZ11,"C")+COUNTIF(CC8:CE11,"C"))*2)+((COUNTIF(BS8:BU11,"D")+COUNTIF(BX8:BZ11,"D")+COUNTIF(CC8:CE11,"D"))*1))/(COUNTA(BS8:BU11)+COUNTA(BX8:BZ11)+COUNTA(CC8:CE11)),"")</f>
        <v>4</v>
      </c>
      <c r="CI7" s="130" t="str">
        <f t="shared" si="19"/>
        <v>A</v>
      </c>
      <c r="CJ7" s="162"/>
      <c r="CK7" s="189"/>
      <c r="CL7" s="189"/>
      <c r="CM7" s="106">
        <f>IFERROR((((COUNTIF('Elève (6ème2)'!CJ8:CL11,"A"))*4)+((COUNTIF('Elève (6ème2)'!CJ8:CL11,"B"))*3)+((COUNTIF('Elève (6ème2)'!CJ8:CL11,"C"))*2)+((COUNTIF('Elève (6ème2)'!CJ8:CL11,"D"))*1))/(COUNTA(CJ8:CL11)),"")</f>
        <v>3</v>
      </c>
      <c r="CN7" s="107" t="str">
        <f t="shared" si="20"/>
        <v>B</v>
      </c>
      <c r="CO7" s="100"/>
      <c r="CP7" s="187"/>
      <c r="CQ7" s="188"/>
      <c r="CR7" s="106" t="str">
        <f>IFERROR((((COUNTIF('Elève (6ème2)'!CO8:CQ11,"A"))*4)+((COUNTIF('Elève (6ème2)'!CO8:CQ11,"B"))*3)+((COUNTIF('Elève (6ème2)'!CO8:CQ11,"C"))*2)+((COUNTIF('Elève (6ème2)'!CO8:CQ11,"D"))*1))/(COUNTA(CO8:CQ11)),"")</f>
        <v/>
      </c>
      <c r="CS7" s="121" t="str">
        <f t="shared" si="21"/>
        <v/>
      </c>
      <c r="CT7" s="100"/>
      <c r="CU7" s="187"/>
      <c r="CV7" s="188"/>
      <c r="CW7" s="106" t="str">
        <f>IFERROR((((COUNTIF('Elève (6ème2)'!CT8:CV11,"A"))*4)+((COUNTIF('Elève (6ème2)'!CT8:CV11,"B"))*3)+((COUNTIF('Elève (6ème2)'!CT8:CV11,"C"))*2)+((COUNTIF('Elève (6ème2)'!CT8:CV11,"D"))*1))/(COUNTA(CT8:CV11)),"")</f>
        <v/>
      </c>
      <c r="CX7" s="128" t="str">
        <f t="shared" si="22"/>
        <v/>
      </c>
      <c r="CY7" s="177">
        <f>IFERROR((((COUNTIF(CJ8:CL11,"A")+COUNTIF(CO8:CQ11,"A")+COUNTIF(CT8:CV11,"A"))*4)+((COUNTIF(CJ8:CL11,"B")+COUNTIF(CO8:CQ11,"B")+COUNTIF(CT8:CV11,"B"))*3)+((COUNTIF(CJ8:CL11,"C")+COUNTIF(CO8:CQ11,"C")+COUNTIF(CT8:CV11,"C"))*2)+((COUNTIF(CJ8:CL11,"D")+COUNTIF(CO8:CQ11,"D")+COUNTIF(CT8:CV11,"D"))*1))/(COUNTA(CJ8:CL11)+COUNTA(CO8:CQ11)+COUNTA(CT8:CV11)),"")</f>
        <v>3</v>
      </c>
      <c r="CZ7" s="130" t="str">
        <f t="shared" si="23"/>
        <v>B</v>
      </c>
      <c r="DA7" s="162"/>
      <c r="DB7" s="189"/>
      <c r="DC7" s="189"/>
      <c r="DD7" s="106">
        <f>IFERROR((((COUNTIF('Elève (6ème2)'!DA8:DC11,"A"))*4)+((COUNTIF('Elève (6ème2)'!DA8:DC11,"B"))*3)+((COUNTIF('Elève (6ème2)'!DA8:DC11,"C"))*2)+((COUNTIF('Elève (6ème2)'!DA8:DC11,"D"))*1))/(COUNTA(DA8:DC11)),"")</f>
        <v>4</v>
      </c>
      <c r="DE7" s="107" t="str">
        <f t="shared" si="24"/>
        <v>A</v>
      </c>
      <c r="DF7" s="100"/>
      <c r="DG7" s="187"/>
      <c r="DH7" s="188"/>
      <c r="DI7" s="106" t="str">
        <f>IFERROR((((COUNTIF('Elève (6ème2)'!DF8:DH11,"A"))*4)+((COUNTIF('Elève (6ème2)'!DF8:DH11,"B"))*3)+((COUNTIF('Elève (6ème2)'!DF8:DH11,"C"))*2)+((COUNTIF('Elève (6ème2)'!DF8:DH11,"D"))*1))/(COUNTA(DF8:DH11)),"")</f>
        <v/>
      </c>
      <c r="DJ7" s="121" t="str">
        <f t="shared" si="25"/>
        <v/>
      </c>
      <c r="DK7" s="100"/>
      <c r="DL7" s="187"/>
      <c r="DM7" s="188"/>
      <c r="DN7" s="106" t="str">
        <f>IFERROR((((COUNTIF('Elève (6ème2)'!DK8:DM11,"A"))*4)+((COUNTIF('Elève (6ème2)'!DK8:DM11,"B"))*3)+((COUNTIF('Elève (6ème2)'!DK8:DM11,"C"))*2)+((COUNTIF('Elève (6ème2)'!DK8:DM11,"D"))*1))/(COUNTA(DK8:DM11)),"")</f>
        <v/>
      </c>
      <c r="DO7" s="128" t="str">
        <f t="shared" si="26"/>
        <v/>
      </c>
      <c r="DP7" s="177">
        <f>IFERROR((((COUNTIF(DA8:DC11,"A")+COUNTIF(DF8:DH11,"A")+COUNTIF(DK8:DM11,"A"))*4)+((COUNTIF(DA8:DC11,"B")+COUNTIF(DF8:DH11,"B")+COUNTIF(DK8:DM11,"B"))*3)+((COUNTIF(DA8:DC11,"C")+COUNTIF(DF8:DH11,"C")+COUNTIF(DK8:DM11,"C"))*2)+((COUNTIF(DA8:DC11,"D")+COUNTIF(DF8:DH11,"D")+COUNTIF(DK8:DM11,"D"))*1))/(COUNTA(DA8:DC11)+COUNTA(DF8:DH11)+COUNTA(DK8:DM11)),"")</f>
        <v>4</v>
      </c>
      <c r="DQ7" s="130" t="str">
        <f t="shared" si="27"/>
        <v>A</v>
      </c>
      <c r="DR7" s="162"/>
      <c r="DS7" s="189"/>
      <c r="DT7" s="189"/>
      <c r="DU7" s="106">
        <f>IFERROR((((COUNTIF('Elève (6ème2)'!DR8:DT11,"A"))*4)+((COUNTIF('Elève (6ème2)'!DR8:DT11,"B"))*3)+((COUNTIF('Elève (6ème2)'!DR8:DT11,"C"))*2)+((COUNTIF('Elève (6ème2)'!DR8:DT11,"D"))*1))/(COUNTA(DR8:DT11)),"")</f>
        <v>3.5</v>
      </c>
      <c r="DV7" s="107" t="str">
        <f t="shared" si="28"/>
        <v>B</v>
      </c>
      <c r="DW7" s="100"/>
      <c r="DX7" s="187"/>
      <c r="DY7" s="188"/>
      <c r="DZ7" s="106" t="str">
        <f>IFERROR((((COUNTIF('Elève (6ème2)'!DW8:DY11,"A"))*4)+((COUNTIF('Elève (6ème2)'!DW8:DY11,"B"))*3)+((COUNTIF('Elève (6ème2)'!DW8:DY11,"C"))*2)+((COUNTIF('Elève (6ème2)'!DW8:DY11,"D"))*1))/(COUNTA(DW8:DY11)),"")</f>
        <v/>
      </c>
      <c r="EA7" s="121" t="str">
        <f t="shared" si="29"/>
        <v/>
      </c>
      <c r="EB7" s="100"/>
      <c r="EC7" s="187"/>
      <c r="ED7" s="188"/>
      <c r="EE7" s="106" t="str">
        <f>IFERROR((((COUNTIF('Elève (6ème2)'!EB8:ED11,"A"))*4)+((COUNTIF('Elève (6ème2)'!EB8:ED11,"B"))*3)+((COUNTIF('Elève (6ème2)'!EB8:ED11,"C"))*2)+((COUNTIF('Elève (6ème2)'!EB8:ED11,"D"))*1))/(COUNTA(EB8:ED11)),"")</f>
        <v/>
      </c>
      <c r="EF7" s="128" t="str">
        <f t="shared" si="30"/>
        <v/>
      </c>
      <c r="EG7" s="177">
        <f>IFERROR((((COUNTIF(DR8:DT11,"A")+COUNTIF(DW8:DY11,"A")+COUNTIF(EB8:ED11,"A"))*4)+((COUNTIF(DR8:DT11,"B")+COUNTIF(DW8:DY11,"B")+COUNTIF(EB8:ED11,"B"))*3)+((COUNTIF(DR8:DT11,"C")+COUNTIF(DW8:DY11,"C")+COUNTIF(EB8:ED11,"C"))*2)+((COUNTIF(DR8:DT11,"D")+COUNTIF(DW8:DY11,"D")+COUNTIF(EB8:ED11,"D"))*1))/(COUNTA(DR8:DT11)+COUNTA(DW8:DY11)+COUNTA(EB8:ED11)),"")</f>
        <v>3.5</v>
      </c>
      <c r="EH7" s="130" t="str">
        <f t="shared" si="31"/>
        <v>B</v>
      </c>
      <c r="EI7" s="162"/>
      <c r="EJ7" s="189"/>
      <c r="EK7" s="189"/>
      <c r="EL7" s="106">
        <f>IFERROR((((COUNTIF('Elève (6ème2)'!EI8:EK11,"A"))*4)+((COUNTIF('Elève (6ème2)'!EI8:EK11,"B"))*3)+((COUNTIF('Elève (6ème2)'!EI8:EK11,"C"))*2)+((COUNTIF('Elève (6ème2)'!EI8:EK11,"D"))*1))/(COUNTA(EI8:EK11)),"")</f>
        <v>1.5</v>
      </c>
      <c r="EM7" s="107" t="str">
        <f t="shared" si="32"/>
        <v>D</v>
      </c>
      <c r="EN7" s="100"/>
      <c r="EO7" s="187"/>
      <c r="EP7" s="188"/>
      <c r="EQ7" s="106" t="str">
        <f>IFERROR((((COUNTIF('Elève (6ème2)'!EN8:EP11,"A"))*4)+((COUNTIF('Elève (6ème2)'!EN8:EP11,"B"))*3)+((COUNTIF('Elève (6ème2)'!EN8:EP11,"C"))*2)+((COUNTIF('Elève (6ème2)'!EN8:EP11,"D"))*1))/(COUNTA(EN8:EP11)),"")</f>
        <v/>
      </c>
      <c r="ER7" s="121" t="str">
        <f t="shared" si="33"/>
        <v/>
      </c>
      <c r="ES7" s="100"/>
      <c r="ET7" s="187"/>
      <c r="EU7" s="188"/>
      <c r="EV7" s="106" t="str">
        <f>IFERROR((((COUNTIF('Elève (6ème2)'!ES8:EU11,"A"))*4)+((COUNTIF('Elève (6ème2)'!ES8:EU11,"B"))*3)+((COUNTIF('Elève (6ème2)'!ES8:EU11,"C"))*2)+((COUNTIF('Elève (6ème2)'!ES8:EU11,"D"))*1))/(COUNTA(ES8:EU11)),"")</f>
        <v/>
      </c>
      <c r="EW7" s="128" t="str">
        <f t="shared" si="34"/>
        <v/>
      </c>
      <c r="EX7" s="177">
        <f>IFERROR((((COUNTIF(EI8:EK11,"A")+COUNTIF(EN8:EP11,"A")+COUNTIF(ES8:EU11,"A"))*4)+((COUNTIF(EI8:EK11,"B")+COUNTIF(EN8:EP11,"B")+COUNTIF(ES8:EU11,"B"))*3)+((COUNTIF(EI8:EK11,"C")+COUNTIF(EN8:EP11,"C")+COUNTIF(ES8:EU11,"C"))*2)+((COUNTIF(EI8:EK11,"D")+COUNTIF(EN8:EP11,"D")+COUNTIF(ES8:EU11,"D"))*1))/(COUNTA(EI8:EK11)+COUNTA(EN8:EP11)+COUNTA(ES8:EU11)),"")</f>
        <v>1.5</v>
      </c>
      <c r="EY7" s="130" t="str">
        <f t="shared" si="35"/>
        <v>D</v>
      </c>
      <c r="EZ7" s="162"/>
      <c r="FA7" s="189"/>
      <c r="FB7" s="189"/>
      <c r="FC7" s="106">
        <f>IFERROR((((COUNTIF('Elève (6ème2)'!EZ8:FB11,"A"))*4)+((COUNTIF('Elève (6ème2)'!EZ8:FB11,"B"))*3)+((COUNTIF('Elève (6ème2)'!EZ8:FB11,"C"))*2)+((COUNTIF('Elève (6ème2)'!EZ8:FB11,"D"))*1))/(COUNTA(EZ8:FB11)),"")</f>
        <v>3.5</v>
      </c>
      <c r="FD7" s="107" t="str">
        <f t="shared" si="36"/>
        <v>B</v>
      </c>
      <c r="FE7" s="100"/>
      <c r="FF7" s="187"/>
      <c r="FG7" s="188"/>
      <c r="FH7" s="106" t="str">
        <f>IFERROR((((COUNTIF('Elève (6ème2)'!FE8:FG11,"A"))*4)+((COUNTIF('Elève (6ème2)'!FE8:FG11,"B"))*3)+((COUNTIF('Elève (6ème2)'!FE8:FG11,"C"))*2)+((COUNTIF('Elève (6ème2)'!FE8:FG11,"D"))*1))/(COUNTA(FE8:FG11)),"")</f>
        <v/>
      </c>
      <c r="FI7" s="121" t="str">
        <f t="shared" si="37"/>
        <v/>
      </c>
      <c r="FJ7" s="100"/>
      <c r="FK7" s="187"/>
      <c r="FL7" s="188"/>
      <c r="FM7" s="106" t="str">
        <f>IFERROR((((COUNTIF('Elève (6ème2)'!FJ8:FL11,"A"))*4)+((COUNTIF('Elève (6ème2)'!FJ8:FL11,"B"))*3)+((COUNTIF('Elève (6ème2)'!FJ8:FL11,"C"))*2)+((COUNTIF('Elève (6ème2)'!FJ8:FL11,"D"))*1))/(COUNTA(FJ8:FL11)),"")</f>
        <v/>
      </c>
      <c r="FN7" s="128" t="str">
        <f t="shared" si="38"/>
        <v/>
      </c>
      <c r="FO7" s="177">
        <f>IFERROR((((COUNTIF(EZ8:FB11,"A")+COUNTIF(FE8:FG11,"A")+COUNTIF(FJ8:FL11,"A"))*4)+((COUNTIF(EZ8:FB11,"B")+COUNTIF(FE8:FG11,"B")+COUNTIF(FJ8:FL11,"B"))*3)+((COUNTIF(EZ8:FB11,"C")+COUNTIF(FE8:FG11,"C")+COUNTIF(FJ8:FL11,"C"))*2)+((COUNTIF(EZ8:FB11,"D")+COUNTIF(FE8:FG11,"D")+COUNTIF(FJ8:FL11,"D"))*1))/(COUNTA(EZ8:FB11)+COUNTA(FE8:FG11)+COUNTA(FJ8:FL11)),"")</f>
        <v>3.5</v>
      </c>
      <c r="FP7" s="130" t="str">
        <f t="shared" si="39"/>
        <v>B</v>
      </c>
      <c r="FQ7" s="162"/>
      <c r="FR7" s="189"/>
      <c r="FS7" s="189"/>
      <c r="FT7" s="106">
        <f>IFERROR((((COUNTIF('Elève (6ème2)'!FQ8:FS11,"A"))*4)+((COUNTIF('Elève (6ème2)'!FQ8:FS11,"B"))*3)+((COUNTIF('Elève (6ème2)'!FQ8:FS11,"C"))*2)+((COUNTIF('Elève (6ème2)'!FQ8:FS11,"D"))*1))/(COUNTA(FQ8:FS11)),"")</f>
        <v>4</v>
      </c>
      <c r="FU7" s="107" t="str">
        <f t="shared" si="40"/>
        <v>A</v>
      </c>
      <c r="FV7" s="100"/>
      <c r="FW7" s="187"/>
      <c r="FX7" s="188"/>
      <c r="FY7" s="106" t="str">
        <f>IFERROR((((COUNTIF('Elève (6ème2)'!FV8:FX11,"A"))*4)+((COUNTIF('Elève (6ème2)'!FV8:FX11,"B"))*3)+((COUNTIF('Elève (6ème2)'!FV8:FX11,"C"))*2)+((COUNTIF('Elève (6ème2)'!FV8:FX11,"D"))*1))/(COUNTA(FV8:FX11)),"")</f>
        <v/>
      </c>
      <c r="FZ7" s="121" t="str">
        <f t="shared" si="41"/>
        <v/>
      </c>
      <c r="GA7" s="100"/>
      <c r="GB7" s="187"/>
      <c r="GC7" s="188"/>
      <c r="GD7" s="106" t="str">
        <f>IFERROR((((COUNTIF('Elève (6ème2)'!GA8:GC11,"A"))*4)+((COUNTIF('Elève (6ème2)'!GA8:GC11,"B"))*3)+((COUNTIF('Elève (6ème2)'!GA8:GC11,"C"))*2)+((COUNTIF('Elève (6ème2)'!GA8:GC11,"D"))*1))/(COUNTA(GA8:GC11)),"")</f>
        <v/>
      </c>
      <c r="GE7" s="128" t="str">
        <f t="shared" si="42"/>
        <v/>
      </c>
      <c r="GF7" s="177">
        <f>IFERROR((((COUNTIF(FQ8:FS11,"A")+COUNTIF(FV8:FX11,"A")+COUNTIF(GA8:GC11,"A"))*4)+((COUNTIF(FQ8:FS11,"B")+COUNTIF(FV8:FX11,"B")+COUNTIF(GA8:GC11,"B"))*3)+((COUNTIF(FQ8:FS11,"C")+COUNTIF(FV8:FX11,"C")+COUNTIF(GA8:GC11,"C"))*2)+((COUNTIF(FQ8:FS11,"D")+COUNTIF(FV8:FX11,"D")+COUNTIF(GA8:GC11,"D"))*1))/(COUNTA(FQ8:FS11)+COUNTA(FV8:FX11)+COUNTA(GA8:GC11)),"")</f>
        <v>4</v>
      </c>
      <c r="GG7" s="130" t="str">
        <f t="shared" si="43"/>
        <v>A</v>
      </c>
      <c r="GH7" s="162"/>
      <c r="GI7" s="189"/>
      <c r="GJ7" s="189"/>
      <c r="GK7" s="106">
        <f>IFERROR((((COUNTIF('Elève (6ème2)'!GH8:GJ11,"A"))*4)+((COUNTIF('Elève (6ème2)'!GH8:GJ11,"B"))*3)+((COUNTIF('Elève (6ème2)'!GH8:GJ11,"C"))*2)+((COUNTIF('Elève (6ème2)'!GH8:GJ11,"D"))*1))/(COUNTA(GH8:GJ11)),"")</f>
        <v>2.5</v>
      </c>
      <c r="GL7" s="107" t="str">
        <f t="shared" si="44"/>
        <v>C</v>
      </c>
      <c r="GM7" s="100"/>
      <c r="GN7" s="187"/>
      <c r="GO7" s="188"/>
      <c r="GP7" s="106" t="str">
        <f>IFERROR((((COUNTIF('Elève (6ème2)'!GM8:GO11,"A"))*4)+((COUNTIF('Elève (6ème2)'!GM8:GO11,"B"))*3)+((COUNTIF('Elève (6ème2)'!GM8:GO11,"C"))*2)+((COUNTIF('Elève (6ème2)'!GM8:GO11,"D"))*1))/(COUNTA(GM8:GO11)),"")</f>
        <v/>
      </c>
      <c r="GQ7" s="121" t="str">
        <f t="shared" si="45"/>
        <v/>
      </c>
      <c r="GR7" s="100"/>
      <c r="GS7" s="187"/>
      <c r="GT7" s="188"/>
      <c r="GU7" s="106" t="str">
        <f>IFERROR((((COUNTIF('Elève (6ème2)'!GR8:GT11,"A"))*4)+((COUNTIF('Elève (6ème2)'!GR8:GT11,"B"))*3)+((COUNTIF('Elève (6ème2)'!GR8:GT11,"C"))*2)+((COUNTIF('Elève (6ème2)'!GR8:GT11,"D"))*1))/(COUNTA(GR8:GT11)),"")</f>
        <v/>
      </c>
      <c r="GV7" s="128" t="str">
        <f t="shared" si="46"/>
        <v/>
      </c>
      <c r="GW7" s="177">
        <f>IFERROR((((COUNTIF(GH8:GJ11,"A")+COUNTIF(GM8:GO11,"A")+COUNTIF(GR8:GT11,"A"))*4)+((COUNTIF(GH8:GJ11,"B")+COUNTIF(GM8:GO11,"B")+COUNTIF(GR8:GT11,"B"))*3)+((COUNTIF(GH8:GJ11,"C")+COUNTIF(GM8:GO11,"C")+COUNTIF(GR8:GT11,"C"))*2)+((COUNTIF(GH8:GJ11,"D")+COUNTIF(GM8:GO11,"D")+COUNTIF(GR8:GT11,"D"))*1))/(COUNTA(GH8:GJ11)+COUNTA(GM8:GO11)+COUNTA(GR8:GT11)),"")</f>
        <v>2.5</v>
      </c>
      <c r="GX7" s="130" t="str">
        <f t="shared" si="47"/>
        <v>C</v>
      </c>
      <c r="GY7" s="162"/>
      <c r="GZ7" s="189"/>
      <c r="HA7" s="189"/>
      <c r="HB7" s="106">
        <f>IFERROR((((COUNTIF('Elève (6ème2)'!GY8:HA11,"A"))*4)+((COUNTIF('Elève (6ème2)'!GY8:HA11,"B"))*3)+((COUNTIF('Elève (6ème2)'!GY8:HA11,"C"))*2)+((COUNTIF('Elève (6ème2)'!GY8:HA11,"D"))*1))/(COUNTA(GY8:HA11)),"")</f>
        <v>3.5</v>
      </c>
      <c r="HC7" s="107" t="str">
        <f t="shared" si="48"/>
        <v>B</v>
      </c>
      <c r="HD7" s="100"/>
      <c r="HE7" s="187"/>
      <c r="HF7" s="188"/>
      <c r="HG7" s="106" t="str">
        <f>IFERROR((((COUNTIF('Elève (6ème2)'!HD8:HF11,"A"))*4)+((COUNTIF('Elève (6ème2)'!HD8:HF11,"B"))*3)+((COUNTIF('Elève (6ème2)'!HD8:HF11,"C"))*2)+((COUNTIF('Elève (6ème2)'!HD8:HF11,"D"))*1))/(COUNTA(HD8:HF11)),"")</f>
        <v/>
      </c>
      <c r="HH7" s="121" t="str">
        <f t="shared" si="49"/>
        <v/>
      </c>
      <c r="HI7" s="100"/>
      <c r="HJ7" s="187"/>
      <c r="HK7" s="188"/>
      <c r="HL7" s="106" t="str">
        <f>IFERROR((((COUNTIF('Elève (6ème2)'!HI8:HK11,"A"))*4)+((COUNTIF('Elève (6ème2)'!HI8:HK11,"B"))*3)+((COUNTIF('Elève (6ème2)'!HI8:HK11,"C"))*2)+((COUNTIF('Elève (6ème2)'!HI8:HK11,"D"))*1))/(COUNTA(HI8:HK11)),"")</f>
        <v/>
      </c>
      <c r="HM7" s="128" t="str">
        <f t="shared" si="50"/>
        <v/>
      </c>
      <c r="HN7" s="177">
        <f>IFERROR((((COUNTIF(GY8:HA11,"A")+COUNTIF(HD8:HF11,"A")+COUNTIF(HI8:HK11,"A"))*4)+((COUNTIF(GY8:HA11,"B")+COUNTIF(HD8:HF11,"B")+COUNTIF(HI8:HK11,"B"))*3)+((COUNTIF(GY8:HA11,"C")+COUNTIF(HD8:HF11,"C")+COUNTIF(HI8:HK11,"C"))*2)+((COUNTIF(GY8:HA11,"D")+COUNTIF(HD8:HF11,"D")+COUNTIF(HI8:HK11,"D"))*1))/(COUNTA(GY8:HA11)+COUNTA(HD8:HF11)+COUNTA(HI8:HK11)),"")</f>
        <v>3.5</v>
      </c>
      <c r="HO7" s="130" t="str">
        <f t="shared" si="51"/>
        <v>B</v>
      </c>
      <c r="HP7" s="162"/>
      <c r="HQ7" s="189"/>
      <c r="HR7" s="189"/>
      <c r="HS7" s="106">
        <f>IFERROR((((COUNTIF('Elève (6ème2)'!HP8:HR11,"A"))*4)+((COUNTIF('Elève (6ème2)'!HP8:HR11,"B"))*3)+((COUNTIF('Elève (6ème2)'!HP8:HR11,"C"))*2)+((COUNTIF('Elève (6ème2)'!HP8:HR11,"D"))*1))/(COUNTA(HP8:HR11)),"")</f>
        <v>1.5</v>
      </c>
      <c r="HT7" s="107" t="str">
        <f t="shared" si="52"/>
        <v>D</v>
      </c>
      <c r="HU7" s="100"/>
      <c r="HV7" s="187"/>
      <c r="HW7" s="188"/>
      <c r="HX7" s="106" t="str">
        <f>IFERROR((((COUNTIF('Elève (6ème2)'!HU8:HW11,"A"))*4)+((COUNTIF('Elève (6ème2)'!HU8:HW11,"B"))*3)+((COUNTIF('Elève (6ème2)'!HU8:HW11,"C"))*2)+((COUNTIF('Elève (6ème2)'!HU8:HW11,"D"))*1))/(COUNTA(HU8:HW11)),"")</f>
        <v/>
      </c>
      <c r="HY7" s="121" t="str">
        <f t="shared" si="53"/>
        <v/>
      </c>
      <c r="HZ7" s="100"/>
      <c r="IA7" s="187"/>
      <c r="IB7" s="188"/>
      <c r="IC7" s="106" t="str">
        <f>IFERROR((((COUNTIF('Elève (6ème2)'!HZ8:IB11,"A"))*4)+((COUNTIF('Elève (6ème2)'!HZ8:IB11,"B"))*3)+((COUNTIF('Elève (6ème2)'!HZ8:IB11,"C"))*2)+((COUNTIF('Elève (6ème2)'!HZ8:IB11,"D"))*1))/(COUNTA(HZ8:IB11)),"")</f>
        <v/>
      </c>
      <c r="ID7" s="128" t="str">
        <f t="shared" si="54"/>
        <v/>
      </c>
      <c r="IE7" s="177">
        <f>IFERROR((((COUNTIF(HP8:HR11,"A")+COUNTIF(HU8:HW11,"A")+COUNTIF(HZ8:IB11,"A"))*4)+((COUNTIF(HP8:HR11,"B")+COUNTIF(HU8:HW11,"B")+COUNTIF(HZ8:IB11,"B"))*3)+((COUNTIF(HP8:HR11,"C")+COUNTIF(HU8:HW11,"C")+COUNTIF(HZ8:IB11,"C"))*2)+((COUNTIF(HP8:HR11,"D")+COUNTIF(HU8:HW11,"D")+COUNTIF(HZ8:IB11,"D"))*1))/(COUNTA(HP8:HR11)+COUNTA(HU8:HW11)+COUNTA(HZ8:IB11)),"")</f>
        <v>1.5</v>
      </c>
      <c r="IF7" s="130" t="str">
        <f t="shared" si="55"/>
        <v>D</v>
      </c>
      <c r="IG7" s="162"/>
      <c r="IH7" s="189"/>
      <c r="II7" s="189"/>
      <c r="IJ7" s="106">
        <f>IFERROR((((COUNTIF('Elève (6ème2)'!IG8:II11,"A"))*4)+((COUNTIF('Elève (6ème2)'!IG8:II11,"B"))*3)+((COUNTIF('Elève (6ème2)'!IG8:II11,"C"))*2)+((COUNTIF('Elève (6ème2)'!IG8:II11,"D"))*1))/(COUNTA(IG8:II11)),"")</f>
        <v>3.5</v>
      </c>
      <c r="IK7" s="107" t="str">
        <f t="shared" si="56"/>
        <v>B</v>
      </c>
      <c r="IL7" s="100"/>
      <c r="IM7" s="187"/>
      <c r="IN7" s="188"/>
      <c r="IO7" s="106" t="str">
        <f>IFERROR((((COUNTIF('Elève (6ème2)'!IL8:IN11,"A"))*4)+((COUNTIF('Elève (6ème2)'!IL8:IN11,"B"))*3)+((COUNTIF('Elève (6ème2)'!IL8:IN11,"C"))*2)+((COUNTIF('Elève (6ème2)'!IL8:IN11,"D"))*1))/(COUNTA(IL8:IN11)),"")</f>
        <v/>
      </c>
      <c r="IP7" s="121" t="str">
        <f t="shared" si="57"/>
        <v/>
      </c>
      <c r="IQ7" s="100"/>
      <c r="IR7" s="187"/>
      <c r="IS7" s="188"/>
      <c r="IT7" s="106" t="str">
        <f>IFERROR((((COUNTIF('Elève (6ème2)'!IQ8:IS11,"A"))*4)+((COUNTIF('Elève (6ème2)'!IQ8:IS11,"B"))*3)+((COUNTIF('Elève (6ème2)'!IQ8:IS11,"C"))*2)+((COUNTIF('Elève (6ème2)'!IQ8:IS11,"D"))*1))/(COUNTA(IQ8:IS11)),"")</f>
        <v/>
      </c>
      <c r="IU7" s="128" t="str">
        <f t="shared" si="58"/>
        <v/>
      </c>
      <c r="IV7" s="177">
        <f>IFERROR((((COUNTIF(IG8:II11,"A")+COUNTIF(IL8:IN11,"A")+COUNTIF(IQ8:IS11,"A"))*4)+((COUNTIF(IG8:II11,"B")+COUNTIF(IL8:IN11,"B")+COUNTIF(IQ8:IS11,"B"))*3)+((COUNTIF(IG8:II11,"C")+COUNTIF(IL8:IN11,"C")+COUNTIF(IQ8:IS11,"C"))*2)+((COUNTIF(IG8:II11,"D")+COUNTIF(IL8:IN11,"D")+COUNTIF(IQ8:IS11,"D"))*1))/(COUNTA(IG8:II11)+COUNTA(IL8:IN11)+COUNTA(IQ8:IS11)),"")</f>
        <v>3.5</v>
      </c>
      <c r="IW7" s="130" t="str">
        <f t="shared" si="59"/>
        <v>B</v>
      </c>
      <c r="IX7" s="162"/>
      <c r="IY7" s="189"/>
      <c r="IZ7" s="189"/>
      <c r="JA7" s="106">
        <f>IFERROR((((COUNTIF('Elève (6ème2)'!IX8:IZ11,"A"))*4)+((COUNTIF('Elève (6ème2)'!IX8:IZ11,"B"))*3)+((COUNTIF('Elève (6ème2)'!IX8:IZ11,"C"))*2)+((COUNTIF('Elève (6ème2)'!IX8:IZ11,"D"))*1))/(COUNTA(IX8:IZ11)),"")</f>
        <v>3.5</v>
      </c>
      <c r="JB7" s="107" t="str">
        <f t="shared" si="60"/>
        <v>B</v>
      </c>
      <c r="JC7" s="100"/>
      <c r="JD7" s="187"/>
      <c r="JE7" s="188"/>
      <c r="JF7" s="106" t="str">
        <f>IFERROR((((COUNTIF('Elève (6ème2)'!JC8:JE11,"A"))*4)+((COUNTIF('Elève (6ème2)'!JC8:JE11,"B"))*3)+((COUNTIF('Elève (6ème2)'!JC8:JE11,"C"))*2)+((COUNTIF('Elève (6ème2)'!JC8:JE11,"D"))*1))/(COUNTA(JC8:JE11)),"")</f>
        <v/>
      </c>
      <c r="JG7" s="121" t="str">
        <f t="shared" si="61"/>
        <v/>
      </c>
      <c r="JH7" s="100"/>
      <c r="JI7" s="187"/>
      <c r="JJ7" s="188"/>
      <c r="JK7" s="106" t="str">
        <f>IFERROR((((COUNTIF('Elève (6ème2)'!JH8:JJ11,"A"))*4)+((COUNTIF('Elève (6ème2)'!JH8:JJ11,"B"))*3)+((COUNTIF('Elève (6ème2)'!JH8:JJ11,"C"))*2)+((COUNTIF('Elève (6ème2)'!JH8:JJ11,"D"))*1))/(COUNTA(JH8:JJ11)),"")</f>
        <v/>
      </c>
      <c r="JL7" s="128" t="str">
        <f t="shared" si="62"/>
        <v/>
      </c>
      <c r="JM7" s="177">
        <f>IFERROR((((COUNTIF(IX8:IZ11,"A")+COUNTIF(JC8:JE11,"A")+COUNTIF(JH8:JJ11,"A"))*4)+((COUNTIF(IX8:IZ11,"B")+COUNTIF(JC8:JE11,"B")+COUNTIF(JH8:JJ11,"B"))*3)+((COUNTIF(IX8:IZ11,"C")+COUNTIF(JC8:JE11,"C")+COUNTIF(JH8:JJ11,"C"))*2)+((COUNTIF(IX8:IZ11,"D")+COUNTIF(JC8:JE11,"D")+COUNTIF(JH8:JJ11,"D"))*1))/(COUNTA(IX8:IZ11)+COUNTA(JC8:JE11)+COUNTA(JH8:JJ11)),"")</f>
        <v>3.5</v>
      </c>
      <c r="JN7" s="130" t="str">
        <f t="shared" si="63"/>
        <v>B</v>
      </c>
      <c r="JO7" s="162"/>
      <c r="JP7" s="189"/>
      <c r="JQ7" s="189"/>
      <c r="JR7" s="106">
        <f>IFERROR((((COUNTIF('Elève (6ème2)'!JO8:JQ11,"A"))*4)+((COUNTIF('Elève (6ème2)'!JO8:JQ11,"B"))*3)+((COUNTIF('Elève (6ème2)'!JO8:JQ11,"C"))*2)+((COUNTIF('Elève (6ème2)'!JO8:JQ11,"D"))*1))/(COUNTA(JO8:JQ11)),"")</f>
        <v>3</v>
      </c>
      <c r="JS7" s="107" t="str">
        <f t="shared" si="64"/>
        <v>B</v>
      </c>
      <c r="JT7" s="100"/>
      <c r="JU7" s="187"/>
      <c r="JV7" s="188"/>
      <c r="JW7" s="106" t="str">
        <f>IFERROR((((COUNTIF('Elève (6ème2)'!JT8:JV11,"A"))*4)+((COUNTIF('Elève (6ème2)'!JT8:JV11,"B"))*3)+((COUNTIF('Elève (6ème2)'!JT8:JV11,"C"))*2)+((COUNTIF('Elève (6ème2)'!JT8:JV11,"D"))*1))/(COUNTA(JT8:JV11)),"")</f>
        <v/>
      </c>
      <c r="JX7" s="121" t="str">
        <f t="shared" si="65"/>
        <v/>
      </c>
      <c r="JY7" s="100"/>
      <c r="JZ7" s="187"/>
      <c r="KA7" s="188"/>
      <c r="KB7" s="106" t="str">
        <f>IFERROR((((COUNTIF('Elève (6ème2)'!JY8:KA11,"A"))*4)+((COUNTIF('Elève (6ème2)'!JY8:KA11,"B"))*3)+((COUNTIF('Elève (6ème2)'!JY8:KA11,"C"))*2)+((COUNTIF('Elève (6ème2)'!JY8:KA11,"D"))*1))/(COUNTA(JY8:KA11)),"")</f>
        <v/>
      </c>
      <c r="KC7" s="128" t="str">
        <f t="shared" si="66"/>
        <v/>
      </c>
      <c r="KD7" s="177">
        <f>IFERROR((((COUNTIF(JO8:JQ11,"A")+COUNTIF(JT8:JV11,"A")+COUNTIF(JY8:KA11,"A"))*4)+((COUNTIF(JO8:JQ11,"B")+COUNTIF(JT8:JV11,"B")+COUNTIF(JY8:KA11,"B"))*3)+((COUNTIF(JO8:JQ11,"C")+COUNTIF(JT8:JV11,"C")+COUNTIF(JY8:KA11,"C"))*2)+((COUNTIF(JO8:JQ11,"D")+COUNTIF(JT8:JV11,"D")+COUNTIF(JY8:KA11,"D"))*1))/(COUNTA(JO8:JQ11)+COUNTA(JT8:JV11)+COUNTA(JY8:KA11)),"")</f>
        <v>3</v>
      </c>
      <c r="KE7" s="130" t="str">
        <f t="shared" si="67"/>
        <v>B</v>
      </c>
      <c r="KF7" s="162"/>
      <c r="KG7" s="189"/>
      <c r="KH7" s="189"/>
      <c r="KI7" s="106">
        <f>IFERROR((((COUNTIF('Elève (6ème2)'!KF8:KH11,"A"))*4)+((COUNTIF('Elève (6ème2)'!KF8:KH11,"B"))*3)+((COUNTIF('Elève (6ème2)'!KF8:KH11,"C"))*2)+((COUNTIF('Elève (6ème2)'!KF8:KH11,"D"))*1))/(COUNTA(KF8:KH11)),"")</f>
        <v>3</v>
      </c>
      <c r="KJ7" s="107" t="str">
        <f t="shared" si="68"/>
        <v>B</v>
      </c>
      <c r="KK7" s="100"/>
      <c r="KL7" s="187"/>
      <c r="KM7" s="188"/>
      <c r="KN7" s="106" t="str">
        <f>IFERROR((((COUNTIF('Elève (6ème2)'!KK8:KM11,"A"))*4)+((COUNTIF('Elève (6ème2)'!KK8:KM11,"B"))*3)+((COUNTIF('Elève (6ème2)'!KK8:KM11,"C"))*2)+((COUNTIF('Elève (6ème2)'!KK8:KM11,"D"))*1))/(COUNTA(KK8:KM11)),"")</f>
        <v/>
      </c>
      <c r="KO7" s="121" t="str">
        <f t="shared" si="69"/>
        <v/>
      </c>
      <c r="KP7" s="100"/>
      <c r="KQ7" s="187"/>
      <c r="KR7" s="188"/>
      <c r="KS7" s="106" t="str">
        <f>IFERROR((((COUNTIF('Elève (6ème2)'!KP8:KR11,"A"))*4)+((COUNTIF('Elève (6ème2)'!KP8:KR11,"B"))*3)+((COUNTIF('Elève (6ème2)'!KP8:KR11,"C"))*2)+((COUNTIF('Elève (6ème2)'!KP8:KR11,"D"))*1))/(COUNTA(KP8:KR11)),"")</f>
        <v/>
      </c>
      <c r="KT7" s="128" t="str">
        <f t="shared" si="70"/>
        <v/>
      </c>
      <c r="KU7" s="177">
        <f>IFERROR((((COUNTIF(KF8:KH11,"A")+COUNTIF(KK8:KM11,"A")+COUNTIF(KP8:KR11,"A"))*4)+((COUNTIF(KF8:KH11,"B")+COUNTIF(KK8:KM11,"B")+COUNTIF(KP8:KR11,"B"))*3)+((COUNTIF(KF8:KH11,"C")+COUNTIF(KK8:KM11,"C")+COUNTIF(KP8:KR11,"C"))*2)+((COUNTIF(KF8:KH11,"D")+COUNTIF(KK8:KM11,"D")+COUNTIF(KP8:KR11,"D"))*1))/(COUNTA(KF8:KH11)+COUNTA(KK8:KM11)+COUNTA(KP8:KR11)),"")</f>
        <v>3</v>
      </c>
      <c r="KV7" s="130" t="str">
        <f t="shared" si="71"/>
        <v>B</v>
      </c>
      <c r="KW7" s="162"/>
      <c r="KX7" s="189"/>
      <c r="KY7" s="189"/>
      <c r="KZ7" s="106">
        <f>IFERROR((((COUNTIF('Elève (6ème2)'!KW8:KY11,"A"))*4)+((COUNTIF('Elève (6ème2)'!KW8:KY11,"B"))*3)+((COUNTIF('Elève (6ème2)'!KW8:KY11,"C"))*2)+((COUNTIF('Elève (6ème2)'!KW8:KY11,"D"))*1))/(COUNTA(KW8:KY11)),"")</f>
        <v>3</v>
      </c>
      <c r="LA7" s="107" t="str">
        <f t="shared" si="72"/>
        <v>B</v>
      </c>
      <c r="LB7" s="100"/>
      <c r="LC7" s="187"/>
      <c r="LD7" s="188"/>
      <c r="LE7" s="106" t="str">
        <f>IFERROR((((COUNTIF('Elève (6ème2)'!LB8:LD11,"A"))*4)+((COUNTIF('Elève (6ème2)'!LB8:LD11,"B"))*3)+((COUNTIF('Elève (6ème2)'!LB8:LD11,"C"))*2)+((COUNTIF('Elève (6ème2)'!LB8:LD11,"D"))*1))/(COUNTA(LB8:LD11)),"")</f>
        <v/>
      </c>
      <c r="LF7" s="121" t="str">
        <f t="shared" si="73"/>
        <v/>
      </c>
      <c r="LG7" s="100"/>
      <c r="LH7" s="187"/>
      <c r="LI7" s="188"/>
      <c r="LJ7" s="106" t="str">
        <f>IFERROR((((COUNTIF('Elève (6ème2)'!LG8:LI11,"A"))*4)+((COUNTIF('Elève (6ème2)'!LG8:LI11,"B"))*3)+((COUNTIF('Elève (6ème2)'!LG8:LI11,"C"))*2)+((COUNTIF('Elève (6ème2)'!LG8:LI11,"D"))*1))/(COUNTA(LG8:LI11)),"")</f>
        <v/>
      </c>
      <c r="LK7" s="128" t="str">
        <f t="shared" si="74"/>
        <v/>
      </c>
      <c r="LL7" s="177">
        <f>IFERROR((((COUNTIF(KW8:KY11,"A")+COUNTIF(LB8:LD11,"A")+COUNTIF(LG8:LI11,"A"))*4)+((COUNTIF(KW8:KY11,"B")+COUNTIF(LB8:LD11,"B")+COUNTIF(LG8:LI11,"B"))*3)+((COUNTIF(KW8:KY11,"C")+COUNTIF(LB8:LD11,"C")+COUNTIF(LG8:LI11,"C"))*2)+((COUNTIF(KW8:KY11,"D")+COUNTIF(LB8:LD11,"D")+COUNTIF(LG8:LI11,"D"))*1))/(COUNTA(KW8:KY11)+COUNTA(LB8:LD11)+COUNTA(LG8:LI11)),"")</f>
        <v>3</v>
      </c>
      <c r="LM7" s="130" t="str">
        <f t="shared" si="75"/>
        <v>B</v>
      </c>
      <c r="LN7" s="162"/>
      <c r="LO7" s="189"/>
      <c r="LP7" s="189"/>
      <c r="LQ7" s="106">
        <f>IFERROR((((COUNTIF('Elève (6ème2)'!LN8:LP11,"A"))*4)+((COUNTIF('Elève (6ème2)'!LN8:LP11,"B"))*3)+((COUNTIF('Elève (6ème2)'!LN8:LP11,"C"))*2)+((COUNTIF('Elève (6ème2)'!LN8:LP11,"D"))*1))/(COUNTA(LN8:LP11)),"")</f>
        <v>3.5</v>
      </c>
      <c r="LR7" s="107" t="str">
        <f t="shared" si="76"/>
        <v>B</v>
      </c>
      <c r="LS7" s="100"/>
      <c r="LT7" s="187"/>
      <c r="LU7" s="188"/>
      <c r="LV7" s="106" t="str">
        <f>IFERROR((((COUNTIF('Elève (6ème2)'!LS8:LU11,"A"))*4)+((COUNTIF('Elève (6ème2)'!LS8:LU11,"B"))*3)+((COUNTIF('Elève (6ème2)'!LS8:LU11,"C"))*2)+((COUNTIF('Elève (6ème2)'!LS8:LU11,"D"))*1))/(COUNTA(LS8:LU11)),"")</f>
        <v/>
      </c>
      <c r="LW7" s="121" t="str">
        <f t="shared" si="77"/>
        <v/>
      </c>
      <c r="LX7" s="100"/>
      <c r="LY7" s="187"/>
      <c r="LZ7" s="188"/>
      <c r="MA7" s="106" t="str">
        <f>IFERROR((((COUNTIF('Elève (6ème2)'!LX8:LZ11,"A"))*4)+((COUNTIF('Elève (6ème2)'!LX8:LZ11,"B"))*3)+((COUNTIF('Elève (6ème2)'!LX8:LZ11,"C"))*2)+((COUNTIF('Elève (6ème2)'!LX8:LZ11,"D"))*1))/(COUNTA(LX8:LZ11)),"")</f>
        <v/>
      </c>
      <c r="MB7" s="128" t="str">
        <f t="shared" si="78"/>
        <v/>
      </c>
      <c r="MC7" s="177">
        <f>IFERROR((((COUNTIF(LN8:LP11,"A")+COUNTIF(LS8:LU11,"A")+COUNTIF(LX8:LZ11,"A"))*4)+((COUNTIF(LN8:LP11,"B")+COUNTIF(LS8:LU11,"B")+COUNTIF(LX8:LZ11,"B"))*3)+((COUNTIF(LN8:LP11,"C")+COUNTIF(LS8:LU11,"C")+COUNTIF(LX8:LZ11,"C"))*2)+((COUNTIF(LN8:LP11,"D")+COUNTIF(LS8:LU11,"D")+COUNTIF(LX8:LZ11,"D"))*1))/(COUNTA(LN8:LP11)+COUNTA(LS8:LU11)+COUNTA(LX8:LZ11)),"")</f>
        <v>3.5</v>
      </c>
      <c r="MD7" s="130" t="str">
        <f t="shared" si="79"/>
        <v>B</v>
      </c>
      <c r="ME7" s="162"/>
      <c r="MF7" s="189"/>
      <c r="MG7" s="189"/>
      <c r="MH7" s="106">
        <f>IFERROR((((COUNTIF('Elève (6ème2)'!ME8:MG11,"A"))*4)+((COUNTIF('Elève (6ème2)'!ME8:MG11,"B"))*3)+((COUNTIF('Elève (6ème2)'!ME8:MG11,"C"))*2)+((COUNTIF('Elève (6ème2)'!ME8:MG11,"D"))*1))/(COUNTA(ME8:MG11)),"")</f>
        <v>3.5</v>
      </c>
      <c r="MI7" s="107" t="str">
        <f t="shared" si="80"/>
        <v>B</v>
      </c>
      <c r="MJ7" s="100"/>
      <c r="MK7" s="187"/>
      <c r="ML7" s="188"/>
      <c r="MM7" s="106" t="str">
        <f>IFERROR((((COUNTIF('Elève (6ème2)'!MJ8:ML11,"A"))*4)+((COUNTIF('Elève (6ème2)'!MJ8:ML11,"B"))*3)+((COUNTIF('Elève (6ème2)'!MJ8:ML11,"C"))*2)+((COUNTIF('Elève (6ème2)'!MJ8:ML11,"D"))*1))/(COUNTA(MJ8:ML11)),"")</f>
        <v/>
      </c>
      <c r="MN7" s="121" t="str">
        <f t="shared" si="81"/>
        <v/>
      </c>
      <c r="MO7" s="100"/>
      <c r="MP7" s="187"/>
      <c r="MQ7" s="188"/>
      <c r="MR7" s="106" t="str">
        <f>IFERROR((((COUNTIF('Elève (6ème2)'!MO8:MQ11,"A"))*4)+((COUNTIF('Elève (6ème2)'!MO8:MQ11,"B"))*3)+((COUNTIF('Elève (6ème2)'!MO8:MQ11,"C"))*2)+((COUNTIF('Elève (6ème2)'!MO8:MQ11,"D"))*1))/(COUNTA(MO8:MQ11)),"")</f>
        <v/>
      </c>
      <c r="MS7" s="128" t="str">
        <f t="shared" si="82"/>
        <v/>
      </c>
      <c r="MT7" s="177">
        <f>IFERROR((((COUNTIF(ME8:MG11,"A")+COUNTIF(MJ8:ML11,"A")+COUNTIF(MO8:MQ11,"A"))*4)+((COUNTIF(ME8:MG11,"B")+COUNTIF(MJ8:ML11,"B")+COUNTIF(MO8:MQ11,"B"))*3)+((COUNTIF(ME8:MG11,"C")+COUNTIF(MJ8:ML11,"C")+COUNTIF(MO8:MQ11,"C"))*2)+((COUNTIF(ME8:MG11,"D")+COUNTIF(MJ8:ML11,"D")+COUNTIF(MO8:MQ11,"D"))*1))/(COUNTA(ME8:MG11)+COUNTA(MJ8:ML11)+COUNTA(MO8:MQ11)),"")</f>
        <v>3.5</v>
      </c>
      <c r="MU7" s="130" t="str">
        <f t="shared" si="83"/>
        <v>B</v>
      </c>
      <c r="MV7" s="162"/>
      <c r="MW7" s="189"/>
      <c r="MX7" s="189"/>
      <c r="MY7" s="106">
        <f>IFERROR((((COUNTIF('Elève (6ème2)'!MV8:MX11,"A"))*4)+((COUNTIF('Elève (6ème2)'!MV8:MX11,"B"))*3)+((COUNTIF('Elève (6ème2)'!MV8:MX11,"C"))*2)+((COUNTIF('Elève (6ème2)'!MV8:MX11,"D"))*1))/(COUNTA(MV8:MX11)),"")</f>
        <v>2.5</v>
      </c>
      <c r="MZ7" s="107" t="str">
        <f t="shared" si="84"/>
        <v>C</v>
      </c>
      <c r="NA7" s="100"/>
      <c r="NB7" s="187"/>
      <c r="NC7" s="188"/>
      <c r="ND7" s="106" t="str">
        <f>IFERROR((((COUNTIF('Elève (6ème2)'!NA8:NC11,"A"))*4)+((COUNTIF('Elève (6ème2)'!NA8:NC11,"B"))*3)+((COUNTIF('Elève (6ème2)'!NA8:NC11,"C"))*2)+((COUNTIF('Elève (6ème2)'!NA8:NC11,"D"))*1))/(COUNTA(NA8:NC11)),"")</f>
        <v/>
      </c>
      <c r="NE7" s="121" t="str">
        <f t="shared" si="85"/>
        <v/>
      </c>
      <c r="NF7" s="100"/>
      <c r="NG7" s="187"/>
      <c r="NH7" s="188"/>
      <c r="NI7" s="106" t="str">
        <f>IFERROR((((COUNTIF('Elève (6ème2)'!NF8:NH11,"A"))*4)+((COUNTIF('Elève (6ème2)'!NF8:NH11,"B"))*3)+((COUNTIF('Elève (6ème2)'!NF8:NH11,"C"))*2)+((COUNTIF('Elève (6ème2)'!NF8:NH11,"D"))*1))/(COUNTA(NF8:NH11)),"")</f>
        <v/>
      </c>
      <c r="NJ7" s="128" t="str">
        <f t="shared" si="86"/>
        <v/>
      </c>
      <c r="NK7" s="177">
        <f>IFERROR((((COUNTIF(MV8:MX11,"A")+COUNTIF(NA8:NC11,"A")+COUNTIF(NF8:NH11,"A"))*4)+((COUNTIF(MV8:MX11,"B")+COUNTIF(NA8:NC11,"B")+COUNTIF(NF8:NH11,"B"))*3)+((COUNTIF(MV8:MX11,"C")+COUNTIF(NA8:NC11,"C")+COUNTIF(NF8:NH11,"C"))*2)+((COUNTIF(MV8:MX11,"D")+COUNTIF(NA8:NC11,"D")+COUNTIF(NF8:NH11,"D"))*1))/(COUNTA(MV8:MX11)+COUNTA(NA8:NC11)+COUNTA(NF8:NH11)),"")</f>
        <v>2.5</v>
      </c>
      <c r="NL7" s="130" t="str">
        <f t="shared" si="87"/>
        <v>C</v>
      </c>
      <c r="NM7" s="162"/>
      <c r="NN7" s="189"/>
      <c r="NO7" s="189"/>
      <c r="NP7" s="106" t="str">
        <f>IFERROR((((COUNTIF('Elève (6ème2)'!NM8:NO11,"A"))*4)+((COUNTIF('Elève (6ème2)'!NM8:NO11,"B"))*3)+((COUNTIF('Elève (6ème2)'!NM8:NO11,"C"))*2)+((COUNTIF('Elève (6ème2)'!NM8:NO11,"D"))*1))/(COUNTA(NM8:NO11)),"")</f>
        <v/>
      </c>
      <c r="NQ7" s="107" t="str">
        <f t="shared" si="88"/>
        <v/>
      </c>
      <c r="NR7" s="100"/>
      <c r="NS7" s="187"/>
      <c r="NT7" s="188"/>
      <c r="NU7" s="106" t="str">
        <f>IFERROR((((COUNTIF('Elève (6ème2)'!NR8:NT11,"A"))*4)+((COUNTIF('Elève (6ème2)'!NR8:NT11,"B"))*3)+((COUNTIF('Elève (6ème2)'!NR8:NT11,"C"))*2)+((COUNTIF('Elève (6ème2)'!NR8:NT11,"D"))*1))/(COUNTA(NR8:NT11)),"")</f>
        <v/>
      </c>
      <c r="NV7" s="121" t="str">
        <f t="shared" si="89"/>
        <v/>
      </c>
      <c r="NW7" s="100"/>
      <c r="NX7" s="187"/>
      <c r="NY7" s="188"/>
      <c r="NZ7" s="106" t="str">
        <f>IFERROR((((COUNTIF('Elève (6ème2)'!NW8:NY11,"A"))*4)+((COUNTIF('Elève (6ème2)'!NW8:NY11,"B"))*3)+((COUNTIF('Elève (6ème2)'!NW8:NY11,"C"))*2)+((COUNTIF('Elève (6ème2)'!NW8:NY11,"D"))*1))/(COUNTA(NW8:NY11)),"")</f>
        <v/>
      </c>
      <c r="OA7" s="128" t="str">
        <f t="shared" si="90"/>
        <v/>
      </c>
      <c r="OB7" s="177" t="str">
        <f>IFERROR((((COUNTIF(NM8:NO11,"A")+COUNTIF(NR8:NT11,"A")+COUNTIF(NW8:NY11,"A"))*4)+((COUNTIF(NM8:NO11,"B")+COUNTIF(NR8:NT11,"B")+COUNTIF(NW8:NY11,"B"))*3)+((COUNTIF(NM8:NO11,"C")+COUNTIF(NR8:NT11,"C")+COUNTIF(NW8:NY11,"C"))*2)+((COUNTIF(NM8:NO11,"D")+COUNTIF(NR8:NT11,"D")+COUNTIF(NW8:NY11,"D"))*1))/(COUNTA(NM8:NO11)+COUNTA(NR8:NT11)+COUNTA(NW8:NY11)),"")</f>
        <v/>
      </c>
      <c r="OC7" s="130" t="str">
        <f t="shared" si="91"/>
        <v/>
      </c>
      <c r="OD7" s="162"/>
      <c r="OE7" s="189"/>
      <c r="OF7" s="189"/>
      <c r="OG7" s="106">
        <f>IFERROR((((COUNTIF('Elève (6ème2)'!OD8:OF11,"A"))*4)+((COUNTIF('Elève (6ème2)'!OD8:OF11,"B"))*3)+((COUNTIF('Elève (6ème2)'!OD8:OF11,"C"))*2)+((COUNTIF('Elève (6ème2)'!OD8:OF11,"D"))*1))/(COUNTA(OD8:OF11)),"")</f>
        <v>1.5</v>
      </c>
      <c r="OH7" s="107" t="str">
        <f t="shared" si="92"/>
        <v>D</v>
      </c>
      <c r="OI7" s="100"/>
      <c r="OJ7" s="187"/>
      <c r="OK7" s="188"/>
      <c r="OL7" s="106" t="str">
        <f>IFERROR((((COUNTIF('Elève (6ème2)'!OI8:OK11,"A"))*4)+((COUNTIF('Elève (6ème2)'!OI8:OK11,"B"))*3)+((COUNTIF('Elève (6ème2)'!OI8:OK11,"C"))*2)+((COUNTIF('Elève (6ème2)'!OI8:OK11,"D"))*1))/(COUNTA(OI8:OK11)),"")</f>
        <v/>
      </c>
      <c r="OM7" s="121" t="str">
        <f t="shared" si="93"/>
        <v/>
      </c>
      <c r="ON7" s="100"/>
      <c r="OO7" s="187"/>
      <c r="OP7" s="188"/>
      <c r="OQ7" s="106" t="str">
        <f>IFERROR((((COUNTIF('Elève (6ème2)'!ON8:OP11,"A"))*4)+((COUNTIF('Elève (6ème2)'!ON8:OP11,"B"))*3)+((COUNTIF('Elève (6ème2)'!ON8:OP11,"C"))*2)+((COUNTIF('Elève (6ème2)'!ON8:OP11,"D"))*1))/(COUNTA(ON8:OP11)),"")</f>
        <v/>
      </c>
      <c r="OR7" s="128" t="str">
        <f t="shared" si="94"/>
        <v/>
      </c>
      <c r="OS7" s="177">
        <f>IFERROR((((COUNTIF(OD8:OF11,"A")+COUNTIF(OI8:OK11,"A")+COUNTIF(ON8:OP11,"A"))*4)+((COUNTIF(OD8:OF11,"B")+COUNTIF(OI8:OK11,"B")+COUNTIF(ON8:OP11,"B"))*3)+((COUNTIF(OD8:OF11,"C")+COUNTIF(OI8:OK11,"C")+COUNTIF(ON8:OP11,"C"))*2)+((COUNTIF(OD8:OF11,"D")+COUNTIF(OI8:OK11,"D")+COUNTIF(ON8:OP11,"D"))*1))/(COUNTA(OD8:OF11)+COUNTA(OI8:OK11)+COUNTA(ON8:OP11)),"")</f>
        <v>1.5</v>
      </c>
      <c r="OT7" s="130" t="str">
        <f t="shared" si="95"/>
        <v>D</v>
      </c>
      <c r="OU7" s="162"/>
      <c r="OV7" s="189"/>
      <c r="OW7" s="189"/>
      <c r="OX7" s="106">
        <f>IFERROR((((COUNTIF('Elève (6ème2)'!OU8:OW11,"A"))*4)+((COUNTIF('Elève (6ème2)'!OU8:OW11,"B"))*3)+((COUNTIF('Elève (6ème2)'!OU8:OW11,"C"))*2)+((COUNTIF('Elève (6ème2)'!OU8:OW11,"D"))*1))/(COUNTA(OU8:OW11)),"")</f>
        <v>3.5</v>
      </c>
      <c r="OY7" s="107" t="str">
        <f t="shared" si="96"/>
        <v>B</v>
      </c>
      <c r="OZ7" s="100"/>
      <c r="PA7" s="187"/>
      <c r="PB7" s="188"/>
      <c r="PC7" s="106" t="str">
        <f>IFERROR((((COUNTIF('Elève (6ème2)'!OZ8:PB11,"A"))*4)+((COUNTIF('Elève (6ème2)'!OZ8:PB11,"B"))*3)+((COUNTIF('Elève (6ème2)'!OZ8:PB11,"C"))*2)+((COUNTIF('Elève (6ème2)'!OZ8:PB11,"D"))*1))/(COUNTA(OZ8:PB11)),"")</f>
        <v/>
      </c>
      <c r="PD7" s="121" t="str">
        <f t="shared" si="97"/>
        <v/>
      </c>
      <c r="PE7" s="100"/>
      <c r="PF7" s="187"/>
      <c r="PG7" s="188"/>
      <c r="PH7" s="106" t="str">
        <f>IFERROR((((COUNTIF('Elève (6ème2)'!PE8:PG11,"A"))*4)+((COUNTIF('Elève (6ème2)'!PE8:PG11,"B"))*3)+((COUNTIF('Elève (6ème2)'!PE8:PG11,"C"))*2)+((COUNTIF('Elève (6ème2)'!PE8:PG11,"D"))*1))/(COUNTA(PE8:PG11)),"")</f>
        <v/>
      </c>
      <c r="PI7" s="128" t="str">
        <f t="shared" si="98"/>
        <v/>
      </c>
      <c r="PJ7" s="177">
        <f>IFERROR((((COUNTIF(OU8:OW11,"A")+COUNTIF(OZ8:PB11,"A")+COUNTIF(PE8:PG11,"A"))*4)+((COUNTIF(OU8:OW11,"B")+COUNTIF(OZ8:PB11,"B")+COUNTIF(PE8:PG11,"B"))*3)+((COUNTIF(OU8:OW11,"C")+COUNTIF(OZ8:PB11,"C")+COUNTIF(PE8:PG11,"C"))*2)+((COUNTIF(OU8:OW11,"D")+COUNTIF(OZ8:PB11,"D")+COUNTIF(PE8:PG11,"D"))*1))/(COUNTA(OU8:OW11)+COUNTA(OZ8:PB11)+COUNTA(PE8:PG11)),"")</f>
        <v>3.5</v>
      </c>
      <c r="PK7" s="130" t="str">
        <f t="shared" si="99"/>
        <v>B</v>
      </c>
      <c r="PL7" s="162"/>
      <c r="PM7" s="189"/>
      <c r="PN7" s="189"/>
      <c r="PO7" s="106">
        <f>IFERROR((((COUNTIF('Elève (6ème2)'!PL8:PN11,"A"))*4)+((COUNTIF('Elève (6ème2)'!PL8:PN11,"B"))*3)+((COUNTIF('Elève (6ème2)'!PL8:PN11,"C"))*2)+((COUNTIF('Elève (6ème2)'!PL8:PN11,"D"))*1))/(COUNTA(PL8:PN11)),"")</f>
        <v>3.5</v>
      </c>
      <c r="PP7" s="107" t="str">
        <f t="shared" si="100"/>
        <v>B</v>
      </c>
      <c r="PQ7" s="100"/>
      <c r="PR7" s="187"/>
      <c r="PS7" s="188"/>
      <c r="PT7" s="106" t="str">
        <f>IFERROR((((COUNTIF('Elève (6ème2)'!PQ8:PS11,"A"))*4)+((COUNTIF('Elève (6ème2)'!PQ8:PS11,"B"))*3)+((COUNTIF('Elève (6ème2)'!PQ8:PS11,"C"))*2)+((COUNTIF('Elève (6ème2)'!PQ8:PS11,"D"))*1))/(COUNTA(PQ8:PS11)),"")</f>
        <v/>
      </c>
      <c r="PU7" s="121" t="str">
        <f t="shared" si="101"/>
        <v/>
      </c>
      <c r="PV7" s="100"/>
      <c r="PW7" s="187"/>
      <c r="PX7" s="188"/>
      <c r="PY7" s="106" t="str">
        <f>IFERROR((((COUNTIF('Elève (6ème2)'!PV8:PX11,"A"))*4)+((COUNTIF('Elève (6ème2)'!PV8:PX11,"B"))*3)+((COUNTIF('Elève (6ème2)'!PV8:PX11,"C"))*2)+((COUNTIF('Elève (6ème2)'!PV8:PX11,"D"))*1))/(COUNTA(PV8:PX11)),"")</f>
        <v/>
      </c>
      <c r="PZ7" s="128" t="str">
        <f t="shared" si="102"/>
        <v/>
      </c>
      <c r="QA7" s="177">
        <f>IFERROR((((COUNTIF(PL8:PN11,"A")+COUNTIF(PQ8:PS11,"A")+COUNTIF(PV8:PX11,"A"))*4)+((COUNTIF(PL8:PN11,"B")+COUNTIF(PQ8:PS11,"B")+COUNTIF(PV8:PX11,"B"))*3)+((COUNTIF(PL8:PN11,"C")+COUNTIF(PQ8:PS11,"C")+COUNTIF(PV8:PX11,"C"))*2)+((COUNTIF(PL8:PN11,"D")+COUNTIF(PQ8:PS11,"D")+COUNTIF(PV8:PX11,"D"))*1))/(COUNTA(PL8:PN11)+COUNTA(PQ8:PS11)+COUNTA(PV8:PX11)),"")</f>
        <v>3.5</v>
      </c>
      <c r="QB7" s="130" t="str">
        <f t="shared" si="103"/>
        <v>B</v>
      </c>
      <c r="QC7" s="162"/>
      <c r="QD7" s="189"/>
      <c r="QE7" s="189"/>
      <c r="QF7" s="106">
        <f>IFERROR((((COUNTIF('Elève (6ème2)'!QC8:QE11,"A"))*4)+((COUNTIF('Elève (6ème2)'!QC8:QE11,"B"))*3)+((COUNTIF('Elève (6ème2)'!QC8:QE11,"C"))*2)+((COUNTIF('Elève (6ème2)'!QC8:QE11,"D"))*1))/(COUNTA(QC8:QE11)),"")</f>
        <v>3.5</v>
      </c>
      <c r="QG7" s="107" t="str">
        <f t="shared" si="104"/>
        <v>B</v>
      </c>
      <c r="QH7" s="100"/>
      <c r="QI7" s="187"/>
      <c r="QJ7" s="188"/>
      <c r="QK7" s="106" t="str">
        <f>IFERROR((((COUNTIF('Elève (6ème2)'!QH8:QJ11,"A"))*4)+((COUNTIF('Elève (6ème2)'!QH8:QJ11,"B"))*3)+((COUNTIF('Elève (6ème2)'!QH8:QJ11,"C"))*2)+((COUNTIF('Elève (6ème2)'!QH8:QJ11,"D"))*1))/(COUNTA(QH8:QJ11)),"")</f>
        <v/>
      </c>
      <c r="QL7" s="121" t="str">
        <f t="shared" si="105"/>
        <v/>
      </c>
      <c r="QM7" s="100"/>
      <c r="QN7" s="187"/>
      <c r="QO7" s="188"/>
      <c r="QP7" s="106" t="str">
        <f>IFERROR((((COUNTIF('Elève (6ème2)'!QM8:QO11,"A"))*4)+((COUNTIF('Elève (6ème2)'!QM8:QO11,"B"))*3)+((COUNTIF('Elève (6ème2)'!QM8:QO11,"C"))*2)+((COUNTIF('Elève (6ème2)'!QM8:QO11,"D"))*1))/(COUNTA(QM8:QO11)),"")</f>
        <v/>
      </c>
      <c r="QQ7" s="128" t="str">
        <f t="shared" si="106"/>
        <v/>
      </c>
      <c r="QR7" s="177">
        <f>IFERROR((((COUNTIF(QC8:QE11,"A")+COUNTIF(QH8:QJ11,"A")+COUNTIF(QM8:QO11,"A"))*4)+((COUNTIF(QC8:QE11,"B")+COUNTIF(QH8:QJ11,"B")+COUNTIF(QM8:QO11,"B"))*3)+((COUNTIF(QC8:QE11,"C")+COUNTIF(QH8:QJ11,"C")+COUNTIF(QM8:QO11,"C"))*2)+((COUNTIF(QC8:QE11,"D")+COUNTIF(QH8:QJ11,"D")+COUNTIF(QM8:QO11,"D"))*1))/(COUNTA(QC8:QE11)+COUNTA(QH8:QJ11)+COUNTA(QM8:QO11)),"")</f>
        <v>3.5</v>
      </c>
      <c r="QS7" s="130" t="str">
        <f t="shared" si="107"/>
        <v>B</v>
      </c>
      <c r="QT7" s="162"/>
      <c r="QU7" s="189"/>
      <c r="QV7" s="189"/>
      <c r="QW7" s="106" t="str">
        <f>IFERROR((((COUNTIF('Elève (6ème2)'!QT8:QV11,"A"))*4)+((COUNTIF('Elève (6ème2)'!QT8:QV11,"B"))*3)+((COUNTIF('Elève (6ème2)'!QT8:QV11,"C"))*2)+((COUNTIF('Elève (6ème2)'!QT8:QV11,"D"))*1))/(COUNTA(QT8:QV11)),"")</f>
        <v/>
      </c>
      <c r="QX7" s="107" t="str">
        <f t="shared" si="108"/>
        <v/>
      </c>
      <c r="QY7" s="100"/>
      <c r="QZ7" s="187"/>
      <c r="RA7" s="188"/>
      <c r="RB7" s="106" t="str">
        <f>IFERROR((((COUNTIF('Elève (6ème2)'!QY8:RA11,"A"))*4)+((COUNTIF('Elève (6ème2)'!QY8:RA11,"B"))*3)+((COUNTIF('Elève (6ème2)'!QY8:RA11,"C"))*2)+((COUNTIF('Elève (6ème2)'!QY8:RA11,"D"))*1))/(COUNTA(QY8:RA11)),"")</f>
        <v/>
      </c>
      <c r="RC7" s="121" t="str">
        <f t="shared" si="109"/>
        <v/>
      </c>
      <c r="RD7" s="100"/>
      <c r="RE7" s="187"/>
      <c r="RF7" s="188"/>
      <c r="RG7" s="106" t="str">
        <f>IFERROR((((COUNTIF('Elève (6ème2)'!RD8:RF11,"A"))*4)+((COUNTIF('Elève (6ème2)'!RD8:RF11,"B"))*3)+((COUNTIF('Elève (6ème2)'!RD8:RF11,"C"))*2)+((COUNTIF('Elève (6ème2)'!RD8:RF11,"D"))*1))/(COUNTA(RD8:RF11)),"")</f>
        <v/>
      </c>
      <c r="RH7" s="128" t="str">
        <f t="shared" si="110"/>
        <v/>
      </c>
      <c r="RI7" s="177" t="str">
        <f>IFERROR((((COUNTIF(QT8:QV11,"A")+COUNTIF(QY8:RA11,"A")+COUNTIF(RD8:RF11,"A"))*4)+((COUNTIF(QT8:QV11,"B")+COUNTIF(QY8:RA11,"B")+COUNTIF(RD8:RF11,"B"))*3)+((COUNTIF(QT8:QV11,"C")+COUNTIF(QY8:RA11,"C")+COUNTIF(RD8:RF11,"C"))*2)+((COUNTIF(QT8:QV11,"D")+COUNTIF(QY8:RA11,"D")+COUNTIF(RD8:RF11,"D"))*1))/(COUNTA(QT8:QV11)+COUNTA(QY8:RA11)+COUNTA(RD8:RF11)),"")</f>
        <v/>
      </c>
      <c r="RJ7" s="130" t="str">
        <f t="shared" si="111"/>
        <v/>
      </c>
      <c r="RK7" s="162"/>
      <c r="RL7" s="189"/>
      <c r="RM7" s="189"/>
      <c r="RN7" s="106" t="str">
        <f>IFERROR((((COUNTIF('Elève (6ème2)'!RK8:RM11,"A"))*4)+((COUNTIF('Elève (6ème2)'!RK8:RM11,"B"))*3)+((COUNTIF('Elève (6ème2)'!RK8:RM11,"C"))*2)+((COUNTIF('Elève (6ème2)'!RK8:RM11,"D"))*1))/(COUNTA(RK8:RM11)),"")</f>
        <v/>
      </c>
      <c r="RO7" s="107" t="str">
        <f t="shared" si="112"/>
        <v/>
      </c>
      <c r="RP7" s="100"/>
      <c r="RQ7" s="187"/>
      <c r="RR7" s="188"/>
      <c r="RS7" s="106" t="str">
        <f>IFERROR((((COUNTIF('Elève (6ème2)'!RP8:RR11,"A"))*4)+((COUNTIF('Elève (6ème2)'!RP8:RR11,"B"))*3)+((COUNTIF('Elève (6ème2)'!RP8:RR11,"C"))*2)+((COUNTIF('Elève (6ème2)'!RP8:RR11,"D"))*1))/(COUNTA(RP8:RR11)),"")</f>
        <v/>
      </c>
      <c r="RT7" s="121" t="str">
        <f t="shared" si="113"/>
        <v/>
      </c>
      <c r="RU7" s="100"/>
      <c r="RV7" s="187"/>
      <c r="RW7" s="188"/>
      <c r="RX7" s="106" t="str">
        <f>IFERROR((((COUNTIF('Elève (6ème2)'!RU8:RW11,"A"))*4)+((COUNTIF('Elève (6ème2)'!RU8:RW11,"B"))*3)+((COUNTIF('Elève (6ème2)'!RU8:RW11,"C"))*2)+((COUNTIF('Elève (6ème2)'!RU8:RW11,"D"))*1))/(COUNTA(RU8:RW11)),"")</f>
        <v/>
      </c>
      <c r="RY7" s="128" t="str">
        <f t="shared" si="114"/>
        <v/>
      </c>
      <c r="RZ7" s="177" t="str">
        <f>IFERROR((((COUNTIF(RK8:RM11,"A")+COUNTIF(RP8:RR11,"A")+COUNTIF(RU8:RW11,"A"))*4)+((COUNTIF(RK8:RM11,"B")+COUNTIF(RP8:RR11,"B")+COUNTIF(RU8:RW11,"B"))*3)+((COUNTIF(RK8:RM11,"C")+COUNTIF(RP8:RR11,"C")+COUNTIF(RU8:RW11,"C"))*2)+((COUNTIF(RK8:RM11,"D")+COUNTIF(RP8:RR11,"D")+COUNTIF(RU8:RW11,"D"))*1))/(COUNTA(RK8:RM11)+COUNTA(RP8:RR11)+COUNTA(RU8:RW11)),"")</f>
        <v/>
      </c>
      <c r="SA7" s="130" t="str">
        <f t="shared" si="115"/>
        <v/>
      </c>
      <c r="SB7" s="162"/>
      <c r="SC7" s="189"/>
      <c r="SD7" s="189"/>
      <c r="SE7" s="106" t="str">
        <f>IFERROR((((COUNTIF('Elève (6ème2)'!SB8:SD11,"A"))*4)+((COUNTIF('Elève (6ème2)'!SB8:SD11,"B"))*3)+((COUNTIF('Elève (6ème2)'!SB8:SD11,"C"))*2)+((COUNTIF('Elève (6ème2)'!SB8:SD11,"D"))*1))/(COUNTA(SB8:SD11)),"")</f>
        <v/>
      </c>
      <c r="SF7" s="107" t="str">
        <f t="shared" si="116"/>
        <v/>
      </c>
      <c r="SG7" s="100"/>
      <c r="SH7" s="187"/>
      <c r="SI7" s="188"/>
      <c r="SJ7" s="106" t="str">
        <f>IFERROR((((COUNTIF('Elève (6ème2)'!SG8:SI11,"A"))*4)+((COUNTIF('Elève (6ème2)'!SG8:SI11,"B"))*3)+((COUNTIF('Elève (6ème2)'!SG8:SI11,"C"))*2)+((COUNTIF('Elève (6ème2)'!SG8:SI11,"D"))*1))/(COUNTA(SG8:SI11)),"")</f>
        <v/>
      </c>
      <c r="SK7" s="121" t="str">
        <f t="shared" si="117"/>
        <v/>
      </c>
      <c r="SL7" s="100"/>
      <c r="SM7" s="187"/>
      <c r="SN7" s="188"/>
      <c r="SO7" s="106" t="str">
        <f>IFERROR((((COUNTIF('Elève (6ème2)'!SL8:SN11,"A"))*4)+((COUNTIF('Elève (6ème2)'!SL8:SN11,"B"))*3)+((COUNTIF('Elève (6ème2)'!SL8:SN11,"C"))*2)+((COUNTIF('Elève (6ème2)'!SL8:SN11,"D"))*1))/(COUNTA(SL8:SN11)),"")</f>
        <v/>
      </c>
      <c r="SP7" s="128" t="str">
        <f t="shared" si="118"/>
        <v/>
      </c>
      <c r="SQ7" s="177" t="str">
        <f>IFERROR((((COUNTIF(SB8:SD11,"A")+COUNTIF(SG8:SI11,"A")+COUNTIF(SL8:SN11,"A"))*4)+((COUNTIF(SB8:SD11,"B")+COUNTIF(SG8:SI11,"B")+COUNTIF(SL8:SN11,"B"))*3)+((COUNTIF(SB8:SD11,"C")+COUNTIF(SG8:SI11,"C")+COUNTIF(SL8:SN11,"C"))*2)+((COUNTIF(SB8:SD11,"D")+COUNTIF(SG8:SI11,"D")+COUNTIF(SL8:SN11,"D"))*1))/(COUNTA(SB8:SD11)+COUNTA(SG8:SI11)+COUNTA(SL8:SN11)),"")</f>
        <v/>
      </c>
      <c r="SR7" s="130" t="str">
        <f t="shared" si="119"/>
        <v/>
      </c>
    </row>
    <row r="8" spans="1:512" s="72" customFormat="1" ht="18" customHeight="1" x14ac:dyDescent="0.25">
      <c r="A8" s="240" t="s">
        <v>40</v>
      </c>
      <c r="B8" s="241"/>
      <c r="C8" s="156" t="s">
        <v>24</v>
      </c>
      <c r="D8" s="157"/>
      <c r="E8" s="158"/>
      <c r="F8" s="108">
        <f>IFERROR((((COUNTIF('Elève (6ème2)'!C8:E8,"A"))*4)+((COUNTIF('Elève (6ème2)'!C8:E8,"B"))*3)+((COUNTIF('Elève (6ème2)'!C8:E8,"C"))*2)+((COUNTIF('Elève (6ème2)'!C8:E8,"D"))*1))/(COUNTA(C8:E8)),"")</f>
        <v>4</v>
      </c>
      <c r="G8" s="109" t="str">
        <f t="shared" si="0"/>
        <v>A</v>
      </c>
      <c r="H8" s="81"/>
      <c r="I8" s="82"/>
      <c r="J8" s="83"/>
      <c r="K8" s="108" t="str">
        <f>IFERROR((((COUNTIF('Elève (6ème2)'!H8:J8,"A"))*4)+((COUNTIF('Elève (6ème2)'!H8:J8,"B"))*3)+((COUNTIF('Elève (6ème2)'!H8:J8,"C"))*2)+((COUNTIF('Elève (6ème2)'!H8:J8,"D"))*1))/(COUNTA(H8:J8)),"")</f>
        <v/>
      </c>
      <c r="L8" s="109" t="str">
        <f t="shared" si="1"/>
        <v/>
      </c>
      <c r="M8" s="81"/>
      <c r="N8" s="82"/>
      <c r="O8" s="83"/>
      <c r="P8" s="108" t="str">
        <f>IFERROR((((COUNTIF('Elève (6ème2)'!M8:O8,"A"))*4)+((COUNTIF('Elève (6ème2)'!M8:O8,"B"))*3)+((COUNTIF('Elève (6ème2)'!M8:O8,"C"))*2)+((COUNTIF('Elève (6ème2)'!M8:O8,"D"))*1))/(COUNTA(M8:O8)),"")</f>
        <v/>
      </c>
      <c r="Q8" s="109" t="str">
        <f t="shared" si="2"/>
        <v/>
      </c>
      <c r="R8" s="178">
        <f>IF(COUNT(F8,K8,P8)=0,"",SUM(F8,K8,P8)/COUNT(F8,K8,P8))</f>
        <v>4</v>
      </c>
      <c r="S8" s="131" t="str">
        <f t="shared" si="3"/>
        <v>A</v>
      </c>
      <c r="T8" s="156" t="s">
        <v>24</v>
      </c>
      <c r="U8" s="157"/>
      <c r="V8" s="158"/>
      <c r="W8" s="108">
        <f>IFERROR((((COUNTIF('Elève (6ème2)'!T8:V8,"A"))*4)+((COUNTIF('Elève (6ème2)'!T8:V8,"B"))*3)+((COUNTIF('Elève (6ème2)'!T8:V8,"C"))*2)+((COUNTIF('Elève (6ème2)'!T8:V8,"D"))*1))/(COUNTA(T8:V8)),"")</f>
        <v>4</v>
      </c>
      <c r="X8" s="109" t="str">
        <f t="shared" si="4"/>
        <v>A</v>
      </c>
      <c r="Y8" s="81"/>
      <c r="Z8" s="82"/>
      <c r="AA8" s="83"/>
      <c r="AB8" s="108" t="str">
        <f>IFERROR((((COUNTIF('Elève (6ème2)'!Y8:AA8,"A"))*4)+((COUNTIF('Elève (6ème2)'!Y8:AA8,"B"))*3)+((COUNTIF('Elève (6ème2)'!Y8:AA8,"C"))*2)+((COUNTIF('Elève (6ème2)'!Y8:AA8,"D"))*1))/(COUNTA(Y8:AA8)),"")</f>
        <v/>
      </c>
      <c r="AC8" s="109" t="str">
        <f t="shared" si="5"/>
        <v/>
      </c>
      <c r="AD8" s="81"/>
      <c r="AE8" s="82"/>
      <c r="AF8" s="83"/>
      <c r="AG8" s="108" t="str">
        <f>IFERROR((((COUNTIF('Elève (6ème2)'!AD8:AF8,"A"))*4)+((COUNTIF('Elève (6ème2)'!AD8:AF8,"B"))*3)+((COUNTIF('Elève (6ème2)'!AD8:AF8,"C"))*2)+((COUNTIF('Elève (6ème2)'!AD8:AF8,"D"))*1))/(COUNTA(AD8:AF8)),"")</f>
        <v/>
      </c>
      <c r="AH8" s="109" t="str">
        <f t="shared" si="6"/>
        <v/>
      </c>
      <c r="AI8" s="178">
        <f>IF(COUNT(W8,AB8,AG8)=0,"",SUM(W8,AB8,AG8)/COUNT(W8,AB8,AG8))</f>
        <v>4</v>
      </c>
      <c r="AJ8" s="131" t="str">
        <f t="shared" si="7"/>
        <v>A</v>
      </c>
      <c r="AK8" s="156" t="s">
        <v>26</v>
      </c>
      <c r="AL8" s="157"/>
      <c r="AM8" s="158"/>
      <c r="AN8" s="108">
        <f>IFERROR((((COUNTIF('Elève (6ème2)'!AK8:AM8,"A"))*4)+((COUNTIF('Elève (6ème2)'!AK8:AM8,"B"))*3)+((COUNTIF('Elève (6ème2)'!AK8:AM8,"C"))*2)+((COUNTIF('Elève (6ème2)'!AK8:AM8,"D"))*1))/(COUNTA(AK8:AM8)),"")</f>
        <v>2</v>
      </c>
      <c r="AO8" s="109" t="str">
        <f t="shared" si="8"/>
        <v>C</v>
      </c>
      <c r="AP8" s="81"/>
      <c r="AQ8" s="82"/>
      <c r="AR8" s="83"/>
      <c r="AS8" s="108" t="str">
        <f>IFERROR((((COUNTIF('Elève (6ème2)'!AP8:AR8,"A"))*4)+((COUNTIF('Elève (6ème2)'!AP8:AR8,"B"))*3)+((COUNTIF('Elève (6ème2)'!AP8:AR8,"C"))*2)+((COUNTIF('Elève (6ème2)'!AP8:AR8,"D"))*1))/(COUNTA(AP8:AR8)),"")</f>
        <v/>
      </c>
      <c r="AT8" s="109" t="str">
        <f t="shared" si="9"/>
        <v/>
      </c>
      <c r="AU8" s="81"/>
      <c r="AV8" s="82"/>
      <c r="AW8" s="83"/>
      <c r="AX8" s="108" t="str">
        <f>IFERROR((((COUNTIF('Elève (6ème2)'!AU8:AW8,"A"))*4)+((COUNTIF('Elève (6ème2)'!AU8:AW8,"B"))*3)+((COUNTIF('Elève (6ème2)'!AU8:AW8,"C"))*2)+((COUNTIF('Elève (6ème2)'!AU8:AW8,"D"))*1))/(COUNTA(AU8:AW8)),"")</f>
        <v/>
      </c>
      <c r="AY8" s="109" t="str">
        <f t="shared" si="10"/>
        <v/>
      </c>
      <c r="AZ8" s="178">
        <f>IF(COUNT(AN8,AS8,AX8)=0,"",SUM(AN8,AS8,AX8)/COUNT(AN8,AS8,AX8))</f>
        <v>2</v>
      </c>
      <c r="BA8" s="131" t="str">
        <f t="shared" si="11"/>
        <v>C</v>
      </c>
      <c r="BB8" s="156" t="s">
        <v>24</v>
      </c>
      <c r="BC8" s="157"/>
      <c r="BD8" s="158"/>
      <c r="BE8" s="108">
        <f>IFERROR((((COUNTIF('Elève (6ème2)'!BB8:BD8,"A"))*4)+((COUNTIF('Elève (6ème2)'!BB8:BD8,"B"))*3)+((COUNTIF('Elève (6ème2)'!BB8:BD8,"C"))*2)+((COUNTIF('Elève (6ème2)'!BB8:BD8,"D"))*1))/(COUNTA(BB8:BD8)),"")</f>
        <v>4</v>
      </c>
      <c r="BF8" s="109" t="str">
        <f t="shared" si="12"/>
        <v>A</v>
      </c>
      <c r="BG8" s="81"/>
      <c r="BH8" s="82"/>
      <c r="BI8" s="83"/>
      <c r="BJ8" s="108" t="str">
        <f>IFERROR((((COUNTIF('Elève (6ème2)'!BG8:BI8,"A"))*4)+((COUNTIF('Elève (6ème2)'!BG8:BI8,"B"))*3)+((COUNTIF('Elève (6ème2)'!BG8:BI8,"C"))*2)+((COUNTIF('Elève (6ème2)'!BG8:BI8,"D"))*1))/(COUNTA(BG8:BI8)),"")</f>
        <v/>
      </c>
      <c r="BK8" s="109" t="str">
        <f t="shared" si="13"/>
        <v/>
      </c>
      <c r="BL8" s="81"/>
      <c r="BM8" s="82"/>
      <c r="BN8" s="83"/>
      <c r="BO8" s="108" t="str">
        <f>IFERROR((((COUNTIF('Elève (6ème2)'!BL8:BN8,"A"))*4)+((COUNTIF('Elève (6ème2)'!BL8:BN8,"B"))*3)+((COUNTIF('Elève (6ème2)'!BL8:BN8,"C"))*2)+((COUNTIF('Elève (6ème2)'!BL8:BN8,"D"))*1))/(COUNTA(BL8:BN8)),"")</f>
        <v/>
      </c>
      <c r="BP8" s="109" t="str">
        <f t="shared" si="14"/>
        <v/>
      </c>
      <c r="BQ8" s="178">
        <f>IF(COUNT(BE8,BJ8,BO8)=0,"",SUM(BE8,BJ8,BO8)/COUNT(BE8,BJ8,BO8))</f>
        <v>4</v>
      </c>
      <c r="BR8" s="131" t="str">
        <f t="shared" si="15"/>
        <v>A</v>
      </c>
      <c r="BS8" s="156" t="s">
        <v>24</v>
      </c>
      <c r="BT8" s="157"/>
      <c r="BU8" s="158"/>
      <c r="BV8" s="108">
        <f>IFERROR((((COUNTIF('Elève (6ème2)'!BS8:BU8,"A"))*4)+((COUNTIF('Elève (6ème2)'!BS8:BU8,"B"))*3)+((COUNTIF('Elève (6ème2)'!BS8:BU8,"C"))*2)+((COUNTIF('Elève (6ème2)'!BS8:BU8,"D"))*1))/(COUNTA(BS8:BU8)),"")</f>
        <v>4</v>
      </c>
      <c r="BW8" s="109" t="str">
        <f t="shared" si="16"/>
        <v>A</v>
      </c>
      <c r="BX8" s="81"/>
      <c r="BY8" s="82"/>
      <c r="BZ8" s="83"/>
      <c r="CA8" s="108" t="str">
        <f>IFERROR((((COUNTIF('Elève (6ème2)'!BX8:BZ8,"A"))*4)+((COUNTIF('Elève (6ème2)'!BX8:BZ8,"B"))*3)+((COUNTIF('Elève (6ème2)'!BX8:BZ8,"C"))*2)+((COUNTIF('Elève (6ème2)'!BX8:BZ8,"D"))*1))/(COUNTA(BX8:BZ8)),"")</f>
        <v/>
      </c>
      <c r="CB8" s="109" t="str">
        <f t="shared" si="17"/>
        <v/>
      </c>
      <c r="CC8" s="81"/>
      <c r="CD8" s="82"/>
      <c r="CE8" s="83"/>
      <c r="CF8" s="108" t="str">
        <f>IFERROR((((COUNTIF('Elève (6ème2)'!CC8:CE8,"A"))*4)+((COUNTIF('Elève (6ème2)'!CC8:CE8,"B"))*3)+((COUNTIF('Elève (6ème2)'!CC8:CE8,"C"))*2)+((COUNTIF('Elève (6ème2)'!CC8:CE8,"D"))*1))/(COUNTA(CC8:CE8)),"")</f>
        <v/>
      </c>
      <c r="CG8" s="109" t="str">
        <f t="shared" si="18"/>
        <v/>
      </c>
      <c r="CH8" s="178">
        <f>IF(COUNT(BV8,CA8,CF8)=0,"",SUM(BV8,CA8,CF8)/COUNT(BV8,CA8,CF8))</f>
        <v>4</v>
      </c>
      <c r="CI8" s="131" t="str">
        <f t="shared" si="19"/>
        <v>A</v>
      </c>
      <c r="CJ8" s="156" t="s">
        <v>25</v>
      </c>
      <c r="CK8" s="157"/>
      <c r="CL8" s="158"/>
      <c r="CM8" s="108">
        <f>IFERROR((((COUNTIF('Elève (6ème2)'!CJ8:CL8,"A"))*4)+((COUNTIF('Elève (6ème2)'!CJ8:CL8,"B"))*3)+((COUNTIF('Elève (6ème2)'!CJ8:CL8,"C"))*2)+((COUNTIF('Elève (6ème2)'!CJ8:CL8,"D"))*1))/(COUNTA(CJ8:CL8)),"")</f>
        <v>3</v>
      </c>
      <c r="CN8" s="109" t="str">
        <f t="shared" si="20"/>
        <v>B</v>
      </c>
      <c r="CO8" s="81"/>
      <c r="CP8" s="82"/>
      <c r="CQ8" s="83"/>
      <c r="CR8" s="108" t="str">
        <f>IFERROR((((COUNTIF('Elève (6ème2)'!CO8:CQ8,"A"))*4)+((COUNTIF('Elève (6ème2)'!CO8:CQ8,"B"))*3)+((COUNTIF('Elève (6ème2)'!CO8:CQ8,"C"))*2)+((COUNTIF('Elève (6ème2)'!CO8:CQ8,"D"))*1))/(COUNTA(CO8:CQ8)),"")</f>
        <v/>
      </c>
      <c r="CS8" s="109" t="str">
        <f t="shared" si="21"/>
        <v/>
      </c>
      <c r="CT8" s="81"/>
      <c r="CU8" s="82"/>
      <c r="CV8" s="83"/>
      <c r="CW8" s="108" t="str">
        <f>IFERROR((((COUNTIF('Elève (6ème2)'!CT8:CV8,"A"))*4)+((COUNTIF('Elève (6ème2)'!CT8:CV8,"B"))*3)+((COUNTIF('Elève (6ème2)'!CT8:CV8,"C"))*2)+((COUNTIF('Elève (6ème2)'!CT8:CV8,"D"))*1))/(COUNTA(CT8:CV8)),"")</f>
        <v/>
      </c>
      <c r="CX8" s="109" t="str">
        <f t="shared" si="22"/>
        <v/>
      </c>
      <c r="CY8" s="178">
        <f>IF(COUNT(CM8,CR8,CW8)=0,"",SUM(CM8,CR8,CW8)/COUNT(CM8,CR8,CW8))</f>
        <v>3</v>
      </c>
      <c r="CZ8" s="131" t="str">
        <f t="shared" si="23"/>
        <v>B</v>
      </c>
      <c r="DA8" s="156" t="s">
        <v>24</v>
      </c>
      <c r="DB8" s="157"/>
      <c r="DC8" s="158"/>
      <c r="DD8" s="108">
        <f>IFERROR((((COUNTIF('Elève (6ème2)'!DA8:DC8,"A"))*4)+((COUNTIF('Elève (6ème2)'!DA8:DC8,"B"))*3)+((COUNTIF('Elève (6ème2)'!DA8:DC8,"C"))*2)+((COUNTIF('Elève (6ème2)'!DA8:DC8,"D"))*1))/(COUNTA(DA8:DC8)),"")</f>
        <v>4</v>
      </c>
      <c r="DE8" s="109" t="str">
        <f t="shared" si="24"/>
        <v>A</v>
      </c>
      <c r="DF8" s="81"/>
      <c r="DG8" s="82"/>
      <c r="DH8" s="83"/>
      <c r="DI8" s="108" t="str">
        <f>IFERROR((((COUNTIF('Elève (6ème2)'!DF8:DH8,"A"))*4)+((COUNTIF('Elève (6ème2)'!DF8:DH8,"B"))*3)+((COUNTIF('Elève (6ème2)'!DF8:DH8,"C"))*2)+((COUNTIF('Elève (6ème2)'!DF8:DH8,"D"))*1))/(COUNTA(DF8:DH8)),"")</f>
        <v/>
      </c>
      <c r="DJ8" s="109" t="str">
        <f t="shared" si="25"/>
        <v/>
      </c>
      <c r="DK8" s="81"/>
      <c r="DL8" s="82"/>
      <c r="DM8" s="83"/>
      <c r="DN8" s="108" t="str">
        <f>IFERROR((((COUNTIF('Elève (6ème2)'!DK8:DM8,"A"))*4)+((COUNTIF('Elève (6ème2)'!DK8:DM8,"B"))*3)+((COUNTIF('Elève (6ème2)'!DK8:DM8,"C"))*2)+((COUNTIF('Elève (6ème2)'!DK8:DM8,"D"))*1))/(COUNTA(DK8:DM8)),"")</f>
        <v/>
      </c>
      <c r="DO8" s="109" t="str">
        <f t="shared" si="26"/>
        <v/>
      </c>
      <c r="DP8" s="178">
        <f>IF(COUNT(DD8,DI8,DN8)=0,"",SUM(DD8,DI8,DN8)/COUNT(DD8,DI8,DN8))</f>
        <v>4</v>
      </c>
      <c r="DQ8" s="131" t="str">
        <f t="shared" si="27"/>
        <v>A</v>
      </c>
      <c r="DR8" s="156" t="s">
        <v>24</v>
      </c>
      <c r="DS8" s="157"/>
      <c r="DT8" s="158"/>
      <c r="DU8" s="108">
        <f>IFERROR((((COUNTIF('Elève (6ème2)'!DR8:DT8,"A"))*4)+((COUNTIF('Elève (6ème2)'!DR8:DT8,"B"))*3)+((COUNTIF('Elève (6ème2)'!DR8:DT8,"C"))*2)+((COUNTIF('Elève (6ème2)'!DR8:DT8,"D"))*1))/(COUNTA(DR8:DT8)),"")</f>
        <v>4</v>
      </c>
      <c r="DV8" s="109" t="str">
        <f t="shared" si="28"/>
        <v>A</v>
      </c>
      <c r="DW8" s="81"/>
      <c r="DX8" s="82"/>
      <c r="DY8" s="83"/>
      <c r="DZ8" s="108" t="str">
        <f>IFERROR((((COUNTIF('Elève (6ème2)'!DW8:DY8,"A"))*4)+((COUNTIF('Elève (6ème2)'!DW8:DY8,"B"))*3)+((COUNTIF('Elève (6ème2)'!DW8:DY8,"C"))*2)+((COUNTIF('Elève (6ème2)'!DW8:DY8,"D"))*1))/(COUNTA(DW8:DY8)),"")</f>
        <v/>
      </c>
      <c r="EA8" s="109" t="str">
        <f t="shared" si="29"/>
        <v/>
      </c>
      <c r="EB8" s="81"/>
      <c r="EC8" s="82"/>
      <c r="ED8" s="83"/>
      <c r="EE8" s="108" t="str">
        <f>IFERROR((((COUNTIF('Elève (6ème2)'!EB8:ED8,"A"))*4)+((COUNTIF('Elève (6ème2)'!EB8:ED8,"B"))*3)+((COUNTIF('Elève (6ème2)'!EB8:ED8,"C"))*2)+((COUNTIF('Elève (6ème2)'!EB8:ED8,"D"))*1))/(COUNTA(EB8:ED8)),"")</f>
        <v/>
      </c>
      <c r="EF8" s="109" t="str">
        <f t="shared" si="30"/>
        <v/>
      </c>
      <c r="EG8" s="178">
        <f>IF(COUNT(DU8,DZ8,EE8)=0,"",SUM(DU8,DZ8,EE8)/COUNT(DU8,DZ8,EE8))</f>
        <v>4</v>
      </c>
      <c r="EH8" s="131" t="str">
        <f t="shared" si="31"/>
        <v>A</v>
      </c>
      <c r="EI8" s="156" t="s">
        <v>26</v>
      </c>
      <c r="EJ8" s="157"/>
      <c r="EK8" s="158"/>
      <c r="EL8" s="108">
        <f>IFERROR((((COUNTIF('Elève (6ème2)'!EI8:EK8,"A"))*4)+((COUNTIF('Elève (6ème2)'!EI8:EK8,"B"))*3)+((COUNTIF('Elève (6ème2)'!EI8:EK8,"C"))*2)+((COUNTIF('Elève (6ème2)'!EI8:EK8,"D"))*1))/(COUNTA(EI8:EK8)),"")</f>
        <v>2</v>
      </c>
      <c r="EM8" s="109" t="str">
        <f t="shared" si="32"/>
        <v>C</v>
      </c>
      <c r="EN8" s="81"/>
      <c r="EO8" s="82"/>
      <c r="EP8" s="83"/>
      <c r="EQ8" s="108" t="str">
        <f>IFERROR((((COUNTIF('Elève (6ème2)'!EN8:EP8,"A"))*4)+((COUNTIF('Elève (6ème2)'!EN8:EP8,"B"))*3)+((COUNTIF('Elève (6ème2)'!EN8:EP8,"C"))*2)+((COUNTIF('Elève (6ème2)'!EN8:EP8,"D"))*1))/(COUNTA(EN8:EP8)),"")</f>
        <v/>
      </c>
      <c r="ER8" s="109" t="str">
        <f t="shared" si="33"/>
        <v/>
      </c>
      <c r="ES8" s="81"/>
      <c r="ET8" s="82"/>
      <c r="EU8" s="83"/>
      <c r="EV8" s="108" t="str">
        <f>IFERROR((((COUNTIF('Elève (6ème2)'!ES8:EU8,"A"))*4)+((COUNTIF('Elève (6ème2)'!ES8:EU8,"B"))*3)+((COUNTIF('Elève (6ème2)'!ES8:EU8,"C"))*2)+((COUNTIF('Elève (6ème2)'!ES8:EU8,"D"))*1))/(COUNTA(ES8:EU8)),"")</f>
        <v/>
      </c>
      <c r="EW8" s="109" t="str">
        <f t="shared" si="34"/>
        <v/>
      </c>
      <c r="EX8" s="178">
        <f>IF(COUNT(EL8,EQ8,EV8)=0,"",SUM(EL8,EQ8,EV8)/COUNT(EL8,EQ8,EV8))</f>
        <v>2</v>
      </c>
      <c r="EY8" s="131" t="str">
        <f t="shared" si="35"/>
        <v>C</v>
      </c>
      <c r="EZ8" s="156" t="s">
        <v>24</v>
      </c>
      <c r="FA8" s="157"/>
      <c r="FB8" s="158"/>
      <c r="FC8" s="108">
        <f>IFERROR((((COUNTIF('Elève (6ème2)'!EZ8:FB8,"A"))*4)+((COUNTIF('Elève (6ème2)'!EZ8:FB8,"B"))*3)+((COUNTIF('Elève (6ème2)'!EZ8:FB8,"C"))*2)+((COUNTIF('Elève (6ème2)'!EZ8:FB8,"D"))*1))/(COUNTA(EZ8:FB8)),"")</f>
        <v>4</v>
      </c>
      <c r="FD8" s="109" t="str">
        <f t="shared" si="36"/>
        <v>A</v>
      </c>
      <c r="FE8" s="81"/>
      <c r="FF8" s="82"/>
      <c r="FG8" s="83"/>
      <c r="FH8" s="108" t="str">
        <f>IFERROR((((COUNTIF('Elève (6ème2)'!FE8:FG8,"A"))*4)+((COUNTIF('Elève (6ème2)'!FE8:FG8,"B"))*3)+((COUNTIF('Elève (6ème2)'!FE8:FG8,"C"))*2)+((COUNTIF('Elève (6ème2)'!FE8:FG8,"D"))*1))/(COUNTA(FE8:FG8)),"")</f>
        <v/>
      </c>
      <c r="FI8" s="109" t="str">
        <f t="shared" si="37"/>
        <v/>
      </c>
      <c r="FJ8" s="81"/>
      <c r="FK8" s="82"/>
      <c r="FL8" s="83"/>
      <c r="FM8" s="108" t="str">
        <f>IFERROR((((COUNTIF('Elève (6ème2)'!FJ8:FL8,"A"))*4)+((COUNTIF('Elève (6ème2)'!FJ8:FL8,"B"))*3)+((COUNTIF('Elève (6ème2)'!FJ8:FL8,"C"))*2)+((COUNTIF('Elève (6ème2)'!FJ8:FL8,"D"))*1))/(COUNTA(FJ8:FL8)),"")</f>
        <v/>
      </c>
      <c r="FN8" s="109" t="str">
        <f t="shared" si="38"/>
        <v/>
      </c>
      <c r="FO8" s="178">
        <f>IF(COUNT(FC8,FH8,FM8)=0,"",SUM(FC8,FH8,FM8)/COUNT(FC8,FH8,FM8))</f>
        <v>4</v>
      </c>
      <c r="FP8" s="131" t="str">
        <f t="shared" si="39"/>
        <v>A</v>
      </c>
      <c r="FQ8" s="156" t="s">
        <v>24</v>
      </c>
      <c r="FR8" s="157"/>
      <c r="FS8" s="158"/>
      <c r="FT8" s="108">
        <f>IFERROR((((COUNTIF('Elève (6ème2)'!FQ8:FS8,"A"))*4)+((COUNTIF('Elève (6ème2)'!FQ8:FS8,"B"))*3)+((COUNTIF('Elève (6ème2)'!FQ8:FS8,"C"))*2)+((COUNTIF('Elève (6ème2)'!FQ8:FS8,"D"))*1))/(COUNTA(FQ8:FS8)),"")</f>
        <v>4</v>
      </c>
      <c r="FU8" s="109" t="str">
        <f t="shared" si="40"/>
        <v>A</v>
      </c>
      <c r="FV8" s="81"/>
      <c r="FW8" s="82"/>
      <c r="FX8" s="83"/>
      <c r="FY8" s="108" t="str">
        <f>IFERROR((((COUNTIF('Elève (6ème2)'!FV8:FX8,"A"))*4)+((COUNTIF('Elève (6ème2)'!FV8:FX8,"B"))*3)+((COUNTIF('Elève (6ème2)'!FV8:FX8,"C"))*2)+((COUNTIF('Elève (6ème2)'!FV8:FX8,"D"))*1))/(COUNTA(FV8:FX8)),"")</f>
        <v/>
      </c>
      <c r="FZ8" s="109" t="str">
        <f t="shared" si="41"/>
        <v/>
      </c>
      <c r="GA8" s="81"/>
      <c r="GB8" s="82"/>
      <c r="GC8" s="83"/>
      <c r="GD8" s="108" t="str">
        <f>IFERROR((((COUNTIF('Elève (6ème2)'!GA8:GC8,"A"))*4)+((COUNTIF('Elève (6ème2)'!GA8:GC8,"B"))*3)+((COUNTIF('Elève (6ème2)'!GA8:GC8,"C"))*2)+((COUNTIF('Elève (6ème2)'!GA8:GC8,"D"))*1))/(COUNTA(GA8:GC8)),"")</f>
        <v/>
      </c>
      <c r="GE8" s="109" t="str">
        <f t="shared" si="42"/>
        <v/>
      </c>
      <c r="GF8" s="178">
        <f>IF(COUNT(FT8,FY8,GD8)=0,"",SUM(FT8,FY8,GD8)/COUNT(FT8,FY8,GD8))</f>
        <v>4</v>
      </c>
      <c r="GG8" s="131" t="str">
        <f t="shared" si="43"/>
        <v>A</v>
      </c>
      <c r="GH8" s="156" t="s">
        <v>25</v>
      </c>
      <c r="GI8" s="157"/>
      <c r="GJ8" s="158"/>
      <c r="GK8" s="108">
        <f>IFERROR((((COUNTIF('Elève (6ème2)'!GH8:GJ8,"A"))*4)+((COUNTIF('Elève (6ème2)'!GH8:GJ8,"B"))*3)+((COUNTIF('Elève (6ème2)'!GH8:GJ8,"C"))*2)+((COUNTIF('Elève (6ème2)'!GH8:GJ8,"D"))*1))/(COUNTA(GH8:GJ8)),"")</f>
        <v>3</v>
      </c>
      <c r="GL8" s="109" t="str">
        <f t="shared" si="44"/>
        <v>B</v>
      </c>
      <c r="GM8" s="81"/>
      <c r="GN8" s="82"/>
      <c r="GO8" s="83"/>
      <c r="GP8" s="108" t="str">
        <f>IFERROR((((COUNTIF('Elève (6ème2)'!GM8:GO8,"A"))*4)+((COUNTIF('Elève (6ème2)'!GM8:GO8,"B"))*3)+((COUNTIF('Elève (6ème2)'!GM8:GO8,"C"))*2)+((COUNTIF('Elève (6ème2)'!GM8:GO8,"D"))*1))/(COUNTA(GM8:GO8)),"")</f>
        <v/>
      </c>
      <c r="GQ8" s="109" t="str">
        <f t="shared" si="45"/>
        <v/>
      </c>
      <c r="GR8" s="81"/>
      <c r="GS8" s="82"/>
      <c r="GT8" s="83"/>
      <c r="GU8" s="108" t="str">
        <f>IFERROR((((COUNTIF('Elève (6ème2)'!GR8:GT8,"A"))*4)+((COUNTIF('Elève (6ème2)'!GR8:GT8,"B"))*3)+((COUNTIF('Elève (6ème2)'!GR8:GT8,"C"))*2)+((COUNTIF('Elève (6ème2)'!GR8:GT8,"D"))*1))/(COUNTA(GR8:GT8)),"")</f>
        <v/>
      </c>
      <c r="GV8" s="109" t="str">
        <f t="shared" si="46"/>
        <v/>
      </c>
      <c r="GW8" s="178">
        <f>IF(COUNT(GK8,GP8,GU8)=0,"",SUM(GK8,GP8,GU8)/COUNT(GK8,GP8,GU8))</f>
        <v>3</v>
      </c>
      <c r="GX8" s="131" t="str">
        <f t="shared" si="47"/>
        <v>B</v>
      </c>
      <c r="GY8" s="156" t="s">
        <v>25</v>
      </c>
      <c r="GZ8" s="157"/>
      <c r="HA8" s="158"/>
      <c r="HB8" s="108">
        <f>IFERROR((((COUNTIF('Elève (6ème2)'!GY8:HA8,"A"))*4)+((COUNTIF('Elève (6ème2)'!GY8:HA8,"B"))*3)+((COUNTIF('Elève (6ème2)'!GY8:HA8,"C"))*2)+((COUNTIF('Elève (6ème2)'!GY8:HA8,"D"))*1))/(COUNTA(GY8:HA8)),"")</f>
        <v>3</v>
      </c>
      <c r="HC8" s="109" t="str">
        <f t="shared" si="48"/>
        <v>B</v>
      </c>
      <c r="HD8" s="81"/>
      <c r="HE8" s="82"/>
      <c r="HF8" s="83"/>
      <c r="HG8" s="108" t="str">
        <f>IFERROR((((COUNTIF('Elève (6ème2)'!HD8:HF8,"A"))*4)+((COUNTIF('Elève (6ème2)'!HD8:HF8,"B"))*3)+((COUNTIF('Elève (6ème2)'!HD8:HF8,"C"))*2)+((COUNTIF('Elève (6ème2)'!HD8:HF8,"D"))*1))/(COUNTA(HD8:HF8)),"")</f>
        <v/>
      </c>
      <c r="HH8" s="109" t="str">
        <f t="shared" si="49"/>
        <v/>
      </c>
      <c r="HI8" s="81"/>
      <c r="HJ8" s="82"/>
      <c r="HK8" s="83"/>
      <c r="HL8" s="108" t="str">
        <f>IFERROR((((COUNTIF('Elève (6ème2)'!HI8:HK8,"A"))*4)+((COUNTIF('Elève (6ème2)'!HI8:HK8,"B"))*3)+((COUNTIF('Elève (6ème2)'!HI8:HK8,"C"))*2)+((COUNTIF('Elève (6ème2)'!HI8:HK8,"D"))*1))/(COUNTA(HI8:HK8)),"")</f>
        <v/>
      </c>
      <c r="HM8" s="109" t="str">
        <f t="shared" si="50"/>
        <v/>
      </c>
      <c r="HN8" s="178">
        <f>IF(COUNT(HB8,HG8,HL8)=0,"",SUM(HB8,HG8,HL8)/COUNT(HB8,HG8,HL8))</f>
        <v>3</v>
      </c>
      <c r="HO8" s="131" t="str">
        <f t="shared" si="51"/>
        <v>B</v>
      </c>
      <c r="HP8" s="156" t="s">
        <v>26</v>
      </c>
      <c r="HQ8" s="157"/>
      <c r="HR8" s="158"/>
      <c r="HS8" s="108">
        <f>IFERROR((((COUNTIF('Elève (6ème2)'!HP8:HR8,"A"))*4)+((COUNTIF('Elève (6ème2)'!HP8:HR8,"B"))*3)+((COUNTIF('Elève (6ème2)'!HP8:HR8,"C"))*2)+((COUNTIF('Elève (6ème2)'!HP8:HR8,"D"))*1))/(COUNTA(HP8:HR8)),"")</f>
        <v>2</v>
      </c>
      <c r="HT8" s="109" t="str">
        <f t="shared" si="52"/>
        <v>C</v>
      </c>
      <c r="HU8" s="81"/>
      <c r="HV8" s="82"/>
      <c r="HW8" s="83"/>
      <c r="HX8" s="108" t="str">
        <f>IFERROR((((COUNTIF('Elève (6ème2)'!HU8:HW8,"A"))*4)+((COUNTIF('Elève (6ème2)'!HU8:HW8,"B"))*3)+((COUNTIF('Elève (6ème2)'!HU8:HW8,"C"))*2)+((COUNTIF('Elève (6ème2)'!HU8:HW8,"D"))*1))/(COUNTA(HU8:HW8)),"")</f>
        <v/>
      </c>
      <c r="HY8" s="109" t="str">
        <f t="shared" si="53"/>
        <v/>
      </c>
      <c r="HZ8" s="81"/>
      <c r="IA8" s="82"/>
      <c r="IB8" s="83"/>
      <c r="IC8" s="108" t="str">
        <f>IFERROR((((COUNTIF('Elève (6ème2)'!HZ8:IB8,"A"))*4)+((COUNTIF('Elève (6ème2)'!HZ8:IB8,"B"))*3)+((COUNTIF('Elève (6ème2)'!HZ8:IB8,"C"))*2)+((COUNTIF('Elève (6ème2)'!HZ8:IB8,"D"))*1))/(COUNTA(HZ8:IB8)),"")</f>
        <v/>
      </c>
      <c r="ID8" s="109" t="str">
        <f t="shared" si="54"/>
        <v/>
      </c>
      <c r="IE8" s="178">
        <f>IF(COUNT(HS8,HX8,IC8)=0,"",SUM(HS8,HX8,IC8)/COUNT(HS8,HX8,IC8))</f>
        <v>2</v>
      </c>
      <c r="IF8" s="131" t="str">
        <f t="shared" si="55"/>
        <v>C</v>
      </c>
      <c r="IG8" s="156" t="s">
        <v>24</v>
      </c>
      <c r="IH8" s="157"/>
      <c r="II8" s="158"/>
      <c r="IJ8" s="108">
        <f>IFERROR((((COUNTIF('Elève (6ème2)'!IG8:II8,"A"))*4)+((COUNTIF('Elève (6ème2)'!IG8:II8,"B"))*3)+((COUNTIF('Elève (6ème2)'!IG8:II8,"C"))*2)+((COUNTIF('Elève (6ème2)'!IG8:II8,"D"))*1))/(COUNTA(IG8:II8)),"")</f>
        <v>4</v>
      </c>
      <c r="IK8" s="109" t="str">
        <f t="shared" si="56"/>
        <v>A</v>
      </c>
      <c r="IL8" s="81"/>
      <c r="IM8" s="82"/>
      <c r="IN8" s="83"/>
      <c r="IO8" s="108" t="str">
        <f>IFERROR((((COUNTIF('Elève (6ème2)'!IL8:IN8,"A"))*4)+((COUNTIF('Elève (6ème2)'!IL8:IN8,"B"))*3)+((COUNTIF('Elève (6ème2)'!IL8:IN8,"C"))*2)+((COUNTIF('Elève (6ème2)'!IL8:IN8,"D"))*1))/(COUNTA(IL8:IN8)),"")</f>
        <v/>
      </c>
      <c r="IP8" s="109" t="str">
        <f t="shared" si="57"/>
        <v/>
      </c>
      <c r="IQ8" s="81"/>
      <c r="IR8" s="82"/>
      <c r="IS8" s="83"/>
      <c r="IT8" s="108" t="str">
        <f>IFERROR((((COUNTIF('Elève (6ème2)'!IQ8:IS8,"A"))*4)+((COUNTIF('Elève (6ème2)'!IQ8:IS8,"B"))*3)+((COUNTIF('Elève (6ème2)'!IQ8:IS8,"C"))*2)+((COUNTIF('Elève (6ème2)'!IQ8:IS8,"D"))*1))/(COUNTA(IQ8:IS8)),"")</f>
        <v/>
      </c>
      <c r="IU8" s="109" t="str">
        <f t="shared" si="58"/>
        <v/>
      </c>
      <c r="IV8" s="178">
        <f>IF(COUNT(IJ8,IO8,IT8)=0,"",SUM(IJ8,IO8,IT8)/COUNT(IJ8,IO8,IT8))</f>
        <v>4</v>
      </c>
      <c r="IW8" s="131" t="str">
        <f t="shared" si="59"/>
        <v>A</v>
      </c>
      <c r="IX8" s="156" t="s">
        <v>24</v>
      </c>
      <c r="IY8" s="157"/>
      <c r="IZ8" s="158"/>
      <c r="JA8" s="108">
        <f>IFERROR((((COUNTIF('Elève (6ème2)'!IX8:IZ8,"A"))*4)+((COUNTIF('Elève (6ème2)'!IX8:IZ8,"B"))*3)+((COUNTIF('Elève (6ème2)'!IX8:IZ8,"C"))*2)+((COUNTIF('Elève (6ème2)'!IX8:IZ8,"D"))*1))/(COUNTA(IX8:IZ8)),"")</f>
        <v>4</v>
      </c>
      <c r="JB8" s="109" t="str">
        <f t="shared" si="60"/>
        <v>A</v>
      </c>
      <c r="JC8" s="81"/>
      <c r="JD8" s="82"/>
      <c r="JE8" s="83"/>
      <c r="JF8" s="108" t="str">
        <f>IFERROR((((COUNTIF('Elève (6ème2)'!JC8:JE8,"A"))*4)+((COUNTIF('Elève (6ème2)'!JC8:JE8,"B"))*3)+((COUNTIF('Elève (6ème2)'!JC8:JE8,"C"))*2)+((COUNTIF('Elève (6ème2)'!JC8:JE8,"D"))*1))/(COUNTA(JC8:JE8)),"")</f>
        <v/>
      </c>
      <c r="JG8" s="109" t="str">
        <f t="shared" si="61"/>
        <v/>
      </c>
      <c r="JH8" s="81"/>
      <c r="JI8" s="82"/>
      <c r="JJ8" s="83"/>
      <c r="JK8" s="108" t="str">
        <f>IFERROR((((COUNTIF('Elève (6ème2)'!JH8:JJ8,"A"))*4)+((COUNTIF('Elève (6ème2)'!JH8:JJ8,"B"))*3)+((COUNTIF('Elève (6ème2)'!JH8:JJ8,"C"))*2)+((COUNTIF('Elève (6ème2)'!JH8:JJ8,"D"))*1))/(COUNTA(JH8:JJ8)),"")</f>
        <v/>
      </c>
      <c r="JL8" s="109" t="str">
        <f t="shared" si="62"/>
        <v/>
      </c>
      <c r="JM8" s="178">
        <f>IF(COUNT(JA8,JF8,JK8)=0,"",SUM(JA8,JF8,JK8)/COUNT(JA8,JF8,JK8))</f>
        <v>4</v>
      </c>
      <c r="JN8" s="131" t="str">
        <f t="shared" si="63"/>
        <v>A</v>
      </c>
      <c r="JO8" s="156" t="s">
        <v>25</v>
      </c>
      <c r="JP8" s="157"/>
      <c r="JQ8" s="158"/>
      <c r="JR8" s="108">
        <f>IFERROR((((COUNTIF('Elève (6ème2)'!JO8:JQ8,"A"))*4)+((COUNTIF('Elève (6ème2)'!JO8:JQ8,"B"))*3)+((COUNTIF('Elève (6ème2)'!JO8:JQ8,"C"))*2)+((COUNTIF('Elève (6ème2)'!JO8:JQ8,"D"))*1))/(COUNTA(JO8:JQ8)),"")</f>
        <v>3</v>
      </c>
      <c r="JS8" s="109" t="str">
        <f t="shared" si="64"/>
        <v>B</v>
      </c>
      <c r="JT8" s="81"/>
      <c r="JU8" s="82"/>
      <c r="JV8" s="83"/>
      <c r="JW8" s="108" t="str">
        <f>IFERROR((((COUNTIF('Elève (6ème2)'!JT8:JV8,"A"))*4)+((COUNTIF('Elève (6ème2)'!JT8:JV8,"B"))*3)+((COUNTIF('Elève (6ème2)'!JT8:JV8,"C"))*2)+((COUNTIF('Elève (6ème2)'!JT8:JV8,"D"))*1))/(COUNTA(JT8:JV8)),"")</f>
        <v/>
      </c>
      <c r="JX8" s="109" t="str">
        <f t="shared" si="65"/>
        <v/>
      </c>
      <c r="JY8" s="81"/>
      <c r="JZ8" s="82"/>
      <c r="KA8" s="83"/>
      <c r="KB8" s="108" t="str">
        <f>IFERROR((((COUNTIF('Elève (6ème2)'!JY8:KA8,"A"))*4)+((COUNTIF('Elève (6ème2)'!JY8:KA8,"B"))*3)+((COUNTIF('Elève (6ème2)'!JY8:KA8,"C"))*2)+((COUNTIF('Elève (6ème2)'!JY8:KA8,"D"))*1))/(COUNTA(JY8:KA8)),"")</f>
        <v/>
      </c>
      <c r="KC8" s="109" t="str">
        <f t="shared" si="66"/>
        <v/>
      </c>
      <c r="KD8" s="178">
        <f>IF(COUNT(JR8,JW8,KB8)=0,"",SUM(JR8,JW8,KB8)/COUNT(JR8,JW8,KB8))</f>
        <v>3</v>
      </c>
      <c r="KE8" s="131" t="str">
        <f t="shared" si="67"/>
        <v>B</v>
      </c>
      <c r="KF8" s="156" t="s">
        <v>24</v>
      </c>
      <c r="KG8" s="157"/>
      <c r="KH8" s="158"/>
      <c r="KI8" s="108">
        <f>IFERROR((((COUNTIF('Elève (6ème2)'!KF8:KH8,"A"))*4)+((COUNTIF('Elève (6ème2)'!KF8:KH8,"B"))*3)+((COUNTIF('Elève (6ème2)'!KF8:KH8,"C"))*2)+((COUNTIF('Elève (6ème2)'!KF8:KH8,"D"))*1))/(COUNTA(KF8:KH8)),"")</f>
        <v>4</v>
      </c>
      <c r="KJ8" s="109" t="str">
        <f t="shared" si="68"/>
        <v>A</v>
      </c>
      <c r="KK8" s="81"/>
      <c r="KL8" s="82"/>
      <c r="KM8" s="83"/>
      <c r="KN8" s="108" t="str">
        <f>IFERROR((((COUNTIF('Elève (6ème2)'!KK8:KM8,"A"))*4)+((COUNTIF('Elève (6ème2)'!KK8:KM8,"B"))*3)+((COUNTIF('Elève (6ème2)'!KK8:KM8,"C"))*2)+((COUNTIF('Elève (6ème2)'!KK8:KM8,"D"))*1))/(COUNTA(KK8:KM8)),"")</f>
        <v/>
      </c>
      <c r="KO8" s="109" t="str">
        <f t="shared" si="69"/>
        <v/>
      </c>
      <c r="KP8" s="81"/>
      <c r="KQ8" s="82"/>
      <c r="KR8" s="83"/>
      <c r="KS8" s="108" t="str">
        <f>IFERROR((((COUNTIF('Elève (6ème2)'!KP8:KR8,"A"))*4)+((COUNTIF('Elève (6ème2)'!KP8:KR8,"B"))*3)+((COUNTIF('Elève (6ème2)'!KP8:KR8,"C"))*2)+((COUNTIF('Elève (6ème2)'!KP8:KR8,"D"))*1))/(COUNTA(KP8:KR8)),"")</f>
        <v/>
      </c>
      <c r="KT8" s="109" t="str">
        <f t="shared" si="70"/>
        <v/>
      </c>
      <c r="KU8" s="178">
        <f>IF(COUNT(KI8,KN8,KS8)=0,"",SUM(KI8,KN8,KS8)/COUNT(KI8,KN8,KS8))</f>
        <v>4</v>
      </c>
      <c r="KV8" s="131" t="str">
        <f t="shared" si="71"/>
        <v>A</v>
      </c>
      <c r="KW8" s="156" t="s">
        <v>25</v>
      </c>
      <c r="KX8" s="157"/>
      <c r="KY8" s="158"/>
      <c r="KZ8" s="108">
        <f>IFERROR((((COUNTIF('Elève (6ème2)'!KW8:KY8,"A"))*4)+((COUNTIF('Elève (6ème2)'!KW8:KY8,"B"))*3)+((COUNTIF('Elève (6ème2)'!KW8:KY8,"C"))*2)+((COUNTIF('Elève (6ème2)'!KW8:KY8,"D"))*1))/(COUNTA(KW8:KY8)),"")</f>
        <v>3</v>
      </c>
      <c r="LA8" s="109" t="str">
        <f t="shared" si="72"/>
        <v>B</v>
      </c>
      <c r="LB8" s="81"/>
      <c r="LC8" s="82"/>
      <c r="LD8" s="83"/>
      <c r="LE8" s="108" t="str">
        <f>IFERROR((((COUNTIF('Elève (6ème2)'!LB8:LD8,"A"))*4)+((COUNTIF('Elève (6ème2)'!LB8:LD8,"B"))*3)+((COUNTIF('Elève (6ème2)'!LB8:LD8,"C"))*2)+((COUNTIF('Elève (6ème2)'!LB8:LD8,"D"))*1))/(COUNTA(LB8:LD8)),"")</f>
        <v/>
      </c>
      <c r="LF8" s="109" t="str">
        <f t="shared" si="73"/>
        <v/>
      </c>
      <c r="LG8" s="81"/>
      <c r="LH8" s="82"/>
      <c r="LI8" s="83"/>
      <c r="LJ8" s="108" t="str">
        <f>IFERROR((((COUNTIF('Elève (6ème2)'!LG8:LI8,"A"))*4)+((COUNTIF('Elève (6ème2)'!LG8:LI8,"B"))*3)+((COUNTIF('Elève (6ème2)'!LG8:LI8,"C"))*2)+((COUNTIF('Elève (6ème2)'!LG8:LI8,"D"))*1))/(COUNTA(LG8:LI8)),"")</f>
        <v/>
      </c>
      <c r="LK8" s="109" t="str">
        <f t="shared" si="74"/>
        <v/>
      </c>
      <c r="LL8" s="178">
        <f>IF(COUNT(KZ8,LE8,LJ8)=0,"",SUM(KZ8,LE8,LJ8)/COUNT(KZ8,LE8,LJ8))</f>
        <v>3</v>
      </c>
      <c r="LM8" s="131" t="str">
        <f t="shared" si="75"/>
        <v>B</v>
      </c>
      <c r="LN8" s="156" t="s">
        <v>25</v>
      </c>
      <c r="LO8" s="157"/>
      <c r="LP8" s="158"/>
      <c r="LQ8" s="108">
        <f>IFERROR((((COUNTIF('Elève (6ème2)'!LN8:LP8,"A"))*4)+((COUNTIF('Elève (6ème2)'!LN8:LP8,"B"))*3)+((COUNTIF('Elève (6ème2)'!LN8:LP8,"C"))*2)+((COUNTIF('Elève (6ème2)'!LN8:LP8,"D"))*1))/(COUNTA(LN8:LP8)),"")</f>
        <v>3</v>
      </c>
      <c r="LR8" s="109" t="str">
        <f t="shared" si="76"/>
        <v>B</v>
      </c>
      <c r="LS8" s="81"/>
      <c r="LT8" s="82"/>
      <c r="LU8" s="83"/>
      <c r="LV8" s="108" t="str">
        <f>IFERROR((((COUNTIF('Elève (6ème2)'!LS8:LU8,"A"))*4)+((COUNTIF('Elève (6ème2)'!LS8:LU8,"B"))*3)+((COUNTIF('Elève (6ème2)'!LS8:LU8,"C"))*2)+((COUNTIF('Elève (6ème2)'!LS8:LU8,"D"))*1))/(COUNTA(LS8:LU8)),"")</f>
        <v/>
      </c>
      <c r="LW8" s="109" t="str">
        <f t="shared" si="77"/>
        <v/>
      </c>
      <c r="LX8" s="81"/>
      <c r="LY8" s="82"/>
      <c r="LZ8" s="83"/>
      <c r="MA8" s="108" t="str">
        <f>IFERROR((((COUNTIF('Elève (6ème2)'!LX8:LZ8,"A"))*4)+((COUNTIF('Elève (6ème2)'!LX8:LZ8,"B"))*3)+((COUNTIF('Elève (6ème2)'!LX8:LZ8,"C"))*2)+((COUNTIF('Elève (6ème2)'!LX8:LZ8,"D"))*1))/(COUNTA(LX8:LZ8)),"")</f>
        <v/>
      </c>
      <c r="MB8" s="109" t="str">
        <f t="shared" si="78"/>
        <v/>
      </c>
      <c r="MC8" s="178">
        <f>IF(COUNT(LQ8,LV8,MA8)=0,"",SUM(LQ8,LV8,MA8)/COUNT(LQ8,LV8,MA8))</f>
        <v>3</v>
      </c>
      <c r="MD8" s="131" t="str">
        <f t="shared" si="79"/>
        <v>B</v>
      </c>
      <c r="ME8" s="156" t="s">
        <v>24</v>
      </c>
      <c r="MF8" s="157"/>
      <c r="MG8" s="158"/>
      <c r="MH8" s="108">
        <f>IFERROR((((COUNTIF('Elève (6ème2)'!ME8:MG8,"A"))*4)+((COUNTIF('Elève (6ème2)'!ME8:MG8,"B"))*3)+((COUNTIF('Elève (6ème2)'!ME8:MG8,"C"))*2)+((COUNTIF('Elève (6ème2)'!ME8:MG8,"D"))*1))/(COUNTA(ME8:MG8)),"")</f>
        <v>4</v>
      </c>
      <c r="MI8" s="109" t="str">
        <f t="shared" si="80"/>
        <v>A</v>
      </c>
      <c r="MJ8" s="81"/>
      <c r="MK8" s="82"/>
      <c r="ML8" s="83"/>
      <c r="MM8" s="108" t="str">
        <f>IFERROR((((COUNTIF('Elève (6ème2)'!MJ8:ML8,"A"))*4)+((COUNTIF('Elève (6ème2)'!MJ8:ML8,"B"))*3)+((COUNTIF('Elève (6ème2)'!MJ8:ML8,"C"))*2)+((COUNTIF('Elève (6ème2)'!MJ8:ML8,"D"))*1))/(COUNTA(MJ8:ML8)),"")</f>
        <v/>
      </c>
      <c r="MN8" s="109" t="str">
        <f t="shared" si="81"/>
        <v/>
      </c>
      <c r="MO8" s="81"/>
      <c r="MP8" s="82"/>
      <c r="MQ8" s="83"/>
      <c r="MR8" s="108" t="str">
        <f>IFERROR((((COUNTIF('Elève (6ème2)'!MO8:MQ8,"A"))*4)+((COUNTIF('Elève (6ème2)'!MO8:MQ8,"B"))*3)+((COUNTIF('Elève (6ème2)'!MO8:MQ8,"C"))*2)+((COUNTIF('Elève (6ème2)'!MO8:MQ8,"D"))*1))/(COUNTA(MO8:MQ8)),"")</f>
        <v/>
      </c>
      <c r="MS8" s="109" t="str">
        <f t="shared" si="82"/>
        <v/>
      </c>
      <c r="MT8" s="178">
        <f>IF(COUNT(MH8,MM8,MR8)=0,"",SUM(MH8,MM8,MR8)/COUNT(MH8,MM8,MR8))</f>
        <v>4</v>
      </c>
      <c r="MU8" s="131" t="str">
        <f t="shared" si="83"/>
        <v>A</v>
      </c>
      <c r="MV8" s="156" t="s">
        <v>25</v>
      </c>
      <c r="MW8" s="157"/>
      <c r="MX8" s="158"/>
      <c r="MY8" s="108">
        <f>IFERROR((((COUNTIF('Elève (6ème2)'!MV8:MX8,"A"))*4)+((COUNTIF('Elève (6ème2)'!MV8:MX8,"B"))*3)+((COUNTIF('Elève (6ème2)'!MV8:MX8,"C"))*2)+((COUNTIF('Elève (6ème2)'!MV8:MX8,"D"))*1))/(COUNTA(MV8:MX8)),"")</f>
        <v>3</v>
      </c>
      <c r="MZ8" s="109" t="str">
        <f t="shared" si="84"/>
        <v>B</v>
      </c>
      <c r="NA8" s="81"/>
      <c r="NB8" s="82"/>
      <c r="NC8" s="83"/>
      <c r="ND8" s="108" t="str">
        <f>IFERROR((((COUNTIF('Elève (6ème2)'!NA8:NC8,"A"))*4)+((COUNTIF('Elève (6ème2)'!NA8:NC8,"B"))*3)+((COUNTIF('Elève (6ème2)'!NA8:NC8,"C"))*2)+((COUNTIF('Elève (6ème2)'!NA8:NC8,"D"))*1))/(COUNTA(NA8:NC8)),"")</f>
        <v/>
      </c>
      <c r="NE8" s="109" t="str">
        <f t="shared" si="85"/>
        <v/>
      </c>
      <c r="NF8" s="81"/>
      <c r="NG8" s="82"/>
      <c r="NH8" s="83"/>
      <c r="NI8" s="108" t="str">
        <f>IFERROR((((COUNTIF('Elève (6ème2)'!NF8:NH8,"A"))*4)+((COUNTIF('Elève (6ème2)'!NF8:NH8,"B"))*3)+((COUNTIF('Elève (6ème2)'!NF8:NH8,"C"))*2)+((COUNTIF('Elève (6ème2)'!NF8:NH8,"D"))*1))/(COUNTA(NF8:NH8)),"")</f>
        <v/>
      </c>
      <c r="NJ8" s="109" t="str">
        <f t="shared" si="86"/>
        <v/>
      </c>
      <c r="NK8" s="178">
        <f>IF(COUNT(MY8,ND8,NI8)=0,"",SUM(MY8,ND8,NI8)/COUNT(MY8,ND8,NI8))</f>
        <v>3</v>
      </c>
      <c r="NL8" s="131" t="str">
        <f t="shared" si="87"/>
        <v>B</v>
      </c>
      <c r="NM8" s="156"/>
      <c r="NN8" s="157"/>
      <c r="NO8" s="158"/>
      <c r="NP8" s="108" t="str">
        <f>IFERROR((((COUNTIF('Elève (6ème2)'!NM8:NO8,"A"))*4)+((COUNTIF('Elève (6ème2)'!NM8:NO8,"B"))*3)+((COUNTIF('Elève (6ème2)'!NM8:NO8,"C"))*2)+((COUNTIF('Elève (6ème2)'!NM8:NO8,"D"))*1))/(COUNTA(NM8:NO8)),"")</f>
        <v/>
      </c>
      <c r="NQ8" s="109" t="str">
        <f t="shared" si="88"/>
        <v/>
      </c>
      <c r="NR8" s="81"/>
      <c r="NS8" s="82"/>
      <c r="NT8" s="83"/>
      <c r="NU8" s="108" t="str">
        <f>IFERROR((((COUNTIF('Elève (6ème2)'!NR8:NT8,"A"))*4)+((COUNTIF('Elève (6ème2)'!NR8:NT8,"B"))*3)+((COUNTIF('Elève (6ème2)'!NR8:NT8,"C"))*2)+((COUNTIF('Elève (6ème2)'!NR8:NT8,"D"))*1))/(COUNTA(NR8:NT8)),"")</f>
        <v/>
      </c>
      <c r="NV8" s="109" t="str">
        <f t="shared" si="89"/>
        <v/>
      </c>
      <c r="NW8" s="81"/>
      <c r="NX8" s="82"/>
      <c r="NY8" s="83"/>
      <c r="NZ8" s="108" t="str">
        <f>IFERROR((((COUNTIF('Elève (6ème2)'!NW8:NY8,"A"))*4)+((COUNTIF('Elève (6ème2)'!NW8:NY8,"B"))*3)+((COUNTIF('Elève (6ème2)'!NW8:NY8,"C"))*2)+((COUNTIF('Elève (6ème2)'!NW8:NY8,"D"))*1))/(COUNTA(NW8:NY8)),"")</f>
        <v/>
      </c>
      <c r="OA8" s="109" t="str">
        <f t="shared" si="90"/>
        <v/>
      </c>
      <c r="OB8" s="178" t="str">
        <f>IF(COUNT(NP8,NU8,NZ8)=0,"",SUM(NP8,NU8,NZ8)/COUNT(NP8,NU8,NZ8))</f>
        <v/>
      </c>
      <c r="OC8" s="131" t="str">
        <f t="shared" si="91"/>
        <v/>
      </c>
      <c r="OD8" s="156" t="s">
        <v>26</v>
      </c>
      <c r="OE8" s="157"/>
      <c r="OF8" s="158"/>
      <c r="OG8" s="108">
        <f>IFERROR((((COUNTIF('Elève (6ème2)'!OD8:OF8,"A"))*4)+((COUNTIF('Elève (6ème2)'!OD8:OF8,"B"))*3)+((COUNTIF('Elève (6ème2)'!OD8:OF8,"C"))*2)+((COUNTIF('Elève (6ème2)'!OD8:OF8,"D"))*1))/(COUNTA(OD8:OF8)),"")</f>
        <v>2</v>
      </c>
      <c r="OH8" s="109" t="str">
        <f t="shared" si="92"/>
        <v>C</v>
      </c>
      <c r="OI8" s="81"/>
      <c r="OJ8" s="82"/>
      <c r="OK8" s="83"/>
      <c r="OL8" s="108" t="str">
        <f>IFERROR((((COUNTIF('Elève (6ème2)'!OI8:OK8,"A"))*4)+((COUNTIF('Elève (6ème2)'!OI8:OK8,"B"))*3)+((COUNTIF('Elève (6ème2)'!OI8:OK8,"C"))*2)+((COUNTIF('Elève (6ème2)'!OI8:OK8,"D"))*1))/(COUNTA(OI8:OK8)),"")</f>
        <v/>
      </c>
      <c r="OM8" s="109" t="str">
        <f t="shared" si="93"/>
        <v/>
      </c>
      <c r="ON8" s="81"/>
      <c r="OO8" s="82"/>
      <c r="OP8" s="83"/>
      <c r="OQ8" s="108" t="str">
        <f>IFERROR((((COUNTIF('Elève (6ème2)'!ON8:OP8,"A"))*4)+((COUNTIF('Elève (6ème2)'!ON8:OP8,"B"))*3)+((COUNTIF('Elève (6ème2)'!ON8:OP8,"C"))*2)+((COUNTIF('Elève (6ème2)'!ON8:OP8,"D"))*1))/(COUNTA(ON8:OP8)),"")</f>
        <v/>
      </c>
      <c r="OR8" s="109" t="str">
        <f t="shared" si="94"/>
        <v/>
      </c>
      <c r="OS8" s="178">
        <f>IF(COUNT(OG8,OL8,OQ8)=0,"",SUM(OG8,OL8,OQ8)/COUNT(OG8,OL8,OQ8))</f>
        <v>2</v>
      </c>
      <c r="OT8" s="131" t="str">
        <f t="shared" si="95"/>
        <v>C</v>
      </c>
      <c r="OU8" s="156" t="s">
        <v>24</v>
      </c>
      <c r="OV8" s="157"/>
      <c r="OW8" s="158"/>
      <c r="OX8" s="108">
        <f>IFERROR((((COUNTIF('Elève (6ème2)'!OU8:OW8,"A"))*4)+((COUNTIF('Elève (6ème2)'!OU8:OW8,"B"))*3)+((COUNTIF('Elève (6ème2)'!OU8:OW8,"C"))*2)+((COUNTIF('Elève (6ème2)'!OU8:OW8,"D"))*1))/(COUNTA(OU8:OW8)),"")</f>
        <v>4</v>
      </c>
      <c r="OY8" s="109" t="str">
        <f t="shared" si="96"/>
        <v>A</v>
      </c>
      <c r="OZ8" s="81"/>
      <c r="PA8" s="82"/>
      <c r="PB8" s="83"/>
      <c r="PC8" s="108" t="str">
        <f>IFERROR((((COUNTIF('Elève (6ème2)'!OZ8:PB8,"A"))*4)+((COUNTIF('Elève (6ème2)'!OZ8:PB8,"B"))*3)+((COUNTIF('Elève (6ème2)'!OZ8:PB8,"C"))*2)+((COUNTIF('Elève (6ème2)'!OZ8:PB8,"D"))*1))/(COUNTA(OZ8:PB8)),"")</f>
        <v/>
      </c>
      <c r="PD8" s="109" t="str">
        <f t="shared" si="97"/>
        <v/>
      </c>
      <c r="PE8" s="81"/>
      <c r="PF8" s="82"/>
      <c r="PG8" s="83"/>
      <c r="PH8" s="108" t="str">
        <f>IFERROR((((COUNTIF('Elève (6ème2)'!PE8:PG8,"A"))*4)+((COUNTIF('Elève (6ème2)'!PE8:PG8,"B"))*3)+((COUNTIF('Elève (6ème2)'!PE8:PG8,"C"))*2)+((COUNTIF('Elève (6ème2)'!PE8:PG8,"D"))*1))/(COUNTA(PE8:PG8)),"")</f>
        <v/>
      </c>
      <c r="PI8" s="109" t="str">
        <f t="shared" si="98"/>
        <v/>
      </c>
      <c r="PJ8" s="178">
        <f>IF(COUNT(OX8,PC8,PH8)=0,"",SUM(OX8,PC8,PH8)/COUNT(OX8,PC8,PH8))</f>
        <v>4</v>
      </c>
      <c r="PK8" s="131" t="str">
        <f t="shared" si="99"/>
        <v>A</v>
      </c>
      <c r="PL8" s="156" t="s">
        <v>25</v>
      </c>
      <c r="PM8" s="157"/>
      <c r="PN8" s="158"/>
      <c r="PO8" s="108">
        <f>IFERROR((((COUNTIF('Elève (6ème2)'!PL8:PN8,"A"))*4)+((COUNTIF('Elève (6ème2)'!PL8:PN8,"B"))*3)+((COUNTIF('Elève (6ème2)'!PL8:PN8,"C"))*2)+((COUNTIF('Elève (6ème2)'!PL8:PN8,"D"))*1))/(COUNTA(PL8:PN8)),"")</f>
        <v>3</v>
      </c>
      <c r="PP8" s="109" t="str">
        <f t="shared" si="100"/>
        <v>B</v>
      </c>
      <c r="PQ8" s="81"/>
      <c r="PR8" s="82"/>
      <c r="PS8" s="83"/>
      <c r="PT8" s="108" t="str">
        <f>IFERROR((((COUNTIF('Elève (6ème2)'!PQ8:PS8,"A"))*4)+((COUNTIF('Elève (6ème2)'!PQ8:PS8,"B"))*3)+((COUNTIF('Elève (6ème2)'!PQ8:PS8,"C"))*2)+((COUNTIF('Elève (6ème2)'!PQ8:PS8,"D"))*1))/(COUNTA(PQ8:PS8)),"")</f>
        <v/>
      </c>
      <c r="PU8" s="109" t="str">
        <f t="shared" si="101"/>
        <v/>
      </c>
      <c r="PV8" s="81"/>
      <c r="PW8" s="82"/>
      <c r="PX8" s="83"/>
      <c r="PY8" s="108" t="str">
        <f>IFERROR((((COUNTIF('Elève (6ème2)'!PV8:PX8,"A"))*4)+((COUNTIF('Elève (6ème2)'!PV8:PX8,"B"))*3)+((COUNTIF('Elève (6ème2)'!PV8:PX8,"C"))*2)+((COUNTIF('Elève (6ème2)'!PV8:PX8,"D"))*1))/(COUNTA(PV8:PX8)),"")</f>
        <v/>
      </c>
      <c r="PZ8" s="109" t="str">
        <f t="shared" si="102"/>
        <v/>
      </c>
      <c r="QA8" s="178">
        <f>IF(COUNT(PO8,PT8,PY8)=0,"",SUM(PO8,PT8,PY8)/COUNT(PO8,PT8,PY8))</f>
        <v>3</v>
      </c>
      <c r="QB8" s="131" t="str">
        <f t="shared" si="103"/>
        <v>B</v>
      </c>
      <c r="QC8" s="156" t="s">
        <v>24</v>
      </c>
      <c r="QD8" s="157"/>
      <c r="QE8" s="158"/>
      <c r="QF8" s="108">
        <f>IFERROR((((COUNTIF('Elève (6ème2)'!QC8:QE8,"A"))*4)+((COUNTIF('Elève (6ème2)'!QC8:QE8,"B"))*3)+((COUNTIF('Elève (6ème2)'!QC8:QE8,"C"))*2)+((COUNTIF('Elève (6ème2)'!QC8:QE8,"D"))*1))/(COUNTA(QC8:QE8)),"")</f>
        <v>4</v>
      </c>
      <c r="QG8" s="109" t="str">
        <f t="shared" si="104"/>
        <v>A</v>
      </c>
      <c r="QH8" s="81"/>
      <c r="QI8" s="82"/>
      <c r="QJ8" s="83"/>
      <c r="QK8" s="108" t="str">
        <f>IFERROR((((COUNTIF('Elève (6ème2)'!QH8:QJ8,"A"))*4)+((COUNTIF('Elève (6ème2)'!QH8:QJ8,"B"))*3)+((COUNTIF('Elève (6ème2)'!QH8:QJ8,"C"))*2)+((COUNTIF('Elève (6ème2)'!QH8:QJ8,"D"))*1))/(COUNTA(QH8:QJ8)),"")</f>
        <v/>
      </c>
      <c r="QL8" s="109" t="str">
        <f t="shared" si="105"/>
        <v/>
      </c>
      <c r="QM8" s="81"/>
      <c r="QN8" s="82"/>
      <c r="QO8" s="83"/>
      <c r="QP8" s="108" t="str">
        <f>IFERROR((((COUNTIF('Elève (6ème2)'!QM8:QO8,"A"))*4)+((COUNTIF('Elève (6ème2)'!QM8:QO8,"B"))*3)+((COUNTIF('Elève (6ème2)'!QM8:QO8,"C"))*2)+((COUNTIF('Elève (6ème2)'!QM8:QO8,"D"))*1))/(COUNTA(QM8:QO8)),"")</f>
        <v/>
      </c>
      <c r="QQ8" s="109" t="str">
        <f t="shared" si="106"/>
        <v/>
      </c>
      <c r="QR8" s="178">
        <f>IF(COUNT(QF8,QK8,QP8)=0,"",SUM(QF8,QK8,QP8)/COUNT(QF8,QK8,QP8))</f>
        <v>4</v>
      </c>
      <c r="QS8" s="131" t="str">
        <f t="shared" si="107"/>
        <v>A</v>
      </c>
      <c r="QT8" s="156"/>
      <c r="QU8" s="157"/>
      <c r="QV8" s="158"/>
      <c r="QW8" s="108" t="str">
        <f>IFERROR((((COUNTIF('Elève (6ème2)'!QT8:QV8,"A"))*4)+((COUNTIF('Elève (6ème2)'!QT8:QV8,"B"))*3)+((COUNTIF('Elève (6ème2)'!QT8:QV8,"C"))*2)+((COUNTIF('Elève (6ème2)'!QT8:QV8,"D"))*1))/(COUNTA(QT8:QV8)),"")</f>
        <v/>
      </c>
      <c r="QX8" s="109" t="str">
        <f t="shared" si="108"/>
        <v/>
      </c>
      <c r="QY8" s="81"/>
      <c r="QZ8" s="82"/>
      <c r="RA8" s="83"/>
      <c r="RB8" s="108" t="str">
        <f>IFERROR((((COUNTIF('Elève (6ème2)'!QY8:RA8,"A"))*4)+((COUNTIF('Elève (6ème2)'!QY8:RA8,"B"))*3)+((COUNTIF('Elève (6ème2)'!QY8:RA8,"C"))*2)+((COUNTIF('Elève (6ème2)'!QY8:RA8,"D"))*1))/(COUNTA(QY8:RA8)),"")</f>
        <v/>
      </c>
      <c r="RC8" s="109" t="str">
        <f t="shared" si="109"/>
        <v/>
      </c>
      <c r="RD8" s="81"/>
      <c r="RE8" s="82"/>
      <c r="RF8" s="83"/>
      <c r="RG8" s="108" t="str">
        <f>IFERROR((((COUNTIF('Elève (6ème2)'!RD8:RF8,"A"))*4)+((COUNTIF('Elève (6ème2)'!RD8:RF8,"B"))*3)+((COUNTIF('Elève (6ème2)'!RD8:RF8,"C"))*2)+((COUNTIF('Elève (6ème2)'!RD8:RF8,"D"))*1))/(COUNTA(RD8:RF8)),"")</f>
        <v/>
      </c>
      <c r="RH8" s="109" t="str">
        <f t="shared" si="110"/>
        <v/>
      </c>
      <c r="RI8" s="178" t="str">
        <f>IF(COUNT(QW8,RB8,RG8)=0,"",SUM(QW8,RB8,RG8)/COUNT(QW8,RB8,RG8))</f>
        <v/>
      </c>
      <c r="RJ8" s="131" t="str">
        <f t="shared" si="111"/>
        <v/>
      </c>
      <c r="RK8" s="156"/>
      <c r="RL8" s="157"/>
      <c r="RM8" s="158"/>
      <c r="RN8" s="108" t="str">
        <f>IFERROR((((COUNTIF('Elève (6ème2)'!RK8:RM8,"A"))*4)+((COUNTIF('Elève (6ème2)'!RK8:RM8,"B"))*3)+((COUNTIF('Elève (6ème2)'!RK8:RM8,"C"))*2)+((COUNTIF('Elève (6ème2)'!RK8:RM8,"D"))*1))/(COUNTA(RK8:RM8)),"")</f>
        <v/>
      </c>
      <c r="RO8" s="109" t="str">
        <f t="shared" si="112"/>
        <v/>
      </c>
      <c r="RP8" s="81"/>
      <c r="RQ8" s="82"/>
      <c r="RR8" s="83"/>
      <c r="RS8" s="108" t="str">
        <f>IFERROR((((COUNTIF('Elève (6ème2)'!RP8:RR8,"A"))*4)+((COUNTIF('Elève (6ème2)'!RP8:RR8,"B"))*3)+((COUNTIF('Elève (6ème2)'!RP8:RR8,"C"))*2)+((COUNTIF('Elève (6ème2)'!RP8:RR8,"D"))*1))/(COUNTA(RP8:RR8)),"")</f>
        <v/>
      </c>
      <c r="RT8" s="109" t="str">
        <f t="shared" si="113"/>
        <v/>
      </c>
      <c r="RU8" s="81"/>
      <c r="RV8" s="82"/>
      <c r="RW8" s="83"/>
      <c r="RX8" s="108" t="str">
        <f>IFERROR((((COUNTIF('Elève (6ème2)'!RU8:RW8,"A"))*4)+((COUNTIF('Elève (6ème2)'!RU8:RW8,"B"))*3)+((COUNTIF('Elève (6ème2)'!RU8:RW8,"C"))*2)+((COUNTIF('Elève (6ème2)'!RU8:RW8,"D"))*1))/(COUNTA(RU8:RW8)),"")</f>
        <v/>
      </c>
      <c r="RY8" s="109" t="str">
        <f t="shared" si="114"/>
        <v/>
      </c>
      <c r="RZ8" s="178" t="str">
        <f>IF(COUNT(RN8,RS8,RX8)=0,"",SUM(RN8,RS8,RX8)/COUNT(RN8,RS8,RX8))</f>
        <v/>
      </c>
      <c r="SA8" s="131" t="str">
        <f t="shared" si="115"/>
        <v/>
      </c>
      <c r="SB8" s="156"/>
      <c r="SC8" s="157"/>
      <c r="SD8" s="158"/>
      <c r="SE8" s="108" t="str">
        <f>IFERROR((((COUNTIF('Elève (6ème2)'!SB8:SD8,"A"))*4)+((COUNTIF('Elève (6ème2)'!SB8:SD8,"B"))*3)+((COUNTIF('Elève (6ème2)'!SB8:SD8,"C"))*2)+((COUNTIF('Elève (6ème2)'!SB8:SD8,"D"))*1))/(COUNTA(SB8:SD8)),"")</f>
        <v/>
      </c>
      <c r="SF8" s="109" t="str">
        <f t="shared" si="116"/>
        <v/>
      </c>
      <c r="SG8" s="81"/>
      <c r="SH8" s="82"/>
      <c r="SI8" s="83"/>
      <c r="SJ8" s="108" t="str">
        <f>IFERROR((((COUNTIF('Elève (6ème2)'!SG8:SI8,"A"))*4)+((COUNTIF('Elève (6ème2)'!SG8:SI8,"B"))*3)+((COUNTIF('Elève (6ème2)'!SG8:SI8,"C"))*2)+((COUNTIF('Elève (6ème2)'!SG8:SI8,"D"))*1))/(COUNTA(SG8:SI8)),"")</f>
        <v/>
      </c>
      <c r="SK8" s="109" t="str">
        <f t="shared" si="117"/>
        <v/>
      </c>
      <c r="SL8" s="81"/>
      <c r="SM8" s="82"/>
      <c r="SN8" s="83"/>
      <c r="SO8" s="108" t="str">
        <f>IFERROR((((COUNTIF('Elève (6ème2)'!SL8:SN8,"A"))*4)+((COUNTIF('Elève (6ème2)'!SL8:SN8,"B"))*3)+((COUNTIF('Elève (6ème2)'!SL8:SN8,"C"))*2)+((COUNTIF('Elève (6ème2)'!SL8:SN8,"D"))*1))/(COUNTA(SL8:SN8)),"")</f>
        <v/>
      </c>
      <c r="SP8" s="109" t="str">
        <f t="shared" si="118"/>
        <v/>
      </c>
      <c r="SQ8" s="178" t="str">
        <f>IF(COUNT(SE8,SJ8,SO8)=0,"",SUM(SE8,SJ8,SO8)/COUNT(SE8,SJ8,SO8))</f>
        <v/>
      </c>
      <c r="SR8" s="131" t="str">
        <f t="shared" si="119"/>
        <v/>
      </c>
    </row>
    <row r="9" spans="1:512" s="72" customFormat="1" ht="18" customHeight="1" x14ac:dyDescent="0.25">
      <c r="A9" s="242" t="s">
        <v>46</v>
      </c>
      <c r="B9" s="243"/>
      <c r="C9" s="156"/>
      <c r="D9" s="157"/>
      <c r="E9" s="158"/>
      <c r="F9" s="110"/>
      <c r="G9" s="111"/>
      <c r="H9" s="81"/>
      <c r="I9" s="82"/>
      <c r="J9" s="83"/>
      <c r="K9" s="110"/>
      <c r="L9" s="111"/>
      <c r="M9" s="81"/>
      <c r="N9" s="82"/>
      <c r="O9" s="83"/>
      <c r="P9" s="110"/>
      <c r="Q9" s="111"/>
      <c r="R9" s="179"/>
      <c r="S9" s="132"/>
      <c r="T9" s="156"/>
      <c r="U9" s="157"/>
      <c r="V9" s="158"/>
      <c r="W9" s="110"/>
      <c r="X9" s="111"/>
      <c r="Y9" s="81"/>
      <c r="Z9" s="82"/>
      <c r="AA9" s="83"/>
      <c r="AB9" s="110"/>
      <c r="AC9" s="111"/>
      <c r="AD9" s="81"/>
      <c r="AE9" s="82"/>
      <c r="AF9" s="83"/>
      <c r="AG9" s="110"/>
      <c r="AH9" s="111"/>
      <c r="AI9" s="179"/>
      <c r="AJ9" s="132"/>
      <c r="AK9" s="156"/>
      <c r="AL9" s="157"/>
      <c r="AM9" s="158"/>
      <c r="AN9" s="110"/>
      <c r="AO9" s="111"/>
      <c r="AP9" s="81"/>
      <c r="AQ9" s="82"/>
      <c r="AR9" s="83"/>
      <c r="AS9" s="110"/>
      <c r="AT9" s="111"/>
      <c r="AU9" s="81"/>
      <c r="AV9" s="82"/>
      <c r="AW9" s="83"/>
      <c r="AX9" s="110"/>
      <c r="AY9" s="111"/>
      <c r="AZ9" s="179"/>
      <c r="BA9" s="132"/>
      <c r="BB9" s="156"/>
      <c r="BC9" s="157"/>
      <c r="BD9" s="158"/>
      <c r="BE9" s="110"/>
      <c r="BF9" s="111"/>
      <c r="BG9" s="81"/>
      <c r="BH9" s="82"/>
      <c r="BI9" s="83"/>
      <c r="BJ9" s="110"/>
      <c r="BK9" s="111"/>
      <c r="BL9" s="81"/>
      <c r="BM9" s="82"/>
      <c r="BN9" s="83"/>
      <c r="BO9" s="110"/>
      <c r="BP9" s="111"/>
      <c r="BQ9" s="179"/>
      <c r="BR9" s="132"/>
      <c r="BS9" s="156"/>
      <c r="BT9" s="157"/>
      <c r="BU9" s="158"/>
      <c r="BV9" s="110"/>
      <c r="BW9" s="111"/>
      <c r="BX9" s="81"/>
      <c r="BY9" s="82"/>
      <c r="BZ9" s="83"/>
      <c r="CA9" s="110"/>
      <c r="CB9" s="111"/>
      <c r="CC9" s="81"/>
      <c r="CD9" s="82"/>
      <c r="CE9" s="83"/>
      <c r="CF9" s="110"/>
      <c r="CG9" s="111"/>
      <c r="CH9" s="179"/>
      <c r="CI9" s="132"/>
      <c r="CJ9" s="156"/>
      <c r="CK9" s="157"/>
      <c r="CL9" s="158"/>
      <c r="CM9" s="110"/>
      <c r="CN9" s="111"/>
      <c r="CO9" s="81"/>
      <c r="CP9" s="82"/>
      <c r="CQ9" s="83"/>
      <c r="CR9" s="110"/>
      <c r="CS9" s="111"/>
      <c r="CT9" s="81"/>
      <c r="CU9" s="82"/>
      <c r="CV9" s="83"/>
      <c r="CW9" s="110"/>
      <c r="CX9" s="111"/>
      <c r="CY9" s="179"/>
      <c r="CZ9" s="132"/>
      <c r="DA9" s="156"/>
      <c r="DB9" s="157"/>
      <c r="DC9" s="158"/>
      <c r="DD9" s="110"/>
      <c r="DE9" s="111"/>
      <c r="DF9" s="81"/>
      <c r="DG9" s="82"/>
      <c r="DH9" s="83"/>
      <c r="DI9" s="110"/>
      <c r="DJ9" s="111"/>
      <c r="DK9" s="81"/>
      <c r="DL9" s="82"/>
      <c r="DM9" s="83"/>
      <c r="DN9" s="110"/>
      <c r="DO9" s="111"/>
      <c r="DP9" s="179"/>
      <c r="DQ9" s="132"/>
      <c r="DR9" s="156"/>
      <c r="DS9" s="157"/>
      <c r="DT9" s="158"/>
      <c r="DU9" s="110"/>
      <c r="DV9" s="111"/>
      <c r="DW9" s="81"/>
      <c r="DX9" s="82"/>
      <c r="DY9" s="83"/>
      <c r="DZ9" s="110"/>
      <c r="EA9" s="111"/>
      <c r="EB9" s="81"/>
      <c r="EC9" s="82"/>
      <c r="ED9" s="83"/>
      <c r="EE9" s="110"/>
      <c r="EF9" s="111"/>
      <c r="EG9" s="179"/>
      <c r="EH9" s="132"/>
      <c r="EI9" s="156"/>
      <c r="EJ9" s="157"/>
      <c r="EK9" s="158"/>
      <c r="EL9" s="110"/>
      <c r="EM9" s="111"/>
      <c r="EN9" s="81"/>
      <c r="EO9" s="82"/>
      <c r="EP9" s="83"/>
      <c r="EQ9" s="110"/>
      <c r="ER9" s="111"/>
      <c r="ES9" s="81"/>
      <c r="ET9" s="82"/>
      <c r="EU9" s="83"/>
      <c r="EV9" s="110"/>
      <c r="EW9" s="111"/>
      <c r="EX9" s="179"/>
      <c r="EY9" s="132"/>
      <c r="EZ9" s="156"/>
      <c r="FA9" s="157"/>
      <c r="FB9" s="158"/>
      <c r="FC9" s="110"/>
      <c r="FD9" s="111"/>
      <c r="FE9" s="81"/>
      <c r="FF9" s="82"/>
      <c r="FG9" s="83"/>
      <c r="FH9" s="110"/>
      <c r="FI9" s="111"/>
      <c r="FJ9" s="81"/>
      <c r="FK9" s="82"/>
      <c r="FL9" s="83"/>
      <c r="FM9" s="110"/>
      <c r="FN9" s="111"/>
      <c r="FO9" s="179"/>
      <c r="FP9" s="132"/>
      <c r="FQ9" s="156"/>
      <c r="FR9" s="157"/>
      <c r="FS9" s="158"/>
      <c r="FT9" s="110"/>
      <c r="FU9" s="111"/>
      <c r="FV9" s="81"/>
      <c r="FW9" s="82"/>
      <c r="FX9" s="83"/>
      <c r="FY9" s="110"/>
      <c r="FZ9" s="111"/>
      <c r="GA9" s="81"/>
      <c r="GB9" s="82"/>
      <c r="GC9" s="83"/>
      <c r="GD9" s="110"/>
      <c r="GE9" s="111"/>
      <c r="GF9" s="179"/>
      <c r="GG9" s="132"/>
      <c r="GH9" s="156"/>
      <c r="GI9" s="157"/>
      <c r="GJ9" s="158"/>
      <c r="GK9" s="110"/>
      <c r="GL9" s="111"/>
      <c r="GM9" s="81"/>
      <c r="GN9" s="82"/>
      <c r="GO9" s="83"/>
      <c r="GP9" s="110"/>
      <c r="GQ9" s="111"/>
      <c r="GR9" s="81"/>
      <c r="GS9" s="82"/>
      <c r="GT9" s="83"/>
      <c r="GU9" s="110"/>
      <c r="GV9" s="111"/>
      <c r="GW9" s="179"/>
      <c r="GX9" s="132"/>
      <c r="GY9" s="156"/>
      <c r="GZ9" s="157"/>
      <c r="HA9" s="158"/>
      <c r="HB9" s="110"/>
      <c r="HC9" s="111"/>
      <c r="HD9" s="81"/>
      <c r="HE9" s="82"/>
      <c r="HF9" s="83"/>
      <c r="HG9" s="110"/>
      <c r="HH9" s="111"/>
      <c r="HI9" s="81"/>
      <c r="HJ9" s="82"/>
      <c r="HK9" s="83"/>
      <c r="HL9" s="110"/>
      <c r="HM9" s="111"/>
      <c r="HN9" s="179"/>
      <c r="HO9" s="132"/>
      <c r="HP9" s="156"/>
      <c r="HQ9" s="157"/>
      <c r="HR9" s="158"/>
      <c r="HS9" s="110"/>
      <c r="HT9" s="111"/>
      <c r="HU9" s="81"/>
      <c r="HV9" s="82"/>
      <c r="HW9" s="83"/>
      <c r="HX9" s="110"/>
      <c r="HY9" s="111"/>
      <c r="HZ9" s="81"/>
      <c r="IA9" s="82"/>
      <c r="IB9" s="83"/>
      <c r="IC9" s="110"/>
      <c r="ID9" s="111"/>
      <c r="IE9" s="179"/>
      <c r="IF9" s="132"/>
      <c r="IG9" s="156"/>
      <c r="IH9" s="157"/>
      <c r="II9" s="158"/>
      <c r="IJ9" s="110"/>
      <c r="IK9" s="111"/>
      <c r="IL9" s="81"/>
      <c r="IM9" s="82"/>
      <c r="IN9" s="83"/>
      <c r="IO9" s="110"/>
      <c r="IP9" s="111"/>
      <c r="IQ9" s="81"/>
      <c r="IR9" s="82"/>
      <c r="IS9" s="83"/>
      <c r="IT9" s="110"/>
      <c r="IU9" s="111"/>
      <c r="IV9" s="179"/>
      <c r="IW9" s="132"/>
      <c r="IX9" s="156"/>
      <c r="IY9" s="157"/>
      <c r="IZ9" s="158"/>
      <c r="JA9" s="110"/>
      <c r="JB9" s="111"/>
      <c r="JC9" s="81"/>
      <c r="JD9" s="82"/>
      <c r="JE9" s="83"/>
      <c r="JF9" s="110"/>
      <c r="JG9" s="111"/>
      <c r="JH9" s="81"/>
      <c r="JI9" s="82"/>
      <c r="JJ9" s="83"/>
      <c r="JK9" s="110"/>
      <c r="JL9" s="111"/>
      <c r="JM9" s="179"/>
      <c r="JN9" s="132"/>
      <c r="JO9" s="156"/>
      <c r="JP9" s="157"/>
      <c r="JQ9" s="158"/>
      <c r="JR9" s="110"/>
      <c r="JS9" s="111"/>
      <c r="JT9" s="81"/>
      <c r="JU9" s="82"/>
      <c r="JV9" s="83"/>
      <c r="JW9" s="110"/>
      <c r="JX9" s="111"/>
      <c r="JY9" s="81"/>
      <c r="JZ9" s="82"/>
      <c r="KA9" s="83"/>
      <c r="KB9" s="110"/>
      <c r="KC9" s="111"/>
      <c r="KD9" s="179"/>
      <c r="KE9" s="132"/>
      <c r="KF9" s="156"/>
      <c r="KG9" s="157"/>
      <c r="KH9" s="158"/>
      <c r="KI9" s="110"/>
      <c r="KJ9" s="111"/>
      <c r="KK9" s="81"/>
      <c r="KL9" s="82"/>
      <c r="KM9" s="83"/>
      <c r="KN9" s="110"/>
      <c r="KO9" s="111"/>
      <c r="KP9" s="81"/>
      <c r="KQ9" s="82"/>
      <c r="KR9" s="83"/>
      <c r="KS9" s="110"/>
      <c r="KT9" s="111"/>
      <c r="KU9" s="179"/>
      <c r="KV9" s="132"/>
      <c r="KW9" s="156"/>
      <c r="KX9" s="157"/>
      <c r="KY9" s="158"/>
      <c r="KZ9" s="110"/>
      <c r="LA9" s="111"/>
      <c r="LB9" s="81"/>
      <c r="LC9" s="82"/>
      <c r="LD9" s="83"/>
      <c r="LE9" s="110"/>
      <c r="LF9" s="111"/>
      <c r="LG9" s="81"/>
      <c r="LH9" s="82"/>
      <c r="LI9" s="83"/>
      <c r="LJ9" s="110"/>
      <c r="LK9" s="111"/>
      <c r="LL9" s="179"/>
      <c r="LM9" s="132"/>
      <c r="LN9" s="156"/>
      <c r="LO9" s="157"/>
      <c r="LP9" s="158"/>
      <c r="LQ9" s="110"/>
      <c r="LR9" s="111"/>
      <c r="LS9" s="81"/>
      <c r="LT9" s="82"/>
      <c r="LU9" s="83"/>
      <c r="LV9" s="110"/>
      <c r="LW9" s="111"/>
      <c r="LX9" s="81"/>
      <c r="LY9" s="82"/>
      <c r="LZ9" s="83"/>
      <c r="MA9" s="110"/>
      <c r="MB9" s="111"/>
      <c r="MC9" s="179"/>
      <c r="MD9" s="132"/>
      <c r="ME9" s="156"/>
      <c r="MF9" s="157"/>
      <c r="MG9" s="158"/>
      <c r="MH9" s="110"/>
      <c r="MI9" s="111"/>
      <c r="MJ9" s="81"/>
      <c r="MK9" s="82"/>
      <c r="ML9" s="83"/>
      <c r="MM9" s="110"/>
      <c r="MN9" s="111"/>
      <c r="MO9" s="81"/>
      <c r="MP9" s="82"/>
      <c r="MQ9" s="83"/>
      <c r="MR9" s="110"/>
      <c r="MS9" s="111"/>
      <c r="MT9" s="179"/>
      <c r="MU9" s="132"/>
      <c r="MV9" s="156"/>
      <c r="MW9" s="157"/>
      <c r="MX9" s="158"/>
      <c r="MY9" s="110"/>
      <c r="MZ9" s="111"/>
      <c r="NA9" s="81"/>
      <c r="NB9" s="82"/>
      <c r="NC9" s="83"/>
      <c r="ND9" s="110"/>
      <c r="NE9" s="111"/>
      <c r="NF9" s="81"/>
      <c r="NG9" s="82"/>
      <c r="NH9" s="83"/>
      <c r="NI9" s="110"/>
      <c r="NJ9" s="111"/>
      <c r="NK9" s="179"/>
      <c r="NL9" s="132"/>
      <c r="NM9" s="156"/>
      <c r="NN9" s="157"/>
      <c r="NO9" s="158"/>
      <c r="NP9" s="110"/>
      <c r="NQ9" s="111"/>
      <c r="NR9" s="81"/>
      <c r="NS9" s="82"/>
      <c r="NT9" s="83"/>
      <c r="NU9" s="110"/>
      <c r="NV9" s="111"/>
      <c r="NW9" s="81"/>
      <c r="NX9" s="82"/>
      <c r="NY9" s="83"/>
      <c r="NZ9" s="110"/>
      <c r="OA9" s="111"/>
      <c r="OB9" s="179"/>
      <c r="OC9" s="132"/>
      <c r="OD9" s="156"/>
      <c r="OE9" s="157"/>
      <c r="OF9" s="158"/>
      <c r="OG9" s="110"/>
      <c r="OH9" s="111"/>
      <c r="OI9" s="81"/>
      <c r="OJ9" s="82"/>
      <c r="OK9" s="83"/>
      <c r="OL9" s="110"/>
      <c r="OM9" s="111"/>
      <c r="ON9" s="81"/>
      <c r="OO9" s="82"/>
      <c r="OP9" s="83"/>
      <c r="OQ9" s="110"/>
      <c r="OR9" s="111"/>
      <c r="OS9" s="179"/>
      <c r="OT9" s="132"/>
      <c r="OU9" s="156"/>
      <c r="OV9" s="157"/>
      <c r="OW9" s="158"/>
      <c r="OX9" s="110"/>
      <c r="OY9" s="111"/>
      <c r="OZ9" s="81"/>
      <c r="PA9" s="82"/>
      <c r="PB9" s="83"/>
      <c r="PC9" s="110"/>
      <c r="PD9" s="111"/>
      <c r="PE9" s="81"/>
      <c r="PF9" s="82"/>
      <c r="PG9" s="83"/>
      <c r="PH9" s="110"/>
      <c r="PI9" s="111"/>
      <c r="PJ9" s="179"/>
      <c r="PK9" s="132"/>
      <c r="PL9" s="156"/>
      <c r="PM9" s="157"/>
      <c r="PN9" s="158"/>
      <c r="PO9" s="110"/>
      <c r="PP9" s="111"/>
      <c r="PQ9" s="81"/>
      <c r="PR9" s="82"/>
      <c r="PS9" s="83"/>
      <c r="PT9" s="110"/>
      <c r="PU9" s="111"/>
      <c r="PV9" s="81"/>
      <c r="PW9" s="82"/>
      <c r="PX9" s="83"/>
      <c r="PY9" s="110"/>
      <c r="PZ9" s="111"/>
      <c r="QA9" s="179"/>
      <c r="QB9" s="132"/>
      <c r="QC9" s="156"/>
      <c r="QD9" s="157"/>
      <c r="QE9" s="158"/>
      <c r="QF9" s="110"/>
      <c r="QG9" s="111"/>
      <c r="QH9" s="81"/>
      <c r="QI9" s="82"/>
      <c r="QJ9" s="83"/>
      <c r="QK9" s="110"/>
      <c r="QL9" s="111"/>
      <c r="QM9" s="81"/>
      <c r="QN9" s="82"/>
      <c r="QO9" s="83"/>
      <c r="QP9" s="110"/>
      <c r="QQ9" s="111"/>
      <c r="QR9" s="179"/>
      <c r="QS9" s="132"/>
      <c r="QT9" s="156"/>
      <c r="QU9" s="157"/>
      <c r="QV9" s="158"/>
      <c r="QW9" s="110"/>
      <c r="QX9" s="111"/>
      <c r="QY9" s="81"/>
      <c r="QZ9" s="82"/>
      <c r="RA9" s="83"/>
      <c r="RB9" s="110"/>
      <c r="RC9" s="111"/>
      <c r="RD9" s="81"/>
      <c r="RE9" s="82"/>
      <c r="RF9" s="83"/>
      <c r="RG9" s="110"/>
      <c r="RH9" s="111"/>
      <c r="RI9" s="179"/>
      <c r="RJ9" s="132"/>
      <c r="RK9" s="156"/>
      <c r="RL9" s="157"/>
      <c r="RM9" s="158"/>
      <c r="RN9" s="110"/>
      <c r="RO9" s="111"/>
      <c r="RP9" s="81"/>
      <c r="RQ9" s="82"/>
      <c r="RR9" s="83"/>
      <c r="RS9" s="110"/>
      <c r="RT9" s="111"/>
      <c r="RU9" s="81"/>
      <c r="RV9" s="82"/>
      <c r="RW9" s="83"/>
      <c r="RX9" s="110"/>
      <c r="RY9" s="111"/>
      <c r="RZ9" s="179"/>
      <c r="SA9" s="132"/>
      <c r="SB9" s="156"/>
      <c r="SC9" s="157"/>
      <c r="SD9" s="158"/>
      <c r="SE9" s="110"/>
      <c r="SF9" s="111"/>
      <c r="SG9" s="81"/>
      <c r="SH9" s="82"/>
      <c r="SI9" s="83"/>
      <c r="SJ9" s="110"/>
      <c r="SK9" s="111"/>
      <c r="SL9" s="81"/>
      <c r="SM9" s="82"/>
      <c r="SN9" s="83"/>
      <c r="SO9" s="110"/>
      <c r="SP9" s="111"/>
      <c r="SQ9" s="179"/>
      <c r="SR9" s="132"/>
    </row>
    <row r="10" spans="1:512" s="72" customFormat="1" ht="18" customHeight="1" x14ac:dyDescent="0.25">
      <c r="A10" s="250" t="s">
        <v>47</v>
      </c>
      <c r="B10" s="251"/>
      <c r="C10" s="215" t="s">
        <v>26</v>
      </c>
      <c r="D10" s="216"/>
      <c r="E10" s="217"/>
      <c r="F10" s="206"/>
      <c r="G10" s="207"/>
      <c r="H10" s="218"/>
      <c r="I10" s="219"/>
      <c r="J10" s="220"/>
      <c r="K10" s="206"/>
      <c r="L10" s="207"/>
      <c r="M10" s="218"/>
      <c r="N10" s="219"/>
      <c r="O10" s="220"/>
      <c r="P10" s="206"/>
      <c r="Q10" s="207"/>
      <c r="R10" s="208"/>
      <c r="S10" s="209"/>
      <c r="T10" s="215" t="s">
        <v>25</v>
      </c>
      <c r="U10" s="216"/>
      <c r="V10" s="217"/>
      <c r="W10" s="206"/>
      <c r="X10" s="207"/>
      <c r="Y10" s="218"/>
      <c r="Z10" s="219"/>
      <c r="AA10" s="220"/>
      <c r="AB10" s="206"/>
      <c r="AC10" s="207"/>
      <c r="AD10" s="218"/>
      <c r="AE10" s="219"/>
      <c r="AF10" s="220"/>
      <c r="AG10" s="206"/>
      <c r="AH10" s="207"/>
      <c r="AI10" s="208"/>
      <c r="AJ10" s="209"/>
      <c r="AK10" s="215" t="s">
        <v>26</v>
      </c>
      <c r="AL10" s="216"/>
      <c r="AM10" s="217"/>
      <c r="AN10" s="206"/>
      <c r="AO10" s="207"/>
      <c r="AP10" s="218"/>
      <c r="AQ10" s="219"/>
      <c r="AR10" s="220"/>
      <c r="AS10" s="206"/>
      <c r="AT10" s="207"/>
      <c r="AU10" s="218"/>
      <c r="AV10" s="219"/>
      <c r="AW10" s="220"/>
      <c r="AX10" s="206"/>
      <c r="AY10" s="207"/>
      <c r="AZ10" s="208"/>
      <c r="BA10" s="209"/>
      <c r="BB10" s="215" t="s">
        <v>24</v>
      </c>
      <c r="BC10" s="216"/>
      <c r="BD10" s="217"/>
      <c r="BE10" s="206"/>
      <c r="BF10" s="207"/>
      <c r="BG10" s="218"/>
      <c r="BH10" s="219"/>
      <c r="BI10" s="220"/>
      <c r="BJ10" s="206"/>
      <c r="BK10" s="207"/>
      <c r="BL10" s="218"/>
      <c r="BM10" s="219"/>
      <c r="BN10" s="220"/>
      <c r="BO10" s="206"/>
      <c r="BP10" s="207"/>
      <c r="BQ10" s="208"/>
      <c r="BR10" s="209"/>
      <c r="BS10" s="215" t="s">
        <v>24</v>
      </c>
      <c r="BT10" s="216"/>
      <c r="BU10" s="217"/>
      <c r="BV10" s="206"/>
      <c r="BW10" s="207"/>
      <c r="BX10" s="218"/>
      <c r="BY10" s="219"/>
      <c r="BZ10" s="220"/>
      <c r="CA10" s="206"/>
      <c r="CB10" s="207"/>
      <c r="CC10" s="218"/>
      <c r="CD10" s="219"/>
      <c r="CE10" s="220"/>
      <c r="CF10" s="206"/>
      <c r="CG10" s="207"/>
      <c r="CH10" s="208"/>
      <c r="CI10" s="209"/>
      <c r="CJ10" s="215" t="s">
        <v>25</v>
      </c>
      <c r="CK10" s="216"/>
      <c r="CL10" s="217"/>
      <c r="CM10" s="206"/>
      <c r="CN10" s="207"/>
      <c r="CO10" s="218"/>
      <c r="CP10" s="219"/>
      <c r="CQ10" s="220"/>
      <c r="CR10" s="206"/>
      <c r="CS10" s="207"/>
      <c r="CT10" s="218"/>
      <c r="CU10" s="219"/>
      <c r="CV10" s="220"/>
      <c r="CW10" s="206"/>
      <c r="CX10" s="207"/>
      <c r="CY10" s="208"/>
      <c r="CZ10" s="209"/>
      <c r="DA10" s="215" t="s">
        <v>24</v>
      </c>
      <c r="DB10" s="216"/>
      <c r="DC10" s="217"/>
      <c r="DD10" s="206"/>
      <c r="DE10" s="207"/>
      <c r="DF10" s="218"/>
      <c r="DG10" s="219"/>
      <c r="DH10" s="220"/>
      <c r="DI10" s="206"/>
      <c r="DJ10" s="207"/>
      <c r="DK10" s="218"/>
      <c r="DL10" s="219"/>
      <c r="DM10" s="220"/>
      <c r="DN10" s="206"/>
      <c r="DO10" s="207"/>
      <c r="DP10" s="208"/>
      <c r="DQ10" s="209"/>
      <c r="DR10" s="215" t="s">
        <v>25</v>
      </c>
      <c r="DS10" s="216"/>
      <c r="DT10" s="217"/>
      <c r="DU10" s="206"/>
      <c r="DV10" s="207"/>
      <c r="DW10" s="218"/>
      <c r="DX10" s="219"/>
      <c r="DY10" s="220"/>
      <c r="DZ10" s="206"/>
      <c r="EA10" s="207"/>
      <c r="EB10" s="218"/>
      <c r="EC10" s="219"/>
      <c r="ED10" s="220"/>
      <c r="EE10" s="206"/>
      <c r="EF10" s="207"/>
      <c r="EG10" s="208"/>
      <c r="EH10" s="209"/>
      <c r="EI10" s="215" t="s">
        <v>27</v>
      </c>
      <c r="EJ10" s="216"/>
      <c r="EK10" s="217"/>
      <c r="EL10" s="206"/>
      <c r="EM10" s="207"/>
      <c r="EN10" s="218"/>
      <c r="EO10" s="219"/>
      <c r="EP10" s="220"/>
      <c r="EQ10" s="206"/>
      <c r="ER10" s="207"/>
      <c r="ES10" s="218"/>
      <c r="ET10" s="219"/>
      <c r="EU10" s="220"/>
      <c r="EV10" s="206"/>
      <c r="EW10" s="207"/>
      <c r="EX10" s="208"/>
      <c r="EY10" s="209"/>
      <c r="EZ10" s="215" t="s">
        <v>25</v>
      </c>
      <c r="FA10" s="216"/>
      <c r="FB10" s="217"/>
      <c r="FC10" s="206"/>
      <c r="FD10" s="207"/>
      <c r="FE10" s="218"/>
      <c r="FF10" s="219"/>
      <c r="FG10" s="220"/>
      <c r="FH10" s="206"/>
      <c r="FI10" s="207"/>
      <c r="FJ10" s="218"/>
      <c r="FK10" s="219"/>
      <c r="FL10" s="220"/>
      <c r="FM10" s="206"/>
      <c r="FN10" s="207"/>
      <c r="FO10" s="208"/>
      <c r="FP10" s="209"/>
      <c r="FQ10" s="215" t="s">
        <v>24</v>
      </c>
      <c r="FR10" s="216"/>
      <c r="FS10" s="217"/>
      <c r="FT10" s="206"/>
      <c r="FU10" s="207"/>
      <c r="FV10" s="218"/>
      <c r="FW10" s="219"/>
      <c r="FX10" s="220"/>
      <c r="FY10" s="206"/>
      <c r="FZ10" s="207"/>
      <c r="GA10" s="218"/>
      <c r="GB10" s="219"/>
      <c r="GC10" s="220"/>
      <c r="GD10" s="206"/>
      <c r="GE10" s="207"/>
      <c r="GF10" s="208"/>
      <c r="GG10" s="209"/>
      <c r="GH10" s="215" t="s">
        <v>26</v>
      </c>
      <c r="GI10" s="216"/>
      <c r="GJ10" s="217"/>
      <c r="GK10" s="206"/>
      <c r="GL10" s="207"/>
      <c r="GM10" s="218"/>
      <c r="GN10" s="219"/>
      <c r="GO10" s="220"/>
      <c r="GP10" s="206"/>
      <c r="GQ10" s="207"/>
      <c r="GR10" s="218"/>
      <c r="GS10" s="219"/>
      <c r="GT10" s="220"/>
      <c r="GU10" s="206"/>
      <c r="GV10" s="207"/>
      <c r="GW10" s="208"/>
      <c r="GX10" s="209"/>
      <c r="GY10" s="215" t="s">
        <v>24</v>
      </c>
      <c r="GZ10" s="216"/>
      <c r="HA10" s="217"/>
      <c r="HB10" s="206"/>
      <c r="HC10" s="207"/>
      <c r="HD10" s="218"/>
      <c r="HE10" s="219"/>
      <c r="HF10" s="220"/>
      <c r="HG10" s="206"/>
      <c r="HH10" s="207"/>
      <c r="HI10" s="218"/>
      <c r="HJ10" s="219"/>
      <c r="HK10" s="220"/>
      <c r="HL10" s="206"/>
      <c r="HM10" s="207"/>
      <c r="HN10" s="208"/>
      <c r="HO10" s="209"/>
      <c r="HP10" s="215" t="s">
        <v>27</v>
      </c>
      <c r="HQ10" s="216"/>
      <c r="HR10" s="217"/>
      <c r="HS10" s="206"/>
      <c r="HT10" s="207"/>
      <c r="HU10" s="218"/>
      <c r="HV10" s="219"/>
      <c r="HW10" s="220"/>
      <c r="HX10" s="206"/>
      <c r="HY10" s="207"/>
      <c r="HZ10" s="218"/>
      <c r="IA10" s="219"/>
      <c r="IB10" s="220"/>
      <c r="IC10" s="206"/>
      <c r="ID10" s="207"/>
      <c r="IE10" s="208"/>
      <c r="IF10" s="209"/>
      <c r="IG10" s="215" t="s">
        <v>25</v>
      </c>
      <c r="IH10" s="216"/>
      <c r="II10" s="217"/>
      <c r="IJ10" s="206"/>
      <c r="IK10" s="207"/>
      <c r="IL10" s="218"/>
      <c r="IM10" s="219"/>
      <c r="IN10" s="220"/>
      <c r="IO10" s="206"/>
      <c r="IP10" s="207"/>
      <c r="IQ10" s="218"/>
      <c r="IR10" s="219"/>
      <c r="IS10" s="220"/>
      <c r="IT10" s="206"/>
      <c r="IU10" s="207"/>
      <c r="IV10" s="208"/>
      <c r="IW10" s="209"/>
      <c r="IX10" s="215" t="s">
        <v>25</v>
      </c>
      <c r="IY10" s="216"/>
      <c r="IZ10" s="217"/>
      <c r="JA10" s="206"/>
      <c r="JB10" s="207"/>
      <c r="JC10" s="218"/>
      <c r="JD10" s="219"/>
      <c r="JE10" s="220"/>
      <c r="JF10" s="206"/>
      <c r="JG10" s="207"/>
      <c r="JH10" s="218"/>
      <c r="JI10" s="219"/>
      <c r="JJ10" s="220"/>
      <c r="JK10" s="206"/>
      <c r="JL10" s="207"/>
      <c r="JM10" s="208"/>
      <c r="JN10" s="209"/>
      <c r="JO10" s="215" t="s">
        <v>25</v>
      </c>
      <c r="JP10" s="216"/>
      <c r="JQ10" s="217"/>
      <c r="JR10" s="206"/>
      <c r="JS10" s="207"/>
      <c r="JT10" s="218"/>
      <c r="JU10" s="219"/>
      <c r="JV10" s="220"/>
      <c r="JW10" s="206"/>
      <c r="JX10" s="207"/>
      <c r="JY10" s="218"/>
      <c r="JZ10" s="219"/>
      <c r="KA10" s="220"/>
      <c r="KB10" s="206"/>
      <c r="KC10" s="207"/>
      <c r="KD10" s="208"/>
      <c r="KE10" s="209"/>
      <c r="KF10" s="215" t="s">
        <v>26</v>
      </c>
      <c r="KG10" s="216"/>
      <c r="KH10" s="217"/>
      <c r="KI10" s="206"/>
      <c r="KJ10" s="207"/>
      <c r="KK10" s="218"/>
      <c r="KL10" s="219"/>
      <c r="KM10" s="220"/>
      <c r="KN10" s="206"/>
      <c r="KO10" s="207"/>
      <c r="KP10" s="218"/>
      <c r="KQ10" s="219"/>
      <c r="KR10" s="220"/>
      <c r="KS10" s="206"/>
      <c r="KT10" s="207"/>
      <c r="KU10" s="208"/>
      <c r="KV10" s="209"/>
      <c r="KW10" s="215" t="s">
        <v>25</v>
      </c>
      <c r="KX10" s="216"/>
      <c r="KY10" s="217"/>
      <c r="KZ10" s="206"/>
      <c r="LA10" s="207"/>
      <c r="LB10" s="218"/>
      <c r="LC10" s="219"/>
      <c r="LD10" s="220"/>
      <c r="LE10" s="206"/>
      <c r="LF10" s="207"/>
      <c r="LG10" s="218"/>
      <c r="LH10" s="219"/>
      <c r="LI10" s="220"/>
      <c r="LJ10" s="206"/>
      <c r="LK10" s="207"/>
      <c r="LL10" s="208"/>
      <c r="LM10" s="209"/>
      <c r="LN10" s="215" t="s">
        <v>24</v>
      </c>
      <c r="LO10" s="216"/>
      <c r="LP10" s="217"/>
      <c r="LQ10" s="206"/>
      <c r="LR10" s="207"/>
      <c r="LS10" s="218"/>
      <c r="LT10" s="219"/>
      <c r="LU10" s="220"/>
      <c r="LV10" s="206"/>
      <c r="LW10" s="207"/>
      <c r="LX10" s="218"/>
      <c r="LY10" s="219"/>
      <c r="LZ10" s="220"/>
      <c r="MA10" s="206"/>
      <c r="MB10" s="207"/>
      <c r="MC10" s="208"/>
      <c r="MD10" s="209"/>
      <c r="ME10" s="215" t="s">
        <v>25</v>
      </c>
      <c r="MF10" s="216"/>
      <c r="MG10" s="217"/>
      <c r="MH10" s="206"/>
      <c r="MI10" s="207"/>
      <c r="MJ10" s="218"/>
      <c r="MK10" s="219"/>
      <c r="ML10" s="220"/>
      <c r="MM10" s="206"/>
      <c r="MN10" s="207"/>
      <c r="MO10" s="218"/>
      <c r="MP10" s="219"/>
      <c r="MQ10" s="220"/>
      <c r="MR10" s="206"/>
      <c r="MS10" s="207"/>
      <c r="MT10" s="208"/>
      <c r="MU10" s="209"/>
      <c r="MV10" s="215" t="s">
        <v>26</v>
      </c>
      <c r="MW10" s="216"/>
      <c r="MX10" s="217"/>
      <c r="MY10" s="206"/>
      <c r="MZ10" s="207"/>
      <c r="NA10" s="218"/>
      <c r="NB10" s="219"/>
      <c r="NC10" s="220"/>
      <c r="ND10" s="206"/>
      <c r="NE10" s="207"/>
      <c r="NF10" s="218"/>
      <c r="NG10" s="219"/>
      <c r="NH10" s="220"/>
      <c r="NI10" s="206"/>
      <c r="NJ10" s="207"/>
      <c r="NK10" s="208"/>
      <c r="NL10" s="209"/>
      <c r="NM10" s="215"/>
      <c r="NN10" s="216"/>
      <c r="NO10" s="217"/>
      <c r="NP10" s="206"/>
      <c r="NQ10" s="207"/>
      <c r="NR10" s="218"/>
      <c r="NS10" s="219"/>
      <c r="NT10" s="220"/>
      <c r="NU10" s="206"/>
      <c r="NV10" s="207"/>
      <c r="NW10" s="218"/>
      <c r="NX10" s="219"/>
      <c r="NY10" s="220"/>
      <c r="NZ10" s="206"/>
      <c r="OA10" s="207"/>
      <c r="OB10" s="208"/>
      <c r="OC10" s="209"/>
      <c r="OD10" s="215" t="s">
        <v>27</v>
      </c>
      <c r="OE10" s="216"/>
      <c r="OF10" s="217"/>
      <c r="OG10" s="206"/>
      <c r="OH10" s="207"/>
      <c r="OI10" s="218"/>
      <c r="OJ10" s="219"/>
      <c r="OK10" s="220"/>
      <c r="OL10" s="206"/>
      <c r="OM10" s="207"/>
      <c r="ON10" s="218"/>
      <c r="OO10" s="219"/>
      <c r="OP10" s="220"/>
      <c r="OQ10" s="206"/>
      <c r="OR10" s="207"/>
      <c r="OS10" s="208"/>
      <c r="OT10" s="209"/>
      <c r="OU10" s="215" t="s">
        <v>25</v>
      </c>
      <c r="OV10" s="216"/>
      <c r="OW10" s="217"/>
      <c r="OX10" s="206"/>
      <c r="OY10" s="207"/>
      <c r="OZ10" s="218"/>
      <c r="PA10" s="219"/>
      <c r="PB10" s="220"/>
      <c r="PC10" s="206"/>
      <c r="PD10" s="207"/>
      <c r="PE10" s="218"/>
      <c r="PF10" s="219"/>
      <c r="PG10" s="220"/>
      <c r="PH10" s="206"/>
      <c r="PI10" s="207"/>
      <c r="PJ10" s="208"/>
      <c r="PK10" s="209"/>
      <c r="PL10" s="215" t="s">
        <v>24</v>
      </c>
      <c r="PM10" s="216"/>
      <c r="PN10" s="217"/>
      <c r="PO10" s="206"/>
      <c r="PP10" s="207"/>
      <c r="PQ10" s="218"/>
      <c r="PR10" s="219"/>
      <c r="PS10" s="220"/>
      <c r="PT10" s="206"/>
      <c r="PU10" s="207"/>
      <c r="PV10" s="218"/>
      <c r="PW10" s="219"/>
      <c r="PX10" s="220"/>
      <c r="PY10" s="206"/>
      <c r="PZ10" s="207"/>
      <c r="QA10" s="208"/>
      <c r="QB10" s="209"/>
      <c r="QC10" s="215" t="s">
        <v>25</v>
      </c>
      <c r="QD10" s="216"/>
      <c r="QE10" s="217"/>
      <c r="QF10" s="206"/>
      <c r="QG10" s="207"/>
      <c r="QH10" s="218"/>
      <c r="QI10" s="219"/>
      <c r="QJ10" s="220"/>
      <c r="QK10" s="206"/>
      <c r="QL10" s="207"/>
      <c r="QM10" s="218"/>
      <c r="QN10" s="219"/>
      <c r="QO10" s="220"/>
      <c r="QP10" s="206"/>
      <c r="QQ10" s="207"/>
      <c r="QR10" s="208"/>
      <c r="QS10" s="209"/>
      <c r="QT10" s="215"/>
      <c r="QU10" s="216"/>
      <c r="QV10" s="217"/>
      <c r="QW10" s="206"/>
      <c r="QX10" s="207"/>
      <c r="QY10" s="218"/>
      <c r="QZ10" s="219"/>
      <c r="RA10" s="220"/>
      <c r="RB10" s="206"/>
      <c r="RC10" s="207"/>
      <c r="RD10" s="218"/>
      <c r="RE10" s="219"/>
      <c r="RF10" s="220"/>
      <c r="RG10" s="206"/>
      <c r="RH10" s="207"/>
      <c r="RI10" s="208"/>
      <c r="RJ10" s="209"/>
      <c r="RK10" s="215"/>
      <c r="RL10" s="216"/>
      <c r="RM10" s="217"/>
      <c r="RN10" s="206"/>
      <c r="RO10" s="207"/>
      <c r="RP10" s="218"/>
      <c r="RQ10" s="219"/>
      <c r="RR10" s="220"/>
      <c r="RS10" s="206"/>
      <c r="RT10" s="207"/>
      <c r="RU10" s="218"/>
      <c r="RV10" s="219"/>
      <c r="RW10" s="220"/>
      <c r="RX10" s="206"/>
      <c r="RY10" s="207"/>
      <c r="RZ10" s="208"/>
      <c r="SA10" s="209"/>
      <c r="SB10" s="215"/>
      <c r="SC10" s="216"/>
      <c r="SD10" s="217"/>
      <c r="SE10" s="206"/>
      <c r="SF10" s="207"/>
      <c r="SG10" s="218"/>
      <c r="SH10" s="219"/>
      <c r="SI10" s="220"/>
      <c r="SJ10" s="206"/>
      <c r="SK10" s="207"/>
      <c r="SL10" s="218"/>
      <c r="SM10" s="219"/>
      <c r="SN10" s="220"/>
      <c r="SO10" s="206"/>
      <c r="SP10" s="207"/>
      <c r="SQ10" s="208"/>
      <c r="SR10" s="209"/>
    </row>
    <row r="11" spans="1:512" s="72" customFormat="1" ht="18" customHeight="1" thickBot="1" x14ac:dyDescent="0.3">
      <c r="A11" s="248" t="s">
        <v>48</v>
      </c>
      <c r="B11" s="249"/>
      <c r="C11" s="159"/>
      <c r="D11" s="160"/>
      <c r="E11" s="161"/>
      <c r="F11" s="112" t="str">
        <f>IFERROR((((COUNTIF('Elève (6ème2)'!C11:E11,"A"))*4)+((COUNTIF('Elève (6ème2)'!C11:E11,"B"))*3)+((COUNTIF('Elève (6ème2)'!C11:E11,"C"))*2)+((COUNTIF('Elève (6ème2)'!C11:E11,"D"))*1))/(COUNTA(C11:E11)),"")</f>
        <v/>
      </c>
      <c r="G11" s="113" t="str">
        <f t="shared" si="0"/>
        <v/>
      </c>
      <c r="H11" s="84"/>
      <c r="I11" s="85"/>
      <c r="J11" s="86"/>
      <c r="K11" s="112" t="str">
        <f>IFERROR((((COUNTIF('Elève (6ème2)'!H11:J11,"A"))*4)+((COUNTIF('Elève (6ème2)'!H11:J11,"B"))*3)+((COUNTIF('Elève (6ème2)'!H11:J11,"C"))*2)+((COUNTIF('Elève (6ème2)'!H11:J11,"D"))*1))/(COUNTA(H11:J11)),"")</f>
        <v/>
      </c>
      <c r="L11" s="113" t="str">
        <f t="shared" si="1"/>
        <v/>
      </c>
      <c r="M11" s="84"/>
      <c r="N11" s="85"/>
      <c r="O11" s="86"/>
      <c r="P11" s="112" t="str">
        <f>IFERROR((((COUNTIF('Elève (6ème2)'!M11:O11,"A"))*4)+((COUNTIF('Elève (6ème2)'!M11:O11,"B"))*3)+((COUNTIF('Elève (6ème2)'!M11:O11,"C"))*2)+((COUNTIF('Elève (6ème2)'!M11:O11,"D"))*1))/(COUNTA(M11:O11)),"")</f>
        <v/>
      </c>
      <c r="Q11" s="113" t="str">
        <f t="shared" si="2"/>
        <v/>
      </c>
      <c r="R11" s="180" t="str">
        <f>IF(COUNT(F11,K11,P11)=0,"",SUM(F11,K11,P11)/COUNT(F11,K11,P11))</f>
        <v/>
      </c>
      <c r="S11" s="133" t="str">
        <f t="shared" si="3"/>
        <v/>
      </c>
      <c r="T11" s="159"/>
      <c r="U11" s="160"/>
      <c r="V11" s="161"/>
      <c r="W11" s="112" t="str">
        <f>IFERROR((((COUNTIF('Elève (6ème2)'!T11:V11,"A"))*4)+((COUNTIF('Elève (6ème2)'!T11:V11,"B"))*3)+((COUNTIF('Elève (6ème2)'!T11:V11,"C"))*2)+((COUNTIF('Elève (6ème2)'!T11:V11,"D"))*1))/(COUNTA(T11:V11)),"")</f>
        <v/>
      </c>
      <c r="X11" s="113" t="str">
        <f t="shared" si="4"/>
        <v/>
      </c>
      <c r="Y11" s="84"/>
      <c r="Z11" s="85"/>
      <c r="AA11" s="86"/>
      <c r="AB11" s="112" t="str">
        <f>IFERROR((((COUNTIF('Elève (6ème2)'!Y11:AA11,"A"))*4)+((COUNTIF('Elève (6ème2)'!Y11:AA11,"B"))*3)+((COUNTIF('Elève (6ème2)'!Y11:AA11,"C"))*2)+((COUNTIF('Elève (6ème2)'!Y11:AA11,"D"))*1))/(COUNTA(Y11:AA11)),"")</f>
        <v/>
      </c>
      <c r="AC11" s="113" t="str">
        <f t="shared" si="5"/>
        <v/>
      </c>
      <c r="AD11" s="84"/>
      <c r="AE11" s="85"/>
      <c r="AF11" s="86"/>
      <c r="AG11" s="112" t="str">
        <f>IFERROR((((COUNTIF('Elève (6ème2)'!AD11:AF11,"A"))*4)+((COUNTIF('Elève (6ème2)'!AD11:AF11,"B"))*3)+((COUNTIF('Elève (6ème2)'!AD11:AF11,"C"))*2)+((COUNTIF('Elève (6ème2)'!AD11:AF11,"D"))*1))/(COUNTA(AD11:AF11)),"")</f>
        <v/>
      </c>
      <c r="AH11" s="113" t="str">
        <f t="shared" si="6"/>
        <v/>
      </c>
      <c r="AI11" s="180" t="str">
        <f>IF(COUNT(W11,AB11,AG11)=0,"",SUM(W11,AB11,AG11)/COUNT(W11,AB11,AG11))</f>
        <v/>
      </c>
      <c r="AJ11" s="133" t="str">
        <f t="shared" si="7"/>
        <v/>
      </c>
      <c r="AK11" s="159"/>
      <c r="AL11" s="160"/>
      <c r="AM11" s="161"/>
      <c r="AN11" s="112" t="str">
        <f>IFERROR((((COUNTIF('Elève (6ème2)'!AK11:AM11,"A"))*4)+((COUNTIF('Elève (6ème2)'!AK11:AM11,"B"))*3)+((COUNTIF('Elève (6ème2)'!AK11:AM11,"C"))*2)+((COUNTIF('Elève (6ème2)'!AK11:AM11,"D"))*1))/(COUNTA(AK11:AM11)),"")</f>
        <v/>
      </c>
      <c r="AO11" s="113" t="str">
        <f t="shared" si="8"/>
        <v/>
      </c>
      <c r="AP11" s="84"/>
      <c r="AQ11" s="85"/>
      <c r="AR11" s="86"/>
      <c r="AS11" s="112" t="str">
        <f>IFERROR((((COUNTIF('Elève (6ème2)'!AP11:AR11,"A"))*4)+((COUNTIF('Elève (6ème2)'!AP11:AR11,"B"))*3)+((COUNTIF('Elève (6ème2)'!AP11:AR11,"C"))*2)+((COUNTIF('Elève (6ème2)'!AP11:AR11,"D"))*1))/(COUNTA(AP11:AR11)),"")</f>
        <v/>
      </c>
      <c r="AT11" s="113" t="str">
        <f t="shared" si="9"/>
        <v/>
      </c>
      <c r="AU11" s="84"/>
      <c r="AV11" s="85"/>
      <c r="AW11" s="86"/>
      <c r="AX11" s="112" t="str">
        <f>IFERROR((((COUNTIF('Elève (6ème2)'!AU11:AW11,"A"))*4)+((COUNTIF('Elève (6ème2)'!AU11:AW11,"B"))*3)+((COUNTIF('Elève (6ème2)'!AU11:AW11,"C"))*2)+((COUNTIF('Elève (6ème2)'!AU11:AW11,"D"))*1))/(COUNTA(AU11:AW11)),"")</f>
        <v/>
      </c>
      <c r="AY11" s="113" t="str">
        <f t="shared" si="10"/>
        <v/>
      </c>
      <c r="AZ11" s="180" t="str">
        <f>IF(COUNT(AN11,AS11,AX11)=0,"",SUM(AN11,AS11,AX11)/COUNT(AN11,AS11,AX11))</f>
        <v/>
      </c>
      <c r="BA11" s="133" t="str">
        <f t="shared" si="11"/>
        <v/>
      </c>
      <c r="BB11" s="159"/>
      <c r="BC11" s="160"/>
      <c r="BD11" s="161"/>
      <c r="BE11" s="112" t="str">
        <f>IFERROR((((COUNTIF('Elève (6ème2)'!BB11:BD11,"A"))*4)+((COUNTIF('Elève (6ème2)'!BB11:BD11,"B"))*3)+((COUNTIF('Elève (6ème2)'!BB11:BD11,"C"))*2)+((COUNTIF('Elève (6ème2)'!BB11:BD11,"D"))*1))/(COUNTA(BB11:BD11)),"")</f>
        <v/>
      </c>
      <c r="BF11" s="113" t="str">
        <f t="shared" si="12"/>
        <v/>
      </c>
      <c r="BG11" s="84"/>
      <c r="BH11" s="85"/>
      <c r="BI11" s="86"/>
      <c r="BJ11" s="112" t="str">
        <f>IFERROR((((COUNTIF('Elève (6ème2)'!BG11:BI11,"A"))*4)+((COUNTIF('Elève (6ème2)'!BG11:BI11,"B"))*3)+((COUNTIF('Elève (6ème2)'!BG11:BI11,"C"))*2)+((COUNTIF('Elève (6ème2)'!BG11:BI11,"D"))*1))/(COUNTA(BG11:BI11)),"")</f>
        <v/>
      </c>
      <c r="BK11" s="113" t="str">
        <f t="shared" si="13"/>
        <v/>
      </c>
      <c r="BL11" s="84"/>
      <c r="BM11" s="85"/>
      <c r="BN11" s="86"/>
      <c r="BO11" s="112" t="str">
        <f>IFERROR((((COUNTIF('Elève (6ème2)'!BL11:BN11,"A"))*4)+((COUNTIF('Elève (6ème2)'!BL11:BN11,"B"))*3)+((COUNTIF('Elève (6ème2)'!BL11:BN11,"C"))*2)+((COUNTIF('Elève (6ème2)'!BL11:BN11,"D"))*1))/(COUNTA(BL11:BN11)),"")</f>
        <v/>
      </c>
      <c r="BP11" s="113" t="str">
        <f t="shared" si="14"/>
        <v/>
      </c>
      <c r="BQ11" s="180" t="str">
        <f>IF(COUNT(BE11,BJ11,BO11)=0,"",SUM(BE11,BJ11,BO11)/COUNT(BE11,BJ11,BO11))</f>
        <v/>
      </c>
      <c r="BR11" s="133" t="str">
        <f t="shared" si="15"/>
        <v/>
      </c>
      <c r="BS11" s="159"/>
      <c r="BT11" s="160"/>
      <c r="BU11" s="161"/>
      <c r="BV11" s="112" t="str">
        <f>IFERROR((((COUNTIF('Elève (6ème2)'!BS11:BU11,"A"))*4)+((COUNTIF('Elève (6ème2)'!BS11:BU11,"B"))*3)+((COUNTIF('Elève (6ème2)'!BS11:BU11,"C"))*2)+((COUNTIF('Elève (6ème2)'!BS11:BU11,"D"))*1))/(COUNTA(BS11:BU11)),"")</f>
        <v/>
      </c>
      <c r="BW11" s="113" t="str">
        <f t="shared" si="16"/>
        <v/>
      </c>
      <c r="BX11" s="84"/>
      <c r="BY11" s="85"/>
      <c r="BZ11" s="86"/>
      <c r="CA11" s="112" t="str">
        <f>IFERROR((((COUNTIF('Elève (6ème2)'!BX11:BZ11,"A"))*4)+((COUNTIF('Elève (6ème2)'!BX11:BZ11,"B"))*3)+((COUNTIF('Elève (6ème2)'!BX11:BZ11,"C"))*2)+((COUNTIF('Elève (6ème2)'!BX11:BZ11,"D"))*1))/(COUNTA(BX11:BZ11)),"")</f>
        <v/>
      </c>
      <c r="CB11" s="113" t="str">
        <f t="shared" si="17"/>
        <v/>
      </c>
      <c r="CC11" s="84"/>
      <c r="CD11" s="85"/>
      <c r="CE11" s="86"/>
      <c r="CF11" s="112" t="str">
        <f>IFERROR((((COUNTIF('Elève (6ème2)'!CC11:CE11,"A"))*4)+((COUNTIF('Elève (6ème2)'!CC11:CE11,"B"))*3)+((COUNTIF('Elève (6ème2)'!CC11:CE11,"C"))*2)+((COUNTIF('Elève (6ème2)'!CC11:CE11,"D"))*1))/(COUNTA(CC11:CE11)),"")</f>
        <v/>
      </c>
      <c r="CG11" s="113" t="str">
        <f t="shared" si="18"/>
        <v/>
      </c>
      <c r="CH11" s="180" t="str">
        <f>IF(COUNT(BV11,CA11,CF11)=0,"",SUM(BV11,CA11,CF11)/COUNT(BV11,CA11,CF11))</f>
        <v/>
      </c>
      <c r="CI11" s="133" t="str">
        <f t="shared" si="19"/>
        <v/>
      </c>
      <c r="CJ11" s="159"/>
      <c r="CK11" s="160"/>
      <c r="CL11" s="161"/>
      <c r="CM11" s="112" t="str">
        <f>IFERROR((((COUNTIF('Elève (6ème2)'!CJ11:CL11,"A"))*4)+((COUNTIF('Elève (6ème2)'!CJ11:CL11,"B"))*3)+((COUNTIF('Elève (6ème2)'!CJ11:CL11,"C"))*2)+((COUNTIF('Elève (6ème2)'!CJ11:CL11,"D"))*1))/(COUNTA(CJ11:CL11)),"")</f>
        <v/>
      </c>
      <c r="CN11" s="113" t="str">
        <f t="shared" si="20"/>
        <v/>
      </c>
      <c r="CO11" s="84"/>
      <c r="CP11" s="85"/>
      <c r="CQ11" s="86"/>
      <c r="CR11" s="112" t="str">
        <f>IFERROR((((COUNTIF('Elève (6ème2)'!CO11:CQ11,"A"))*4)+((COUNTIF('Elève (6ème2)'!CO11:CQ11,"B"))*3)+((COUNTIF('Elève (6ème2)'!CO11:CQ11,"C"))*2)+((COUNTIF('Elève (6ème2)'!CO11:CQ11,"D"))*1))/(COUNTA(CO11:CQ11)),"")</f>
        <v/>
      </c>
      <c r="CS11" s="113" t="str">
        <f t="shared" si="21"/>
        <v/>
      </c>
      <c r="CT11" s="84"/>
      <c r="CU11" s="85"/>
      <c r="CV11" s="86"/>
      <c r="CW11" s="112" t="str">
        <f>IFERROR((((COUNTIF('Elève (6ème2)'!CT11:CV11,"A"))*4)+((COUNTIF('Elève (6ème2)'!CT11:CV11,"B"))*3)+((COUNTIF('Elève (6ème2)'!CT11:CV11,"C"))*2)+((COUNTIF('Elève (6ème2)'!CT11:CV11,"D"))*1))/(COUNTA(CT11:CV11)),"")</f>
        <v/>
      </c>
      <c r="CX11" s="113" t="str">
        <f t="shared" si="22"/>
        <v/>
      </c>
      <c r="CY11" s="180" t="str">
        <f>IF(COUNT(CM11,CR11,CW11)=0,"",SUM(CM11,CR11,CW11)/COUNT(CM11,CR11,CW11))</f>
        <v/>
      </c>
      <c r="CZ11" s="133" t="str">
        <f t="shared" si="23"/>
        <v/>
      </c>
      <c r="DA11" s="159"/>
      <c r="DB11" s="160"/>
      <c r="DC11" s="161"/>
      <c r="DD11" s="112" t="str">
        <f>IFERROR((((COUNTIF('Elève (6ème2)'!DA11:DC11,"A"))*4)+((COUNTIF('Elève (6ème2)'!DA11:DC11,"B"))*3)+((COUNTIF('Elève (6ème2)'!DA11:DC11,"C"))*2)+((COUNTIF('Elève (6ème2)'!DA11:DC11,"D"))*1))/(COUNTA(DA11:DC11)),"")</f>
        <v/>
      </c>
      <c r="DE11" s="113" t="str">
        <f t="shared" si="24"/>
        <v/>
      </c>
      <c r="DF11" s="84"/>
      <c r="DG11" s="85"/>
      <c r="DH11" s="86"/>
      <c r="DI11" s="112" t="str">
        <f>IFERROR((((COUNTIF('Elève (6ème2)'!DF11:DH11,"A"))*4)+((COUNTIF('Elève (6ème2)'!DF11:DH11,"B"))*3)+((COUNTIF('Elève (6ème2)'!DF11:DH11,"C"))*2)+((COUNTIF('Elève (6ème2)'!DF11:DH11,"D"))*1))/(COUNTA(DF11:DH11)),"")</f>
        <v/>
      </c>
      <c r="DJ11" s="113" t="str">
        <f t="shared" si="25"/>
        <v/>
      </c>
      <c r="DK11" s="84"/>
      <c r="DL11" s="85"/>
      <c r="DM11" s="86"/>
      <c r="DN11" s="112" t="str">
        <f>IFERROR((((COUNTIF('Elève (6ème2)'!DK11:DM11,"A"))*4)+((COUNTIF('Elève (6ème2)'!DK11:DM11,"B"))*3)+((COUNTIF('Elève (6ème2)'!DK11:DM11,"C"))*2)+((COUNTIF('Elève (6ème2)'!DK11:DM11,"D"))*1))/(COUNTA(DK11:DM11)),"")</f>
        <v/>
      </c>
      <c r="DO11" s="113" t="str">
        <f t="shared" si="26"/>
        <v/>
      </c>
      <c r="DP11" s="180" t="str">
        <f>IF(COUNT(DD11,DI11,DN11)=0,"",SUM(DD11,DI11,DN11)/COUNT(DD11,DI11,DN11))</f>
        <v/>
      </c>
      <c r="DQ11" s="133" t="str">
        <f t="shared" si="27"/>
        <v/>
      </c>
      <c r="DR11" s="159"/>
      <c r="DS11" s="160"/>
      <c r="DT11" s="161"/>
      <c r="DU11" s="112" t="str">
        <f>IFERROR((((COUNTIF('Elève (6ème2)'!DR11:DT11,"A"))*4)+((COUNTIF('Elève (6ème2)'!DR11:DT11,"B"))*3)+((COUNTIF('Elève (6ème2)'!DR11:DT11,"C"))*2)+((COUNTIF('Elève (6ème2)'!DR11:DT11,"D"))*1))/(COUNTA(DR11:DT11)),"")</f>
        <v/>
      </c>
      <c r="DV11" s="113" t="str">
        <f t="shared" si="28"/>
        <v/>
      </c>
      <c r="DW11" s="84"/>
      <c r="DX11" s="85"/>
      <c r="DY11" s="86"/>
      <c r="DZ11" s="112" t="str">
        <f>IFERROR((((COUNTIF('Elève (6ème2)'!DW11:DY11,"A"))*4)+((COUNTIF('Elève (6ème2)'!DW11:DY11,"B"))*3)+((COUNTIF('Elève (6ème2)'!DW11:DY11,"C"))*2)+((COUNTIF('Elève (6ème2)'!DW11:DY11,"D"))*1))/(COUNTA(DW11:DY11)),"")</f>
        <v/>
      </c>
      <c r="EA11" s="113" t="str">
        <f t="shared" si="29"/>
        <v/>
      </c>
      <c r="EB11" s="84"/>
      <c r="EC11" s="85"/>
      <c r="ED11" s="86"/>
      <c r="EE11" s="112" t="str">
        <f>IFERROR((((COUNTIF('Elève (6ème2)'!EB11:ED11,"A"))*4)+((COUNTIF('Elève (6ème2)'!EB11:ED11,"B"))*3)+((COUNTIF('Elève (6ème2)'!EB11:ED11,"C"))*2)+((COUNTIF('Elève (6ème2)'!EB11:ED11,"D"))*1))/(COUNTA(EB11:ED11)),"")</f>
        <v/>
      </c>
      <c r="EF11" s="113" t="str">
        <f t="shared" si="30"/>
        <v/>
      </c>
      <c r="EG11" s="180" t="str">
        <f>IF(COUNT(DU11,DZ11,EE11)=0,"",SUM(DU11,DZ11,EE11)/COUNT(DU11,DZ11,EE11))</f>
        <v/>
      </c>
      <c r="EH11" s="133" t="str">
        <f t="shared" si="31"/>
        <v/>
      </c>
      <c r="EI11" s="159"/>
      <c r="EJ11" s="160"/>
      <c r="EK11" s="161"/>
      <c r="EL11" s="112" t="str">
        <f>IFERROR((((COUNTIF('Elève (6ème2)'!EI11:EK11,"A"))*4)+((COUNTIF('Elève (6ème2)'!EI11:EK11,"B"))*3)+((COUNTIF('Elève (6ème2)'!EI11:EK11,"C"))*2)+((COUNTIF('Elève (6ème2)'!EI11:EK11,"D"))*1))/(COUNTA(EI11:EK11)),"")</f>
        <v/>
      </c>
      <c r="EM11" s="113" t="str">
        <f t="shared" si="32"/>
        <v/>
      </c>
      <c r="EN11" s="84"/>
      <c r="EO11" s="85"/>
      <c r="EP11" s="86"/>
      <c r="EQ11" s="112" t="str">
        <f>IFERROR((((COUNTIF('Elève (6ème2)'!EN11:EP11,"A"))*4)+((COUNTIF('Elève (6ème2)'!EN11:EP11,"B"))*3)+((COUNTIF('Elève (6ème2)'!EN11:EP11,"C"))*2)+((COUNTIF('Elève (6ème2)'!EN11:EP11,"D"))*1))/(COUNTA(EN11:EP11)),"")</f>
        <v/>
      </c>
      <c r="ER11" s="113" t="str">
        <f t="shared" si="33"/>
        <v/>
      </c>
      <c r="ES11" s="84"/>
      <c r="ET11" s="85"/>
      <c r="EU11" s="86"/>
      <c r="EV11" s="112" t="str">
        <f>IFERROR((((COUNTIF('Elève (6ème2)'!ES11:EU11,"A"))*4)+((COUNTIF('Elève (6ème2)'!ES11:EU11,"B"))*3)+((COUNTIF('Elève (6ème2)'!ES11:EU11,"C"))*2)+((COUNTIF('Elève (6ème2)'!ES11:EU11,"D"))*1))/(COUNTA(ES11:EU11)),"")</f>
        <v/>
      </c>
      <c r="EW11" s="113" t="str">
        <f t="shared" si="34"/>
        <v/>
      </c>
      <c r="EX11" s="180" t="str">
        <f>IF(COUNT(EL11,EQ11,EV11)=0,"",SUM(EL11,EQ11,EV11)/COUNT(EL11,EQ11,EV11))</f>
        <v/>
      </c>
      <c r="EY11" s="133" t="str">
        <f t="shared" si="35"/>
        <v/>
      </c>
      <c r="EZ11" s="159"/>
      <c r="FA11" s="160"/>
      <c r="FB11" s="161"/>
      <c r="FC11" s="112" t="str">
        <f>IFERROR((((COUNTIF('Elève (6ème2)'!EZ11:FB11,"A"))*4)+((COUNTIF('Elève (6ème2)'!EZ11:FB11,"B"))*3)+((COUNTIF('Elève (6ème2)'!EZ11:FB11,"C"))*2)+((COUNTIF('Elève (6ème2)'!EZ11:FB11,"D"))*1))/(COUNTA(EZ11:FB11)),"")</f>
        <v/>
      </c>
      <c r="FD11" s="113" t="str">
        <f t="shared" si="36"/>
        <v/>
      </c>
      <c r="FE11" s="84"/>
      <c r="FF11" s="85"/>
      <c r="FG11" s="86"/>
      <c r="FH11" s="112" t="str">
        <f>IFERROR((((COUNTIF('Elève (6ème2)'!FE11:FG11,"A"))*4)+((COUNTIF('Elève (6ème2)'!FE11:FG11,"B"))*3)+((COUNTIF('Elève (6ème2)'!FE11:FG11,"C"))*2)+((COUNTIF('Elève (6ème2)'!FE11:FG11,"D"))*1))/(COUNTA(FE11:FG11)),"")</f>
        <v/>
      </c>
      <c r="FI11" s="113" t="str">
        <f t="shared" si="37"/>
        <v/>
      </c>
      <c r="FJ11" s="84"/>
      <c r="FK11" s="85"/>
      <c r="FL11" s="86"/>
      <c r="FM11" s="112" t="str">
        <f>IFERROR((((COUNTIF('Elève (6ème2)'!FJ11:FL11,"A"))*4)+((COUNTIF('Elève (6ème2)'!FJ11:FL11,"B"))*3)+((COUNTIF('Elève (6ème2)'!FJ11:FL11,"C"))*2)+((COUNTIF('Elève (6ème2)'!FJ11:FL11,"D"))*1))/(COUNTA(FJ11:FL11)),"")</f>
        <v/>
      </c>
      <c r="FN11" s="113" t="str">
        <f t="shared" si="38"/>
        <v/>
      </c>
      <c r="FO11" s="180" t="str">
        <f>IF(COUNT(FC11,FH11,FM11)=0,"",SUM(FC11,FH11,FM11)/COUNT(FC11,FH11,FM11))</f>
        <v/>
      </c>
      <c r="FP11" s="133" t="str">
        <f t="shared" si="39"/>
        <v/>
      </c>
      <c r="FQ11" s="159"/>
      <c r="FR11" s="160"/>
      <c r="FS11" s="161"/>
      <c r="FT11" s="112" t="str">
        <f>IFERROR((((COUNTIF('Elève (6ème2)'!FQ11:FS11,"A"))*4)+((COUNTIF('Elève (6ème2)'!FQ11:FS11,"B"))*3)+((COUNTIF('Elève (6ème2)'!FQ11:FS11,"C"))*2)+((COUNTIF('Elève (6ème2)'!FQ11:FS11,"D"))*1))/(COUNTA(FQ11:FS11)),"")</f>
        <v/>
      </c>
      <c r="FU11" s="113" t="str">
        <f t="shared" si="40"/>
        <v/>
      </c>
      <c r="FV11" s="84"/>
      <c r="FW11" s="85"/>
      <c r="FX11" s="86"/>
      <c r="FY11" s="112" t="str">
        <f>IFERROR((((COUNTIF('Elève (6ème2)'!FV11:FX11,"A"))*4)+((COUNTIF('Elève (6ème2)'!FV11:FX11,"B"))*3)+((COUNTIF('Elève (6ème2)'!FV11:FX11,"C"))*2)+((COUNTIF('Elève (6ème2)'!FV11:FX11,"D"))*1))/(COUNTA(FV11:FX11)),"")</f>
        <v/>
      </c>
      <c r="FZ11" s="113" t="str">
        <f t="shared" si="41"/>
        <v/>
      </c>
      <c r="GA11" s="84"/>
      <c r="GB11" s="85"/>
      <c r="GC11" s="86"/>
      <c r="GD11" s="112" t="str">
        <f>IFERROR((((COUNTIF('Elève (6ème2)'!GA11:GC11,"A"))*4)+((COUNTIF('Elève (6ème2)'!GA11:GC11,"B"))*3)+((COUNTIF('Elève (6ème2)'!GA11:GC11,"C"))*2)+((COUNTIF('Elève (6ème2)'!GA11:GC11,"D"))*1))/(COUNTA(GA11:GC11)),"")</f>
        <v/>
      </c>
      <c r="GE11" s="113" t="str">
        <f t="shared" si="42"/>
        <v/>
      </c>
      <c r="GF11" s="180" t="str">
        <f>IF(COUNT(FT11,FY11,GD11)=0,"",SUM(FT11,FY11,GD11)/COUNT(FT11,FY11,GD11))</f>
        <v/>
      </c>
      <c r="GG11" s="133" t="str">
        <f t="shared" si="43"/>
        <v/>
      </c>
      <c r="GH11" s="159"/>
      <c r="GI11" s="160"/>
      <c r="GJ11" s="161"/>
      <c r="GK11" s="112" t="str">
        <f>IFERROR((((COUNTIF('Elève (6ème2)'!GH11:GJ11,"A"))*4)+((COUNTIF('Elève (6ème2)'!GH11:GJ11,"B"))*3)+((COUNTIF('Elève (6ème2)'!GH11:GJ11,"C"))*2)+((COUNTIF('Elève (6ème2)'!GH11:GJ11,"D"))*1))/(COUNTA(GH11:GJ11)),"")</f>
        <v/>
      </c>
      <c r="GL11" s="113" t="str">
        <f t="shared" si="44"/>
        <v/>
      </c>
      <c r="GM11" s="84"/>
      <c r="GN11" s="85"/>
      <c r="GO11" s="86"/>
      <c r="GP11" s="112" t="str">
        <f>IFERROR((((COUNTIF('Elève (6ème2)'!GM11:GO11,"A"))*4)+((COUNTIF('Elève (6ème2)'!GM11:GO11,"B"))*3)+((COUNTIF('Elève (6ème2)'!GM11:GO11,"C"))*2)+((COUNTIF('Elève (6ème2)'!GM11:GO11,"D"))*1))/(COUNTA(GM11:GO11)),"")</f>
        <v/>
      </c>
      <c r="GQ11" s="113" t="str">
        <f t="shared" si="45"/>
        <v/>
      </c>
      <c r="GR11" s="84"/>
      <c r="GS11" s="85"/>
      <c r="GT11" s="86"/>
      <c r="GU11" s="112" t="str">
        <f>IFERROR((((COUNTIF('Elève (6ème2)'!GR11:GT11,"A"))*4)+((COUNTIF('Elève (6ème2)'!GR11:GT11,"B"))*3)+((COUNTIF('Elève (6ème2)'!GR11:GT11,"C"))*2)+((COUNTIF('Elève (6ème2)'!GR11:GT11,"D"))*1))/(COUNTA(GR11:GT11)),"")</f>
        <v/>
      </c>
      <c r="GV11" s="113" t="str">
        <f t="shared" si="46"/>
        <v/>
      </c>
      <c r="GW11" s="180" t="str">
        <f>IF(COUNT(GK11,GP11,GU11)=0,"",SUM(GK11,GP11,GU11)/COUNT(GK11,GP11,GU11))</f>
        <v/>
      </c>
      <c r="GX11" s="133" t="str">
        <f t="shared" si="47"/>
        <v/>
      </c>
      <c r="GY11" s="159"/>
      <c r="GZ11" s="160"/>
      <c r="HA11" s="161"/>
      <c r="HB11" s="112" t="str">
        <f>IFERROR((((COUNTIF('Elève (6ème2)'!GY11:HA11,"A"))*4)+((COUNTIF('Elève (6ème2)'!GY11:HA11,"B"))*3)+((COUNTIF('Elève (6ème2)'!GY11:HA11,"C"))*2)+((COUNTIF('Elève (6ème2)'!GY11:HA11,"D"))*1))/(COUNTA(GY11:HA11)),"")</f>
        <v/>
      </c>
      <c r="HC11" s="113" t="str">
        <f t="shared" si="48"/>
        <v/>
      </c>
      <c r="HD11" s="84"/>
      <c r="HE11" s="85"/>
      <c r="HF11" s="86"/>
      <c r="HG11" s="112" t="str">
        <f>IFERROR((((COUNTIF('Elève (6ème2)'!HD11:HF11,"A"))*4)+((COUNTIF('Elève (6ème2)'!HD11:HF11,"B"))*3)+((COUNTIF('Elève (6ème2)'!HD11:HF11,"C"))*2)+((COUNTIF('Elève (6ème2)'!HD11:HF11,"D"))*1))/(COUNTA(HD11:HF11)),"")</f>
        <v/>
      </c>
      <c r="HH11" s="113" t="str">
        <f t="shared" si="49"/>
        <v/>
      </c>
      <c r="HI11" s="84"/>
      <c r="HJ11" s="85"/>
      <c r="HK11" s="86"/>
      <c r="HL11" s="112" t="str">
        <f>IFERROR((((COUNTIF('Elève (6ème2)'!HI11:HK11,"A"))*4)+((COUNTIF('Elève (6ème2)'!HI11:HK11,"B"))*3)+((COUNTIF('Elève (6ème2)'!HI11:HK11,"C"))*2)+((COUNTIF('Elève (6ème2)'!HI11:HK11,"D"))*1))/(COUNTA(HI11:HK11)),"")</f>
        <v/>
      </c>
      <c r="HM11" s="113" t="str">
        <f t="shared" si="50"/>
        <v/>
      </c>
      <c r="HN11" s="180" t="str">
        <f>IF(COUNT(HB11,HG11,HL11)=0,"",SUM(HB11,HG11,HL11)/COUNT(HB11,HG11,HL11))</f>
        <v/>
      </c>
      <c r="HO11" s="133" t="str">
        <f t="shared" si="51"/>
        <v/>
      </c>
      <c r="HP11" s="159"/>
      <c r="HQ11" s="160"/>
      <c r="HR11" s="161"/>
      <c r="HS11" s="112" t="str">
        <f>IFERROR((((COUNTIF('Elève (6ème2)'!HP11:HR11,"A"))*4)+((COUNTIF('Elève (6ème2)'!HP11:HR11,"B"))*3)+((COUNTIF('Elève (6ème2)'!HP11:HR11,"C"))*2)+((COUNTIF('Elève (6ème2)'!HP11:HR11,"D"))*1))/(COUNTA(HP11:HR11)),"")</f>
        <v/>
      </c>
      <c r="HT11" s="113" t="str">
        <f t="shared" si="52"/>
        <v/>
      </c>
      <c r="HU11" s="84"/>
      <c r="HV11" s="85"/>
      <c r="HW11" s="86"/>
      <c r="HX11" s="112" t="str">
        <f>IFERROR((((COUNTIF('Elève (6ème2)'!HU11:HW11,"A"))*4)+((COUNTIF('Elève (6ème2)'!HU11:HW11,"B"))*3)+((COUNTIF('Elève (6ème2)'!HU11:HW11,"C"))*2)+((COUNTIF('Elève (6ème2)'!HU11:HW11,"D"))*1))/(COUNTA(HU11:HW11)),"")</f>
        <v/>
      </c>
      <c r="HY11" s="113" t="str">
        <f t="shared" si="53"/>
        <v/>
      </c>
      <c r="HZ11" s="84"/>
      <c r="IA11" s="85"/>
      <c r="IB11" s="86"/>
      <c r="IC11" s="112" t="str">
        <f>IFERROR((((COUNTIF('Elève (6ème2)'!HZ11:IB11,"A"))*4)+((COUNTIF('Elève (6ème2)'!HZ11:IB11,"B"))*3)+((COUNTIF('Elève (6ème2)'!HZ11:IB11,"C"))*2)+((COUNTIF('Elève (6ème2)'!HZ11:IB11,"D"))*1))/(COUNTA(HZ11:IB11)),"")</f>
        <v/>
      </c>
      <c r="ID11" s="113" t="str">
        <f t="shared" si="54"/>
        <v/>
      </c>
      <c r="IE11" s="180" t="str">
        <f>IF(COUNT(HS11,HX11,IC11)=0,"",SUM(HS11,HX11,IC11)/COUNT(HS11,HX11,IC11))</f>
        <v/>
      </c>
      <c r="IF11" s="133" t="str">
        <f t="shared" si="55"/>
        <v/>
      </c>
      <c r="IG11" s="159"/>
      <c r="IH11" s="160"/>
      <c r="II11" s="161"/>
      <c r="IJ11" s="112" t="str">
        <f>IFERROR((((COUNTIF('Elève (6ème2)'!IG11:II11,"A"))*4)+((COUNTIF('Elève (6ème2)'!IG11:II11,"B"))*3)+((COUNTIF('Elève (6ème2)'!IG11:II11,"C"))*2)+((COUNTIF('Elève (6ème2)'!IG11:II11,"D"))*1))/(COUNTA(IG11:II11)),"")</f>
        <v/>
      </c>
      <c r="IK11" s="113" t="str">
        <f t="shared" si="56"/>
        <v/>
      </c>
      <c r="IL11" s="84"/>
      <c r="IM11" s="85"/>
      <c r="IN11" s="86"/>
      <c r="IO11" s="112" t="str">
        <f>IFERROR((((COUNTIF('Elève (6ème2)'!IL11:IN11,"A"))*4)+((COUNTIF('Elève (6ème2)'!IL11:IN11,"B"))*3)+((COUNTIF('Elève (6ème2)'!IL11:IN11,"C"))*2)+((COUNTIF('Elève (6ème2)'!IL11:IN11,"D"))*1))/(COUNTA(IL11:IN11)),"")</f>
        <v/>
      </c>
      <c r="IP11" s="113" t="str">
        <f t="shared" si="57"/>
        <v/>
      </c>
      <c r="IQ11" s="84"/>
      <c r="IR11" s="85"/>
      <c r="IS11" s="86"/>
      <c r="IT11" s="112" t="str">
        <f>IFERROR((((COUNTIF('Elève (6ème2)'!IQ11:IS11,"A"))*4)+((COUNTIF('Elève (6ème2)'!IQ11:IS11,"B"))*3)+((COUNTIF('Elève (6ème2)'!IQ11:IS11,"C"))*2)+((COUNTIF('Elève (6ème2)'!IQ11:IS11,"D"))*1))/(COUNTA(IQ11:IS11)),"")</f>
        <v/>
      </c>
      <c r="IU11" s="113" t="str">
        <f t="shared" si="58"/>
        <v/>
      </c>
      <c r="IV11" s="180" t="str">
        <f>IF(COUNT(IJ11,IO11,IT11)=0,"",SUM(IJ11,IO11,IT11)/COUNT(IJ11,IO11,IT11))</f>
        <v/>
      </c>
      <c r="IW11" s="133" t="str">
        <f t="shared" si="59"/>
        <v/>
      </c>
      <c r="IX11" s="159"/>
      <c r="IY11" s="160"/>
      <c r="IZ11" s="161"/>
      <c r="JA11" s="112" t="str">
        <f>IFERROR((((COUNTIF('Elève (6ème2)'!IX11:IZ11,"A"))*4)+((COUNTIF('Elève (6ème2)'!IX11:IZ11,"B"))*3)+((COUNTIF('Elève (6ème2)'!IX11:IZ11,"C"))*2)+((COUNTIF('Elève (6ème2)'!IX11:IZ11,"D"))*1))/(COUNTA(IX11:IZ11)),"")</f>
        <v/>
      </c>
      <c r="JB11" s="113" t="str">
        <f t="shared" si="60"/>
        <v/>
      </c>
      <c r="JC11" s="84"/>
      <c r="JD11" s="85"/>
      <c r="JE11" s="86"/>
      <c r="JF11" s="112" t="str">
        <f>IFERROR((((COUNTIF('Elève (6ème2)'!JC11:JE11,"A"))*4)+((COUNTIF('Elève (6ème2)'!JC11:JE11,"B"))*3)+((COUNTIF('Elève (6ème2)'!JC11:JE11,"C"))*2)+((COUNTIF('Elève (6ème2)'!JC11:JE11,"D"))*1))/(COUNTA(JC11:JE11)),"")</f>
        <v/>
      </c>
      <c r="JG11" s="113" t="str">
        <f t="shared" si="61"/>
        <v/>
      </c>
      <c r="JH11" s="84"/>
      <c r="JI11" s="85"/>
      <c r="JJ11" s="86"/>
      <c r="JK11" s="112" t="str">
        <f>IFERROR((((COUNTIF('Elève (6ème2)'!JH11:JJ11,"A"))*4)+((COUNTIF('Elève (6ème2)'!JH11:JJ11,"B"))*3)+((COUNTIF('Elève (6ème2)'!JH11:JJ11,"C"))*2)+((COUNTIF('Elève (6ème2)'!JH11:JJ11,"D"))*1))/(COUNTA(JH11:JJ11)),"")</f>
        <v/>
      </c>
      <c r="JL11" s="113" t="str">
        <f t="shared" si="62"/>
        <v/>
      </c>
      <c r="JM11" s="180" t="str">
        <f>IF(COUNT(JA11,JF11,JK11)=0,"",SUM(JA11,JF11,JK11)/COUNT(JA11,JF11,JK11))</f>
        <v/>
      </c>
      <c r="JN11" s="133" t="str">
        <f t="shared" si="63"/>
        <v/>
      </c>
      <c r="JO11" s="159"/>
      <c r="JP11" s="160"/>
      <c r="JQ11" s="161"/>
      <c r="JR11" s="112" t="str">
        <f>IFERROR((((COUNTIF('Elève (6ème2)'!JO11:JQ11,"A"))*4)+((COUNTIF('Elève (6ème2)'!JO11:JQ11,"B"))*3)+((COUNTIF('Elève (6ème2)'!JO11:JQ11,"C"))*2)+((COUNTIF('Elève (6ème2)'!JO11:JQ11,"D"))*1))/(COUNTA(JO11:JQ11)),"")</f>
        <v/>
      </c>
      <c r="JS11" s="113" t="str">
        <f t="shared" si="64"/>
        <v/>
      </c>
      <c r="JT11" s="84"/>
      <c r="JU11" s="85"/>
      <c r="JV11" s="86"/>
      <c r="JW11" s="112" t="str">
        <f>IFERROR((((COUNTIF('Elève (6ème2)'!JT11:JV11,"A"))*4)+((COUNTIF('Elève (6ème2)'!JT11:JV11,"B"))*3)+((COUNTIF('Elève (6ème2)'!JT11:JV11,"C"))*2)+((COUNTIF('Elève (6ème2)'!JT11:JV11,"D"))*1))/(COUNTA(JT11:JV11)),"")</f>
        <v/>
      </c>
      <c r="JX11" s="113" t="str">
        <f t="shared" si="65"/>
        <v/>
      </c>
      <c r="JY11" s="84"/>
      <c r="JZ11" s="85"/>
      <c r="KA11" s="86"/>
      <c r="KB11" s="112" t="str">
        <f>IFERROR((((COUNTIF('Elève (6ème2)'!JY11:KA11,"A"))*4)+((COUNTIF('Elève (6ème2)'!JY11:KA11,"B"))*3)+((COUNTIF('Elève (6ème2)'!JY11:KA11,"C"))*2)+((COUNTIF('Elève (6ème2)'!JY11:KA11,"D"))*1))/(COUNTA(JY11:KA11)),"")</f>
        <v/>
      </c>
      <c r="KC11" s="113" t="str">
        <f t="shared" si="66"/>
        <v/>
      </c>
      <c r="KD11" s="180" t="str">
        <f>IF(COUNT(JR11,JW11,KB11)=0,"",SUM(JR11,JW11,KB11)/COUNT(JR11,JW11,KB11))</f>
        <v/>
      </c>
      <c r="KE11" s="133" t="str">
        <f t="shared" si="67"/>
        <v/>
      </c>
      <c r="KF11" s="159"/>
      <c r="KG11" s="160"/>
      <c r="KH11" s="161"/>
      <c r="KI11" s="112" t="str">
        <f>IFERROR((((COUNTIF('Elève (6ème2)'!KF11:KH11,"A"))*4)+((COUNTIF('Elève (6ème2)'!KF11:KH11,"B"))*3)+((COUNTIF('Elève (6ème2)'!KF11:KH11,"C"))*2)+((COUNTIF('Elève (6ème2)'!KF11:KH11,"D"))*1))/(COUNTA(KF11:KH11)),"")</f>
        <v/>
      </c>
      <c r="KJ11" s="113" t="str">
        <f t="shared" si="68"/>
        <v/>
      </c>
      <c r="KK11" s="84"/>
      <c r="KL11" s="85"/>
      <c r="KM11" s="86"/>
      <c r="KN11" s="112" t="str">
        <f>IFERROR((((COUNTIF('Elève (6ème2)'!KK11:KM11,"A"))*4)+((COUNTIF('Elève (6ème2)'!KK11:KM11,"B"))*3)+((COUNTIF('Elève (6ème2)'!KK11:KM11,"C"))*2)+((COUNTIF('Elève (6ème2)'!KK11:KM11,"D"))*1))/(COUNTA(KK11:KM11)),"")</f>
        <v/>
      </c>
      <c r="KO11" s="113" t="str">
        <f t="shared" si="69"/>
        <v/>
      </c>
      <c r="KP11" s="84"/>
      <c r="KQ11" s="85"/>
      <c r="KR11" s="86"/>
      <c r="KS11" s="112" t="str">
        <f>IFERROR((((COUNTIF('Elève (6ème2)'!KP11:KR11,"A"))*4)+((COUNTIF('Elève (6ème2)'!KP11:KR11,"B"))*3)+((COUNTIF('Elève (6ème2)'!KP11:KR11,"C"))*2)+((COUNTIF('Elève (6ème2)'!KP11:KR11,"D"))*1))/(COUNTA(KP11:KR11)),"")</f>
        <v/>
      </c>
      <c r="KT11" s="113" t="str">
        <f t="shared" si="70"/>
        <v/>
      </c>
      <c r="KU11" s="180" t="str">
        <f>IF(COUNT(KI11,KN11,KS11)=0,"",SUM(KI11,KN11,KS11)/COUNT(KI11,KN11,KS11))</f>
        <v/>
      </c>
      <c r="KV11" s="133" t="str">
        <f t="shared" si="71"/>
        <v/>
      </c>
      <c r="KW11" s="159"/>
      <c r="KX11" s="160"/>
      <c r="KY11" s="161"/>
      <c r="KZ11" s="112" t="str">
        <f>IFERROR((((COUNTIF('Elève (6ème2)'!KW11:KY11,"A"))*4)+((COUNTIF('Elève (6ème2)'!KW11:KY11,"B"))*3)+((COUNTIF('Elève (6ème2)'!KW11:KY11,"C"))*2)+((COUNTIF('Elève (6ème2)'!KW11:KY11,"D"))*1))/(COUNTA(KW11:KY11)),"")</f>
        <v/>
      </c>
      <c r="LA11" s="113" t="str">
        <f t="shared" si="72"/>
        <v/>
      </c>
      <c r="LB11" s="84"/>
      <c r="LC11" s="85"/>
      <c r="LD11" s="86"/>
      <c r="LE11" s="112" t="str">
        <f>IFERROR((((COUNTIF('Elève (6ème2)'!LB11:LD11,"A"))*4)+((COUNTIF('Elève (6ème2)'!LB11:LD11,"B"))*3)+((COUNTIF('Elève (6ème2)'!LB11:LD11,"C"))*2)+((COUNTIF('Elève (6ème2)'!LB11:LD11,"D"))*1))/(COUNTA(LB11:LD11)),"")</f>
        <v/>
      </c>
      <c r="LF11" s="113" t="str">
        <f t="shared" si="73"/>
        <v/>
      </c>
      <c r="LG11" s="84"/>
      <c r="LH11" s="85"/>
      <c r="LI11" s="86"/>
      <c r="LJ11" s="112" t="str">
        <f>IFERROR((((COUNTIF('Elève (6ème2)'!LG11:LI11,"A"))*4)+((COUNTIF('Elève (6ème2)'!LG11:LI11,"B"))*3)+((COUNTIF('Elève (6ème2)'!LG11:LI11,"C"))*2)+((COUNTIF('Elève (6ème2)'!LG11:LI11,"D"))*1))/(COUNTA(LG11:LI11)),"")</f>
        <v/>
      </c>
      <c r="LK11" s="113" t="str">
        <f t="shared" si="74"/>
        <v/>
      </c>
      <c r="LL11" s="180" t="str">
        <f>IF(COUNT(KZ11,LE11,LJ11)=0,"",SUM(KZ11,LE11,LJ11)/COUNT(KZ11,LE11,LJ11))</f>
        <v/>
      </c>
      <c r="LM11" s="133" t="str">
        <f t="shared" si="75"/>
        <v/>
      </c>
      <c r="LN11" s="159"/>
      <c r="LO11" s="160"/>
      <c r="LP11" s="161"/>
      <c r="LQ11" s="112" t="str">
        <f>IFERROR((((COUNTIF('Elève (6ème2)'!LN11:LP11,"A"))*4)+((COUNTIF('Elève (6ème2)'!LN11:LP11,"B"))*3)+((COUNTIF('Elève (6ème2)'!LN11:LP11,"C"))*2)+((COUNTIF('Elève (6ème2)'!LN11:LP11,"D"))*1))/(COUNTA(LN11:LP11)),"")</f>
        <v/>
      </c>
      <c r="LR11" s="113" t="str">
        <f t="shared" si="76"/>
        <v/>
      </c>
      <c r="LS11" s="84"/>
      <c r="LT11" s="85"/>
      <c r="LU11" s="86"/>
      <c r="LV11" s="112" t="str">
        <f>IFERROR((((COUNTIF('Elève (6ème2)'!LS11:LU11,"A"))*4)+((COUNTIF('Elève (6ème2)'!LS11:LU11,"B"))*3)+((COUNTIF('Elève (6ème2)'!LS11:LU11,"C"))*2)+((COUNTIF('Elève (6ème2)'!LS11:LU11,"D"))*1))/(COUNTA(LS11:LU11)),"")</f>
        <v/>
      </c>
      <c r="LW11" s="113" t="str">
        <f t="shared" si="77"/>
        <v/>
      </c>
      <c r="LX11" s="84"/>
      <c r="LY11" s="85"/>
      <c r="LZ11" s="86"/>
      <c r="MA11" s="112" t="str">
        <f>IFERROR((((COUNTIF('Elève (6ème2)'!LX11:LZ11,"A"))*4)+((COUNTIF('Elève (6ème2)'!LX11:LZ11,"B"))*3)+((COUNTIF('Elève (6ème2)'!LX11:LZ11,"C"))*2)+((COUNTIF('Elève (6ème2)'!LX11:LZ11,"D"))*1))/(COUNTA(LX11:LZ11)),"")</f>
        <v/>
      </c>
      <c r="MB11" s="113" t="str">
        <f t="shared" si="78"/>
        <v/>
      </c>
      <c r="MC11" s="180" t="str">
        <f>IF(COUNT(LQ11,LV11,MA11)=0,"",SUM(LQ11,LV11,MA11)/COUNT(LQ11,LV11,MA11))</f>
        <v/>
      </c>
      <c r="MD11" s="133" t="str">
        <f t="shared" si="79"/>
        <v/>
      </c>
      <c r="ME11" s="159"/>
      <c r="MF11" s="160"/>
      <c r="MG11" s="161"/>
      <c r="MH11" s="112" t="str">
        <f>IFERROR((((COUNTIF('Elève (6ème2)'!ME11:MG11,"A"))*4)+((COUNTIF('Elève (6ème2)'!ME11:MG11,"B"))*3)+((COUNTIF('Elève (6ème2)'!ME11:MG11,"C"))*2)+((COUNTIF('Elève (6ème2)'!ME11:MG11,"D"))*1))/(COUNTA(ME11:MG11)),"")</f>
        <v/>
      </c>
      <c r="MI11" s="113" t="str">
        <f t="shared" si="80"/>
        <v/>
      </c>
      <c r="MJ11" s="84"/>
      <c r="MK11" s="85"/>
      <c r="ML11" s="86"/>
      <c r="MM11" s="112" t="str">
        <f>IFERROR((((COUNTIF('Elève (6ème2)'!MJ11:ML11,"A"))*4)+((COUNTIF('Elève (6ème2)'!MJ11:ML11,"B"))*3)+((COUNTIF('Elève (6ème2)'!MJ11:ML11,"C"))*2)+((COUNTIF('Elève (6ème2)'!MJ11:ML11,"D"))*1))/(COUNTA(MJ11:ML11)),"")</f>
        <v/>
      </c>
      <c r="MN11" s="113" t="str">
        <f t="shared" si="81"/>
        <v/>
      </c>
      <c r="MO11" s="84"/>
      <c r="MP11" s="85"/>
      <c r="MQ11" s="86"/>
      <c r="MR11" s="112" t="str">
        <f>IFERROR((((COUNTIF('Elève (6ème2)'!MO11:MQ11,"A"))*4)+((COUNTIF('Elève (6ème2)'!MO11:MQ11,"B"))*3)+((COUNTIF('Elève (6ème2)'!MO11:MQ11,"C"))*2)+((COUNTIF('Elève (6ème2)'!MO11:MQ11,"D"))*1))/(COUNTA(MO11:MQ11)),"")</f>
        <v/>
      </c>
      <c r="MS11" s="113" t="str">
        <f t="shared" si="82"/>
        <v/>
      </c>
      <c r="MT11" s="180" t="str">
        <f>IF(COUNT(MH11,MM11,MR11)=0,"",SUM(MH11,MM11,MR11)/COUNT(MH11,MM11,MR11))</f>
        <v/>
      </c>
      <c r="MU11" s="133" t="str">
        <f t="shared" si="83"/>
        <v/>
      </c>
      <c r="MV11" s="159"/>
      <c r="MW11" s="160"/>
      <c r="MX11" s="161"/>
      <c r="MY11" s="112" t="str">
        <f>IFERROR((((COUNTIF('Elève (6ème2)'!MV11:MX11,"A"))*4)+((COUNTIF('Elève (6ème2)'!MV11:MX11,"B"))*3)+((COUNTIF('Elève (6ème2)'!MV11:MX11,"C"))*2)+((COUNTIF('Elève (6ème2)'!MV11:MX11,"D"))*1))/(COUNTA(MV11:MX11)),"")</f>
        <v/>
      </c>
      <c r="MZ11" s="113" t="str">
        <f t="shared" si="84"/>
        <v/>
      </c>
      <c r="NA11" s="84"/>
      <c r="NB11" s="85"/>
      <c r="NC11" s="86"/>
      <c r="ND11" s="112" t="str">
        <f>IFERROR((((COUNTIF('Elève (6ème2)'!NA11:NC11,"A"))*4)+((COUNTIF('Elève (6ème2)'!NA11:NC11,"B"))*3)+((COUNTIF('Elève (6ème2)'!NA11:NC11,"C"))*2)+((COUNTIF('Elève (6ème2)'!NA11:NC11,"D"))*1))/(COUNTA(NA11:NC11)),"")</f>
        <v/>
      </c>
      <c r="NE11" s="113" t="str">
        <f t="shared" si="85"/>
        <v/>
      </c>
      <c r="NF11" s="84"/>
      <c r="NG11" s="85"/>
      <c r="NH11" s="86"/>
      <c r="NI11" s="112" t="str">
        <f>IFERROR((((COUNTIF('Elève (6ème2)'!NF11:NH11,"A"))*4)+((COUNTIF('Elève (6ème2)'!NF11:NH11,"B"))*3)+((COUNTIF('Elève (6ème2)'!NF11:NH11,"C"))*2)+((COUNTIF('Elève (6ème2)'!NF11:NH11,"D"))*1))/(COUNTA(NF11:NH11)),"")</f>
        <v/>
      </c>
      <c r="NJ11" s="113" t="str">
        <f t="shared" si="86"/>
        <v/>
      </c>
      <c r="NK11" s="180" t="str">
        <f>IF(COUNT(MY11,ND11,NI11)=0,"",SUM(MY11,ND11,NI11)/COUNT(MY11,ND11,NI11))</f>
        <v/>
      </c>
      <c r="NL11" s="133" t="str">
        <f t="shared" si="87"/>
        <v/>
      </c>
      <c r="NM11" s="159"/>
      <c r="NN11" s="160"/>
      <c r="NO11" s="161"/>
      <c r="NP11" s="112" t="str">
        <f>IFERROR((((COUNTIF('Elève (6ème2)'!NM11:NO11,"A"))*4)+((COUNTIF('Elève (6ème2)'!NM11:NO11,"B"))*3)+((COUNTIF('Elève (6ème2)'!NM11:NO11,"C"))*2)+((COUNTIF('Elève (6ème2)'!NM11:NO11,"D"))*1))/(COUNTA(NM11:NO11)),"")</f>
        <v/>
      </c>
      <c r="NQ11" s="113" t="str">
        <f t="shared" si="88"/>
        <v/>
      </c>
      <c r="NR11" s="84"/>
      <c r="NS11" s="85"/>
      <c r="NT11" s="86"/>
      <c r="NU11" s="112" t="str">
        <f>IFERROR((((COUNTIF('Elève (6ème2)'!NR11:NT11,"A"))*4)+((COUNTIF('Elève (6ème2)'!NR11:NT11,"B"))*3)+((COUNTIF('Elève (6ème2)'!NR11:NT11,"C"))*2)+((COUNTIF('Elève (6ème2)'!NR11:NT11,"D"))*1))/(COUNTA(NR11:NT11)),"")</f>
        <v/>
      </c>
      <c r="NV11" s="113" t="str">
        <f t="shared" si="89"/>
        <v/>
      </c>
      <c r="NW11" s="84"/>
      <c r="NX11" s="85"/>
      <c r="NY11" s="86"/>
      <c r="NZ11" s="112" t="str">
        <f>IFERROR((((COUNTIF('Elève (6ème2)'!NW11:NY11,"A"))*4)+((COUNTIF('Elève (6ème2)'!NW11:NY11,"B"))*3)+((COUNTIF('Elève (6ème2)'!NW11:NY11,"C"))*2)+((COUNTIF('Elève (6ème2)'!NW11:NY11,"D"))*1))/(COUNTA(NW11:NY11)),"")</f>
        <v/>
      </c>
      <c r="OA11" s="113" t="str">
        <f t="shared" si="90"/>
        <v/>
      </c>
      <c r="OB11" s="180" t="str">
        <f>IF(COUNT(NP11,NU11,NZ11)=0,"",SUM(NP11,NU11,NZ11)/COUNT(NP11,NU11,NZ11))</f>
        <v/>
      </c>
      <c r="OC11" s="133" t="str">
        <f t="shared" si="91"/>
        <v/>
      </c>
      <c r="OD11" s="159"/>
      <c r="OE11" s="160"/>
      <c r="OF11" s="161"/>
      <c r="OG11" s="112" t="str">
        <f>IFERROR((((COUNTIF('Elève (6ème2)'!OD11:OF11,"A"))*4)+((COUNTIF('Elève (6ème2)'!OD11:OF11,"B"))*3)+((COUNTIF('Elève (6ème2)'!OD11:OF11,"C"))*2)+((COUNTIF('Elève (6ème2)'!OD11:OF11,"D"))*1))/(COUNTA(OD11:OF11)),"")</f>
        <v/>
      </c>
      <c r="OH11" s="113" t="str">
        <f t="shared" si="92"/>
        <v/>
      </c>
      <c r="OI11" s="84"/>
      <c r="OJ11" s="85"/>
      <c r="OK11" s="86"/>
      <c r="OL11" s="112" t="str">
        <f>IFERROR((((COUNTIF('Elève (6ème2)'!OI11:OK11,"A"))*4)+((COUNTIF('Elève (6ème2)'!OI11:OK11,"B"))*3)+((COUNTIF('Elève (6ème2)'!OI11:OK11,"C"))*2)+((COUNTIF('Elève (6ème2)'!OI11:OK11,"D"))*1))/(COUNTA(OI11:OK11)),"")</f>
        <v/>
      </c>
      <c r="OM11" s="113" t="str">
        <f t="shared" si="93"/>
        <v/>
      </c>
      <c r="ON11" s="84"/>
      <c r="OO11" s="85"/>
      <c r="OP11" s="86"/>
      <c r="OQ11" s="112" t="str">
        <f>IFERROR((((COUNTIF('Elève (6ème2)'!ON11:OP11,"A"))*4)+((COUNTIF('Elève (6ème2)'!ON11:OP11,"B"))*3)+((COUNTIF('Elève (6ème2)'!ON11:OP11,"C"))*2)+((COUNTIF('Elève (6ème2)'!ON11:OP11,"D"))*1))/(COUNTA(ON11:OP11)),"")</f>
        <v/>
      </c>
      <c r="OR11" s="113" t="str">
        <f t="shared" si="94"/>
        <v/>
      </c>
      <c r="OS11" s="180" t="str">
        <f>IF(COUNT(OG11,OL11,OQ11)=0,"",SUM(OG11,OL11,OQ11)/COUNT(OG11,OL11,OQ11))</f>
        <v/>
      </c>
      <c r="OT11" s="133" t="str">
        <f t="shared" si="95"/>
        <v/>
      </c>
      <c r="OU11" s="159"/>
      <c r="OV11" s="160"/>
      <c r="OW11" s="161"/>
      <c r="OX11" s="112" t="str">
        <f>IFERROR((((COUNTIF('Elève (6ème2)'!OU11:OW11,"A"))*4)+((COUNTIF('Elève (6ème2)'!OU11:OW11,"B"))*3)+((COUNTIF('Elève (6ème2)'!OU11:OW11,"C"))*2)+((COUNTIF('Elève (6ème2)'!OU11:OW11,"D"))*1))/(COUNTA(OU11:OW11)),"")</f>
        <v/>
      </c>
      <c r="OY11" s="113" t="str">
        <f t="shared" si="96"/>
        <v/>
      </c>
      <c r="OZ11" s="84"/>
      <c r="PA11" s="85"/>
      <c r="PB11" s="86"/>
      <c r="PC11" s="112" t="str">
        <f>IFERROR((((COUNTIF('Elève (6ème2)'!OZ11:PB11,"A"))*4)+((COUNTIF('Elève (6ème2)'!OZ11:PB11,"B"))*3)+((COUNTIF('Elève (6ème2)'!OZ11:PB11,"C"))*2)+((COUNTIF('Elève (6ème2)'!OZ11:PB11,"D"))*1))/(COUNTA(OZ11:PB11)),"")</f>
        <v/>
      </c>
      <c r="PD11" s="113" t="str">
        <f t="shared" si="97"/>
        <v/>
      </c>
      <c r="PE11" s="84"/>
      <c r="PF11" s="85"/>
      <c r="PG11" s="86"/>
      <c r="PH11" s="112" t="str">
        <f>IFERROR((((COUNTIF('Elève (6ème2)'!PE11:PG11,"A"))*4)+((COUNTIF('Elève (6ème2)'!PE11:PG11,"B"))*3)+((COUNTIF('Elève (6ème2)'!PE11:PG11,"C"))*2)+((COUNTIF('Elève (6ème2)'!PE11:PG11,"D"))*1))/(COUNTA(PE11:PG11)),"")</f>
        <v/>
      </c>
      <c r="PI11" s="113" t="str">
        <f t="shared" si="98"/>
        <v/>
      </c>
      <c r="PJ11" s="180" t="str">
        <f>IF(COUNT(OX11,PC11,PH11)=0,"",SUM(OX11,PC11,PH11)/COUNT(OX11,PC11,PH11))</f>
        <v/>
      </c>
      <c r="PK11" s="133" t="str">
        <f t="shared" si="99"/>
        <v/>
      </c>
      <c r="PL11" s="159"/>
      <c r="PM11" s="160"/>
      <c r="PN11" s="161"/>
      <c r="PO11" s="112" t="str">
        <f>IFERROR((((COUNTIF('Elève (6ème2)'!PL11:PN11,"A"))*4)+((COUNTIF('Elève (6ème2)'!PL11:PN11,"B"))*3)+((COUNTIF('Elève (6ème2)'!PL11:PN11,"C"))*2)+((COUNTIF('Elève (6ème2)'!PL11:PN11,"D"))*1))/(COUNTA(PL11:PN11)),"")</f>
        <v/>
      </c>
      <c r="PP11" s="113" t="str">
        <f t="shared" si="100"/>
        <v/>
      </c>
      <c r="PQ11" s="84"/>
      <c r="PR11" s="85"/>
      <c r="PS11" s="86"/>
      <c r="PT11" s="112" t="str">
        <f>IFERROR((((COUNTIF('Elève (6ème2)'!PQ11:PS11,"A"))*4)+((COUNTIF('Elève (6ème2)'!PQ11:PS11,"B"))*3)+((COUNTIF('Elève (6ème2)'!PQ11:PS11,"C"))*2)+((COUNTIF('Elève (6ème2)'!PQ11:PS11,"D"))*1))/(COUNTA(PQ11:PS11)),"")</f>
        <v/>
      </c>
      <c r="PU11" s="113" t="str">
        <f t="shared" si="101"/>
        <v/>
      </c>
      <c r="PV11" s="84"/>
      <c r="PW11" s="85"/>
      <c r="PX11" s="86"/>
      <c r="PY11" s="112" t="str">
        <f>IFERROR((((COUNTIF('Elève (6ème2)'!PV11:PX11,"A"))*4)+((COUNTIF('Elève (6ème2)'!PV11:PX11,"B"))*3)+((COUNTIF('Elève (6ème2)'!PV11:PX11,"C"))*2)+((COUNTIF('Elève (6ème2)'!PV11:PX11,"D"))*1))/(COUNTA(PV11:PX11)),"")</f>
        <v/>
      </c>
      <c r="PZ11" s="113" t="str">
        <f t="shared" si="102"/>
        <v/>
      </c>
      <c r="QA11" s="180" t="str">
        <f>IF(COUNT(PO11,PT11,PY11)=0,"",SUM(PO11,PT11,PY11)/COUNT(PO11,PT11,PY11))</f>
        <v/>
      </c>
      <c r="QB11" s="133" t="str">
        <f t="shared" si="103"/>
        <v/>
      </c>
      <c r="QC11" s="159"/>
      <c r="QD11" s="160"/>
      <c r="QE11" s="161"/>
      <c r="QF11" s="112" t="str">
        <f>IFERROR((((COUNTIF('Elève (6ème2)'!QC11:QE11,"A"))*4)+((COUNTIF('Elève (6ème2)'!QC11:QE11,"B"))*3)+((COUNTIF('Elève (6ème2)'!QC11:QE11,"C"))*2)+((COUNTIF('Elève (6ème2)'!QC11:QE11,"D"))*1))/(COUNTA(QC11:QE11)),"")</f>
        <v/>
      </c>
      <c r="QG11" s="113" t="str">
        <f t="shared" si="104"/>
        <v/>
      </c>
      <c r="QH11" s="84"/>
      <c r="QI11" s="85"/>
      <c r="QJ11" s="86"/>
      <c r="QK11" s="112" t="str">
        <f>IFERROR((((COUNTIF('Elève (6ème2)'!QH11:QJ11,"A"))*4)+((COUNTIF('Elève (6ème2)'!QH11:QJ11,"B"))*3)+((COUNTIF('Elève (6ème2)'!QH11:QJ11,"C"))*2)+((COUNTIF('Elève (6ème2)'!QH11:QJ11,"D"))*1))/(COUNTA(QH11:QJ11)),"")</f>
        <v/>
      </c>
      <c r="QL11" s="113" t="str">
        <f t="shared" si="105"/>
        <v/>
      </c>
      <c r="QM11" s="84"/>
      <c r="QN11" s="85"/>
      <c r="QO11" s="86"/>
      <c r="QP11" s="112" t="str">
        <f>IFERROR((((COUNTIF('Elève (6ème2)'!QM11:QO11,"A"))*4)+((COUNTIF('Elève (6ème2)'!QM11:QO11,"B"))*3)+((COUNTIF('Elève (6ème2)'!QM11:QO11,"C"))*2)+((COUNTIF('Elève (6ème2)'!QM11:QO11,"D"))*1))/(COUNTA(QM11:QO11)),"")</f>
        <v/>
      </c>
      <c r="QQ11" s="113" t="str">
        <f t="shared" si="106"/>
        <v/>
      </c>
      <c r="QR11" s="180" t="str">
        <f>IF(COUNT(QF11,QK11,QP11)=0,"",SUM(QF11,QK11,QP11)/COUNT(QF11,QK11,QP11))</f>
        <v/>
      </c>
      <c r="QS11" s="133" t="str">
        <f t="shared" si="107"/>
        <v/>
      </c>
      <c r="QT11" s="159"/>
      <c r="QU11" s="160"/>
      <c r="QV11" s="161"/>
      <c r="QW11" s="112" t="str">
        <f>IFERROR((((COUNTIF('Elève (6ème2)'!QT11:QV11,"A"))*4)+((COUNTIF('Elève (6ème2)'!QT11:QV11,"B"))*3)+((COUNTIF('Elève (6ème2)'!QT11:QV11,"C"))*2)+((COUNTIF('Elève (6ème2)'!QT11:QV11,"D"))*1))/(COUNTA(QT11:QV11)),"")</f>
        <v/>
      </c>
      <c r="QX11" s="113" t="str">
        <f t="shared" si="108"/>
        <v/>
      </c>
      <c r="QY11" s="84"/>
      <c r="QZ11" s="85"/>
      <c r="RA11" s="86"/>
      <c r="RB11" s="112" t="str">
        <f>IFERROR((((COUNTIF('Elève (6ème2)'!QY11:RA11,"A"))*4)+((COUNTIF('Elève (6ème2)'!QY11:RA11,"B"))*3)+((COUNTIF('Elève (6ème2)'!QY11:RA11,"C"))*2)+((COUNTIF('Elève (6ème2)'!QY11:RA11,"D"))*1))/(COUNTA(QY11:RA11)),"")</f>
        <v/>
      </c>
      <c r="RC11" s="113" t="str">
        <f t="shared" si="109"/>
        <v/>
      </c>
      <c r="RD11" s="84"/>
      <c r="RE11" s="85"/>
      <c r="RF11" s="86"/>
      <c r="RG11" s="112" t="str">
        <f>IFERROR((((COUNTIF('Elève (6ème2)'!RD11:RF11,"A"))*4)+((COUNTIF('Elève (6ème2)'!RD11:RF11,"B"))*3)+((COUNTIF('Elève (6ème2)'!RD11:RF11,"C"))*2)+((COUNTIF('Elève (6ème2)'!RD11:RF11,"D"))*1))/(COUNTA(RD11:RF11)),"")</f>
        <v/>
      </c>
      <c r="RH11" s="113" t="str">
        <f t="shared" si="110"/>
        <v/>
      </c>
      <c r="RI11" s="180" t="str">
        <f>IF(COUNT(QW11,RB11,RG11)=0,"",SUM(QW11,RB11,RG11)/COUNT(QW11,RB11,RG11))</f>
        <v/>
      </c>
      <c r="RJ11" s="133" t="str">
        <f t="shared" si="111"/>
        <v/>
      </c>
      <c r="RK11" s="159"/>
      <c r="RL11" s="160"/>
      <c r="RM11" s="161"/>
      <c r="RN11" s="112" t="str">
        <f>IFERROR((((COUNTIF('Elève (6ème2)'!RK11:RM11,"A"))*4)+((COUNTIF('Elève (6ème2)'!RK11:RM11,"B"))*3)+((COUNTIF('Elève (6ème2)'!RK11:RM11,"C"))*2)+((COUNTIF('Elève (6ème2)'!RK11:RM11,"D"))*1))/(COUNTA(RK11:RM11)),"")</f>
        <v/>
      </c>
      <c r="RO11" s="113" t="str">
        <f t="shared" si="112"/>
        <v/>
      </c>
      <c r="RP11" s="84"/>
      <c r="RQ11" s="85"/>
      <c r="RR11" s="86"/>
      <c r="RS11" s="112" t="str">
        <f>IFERROR((((COUNTIF('Elève (6ème2)'!RP11:RR11,"A"))*4)+((COUNTIF('Elève (6ème2)'!RP11:RR11,"B"))*3)+((COUNTIF('Elève (6ème2)'!RP11:RR11,"C"))*2)+((COUNTIF('Elève (6ème2)'!RP11:RR11,"D"))*1))/(COUNTA(RP11:RR11)),"")</f>
        <v/>
      </c>
      <c r="RT11" s="113" t="str">
        <f t="shared" si="113"/>
        <v/>
      </c>
      <c r="RU11" s="84"/>
      <c r="RV11" s="85"/>
      <c r="RW11" s="86"/>
      <c r="RX11" s="112" t="str">
        <f>IFERROR((((COUNTIF('Elève (6ème2)'!RU11:RW11,"A"))*4)+((COUNTIF('Elève (6ème2)'!RU11:RW11,"B"))*3)+((COUNTIF('Elève (6ème2)'!RU11:RW11,"C"))*2)+((COUNTIF('Elève (6ème2)'!RU11:RW11,"D"))*1))/(COUNTA(RU11:RW11)),"")</f>
        <v/>
      </c>
      <c r="RY11" s="113" t="str">
        <f t="shared" si="114"/>
        <v/>
      </c>
      <c r="RZ11" s="180" t="str">
        <f>IF(COUNT(RN11,RS11,RX11)=0,"",SUM(RN11,RS11,RX11)/COUNT(RN11,RS11,RX11))</f>
        <v/>
      </c>
      <c r="SA11" s="133" t="str">
        <f t="shared" si="115"/>
        <v/>
      </c>
      <c r="SB11" s="159"/>
      <c r="SC11" s="160"/>
      <c r="SD11" s="161"/>
      <c r="SE11" s="112" t="str">
        <f>IFERROR((((COUNTIF('Elève (6ème2)'!SB11:SD11,"A"))*4)+((COUNTIF('Elève (6ème2)'!SB11:SD11,"B"))*3)+((COUNTIF('Elève (6ème2)'!SB11:SD11,"C"))*2)+((COUNTIF('Elève (6ème2)'!SB11:SD11,"D"))*1))/(COUNTA(SB11:SD11)),"")</f>
        <v/>
      </c>
      <c r="SF11" s="113" t="str">
        <f t="shared" si="116"/>
        <v/>
      </c>
      <c r="SG11" s="84"/>
      <c r="SH11" s="85"/>
      <c r="SI11" s="86"/>
      <c r="SJ11" s="112" t="str">
        <f>IFERROR((((COUNTIF('Elève (6ème2)'!SG11:SI11,"A"))*4)+((COUNTIF('Elève (6ème2)'!SG11:SI11,"B"))*3)+((COUNTIF('Elève (6ème2)'!SG11:SI11,"C"))*2)+((COUNTIF('Elève (6ème2)'!SG11:SI11,"D"))*1))/(COUNTA(SG11:SI11)),"")</f>
        <v/>
      </c>
      <c r="SK11" s="113" t="str">
        <f t="shared" si="117"/>
        <v/>
      </c>
      <c r="SL11" s="84"/>
      <c r="SM11" s="85"/>
      <c r="SN11" s="86"/>
      <c r="SO11" s="112" t="str">
        <f>IFERROR((((COUNTIF('Elève (6ème2)'!SL11:SN11,"A"))*4)+((COUNTIF('Elève (6ème2)'!SL11:SN11,"B"))*3)+((COUNTIF('Elève (6ème2)'!SL11:SN11,"C"))*2)+((COUNTIF('Elève (6ème2)'!SL11:SN11,"D"))*1))/(COUNTA(SL11:SN11)),"")</f>
        <v/>
      </c>
      <c r="SP11" s="113" t="str">
        <f t="shared" si="118"/>
        <v/>
      </c>
      <c r="SQ11" s="180" t="str">
        <f>IF(COUNT(SE11,SJ11,SO11)=0,"",SUM(SE11,SJ11,SO11)/COUNT(SE11,SJ11,SO11))</f>
        <v/>
      </c>
      <c r="SR11" s="133" t="str">
        <f t="shared" si="119"/>
        <v/>
      </c>
    </row>
    <row r="12" spans="1:512" s="77" customFormat="1" ht="16.5" customHeight="1" thickBot="1" x14ac:dyDescent="0.3">
      <c r="A12" s="96" t="s">
        <v>15</v>
      </c>
      <c r="B12" s="88">
        <v>1</v>
      </c>
      <c r="C12" s="152"/>
      <c r="D12" s="185"/>
      <c r="E12" s="185"/>
      <c r="F12" s="106">
        <f>IFERROR((((COUNTIF('Elève (6ème2)'!C13:E13,"A"))*4)+((COUNTIF('Elève (6ème2)'!C13:E13,"B"))*3)+((COUNTIF('Elève (6ème2)'!C13:E13,"C"))*2)+((COUNTIF('Elève (6ème2)'!C13:E13,"D"))*1))/(COUNTA(C13:E13)),"")</f>
        <v>2</v>
      </c>
      <c r="G12" s="107" t="str">
        <f t="shared" si="0"/>
        <v>C</v>
      </c>
      <c r="H12" s="204"/>
      <c r="I12" s="186"/>
      <c r="J12" s="205"/>
      <c r="K12" s="106" t="str">
        <f>IFERROR((((COUNTIF('Elève (6ème2)'!H13:J13,"A"))*4)+((COUNTIF('Elève (6ème2)'!H13:J13,"B"))*3)+((COUNTIF('Elève (6ème2)'!H13:J13,"C"))*2)+((COUNTIF('Elève (6ème2)'!H13:J13,"D"))*1))/(COUNTA(H13:J13)),"")</f>
        <v/>
      </c>
      <c r="L12" s="121" t="str">
        <f t="shared" si="1"/>
        <v/>
      </c>
      <c r="M12" s="100"/>
      <c r="N12" s="187"/>
      <c r="O12" s="188"/>
      <c r="P12" s="106" t="str">
        <f>IFERROR((((COUNTIF('Elève (6ème2)'!M13:O13,"A"))*4)+((COUNTIF('Elève (6ème2)'!M13:O13,"B"))*3)+((COUNTIF('Elève (6ème2)'!M13:O13,"C"))*2)+((COUNTIF('Elève (6ème2)'!M13:O13,"D"))*1))/(COUNTA(M13:O13)),"")</f>
        <v/>
      </c>
      <c r="Q12" s="128" t="str">
        <f t="shared" si="2"/>
        <v/>
      </c>
      <c r="R12" s="177">
        <f>IFERROR((((COUNTIF(C13:E13,"A")+COUNTIF(H13:J13,"A")+COUNTIF(M13:O13,"A"))*4)+((COUNTIF(C13:E13,"B")+COUNTIF(H13:J13,"B")+COUNTIF(M13:O13,"B"))*3)+((COUNTIF(C13:E13,"C")+COUNTIF(H13:J13,"C")+COUNTIF(M13:O13,"C"))*2)+((COUNTIF(C13:E13,"D")+COUNTIF(H13:J13,"D")+COUNTIF(M13:O13,"D"))*1))/(COUNTA(C13:E13)+COUNTA(H13:J13)+COUNTA(M13:O13)),"")</f>
        <v>2</v>
      </c>
      <c r="S12" s="130" t="str">
        <f t="shared" si="3"/>
        <v>C</v>
      </c>
      <c r="T12" s="152"/>
      <c r="U12" s="185"/>
      <c r="V12" s="185"/>
      <c r="W12" s="106">
        <f>IFERROR((((COUNTIF('Elève (6ème2)'!T13:V13,"A"))*4)+((COUNTIF('Elève (6ème2)'!T13:V13,"B"))*3)+((COUNTIF('Elève (6ème2)'!T13:V13,"C"))*2)+((COUNTIF('Elève (6ème2)'!T13:V13,"D"))*1))/(COUNTA(T13:V13)),"")</f>
        <v>2</v>
      </c>
      <c r="X12" s="107" t="str">
        <f t="shared" si="4"/>
        <v>C</v>
      </c>
      <c r="Y12" s="204"/>
      <c r="Z12" s="186"/>
      <c r="AA12" s="205"/>
      <c r="AB12" s="106" t="str">
        <f>IFERROR((((COUNTIF('Elève (6ème2)'!Y13:AA13,"A"))*4)+((COUNTIF('Elève (6ème2)'!Y13:AA13,"B"))*3)+((COUNTIF('Elève (6ème2)'!Y13:AA13,"C"))*2)+((COUNTIF('Elève (6ème2)'!Y13:AA13,"D"))*1))/(COUNTA(Y13:AA13)),"")</f>
        <v/>
      </c>
      <c r="AC12" s="121" t="str">
        <f t="shared" si="5"/>
        <v/>
      </c>
      <c r="AD12" s="100"/>
      <c r="AE12" s="187"/>
      <c r="AF12" s="188"/>
      <c r="AG12" s="106" t="str">
        <f>IFERROR((((COUNTIF('Elève (6ème2)'!AD13:AF13,"A"))*4)+((COUNTIF('Elève (6ème2)'!AD13:AF13,"B"))*3)+((COUNTIF('Elève (6ème2)'!AD13:AF13,"C"))*2)+((COUNTIF('Elève (6ème2)'!AD13:AF13,"D"))*1))/(COUNTA(AD13:AF13)),"")</f>
        <v/>
      </c>
      <c r="AH12" s="128" t="str">
        <f t="shared" si="6"/>
        <v/>
      </c>
      <c r="AI12" s="177">
        <f>IFERROR((((COUNTIF(T13:V13,"A")+COUNTIF(Y13:AA13,"A")+COUNTIF(AD13:AF13,"A"))*4)+((COUNTIF(T13:V13,"B")+COUNTIF(Y13:AA13,"B")+COUNTIF(AD13:AF13,"B"))*3)+((COUNTIF(T13:V13,"C")+COUNTIF(Y13:AA13,"C")+COUNTIF(AD13:AF13,"C"))*2)+((COUNTIF(T13:V13,"D")+COUNTIF(Y13:AA13,"D")+COUNTIF(AD13:AF13,"D"))*1))/(COUNTA(T13:V13)+COUNTA(Y13:AA13)+COUNTA(AD13:AF13)),"")</f>
        <v>2</v>
      </c>
      <c r="AJ12" s="130" t="str">
        <f t="shared" si="7"/>
        <v>C</v>
      </c>
      <c r="AK12" s="152"/>
      <c r="AL12" s="185"/>
      <c r="AM12" s="185"/>
      <c r="AN12" s="106">
        <f>IFERROR((((COUNTIF('Elève (6ème2)'!AK13:AM13,"A"))*4)+((COUNTIF('Elève (6ème2)'!AK13:AM13,"B"))*3)+((COUNTIF('Elève (6ème2)'!AK13:AM13,"C"))*2)+((COUNTIF('Elève (6ème2)'!AK13:AM13,"D"))*1))/(COUNTA(AK13:AM13)),"")</f>
        <v>2</v>
      </c>
      <c r="AO12" s="107" t="str">
        <f t="shared" si="8"/>
        <v>C</v>
      </c>
      <c r="AP12" s="204"/>
      <c r="AQ12" s="186"/>
      <c r="AR12" s="205"/>
      <c r="AS12" s="106" t="str">
        <f>IFERROR((((COUNTIF('Elève (6ème2)'!AP13:AR13,"A"))*4)+((COUNTIF('Elève (6ème2)'!AP13:AR13,"B"))*3)+((COUNTIF('Elève (6ème2)'!AP13:AR13,"C"))*2)+((COUNTIF('Elève (6ème2)'!AP13:AR13,"D"))*1))/(COUNTA(AP13:AR13)),"")</f>
        <v/>
      </c>
      <c r="AT12" s="121" t="str">
        <f t="shared" si="9"/>
        <v/>
      </c>
      <c r="AU12" s="100"/>
      <c r="AV12" s="187"/>
      <c r="AW12" s="188"/>
      <c r="AX12" s="106" t="str">
        <f>IFERROR((((COUNTIF('Elève (6ème2)'!AU13:AW13,"A"))*4)+((COUNTIF('Elève (6ème2)'!AU13:AW13,"B"))*3)+((COUNTIF('Elève (6ème2)'!AU13:AW13,"C"))*2)+((COUNTIF('Elève (6ème2)'!AU13:AW13,"D"))*1))/(COUNTA(AU13:AW13)),"")</f>
        <v/>
      </c>
      <c r="AY12" s="128" t="str">
        <f t="shared" si="10"/>
        <v/>
      </c>
      <c r="AZ12" s="177">
        <f>IFERROR((((COUNTIF(AK13:AM13,"A")+COUNTIF(AP13:AR13,"A")+COUNTIF(AU13:AW13,"A"))*4)+((COUNTIF(AK13:AM13,"B")+COUNTIF(AP13:AR13,"B")+COUNTIF(AU13:AW13,"B"))*3)+((COUNTIF(AK13:AM13,"C")+COUNTIF(AP13:AR13,"C")+COUNTIF(AU13:AW13,"C"))*2)+((COUNTIF(AK13:AM13,"D")+COUNTIF(AP13:AR13,"D")+COUNTIF(AU13:AW13,"D"))*1))/(COUNTA(AK13:AM13)+COUNTA(AP13:AR13)+COUNTA(AU13:AW13)),"")</f>
        <v>2</v>
      </c>
      <c r="BA12" s="130" t="str">
        <f t="shared" si="11"/>
        <v>C</v>
      </c>
      <c r="BB12" s="152"/>
      <c r="BC12" s="185"/>
      <c r="BD12" s="185"/>
      <c r="BE12" s="106">
        <f>IFERROR((((COUNTIF('Elève (6ème2)'!BB13:BD13,"A"))*4)+((COUNTIF('Elève (6ème2)'!BB13:BD13,"B"))*3)+((COUNTIF('Elève (6ème2)'!BB13:BD13,"C"))*2)+((COUNTIF('Elève (6ème2)'!BB13:BD13,"D"))*1))/(COUNTA(BB13:BD13)),"")</f>
        <v>3</v>
      </c>
      <c r="BF12" s="107" t="str">
        <f t="shared" si="12"/>
        <v>B</v>
      </c>
      <c r="BG12" s="204"/>
      <c r="BH12" s="186"/>
      <c r="BI12" s="205"/>
      <c r="BJ12" s="106" t="str">
        <f>IFERROR((((COUNTIF('Elève (6ème2)'!BG13:BI13,"A"))*4)+((COUNTIF('Elève (6ème2)'!BG13:BI13,"B"))*3)+((COUNTIF('Elève (6ème2)'!BG13:BI13,"C"))*2)+((COUNTIF('Elève (6ème2)'!BG13:BI13,"D"))*1))/(COUNTA(BG13:BI13)),"")</f>
        <v/>
      </c>
      <c r="BK12" s="121" t="str">
        <f t="shared" si="13"/>
        <v/>
      </c>
      <c r="BL12" s="100"/>
      <c r="BM12" s="187"/>
      <c r="BN12" s="188"/>
      <c r="BO12" s="106" t="str">
        <f>IFERROR((((COUNTIF('Elève (6ème2)'!BL13:BN13,"A"))*4)+((COUNTIF('Elève (6ème2)'!BL13:BN13,"B"))*3)+((COUNTIF('Elève (6ème2)'!BL13:BN13,"C"))*2)+((COUNTIF('Elève (6ème2)'!BL13:BN13,"D"))*1))/(COUNTA(BL13:BN13)),"")</f>
        <v/>
      </c>
      <c r="BP12" s="128" t="str">
        <f t="shared" si="14"/>
        <v/>
      </c>
      <c r="BQ12" s="177">
        <f>IFERROR((((COUNTIF(BB13:BD13,"A")+COUNTIF(BG13:BI13,"A")+COUNTIF(BL13:BN13,"A"))*4)+((COUNTIF(BB13:BD13,"B")+COUNTIF(BG13:BI13,"B")+COUNTIF(BL13:BN13,"B"))*3)+((COUNTIF(BB13:BD13,"C")+COUNTIF(BG13:BI13,"C")+COUNTIF(BL13:BN13,"C"))*2)+((COUNTIF(BB13:BD13,"D")+COUNTIF(BG13:BI13,"D")+COUNTIF(BL13:BN13,"D"))*1))/(COUNTA(BB13:BD13)+COUNTA(BG13:BI13)+COUNTA(BL13:BN13)),"")</f>
        <v>3</v>
      </c>
      <c r="BR12" s="130" t="str">
        <f t="shared" si="15"/>
        <v>B</v>
      </c>
      <c r="BS12" s="152"/>
      <c r="BT12" s="185"/>
      <c r="BU12" s="185"/>
      <c r="BV12" s="106">
        <f>IFERROR((((COUNTIF('Elève (6ème2)'!BS13:BU13,"A"))*4)+((COUNTIF('Elève (6ème2)'!BS13:BU13,"B"))*3)+((COUNTIF('Elève (6ème2)'!BS13:BU13,"C"))*2)+((COUNTIF('Elève (6ème2)'!BS13:BU13,"D"))*1))/(COUNTA(BS13:BU13)),"")</f>
        <v>3</v>
      </c>
      <c r="BW12" s="107" t="str">
        <f t="shared" si="16"/>
        <v>B</v>
      </c>
      <c r="BX12" s="204"/>
      <c r="BY12" s="186"/>
      <c r="BZ12" s="205"/>
      <c r="CA12" s="106" t="str">
        <f>IFERROR((((COUNTIF('Elève (6ème2)'!BX13:BZ13,"A"))*4)+((COUNTIF('Elève (6ème2)'!BX13:BZ13,"B"))*3)+((COUNTIF('Elève (6ème2)'!BX13:BZ13,"C"))*2)+((COUNTIF('Elève (6ème2)'!BX13:BZ13,"D"))*1))/(COUNTA(BX13:BZ13)),"")</f>
        <v/>
      </c>
      <c r="CB12" s="121" t="str">
        <f t="shared" si="17"/>
        <v/>
      </c>
      <c r="CC12" s="100"/>
      <c r="CD12" s="187"/>
      <c r="CE12" s="188"/>
      <c r="CF12" s="106" t="str">
        <f>IFERROR((((COUNTIF('Elève (6ème2)'!CC13:CE13,"A"))*4)+((COUNTIF('Elève (6ème2)'!CC13:CE13,"B"))*3)+((COUNTIF('Elève (6ème2)'!CC13:CE13,"C"))*2)+((COUNTIF('Elève (6ème2)'!CC13:CE13,"D"))*1))/(COUNTA(CC13:CE13)),"")</f>
        <v/>
      </c>
      <c r="CG12" s="128" t="str">
        <f t="shared" si="18"/>
        <v/>
      </c>
      <c r="CH12" s="177">
        <f>IFERROR((((COUNTIF(BS13:BU13,"A")+COUNTIF(BX13:BZ13,"A")+COUNTIF(CC13:CE13,"A"))*4)+((COUNTIF(BS13:BU13,"B")+COUNTIF(BX13:BZ13,"B")+COUNTIF(CC13:CE13,"B"))*3)+((COUNTIF(BS13:BU13,"C")+COUNTIF(BX13:BZ13,"C")+COUNTIF(CC13:CE13,"C"))*2)+((COUNTIF(BS13:BU13,"D")+COUNTIF(BX13:BZ13,"D")+COUNTIF(CC13:CE13,"D"))*1))/(COUNTA(BS13:BU13)+COUNTA(BX13:BZ13)+COUNTA(CC13:CE13)),"")</f>
        <v>3</v>
      </c>
      <c r="CI12" s="130" t="str">
        <f t="shared" si="19"/>
        <v>B</v>
      </c>
      <c r="CJ12" s="152"/>
      <c r="CK12" s="185"/>
      <c r="CL12" s="185"/>
      <c r="CM12" s="106">
        <f>IFERROR((((COUNTIF('Elève (6ème2)'!CJ13:CL13,"A"))*4)+((COUNTIF('Elève (6ème2)'!CJ13:CL13,"B"))*3)+((COUNTIF('Elève (6ème2)'!CJ13:CL13,"C"))*2)+((COUNTIF('Elève (6ème2)'!CJ13:CL13,"D"))*1))/(COUNTA(CJ13:CL13)),"")</f>
        <v>2</v>
      </c>
      <c r="CN12" s="107" t="str">
        <f t="shared" si="20"/>
        <v>C</v>
      </c>
      <c r="CO12" s="204"/>
      <c r="CP12" s="186"/>
      <c r="CQ12" s="205"/>
      <c r="CR12" s="106" t="str">
        <f>IFERROR((((COUNTIF('Elève (6ème2)'!CO13:CQ13,"A"))*4)+((COUNTIF('Elève (6ème2)'!CO13:CQ13,"B"))*3)+((COUNTIF('Elève (6ème2)'!CO13:CQ13,"C"))*2)+((COUNTIF('Elève (6ème2)'!CO13:CQ13,"D"))*1))/(COUNTA(CO13:CQ13)),"")</f>
        <v/>
      </c>
      <c r="CS12" s="121" t="str">
        <f t="shared" si="21"/>
        <v/>
      </c>
      <c r="CT12" s="100"/>
      <c r="CU12" s="187"/>
      <c r="CV12" s="188"/>
      <c r="CW12" s="106" t="str">
        <f>IFERROR((((COUNTIF('Elève (6ème2)'!CT13:CV13,"A"))*4)+((COUNTIF('Elève (6ème2)'!CT13:CV13,"B"))*3)+((COUNTIF('Elève (6ème2)'!CT13:CV13,"C"))*2)+((COUNTIF('Elève (6ème2)'!CT13:CV13,"D"))*1))/(COUNTA(CT13:CV13)),"")</f>
        <v/>
      </c>
      <c r="CX12" s="128" t="str">
        <f t="shared" si="22"/>
        <v/>
      </c>
      <c r="CY12" s="177">
        <f>IFERROR((((COUNTIF(CJ13:CL13,"A")+COUNTIF(CO13:CQ13,"A")+COUNTIF(CT13:CV13,"A"))*4)+((COUNTIF(CJ13:CL13,"B")+COUNTIF(CO13:CQ13,"B")+COUNTIF(CT13:CV13,"B"))*3)+((COUNTIF(CJ13:CL13,"C")+COUNTIF(CO13:CQ13,"C")+COUNTIF(CT13:CV13,"C"))*2)+((COUNTIF(CJ13:CL13,"D")+COUNTIF(CO13:CQ13,"D")+COUNTIF(CT13:CV13,"D"))*1))/(COUNTA(CJ13:CL13)+COUNTA(CO13:CQ13)+COUNTA(CT13:CV13)),"")</f>
        <v>2</v>
      </c>
      <c r="CZ12" s="130" t="str">
        <f t="shared" si="23"/>
        <v>C</v>
      </c>
      <c r="DA12" s="152"/>
      <c r="DB12" s="185"/>
      <c r="DC12" s="185"/>
      <c r="DD12" s="106">
        <f>IFERROR((((COUNTIF('Elève (6ème2)'!DA13:DC13,"A"))*4)+((COUNTIF('Elève (6ème2)'!DA13:DC13,"B"))*3)+((COUNTIF('Elève (6ème2)'!DA13:DC13,"C"))*2)+((COUNTIF('Elève (6ème2)'!DA13:DC13,"D"))*1))/(COUNTA(DA13:DC13)),"")</f>
        <v>4</v>
      </c>
      <c r="DE12" s="107" t="str">
        <f t="shared" si="24"/>
        <v>A</v>
      </c>
      <c r="DF12" s="204"/>
      <c r="DG12" s="186"/>
      <c r="DH12" s="205"/>
      <c r="DI12" s="106" t="str">
        <f>IFERROR((((COUNTIF('Elève (6ème2)'!DF13:DH13,"A"))*4)+((COUNTIF('Elève (6ème2)'!DF13:DH13,"B"))*3)+((COUNTIF('Elève (6ème2)'!DF13:DH13,"C"))*2)+((COUNTIF('Elève (6ème2)'!DF13:DH13,"D"))*1))/(COUNTA(DF13:DH13)),"")</f>
        <v/>
      </c>
      <c r="DJ12" s="121" t="str">
        <f t="shared" si="25"/>
        <v/>
      </c>
      <c r="DK12" s="100"/>
      <c r="DL12" s="187"/>
      <c r="DM12" s="188"/>
      <c r="DN12" s="106" t="str">
        <f>IFERROR((((COUNTIF('Elève (6ème2)'!DK13:DM13,"A"))*4)+((COUNTIF('Elève (6ème2)'!DK13:DM13,"B"))*3)+((COUNTIF('Elève (6ème2)'!DK13:DM13,"C"))*2)+((COUNTIF('Elève (6ème2)'!DK13:DM13,"D"))*1))/(COUNTA(DK13:DM13)),"")</f>
        <v/>
      </c>
      <c r="DO12" s="128" t="str">
        <f t="shared" si="26"/>
        <v/>
      </c>
      <c r="DP12" s="177">
        <f>IFERROR((((COUNTIF(DA13:DC13,"A")+COUNTIF(DF13:DH13,"A")+COUNTIF(DK13:DM13,"A"))*4)+((COUNTIF(DA13:DC13,"B")+COUNTIF(DF13:DH13,"B")+COUNTIF(DK13:DM13,"B"))*3)+((COUNTIF(DA13:DC13,"C")+COUNTIF(DF13:DH13,"C")+COUNTIF(DK13:DM13,"C"))*2)+((COUNTIF(DA13:DC13,"D")+COUNTIF(DF13:DH13,"D")+COUNTIF(DK13:DM13,"D"))*1))/(COUNTA(DA13:DC13)+COUNTA(DF13:DH13)+COUNTA(DK13:DM13)),"")</f>
        <v>4</v>
      </c>
      <c r="DQ12" s="130" t="str">
        <f t="shared" si="27"/>
        <v>A</v>
      </c>
      <c r="DR12" s="152"/>
      <c r="DS12" s="185"/>
      <c r="DT12" s="185"/>
      <c r="DU12" s="106">
        <f>IFERROR((((COUNTIF('Elève (6ème2)'!DR13:DT13,"A"))*4)+((COUNTIF('Elève (6ème2)'!DR13:DT13,"B"))*3)+((COUNTIF('Elève (6ème2)'!DR13:DT13,"C"))*2)+((COUNTIF('Elève (6ème2)'!DR13:DT13,"D"))*1))/(COUNTA(DR13:DT13)),"")</f>
        <v>3</v>
      </c>
      <c r="DV12" s="107" t="str">
        <f t="shared" si="28"/>
        <v>B</v>
      </c>
      <c r="DW12" s="204"/>
      <c r="DX12" s="186"/>
      <c r="DY12" s="205"/>
      <c r="DZ12" s="106" t="str">
        <f>IFERROR((((COUNTIF('Elève (6ème2)'!DW13:DY13,"A"))*4)+((COUNTIF('Elève (6ème2)'!DW13:DY13,"B"))*3)+((COUNTIF('Elève (6ème2)'!DW13:DY13,"C"))*2)+((COUNTIF('Elève (6ème2)'!DW13:DY13,"D"))*1))/(COUNTA(DW13:DY13)),"")</f>
        <v/>
      </c>
      <c r="EA12" s="121" t="str">
        <f t="shared" si="29"/>
        <v/>
      </c>
      <c r="EB12" s="100"/>
      <c r="EC12" s="187"/>
      <c r="ED12" s="188"/>
      <c r="EE12" s="106" t="str">
        <f>IFERROR((((COUNTIF('Elève (6ème2)'!EB13:ED13,"A"))*4)+((COUNTIF('Elève (6ème2)'!EB13:ED13,"B"))*3)+((COUNTIF('Elève (6ème2)'!EB13:ED13,"C"))*2)+((COUNTIF('Elève (6ème2)'!EB13:ED13,"D"))*1))/(COUNTA(EB13:ED13)),"")</f>
        <v/>
      </c>
      <c r="EF12" s="128" t="str">
        <f t="shared" si="30"/>
        <v/>
      </c>
      <c r="EG12" s="177">
        <f>IFERROR((((COUNTIF(DR13:DT13,"A")+COUNTIF(DW13:DY13,"A")+COUNTIF(EB13:ED13,"A"))*4)+((COUNTIF(DR13:DT13,"B")+COUNTIF(DW13:DY13,"B")+COUNTIF(EB13:ED13,"B"))*3)+((COUNTIF(DR13:DT13,"C")+COUNTIF(DW13:DY13,"C")+COUNTIF(EB13:ED13,"C"))*2)+((COUNTIF(DR13:DT13,"D")+COUNTIF(DW13:DY13,"D")+COUNTIF(EB13:ED13,"D"))*1))/(COUNTA(DR13:DT13)+COUNTA(DW13:DY13)+COUNTA(EB13:ED13)),"")</f>
        <v>3</v>
      </c>
      <c r="EH12" s="130" t="str">
        <f t="shared" si="31"/>
        <v>B</v>
      </c>
      <c r="EI12" s="152"/>
      <c r="EJ12" s="185"/>
      <c r="EK12" s="185"/>
      <c r="EL12" s="106">
        <f>IFERROR((((COUNTIF('Elève (6ème2)'!EI13:EK13,"A"))*4)+((COUNTIF('Elève (6ème2)'!EI13:EK13,"B"))*3)+((COUNTIF('Elève (6ème2)'!EI13:EK13,"C"))*2)+((COUNTIF('Elève (6ème2)'!EI13:EK13,"D"))*1))/(COUNTA(EI13:EK13)),"")</f>
        <v>2</v>
      </c>
      <c r="EM12" s="107" t="str">
        <f t="shared" si="32"/>
        <v>C</v>
      </c>
      <c r="EN12" s="204"/>
      <c r="EO12" s="186"/>
      <c r="EP12" s="205"/>
      <c r="EQ12" s="106" t="str">
        <f>IFERROR((((COUNTIF('Elève (6ème2)'!EN13:EP13,"A"))*4)+((COUNTIF('Elève (6ème2)'!EN13:EP13,"B"))*3)+((COUNTIF('Elève (6ème2)'!EN13:EP13,"C"))*2)+((COUNTIF('Elève (6ème2)'!EN13:EP13,"D"))*1))/(COUNTA(EN13:EP13)),"")</f>
        <v/>
      </c>
      <c r="ER12" s="121" t="str">
        <f t="shared" si="33"/>
        <v/>
      </c>
      <c r="ES12" s="100"/>
      <c r="ET12" s="187"/>
      <c r="EU12" s="188"/>
      <c r="EV12" s="106" t="str">
        <f>IFERROR((((COUNTIF('Elève (6ème2)'!ES13:EU13,"A"))*4)+((COUNTIF('Elève (6ème2)'!ES13:EU13,"B"))*3)+((COUNTIF('Elève (6ème2)'!ES13:EU13,"C"))*2)+((COUNTIF('Elève (6ème2)'!ES13:EU13,"D"))*1))/(COUNTA(ES13:EU13)),"")</f>
        <v/>
      </c>
      <c r="EW12" s="128" t="str">
        <f t="shared" si="34"/>
        <v/>
      </c>
      <c r="EX12" s="177">
        <f>IFERROR((((COUNTIF(EI13:EK13,"A")+COUNTIF(EN13:EP13,"A")+COUNTIF(ES13:EU13,"A"))*4)+((COUNTIF(EI13:EK13,"B")+COUNTIF(EN13:EP13,"B")+COUNTIF(ES13:EU13,"B"))*3)+((COUNTIF(EI13:EK13,"C")+COUNTIF(EN13:EP13,"C")+COUNTIF(ES13:EU13,"C"))*2)+((COUNTIF(EI13:EK13,"D")+COUNTIF(EN13:EP13,"D")+COUNTIF(ES13:EU13,"D"))*1))/(COUNTA(EI13:EK13)+COUNTA(EN13:EP13)+COUNTA(ES13:EU13)),"")</f>
        <v>2</v>
      </c>
      <c r="EY12" s="130" t="str">
        <f t="shared" si="35"/>
        <v>C</v>
      </c>
      <c r="EZ12" s="152"/>
      <c r="FA12" s="185"/>
      <c r="FB12" s="185"/>
      <c r="FC12" s="106">
        <f>IFERROR((((COUNTIF('Elève (6ème2)'!EZ13:FB13,"A"))*4)+((COUNTIF('Elève (6ème2)'!EZ13:FB13,"B"))*3)+((COUNTIF('Elève (6ème2)'!EZ13:FB13,"C"))*2)+((COUNTIF('Elève (6ème2)'!EZ13:FB13,"D"))*1))/(COUNTA(EZ13:FB13)),"")</f>
        <v>3</v>
      </c>
      <c r="FD12" s="107" t="str">
        <f t="shared" si="36"/>
        <v>B</v>
      </c>
      <c r="FE12" s="204"/>
      <c r="FF12" s="186"/>
      <c r="FG12" s="205"/>
      <c r="FH12" s="106" t="str">
        <f>IFERROR((((COUNTIF('Elève (6ème2)'!FE13:FG13,"A"))*4)+((COUNTIF('Elève (6ème2)'!FE13:FG13,"B"))*3)+((COUNTIF('Elève (6ème2)'!FE13:FG13,"C"))*2)+((COUNTIF('Elève (6ème2)'!FE13:FG13,"D"))*1))/(COUNTA(FE13:FG13)),"")</f>
        <v/>
      </c>
      <c r="FI12" s="121" t="str">
        <f t="shared" si="37"/>
        <v/>
      </c>
      <c r="FJ12" s="100"/>
      <c r="FK12" s="187"/>
      <c r="FL12" s="188"/>
      <c r="FM12" s="106" t="str">
        <f>IFERROR((((COUNTIF('Elève (6ème2)'!FJ13:FL13,"A"))*4)+((COUNTIF('Elève (6ème2)'!FJ13:FL13,"B"))*3)+((COUNTIF('Elève (6ème2)'!FJ13:FL13,"C"))*2)+((COUNTIF('Elève (6ème2)'!FJ13:FL13,"D"))*1))/(COUNTA(FJ13:FL13)),"")</f>
        <v/>
      </c>
      <c r="FN12" s="128" t="str">
        <f t="shared" si="38"/>
        <v/>
      </c>
      <c r="FO12" s="177">
        <f>IFERROR((((COUNTIF(EZ13:FB13,"A")+COUNTIF(FE13:FG13,"A")+COUNTIF(FJ13:FL13,"A"))*4)+((COUNTIF(EZ13:FB13,"B")+COUNTIF(FE13:FG13,"B")+COUNTIF(FJ13:FL13,"B"))*3)+((COUNTIF(EZ13:FB13,"C")+COUNTIF(FE13:FG13,"C")+COUNTIF(FJ13:FL13,"C"))*2)+((COUNTIF(EZ13:FB13,"D")+COUNTIF(FE13:FG13,"D")+COUNTIF(FJ13:FL13,"D"))*1))/(COUNTA(EZ13:FB13)+COUNTA(FE13:FG13)+COUNTA(FJ13:FL13)),"")</f>
        <v>3</v>
      </c>
      <c r="FP12" s="130" t="str">
        <f t="shared" si="39"/>
        <v>B</v>
      </c>
      <c r="FQ12" s="152"/>
      <c r="FR12" s="185"/>
      <c r="FS12" s="185"/>
      <c r="FT12" s="106">
        <f>IFERROR((((COUNTIF('Elève (6ème2)'!FQ13:FS13,"A"))*4)+((COUNTIF('Elève (6ème2)'!FQ13:FS13,"B"))*3)+((COUNTIF('Elève (6ème2)'!FQ13:FS13,"C"))*2)+((COUNTIF('Elève (6ème2)'!FQ13:FS13,"D"))*1))/(COUNTA(FQ13:FS13)),"")</f>
        <v>3</v>
      </c>
      <c r="FU12" s="107" t="str">
        <f t="shared" si="40"/>
        <v>B</v>
      </c>
      <c r="FV12" s="204"/>
      <c r="FW12" s="186"/>
      <c r="FX12" s="205"/>
      <c r="FY12" s="106" t="str">
        <f>IFERROR((((COUNTIF('Elève (6ème2)'!FV13:FX13,"A"))*4)+((COUNTIF('Elève (6ème2)'!FV13:FX13,"B"))*3)+((COUNTIF('Elève (6ème2)'!FV13:FX13,"C"))*2)+((COUNTIF('Elève (6ème2)'!FV13:FX13,"D"))*1))/(COUNTA(FV13:FX13)),"")</f>
        <v/>
      </c>
      <c r="FZ12" s="121" t="str">
        <f t="shared" si="41"/>
        <v/>
      </c>
      <c r="GA12" s="100"/>
      <c r="GB12" s="187"/>
      <c r="GC12" s="188"/>
      <c r="GD12" s="106" t="str">
        <f>IFERROR((((COUNTIF('Elève (6ème2)'!GA13:GC13,"A"))*4)+((COUNTIF('Elève (6ème2)'!GA13:GC13,"B"))*3)+((COUNTIF('Elève (6ème2)'!GA13:GC13,"C"))*2)+((COUNTIF('Elève (6ème2)'!GA13:GC13,"D"))*1))/(COUNTA(GA13:GC13)),"")</f>
        <v/>
      </c>
      <c r="GE12" s="128" t="str">
        <f t="shared" si="42"/>
        <v/>
      </c>
      <c r="GF12" s="177">
        <f>IFERROR((((COUNTIF(FQ13:FS13,"A")+COUNTIF(FV13:FX13,"A")+COUNTIF(GA13:GC13,"A"))*4)+((COUNTIF(FQ13:FS13,"B")+COUNTIF(FV13:FX13,"B")+COUNTIF(GA13:GC13,"B"))*3)+((COUNTIF(FQ13:FS13,"C")+COUNTIF(FV13:FX13,"C")+COUNTIF(GA13:GC13,"C"))*2)+((COUNTIF(FQ13:FS13,"D")+COUNTIF(FV13:FX13,"D")+COUNTIF(GA13:GC13,"D"))*1))/(COUNTA(FQ13:FS13)+COUNTA(FV13:FX13)+COUNTA(GA13:GC13)),"")</f>
        <v>3</v>
      </c>
      <c r="GG12" s="130" t="str">
        <f t="shared" si="43"/>
        <v>B</v>
      </c>
      <c r="GH12" s="152"/>
      <c r="GI12" s="185"/>
      <c r="GJ12" s="185"/>
      <c r="GK12" s="106">
        <f>IFERROR((((COUNTIF('Elève (6ème2)'!GH13:GJ13,"A"))*4)+((COUNTIF('Elève (6ème2)'!GH13:GJ13,"B"))*3)+((COUNTIF('Elève (6ème2)'!GH13:GJ13,"C"))*2)+((COUNTIF('Elève (6ème2)'!GH13:GJ13,"D"))*1))/(COUNTA(GH13:GJ13)),"")</f>
        <v>2</v>
      </c>
      <c r="GL12" s="107" t="str">
        <f t="shared" si="44"/>
        <v>C</v>
      </c>
      <c r="GM12" s="204"/>
      <c r="GN12" s="186"/>
      <c r="GO12" s="205"/>
      <c r="GP12" s="106" t="str">
        <f>IFERROR((((COUNTIF('Elève (6ème2)'!GM13:GO13,"A"))*4)+((COUNTIF('Elève (6ème2)'!GM13:GO13,"B"))*3)+((COUNTIF('Elève (6ème2)'!GM13:GO13,"C"))*2)+((COUNTIF('Elève (6ème2)'!GM13:GO13,"D"))*1))/(COUNTA(GM13:GO13)),"")</f>
        <v/>
      </c>
      <c r="GQ12" s="121" t="str">
        <f t="shared" si="45"/>
        <v/>
      </c>
      <c r="GR12" s="100"/>
      <c r="GS12" s="187"/>
      <c r="GT12" s="188"/>
      <c r="GU12" s="106" t="str">
        <f>IFERROR((((COUNTIF('Elève (6ème2)'!GR13:GT13,"A"))*4)+((COUNTIF('Elève (6ème2)'!GR13:GT13,"B"))*3)+((COUNTIF('Elève (6ème2)'!GR13:GT13,"C"))*2)+((COUNTIF('Elève (6ème2)'!GR13:GT13,"D"))*1))/(COUNTA(GR13:GT13)),"")</f>
        <v/>
      </c>
      <c r="GV12" s="128" t="str">
        <f t="shared" si="46"/>
        <v/>
      </c>
      <c r="GW12" s="177">
        <f>IFERROR((((COUNTIF(GH13:GJ13,"A")+COUNTIF(GM13:GO13,"A")+COUNTIF(GR13:GT13,"A"))*4)+((COUNTIF(GH13:GJ13,"B")+COUNTIF(GM13:GO13,"B")+COUNTIF(GR13:GT13,"B"))*3)+((COUNTIF(GH13:GJ13,"C")+COUNTIF(GM13:GO13,"C")+COUNTIF(GR13:GT13,"C"))*2)+((COUNTIF(GH13:GJ13,"D")+COUNTIF(GM13:GO13,"D")+COUNTIF(GR13:GT13,"D"))*1))/(COUNTA(GH13:GJ13)+COUNTA(GM13:GO13)+COUNTA(GR13:GT13)),"")</f>
        <v>2</v>
      </c>
      <c r="GX12" s="130" t="str">
        <f t="shared" si="47"/>
        <v>C</v>
      </c>
      <c r="GY12" s="152"/>
      <c r="GZ12" s="185"/>
      <c r="HA12" s="185"/>
      <c r="HB12" s="106">
        <f>IFERROR((((COUNTIF('Elève (6ème2)'!GY13:HA13,"A"))*4)+((COUNTIF('Elève (6ème2)'!GY13:HA13,"B"))*3)+((COUNTIF('Elève (6ème2)'!GY13:HA13,"C"))*2)+((COUNTIF('Elève (6ème2)'!GY13:HA13,"D"))*1))/(COUNTA(GY13:HA13)),"")</f>
        <v>3</v>
      </c>
      <c r="HC12" s="107" t="str">
        <f t="shared" si="48"/>
        <v>B</v>
      </c>
      <c r="HD12" s="204"/>
      <c r="HE12" s="186"/>
      <c r="HF12" s="205"/>
      <c r="HG12" s="106" t="str">
        <f>IFERROR((((COUNTIF('Elève (6ème2)'!HD13:HF13,"A"))*4)+((COUNTIF('Elève (6ème2)'!HD13:HF13,"B"))*3)+((COUNTIF('Elève (6ème2)'!HD13:HF13,"C"))*2)+((COUNTIF('Elève (6ème2)'!HD13:HF13,"D"))*1))/(COUNTA(HD13:HF13)),"")</f>
        <v/>
      </c>
      <c r="HH12" s="121" t="str">
        <f t="shared" si="49"/>
        <v/>
      </c>
      <c r="HI12" s="100"/>
      <c r="HJ12" s="187"/>
      <c r="HK12" s="188"/>
      <c r="HL12" s="106" t="str">
        <f>IFERROR((((COUNTIF('Elève (6ème2)'!HI13:HK13,"A"))*4)+((COUNTIF('Elève (6ème2)'!HI13:HK13,"B"))*3)+((COUNTIF('Elève (6ème2)'!HI13:HK13,"C"))*2)+((COUNTIF('Elève (6ème2)'!HI13:HK13,"D"))*1))/(COUNTA(HI13:HK13)),"")</f>
        <v/>
      </c>
      <c r="HM12" s="128" t="str">
        <f t="shared" si="50"/>
        <v/>
      </c>
      <c r="HN12" s="177">
        <f>IFERROR((((COUNTIF(GY13:HA13,"A")+COUNTIF(HD13:HF13,"A")+COUNTIF(HI13:HK13,"A"))*4)+((COUNTIF(GY13:HA13,"B")+COUNTIF(HD13:HF13,"B")+COUNTIF(HI13:HK13,"B"))*3)+((COUNTIF(GY13:HA13,"C")+COUNTIF(HD13:HF13,"C")+COUNTIF(HI13:HK13,"C"))*2)+((COUNTIF(GY13:HA13,"D")+COUNTIF(HD13:HF13,"D")+COUNTIF(HI13:HK13,"D"))*1))/(COUNTA(GY13:HA13)+COUNTA(HD13:HF13)+COUNTA(HI13:HK13)),"")</f>
        <v>3</v>
      </c>
      <c r="HO12" s="130" t="str">
        <f t="shared" si="51"/>
        <v>B</v>
      </c>
      <c r="HP12" s="152"/>
      <c r="HQ12" s="185"/>
      <c r="HR12" s="185"/>
      <c r="HS12" s="106">
        <f>IFERROR((((COUNTIF('Elève (6ème2)'!HP13:HR13,"A"))*4)+((COUNTIF('Elève (6ème2)'!HP13:HR13,"B"))*3)+((COUNTIF('Elève (6ème2)'!HP13:HR13,"C"))*2)+((COUNTIF('Elève (6ème2)'!HP13:HR13,"D"))*1))/(COUNTA(HP13:HR13)),"")</f>
        <v>3</v>
      </c>
      <c r="HT12" s="107" t="str">
        <f t="shared" si="52"/>
        <v>B</v>
      </c>
      <c r="HU12" s="204"/>
      <c r="HV12" s="186"/>
      <c r="HW12" s="205"/>
      <c r="HX12" s="106" t="str">
        <f>IFERROR((((COUNTIF('Elève (6ème2)'!HU13:HW13,"A"))*4)+((COUNTIF('Elève (6ème2)'!HU13:HW13,"B"))*3)+((COUNTIF('Elève (6ème2)'!HU13:HW13,"C"))*2)+((COUNTIF('Elève (6ème2)'!HU13:HW13,"D"))*1))/(COUNTA(HU13:HW13)),"")</f>
        <v/>
      </c>
      <c r="HY12" s="121" t="str">
        <f t="shared" si="53"/>
        <v/>
      </c>
      <c r="HZ12" s="100"/>
      <c r="IA12" s="187"/>
      <c r="IB12" s="188"/>
      <c r="IC12" s="106" t="str">
        <f>IFERROR((((COUNTIF('Elève (6ème2)'!HZ13:IB13,"A"))*4)+((COUNTIF('Elève (6ème2)'!HZ13:IB13,"B"))*3)+((COUNTIF('Elève (6ème2)'!HZ13:IB13,"C"))*2)+((COUNTIF('Elève (6ème2)'!HZ13:IB13,"D"))*1))/(COUNTA(HZ13:IB13)),"")</f>
        <v/>
      </c>
      <c r="ID12" s="128" t="str">
        <f t="shared" si="54"/>
        <v/>
      </c>
      <c r="IE12" s="177">
        <f>IFERROR((((COUNTIF(HP13:HR13,"A")+COUNTIF(HU13:HW13,"A")+COUNTIF(HZ13:IB13,"A"))*4)+((COUNTIF(HP13:HR13,"B")+COUNTIF(HU13:HW13,"B")+COUNTIF(HZ13:IB13,"B"))*3)+((COUNTIF(HP13:HR13,"C")+COUNTIF(HU13:HW13,"C")+COUNTIF(HZ13:IB13,"C"))*2)+((COUNTIF(HP13:HR13,"D")+COUNTIF(HU13:HW13,"D")+COUNTIF(HZ13:IB13,"D"))*1))/(COUNTA(HP13:HR13)+COUNTA(HU13:HW13)+COUNTA(HZ13:IB13)),"")</f>
        <v>3</v>
      </c>
      <c r="IF12" s="130" t="str">
        <f t="shared" si="55"/>
        <v>B</v>
      </c>
      <c r="IG12" s="152"/>
      <c r="IH12" s="185"/>
      <c r="II12" s="185"/>
      <c r="IJ12" s="106">
        <f>IFERROR((((COUNTIF('Elève (6ème2)'!IG13:II13,"A"))*4)+((COUNTIF('Elève (6ème2)'!IG13:II13,"B"))*3)+((COUNTIF('Elève (6ème2)'!IG13:II13,"C"))*2)+((COUNTIF('Elève (6ème2)'!IG13:II13,"D"))*1))/(COUNTA(IG13:II13)),"")</f>
        <v>3</v>
      </c>
      <c r="IK12" s="107" t="str">
        <f t="shared" si="56"/>
        <v>B</v>
      </c>
      <c r="IL12" s="204"/>
      <c r="IM12" s="186"/>
      <c r="IN12" s="205"/>
      <c r="IO12" s="106" t="str">
        <f>IFERROR((((COUNTIF('Elève (6ème2)'!IL13:IN13,"A"))*4)+((COUNTIF('Elève (6ème2)'!IL13:IN13,"B"))*3)+((COUNTIF('Elève (6ème2)'!IL13:IN13,"C"))*2)+((COUNTIF('Elève (6ème2)'!IL13:IN13,"D"))*1))/(COUNTA(IL13:IN13)),"")</f>
        <v/>
      </c>
      <c r="IP12" s="121" t="str">
        <f t="shared" si="57"/>
        <v/>
      </c>
      <c r="IQ12" s="100"/>
      <c r="IR12" s="187"/>
      <c r="IS12" s="188"/>
      <c r="IT12" s="106" t="str">
        <f>IFERROR((((COUNTIF('Elève (6ème2)'!IQ13:IS13,"A"))*4)+((COUNTIF('Elève (6ème2)'!IQ13:IS13,"B"))*3)+((COUNTIF('Elève (6ème2)'!IQ13:IS13,"C"))*2)+((COUNTIF('Elève (6ème2)'!IQ13:IS13,"D"))*1))/(COUNTA(IQ13:IS13)),"")</f>
        <v/>
      </c>
      <c r="IU12" s="128" t="str">
        <f t="shared" si="58"/>
        <v/>
      </c>
      <c r="IV12" s="177">
        <f>IFERROR((((COUNTIF(IG13:II13,"A")+COUNTIF(IL13:IN13,"A")+COUNTIF(IQ13:IS13,"A"))*4)+((COUNTIF(IG13:II13,"B")+COUNTIF(IL13:IN13,"B")+COUNTIF(IQ13:IS13,"B"))*3)+((COUNTIF(IG13:II13,"C")+COUNTIF(IL13:IN13,"C")+COUNTIF(IQ13:IS13,"C"))*2)+((COUNTIF(IG13:II13,"D")+COUNTIF(IL13:IN13,"D")+COUNTIF(IQ13:IS13,"D"))*1))/(COUNTA(IG13:II13)+COUNTA(IL13:IN13)+COUNTA(IQ13:IS13)),"")</f>
        <v>3</v>
      </c>
      <c r="IW12" s="130" t="str">
        <f t="shared" si="59"/>
        <v>B</v>
      </c>
      <c r="IX12" s="152"/>
      <c r="IY12" s="185"/>
      <c r="IZ12" s="185"/>
      <c r="JA12" s="106">
        <f>IFERROR((((COUNTIF('Elève (6ème2)'!IX13:IZ13,"A"))*4)+((COUNTIF('Elève (6ème2)'!IX13:IZ13,"B"))*3)+((COUNTIF('Elève (6ème2)'!IX13:IZ13,"C"))*2)+((COUNTIF('Elève (6ème2)'!IX13:IZ13,"D"))*1))/(COUNTA(IX13:IZ13)),"")</f>
        <v>3</v>
      </c>
      <c r="JB12" s="107" t="str">
        <f t="shared" si="60"/>
        <v>B</v>
      </c>
      <c r="JC12" s="204"/>
      <c r="JD12" s="186"/>
      <c r="JE12" s="205"/>
      <c r="JF12" s="106" t="str">
        <f>IFERROR((((COUNTIF('Elève (6ème2)'!JC13:JE13,"A"))*4)+((COUNTIF('Elève (6ème2)'!JC13:JE13,"B"))*3)+((COUNTIF('Elève (6ème2)'!JC13:JE13,"C"))*2)+((COUNTIF('Elève (6ème2)'!JC13:JE13,"D"))*1))/(COUNTA(JC13:JE13)),"")</f>
        <v/>
      </c>
      <c r="JG12" s="121" t="str">
        <f t="shared" si="61"/>
        <v/>
      </c>
      <c r="JH12" s="100"/>
      <c r="JI12" s="187"/>
      <c r="JJ12" s="188"/>
      <c r="JK12" s="106" t="str">
        <f>IFERROR((((COUNTIF('Elève (6ème2)'!JH13:JJ13,"A"))*4)+((COUNTIF('Elève (6ème2)'!JH13:JJ13,"B"))*3)+((COUNTIF('Elève (6ème2)'!JH13:JJ13,"C"))*2)+((COUNTIF('Elève (6ème2)'!JH13:JJ13,"D"))*1))/(COUNTA(JH13:JJ13)),"")</f>
        <v/>
      </c>
      <c r="JL12" s="128" t="str">
        <f t="shared" si="62"/>
        <v/>
      </c>
      <c r="JM12" s="177">
        <f>IFERROR((((COUNTIF(IX13:IZ13,"A")+COUNTIF(JC13:JE13,"A")+COUNTIF(JH13:JJ13,"A"))*4)+((COUNTIF(IX13:IZ13,"B")+COUNTIF(JC13:JE13,"B")+COUNTIF(JH13:JJ13,"B"))*3)+((COUNTIF(IX13:IZ13,"C")+COUNTIF(JC13:JE13,"C")+COUNTIF(JH13:JJ13,"C"))*2)+((COUNTIF(IX13:IZ13,"D")+COUNTIF(JC13:JE13,"D")+COUNTIF(JH13:JJ13,"D"))*1))/(COUNTA(IX13:IZ13)+COUNTA(JC13:JE13)+COUNTA(JH13:JJ13)),"")</f>
        <v>3</v>
      </c>
      <c r="JN12" s="130" t="str">
        <f t="shared" si="63"/>
        <v>B</v>
      </c>
      <c r="JO12" s="152"/>
      <c r="JP12" s="185"/>
      <c r="JQ12" s="185"/>
      <c r="JR12" s="106">
        <f>IFERROR((((COUNTIF('Elève (6ème2)'!JO13:JQ13,"A"))*4)+((COUNTIF('Elève (6ème2)'!JO13:JQ13,"B"))*3)+((COUNTIF('Elève (6ème2)'!JO13:JQ13,"C"))*2)+((COUNTIF('Elève (6ème2)'!JO13:JQ13,"D"))*1))/(COUNTA(JO13:JQ13)),"")</f>
        <v>2</v>
      </c>
      <c r="JS12" s="107" t="str">
        <f t="shared" si="64"/>
        <v>C</v>
      </c>
      <c r="JT12" s="204"/>
      <c r="JU12" s="186"/>
      <c r="JV12" s="205"/>
      <c r="JW12" s="106" t="str">
        <f>IFERROR((((COUNTIF('Elève (6ème2)'!JT13:JV13,"A"))*4)+((COUNTIF('Elève (6ème2)'!JT13:JV13,"B"))*3)+((COUNTIF('Elève (6ème2)'!JT13:JV13,"C"))*2)+((COUNTIF('Elève (6ème2)'!JT13:JV13,"D"))*1))/(COUNTA(JT13:JV13)),"")</f>
        <v/>
      </c>
      <c r="JX12" s="121" t="str">
        <f t="shared" si="65"/>
        <v/>
      </c>
      <c r="JY12" s="100"/>
      <c r="JZ12" s="187"/>
      <c r="KA12" s="188"/>
      <c r="KB12" s="106" t="str">
        <f>IFERROR((((COUNTIF('Elève (6ème2)'!JY13:KA13,"A"))*4)+((COUNTIF('Elève (6ème2)'!JY13:KA13,"B"))*3)+((COUNTIF('Elève (6ème2)'!JY13:KA13,"C"))*2)+((COUNTIF('Elève (6ème2)'!JY13:KA13,"D"))*1))/(COUNTA(JY13:KA13)),"")</f>
        <v/>
      </c>
      <c r="KC12" s="128" t="str">
        <f t="shared" si="66"/>
        <v/>
      </c>
      <c r="KD12" s="177">
        <f>IFERROR((((COUNTIF(JO13:JQ13,"A")+COUNTIF(JT13:JV13,"A")+COUNTIF(JY13:KA13,"A"))*4)+((COUNTIF(JO13:JQ13,"B")+COUNTIF(JT13:JV13,"B")+COUNTIF(JY13:KA13,"B"))*3)+((COUNTIF(JO13:JQ13,"C")+COUNTIF(JT13:JV13,"C")+COUNTIF(JY13:KA13,"C"))*2)+((COUNTIF(JO13:JQ13,"D")+COUNTIF(JT13:JV13,"D")+COUNTIF(JY13:KA13,"D"))*1))/(COUNTA(JO13:JQ13)+COUNTA(JT13:JV13)+COUNTA(JY13:KA13)),"")</f>
        <v>2</v>
      </c>
      <c r="KE12" s="130" t="str">
        <f t="shared" si="67"/>
        <v>C</v>
      </c>
      <c r="KF12" s="152"/>
      <c r="KG12" s="185"/>
      <c r="KH12" s="185"/>
      <c r="KI12" s="106">
        <f>IFERROR((((COUNTIF('Elève (6ème2)'!KF13:KH13,"A"))*4)+((COUNTIF('Elève (6ème2)'!KF13:KH13,"B"))*3)+((COUNTIF('Elève (6ème2)'!KF13:KH13,"C"))*2)+((COUNTIF('Elève (6ème2)'!KF13:KH13,"D"))*1))/(COUNTA(KF13:KH13)),"")</f>
        <v>4</v>
      </c>
      <c r="KJ12" s="107" t="str">
        <f t="shared" si="68"/>
        <v>A</v>
      </c>
      <c r="KK12" s="204"/>
      <c r="KL12" s="186"/>
      <c r="KM12" s="205"/>
      <c r="KN12" s="106" t="str">
        <f>IFERROR((((COUNTIF('Elève (6ème2)'!KK13:KM13,"A"))*4)+((COUNTIF('Elève (6ème2)'!KK13:KM13,"B"))*3)+((COUNTIF('Elève (6ème2)'!KK13:KM13,"C"))*2)+((COUNTIF('Elève (6ème2)'!KK13:KM13,"D"))*1))/(COUNTA(KK13:KM13)),"")</f>
        <v/>
      </c>
      <c r="KO12" s="121" t="str">
        <f t="shared" si="69"/>
        <v/>
      </c>
      <c r="KP12" s="100"/>
      <c r="KQ12" s="187"/>
      <c r="KR12" s="188"/>
      <c r="KS12" s="106" t="str">
        <f>IFERROR((((COUNTIF('Elève (6ème2)'!KP13:KR13,"A"))*4)+((COUNTIF('Elève (6ème2)'!KP13:KR13,"B"))*3)+((COUNTIF('Elève (6ème2)'!KP13:KR13,"C"))*2)+((COUNTIF('Elève (6ème2)'!KP13:KR13,"D"))*1))/(COUNTA(KP13:KR13)),"")</f>
        <v/>
      </c>
      <c r="KT12" s="128" t="str">
        <f t="shared" si="70"/>
        <v/>
      </c>
      <c r="KU12" s="177">
        <f>IFERROR((((COUNTIF(KF13:KH13,"A")+COUNTIF(KK13:KM13,"A")+COUNTIF(KP13:KR13,"A"))*4)+((COUNTIF(KF13:KH13,"B")+COUNTIF(KK13:KM13,"B")+COUNTIF(KP13:KR13,"B"))*3)+((COUNTIF(KF13:KH13,"C")+COUNTIF(KK13:KM13,"C")+COUNTIF(KP13:KR13,"C"))*2)+((COUNTIF(KF13:KH13,"D")+COUNTIF(KK13:KM13,"D")+COUNTIF(KP13:KR13,"D"))*1))/(COUNTA(KF13:KH13)+COUNTA(KK13:KM13)+COUNTA(KP13:KR13)),"")</f>
        <v>4</v>
      </c>
      <c r="KV12" s="130" t="str">
        <f t="shared" si="71"/>
        <v>A</v>
      </c>
      <c r="KW12" s="152"/>
      <c r="KX12" s="185"/>
      <c r="KY12" s="185"/>
      <c r="KZ12" s="106">
        <f>IFERROR((((COUNTIF('Elève (6ème2)'!KW13:KY13,"A"))*4)+((COUNTIF('Elève (6ème2)'!KW13:KY13,"B"))*3)+((COUNTIF('Elève (6ème2)'!KW13:KY13,"C"))*2)+((COUNTIF('Elève (6ème2)'!KW13:KY13,"D"))*1))/(COUNTA(KW13:KY13)),"")</f>
        <v>3</v>
      </c>
      <c r="LA12" s="107" t="str">
        <f t="shared" si="72"/>
        <v>B</v>
      </c>
      <c r="LB12" s="204"/>
      <c r="LC12" s="186"/>
      <c r="LD12" s="205"/>
      <c r="LE12" s="106" t="str">
        <f>IFERROR((((COUNTIF('Elève (6ème2)'!LB13:LD13,"A"))*4)+((COUNTIF('Elève (6ème2)'!LB13:LD13,"B"))*3)+((COUNTIF('Elève (6ème2)'!LB13:LD13,"C"))*2)+((COUNTIF('Elève (6ème2)'!LB13:LD13,"D"))*1))/(COUNTA(LB13:LD13)),"")</f>
        <v/>
      </c>
      <c r="LF12" s="121" t="str">
        <f t="shared" si="73"/>
        <v/>
      </c>
      <c r="LG12" s="100"/>
      <c r="LH12" s="187"/>
      <c r="LI12" s="188"/>
      <c r="LJ12" s="106" t="str">
        <f>IFERROR((((COUNTIF('Elève (6ème2)'!LG13:LI13,"A"))*4)+((COUNTIF('Elève (6ème2)'!LG13:LI13,"B"))*3)+((COUNTIF('Elève (6ème2)'!LG13:LI13,"C"))*2)+((COUNTIF('Elève (6ème2)'!LG13:LI13,"D"))*1))/(COUNTA(LG13:LI13)),"")</f>
        <v/>
      </c>
      <c r="LK12" s="128" t="str">
        <f t="shared" si="74"/>
        <v/>
      </c>
      <c r="LL12" s="177">
        <f>IFERROR((((COUNTIF(KW13:KY13,"A")+COUNTIF(LB13:LD13,"A")+COUNTIF(LG13:LI13,"A"))*4)+((COUNTIF(KW13:KY13,"B")+COUNTIF(LB13:LD13,"B")+COUNTIF(LG13:LI13,"B"))*3)+((COUNTIF(KW13:KY13,"C")+COUNTIF(LB13:LD13,"C")+COUNTIF(LG13:LI13,"C"))*2)+((COUNTIF(KW13:KY13,"D")+COUNTIF(LB13:LD13,"D")+COUNTIF(LG13:LI13,"D"))*1))/(COUNTA(KW13:KY13)+COUNTA(LB13:LD13)+COUNTA(LG13:LI13)),"")</f>
        <v>3</v>
      </c>
      <c r="LM12" s="130" t="str">
        <f t="shared" si="75"/>
        <v>B</v>
      </c>
      <c r="LN12" s="152"/>
      <c r="LO12" s="185"/>
      <c r="LP12" s="185"/>
      <c r="LQ12" s="106">
        <f>IFERROR((((COUNTIF('Elève (6ème2)'!LN13:LP13,"A"))*4)+((COUNTIF('Elève (6ème2)'!LN13:LP13,"B"))*3)+((COUNTIF('Elève (6ème2)'!LN13:LP13,"C"))*2)+((COUNTIF('Elève (6ème2)'!LN13:LP13,"D"))*1))/(COUNTA(LN13:LP13)),"")</f>
        <v>3</v>
      </c>
      <c r="LR12" s="107" t="str">
        <f t="shared" si="76"/>
        <v>B</v>
      </c>
      <c r="LS12" s="204"/>
      <c r="LT12" s="186"/>
      <c r="LU12" s="205"/>
      <c r="LV12" s="106" t="str">
        <f>IFERROR((((COUNTIF('Elève (6ème2)'!LS13:LU13,"A"))*4)+((COUNTIF('Elève (6ème2)'!LS13:LU13,"B"))*3)+((COUNTIF('Elève (6ème2)'!LS13:LU13,"C"))*2)+((COUNTIF('Elève (6ème2)'!LS13:LU13,"D"))*1))/(COUNTA(LS13:LU13)),"")</f>
        <v/>
      </c>
      <c r="LW12" s="121" t="str">
        <f t="shared" si="77"/>
        <v/>
      </c>
      <c r="LX12" s="100"/>
      <c r="LY12" s="187"/>
      <c r="LZ12" s="188"/>
      <c r="MA12" s="106" t="str">
        <f>IFERROR((((COUNTIF('Elève (6ème2)'!LX13:LZ13,"A"))*4)+((COUNTIF('Elève (6ème2)'!LX13:LZ13,"B"))*3)+((COUNTIF('Elève (6ème2)'!LX13:LZ13,"C"))*2)+((COUNTIF('Elève (6ème2)'!LX13:LZ13,"D"))*1))/(COUNTA(LX13:LZ13)),"")</f>
        <v/>
      </c>
      <c r="MB12" s="128" t="str">
        <f t="shared" si="78"/>
        <v/>
      </c>
      <c r="MC12" s="177">
        <f>IFERROR((((COUNTIF(LN13:LP13,"A")+COUNTIF(LS13:LU13,"A")+COUNTIF(LX13:LZ13,"A"))*4)+((COUNTIF(LN13:LP13,"B")+COUNTIF(LS13:LU13,"B")+COUNTIF(LX13:LZ13,"B"))*3)+((COUNTIF(LN13:LP13,"C")+COUNTIF(LS13:LU13,"C")+COUNTIF(LX13:LZ13,"C"))*2)+((COUNTIF(LN13:LP13,"D")+COUNTIF(LS13:LU13,"D")+COUNTIF(LX13:LZ13,"D"))*1))/(COUNTA(LN13:LP13)+COUNTA(LS13:LU13)+COUNTA(LX13:LZ13)),"")</f>
        <v>3</v>
      </c>
      <c r="MD12" s="130" t="str">
        <f t="shared" si="79"/>
        <v>B</v>
      </c>
      <c r="ME12" s="152"/>
      <c r="MF12" s="185"/>
      <c r="MG12" s="185"/>
      <c r="MH12" s="106">
        <f>IFERROR((((COUNTIF('Elève (6ème2)'!ME13:MG13,"A"))*4)+((COUNTIF('Elève (6ème2)'!ME13:MG13,"B"))*3)+((COUNTIF('Elève (6ème2)'!ME13:MG13,"C"))*2)+((COUNTIF('Elève (6ème2)'!ME13:MG13,"D"))*1))/(COUNTA(ME13:MG13)),"")</f>
        <v>3</v>
      </c>
      <c r="MI12" s="107" t="str">
        <f t="shared" si="80"/>
        <v>B</v>
      </c>
      <c r="MJ12" s="204"/>
      <c r="MK12" s="186"/>
      <c r="ML12" s="205"/>
      <c r="MM12" s="106" t="str">
        <f>IFERROR((((COUNTIF('Elève (6ème2)'!MJ13:ML13,"A"))*4)+((COUNTIF('Elève (6ème2)'!MJ13:ML13,"B"))*3)+((COUNTIF('Elève (6ème2)'!MJ13:ML13,"C"))*2)+((COUNTIF('Elève (6ème2)'!MJ13:ML13,"D"))*1))/(COUNTA(MJ13:ML13)),"")</f>
        <v/>
      </c>
      <c r="MN12" s="121" t="str">
        <f t="shared" si="81"/>
        <v/>
      </c>
      <c r="MO12" s="100"/>
      <c r="MP12" s="187"/>
      <c r="MQ12" s="188"/>
      <c r="MR12" s="106" t="str">
        <f>IFERROR((((COUNTIF('Elève (6ème2)'!MO13:MQ13,"A"))*4)+((COUNTIF('Elève (6ème2)'!MO13:MQ13,"B"))*3)+((COUNTIF('Elève (6ème2)'!MO13:MQ13,"C"))*2)+((COUNTIF('Elève (6ème2)'!MO13:MQ13,"D"))*1))/(COUNTA(MO13:MQ13)),"")</f>
        <v/>
      </c>
      <c r="MS12" s="128" t="str">
        <f t="shared" si="82"/>
        <v/>
      </c>
      <c r="MT12" s="177">
        <f>IFERROR((((COUNTIF(ME13:MG13,"A")+COUNTIF(MJ13:ML13,"A")+COUNTIF(MO13:MQ13,"A"))*4)+((COUNTIF(ME13:MG13,"B")+COUNTIF(MJ13:ML13,"B")+COUNTIF(MO13:MQ13,"B"))*3)+((COUNTIF(ME13:MG13,"C")+COUNTIF(MJ13:ML13,"C")+COUNTIF(MO13:MQ13,"C"))*2)+((COUNTIF(ME13:MG13,"D")+COUNTIF(MJ13:ML13,"D")+COUNTIF(MO13:MQ13,"D"))*1))/(COUNTA(ME13:MG13)+COUNTA(MJ13:ML13)+COUNTA(MO13:MQ13)),"")</f>
        <v>3</v>
      </c>
      <c r="MU12" s="130" t="str">
        <f t="shared" si="83"/>
        <v>B</v>
      </c>
      <c r="MV12" s="152"/>
      <c r="MW12" s="185"/>
      <c r="MX12" s="185"/>
      <c r="MY12" s="106">
        <f>IFERROR((((COUNTIF('Elève (6ème2)'!MV13:MX13,"A"))*4)+((COUNTIF('Elève (6ème2)'!MV13:MX13,"B"))*3)+((COUNTIF('Elève (6ème2)'!MV13:MX13,"C"))*2)+((COUNTIF('Elève (6ème2)'!MV13:MX13,"D"))*1))/(COUNTA(MV13:MX13)),"")</f>
        <v>1</v>
      </c>
      <c r="MZ12" s="107" t="str">
        <f t="shared" si="84"/>
        <v>D</v>
      </c>
      <c r="NA12" s="204"/>
      <c r="NB12" s="186"/>
      <c r="NC12" s="205"/>
      <c r="ND12" s="106" t="str">
        <f>IFERROR((((COUNTIF('Elève (6ème2)'!NA13:NC13,"A"))*4)+((COUNTIF('Elève (6ème2)'!NA13:NC13,"B"))*3)+((COUNTIF('Elève (6ème2)'!NA13:NC13,"C"))*2)+((COUNTIF('Elève (6ème2)'!NA13:NC13,"D"))*1))/(COUNTA(NA13:NC13)),"")</f>
        <v/>
      </c>
      <c r="NE12" s="121" t="str">
        <f t="shared" si="85"/>
        <v/>
      </c>
      <c r="NF12" s="100"/>
      <c r="NG12" s="187"/>
      <c r="NH12" s="188"/>
      <c r="NI12" s="106" t="str">
        <f>IFERROR((((COUNTIF('Elève (6ème2)'!NF13:NH13,"A"))*4)+((COUNTIF('Elève (6ème2)'!NF13:NH13,"B"))*3)+((COUNTIF('Elève (6ème2)'!NF13:NH13,"C"))*2)+((COUNTIF('Elève (6ème2)'!NF13:NH13,"D"))*1))/(COUNTA(NF13:NH13)),"")</f>
        <v/>
      </c>
      <c r="NJ12" s="128" t="str">
        <f t="shared" si="86"/>
        <v/>
      </c>
      <c r="NK12" s="177">
        <f>IFERROR((((COUNTIF(MV13:MX13,"A")+COUNTIF(NA13:NC13,"A")+COUNTIF(NF13:NH13,"A"))*4)+((COUNTIF(MV13:MX13,"B")+COUNTIF(NA13:NC13,"B")+COUNTIF(NF13:NH13,"B"))*3)+((COUNTIF(MV13:MX13,"C")+COUNTIF(NA13:NC13,"C")+COUNTIF(NF13:NH13,"C"))*2)+((COUNTIF(MV13:MX13,"D")+COUNTIF(NA13:NC13,"D")+COUNTIF(NF13:NH13,"D"))*1))/(COUNTA(MV13:MX13)+COUNTA(NA13:NC13)+COUNTA(NF13:NH13)),"")</f>
        <v>1</v>
      </c>
      <c r="NL12" s="130" t="str">
        <f t="shared" si="87"/>
        <v>D</v>
      </c>
      <c r="NM12" s="152"/>
      <c r="NN12" s="185"/>
      <c r="NO12" s="185"/>
      <c r="NP12" s="106" t="str">
        <f>IFERROR((((COUNTIF('Elève (6ème2)'!NM13:NO13,"A"))*4)+((COUNTIF('Elève (6ème2)'!NM13:NO13,"B"))*3)+((COUNTIF('Elève (6ème2)'!NM13:NO13,"C"))*2)+((COUNTIF('Elève (6ème2)'!NM13:NO13,"D"))*1))/(COUNTA(NM13:NO13)),"")</f>
        <v/>
      </c>
      <c r="NQ12" s="107" t="str">
        <f t="shared" si="88"/>
        <v/>
      </c>
      <c r="NR12" s="204"/>
      <c r="NS12" s="186"/>
      <c r="NT12" s="205"/>
      <c r="NU12" s="106" t="str">
        <f>IFERROR((((COUNTIF('Elève (6ème2)'!NR13:NT13,"A"))*4)+((COUNTIF('Elève (6ème2)'!NR13:NT13,"B"))*3)+((COUNTIF('Elève (6ème2)'!NR13:NT13,"C"))*2)+((COUNTIF('Elève (6ème2)'!NR13:NT13,"D"))*1))/(COUNTA(NR13:NT13)),"")</f>
        <v/>
      </c>
      <c r="NV12" s="121" t="str">
        <f t="shared" si="89"/>
        <v/>
      </c>
      <c r="NW12" s="100"/>
      <c r="NX12" s="187"/>
      <c r="NY12" s="188"/>
      <c r="NZ12" s="106" t="str">
        <f>IFERROR((((COUNTIF('Elève (6ème2)'!NW13:NY13,"A"))*4)+((COUNTIF('Elève (6ème2)'!NW13:NY13,"B"))*3)+((COUNTIF('Elève (6ème2)'!NW13:NY13,"C"))*2)+((COUNTIF('Elève (6ème2)'!NW13:NY13,"D"))*1))/(COUNTA(NW13:NY13)),"")</f>
        <v/>
      </c>
      <c r="OA12" s="128" t="str">
        <f t="shared" si="90"/>
        <v/>
      </c>
      <c r="OB12" s="177" t="str">
        <f>IFERROR((((COUNTIF(NM13:NO13,"A")+COUNTIF(NR13:NT13,"A")+COUNTIF(NW13:NY13,"A"))*4)+((COUNTIF(NM13:NO13,"B")+COUNTIF(NR13:NT13,"B")+COUNTIF(NW13:NY13,"B"))*3)+((COUNTIF(NM13:NO13,"C")+COUNTIF(NR13:NT13,"C")+COUNTIF(NW13:NY13,"C"))*2)+((COUNTIF(NM13:NO13,"D")+COUNTIF(NR13:NT13,"D")+COUNTIF(NW13:NY13,"D"))*1))/(COUNTA(NM13:NO13)+COUNTA(NR13:NT13)+COUNTA(NW13:NY13)),"")</f>
        <v/>
      </c>
      <c r="OC12" s="130" t="str">
        <f t="shared" si="91"/>
        <v/>
      </c>
      <c r="OD12" s="152"/>
      <c r="OE12" s="185"/>
      <c r="OF12" s="185"/>
      <c r="OG12" s="106">
        <f>IFERROR((((COUNTIF('Elève (6ème2)'!OD13:OF13,"A"))*4)+((COUNTIF('Elève (6ème2)'!OD13:OF13,"B"))*3)+((COUNTIF('Elève (6ème2)'!OD13:OF13,"C"))*2)+((COUNTIF('Elève (6ème2)'!OD13:OF13,"D"))*1))/(COUNTA(OD13:OF13)),"")</f>
        <v>3</v>
      </c>
      <c r="OH12" s="107" t="str">
        <f t="shared" si="92"/>
        <v>B</v>
      </c>
      <c r="OI12" s="204"/>
      <c r="OJ12" s="186"/>
      <c r="OK12" s="205"/>
      <c r="OL12" s="106" t="str">
        <f>IFERROR((((COUNTIF('Elève (6ème2)'!OI13:OK13,"A"))*4)+((COUNTIF('Elève (6ème2)'!OI13:OK13,"B"))*3)+((COUNTIF('Elève (6ème2)'!OI13:OK13,"C"))*2)+((COUNTIF('Elève (6ème2)'!OI13:OK13,"D"))*1))/(COUNTA(OI13:OK13)),"")</f>
        <v/>
      </c>
      <c r="OM12" s="121" t="str">
        <f t="shared" si="93"/>
        <v/>
      </c>
      <c r="ON12" s="100"/>
      <c r="OO12" s="187"/>
      <c r="OP12" s="188"/>
      <c r="OQ12" s="106" t="str">
        <f>IFERROR((((COUNTIF('Elève (6ème2)'!ON13:OP13,"A"))*4)+((COUNTIF('Elève (6ème2)'!ON13:OP13,"B"))*3)+((COUNTIF('Elève (6ème2)'!ON13:OP13,"C"))*2)+((COUNTIF('Elève (6ème2)'!ON13:OP13,"D"))*1))/(COUNTA(ON13:OP13)),"")</f>
        <v/>
      </c>
      <c r="OR12" s="128" t="str">
        <f t="shared" si="94"/>
        <v/>
      </c>
      <c r="OS12" s="177">
        <f>IFERROR((((COUNTIF(OD13:OF13,"A")+COUNTIF(OI13:OK13,"A")+COUNTIF(ON13:OP13,"A"))*4)+((COUNTIF(OD13:OF13,"B")+COUNTIF(OI13:OK13,"B")+COUNTIF(ON13:OP13,"B"))*3)+((COUNTIF(OD13:OF13,"C")+COUNTIF(OI13:OK13,"C")+COUNTIF(ON13:OP13,"C"))*2)+((COUNTIF(OD13:OF13,"D")+COUNTIF(OI13:OK13,"D")+COUNTIF(ON13:OP13,"D"))*1))/(COUNTA(OD13:OF13)+COUNTA(OI13:OK13)+COUNTA(ON13:OP13)),"")</f>
        <v>3</v>
      </c>
      <c r="OT12" s="130" t="str">
        <f t="shared" si="95"/>
        <v>B</v>
      </c>
      <c r="OU12" s="152"/>
      <c r="OV12" s="185"/>
      <c r="OW12" s="185"/>
      <c r="OX12" s="106">
        <f>IFERROR((((COUNTIF('Elève (6ème2)'!OU13:OW13,"A"))*4)+((COUNTIF('Elève (6ème2)'!OU13:OW13,"B"))*3)+((COUNTIF('Elève (6ème2)'!OU13:OW13,"C"))*2)+((COUNTIF('Elève (6ème2)'!OU13:OW13,"D"))*1))/(COUNTA(OU13:OW13)),"")</f>
        <v>3</v>
      </c>
      <c r="OY12" s="107" t="str">
        <f t="shared" si="96"/>
        <v>B</v>
      </c>
      <c r="OZ12" s="204"/>
      <c r="PA12" s="186"/>
      <c r="PB12" s="205"/>
      <c r="PC12" s="106" t="str">
        <f>IFERROR((((COUNTIF('Elève (6ème2)'!OZ13:PB13,"A"))*4)+((COUNTIF('Elève (6ème2)'!OZ13:PB13,"B"))*3)+((COUNTIF('Elève (6ème2)'!OZ13:PB13,"C"))*2)+((COUNTIF('Elève (6ème2)'!OZ13:PB13,"D"))*1))/(COUNTA(OZ13:PB13)),"")</f>
        <v/>
      </c>
      <c r="PD12" s="121" t="str">
        <f t="shared" si="97"/>
        <v/>
      </c>
      <c r="PE12" s="100"/>
      <c r="PF12" s="187"/>
      <c r="PG12" s="188"/>
      <c r="PH12" s="106" t="str">
        <f>IFERROR((((COUNTIF('Elève (6ème2)'!PE13:PG13,"A"))*4)+((COUNTIF('Elève (6ème2)'!PE13:PG13,"B"))*3)+((COUNTIF('Elève (6ème2)'!PE13:PG13,"C"))*2)+((COUNTIF('Elève (6ème2)'!PE13:PG13,"D"))*1))/(COUNTA(PE13:PG13)),"")</f>
        <v/>
      </c>
      <c r="PI12" s="128" t="str">
        <f t="shared" si="98"/>
        <v/>
      </c>
      <c r="PJ12" s="177">
        <f>IFERROR((((COUNTIF(OU13:OW13,"A")+COUNTIF(OZ13:PB13,"A")+COUNTIF(PE13:PG13,"A"))*4)+((COUNTIF(OU13:OW13,"B")+COUNTIF(OZ13:PB13,"B")+COUNTIF(PE13:PG13,"B"))*3)+((COUNTIF(OU13:OW13,"C")+COUNTIF(OZ13:PB13,"C")+COUNTIF(PE13:PG13,"C"))*2)+((COUNTIF(OU13:OW13,"D")+COUNTIF(OZ13:PB13,"D")+COUNTIF(PE13:PG13,"D"))*1))/(COUNTA(OU13:OW13)+COUNTA(OZ13:PB13)+COUNTA(PE13:PG13)),"")</f>
        <v>3</v>
      </c>
      <c r="PK12" s="130" t="str">
        <f t="shared" si="99"/>
        <v>B</v>
      </c>
      <c r="PL12" s="152"/>
      <c r="PM12" s="185"/>
      <c r="PN12" s="185"/>
      <c r="PO12" s="106">
        <f>IFERROR((((COUNTIF('Elève (6ème2)'!PL13:PN13,"A"))*4)+((COUNTIF('Elève (6ème2)'!PL13:PN13,"B"))*3)+((COUNTIF('Elève (6ème2)'!PL13:PN13,"C"))*2)+((COUNTIF('Elève (6ème2)'!PL13:PN13,"D"))*1))/(COUNTA(PL13:PN13)),"")</f>
        <v>2</v>
      </c>
      <c r="PP12" s="107" t="str">
        <f t="shared" si="100"/>
        <v>C</v>
      </c>
      <c r="PQ12" s="204"/>
      <c r="PR12" s="186"/>
      <c r="PS12" s="205"/>
      <c r="PT12" s="106" t="str">
        <f>IFERROR((((COUNTIF('Elève (6ème2)'!PQ13:PS13,"A"))*4)+((COUNTIF('Elève (6ème2)'!PQ13:PS13,"B"))*3)+((COUNTIF('Elève (6ème2)'!PQ13:PS13,"C"))*2)+((COUNTIF('Elève (6ème2)'!PQ13:PS13,"D"))*1))/(COUNTA(PQ13:PS13)),"")</f>
        <v/>
      </c>
      <c r="PU12" s="121" t="str">
        <f t="shared" si="101"/>
        <v/>
      </c>
      <c r="PV12" s="100"/>
      <c r="PW12" s="187"/>
      <c r="PX12" s="188"/>
      <c r="PY12" s="106" t="str">
        <f>IFERROR((((COUNTIF('Elève (6ème2)'!PV13:PX13,"A"))*4)+((COUNTIF('Elève (6ème2)'!PV13:PX13,"B"))*3)+((COUNTIF('Elève (6ème2)'!PV13:PX13,"C"))*2)+((COUNTIF('Elève (6ème2)'!PV13:PX13,"D"))*1))/(COUNTA(PV13:PX13)),"")</f>
        <v/>
      </c>
      <c r="PZ12" s="128" t="str">
        <f t="shared" si="102"/>
        <v/>
      </c>
      <c r="QA12" s="177">
        <f>IFERROR((((COUNTIF(PL13:PN13,"A")+COUNTIF(PQ13:PS13,"A")+COUNTIF(PV13:PX13,"A"))*4)+((COUNTIF(PL13:PN13,"B")+COUNTIF(PQ13:PS13,"B")+COUNTIF(PV13:PX13,"B"))*3)+((COUNTIF(PL13:PN13,"C")+COUNTIF(PQ13:PS13,"C")+COUNTIF(PV13:PX13,"C"))*2)+((COUNTIF(PL13:PN13,"D")+COUNTIF(PQ13:PS13,"D")+COUNTIF(PV13:PX13,"D"))*1))/(COUNTA(PL13:PN13)+COUNTA(PQ13:PS13)+COUNTA(PV13:PX13)),"")</f>
        <v>2</v>
      </c>
      <c r="QB12" s="130" t="str">
        <f t="shared" si="103"/>
        <v>C</v>
      </c>
      <c r="QC12" s="152"/>
      <c r="QD12" s="185"/>
      <c r="QE12" s="185"/>
      <c r="QF12" s="106">
        <f>IFERROR((((COUNTIF('Elève (6ème2)'!QC13:QE13,"A"))*4)+((COUNTIF('Elève (6ème2)'!QC13:QE13,"B"))*3)+((COUNTIF('Elève (6ème2)'!QC13:QE13,"C"))*2)+((COUNTIF('Elève (6ème2)'!QC13:QE13,"D"))*1))/(COUNTA(QC13:QE13)),"")</f>
        <v>2</v>
      </c>
      <c r="QG12" s="107" t="str">
        <f t="shared" si="104"/>
        <v>C</v>
      </c>
      <c r="QH12" s="204"/>
      <c r="QI12" s="186"/>
      <c r="QJ12" s="205"/>
      <c r="QK12" s="106" t="str">
        <f>IFERROR((((COUNTIF('Elève (6ème2)'!QH13:QJ13,"A"))*4)+((COUNTIF('Elève (6ème2)'!QH13:QJ13,"B"))*3)+((COUNTIF('Elève (6ème2)'!QH13:QJ13,"C"))*2)+((COUNTIF('Elève (6ème2)'!QH13:QJ13,"D"))*1))/(COUNTA(QH13:QJ13)),"")</f>
        <v/>
      </c>
      <c r="QL12" s="121" t="str">
        <f t="shared" si="105"/>
        <v/>
      </c>
      <c r="QM12" s="100"/>
      <c r="QN12" s="187"/>
      <c r="QO12" s="188"/>
      <c r="QP12" s="106" t="str">
        <f>IFERROR((((COUNTIF('Elève (6ème2)'!QM13:QO13,"A"))*4)+((COUNTIF('Elève (6ème2)'!QM13:QO13,"B"))*3)+((COUNTIF('Elève (6ème2)'!QM13:QO13,"C"))*2)+((COUNTIF('Elève (6ème2)'!QM13:QO13,"D"))*1))/(COUNTA(QM13:QO13)),"")</f>
        <v/>
      </c>
      <c r="QQ12" s="128" t="str">
        <f t="shared" si="106"/>
        <v/>
      </c>
      <c r="QR12" s="177">
        <f>IFERROR((((COUNTIF(QC13:QE13,"A")+COUNTIF(QH13:QJ13,"A")+COUNTIF(QM13:QO13,"A"))*4)+((COUNTIF(QC13:QE13,"B")+COUNTIF(QH13:QJ13,"B")+COUNTIF(QM13:QO13,"B"))*3)+((COUNTIF(QC13:QE13,"C")+COUNTIF(QH13:QJ13,"C")+COUNTIF(QM13:QO13,"C"))*2)+((COUNTIF(QC13:QE13,"D")+COUNTIF(QH13:QJ13,"D")+COUNTIF(QM13:QO13,"D"))*1))/(COUNTA(QC13:QE13)+COUNTA(QH13:QJ13)+COUNTA(QM13:QO13)),"")</f>
        <v>2</v>
      </c>
      <c r="QS12" s="130" t="str">
        <f t="shared" si="107"/>
        <v>C</v>
      </c>
      <c r="QT12" s="152"/>
      <c r="QU12" s="185"/>
      <c r="QV12" s="185"/>
      <c r="QW12" s="106" t="str">
        <f>IFERROR((((COUNTIF('Elève (6ème2)'!QT13:QV13,"A"))*4)+((COUNTIF('Elève (6ème2)'!QT13:QV13,"B"))*3)+((COUNTIF('Elève (6ème2)'!QT13:QV13,"C"))*2)+((COUNTIF('Elève (6ème2)'!QT13:QV13,"D"))*1))/(COUNTA(QT13:QV13)),"")</f>
        <v/>
      </c>
      <c r="QX12" s="107" t="str">
        <f t="shared" si="108"/>
        <v/>
      </c>
      <c r="QY12" s="204"/>
      <c r="QZ12" s="186"/>
      <c r="RA12" s="205"/>
      <c r="RB12" s="106" t="str">
        <f>IFERROR((((COUNTIF('Elève (6ème2)'!QY13:RA13,"A"))*4)+((COUNTIF('Elève (6ème2)'!QY13:RA13,"B"))*3)+((COUNTIF('Elève (6ème2)'!QY13:RA13,"C"))*2)+((COUNTIF('Elève (6ème2)'!QY13:RA13,"D"))*1))/(COUNTA(QY13:RA13)),"")</f>
        <v/>
      </c>
      <c r="RC12" s="121" t="str">
        <f t="shared" si="109"/>
        <v/>
      </c>
      <c r="RD12" s="100"/>
      <c r="RE12" s="187"/>
      <c r="RF12" s="188"/>
      <c r="RG12" s="106" t="str">
        <f>IFERROR((((COUNTIF('Elève (6ème2)'!RD13:RF13,"A"))*4)+((COUNTIF('Elève (6ème2)'!RD13:RF13,"B"))*3)+((COUNTIF('Elève (6ème2)'!RD13:RF13,"C"))*2)+((COUNTIF('Elève (6ème2)'!RD13:RF13,"D"))*1))/(COUNTA(RD13:RF13)),"")</f>
        <v/>
      </c>
      <c r="RH12" s="128" t="str">
        <f t="shared" si="110"/>
        <v/>
      </c>
      <c r="RI12" s="177" t="str">
        <f>IFERROR((((COUNTIF(QT13:QV13,"A")+COUNTIF(QY13:RA13,"A")+COUNTIF(RD13:RF13,"A"))*4)+((COUNTIF(QT13:QV13,"B")+COUNTIF(QY13:RA13,"B")+COUNTIF(RD13:RF13,"B"))*3)+((COUNTIF(QT13:QV13,"C")+COUNTIF(QY13:RA13,"C")+COUNTIF(RD13:RF13,"C"))*2)+((COUNTIF(QT13:QV13,"D")+COUNTIF(QY13:RA13,"D")+COUNTIF(RD13:RF13,"D"))*1))/(COUNTA(QT13:QV13)+COUNTA(QY13:RA13)+COUNTA(RD13:RF13)),"")</f>
        <v/>
      </c>
      <c r="RJ12" s="130" t="str">
        <f t="shared" si="111"/>
        <v/>
      </c>
      <c r="RK12" s="152"/>
      <c r="RL12" s="185"/>
      <c r="RM12" s="185"/>
      <c r="RN12" s="106" t="str">
        <f>IFERROR((((COUNTIF('Elève (6ème2)'!RK13:RM13,"A"))*4)+((COUNTIF('Elève (6ème2)'!RK13:RM13,"B"))*3)+((COUNTIF('Elève (6ème2)'!RK13:RM13,"C"))*2)+((COUNTIF('Elève (6ème2)'!RK13:RM13,"D"))*1))/(COUNTA(RK13:RM13)),"")</f>
        <v/>
      </c>
      <c r="RO12" s="107" t="str">
        <f t="shared" si="112"/>
        <v/>
      </c>
      <c r="RP12" s="204"/>
      <c r="RQ12" s="186"/>
      <c r="RR12" s="205"/>
      <c r="RS12" s="106" t="str">
        <f>IFERROR((((COUNTIF('Elève (6ème2)'!RP13:RR13,"A"))*4)+((COUNTIF('Elève (6ème2)'!RP13:RR13,"B"))*3)+((COUNTIF('Elève (6ème2)'!RP13:RR13,"C"))*2)+((COUNTIF('Elève (6ème2)'!RP13:RR13,"D"))*1))/(COUNTA(RP13:RR13)),"")</f>
        <v/>
      </c>
      <c r="RT12" s="121" t="str">
        <f t="shared" si="113"/>
        <v/>
      </c>
      <c r="RU12" s="100"/>
      <c r="RV12" s="187"/>
      <c r="RW12" s="188"/>
      <c r="RX12" s="106" t="str">
        <f>IFERROR((((COUNTIF('Elève (6ème2)'!RU13:RW13,"A"))*4)+((COUNTIF('Elève (6ème2)'!RU13:RW13,"B"))*3)+((COUNTIF('Elève (6ème2)'!RU13:RW13,"C"))*2)+((COUNTIF('Elève (6ème2)'!RU13:RW13,"D"))*1))/(COUNTA(RU13:RW13)),"")</f>
        <v/>
      </c>
      <c r="RY12" s="128" t="str">
        <f t="shared" si="114"/>
        <v/>
      </c>
      <c r="RZ12" s="177" t="str">
        <f>IFERROR((((COUNTIF(RK13:RM13,"A")+COUNTIF(RP13:RR13,"A")+COUNTIF(RU13:RW13,"A"))*4)+((COUNTIF(RK13:RM13,"B")+COUNTIF(RP13:RR13,"B")+COUNTIF(RU13:RW13,"B"))*3)+((COUNTIF(RK13:RM13,"C")+COUNTIF(RP13:RR13,"C")+COUNTIF(RU13:RW13,"C"))*2)+((COUNTIF(RK13:RM13,"D")+COUNTIF(RP13:RR13,"D")+COUNTIF(RU13:RW13,"D"))*1))/(COUNTA(RK13:RM13)+COUNTA(RP13:RR13)+COUNTA(RU13:RW13)),"")</f>
        <v/>
      </c>
      <c r="SA12" s="130" t="str">
        <f t="shared" si="115"/>
        <v/>
      </c>
      <c r="SB12" s="152"/>
      <c r="SC12" s="185"/>
      <c r="SD12" s="185"/>
      <c r="SE12" s="106" t="str">
        <f>IFERROR((((COUNTIF('Elève (6ème2)'!SB13:SD13,"A"))*4)+((COUNTIF('Elève (6ème2)'!SB13:SD13,"B"))*3)+((COUNTIF('Elève (6ème2)'!SB13:SD13,"C"))*2)+((COUNTIF('Elève (6ème2)'!SB13:SD13,"D"))*1))/(COUNTA(SB13:SD13)),"")</f>
        <v/>
      </c>
      <c r="SF12" s="107" t="str">
        <f t="shared" si="116"/>
        <v/>
      </c>
      <c r="SG12" s="204"/>
      <c r="SH12" s="186"/>
      <c r="SI12" s="205"/>
      <c r="SJ12" s="106" t="str">
        <f>IFERROR((((COUNTIF('Elève (6ème2)'!SG13:SI13,"A"))*4)+((COUNTIF('Elève (6ème2)'!SG13:SI13,"B"))*3)+((COUNTIF('Elève (6ème2)'!SG13:SI13,"C"))*2)+((COUNTIF('Elève (6ème2)'!SG13:SI13,"D"))*1))/(COUNTA(SG13:SI13)),"")</f>
        <v/>
      </c>
      <c r="SK12" s="121" t="str">
        <f t="shared" si="117"/>
        <v/>
      </c>
      <c r="SL12" s="100"/>
      <c r="SM12" s="187"/>
      <c r="SN12" s="188"/>
      <c r="SO12" s="106" t="str">
        <f>IFERROR((((COUNTIF('Elève (6ème2)'!SL13:SN13,"A"))*4)+((COUNTIF('Elève (6ème2)'!SL13:SN13,"B"))*3)+((COUNTIF('Elève (6ème2)'!SL13:SN13,"C"))*2)+((COUNTIF('Elève (6ème2)'!SL13:SN13,"D"))*1))/(COUNTA(SL13:SN13)),"")</f>
        <v/>
      </c>
      <c r="SP12" s="128" t="str">
        <f t="shared" si="118"/>
        <v/>
      </c>
      <c r="SQ12" s="177" t="str">
        <f>IFERROR((((COUNTIF(SB13:SD13,"A")+COUNTIF(SG13:SI13,"A")+COUNTIF(SL13:SN13,"A"))*4)+((COUNTIF(SB13:SD13,"B")+COUNTIF(SG13:SI13,"B")+COUNTIF(SL13:SN13,"B"))*3)+((COUNTIF(SB13:SD13,"C")+COUNTIF(SG13:SI13,"C")+COUNTIF(SL13:SN13,"C"))*2)+((COUNTIF(SB13:SD13,"D")+COUNTIF(SG13:SI13,"D")+COUNTIF(SL13:SN13,"D"))*1))/(COUNTA(SB13:SD13)+COUNTA(SG13:SI13)+COUNTA(SL13:SN13)),"")</f>
        <v/>
      </c>
      <c r="SR12" s="130" t="str">
        <f t="shared" si="119"/>
        <v/>
      </c>
    </row>
    <row r="13" spans="1:512" s="72" customFormat="1" ht="18" customHeight="1" thickBot="1" x14ac:dyDescent="0.3">
      <c r="A13" s="240" t="s">
        <v>16</v>
      </c>
      <c r="B13" s="241"/>
      <c r="C13" s="156"/>
      <c r="D13" s="157" t="s">
        <v>26</v>
      </c>
      <c r="E13" s="158"/>
      <c r="F13" s="108">
        <f>IFERROR((((COUNTIF('Elève (6ème2)'!C13:E13,"A"))*4)+((COUNTIF('Elève (6ème2)'!C13:E13,"B"))*3)+((COUNTIF('Elève (6ème2)'!C13:E13,"C"))*2)+((COUNTIF('Elève (6ème2)'!C13:E13,"D"))*1))/(COUNTA(C13:E13)),"")</f>
        <v>2</v>
      </c>
      <c r="G13" s="109" t="str">
        <f t="shared" si="0"/>
        <v>C</v>
      </c>
      <c r="H13" s="81"/>
      <c r="I13" s="82"/>
      <c r="J13" s="83"/>
      <c r="K13" s="108" t="str">
        <f>IFERROR((((COUNTIF('Elève (6ème2)'!H13:J13,"A"))*4)+((COUNTIF('Elève (6ème2)'!H13:J13,"B"))*3)+((COUNTIF('Elève (6ème2)'!H13:J13,"C"))*2)+((COUNTIF('Elève (6ème2)'!H13:J13,"D"))*1))/(COUNTA(H13:J13)),"")</f>
        <v/>
      </c>
      <c r="L13" s="109" t="str">
        <f t="shared" si="1"/>
        <v/>
      </c>
      <c r="M13" s="81"/>
      <c r="N13" s="82"/>
      <c r="O13" s="83"/>
      <c r="P13" s="108" t="str">
        <f>IFERROR((((COUNTIF('Elève (6ème2)'!M13:O13,"A"))*4)+((COUNTIF('Elève (6ème2)'!M13:O13,"B"))*3)+((COUNTIF('Elève (6ème2)'!M13:O13,"C"))*2)+((COUNTIF('Elève (6ème2)'!M13:O13,"D"))*1))/(COUNTA(M13:O13)),"")</f>
        <v/>
      </c>
      <c r="Q13" s="139" t="str">
        <f t="shared" si="2"/>
        <v/>
      </c>
      <c r="R13" s="178">
        <f>IF(COUNT(F13,K13,P13)=0,"",SUM(F13,K13,P13)/COUNT(F13,K13,P13))</f>
        <v>2</v>
      </c>
      <c r="S13" s="131" t="str">
        <f t="shared" si="3"/>
        <v>C</v>
      </c>
      <c r="T13" s="156"/>
      <c r="U13" s="157" t="s">
        <v>26</v>
      </c>
      <c r="V13" s="158"/>
      <c r="W13" s="108">
        <f>IFERROR((((COUNTIF('Elève (6ème2)'!T13:V13,"A"))*4)+((COUNTIF('Elève (6ème2)'!T13:V13,"B"))*3)+((COUNTIF('Elève (6ème2)'!T13:V13,"C"))*2)+((COUNTIF('Elève (6ème2)'!T13:V13,"D"))*1))/(COUNTA(T13:V13)),"")</f>
        <v>2</v>
      </c>
      <c r="X13" s="109" t="str">
        <f t="shared" si="4"/>
        <v>C</v>
      </c>
      <c r="Y13" s="81"/>
      <c r="Z13" s="82"/>
      <c r="AA13" s="83"/>
      <c r="AB13" s="108" t="str">
        <f>IFERROR((((COUNTIF('Elève (6ème2)'!Y13:AA13,"A"))*4)+((COUNTIF('Elève (6ème2)'!Y13:AA13,"B"))*3)+((COUNTIF('Elève (6ème2)'!Y13:AA13,"C"))*2)+((COUNTIF('Elève (6ème2)'!Y13:AA13,"D"))*1))/(COUNTA(Y13:AA13)),"")</f>
        <v/>
      </c>
      <c r="AC13" s="109" t="str">
        <f t="shared" si="5"/>
        <v/>
      </c>
      <c r="AD13" s="81"/>
      <c r="AE13" s="82"/>
      <c r="AF13" s="83"/>
      <c r="AG13" s="108" t="str">
        <f>IFERROR((((COUNTIF('Elève (6ème2)'!AD13:AF13,"A"))*4)+((COUNTIF('Elève (6ème2)'!AD13:AF13,"B"))*3)+((COUNTIF('Elève (6ème2)'!AD13:AF13,"C"))*2)+((COUNTIF('Elève (6ème2)'!AD13:AF13,"D"))*1))/(COUNTA(AD13:AF13)),"")</f>
        <v/>
      </c>
      <c r="AH13" s="139" t="str">
        <f t="shared" si="6"/>
        <v/>
      </c>
      <c r="AI13" s="178">
        <f>IF(COUNT(W13,AB13,AG13)=0,"",SUM(W13,AB13,AG13)/COUNT(W13,AB13,AG13))</f>
        <v>2</v>
      </c>
      <c r="AJ13" s="131" t="str">
        <f t="shared" si="7"/>
        <v>C</v>
      </c>
      <c r="AK13" s="156"/>
      <c r="AL13" s="157" t="s">
        <v>26</v>
      </c>
      <c r="AM13" s="158"/>
      <c r="AN13" s="108">
        <f>IFERROR((((COUNTIF('Elève (6ème2)'!AK13:AM13,"A"))*4)+((COUNTIF('Elève (6ème2)'!AK13:AM13,"B"))*3)+((COUNTIF('Elève (6ème2)'!AK13:AM13,"C"))*2)+((COUNTIF('Elève (6ème2)'!AK13:AM13,"D"))*1))/(COUNTA(AK13:AM13)),"")</f>
        <v>2</v>
      </c>
      <c r="AO13" s="109" t="str">
        <f t="shared" si="8"/>
        <v>C</v>
      </c>
      <c r="AP13" s="81"/>
      <c r="AQ13" s="82"/>
      <c r="AR13" s="83"/>
      <c r="AS13" s="108" t="str">
        <f>IFERROR((((COUNTIF('Elève (6ème2)'!AP13:AR13,"A"))*4)+((COUNTIF('Elève (6ème2)'!AP13:AR13,"B"))*3)+((COUNTIF('Elève (6ème2)'!AP13:AR13,"C"))*2)+((COUNTIF('Elève (6ème2)'!AP13:AR13,"D"))*1))/(COUNTA(AP13:AR13)),"")</f>
        <v/>
      </c>
      <c r="AT13" s="109" t="str">
        <f t="shared" si="9"/>
        <v/>
      </c>
      <c r="AU13" s="81"/>
      <c r="AV13" s="82"/>
      <c r="AW13" s="83"/>
      <c r="AX13" s="108" t="str">
        <f>IFERROR((((COUNTIF('Elève (6ème2)'!AU13:AW13,"A"))*4)+((COUNTIF('Elève (6ème2)'!AU13:AW13,"B"))*3)+((COUNTIF('Elève (6ème2)'!AU13:AW13,"C"))*2)+((COUNTIF('Elève (6ème2)'!AU13:AW13,"D"))*1))/(COUNTA(AU13:AW13)),"")</f>
        <v/>
      </c>
      <c r="AY13" s="139" t="str">
        <f t="shared" si="10"/>
        <v/>
      </c>
      <c r="AZ13" s="178">
        <f>IF(COUNT(AN13,AS13,AX13)=0,"",SUM(AN13,AS13,AX13)/COUNT(AN13,AS13,AX13))</f>
        <v>2</v>
      </c>
      <c r="BA13" s="131" t="str">
        <f t="shared" si="11"/>
        <v>C</v>
      </c>
      <c r="BB13" s="156"/>
      <c r="BC13" s="157" t="s">
        <v>25</v>
      </c>
      <c r="BD13" s="158"/>
      <c r="BE13" s="108">
        <f>IFERROR((((COUNTIF('Elève (6ème2)'!BB13:BD13,"A"))*4)+((COUNTIF('Elève (6ème2)'!BB13:BD13,"B"))*3)+((COUNTIF('Elève (6ème2)'!BB13:BD13,"C"))*2)+((COUNTIF('Elève (6ème2)'!BB13:BD13,"D"))*1))/(COUNTA(BB13:BD13)),"")</f>
        <v>3</v>
      </c>
      <c r="BF13" s="109" t="str">
        <f t="shared" si="12"/>
        <v>B</v>
      </c>
      <c r="BG13" s="81"/>
      <c r="BH13" s="82"/>
      <c r="BI13" s="83"/>
      <c r="BJ13" s="108" t="str">
        <f>IFERROR((((COUNTIF('Elève (6ème2)'!BG13:BI13,"A"))*4)+((COUNTIF('Elève (6ème2)'!BG13:BI13,"B"))*3)+((COUNTIF('Elève (6ème2)'!BG13:BI13,"C"))*2)+((COUNTIF('Elève (6ème2)'!BG13:BI13,"D"))*1))/(COUNTA(BG13:BI13)),"")</f>
        <v/>
      </c>
      <c r="BK13" s="109" t="str">
        <f t="shared" si="13"/>
        <v/>
      </c>
      <c r="BL13" s="81"/>
      <c r="BM13" s="82"/>
      <c r="BN13" s="83"/>
      <c r="BO13" s="108" t="str">
        <f>IFERROR((((COUNTIF('Elève (6ème2)'!BL13:BN13,"A"))*4)+((COUNTIF('Elève (6ème2)'!BL13:BN13,"B"))*3)+((COUNTIF('Elève (6ème2)'!BL13:BN13,"C"))*2)+((COUNTIF('Elève (6ème2)'!BL13:BN13,"D"))*1))/(COUNTA(BL13:BN13)),"")</f>
        <v/>
      </c>
      <c r="BP13" s="139" t="str">
        <f t="shared" si="14"/>
        <v/>
      </c>
      <c r="BQ13" s="178">
        <f>IF(COUNT(BE13,BJ13,BO13)=0,"",SUM(BE13,BJ13,BO13)/COUNT(BE13,BJ13,BO13))</f>
        <v>3</v>
      </c>
      <c r="BR13" s="131" t="str">
        <f t="shared" si="15"/>
        <v>B</v>
      </c>
      <c r="BS13" s="156"/>
      <c r="BT13" s="157" t="s">
        <v>25</v>
      </c>
      <c r="BU13" s="158"/>
      <c r="BV13" s="108">
        <f>IFERROR((((COUNTIF('Elève (6ème2)'!BS13:BU13,"A"))*4)+((COUNTIF('Elève (6ème2)'!BS13:BU13,"B"))*3)+((COUNTIF('Elève (6ème2)'!BS13:BU13,"C"))*2)+((COUNTIF('Elève (6ème2)'!BS13:BU13,"D"))*1))/(COUNTA(BS13:BU13)),"")</f>
        <v>3</v>
      </c>
      <c r="BW13" s="109" t="str">
        <f t="shared" si="16"/>
        <v>B</v>
      </c>
      <c r="BX13" s="81"/>
      <c r="BY13" s="82"/>
      <c r="BZ13" s="83"/>
      <c r="CA13" s="108" t="str">
        <f>IFERROR((((COUNTIF('Elève (6ème2)'!BX13:BZ13,"A"))*4)+((COUNTIF('Elève (6ème2)'!BX13:BZ13,"B"))*3)+((COUNTIF('Elève (6ème2)'!BX13:BZ13,"C"))*2)+((COUNTIF('Elève (6ème2)'!BX13:BZ13,"D"))*1))/(COUNTA(BX13:BZ13)),"")</f>
        <v/>
      </c>
      <c r="CB13" s="109" t="str">
        <f t="shared" si="17"/>
        <v/>
      </c>
      <c r="CC13" s="81"/>
      <c r="CD13" s="82"/>
      <c r="CE13" s="83"/>
      <c r="CF13" s="108" t="str">
        <f>IFERROR((((COUNTIF('Elève (6ème2)'!CC13:CE13,"A"))*4)+((COUNTIF('Elève (6ème2)'!CC13:CE13,"B"))*3)+((COUNTIF('Elève (6ème2)'!CC13:CE13,"C"))*2)+((COUNTIF('Elève (6ème2)'!CC13:CE13,"D"))*1))/(COUNTA(CC13:CE13)),"")</f>
        <v/>
      </c>
      <c r="CG13" s="139" t="str">
        <f t="shared" si="18"/>
        <v/>
      </c>
      <c r="CH13" s="178">
        <f>IF(COUNT(BV13,CA13,CF13)=0,"",SUM(BV13,CA13,CF13)/COUNT(BV13,CA13,CF13))</f>
        <v>3</v>
      </c>
      <c r="CI13" s="131" t="str">
        <f t="shared" si="19"/>
        <v>B</v>
      </c>
      <c r="CJ13" s="156"/>
      <c r="CK13" s="157" t="s">
        <v>26</v>
      </c>
      <c r="CL13" s="158"/>
      <c r="CM13" s="108">
        <f>IFERROR((((COUNTIF('Elève (6ème2)'!CJ13:CL13,"A"))*4)+((COUNTIF('Elève (6ème2)'!CJ13:CL13,"B"))*3)+((COUNTIF('Elève (6ème2)'!CJ13:CL13,"C"))*2)+((COUNTIF('Elève (6ème2)'!CJ13:CL13,"D"))*1))/(COUNTA(CJ13:CL13)),"")</f>
        <v>2</v>
      </c>
      <c r="CN13" s="109" t="str">
        <f t="shared" si="20"/>
        <v>C</v>
      </c>
      <c r="CO13" s="81"/>
      <c r="CP13" s="82"/>
      <c r="CQ13" s="83"/>
      <c r="CR13" s="108" t="str">
        <f>IFERROR((((COUNTIF('Elève (6ème2)'!CO13:CQ13,"A"))*4)+((COUNTIF('Elève (6ème2)'!CO13:CQ13,"B"))*3)+((COUNTIF('Elève (6ème2)'!CO13:CQ13,"C"))*2)+((COUNTIF('Elève (6ème2)'!CO13:CQ13,"D"))*1))/(COUNTA(CO13:CQ13)),"")</f>
        <v/>
      </c>
      <c r="CS13" s="109" t="str">
        <f t="shared" si="21"/>
        <v/>
      </c>
      <c r="CT13" s="81"/>
      <c r="CU13" s="82"/>
      <c r="CV13" s="83"/>
      <c r="CW13" s="108" t="str">
        <f>IFERROR((((COUNTIF('Elève (6ème2)'!CT13:CV13,"A"))*4)+((COUNTIF('Elève (6ème2)'!CT13:CV13,"B"))*3)+((COUNTIF('Elève (6ème2)'!CT13:CV13,"C"))*2)+((COUNTIF('Elève (6ème2)'!CT13:CV13,"D"))*1))/(COUNTA(CT13:CV13)),"")</f>
        <v/>
      </c>
      <c r="CX13" s="139" t="str">
        <f t="shared" si="22"/>
        <v/>
      </c>
      <c r="CY13" s="178">
        <f>IF(COUNT(CM13,CR13,CW13)=0,"",SUM(CM13,CR13,CW13)/COUNT(CM13,CR13,CW13))</f>
        <v>2</v>
      </c>
      <c r="CZ13" s="131" t="str">
        <f t="shared" si="23"/>
        <v>C</v>
      </c>
      <c r="DA13" s="156"/>
      <c r="DB13" s="157" t="s">
        <v>24</v>
      </c>
      <c r="DC13" s="158"/>
      <c r="DD13" s="108">
        <f>IFERROR((((COUNTIF('Elève (6ème2)'!DA13:DC13,"A"))*4)+((COUNTIF('Elève (6ème2)'!DA13:DC13,"B"))*3)+((COUNTIF('Elève (6ème2)'!DA13:DC13,"C"))*2)+((COUNTIF('Elève (6ème2)'!DA13:DC13,"D"))*1))/(COUNTA(DA13:DC13)),"")</f>
        <v>4</v>
      </c>
      <c r="DE13" s="109" t="str">
        <f t="shared" si="24"/>
        <v>A</v>
      </c>
      <c r="DF13" s="81"/>
      <c r="DG13" s="82"/>
      <c r="DH13" s="83"/>
      <c r="DI13" s="108" t="str">
        <f>IFERROR((((COUNTIF('Elève (6ème2)'!DF13:DH13,"A"))*4)+((COUNTIF('Elève (6ème2)'!DF13:DH13,"B"))*3)+((COUNTIF('Elève (6ème2)'!DF13:DH13,"C"))*2)+((COUNTIF('Elève (6ème2)'!DF13:DH13,"D"))*1))/(COUNTA(DF13:DH13)),"")</f>
        <v/>
      </c>
      <c r="DJ13" s="109" t="str">
        <f t="shared" si="25"/>
        <v/>
      </c>
      <c r="DK13" s="81"/>
      <c r="DL13" s="82"/>
      <c r="DM13" s="83"/>
      <c r="DN13" s="108" t="str">
        <f>IFERROR((((COUNTIF('Elève (6ème2)'!DK13:DM13,"A"))*4)+((COUNTIF('Elève (6ème2)'!DK13:DM13,"B"))*3)+((COUNTIF('Elève (6ème2)'!DK13:DM13,"C"))*2)+((COUNTIF('Elève (6ème2)'!DK13:DM13,"D"))*1))/(COUNTA(DK13:DM13)),"")</f>
        <v/>
      </c>
      <c r="DO13" s="139" t="str">
        <f t="shared" si="26"/>
        <v/>
      </c>
      <c r="DP13" s="178">
        <f>IF(COUNT(DD13,DI13,DN13)=0,"",SUM(DD13,DI13,DN13)/COUNT(DD13,DI13,DN13))</f>
        <v>4</v>
      </c>
      <c r="DQ13" s="131" t="str">
        <f t="shared" si="27"/>
        <v>A</v>
      </c>
      <c r="DR13" s="156"/>
      <c r="DS13" s="157" t="s">
        <v>25</v>
      </c>
      <c r="DT13" s="158"/>
      <c r="DU13" s="108">
        <f>IFERROR((((COUNTIF('Elève (6ème2)'!DR13:DT13,"A"))*4)+((COUNTIF('Elève (6ème2)'!DR13:DT13,"B"))*3)+((COUNTIF('Elève (6ème2)'!DR13:DT13,"C"))*2)+((COUNTIF('Elève (6ème2)'!DR13:DT13,"D"))*1))/(COUNTA(DR13:DT13)),"")</f>
        <v>3</v>
      </c>
      <c r="DV13" s="109" t="str">
        <f t="shared" si="28"/>
        <v>B</v>
      </c>
      <c r="DW13" s="81"/>
      <c r="DX13" s="82"/>
      <c r="DY13" s="83"/>
      <c r="DZ13" s="108" t="str">
        <f>IFERROR((((COUNTIF('Elève (6ème2)'!DW13:DY13,"A"))*4)+((COUNTIF('Elève (6ème2)'!DW13:DY13,"B"))*3)+((COUNTIF('Elève (6ème2)'!DW13:DY13,"C"))*2)+((COUNTIF('Elève (6ème2)'!DW13:DY13,"D"))*1))/(COUNTA(DW13:DY13)),"")</f>
        <v/>
      </c>
      <c r="EA13" s="109" t="str">
        <f t="shared" si="29"/>
        <v/>
      </c>
      <c r="EB13" s="81"/>
      <c r="EC13" s="82"/>
      <c r="ED13" s="83"/>
      <c r="EE13" s="108" t="str">
        <f>IFERROR((((COUNTIF('Elève (6ème2)'!EB13:ED13,"A"))*4)+((COUNTIF('Elève (6ème2)'!EB13:ED13,"B"))*3)+((COUNTIF('Elève (6ème2)'!EB13:ED13,"C"))*2)+((COUNTIF('Elève (6ème2)'!EB13:ED13,"D"))*1))/(COUNTA(EB13:ED13)),"")</f>
        <v/>
      </c>
      <c r="EF13" s="139" t="str">
        <f t="shared" si="30"/>
        <v/>
      </c>
      <c r="EG13" s="178">
        <f>IF(COUNT(DU13,DZ13,EE13)=0,"",SUM(DU13,DZ13,EE13)/COUNT(DU13,DZ13,EE13))</f>
        <v>3</v>
      </c>
      <c r="EH13" s="131" t="str">
        <f t="shared" si="31"/>
        <v>B</v>
      </c>
      <c r="EI13" s="156"/>
      <c r="EJ13" s="157" t="s">
        <v>26</v>
      </c>
      <c r="EK13" s="158"/>
      <c r="EL13" s="108">
        <f>IFERROR((((COUNTIF('Elève (6ème2)'!EI13:EK13,"A"))*4)+((COUNTIF('Elève (6ème2)'!EI13:EK13,"B"))*3)+((COUNTIF('Elève (6ème2)'!EI13:EK13,"C"))*2)+((COUNTIF('Elève (6ème2)'!EI13:EK13,"D"))*1))/(COUNTA(EI13:EK13)),"")</f>
        <v>2</v>
      </c>
      <c r="EM13" s="109" t="str">
        <f t="shared" si="32"/>
        <v>C</v>
      </c>
      <c r="EN13" s="81"/>
      <c r="EO13" s="82"/>
      <c r="EP13" s="83"/>
      <c r="EQ13" s="108" t="str">
        <f>IFERROR((((COUNTIF('Elève (6ème2)'!EN13:EP13,"A"))*4)+((COUNTIF('Elève (6ème2)'!EN13:EP13,"B"))*3)+((COUNTIF('Elève (6ème2)'!EN13:EP13,"C"))*2)+((COUNTIF('Elève (6ème2)'!EN13:EP13,"D"))*1))/(COUNTA(EN13:EP13)),"")</f>
        <v/>
      </c>
      <c r="ER13" s="109" t="str">
        <f t="shared" si="33"/>
        <v/>
      </c>
      <c r="ES13" s="81"/>
      <c r="ET13" s="82"/>
      <c r="EU13" s="83"/>
      <c r="EV13" s="108" t="str">
        <f>IFERROR((((COUNTIF('Elève (6ème2)'!ES13:EU13,"A"))*4)+((COUNTIF('Elève (6ème2)'!ES13:EU13,"B"))*3)+((COUNTIF('Elève (6ème2)'!ES13:EU13,"C"))*2)+((COUNTIF('Elève (6ème2)'!ES13:EU13,"D"))*1))/(COUNTA(ES13:EU13)),"")</f>
        <v/>
      </c>
      <c r="EW13" s="139" t="str">
        <f t="shared" si="34"/>
        <v/>
      </c>
      <c r="EX13" s="178">
        <f>IF(COUNT(EL13,EQ13,EV13)=0,"",SUM(EL13,EQ13,EV13)/COUNT(EL13,EQ13,EV13))</f>
        <v>2</v>
      </c>
      <c r="EY13" s="131" t="str">
        <f t="shared" si="35"/>
        <v>C</v>
      </c>
      <c r="EZ13" s="156"/>
      <c r="FA13" s="157" t="s">
        <v>25</v>
      </c>
      <c r="FB13" s="158"/>
      <c r="FC13" s="108">
        <f>IFERROR((((COUNTIF('Elève (6ème2)'!EZ13:FB13,"A"))*4)+((COUNTIF('Elève (6ème2)'!EZ13:FB13,"B"))*3)+((COUNTIF('Elève (6ème2)'!EZ13:FB13,"C"))*2)+((COUNTIF('Elève (6ème2)'!EZ13:FB13,"D"))*1))/(COUNTA(EZ13:FB13)),"")</f>
        <v>3</v>
      </c>
      <c r="FD13" s="109" t="str">
        <f t="shared" si="36"/>
        <v>B</v>
      </c>
      <c r="FE13" s="81"/>
      <c r="FF13" s="82"/>
      <c r="FG13" s="83"/>
      <c r="FH13" s="108" t="str">
        <f>IFERROR((((COUNTIF('Elève (6ème2)'!FE13:FG13,"A"))*4)+((COUNTIF('Elève (6ème2)'!FE13:FG13,"B"))*3)+((COUNTIF('Elève (6ème2)'!FE13:FG13,"C"))*2)+((COUNTIF('Elève (6ème2)'!FE13:FG13,"D"))*1))/(COUNTA(FE13:FG13)),"")</f>
        <v/>
      </c>
      <c r="FI13" s="109" t="str">
        <f t="shared" si="37"/>
        <v/>
      </c>
      <c r="FJ13" s="81"/>
      <c r="FK13" s="82"/>
      <c r="FL13" s="83"/>
      <c r="FM13" s="108" t="str">
        <f>IFERROR((((COUNTIF('Elève (6ème2)'!FJ13:FL13,"A"))*4)+((COUNTIF('Elève (6ème2)'!FJ13:FL13,"B"))*3)+((COUNTIF('Elève (6ème2)'!FJ13:FL13,"C"))*2)+((COUNTIF('Elève (6ème2)'!FJ13:FL13,"D"))*1))/(COUNTA(FJ13:FL13)),"")</f>
        <v/>
      </c>
      <c r="FN13" s="139" t="str">
        <f t="shared" si="38"/>
        <v/>
      </c>
      <c r="FO13" s="178">
        <f>IF(COUNT(FC13,FH13,FM13)=0,"",SUM(FC13,FH13,FM13)/COUNT(FC13,FH13,FM13))</f>
        <v>3</v>
      </c>
      <c r="FP13" s="131" t="str">
        <f t="shared" si="39"/>
        <v>B</v>
      </c>
      <c r="FQ13" s="156"/>
      <c r="FR13" s="157" t="s">
        <v>25</v>
      </c>
      <c r="FS13" s="158"/>
      <c r="FT13" s="108">
        <f>IFERROR((((COUNTIF('Elève (6ème2)'!FQ13:FS13,"A"))*4)+((COUNTIF('Elève (6ème2)'!FQ13:FS13,"B"))*3)+((COUNTIF('Elève (6ème2)'!FQ13:FS13,"C"))*2)+((COUNTIF('Elève (6ème2)'!FQ13:FS13,"D"))*1))/(COUNTA(FQ13:FS13)),"")</f>
        <v>3</v>
      </c>
      <c r="FU13" s="109" t="str">
        <f t="shared" si="40"/>
        <v>B</v>
      </c>
      <c r="FV13" s="81"/>
      <c r="FW13" s="82"/>
      <c r="FX13" s="83"/>
      <c r="FY13" s="108" t="str">
        <f>IFERROR((((COUNTIF('Elève (6ème2)'!FV13:FX13,"A"))*4)+((COUNTIF('Elève (6ème2)'!FV13:FX13,"B"))*3)+((COUNTIF('Elève (6ème2)'!FV13:FX13,"C"))*2)+((COUNTIF('Elève (6ème2)'!FV13:FX13,"D"))*1))/(COUNTA(FV13:FX13)),"")</f>
        <v/>
      </c>
      <c r="FZ13" s="109" t="str">
        <f t="shared" si="41"/>
        <v/>
      </c>
      <c r="GA13" s="81"/>
      <c r="GB13" s="82"/>
      <c r="GC13" s="83"/>
      <c r="GD13" s="108" t="str">
        <f>IFERROR((((COUNTIF('Elève (6ème2)'!GA13:GC13,"A"))*4)+((COUNTIF('Elève (6ème2)'!GA13:GC13,"B"))*3)+((COUNTIF('Elève (6ème2)'!GA13:GC13,"C"))*2)+((COUNTIF('Elève (6ème2)'!GA13:GC13,"D"))*1))/(COUNTA(GA13:GC13)),"")</f>
        <v/>
      </c>
      <c r="GE13" s="139" t="str">
        <f t="shared" si="42"/>
        <v/>
      </c>
      <c r="GF13" s="178">
        <f>IF(COUNT(FT13,FY13,GD13)=0,"",SUM(FT13,FY13,GD13)/COUNT(FT13,FY13,GD13))</f>
        <v>3</v>
      </c>
      <c r="GG13" s="131" t="str">
        <f t="shared" si="43"/>
        <v>B</v>
      </c>
      <c r="GH13" s="156"/>
      <c r="GI13" s="157" t="s">
        <v>26</v>
      </c>
      <c r="GJ13" s="158"/>
      <c r="GK13" s="108">
        <f>IFERROR((((COUNTIF('Elève (6ème2)'!GH13:GJ13,"A"))*4)+((COUNTIF('Elève (6ème2)'!GH13:GJ13,"B"))*3)+((COUNTIF('Elève (6ème2)'!GH13:GJ13,"C"))*2)+((COUNTIF('Elève (6ème2)'!GH13:GJ13,"D"))*1))/(COUNTA(GH13:GJ13)),"")</f>
        <v>2</v>
      </c>
      <c r="GL13" s="109" t="str">
        <f t="shared" si="44"/>
        <v>C</v>
      </c>
      <c r="GM13" s="81"/>
      <c r="GN13" s="82"/>
      <c r="GO13" s="83"/>
      <c r="GP13" s="108" t="str">
        <f>IFERROR((((COUNTIF('Elève (6ème2)'!GM13:GO13,"A"))*4)+((COUNTIF('Elève (6ème2)'!GM13:GO13,"B"))*3)+((COUNTIF('Elève (6ème2)'!GM13:GO13,"C"))*2)+((COUNTIF('Elève (6ème2)'!GM13:GO13,"D"))*1))/(COUNTA(GM13:GO13)),"")</f>
        <v/>
      </c>
      <c r="GQ13" s="109" t="str">
        <f t="shared" si="45"/>
        <v/>
      </c>
      <c r="GR13" s="81"/>
      <c r="GS13" s="82"/>
      <c r="GT13" s="83"/>
      <c r="GU13" s="108" t="str">
        <f>IFERROR((((COUNTIF('Elève (6ème2)'!GR13:GT13,"A"))*4)+((COUNTIF('Elève (6ème2)'!GR13:GT13,"B"))*3)+((COUNTIF('Elève (6ème2)'!GR13:GT13,"C"))*2)+((COUNTIF('Elève (6ème2)'!GR13:GT13,"D"))*1))/(COUNTA(GR13:GT13)),"")</f>
        <v/>
      </c>
      <c r="GV13" s="139" t="str">
        <f t="shared" si="46"/>
        <v/>
      </c>
      <c r="GW13" s="178">
        <f>IF(COUNT(GK13,GP13,GU13)=0,"",SUM(GK13,GP13,GU13)/COUNT(GK13,GP13,GU13))</f>
        <v>2</v>
      </c>
      <c r="GX13" s="131" t="str">
        <f t="shared" si="47"/>
        <v>C</v>
      </c>
      <c r="GY13" s="156"/>
      <c r="GZ13" s="157" t="s">
        <v>25</v>
      </c>
      <c r="HA13" s="158"/>
      <c r="HB13" s="108">
        <f>IFERROR((((COUNTIF('Elève (6ème2)'!GY13:HA13,"A"))*4)+((COUNTIF('Elève (6ème2)'!GY13:HA13,"B"))*3)+((COUNTIF('Elève (6ème2)'!GY13:HA13,"C"))*2)+((COUNTIF('Elève (6ème2)'!GY13:HA13,"D"))*1))/(COUNTA(GY13:HA13)),"")</f>
        <v>3</v>
      </c>
      <c r="HC13" s="109" t="str">
        <f t="shared" si="48"/>
        <v>B</v>
      </c>
      <c r="HD13" s="81"/>
      <c r="HE13" s="82"/>
      <c r="HF13" s="83"/>
      <c r="HG13" s="108" t="str">
        <f>IFERROR((((COUNTIF('Elève (6ème2)'!HD13:HF13,"A"))*4)+((COUNTIF('Elève (6ème2)'!HD13:HF13,"B"))*3)+((COUNTIF('Elève (6ème2)'!HD13:HF13,"C"))*2)+((COUNTIF('Elève (6ème2)'!HD13:HF13,"D"))*1))/(COUNTA(HD13:HF13)),"")</f>
        <v/>
      </c>
      <c r="HH13" s="109" t="str">
        <f t="shared" si="49"/>
        <v/>
      </c>
      <c r="HI13" s="81"/>
      <c r="HJ13" s="82"/>
      <c r="HK13" s="83"/>
      <c r="HL13" s="108" t="str">
        <f>IFERROR((((COUNTIF('Elève (6ème2)'!HI13:HK13,"A"))*4)+((COUNTIF('Elève (6ème2)'!HI13:HK13,"B"))*3)+((COUNTIF('Elève (6ème2)'!HI13:HK13,"C"))*2)+((COUNTIF('Elève (6ème2)'!HI13:HK13,"D"))*1))/(COUNTA(HI13:HK13)),"")</f>
        <v/>
      </c>
      <c r="HM13" s="139" t="str">
        <f t="shared" si="50"/>
        <v/>
      </c>
      <c r="HN13" s="178">
        <f>IF(COUNT(HB13,HG13,HL13)=0,"",SUM(HB13,HG13,HL13)/COUNT(HB13,HG13,HL13))</f>
        <v>3</v>
      </c>
      <c r="HO13" s="131" t="str">
        <f t="shared" si="51"/>
        <v>B</v>
      </c>
      <c r="HP13" s="156"/>
      <c r="HQ13" s="157" t="s">
        <v>25</v>
      </c>
      <c r="HR13" s="158"/>
      <c r="HS13" s="108">
        <f>IFERROR((((COUNTIF('Elève (6ème2)'!HP13:HR13,"A"))*4)+((COUNTIF('Elève (6ème2)'!HP13:HR13,"B"))*3)+((COUNTIF('Elève (6ème2)'!HP13:HR13,"C"))*2)+((COUNTIF('Elève (6ème2)'!HP13:HR13,"D"))*1))/(COUNTA(HP13:HR13)),"")</f>
        <v>3</v>
      </c>
      <c r="HT13" s="109" t="str">
        <f t="shared" si="52"/>
        <v>B</v>
      </c>
      <c r="HU13" s="81"/>
      <c r="HV13" s="82"/>
      <c r="HW13" s="83"/>
      <c r="HX13" s="108" t="str">
        <f>IFERROR((((COUNTIF('Elève (6ème2)'!HU13:HW13,"A"))*4)+((COUNTIF('Elève (6ème2)'!HU13:HW13,"B"))*3)+((COUNTIF('Elève (6ème2)'!HU13:HW13,"C"))*2)+((COUNTIF('Elève (6ème2)'!HU13:HW13,"D"))*1))/(COUNTA(HU13:HW13)),"")</f>
        <v/>
      </c>
      <c r="HY13" s="109" t="str">
        <f t="shared" si="53"/>
        <v/>
      </c>
      <c r="HZ13" s="81"/>
      <c r="IA13" s="82"/>
      <c r="IB13" s="83"/>
      <c r="IC13" s="108" t="str">
        <f>IFERROR((((COUNTIF('Elève (6ème2)'!HZ13:IB13,"A"))*4)+((COUNTIF('Elève (6ème2)'!HZ13:IB13,"B"))*3)+((COUNTIF('Elève (6ème2)'!HZ13:IB13,"C"))*2)+((COUNTIF('Elève (6ème2)'!HZ13:IB13,"D"))*1))/(COUNTA(HZ13:IB13)),"")</f>
        <v/>
      </c>
      <c r="ID13" s="139" t="str">
        <f t="shared" si="54"/>
        <v/>
      </c>
      <c r="IE13" s="178">
        <f>IF(COUNT(HS13,HX13,IC13)=0,"",SUM(HS13,HX13,IC13)/COUNT(HS13,HX13,IC13))</f>
        <v>3</v>
      </c>
      <c r="IF13" s="131" t="str">
        <f t="shared" si="55"/>
        <v>B</v>
      </c>
      <c r="IG13" s="156"/>
      <c r="IH13" s="157" t="s">
        <v>25</v>
      </c>
      <c r="II13" s="158"/>
      <c r="IJ13" s="108">
        <f>IFERROR((((COUNTIF('Elève (6ème2)'!IG13:II13,"A"))*4)+((COUNTIF('Elève (6ème2)'!IG13:II13,"B"))*3)+((COUNTIF('Elève (6ème2)'!IG13:II13,"C"))*2)+((COUNTIF('Elève (6ème2)'!IG13:II13,"D"))*1))/(COUNTA(IG13:II13)),"")</f>
        <v>3</v>
      </c>
      <c r="IK13" s="109" t="str">
        <f t="shared" si="56"/>
        <v>B</v>
      </c>
      <c r="IL13" s="81"/>
      <c r="IM13" s="82"/>
      <c r="IN13" s="83"/>
      <c r="IO13" s="108" t="str">
        <f>IFERROR((((COUNTIF('Elève (6ème2)'!IL13:IN13,"A"))*4)+((COUNTIF('Elève (6ème2)'!IL13:IN13,"B"))*3)+((COUNTIF('Elève (6ème2)'!IL13:IN13,"C"))*2)+((COUNTIF('Elève (6ème2)'!IL13:IN13,"D"))*1))/(COUNTA(IL13:IN13)),"")</f>
        <v/>
      </c>
      <c r="IP13" s="109" t="str">
        <f t="shared" si="57"/>
        <v/>
      </c>
      <c r="IQ13" s="81"/>
      <c r="IR13" s="82"/>
      <c r="IS13" s="83"/>
      <c r="IT13" s="108" t="str">
        <f>IFERROR((((COUNTIF('Elève (6ème2)'!IQ13:IS13,"A"))*4)+((COUNTIF('Elève (6ème2)'!IQ13:IS13,"B"))*3)+((COUNTIF('Elève (6ème2)'!IQ13:IS13,"C"))*2)+((COUNTIF('Elève (6ème2)'!IQ13:IS13,"D"))*1))/(COUNTA(IQ13:IS13)),"")</f>
        <v/>
      </c>
      <c r="IU13" s="139" t="str">
        <f t="shared" si="58"/>
        <v/>
      </c>
      <c r="IV13" s="178">
        <f>IF(COUNT(IJ13,IO13,IT13)=0,"",SUM(IJ13,IO13,IT13)/COUNT(IJ13,IO13,IT13))</f>
        <v>3</v>
      </c>
      <c r="IW13" s="131" t="str">
        <f t="shared" si="59"/>
        <v>B</v>
      </c>
      <c r="IX13" s="156"/>
      <c r="IY13" s="157" t="s">
        <v>25</v>
      </c>
      <c r="IZ13" s="158"/>
      <c r="JA13" s="108">
        <f>IFERROR((((COUNTIF('Elève (6ème2)'!IX13:IZ13,"A"))*4)+((COUNTIF('Elève (6ème2)'!IX13:IZ13,"B"))*3)+((COUNTIF('Elève (6ème2)'!IX13:IZ13,"C"))*2)+((COUNTIF('Elève (6ème2)'!IX13:IZ13,"D"))*1))/(COUNTA(IX13:IZ13)),"")</f>
        <v>3</v>
      </c>
      <c r="JB13" s="109" t="str">
        <f t="shared" si="60"/>
        <v>B</v>
      </c>
      <c r="JC13" s="81"/>
      <c r="JD13" s="82"/>
      <c r="JE13" s="83"/>
      <c r="JF13" s="108" t="str">
        <f>IFERROR((((COUNTIF('Elève (6ème2)'!JC13:JE13,"A"))*4)+((COUNTIF('Elève (6ème2)'!JC13:JE13,"B"))*3)+((COUNTIF('Elève (6ème2)'!JC13:JE13,"C"))*2)+((COUNTIF('Elève (6ème2)'!JC13:JE13,"D"))*1))/(COUNTA(JC13:JE13)),"")</f>
        <v/>
      </c>
      <c r="JG13" s="109" t="str">
        <f t="shared" si="61"/>
        <v/>
      </c>
      <c r="JH13" s="81"/>
      <c r="JI13" s="82"/>
      <c r="JJ13" s="83"/>
      <c r="JK13" s="108" t="str">
        <f>IFERROR((((COUNTIF('Elève (6ème2)'!JH13:JJ13,"A"))*4)+((COUNTIF('Elève (6ème2)'!JH13:JJ13,"B"))*3)+((COUNTIF('Elève (6ème2)'!JH13:JJ13,"C"))*2)+((COUNTIF('Elève (6ème2)'!JH13:JJ13,"D"))*1))/(COUNTA(JH13:JJ13)),"")</f>
        <v/>
      </c>
      <c r="JL13" s="139" t="str">
        <f t="shared" si="62"/>
        <v/>
      </c>
      <c r="JM13" s="178">
        <f>IF(COUNT(JA13,JF13,JK13)=0,"",SUM(JA13,JF13,JK13)/COUNT(JA13,JF13,JK13))</f>
        <v>3</v>
      </c>
      <c r="JN13" s="131" t="str">
        <f t="shared" si="63"/>
        <v>B</v>
      </c>
      <c r="JO13" s="156"/>
      <c r="JP13" s="157" t="s">
        <v>26</v>
      </c>
      <c r="JQ13" s="158"/>
      <c r="JR13" s="108">
        <f>IFERROR((((COUNTIF('Elève (6ème2)'!JO13:JQ13,"A"))*4)+((COUNTIF('Elève (6ème2)'!JO13:JQ13,"B"))*3)+((COUNTIF('Elève (6ème2)'!JO13:JQ13,"C"))*2)+((COUNTIF('Elève (6ème2)'!JO13:JQ13,"D"))*1))/(COUNTA(JO13:JQ13)),"")</f>
        <v>2</v>
      </c>
      <c r="JS13" s="109" t="str">
        <f t="shared" si="64"/>
        <v>C</v>
      </c>
      <c r="JT13" s="81"/>
      <c r="JU13" s="82"/>
      <c r="JV13" s="83"/>
      <c r="JW13" s="108" t="str">
        <f>IFERROR((((COUNTIF('Elève (6ème2)'!JT13:JV13,"A"))*4)+((COUNTIF('Elève (6ème2)'!JT13:JV13,"B"))*3)+((COUNTIF('Elève (6ème2)'!JT13:JV13,"C"))*2)+((COUNTIF('Elève (6ème2)'!JT13:JV13,"D"))*1))/(COUNTA(JT13:JV13)),"")</f>
        <v/>
      </c>
      <c r="JX13" s="109" t="str">
        <f t="shared" si="65"/>
        <v/>
      </c>
      <c r="JY13" s="81"/>
      <c r="JZ13" s="82"/>
      <c r="KA13" s="83"/>
      <c r="KB13" s="108" t="str">
        <f>IFERROR((((COUNTIF('Elève (6ème2)'!JY13:KA13,"A"))*4)+((COUNTIF('Elève (6ème2)'!JY13:KA13,"B"))*3)+((COUNTIF('Elève (6ème2)'!JY13:KA13,"C"))*2)+((COUNTIF('Elève (6ème2)'!JY13:KA13,"D"))*1))/(COUNTA(JY13:KA13)),"")</f>
        <v/>
      </c>
      <c r="KC13" s="139" t="str">
        <f t="shared" si="66"/>
        <v/>
      </c>
      <c r="KD13" s="178">
        <f>IF(COUNT(JR13,JW13,KB13)=0,"",SUM(JR13,JW13,KB13)/COUNT(JR13,JW13,KB13))</f>
        <v>2</v>
      </c>
      <c r="KE13" s="131" t="str">
        <f t="shared" si="67"/>
        <v>C</v>
      </c>
      <c r="KF13" s="156"/>
      <c r="KG13" s="157" t="s">
        <v>24</v>
      </c>
      <c r="KH13" s="158"/>
      <c r="KI13" s="108">
        <f>IFERROR((((COUNTIF('Elève (6ème2)'!KF13:KH13,"A"))*4)+((COUNTIF('Elève (6ème2)'!KF13:KH13,"B"))*3)+((COUNTIF('Elève (6ème2)'!KF13:KH13,"C"))*2)+((COUNTIF('Elève (6ème2)'!KF13:KH13,"D"))*1))/(COUNTA(KF13:KH13)),"")</f>
        <v>4</v>
      </c>
      <c r="KJ13" s="109" t="str">
        <f t="shared" si="68"/>
        <v>A</v>
      </c>
      <c r="KK13" s="81"/>
      <c r="KL13" s="82"/>
      <c r="KM13" s="83"/>
      <c r="KN13" s="108" t="str">
        <f>IFERROR((((COUNTIF('Elève (6ème2)'!KK13:KM13,"A"))*4)+((COUNTIF('Elève (6ème2)'!KK13:KM13,"B"))*3)+((COUNTIF('Elève (6ème2)'!KK13:KM13,"C"))*2)+((COUNTIF('Elève (6ème2)'!KK13:KM13,"D"))*1))/(COUNTA(KK13:KM13)),"")</f>
        <v/>
      </c>
      <c r="KO13" s="109" t="str">
        <f t="shared" si="69"/>
        <v/>
      </c>
      <c r="KP13" s="81"/>
      <c r="KQ13" s="82"/>
      <c r="KR13" s="83"/>
      <c r="KS13" s="108" t="str">
        <f>IFERROR((((COUNTIF('Elève (6ème2)'!KP13:KR13,"A"))*4)+((COUNTIF('Elève (6ème2)'!KP13:KR13,"B"))*3)+((COUNTIF('Elève (6ème2)'!KP13:KR13,"C"))*2)+((COUNTIF('Elève (6ème2)'!KP13:KR13,"D"))*1))/(COUNTA(KP13:KR13)),"")</f>
        <v/>
      </c>
      <c r="KT13" s="139" t="str">
        <f t="shared" si="70"/>
        <v/>
      </c>
      <c r="KU13" s="178">
        <f>IF(COUNT(KI13,KN13,KS13)=0,"",SUM(KI13,KN13,KS13)/COUNT(KI13,KN13,KS13))</f>
        <v>4</v>
      </c>
      <c r="KV13" s="131" t="str">
        <f t="shared" si="71"/>
        <v>A</v>
      </c>
      <c r="KW13" s="156"/>
      <c r="KX13" s="157" t="s">
        <v>25</v>
      </c>
      <c r="KY13" s="158"/>
      <c r="KZ13" s="108">
        <f>IFERROR((((COUNTIF('Elève (6ème2)'!KW13:KY13,"A"))*4)+((COUNTIF('Elève (6ème2)'!KW13:KY13,"B"))*3)+((COUNTIF('Elève (6ème2)'!KW13:KY13,"C"))*2)+((COUNTIF('Elève (6ème2)'!KW13:KY13,"D"))*1))/(COUNTA(KW13:KY13)),"")</f>
        <v>3</v>
      </c>
      <c r="LA13" s="109" t="str">
        <f t="shared" si="72"/>
        <v>B</v>
      </c>
      <c r="LB13" s="81"/>
      <c r="LC13" s="82"/>
      <c r="LD13" s="83"/>
      <c r="LE13" s="108" t="str">
        <f>IFERROR((((COUNTIF('Elève (6ème2)'!LB13:LD13,"A"))*4)+((COUNTIF('Elève (6ème2)'!LB13:LD13,"B"))*3)+((COUNTIF('Elève (6ème2)'!LB13:LD13,"C"))*2)+((COUNTIF('Elève (6ème2)'!LB13:LD13,"D"))*1))/(COUNTA(LB13:LD13)),"")</f>
        <v/>
      </c>
      <c r="LF13" s="109" t="str">
        <f t="shared" si="73"/>
        <v/>
      </c>
      <c r="LG13" s="81"/>
      <c r="LH13" s="82"/>
      <c r="LI13" s="83"/>
      <c r="LJ13" s="108" t="str">
        <f>IFERROR((((COUNTIF('Elève (6ème2)'!LG13:LI13,"A"))*4)+((COUNTIF('Elève (6ème2)'!LG13:LI13,"B"))*3)+((COUNTIF('Elève (6ème2)'!LG13:LI13,"C"))*2)+((COUNTIF('Elève (6ème2)'!LG13:LI13,"D"))*1))/(COUNTA(LG13:LI13)),"")</f>
        <v/>
      </c>
      <c r="LK13" s="139" t="str">
        <f t="shared" si="74"/>
        <v/>
      </c>
      <c r="LL13" s="178">
        <f>IF(COUNT(KZ13,LE13,LJ13)=0,"",SUM(KZ13,LE13,LJ13)/COUNT(KZ13,LE13,LJ13))</f>
        <v>3</v>
      </c>
      <c r="LM13" s="131" t="str">
        <f t="shared" si="75"/>
        <v>B</v>
      </c>
      <c r="LN13" s="156"/>
      <c r="LO13" s="157" t="s">
        <v>25</v>
      </c>
      <c r="LP13" s="158"/>
      <c r="LQ13" s="108">
        <f>IFERROR((((COUNTIF('Elève (6ème2)'!LN13:LP13,"A"))*4)+((COUNTIF('Elève (6ème2)'!LN13:LP13,"B"))*3)+((COUNTIF('Elève (6ème2)'!LN13:LP13,"C"))*2)+((COUNTIF('Elève (6ème2)'!LN13:LP13,"D"))*1))/(COUNTA(LN13:LP13)),"")</f>
        <v>3</v>
      </c>
      <c r="LR13" s="109" t="str">
        <f t="shared" si="76"/>
        <v>B</v>
      </c>
      <c r="LS13" s="81"/>
      <c r="LT13" s="82"/>
      <c r="LU13" s="83"/>
      <c r="LV13" s="108" t="str">
        <f>IFERROR((((COUNTIF('Elève (6ème2)'!LS13:LU13,"A"))*4)+((COUNTIF('Elève (6ème2)'!LS13:LU13,"B"))*3)+((COUNTIF('Elève (6ème2)'!LS13:LU13,"C"))*2)+((COUNTIF('Elève (6ème2)'!LS13:LU13,"D"))*1))/(COUNTA(LS13:LU13)),"")</f>
        <v/>
      </c>
      <c r="LW13" s="109" t="str">
        <f t="shared" si="77"/>
        <v/>
      </c>
      <c r="LX13" s="81"/>
      <c r="LY13" s="82"/>
      <c r="LZ13" s="83"/>
      <c r="MA13" s="108" t="str">
        <f>IFERROR((((COUNTIF('Elève (6ème2)'!LX13:LZ13,"A"))*4)+((COUNTIF('Elève (6ème2)'!LX13:LZ13,"B"))*3)+((COUNTIF('Elève (6ème2)'!LX13:LZ13,"C"))*2)+((COUNTIF('Elève (6ème2)'!LX13:LZ13,"D"))*1))/(COUNTA(LX13:LZ13)),"")</f>
        <v/>
      </c>
      <c r="MB13" s="139" t="str">
        <f t="shared" si="78"/>
        <v/>
      </c>
      <c r="MC13" s="178">
        <f>IF(COUNT(LQ13,LV13,MA13)=0,"",SUM(LQ13,LV13,MA13)/COUNT(LQ13,LV13,MA13))</f>
        <v>3</v>
      </c>
      <c r="MD13" s="131" t="str">
        <f t="shared" si="79"/>
        <v>B</v>
      </c>
      <c r="ME13" s="156"/>
      <c r="MF13" s="157" t="s">
        <v>25</v>
      </c>
      <c r="MG13" s="158"/>
      <c r="MH13" s="108">
        <f>IFERROR((((COUNTIF('Elève (6ème2)'!ME13:MG13,"A"))*4)+((COUNTIF('Elève (6ème2)'!ME13:MG13,"B"))*3)+((COUNTIF('Elève (6ème2)'!ME13:MG13,"C"))*2)+((COUNTIF('Elève (6ème2)'!ME13:MG13,"D"))*1))/(COUNTA(ME13:MG13)),"")</f>
        <v>3</v>
      </c>
      <c r="MI13" s="109" t="str">
        <f t="shared" si="80"/>
        <v>B</v>
      </c>
      <c r="MJ13" s="81"/>
      <c r="MK13" s="82"/>
      <c r="ML13" s="83"/>
      <c r="MM13" s="108" t="str">
        <f>IFERROR((((COUNTIF('Elève (6ème2)'!MJ13:ML13,"A"))*4)+((COUNTIF('Elève (6ème2)'!MJ13:ML13,"B"))*3)+((COUNTIF('Elève (6ème2)'!MJ13:ML13,"C"))*2)+((COUNTIF('Elève (6ème2)'!MJ13:ML13,"D"))*1))/(COUNTA(MJ13:ML13)),"")</f>
        <v/>
      </c>
      <c r="MN13" s="109" t="str">
        <f t="shared" si="81"/>
        <v/>
      </c>
      <c r="MO13" s="81"/>
      <c r="MP13" s="82"/>
      <c r="MQ13" s="83"/>
      <c r="MR13" s="108" t="str">
        <f>IFERROR((((COUNTIF('Elève (6ème2)'!MO13:MQ13,"A"))*4)+((COUNTIF('Elève (6ème2)'!MO13:MQ13,"B"))*3)+((COUNTIF('Elève (6ème2)'!MO13:MQ13,"C"))*2)+((COUNTIF('Elève (6ème2)'!MO13:MQ13,"D"))*1))/(COUNTA(MO13:MQ13)),"")</f>
        <v/>
      </c>
      <c r="MS13" s="139" t="str">
        <f t="shared" si="82"/>
        <v/>
      </c>
      <c r="MT13" s="178">
        <f>IF(COUNT(MH13,MM13,MR13)=0,"",SUM(MH13,MM13,MR13)/COUNT(MH13,MM13,MR13))</f>
        <v>3</v>
      </c>
      <c r="MU13" s="131" t="str">
        <f t="shared" si="83"/>
        <v>B</v>
      </c>
      <c r="MV13" s="156"/>
      <c r="MW13" s="157" t="s">
        <v>27</v>
      </c>
      <c r="MX13" s="158"/>
      <c r="MY13" s="108">
        <f>IFERROR((((COUNTIF('Elève (6ème2)'!MV13:MX13,"A"))*4)+((COUNTIF('Elève (6ème2)'!MV13:MX13,"B"))*3)+((COUNTIF('Elève (6ème2)'!MV13:MX13,"C"))*2)+((COUNTIF('Elève (6ème2)'!MV13:MX13,"D"))*1))/(COUNTA(MV13:MX13)),"")</f>
        <v>1</v>
      </c>
      <c r="MZ13" s="109" t="str">
        <f t="shared" si="84"/>
        <v>D</v>
      </c>
      <c r="NA13" s="81"/>
      <c r="NB13" s="82"/>
      <c r="NC13" s="83"/>
      <c r="ND13" s="108" t="str">
        <f>IFERROR((((COUNTIF('Elève (6ème2)'!NA13:NC13,"A"))*4)+((COUNTIF('Elève (6ème2)'!NA13:NC13,"B"))*3)+((COUNTIF('Elève (6ème2)'!NA13:NC13,"C"))*2)+((COUNTIF('Elève (6ème2)'!NA13:NC13,"D"))*1))/(COUNTA(NA13:NC13)),"")</f>
        <v/>
      </c>
      <c r="NE13" s="109" t="str">
        <f t="shared" si="85"/>
        <v/>
      </c>
      <c r="NF13" s="81"/>
      <c r="NG13" s="82"/>
      <c r="NH13" s="83"/>
      <c r="NI13" s="108" t="str">
        <f>IFERROR((((COUNTIF('Elève (6ème2)'!NF13:NH13,"A"))*4)+((COUNTIF('Elève (6ème2)'!NF13:NH13,"B"))*3)+((COUNTIF('Elève (6ème2)'!NF13:NH13,"C"))*2)+((COUNTIF('Elève (6ème2)'!NF13:NH13,"D"))*1))/(COUNTA(NF13:NH13)),"")</f>
        <v/>
      </c>
      <c r="NJ13" s="139" t="str">
        <f t="shared" si="86"/>
        <v/>
      </c>
      <c r="NK13" s="178">
        <f>IF(COUNT(MY13,ND13,NI13)=0,"",SUM(MY13,ND13,NI13)/COUNT(MY13,ND13,NI13))</f>
        <v>1</v>
      </c>
      <c r="NL13" s="131" t="str">
        <f t="shared" si="87"/>
        <v>D</v>
      </c>
      <c r="NM13" s="156"/>
      <c r="NN13" s="157"/>
      <c r="NO13" s="158"/>
      <c r="NP13" s="108" t="str">
        <f>IFERROR((((COUNTIF('Elève (6ème2)'!NM13:NO13,"A"))*4)+((COUNTIF('Elève (6ème2)'!NM13:NO13,"B"))*3)+((COUNTIF('Elève (6ème2)'!NM13:NO13,"C"))*2)+((COUNTIF('Elève (6ème2)'!NM13:NO13,"D"))*1))/(COUNTA(NM13:NO13)),"")</f>
        <v/>
      </c>
      <c r="NQ13" s="109" t="str">
        <f t="shared" si="88"/>
        <v/>
      </c>
      <c r="NR13" s="81"/>
      <c r="NS13" s="82"/>
      <c r="NT13" s="83"/>
      <c r="NU13" s="108" t="str">
        <f>IFERROR((((COUNTIF('Elève (6ème2)'!NR13:NT13,"A"))*4)+((COUNTIF('Elève (6ème2)'!NR13:NT13,"B"))*3)+((COUNTIF('Elève (6ème2)'!NR13:NT13,"C"))*2)+((COUNTIF('Elève (6ème2)'!NR13:NT13,"D"))*1))/(COUNTA(NR13:NT13)),"")</f>
        <v/>
      </c>
      <c r="NV13" s="109" t="str">
        <f t="shared" si="89"/>
        <v/>
      </c>
      <c r="NW13" s="81"/>
      <c r="NX13" s="82"/>
      <c r="NY13" s="83"/>
      <c r="NZ13" s="108" t="str">
        <f>IFERROR((((COUNTIF('Elève (6ème2)'!NW13:NY13,"A"))*4)+((COUNTIF('Elève (6ème2)'!NW13:NY13,"B"))*3)+((COUNTIF('Elève (6ème2)'!NW13:NY13,"C"))*2)+((COUNTIF('Elève (6ème2)'!NW13:NY13,"D"))*1))/(COUNTA(NW13:NY13)),"")</f>
        <v/>
      </c>
      <c r="OA13" s="139" t="str">
        <f t="shared" si="90"/>
        <v/>
      </c>
      <c r="OB13" s="178" t="str">
        <f>IF(COUNT(NP13,NU13,NZ13)=0,"",SUM(NP13,NU13,NZ13)/COUNT(NP13,NU13,NZ13))</f>
        <v/>
      </c>
      <c r="OC13" s="131" t="str">
        <f t="shared" si="91"/>
        <v/>
      </c>
      <c r="OD13" s="156"/>
      <c r="OE13" s="157" t="s">
        <v>25</v>
      </c>
      <c r="OF13" s="158"/>
      <c r="OG13" s="108">
        <f>IFERROR((((COUNTIF('Elève (6ème2)'!OD13:OF13,"A"))*4)+((COUNTIF('Elève (6ème2)'!OD13:OF13,"B"))*3)+((COUNTIF('Elève (6ème2)'!OD13:OF13,"C"))*2)+((COUNTIF('Elève (6ème2)'!OD13:OF13,"D"))*1))/(COUNTA(OD13:OF13)),"")</f>
        <v>3</v>
      </c>
      <c r="OH13" s="109" t="str">
        <f t="shared" si="92"/>
        <v>B</v>
      </c>
      <c r="OI13" s="81"/>
      <c r="OJ13" s="82"/>
      <c r="OK13" s="83"/>
      <c r="OL13" s="108" t="str">
        <f>IFERROR((((COUNTIF('Elève (6ème2)'!OI13:OK13,"A"))*4)+((COUNTIF('Elève (6ème2)'!OI13:OK13,"B"))*3)+((COUNTIF('Elève (6ème2)'!OI13:OK13,"C"))*2)+((COUNTIF('Elève (6ème2)'!OI13:OK13,"D"))*1))/(COUNTA(OI13:OK13)),"")</f>
        <v/>
      </c>
      <c r="OM13" s="109" t="str">
        <f t="shared" si="93"/>
        <v/>
      </c>
      <c r="ON13" s="81"/>
      <c r="OO13" s="82"/>
      <c r="OP13" s="83"/>
      <c r="OQ13" s="108" t="str">
        <f>IFERROR((((COUNTIF('Elève (6ème2)'!ON13:OP13,"A"))*4)+((COUNTIF('Elève (6ème2)'!ON13:OP13,"B"))*3)+((COUNTIF('Elève (6ème2)'!ON13:OP13,"C"))*2)+((COUNTIF('Elève (6ème2)'!ON13:OP13,"D"))*1))/(COUNTA(ON13:OP13)),"")</f>
        <v/>
      </c>
      <c r="OR13" s="139" t="str">
        <f t="shared" si="94"/>
        <v/>
      </c>
      <c r="OS13" s="178">
        <f>IF(COUNT(OG13,OL13,OQ13)=0,"",SUM(OG13,OL13,OQ13)/COUNT(OG13,OL13,OQ13))</f>
        <v>3</v>
      </c>
      <c r="OT13" s="131" t="str">
        <f t="shared" si="95"/>
        <v>B</v>
      </c>
      <c r="OU13" s="156"/>
      <c r="OV13" s="157" t="s">
        <v>25</v>
      </c>
      <c r="OW13" s="158"/>
      <c r="OX13" s="108">
        <f>IFERROR((((COUNTIF('Elève (6ème2)'!OU13:OW13,"A"))*4)+((COUNTIF('Elève (6ème2)'!OU13:OW13,"B"))*3)+((COUNTIF('Elève (6ème2)'!OU13:OW13,"C"))*2)+((COUNTIF('Elève (6ème2)'!OU13:OW13,"D"))*1))/(COUNTA(OU13:OW13)),"")</f>
        <v>3</v>
      </c>
      <c r="OY13" s="109" t="str">
        <f t="shared" si="96"/>
        <v>B</v>
      </c>
      <c r="OZ13" s="81"/>
      <c r="PA13" s="82"/>
      <c r="PB13" s="83"/>
      <c r="PC13" s="108" t="str">
        <f>IFERROR((((COUNTIF('Elève (6ème2)'!OZ13:PB13,"A"))*4)+((COUNTIF('Elève (6ème2)'!OZ13:PB13,"B"))*3)+((COUNTIF('Elève (6ème2)'!OZ13:PB13,"C"))*2)+((COUNTIF('Elève (6ème2)'!OZ13:PB13,"D"))*1))/(COUNTA(OZ13:PB13)),"")</f>
        <v/>
      </c>
      <c r="PD13" s="109" t="str">
        <f t="shared" si="97"/>
        <v/>
      </c>
      <c r="PE13" s="81"/>
      <c r="PF13" s="82"/>
      <c r="PG13" s="83"/>
      <c r="PH13" s="108" t="str">
        <f>IFERROR((((COUNTIF('Elève (6ème2)'!PE13:PG13,"A"))*4)+((COUNTIF('Elève (6ème2)'!PE13:PG13,"B"))*3)+((COUNTIF('Elève (6ème2)'!PE13:PG13,"C"))*2)+((COUNTIF('Elève (6ème2)'!PE13:PG13,"D"))*1))/(COUNTA(PE13:PG13)),"")</f>
        <v/>
      </c>
      <c r="PI13" s="139" t="str">
        <f t="shared" si="98"/>
        <v/>
      </c>
      <c r="PJ13" s="178">
        <f>IF(COUNT(OX13,PC13,PH13)=0,"",SUM(OX13,PC13,PH13)/COUNT(OX13,PC13,PH13))</f>
        <v>3</v>
      </c>
      <c r="PK13" s="131" t="str">
        <f t="shared" si="99"/>
        <v>B</v>
      </c>
      <c r="PL13" s="156"/>
      <c r="PM13" s="157" t="s">
        <v>26</v>
      </c>
      <c r="PN13" s="158"/>
      <c r="PO13" s="108">
        <f>IFERROR((((COUNTIF('Elève (6ème2)'!PL13:PN13,"A"))*4)+((COUNTIF('Elève (6ème2)'!PL13:PN13,"B"))*3)+((COUNTIF('Elève (6ème2)'!PL13:PN13,"C"))*2)+((COUNTIF('Elève (6ème2)'!PL13:PN13,"D"))*1))/(COUNTA(PL13:PN13)),"")</f>
        <v>2</v>
      </c>
      <c r="PP13" s="109" t="str">
        <f t="shared" si="100"/>
        <v>C</v>
      </c>
      <c r="PQ13" s="81"/>
      <c r="PR13" s="82"/>
      <c r="PS13" s="83"/>
      <c r="PT13" s="108" t="str">
        <f>IFERROR((((COUNTIF('Elève (6ème2)'!PQ13:PS13,"A"))*4)+((COUNTIF('Elève (6ème2)'!PQ13:PS13,"B"))*3)+((COUNTIF('Elève (6ème2)'!PQ13:PS13,"C"))*2)+((COUNTIF('Elève (6ème2)'!PQ13:PS13,"D"))*1))/(COUNTA(PQ13:PS13)),"")</f>
        <v/>
      </c>
      <c r="PU13" s="109" t="str">
        <f t="shared" si="101"/>
        <v/>
      </c>
      <c r="PV13" s="81"/>
      <c r="PW13" s="82"/>
      <c r="PX13" s="83"/>
      <c r="PY13" s="108" t="str">
        <f>IFERROR((((COUNTIF('Elève (6ème2)'!PV13:PX13,"A"))*4)+((COUNTIF('Elève (6ème2)'!PV13:PX13,"B"))*3)+((COUNTIF('Elève (6ème2)'!PV13:PX13,"C"))*2)+((COUNTIF('Elève (6ème2)'!PV13:PX13,"D"))*1))/(COUNTA(PV13:PX13)),"")</f>
        <v/>
      </c>
      <c r="PZ13" s="139" t="str">
        <f t="shared" si="102"/>
        <v/>
      </c>
      <c r="QA13" s="178">
        <f>IF(COUNT(PO13,PT13,PY13)=0,"",SUM(PO13,PT13,PY13)/COUNT(PO13,PT13,PY13))</f>
        <v>2</v>
      </c>
      <c r="QB13" s="131" t="str">
        <f t="shared" si="103"/>
        <v>C</v>
      </c>
      <c r="QC13" s="156"/>
      <c r="QD13" s="157" t="s">
        <v>26</v>
      </c>
      <c r="QE13" s="158"/>
      <c r="QF13" s="108">
        <f>IFERROR((((COUNTIF('Elève (6ème2)'!QC13:QE13,"A"))*4)+((COUNTIF('Elève (6ème2)'!QC13:QE13,"B"))*3)+((COUNTIF('Elève (6ème2)'!QC13:QE13,"C"))*2)+((COUNTIF('Elève (6ème2)'!QC13:QE13,"D"))*1))/(COUNTA(QC13:QE13)),"")</f>
        <v>2</v>
      </c>
      <c r="QG13" s="109" t="str">
        <f t="shared" si="104"/>
        <v>C</v>
      </c>
      <c r="QH13" s="81"/>
      <c r="QI13" s="82"/>
      <c r="QJ13" s="83"/>
      <c r="QK13" s="108" t="str">
        <f>IFERROR((((COUNTIF('Elève (6ème2)'!QH13:QJ13,"A"))*4)+((COUNTIF('Elève (6ème2)'!QH13:QJ13,"B"))*3)+((COUNTIF('Elève (6ème2)'!QH13:QJ13,"C"))*2)+((COUNTIF('Elève (6ème2)'!QH13:QJ13,"D"))*1))/(COUNTA(QH13:QJ13)),"")</f>
        <v/>
      </c>
      <c r="QL13" s="109" t="str">
        <f t="shared" si="105"/>
        <v/>
      </c>
      <c r="QM13" s="81"/>
      <c r="QN13" s="82"/>
      <c r="QO13" s="83"/>
      <c r="QP13" s="108" t="str">
        <f>IFERROR((((COUNTIF('Elève (6ème2)'!QM13:QO13,"A"))*4)+((COUNTIF('Elève (6ème2)'!QM13:QO13,"B"))*3)+((COUNTIF('Elève (6ème2)'!QM13:QO13,"C"))*2)+((COUNTIF('Elève (6ème2)'!QM13:QO13,"D"))*1))/(COUNTA(QM13:QO13)),"")</f>
        <v/>
      </c>
      <c r="QQ13" s="139" t="str">
        <f t="shared" si="106"/>
        <v/>
      </c>
      <c r="QR13" s="178">
        <f>IF(COUNT(QF13,QK13,QP13)=0,"",SUM(QF13,QK13,QP13)/COUNT(QF13,QK13,QP13))</f>
        <v>2</v>
      </c>
      <c r="QS13" s="131" t="str">
        <f t="shared" si="107"/>
        <v>C</v>
      </c>
      <c r="QT13" s="156"/>
      <c r="QU13" s="157"/>
      <c r="QV13" s="158"/>
      <c r="QW13" s="108" t="str">
        <f>IFERROR((((COUNTIF('Elève (6ème2)'!QT13:QV13,"A"))*4)+((COUNTIF('Elève (6ème2)'!QT13:QV13,"B"))*3)+((COUNTIF('Elève (6ème2)'!QT13:QV13,"C"))*2)+((COUNTIF('Elève (6ème2)'!QT13:QV13,"D"))*1))/(COUNTA(QT13:QV13)),"")</f>
        <v/>
      </c>
      <c r="QX13" s="109" t="str">
        <f t="shared" si="108"/>
        <v/>
      </c>
      <c r="QY13" s="81"/>
      <c r="QZ13" s="82"/>
      <c r="RA13" s="83"/>
      <c r="RB13" s="108" t="str">
        <f>IFERROR((((COUNTIF('Elève (6ème2)'!QY13:RA13,"A"))*4)+((COUNTIF('Elève (6ème2)'!QY13:RA13,"B"))*3)+((COUNTIF('Elève (6ème2)'!QY13:RA13,"C"))*2)+((COUNTIF('Elève (6ème2)'!QY13:RA13,"D"))*1))/(COUNTA(QY13:RA13)),"")</f>
        <v/>
      </c>
      <c r="RC13" s="109" t="str">
        <f t="shared" si="109"/>
        <v/>
      </c>
      <c r="RD13" s="81"/>
      <c r="RE13" s="82"/>
      <c r="RF13" s="83"/>
      <c r="RG13" s="108" t="str">
        <f>IFERROR((((COUNTIF('Elève (6ème2)'!RD13:RF13,"A"))*4)+((COUNTIF('Elève (6ème2)'!RD13:RF13,"B"))*3)+((COUNTIF('Elève (6ème2)'!RD13:RF13,"C"))*2)+((COUNTIF('Elève (6ème2)'!RD13:RF13,"D"))*1))/(COUNTA(RD13:RF13)),"")</f>
        <v/>
      </c>
      <c r="RH13" s="139" t="str">
        <f t="shared" si="110"/>
        <v/>
      </c>
      <c r="RI13" s="178" t="str">
        <f>IF(COUNT(QW13,RB13,RG13)=0,"",SUM(QW13,RB13,RG13)/COUNT(QW13,RB13,RG13))</f>
        <v/>
      </c>
      <c r="RJ13" s="131" t="str">
        <f t="shared" si="111"/>
        <v/>
      </c>
      <c r="RK13" s="156"/>
      <c r="RL13" s="157"/>
      <c r="RM13" s="158"/>
      <c r="RN13" s="108" t="str">
        <f>IFERROR((((COUNTIF('Elève (6ème2)'!RK13:RM13,"A"))*4)+((COUNTIF('Elève (6ème2)'!RK13:RM13,"B"))*3)+((COUNTIF('Elève (6ème2)'!RK13:RM13,"C"))*2)+((COUNTIF('Elève (6ème2)'!RK13:RM13,"D"))*1))/(COUNTA(RK13:RM13)),"")</f>
        <v/>
      </c>
      <c r="RO13" s="109" t="str">
        <f t="shared" si="112"/>
        <v/>
      </c>
      <c r="RP13" s="81"/>
      <c r="RQ13" s="82"/>
      <c r="RR13" s="83"/>
      <c r="RS13" s="108" t="str">
        <f>IFERROR((((COUNTIF('Elève (6ème2)'!RP13:RR13,"A"))*4)+((COUNTIF('Elève (6ème2)'!RP13:RR13,"B"))*3)+((COUNTIF('Elève (6ème2)'!RP13:RR13,"C"))*2)+((COUNTIF('Elève (6ème2)'!RP13:RR13,"D"))*1))/(COUNTA(RP13:RR13)),"")</f>
        <v/>
      </c>
      <c r="RT13" s="109" t="str">
        <f t="shared" si="113"/>
        <v/>
      </c>
      <c r="RU13" s="81"/>
      <c r="RV13" s="82"/>
      <c r="RW13" s="83"/>
      <c r="RX13" s="108" t="str">
        <f>IFERROR((((COUNTIF('Elève (6ème2)'!RU13:RW13,"A"))*4)+((COUNTIF('Elève (6ème2)'!RU13:RW13,"B"))*3)+((COUNTIF('Elève (6ème2)'!RU13:RW13,"C"))*2)+((COUNTIF('Elève (6ème2)'!RU13:RW13,"D"))*1))/(COUNTA(RU13:RW13)),"")</f>
        <v/>
      </c>
      <c r="RY13" s="139" t="str">
        <f t="shared" si="114"/>
        <v/>
      </c>
      <c r="RZ13" s="178" t="str">
        <f>IF(COUNT(RN13,RS13,RX13)=0,"",SUM(RN13,RS13,RX13)/COUNT(RN13,RS13,RX13))</f>
        <v/>
      </c>
      <c r="SA13" s="131" t="str">
        <f t="shared" si="115"/>
        <v/>
      </c>
      <c r="SB13" s="156"/>
      <c r="SC13" s="157"/>
      <c r="SD13" s="158"/>
      <c r="SE13" s="108" t="str">
        <f>IFERROR((((COUNTIF('Elève (6ème2)'!SB13:SD13,"A"))*4)+((COUNTIF('Elève (6ème2)'!SB13:SD13,"B"))*3)+((COUNTIF('Elève (6ème2)'!SB13:SD13,"C"))*2)+((COUNTIF('Elève (6ème2)'!SB13:SD13,"D"))*1))/(COUNTA(SB13:SD13)),"")</f>
        <v/>
      </c>
      <c r="SF13" s="109" t="str">
        <f t="shared" si="116"/>
        <v/>
      </c>
      <c r="SG13" s="81"/>
      <c r="SH13" s="82"/>
      <c r="SI13" s="83"/>
      <c r="SJ13" s="108" t="str">
        <f>IFERROR((((COUNTIF('Elève (6ème2)'!SG13:SI13,"A"))*4)+((COUNTIF('Elève (6ème2)'!SG13:SI13,"B"))*3)+((COUNTIF('Elève (6ème2)'!SG13:SI13,"C"))*2)+((COUNTIF('Elève (6ème2)'!SG13:SI13,"D"))*1))/(COUNTA(SG13:SI13)),"")</f>
        <v/>
      </c>
      <c r="SK13" s="109" t="str">
        <f t="shared" si="117"/>
        <v/>
      </c>
      <c r="SL13" s="81"/>
      <c r="SM13" s="82"/>
      <c r="SN13" s="83"/>
      <c r="SO13" s="108" t="str">
        <f>IFERROR((((COUNTIF('Elève (6ème2)'!SL13:SN13,"A"))*4)+((COUNTIF('Elève (6ème2)'!SL13:SN13,"B"))*3)+((COUNTIF('Elève (6ème2)'!SL13:SN13,"C"))*2)+((COUNTIF('Elève (6ème2)'!SL13:SN13,"D"))*1))/(COUNTA(SL13:SN13)),"")</f>
        <v/>
      </c>
      <c r="SP13" s="139" t="str">
        <f t="shared" si="118"/>
        <v/>
      </c>
      <c r="SQ13" s="178" t="str">
        <f>IF(COUNT(SE13,SJ13,SO13)=0,"",SUM(SE13,SJ13,SO13)/COUNT(SE13,SJ13,SO13))</f>
        <v/>
      </c>
      <c r="SR13" s="131" t="str">
        <f t="shared" si="119"/>
        <v/>
      </c>
    </row>
    <row r="14" spans="1:512" s="77" customFormat="1" ht="16.5" customHeight="1" thickBot="1" x14ac:dyDescent="0.3">
      <c r="A14" s="96" t="s">
        <v>17</v>
      </c>
      <c r="B14" s="88">
        <v>2</v>
      </c>
      <c r="C14" s="152"/>
      <c r="D14" s="185"/>
      <c r="E14" s="185"/>
      <c r="F14" s="106">
        <f>IFERROR((((COUNTIF('Elève (6ème2)'!C15:E17,"A"))*4)+((COUNTIF('Elève (6ème2)'!C15:E17,"B"))*3)+((COUNTIF('Elève (6ème2)'!C15:E17,"C"))*2)+((COUNTIF('Elève (6ème2)'!C15:E17,"D"))*1))/(COUNTA(C15:E17)),"")</f>
        <v>4</v>
      </c>
      <c r="G14" s="107" t="str">
        <f t="shared" si="0"/>
        <v>A</v>
      </c>
      <c r="H14" s="204"/>
      <c r="I14" s="186"/>
      <c r="J14" s="205"/>
      <c r="K14" s="106" t="str">
        <f>IFERROR((((COUNTIF('Elève (6ème2)'!H15:J17,"A"))*4)+((COUNTIF('Elève (6ème2)'!H15:J17,"B"))*3)+((COUNTIF('Elève (6ème2)'!H15:J17,"C"))*2)+((COUNTIF('Elève (6ème2)'!H15:J17,"D"))*1))/(COUNTA(H15:J17)),"")</f>
        <v/>
      </c>
      <c r="L14" s="121" t="str">
        <f t="shared" si="1"/>
        <v/>
      </c>
      <c r="M14" s="100"/>
      <c r="N14" s="187"/>
      <c r="O14" s="188"/>
      <c r="P14" s="106" t="str">
        <f>IFERROR((((COUNTIF('Elève (6ème2)'!M15:O17,"A"))*4)+((COUNTIF('Elève (6ème2)'!M15:O17,"B"))*3)+((COUNTIF('Elève (6ème2)'!M15:O17,"C"))*2)+((COUNTIF('Elève (6ème2)'!M15:O17,"D"))*1))/(COUNTA(M15:O17)),"")</f>
        <v/>
      </c>
      <c r="Q14" s="128" t="str">
        <f t="shared" si="2"/>
        <v/>
      </c>
      <c r="R14" s="177">
        <f>IFERROR((((COUNTIF(C15:E17,"A")+COUNTIF(H15:J17,"A")+COUNTIF(M15:O17,"A"))*4)+((COUNTIF(C15:E17,"B")+COUNTIF(H15:J17,"B")+COUNTIF(M15:O17,"B"))*3)+((COUNTIF(C15:E17,"C")+COUNTIF(H15:J17,"C")+COUNTIF(M15:O17,"C"))*2)+((COUNTIF(C15:E17,"D")+COUNTIF(H15:J17,"D")+COUNTIF(M15:O17,"D"))*1))/(COUNTA(C15:E17)+COUNTA(H15:J17)+COUNTA(M15:O17)),"")</f>
        <v>4</v>
      </c>
      <c r="S14" s="130" t="str">
        <f t="shared" si="3"/>
        <v>A</v>
      </c>
      <c r="T14" s="152"/>
      <c r="U14" s="185"/>
      <c r="V14" s="185"/>
      <c r="W14" s="106">
        <f>IFERROR((((COUNTIF('Elève (6ème2)'!T15:V17,"A"))*4)+((COUNTIF('Elève (6ème2)'!T15:V17,"B"))*3)+((COUNTIF('Elève (6ème2)'!T15:V17,"C"))*2)+((COUNTIF('Elève (6ème2)'!T15:V17,"D"))*1))/(COUNTA(T15:V17)),"")</f>
        <v>3</v>
      </c>
      <c r="X14" s="107" t="str">
        <f t="shared" si="4"/>
        <v>B</v>
      </c>
      <c r="Y14" s="204"/>
      <c r="Z14" s="186"/>
      <c r="AA14" s="205"/>
      <c r="AB14" s="106" t="str">
        <f>IFERROR((((COUNTIF('Elève (6ème2)'!Y15:AA17,"A"))*4)+((COUNTIF('Elève (6ème2)'!Y15:AA17,"B"))*3)+((COUNTIF('Elève (6ème2)'!Y15:AA17,"C"))*2)+((COUNTIF('Elève (6ème2)'!Y15:AA17,"D"))*1))/(COUNTA(Y15:AA17)),"")</f>
        <v/>
      </c>
      <c r="AC14" s="121" t="str">
        <f t="shared" si="5"/>
        <v/>
      </c>
      <c r="AD14" s="100"/>
      <c r="AE14" s="187"/>
      <c r="AF14" s="188"/>
      <c r="AG14" s="106" t="str">
        <f>IFERROR((((COUNTIF('Elève (6ème2)'!AD15:AF17,"A"))*4)+((COUNTIF('Elève (6ème2)'!AD15:AF17,"B"))*3)+((COUNTIF('Elève (6ème2)'!AD15:AF17,"C"))*2)+((COUNTIF('Elève (6ème2)'!AD15:AF17,"D"))*1))/(COUNTA(AD15:AF17)),"")</f>
        <v/>
      </c>
      <c r="AH14" s="128" t="str">
        <f t="shared" si="6"/>
        <v/>
      </c>
      <c r="AI14" s="177">
        <f>IFERROR((((COUNTIF(T15:V17,"A")+COUNTIF(Y15:AA17,"A")+COUNTIF(AD15:AF17,"A"))*4)+((COUNTIF(T15:V17,"B")+COUNTIF(Y15:AA17,"B")+COUNTIF(AD15:AF17,"B"))*3)+((COUNTIF(T15:V17,"C")+COUNTIF(Y15:AA17,"C")+COUNTIF(AD15:AF17,"C"))*2)+((COUNTIF(T15:V17,"D")+COUNTIF(Y15:AA17,"D")+COUNTIF(AD15:AF17,"D"))*1))/(COUNTA(T15:V17)+COUNTA(Y15:AA17)+COUNTA(AD15:AF17)),"")</f>
        <v>3</v>
      </c>
      <c r="AJ14" s="130" t="str">
        <f t="shared" si="7"/>
        <v>B</v>
      </c>
      <c r="AK14" s="152"/>
      <c r="AL14" s="185"/>
      <c r="AM14" s="185"/>
      <c r="AN14" s="106">
        <f>IFERROR((((COUNTIF('Elève (6ème2)'!AK15:AM17,"A"))*4)+((COUNTIF('Elève (6ème2)'!AK15:AM17,"B"))*3)+((COUNTIF('Elève (6ème2)'!AK15:AM17,"C"))*2)+((COUNTIF('Elève (6ème2)'!AK15:AM17,"D"))*1))/(COUNTA(AK15:AM17)),"")</f>
        <v>3</v>
      </c>
      <c r="AO14" s="107" t="str">
        <f t="shared" si="8"/>
        <v>B</v>
      </c>
      <c r="AP14" s="204"/>
      <c r="AQ14" s="186"/>
      <c r="AR14" s="205"/>
      <c r="AS14" s="106" t="str">
        <f>IFERROR((((COUNTIF('Elève (6ème2)'!AP15:AR17,"A"))*4)+((COUNTIF('Elève (6ème2)'!AP15:AR17,"B"))*3)+((COUNTIF('Elève (6ème2)'!AP15:AR17,"C"))*2)+((COUNTIF('Elève (6ème2)'!AP15:AR17,"D"))*1))/(COUNTA(AP15:AR17)),"")</f>
        <v/>
      </c>
      <c r="AT14" s="121" t="str">
        <f t="shared" si="9"/>
        <v/>
      </c>
      <c r="AU14" s="100"/>
      <c r="AV14" s="187"/>
      <c r="AW14" s="188"/>
      <c r="AX14" s="106" t="str">
        <f>IFERROR((((COUNTIF('Elève (6ème2)'!AU15:AW17,"A"))*4)+((COUNTIF('Elève (6ème2)'!AU15:AW17,"B"))*3)+((COUNTIF('Elève (6ème2)'!AU15:AW17,"C"))*2)+((COUNTIF('Elève (6ème2)'!AU15:AW17,"D"))*1))/(COUNTA(AU15:AW17)),"")</f>
        <v/>
      </c>
      <c r="AY14" s="128" t="str">
        <f t="shared" si="10"/>
        <v/>
      </c>
      <c r="AZ14" s="177">
        <f>IFERROR((((COUNTIF(AK15:AM17,"A")+COUNTIF(AP15:AR17,"A")+COUNTIF(AU15:AW17,"A"))*4)+((COUNTIF(AK15:AM17,"B")+COUNTIF(AP15:AR17,"B")+COUNTIF(AU15:AW17,"B"))*3)+((COUNTIF(AK15:AM17,"C")+COUNTIF(AP15:AR17,"C")+COUNTIF(AU15:AW17,"C"))*2)+((COUNTIF(AK15:AM17,"D")+COUNTIF(AP15:AR17,"D")+COUNTIF(AU15:AW17,"D"))*1))/(COUNTA(AK15:AM17)+COUNTA(AP15:AR17)+COUNTA(AU15:AW17)),"")</f>
        <v>3</v>
      </c>
      <c r="BA14" s="130" t="str">
        <f t="shared" si="11"/>
        <v>B</v>
      </c>
      <c r="BB14" s="152"/>
      <c r="BC14" s="185"/>
      <c r="BD14" s="185"/>
      <c r="BE14" s="106">
        <f>IFERROR((((COUNTIF('Elève (6ème2)'!BB15:BD17,"A"))*4)+((COUNTIF('Elève (6ème2)'!BB15:BD17,"B"))*3)+((COUNTIF('Elève (6ème2)'!BB15:BD17,"C"))*2)+((COUNTIF('Elève (6ème2)'!BB15:BD17,"D"))*1))/(COUNTA(BB15:BD17)),"")</f>
        <v>2</v>
      </c>
      <c r="BF14" s="107" t="str">
        <f t="shared" si="12"/>
        <v>C</v>
      </c>
      <c r="BG14" s="204"/>
      <c r="BH14" s="186"/>
      <c r="BI14" s="205"/>
      <c r="BJ14" s="106" t="str">
        <f>IFERROR((((COUNTIF('Elève (6ème2)'!BG15:BI17,"A"))*4)+((COUNTIF('Elève (6ème2)'!BG15:BI17,"B"))*3)+((COUNTIF('Elève (6ème2)'!BG15:BI17,"C"))*2)+((COUNTIF('Elève (6ème2)'!BG15:BI17,"D"))*1))/(COUNTA(BG15:BI17)),"")</f>
        <v/>
      </c>
      <c r="BK14" s="121" t="str">
        <f t="shared" si="13"/>
        <v/>
      </c>
      <c r="BL14" s="100"/>
      <c r="BM14" s="187"/>
      <c r="BN14" s="188"/>
      <c r="BO14" s="106" t="str">
        <f>IFERROR((((COUNTIF('Elève (6ème2)'!BL15:BN17,"A"))*4)+((COUNTIF('Elève (6ème2)'!BL15:BN17,"B"))*3)+((COUNTIF('Elève (6ème2)'!BL15:BN17,"C"))*2)+((COUNTIF('Elève (6ème2)'!BL15:BN17,"D"))*1))/(COUNTA(BL15:BN17)),"")</f>
        <v/>
      </c>
      <c r="BP14" s="128" t="str">
        <f t="shared" si="14"/>
        <v/>
      </c>
      <c r="BQ14" s="177">
        <f>IFERROR((((COUNTIF(BB15:BD17,"A")+COUNTIF(BG15:BI17,"A")+COUNTIF(BL15:BN17,"A"))*4)+((COUNTIF(BB15:BD17,"B")+COUNTIF(BG15:BI17,"B")+COUNTIF(BL15:BN17,"B"))*3)+((COUNTIF(BB15:BD17,"C")+COUNTIF(BG15:BI17,"C")+COUNTIF(BL15:BN17,"C"))*2)+((COUNTIF(BB15:BD17,"D")+COUNTIF(BG15:BI17,"D")+COUNTIF(BL15:BN17,"D"))*1))/(COUNTA(BB15:BD17)+COUNTA(BG15:BI17)+COUNTA(BL15:BN17)),"")</f>
        <v>2</v>
      </c>
      <c r="BR14" s="130" t="str">
        <f t="shared" si="15"/>
        <v>C</v>
      </c>
      <c r="BS14" s="152"/>
      <c r="BT14" s="185"/>
      <c r="BU14" s="185"/>
      <c r="BV14" s="106">
        <f>IFERROR((((COUNTIF('Elève (6ème2)'!BS15:BU17,"A"))*4)+((COUNTIF('Elève (6ème2)'!BS15:BU17,"B"))*3)+((COUNTIF('Elève (6ème2)'!BS15:BU17,"C"))*2)+((COUNTIF('Elève (6ème2)'!BS15:BU17,"D"))*1))/(COUNTA(BS15:BU17)),"")</f>
        <v>3</v>
      </c>
      <c r="BW14" s="107" t="str">
        <f t="shared" si="16"/>
        <v>B</v>
      </c>
      <c r="BX14" s="204"/>
      <c r="BY14" s="186"/>
      <c r="BZ14" s="205"/>
      <c r="CA14" s="106" t="str">
        <f>IFERROR((((COUNTIF('Elève (6ème2)'!BX15:BZ17,"A"))*4)+((COUNTIF('Elève (6ème2)'!BX15:BZ17,"B"))*3)+((COUNTIF('Elève (6ème2)'!BX15:BZ17,"C"))*2)+((COUNTIF('Elève (6ème2)'!BX15:BZ17,"D"))*1))/(COUNTA(BX15:BZ17)),"")</f>
        <v/>
      </c>
      <c r="CB14" s="121" t="str">
        <f t="shared" si="17"/>
        <v/>
      </c>
      <c r="CC14" s="100"/>
      <c r="CD14" s="187"/>
      <c r="CE14" s="188"/>
      <c r="CF14" s="106" t="str">
        <f>IFERROR((((COUNTIF('Elève (6ème2)'!CC15:CE17,"A"))*4)+((COUNTIF('Elève (6ème2)'!CC15:CE17,"B"))*3)+((COUNTIF('Elève (6ème2)'!CC15:CE17,"C"))*2)+((COUNTIF('Elève (6ème2)'!CC15:CE17,"D"))*1))/(COUNTA(CC15:CE17)),"")</f>
        <v/>
      </c>
      <c r="CG14" s="128" t="str">
        <f t="shared" si="18"/>
        <v/>
      </c>
      <c r="CH14" s="177">
        <f>IFERROR((((COUNTIF(BS15:BU17,"A")+COUNTIF(BX15:BZ17,"A")+COUNTIF(CC15:CE17,"A"))*4)+((COUNTIF(BS15:BU17,"B")+COUNTIF(BX15:BZ17,"B")+COUNTIF(CC15:CE17,"B"))*3)+((COUNTIF(BS15:BU17,"C")+COUNTIF(BX15:BZ17,"C")+COUNTIF(CC15:CE17,"C"))*2)+((COUNTIF(BS15:BU17,"D")+COUNTIF(BX15:BZ17,"D")+COUNTIF(CC15:CE17,"D"))*1))/(COUNTA(BS15:BU17)+COUNTA(BX15:BZ17)+COUNTA(CC15:CE17)),"")</f>
        <v>3</v>
      </c>
      <c r="CI14" s="130" t="str">
        <f t="shared" si="19"/>
        <v>B</v>
      </c>
      <c r="CJ14" s="152"/>
      <c r="CK14" s="185"/>
      <c r="CL14" s="185"/>
      <c r="CM14" s="106">
        <f>IFERROR((((COUNTIF('Elève (6ème2)'!CJ15:CL17,"A"))*4)+((COUNTIF('Elève (6ème2)'!CJ15:CL17,"B"))*3)+((COUNTIF('Elève (6ème2)'!CJ15:CL17,"C"))*2)+((COUNTIF('Elève (6ème2)'!CJ15:CL17,"D"))*1))/(COUNTA(CJ15:CL17)),"")</f>
        <v>1</v>
      </c>
      <c r="CN14" s="107" t="str">
        <f t="shared" si="20"/>
        <v>D</v>
      </c>
      <c r="CO14" s="204"/>
      <c r="CP14" s="186"/>
      <c r="CQ14" s="205"/>
      <c r="CR14" s="106" t="str">
        <f>IFERROR((((COUNTIF('Elève (6ème2)'!CO15:CQ17,"A"))*4)+((COUNTIF('Elève (6ème2)'!CO15:CQ17,"B"))*3)+((COUNTIF('Elève (6ème2)'!CO15:CQ17,"C"))*2)+((COUNTIF('Elève (6ème2)'!CO15:CQ17,"D"))*1))/(COUNTA(CO15:CQ17)),"")</f>
        <v/>
      </c>
      <c r="CS14" s="121" t="str">
        <f t="shared" si="21"/>
        <v/>
      </c>
      <c r="CT14" s="100"/>
      <c r="CU14" s="187"/>
      <c r="CV14" s="188"/>
      <c r="CW14" s="106" t="str">
        <f>IFERROR((((COUNTIF('Elève (6ème2)'!CT15:CV17,"A"))*4)+((COUNTIF('Elève (6ème2)'!CT15:CV17,"B"))*3)+((COUNTIF('Elève (6ème2)'!CT15:CV17,"C"))*2)+((COUNTIF('Elève (6ème2)'!CT15:CV17,"D"))*1))/(COUNTA(CT15:CV17)),"")</f>
        <v/>
      </c>
      <c r="CX14" s="128" t="str">
        <f t="shared" si="22"/>
        <v/>
      </c>
      <c r="CY14" s="177">
        <f>IFERROR((((COUNTIF(CJ15:CL17,"A")+COUNTIF(CO15:CQ17,"A")+COUNTIF(CT15:CV17,"A"))*4)+((COUNTIF(CJ15:CL17,"B")+COUNTIF(CO15:CQ17,"B")+COUNTIF(CT15:CV17,"B"))*3)+((COUNTIF(CJ15:CL17,"C")+COUNTIF(CO15:CQ17,"C")+COUNTIF(CT15:CV17,"C"))*2)+((COUNTIF(CJ15:CL17,"D")+COUNTIF(CO15:CQ17,"D")+COUNTIF(CT15:CV17,"D"))*1))/(COUNTA(CJ15:CL17)+COUNTA(CO15:CQ17)+COUNTA(CT15:CV17)),"")</f>
        <v>1</v>
      </c>
      <c r="CZ14" s="130" t="str">
        <f t="shared" si="23"/>
        <v>D</v>
      </c>
      <c r="DA14" s="152"/>
      <c r="DB14" s="185"/>
      <c r="DC14" s="185"/>
      <c r="DD14" s="106">
        <f>IFERROR((((COUNTIF('Elève (6ème2)'!DA15:DC17,"A"))*4)+((COUNTIF('Elève (6ème2)'!DA15:DC17,"B"))*3)+((COUNTIF('Elève (6ème2)'!DA15:DC17,"C"))*2)+((COUNTIF('Elève (6ème2)'!DA15:DC17,"D"))*1))/(COUNTA(DA15:DC17)),"")</f>
        <v>3</v>
      </c>
      <c r="DE14" s="107" t="str">
        <f t="shared" si="24"/>
        <v>B</v>
      </c>
      <c r="DF14" s="204"/>
      <c r="DG14" s="186"/>
      <c r="DH14" s="205"/>
      <c r="DI14" s="106" t="str">
        <f>IFERROR((((COUNTIF('Elève (6ème2)'!DF15:DH17,"A"))*4)+((COUNTIF('Elève (6ème2)'!DF15:DH17,"B"))*3)+((COUNTIF('Elève (6ème2)'!DF15:DH17,"C"))*2)+((COUNTIF('Elève (6ème2)'!DF15:DH17,"D"))*1))/(COUNTA(DF15:DH17)),"")</f>
        <v/>
      </c>
      <c r="DJ14" s="121" t="str">
        <f t="shared" si="25"/>
        <v/>
      </c>
      <c r="DK14" s="100"/>
      <c r="DL14" s="187"/>
      <c r="DM14" s="188"/>
      <c r="DN14" s="106" t="str">
        <f>IFERROR((((COUNTIF('Elève (6ème2)'!DK15:DM17,"A"))*4)+((COUNTIF('Elève (6ème2)'!DK15:DM17,"B"))*3)+((COUNTIF('Elève (6ème2)'!DK15:DM17,"C"))*2)+((COUNTIF('Elève (6ème2)'!DK15:DM17,"D"))*1))/(COUNTA(DK15:DM17)),"")</f>
        <v/>
      </c>
      <c r="DO14" s="128" t="str">
        <f t="shared" si="26"/>
        <v/>
      </c>
      <c r="DP14" s="177">
        <f>IFERROR((((COUNTIF(DA15:DC17,"A")+COUNTIF(DF15:DH17,"A")+COUNTIF(DK15:DM17,"A"))*4)+((COUNTIF(DA15:DC17,"B")+COUNTIF(DF15:DH17,"B")+COUNTIF(DK15:DM17,"B"))*3)+((COUNTIF(DA15:DC17,"C")+COUNTIF(DF15:DH17,"C")+COUNTIF(DK15:DM17,"C"))*2)+((COUNTIF(DA15:DC17,"D")+COUNTIF(DF15:DH17,"D")+COUNTIF(DK15:DM17,"D"))*1))/(COUNTA(DA15:DC17)+COUNTA(DF15:DH17)+COUNTA(DK15:DM17)),"")</f>
        <v>3</v>
      </c>
      <c r="DQ14" s="130" t="str">
        <f t="shared" si="27"/>
        <v>B</v>
      </c>
      <c r="DR14" s="152"/>
      <c r="DS14" s="185"/>
      <c r="DT14" s="185"/>
      <c r="DU14" s="106">
        <f>IFERROR((((COUNTIF('Elève (6ème2)'!DR15:DT17,"A"))*4)+((COUNTIF('Elève (6ème2)'!DR15:DT17,"B"))*3)+((COUNTIF('Elève (6ème2)'!DR15:DT17,"C"))*2)+((COUNTIF('Elève (6ème2)'!DR15:DT17,"D"))*1))/(COUNTA(DR15:DT17)),"")</f>
        <v>2</v>
      </c>
      <c r="DV14" s="107" t="str">
        <f t="shared" si="28"/>
        <v>C</v>
      </c>
      <c r="DW14" s="204"/>
      <c r="DX14" s="186"/>
      <c r="DY14" s="205"/>
      <c r="DZ14" s="106" t="str">
        <f>IFERROR((((COUNTIF('Elève (6ème2)'!DW15:DY17,"A"))*4)+((COUNTIF('Elève (6ème2)'!DW15:DY17,"B"))*3)+((COUNTIF('Elève (6ème2)'!DW15:DY17,"C"))*2)+((COUNTIF('Elève (6ème2)'!DW15:DY17,"D"))*1))/(COUNTA(DW15:DY17)),"")</f>
        <v/>
      </c>
      <c r="EA14" s="121" t="str">
        <f t="shared" si="29"/>
        <v/>
      </c>
      <c r="EB14" s="100"/>
      <c r="EC14" s="187"/>
      <c r="ED14" s="188"/>
      <c r="EE14" s="106" t="str">
        <f>IFERROR((((COUNTIF('Elève (6ème2)'!EB15:ED17,"A"))*4)+((COUNTIF('Elève (6ème2)'!EB15:ED17,"B"))*3)+((COUNTIF('Elève (6ème2)'!EB15:ED17,"C"))*2)+((COUNTIF('Elève (6ème2)'!EB15:ED17,"D"))*1))/(COUNTA(EB15:ED17)),"")</f>
        <v/>
      </c>
      <c r="EF14" s="128" t="str">
        <f t="shared" si="30"/>
        <v/>
      </c>
      <c r="EG14" s="177">
        <f>IFERROR((((COUNTIF(DR15:DT17,"A")+COUNTIF(DW15:DY17,"A")+COUNTIF(EB15:ED17,"A"))*4)+((COUNTIF(DR15:DT17,"B")+COUNTIF(DW15:DY17,"B")+COUNTIF(EB15:ED17,"B"))*3)+((COUNTIF(DR15:DT17,"C")+COUNTIF(DW15:DY17,"C")+COUNTIF(EB15:ED17,"C"))*2)+((COUNTIF(DR15:DT17,"D")+COUNTIF(DW15:DY17,"D")+COUNTIF(EB15:ED17,"D"))*1))/(COUNTA(DR15:DT17)+COUNTA(DW15:DY17)+COUNTA(EB15:ED17)),"")</f>
        <v>2</v>
      </c>
      <c r="EH14" s="130" t="str">
        <f t="shared" si="31"/>
        <v>C</v>
      </c>
      <c r="EI14" s="152"/>
      <c r="EJ14" s="185"/>
      <c r="EK14" s="185"/>
      <c r="EL14" s="106">
        <f>IFERROR((((COUNTIF('Elève (6ème2)'!EI15:EK17,"A"))*4)+((COUNTIF('Elève (6ème2)'!EI15:EK17,"B"))*3)+((COUNTIF('Elève (6ème2)'!EI15:EK17,"C"))*2)+((COUNTIF('Elève (6ème2)'!EI15:EK17,"D"))*1))/(COUNTA(EI15:EK17)),"")</f>
        <v>2</v>
      </c>
      <c r="EM14" s="107" t="str">
        <f t="shared" si="32"/>
        <v>C</v>
      </c>
      <c r="EN14" s="204"/>
      <c r="EO14" s="186"/>
      <c r="EP14" s="205"/>
      <c r="EQ14" s="106" t="str">
        <f>IFERROR((((COUNTIF('Elève (6ème2)'!EN15:EP17,"A"))*4)+((COUNTIF('Elève (6ème2)'!EN15:EP17,"B"))*3)+((COUNTIF('Elève (6ème2)'!EN15:EP17,"C"))*2)+((COUNTIF('Elève (6ème2)'!EN15:EP17,"D"))*1))/(COUNTA(EN15:EP17)),"")</f>
        <v/>
      </c>
      <c r="ER14" s="121" t="str">
        <f t="shared" si="33"/>
        <v/>
      </c>
      <c r="ES14" s="100"/>
      <c r="ET14" s="187"/>
      <c r="EU14" s="188"/>
      <c r="EV14" s="106" t="str">
        <f>IFERROR((((COUNTIF('Elève (6ème2)'!ES15:EU17,"A"))*4)+((COUNTIF('Elève (6ème2)'!ES15:EU17,"B"))*3)+((COUNTIF('Elève (6ème2)'!ES15:EU17,"C"))*2)+((COUNTIF('Elève (6ème2)'!ES15:EU17,"D"))*1))/(COUNTA(ES15:EU17)),"")</f>
        <v/>
      </c>
      <c r="EW14" s="128" t="str">
        <f t="shared" si="34"/>
        <v/>
      </c>
      <c r="EX14" s="177">
        <f>IFERROR((((COUNTIF(EI15:EK17,"A")+COUNTIF(EN15:EP17,"A")+COUNTIF(ES15:EU17,"A"))*4)+((COUNTIF(EI15:EK17,"B")+COUNTIF(EN15:EP17,"B")+COUNTIF(ES15:EU17,"B"))*3)+((COUNTIF(EI15:EK17,"C")+COUNTIF(EN15:EP17,"C")+COUNTIF(ES15:EU17,"C"))*2)+((COUNTIF(EI15:EK17,"D")+COUNTIF(EN15:EP17,"D")+COUNTIF(ES15:EU17,"D"))*1))/(COUNTA(EI15:EK17)+COUNTA(EN15:EP17)+COUNTA(ES15:EU17)),"")</f>
        <v>2</v>
      </c>
      <c r="EY14" s="130" t="str">
        <f t="shared" si="35"/>
        <v>C</v>
      </c>
      <c r="EZ14" s="152"/>
      <c r="FA14" s="185"/>
      <c r="FB14" s="185"/>
      <c r="FC14" s="106">
        <f>IFERROR((((COUNTIF('Elève (6ème2)'!EZ15:FB17,"A"))*4)+((COUNTIF('Elève (6ème2)'!EZ15:FB17,"B"))*3)+((COUNTIF('Elève (6ème2)'!EZ15:FB17,"C"))*2)+((COUNTIF('Elève (6ème2)'!EZ15:FB17,"D"))*1))/(COUNTA(EZ15:FB17)),"")</f>
        <v>3</v>
      </c>
      <c r="FD14" s="107" t="str">
        <f t="shared" si="36"/>
        <v>B</v>
      </c>
      <c r="FE14" s="204"/>
      <c r="FF14" s="186"/>
      <c r="FG14" s="205"/>
      <c r="FH14" s="106" t="str">
        <f>IFERROR((((COUNTIF('Elève (6ème2)'!FE15:FG17,"A"))*4)+((COUNTIF('Elève (6ème2)'!FE15:FG17,"B"))*3)+((COUNTIF('Elève (6ème2)'!FE15:FG17,"C"))*2)+((COUNTIF('Elève (6ème2)'!FE15:FG17,"D"))*1))/(COUNTA(FE15:FG17)),"")</f>
        <v/>
      </c>
      <c r="FI14" s="121" t="str">
        <f t="shared" si="37"/>
        <v/>
      </c>
      <c r="FJ14" s="100"/>
      <c r="FK14" s="187"/>
      <c r="FL14" s="188"/>
      <c r="FM14" s="106" t="str">
        <f>IFERROR((((COUNTIF('Elève (6ème2)'!FJ15:FL17,"A"))*4)+((COUNTIF('Elève (6ème2)'!FJ15:FL17,"B"))*3)+((COUNTIF('Elève (6ème2)'!FJ15:FL17,"C"))*2)+((COUNTIF('Elève (6ème2)'!FJ15:FL17,"D"))*1))/(COUNTA(FJ15:FL17)),"")</f>
        <v/>
      </c>
      <c r="FN14" s="128" t="str">
        <f t="shared" si="38"/>
        <v/>
      </c>
      <c r="FO14" s="177">
        <f>IFERROR((((COUNTIF(EZ15:FB17,"A")+COUNTIF(FE15:FG17,"A")+COUNTIF(FJ15:FL17,"A"))*4)+((COUNTIF(EZ15:FB17,"B")+COUNTIF(FE15:FG17,"B")+COUNTIF(FJ15:FL17,"B"))*3)+((COUNTIF(EZ15:FB17,"C")+COUNTIF(FE15:FG17,"C")+COUNTIF(FJ15:FL17,"C"))*2)+((COUNTIF(EZ15:FB17,"D")+COUNTIF(FE15:FG17,"D")+COUNTIF(FJ15:FL17,"D"))*1))/(COUNTA(EZ15:FB17)+COUNTA(FE15:FG17)+COUNTA(FJ15:FL17)),"")</f>
        <v>3</v>
      </c>
      <c r="FP14" s="130" t="str">
        <f t="shared" si="39"/>
        <v>B</v>
      </c>
      <c r="FQ14" s="152"/>
      <c r="FR14" s="185"/>
      <c r="FS14" s="185"/>
      <c r="FT14" s="106">
        <f>IFERROR((((COUNTIF('Elève (6ème2)'!FQ15:FS17,"A"))*4)+((COUNTIF('Elève (6ème2)'!FQ15:FS17,"B"))*3)+((COUNTIF('Elève (6ème2)'!FQ15:FS17,"C"))*2)+((COUNTIF('Elève (6ème2)'!FQ15:FS17,"D"))*1))/(COUNTA(FQ15:FS17)),"")</f>
        <v>3</v>
      </c>
      <c r="FU14" s="107" t="str">
        <f t="shared" si="40"/>
        <v>B</v>
      </c>
      <c r="FV14" s="204"/>
      <c r="FW14" s="186"/>
      <c r="FX14" s="205"/>
      <c r="FY14" s="106" t="str">
        <f>IFERROR((((COUNTIF('Elève (6ème2)'!FV15:FX17,"A"))*4)+((COUNTIF('Elève (6ème2)'!FV15:FX17,"B"))*3)+((COUNTIF('Elève (6ème2)'!FV15:FX17,"C"))*2)+((COUNTIF('Elève (6ème2)'!FV15:FX17,"D"))*1))/(COUNTA(FV15:FX17)),"")</f>
        <v/>
      </c>
      <c r="FZ14" s="121" t="str">
        <f t="shared" si="41"/>
        <v/>
      </c>
      <c r="GA14" s="100"/>
      <c r="GB14" s="187"/>
      <c r="GC14" s="188"/>
      <c r="GD14" s="106" t="str">
        <f>IFERROR((((COUNTIF('Elève (6ème2)'!GA15:GC17,"A"))*4)+((COUNTIF('Elève (6ème2)'!GA15:GC17,"B"))*3)+((COUNTIF('Elève (6ème2)'!GA15:GC17,"C"))*2)+((COUNTIF('Elève (6ème2)'!GA15:GC17,"D"))*1))/(COUNTA(GA15:GC17)),"")</f>
        <v/>
      </c>
      <c r="GE14" s="128" t="str">
        <f t="shared" si="42"/>
        <v/>
      </c>
      <c r="GF14" s="177">
        <f>IFERROR((((COUNTIF(FQ15:FS17,"A")+COUNTIF(FV15:FX17,"A")+COUNTIF(GA15:GC17,"A"))*4)+((COUNTIF(FQ15:FS17,"B")+COUNTIF(FV15:FX17,"B")+COUNTIF(GA15:GC17,"B"))*3)+((COUNTIF(FQ15:FS17,"C")+COUNTIF(FV15:FX17,"C")+COUNTIF(GA15:GC17,"C"))*2)+((COUNTIF(FQ15:FS17,"D")+COUNTIF(FV15:FX17,"D")+COUNTIF(GA15:GC17,"D"))*1))/(COUNTA(FQ15:FS17)+COUNTA(FV15:FX17)+COUNTA(GA15:GC17)),"")</f>
        <v>3</v>
      </c>
      <c r="GG14" s="130" t="str">
        <f t="shared" si="43"/>
        <v>B</v>
      </c>
      <c r="GH14" s="152"/>
      <c r="GI14" s="185"/>
      <c r="GJ14" s="185"/>
      <c r="GK14" s="106">
        <f>IFERROR((((COUNTIF('Elève (6ème2)'!GH15:GJ17,"A"))*4)+((COUNTIF('Elève (6ème2)'!GH15:GJ17,"B"))*3)+((COUNTIF('Elève (6ème2)'!GH15:GJ17,"C"))*2)+((COUNTIF('Elève (6ème2)'!GH15:GJ17,"D"))*1))/(COUNTA(GH15:GJ17)),"")</f>
        <v>2</v>
      </c>
      <c r="GL14" s="107" t="str">
        <f t="shared" si="44"/>
        <v>C</v>
      </c>
      <c r="GM14" s="204"/>
      <c r="GN14" s="186"/>
      <c r="GO14" s="205"/>
      <c r="GP14" s="106" t="str">
        <f>IFERROR((((COUNTIF('Elève (6ème2)'!GM15:GO17,"A"))*4)+((COUNTIF('Elève (6ème2)'!GM15:GO17,"B"))*3)+((COUNTIF('Elève (6ème2)'!GM15:GO17,"C"))*2)+((COUNTIF('Elève (6ème2)'!GM15:GO17,"D"))*1))/(COUNTA(GM15:GO17)),"")</f>
        <v/>
      </c>
      <c r="GQ14" s="121" t="str">
        <f t="shared" si="45"/>
        <v/>
      </c>
      <c r="GR14" s="100"/>
      <c r="GS14" s="187"/>
      <c r="GT14" s="188"/>
      <c r="GU14" s="106" t="str">
        <f>IFERROR((((COUNTIF('Elève (6ème2)'!GR15:GT17,"A"))*4)+((COUNTIF('Elève (6ème2)'!GR15:GT17,"B"))*3)+((COUNTIF('Elève (6ème2)'!GR15:GT17,"C"))*2)+((COUNTIF('Elève (6ème2)'!GR15:GT17,"D"))*1))/(COUNTA(GR15:GT17)),"")</f>
        <v/>
      </c>
      <c r="GV14" s="128" t="str">
        <f t="shared" si="46"/>
        <v/>
      </c>
      <c r="GW14" s="177">
        <f>IFERROR((((COUNTIF(GH15:GJ17,"A")+COUNTIF(GM15:GO17,"A")+COUNTIF(GR15:GT17,"A"))*4)+((COUNTIF(GH15:GJ17,"B")+COUNTIF(GM15:GO17,"B")+COUNTIF(GR15:GT17,"B"))*3)+((COUNTIF(GH15:GJ17,"C")+COUNTIF(GM15:GO17,"C")+COUNTIF(GR15:GT17,"C"))*2)+((COUNTIF(GH15:GJ17,"D")+COUNTIF(GM15:GO17,"D")+COUNTIF(GR15:GT17,"D"))*1))/(COUNTA(GH15:GJ17)+COUNTA(GM15:GO17)+COUNTA(GR15:GT17)),"")</f>
        <v>2</v>
      </c>
      <c r="GX14" s="130" t="str">
        <f t="shared" si="47"/>
        <v>C</v>
      </c>
      <c r="GY14" s="152"/>
      <c r="GZ14" s="185"/>
      <c r="HA14" s="185"/>
      <c r="HB14" s="106">
        <f>IFERROR((((COUNTIF('Elève (6ème2)'!GY15:HA17,"A"))*4)+((COUNTIF('Elève (6ème2)'!GY15:HA17,"B"))*3)+((COUNTIF('Elève (6ème2)'!GY15:HA17,"C"))*2)+((COUNTIF('Elève (6ème2)'!GY15:HA17,"D"))*1))/(COUNTA(GY15:HA17)),"")</f>
        <v>1</v>
      </c>
      <c r="HC14" s="107" t="str">
        <f t="shared" si="48"/>
        <v>D</v>
      </c>
      <c r="HD14" s="204"/>
      <c r="HE14" s="186"/>
      <c r="HF14" s="205"/>
      <c r="HG14" s="106" t="str">
        <f>IFERROR((((COUNTIF('Elève (6ème2)'!HD15:HF17,"A"))*4)+((COUNTIF('Elève (6ème2)'!HD15:HF17,"B"))*3)+((COUNTIF('Elève (6ème2)'!HD15:HF17,"C"))*2)+((COUNTIF('Elève (6ème2)'!HD15:HF17,"D"))*1))/(COUNTA(HD15:HF17)),"")</f>
        <v/>
      </c>
      <c r="HH14" s="121" t="str">
        <f t="shared" si="49"/>
        <v/>
      </c>
      <c r="HI14" s="100"/>
      <c r="HJ14" s="187"/>
      <c r="HK14" s="188"/>
      <c r="HL14" s="106" t="str">
        <f>IFERROR((((COUNTIF('Elève (6ème2)'!HI15:HK17,"A"))*4)+((COUNTIF('Elève (6ème2)'!HI15:HK17,"B"))*3)+((COUNTIF('Elève (6ème2)'!HI15:HK17,"C"))*2)+((COUNTIF('Elève (6ème2)'!HI15:HK17,"D"))*1))/(COUNTA(HI15:HK17)),"")</f>
        <v/>
      </c>
      <c r="HM14" s="128" t="str">
        <f t="shared" si="50"/>
        <v/>
      </c>
      <c r="HN14" s="177">
        <f>IFERROR((((COUNTIF(GY15:HA17,"A")+COUNTIF(HD15:HF17,"A")+COUNTIF(HI15:HK17,"A"))*4)+((COUNTIF(GY15:HA17,"B")+COUNTIF(HD15:HF17,"B")+COUNTIF(HI15:HK17,"B"))*3)+((COUNTIF(GY15:HA17,"C")+COUNTIF(HD15:HF17,"C")+COUNTIF(HI15:HK17,"C"))*2)+((COUNTIF(GY15:HA17,"D")+COUNTIF(HD15:HF17,"D")+COUNTIF(HI15:HK17,"D"))*1))/(COUNTA(GY15:HA17)+COUNTA(HD15:HF17)+COUNTA(HI15:HK17)),"")</f>
        <v>1</v>
      </c>
      <c r="HO14" s="130" t="str">
        <f t="shared" si="51"/>
        <v>D</v>
      </c>
      <c r="HP14" s="152"/>
      <c r="HQ14" s="185"/>
      <c r="HR14" s="185"/>
      <c r="HS14" s="106">
        <f>IFERROR((((COUNTIF('Elève (6ème2)'!HP15:HR17,"A"))*4)+((COUNTIF('Elève (6ème2)'!HP15:HR17,"B"))*3)+((COUNTIF('Elève (6ème2)'!HP15:HR17,"C"))*2)+((COUNTIF('Elève (6ème2)'!HP15:HR17,"D"))*1))/(COUNTA(HP15:HR17)),"")</f>
        <v>3</v>
      </c>
      <c r="HT14" s="107" t="str">
        <f t="shared" si="52"/>
        <v>B</v>
      </c>
      <c r="HU14" s="204"/>
      <c r="HV14" s="186"/>
      <c r="HW14" s="205"/>
      <c r="HX14" s="106" t="str">
        <f>IFERROR((((COUNTIF('Elève (6ème2)'!HU15:HW17,"A"))*4)+((COUNTIF('Elève (6ème2)'!HU15:HW17,"B"))*3)+((COUNTIF('Elève (6ème2)'!HU15:HW17,"C"))*2)+((COUNTIF('Elève (6ème2)'!HU15:HW17,"D"))*1))/(COUNTA(HU15:HW17)),"")</f>
        <v/>
      </c>
      <c r="HY14" s="121" t="str">
        <f t="shared" si="53"/>
        <v/>
      </c>
      <c r="HZ14" s="100"/>
      <c r="IA14" s="187"/>
      <c r="IB14" s="188"/>
      <c r="IC14" s="106" t="str">
        <f>IFERROR((((COUNTIF('Elève (6ème2)'!HZ15:IB17,"A"))*4)+((COUNTIF('Elève (6ème2)'!HZ15:IB17,"B"))*3)+((COUNTIF('Elève (6ème2)'!HZ15:IB17,"C"))*2)+((COUNTIF('Elève (6ème2)'!HZ15:IB17,"D"))*1))/(COUNTA(HZ15:IB17)),"")</f>
        <v/>
      </c>
      <c r="ID14" s="128" t="str">
        <f t="shared" si="54"/>
        <v/>
      </c>
      <c r="IE14" s="177">
        <f>IFERROR((((COUNTIF(HP15:HR17,"A")+COUNTIF(HU15:HW17,"A")+COUNTIF(HZ15:IB17,"A"))*4)+((COUNTIF(HP15:HR17,"B")+COUNTIF(HU15:HW17,"B")+COUNTIF(HZ15:IB17,"B"))*3)+((COUNTIF(HP15:HR17,"C")+COUNTIF(HU15:HW17,"C")+COUNTIF(HZ15:IB17,"C"))*2)+((COUNTIF(HP15:HR17,"D")+COUNTIF(HU15:HW17,"D")+COUNTIF(HZ15:IB17,"D"))*1))/(COUNTA(HP15:HR17)+COUNTA(HU15:HW17)+COUNTA(HZ15:IB17)),"")</f>
        <v>3</v>
      </c>
      <c r="IF14" s="130" t="str">
        <f t="shared" si="55"/>
        <v>B</v>
      </c>
      <c r="IG14" s="152"/>
      <c r="IH14" s="185"/>
      <c r="II14" s="185"/>
      <c r="IJ14" s="106">
        <f>IFERROR((((COUNTIF('Elève (6ème2)'!IG15:II17,"A"))*4)+((COUNTIF('Elève (6ème2)'!IG15:II17,"B"))*3)+((COUNTIF('Elève (6ème2)'!IG15:II17,"C"))*2)+((COUNTIF('Elève (6ème2)'!IG15:II17,"D"))*1))/(COUNTA(IG15:II17)),"")</f>
        <v>1</v>
      </c>
      <c r="IK14" s="107" t="str">
        <f t="shared" si="56"/>
        <v>D</v>
      </c>
      <c r="IL14" s="204"/>
      <c r="IM14" s="186"/>
      <c r="IN14" s="205"/>
      <c r="IO14" s="106" t="str">
        <f>IFERROR((((COUNTIF('Elève (6ème2)'!IL15:IN17,"A"))*4)+((COUNTIF('Elève (6ème2)'!IL15:IN17,"B"))*3)+((COUNTIF('Elève (6ème2)'!IL15:IN17,"C"))*2)+((COUNTIF('Elève (6ème2)'!IL15:IN17,"D"))*1))/(COUNTA(IL15:IN17)),"")</f>
        <v/>
      </c>
      <c r="IP14" s="121" t="str">
        <f t="shared" si="57"/>
        <v/>
      </c>
      <c r="IQ14" s="100"/>
      <c r="IR14" s="187"/>
      <c r="IS14" s="188"/>
      <c r="IT14" s="106" t="str">
        <f>IFERROR((((COUNTIF('Elève (6ème2)'!IQ15:IS17,"A"))*4)+((COUNTIF('Elève (6ème2)'!IQ15:IS17,"B"))*3)+((COUNTIF('Elève (6ème2)'!IQ15:IS17,"C"))*2)+((COUNTIF('Elève (6ème2)'!IQ15:IS17,"D"))*1))/(COUNTA(IQ15:IS17)),"")</f>
        <v/>
      </c>
      <c r="IU14" s="128" t="str">
        <f t="shared" si="58"/>
        <v/>
      </c>
      <c r="IV14" s="177">
        <f>IFERROR((((COUNTIF(IG15:II17,"A")+COUNTIF(IL15:IN17,"A")+COUNTIF(IQ15:IS17,"A"))*4)+((COUNTIF(IG15:II17,"B")+COUNTIF(IL15:IN17,"B")+COUNTIF(IQ15:IS17,"B"))*3)+((COUNTIF(IG15:II17,"C")+COUNTIF(IL15:IN17,"C")+COUNTIF(IQ15:IS17,"C"))*2)+((COUNTIF(IG15:II17,"D")+COUNTIF(IL15:IN17,"D")+COUNTIF(IQ15:IS17,"D"))*1))/(COUNTA(IG15:II17)+COUNTA(IL15:IN17)+COUNTA(IQ15:IS17)),"")</f>
        <v>1</v>
      </c>
      <c r="IW14" s="130" t="str">
        <f t="shared" si="59"/>
        <v>D</v>
      </c>
      <c r="IX14" s="152"/>
      <c r="IY14" s="185"/>
      <c r="IZ14" s="185"/>
      <c r="JA14" s="106">
        <f>IFERROR((((COUNTIF('Elève (6ème2)'!IX15:IZ17,"A"))*4)+((COUNTIF('Elève (6ème2)'!IX15:IZ17,"B"))*3)+((COUNTIF('Elève (6ème2)'!IX15:IZ17,"C"))*2)+((COUNTIF('Elève (6ème2)'!IX15:IZ17,"D"))*1))/(COUNTA(IX15:IZ17)),"")</f>
        <v>3</v>
      </c>
      <c r="JB14" s="107" t="str">
        <f t="shared" si="60"/>
        <v>B</v>
      </c>
      <c r="JC14" s="204"/>
      <c r="JD14" s="186"/>
      <c r="JE14" s="205"/>
      <c r="JF14" s="106" t="str">
        <f>IFERROR((((COUNTIF('Elève (6ème2)'!JC15:JE17,"A"))*4)+((COUNTIF('Elève (6ème2)'!JC15:JE17,"B"))*3)+((COUNTIF('Elève (6ème2)'!JC15:JE17,"C"))*2)+((COUNTIF('Elève (6ème2)'!JC15:JE17,"D"))*1))/(COUNTA(JC15:JE17)),"")</f>
        <v/>
      </c>
      <c r="JG14" s="121" t="str">
        <f t="shared" si="61"/>
        <v/>
      </c>
      <c r="JH14" s="100"/>
      <c r="JI14" s="187"/>
      <c r="JJ14" s="188"/>
      <c r="JK14" s="106" t="str">
        <f>IFERROR((((COUNTIF('Elève (6ème2)'!JH15:JJ17,"A"))*4)+((COUNTIF('Elève (6ème2)'!JH15:JJ17,"B"))*3)+((COUNTIF('Elève (6ème2)'!JH15:JJ17,"C"))*2)+((COUNTIF('Elève (6ème2)'!JH15:JJ17,"D"))*1))/(COUNTA(JH15:JJ17)),"")</f>
        <v/>
      </c>
      <c r="JL14" s="128" t="str">
        <f t="shared" si="62"/>
        <v/>
      </c>
      <c r="JM14" s="177">
        <f>IFERROR((((COUNTIF(IX15:IZ17,"A")+COUNTIF(JC15:JE17,"A")+COUNTIF(JH15:JJ17,"A"))*4)+((COUNTIF(IX15:IZ17,"B")+COUNTIF(JC15:JE17,"B")+COUNTIF(JH15:JJ17,"B"))*3)+((COUNTIF(IX15:IZ17,"C")+COUNTIF(JC15:JE17,"C")+COUNTIF(JH15:JJ17,"C"))*2)+((COUNTIF(IX15:IZ17,"D")+COUNTIF(JC15:JE17,"D")+COUNTIF(JH15:JJ17,"D"))*1))/(COUNTA(IX15:IZ17)+COUNTA(JC15:JE17)+COUNTA(JH15:JJ17)),"")</f>
        <v>3</v>
      </c>
      <c r="JN14" s="130" t="str">
        <f t="shared" si="63"/>
        <v>B</v>
      </c>
      <c r="JO14" s="152"/>
      <c r="JP14" s="185"/>
      <c r="JQ14" s="185"/>
      <c r="JR14" s="106">
        <f>IFERROR((((COUNTIF('Elève (6ème2)'!JO15:JQ17,"A"))*4)+((COUNTIF('Elève (6ème2)'!JO15:JQ17,"B"))*3)+((COUNTIF('Elève (6ème2)'!JO15:JQ17,"C"))*2)+((COUNTIF('Elève (6ème2)'!JO15:JQ17,"D"))*1))/(COUNTA(JO15:JQ17)),"")</f>
        <v>2</v>
      </c>
      <c r="JS14" s="107" t="str">
        <f t="shared" si="64"/>
        <v>C</v>
      </c>
      <c r="JT14" s="204"/>
      <c r="JU14" s="186"/>
      <c r="JV14" s="205"/>
      <c r="JW14" s="106" t="str">
        <f>IFERROR((((COUNTIF('Elève (6ème2)'!JT15:JV17,"A"))*4)+((COUNTIF('Elève (6ème2)'!JT15:JV17,"B"))*3)+((COUNTIF('Elève (6ème2)'!JT15:JV17,"C"))*2)+((COUNTIF('Elève (6ème2)'!JT15:JV17,"D"))*1))/(COUNTA(JT15:JV17)),"")</f>
        <v/>
      </c>
      <c r="JX14" s="121" t="str">
        <f t="shared" si="65"/>
        <v/>
      </c>
      <c r="JY14" s="100"/>
      <c r="JZ14" s="187"/>
      <c r="KA14" s="188"/>
      <c r="KB14" s="106" t="str">
        <f>IFERROR((((COUNTIF('Elève (6ème2)'!JY15:KA17,"A"))*4)+((COUNTIF('Elève (6ème2)'!JY15:KA17,"B"))*3)+((COUNTIF('Elève (6ème2)'!JY15:KA17,"C"))*2)+((COUNTIF('Elève (6ème2)'!JY15:KA17,"D"))*1))/(COUNTA(JY15:KA17)),"")</f>
        <v/>
      </c>
      <c r="KC14" s="128" t="str">
        <f t="shared" si="66"/>
        <v/>
      </c>
      <c r="KD14" s="177">
        <f>IFERROR((((COUNTIF(JO15:JQ17,"A")+COUNTIF(JT15:JV17,"A")+COUNTIF(JY15:KA17,"A"))*4)+((COUNTIF(JO15:JQ17,"B")+COUNTIF(JT15:JV17,"B")+COUNTIF(JY15:KA17,"B"))*3)+((COUNTIF(JO15:JQ17,"C")+COUNTIF(JT15:JV17,"C")+COUNTIF(JY15:KA17,"C"))*2)+((COUNTIF(JO15:JQ17,"D")+COUNTIF(JT15:JV17,"D")+COUNTIF(JY15:KA17,"D"))*1))/(COUNTA(JO15:JQ17)+COUNTA(JT15:JV17)+COUNTA(JY15:KA17)),"")</f>
        <v>2</v>
      </c>
      <c r="KE14" s="130" t="str">
        <f t="shared" si="67"/>
        <v>C</v>
      </c>
      <c r="KF14" s="152"/>
      <c r="KG14" s="185"/>
      <c r="KH14" s="185"/>
      <c r="KI14" s="106">
        <f>IFERROR((((COUNTIF('Elève (6ème2)'!KF15:KH17,"A"))*4)+((COUNTIF('Elève (6ème2)'!KF15:KH17,"B"))*3)+((COUNTIF('Elève (6ème2)'!KF15:KH17,"C"))*2)+((COUNTIF('Elève (6ème2)'!KF15:KH17,"D"))*1))/(COUNTA(KF15:KH17)),"")</f>
        <v>4</v>
      </c>
      <c r="KJ14" s="107" t="str">
        <f t="shared" si="68"/>
        <v>A</v>
      </c>
      <c r="KK14" s="204"/>
      <c r="KL14" s="186"/>
      <c r="KM14" s="205"/>
      <c r="KN14" s="106" t="str">
        <f>IFERROR((((COUNTIF('Elève (6ème2)'!KK15:KM17,"A"))*4)+((COUNTIF('Elève (6ème2)'!KK15:KM17,"B"))*3)+((COUNTIF('Elève (6ème2)'!KK15:KM17,"C"))*2)+((COUNTIF('Elève (6ème2)'!KK15:KM17,"D"))*1))/(COUNTA(KK15:KM17)),"")</f>
        <v/>
      </c>
      <c r="KO14" s="121" t="str">
        <f t="shared" si="69"/>
        <v/>
      </c>
      <c r="KP14" s="100"/>
      <c r="KQ14" s="187"/>
      <c r="KR14" s="188"/>
      <c r="KS14" s="106" t="str">
        <f>IFERROR((((COUNTIF('Elève (6ème2)'!KP15:KR17,"A"))*4)+((COUNTIF('Elève (6ème2)'!KP15:KR17,"B"))*3)+((COUNTIF('Elève (6ème2)'!KP15:KR17,"C"))*2)+((COUNTIF('Elève (6ème2)'!KP15:KR17,"D"))*1))/(COUNTA(KP15:KR17)),"")</f>
        <v/>
      </c>
      <c r="KT14" s="128" t="str">
        <f t="shared" si="70"/>
        <v/>
      </c>
      <c r="KU14" s="177">
        <f>IFERROR((((COUNTIF(KF15:KH17,"A")+COUNTIF(KK15:KM17,"A")+COUNTIF(KP15:KR17,"A"))*4)+((COUNTIF(KF15:KH17,"B")+COUNTIF(KK15:KM17,"B")+COUNTIF(KP15:KR17,"B"))*3)+((COUNTIF(KF15:KH17,"C")+COUNTIF(KK15:KM17,"C")+COUNTIF(KP15:KR17,"C"))*2)+((COUNTIF(KF15:KH17,"D")+COUNTIF(KK15:KM17,"D")+COUNTIF(KP15:KR17,"D"))*1))/(COUNTA(KF15:KH17)+COUNTA(KK15:KM17)+COUNTA(KP15:KR17)),"")</f>
        <v>4</v>
      </c>
      <c r="KV14" s="130" t="str">
        <f t="shared" si="71"/>
        <v>A</v>
      </c>
      <c r="KW14" s="152"/>
      <c r="KX14" s="185"/>
      <c r="KY14" s="185"/>
      <c r="KZ14" s="106">
        <f>IFERROR((((COUNTIF('Elève (6ème2)'!KW15:KY17,"A"))*4)+((COUNTIF('Elève (6ème2)'!KW15:KY17,"B"))*3)+((COUNTIF('Elève (6ème2)'!KW15:KY17,"C"))*2)+((COUNTIF('Elève (6ème2)'!KW15:KY17,"D"))*1))/(COUNTA(KW15:KY17)),"")</f>
        <v>2</v>
      </c>
      <c r="LA14" s="107" t="str">
        <f t="shared" si="72"/>
        <v>C</v>
      </c>
      <c r="LB14" s="204"/>
      <c r="LC14" s="186"/>
      <c r="LD14" s="205"/>
      <c r="LE14" s="106" t="str">
        <f>IFERROR((((COUNTIF('Elève (6ème2)'!LB15:LD17,"A"))*4)+((COUNTIF('Elève (6ème2)'!LB15:LD17,"B"))*3)+((COUNTIF('Elève (6ème2)'!LB15:LD17,"C"))*2)+((COUNTIF('Elève (6ème2)'!LB15:LD17,"D"))*1))/(COUNTA(LB15:LD17)),"")</f>
        <v/>
      </c>
      <c r="LF14" s="121" t="str">
        <f t="shared" si="73"/>
        <v/>
      </c>
      <c r="LG14" s="100"/>
      <c r="LH14" s="187"/>
      <c r="LI14" s="188"/>
      <c r="LJ14" s="106" t="str">
        <f>IFERROR((((COUNTIF('Elève (6ème2)'!LG15:LI17,"A"))*4)+((COUNTIF('Elève (6ème2)'!LG15:LI17,"B"))*3)+((COUNTIF('Elève (6ème2)'!LG15:LI17,"C"))*2)+((COUNTIF('Elève (6ème2)'!LG15:LI17,"D"))*1))/(COUNTA(LG15:LI17)),"")</f>
        <v/>
      </c>
      <c r="LK14" s="128" t="str">
        <f t="shared" si="74"/>
        <v/>
      </c>
      <c r="LL14" s="177">
        <f>IFERROR((((COUNTIF(KW15:KY17,"A")+COUNTIF(LB15:LD17,"A")+COUNTIF(LG15:LI17,"A"))*4)+((COUNTIF(KW15:KY17,"B")+COUNTIF(LB15:LD17,"B")+COUNTIF(LG15:LI17,"B"))*3)+((COUNTIF(KW15:KY17,"C")+COUNTIF(LB15:LD17,"C")+COUNTIF(LG15:LI17,"C"))*2)+((COUNTIF(KW15:KY17,"D")+COUNTIF(LB15:LD17,"D")+COUNTIF(LG15:LI17,"D"))*1))/(COUNTA(KW15:KY17)+COUNTA(LB15:LD17)+COUNTA(LG15:LI17)),"")</f>
        <v>2</v>
      </c>
      <c r="LM14" s="130" t="str">
        <f t="shared" si="75"/>
        <v>C</v>
      </c>
      <c r="LN14" s="152"/>
      <c r="LO14" s="185"/>
      <c r="LP14" s="185"/>
      <c r="LQ14" s="106">
        <f>IFERROR((((COUNTIF('Elève (6ème2)'!LN15:LP17,"A"))*4)+((COUNTIF('Elève (6ème2)'!LN15:LP17,"B"))*3)+((COUNTIF('Elève (6ème2)'!LN15:LP17,"C"))*2)+((COUNTIF('Elève (6ème2)'!LN15:LP17,"D"))*1))/(COUNTA(LN15:LP17)),"")</f>
        <v>3</v>
      </c>
      <c r="LR14" s="107" t="str">
        <f t="shared" si="76"/>
        <v>B</v>
      </c>
      <c r="LS14" s="204"/>
      <c r="LT14" s="186"/>
      <c r="LU14" s="205"/>
      <c r="LV14" s="106" t="str">
        <f>IFERROR((((COUNTIF('Elève (6ème2)'!LS15:LU17,"A"))*4)+((COUNTIF('Elève (6ème2)'!LS15:LU17,"B"))*3)+((COUNTIF('Elève (6ème2)'!LS15:LU17,"C"))*2)+((COUNTIF('Elève (6ème2)'!LS15:LU17,"D"))*1))/(COUNTA(LS15:LU17)),"")</f>
        <v/>
      </c>
      <c r="LW14" s="121" t="str">
        <f t="shared" si="77"/>
        <v/>
      </c>
      <c r="LX14" s="100"/>
      <c r="LY14" s="187"/>
      <c r="LZ14" s="188"/>
      <c r="MA14" s="106" t="str">
        <f>IFERROR((((COUNTIF('Elève (6ème2)'!LX15:LZ17,"A"))*4)+((COUNTIF('Elève (6ème2)'!LX15:LZ17,"B"))*3)+((COUNTIF('Elève (6ème2)'!LX15:LZ17,"C"))*2)+((COUNTIF('Elève (6ème2)'!LX15:LZ17,"D"))*1))/(COUNTA(LX15:LZ17)),"")</f>
        <v/>
      </c>
      <c r="MB14" s="128" t="str">
        <f t="shared" si="78"/>
        <v/>
      </c>
      <c r="MC14" s="177">
        <f>IFERROR((((COUNTIF(LN15:LP17,"A")+COUNTIF(LS15:LU17,"A")+COUNTIF(LX15:LZ17,"A"))*4)+((COUNTIF(LN15:LP17,"B")+COUNTIF(LS15:LU17,"B")+COUNTIF(LX15:LZ17,"B"))*3)+((COUNTIF(LN15:LP17,"C")+COUNTIF(LS15:LU17,"C")+COUNTIF(LX15:LZ17,"C"))*2)+((COUNTIF(LN15:LP17,"D")+COUNTIF(LS15:LU17,"D")+COUNTIF(LX15:LZ17,"D"))*1))/(COUNTA(LN15:LP17)+COUNTA(LS15:LU17)+COUNTA(LX15:LZ17)),"")</f>
        <v>3</v>
      </c>
      <c r="MD14" s="130" t="str">
        <f t="shared" si="79"/>
        <v>B</v>
      </c>
      <c r="ME14" s="152"/>
      <c r="MF14" s="185"/>
      <c r="MG14" s="185"/>
      <c r="MH14" s="106">
        <f>IFERROR((((COUNTIF('Elève (6ème2)'!ME15:MG17,"A"))*4)+((COUNTIF('Elève (6ème2)'!ME15:MG17,"B"))*3)+((COUNTIF('Elève (6ème2)'!ME15:MG17,"C"))*2)+((COUNTIF('Elève (6ème2)'!ME15:MG17,"D"))*1))/(COUNTA(ME15:MG17)),"")</f>
        <v>3</v>
      </c>
      <c r="MI14" s="107" t="str">
        <f t="shared" si="80"/>
        <v>B</v>
      </c>
      <c r="MJ14" s="204"/>
      <c r="MK14" s="186"/>
      <c r="ML14" s="205"/>
      <c r="MM14" s="106" t="str">
        <f>IFERROR((((COUNTIF('Elève (6ème2)'!MJ15:ML17,"A"))*4)+((COUNTIF('Elève (6ème2)'!MJ15:ML17,"B"))*3)+((COUNTIF('Elève (6ème2)'!MJ15:ML17,"C"))*2)+((COUNTIF('Elève (6ème2)'!MJ15:ML17,"D"))*1))/(COUNTA(MJ15:ML17)),"")</f>
        <v/>
      </c>
      <c r="MN14" s="121" t="str">
        <f t="shared" si="81"/>
        <v/>
      </c>
      <c r="MO14" s="100"/>
      <c r="MP14" s="187"/>
      <c r="MQ14" s="188"/>
      <c r="MR14" s="106" t="str">
        <f>IFERROR((((COUNTIF('Elève (6ème2)'!MO15:MQ17,"A"))*4)+((COUNTIF('Elève (6ème2)'!MO15:MQ17,"B"))*3)+((COUNTIF('Elève (6ème2)'!MO15:MQ17,"C"))*2)+((COUNTIF('Elève (6ème2)'!MO15:MQ17,"D"))*1))/(COUNTA(MO15:MQ17)),"")</f>
        <v/>
      </c>
      <c r="MS14" s="128" t="str">
        <f t="shared" si="82"/>
        <v/>
      </c>
      <c r="MT14" s="177">
        <f>IFERROR((((COUNTIF(ME15:MG17,"A")+COUNTIF(MJ15:ML17,"A")+COUNTIF(MO15:MQ17,"A"))*4)+((COUNTIF(ME15:MG17,"B")+COUNTIF(MJ15:ML17,"B")+COUNTIF(MO15:MQ17,"B"))*3)+((COUNTIF(ME15:MG17,"C")+COUNTIF(MJ15:ML17,"C")+COUNTIF(MO15:MQ17,"C"))*2)+((COUNTIF(ME15:MG17,"D")+COUNTIF(MJ15:ML17,"D")+COUNTIF(MO15:MQ17,"D"))*1))/(COUNTA(ME15:MG17)+COUNTA(MJ15:ML17)+COUNTA(MO15:MQ17)),"")</f>
        <v>3</v>
      </c>
      <c r="MU14" s="130" t="str">
        <f t="shared" si="83"/>
        <v>B</v>
      </c>
      <c r="MV14" s="152"/>
      <c r="MW14" s="185"/>
      <c r="MX14" s="185"/>
      <c r="MY14" s="106">
        <f>IFERROR((((COUNTIF('Elève (6ème2)'!MV15:MX17,"A"))*4)+((COUNTIF('Elève (6ème2)'!MV15:MX17,"B"))*3)+((COUNTIF('Elève (6ème2)'!MV15:MX17,"C"))*2)+((COUNTIF('Elève (6ème2)'!MV15:MX17,"D"))*1))/(COUNTA(MV15:MX17)),"")</f>
        <v>1</v>
      </c>
      <c r="MZ14" s="107" t="str">
        <f t="shared" si="84"/>
        <v>D</v>
      </c>
      <c r="NA14" s="204"/>
      <c r="NB14" s="186"/>
      <c r="NC14" s="205"/>
      <c r="ND14" s="106" t="str">
        <f>IFERROR((((COUNTIF('Elève (6ème2)'!NA15:NC17,"A"))*4)+((COUNTIF('Elève (6ème2)'!NA15:NC17,"B"))*3)+((COUNTIF('Elève (6ème2)'!NA15:NC17,"C"))*2)+((COUNTIF('Elève (6ème2)'!NA15:NC17,"D"))*1))/(COUNTA(NA15:NC17)),"")</f>
        <v/>
      </c>
      <c r="NE14" s="121" t="str">
        <f t="shared" si="85"/>
        <v/>
      </c>
      <c r="NF14" s="100"/>
      <c r="NG14" s="187"/>
      <c r="NH14" s="188"/>
      <c r="NI14" s="106" t="str">
        <f>IFERROR((((COUNTIF('Elève (6ème2)'!NF15:NH17,"A"))*4)+((COUNTIF('Elève (6ème2)'!NF15:NH17,"B"))*3)+((COUNTIF('Elève (6ème2)'!NF15:NH17,"C"))*2)+((COUNTIF('Elève (6ème2)'!NF15:NH17,"D"))*1))/(COUNTA(NF15:NH17)),"")</f>
        <v/>
      </c>
      <c r="NJ14" s="128" t="str">
        <f t="shared" si="86"/>
        <v/>
      </c>
      <c r="NK14" s="177">
        <f>IFERROR((((COUNTIF(MV15:MX17,"A")+COUNTIF(NA15:NC17,"A")+COUNTIF(NF15:NH17,"A"))*4)+((COUNTIF(MV15:MX17,"B")+COUNTIF(NA15:NC17,"B")+COUNTIF(NF15:NH17,"B"))*3)+((COUNTIF(MV15:MX17,"C")+COUNTIF(NA15:NC17,"C")+COUNTIF(NF15:NH17,"C"))*2)+((COUNTIF(MV15:MX17,"D")+COUNTIF(NA15:NC17,"D")+COUNTIF(NF15:NH17,"D"))*1))/(COUNTA(MV15:MX17)+COUNTA(NA15:NC17)+COUNTA(NF15:NH17)),"")</f>
        <v>1</v>
      </c>
      <c r="NL14" s="130" t="str">
        <f t="shared" si="87"/>
        <v>D</v>
      </c>
      <c r="NM14" s="152"/>
      <c r="NN14" s="185"/>
      <c r="NO14" s="185"/>
      <c r="NP14" s="106" t="str">
        <f>IFERROR((((COUNTIF('Elève (6ème2)'!NM15:NO17,"A"))*4)+((COUNTIF('Elève (6ème2)'!NM15:NO17,"B"))*3)+((COUNTIF('Elève (6ème2)'!NM15:NO17,"C"))*2)+((COUNTIF('Elève (6ème2)'!NM15:NO17,"D"))*1))/(COUNTA(NM15:NO17)),"")</f>
        <v/>
      </c>
      <c r="NQ14" s="107" t="str">
        <f t="shared" si="88"/>
        <v/>
      </c>
      <c r="NR14" s="204"/>
      <c r="NS14" s="186"/>
      <c r="NT14" s="205"/>
      <c r="NU14" s="106" t="str">
        <f>IFERROR((((COUNTIF('Elève (6ème2)'!NR15:NT17,"A"))*4)+((COUNTIF('Elève (6ème2)'!NR15:NT17,"B"))*3)+((COUNTIF('Elève (6ème2)'!NR15:NT17,"C"))*2)+((COUNTIF('Elève (6ème2)'!NR15:NT17,"D"))*1))/(COUNTA(NR15:NT17)),"")</f>
        <v/>
      </c>
      <c r="NV14" s="121" t="str">
        <f t="shared" si="89"/>
        <v/>
      </c>
      <c r="NW14" s="100"/>
      <c r="NX14" s="187"/>
      <c r="NY14" s="188"/>
      <c r="NZ14" s="106" t="str">
        <f>IFERROR((((COUNTIF('Elève (6ème2)'!NW15:NY17,"A"))*4)+((COUNTIF('Elève (6ème2)'!NW15:NY17,"B"))*3)+((COUNTIF('Elève (6ème2)'!NW15:NY17,"C"))*2)+((COUNTIF('Elève (6ème2)'!NW15:NY17,"D"))*1))/(COUNTA(NW15:NY17)),"")</f>
        <v/>
      </c>
      <c r="OA14" s="128" t="str">
        <f t="shared" si="90"/>
        <v/>
      </c>
      <c r="OB14" s="177" t="str">
        <f>IFERROR((((COUNTIF(NM15:NO17,"A")+COUNTIF(NR15:NT17,"A")+COUNTIF(NW15:NY17,"A"))*4)+((COUNTIF(NM15:NO17,"B")+COUNTIF(NR15:NT17,"B")+COUNTIF(NW15:NY17,"B"))*3)+((COUNTIF(NM15:NO17,"C")+COUNTIF(NR15:NT17,"C")+COUNTIF(NW15:NY17,"C"))*2)+((COUNTIF(NM15:NO17,"D")+COUNTIF(NR15:NT17,"D")+COUNTIF(NW15:NY17,"D"))*1))/(COUNTA(NM15:NO17)+COUNTA(NR15:NT17)+COUNTA(NW15:NY17)),"")</f>
        <v/>
      </c>
      <c r="OC14" s="130" t="str">
        <f t="shared" si="91"/>
        <v/>
      </c>
      <c r="OD14" s="152"/>
      <c r="OE14" s="185"/>
      <c r="OF14" s="185"/>
      <c r="OG14" s="106">
        <f>IFERROR((((COUNTIF('Elève (6ème2)'!OD15:OF17,"A"))*4)+((COUNTIF('Elève (6ème2)'!OD15:OF17,"B"))*3)+((COUNTIF('Elève (6ème2)'!OD15:OF17,"C"))*2)+((COUNTIF('Elève (6ème2)'!OD15:OF17,"D"))*1))/(COUNTA(OD15:OF17)),"")</f>
        <v>2</v>
      </c>
      <c r="OH14" s="107" t="str">
        <f t="shared" si="92"/>
        <v>C</v>
      </c>
      <c r="OI14" s="204"/>
      <c r="OJ14" s="186"/>
      <c r="OK14" s="205"/>
      <c r="OL14" s="106" t="str">
        <f>IFERROR((((COUNTIF('Elève (6ème2)'!OI15:OK17,"A"))*4)+((COUNTIF('Elève (6ème2)'!OI15:OK17,"B"))*3)+((COUNTIF('Elève (6ème2)'!OI15:OK17,"C"))*2)+((COUNTIF('Elève (6ème2)'!OI15:OK17,"D"))*1))/(COUNTA(OI15:OK17)),"")</f>
        <v/>
      </c>
      <c r="OM14" s="121" t="str">
        <f t="shared" si="93"/>
        <v/>
      </c>
      <c r="ON14" s="100"/>
      <c r="OO14" s="187"/>
      <c r="OP14" s="188"/>
      <c r="OQ14" s="106" t="str">
        <f>IFERROR((((COUNTIF('Elève (6ème2)'!ON15:OP17,"A"))*4)+((COUNTIF('Elève (6ème2)'!ON15:OP17,"B"))*3)+((COUNTIF('Elève (6ème2)'!ON15:OP17,"C"))*2)+((COUNTIF('Elève (6ème2)'!ON15:OP17,"D"))*1))/(COUNTA(ON15:OP17)),"")</f>
        <v/>
      </c>
      <c r="OR14" s="128" t="str">
        <f t="shared" si="94"/>
        <v/>
      </c>
      <c r="OS14" s="177">
        <f>IFERROR((((COUNTIF(OD15:OF17,"A")+COUNTIF(OI15:OK17,"A")+COUNTIF(ON15:OP17,"A"))*4)+((COUNTIF(OD15:OF17,"B")+COUNTIF(OI15:OK17,"B")+COUNTIF(ON15:OP17,"B"))*3)+((COUNTIF(OD15:OF17,"C")+COUNTIF(OI15:OK17,"C")+COUNTIF(ON15:OP17,"C"))*2)+((COUNTIF(OD15:OF17,"D")+COUNTIF(OI15:OK17,"D")+COUNTIF(ON15:OP17,"D"))*1))/(COUNTA(OD15:OF17)+COUNTA(OI15:OK17)+COUNTA(ON15:OP17)),"")</f>
        <v>2</v>
      </c>
      <c r="OT14" s="130" t="str">
        <f t="shared" si="95"/>
        <v>C</v>
      </c>
      <c r="OU14" s="152"/>
      <c r="OV14" s="185"/>
      <c r="OW14" s="185"/>
      <c r="OX14" s="106">
        <f>IFERROR((((COUNTIF('Elève (6ème2)'!OU15:OW17,"A"))*4)+((COUNTIF('Elève (6ème2)'!OU15:OW17,"B"))*3)+((COUNTIF('Elève (6ème2)'!OU15:OW17,"C"))*2)+((COUNTIF('Elève (6ème2)'!OU15:OW17,"D"))*1))/(COUNTA(OU15:OW17)),"")</f>
        <v>3</v>
      </c>
      <c r="OY14" s="107" t="str">
        <f t="shared" si="96"/>
        <v>B</v>
      </c>
      <c r="OZ14" s="204"/>
      <c r="PA14" s="186"/>
      <c r="PB14" s="205"/>
      <c r="PC14" s="106" t="str">
        <f>IFERROR((((COUNTIF('Elève (6ème2)'!OZ15:PB17,"A"))*4)+((COUNTIF('Elève (6ème2)'!OZ15:PB17,"B"))*3)+((COUNTIF('Elève (6ème2)'!OZ15:PB17,"C"))*2)+((COUNTIF('Elève (6ème2)'!OZ15:PB17,"D"))*1))/(COUNTA(OZ15:PB17)),"")</f>
        <v/>
      </c>
      <c r="PD14" s="121" t="str">
        <f t="shared" si="97"/>
        <v/>
      </c>
      <c r="PE14" s="100"/>
      <c r="PF14" s="187"/>
      <c r="PG14" s="188"/>
      <c r="PH14" s="106" t="str">
        <f>IFERROR((((COUNTIF('Elève (6ème2)'!PE15:PG17,"A"))*4)+((COUNTIF('Elève (6ème2)'!PE15:PG17,"B"))*3)+((COUNTIF('Elève (6ème2)'!PE15:PG17,"C"))*2)+((COUNTIF('Elève (6ème2)'!PE15:PG17,"D"))*1))/(COUNTA(PE15:PG17)),"")</f>
        <v/>
      </c>
      <c r="PI14" s="128" t="str">
        <f t="shared" si="98"/>
        <v/>
      </c>
      <c r="PJ14" s="177">
        <f>IFERROR((((COUNTIF(OU15:OW17,"A")+COUNTIF(OZ15:PB17,"A")+COUNTIF(PE15:PG17,"A"))*4)+((COUNTIF(OU15:OW17,"B")+COUNTIF(OZ15:PB17,"B")+COUNTIF(PE15:PG17,"B"))*3)+((COUNTIF(OU15:OW17,"C")+COUNTIF(OZ15:PB17,"C")+COUNTIF(PE15:PG17,"C"))*2)+((COUNTIF(OU15:OW17,"D")+COUNTIF(OZ15:PB17,"D")+COUNTIF(PE15:PG17,"D"))*1))/(COUNTA(OU15:OW17)+COUNTA(OZ15:PB17)+COUNTA(PE15:PG17)),"")</f>
        <v>3</v>
      </c>
      <c r="PK14" s="130" t="str">
        <f t="shared" si="99"/>
        <v>B</v>
      </c>
      <c r="PL14" s="152"/>
      <c r="PM14" s="185"/>
      <c r="PN14" s="185"/>
      <c r="PO14" s="106">
        <f>IFERROR((((COUNTIF('Elève (6ème2)'!PL15:PN17,"A"))*4)+((COUNTIF('Elève (6ème2)'!PL15:PN17,"B"))*3)+((COUNTIF('Elève (6ème2)'!PL15:PN17,"C"))*2)+((COUNTIF('Elève (6ème2)'!PL15:PN17,"D"))*1))/(COUNTA(PL15:PN17)),"")</f>
        <v>2</v>
      </c>
      <c r="PP14" s="107" t="str">
        <f t="shared" si="100"/>
        <v>C</v>
      </c>
      <c r="PQ14" s="204"/>
      <c r="PR14" s="186"/>
      <c r="PS14" s="205"/>
      <c r="PT14" s="106" t="str">
        <f>IFERROR((((COUNTIF('Elève (6ème2)'!PQ15:PS17,"A"))*4)+((COUNTIF('Elève (6ème2)'!PQ15:PS17,"B"))*3)+((COUNTIF('Elève (6ème2)'!PQ15:PS17,"C"))*2)+((COUNTIF('Elève (6ème2)'!PQ15:PS17,"D"))*1))/(COUNTA(PQ15:PS17)),"")</f>
        <v/>
      </c>
      <c r="PU14" s="121" t="str">
        <f t="shared" si="101"/>
        <v/>
      </c>
      <c r="PV14" s="100"/>
      <c r="PW14" s="187"/>
      <c r="PX14" s="188"/>
      <c r="PY14" s="106" t="str">
        <f>IFERROR((((COUNTIF('Elève (6ème2)'!PV15:PX17,"A"))*4)+((COUNTIF('Elève (6ème2)'!PV15:PX17,"B"))*3)+((COUNTIF('Elève (6ème2)'!PV15:PX17,"C"))*2)+((COUNTIF('Elève (6ème2)'!PV15:PX17,"D"))*1))/(COUNTA(PV15:PX17)),"")</f>
        <v/>
      </c>
      <c r="PZ14" s="128" t="str">
        <f t="shared" si="102"/>
        <v/>
      </c>
      <c r="QA14" s="177">
        <f>IFERROR((((COUNTIF(PL15:PN17,"A")+COUNTIF(PQ15:PS17,"A")+COUNTIF(PV15:PX17,"A"))*4)+((COUNTIF(PL15:PN17,"B")+COUNTIF(PQ15:PS17,"B")+COUNTIF(PV15:PX17,"B"))*3)+((COUNTIF(PL15:PN17,"C")+COUNTIF(PQ15:PS17,"C")+COUNTIF(PV15:PX17,"C"))*2)+((COUNTIF(PL15:PN17,"D")+COUNTIF(PQ15:PS17,"D")+COUNTIF(PV15:PX17,"D"))*1))/(COUNTA(PL15:PN17)+COUNTA(PQ15:PS17)+COUNTA(PV15:PX17)),"")</f>
        <v>2</v>
      </c>
      <c r="QB14" s="130" t="str">
        <f t="shared" si="103"/>
        <v>C</v>
      </c>
      <c r="QC14" s="152"/>
      <c r="QD14" s="185"/>
      <c r="QE14" s="185"/>
      <c r="QF14" s="106">
        <f>IFERROR((((COUNTIF('Elève (6ème2)'!QC15:QE17,"A"))*4)+((COUNTIF('Elève (6ème2)'!QC15:QE17,"B"))*3)+((COUNTIF('Elève (6ème2)'!QC15:QE17,"C"))*2)+((COUNTIF('Elève (6ème2)'!QC15:QE17,"D"))*1))/(COUNTA(QC15:QE17)),"")</f>
        <v>4</v>
      </c>
      <c r="QG14" s="107" t="str">
        <f t="shared" si="104"/>
        <v>A</v>
      </c>
      <c r="QH14" s="204"/>
      <c r="QI14" s="186"/>
      <c r="QJ14" s="205"/>
      <c r="QK14" s="106" t="str">
        <f>IFERROR((((COUNTIF('Elève (6ème2)'!QH15:QJ17,"A"))*4)+((COUNTIF('Elève (6ème2)'!QH15:QJ17,"B"))*3)+((COUNTIF('Elève (6ème2)'!QH15:QJ17,"C"))*2)+((COUNTIF('Elève (6ème2)'!QH15:QJ17,"D"))*1))/(COUNTA(QH15:QJ17)),"")</f>
        <v/>
      </c>
      <c r="QL14" s="121" t="str">
        <f t="shared" si="105"/>
        <v/>
      </c>
      <c r="QM14" s="100"/>
      <c r="QN14" s="187"/>
      <c r="QO14" s="188"/>
      <c r="QP14" s="106" t="str">
        <f>IFERROR((((COUNTIF('Elève (6ème2)'!QM15:QO17,"A"))*4)+((COUNTIF('Elève (6ème2)'!QM15:QO17,"B"))*3)+((COUNTIF('Elève (6ème2)'!QM15:QO17,"C"))*2)+((COUNTIF('Elève (6ème2)'!QM15:QO17,"D"))*1))/(COUNTA(QM15:QO17)),"")</f>
        <v/>
      </c>
      <c r="QQ14" s="128" t="str">
        <f t="shared" si="106"/>
        <v/>
      </c>
      <c r="QR14" s="177">
        <f>IFERROR((((COUNTIF(QC15:QE17,"A")+COUNTIF(QH15:QJ17,"A")+COUNTIF(QM15:QO17,"A"))*4)+((COUNTIF(QC15:QE17,"B")+COUNTIF(QH15:QJ17,"B")+COUNTIF(QM15:QO17,"B"))*3)+((COUNTIF(QC15:QE17,"C")+COUNTIF(QH15:QJ17,"C")+COUNTIF(QM15:QO17,"C"))*2)+((COUNTIF(QC15:QE17,"D")+COUNTIF(QH15:QJ17,"D")+COUNTIF(QM15:QO17,"D"))*1))/(COUNTA(QC15:QE17)+COUNTA(QH15:QJ17)+COUNTA(QM15:QO17)),"")</f>
        <v>4</v>
      </c>
      <c r="QS14" s="130" t="str">
        <f t="shared" si="107"/>
        <v>A</v>
      </c>
      <c r="QT14" s="152"/>
      <c r="QU14" s="185"/>
      <c r="QV14" s="185"/>
      <c r="QW14" s="106" t="str">
        <f>IFERROR((((COUNTIF('Elève (6ème2)'!QT15:QV17,"A"))*4)+((COUNTIF('Elève (6ème2)'!QT15:QV17,"B"))*3)+((COUNTIF('Elève (6ème2)'!QT15:QV17,"C"))*2)+((COUNTIF('Elève (6ème2)'!QT15:QV17,"D"))*1))/(COUNTA(QT15:QV17)),"")</f>
        <v/>
      </c>
      <c r="QX14" s="107" t="str">
        <f t="shared" si="108"/>
        <v/>
      </c>
      <c r="QY14" s="204"/>
      <c r="QZ14" s="186"/>
      <c r="RA14" s="205"/>
      <c r="RB14" s="106" t="str">
        <f>IFERROR((((COUNTIF('Elève (6ème2)'!QY15:RA17,"A"))*4)+((COUNTIF('Elève (6ème2)'!QY15:RA17,"B"))*3)+((COUNTIF('Elève (6ème2)'!QY15:RA17,"C"))*2)+((COUNTIF('Elève (6ème2)'!QY15:RA17,"D"))*1))/(COUNTA(QY15:RA17)),"")</f>
        <v/>
      </c>
      <c r="RC14" s="121" t="str">
        <f t="shared" si="109"/>
        <v/>
      </c>
      <c r="RD14" s="100"/>
      <c r="RE14" s="187"/>
      <c r="RF14" s="188"/>
      <c r="RG14" s="106" t="str">
        <f>IFERROR((((COUNTIF('Elève (6ème2)'!RD15:RF17,"A"))*4)+((COUNTIF('Elève (6ème2)'!RD15:RF17,"B"))*3)+((COUNTIF('Elève (6ème2)'!RD15:RF17,"C"))*2)+((COUNTIF('Elève (6ème2)'!RD15:RF17,"D"))*1))/(COUNTA(RD15:RF17)),"")</f>
        <v/>
      </c>
      <c r="RH14" s="128" t="str">
        <f t="shared" si="110"/>
        <v/>
      </c>
      <c r="RI14" s="177" t="str">
        <f>IFERROR((((COUNTIF(QT15:QV17,"A")+COUNTIF(QY15:RA17,"A")+COUNTIF(RD15:RF17,"A"))*4)+((COUNTIF(QT15:QV17,"B")+COUNTIF(QY15:RA17,"B")+COUNTIF(RD15:RF17,"B"))*3)+((COUNTIF(QT15:QV17,"C")+COUNTIF(QY15:RA17,"C")+COUNTIF(RD15:RF17,"C"))*2)+((COUNTIF(QT15:QV17,"D")+COUNTIF(QY15:RA17,"D")+COUNTIF(RD15:RF17,"D"))*1))/(COUNTA(QT15:QV17)+COUNTA(QY15:RA17)+COUNTA(RD15:RF17)),"")</f>
        <v/>
      </c>
      <c r="RJ14" s="130" t="str">
        <f t="shared" si="111"/>
        <v/>
      </c>
      <c r="RK14" s="152"/>
      <c r="RL14" s="185"/>
      <c r="RM14" s="185"/>
      <c r="RN14" s="106" t="str">
        <f>IFERROR((((COUNTIF('Elève (6ème2)'!RK15:RM17,"A"))*4)+((COUNTIF('Elève (6ème2)'!RK15:RM17,"B"))*3)+((COUNTIF('Elève (6ème2)'!RK15:RM17,"C"))*2)+((COUNTIF('Elève (6ème2)'!RK15:RM17,"D"))*1))/(COUNTA(RK15:RM17)),"")</f>
        <v/>
      </c>
      <c r="RO14" s="107" t="str">
        <f t="shared" si="112"/>
        <v/>
      </c>
      <c r="RP14" s="204"/>
      <c r="RQ14" s="186"/>
      <c r="RR14" s="205"/>
      <c r="RS14" s="106" t="str">
        <f>IFERROR((((COUNTIF('Elève (6ème2)'!RP15:RR17,"A"))*4)+((COUNTIF('Elève (6ème2)'!RP15:RR17,"B"))*3)+((COUNTIF('Elève (6ème2)'!RP15:RR17,"C"))*2)+((COUNTIF('Elève (6ème2)'!RP15:RR17,"D"))*1))/(COUNTA(RP15:RR17)),"")</f>
        <v/>
      </c>
      <c r="RT14" s="121" t="str">
        <f t="shared" si="113"/>
        <v/>
      </c>
      <c r="RU14" s="100"/>
      <c r="RV14" s="187"/>
      <c r="RW14" s="188"/>
      <c r="RX14" s="106" t="str">
        <f>IFERROR((((COUNTIF('Elève (6ème2)'!RU15:RW17,"A"))*4)+((COUNTIF('Elève (6ème2)'!RU15:RW17,"B"))*3)+((COUNTIF('Elève (6ème2)'!RU15:RW17,"C"))*2)+((COUNTIF('Elève (6ème2)'!RU15:RW17,"D"))*1))/(COUNTA(RU15:RW17)),"")</f>
        <v/>
      </c>
      <c r="RY14" s="128" t="str">
        <f t="shared" si="114"/>
        <v/>
      </c>
      <c r="RZ14" s="177" t="str">
        <f>IFERROR((((COUNTIF(RK15:RM17,"A")+COUNTIF(RP15:RR17,"A")+COUNTIF(RU15:RW17,"A"))*4)+((COUNTIF(RK15:RM17,"B")+COUNTIF(RP15:RR17,"B")+COUNTIF(RU15:RW17,"B"))*3)+((COUNTIF(RK15:RM17,"C")+COUNTIF(RP15:RR17,"C")+COUNTIF(RU15:RW17,"C"))*2)+((COUNTIF(RK15:RM17,"D")+COUNTIF(RP15:RR17,"D")+COUNTIF(RU15:RW17,"D"))*1))/(COUNTA(RK15:RM17)+COUNTA(RP15:RR17)+COUNTA(RU15:RW17)),"")</f>
        <v/>
      </c>
      <c r="SA14" s="130" t="str">
        <f t="shared" si="115"/>
        <v/>
      </c>
      <c r="SB14" s="152"/>
      <c r="SC14" s="185"/>
      <c r="SD14" s="185"/>
      <c r="SE14" s="106" t="str">
        <f>IFERROR((((COUNTIF('Elève (6ème2)'!SB15:SD17,"A"))*4)+((COUNTIF('Elève (6ème2)'!SB15:SD17,"B"))*3)+((COUNTIF('Elève (6ème2)'!SB15:SD17,"C"))*2)+((COUNTIF('Elève (6ème2)'!SB15:SD17,"D"))*1))/(COUNTA(SB15:SD17)),"")</f>
        <v/>
      </c>
      <c r="SF14" s="107" t="str">
        <f t="shared" si="116"/>
        <v/>
      </c>
      <c r="SG14" s="204"/>
      <c r="SH14" s="186"/>
      <c r="SI14" s="205"/>
      <c r="SJ14" s="106" t="str">
        <f>IFERROR((((COUNTIF('Elève (6ème2)'!SG15:SI17,"A"))*4)+((COUNTIF('Elève (6ème2)'!SG15:SI17,"B"))*3)+((COUNTIF('Elève (6ème2)'!SG15:SI17,"C"))*2)+((COUNTIF('Elève (6ème2)'!SG15:SI17,"D"))*1))/(COUNTA(SG15:SI17)),"")</f>
        <v/>
      </c>
      <c r="SK14" s="121" t="str">
        <f t="shared" si="117"/>
        <v/>
      </c>
      <c r="SL14" s="100"/>
      <c r="SM14" s="187"/>
      <c r="SN14" s="188"/>
      <c r="SO14" s="106" t="str">
        <f>IFERROR((((COUNTIF('Elève (6ème2)'!SL15:SN17,"A"))*4)+((COUNTIF('Elève (6ème2)'!SL15:SN17,"B"))*3)+((COUNTIF('Elève (6ème2)'!SL15:SN17,"C"))*2)+((COUNTIF('Elève (6ème2)'!SL15:SN17,"D"))*1))/(COUNTA(SL15:SN17)),"")</f>
        <v/>
      </c>
      <c r="SP14" s="128" t="str">
        <f t="shared" si="118"/>
        <v/>
      </c>
      <c r="SQ14" s="177" t="str">
        <f>IFERROR((((COUNTIF(SB15:SD17,"A")+COUNTIF(SG15:SI17,"A")+COUNTIF(SL15:SN17,"A"))*4)+((COUNTIF(SB15:SD17,"B")+COUNTIF(SG15:SI17,"B")+COUNTIF(SL15:SN17,"B"))*3)+((COUNTIF(SB15:SD17,"C")+COUNTIF(SG15:SI17,"C")+COUNTIF(SL15:SN17,"C"))*2)+((COUNTIF(SB15:SD17,"D")+COUNTIF(SG15:SI17,"D")+COUNTIF(SL15:SN17,"D"))*1))/(COUNTA(SB15:SD17)+COUNTA(SG15:SI17)+COUNTA(SL15:SN17)),"")</f>
        <v/>
      </c>
      <c r="SR14" s="130" t="str">
        <f t="shared" si="119"/>
        <v/>
      </c>
    </row>
    <row r="15" spans="1:512" s="72" customFormat="1" ht="18" customHeight="1" x14ac:dyDescent="0.25">
      <c r="A15" s="240" t="s">
        <v>18</v>
      </c>
      <c r="B15" s="241"/>
      <c r="C15" s="156"/>
      <c r="D15" s="157" t="s">
        <v>24</v>
      </c>
      <c r="E15" s="158"/>
      <c r="F15" s="108">
        <f>IFERROR((((COUNTIF('Elève (6ème2)'!C15:E15,"A"))*4)+((COUNTIF('Elève (6ème2)'!C15:E15,"B"))*3)+((COUNTIF('Elève (6ème2)'!C15:E15,"C"))*2)+((COUNTIF('Elève (6ème2)'!C15:E15,"D"))*1))/(COUNTA(C15:E15)),"")</f>
        <v>4</v>
      </c>
      <c r="G15" s="109" t="str">
        <f t="shared" si="0"/>
        <v>A</v>
      </c>
      <c r="H15" s="81"/>
      <c r="I15" s="82"/>
      <c r="J15" s="83"/>
      <c r="K15" s="108" t="str">
        <f>IFERROR((((COUNTIF('Elève (6ème2)'!H15:J15,"A"))*4)+((COUNTIF('Elève (6ème2)'!H15:J15,"B"))*3)+((COUNTIF('Elève (6ème2)'!H15:J15,"C"))*2)+((COUNTIF('Elève (6ème2)'!H15:J15,"D"))*1))/(COUNTA(H15:J15)),"")</f>
        <v/>
      </c>
      <c r="L15" s="109" t="str">
        <f t="shared" si="1"/>
        <v/>
      </c>
      <c r="M15" s="81"/>
      <c r="N15" s="82"/>
      <c r="O15" s="83"/>
      <c r="P15" s="108" t="str">
        <f>IFERROR((((COUNTIF('Elève (6ème2)'!M15:O15,"A"))*4)+((COUNTIF('Elève (6ème2)'!M15:O15,"B"))*3)+((COUNTIF('Elève (6ème2)'!M15:O15,"C"))*2)+((COUNTIF('Elève (6ème2)'!M15:O15,"D"))*1))/(COUNTA(M15:O15)),"")</f>
        <v/>
      </c>
      <c r="Q15" s="109" t="str">
        <f t="shared" si="2"/>
        <v/>
      </c>
      <c r="R15" s="178">
        <f>IF(COUNT(F15,K15,P15)=0,"",SUM(F15,K15,P15)/COUNT(F15,K15,P15))</f>
        <v>4</v>
      </c>
      <c r="S15" s="134" t="str">
        <f t="shared" si="3"/>
        <v>A</v>
      </c>
      <c r="T15" s="156"/>
      <c r="U15" s="157" t="s">
        <v>25</v>
      </c>
      <c r="V15" s="158"/>
      <c r="W15" s="108">
        <f>IFERROR((((COUNTIF('Elève (6ème2)'!T15:V15,"A"))*4)+((COUNTIF('Elève (6ème2)'!T15:V15,"B"))*3)+((COUNTIF('Elève (6ème2)'!T15:V15,"C"))*2)+((COUNTIF('Elève (6ème2)'!T15:V15,"D"))*1))/(COUNTA(T15:V15)),"")</f>
        <v>3</v>
      </c>
      <c r="X15" s="109" t="str">
        <f t="shared" si="4"/>
        <v>B</v>
      </c>
      <c r="Y15" s="81"/>
      <c r="Z15" s="82"/>
      <c r="AA15" s="83"/>
      <c r="AB15" s="108" t="str">
        <f>IFERROR((((COUNTIF('Elève (6ème2)'!Y15:AA15,"A"))*4)+((COUNTIF('Elève (6ème2)'!Y15:AA15,"B"))*3)+((COUNTIF('Elève (6ème2)'!Y15:AA15,"C"))*2)+((COUNTIF('Elève (6ème2)'!Y15:AA15,"D"))*1))/(COUNTA(Y15:AA15)),"")</f>
        <v/>
      </c>
      <c r="AC15" s="109" t="str">
        <f t="shared" si="5"/>
        <v/>
      </c>
      <c r="AD15" s="81"/>
      <c r="AE15" s="82"/>
      <c r="AF15" s="83"/>
      <c r="AG15" s="108" t="str">
        <f>IFERROR((((COUNTIF('Elève (6ème2)'!AD15:AF15,"A"))*4)+((COUNTIF('Elève (6ème2)'!AD15:AF15,"B"))*3)+((COUNTIF('Elève (6ème2)'!AD15:AF15,"C"))*2)+((COUNTIF('Elève (6ème2)'!AD15:AF15,"D"))*1))/(COUNTA(AD15:AF15)),"")</f>
        <v/>
      </c>
      <c r="AH15" s="109" t="str">
        <f t="shared" si="6"/>
        <v/>
      </c>
      <c r="AI15" s="178">
        <f>IF(COUNT(W15,AB15,AG15)=0,"",SUM(W15,AB15,AG15)/COUNT(W15,AB15,AG15))</f>
        <v>3</v>
      </c>
      <c r="AJ15" s="134" t="str">
        <f t="shared" si="7"/>
        <v>B</v>
      </c>
      <c r="AK15" s="156"/>
      <c r="AL15" s="157" t="s">
        <v>25</v>
      </c>
      <c r="AM15" s="158"/>
      <c r="AN15" s="108">
        <f>IFERROR((((COUNTIF('Elève (6ème2)'!AK15:AM15,"A"))*4)+((COUNTIF('Elève (6ème2)'!AK15:AM15,"B"))*3)+((COUNTIF('Elève (6ème2)'!AK15:AM15,"C"))*2)+((COUNTIF('Elève (6ème2)'!AK15:AM15,"D"))*1))/(COUNTA(AK15:AM15)),"")</f>
        <v>3</v>
      </c>
      <c r="AO15" s="109" t="str">
        <f t="shared" si="8"/>
        <v>B</v>
      </c>
      <c r="AP15" s="81"/>
      <c r="AQ15" s="82"/>
      <c r="AR15" s="83"/>
      <c r="AS15" s="108" t="str">
        <f>IFERROR((((COUNTIF('Elève (6ème2)'!AP15:AR15,"A"))*4)+((COUNTIF('Elève (6ème2)'!AP15:AR15,"B"))*3)+((COUNTIF('Elève (6ème2)'!AP15:AR15,"C"))*2)+((COUNTIF('Elève (6ème2)'!AP15:AR15,"D"))*1))/(COUNTA(AP15:AR15)),"")</f>
        <v/>
      </c>
      <c r="AT15" s="109" t="str">
        <f t="shared" si="9"/>
        <v/>
      </c>
      <c r="AU15" s="81"/>
      <c r="AV15" s="82"/>
      <c r="AW15" s="83"/>
      <c r="AX15" s="108" t="str">
        <f>IFERROR((((COUNTIF('Elève (6ème2)'!AU15:AW15,"A"))*4)+((COUNTIF('Elève (6ème2)'!AU15:AW15,"B"))*3)+((COUNTIF('Elève (6ème2)'!AU15:AW15,"C"))*2)+((COUNTIF('Elève (6ème2)'!AU15:AW15,"D"))*1))/(COUNTA(AU15:AW15)),"")</f>
        <v/>
      </c>
      <c r="AY15" s="109" t="str">
        <f t="shared" si="10"/>
        <v/>
      </c>
      <c r="AZ15" s="178">
        <f>IF(COUNT(AN15,AS15,AX15)=0,"",SUM(AN15,AS15,AX15)/COUNT(AN15,AS15,AX15))</f>
        <v>3</v>
      </c>
      <c r="BA15" s="134" t="str">
        <f t="shared" si="11"/>
        <v>B</v>
      </c>
      <c r="BB15" s="156"/>
      <c r="BC15" s="157" t="s">
        <v>26</v>
      </c>
      <c r="BD15" s="158"/>
      <c r="BE15" s="108">
        <f>IFERROR((((COUNTIF('Elève (6ème2)'!BB15:BD15,"A"))*4)+((COUNTIF('Elève (6ème2)'!BB15:BD15,"B"))*3)+((COUNTIF('Elève (6ème2)'!BB15:BD15,"C"))*2)+((COUNTIF('Elève (6ème2)'!BB15:BD15,"D"))*1))/(COUNTA(BB15:BD15)),"")</f>
        <v>2</v>
      </c>
      <c r="BF15" s="109" t="str">
        <f t="shared" si="12"/>
        <v>C</v>
      </c>
      <c r="BG15" s="81"/>
      <c r="BH15" s="82"/>
      <c r="BI15" s="83"/>
      <c r="BJ15" s="108" t="str">
        <f>IFERROR((((COUNTIF('Elève (6ème2)'!BG15:BI15,"A"))*4)+((COUNTIF('Elève (6ème2)'!BG15:BI15,"B"))*3)+((COUNTIF('Elève (6ème2)'!BG15:BI15,"C"))*2)+((COUNTIF('Elève (6ème2)'!BG15:BI15,"D"))*1))/(COUNTA(BG15:BI15)),"")</f>
        <v/>
      </c>
      <c r="BK15" s="109" t="str">
        <f t="shared" si="13"/>
        <v/>
      </c>
      <c r="BL15" s="81"/>
      <c r="BM15" s="82"/>
      <c r="BN15" s="83"/>
      <c r="BO15" s="108" t="str">
        <f>IFERROR((((COUNTIF('Elève (6ème2)'!BL15:BN15,"A"))*4)+((COUNTIF('Elève (6ème2)'!BL15:BN15,"B"))*3)+((COUNTIF('Elève (6ème2)'!BL15:BN15,"C"))*2)+((COUNTIF('Elève (6ème2)'!BL15:BN15,"D"))*1))/(COUNTA(BL15:BN15)),"")</f>
        <v/>
      </c>
      <c r="BP15" s="109" t="str">
        <f t="shared" si="14"/>
        <v/>
      </c>
      <c r="BQ15" s="178">
        <f>IF(COUNT(BE15,BJ15,BO15)=0,"",SUM(BE15,BJ15,BO15)/COUNT(BE15,BJ15,BO15))</f>
        <v>2</v>
      </c>
      <c r="BR15" s="134" t="str">
        <f t="shared" si="15"/>
        <v>C</v>
      </c>
      <c r="BS15" s="156"/>
      <c r="BT15" s="157" t="s">
        <v>25</v>
      </c>
      <c r="BU15" s="158"/>
      <c r="BV15" s="108">
        <f>IFERROR((((COUNTIF('Elève (6ème2)'!BS15:BU15,"A"))*4)+((COUNTIF('Elève (6ème2)'!BS15:BU15,"B"))*3)+((COUNTIF('Elève (6ème2)'!BS15:BU15,"C"))*2)+((COUNTIF('Elève (6ème2)'!BS15:BU15,"D"))*1))/(COUNTA(BS15:BU15)),"")</f>
        <v>3</v>
      </c>
      <c r="BW15" s="109" t="str">
        <f t="shared" si="16"/>
        <v>B</v>
      </c>
      <c r="BX15" s="81"/>
      <c r="BY15" s="82"/>
      <c r="BZ15" s="83"/>
      <c r="CA15" s="108" t="str">
        <f>IFERROR((((COUNTIF('Elève (6ème2)'!BX15:BZ15,"A"))*4)+((COUNTIF('Elève (6ème2)'!BX15:BZ15,"B"))*3)+((COUNTIF('Elève (6ème2)'!BX15:BZ15,"C"))*2)+((COUNTIF('Elève (6ème2)'!BX15:BZ15,"D"))*1))/(COUNTA(BX15:BZ15)),"")</f>
        <v/>
      </c>
      <c r="CB15" s="109" t="str">
        <f t="shared" si="17"/>
        <v/>
      </c>
      <c r="CC15" s="81"/>
      <c r="CD15" s="82"/>
      <c r="CE15" s="83"/>
      <c r="CF15" s="108" t="str">
        <f>IFERROR((((COUNTIF('Elève (6ème2)'!CC15:CE15,"A"))*4)+((COUNTIF('Elève (6ème2)'!CC15:CE15,"B"))*3)+((COUNTIF('Elève (6ème2)'!CC15:CE15,"C"))*2)+((COUNTIF('Elève (6ème2)'!CC15:CE15,"D"))*1))/(COUNTA(CC15:CE15)),"")</f>
        <v/>
      </c>
      <c r="CG15" s="109" t="str">
        <f t="shared" si="18"/>
        <v/>
      </c>
      <c r="CH15" s="178">
        <f>IF(COUNT(BV15,CA15,CF15)=0,"",SUM(BV15,CA15,CF15)/COUNT(BV15,CA15,CF15))</f>
        <v>3</v>
      </c>
      <c r="CI15" s="134" t="str">
        <f t="shared" si="19"/>
        <v>B</v>
      </c>
      <c r="CJ15" s="156"/>
      <c r="CK15" s="157" t="s">
        <v>27</v>
      </c>
      <c r="CL15" s="158"/>
      <c r="CM15" s="108">
        <f>IFERROR((((COUNTIF('Elève (6ème2)'!CJ15:CL15,"A"))*4)+((COUNTIF('Elève (6ème2)'!CJ15:CL15,"B"))*3)+((COUNTIF('Elève (6ème2)'!CJ15:CL15,"C"))*2)+((COUNTIF('Elève (6ème2)'!CJ15:CL15,"D"))*1))/(COUNTA(CJ15:CL15)),"")</f>
        <v>1</v>
      </c>
      <c r="CN15" s="109" t="str">
        <f t="shared" si="20"/>
        <v>D</v>
      </c>
      <c r="CO15" s="81"/>
      <c r="CP15" s="82"/>
      <c r="CQ15" s="83"/>
      <c r="CR15" s="108" t="str">
        <f>IFERROR((((COUNTIF('Elève (6ème2)'!CO15:CQ15,"A"))*4)+((COUNTIF('Elève (6ème2)'!CO15:CQ15,"B"))*3)+((COUNTIF('Elève (6ème2)'!CO15:CQ15,"C"))*2)+((COUNTIF('Elève (6ème2)'!CO15:CQ15,"D"))*1))/(COUNTA(CO15:CQ15)),"")</f>
        <v/>
      </c>
      <c r="CS15" s="109" t="str">
        <f t="shared" si="21"/>
        <v/>
      </c>
      <c r="CT15" s="81"/>
      <c r="CU15" s="82"/>
      <c r="CV15" s="83"/>
      <c r="CW15" s="108" t="str">
        <f>IFERROR((((COUNTIF('Elève (6ème2)'!CT15:CV15,"A"))*4)+((COUNTIF('Elève (6ème2)'!CT15:CV15,"B"))*3)+((COUNTIF('Elève (6ème2)'!CT15:CV15,"C"))*2)+((COUNTIF('Elève (6ème2)'!CT15:CV15,"D"))*1))/(COUNTA(CT15:CV15)),"")</f>
        <v/>
      </c>
      <c r="CX15" s="109" t="str">
        <f t="shared" si="22"/>
        <v/>
      </c>
      <c r="CY15" s="178">
        <f>IF(COUNT(CM15,CR15,CW15)=0,"",SUM(CM15,CR15,CW15)/COUNT(CM15,CR15,CW15))</f>
        <v>1</v>
      </c>
      <c r="CZ15" s="134" t="str">
        <f t="shared" si="23"/>
        <v>D</v>
      </c>
      <c r="DA15" s="156"/>
      <c r="DB15" s="157" t="s">
        <v>25</v>
      </c>
      <c r="DC15" s="158"/>
      <c r="DD15" s="108">
        <f>IFERROR((((COUNTIF('Elève (6ème2)'!DA15:DC15,"A"))*4)+((COUNTIF('Elève (6ème2)'!DA15:DC15,"B"))*3)+((COUNTIF('Elève (6ème2)'!DA15:DC15,"C"))*2)+((COUNTIF('Elève (6ème2)'!DA15:DC15,"D"))*1))/(COUNTA(DA15:DC15)),"")</f>
        <v>3</v>
      </c>
      <c r="DE15" s="109" t="str">
        <f t="shared" si="24"/>
        <v>B</v>
      </c>
      <c r="DF15" s="81"/>
      <c r="DG15" s="82"/>
      <c r="DH15" s="83"/>
      <c r="DI15" s="108" t="str">
        <f>IFERROR((((COUNTIF('Elève (6ème2)'!DF15:DH15,"A"))*4)+((COUNTIF('Elève (6ème2)'!DF15:DH15,"B"))*3)+((COUNTIF('Elève (6ème2)'!DF15:DH15,"C"))*2)+((COUNTIF('Elève (6ème2)'!DF15:DH15,"D"))*1))/(COUNTA(DF15:DH15)),"")</f>
        <v/>
      </c>
      <c r="DJ15" s="109" t="str">
        <f t="shared" si="25"/>
        <v/>
      </c>
      <c r="DK15" s="81"/>
      <c r="DL15" s="82"/>
      <c r="DM15" s="83"/>
      <c r="DN15" s="108" t="str">
        <f>IFERROR((((COUNTIF('Elève (6ème2)'!DK15:DM15,"A"))*4)+((COUNTIF('Elève (6ème2)'!DK15:DM15,"B"))*3)+((COUNTIF('Elève (6ème2)'!DK15:DM15,"C"))*2)+((COUNTIF('Elève (6ème2)'!DK15:DM15,"D"))*1))/(COUNTA(DK15:DM15)),"")</f>
        <v/>
      </c>
      <c r="DO15" s="109" t="str">
        <f t="shared" si="26"/>
        <v/>
      </c>
      <c r="DP15" s="178">
        <f>IF(COUNT(DD15,DI15,DN15)=0,"",SUM(DD15,DI15,DN15)/COUNT(DD15,DI15,DN15))</f>
        <v>3</v>
      </c>
      <c r="DQ15" s="134" t="str">
        <f t="shared" si="27"/>
        <v>B</v>
      </c>
      <c r="DR15" s="156"/>
      <c r="DS15" s="157" t="s">
        <v>26</v>
      </c>
      <c r="DT15" s="158"/>
      <c r="DU15" s="108">
        <f>IFERROR((((COUNTIF('Elève (6ème2)'!DR15:DT15,"A"))*4)+((COUNTIF('Elève (6ème2)'!DR15:DT15,"B"))*3)+((COUNTIF('Elève (6ème2)'!DR15:DT15,"C"))*2)+((COUNTIF('Elève (6ème2)'!DR15:DT15,"D"))*1))/(COUNTA(DR15:DT15)),"")</f>
        <v>2</v>
      </c>
      <c r="DV15" s="109" t="str">
        <f t="shared" si="28"/>
        <v>C</v>
      </c>
      <c r="DW15" s="81"/>
      <c r="DX15" s="82"/>
      <c r="DY15" s="83"/>
      <c r="DZ15" s="108" t="str">
        <f>IFERROR((((COUNTIF('Elève (6ème2)'!DW15:DY15,"A"))*4)+((COUNTIF('Elève (6ème2)'!DW15:DY15,"B"))*3)+((COUNTIF('Elève (6ème2)'!DW15:DY15,"C"))*2)+((COUNTIF('Elève (6ème2)'!DW15:DY15,"D"))*1))/(COUNTA(DW15:DY15)),"")</f>
        <v/>
      </c>
      <c r="EA15" s="109" t="str">
        <f t="shared" si="29"/>
        <v/>
      </c>
      <c r="EB15" s="81"/>
      <c r="EC15" s="82"/>
      <c r="ED15" s="83"/>
      <c r="EE15" s="108" t="str">
        <f>IFERROR((((COUNTIF('Elève (6ème2)'!EB15:ED15,"A"))*4)+((COUNTIF('Elève (6ème2)'!EB15:ED15,"B"))*3)+((COUNTIF('Elève (6ème2)'!EB15:ED15,"C"))*2)+((COUNTIF('Elève (6ème2)'!EB15:ED15,"D"))*1))/(COUNTA(EB15:ED15)),"")</f>
        <v/>
      </c>
      <c r="EF15" s="109" t="str">
        <f t="shared" si="30"/>
        <v/>
      </c>
      <c r="EG15" s="178">
        <f>IF(COUNT(DU15,DZ15,EE15)=0,"",SUM(DU15,DZ15,EE15)/COUNT(DU15,DZ15,EE15))</f>
        <v>2</v>
      </c>
      <c r="EH15" s="134" t="str">
        <f t="shared" si="31"/>
        <v>C</v>
      </c>
      <c r="EI15" s="156"/>
      <c r="EJ15" s="157" t="s">
        <v>26</v>
      </c>
      <c r="EK15" s="158"/>
      <c r="EL15" s="108">
        <f>IFERROR((((COUNTIF('Elève (6ème2)'!EI15:EK15,"A"))*4)+((COUNTIF('Elève (6ème2)'!EI15:EK15,"B"))*3)+((COUNTIF('Elève (6ème2)'!EI15:EK15,"C"))*2)+((COUNTIF('Elève (6ème2)'!EI15:EK15,"D"))*1))/(COUNTA(EI15:EK15)),"")</f>
        <v>2</v>
      </c>
      <c r="EM15" s="109" t="str">
        <f t="shared" si="32"/>
        <v>C</v>
      </c>
      <c r="EN15" s="81"/>
      <c r="EO15" s="82"/>
      <c r="EP15" s="83"/>
      <c r="EQ15" s="108" t="str">
        <f>IFERROR((((COUNTIF('Elève (6ème2)'!EN15:EP15,"A"))*4)+((COUNTIF('Elève (6ème2)'!EN15:EP15,"B"))*3)+((COUNTIF('Elève (6ème2)'!EN15:EP15,"C"))*2)+((COUNTIF('Elève (6ème2)'!EN15:EP15,"D"))*1))/(COUNTA(EN15:EP15)),"")</f>
        <v/>
      </c>
      <c r="ER15" s="109" t="str">
        <f t="shared" si="33"/>
        <v/>
      </c>
      <c r="ES15" s="81"/>
      <c r="ET15" s="82"/>
      <c r="EU15" s="83"/>
      <c r="EV15" s="108" t="str">
        <f>IFERROR((((COUNTIF('Elève (6ème2)'!ES15:EU15,"A"))*4)+((COUNTIF('Elève (6ème2)'!ES15:EU15,"B"))*3)+((COUNTIF('Elève (6ème2)'!ES15:EU15,"C"))*2)+((COUNTIF('Elève (6ème2)'!ES15:EU15,"D"))*1))/(COUNTA(ES15:EU15)),"")</f>
        <v/>
      </c>
      <c r="EW15" s="109" t="str">
        <f t="shared" si="34"/>
        <v/>
      </c>
      <c r="EX15" s="178">
        <f>IF(COUNT(EL15,EQ15,EV15)=0,"",SUM(EL15,EQ15,EV15)/COUNT(EL15,EQ15,EV15))</f>
        <v>2</v>
      </c>
      <c r="EY15" s="134" t="str">
        <f t="shared" si="35"/>
        <v>C</v>
      </c>
      <c r="EZ15" s="156"/>
      <c r="FA15" s="157" t="s">
        <v>25</v>
      </c>
      <c r="FB15" s="158"/>
      <c r="FC15" s="108">
        <f>IFERROR((((COUNTIF('Elève (6ème2)'!EZ15:FB15,"A"))*4)+((COUNTIF('Elève (6ème2)'!EZ15:FB15,"B"))*3)+((COUNTIF('Elève (6ème2)'!EZ15:FB15,"C"))*2)+((COUNTIF('Elève (6ème2)'!EZ15:FB15,"D"))*1))/(COUNTA(EZ15:FB15)),"")</f>
        <v>3</v>
      </c>
      <c r="FD15" s="109" t="str">
        <f t="shared" si="36"/>
        <v>B</v>
      </c>
      <c r="FE15" s="81"/>
      <c r="FF15" s="82"/>
      <c r="FG15" s="83"/>
      <c r="FH15" s="108" t="str">
        <f>IFERROR((((COUNTIF('Elève (6ème2)'!FE15:FG15,"A"))*4)+((COUNTIF('Elève (6ème2)'!FE15:FG15,"B"))*3)+((COUNTIF('Elève (6ème2)'!FE15:FG15,"C"))*2)+((COUNTIF('Elève (6ème2)'!FE15:FG15,"D"))*1))/(COUNTA(FE15:FG15)),"")</f>
        <v/>
      </c>
      <c r="FI15" s="109" t="str">
        <f t="shared" si="37"/>
        <v/>
      </c>
      <c r="FJ15" s="81"/>
      <c r="FK15" s="82"/>
      <c r="FL15" s="83"/>
      <c r="FM15" s="108" t="str">
        <f>IFERROR((((COUNTIF('Elève (6ème2)'!FJ15:FL15,"A"))*4)+((COUNTIF('Elève (6ème2)'!FJ15:FL15,"B"))*3)+((COUNTIF('Elève (6ème2)'!FJ15:FL15,"C"))*2)+((COUNTIF('Elève (6ème2)'!FJ15:FL15,"D"))*1))/(COUNTA(FJ15:FL15)),"")</f>
        <v/>
      </c>
      <c r="FN15" s="109" t="str">
        <f t="shared" si="38"/>
        <v/>
      </c>
      <c r="FO15" s="178">
        <f>IF(COUNT(FC15,FH15,FM15)=0,"",SUM(FC15,FH15,FM15)/COUNT(FC15,FH15,FM15))</f>
        <v>3</v>
      </c>
      <c r="FP15" s="134" t="str">
        <f t="shared" si="39"/>
        <v>B</v>
      </c>
      <c r="FQ15" s="156"/>
      <c r="FR15" s="157" t="s">
        <v>25</v>
      </c>
      <c r="FS15" s="158"/>
      <c r="FT15" s="108">
        <f>IFERROR((((COUNTIF('Elève (6ème2)'!FQ15:FS15,"A"))*4)+((COUNTIF('Elève (6ème2)'!FQ15:FS15,"B"))*3)+((COUNTIF('Elève (6ème2)'!FQ15:FS15,"C"))*2)+((COUNTIF('Elève (6ème2)'!FQ15:FS15,"D"))*1))/(COUNTA(FQ15:FS15)),"")</f>
        <v>3</v>
      </c>
      <c r="FU15" s="109" t="str">
        <f t="shared" si="40"/>
        <v>B</v>
      </c>
      <c r="FV15" s="81"/>
      <c r="FW15" s="82"/>
      <c r="FX15" s="83"/>
      <c r="FY15" s="108" t="str">
        <f>IFERROR((((COUNTIF('Elève (6ème2)'!FV15:FX15,"A"))*4)+((COUNTIF('Elève (6ème2)'!FV15:FX15,"B"))*3)+((COUNTIF('Elève (6ème2)'!FV15:FX15,"C"))*2)+((COUNTIF('Elève (6ème2)'!FV15:FX15,"D"))*1))/(COUNTA(FV15:FX15)),"")</f>
        <v/>
      </c>
      <c r="FZ15" s="109" t="str">
        <f t="shared" si="41"/>
        <v/>
      </c>
      <c r="GA15" s="81"/>
      <c r="GB15" s="82"/>
      <c r="GC15" s="83"/>
      <c r="GD15" s="108" t="str">
        <f>IFERROR((((COUNTIF('Elève (6ème2)'!GA15:GC15,"A"))*4)+((COUNTIF('Elève (6ème2)'!GA15:GC15,"B"))*3)+((COUNTIF('Elève (6ème2)'!GA15:GC15,"C"))*2)+((COUNTIF('Elève (6ème2)'!GA15:GC15,"D"))*1))/(COUNTA(GA15:GC15)),"")</f>
        <v/>
      </c>
      <c r="GE15" s="109" t="str">
        <f t="shared" si="42"/>
        <v/>
      </c>
      <c r="GF15" s="178">
        <f>IF(COUNT(FT15,FY15,GD15)=0,"",SUM(FT15,FY15,GD15)/COUNT(FT15,FY15,GD15))</f>
        <v>3</v>
      </c>
      <c r="GG15" s="134" t="str">
        <f t="shared" si="43"/>
        <v>B</v>
      </c>
      <c r="GH15" s="156"/>
      <c r="GI15" s="157" t="s">
        <v>26</v>
      </c>
      <c r="GJ15" s="158"/>
      <c r="GK15" s="108">
        <f>IFERROR((((COUNTIF('Elève (6ème2)'!GH15:GJ15,"A"))*4)+((COUNTIF('Elève (6ème2)'!GH15:GJ15,"B"))*3)+((COUNTIF('Elève (6ème2)'!GH15:GJ15,"C"))*2)+((COUNTIF('Elève (6ème2)'!GH15:GJ15,"D"))*1))/(COUNTA(GH15:GJ15)),"")</f>
        <v>2</v>
      </c>
      <c r="GL15" s="109" t="str">
        <f t="shared" si="44"/>
        <v>C</v>
      </c>
      <c r="GM15" s="81"/>
      <c r="GN15" s="82"/>
      <c r="GO15" s="83"/>
      <c r="GP15" s="108" t="str">
        <f>IFERROR((((COUNTIF('Elève (6ème2)'!GM15:GO15,"A"))*4)+((COUNTIF('Elève (6ème2)'!GM15:GO15,"B"))*3)+((COUNTIF('Elève (6ème2)'!GM15:GO15,"C"))*2)+((COUNTIF('Elève (6ème2)'!GM15:GO15,"D"))*1))/(COUNTA(GM15:GO15)),"")</f>
        <v/>
      </c>
      <c r="GQ15" s="109" t="str">
        <f t="shared" si="45"/>
        <v/>
      </c>
      <c r="GR15" s="81"/>
      <c r="GS15" s="82"/>
      <c r="GT15" s="83"/>
      <c r="GU15" s="108" t="str">
        <f>IFERROR((((COUNTIF('Elève (6ème2)'!GR15:GT15,"A"))*4)+((COUNTIF('Elève (6ème2)'!GR15:GT15,"B"))*3)+((COUNTIF('Elève (6ème2)'!GR15:GT15,"C"))*2)+((COUNTIF('Elève (6ème2)'!GR15:GT15,"D"))*1))/(COUNTA(GR15:GT15)),"")</f>
        <v/>
      </c>
      <c r="GV15" s="109" t="str">
        <f t="shared" si="46"/>
        <v/>
      </c>
      <c r="GW15" s="178">
        <f>IF(COUNT(GK15,GP15,GU15)=0,"",SUM(GK15,GP15,GU15)/COUNT(GK15,GP15,GU15))</f>
        <v>2</v>
      </c>
      <c r="GX15" s="134" t="str">
        <f t="shared" si="47"/>
        <v>C</v>
      </c>
      <c r="GY15" s="156"/>
      <c r="GZ15" s="157" t="s">
        <v>27</v>
      </c>
      <c r="HA15" s="158"/>
      <c r="HB15" s="108">
        <f>IFERROR((((COUNTIF('Elève (6ème2)'!GY15:HA15,"A"))*4)+((COUNTIF('Elève (6ème2)'!GY15:HA15,"B"))*3)+((COUNTIF('Elève (6ème2)'!GY15:HA15,"C"))*2)+((COUNTIF('Elève (6ème2)'!GY15:HA15,"D"))*1))/(COUNTA(GY15:HA15)),"")</f>
        <v>1</v>
      </c>
      <c r="HC15" s="109" t="str">
        <f t="shared" si="48"/>
        <v>D</v>
      </c>
      <c r="HD15" s="81"/>
      <c r="HE15" s="82"/>
      <c r="HF15" s="83"/>
      <c r="HG15" s="108" t="str">
        <f>IFERROR((((COUNTIF('Elève (6ème2)'!HD15:HF15,"A"))*4)+((COUNTIF('Elève (6ème2)'!HD15:HF15,"B"))*3)+((COUNTIF('Elève (6ème2)'!HD15:HF15,"C"))*2)+((COUNTIF('Elève (6ème2)'!HD15:HF15,"D"))*1))/(COUNTA(HD15:HF15)),"")</f>
        <v/>
      </c>
      <c r="HH15" s="109" t="str">
        <f t="shared" si="49"/>
        <v/>
      </c>
      <c r="HI15" s="81"/>
      <c r="HJ15" s="82"/>
      <c r="HK15" s="83"/>
      <c r="HL15" s="108" t="str">
        <f>IFERROR((((COUNTIF('Elève (6ème2)'!HI15:HK15,"A"))*4)+((COUNTIF('Elève (6ème2)'!HI15:HK15,"B"))*3)+((COUNTIF('Elève (6ème2)'!HI15:HK15,"C"))*2)+((COUNTIF('Elève (6ème2)'!HI15:HK15,"D"))*1))/(COUNTA(HI15:HK15)),"")</f>
        <v/>
      </c>
      <c r="HM15" s="109" t="str">
        <f t="shared" si="50"/>
        <v/>
      </c>
      <c r="HN15" s="178">
        <f>IF(COUNT(HB15,HG15,HL15)=0,"",SUM(HB15,HG15,HL15)/COUNT(HB15,HG15,HL15))</f>
        <v>1</v>
      </c>
      <c r="HO15" s="134" t="str">
        <f t="shared" si="51"/>
        <v>D</v>
      </c>
      <c r="HP15" s="156"/>
      <c r="HQ15" s="157" t="s">
        <v>25</v>
      </c>
      <c r="HR15" s="158"/>
      <c r="HS15" s="108">
        <f>IFERROR((((COUNTIF('Elève (6ème2)'!HP15:HR15,"A"))*4)+((COUNTIF('Elève (6ème2)'!HP15:HR15,"B"))*3)+((COUNTIF('Elève (6ème2)'!HP15:HR15,"C"))*2)+((COUNTIF('Elève (6ème2)'!HP15:HR15,"D"))*1))/(COUNTA(HP15:HR15)),"")</f>
        <v>3</v>
      </c>
      <c r="HT15" s="109" t="str">
        <f t="shared" si="52"/>
        <v>B</v>
      </c>
      <c r="HU15" s="81"/>
      <c r="HV15" s="82"/>
      <c r="HW15" s="83"/>
      <c r="HX15" s="108" t="str">
        <f>IFERROR((((COUNTIF('Elève (6ème2)'!HU15:HW15,"A"))*4)+((COUNTIF('Elève (6ème2)'!HU15:HW15,"B"))*3)+((COUNTIF('Elève (6ème2)'!HU15:HW15,"C"))*2)+((COUNTIF('Elève (6ème2)'!HU15:HW15,"D"))*1))/(COUNTA(HU15:HW15)),"")</f>
        <v/>
      </c>
      <c r="HY15" s="109" t="str">
        <f t="shared" si="53"/>
        <v/>
      </c>
      <c r="HZ15" s="81"/>
      <c r="IA15" s="82"/>
      <c r="IB15" s="83"/>
      <c r="IC15" s="108" t="str">
        <f>IFERROR((((COUNTIF('Elève (6ème2)'!HZ15:IB15,"A"))*4)+((COUNTIF('Elève (6ème2)'!HZ15:IB15,"B"))*3)+((COUNTIF('Elève (6ème2)'!HZ15:IB15,"C"))*2)+((COUNTIF('Elève (6ème2)'!HZ15:IB15,"D"))*1))/(COUNTA(HZ15:IB15)),"")</f>
        <v/>
      </c>
      <c r="ID15" s="109" t="str">
        <f t="shared" si="54"/>
        <v/>
      </c>
      <c r="IE15" s="178">
        <f>IF(COUNT(HS15,HX15,IC15)=0,"",SUM(HS15,HX15,IC15)/COUNT(HS15,HX15,IC15))</f>
        <v>3</v>
      </c>
      <c r="IF15" s="134" t="str">
        <f t="shared" si="55"/>
        <v>B</v>
      </c>
      <c r="IG15" s="156"/>
      <c r="IH15" s="157" t="s">
        <v>27</v>
      </c>
      <c r="II15" s="158"/>
      <c r="IJ15" s="108">
        <f>IFERROR((((COUNTIF('Elève (6ème2)'!IG15:II15,"A"))*4)+((COUNTIF('Elève (6ème2)'!IG15:II15,"B"))*3)+((COUNTIF('Elève (6ème2)'!IG15:II15,"C"))*2)+((COUNTIF('Elève (6ème2)'!IG15:II15,"D"))*1))/(COUNTA(IG15:II15)),"")</f>
        <v>1</v>
      </c>
      <c r="IK15" s="109" t="str">
        <f t="shared" si="56"/>
        <v>D</v>
      </c>
      <c r="IL15" s="81"/>
      <c r="IM15" s="82"/>
      <c r="IN15" s="83"/>
      <c r="IO15" s="108" t="str">
        <f>IFERROR((((COUNTIF('Elève (6ème2)'!IL15:IN15,"A"))*4)+((COUNTIF('Elève (6ème2)'!IL15:IN15,"B"))*3)+((COUNTIF('Elève (6ème2)'!IL15:IN15,"C"))*2)+((COUNTIF('Elève (6ème2)'!IL15:IN15,"D"))*1))/(COUNTA(IL15:IN15)),"")</f>
        <v/>
      </c>
      <c r="IP15" s="109" t="str">
        <f t="shared" si="57"/>
        <v/>
      </c>
      <c r="IQ15" s="81"/>
      <c r="IR15" s="82"/>
      <c r="IS15" s="83"/>
      <c r="IT15" s="108" t="str">
        <f>IFERROR((((COUNTIF('Elève (6ème2)'!IQ15:IS15,"A"))*4)+((COUNTIF('Elève (6ème2)'!IQ15:IS15,"B"))*3)+((COUNTIF('Elève (6ème2)'!IQ15:IS15,"C"))*2)+((COUNTIF('Elève (6ème2)'!IQ15:IS15,"D"))*1))/(COUNTA(IQ15:IS15)),"")</f>
        <v/>
      </c>
      <c r="IU15" s="109" t="str">
        <f t="shared" si="58"/>
        <v/>
      </c>
      <c r="IV15" s="178">
        <f>IF(COUNT(IJ15,IO15,IT15)=0,"",SUM(IJ15,IO15,IT15)/COUNT(IJ15,IO15,IT15))</f>
        <v>1</v>
      </c>
      <c r="IW15" s="134" t="str">
        <f t="shared" si="59"/>
        <v>D</v>
      </c>
      <c r="IX15" s="156"/>
      <c r="IY15" s="157" t="s">
        <v>25</v>
      </c>
      <c r="IZ15" s="158"/>
      <c r="JA15" s="108">
        <f>IFERROR((((COUNTIF('Elève (6ème2)'!IX15:IZ15,"A"))*4)+((COUNTIF('Elève (6ème2)'!IX15:IZ15,"B"))*3)+((COUNTIF('Elève (6ème2)'!IX15:IZ15,"C"))*2)+((COUNTIF('Elève (6ème2)'!IX15:IZ15,"D"))*1))/(COUNTA(IX15:IZ15)),"")</f>
        <v>3</v>
      </c>
      <c r="JB15" s="109" t="str">
        <f t="shared" si="60"/>
        <v>B</v>
      </c>
      <c r="JC15" s="81"/>
      <c r="JD15" s="82"/>
      <c r="JE15" s="83"/>
      <c r="JF15" s="108" t="str">
        <f>IFERROR((((COUNTIF('Elève (6ème2)'!JC15:JE15,"A"))*4)+((COUNTIF('Elève (6ème2)'!JC15:JE15,"B"))*3)+((COUNTIF('Elève (6ème2)'!JC15:JE15,"C"))*2)+((COUNTIF('Elève (6ème2)'!JC15:JE15,"D"))*1))/(COUNTA(JC15:JE15)),"")</f>
        <v/>
      </c>
      <c r="JG15" s="109" t="str">
        <f t="shared" si="61"/>
        <v/>
      </c>
      <c r="JH15" s="81"/>
      <c r="JI15" s="82"/>
      <c r="JJ15" s="83"/>
      <c r="JK15" s="108" t="str">
        <f>IFERROR((((COUNTIF('Elève (6ème2)'!JH15:JJ15,"A"))*4)+((COUNTIF('Elève (6ème2)'!JH15:JJ15,"B"))*3)+((COUNTIF('Elève (6ème2)'!JH15:JJ15,"C"))*2)+((COUNTIF('Elève (6ème2)'!JH15:JJ15,"D"))*1))/(COUNTA(JH15:JJ15)),"")</f>
        <v/>
      </c>
      <c r="JL15" s="109" t="str">
        <f t="shared" si="62"/>
        <v/>
      </c>
      <c r="JM15" s="178">
        <f>IF(COUNT(JA15,JF15,JK15)=0,"",SUM(JA15,JF15,JK15)/COUNT(JA15,JF15,JK15))</f>
        <v>3</v>
      </c>
      <c r="JN15" s="134" t="str">
        <f t="shared" si="63"/>
        <v>B</v>
      </c>
      <c r="JO15" s="156"/>
      <c r="JP15" s="157" t="s">
        <v>26</v>
      </c>
      <c r="JQ15" s="158"/>
      <c r="JR15" s="108">
        <f>IFERROR((((COUNTIF('Elève (6ème2)'!JO15:JQ15,"A"))*4)+((COUNTIF('Elève (6ème2)'!JO15:JQ15,"B"))*3)+((COUNTIF('Elève (6ème2)'!JO15:JQ15,"C"))*2)+((COUNTIF('Elève (6ème2)'!JO15:JQ15,"D"))*1))/(COUNTA(JO15:JQ15)),"")</f>
        <v>2</v>
      </c>
      <c r="JS15" s="109" t="str">
        <f t="shared" si="64"/>
        <v>C</v>
      </c>
      <c r="JT15" s="81"/>
      <c r="JU15" s="82"/>
      <c r="JV15" s="83"/>
      <c r="JW15" s="108" t="str">
        <f>IFERROR((((COUNTIF('Elève (6ème2)'!JT15:JV15,"A"))*4)+((COUNTIF('Elève (6ème2)'!JT15:JV15,"B"))*3)+((COUNTIF('Elève (6ème2)'!JT15:JV15,"C"))*2)+((COUNTIF('Elève (6ème2)'!JT15:JV15,"D"))*1))/(COUNTA(JT15:JV15)),"")</f>
        <v/>
      </c>
      <c r="JX15" s="109" t="str">
        <f t="shared" si="65"/>
        <v/>
      </c>
      <c r="JY15" s="81"/>
      <c r="JZ15" s="82"/>
      <c r="KA15" s="83"/>
      <c r="KB15" s="108" t="str">
        <f>IFERROR((((COUNTIF('Elève (6ème2)'!JY15:KA15,"A"))*4)+((COUNTIF('Elève (6ème2)'!JY15:KA15,"B"))*3)+((COUNTIF('Elève (6ème2)'!JY15:KA15,"C"))*2)+((COUNTIF('Elève (6ème2)'!JY15:KA15,"D"))*1))/(COUNTA(JY15:KA15)),"")</f>
        <v/>
      </c>
      <c r="KC15" s="109" t="str">
        <f t="shared" si="66"/>
        <v/>
      </c>
      <c r="KD15" s="178">
        <f>IF(COUNT(JR15,JW15,KB15)=0,"",SUM(JR15,JW15,KB15)/COUNT(JR15,JW15,KB15))</f>
        <v>2</v>
      </c>
      <c r="KE15" s="134" t="str">
        <f t="shared" si="67"/>
        <v>C</v>
      </c>
      <c r="KF15" s="156"/>
      <c r="KG15" s="157" t="s">
        <v>24</v>
      </c>
      <c r="KH15" s="158"/>
      <c r="KI15" s="108">
        <f>IFERROR((((COUNTIF('Elève (6ème2)'!KF15:KH15,"A"))*4)+((COUNTIF('Elève (6ème2)'!KF15:KH15,"B"))*3)+((COUNTIF('Elève (6ème2)'!KF15:KH15,"C"))*2)+((COUNTIF('Elève (6ème2)'!KF15:KH15,"D"))*1))/(COUNTA(KF15:KH15)),"")</f>
        <v>4</v>
      </c>
      <c r="KJ15" s="109" t="str">
        <f t="shared" si="68"/>
        <v>A</v>
      </c>
      <c r="KK15" s="81"/>
      <c r="KL15" s="82"/>
      <c r="KM15" s="83"/>
      <c r="KN15" s="108" t="str">
        <f>IFERROR((((COUNTIF('Elève (6ème2)'!KK15:KM15,"A"))*4)+((COUNTIF('Elève (6ème2)'!KK15:KM15,"B"))*3)+((COUNTIF('Elève (6ème2)'!KK15:KM15,"C"))*2)+((COUNTIF('Elève (6ème2)'!KK15:KM15,"D"))*1))/(COUNTA(KK15:KM15)),"")</f>
        <v/>
      </c>
      <c r="KO15" s="109" t="str">
        <f t="shared" si="69"/>
        <v/>
      </c>
      <c r="KP15" s="81"/>
      <c r="KQ15" s="82"/>
      <c r="KR15" s="83"/>
      <c r="KS15" s="108" t="str">
        <f>IFERROR((((COUNTIF('Elève (6ème2)'!KP15:KR15,"A"))*4)+((COUNTIF('Elève (6ème2)'!KP15:KR15,"B"))*3)+((COUNTIF('Elève (6ème2)'!KP15:KR15,"C"))*2)+((COUNTIF('Elève (6ème2)'!KP15:KR15,"D"))*1))/(COUNTA(KP15:KR15)),"")</f>
        <v/>
      </c>
      <c r="KT15" s="109" t="str">
        <f t="shared" si="70"/>
        <v/>
      </c>
      <c r="KU15" s="178">
        <f>IF(COUNT(KI15,KN15,KS15)=0,"",SUM(KI15,KN15,KS15)/COUNT(KI15,KN15,KS15))</f>
        <v>4</v>
      </c>
      <c r="KV15" s="134" t="str">
        <f t="shared" si="71"/>
        <v>A</v>
      </c>
      <c r="KW15" s="156"/>
      <c r="KX15" s="157" t="s">
        <v>26</v>
      </c>
      <c r="KY15" s="158"/>
      <c r="KZ15" s="108">
        <f>IFERROR((((COUNTIF('Elève (6ème2)'!KW15:KY15,"A"))*4)+((COUNTIF('Elève (6ème2)'!KW15:KY15,"B"))*3)+((COUNTIF('Elève (6ème2)'!KW15:KY15,"C"))*2)+((COUNTIF('Elève (6ème2)'!KW15:KY15,"D"))*1))/(COUNTA(KW15:KY15)),"")</f>
        <v>2</v>
      </c>
      <c r="LA15" s="109" t="str">
        <f t="shared" si="72"/>
        <v>C</v>
      </c>
      <c r="LB15" s="81"/>
      <c r="LC15" s="82"/>
      <c r="LD15" s="83"/>
      <c r="LE15" s="108" t="str">
        <f>IFERROR((((COUNTIF('Elève (6ème2)'!LB15:LD15,"A"))*4)+((COUNTIF('Elève (6ème2)'!LB15:LD15,"B"))*3)+((COUNTIF('Elève (6ème2)'!LB15:LD15,"C"))*2)+((COUNTIF('Elève (6ème2)'!LB15:LD15,"D"))*1))/(COUNTA(LB15:LD15)),"")</f>
        <v/>
      </c>
      <c r="LF15" s="109" t="str">
        <f t="shared" si="73"/>
        <v/>
      </c>
      <c r="LG15" s="81"/>
      <c r="LH15" s="82"/>
      <c r="LI15" s="83"/>
      <c r="LJ15" s="108" t="str">
        <f>IFERROR((((COUNTIF('Elève (6ème2)'!LG15:LI15,"A"))*4)+((COUNTIF('Elève (6ème2)'!LG15:LI15,"B"))*3)+((COUNTIF('Elève (6ème2)'!LG15:LI15,"C"))*2)+((COUNTIF('Elève (6ème2)'!LG15:LI15,"D"))*1))/(COUNTA(LG15:LI15)),"")</f>
        <v/>
      </c>
      <c r="LK15" s="109" t="str">
        <f t="shared" si="74"/>
        <v/>
      </c>
      <c r="LL15" s="178">
        <f>IF(COUNT(KZ15,LE15,LJ15)=0,"",SUM(KZ15,LE15,LJ15)/COUNT(KZ15,LE15,LJ15))</f>
        <v>2</v>
      </c>
      <c r="LM15" s="134" t="str">
        <f t="shared" si="75"/>
        <v>C</v>
      </c>
      <c r="LN15" s="156"/>
      <c r="LO15" s="157" t="s">
        <v>25</v>
      </c>
      <c r="LP15" s="158"/>
      <c r="LQ15" s="108">
        <f>IFERROR((((COUNTIF('Elève (6ème2)'!LN15:LP15,"A"))*4)+((COUNTIF('Elève (6ème2)'!LN15:LP15,"B"))*3)+((COUNTIF('Elève (6ème2)'!LN15:LP15,"C"))*2)+((COUNTIF('Elève (6ème2)'!LN15:LP15,"D"))*1))/(COUNTA(LN15:LP15)),"")</f>
        <v>3</v>
      </c>
      <c r="LR15" s="109" t="str">
        <f t="shared" si="76"/>
        <v>B</v>
      </c>
      <c r="LS15" s="81"/>
      <c r="LT15" s="82"/>
      <c r="LU15" s="83"/>
      <c r="LV15" s="108" t="str">
        <f>IFERROR((((COUNTIF('Elève (6ème2)'!LS15:LU15,"A"))*4)+((COUNTIF('Elève (6ème2)'!LS15:LU15,"B"))*3)+((COUNTIF('Elève (6ème2)'!LS15:LU15,"C"))*2)+((COUNTIF('Elève (6ème2)'!LS15:LU15,"D"))*1))/(COUNTA(LS15:LU15)),"")</f>
        <v/>
      </c>
      <c r="LW15" s="109" t="str">
        <f t="shared" si="77"/>
        <v/>
      </c>
      <c r="LX15" s="81"/>
      <c r="LY15" s="82"/>
      <c r="LZ15" s="83"/>
      <c r="MA15" s="108" t="str">
        <f>IFERROR((((COUNTIF('Elève (6ème2)'!LX15:LZ15,"A"))*4)+((COUNTIF('Elève (6ème2)'!LX15:LZ15,"B"))*3)+((COUNTIF('Elève (6ème2)'!LX15:LZ15,"C"))*2)+((COUNTIF('Elève (6ème2)'!LX15:LZ15,"D"))*1))/(COUNTA(LX15:LZ15)),"")</f>
        <v/>
      </c>
      <c r="MB15" s="109" t="str">
        <f t="shared" si="78"/>
        <v/>
      </c>
      <c r="MC15" s="178">
        <f>IF(COUNT(LQ15,LV15,MA15)=0,"",SUM(LQ15,LV15,MA15)/COUNT(LQ15,LV15,MA15))</f>
        <v>3</v>
      </c>
      <c r="MD15" s="134" t="str">
        <f t="shared" si="79"/>
        <v>B</v>
      </c>
      <c r="ME15" s="156"/>
      <c r="MF15" s="157" t="s">
        <v>25</v>
      </c>
      <c r="MG15" s="158"/>
      <c r="MH15" s="108">
        <f>IFERROR((((COUNTIF('Elève (6ème2)'!ME15:MG15,"A"))*4)+((COUNTIF('Elève (6ème2)'!ME15:MG15,"B"))*3)+((COUNTIF('Elève (6ème2)'!ME15:MG15,"C"))*2)+((COUNTIF('Elève (6ème2)'!ME15:MG15,"D"))*1))/(COUNTA(ME15:MG15)),"")</f>
        <v>3</v>
      </c>
      <c r="MI15" s="109" t="str">
        <f t="shared" si="80"/>
        <v>B</v>
      </c>
      <c r="MJ15" s="81"/>
      <c r="MK15" s="82"/>
      <c r="ML15" s="83"/>
      <c r="MM15" s="108" t="str">
        <f>IFERROR((((COUNTIF('Elève (6ème2)'!MJ15:ML15,"A"))*4)+((COUNTIF('Elève (6ème2)'!MJ15:ML15,"B"))*3)+((COUNTIF('Elève (6ème2)'!MJ15:ML15,"C"))*2)+((COUNTIF('Elève (6ème2)'!MJ15:ML15,"D"))*1))/(COUNTA(MJ15:ML15)),"")</f>
        <v/>
      </c>
      <c r="MN15" s="109" t="str">
        <f t="shared" si="81"/>
        <v/>
      </c>
      <c r="MO15" s="81"/>
      <c r="MP15" s="82"/>
      <c r="MQ15" s="83"/>
      <c r="MR15" s="108" t="str">
        <f>IFERROR((((COUNTIF('Elève (6ème2)'!MO15:MQ15,"A"))*4)+((COUNTIF('Elève (6ème2)'!MO15:MQ15,"B"))*3)+((COUNTIF('Elève (6ème2)'!MO15:MQ15,"C"))*2)+((COUNTIF('Elève (6ème2)'!MO15:MQ15,"D"))*1))/(COUNTA(MO15:MQ15)),"")</f>
        <v/>
      </c>
      <c r="MS15" s="109" t="str">
        <f t="shared" si="82"/>
        <v/>
      </c>
      <c r="MT15" s="178">
        <f>IF(COUNT(MH15,MM15,MR15)=0,"",SUM(MH15,MM15,MR15)/COUNT(MH15,MM15,MR15))</f>
        <v>3</v>
      </c>
      <c r="MU15" s="134" t="str">
        <f t="shared" si="83"/>
        <v>B</v>
      </c>
      <c r="MV15" s="156"/>
      <c r="MW15" s="157" t="s">
        <v>27</v>
      </c>
      <c r="MX15" s="158"/>
      <c r="MY15" s="108">
        <f>IFERROR((((COUNTIF('Elève (6ème2)'!MV15:MX15,"A"))*4)+((COUNTIF('Elève (6ème2)'!MV15:MX15,"B"))*3)+((COUNTIF('Elève (6ème2)'!MV15:MX15,"C"))*2)+((COUNTIF('Elève (6ème2)'!MV15:MX15,"D"))*1))/(COUNTA(MV15:MX15)),"")</f>
        <v>1</v>
      </c>
      <c r="MZ15" s="109" t="str">
        <f t="shared" si="84"/>
        <v>D</v>
      </c>
      <c r="NA15" s="81"/>
      <c r="NB15" s="82"/>
      <c r="NC15" s="83"/>
      <c r="ND15" s="108" t="str">
        <f>IFERROR((((COUNTIF('Elève (6ème2)'!NA15:NC15,"A"))*4)+((COUNTIF('Elève (6ème2)'!NA15:NC15,"B"))*3)+((COUNTIF('Elève (6ème2)'!NA15:NC15,"C"))*2)+((COUNTIF('Elève (6ème2)'!NA15:NC15,"D"))*1))/(COUNTA(NA15:NC15)),"")</f>
        <v/>
      </c>
      <c r="NE15" s="109" t="str">
        <f t="shared" si="85"/>
        <v/>
      </c>
      <c r="NF15" s="81"/>
      <c r="NG15" s="82"/>
      <c r="NH15" s="83"/>
      <c r="NI15" s="108" t="str">
        <f>IFERROR((((COUNTIF('Elève (6ème2)'!NF15:NH15,"A"))*4)+((COUNTIF('Elève (6ème2)'!NF15:NH15,"B"))*3)+((COUNTIF('Elève (6ème2)'!NF15:NH15,"C"))*2)+((COUNTIF('Elève (6ème2)'!NF15:NH15,"D"))*1))/(COUNTA(NF15:NH15)),"")</f>
        <v/>
      </c>
      <c r="NJ15" s="109" t="str">
        <f t="shared" si="86"/>
        <v/>
      </c>
      <c r="NK15" s="178">
        <f>IF(COUNT(MY15,ND15,NI15)=0,"",SUM(MY15,ND15,NI15)/COUNT(MY15,ND15,NI15))</f>
        <v>1</v>
      </c>
      <c r="NL15" s="134" t="str">
        <f t="shared" si="87"/>
        <v>D</v>
      </c>
      <c r="NM15" s="156"/>
      <c r="NN15" s="157"/>
      <c r="NO15" s="158"/>
      <c r="NP15" s="108" t="str">
        <f>IFERROR((((COUNTIF('Elève (6ème2)'!NM15:NO15,"A"))*4)+((COUNTIF('Elève (6ème2)'!NM15:NO15,"B"))*3)+((COUNTIF('Elève (6ème2)'!NM15:NO15,"C"))*2)+((COUNTIF('Elève (6ème2)'!NM15:NO15,"D"))*1))/(COUNTA(NM15:NO15)),"")</f>
        <v/>
      </c>
      <c r="NQ15" s="109" t="str">
        <f t="shared" si="88"/>
        <v/>
      </c>
      <c r="NR15" s="81"/>
      <c r="NS15" s="82"/>
      <c r="NT15" s="83"/>
      <c r="NU15" s="108" t="str">
        <f>IFERROR((((COUNTIF('Elève (6ème2)'!NR15:NT15,"A"))*4)+((COUNTIF('Elève (6ème2)'!NR15:NT15,"B"))*3)+((COUNTIF('Elève (6ème2)'!NR15:NT15,"C"))*2)+((COUNTIF('Elève (6ème2)'!NR15:NT15,"D"))*1))/(COUNTA(NR15:NT15)),"")</f>
        <v/>
      </c>
      <c r="NV15" s="109" t="str">
        <f t="shared" si="89"/>
        <v/>
      </c>
      <c r="NW15" s="81"/>
      <c r="NX15" s="82"/>
      <c r="NY15" s="83"/>
      <c r="NZ15" s="108" t="str">
        <f>IFERROR((((COUNTIF('Elève (6ème2)'!NW15:NY15,"A"))*4)+((COUNTIF('Elève (6ème2)'!NW15:NY15,"B"))*3)+((COUNTIF('Elève (6ème2)'!NW15:NY15,"C"))*2)+((COUNTIF('Elève (6ème2)'!NW15:NY15,"D"))*1))/(COUNTA(NW15:NY15)),"")</f>
        <v/>
      </c>
      <c r="OA15" s="109" t="str">
        <f t="shared" si="90"/>
        <v/>
      </c>
      <c r="OB15" s="178" t="str">
        <f>IF(COUNT(NP15,NU15,NZ15)=0,"",SUM(NP15,NU15,NZ15)/COUNT(NP15,NU15,NZ15))</f>
        <v/>
      </c>
      <c r="OC15" s="134" t="str">
        <f t="shared" si="91"/>
        <v/>
      </c>
      <c r="OD15" s="156"/>
      <c r="OE15" s="157" t="s">
        <v>26</v>
      </c>
      <c r="OF15" s="158"/>
      <c r="OG15" s="108">
        <f>IFERROR((((COUNTIF('Elève (6ème2)'!OD15:OF15,"A"))*4)+((COUNTIF('Elève (6ème2)'!OD15:OF15,"B"))*3)+((COUNTIF('Elève (6ème2)'!OD15:OF15,"C"))*2)+((COUNTIF('Elève (6ème2)'!OD15:OF15,"D"))*1))/(COUNTA(OD15:OF15)),"")</f>
        <v>2</v>
      </c>
      <c r="OH15" s="109" t="str">
        <f t="shared" si="92"/>
        <v>C</v>
      </c>
      <c r="OI15" s="81"/>
      <c r="OJ15" s="82"/>
      <c r="OK15" s="83"/>
      <c r="OL15" s="108" t="str">
        <f>IFERROR((((COUNTIF('Elève (6ème2)'!OI15:OK15,"A"))*4)+((COUNTIF('Elève (6ème2)'!OI15:OK15,"B"))*3)+((COUNTIF('Elève (6ème2)'!OI15:OK15,"C"))*2)+((COUNTIF('Elève (6ème2)'!OI15:OK15,"D"))*1))/(COUNTA(OI15:OK15)),"")</f>
        <v/>
      </c>
      <c r="OM15" s="109" t="str">
        <f t="shared" si="93"/>
        <v/>
      </c>
      <c r="ON15" s="81"/>
      <c r="OO15" s="82"/>
      <c r="OP15" s="83"/>
      <c r="OQ15" s="108" t="str">
        <f>IFERROR((((COUNTIF('Elève (6ème2)'!ON15:OP15,"A"))*4)+((COUNTIF('Elève (6ème2)'!ON15:OP15,"B"))*3)+((COUNTIF('Elève (6ème2)'!ON15:OP15,"C"))*2)+((COUNTIF('Elève (6ème2)'!ON15:OP15,"D"))*1))/(COUNTA(ON15:OP15)),"")</f>
        <v/>
      </c>
      <c r="OR15" s="109" t="str">
        <f t="shared" si="94"/>
        <v/>
      </c>
      <c r="OS15" s="178">
        <f>IF(COUNT(OG15,OL15,OQ15)=0,"",SUM(OG15,OL15,OQ15)/COUNT(OG15,OL15,OQ15))</f>
        <v>2</v>
      </c>
      <c r="OT15" s="134" t="str">
        <f t="shared" si="95"/>
        <v>C</v>
      </c>
      <c r="OU15" s="156"/>
      <c r="OV15" s="157" t="s">
        <v>25</v>
      </c>
      <c r="OW15" s="158"/>
      <c r="OX15" s="108">
        <f>IFERROR((((COUNTIF('Elève (6ème2)'!OU15:OW15,"A"))*4)+((COUNTIF('Elève (6ème2)'!OU15:OW15,"B"))*3)+((COUNTIF('Elève (6ème2)'!OU15:OW15,"C"))*2)+((COUNTIF('Elève (6ème2)'!OU15:OW15,"D"))*1))/(COUNTA(OU15:OW15)),"")</f>
        <v>3</v>
      </c>
      <c r="OY15" s="109" t="str">
        <f t="shared" si="96"/>
        <v>B</v>
      </c>
      <c r="OZ15" s="81"/>
      <c r="PA15" s="82"/>
      <c r="PB15" s="83"/>
      <c r="PC15" s="108" t="str">
        <f>IFERROR((((COUNTIF('Elève (6ème2)'!OZ15:PB15,"A"))*4)+((COUNTIF('Elève (6ème2)'!OZ15:PB15,"B"))*3)+((COUNTIF('Elève (6ème2)'!OZ15:PB15,"C"))*2)+((COUNTIF('Elève (6ème2)'!OZ15:PB15,"D"))*1))/(COUNTA(OZ15:PB15)),"")</f>
        <v/>
      </c>
      <c r="PD15" s="109" t="str">
        <f t="shared" si="97"/>
        <v/>
      </c>
      <c r="PE15" s="81"/>
      <c r="PF15" s="82"/>
      <c r="PG15" s="83"/>
      <c r="PH15" s="108" t="str">
        <f>IFERROR((((COUNTIF('Elève (6ème2)'!PE15:PG15,"A"))*4)+((COUNTIF('Elève (6ème2)'!PE15:PG15,"B"))*3)+((COUNTIF('Elève (6ème2)'!PE15:PG15,"C"))*2)+((COUNTIF('Elève (6ème2)'!PE15:PG15,"D"))*1))/(COUNTA(PE15:PG15)),"")</f>
        <v/>
      </c>
      <c r="PI15" s="109" t="str">
        <f t="shared" si="98"/>
        <v/>
      </c>
      <c r="PJ15" s="178">
        <f>IF(COUNT(OX15,PC15,PH15)=0,"",SUM(OX15,PC15,PH15)/COUNT(OX15,PC15,PH15))</f>
        <v>3</v>
      </c>
      <c r="PK15" s="134" t="str">
        <f t="shared" si="99"/>
        <v>B</v>
      </c>
      <c r="PL15" s="156"/>
      <c r="PM15" s="157" t="s">
        <v>26</v>
      </c>
      <c r="PN15" s="158"/>
      <c r="PO15" s="108">
        <f>IFERROR((((COUNTIF('Elève (6ème2)'!PL15:PN15,"A"))*4)+((COUNTIF('Elève (6ème2)'!PL15:PN15,"B"))*3)+((COUNTIF('Elève (6ème2)'!PL15:PN15,"C"))*2)+((COUNTIF('Elève (6ème2)'!PL15:PN15,"D"))*1))/(COUNTA(PL15:PN15)),"")</f>
        <v>2</v>
      </c>
      <c r="PP15" s="109" t="str">
        <f t="shared" si="100"/>
        <v>C</v>
      </c>
      <c r="PQ15" s="81"/>
      <c r="PR15" s="82"/>
      <c r="PS15" s="83"/>
      <c r="PT15" s="108" t="str">
        <f>IFERROR((((COUNTIF('Elève (6ème2)'!PQ15:PS15,"A"))*4)+((COUNTIF('Elève (6ème2)'!PQ15:PS15,"B"))*3)+((COUNTIF('Elève (6ème2)'!PQ15:PS15,"C"))*2)+((COUNTIF('Elève (6ème2)'!PQ15:PS15,"D"))*1))/(COUNTA(PQ15:PS15)),"")</f>
        <v/>
      </c>
      <c r="PU15" s="109" t="str">
        <f t="shared" si="101"/>
        <v/>
      </c>
      <c r="PV15" s="81"/>
      <c r="PW15" s="82"/>
      <c r="PX15" s="83"/>
      <c r="PY15" s="108" t="str">
        <f>IFERROR((((COUNTIF('Elève (6ème2)'!PV15:PX15,"A"))*4)+((COUNTIF('Elève (6ème2)'!PV15:PX15,"B"))*3)+((COUNTIF('Elève (6ème2)'!PV15:PX15,"C"))*2)+((COUNTIF('Elève (6ème2)'!PV15:PX15,"D"))*1))/(COUNTA(PV15:PX15)),"")</f>
        <v/>
      </c>
      <c r="PZ15" s="109" t="str">
        <f t="shared" si="102"/>
        <v/>
      </c>
      <c r="QA15" s="178">
        <f>IF(COUNT(PO15,PT15,PY15)=0,"",SUM(PO15,PT15,PY15)/COUNT(PO15,PT15,PY15))</f>
        <v>2</v>
      </c>
      <c r="QB15" s="134" t="str">
        <f t="shared" si="103"/>
        <v>C</v>
      </c>
      <c r="QC15" s="156"/>
      <c r="QD15" s="157" t="s">
        <v>24</v>
      </c>
      <c r="QE15" s="158"/>
      <c r="QF15" s="108">
        <f>IFERROR((((COUNTIF('Elève (6ème2)'!QC15:QE15,"A"))*4)+((COUNTIF('Elève (6ème2)'!QC15:QE15,"B"))*3)+((COUNTIF('Elève (6ème2)'!QC15:QE15,"C"))*2)+((COUNTIF('Elève (6ème2)'!QC15:QE15,"D"))*1))/(COUNTA(QC15:QE15)),"")</f>
        <v>4</v>
      </c>
      <c r="QG15" s="109" t="str">
        <f t="shared" si="104"/>
        <v>A</v>
      </c>
      <c r="QH15" s="81"/>
      <c r="QI15" s="82"/>
      <c r="QJ15" s="83"/>
      <c r="QK15" s="108" t="str">
        <f>IFERROR((((COUNTIF('Elève (6ème2)'!QH15:QJ15,"A"))*4)+((COUNTIF('Elève (6ème2)'!QH15:QJ15,"B"))*3)+((COUNTIF('Elève (6ème2)'!QH15:QJ15,"C"))*2)+((COUNTIF('Elève (6ème2)'!QH15:QJ15,"D"))*1))/(COUNTA(QH15:QJ15)),"")</f>
        <v/>
      </c>
      <c r="QL15" s="109" t="str">
        <f t="shared" si="105"/>
        <v/>
      </c>
      <c r="QM15" s="81"/>
      <c r="QN15" s="82"/>
      <c r="QO15" s="83"/>
      <c r="QP15" s="108" t="str">
        <f>IFERROR((((COUNTIF('Elève (6ème2)'!QM15:QO15,"A"))*4)+((COUNTIF('Elève (6ème2)'!QM15:QO15,"B"))*3)+((COUNTIF('Elève (6ème2)'!QM15:QO15,"C"))*2)+((COUNTIF('Elève (6ème2)'!QM15:QO15,"D"))*1))/(COUNTA(QM15:QO15)),"")</f>
        <v/>
      </c>
      <c r="QQ15" s="109" t="str">
        <f t="shared" si="106"/>
        <v/>
      </c>
      <c r="QR15" s="178">
        <f>IF(COUNT(QF15,QK15,QP15)=0,"",SUM(QF15,QK15,QP15)/COUNT(QF15,QK15,QP15))</f>
        <v>4</v>
      </c>
      <c r="QS15" s="134" t="str">
        <f t="shared" si="107"/>
        <v>A</v>
      </c>
      <c r="QT15" s="156"/>
      <c r="QU15" s="157"/>
      <c r="QV15" s="158"/>
      <c r="QW15" s="108" t="str">
        <f>IFERROR((((COUNTIF('Elève (6ème2)'!QT15:QV15,"A"))*4)+((COUNTIF('Elève (6ème2)'!QT15:QV15,"B"))*3)+((COUNTIF('Elève (6ème2)'!QT15:QV15,"C"))*2)+((COUNTIF('Elève (6ème2)'!QT15:QV15,"D"))*1))/(COUNTA(QT15:QV15)),"")</f>
        <v/>
      </c>
      <c r="QX15" s="109" t="str">
        <f t="shared" si="108"/>
        <v/>
      </c>
      <c r="QY15" s="81"/>
      <c r="QZ15" s="82"/>
      <c r="RA15" s="83"/>
      <c r="RB15" s="108" t="str">
        <f>IFERROR((((COUNTIF('Elève (6ème2)'!QY15:RA15,"A"))*4)+((COUNTIF('Elève (6ème2)'!QY15:RA15,"B"))*3)+((COUNTIF('Elève (6ème2)'!QY15:RA15,"C"))*2)+((COUNTIF('Elève (6ème2)'!QY15:RA15,"D"))*1))/(COUNTA(QY15:RA15)),"")</f>
        <v/>
      </c>
      <c r="RC15" s="109" t="str">
        <f t="shared" si="109"/>
        <v/>
      </c>
      <c r="RD15" s="81"/>
      <c r="RE15" s="82"/>
      <c r="RF15" s="83"/>
      <c r="RG15" s="108" t="str">
        <f>IFERROR((((COUNTIF('Elève (6ème2)'!RD15:RF15,"A"))*4)+((COUNTIF('Elève (6ème2)'!RD15:RF15,"B"))*3)+((COUNTIF('Elève (6ème2)'!RD15:RF15,"C"))*2)+((COUNTIF('Elève (6ème2)'!RD15:RF15,"D"))*1))/(COUNTA(RD15:RF15)),"")</f>
        <v/>
      </c>
      <c r="RH15" s="109" t="str">
        <f t="shared" si="110"/>
        <v/>
      </c>
      <c r="RI15" s="178" t="str">
        <f>IF(COUNT(QW15,RB15,RG15)=0,"",SUM(QW15,RB15,RG15)/COUNT(QW15,RB15,RG15))</f>
        <v/>
      </c>
      <c r="RJ15" s="134" t="str">
        <f t="shared" si="111"/>
        <v/>
      </c>
      <c r="RK15" s="156"/>
      <c r="RL15" s="157"/>
      <c r="RM15" s="158"/>
      <c r="RN15" s="108" t="str">
        <f>IFERROR((((COUNTIF('Elève (6ème2)'!RK15:RM15,"A"))*4)+((COUNTIF('Elève (6ème2)'!RK15:RM15,"B"))*3)+((COUNTIF('Elève (6ème2)'!RK15:RM15,"C"))*2)+((COUNTIF('Elève (6ème2)'!RK15:RM15,"D"))*1))/(COUNTA(RK15:RM15)),"")</f>
        <v/>
      </c>
      <c r="RO15" s="109" t="str">
        <f t="shared" si="112"/>
        <v/>
      </c>
      <c r="RP15" s="81"/>
      <c r="RQ15" s="82"/>
      <c r="RR15" s="83"/>
      <c r="RS15" s="108" t="str">
        <f>IFERROR((((COUNTIF('Elève (6ème2)'!RP15:RR15,"A"))*4)+((COUNTIF('Elève (6ème2)'!RP15:RR15,"B"))*3)+((COUNTIF('Elève (6ème2)'!RP15:RR15,"C"))*2)+((COUNTIF('Elève (6ème2)'!RP15:RR15,"D"))*1))/(COUNTA(RP15:RR15)),"")</f>
        <v/>
      </c>
      <c r="RT15" s="109" t="str">
        <f t="shared" si="113"/>
        <v/>
      </c>
      <c r="RU15" s="81"/>
      <c r="RV15" s="82"/>
      <c r="RW15" s="83"/>
      <c r="RX15" s="108" t="str">
        <f>IFERROR((((COUNTIF('Elève (6ème2)'!RU15:RW15,"A"))*4)+((COUNTIF('Elève (6ème2)'!RU15:RW15,"B"))*3)+((COUNTIF('Elève (6ème2)'!RU15:RW15,"C"))*2)+((COUNTIF('Elève (6ème2)'!RU15:RW15,"D"))*1))/(COUNTA(RU15:RW15)),"")</f>
        <v/>
      </c>
      <c r="RY15" s="109" t="str">
        <f t="shared" si="114"/>
        <v/>
      </c>
      <c r="RZ15" s="178" t="str">
        <f>IF(COUNT(RN15,RS15,RX15)=0,"",SUM(RN15,RS15,RX15)/COUNT(RN15,RS15,RX15))</f>
        <v/>
      </c>
      <c r="SA15" s="134" t="str">
        <f t="shared" si="115"/>
        <v/>
      </c>
      <c r="SB15" s="156"/>
      <c r="SC15" s="157"/>
      <c r="SD15" s="158"/>
      <c r="SE15" s="108" t="str">
        <f>IFERROR((((COUNTIF('Elève (6ème2)'!SB15:SD15,"A"))*4)+((COUNTIF('Elève (6ème2)'!SB15:SD15,"B"))*3)+((COUNTIF('Elève (6ème2)'!SB15:SD15,"C"))*2)+((COUNTIF('Elève (6ème2)'!SB15:SD15,"D"))*1))/(COUNTA(SB15:SD15)),"")</f>
        <v/>
      </c>
      <c r="SF15" s="109" t="str">
        <f t="shared" si="116"/>
        <v/>
      </c>
      <c r="SG15" s="81"/>
      <c r="SH15" s="82"/>
      <c r="SI15" s="83"/>
      <c r="SJ15" s="108" t="str">
        <f>IFERROR((((COUNTIF('Elève (6ème2)'!SG15:SI15,"A"))*4)+((COUNTIF('Elève (6ème2)'!SG15:SI15,"B"))*3)+((COUNTIF('Elève (6ème2)'!SG15:SI15,"C"))*2)+((COUNTIF('Elève (6ème2)'!SG15:SI15,"D"))*1))/(COUNTA(SG15:SI15)),"")</f>
        <v/>
      </c>
      <c r="SK15" s="109" t="str">
        <f t="shared" si="117"/>
        <v/>
      </c>
      <c r="SL15" s="81"/>
      <c r="SM15" s="82"/>
      <c r="SN15" s="83"/>
      <c r="SO15" s="108" t="str">
        <f>IFERROR((((COUNTIF('Elève (6ème2)'!SL15:SN15,"A"))*4)+((COUNTIF('Elève (6ème2)'!SL15:SN15,"B"))*3)+((COUNTIF('Elève (6ème2)'!SL15:SN15,"C"))*2)+((COUNTIF('Elève (6ème2)'!SL15:SN15,"D"))*1))/(COUNTA(SL15:SN15)),"")</f>
        <v/>
      </c>
      <c r="SP15" s="109" t="str">
        <f t="shared" si="118"/>
        <v/>
      </c>
      <c r="SQ15" s="178" t="str">
        <f>IF(COUNT(SE15,SJ15,SO15)=0,"",SUM(SE15,SJ15,SO15)/COUNT(SE15,SJ15,SO15))</f>
        <v/>
      </c>
      <c r="SR15" s="134" t="str">
        <f t="shared" si="119"/>
        <v/>
      </c>
    </row>
    <row r="16" spans="1:512" s="72" customFormat="1" ht="18" customHeight="1" x14ac:dyDescent="0.25">
      <c r="A16" s="242" t="s">
        <v>19</v>
      </c>
      <c r="B16" s="243"/>
      <c r="C16" s="156"/>
      <c r="D16" s="157"/>
      <c r="E16" s="158"/>
      <c r="F16" s="110" t="str">
        <f>IFERROR((((COUNTIF('Elève (6ème2)'!C16:E16,"A"))*4)+((COUNTIF('Elève (6ème2)'!C16:E16,"B"))*3)+((COUNTIF('Elève (6ème2)'!C16:E16,"C"))*2)+((COUNTIF('Elève (6ème2)'!C16:E16,"D"))*1))/(COUNTA(C16:E16)),"")</f>
        <v/>
      </c>
      <c r="G16" s="111" t="str">
        <f t="shared" si="0"/>
        <v/>
      </c>
      <c r="H16" s="81"/>
      <c r="I16" s="82"/>
      <c r="J16" s="83"/>
      <c r="K16" s="110" t="str">
        <f>IFERROR((((COUNTIF('Elève (6ème2)'!H16:J16,"A"))*4)+((COUNTIF('Elève (6ème2)'!H16:J16,"B"))*3)+((COUNTIF('Elève (6ème2)'!H16:J16,"C"))*2)+((COUNTIF('Elève (6ème2)'!H16:J16,"D"))*1))/(COUNTA(H16:J16)),"")</f>
        <v/>
      </c>
      <c r="L16" s="111" t="str">
        <f t="shared" si="1"/>
        <v/>
      </c>
      <c r="M16" s="81"/>
      <c r="N16" s="82"/>
      <c r="O16" s="83"/>
      <c r="P16" s="110" t="str">
        <f>IFERROR((((COUNTIF('Elève (6ème2)'!M16:O16,"A"))*4)+((COUNTIF('Elève (6ème2)'!M16:O16,"B"))*3)+((COUNTIF('Elève (6ème2)'!M16:O16,"C"))*2)+((COUNTIF('Elève (6ème2)'!M16:O16,"D"))*1))/(COUNTA(M16:O16)),"")</f>
        <v/>
      </c>
      <c r="Q16" s="111" t="str">
        <f t="shared" si="2"/>
        <v/>
      </c>
      <c r="R16" s="179" t="str">
        <f>IF(COUNT(F16,K16,P16)=0,"",SUM(F16,K16,P16)/COUNT(F16,K16,P16))</f>
        <v/>
      </c>
      <c r="S16" s="132" t="str">
        <f t="shared" si="3"/>
        <v/>
      </c>
      <c r="T16" s="156"/>
      <c r="U16" s="157"/>
      <c r="V16" s="158"/>
      <c r="W16" s="110" t="str">
        <f>IFERROR((((COUNTIF('Elève (6ème2)'!T16:V16,"A"))*4)+((COUNTIF('Elève (6ème2)'!T16:V16,"B"))*3)+((COUNTIF('Elève (6ème2)'!T16:V16,"C"))*2)+((COUNTIF('Elève (6ème2)'!T16:V16,"D"))*1))/(COUNTA(T16:V16)),"")</f>
        <v/>
      </c>
      <c r="X16" s="111" t="str">
        <f t="shared" si="4"/>
        <v/>
      </c>
      <c r="Y16" s="81"/>
      <c r="Z16" s="82"/>
      <c r="AA16" s="83"/>
      <c r="AB16" s="110" t="str">
        <f>IFERROR((((COUNTIF('Elève (6ème2)'!Y16:AA16,"A"))*4)+((COUNTIF('Elève (6ème2)'!Y16:AA16,"B"))*3)+((COUNTIF('Elève (6ème2)'!Y16:AA16,"C"))*2)+((COUNTIF('Elève (6ème2)'!Y16:AA16,"D"))*1))/(COUNTA(Y16:AA16)),"")</f>
        <v/>
      </c>
      <c r="AC16" s="111" t="str">
        <f t="shared" si="5"/>
        <v/>
      </c>
      <c r="AD16" s="81"/>
      <c r="AE16" s="82"/>
      <c r="AF16" s="83"/>
      <c r="AG16" s="110" t="str">
        <f>IFERROR((((COUNTIF('Elève (6ème2)'!AD16:AF16,"A"))*4)+((COUNTIF('Elève (6ème2)'!AD16:AF16,"B"))*3)+((COUNTIF('Elève (6ème2)'!AD16:AF16,"C"))*2)+((COUNTIF('Elève (6ème2)'!AD16:AF16,"D"))*1))/(COUNTA(AD16:AF16)),"")</f>
        <v/>
      </c>
      <c r="AH16" s="111" t="str">
        <f t="shared" si="6"/>
        <v/>
      </c>
      <c r="AI16" s="179" t="str">
        <f>IF(COUNT(W16,AB16,AG16)=0,"",SUM(W16,AB16,AG16)/COUNT(W16,AB16,AG16))</f>
        <v/>
      </c>
      <c r="AJ16" s="132" t="str">
        <f t="shared" si="7"/>
        <v/>
      </c>
      <c r="AK16" s="156"/>
      <c r="AL16" s="157"/>
      <c r="AM16" s="158"/>
      <c r="AN16" s="110" t="str">
        <f>IFERROR((((COUNTIF('Elève (6ème2)'!AK16:AM16,"A"))*4)+((COUNTIF('Elève (6ème2)'!AK16:AM16,"B"))*3)+((COUNTIF('Elève (6ème2)'!AK16:AM16,"C"))*2)+((COUNTIF('Elève (6ème2)'!AK16:AM16,"D"))*1))/(COUNTA(AK16:AM16)),"")</f>
        <v/>
      </c>
      <c r="AO16" s="111" t="str">
        <f t="shared" si="8"/>
        <v/>
      </c>
      <c r="AP16" s="81"/>
      <c r="AQ16" s="82"/>
      <c r="AR16" s="83"/>
      <c r="AS16" s="110" t="str">
        <f>IFERROR((((COUNTIF('Elève (6ème2)'!AP16:AR16,"A"))*4)+((COUNTIF('Elève (6ème2)'!AP16:AR16,"B"))*3)+((COUNTIF('Elève (6ème2)'!AP16:AR16,"C"))*2)+((COUNTIF('Elève (6ème2)'!AP16:AR16,"D"))*1))/(COUNTA(AP16:AR16)),"")</f>
        <v/>
      </c>
      <c r="AT16" s="111" t="str">
        <f t="shared" si="9"/>
        <v/>
      </c>
      <c r="AU16" s="81"/>
      <c r="AV16" s="82"/>
      <c r="AW16" s="83"/>
      <c r="AX16" s="110" t="str">
        <f>IFERROR((((COUNTIF('Elève (6ème2)'!AU16:AW16,"A"))*4)+((COUNTIF('Elève (6ème2)'!AU16:AW16,"B"))*3)+((COUNTIF('Elève (6ème2)'!AU16:AW16,"C"))*2)+((COUNTIF('Elève (6ème2)'!AU16:AW16,"D"))*1))/(COUNTA(AU16:AW16)),"")</f>
        <v/>
      </c>
      <c r="AY16" s="111" t="str">
        <f t="shared" si="10"/>
        <v/>
      </c>
      <c r="AZ16" s="179" t="str">
        <f>IF(COUNT(AN16,AS16,AX16)=0,"",SUM(AN16,AS16,AX16)/COUNT(AN16,AS16,AX16))</f>
        <v/>
      </c>
      <c r="BA16" s="132" t="str">
        <f t="shared" si="11"/>
        <v/>
      </c>
      <c r="BB16" s="156"/>
      <c r="BC16" s="157"/>
      <c r="BD16" s="158"/>
      <c r="BE16" s="110" t="str">
        <f>IFERROR((((COUNTIF('Elève (6ème2)'!BB16:BD16,"A"))*4)+((COUNTIF('Elève (6ème2)'!BB16:BD16,"B"))*3)+((COUNTIF('Elève (6ème2)'!BB16:BD16,"C"))*2)+((COUNTIF('Elève (6ème2)'!BB16:BD16,"D"))*1))/(COUNTA(BB16:BD16)),"")</f>
        <v/>
      </c>
      <c r="BF16" s="111" t="str">
        <f t="shared" si="12"/>
        <v/>
      </c>
      <c r="BG16" s="81"/>
      <c r="BH16" s="82"/>
      <c r="BI16" s="83"/>
      <c r="BJ16" s="110" t="str">
        <f>IFERROR((((COUNTIF('Elève (6ème2)'!BG16:BI16,"A"))*4)+((COUNTIF('Elève (6ème2)'!BG16:BI16,"B"))*3)+((COUNTIF('Elève (6ème2)'!BG16:BI16,"C"))*2)+((COUNTIF('Elève (6ème2)'!BG16:BI16,"D"))*1))/(COUNTA(BG16:BI16)),"")</f>
        <v/>
      </c>
      <c r="BK16" s="111" t="str">
        <f t="shared" si="13"/>
        <v/>
      </c>
      <c r="BL16" s="81"/>
      <c r="BM16" s="82"/>
      <c r="BN16" s="83"/>
      <c r="BO16" s="110" t="str">
        <f>IFERROR((((COUNTIF('Elève (6ème2)'!BL16:BN16,"A"))*4)+((COUNTIF('Elève (6ème2)'!BL16:BN16,"B"))*3)+((COUNTIF('Elève (6ème2)'!BL16:BN16,"C"))*2)+((COUNTIF('Elève (6ème2)'!BL16:BN16,"D"))*1))/(COUNTA(BL16:BN16)),"")</f>
        <v/>
      </c>
      <c r="BP16" s="111" t="str">
        <f t="shared" si="14"/>
        <v/>
      </c>
      <c r="BQ16" s="179" t="str">
        <f>IF(COUNT(BE16,BJ16,BO16)=0,"",SUM(BE16,BJ16,BO16)/COUNT(BE16,BJ16,BO16))</f>
        <v/>
      </c>
      <c r="BR16" s="132" t="str">
        <f t="shared" si="15"/>
        <v/>
      </c>
      <c r="BS16" s="156"/>
      <c r="BT16" s="157"/>
      <c r="BU16" s="158"/>
      <c r="BV16" s="110" t="str">
        <f>IFERROR((((COUNTIF('Elève (6ème2)'!BS16:BU16,"A"))*4)+((COUNTIF('Elève (6ème2)'!BS16:BU16,"B"))*3)+((COUNTIF('Elève (6ème2)'!BS16:BU16,"C"))*2)+((COUNTIF('Elève (6ème2)'!BS16:BU16,"D"))*1))/(COUNTA(BS16:BU16)),"")</f>
        <v/>
      </c>
      <c r="BW16" s="111" t="str">
        <f t="shared" si="16"/>
        <v/>
      </c>
      <c r="BX16" s="81"/>
      <c r="BY16" s="82"/>
      <c r="BZ16" s="83"/>
      <c r="CA16" s="110" t="str">
        <f>IFERROR((((COUNTIF('Elève (6ème2)'!BX16:BZ16,"A"))*4)+((COUNTIF('Elève (6ème2)'!BX16:BZ16,"B"))*3)+((COUNTIF('Elève (6ème2)'!BX16:BZ16,"C"))*2)+((COUNTIF('Elève (6ème2)'!BX16:BZ16,"D"))*1))/(COUNTA(BX16:BZ16)),"")</f>
        <v/>
      </c>
      <c r="CB16" s="111" t="str">
        <f t="shared" si="17"/>
        <v/>
      </c>
      <c r="CC16" s="81"/>
      <c r="CD16" s="82"/>
      <c r="CE16" s="83"/>
      <c r="CF16" s="110" t="str">
        <f>IFERROR((((COUNTIF('Elève (6ème2)'!CC16:CE16,"A"))*4)+((COUNTIF('Elève (6ème2)'!CC16:CE16,"B"))*3)+((COUNTIF('Elève (6ème2)'!CC16:CE16,"C"))*2)+((COUNTIF('Elève (6ème2)'!CC16:CE16,"D"))*1))/(COUNTA(CC16:CE16)),"")</f>
        <v/>
      </c>
      <c r="CG16" s="111" t="str">
        <f t="shared" si="18"/>
        <v/>
      </c>
      <c r="CH16" s="179" t="str">
        <f>IF(COUNT(BV16,CA16,CF16)=0,"",SUM(BV16,CA16,CF16)/COUNT(BV16,CA16,CF16))</f>
        <v/>
      </c>
      <c r="CI16" s="132" t="str">
        <f t="shared" si="19"/>
        <v/>
      </c>
      <c r="CJ16" s="156"/>
      <c r="CK16" s="157"/>
      <c r="CL16" s="158"/>
      <c r="CM16" s="110" t="str">
        <f>IFERROR((((COUNTIF('Elève (6ème2)'!CJ16:CL16,"A"))*4)+((COUNTIF('Elève (6ème2)'!CJ16:CL16,"B"))*3)+((COUNTIF('Elève (6ème2)'!CJ16:CL16,"C"))*2)+((COUNTIF('Elève (6ème2)'!CJ16:CL16,"D"))*1))/(COUNTA(CJ16:CL16)),"")</f>
        <v/>
      </c>
      <c r="CN16" s="111" t="str">
        <f t="shared" si="20"/>
        <v/>
      </c>
      <c r="CO16" s="81"/>
      <c r="CP16" s="82"/>
      <c r="CQ16" s="83"/>
      <c r="CR16" s="110" t="str">
        <f>IFERROR((((COUNTIF('Elève (6ème2)'!CO16:CQ16,"A"))*4)+((COUNTIF('Elève (6ème2)'!CO16:CQ16,"B"))*3)+((COUNTIF('Elève (6ème2)'!CO16:CQ16,"C"))*2)+((COUNTIF('Elève (6ème2)'!CO16:CQ16,"D"))*1))/(COUNTA(CO16:CQ16)),"")</f>
        <v/>
      </c>
      <c r="CS16" s="111" t="str">
        <f t="shared" si="21"/>
        <v/>
      </c>
      <c r="CT16" s="81"/>
      <c r="CU16" s="82"/>
      <c r="CV16" s="83"/>
      <c r="CW16" s="110" t="str">
        <f>IFERROR((((COUNTIF('Elève (6ème2)'!CT16:CV16,"A"))*4)+((COUNTIF('Elève (6ème2)'!CT16:CV16,"B"))*3)+((COUNTIF('Elève (6ème2)'!CT16:CV16,"C"))*2)+((COUNTIF('Elève (6ème2)'!CT16:CV16,"D"))*1))/(COUNTA(CT16:CV16)),"")</f>
        <v/>
      </c>
      <c r="CX16" s="111" t="str">
        <f t="shared" si="22"/>
        <v/>
      </c>
      <c r="CY16" s="179" t="str">
        <f>IF(COUNT(CM16,CR16,CW16)=0,"",SUM(CM16,CR16,CW16)/COUNT(CM16,CR16,CW16))</f>
        <v/>
      </c>
      <c r="CZ16" s="132" t="str">
        <f t="shared" si="23"/>
        <v/>
      </c>
      <c r="DA16" s="156"/>
      <c r="DB16" s="157"/>
      <c r="DC16" s="158"/>
      <c r="DD16" s="110" t="str">
        <f>IFERROR((((COUNTIF('Elève (6ème2)'!DA16:DC16,"A"))*4)+((COUNTIF('Elève (6ème2)'!DA16:DC16,"B"))*3)+((COUNTIF('Elève (6ème2)'!DA16:DC16,"C"))*2)+((COUNTIF('Elève (6ème2)'!DA16:DC16,"D"))*1))/(COUNTA(DA16:DC16)),"")</f>
        <v/>
      </c>
      <c r="DE16" s="111" t="str">
        <f t="shared" si="24"/>
        <v/>
      </c>
      <c r="DF16" s="81"/>
      <c r="DG16" s="82"/>
      <c r="DH16" s="83"/>
      <c r="DI16" s="110" t="str">
        <f>IFERROR((((COUNTIF('Elève (6ème2)'!DF16:DH16,"A"))*4)+((COUNTIF('Elève (6ème2)'!DF16:DH16,"B"))*3)+((COUNTIF('Elève (6ème2)'!DF16:DH16,"C"))*2)+((COUNTIF('Elève (6ème2)'!DF16:DH16,"D"))*1))/(COUNTA(DF16:DH16)),"")</f>
        <v/>
      </c>
      <c r="DJ16" s="111" t="str">
        <f t="shared" si="25"/>
        <v/>
      </c>
      <c r="DK16" s="81"/>
      <c r="DL16" s="82"/>
      <c r="DM16" s="83"/>
      <c r="DN16" s="110" t="str">
        <f>IFERROR((((COUNTIF('Elève (6ème2)'!DK16:DM16,"A"))*4)+((COUNTIF('Elève (6ème2)'!DK16:DM16,"B"))*3)+((COUNTIF('Elève (6ème2)'!DK16:DM16,"C"))*2)+((COUNTIF('Elève (6ème2)'!DK16:DM16,"D"))*1))/(COUNTA(DK16:DM16)),"")</f>
        <v/>
      </c>
      <c r="DO16" s="111" t="str">
        <f t="shared" si="26"/>
        <v/>
      </c>
      <c r="DP16" s="179" t="str">
        <f>IF(COUNT(DD16,DI16,DN16)=0,"",SUM(DD16,DI16,DN16)/COUNT(DD16,DI16,DN16))</f>
        <v/>
      </c>
      <c r="DQ16" s="132" t="str">
        <f t="shared" si="27"/>
        <v/>
      </c>
      <c r="DR16" s="156"/>
      <c r="DS16" s="157"/>
      <c r="DT16" s="158"/>
      <c r="DU16" s="110" t="str">
        <f>IFERROR((((COUNTIF('Elève (6ème2)'!DR16:DT16,"A"))*4)+((COUNTIF('Elève (6ème2)'!DR16:DT16,"B"))*3)+((COUNTIF('Elève (6ème2)'!DR16:DT16,"C"))*2)+((COUNTIF('Elève (6ème2)'!DR16:DT16,"D"))*1))/(COUNTA(DR16:DT16)),"")</f>
        <v/>
      </c>
      <c r="DV16" s="111" t="str">
        <f t="shared" si="28"/>
        <v/>
      </c>
      <c r="DW16" s="81"/>
      <c r="DX16" s="82"/>
      <c r="DY16" s="83"/>
      <c r="DZ16" s="110" t="str">
        <f>IFERROR((((COUNTIF('Elève (6ème2)'!DW16:DY16,"A"))*4)+((COUNTIF('Elève (6ème2)'!DW16:DY16,"B"))*3)+((COUNTIF('Elève (6ème2)'!DW16:DY16,"C"))*2)+((COUNTIF('Elève (6ème2)'!DW16:DY16,"D"))*1))/(COUNTA(DW16:DY16)),"")</f>
        <v/>
      </c>
      <c r="EA16" s="111" t="str">
        <f t="shared" si="29"/>
        <v/>
      </c>
      <c r="EB16" s="81"/>
      <c r="EC16" s="82"/>
      <c r="ED16" s="83"/>
      <c r="EE16" s="110" t="str">
        <f>IFERROR((((COUNTIF('Elève (6ème2)'!EB16:ED16,"A"))*4)+((COUNTIF('Elève (6ème2)'!EB16:ED16,"B"))*3)+((COUNTIF('Elève (6ème2)'!EB16:ED16,"C"))*2)+((COUNTIF('Elève (6ème2)'!EB16:ED16,"D"))*1))/(COUNTA(EB16:ED16)),"")</f>
        <v/>
      </c>
      <c r="EF16" s="111" t="str">
        <f t="shared" si="30"/>
        <v/>
      </c>
      <c r="EG16" s="179" t="str">
        <f>IF(COUNT(DU16,DZ16,EE16)=0,"",SUM(DU16,DZ16,EE16)/COUNT(DU16,DZ16,EE16))</f>
        <v/>
      </c>
      <c r="EH16" s="132" t="str">
        <f t="shared" si="31"/>
        <v/>
      </c>
      <c r="EI16" s="156"/>
      <c r="EJ16" s="157"/>
      <c r="EK16" s="158"/>
      <c r="EL16" s="110" t="str">
        <f>IFERROR((((COUNTIF('Elève (6ème2)'!EI16:EK16,"A"))*4)+((COUNTIF('Elève (6ème2)'!EI16:EK16,"B"))*3)+((COUNTIF('Elève (6ème2)'!EI16:EK16,"C"))*2)+((COUNTIF('Elève (6ème2)'!EI16:EK16,"D"))*1))/(COUNTA(EI16:EK16)),"")</f>
        <v/>
      </c>
      <c r="EM16" s="111" t="str">
        <f t="shared" si="32"/>
        <v/>
      </c>
      <c r="EN16" s="81"/>
      <c r="EO16" s="82"/>
      <c r="EP16" s="83"/>
      <c r="EQ16" s="110" t="str">
        <f>IFERROR((((COUNTIF('Elève (6ème2)'!EN16:EP16,"A"))*4)+((COUNTIF('Elève (6ème2)'!EN16:EP16,"B"))*3)+((COUNTIF('Elève (6ème2)'!EN16:EP16,"C"))*2)+((COUNTIF('Elève (6ème2)'!EN16:EP16,"D"))*1))/(COUNTA(EN16:EP16)),"")</f>
        <v/>
      </c>
      <c r="ER16" s="111" t="str">
        <f t="shared" si="33"/>
        <v/>
      </c>
      <c r="ES16" s="81"/>
      <c r="ET16" s="82"/>
      <c r="EU16" s="83"/>
      <c r="EV16" s="110" t="str">
        <f>IFERROR((((COUNTIF('Elève (6ème2)'!ES16:EU16,"A"))*4)+((COUNTIF('Elève (6ème2)'!ES16:EU16,"B"))*3)+((COUNTIF('Elève (6ème2)'!ES16:EU16,"C"))*2)+((COUNTIF('Elève (6ème2)'!ES16:EU16,"D"))*1))/(COUNTA(ES16:EU16)),"")</f>
        <v/>
      </c>
      <c r="EW16" s="111" t="str">
        <f t="shared" si="34"/>
        <v/>
      </c>
      <c r="EX16" s="179" t="str">
        <f>IF(COUNT(EL16,EQ16,EV16)=0,"",SUM(EL16,EQ16,EV16)/COUNT(EL16,EQ16,EV16))</f>
        <v/>
      </c>
      <c r="EY16" s="132" t="str">
        <f t="shared" si="35"/>
        <v/>
      </c>
      <c r="EZ16" s="156"/>
      <c r="FA16" s="157"/>
      <c r="FB16" s="158"/>
      <c r="FC16" s="110" t="str">
        <f>IFERROR((((COUNTIF('Elève (6ème2)'!EZ16:FB16,"A"))*4)+((COUNTIF('Elève (6ème2)'!EZ16:FB16,"B"))*3)+((COUNTIF('Elève (6ème2)'!EZ16:FB16,"C"))*2)+((COUNTIF('Elève (6ème2)'!EZ16:FB16,"D"))*1))/(COUNTA(EZ16:FB16)),"")</f>
        <v/>
      </c>
      <c r="FD16" s="111" t="str">
        <f t="shared" si="36"/>
        <v/>
      </c>
      <c r="FE16" s="81"/>
      <c r="FF16" s="82"/>
      <c r="FG16" s="83"/>
      <c r="FH16" s="110" t="str">
        <f>IFERROR((((COUNTIF('Elève (6ème2)'!FE16:FG16,"A"))*4)+((COUNTIF('Elève (6ème2)'!FE16:FG16,"B"))*3)+((COUNTIF('Elève (6ème2)'!FE16:FG16,"C"))*2)+((COUNTIF('Elève (6ème2)'!FE16:FG16,"D"))*1))/(COUNTA(FE16:FG16)),"")</f>
        <v/>
      </c>
      <c r="FI16" s="111" t="str">
        <f t="shared" si="37"/>
        <v/>
      </c>
      <c r="FJ16" s="81"/>
      <c r="FK16" s="82"/>
      <c r="FL16" s="83"/>
      <c r="FM16" s="110" t="str">
        <f>IFERROR((((COUNTIF('Elève (6ème2)'!FJ16:FL16,"A"))*4)+((COUNTIF('Elève (6ème2)'!FJ16:FL16,"B"))*3)+((COUNTIF('Elève (6ème2)'!FJ16:FL16,"C"))*2)+((COUNTIF('Elève (6ème2)'!FJ16:FL16,"D"))*1))/(COUNTA(FJ16:FL16)),"")</f>
        <v/>
      </c>
      <c r="FN16" s="111" t="str">
        <f t="shared" si="38"/>
        <v/>
      </c>
      <c r="FO16" s="179" t="str">
        <f>IF(COUNT(FC16,FH16,FM16)=0,"",SUM(FC16,FH16,FM16)/COUNT(FC16,FH16,FM16))</f>
        <v/>
      </c>
      <c r="FP16" s="132" t="str">
        <f t="shared" si="39"/>
        <v/>
      </c>
      <c r="FQ16" s="156"/>
      <c r="FR16" s="157"/>
      <c r="FS16" s="158"/>
      <c r="FT16" s="110" t="str">
        <f>IFERROR((((COUNTIF('Elève (6ème2)'!FQ16:FS16,"A"))*4)+((COUNTIF('Elève (6ème2)'!FQ16:FS16,"B"))*3)+((COUNTIF('Elève (6ème2)'!FQ16:FS16,"C"))*2)+((COUNTIF('Elève (6ème2)'!FQ16:FS16,"D"))*1))/(COUNTA(FQ16:FS16)),"")</f>
        <v/>
      </c>
      <c r="FU16" s="111" t="str">
        <f t="shared" si="40"/>
        <v/>
      </c>
      <c r="FV16" s="81"/>
      <c r="FW16" s="82"/>
      <c r="FX16" s="83"/>
      <c r="FY16" s="110" t="str">
        <f>IFERROR((((COUNTIF('Elève (6ème2)'!FV16:FX16,"A"))*4)+((COUNTIF('Elève (6ème2)'!FV16:FX16,"B"))*3)+((COUNTIF('Elève (6ème2)'!FV16:FX16,"C"))*2)+((COUNTIF('Elève (6ème2)'!FV16:FX16,"D"))*1))/(COUNTA(FV16:FX16)),"")</f>
        <v/>
      </c>
      <c r="FZ16" s="111" t="str">
        <f t="shared" si="41"/>
        <v/>
      </c>
      <c r="GA16" s="81"/>
      <c r="GB16" s="82"/>
      <c r="GC16" s="83"/>
      <c r="GD16" s="110" t="str">
        <f>IFERROR((((COUNTIF('Elève (6ème2)'!GA16:GC16,"A"))*4)+((COUNTIF('Elève (6ème2)'!GA16:GC16,"B"))*3)+((COUNTIF('Elève (6ème2)'!GA16:GC16,"C"))*2)+((COUNTIF('Elève (6ème2)'!GA16:GC16,"D"))*1))/(COUNTA(GA16:GC16)),"")</f>
        <v/>
      </c>
      <c r="GE16" s="111" t="str">
        <f t="shared" si="42"/>
        <v/>
      </c>
      <c r="GF16" s="179" t="str">
        <f>IF(COUNT(FT16,FY16,GD16)=0,"",SUM(FT16,FY16,GD16)/COUNT(FT16,FY16,GD16))</f>
        <v/>
      </c>
      <c r="GG16" s="132" t="str">
        <f t="shared" si="43"/>
        <v/>
      </c>
      <c r="GH16" s="156"/>
      <c r="GI16" s="157"/>
      <c r="GJ16" s="158"/>
      <c r="GK16" s="110" t="str">
        <f>IFERROR((((COUNTIF('Elève (6ème2)'!GH16:GJ16,"A"))*4)+((COUNTIF('Elève (6ème2)'!GH16:GJ16,"B"))*3)+((COUNTIF('Elève (6ème2)'!GH16:GJ16,"C"))*2)+((COUNTIF('Elève (6ème2)'!GH16:GJ16,"D"))*1))/(COUNTA(GH16:GJ16)),"")</f>
        <v/>
      </c>
      <c r="GL16" s="111" t="str">
        <f t="shared" si="44"/>
        <v/>
      </c>
      <c r="GM16" s="81"/>
      <c r="GN16" s="82"/>
      <c r="GO16" s="83"/>
      <c r="GP16" s="110" t="str">
        <f>IFERROR((((COUNTIF('Elève (6ème2)'!GM16:GO16,"A"))*4)+((COUNTIF('Elève (6ème2)'!GM16:GO16,"B"))*3)+((COUNTIF('Elève (6ème2)'!GM16:GO16,"C"))*2)+((COUNTIF('Elève (6ème2)'!GM16:GO16,"D"))*1))/(COUNTA(GM16:GO16)),"")</f>
        <v/>
      </c>
      <c r="GQ16" s="111" t="str">
        <f t="shared" si="45"/>
        <v/>
      </c>
      <c r="GR16" s="81"/>
      <c r="GS16" s="82"/>
      <c r="GT16" s="83"/>
      <c r="GU16" s="110" t="str">
        <f>IFERROR((((COUNTIF('Elève (6ème2)'!GR16:GT16,"A"))*4)+((COUNTIF('Elève (6ème2)'!GR16:GT16,"B"))*3)+((COUNTIF('Elève (6ème2)'!GR16:GT16,"C"))*2)+((COUNTIF('Elève (6ème2)'!GR16:GT16,"D"))*1))/(COUNTA(GR16:GT16)),"")</f>
        <v/>
      </c>
      <c r="GV16" s="111" t="str">
        <f t="shared" si="46"/>
        <v/>
      </c>
      <c r="GW16" s="179" t="str">
        <f>IF(COUNT(GK16,GP16,GU16)=0,"",SUM(GK16,GP16,GU16)/COUNT(GK16,GP16,GU16))</f>
        <v/>
      </c>
      <c r="GX16" s="132" t="str">
        <f t="shared" si="47"/>
        <v/>
      </c>
      <c r="GY16" s="156"/>
      <c r="GZ16" s="157"/>
      <c r="HA16" s="158"/>
      <c r="HB16" s="110" t="str">
        <f>IFERROR((((COUNTIF('Elève (6ème2)'!GY16:HA16,"A"))*4)+((COUNTIF('Elève (6ème2)'!GY16:HA16,"B"))*3)+((COUNTIF('Elève (6ème2)'!GY16:HA16,"C"))*2)+((COUNTIF('Elève (6ème2)'!GY16:HA16,"D"))*1))/(COUNTA(GY16:HA16)),"")</f>
        <v/>
      </c>
      <c r="HC16" s="111" t="str">
        <f t="shared" si="48"/>
        <v/>
      </c>
      <c r="HD16" s="81"/>
      <c r="HE16" s="82"/>
      <c r="HF16" s="83"/>
      <c r="HG16" s="110" t="str">
        <f>IFERROR((((COUNTIF('Elève (6ème2)'!HD16:HF16,"A"))*4)+((COUNTIF('Elève (6ème2)'!HD16:HF16,"B"))*3)+((COUNTIF('Elève (6ème2)'!HD16:HF16,"C"))*2)+((COUNTIF('Elève (6ème2)'!HD16:HF16,"D"))*1))/(COUNTA(HD16:HF16)),"")</f>
        <v/>
      </c>
      <c r="HH16" s="111" t="str">
        <f t="shared" si="49"/>
        <v/>
      </c>
      <c r="HI16" s="81"/>
      <c r="HJ16" s="82"/>
      <c r="HK16" s="83"/>
      <c r="HL16" s="110" t="str">
        <f>IFERROR((((COUNTIF('Elève (6ème2)'!HI16:HK16,"A"))*4)+((COUNTIF('Elève (6ème2)'!HI16:HK16,"B"))*3)+((COUNTIF('Elève (6ème2)'!HI16:HK16,"C"))*2)+((COUNTIF('Elève (6ème2)'!HI16:HK16,"D"))*1))/(COUNTA(HI16:HK16)),"")</f>
        <v/>
      </c>
      <c r="HM16" s="111" t="str">
        <f t="shared" si="50"/>
        <v/>
      </c>
      <c r="HN16" s="179" t="str">
        <f>IF(COUNT(HB16,HG16,HL16)=0,"",SUM(HB16,HG16,HL16)/COUNT(HB16,HG16,HL16))</f>
        <v/>
      </c>
      <c r="HO16" s="132" t="str">
        <f t="shared" si="51"/>
        <v/>
      </c>
      <c r="HP16" s="156"/>
      <c r="HQ16" s="157"/>
      <c r="HR16" s="158"/>
      <c r="HS16" s="110" t="str">
        <f>IFERROR((((COUNTIF('Elève (6ème2)'!HP16:HR16,"A"))*4)+((COUNTIF('Elève (6ème2)'!HP16:HR16,"B"))*3)+((COUNTIF('Elève (6ème2)'!HP16:HR16,"C"))*2)+((COUNTIF('Elève (6ème2)'!HP16:HR16,"D"))*1))/(COUNTA(HP16:HR16)),"")</f>
        <v/>
      </c>
      <c r="HT16" s="111" t="str">
        <f t="shared" si="52"/>
        <v/>
      </c>
      <c r="HU16" s="81"/>
      <c r="HV16" s="82"/>
      <c r="HW16" s="83"/>
      <c r="HX16" s="110" t="str">
        <f>IFERROR((((COUNTIF('Elève (6ème2)'!HU16:HW16,"A"))*4)+((COUNTIF('Elève (6ème2)'!HU16:HW16,"B"))*3)+((COUNTIF('Elève (6ème2)'!HU16:HW16,"C"))*2)+((COUNTIF('Elève (6ème2)'!HU16:HW16,"D"))*1))/(COUNTA(HU16:HW16)),"")</f>
        <v/>
      </c>
      <c r="HY16" s="111" t="str">
        <f t="shared" si="53"/>
        <v/>
      </c>
      <c r="HZ16" s="81"/>
      <c r="IA16" s="82"/>
      <c r="IB16" s="83"/>
      <c r="IC16" s="110" t="str">
        <f>IFERROR((((COUNTIF('Elève (6ème2)'!HZ16:IB16,"A"))*4)+((COUNTIF('Elève (6ème2)'!HZ16:IB16,"B"))*3)+((COUNTIF('Elève (6ème2)'!HZ16:IB16,"C"))*2)+((COUNTIF('Elève (6ème2)'!HZ16:IB16,"D"))*1))/(COUNTA(HZ16:IB16)),"")</f>
        <v/>
      </c>
      <c r="ID16" s="111" t="str">
        <f t="shared" si="54"/>
        <v/>
      </c>
      <c r="IE16" s="179" t="str">
        <f>IF(COUNT(HS16,HX16,IC16)=0,"",SUM(HS16,HX16,IC16)/COUNT(HS16,HX16,IC16))</f>
        <v/>
      </c>
      <c r="IF16" s="132" t="str">
        <f t="shared" si="55"/>
        <v/>
      </c>
      <c r="IG16" s="156"/>
      <c r="IH16" s="157"/>
      <c r="II16" s="158"/>
      <c r="IJ16" s="110" t="str">
        <f>IFERROR((((COUNTIF('Elève (6ème2)'!IG16:II16,"A"))*4)+((COUNTIF('Elève (6ème2)'!IG16:II16,"B"))*3)+((COUNTIF('Elève (6ème2)'!IG16:II16,"C"))*2)+((COUNTIF('Elève (6ème2)'!IG16:II16,"D"))*1))/(COUNTA(IG16:II16)),"")</f>
        <v/>
      </c>
      <c r="IK16" s="111" t="str">
        <f t="shared" si="56"/>
        <v/>
      </c>
      <c r="IL16" s="81"/>
      <c r="IM16" s="82"/>
      <c r="IN16" s="83"/>
      <c r="IO16" s="110" t="str">
        <f>IFERROR((((COUNTIF('Elève (6ème2)'!IL16:IN16,"A"))*4)+((COUNTIF('Elève (6ème2)'!IL16:IN16,"B"))*3)+((COUNTIF('Elève (6ème2)'!IL16:IN16,"C"))*2)+((COUNTIF('Elève (6ème2)'!IL16:IN16,"D"))*1))/(COUNTA(IL16:IN16)),"")</f>
        <v/>
      </c>
      <c r="IP16" s="111" t="str">
        <f t="shared" si="57"/>
        <v/>
      </c>
      <c r="IQ16" s="81"/>
      <c r="IR16" s="82"/>
      <c r="IS16" s="83"/>
      <c r="IT16" s="110" t="str">
        <f>IFERROR((((COUNTIF('Elève (6ème2)'!IQ16:IS16,"A"))*4)+((COUNTIF('Elève (6ème2)'!IQ16:IS16,"B"))*3)+((COUNTIF('Elève (6ème2)'!IQ16:IS16,"C"))*2)+((COUNTIF('Elève (6ème2)'!IQ16:IS16,"D"))*1))/(COUNTA(IQ16:IS16)),"")</f>
        <v/>
      </c>
      <c r="IU16" s="111" t="str">
        <f t="shared" si="58"/>
        <v/>
      </c>
      <c r="IV16" s="179" t="str">
        <f>IF(COUNT(IJ16,IO16,IT16)=0,"",SUM(IJ16,IO16,IT16)/COUNT(IJ16,IO16,IT16))</f>
        <v/>
      </c>
      <c r="IW16" s="132" t="str">
        <f t="shared" si="59"/>
        <v/>
      </c>
      <c r="IX16" s="156"/>
      <c r="IY16" s="157"/>
      <c r="IZ16" s="158"/>
      <c r="JA16" s="110" t="str">
        <f>IFERROR((((COUNTIF('Elève (6ème2)'!IX16:IZ16,"A"))*4)+((COUNTIF('Elève (6ème2)'!IX16:IZ16,"B"))*3)+((COUNTIF('Elève (6ème2)'!IX16:IZ16,"C"))*2)+((COUNTIF('Elève (6ème2)'!IX16:IZ16,"D"))*1))/(COUNTA(IX16:IZ16)),"")</f>
        <v/>
      </c>
      <c r="JB16" s="111" t="str">
        <f t="shared" si="60"/>
        <v/>
      </c>
      <c r="JC16" s="81"/>
      <c r="JD16" s="82"/>
      <c r="JE16" s="83"/>
      <c r="JF16" s="110" t="str">
        <f>IFERROR((((COUNTIF('Elève (6ème2)'!JC16:JE16,"A"))*4)+((COUNTIF('Elève (6ème2)'!JC16:JE16,"B"))*3)+((COUNTIF('Elève (6ème2)'!JC16:JE16,"C"))*2)+((COUNTIF('Elève (6ème2)'!JC16:JE16,"D"))*1))/(COUNTA(JC16:JE16)),"")</f>
        <v/>
      </c>
      <c r="JG16" s="111" t="str">
        <f t="shared" si="61"/>
        <v/>
      </c>
      <c r="JH16" s="81"/>
      <c r="JI16" s="82"/>
      <c r="JJ16" s="83"/>
      <c r="JK16" s="110" t="str">
        <f>IFERROR((((COUNTIF('Elève (6ème2)'!JH16:JJ16,"A"))*4)+((COUNTIF('Elève (6ème2)'!JH16:JJ16,"B"))*3)+((COUNTIF('Elève (6ème2)'!JH16:JJ16,"C"))*2)+((COUNTIF('Elève (6ème2)'!JH16:JJ16,"D"))*1))/(COUNTA(JH16:JJ16)),"")</f>
        <v/>
      </c>
      <c r="JL16" s="111" t="str">
        <f t="shared" si="62"/>
        <v/>
      </c>
      <c r="JM16" s="179" t="str">
        <f>IF(COUNT(JA16,JF16,JK16)=0,"",SUM(JA16,JF16,JK16)/COUNT(JA16,JF16,JK16))</f>
        <v/>
      </c>
      <c r="JN16" s="132" t="str">
        <f t="shared" si="63"/>
        <v/>
      </c>
      <c r="JO16" s="156"/>
      <c r="JP16" s="157"/>
      <c r="JQ16" s="158"/>
      <c r="JR16" s="110" t="str">
        <f>IFERROR((((COUNTIF('Elève (6ème2)'!JO16:JQ16,"A"))*4)+((COUNTIF('Elève (6ème2)'!JO16:JQ16,"B"))*3)+((COUNTIF('Elève (6ème2)'!JO16:JQ16,"C"))*2)+((COUNTIF('Elève (6ème2)'!JO16:JQ16,"D"))*1))/(COUNTA(JO16:JQ16)),"")</f>
        <v/>
      </c>
      <c r="JS16" s="111" t="str">
        <f t="shared" si="64"/>
        <v/>
      </c>
      <c r="JT16" s="81"/>
      <c r="JU16" s="82"/>
      <c r="JV16" s="83"/>
      <c r="JW16" s="110" t="str">
        <f>IFERROR((((COUNTIF('Elève (6ème2)'!JT16:JV16,"A"))*4)+((COUNTIF('Elève (6ème2)'!JT16:JV16,"B"))*3)+((COUNTIF('Elève (6ème2)'!JT16:JV16,"C"))*2)+((COUNTIF('Elève (6ème2)'!JT16:JV16,"D"))*1))/(COUNTA(JT16:JV16)),"")</f>
        <v/>
      </c>
      <c r="JX16" s="111" t="str">
        <f t="shared" si="65"/>
        <v/>
      </c>
      <c r="JY16" s="81"/>
      <c r="JZ16" s="82"/>
      <c r="KA16" s="83"/>
      <c r="KB16" s="110" t="str">
        <f>IFERROR((((COUNTIF('Elève (6ème2)'!JY16:KA16,"A"))*4)+((COUNTIF('Elève (6ème2)'!JY16:KA16,"B"))*3)+((COUNTIF('Elève (6ème2)'!JY16:KA16,"C"))*2)+((COUNTIF('Elève (6ème2)'!JY16:KA16,"D"))*1))/(COUNTA(JY16:KA16)),"")</f>
        <v/>
      </c>
      <c r="KC16" s="111" t="str">
        <f t="shared" si="66"/>
        <v/>
      </c>
      <c r="KD16" s="179" t="str">
        <f>IF(COUNT(JR16,JW16,KB16)=0,"",SUM(JR16,JW16,KB16)/COUNT(JR16,JW16,KB16))</f>
        <v/>
      </c>
      <c r="KE16" s="132" t="str">
        <f t="shared" si="67"/>
        <v/>
      </c>
      <c r="KF16" s="156"/>
      <c r="KG16" s="157"/>
      <c r="KH16" s="158"/>
      <c r="KI16" s="110" t="str">
        <f>IFERROR((((COUNTIF('Elève (6ème2)'!KF16:KH16,"A"))*4)+((COUNTIF('Elève (6ème2)'!KF16:KH16,"B"))*3)+((COUNTIF('Elève (6ème2)'!KF16:KH16,"C"))*2)+((COUNTIF('Elève (6ème2)'!KF16:KH16,"D"))*1))/(COUNTA(KF16:KH16)),"")</f>
        <v/>
      </c>
      <c r="KJ16" s="111" t="str">
        <f t="shared" si="68"/>
        <v/>
      </c>
      <c r="KK16" s="81"/>
      <c r="KL16" s="82"/>
      <c r="KM16" s="83"/>
      <c r="KN16" s="110" t="str">
        <f>IFERROR((((COUNTIF('Elève (6ème2)'!KK16:KM16,"A"))*4)+((COUNTIF('Elève (6ème2)'!KK16:KM16,"B"))*3)+((COUNTIF('Elève (6ème2)'!KK16:KM16,"C"))*2)+((COUNTIF('Elève (6ème2)'!KK16:KM16,"D"))*1))/(COUNTA(KK16:KM16)),"")</f>
        <v/>
      </c>
      <c r="KO16" s="111" t="str">
        <f t="shared" si="69"/>
        <v/>
      </c>
      <c r="KP16" s="81"/>
      <c r="KQ16" s="82"/>
      <c r="KR16" s="83"/>
      <c r="KS16" s="110" t="str">
        <f>IFERROR((((COUNTIF('Elève (6ème2)'!KP16:KR16,"A"))*4)+((COUNTIF('Elève (6ème2)'!KP16:KR16,"B"))*3)+((COUNTIF('Elève (6ème2)'!KP16:KR16,"C"))*2)+((COUNTIF('Elève (6ème2)'!KP16:KR16,"D"))*1))/(COUNTA(KP16:KR16)),"")</f>
        <v/>
      </c>
      <c r="KT16" s="111" t="str">
        <f t="shared" si="70"/>
        <v/>
      </c>
      <c r="KU16" s="179" t="str">
        <f>IF(COUNT(KI16,KN16,KS16)=0,"",SUM(KI16,KN16,KS16)/COUNT(KI16,KN16,KS16))</f>
        <v/>
      </c>
      <c r="KV16" s="132" t="str">
        <f t="shared" si="71"/>
        <v/>
      </c>
      <c r="KW16" s="156"/>
      <c r="KX16" s="157"/>
      <c r="KY16" s="158"/>
      <c r="KZ16" s="110" t="str">
        <f>IFERROR((((COUNTIF('Elève (6ème2)'!KW16:KY16,"A"))*4)+((COUNTIF('Elève (6ème2)'!KW16:KY16,"B"))*3)+((COUNTIF('Elève (6ème2)'!KW16:KY16,"C"))*2)+((COUNTIF('Elève (6ème2)'!KW16:KY16,"D"))*1))/(COUNTA(KW16:KY16)),"")</f>
        <v/>
      </c>
      <c r="LA16" s="111" t="str">
        <f t="shared" si="72"/>
        <v/>
      </c>
      <c r="LB16" s="81"/>
      <c r="LC16" s="82"/>
      <c r="LD16" s="83"/>
      <c r="LE16" s="110" t="str">
        <f>IFERROR((((COUNTIF('Elève (6ème2)'!LB16:LD16,"A"))*4)+((COUNTIF('Elève (6ème2)'!LB16:LD16,"B"))*3)+((COUNTIF('Elève (6ème2)'!LB16:LD16,"C"))*2)+((COUNTIF('Elève (6ème2)'!LB16:LD16,"D"))*1))/(COUNTA(LB16:LD16)),"")</f>
        <v/>
      </c>
      <c r="LF16" s="111" t="str">
        <f t="shared" si="73"/>
        <v/>
      </c>
      <c r="LG16" s="81"/>
      <c r="LH16" s="82"/>
      <c r="LI16" s="83"/>
      <c r="LJ16" s="110" t="str">
        <f>IFERROR((((COUNTIF('Elève (6ème2)'!LG16:LI16,"A"))*4)+((COUNTIF('Elève (6ème2)'!LG16:LI16,"B"))*3)+((COUNTIF('Elève (6ème2)'!LG16:LI16,"C"))*2)+((COUNTIF('Elève (6ème2)'!LG16:LI16,"D"))*1))/(COUNTA(LG16:LI16)),"")</f>
        <v/>
      </c>
      <c r="LK16" s="111" t="str">
        <f t="shared" si="74"/>
        <v/>
      </c>
      <c r="LL16" s="179" t="str">
        <f>IF(COUNT(KZ16,LE16,LJ16)=0,"",SUM(KZ16,LE16,LJ16)/COUNT(KZ16,LE16,LJ16))</f>
        <v/>
      </c>
      <c r="LM16" s="132" t="str">
        <f t="shared" si="75"/>
        <v/>
      </c>
      <c r="LN16" s="156"/>
      <c r="LO16" s="157"/>
      <c r="LP16" s="158"/>
      <c r="LQ16" s="110" t="str">
        <f>IFERROR((((COUNTIF('Elève (6ème2)'!LN16:LP16,"A"))*4)+((COUNTIF('Elève (6ème2)'!LN16:LP16,"B"))*3)+((COUNTIF('Elève (6ème2)'!LN16:LP16,"C"))*2)+((COUNTIF('Elève (6ème2)'!LN16:LP16,"D"))*1))/(COUNTA(LN16:LP16)),"")</f>
        <v/>
      </c>
      <c r="LR16" s="111" t="str">
        <f t="shared" si="76"/>
        <v/>
      </c>
      <c r="LS16" s="81"/>
      <c r="LT16" s="82"/>
      <c r="LU16" s="83"/>
      <c r="LV16" s="110" t="str">
        <f>IFERROR((((COUNTIF('Elève (6ème2)'!LS16:LU16,"A"))*4)+((COUNTIF('Elève (6ème2)'!LS16:LU16,"B"))*3)+((COUNTIF('Elève (6ème2)'!LS16:LU16,"C"))*2)+((COUNTIF('Elève (6ème2)'!LS16:LU16,"D"))*1))/(COUNTA(LS16:LU16)),"")</f>
        <v/>
      </c>
      <c r="LW16" s="111" t="str">
        <f t="shared" si="77"/>
        <v/>
      </c>
      <c r="LX16" s="81"/>
      <c r="LY16" s="82"/>
      <c r="LZ16" s="83"/>
      <c r="MA16" s="110" t="str">
        <f>IFERROR((((COUNTIF('Elève (6ème2)'!LX16:LZ16,"A"))*4)+((COUNTIF('Elève (6ème2)'!LX16:LZ16,"B"))*3)+((COUNTIF('Elève (6ème2)'!LX16:LZ16,"C"))*2)+((COUNTIF('Elève (6ème2)'!LX16:LZ16,"D"))*1))/(COUNTA(LX16:LZ16)),"")</f>
        <v/>
      </c>
      <c r="MB16" s="111" t="str">
        <f t="shared" si="78"/>
        <v/>
      </c>
      <c r="MC16" s="179" t="str">
        <f>IF(COUNT(LQ16,LV16,MA16)=0,"",SUM(LQ16,LV16,MA16)/COUNT(LQ16,LV16,MA16))</f>
        <v/>
      </c>
      <c r="MD16" s="132" t="str">
        <f t="shared" si="79"/>
        <v/>
      </c>
      <c r="ME16" s="156"/>
      <c r="MF16" s="157"/>
      <c r="MG16" s="158"/>
      <c r="MH16" s="110" t="str">
        <f>IFERROR((((COUNTIF('Elève (6ème2)'!ME16:MG16,"A"))*4)+((COUNTIF('Elève (6ème2)'!ME16:MG16,"B"))*3)+((COUNTIF('Elève (6ème2)'!ME16:MG16,"C"))*2)+((COUNTIF('Elève (6ème2)'!ME16:MG16,"D"))*1))/(COUNTA(ME16:MG16)),"")</f>
        <v/>
      </c>
      <c r="MI16" s="111" t="str">
        <f t="shared" si="80"/>
        <v/>
      </c>
      <c r="MJ16" s="81"/>
      <c r="MK16" s="82"/>
      <c r="ML16" s="83"/>
      <c r="MM16" s="110" t="str">
        <f>IFERROR((((COUNTIF('Elève (6ème2)'!MJ16:ML16,"A"))*4)+((COUNTIF('Elève (6ème2)'!MJ16:ML16,"B"))*3)+((COUNTIF('Elève (6ème2)'!MJ16:ML16,"C"))*2)+((COUNTIF('Elève (6ème2)'!MJ16:ML16,"D"))*1))/(COUNTA(MJ16:ML16)),"")</f>
        <v/>
      </c>
      <c r="MN16" s="111" t="str">
        <f t="shared" si="81"/>
        <v/>
      </c>
      <c r="MO16" s="81"/>
      <c r="MP16" s="82"/>
      <c r="MQ16" s="83"/>
      <c r="MR16" s="110" t="str">
        <f>IFERROR((((COUNTIF('Elève (6ème2)'!MO16:MQ16,"A"))*4)+((COUNTIF('Elève (6ème2)'!MO16:MQ16,"B"))*3)+((COUNTIF('Elève (6ème2)'!MO16:MQ16,"C"))*2)+((COUNTIF('Elève (6ème2)'!MO16:MQ16,"D"))*1))/(COUNTA(MO16:MQ16)),"")</f>
        <v/>
      </c>
      <c r="MS16" s="111" t="str">
        <f t="shared" si="82"/>
        <v/>
      </c>
      <c r="MT16" s="179" t="str">
        <f>IF(COUNT(MH16,MM16,MR16)=0,"",SUM(MH16,MM16,MR16)/COUNT(MH16,MM16,MR16))</f>
        <v/>
      </c>
      <c r="MU16" s="132" t="str">
        <f t="shared" si="83"/>
        <v/>
      </c>
      <c r="MV16" s="156"/>
      <c r="MW16" s="157"/>
      <c r="MX16" s="158"/>
      <c r="MY16" s="110" t="str">
        <f>IFERROR((((COUNTIF('Elève (6ème2)'!MV16:MX16,"A"))*4)+((COUNTIF('Elève (6ème2)'!MV16:MX16,"B"))*3)+((COUNTIF('Elève (6ème2)'!MV16:MX16,"C"))*2)+((COUNTIF('Elève (6ème2)'!MV16:MX16,"D"))*1))/(COUNTA(MV16:MX16)),"")</f>
        <v/>
      </c>
      <c r="MZ16" s="111" t="str">
        <f t="shared" si="84"/>
        <v/>
      </c>
      <c r="NA16" s="81"/>
      <c r="NB16" s="82"/>
      <c r="NC16" s="83"/>
      <c r="ND16" s="110" t="str">
        <f>IFERROR((((COUNTIF('Elève (6ème2)'!NA16:NC16,"A"))*4)+((COUNTIF('Elève (6ème2)'!NA16:NC16,"B"))*3)+((COUNTIF('Elève (6ème2)'!NA16:NC16,"C"))*2)+((COUNTIF('Elève (6ème2)'!NA16:NC16,"D"))*1))/(COUNTA(NA16:NC16)),"")</f>
        <v/>
      </c>
      <c r="NE16" s="111" t="str">
        <f t="shared" si="85"/>
        <v/>
      </c>
      <c r="NF16" s="81"/>
      <c r="NG16" s="82"/>
      <c r="NH16" s="83"/>
      <c r="NI16" s="110" t="str">
        <f>IFERROR((((COUNTIF('Elève (6ème2)'!NF16:NH16,"A"))*4)+((COUNTIF('Elève (6ème2)'!NF16:NH16,"B"))*3)+((COUNTIF('Elève (6ème2)'!NF16:NH16,"C"))*2)+((COUNTIF('Elève (6ème2)'!NF16:NH16,"D"))*1))/(COUNTA(NF16:NH16)),"")</f>
        <v/>
      </c>
      <c r="NJ16" s="111" t="str">
        <f t="shared" si="86"/>
        <v/>
      </c>
      <c r="NK16" s="179" t="str">
        <f>IF(COUNT(MY16,ND16,NI16)=0,"",SUM(MY16,ND16,NI16)/COUNT(MY16,ND16,NI16))</f>
        <v/>
      </c>
      <c r="NL16" s="132" t="str">
        <f t="shared" si="87"/>
        <v/>
      </c>
      <c r="NM16" s="156"/>
      <c r="NN16" s="157"/>
      <c r="NO16" s="158"/>
      <c r="NP16" s="110" t="str">
        <f>IFERROR((((COUNTIF('Elève (6ème2)'!NM16:NO16,"A"))*4)+((COUNTIF('Elève (6ème2)'!NM16:NO16,"B"))*3)+((COUNTIF('Elève (6ème2)'!NM16:NO16,"C"))*2)+((COUNTIF('Elève (6ème2)'!NM16:NO16,"D"))*1))/(COUNTA(NM16:NO16)),"")</f>
        <v/>
      </c>
      <c r="NQ16" s="111" t="str">
        <f t="shared" si="88"/>
        <v/>
      </c>
      <c r="NR16" s="81"/>
      <c r="NS16" s="82"/>
      <c r="NT16" s="83"/>
      <c r="NU16" s="110" t="str">
        <f>IFERROR((((COUNTIF('Elève (6ème2)'!NR16:NT16,"A"))*4)+((COUNTIF('Elève (6ème2)'!NR16:NT16,"B"))*3)+((COUNTIF('Elève (6ème2)'!NR16:NT16,"C"))*2)+((COUNTIF('Elève (6ème2)'!NR16:NT16,"D"))*1))/(COUNTA(NR16:NT16)),"")</f>
        <v/>
      </c>
      <c r="NV16" s="111" t="str">
        <f t="shared" si="89"/>
        <v/>
      </c>
      <c r="NW16" s="81"/>
      <c r="NX16" s="82"/>
      <c r="NY16" s="83"/>
      <c r="NZ16" s="110" t="str">
        <f>IFERROR((((COUNTIF('Elève (6ème2)'!NW16:NY16,"A"))*4)+((COUNTIF('Elève (6ème2)'!NW16:NY16,"B"))*3)+((COUNTIF('Elève (6ème2)'!NW16:NY16,"C"))*2)+((COUNTIF('Elève (6ème2)'!NW16:NY16,"D"))*1))/(COUNTA(NW16:NY16)),"")</f>
        <v/>
      </c>
      <c r="OA16" s="111" t="str">
        <f t="shared" si="90"/>
        <v/>
      </c>
      <c r="OB16" s="179" t="str">
        <f>IF(COUNT(NP16,NU16,NZ16)=0,"",SUM(NP16,NU16,NZ16)/COUNT(NP16,NU16,NZ16))</f>
        <v/>
      </c>
      <c r="OC16" s="132" t="str">
        <f t="shared" si="91"/>
        <v/>
      </c>
      <c r="OD16" s="156"/>
      <c r="OE16" s="157"/>
      <c r="OF16" s="158"/>
      <c r="OG16" s="110" t="str">
        <f>IFERROR((((COUNTIF('Elève (6ème2)'!OD16:OF16,"A"))*4)+((COUNTIF('Elève (6ème2)'!OD16:OF16,"B"))*3)+((COUNTIF('Elève (6ème2)'!OD16:OF16,"C"))*2)+((COUNTIF('Elève (6ème2)'!OD16:OF16,"D"))*1))/(COUNTA(OD16:OF16)),"")</f>
        <v/>
      </c>
      <c r="OH16" s="111" t="str">
        <f t="shared" si="92"/>
        <v/>
      </c>
      <c r="OI16" s="81"/>
      <c r="OJ16" s="82"/>
      <c r="OK16" s="83"/>
      <c r="OL16" s="110" t="str">
        <f>IFERROR((((COUNTIF('Elève (6ème2)'!OI16:OK16,"A"))*4)+((COUNTIF('Elève (6ème2)'!OI16:OK16,"B"))*3)+((COUNTIF('Elève (6ème2)'!OI16:OK16,"C"))*2)+((COUNTIF('Elève (6ème2)'!OI16:OK16,"D"))*1))/(COUNTA(OI16:OK16)),"")</f>
        <v/>
      </c>
      <c r="OM16" s="111" t="str">
        <f t="shared" si="93"/>
        <v/>
      </c>
      <c r="ON16" s="81"/>
      <c r="OO16" s="82"/>
      <c r="OP16" s="83"/>
      <c r="OQ16" s="110" t="str">
        <f>IFERROR((((COUNTIF('Elève (6ème2)'!ON16:OP16,"A"))*4)+((COUNTIF('Elève (6ème2)'!ON16:OP16,"B"))*3)+((COUNTIF('Elève (6ème2)'!ON16:OP16,"C"))*2)+((COUNTIF('Elève (6ème2)'!ON16:OP16,"D"))*1))/(COUNTA(ON16:OP16)),"")</f>
        <v/>
      </c>
      <c r="OR16" s="111" t="str">
        <f t="shared" si="94"/>
        <v/>
      </c>
      <c r="OS16" s="179" t="str">
        <f>IF(COUNT(OG16,OL16,OQ16)=0,"",SUM(OG16,OL16,OQ16)/COUNT(OG16,OL16,OQ16))</f>
        <v/>
      </c>
      <c r="OT16" s="132" t="str">
        <f t="shared" si="95"/>
        <v/>
      </c>
      <c r="OU16" s="156"/>
      <c r="OV16" s="157"/>
      <c r="OW16" s="158"/>
      <c r="OX16" s="110" t="str">
        <f>IFERROR((((COUNTIF('Elève (6ème2)'!OU16:OW16,"A"))*4)+((COUNTIF('Elève (6ème2)'!OU16:OW16,"B"))*3)+((COUNTIF('Elève (6ème2)'!OU16:OW16,"C"))*2)+((COUNTIF('Elève (6ème2)'!OU16:OW16,"D"))*1))/(COUNTA(OU16:OW16)),"")</f>
        <v/>
      </c>
      <c r="OY16" s="111" t="str">
        <f t="shared" si="96"/>
        <v/>
      </c>
      <c r="OZ16" s="81"/>
      <c r="PA16" s="82"/>
      <c r="PB16" s="83"/>
      <c r="PC16" s="110" t="str">
        <f>IFERROR((((COUNTIF('Elève (6ème2)'!OZ16:PB16,"A"))*4)+((COUNTIF('Elève (6ème2)'!OZ16:PB16,"B"))*3)+((COUNTIF('Elève (6ème2)'!OZ16:PB16,"C"))*2)+((COUNTIF('Elève (6ème2)'!OZ16:PB16,"D"))*1))/(COUNTA(OZ16:PB16)),"")</f>
        <v/>
      </c>
      <c r="PD16" s="111" t="str">
        <f t="shared" si="97"/>
        <v/>
      </c>
      <c r="PE16" s="81"/>
      <c r="PF16" s="82"/>
      <c r="PG16" s="83"/>
      <c r="PH16" s="110" t="str">
        <f>IFERROR((((COUNTIF('Elève (6ème2)'!PE16:PG16,"A"))*4)+((COUNTIF('Elève (6ème2)'!PE16:PG16,"B"))*3)+((COUNTIF('Elève (6ème2)'!PE16:PG16,"C"))*2)+((COUNTIF('Elève (6ème2)'!PE16:PG16,"D"))*1))/(COUNTA(PE16:PG16)),"")</f>
        <v/>
      </c>
      <c r="PI16" s="111" t="str">
        <f t="shared" si="98"/>
        <v/>
      </c>
      <c r="PJ16" s="179" t="str">
        <f>IF(COUNT(OX16,PC16,PH16)=0,"",SUM(OX16,PC16,PH16)/COUNT(OX16,PC16,PH16))</f>
        <v/>
      </c>
      <c r="PK16" s="132" t="str">
        <f t="shared" si="99"/>
        <v/>
      </c>
      <c r="PL16" s="156"/>
      <c r="PM16" s="157"/>
      <c r="PN16" s="158"/>
      <c r="PO16" s="110" t="str">
        <f>IFERROR((((COUNTIF('Elève (6ème2)'!PL16:PN16,"A"))*4)+((COUNTIF('Elève (6ème2)'!PL16:PN16,"B"))*3)+((COUNTIF('Elève (6ème2)'!PL16:PN16,"C"))*2)+((COUNTIF('Elève (6ème2)'!PL16:PN16,"D"))*1))/(COUNTA(PL16:PN16)),"")</f>
        <v/>
      </c>
      <c r="PP16" s="111" t="str">
        <f t="shared" si="100"/>
        <v/>
      </c>
      <c r="PQ16" s="81"/>
      <c r="PR16" s="82"/>
      <c r="PS16" s="83"/>
      <c r="PT16" s="110" t="str">
        <f>IFERROR((((COUNTIF('Elève (6ème2)'!PQ16:PS16,"A"))*4)+((COUNTIF('Elève (6ème2)'!PQ16:PS16,"B"))*3)+((COUNTIF('Elève (6ème2)'!PQ16:PS16,"C"))*2)+((COUNTIF('Elève (6ème2)'!PQ16:PS16,"D"))*1))/(COUNTA(PQ16:PS16)),"")</f>
        <v/>
      </c>
      <c r="PU16" s="111" t="str">
        <f t="shared" si="101"/>
        <v/>
      </c>
      <c r="PV16" s="81"/>
      <c r="PW16" s="82"/>
      <c r="PX16" s="83"/>
      <c r="PY16" s="110" t="str">
        <f>IFERROR((((COUNTIF('Elève (6ème2)'!PV16:PX16,"A"))*4)+((COUNTIF('Elève (6ème2)'!PV16:PX16,"B"))*3)+((COUNTIF('Elève (6ème2)'!PV16:PX16,"C"))*2)+((COUNTIF('Elève (6ème2)'!PV16:PX16,"D"))*1))/(COUNTA(PV16:PX16)),"")</f>
        <v/>
      </c>
      <c r="PZ16" s="111" t="str">
        <f t="shared" si="102"/>
        <v/>
      </c>
      <c r="QA16" s="179" t="str">
        <f>IF(COUNT(PO16,PT16,PY16)=0,"",SUM(PO16,PT16,PY16)/COUNT(PO16,PT16,PY16))</f>
        <v/>
      </c>
      <c r="QB16" s="132" t="str">
        <f t="shared" si="103"/>
        <v/>
      </c>
      <c r="QC16" s="156"/>
      <c r="QD16" s="157"/>
      <c r="QE16" s="158"/>
      <c r="QF16" s="110" t="str">
        <f>IFERROR((((COUNTIF('Elève (6ème2)'!QC16:QE16,"A"))*4)+((COUNTIF('Elève (6ème2)'!QC16:QE16,"B"))*3)+((COUNTIF('Elève (6ème2)'!QC16:QE16,"C"))*2)+((COUNTIF('Elève (6ème2)'!QC16:QE16,"D"))*1))/(COUNTA(QC16:QE16)),"")</f>
        <v/>
      </c>
      <c r="QG16" s="111" t="str">
        <f t="shared" si="104"/>
        <v/>
      </c>
      <c r="QH16" s="81"/>
      <c r="QI16" s="82"/>
      <c r="QJ16" s="83"/>
      <c r="QK16" s="110" t="str">
        <f>IFERROR((((COUNTIF('Elève (6ème2)'!QH16:QJ16,"A"))*4)+((COUNTIF('Elève (6ème2)'!QH16:QJ16,"B"))*3)+((COUNTIF('Elève (6ème2)'!QH16:QJ16,"C"))*2)+((COUNTIF('Elève (6ème2)'!QH16:QJ16,"D"))*1))/(COUNTA(QH16:QJ16)),"")</f>
        <v/>
      </c>
      <c r="QL16" s="111" t="str">
        <f t="shared" si="105"/>
        <v/>
      </c>
      <c r="QM16" s="81"/>
      <c r="QN16" s="82"/>
      <c r="QO16" s="83"/>
      <c r="QP16" s="110" t="str">
        <f>IFERROR((((COUNTIF('Elève (6ème2)'!QM16:QO16,"A"))*4)+((COUNTIF('Elève (6ème2)'!QM16:QO16,"B"))*3)+((COUNTIF('Elève (6ème2)'!QM16:QO16,"C"))*2)+((COUNTIF('Elève (6ème2)'!QM16:QO16,"D"))*1))/(COUNTA(QM16:QO16)),"")</f>
        <v/>
      </c>
      <c r="QQ16" s="111" t="str">
        <f t="shared" si="106"/>
        <v/>
      </c>
      <c r="QR16" s="179" t="str">
        <f>IF(COUNT(QF16,QK16,QP16)=0,"",SUM(QF16,QK16,QP16)/COUNT(QF16,QK16,QP16))</f>
        <v/>
      </c>
      <c r="QS16" s="132" t="str">
        <f t="shared" si="107"/>
        <v/>
      </c>
      <c r="QT16" s="156"/>
      <c r="QU16" s="157"/>
      <c r="QV16" s="158"/>
      <c r="QW16" s="110" t="str">
        <f>IFERROR((((COUNTIF('Elève (6ème2)'!QT16:QV16,"A"))*4)+((COUNTIF('Elève (6ème2)'!QT16:QV16,"B"))*3)+((COUNTIF('Elève (6ème2)'!QT16:QV16,"C"))*2)+((COUNTIF('Elève (6ème2)'!QT16:QV16,"D"))*1))/(COUNTA(QT16:QV16)),"")</f>
        <v/>
      </c>
      <c r="QX16" s="111" t="str">
        <f t="shared" si="108"/>
        <v/>
      </c>
      <c r="QY16" s="81"/>
      <c r="QZ16" s="82"/>
      <c r="RA16" s="83"/>
      <c r="RB16" s="110" t="str">
        <f>IFERROR((((COUNTIF('Elève (6ème2)'!QY16:RA16,"A"))*4)+((COUNTIF('Elève (6ème2)'!QY16:RA16,"B"))*3)+((COUNTIF('Elève (6ème2)'!QY16:RA16,"C"))*2)+((COUNTIF('Elève (6ème2)'!QY16:RA16,"D"))*1))/(COUNTA(QY16:RA16)),"")</f>
        <v/>
      </c>
      <c r="RC16" s="111" t="str">
        <f t="shared" si="109"/>
        <v/>
      </c>
      <c r="RD16" s="81"/>
      <c r="RE16" s="82"/>
      <c r="RF16" s="83"/>
      <c r="RG16" s="110" t="str">
        <f>IFERROR((((COUNTIF('Elève (6ème2)'!RD16:RF16,"A"))*4)+((COUNTIF('Elève (6ème2)'!RD16:RF16,"B"))*3)+((COUNTIF('Elève (6ème2)'!RD16:RF16,"C"))*2)+((COUNTIF('Elève (6ème2)'!RD16:RF16,"D"))*1))/(COUNTA(RD16:RF16)),"")</f>
        <v/>
      </c>
      <c r="RH16" s="111" t="str">
        <f t="shared" si="110"/>
        <v/>
      </c>
      <c r="RI16" s="179" t="str">
        <f>IF(COUNT(QW16,RB16,RG16)=0,"",SUM(QW16,RB16,RG16)/COUNT(QW16,RB16,RG16))</f>
        <v/>
      </c>
      <c r="RJ16" s="132" t="str">
        <f t="shared" si="111"/>
        <v/>
      </c>
      <c r="RK16" s="156"/>
      <c r="RL16" s="157"/>
      <c r="RM16" s="158"/>
      <c r="RN16" s="110" t="str">
        <f>IFERROR((((COUNTIF('Elève (6ème2)'!RK16:RM16,"A"))*4)+((COUNTIF('Elève (6ème2)'!RK16:RM16,"B"))*3)+((COUNTIF('Elève (6ème2)'!RK16:RM16,"C"))*2)+((COUNTIF('Elève (6ème2)'!RK16:RM16,"D"))*1))/(COUNTA(RK16:RM16)),"")</f>
        <v/>
      </c>
      <c r="RO16" s="111" t="str">
        <f t="shared" si="112"/>
        <v/>
      </c>
      <c r="RP16" s="81"/>
      <c r="RQ16" s="82"/>
      <c r="RR16" s="83"/>
      <c r="RS16" s="110" t="str">
        <f>IFERROR((((COUNTIF('Elève (6ème2)'!RP16:RR16,"A"))*4)+((COUNTIF('Elève (6ème2)'!RP16:RR16,"B"))*3)+((COUNTIF('Elève (6ème2)'!RP16:RR16,"C"))*2)+((COUNTIF('Elève (6ème2)'!RP16:RR16,"D"))*1))/(COUNTA(RP16:RR16)),"")</f>
        <v/>
      </c>
      <c r="RT16" s="111" t="str">
        <f t="shared" si="113"/>
        <v/>
      </c>
      <c r="RU16" s="81"/>
      <c r="RV16" s="82"/>
      <c r="RW16" s="83"/>
      <c r="RX16" s="110" t="str">
        <f>IFERROR((((COUNTIF('Elève (6ème2)'!RU16:RW16,"A"))*4)+((COUNTIF('Elève (6ème2)'!RU16:RW16,"B"))*3)+((COUNTIF('Elève (6ème2)'!RU16:RW16,"C"))*2)+((COUNTIF('Elève (6ème2)'!RU16:RW16,"D"))*1))/(COUNTA(RU16:RW16)),"")</f>
        <v/>
      </c>
      <c r="RY16" s="111" t="str">
        <f t="shared" si="114"/>
        <v/>
      </c>
      <c r="RZ16" s="179" t="str">
        <f>IF(COUNT(RN16,RS16,RX16)=0,"",SUM(RN16,RS16,RX16)/COUNT(RN16,RS16,RX16))</f>
        <v/>
      </c>
      <c r="SA16" s="132" t="str">
        <f t="shared" si="115"/>
        <v/>
      </c>
      <c r="SB16" s="156"/>
      <c r="SC16" s="157"/>
      <c r="SD16" s="158"/>
      <c r="SE16" s="110" t="str">
        <f>IFERROR((((COUNTIF('Elève (6ème2)'!SB16:SD16,"A"))*4)+((COUNTIF('Elève (6ème2)'!SB16:SD16,"B"))*3)+((COUNTIF('Elève (6ème2)'!SB16:SD16,"C"))*2)+((COUNTIF('Elève (6ème2)'!SB16:SD16,"D"))*1))/(COUNTA(SB16:SD16)),"")</f>
        <v/>
      </c>
      <c r="SF16" s="111" t="str">
        <f t="shared" si="116"/>
        <v/>
      </c>
      <c r="SG16" s="81"/>
      <c r="SH16" s="82"/>
      <c r="SI16" s="83"/>
      <c r="SJ16" s="110" t="str">
        <f>IFERROR((((COUNTIF('Elève (6ème2)'!SG16:SI16,"A"))*4)+((COUNTIF('Elève (6ème2)'!SG16:SI16,"B"))*3)+((COUNTIF('Elève (6ème2)'!SG16:SI16,"C"))*2)+((COUNTIF('Elève (6ème2)'!SG16:SI16,"D"))*1))/(COUNTA(SG16:SI16)),"")</f>
        <v/>
      </c>
      <c r="SK16" s="111" t="str">
        <f t="shared" si="117"/>
        <v/>
      </c>
      <c r="SL16" s="81"/>
      <c r="SM16" s="82"/>
      <c r="SN16" s="83"/>
      <c r="SO16" s="110" t="str">
        <f>IFERROR((((COUNTIF('Elève (6ème2)'!SL16:SN16,"A"))*4)+((COUNTIF('Elève (6ème2)'!SL16:SN16,"B"))*3)+((COUNTIF('Elève (6ème2)'!SL16:SN16,"C"))*2)+((COUNTIF('Elève (6ème2)'!SL16:SN16,"D"))*1))/(COUNTA(SL16:SN16)),"")</f>
        <v/>
      </c>
      <c r="SP16" s="111" t="str">
        <f t="shared" si="118"/>
        <v/>
      </c>
      <c r="SQ16" s="179" t="str">
        <f>IF(COUNT(SE16,SJ16,SO16)=0,"",SUM(SE16,SJ16,SO16)/COUNT(SE16,SJ16,SO16))</f>
        <v/>
      </c>
      <c r="SR16" s="132" t="str">
        <f t="shared" si="119"/>
        <v/>
      </c>
    </row>
    <row r="17" spans="1:512" s="72" customFormat="1" ht="18" customHeight="1" thickBot="1" x14ac:dyDescent="0.3">
      <c r="A17" s="244" t="s">
        <v>20</v>
      </c>
      <c r="B17" s="245"/>
      <c r="C17" s="159"/>
      <c r="D17" s="160"/>
      <c r="E17" s="161"/>
      <c r="F17" s="136" t="str">
        <f>IFERROR((((COUNTIF('Elève (6ème2)'!C17:E17,"A"))*4)+((COUNTIF('Elève (6ème2)'!C17:E17,"B"))*3)+((COUNTIF('Elève (6ème2)'!C17:E17,"C"))*2)+((COUNTIF('Elève (6ème2)'!C17:E17,"D"))*1))/(COUNTA(C17:E17)),"")</f>
        <v/>
      </c>
      <c r="G17" s="137" t="str">
        <f t="shared" si="0"/>
        <v/>
      </c>
      <c r="H17" s="84"/>
      <c r="I17" s="85"/>
      <c r="J17" s="86"/>
      <c r="K17" s="136" t="str">
        <f>IFERROR((((COUNTIF('Elève (6ème2)'!H17:J17,"A"))*4)+((COUNTIF('Elève (6ème2)'!H17:J17,"B"))*3)+((COUNTIF('Elève (6ème2)'!H17:J17,"C"))*2)+((COUNTIF('Elève (6ème2)'!H17:J17,"D"))*1))/(COUNTA(H17:J17)),"")</f>
        <v/>
      </c>
      <c r="L17" s="137" t="str">
        <f t="shared" si="1"/>
        <v/>
      </c>
      <c r="M17" s="84"/>
      <c r="N17" s="85"/>
      <c r="O17" s="86"/>
      <c r="P17" s="136" t="str">
        <f>IFERROR((((COUNTIF('Elève (6ème2)'!M17:O17,"A"))*4)+((COUNTIF('Elève (6ème2)'!M17:O17,"B"))*3)+((COUNTIF('Elève (6ème2)'!M17:O17,"C"))*2)+((COUNTIF('Elève (6ème2)'!M17:O17,"D"))*1))/(COUNTA(M17:O17)),"")</f>
        <v/>
      </c>
      <c r="Q17" s="137" t="str">
        <f t="shared" si="2"/>
        <v/>
      </c>
      <c r="R17" s="180" t="str">
        <f>IF(COUNT(F17,K17,P17)=0,"",SUM(F17,K17,P17)/COUNT(F17,K17,P17))</f>
        <v/>
      </c>
      <c r="S17" s="133" t="str">
        <f t="shared" si="3"/>
        <v/>
      </c>
      <c r="T17" s="159"/>
      <c r="U17" s="160"/>
      <c r="V17" s="161"/>
      <c r="W17" s="136" t="str">
        <f>IFERROR((((COUNTIF('Elève (6ème2)'!T17:V17,"A"))*4)+((COUNTIF('Elève (6ème2)'!T17:V17,"B"))*3)+((COUNTIF('Elève (6ème2)'!T17:V17,"C"))*2)+((COUNTIF('Elève (6ème2)'!T17:V17,"D"))*1))/(COUNTA(T17:V17)),"")</f>
        <v/>
      </c>
      <c r="X17" s="137" t="str">
        <f t="shared" si="4"/>
        <v/>
      </c>
      <c r="Y17" s="84"/>
      <c r="Z17" s="85"/>
      <c r="AA17" s="86"/>
      <c r="AB17" s="136" t="str">
        <f>IFERROR((((COUNTIF('Elève (6ème2)'!Y17:AA17,"A"))*4)+((COUNTIF('Elève (6ème2)'!Y17:AA17,"B"))*3)+((COUNTIF('Elève (6ème2)'!Y17:AA17,"C"))*2)+((COUNTIF('Elève (6ème2)'!Y17:AA17,"D"))*1))/(COUNTA(Y17:AA17)),"")</f>
        <v/>
      </c>
      <c r="AC17" s="137" t="str">
        <f t="shared" si="5"/>
        <v/>
      </c>
      <c r="AD17" s="84"/>
      <c r="AE17" s="85"/>
      <c r="AF17" s="86"/>
      <c r="AG17" s="136" t="str">
        <f>IFERROR((((COUNTIF('Elève (6ème2)'!AD17:AF17,"A"))*4)+((COUNTIF('Elève (6ème2)'!AD17:AF17,"B"))*3)+((COUNTIF('Elève (6ème2)'!AD17:AF17,"C"))*2)+((COUNTIF('Elève (6ème2)'!AD17:AF17,"D"))*1))/(COUNTA(AD17:AF17)),"")</f>
        <v/>
      </c>
      <c r="AH17" s="137" t="str">
        <f t="shared" si="6"/>
        <v/>
      </c>
      <c r="AI17" s="180" t="str">
        <f>IF(COUNT(W17,AB17,AG17)=0,"",SUM(W17,AB17,AG17)/COUNT(W17,AB17,AG17))</f>
        <v/>
      </c>
      <c r="AJ17" s="133" t="str">
        <f t="shared" si="7"/>
        <v/>
      </c>
      <c r="AK17" s="159"/>
      <c r="AL17" s="160"/>
      <c r="AM17" s="161"/>
      <c r="AN17" s="136" t="str">
        <f>IFERROR((((COUNTIF('Elève (6ème2)'!AK17:AM17,"A"))*4)+((COUNTIF('Elève (6ème2)'!AK17:AM17,"B"))*3)+((COUNTIF('Elève (6ème2)'!AK17:AM17,"C"))*2)+((COUNTIF('Elève (6ème2)'!AK17:AM17,"D"))*1))/(COUNTA(AK17:AM17)),"")</f>
        <v/>
      </c>
      <c r="AO17" s="137" t="str">
        <f t="shared" si="8"/>
        <v/>
      </c>
      <c r="AP17" s="84"/>
      <c r="AQ17" s="85"/>
      <c r="AR17" s="86"/>
      <c r="AS17" s="136" t="str">
        <f>IFERROR((((COUNTIF('Elève (6ème2)'!AP17:AR17,"A"))*4)+((COUNTIF('Elève (6ème2)'!AP17:AR17,"B"))*3)+((COUNTIF('Elève (6ème2)'!AP17:AR17,"C"))*2)+((COUNTIF('Elève (6ème2)'!AP17:AR17,"D"))*1))/(COUNTA(AP17:AR17)),"")</f>
        <v/>
      </c>
      <c r="AT17" s="137" t="str">
        <f t="shared" si="9"/>
        <v/>
      </c>
      <c r="AU17" s="84"/>
      <c r="AV17" s="85"/>
      <c r="AW17" s="86"/>
      <c r="AX17" s="136" t="str">
        <f>IFERROR((((COUNTIF('Elève (6ème2)'!AU17:AW17,"A"))*4)+((COUNTIF('Elève (6ème2)'!AU17:AW17,"B"))*3)+((COUNTIF('Elève (6ème2)'!AU17:AW17,"C"))*2)+((COUNTIF('Elève (6ème2)'!AU17:AW17,"D"))*1))/(COUNTA(AU17:AW17)),"")</f>
        <v/>
      </c>
      <c r="AY17" s="137" t="str">
        <f t="shared" si="10"/>
        <v/>
      </c>
      <c r="AZ17" s="180" t="str">
        <f>IF(COUNT(AN17,AS17,AX17)=0,"",SUM(AN17,AS17,AX17)/COUNT(AN17,AS17,AX17))</f>
        <v/>
      </c>
      <c r="BA17" s="133" t="str">
        <f t="shared" si="11"/>
        <v/>
      </c>
      <c r="BB17" s="159"/>
      <c r="BC17" s="160"/>
      <c r="BD17" s="161"/>
      <c r="BE17" s="136" t="str">
        <f>IFERROR((((COUNTIF('Elève (6ème2)'!BB17:BD17,"A"))*4)+((COUNTIF('Elève (6ème2)'!BB17:BD17,"B"))*3)+((COUNTIF('Elève (6ème2)'!BB17:BD17,"C"))*2)+((COUNTIF('Elève (6ème2)'!BB17:BD17,"D"))*1))/(COUNTA(BB17:BD17)),"")</f>
        <v/>
      </c>
      <c r="BF17" s="137" t="str">
        <f t="shared" si="12"/>
        <v/>
      </c>
      <c r="BG17" s="84"/>
      <c r="BH17" s="85"/>
      <c r="BI17" s="86"/>
      <c r="BJ17" s="136" t="str">
        <f>IFERROR((((COUNTIF('Elève (6ème2)'!BG17:BI17,"A"))*4)+((COUNTIF('Elève (6ème2)'!BG17:BI17,"B"))*3)+((COUNTIF('Elève (6ème2)'!BG17:BI17,"C"))*2)+((COUNTIF('Elève (6ème2)'!BG17:BI17,"D"))*1))/(COUNTA(BG17:BI17)),"")</f>
        <v/>
      </c>
      <c r="BK17" s="137" t="str">
        <f t="shared" si="13"/>
        <v/>
      </c>
      <c r="BL17" s="84"/>
      <c r="BM17" s="85"/>
      <c r="BN17" s="86"/>
      <c r="BO17" s="136" t="str">
        <f>IFERROR((((COUNTIF('Elève (6ème2)'!BL17:BN17,"A"))*4)+((COUNTIF('Elève (6ème2)'!BL17:BN17,"B"))*3)+((COUNTIF('Elève (6ème2)'!BL17:BN17,"C"))*2)+((COUNTIF('Elève (6ème2)'!BL17:BN17,"D"))*1))/(COUNTA(BL17:BN17)),"")</f>
        <v/>
      </c>
      <c r="BP17" s="137" t="str">
        <f t="shared" si="14"/>
        <v/>
      </c>
      <c r="BQ17" s="180" t="str">
        <f>IF(COUNT(BE17,BJ17,BO17)=0,"",SUM(BE17,BJ17,BO17)/COUNT(BE17,BJ17,BO17))</f>
        <v/>
      </c>
      <c r="BR17" s="133" t="str">
        <f t="shared" si="15"/>
        <v/>
      </c>
      <c r="BS17" s="159"/>
      <c r="BT17" s="160"/>
      <c r="BU17" s="161"/>
      <c r="BV17" s="136" t="str">
        <f>IFERROR((((COUNTIF('Elève (6ème2)'!BS17:BU17,"A"))*4)+((COUNTIF('Elève (6ème2)'!BS17:BU17,"B"))*3)+((COUNTIF('Elève (6ème2)'!BS17:BU17,"C"))*2)+((COUNTIF('Elève (6ème2)'!BS17:BU17,"D"))*1))/(COUNTA(BS17:BU17)),"")</f>
        <v/>
      </c>
      <c r="BW17" s="137" t="str">
        <f t="shared" si="16"/>
        <v/>
      </c>
      <c r="BX17" s="84"/>
      <c r="BY17" s="85"/>
      <c r="BZ17" s="86"/>
      <c r="CA17" s="136" t="str">
        <f>IFERROR((((COUNTIF('Elève (6ème2)'!BX17:BZ17,"A"))*4)+((COUNTIF('Elève (6ème2)'!BX17:BZ17,"B"))*3)+((COUNTIF('Elève (6ème2)'!BX17:BZ17,"C"))*2)+((COUNTIF('Elève (6ème2)'!BX17:BZ17,"D"))*1))/(COUNTA(BX17:BZ17)),"")</f>
        <v/>
      </c>
      <c r="CB17" s="137" t="str">
        <f t="shared" si="17"/>
        <v/>
      </c>
      <c r="CC17" s="84"/>
      <c r="CD17" s="85"/>
      <c r="CE17" s="86"/>
      <c r="CF17" s="136" t="str">
        <f>IFERROR((((COUNTIF('Elève (6ème2)'!CC17:CE17,"A"))*4)+((COUNTIF('Elève (6ème2)'!CC17:CE17,"B"))*3)+((COUNTIF('Elève (6ème2)'!CC17:CE17,"C"))*2)+((COUNTIF('Elève (6ème2)'!CC17:CE17,"D"))*1))/(COUNTA(CC17:CE17)),"")</f>
        <v/>
      </c>
      <c r="CG17" s="137" t="str">
        <f t="shared" si="18"/>
        <v/>
      </c>
      <c r="CH17" s="180" t="str">
        <f>IF(COUNT(BV17,CA17,CF17)=0,"",SUM(BV17,CA17,CF17)/COUNT(BV17,CA17,CF17))</f>
        <v/>
      </c>
      <c r="CI17" s="133" t="str">
        <f t="shared" si="19"/>
        <v/>
      </c>
      <c r="CJ17" s="159"/>
      <c r="CK17" s="160"/>
      <c r="CL17" s="161"/>
      <c r="CM17" s="136" t="str">
        <f>IFERROR((((COUNTIF('Elève (6ème2)'!CJ17:CL17,"A"))*4)+((COUNTIF('Elève (6ème2)'!CJ17:CL17,"B"))*3)+((COUNTIF('Elève (6ème2)'!CJ17:CL17,"C"))*2)+((COUNTIF('Elève (6ème2)'!CJ17:CL17,"D"))*1))/(COUNTA(CJ17:CL17)),"")</f>
        <v/>
      </c>
      <c r="CN17" s="137" t="str">
        <f t="shared" si="20"/>
        <v/>
      </c>
      <c r="CO17" s="84"/>
      <c r="CP17" s="85"/>
      <c r="CQ17" s="86"/>
      <c r="CR17" s="136" t="str">
        <f>IFERROR((((COUNTIF('Elève (6ème2)'!CO17:CQ17,"A"))*4)+((COUNTIF('Elève (6ème2)'!CO17:CQ17,"B"))*3)+((COUNTIF('Elève (6ème2)'!CO17:CQ17,"C"))*2)+((COUNTIF('Elève (6ème2)'!CO17:CQ17,"D"))*1))/(COUNTA(CO17:CQ17)),"")</f>
        <v/>
      </c>
      <c r="CS17" s="137" t="str">
        <f t="shared" si="21"/>
        <v/>
      </c>
      <c r="CT17" s="84"/>
      <c r="CU17" s="85"/>
      <c r="CV17" s="86"/>
      <c r="CW17" s="136" t="str">
        <f>IFERROR((((COUNTIF('Elève (6ème2)'!CT17:CV17,"A"))*4)+((COUNTIF('Elève (6ème2)'!CT17:CV17,"B"))*3)+((COUNTIF('Elève (6ème2)'!CT17:CV17,"C"))*2)+((COUNTIF('Elève (6ème2)'!CT17:CV17,"D"))*1))/(COUNTA(CT17:CV17)),"")</f>
        <v/>
      </c>
      <c r="CX17" s="137" t="str">
        <f t="shared" si="22"/>
        <v/>
      </c>
      <c r="CY17" s="180" t="str">
        <f>IF(COUNT(CM17,CR17,CW17)=0,"",SUM(CM17,CR17,CW17)/COUNT(CM17,CR17,CW17))</f>
        <v/>
      </c>
      <c r="CZ17" s="133" t="str">
        <f t="shared" si="23"/>
        <v/>
      </c>
      <c r="DA17" s="159"/>
      <c r="DB17" s="160"/>
      <c r="DC17" s="161"/>
      <c r="DD17" s="136" t="str">
        <f>IFERROR((((COUNTIF('Elève (6ème2)'!DA17:DC17,"A"))*4)+((COUNTIF('Elève (6ème2)'!DA17:DC17,"B"))*3)+((COUNTIF('Elève (6ème2)'!DA17:DC17,"C"))*2)+((COUNTIF('Elève (6ème2)'!DA17:DC17,"D"))*1))/(COUNTA(DA17:DC17)),"")</f>
        <v/>
      </c>
      <c r="DE17" s="137" t="str">
        <f t="shared" si="24"/>
        <v/>
      </c>
      <c r="DF17" s="84"/>
      <c r="DG17" s="85"/>
      <c r="DH17" s="86"/>
      <c r="DI17" s="136" t="str">
        <f>IFERROR((((COUNTIF('Elève (6ème2)'!DF17:DH17,"A"))*4)+((COUNTIF('Elève (6ème2)'!DF17:DH17,"B"))*3)+((COUNTIF('Elève (6ème2)'!DF17:DH17,"C"))*2)+((COUNTIF('Elève (6ème2)'!DF17:DH17,"D"))*1))/(COUNTA(DF17:DH17)),"")</f>
        <v/>
      </c>
      <c r="DJ17" s="137" t="str">
        <f t="shared" si="25"/>
        <v/>
      </c>
      <c r="DK17" s="84"/>
      <c r="DL17" s="85"/>
      <c r="DM17" s="86"/>
      <c r="DN17" s="136" t="str">
        <f>IFERROR((((COUNTIF('Elève (6ème2)'!DK17:DM17,"A"))*4)+((COUNTIF('Elève (6ème2)'!DK17:DM17,"B"))*3)+((COUNTIF('Elève (6ème2)'!DK17:DM17,"C"))*2)+((COUNTIF('Elève (6ème2)'!DK17:DM17,"D"))*1))/(COUNTA(DK17:DM17)),"")</f>
        <v/>
      </c>
      <c r="DO17" s="137" t="str">
        <f t="shared" si="26"/>
        <v/>
      </c>
      <c r="DP17" s="180" t="str">
        <f>IF(COUNT(DD17,DI17,DN17)=0,"",SUM(DD17,DI17,DN17)/COUNT(DD17,DI17,DN17))</f>
        <v/>
      </c>
      <c r="DQ17" s="133" t="str">
        <f t="shared" si="27"/>
        <v/>
      </c>
      <c r="DR17" s="159"/>
      <c r="DS17" s="160"/>
      <c r="DT17" s="161"/>
      <c r="DU17" s="136" t="str">
        <f>IFERROR((((COUNTIF('Elève (6ème2)'!DR17:DT17,"A"))*4)+((COUNTIF('Elève (6ème2)'!DR17:DT17,"B"))*3)+((COUNTIF('Elève (6ème2)'!DR17:DT17,"C"))*2)+((COUNTIF('Elève (6ème2)'!DR17:DT17,"D"))*1))/(COUNTA(DR17:DT17)),"")</f>
        <v/>
      </c>
      <c r="DV17" s="137" t="str">
        <f t="shared" si="28"/>
        <v/>
      </c>
      <c r="DW17" s="84"/>
      <c r="DX17" s="85"/>
      <c r="DY17" s="86"/>
      <c r="DZ17" s="136" t="str">
        <f>IFERROR((((COUNTIF('Elève (6ème2)'!DW17:DY17,"A"))*4)+((COUNTIF('Elève (6ème2)'!DW17:DY17,"B"))*3)+((COUNTIF('Elève (6ème2)'!DW17:DY17,"C"))*2)+((COUNTIF('Elève (6ème2)'!DW17:DY17,"D"))*1))/(COUNTA(DW17:DY17)),"")</f>
        <v/>
      </c>
      <c r="EA17" s="137" t="str">
        <f t="shared" si="29"/>
        <v/>
      </c>
      <c r="EB17" s="84"/>
      <c r="EC17" s="85"/>
      <c r="ED17" s="86"/>
      <c r="EE17" s="136" t="str">
        <f>IFERROR((((COUNTIF('Elève (6ème2)'!EB17:ED17,"A"))*4)+((COUNTIF('Elève (6ème2)'!EB17:ED17,"B"))*3)+((COUNTIF('Elève (6ème2)'!EB17:ED17,"C"))*2)+((COUNTIF('Elève (6ème2)'!EB17:ED17,"D"))*1))/(COUNTA(EB17:ED17)),"")</f>
        <v/>
      </c>
      <c r="EF17" s="137" t="str">
        <f t="shared" si="30"/>
        <v/>
      </c>
      <c r="EG17" s="180" t="str">
        <f>IF(COUNT(DU17,DZ17,EE17)=0,"",SUM(DU17,DZ17,EE17)/COUNT(DU17,DZ17,EE17))</f>
        <v/>
      </c>
      <c r="EH17" s="133" t="str">
        <f t="shared" si="31"/>
        <v/>
      </c>
      <c r="EI17" s="159"/>
      <c r="EJ17" s="160"/>
      <c r="EK17" s="161"/>
      <c r="EL17" s="136" t="str">
        <f>IFERROR((((COUNTIF('Elève (6ème2)'!EI17:EK17,"A"))*4)+((COUNTIF('Elève (6ème2)'!EI17:EK17,"B"))*3)+((COUNTIF('Elève (6ème2)'!EI17:EK17,"C"))*2)+((COUNTIF('Elève (6ème2)'!EI17:EK17,"D"))*1))/(COUNTA(EI17:EK17)),"")</f>
        <v/>
      </c>
      <c r="EM17" s="137" t="str">
        <f t="shared" si="32"/>
        <v/>
      </c>
      <c r="EN17" s="84"/>
      <c r="EO17" s="85"/>
      <c r="EP17" s="86"/>
      <c r="EQ17" s="136" t="str">
        <f>IFERROR((((COUNTIF('Elève (6ème2)'!EN17:EP17,"A"))*4)+((COUNTIF('Elève (6ème2)'!EN17:EP17,"B"))*3)+((COUNTIF('Elève (6ème2)'!EN17:EP17,"C"))*2)+((COUNTIF('Elève (6ème2)'!EN17:EP17,"D"))*1))/(COUNTA(EN17:EP17)),"")</f>
        <v/>
      </c>
      <c r="ER17" s="137" t="str">
        <f t="shared" si="33"/>
        <v/>
      </c>
      <c r="ES17" s="84"/>
      <c r="ET17" s="85"/>
      <c r="EU17" s="86"/>
      <c r="EV17" s="136" t="str">
        <f>IFERROR((((COUNTIF('Elève (6ème2)'!ES17:EU17,"A"))*4)+((COUNTIF('Elève (6ème2)'!ES17:EU17,"B"))*3)+((COUNTIF('Elève (6ème2)'!ES17:EU17,"C"))*2)+((COUNTIF('Elève (6ème2)'!ES17:EU17,"D"))*1))/(COUNTA(ES17:EU17)),"")</f>
        <v/>
      </c>
      <c r="EW17" s="137" t="str">
        <f t="shared" si="34"/>
        <v/>
      </c>
      <c r="EX17" s="180" t="str">
        <f>IF(COUNT(EL17,EQ17,EV17)=0,"",SUM(EL17,EQ17,EV17)/COUNT(EL17,EQ17,EV17))</f>
        <v/>
      </c>
      <c r="EY17" s="133" t="str">
        <f t="shared" si="35"/>
        <v/>
      </c>
      <c r="EZ17" s="159"/>
      <c r="FA17" s="160"/>
      <c r="FB17" s="161"/>
      <c r="FC17" s="136" t="str">
        <f>IFERROR((((COUNTIF('Elève (6ème2)'!EZ17:FB17,"A"))*4)+((COUNTIF('Elève (6ème2)'!EZ17:FB17,"B"))*3)+((COUNTIF('Elève (6ème2)'!EZ17:FB17,"C"))*2)+((COUNTIF('Elève (6ème2)'!EZ17:FB17,"D"))*1))/(COUNTA(EZ17:FB17)),"")</f>
        <v/>
      </c>
      <c r="FD17" s="137" t="str">
        <f t="shared" si="36"/>
        <v/>
      </c>
      <c r="FE17" s="84"/>
      <c r="FF17" s="85"/>
      <c r="FG17" s="86"/>
      <c r="FH17" s="136" t="str">
        <f>IFERROR((((COUNTIF('Elève (6ème2)'!FE17:FG17,"A"))*4)+((COUNTIF('Elève (6ème2)'!FE17:FG17,"B"))*3)+((COUNTIF('Elève (6ème2)'!FE17:FG17,"C"))*2)+((COUNTIF('Elève (6ème2)'!FE17:FG17,"D"))*1))/(COUNTA(FE17:FG17)),"")</f>
        <v/>
      </c>
      <c r="FI17" s="137" t="str">
        <f t="shared" si="37"/>
        <v/>
      </c>
      <c r="FJ17" s="84"/>
      <c r="FK17" s="85"/>
      <c r="FL17" s="86"/>
      <c r="FM17" s="136" t="str">
        <f>IFERROR((((COUNTIF('Elève (6ème2)'!FJ17:FL17,"A"))*4)+((COUNTIF('Elève (6ème2)'!FJ17:FL17,"B"))*3)+((COUNTIF('Elève (6ème2)'!FJ17:FL17,"C"))*2)+((COUNTIF('Elève (6ème2)'!FJ17:FL17,"D"))*1))/(COUNTA(FJ17:FL17)),"")</f>
        <v/>
      </c>
      <c r="FN17" s="137" t="str">
        <f t="shared" si="38"/>
        <v/>
      </c>
      <c r="FO17" s="180" t="str">
        <f>IF(COUNT(FC17,FH17,FM17)=0,"",SUM(FC17,FH17,FM17)/COUNT(FC17,FH17,FM17))</f>
        <v/>
      </c>
      <c r="FP17" s="133" t="str">
        <f t="shared" si="39"/>
        <v/>
      </c>
      <c r="FQ17" s="159"/>
      <c r="FR17" s="160"/>
      <c r="FS17" s="161"/>
      <c r="FT17" s="136" t="str">
        <f>IFERROR((((COUNTIF('Elève (6ème2)'!FQ17:FS17,"A"))*4)+((COUNTIF('Elève (6ème2)'!FQ17:FS17,"B"))*3)+((COUNTIF('Elève (6ème2)'!FQ17:FS17,"C"))*2)+((COUNTIF('Elève (6ème2)'!FQ17:FS17,"D"))*1))/(COUNTA(FQ17:FS17)),"")</f>
        <v/>
      </c>
      <c r="FU17" s="137" t="str">
        <f t="shared" si="40"/>
        <v/>
      </c>
      <c r="FV17" s="84"/>
      <c r="FW17" s="85"/>
      <c r="FX17" s="86"/>
      <c r="FY17" s="136" t="str">
        <f>IFERROR((((COUNTIF('Elève (6ème2)'!FV17:FX17,"A"))*4)+((COUNTIF('Elève (6ème2)'!FV17:FX17,"B"))*3)+((COUNTIF('Elève (6ème2)'!FV17:FX17,"C"))*2)+((COUNTIF('Elève (6ème2)'!FV17:FX17,"D"))*1))/(COUNTA(FV17:FX17)),"")</f>
        <v/>
      </c>
      <c r="FZ17" s="137" t="str">
        <f t="shared" si="41"/>
        <v/>
      </c>
      <c r="GA17" s="84"/>
      <c r="GB17" s="85"/>
      <c r="GC17" s="86"/>
      <c r="GD17" s="136" t="str">
        <f>IFERROR((((COUNTIF('Elève (6ème2)'!GA17:GC17,"A"))*4)+((COUNTIF('Elève (6ème2)'!GA17:GC17,"B"))*3)+((COUNTIF('Elève (6ème2)'!GA17:GC17,"C"))*2)+((COUNTIF('Elève (6ème2)'!GA17:GC17,"D"))*1))/(COUNTA(GA17:GC17)),"")</f>
        <v/>
      </c>
      <c r="GE17" s="137" t="str">
        <f t="shared" si="42"/>
        <v/>
      </c>
      <c r="GF17" s="180" t="str">
        <f>IF(COUNT(FT17,FY17,GD17)=0,"",SUM(FT17,FY17,GD17)/COUNT(FT17,FY17,GD17))</f>
        <v/>
      </c>
      <c r="GG17" s="133" t="str">
        <f t="shared" si="43"/>
        <v/>
      </c>
      <c r="GH17" s="159"/>
      <c r="GI17" s="160"/>
      <c r="GJ17" s="161"/>
      <c r="GK17" s="136" t="str">
        <f>IFERROR((((COUNTIF('Elève (6ème2)'!GH17:GJ17,"A"))*4)+((COUNTIF('Elève (6ème2)'!GH17:GJ17,"B"))*3)+((COUNTIF('Elève (6ème2)'!GH17:GJ17,"C"))*2)+((COUNTIF('Elève (6ème2)'!GH17:GJ17,"D"))*1))/(COUNTA(GH17:GJ17)),"")</f>
        <v/>
      </c>
      <c r="GL17" s="137" t="str">
        <f t="shared" si="44"/>
        <v/>
      </c>
      <c r="GM17" s="84"/>
      <c r="GN17" s="85"/>
      <c r="GO17" s="86"/>
      <c r="GP17" s="136" t="str">
        <f>IFERROR((((COUNTIF('Elève (6ème2)'!GM17:GO17,"A"))*4)+((COUNTIF('Elève (6ème2)'!GM17:GO17,"B"))*3)+((COUNTIF('Elève (6ème2)'!GM17:GO17,"C"))*2)+((COUNTIF('Elève (6ème2)'!GM17:GO17,"D"))*1))/(COUNTA(GM17:GO17)),"")</f>
        <v/>
      </c>
      <c r="GQ17" s="137" t="str">
        <f t="shared" si="45"/>
        <v/>
      </c>
      <c r="GR17" s="84"/>
      <c r="GS17" s="85"/>
      <c r="GT17" s="86"/>
      <c r="GU17" s="136" t="str">
        <f>IFERROR((((COUNTIF('Elève (6ème2)'!GR17:GT17,"A"))*4)+((COUNTIF('Elève (6ème2)'!GR17:GT17,"B"))*3)+((COUNTIF('Elève (6ème2)'!GR17:GT17,"C"))*2)+((COUNTIF('Elève (6ème2)'!GR17:GT17,"D"))*1))/(COUNTA(GR17:GT17)),"")</f>
        <v/>
      </c>
      <c r="GV17" s="137" t="str">
        <f t="shared" si="46"/>
        <v/>
      </c>
      <c r="GW17" s="180" t="str">
        <f>IF(COUNT(GK17,GP17,GU17)=0,"",SUM(GK17,GP17,GU17)/COUNT(GK17,GP17,GU17))</f>
        <v/>
      </c>
      <c r="GX17" s="133" t="str">
        <f t="shared" si="47"/>
        <v/>
      </c>
      <c r="GY17" s="159"/>
      <c r="GZ17" s="160"/>
      <c r="HA17" s="161"/>
      <c r="HB17" s="136" t="str">
        <f>IFERROR((((COUNTIF('Elève (6ème2)'!GY17:HA17,"A"))*4)+((COUNTIF('Elève (6ème2)'!GY17:HA17,"B"))*3)+((COUNTIF('Elève (6ème2)'!GY17:HA17,"C"))*2)+((COUNTIF('Elève (6ème2)'!GY17:HA17,"D"))*1))/(COUNTA(GY17:HA17)),"")</f>
        <v/>
      </c>
      <c r="HC17" s="137" t="str">
        <f t="shared" si="48"/>
        <v/>
      </c>
      <c r="HD17" s="84"/>
      <c r="HE17" s="85"/>
      <c r="HF17" s="86"/>
      <c r="HG17" s="136" t="str">
        <f>IFERROR((((COUNTIF('Elève (6ème2)'!HD17:HF17,"A"))*4)+((COUNTIF('Elève (6ème2)'!HD17:HF17,"B"))*3)+((COUNTIF('Elève (6ème2)'!HD17:HF17,"C"))*2)+((COUNTIF('Elève (6ème2)'!HD17:HF17,"D"))*1))/(COUNTA(HD17:HF17)),"")</f>
        <v/>
      </c>
      <c r="HH17" s="137" t="str">
        <f t="shared" si="49"/>
        <v/>
      </c>
      <c r="HI17" s="84"/>
      <c r="HJ17" s="85"/>
      <c r="HK17" s="86"/>
      <c r="HL17" s="136" t="str">
        <f>IFERROR((((COUNTIF('Elève (6ème2)'!HI17:HK17,"A"))*4)+((COUNTIF('Elève (6ème2)'!HI17:HK17,"B"))*3)+((COUNTIF('Elève (6ème2)'!HI17:HK17,"C"))*2)+((COUNTIF('Elève (6ème2)'!HI17:HK17,"D"))*1))/(COUNTA(HI17:HK17)),"")</f>
        <v/>
      </c>
      <c r="HM17" s="137" t="str">
        <f t="shared" si="50"/>
        <v/>
      </c>
      <c r="HN17" s="180" t="str">
        <f>IF(COUNT(HB17,HG17,HL17)=0,"",SUM(HB17,HG17,HL17)/COUNT(HB17,HG17,HL17))</f>
        <v/>
      </c>
      <c r="HO17" s="133" t="str">
        <f t="shared" si="51"/>
        <v/>
      </c>
      <c r="HP17" s="159"/>
      <c r="HQ17" s="160"/>
      <c r="HR17" s="161"/>
      <c r="HS17" s="136" t="str">
        <f>IFERROR((((COUNTIF('Elève (6ème2)'!HP17:HR17,"A"))*4)+((COUNTIF('Elève (6ème2)'!HP17:HR17,"B"))*3)+((COUNTIF('Elève (6ème2)'!HP17:HR17,"C"))*2)+((COUNTIF('Elève (6ème2)'!HP17:HR17,"D"))*1))/(COUNTA(HP17:HR17)),"")</f>
        <v/>
      </c>
      <c r="HT17" s="137" t="str">
        <f t="shared" si="52"/>
        <v/>
      </c>
      <c r="HU17" s="84"/>
      <c r="HV17" s="85"/>
      <c r="HW17" s="86"/>
      <c r="HX17" s="136" t="str">
        <f>IFERROR((((COUNTIF('Elève (6ème2)'!HU17:HW17,"A"))*4)+((COUNTIF('Elève (6ème2)'!HU17:HW17,"B"))*3)+((COUNTIF('Elève (6ème2)'!HU17:HW17,"C"))*2)+((COUNTIF('Elève (6ème2)'!HU17:HW17,"D"))*1))/(COUNTA(HU17:HW17)),"")</f>
        <v/>
      </c>
      <c r="HY17" s="137" t="str">
        <f t="shared" si="53"/>
        <v/>
      </c>
      <c r="HZ17" s="84"/>
      <c r="IA17" s="85"/>
      <c r="IB17" s="86"/>
      <c r="IC17" s="136" t="str">
        <f>IFERROR((((COUNTIF('Elève (6ème2)'!HZ17:IB17,"A"))*4)+((COUNTIF('Elève (6ème2)'!HZ17:IB17,"B"))*3)+((COUNTIF('Elève (6ème2)'!HZ17:IB17,"C"))*2)+((COUNTIF('Elève (6ème2)'!HZ17:IB17,"D"))*1))/(COUNTA(HZ17:IB17)),"")</f>
        <v/>
      </c>
      <c r="ID17" s="137" t="str">
        <f t="shared" si="54"/>
        <v/>
      </c>
      <c r="IE17" s="180" t="str">
        <f>IF(COUNT(HS17,HX17,IC17)=0,"",SUM(HS17,HX17,IC17)/COUNT(HS17,HX17,IC17))</f>
        <v/>
      </c>
      <c r="IF17" s="133" t="str">
        <f t="shared" si="55"/>
        <v/>
      </c>
      <c r="IG17" s="159"/>
      <c r="IH17" s="160"/>
      <c r="II17" s="161"/>
      <c r="IJ17" s="136" t="str">
        <f>IFERROR((((COUNTIF('Elève (6ème2)'!IG17:II17,"A"))*4)+((COUNTIF('Elève (6ème2)'!IG17:II17,"B"))*3)+((COUNTIF('Elève (6ème2)'!IG17:II17,"C"))*2)+((COUNTIF('Elève (6ème2)'!IG17:II17,"D"))*1))/(COUNTA(IG17:II17)),"")</f>
        <v/>
      </c>
      <c r="IK17" s="137" t="str">
        <f t="shared" si="56"/>
        <v/>
      </c>
      <c r="IL17" s="84"/>
      <c r="IM17" s="85"/>
      <c r="IN17" s="86"/>
      <c r="IO17" s="136" t="str">
        <f>IFERROR((((COUNTIF('Elève (6ème2)'!IL17:IN17,"A"))*4)+((COUNTIF('Elève (6ème2)'!IL17:IN17,"B"))*3)+((COUNTIF('Elève (6ème2)'!IL17:IN17,"C"))*2)+((COUNTIF('Elève (6ème2)'!IL17:IN17,"D"))*1))/(COUNTA(IL17:IN17)),"")</f>
        <v/>
      </c>
      <c r="IP17" s="137" t="str">
        <f t="shared" si="57"/>
        <v/>
      </c>
      <c r="IQ17" s="84"/>
      <c r="IR17" s="85"/>
      <c r="IS17" s="86"/>
      <c r="IT17" s="136" t="str">
        <f>IFERROR((((COUNTIF('Elève (6ème2)'!IQ17:IS17,"A"))*4)+((COUNTIF('Elève (6ème2)'!IQ17:IS17,"B"))*3)+((COUNTIF('Elève (6ème2)'!IQ17:IS17,"C"))*2)+((COUNTIF('Elève (6ème2)'!IQ17:IS17,"D"))*1))/(COUNTA(IQ17:IS17)),"")</f>
        <v/>
      </c>
      <c r="IU17" s="137" t="str">
        <f t="shared" si="58"/>
        <v/>
      </c>
      <c r="IV17" s="180" t="str">
        <f>IF(COUNT(IJ17,IO17,IT17)=0,"",SUM(IJ17,IO17,IT17)/COUNT(IJ17,IO17,IT17))</f>
        <v/>
      </c>
      <c r="IW17" s="133" t="str">
        <f t="shared" si="59"/>
        <v/>
      </c>
      <c r="IX17" s="159"/>
      <c r="IY17" s="160"/>
      <c r="IZ17" s="161"/>
      <c r="JA17" s="136" t="str">
        <f>IFERROR((((COUNTIF('Elève (6ème2)'!IX17:IZ17,"A"))*4)+((COUNTIF('Elève (6ème2)'!IX17:IZ17,"B"))*3)+((COUNTIF('Elève (6ème2)'!IX17:IZ17,"C"))*2)+((COUNTIF('Elève (6ème2)'!IX17:IZ17,"D"))*1))/(COUNTA(IX17:IZ17)),"")</f>
        <v/>
      </c>
      <c r="JB17" s="137" t="str">
        <f t="shared" si="60"/>
        <v/>
      </c>
      <c r="JC17" s="84"/>
      <c r="JD17" s="85"/>
      <c r="JE17" s="86"/>
      <c r="JF17" s="136" t="str">
        <f>IFERROR((((COUNTIF('Elève (6ème2)'!JC17:JE17,"A"))*4)+((COUNTIF('Elève (6ème2)'!JC17:JE17,"B"))*3)+((COUNTIF('Elève (6ème2)'!JC17:JE17,"C"))*2)+((COUNTIF('Elève (6ème2)'!JC17:JE17,"D"))*1))/(COUNTA(JC17:JE17)),"")</f>
        <v/>
      </c>
      <c r="JG17" s="137" t="str">
        <f t="shared" si="61"/>
        <v/>
      </c>
      <c r="JH17" s="84"/>
      <c r="JI17" s="85"/>
      <c r="JJ17" s="86"/>
      <c r="JK17" s="136" t="str">
        <f>IFERROR((((COUNTIF('Elève (6ème2)'!JH17:JJ17,"A"))*4)+((COUNTIF('Elève (6ème2)'!JH17:JJ17,"B"))*3)+((COUNTIF('Elève (6ème2)'!JH17:JJ17,"C"))*2)+((COUNTIF('Elève (6ème2)'!JH17:JJ17,"D"))*1))/(COUNTA(JH17:JJ17)),"")</f>
        <v/>
      </c>
      <c r="JL17" s="137" t="str">
        <f t="shared" si="62"/>
        <v/>
      </c>
      <c r="JM17" s="180" t="str">
        <f>IF(COUNT(JA17,JF17,JK17)=0,"",SUM(JA17,JF17,JK17)/COUNT(JA17,JF17,JK17))</f>
        <v/>
      </c>
      <c r="JN17" s="133" t="str">
        <f t="shared" si="63"/>
        <v/>
      </c>
      <c r="JO17" s="159"/>
      <c r="JP17" s="160"/>
      <c r="JQ17" s="161"/>
      <c r="JR17" s="136" t="str">
        <f>IFERROR((((COUNTIF('Elève (6ème2)'!JO17:JQ17,"A"))*4)+((COUNTIF('Elève (6ème2)'!JO17:JQ17,"B"))*3)+((COUNTIF('Elève (6ème2)'!JO17:JQ17,"C"))*2)+((COUNTIF('Elève (6ème2)'!JO17:JQ17,"D"))*1))/(COUNTA(JO17:JQ17)),"")</f>
        <v/>
      </c>
      <c r="JS17" s="137" t="str">
        <f t="shared" si="64"/>
        <v/>
      </c>
      <c r="JT17" s="84"/>
      <c r="JU17" s="85"/>
      <c r="JV17" s="86"/>
      <c r="JW17" s="136" t="str">
        <f>IFERROR((((COUNTIF('Elève (6ème2)'!JT17:JV17,"A"))*4)+((COUNTIF('Elève (6ème2)'!JT17:JV17,"B"))*3)+((COUNTIF('Elève (6ème2)'!JT17:JV17,"C"))*2)+((COUNTIF('Elève (6ème2)'!JT17:JV17,"D"))*1))/(COUNTA(JT17:JV17)),"")</f>
        <v/>
      </c>
      <c r="JX17" s="137" t="str">
        <f t="shared" si="65"/>
        <v/>
      </c>
      <c r="JY17" s="84"/>
      <c r="JZ17" s="85"/>
      <c r="KA17" s="86"/>
      <c r="KB17" s="136" t="str">
        <f>IFERROR((((COUNTIF('Elève (6ème2)'!JY17:KA17,"A"))*4)+((COUNTIF('Elève (6ème2)'!JY17:KA17,"B"))*3)+((COUNTIF('Elève (6ème2)'!JY17:KA17,"C"))*2)+((COUNTIF('Elève (6ème2)'!JY17:KA17,"D"))*1))/(COUNTA(JY17:KA17)),"")</f>
        <v/>
      </c>
      <c r="KC17" s="137" t="str">
        <f t="shared" si="66"/>
        <v/>
      </c>
      <c r="KD17" s="180" t="str">
        <f>IF(COUNT(JR17,JW17,KB17)=0,"",SUM(JR17,JW17,KB17)/COUNT(JR17,JW17,KB17))</f>
        <v/>
      </c>
      <c r="KE17" s="133" t="str">
        <f t="shared" si="67"/>
        <v/>
      </c>
      <c r="KF17" s="159"/>
      <c r="KG17" s="160"/>
      <c r="KH17" s="161"/>
      <c r="KI17" s="136" t="str">
        <f>IFERROR((((COUNTIF('Elève (6ème2)'!KF17:KH17,"A"))*4)+((COUNTIF('Elève (6ème2)'!KF17:KH17,"B"))*3)+((COUNTIF('Elève (6ème2)'!KF17:KH17,"C"))*2)+((COUNTIF('Elève (6ème2)'!KF17:KH17,"D"))*1))/(COUNTA(KF17:KH17)),"")</f>
        <v/>
      </c>
      <c r="KJ17" s="137" t="str">
        <f t="shared" si="68"/>
        <v/>
      </c>
      <c r="KK17" s="84"/>
      <c r="KL17" s="85"/>
      <c r="KM17" s="86"/>
      <c r="KN17" s="136" t="str">
        <f>IFERROR((((COUNTIF('Elève (6ème2)'!KK17:KM17,"A"))*4)+((COUNTIF('Elève (6ème2)'!KK17:KM17,"B"))*3)+((COUNTIF('Elève (6ème2)'!KK17:KM17,"C"))*2)+((COUNTIF('Elève (6ème2)'!KK17:KM17,"D"))*1))/(COUNTA(KK17:KM17)),"")</f>
        <v/>
      </c>
      <c r="KO17" s="137" t="str">
        <f t="shared" si="69"/>
        <v/>
      </c>
      <c r="KP17" s="84"/>
      <c r="KQ17" s="85"/>
      <c r="KR17" s="86"/>
      <c r="KS17" s="136" t="str">
        <f>IFERROR((((COUNTIF('Elève (6ème2)'!KP17:KR17,"A"))*4)+((COUNTIF('Elève (6ème2)'!KP17:KR17,"B"))*3)+((COUNTIF('Elève (6ème2)'!KP17:KR17,"C"))*2)+((COUNTIF('Elève (6ème2)'!KP17:KR17,"D"))*1))/(COUNTA(KP17:KR17)),"")</f>
        <v/>
      </c>
      <c r="KT17" s="137" t="str">
        <f t="shared" si="70"/>
        <v/>
      </c>
      <c r="KU17" s="180" t="str">
        <f>IF(COUNT(KI17,KN17,KS17)=0,"",SUM(KI17,KN17,KS17)/COUNT(KI17,KN17,KS17))</f>
        <v/>
      </c>
      <c r="KV17" s="133" t="str">
        <f t="shared" si="71"/>
        <v/>
      </c>
      <c r="KW17" s="159"/>
      <c r="KX17" s="160"/>
      <c r="KY17" s="161"/>
      <c r="KZ17" s="136" t="str">
        <f>IFERROR((((COUNTIF('Elève (6ème2)'!KW17:KY17,"A"))*4)+((COUNTIF('Elève (6ème2)'!KW17:KY17,"B"))*3)+((COUNTIF('Elève (6ème2)'!KW17:KY17,"C"))*2)+((COUNTIF('Elève (6ème2)'!KW17:KY17,"D"))*1))/(COUNTA(KW17:KY17)),"")</f>
        <v/>
      </c>
      <c r="LA17" s="137" t="str">
        <f t="shared" si="72"/>
        <v/>
      </c>
      <c r="LB17" s="84"/>
      <c r="LC17" s="85"/>
      <c r="LD17" s="86"/>
      <c r="LE17" s="136" t="str">
        <f>IFERROR((((COUNTIF('Elève (6ème2)'!LB17:LD17,"A"))*4)+((COUNTIF('Elève (6ème2)'!LB17:LD17,"B"))*3)+((COUNTIF('Elève (6ème2)'!LB17:LD17,"C"))*2)+((COUNTIF('Elève (6ème2)'!LB17:LD17,"D"))*1))/(COUNTA(LB17:LD17)),"")</f>
        <v/>
      </c>
      <c r="LF17" s="137" t="str">
        <f t="shared" si="73"/>
        <v/>
      </c>
      <c r="LG17" s="84"/>
      <c r="LH17" s="85"/>
      <c r="LI17" s="86"/>
      <c r="LJ17" s="136" t="str">
        <f>IFERROR((((COUNTIF('Elève (6ème2)'!LG17:LI17,"A"))*4)+((COUNTIF('Elève (6ème2)'!LG17:LI17,"B"))*3)+((COUNTIF('Elève (6ème2)'!LG17:LI17,"C"))*2)+((COUNTIF('Elève (6ème2)'!LG17:LI17,"D"))*1))/(COUNTA(LG17:LI17)),"")</f>
        <v/>
      </c>
      <c r="LK17" s="137" t="str">
        <f t="shared" si="74"/>
        <v/>
      </c>
      <c r="LL17" s="180" t="str">
        <f>IF(COUNT(KZ17,LE17,LJ17)=0,"",SUM(KZ17,LE17,LJ17)/COUNT(KZ17,LE17,LJ17))</f>
        <v/>
      </c>
      <c r="LM17" s="133" t="str">
        <f t="shared" si="75"/>
        <v/>
      </c>
      <c r="LN17" s="159"/>
      <c r="LO17" s="160"/>
      <c r="LP17" s="161"/>
      <c r="LQ17" s="136" t="str">
        <f>IFERROR((((COUNTIF('Elève (6ème2)'!LN17:LP17,"A"))*4)+((COUNTIF('Elève (6ème2)'!LN17:LP17,"B"))*3)+((COUNTIF('Elève (6ème2)'!LN17:LP17,"C"))*2)+((COUNTIF('Elève (6ème2)'!LN17:LP17,"D"))*1))/(COUNTA(LN17:LP17)),"")</f>
        <v/>
      </c>
      <c r="LR17" s="137" t="str">
        <f t="shared" si="76"/>
        <v/>
      </c>
      <c r="LS17" s="84"/>
      <c r="LT17" s="85"/>
      <c r="LU17" s="86"/>
      <c r="LV17" s="136" t="str">
        <f>IFERROR((((COUNTIF('Elève (6ème2)'!LS17:LU17,"A"))*4)+((COUNTIF('Elève (6ème2)'!LS17:LU17,"B"))*3)+((COUNTIF('Elève (6ème2)'!LS17:LU17,"C"))*2)+((COUNTIF('Elève (6ème2)'!LS17:LU17,"D"))*1))/(COUNTA(LS17:LU17)),"")</f>
        <v/>
      </c>
      <c r="LW17" s="137" t="str">
        <f t="shared" si="77"/>
        <v/>
      </c>
      <c r="LX17" s="84"/>
      <c r="LY17" s="85"/>
      <c r="LZ17" s="86"/>
      <c r="MA17" s="136" t="str">
        <f>IFERROR((((COUNTIF('Elève (6ème2)'!LX17:LZ17,"A"))*4)+((COUNTIF('Elève (6ème2)'!LX17:LZ17,"B"))*3)+((COUNTIF('Elève (6ème2)'!LX17:LZ17,"C"))*2)+((COUNTIF('Elève (6ème2)'!LX17:LZ17,"D"))*1))/(COUNTA(LX17:LZ17)),"")</f>
        <v/>
      </c>
      <c r="MB17" s="137" t="str">
        <f t="shared" si="78"/>
        <v/>
      </c>
      <c r="MC17" s="180" t="str">
        <f>IF(COUNT(LQ17,LV17,MA17)=0,"",SUM(LQ17,LV17,MA17)/COUNT(LQ17,LV17,MA17))</f>
        <v/>
      </c>
      <c r="MD17" s="133" t="str">
        <f t="shared" si="79"/>
        <v/>
      </c>
      <c r="ME17" s="159"/>
      <c r="MF17" s="160"/>
      <c r="MG17" s="161"/>
      <c r="MH17" s="136" t="str">
        <f>IFERROR((((COUNTIF('Elève (6ème2)'!ME17:MG17,"A"))*4)+((COUNTIF('Elève (6ème2)'!ME17:MG17,"B"))*3)+((COUNTIF('Elève (6ème2)'!ME17:MG17,"C"))*2)+((COUNTIF('Elève (6ème2)'!ME17:MG17,"D"))*1))/(COUNTA(ME17:MG17)),"")</f>
        <v/>
      </c>
      <c r="MI17" s="137" t="str">
        <f t="shared" si="80"/>
        <v/>
      </c>
      <c r="MJ17" s="84"/>
      <c r="MK17" s="85"/>
      <c r="ML17" s="86"/>
      <c r="MM17" s="136" t="str">
        <f>IFERROR((((COUNTIF('Elève (6ème2)'!MJ17:ML17,"A"))*4)+((COUNTIF('Elève (6ème2)'!MJ17:ML17,"B"))*3)+((COUNTIF('Elève (6ème2)'!MJ17:ML17,"C"))*2)+((COUNTIF('Elève (6ème2)'!MJ17:ML17,"D"))*1))/(COUNTA(MJ17:ML17)),"")</f>
        <v/>
      </c>
      <c r="MN17" s="137" t="str">
        <f t="shared" si="81"/>
        <v/>
      </c>
      <c r="MO17" s="84"/>
      <c r="MP17" s="85"/>
      <c r="MQ17" s="86"/>
      <c r="MR17" s="136" t="str">
        <f>IFERROR((((COUNTIF('Elève (6ème2)'!MO17:MQ17,"A"))*4)+((COUNTIF('Elève (6ème2)'!MO17:MQ17,"B"))*3)+((COUNTIF('Elève (6ème2)'!MO17:MQ17,"C"))*2)+((COUNTIF('Elève (6ème2)'!MO17:MQ17,"D"))*1))/(COUNTA(MO17:MQ17)),"")</f>
        <v/>
      </c>
      <c r="MS17" s="137" t="str">
        <f t="shared" si="82"/>
        <v/>
      </c>
      <c r="MT17" s="180" t="str">
        <f>IF(COUNT(MH17,MM17,MR17)=0,"",SUM(MH17,MM17,MR17)/COUNT(MH17,MM17,MR17))</f>
        <v/>
      </c>
      <c r="MU17" s="133" t="str">
        <f t="shared" si="83"/>
        <v/>
      </c>
      <c r="MV17" s="159"/>
      <c r="MW17" s="160"/>
      <c r="MX17" s="161"/>
      <c r="MY17" s="136" t="str">
        <f>IFERROR((((COUNTIF('Elève (6ème2)'!MV17:MX17,"A"))*4)+((COUNTIF('Elève (6ème2)'!MV17:MX17,"B"))*3)+((COUNTIF('Elève (6ème2)'!MV17:MX17,"C"))*2)+((COUNTIF('Elève (6ème2)'!MV17:MX17,"D"))*1))/(COUNTA(MV17:MX17)),"")</f>
        <v/>
      </c>
      <c r="MZ17" s="137" t="str">
        <f t="shared" si="84"/>
        <v/>
      </c>
      <c r="NA17" s="84"/>
      <c r="NB17" s="85"/>
      <c r="NC17" s="86"/>
      <c r="ND17" s="136" t="str">
        <f>IFERROR((((COUNTIF('Elève (6ème2)'!NA17:NC17,"A"))*4)+((COUNTIF('Elève (6ème2)'!NA17:NC17,"B"))*3)+((COUNTIF('Elève (6ème2)'!NA17:NC17,"C"))*2)+((COUNTIF('Elève (6ème2)'!NA17:NC17,"D"))*1))/(COUNTA(NA17:NC17)),"")</f>
        <v/>
      </c>
      <c r="NE17" s="137" t="str">
        <f t="shared" si="85"/>
        <v/>
      </c>
      <c r="NF17" s="84"/>
      <c r="NG17" s="85"/>
      <c r="NH17" s="86"/>
      <c r="NI17" s="136" t="str">
        <f>IFERROR((((COUNTIF('Elève (6ème2)'!NF17:NH17,"A"))*4)+((COUNTIF('Elève (6ème2)'!NF17:NH17,"B"))*3)+((COUNTIF('Elève (6ème2)'!NF17:NH17,"C"))*2)+((COUNTIF('Elève (6ème2)'!NF17:NH17,"D"))*1))/(COUNTA(NF17:NH17)),"")</f>
        <v/>
      </c>
      <c r="NJ17" s="137" t="str">
        <f t="shared" si="86"/>
        <v/>
      </c>
      <c r="NK17" s="180" t="str">
        <f>IF(COUNT(MY17,ND17,NI17)=0,"",SUM(MY17,ND17,NI17)/COUNT(MY17,ND17,NI17))</f>
        <v/>
      </c>
      <c r="NL17" s="133" t="str">
        <f t="shared" si="87"/>
        <v/>
      </c>
      <c r="NM17" s="159"/>
      <c r="NN17" s="160"/>
      <c r="NO17" s="161"/>
      <c r="NP17" s="136" t="str">
        <f>IFERROR((((COUNTIF('Elève (6ème2)'!NM17:NO17,"A"))*4)+((COUNTIF('Elève (6ème2)'!NM17:NO17,"B"))*3)+((COUNTIF('Elève (6ème2)'!NM17:NO17,"C"))*2)+((COUNTIF('Elève (6ème2)'!NM17:NO17,"D"))*1))/(COUNTA(NM17:NO17)),"")</f>
        <v/>
      </c>
      <c r="NQ17" s="137" t="str">
        <f t="shared" si="88"/>
        <v/>
      </c>
      <c r="NR17" s="84"/>
      <c r="NS17" s="85"/>
      <c r="NT17" s="86"/>
      <c r="NU17" s="136" t="str">
        <f>IFERROR((((COUNTIF('Elève (6ème2)'!NR17:NT17,"A"))*4)+((COUNTIF('Elève (6ème2)'!NR17:NT17,"B"))*3)+((COUNTIF('Elève (6ème2)'!NR17:NT17,"C"))*2)+((COUNTIF('Elève (6ème2)'!NR17:NT17,"D"))*1))/(COUNTA(NR17:NT17)),"")</f>
        <v/>
      </c>
      <c r="NV17" s="137" t="str">
        <f t="shared" si="89"/>
        <v/>
      </c>
      <c r="NW17" s="84"/>
      <c r="NX17" s="85"/>
      <c r="NY17" s="86"/>
      <c r="NZ17" s="136" t="str">
        <f>IFERROR((((COUNTIF('Elève (6ème2)'!NW17:NY17,"A"))*4)+((COUNTIF('Elève (6ème2)'!NW17:NY17,"B"))*3)+((COUNTIF('Elève (6ème2)'!NW17:NY17,"C"))*2)+((COUNTIF('Elève (6ème2)'!NW17:NY17,"D"))*1))/(COUNTA(NW17:NY17)),"")</f>
        <v/>
      </c>
      <c r="OA17" s="137" t="str">
        <f t="shared" si="90"/>
        <v/>
      </c>
      <c r="OB17" s="180" t="str">
        <f>IF(COUNT(NP17,NU17,NZ17)=0,"",SUM(NP17,NU17,NZ17)/COUNT(NP17,NU17,NZ17))</f>
        <v/>
      </c>
      <c r="OC17" s="133" t="str">
        <f t="shared" si="91"/>
        <v/>
      </c>
      <c r="OD17" s="159"/>
      <c r="OE17" s="160"/>
      <c r="OF17" s="161"/>
      <c r="OG17" s="136" t="str">
        <f>IFERROR((((COUNTIF('Elève (6ème2)'!OD17:OF17,"A"))*4)+((COUNTIF('Elève (6ème2)'!OD17:OF17,"B"))*3)+((COUNTIF('Elève (6ème2)'!OD17:OF17,"C"))*2)+((COUNTIF('Elève (6ème2)'!OD17:OF17,"D"))*1))/(COUNTA(OD17:OF17)),"")</f>
        <v/>
      </c>
      <c r="OH17" s="137" t="str">
        <f t="shared" si="92"/>
        <v/>
      </c>
      <c r="OI17" s="84"/>
      <c r="OJ17" s="85"/>
      <c r="OK17" s="86"/>
      <c r="OL17" s="136" t="str">
        <f>IFERROR((((COUNTIF('Elève (6ème2)'!OI17:OK17,"A"))*4)+((COUNTIF('Elève (6ème2)'!OI17:OK17,"B"))*3)+((COUNTIF('Elève (6ème2)'!OI17:OK17,"C"))*2)+((COUNTIF('Elève (6ème2)'!OI17:OK17,"D"))*1))/(COUNTA(OI17:OK17)),"")</f>
        <v/>
      </c>
      <c r="OM17" s="137" t="str">
        <f t="shared" si="93"/>
        <v/>
      </c>
      <c r="ON17" s="84"/>
      <c r="OO17" s="85"/>
      <c r="OP17" s="86"/>
      <c r="OQ17" s="136" t="str">
        <f>IFERROR((((COUNTIF('Elève (6ème2)'!ON17:OP17,"A"))*4)+((COUNTIF('Elève (6ème2)'!ON17:OP17,"B"))*3)+((COUNTIF('Elève (6ème2)'!ON17:OP17,"C"))*2)+((COUNTIF('Elève (6ème2)'!ON17:OP17,"D"))*1))/(COUNTA(ON17:OP17)),"")</f>
        <v/>
      </c>
      <c r="OR17" s="137" t="str">
        <f t="shared" si="94"/>
        <v/>
      </c>
      <c r="OS17" s="180" t="str">
        <f>IF(COUNT(OG17,OL17,OQ17)=0,"",SUM(OG17,OL17,OQ17)/COUNT(OG17,OL17,OQ17))</f>
        <v/>
      </c>
      <c r="OT17" s="133" t="str">
        <f t="shared" si="95"/>
        <v/>
      </c>
      <c r="OU17" s="159"/>
      <c r="OV17" s="160"/>
      <c r="OW17" s="161"/>
      <c r="OX17" s="136" t="str">
        <f>IFERROR((((COUNTIF('Elève (6ème2)'!OU17:OW17,"A"))*4)+((COUNTIF('Elève (6ème2)'!OU17:OW17,"B"))*3)+((COUNTIF('Elève (6ème2)'!OU17:OW17,"C"))*2)+((COUNTIF('Elève (6ème2)'!OU17:OW17,"D"))*1))/(COUNTA(OU17:OW17)),"")</f>
        <v/>
      </c>
      <c r="OY17" s="137" t="str">
        <f t="shared" si="96"/>
        <v/>
      </c>
      <c r="OZ17" s="84"/>
      <c r="PA17" s="85"/>
      <c r="PB17" s="86"/>
      <c r="PC17" s="136" t="str">
        <f>IFERROR((((COUNTIF('Elève (6ème2)'!OZ17:PB17,"A"))*4)+((COUNTIF('Elève (6ème2)'!OZ17:PB17,"B"))*3)+((COUNTIF('Elève (6ème2)'!OZ17:PB17,"C"))*2)+((COUNTIF('Elève (6ème2)'!OZ17:PB17,"D"))*1))/(COUNTA(OZ17:PB17)),"")</f>
        <v/>
      </c>
      <c r="PD17" s="137" t="str">
        <f t="shared" si="97"/>
        <v/>
      </c>
      <c r="PE17" s="84"/>
      <c r="PF17" s="85"/>
      <c r="PG17" s="86"/>
      <c r="PH17" s="136" t="str">
        <f>IFERROR((((COUNTIF('Elève (6ème2)'!PE17:PG17,"A"))*4)+((COUNTIF('Elève (6ème2)'!PE17:PG17,"B"))*3)+((COUNTIF('Elève (6ème2)'!PE17:PG17,"C"))*2)+((COUNTIF('Elève (6ème2)'!PE17:PG17,"D"))*1))/(COUNTA(PE17:PG17)),"")</f>
        <v/>
      </c>
      <c r="PI17" s="137" t="str">
        <f t="shared" si="98"/>
        <v/>
      </c>
      <c r="PJ17" s="180" t="str">
        <f>IF(COUNT(OX17,PC17,PH17)=0,"",SUM(OX17,PC17,PH17)/COUNT(OX17,PC17,PH17))</f>
        <v/>
      </c>
      <c r="PK17" s="133" t="str">
        <f t="shared" si="99"/>
        <v/>
      </c>
      <c r="PL17" s="159"/>
      <c r="PM17" s="160"/>
      <c r="PN17" s="161"/>
      <c r="PO17" s="136" t="str">
        <f>IFERROR((((COUNTIF('Elève (6ème2)'!PL17:PN17,"A"))*4)+((COUNTIF('Elève (6ème2)'!PL17:PN17,"B"))*3)+((COUNTIF('Elève (6ème2)'!PL17:PN17,"C"))*2)+((COUNTIF('Elève (6ème2)'!PL17:PN17,"D"))*1))/(COUNTA(PL17:PN17)),"")</f>
        <v/>
      </c>
      <c r="PP17" s="137" t="str">
        <f t="shared" si="100"/>
        <v/>
      </c>
      <c r="PQ17" s="84"/>
      <c r="PR17" s="85"/>
      <c r="PS17" s="86"/>
      <c r="PT17" s="136" t="str">
        <f>IFERROR((((COUNTIF('Elève (6ème2)'!PQ17:PS17,"A"))*4)+((COUNTIF('Elève (6ème2)'!PQ17:PS17,"B"))*3)+((COUNTIF('Elève (6ème2)'!PQ17:PS17,"C"))*2)+((COUNTIF('Elève (6ème2)'!PQ17:PS17,"D"))*1))/(COUNTA(PQ17:PS17)),"")</f>
        <v/>
      </c>
      <c r="PU17" s="137" t="str">
        <f t="shared" si="101"/>
        <v/>
      </c>
      <c r="PV17" s="84"/>
      <c r="PW17" s="85"/>
      <c r="PX17" s="86"/>
      <c r="PY17" s="136" t="str">
        <f>IFERROR((((COUNTIF('Elève (6ème2)'!PV17:PX17,"A"))*4)+((COUNTIF('Elève (6ème2)'!PV17:PX17,"B"))*3)+((COUNTIF('Elève (6ème2)'!PV17:PX17,"C"))*2)+((COUNTIF('Elève (6ème2)'!PV17:PX17,"D"))*1))/(COUNTA(PV17:PX17)),"")</f>
        <v/>
      </c>
      <c r="PZ17" s="137" t="str">
        <f t="shared" si="102"/>
        <v/>
      </c>
      <c r="QA17" s="180" t="str">
        <f>IF(COUNT(PO17,PT17,PY17)=0,"",SUM(PO17,PT17,PY17)/COUNT(PO17,PT17,PY17))</f>
        <v/>
      </c>
      <c r="QB17" s="133" t="str">
        <f t="shared" si="103"/>
        <v/>
      </c>
      <c r="QC17" s="159"/>
      <c r="QD17" s="160"/>
      <c r="QE17" s="161"/>
      <c r="QF17" s="136" t="str">
        <f>IFERROR((((COUNTIF('Elève (6ème2)'!QC17:QE17,"A"))*4)+((COUNTIF('Elève (6ème2)'!QC17:QE17,"B"))*3)+((COUNTIF('Elève (6ème2)'!QC17:QE17,"C"))*2)+((COUNTIF('Elève (6ème2)'!QC17:QE17,"D"))*1))/(COUNTA(QC17:QE17)),"")</f>
        <v/>
      </c>
      <c r="QG17" s="137" t="str">
        <f t="shared" si="104"/>
        <v/>
      </c>
      <c r="QH17" s="84"/>
      <c r="QI17" s="85"/>
      <c r="QJ17" s="86"/>
      <c r="QK17" s="136" t="str">
        <f>IFERROR((((COUNTIF('Elève (6ème2)'!QH17:QJ17,"A"))*4)+((COUNTIF('Elève (6ème2)'!QH17:QJ17,"B"))*3)+((COUNTIF('Elève (6ème2)'!QH17:QJ17,"C"))*2)+((COUNTIF('Elève (6ème2)'!QH17:QJ17,"D"))*1))/(COUNTA(QH17:QJ17)),"")</f>
        <v/>
      </c>
      <c r="QL17" s="137" t="str">
        <f t="shared" si="105"/>
        <v/>
      </c>
      <c r="QM17" s="84"/>
      <c r="QN17" s="85"/>
      <c r="QO17" s="86"/>
      <c r="QP17" s="136" t="str">
        <f>IFERROR((((COUNTIF('Elève (6ème2)'!QM17:QO17,"A"))*4)+((COUNTIF('Elève (6ème2)'!QM17:QO17,"B"))*3)+((COUNTIF('Elève (6ème2)'!QM17:QO17,"C"))*2)+((COUNTIF('Elève (6ème2)'!QM17:QO17,"D"))*1))/(COUNTA(QM17:QO17)),"")</f>
        <v/>
      </c>
      <c r="QQ17" s="137" t="str">
        <f t="shared" si="106"/>
        <v/>
      </c>
      <c r="QR17" s="180" t="str">
        <f>IF(COUNT(QF17,QK17,QP17)=0,"",SUM(QF17,QK17,QP17)/COUNT(QF17,QK17,QP17))</f>
        <v/>
      </c>
      <c r="QS17" s="133" t="str">
        <f t="shared" si="107"/>
        <v/>
      </c>
      <c r="QT17" s="159"/>
      <c r="QU17" s="160"/>
      <c r="QV17" s="161"/>
      <c r="QW17" s="136" t="str">
        <f>IFERROR((((COUNTIF('Elève (6ème2)'!QT17:QV17,"A"))*4)+((COUNTIF('Elève (6ème2)'!QT17:QV17,"B"))*3)+((COUNTIF('Elève (6ème2)'!QT17:QV17,"C"))*2)+((COUNTIF('Elève (6ème2)'!QT17:QV17,"D"))*1))/(COUNTA(QT17:QV17)),"")</f>
        <v/>
      </c>
      <c r="QX17" s="137" t="str">
        <f t="shared" si="108"/>
        <v/>
      </c>
      <c r="QY17" s="84"/>
      <c r="QZ17" s="85"/>
      <c r="RA17" s="86"/>
      <c r="RB17" s="136" t="str">
        <f>IFERROR((((COUNTIF('Elève (6ème2)'!QY17:RA17,"A"))*4)+((COUNTIF('Elève (6ème2)'!QY17:RA17,"B"))*3)+((COUNTIF('Elève (6ème2)'!QY17:RA17,"C"))*2)+((COUNTIF('Elève (6ème2)'!QY17:RA17,"D"))*1))/(COUNTA(QY17:RA17)),"")</f>
        <v/>
      </c>
      <c r="RC17" s="137" t="str">
        <f t="shared" si="109"/>
        <v/>
      </c>
      <c r="RD17" s="84"/>
      <c r="RE17" s="85"/>
      <c r="RF17" s="86"/>
      <c r="RG17" s="136" t="str">
        <f>IFERROR((((COUNTIF('Elève (6ème2)'!RD17:RF17,"A"))*4)+((COUNTIF('Elève (6ème2)'!RD17:RF17,"B"))*3)+((COUNTIF('Elève (6ème2)'!RD17:RF17,"C"))*2)+((COUNTIF('Elève (6ème2)'!RD17:RF17,"D"))*1))/(COUNTA(RD17:RF17)),"")</f>
        <v/>
      </c>
      <c r="RH17" s="137" t="str">
        <f t="shared" si="110"/>
        <v/>
      </c>
      <c r="RI17" s="180" t="str">
        <f>IF(COUNT(QW17,RB17,RG17)=0,"",SUM(QW17,RB17,RG17)/COUNT(QW17,RB17,RG17))</f>
        <v/>
      </c>
      <c r="RJ17" s="133" t="str">
        <f t="shared" si="111"/>
        <v/>
      </c>
      <c r="RK17" s="159"/>
      <c r="RL17" s="160"/>
      <c r="RM17" s="161"/>
      <c r="RN17" s="136" t="str">
        <f>IFERROR((((COUNTIF('Elève (6ème2)'!RK17:RM17,"A"))*4)+((COUNTIF('Elève (6ème2)'!RK17:RM17,"B"))*3)+((COUNTIF('Elève (6ème2)'!RK17:RM17,"C"))*2)+((COUNTIF('Elève (6ème2)'!RK17:RM17,"D"))*1))/(COUNTA(RK17:RM17)),"")</f>
        <v/>
      </c>
      <c r="RO17" s="137" t="str">
        <f t="shared" si="112"/>
        <v/>
      </c>
      <c r="RP17" s="84"/>
      <c r="RQ17" s="85"/>
      <c r="RR17" s="86"/>
      <c r="RS17" s="136" t="str">
        <f>IFERROR((((COUNTIF('Elève (6ème2)'!RP17:RR17,"A"))*4)+((COUNTIF('Elève (6ème2)'!RP17:RR17,"B"))*3)+((COUNTIF('Elève (6ème2)'!RP17:RR17,"C"))*2)+((COUNTIF('Elève (6ème2)'!RP17:RR17,"D"))*1))/(COUNTA(RP17:RR17)),"")</f>
        <v/>
      </c>
      <c r="RT17" s="137" t="str">
        <f t="shared" si="113"/>
        <v/>
      </c>
      <c r="RU17" s="84"/>
      <c r="RV17" s="85"/>
      <c r="RW17" s="86"/>
      <c r="RX17" s="136" t="str">
        <f>IFERROR((((COUNTIF('Elève (6ème2)'!RU17:RW17,"A"))*4)+((COUNTIF('Elève (6ème2)'!RU17:RW17,"B"))*3)+((COUNTIF('Elève (6ème2)'!RU17:RW17,"C"))*2)+((COUNTIF('Elève (6ème2)'!RU17:RW17,"D"))*1))/(COUNTA(RU17:RW17)),"")</f>
        <v/>
      </c>
      <c r="RY17" s="137" t="str">
        <f t="shared" si="114"/>
        <v/>
      </c>
      <c r="RZ17" s="180" t="str">
        <f>IF(COUNT(RN17,RS17,RX17)=0,"",SUM(RN17,RS17,RX17)/COUNT(RN17,RS17,RX17))</f>
        <v/>
      </c>
      <c r="SA17" s="133" t="str">
        <f t="shared" si="115"/>
        <v/>
      </c>
      <c r="SB17" s="159"/>
      <c r="SC17" s="160"/>
      <c r="SD17" s="161"/>
      <c r="SE17" s="136" t="str">
        <f>IFERROR((((COUNTIF('Elève (6ème2)'!SB17:SD17,"A"))*4)+((COUNTIF('Elève (6ème2)'!SB17:SD17,"B"))*3)+((COUNTIF('Elève (6ème2)'!SB17:SD17,"C"))*2)+((COUNTIF('Elève (6ème2)'!SB17:SD17,"D"))*1))/(COUNTA(SB17:SD17)),"")</f>
        <v/>
      </c>
      <c r="SF17" s="137" t="str">
        <f t="shared" si="116"/>
        <v/>
      </c>
      <c r="SG17" s="84"/>
      <c r="SH17" s="85"/>
      <c r="SI17" s="86"/>
      <c r="SJ17" s="136" t="str">
        <f>IFERROR((((COUNTIF('Elève (6ème2)'!SG17:SI17,"A"))*4)+((COUNTIF('Elève (6ème2)'!SG17:SI17,"B"))*3)+((COUNTIF('Elève (6ème2)'!SG17:SI17,"C"))*2)+((COUNTIF('Elève (6ème2)'!SG17:SI17,"D"))*1))/(COUNTA(SG17:SI17)),"")</f>
        <v/>
      </c>
      <c r="SK17" s="137" t="str">
        <f t="shared" si="117"/>
        <v/>
      </c>
      <c r="SL17" s="84"/>
      <c r="SM17" s="85"/>
      <c r="SN17" s="86"/>
      <c r="SO17" s="136" t="str">
        <f>IFERROR((((COUNTIF('Elève (6ème2)'!SL17:SN17,"A"))*4)+((COUNTIF('Elève (6ème2)'!SL17:SN17,"B"))*3)+((COUNTIF('Elève (6ème2)'!SL17:SN17,"C"))*2)+((COUNTIF('Elève (6ème2)'!SL17:SN17,"D"))*1))/(COUNTA(SL17:SN17)),"")</f>
        <v/>
      </c>
      <c r="SP17" s="137" t="str">
        <f t="shared" si="118"/>
        <v/>
      </c>
      <c r="SQ17" s="180" t="str">
        <f>IF(COUNT(SE17,SJ17,SO17)=0,"",SUM(SE17,SJ17,SO17)/COUNT(SE17,SJ17,SO17))</f>
        <v/>
      </c>
      <c r="SR17" s="133" t="str">
        <f t="shared" si="119"/>
        <v/>
      </c>
    </row>
    <row r="18" spans="1:512" s="77" customFormat="1" ht="16.5" customHeight="1" thickBot="1" x14ac:dyDescent="0.3">
      <c r="A18" s="96" t="s">
        <v>21</v>
      </c>
      <c r="B18" s="88">
        <v>1</v>
      </c>
      <c r="C18" s="152"/>
      <c r="D18" s="190"/>
      <c r="E18" s="185"/>
      <c r="F18" s="129">
        <f>IFERROR((((COUNTIF('Elève (6ème2)'!C19:E19,"A"))*4)+((COUNTIF('Elève (6ème2)'!C19:E19,"B"))*3)+((COUNTIF('Elève (6ème2)'!C19:E19,"C"))*2)+((COUNTIF('Elève (6ème2)'!C19:E19,"D"))*1))/(COUNTA(C19:E19)),"")</f>
        <v>4</v>
      </c>
      <c r="G18" s="107" t="str">
        <f t="shared" si="0"/>
        <v>A</v>
      </c>
      <c r="H18" s="204"/>
      <c r="I18" s="186"/>
      <c r="J18" s="205"/>
      <c r="K18" s="129" t="str">
        <f>IFERROR((((COUNTIF('Elève (6ème2)'!H19:J19,"A"))*4)+((COUNTIF('Elève (6ème2)'!H19:J19,"B"))*3)+((COUNTIF('Elève (6ème2)'!H19:J19,"C"))*2)+((COUNTIF('Elève (6ème2)'!H19:J19,"D"))*1))/(COUNTA(H19:J19)),"")</f>
        <v/>
      </c>
      <c r="L18" s="121" t="str">
        <f t="shared" si="1"/>
        <v/>
      </c>
      <c r="M18" s="100"/>
      <c r="N18" s="187"/>
      <c r="O18" s="188"/>
      <c r="P18" s="129" t="str">
        <f>IFERROR((((COUNTIF('Elève (6ème2)'!M19:O19,"A"))*4)+((COUNTIF('Elève (6ème2)'!M19:O19,"B"))*3)+((COUNTIF('Elève (6ème2)'!M19:O19,"C"))*2)+((COUNTIF('Elève (6ème2)'!M19:O19,"D"))*1))/(COUNTA(M19:O19)),"")</f>
        <v/>
      </c>
      <c r="Q18" s="128" t="str">
        <f t="shared" si="2"/>
        <v/>
      </c>
      <c r="R18" s="177">
        <f>IFERROR((((COUNTIF(C19:E19,"A")+COUNTIF(H19:J19,"A")+COUNTIF(M19:O19,"A"))*4)+((COUNTIF(C19:E19,"B")+COUNTIF(H19:J19,"B")+COUNTIF(M19:O19,"B"))*3)+((COUNTIF(C19:E19,"C")+COUNTIF(H19:J19,"C")+COUNTIF(M19:O19,"C"))*2)+((COUNTIF(C19:E19,"D")+COUNTIF(H19:J19,"D")+COUNTIF(M19:O19,"D"))*1))/(COUNTA(C19:E19)+COUNTA(H19:J19)+COUNTA(M19:O19)),"")</f>
        <v>4</v>
      </c>
      <c r="S18" s="130" t="str">
        <f t="shared" si="3"/>
        <v>A</v>
      </c>
      <c r="T18" s="152"/>
      <c r="U18" s="190"/>
      <c r="V18" s="185"/>
      <c r="W18" s="129">
        <f>IFERROR((((COUNTIF('Elève (6ème2)'!T19:V19,"A"))*4)+((COUNTIF('Elève (6ème2)'!T19:V19,"B"))*3)+((COUNTIF('Elève (6ème2)'!T19:V19,"C"))*2)+((COUNTIF('Elève (6ème2)'!T19:V19,"D"))*1))/(COUNTA(T19:V19)),"")</f>
        <v>4</v>
      </c>
      <c r="X18" s="107" t="str">
        <f t="shared" si="4"/>
        <v>A</v>
      </c>
      <c r="Y18" s="204"/>
      <c r="Z18" s="186"/>
      <c r="AA18" s="205"/>
      <c r="AB18" s="129" t="str">
        <f>IFERROR((((COUNTIF('Elève (6ème2)'!Y19:AA19,"A"))*4)+((COUNTIF('Elève (6ème2)'!Y19:AA19,"B"))*3)+((COUNTIF('Elève (6ème2)'!Y19:AA19,"C"))*2)+((COUNTIF('Elève (6ème2)'!Y19:AA19,"D"))*1))/(COUNTA(Y19:AA19)),"")</f>
        <v/>
      </c>
      <c r="AC18" s="121" t="str">
        <f t="shared" si="5"/>
        <v/>
      </c>
      <c r="AD18" s="100"/>
      <c r="AE18" s="187"/>
      <c r="AF18" s="188"/>
      <c r="AG18" s="129" t="str">
        <f>IFERROR((((COUNTIF('Elève (6ème2)'!AD19:AF19,"A"))*4)+((COUNTIF('Elève (6ème2)'!AD19:AF19,"B"))*3)+((COUNTIF('Elève (6ème2)'!AD19:AF19,"C"))*2)+((COUNTIF('Elève (6ème2)'!AD19:AF19,"D"))*1))/(COUNTA(AD19:AF19)),"")</f>
        <v/>
      </c>
      <c r="AH18" s="128" t="str">
        <f t="shared" si="6"/>
        <v/>
      </c>
      <c r="AI18" s="177">
        <f>IFERROR((((COUNTIF(T19:V19,"A")+COUNTIF(Y19:AA19,"A")+COUNTIF(AD19:AF19,"A"))*4)+((COUNTIF(T19:V19,"B")+COUNTIF(Y19:AA19,"B")+COUNTIF(AD19:AF19,"B"))*3)+((COUNTIF(T19:V19,"C")+COUNTIF(Y19:AA19,"C")+COUNTIF(AD19:AF19,"C"))*2)+((COUNTIF(T19:V19,"D")+COUNTIF(Y19:AA19,"D")+COUNTIF(AD19:AF19,"D"))*1))/(COUNTA(T19:V19)+COUNTA(Y19:AA19)+COUNTA(AD19:AF19)),"")</f>
        <v>4</v>
      </c>
      <c r="AJ18" s="130" t="str">
        <f t="shared" si="7"/>
        <v>A</v>
      </c>
      <c r="AK18" s="152"/>
      <c r="AL18" s="190"/>
      <c r="AM18" s="185"/>
      <c r="AN18" s="129">
        <f>IFERROR((((COUNTIF('Elève (6ème2)'!AK19:AM19,"A"))*4)+((COUNTIF('Elève (6ème2)'!AK19:AM19,"B"))*3)+((COUNTIF('Elève (6ème2)'!AK19:AM19,"C"))*2)+((COUNTIF('Elève (6ème2)'!AK19:AM19,"D"))*1))/(COUNTA(AK19:AM19)),"")</f>
        <v>4</v>
      </c>
      <c r="AO18" s="107" t="str">
        <f t="shared" si="8"/>
        <v>A</v>
      </c>
      <c r="AP18" s="204"/>
      <c r="AQ18" s="186"/>
      <c r="AR18" s="205"/>
      <c r="AS18" s="129" t="str">
        <f>IFERROR((((COUNTIF('Elève (6ème2)'!AP19:AR19,"A"))*4)+((COUNTIF('Elève (6ème2)'!AP19:AR19,"B"))*3)+((COUNTIF('Elève (6ème2)'!AP19:AR19,"C"))*2)+((COUNTIF('Elève (6ème2)'!AP19:AR19,"D"))*1))/(COUNTA(AP19:AR19)),"")</f>
        <v/>
      </c>
      <c r="AT18" s="121" t="str">
        <f t="shared" si="9"/>
        <v/>
      </c>
      <c r="AU18" s="100"/>
      <c r="AV18" s="187"/>
      <c r="AW18" s="188"/>
      <c r="AX18" s="129" t="str">
        <f>IFERROR((((COUNTIF('Elève (6ème2)'!AU19:AW19,"A"))*4)+((COUNTIF('Elève (6ème2)'!AU19:AW19,"B"))*3)+((COUNTIF('Elève (6ème2)'!AU19:AW19,"C"))*2)+((COUNTIF('Elève (6ème2)'!AU19:AW19,"D"))*1))/(COUNTA(AU19:AW19)),"")</f>
        <v/>
      </c>
      <c r="AY18" s="128" t="str">
        <f t="shared" si="10"/>
        <v/>
      </c>
      <c r="AZ18" s="177">
        <f>IFERROR((((COUNTIF(AK19:AM19,"A")+COUNTIF(AP19:AR19,"A")+COUNTIF(AU19:AW19,"A"))*4)+((COUNTIF(AK19:AM19,"B")+COUNTIF(AP19:AR19,"B")+COUNTIF(AU19:AW19,"B"))*3)+((COUNTIF(AK19:AM19,"C")+COUNTIF(AP19:AR19,"C")+COUNTIF(AU19:AW19,"C"))*2)+((COUNTIF(AK19:AM19,"D")+COUNTIF(AP19:AR19,"D")+COUNTIF(AU19:AW19,"D"))*1))/(COUNTA(AK19:AM19)+COUNTA(AP19:AR19)+COUNTA(AU19:AW19)),"")</f>
        <v>4</v>
      </c>
      <c r="BA18" s="130" t="str">
        <f t="shared" si="11"/>
        <v>A</v>
      </c>
      <c r="BB18" s="152"/>
      <c r="BC18" s="190"/>
      <c r="BD18" s="185"/>
      <c r="BE18" s="129">
        <f>IFERROR((((COUNTIF('Elève (6ème2)'!BB19:BD19,"A"))*4)+((COUNTIF('Elève (6ème2)'!BB19:BD19,"B"))*3)+((COUNTIF('Elève (6ème2)'!BB19:BD19,"C"))*2)+((COUNTIF('Elève (6ème2)'!BB19:BD19,"D"))*1))/(COUNTA(BB19:BD19)),"")</f>
        <v>4</v>
      </c>
      <c r="BF18" s="107" t="str">
        <f t="shared" si="12"/>
        <v>A</v>
      </c>
      <c r="BG18" s="204"/>
      <c r="BH18" s="186"/>
      <c r="BI18" s="205"/>
      <c r="BJ18" s="129" t="str">
        <f>IFERROR((((COUNTIF('Elève (6ème2)'!BG19:BI19,"A"))*4)+((COUNTIF('Elève (6ème2)'!BG19:BI19,"B"))*3)+((COUNTIF('Elève (6ème2)'!BG19:BI19,"C"))*2)+((COUNTIF('Elève (6ème2)'!BG19:BI19,"D"))*1))/(COUNTA(BG19:BI19)),"")</f>
        <v/>
      </c>
      <c r="BK18" s="121" t="str">
        <f t="shared" si="13"/>
        <v/>
      </c>
      <c r="BL18" s="100"/>
      <c r="BM18" s="187"/>
      <c r="BN18" s="188"/>
      <c r="BO18" s="129" t="str">
        <f>IFERROR((((COUNTIF('Elève (6ème2)'!BL19:BN19,"A"))*4)+((COUNTIF('Elève (6ème2)'!BL19:BN19,"B"))*3)+((COUNTIF('Elève (6ème2)'!BL19:BN19,"C"))*2)+((COUNTIF('Elève (6ème2)'!BL19:BN19,"D"))*1))/(COUNTA(BL19:BN19)),"")</f>
        <v/>
      </c>
      <c r="BP18" s="128" t="str">
        <f t="shared" si="14"/>
        <v/>
      </c>
      <c r="BQ18" s="177">
        <f>IFERROR((((COUNTIF(BB19:BD19,"A")+COUNTIF(BG19:BI19,"A")+COUNTIF(BL19:BN19,"A"))*4)+((COUNTIF(BB19:BD19,"B")+COUNTIF(BG19:BI19,"B")+COUNTIF(BL19:BN19,"B"))*3)+((COUNTIF(BB19:BD19,"C")+COUNTIF(BG19:BI19,"C")+COUNTIF(BL19:BN19,"C"))*2)+((COUNTIF(BB19:BD19,"D")+COUNTIF(BG19:BI19,"D")+COUNTIF(BL19:BN19,"D"))*1))/(COUNTA(BB19:BD19)+COUNTA(BG19:BI19)+COUNTA(BL19:BN19)),"")</f>
        <v>4</v>
      </c>
      <c r="BR18" s="130" t="str">
        <f t="shared" si="15"/>
        <v>A</v>
      </c>
      <c r="BS18" s="152"/>
      <c r="BT18" s="190"/>
      <c r="BU18" s="185"/>
      <c r="BV18" s="129">
        <f>IFERROR((((COUNTIF('Elève (6ème2)'!BS19:BU19,"A"))*4)+((COUNTIF('Elève (6ème2)'!BS19:BU19,"B"))*3)+((COUNTIF('Elève (6ème2)'!BS19:BU19,"C"))*2)+((COUNTIF('Elève (6ème2)'!BS19:BU19,"D"))*1))/(COUNTA(BS19:BU19)),"")</f>
        <v>4</v>
      </c>
      <c r="BW18" s="107" t="str">
        <f t="shared" si="16"/>
        <v>A</v>
      </c>
      <c r="BX18" s="204"/>
      <c r="BY18" s="186"/>
      <c r="BZ18" s="205"/>
      <c r="CA18" s="129" t="str">
        <f>IFERROR((((COUNTIF('Elève (6ème2)'!BX19:BZ19,"A"))*4)+((COUNTIF('Elève (6ème2)'!BX19:BZ19,"B"))*3)+((COUNTIF('Elève (6ème2)'!BX19:BZ19,"C"))*2)+((COUNTIF('Elève (6ème2)'!BX19:BZ19,"D"))*1))/(COUNTA(BX19:BZ19)),"")</f>
        <v/>
      </c>
      <c r="CB18" s="121" t="str">
        <f t="shared" si="17"/>
        <v/>
      </c>
      <c r="CC18" s="100"/>
      <c r="CD18" s="187"/>
      <c r="CE18" s="188"/>
      <c r="CF18" s="129" t="str">
        <f>IFERROR((((COUNTIF('Elève (6ème2)'!CC19:CE19,"A"))*4)+((COUNTIF('Elève (6ème2)'!CC19:CE19,"B"))*3)+((COUNTIF('Elève (6ème2)'!CC19:CE19,"C"))*2)+((COUNTIF('Elève (6ème2)'!CC19:CE19,"D"))*1))/(COUNTA(CC19:CE19)),"")</f>
        <v/>
      </c>
      <c r="CG18" s="128" t="str">
        <f t="shared" si="18"/>
        <v/>
      </c>
      <c r="CH18" s="177">
        <f>IFERROR((((COUNTIF(BS19:BU19,"A")+COUNTIF(BX19:BZ19,"A")+COUNTIF(CC19:CE19,"A"))*4)+((COUNTIF(BS19:BU19,"B")+COUNTIF(BX19:BZ19,"B")+COUNTIF(CC19:CE19,"B"))*3)+((COUNTIF(BS19:BU19,"C")+COUNTIF(BX19:BZ19,"C")+COUNTIF(CC19:CE19,"C"))*2)+((COUNTIF(BS19:BU19,"D")+COUNTIF(BX19:BZ19,"D")+COUNTIF(CC19:CE19,"D"))*1))/(COUNTA(BS19:BU19)+COUNTA(BX19:BZ19)+COUNTA(CC19:CE19)),"")</f>
        <v>4</v>
      </c>
      <c r="CI18" s="130" t="str">
        <f t="shared" si="19"/>
        <v>A</v>
      </c>
      <c r="CJ18" s="152"/>
      <c r="CK18" s="190"/>
      <c r="CL18" s="185"/>
      <c r="CM18" s="129">
        <f>IFERROR((((COUNTIF('Elève (6ème2)'!CJ19:CL19,"A"))*4)+((COUNTIF('Elève (6ème2)'!CJ19:CL19,"B"))*3)+((COUNTIF('Elève (6ème2)'!CJ19:CL19,"C"))*2)+((COUNTIF('Elève (6ème2)'!CJ19:CL19,"D"))*1))/(COUNTA(CJ19:CL19)),"")</f>
        <v>4</v>
      </c>
      <c r="CN18" s="107" t="str">
        <f t="shared" si="20"/>
        <v>A</v>
      </c>
      <c r="CO18" s="204"/>
      <c r="CP18" s="186"/>
      <c r="CQ18" s="205"/>
      <c r="CR18" s="129" t="str">
        <f>IFERROR((((COUNTIF('Elève (6ème2)'!CO19:CQ19,"A"))*4)+((COUNTIF('Elève (6ème2)'!CO19:CQ19,"B"))*3)+((COUNTIF('Elève (6ème2)'!CO19:CQ19,"C"))*2)+((COUNTIF('Elève (6ème2)'!CO19:CQ19,"D"))*1))/(COUNTA(CO19:CQ19)),"")</f>
        <v/>
      </c>
      <c r="CS18" s="121" t="str">
        <f t="shared" si="21"/>
        <v/>
      </c>
      <c r="CT18" s="100"/>
      <c r="CU18" s="187"/>
      <c r="CV18" s="188"/>
      <c r="CW18" s="129" t="str">
        <f>IFERROR((((COUNTIF('Elève (6ème2)'!CT19:CV19,"A"))*4)+((COUNTIF('Elève (6ème2)'!CT19:CV19,"B"))*3)+((COUNTIF('Elève (6ème2)'!CT19:CV19,"C"))*2)+((COUNTIF('Elève (6ème2)'!CT19:CV19,"D"))*1))/(COUNTA(CT19:CV19)),"")</f>
        <v/>
      </c>
      <c r="CX18" s="128" t="str">
        <f t="shared" si="22"/>
        <v/>
      </c>
      <c r="CY18" s="177">
        <f>IFERROR((((COUNTIF(CJ19:CL19,"A")+COUNTIF(CO19:CQ19,"A")+COUNTIF(CT19:CV19,"A"))*4)+((COUNTIF(CJ19:CL19,"B")+COUNTIF(CO19:CQ19,"B")+COUNTIF(CT19:CV19,"B"))*3)+((COUNTIF(CJ19:CL19,"C")+COUNTIF(CO19:CQ19,"C")+COUNTIF(CT19:CV19,"C"))*2)+((COUNTIF(CJ19:CL19,"D")+COUNTIF(CO19:CQ19,"D")+COUNTIF(CT19:CV19,"D"))*1))/(COUNTA(CJ19:CL19)+COUNTA(CO19:CQ19)+COUNTA(CT19:CV19)),"")</f>
        <v>4</v>
      </c>
      <c r="CZ18" s="130" t="str">
        <f t="shared" si="23"/>
        <v>A</v>
      </c>
      <c r="DA18" s="152"/>
      <c r="DB18" s="190"/>
      <c r="DC18" s="185"/>
      <c r="DD18" s="129">
        <f>IFERROR((((COUNTIF('Elève (6ème2)'!DA19:DC19,"A"))*4)+((COUNTIF('Elève (6ème2)'!DA19:DC19,"B"))*3)+((COUNTIF('Elève (6ème2)'!DA19:DC19,"C"))*2)+((COUNTIF('Elève (6ème2)'!DA19:DC19,"D"))*1))/(COUNTA(DA19:DC19)),"")</f>
        <v>4</v>
      </c>
      <c r="DE18" s="107" t="str">
        <f t="shared" si="24"/>
        <v>A</v>
      </c>
      <c r="DF18" s="204"/>
      <c r="DG18" s="186"/>
      <c r="DH18" s="205"/>
      <c r="DI18" s="129" t="str">
        <f>IFERROR((((COUNTIF('Elève (6ème2)'!DF19:DH19,"A"))*4)+((COUNTIF('Elève (6ème2)'!DF19:DH19,"B"))*3)+((COUNTIF('Elève (6ème2)'!DF19:DH19,"C"))*2)+((COUNTIF('Elève (6ème2)'!DF19:DH19,"D"))*1))/(COUNTA(DF19:DH19)),"")</f>
        <v/>
      </c>
      <c r="DJ18" s="121" t="str">
        <f t="shared" si="25"/>
        <v/>
      </c>
      <c r="DK18" s="100"/>
      <c r="DL18" s="187"/>
      <c r="DM18" s="188"/>
      <c r="DN18" s="129" t="str">
        <f>IFERROR((((COUNTIF('Elève (6ème2)'!DK19:DM19,"A"))*4)+((COUNTIF('Elève (6ème2)'!DK19:DM19,"B"))*3)+((COUNTIF('Elève (6ème2)'!DK19:DM19,"C"))*2)+((COUNTIF('Elève (6ème2)'!DK19:DM19,"D"))*1))/(COUNTA(DK19:DM19)),"")</f>
        <v/>
      </c>
      <c r="DO18" s="128" t="str">
        <f t="shared" si="26"/>
        <v/>
      </c>
      <c r="DP18" s="177">
        <f>IFERROR((((COUNTIF(DA19:DC19,"A")+COUNTIF(DF19:DH19,"A")+COUNTIF(DK19:DM19,"A"))*4)+((COUNTIF(DA19:DC19,"B")+COUNTIF(DF19:DH19,"B")+COUNTIF(DK19:DM19,"B"))*3)+((COUNTIF(DA19:DC19,"C")+COUNTIF(DF19:DH19,"C")+COUNTIF(DK19:DM19,"C"))*2)+((COUNTIF(DA19:DC19,"D")+COUNTIF(DF19:DH19,"D")+COUNTIF(DK19:DM19,"D"))*1))/(COUNTA(DA19:DC19)+COUNTA(DF19:DH19)+COUNTA(DK19:DM19)),"")</f>
        <v>4</v>
      </c>
      <c r="DQ18" s="130" t="str">
        <f t="shared" si="27"/>
        <v>A</v>
      </c>
      <c r="DR18" s="152"/>
      <c r="DS18" s="190"/>
      <c r="DT18" s="185"/>
      <c r="DU18" s="129">
        <f>IFERROR((((COUNTIF('Elève (6ème2)'!DR19:DT19,"A"))*4)+((COUNTIF('Elève (6ème2)'!DR19:DT19,"B"))*3)+((COUNTIF('Elève (6ème2)'!DR19:DT19,"C"))*2)+((COUNTIF('Elève (6ème2)'!DR19:DT19,"D"))*1))/(COUNTA(DR19:DT19)),"")</f>
        <v>4</v>
      </c>
      <c r="DV18" s="107" t="str">
        <f t="shared" si="28"/>
        <v>A</v>
      </c>
      <c r="DW18" s="204"/>
      <c r="DX18" s="186"/>
      <c r="DY18" s="205"/>
      <c r="DZ18" s="129" t="str">
        <f>IFERROR((((COUNTIF('Elève (6ème2)'!DW19:DY19,"A"))*4)+((COUNTIF('Elève (6ème2)'!DW19:DY19,"B"))*3)+((COUNTIF('Elève (6ème2)'!DW19:DY19,"C"))*2)+((COUNTIF('Elève (6ème2)'!DW19:DY19,"D"))*1))/(COUNTA(DW19:DY19)),"")</f>
        <v/>
      </c>
      <c r="EA18" s="121" t="str">
        <f t="shared" si="29"/>
        <v/>
      </c>
      <c r="EB18" s="100"/>
      <c r="EC18" s="187"/>
      <c r="ED18" s="188"/>
      <c r="EE18" s="129" t="str">
        <f>IFERROR((((COUNTIF('Elève (6ème2)'!EB19:ED19,"A"))*4)+((COUNTIF('Elève (6ème2)'!EB19:ED19,"B"))*3)+((COUNTIF('Elève (6ème2)'!EB19:ED19,"C"))*2)+((COUNTIF('Elève (6ème2)'!EB19:ED19,"D"))*1))/(COUNTA(EB19:ED19)),"")</f>
        <v/>
      </c>
      <c r="EF18" s="128" t="str">
        <f t="shared" si="30"/>
        <v/>
      </c>
      <c r="EG18" s="177">
        <f>IFERROR((((COUNTIF(DR19:DT19,"A")+COUNTIF(DW19:DY19,"A")+COUNTIF(EB19:ED19,"A"))*4)+((COUNTIF(DR19:DT19,"B")+COUNTIF(DW19:DY19,"B")+COUNTIF(EB19:ED19,"B"))*3)+((COUNTIF(DR19:DT19,"C")+COUNTIF(DW19:DY19,"C")+COUNTIF(EB19:ED19,"C"))*2)+((COUNTIF(DR19:DT19,"D")+COUNTIF(DW19:DY19,"D")+COUNTIF(EB19:ED19,"D"))*1))/(COUNTA(DR19:DT19)+COUNTA(DW19:DY19)+COUNTA(EB19:ED19)),"")</f>
        <v>4</v>
      </c>
      <c r="EH18" s="130" t="str">
        <f t="shared" si="31"/>
        <v>A</v>
      </c>
      <c r="EI18" s="152"/>
      <c r="EJ18" s="190"/>
      <c r="EK18" s="185"/>
      <c r="EL18" s="129">
        <f>IFERROR((((COUNTIF('Elève (6ème2)'!EI19:EK19,"A"))*4)+((COUNTIF('Elève (6ème2)'!EI19:EK19,"B"))*3)+((COUNTIF('Elève (6ème2)'!EI19:EK19,"C"))*2)+((COUNTIF('Elève (6ème2)'!EI19:EK19,"D"))*1))/(COUNTA(EI19:EK19)),"")</f>
        <v>4</v>
      </c>
      <c r="EM18" s="107" t="str">
        <f t="shared" si="32"/>
        <v>A</v>
      </c>
      <c r="EN18" s="204"/>
      <c r="EO18" s="186"/>
      <c r="EP18" s="205"/>
      <c r="EQ18" s="129" t="str">
        <f>IFERROR((((COUNTIF('Elève (6ème2)'!EN19:EP19,"A"))*4)+((COUNTIF('Elève (6ème2)'!EN19:EP19,"B"))*3)+((COUNTIF('Elève (6ème2)'!EN19:EP19,"C"))*2)+((COUNTIF('Elève (6ème2)'!EN19:EP19,"D"))*1))/(COUNTA(EN19:EP19)),"")</f>
        <v/>
      </c>
      <c r="ER18" s="121" t="str">
        <f t="shared" si="33"/>
        <v/>
      </c>
      <c r="ES18" s="100"/>
      <c r="ET18" s="187"/>
      <c r="EU18" s="188"/>
      <c r="EV18" s="129" t="str">
        <f>IFERROR((((COUNTIF('Elève (6ème2)'!ES19:EU19,"A"))*4)+((COUNTIF('Elève (6ème2)'!ES19:EU19,"B"))*3)+((COUNTIF('Elève (6ème2)'!ES19:EU19,"C"))*2)+((COUNTIF('Elève (6ème2)'!ES19:EU19,"D"))*1))/(COUNTA(ES19:EU19)),"")</f>
        <v/>
      </c>
      <c r="EW18" s="128" t="str">
        <f t="shared" si="34"/>
        <v/>
      </c>
      <c r="EX18" s="177">
        <f>IFERROR((((COUNTIF(EI19:EK19,"A")+COUNTIF(EN19:EP19,"A")+COUNTIF(ES19:EU19,"A"))*4)+((COUNTIF(EI19:EK19,"B")+COUNTIF(EN19:EP19,"B")+COUNTIF(ES19:EU19,"B"))*3)+((COUNTIF(EI19:EK19,"C")+COUNTIF(EN19:EP19,"C")+COUNTIF(ES19:EU19,"C"))*2)+((COUNTIF(EI19:EK19,"D")+COUNTIF(EN19:EP19,"D")+COUNTIF(ES19:EU19,"D"))*1))/(COUNTA(EI19:EK19)+COUNTA(EN19:EP19)+COUNTA(ES19:EU19)),"")</f>
        <v>4</v>
      </c>
      <c r="EY18" s="130" t="str">
        <f t="shared" si="35"/>
        <v>A</v>
      </c>
      <c r="EZ18" s="152"/>
      <c r="FA18" s="190"/>
      <c r="FB18" s="185"/>
      <c r="FC18" s="129">
        <f>IFERROR((((COUNTIF('Elève (6ème2)'!EZ19:FB19,"A"))*4)+((COUNTIF('Elève (6ème2)'!EZ19:FB19,"B"))*3)+((COUNTIF('Elève (6ème2)'!EZ19:FB19,"C"))*2)+((COUNTIF('Elève (6ème2)'!EZ19:FB19,"D"))*1))/(COUNTA(EZ19:FB19)),"")</f>
        <v>4</v>
      </c>
      <c r="FD18" s="107" t="str">
        <f t="shared" si="36"/>
        <v>A</v>
      </c>
      <c r="FE18" s="204"/>
      <c r="FF18" s="186"/>
      <c r="FG18" s="205"/>
      <c r="FH18" s="129" t="str">
        <f>IFERROR((((COUNTIF('Elève (6ème2)'!FE19:FG19,"A"))*4)+((COUNTIF('Elève (6ème2)'!FE19:FG19,"B"))*3)+((COUNTIF('Elève (6ème2)'!FE19:FG19,"C"))*2)+((COUNTIF('Elève (6ème2)'!FE19:FG19,"D"))*1))/(COUNTA(FE19:FG19)),"")</f>
        <v/>
      </c>
      <c r="FI18" s="121" t="str">
        <f t="shared" si="37"/>
        <v/>
      </c>
      <c r="FJ18" s="100"/>
      <c r="FK18" s="187"/>
      <c r="FL18" s="188"/>
      <c r="FM18" s="129" t="str">
        <f>IFERROR((((COUNTIF('Elève (6ème2)'!FJ19:FL19,"A"))*4)+((COUNTIF('Elève (6ème2)'!FJ19:FL19,"B"))*3)+((COUNTIF('Elève (6ème2)'!FJ19:FL19,"C"))*2)+((COUNTIF('Elève (6ème2)'!FJ19:FL19,"D"))*1))/(COUNTA(FJ19:FL19)),"")</f>
        <v/>
      </c>
      <c r="FN18" s="128" t="str">
        <f t="shared" si="38"/>
        <v/>
      </c>
      <c r="FO18" s="177">
        <f>IFERROR((((COUNTIF(EZ19:FB19,"A")+COUNTIF(FE19:FG19,"A")+COUNTIF(FJ19:FL19,"A"))*4)+((COUNTIF(EZ19:FB19,"B")+COUNTIF(FE19:FG19,"B")+COUNTIF(FJ19:FL19,"B"))*3)+((COUNTIF(EZ19:FB19,"C")+COUNTIF(FE19:FG19,"C")+COUNTIF(FJ19:FL19,"C"))*2)+((COUNTIF(EZ19:FB19,"D")+COUNTIF(FE19:FG19,"D")+COUNTIF(FJ19:FL19,"D"))*1))/(COUNTA(EZ19:FB19)+COUNTA(FE19:FG19)+COUNTA(FJ19:FL19)),"")</f>
        <v>4</v>
      </c>
      <c r="FP18" s="130" t="str">
        <f t="shared" si="39"/>
        <v>A</v>
      </c>
      <c r="FQ18" s="152"/>
      <c r="FR18" s="190"/>
      <c r="FS18" s="185"/>
      <c r="FT18" s="129">
        <f>IFERROR((((COUNTIF('Elève (6ème2)'!FQ19:FS19,"A"))*4)+((COUNTIF('Elève (6ème2)'!FQ19:FS19,"B"))*3)+((COUNTIF('Elève (6ème2)'!FQ19:FS19,"C"))*2)+((COUNTIF('Elève (6ème2)'!FQ19:FS19,"D"))*1))/(COUNTA(FQ19:FS19)),"")</f>
        <v>4</v>
      </c>
      <c r="FU18" s="107" t="str">
        <f t="shared" si="40"/>
        <v>A</v>
      </c>
      <c r="FV18" s="204"/>
      <c r="FW18" s="186"/>
      <c r="FX18" s="205"/>
      <c r="FY18" s="129" t="str">
        <f>IFERROR((((COUNTIF('Elève (6ème2)'!FV19:FX19,"A"))*4)+((COUNTIF('Elève (6ème2)'!FV19:FX19,"B"))*3)+((COUNTIF('Elève (6ème2)'!FV19:FX19,"C"))*2)+((COUNTIF('Elève (6ème2)'!FV19:FX19,"D"))*1))/(COUNTA(FV19:FX19)),"")</f>
        <v/>
      </c>
      <c r="FZ18" s="121" t="str">
        <f t="shared" si="41"/>
        <v/>
      </c>
      <c r="GA18" s="100"/>
      <c r="GB18" s="187"/>
      <c r="GC18" s="188"/>
      <c r="GD18" s="129" t="str">
        <f>IFERROR((((COUNTIF('Elève (6ème2)'!GA19:GC19,"A"))*4)+((COUNTIF('Elève (6ème2)'!GA19:GC19,"B"))*3)+((COUNTIF('Elève (6ème2)'!GA19:GC19,"C"))*2)+((COUNTIF('Elève (6ème2)'!GA19:GC19,"D"))*1))/(COUNTA(GA19:GC19)),"")</f>
        <v/>
      </c>
      <c r="GE18" s="128" t="str">
        <f t="shared" si="42"/>
        <v/>
      </c>
      <c r="GF18" s="177">
        <f>IFERROR((((COUNTIF(FQ19:FS19,"A")+COUNTIF(FV19:FX19,"A")+COUNTIF(GA19:GC19,"A"))*4)+((COUNTIF(FQ19:FS19,"B")+COUNTIF(FV19:FX19,"B")+COUNTIF(GA19:GC19,"B"))*3)+((COUNTIF(FQ19:FS19,"C")+COUNTIF(FV19:FX19,"C")+COUNTIF(GA19:GC19,"C"))*2)+((COUNTIF(FQ19:FS19,"D")+COUNTIF(FV19:FX19,"D")+COUNTIF(GA19:GC19,"D"))*1))/(COUNTA(FQ19:FS19)+COUNTA(FV19:FX19)+COUNTA(GA19:GC19)),"")</f>
        <v>4</v>
      </c>
      <c r="GG18" s="130" t="str">
        <f t="shared" si="43"/>
        <v>A</v>
      </c>
      <c r="GH18" s="152"/>
      <c r="GI18" s="190"/>
      <c r="GJ18" s="185"/>
      <c r="GK18" s="129">
        <f>IFERROR((((COUNTIF('Elève (6ème2)'!GH19:GJ19,"A"))*4)+((COUNTIF('Elève (6ème2)'!GH19:GJ19,"B"))*3)+((COUNTIF('Elève (6ème2)'!GH19:GJ19,"C"))*2)+((COUNTIF('Elève (6ème2)'!GH19:GJ19,"D"))*1))/(COUNTA(GH19:GJ19)),"")</f>
        <v>4</v>
      </c>
      <c r="GL18" s="107" t="str">
        <f t="shared" si="44"/>
        <v>A</v>
      </c>
      <c r="GM18" s="204"/>
      <c r="GN18" s="186"/>
      <c r="GO18" s="205"/>
      <c r="GP18" s="129" t="str">
        <f>IFERROR((((COUNTIF('Elève (6ème2)'!GM19:GO19,"A"))*4)+((COUNTIF('Elève (6ème2)'!GM19:GO19,"B"))*3)+((COUNTIF('Elève (6ème2)'!GM19:GO19,"C"))*2)+((COUNTIF('Elève (6ème2)'!GM19:GO19,"D"))*1))/(COUNTA(GM19:GO19)),"")</f>
        <v/>
      </c>
      <c r="GQ18" s="121" t="str">
        <f t="shared" si="45"/>
        <v/>
      </c>
      <c r="GR18" s="100"/>
      <c r="GS18" s="187"/>
      <c r="GT18" s="188"/>
      <c r="GU18" s="129" t="str">
        <f>IFERROR((((COUNTIF('Elève (6ème2)'!GR19:GT19,"A"))*4)+((COUNTIF('Elève (6ème2)'!GR19:GT19,"B"))*3)+((COUNTIF('Elève (6ème2)'!GR19:GT19,"C"))*2)+((COUNTIF('Elève (6ème2)'!GR19:GT19,"D"))*1))/(COUNTA(GR19:GT19)),"")</f>
        <v/>
      </c>
      <c r="GV18" s="128" t="str">
        <f t="shared" si="46"/>
        <v/>
      </c>
      <c r="GW18" s="177">
        <f>IFERROR((((COUNTIF(GH19:GJ19,"A")+COUNTIF(GM19:GO19,"A")+COUNTIF(GR19:GT19,"A"))*4)+((COUNTIF(GH19:GJ19,"B")+COUNTIF(GM19:GO19,"B")+COUNTIF(GR19:GT19,"B"))*3)+((COUNTIF(GH19:GJ19,"C")+COUNTIF(GM19:GO19,"C")+COUNTIF(GR19:GT19,"C"))*2)+((COUNTIF(GH19:GJ19,"D")+COUNTIF(GM19:GO19,"D")+COUNTIF(GR19:GT19,"D"))*1))/(COUNTA(GH19:GJ19)+COUNTA(GM19:GO19)+COUNTA(GR19:GT19)),"")</f>
        <v>4</v>
      </c>
      <c r="GX18" s="130" t="str">
        <f t="shared" si="47"/>
        <v>A</v>
      </c>
      <c r="GY18" s="152"/>
      <c r="GZ18" s="190"/>
      <c r="HA18" s="185"/>
      <c r="HB18" s="129">
        <f>IFERROR((((COUNTIF('Elève (6ème2)'!GY19:HA19,"A"))*4)+((COUNTIF('Elève (6ème2)'!GY19:HA19,"B"))*3)+((COUNTIF('Elève (6ème2)'!GY19:HA19,"C"))*2)+((COUNTIF('Elève (6ème2)'!GY19:HA19,"D"))*1))/(COUNTA(GY19:HA19)),"")</f>
        <v>4</v>
      </c>
      <c r="HC18" s="107" t="str">
        <f t="shared" si="48"/>
        <v>A</v>
      </c>
      <c r="HD18" s="204"/>
      <c r="HE18" s="186"/>
      <c r="HF18" s="205"/>
      <c r="HG18" s="129" t="str">
        <f>IFERROR((((COUNTIF('Elève (6ème2)'!HD19:HF19,"A"))*4)+((COUNTIF('Elève (6ème2)'!HD19:HF19,"B"))*3)+((COUNTIF('Elève (6ème2)'!HD19:HF19,"C"))*2)+((COUNTIF('Elève (6ème2)'!HD19:HF19,"D"))*1))/(COUNTA(HD19:HF19)),"")</f>
        <v/>
      </c>
      <c r="HH18" s="121" t="str">
        <f t="shared" si="49"/>
        <v/>
      </c>
      <c r="HI18" s="100"/>
      <c r="HJ18" s="187"/>
      <c r="HK18" s="188"/>
      <c r="HL18" s="129" t="str">
        <f>IFERROR((((COUNTIF('Elève (6ème2)'!HI19:HK19,"A"))*4)+((COUNTIF('Elève (6ème2)'!HI19:HK19,"B"))*3)+((COUNTIF('Elève (6ème2)'!HI19:HK19,"C"))*2)+((COUNTIF('Elève (6ème2)'!HI19:HK19,"D"))*1))/(COUNTA(HI19:HK19)),"")</f>
        <v/>
      </c>
      <c r="HM18" s="128" t="str">
        <f t="shared" si="50"/>
        <v/>
      </c>
      <c r="HN18" s="177">
        <f>IFERROR((((COUNTIF(GY19:HA19,"A")+COUNTIF(HD19:HF19,"A")+COUNTIF(HI19:HK19,"A"))*4)+((COUNTIF(GY19:HA19,"B")+COUNTIF(HD19:HF19,"B")+COUNTIF(HI19:HK19,"B"))*3)+((COUNTIF(GY19:HA19,"C")+COUNTIF(HD19:HF19,"C")+COUNTIF(HI19:HK19,"C"))*2)+((COUNTIF(GY19:HA19,"D")+COUNTIF(HD19:HF19,"D")+COUNTIF(HI19:HK19,"D"))*1))/(COUNTA(GY19:HA19)+COUNTA(HD19:HF19)+COUNTA(HI19:HK19)),"")</f>
        <v>4</v>
      </c>
      <c r="HO18" s="130" t="str">
        <f t="shared" si="51"/>
        <v>A</v>
      </c>
      <c r="HP18" s="152"/>
      <c r="HQ18" s="190"/>
      <c r="HR18" s="185"/>
      <c r="HS18" s="129">
        <f>IFERROR((((COUNTIF('Elève (6ème2)'!HP19:HR19,"A"))*4)+((COUNTIF('Elève (6ème2)'!HP19:HR19,"B"))*3)+((COUNTIF('Elève (6ème2)'!HP19:HR19,"C"))*2)+((COUNTIF('Elève (6ème2)'!HP19:HR19,"D"))*1))/(COUNTA(HP19:HR19)),"")</f>
        <v>4</v>
      </c>
      <c r="HT18" s="107" t="str">
        <f t="shared" si="52"/>
        <v>A</v>
      </c>
      <c r="HU18" s="204"/>
      <c r="HV18" s="186"/>
      <c r="HW18" s="205"/>
      <c r="HX18" s="129" t="str">
        <f>IFERROR((((COUNTIF('Elève (6ème2)'!HU19:HW19,"A"))*4)+((COUNTIF('Elève (6ème2)'!HU19:HW19,"B"))*3)+((COUNTIF('Elève (6ème2)'!HU19:HW19,"C"))*2)+((COUNTIF('Elève (6ème2)'!HU19:HW19,"D"))*1))/(COUNTA(HU19:HW19)),"")</f>
        <v/>
      </c>
      <c r="HY18" s="121" t="str">
        <f t="shared" si="53"/>
        <v/>
      </c>
      <c r="HZ18" s="100"/>
      <c r="IA18" s="187"/>
      <c r="IB18" s="188"/>
      <c r="IC18" s="129" t="str">
        <f>IFERROR((((COUNTIF('Elève (6ème2)'!HZ19:IB19,"A"))*4)+((COUNTIF('Elève (6ème2)'!HZ19:IB19,"B"))*3)+((COUNTIF('Elève (6ème2)'!HZ19:IB19,"C"))*2)+((COUNTIF('Elève (6ème2)'!HZ19:IB19,"D"))*1))/(COUNTA(HZ19:IB19)),"")</f>
        <v/>
      </c>
      <c r="ID18" s="128" t="str">
        <f t="shared" si="54"/>
        <v/>
      </c>
      <c r="IE18" s="177">
        <f>IFERROR((((COUNTIF(HP19:HR19,"A")+COUNTIF(HU19:HW19,"A")+COUNTIF(HZ19:IB19,"A"))*4)+((COUNTIF(HP19:HR19,"B")+COUNTIF(HU19:HW19,"B")+COUNTIF(HZ19:IB19,"B"))*3)+((COUNTIF(HP19:HR19,"C")+COUNTIF(HU19:HW19,"C")+COUNTIF(HZ19:IB19,"C"))*2)+((COUNTIF(HP19:HR19,"D")+COUNTIF(HU19:HW19,"D")+COUNTIF(HZ19:IB19,"D"))*1))/(COUNTA(HP19:HR19)+COUNTA(HU19:HW19)+COUNTA(HZ19:IB19)),"")</f>
        <v>4</v>
      </c>
      <c r="IF18" s="130" t="str">
        <f t="shared" si="55"/>
        <v>A</v>
      </c>
      <c r="IG18" s="152"/>
      <c r="IH18" s="190"/>
      <c r="II18" s="185"/>
      <c r="IJ18" s="129">
        <f>IFERROR((((COUNTIF('Elève (6ème2)'!IG19:II19,"A"))*4)+((COUNTIF('Elève (6ème2)'!IG19:II19,"B"))*3)+((COUNTIF('Elève (6ème2)'!IG19:II19,"C"))*2)+((COUNTIF('Elève (6ème2)'!IG19:II19,"D"))*1))/(COUNTA(IG19:II19)),"")</f>
        <v>4</v>
      </c>
      <c r="IK18" s="107" t="str">
        <f t="shared" si="56"/>
        <v>A</v>
      </c>
      <c r="IL18" s="204"/>
      <c r="IM18" s="186"/>
      <c r="IN18" s="205"/>
      <c r="IO18" s="129" t="str">
        <f>IFERROR((((COUNTIF('Elève (6ème2)'!IL19:IN19,"A"))*4)+((COUNTIF('Elève (6ème2)'!IL19:IN19,"B"))*3)+((COUNTIF('Elève (6ème2)'!IL19:IN19,"C"))*2)+((COUNTIF('Elève (6ème2)'!IL19:IN19,"D"))*1))/(COUNTA(IL19:IN19)),"")</f>
        <v/>
      </c>
      <c r="IP18" s="121" t="str">
        <f t="shared" si="57"/>
        <v/>
      </c>
      <c r="IQ18" s="100"/>
      <c r="IR18" s="187"/>
      <c r="IS18" s="188"/>
      <c r="IT18" s="129" t="str">
        <f>IFERROR((((COUNTIF('Elève (6ème2)'!IQ19:IS19,"A"))*4)+((COUNTIF('Elève (6ème2)'!IQ19:IS19,"B"))*3)+((COUNTIF('Elève (6ème2)'!IQ19:IS19,"C"))*2)+((COUNTIF('Elève (6ème2)'!IQ19:IS19,"D"))*1))/(COUNTA(IQ19:IS19)),"")</f>
        <v/>
      </c>
      <c r="IU18" s="128" t="str">
        <f t="shared" si="58"/>
        <v/>
      </c>
      <c r="IV18" s="177">
        <f>IFERROR((((COUNTIF(IG19:II19,"A")+COUNTIF(IL19:IN19,"A")+COUNTIF(IQ19:IS19,"A"))*4)+((COUNTIF(IG19:II19,"B")+COUNTIF(IL19:IN19,"B")+COUNTIF(IQ19:IS19,"B"))*3)+((COUNTIF(IG19:II19,"C")+COUNTIF(IL19:IN19,"C")+COUNTIF(IQ19:IS19,"C"))*2)+((COUNTIF(IG19:II19,"D")+COUNTIF(IL19:IN19,"D")+COUNTIF(IQ19:IS19,"D"))*1))/(COUNTA(IG19:II19)+COUNTA(IL19:IN19)+COUNTA(IQ19:IS19)),"")</f>
        <v>4</v>
      </c>
      <c r="IW18" s="130" t="str">
        <f t="shared" si="59"/>
        <v>A</v>
      </c>
      <c r="IX18" s="152"/>
      <c r="IY18" s="190"/>
      <c r="IZ18" s="185"/>
      <c r="JA18" s="129">
        <f>IFERROR((((COUNTIF('Elève (6ème2)'!IX19:IZ19,"A"))*4)+((COUNTIF('Elève (6ème2)'!IX19:IZ19,"B"))*3)+((COUNTIF('Elève (6ème2)'!IX19:IZ19,"C"))*2)+((COUNTIF('Elève (6ème2)'!IX19:IZ19,"D"))*1))/(COUNTA(IX19:IZ19)),"")</f>
        <v>4</v>
      </c>
      <c r="JB18" s="107" t="str">
        <f t="shared" si="60"/>
        <v>A</v>
      </c>
      <c r="JC18" s="204"/>
      <c r="JD18" s="186"/>
      <c r="JE18" s="205"/>
      <c r="JF18" s="129" t="str">
        <f>IFERROR((((COUNTIF('Elève (6ème2)'!JC19:JE19,"A"))*4)+((COUNTIF('Elève (6ème2)'!JC19:JE19,"B"))*3)+((COUNTIF('Elève (6ème2)'!JC19:JE19,"C"))*2)+((COUNTIF('Elève (6ème2)'!JC19:JE19,"D"))*1))/(COUNTA(JC19:JE19)),"")</f>
        <v/>
      </c>
      <c r="JG18" s="121" t="str">
        <f t="shared" si="61"/>
        <v/>
      </c>
      <c r="JH18" s="100"/>
      <c r="JI18" s="187"/>
      <c r="JJ18" s="188"/>
      <c r="JK18" s="129" t="str">
        <f>IFERROR((((COUNTIF('Elève (6ème2)'!JH19:JJ19,"A"))*4)+((COUNTIF('Elève (6ème2)'!JH19:JJ19,"B"))*3)+((COUNTIF('Elève (6ème2)'!JH19:JJ19,"C"))*2)+((COUNTIF('Elève (6ème2)'!JH19:JJ19,"D"))*1))/(COUNTA(JH19:JJ19)),"")</f>
        <v/>
      </c>
      <c r="JL18" s="128" t="str">
        <f t="shared" si="62"/>
        <v/>
      </c>
      <c r="JM18" s="177">
        <f>IFERROR((((COUNTIF(IX19:IZ19,"A")+COUNTIF(JC19:JE19,"A")+COUNTIF(JH19:JJ19,"A"))*4)+((COUNTIF(IX19:IZ19,"B")+COUNTIF(JC19:JE19,"B")+COUNTIF(JH19:JJ19,"B"))*3)+((COUNTIF(IX19:IZ19,"C")+COUNTIF(JC19:JE19,"C")+COUNTIF(JH19:JJ19,"C"))*2)+((COUNTIF(IX19:IZ19,"D")+COUNTIF(JC19:JE19,"D")+COUNTIF(JH19:JJ19,"D"))*1))/(COUNTA(IX19:IZ19)+COUNTA(JC19:JE19)+COUNTA(JH19:JJ19)),"")</f>
        <v>4</v>
      </c>
      <c r="JN18" s="130" t="str">
        <f t="shared" si="63"/>
        <v>A</v>
      </c>
      <c r="JO18" s="152"/>
      <c r="JP18" s="190"/>
      <c r="JQ18" s="185"/>
      <c r="JR18" s="129">
        <f>IFERROR((((COUNTIF('Elève (6ème2)'!JO19:JQ19,"A"))*4)+((COUNTIF('Elève (6ème2)'!JO19:JQ19,"B"))*3)+((COUNTIF('Elève (6ème2)'!JO19:JQ19,"C"))*2)+((COUNTIF('Elève (6ème2)'!JO19:JQ19,"D"))*1))/(COUNTA(JO19:JQ19)),"")</f>
        <v>4</v>
      </c>
      <c r="JS18" s="107" t="str">
        <f t="shared" si="64"/>
        <v>A</v>
      </c>
      <c r="JT18" s="204"/>
      <c r="JU18" s="186"/>
      <c r="JV18" s="205"/>
      <c r="JW18" s="129" t="str">
        <f>IFERROR((((COUNTIF('Elève (6ème2)'!JT19:JV19,"A"))*4)+((COUNTIF('Elève (6ème2)'!JT19:JV19,"B"))*3)+((COUNTIF('Elève (6ème2)'!JT19:JV19,"C"))*2)+((COUNTIF('Elève (6ème2)'!JT19:JV19,"D"))*1))/(COUNTA(JT19:JV19)),"")</f>
        <v/>
      </c>
      <c r="JX18" s="121" t="str">
        <f t="shared" si="65"/>
        <v/>
      </c>
      <c r="JY18" s="100"/>
      <c r="JZ18" s="187"/>
      <c r="KA18" s="188"/>
      <c r="KB18" s="129" t="str">
        <f>IFERROR((((COUNTIF('Elève (6ème2)'!JY19:KA19,"A"))*4)+((COUNTIF('Elève (6ème2)'!JY19:KA19,"B"))*3)+((COUNTIF('Elève (6ème2)'!JY19:KA19,"C"))*2)+((COUNTIF('Elève (6ème2)'!JY19:KA19,"D"))*1))/(COUNTA(JY19:KA19)),"")</f>
        <v/>
      </c>
      <c r="KC18" s="128" t="str">
        <f t="shared" si="66"/>
        <v/>
      </c>
      <c r="KD18" s="177">
        <f>IFERROR((((COUNTIF(JO19:JQ19,"A")+COUNTIF(JT19:JV19,"A")+COUNTIF(JY19:KA19,"A"))*4)+((COUNTIF(JO19:JQ19,"B")+COUNTIF(JT19:JV19,"B")+COUNTIF(JY19:KA19,"B"))*3)+((COUNTIF(JO19:JQ19,"C")+COUNTIF(JT19:JV19,"C")+COUNTIF(JY19:KA19,"C"))*2)+((COUNTIF(JO19:JQ19,"D")+COUNTIF(JT19:JV19,"D")+COUNTIF(JY19:KA19,"D"))*1))/(COUNTA(JO19:JQ19)+COUNTA(JT19:JV19)+COUNTA(JY19:KA19)),"")</f>
        <v>4</v>
      </c>
      <c r="KE18" s="130" t="str">
        <f t="shared" si="67"/>
        <v>A</v>
      </c>
      <c r="KF18" s="152"/>
      <c r="KG18" s="190"/>
      <c r="KH18" s="185"/>
      <c r="KI18" s="129">
        <f>IFERROR((((COUNTIF('Elève (6ème2)'!KF19:KH19,"A"))*4)+((COUNTIF('Elève (6ème2)'!KF19:KH19,"B"))*3)+((COUNTIF('Elève (6ème2)'!KF19:KH19,"C"))*2)+((COUNTIF('Elève (6ème2)'!KF19:KH19,"D"))*1))/(COUNTA(KF19:KH19)),"")</f>
        <v>4</v>
      </c>
      <c r="KJ18" s="107" t="str">
        <f t="shared" si="68"/>
        <v>A</v>
      </c>
      <c r="KK18" s="204"/>
      <c r="KL18" s="186"/>
      <c r="KM18" s="205"/>
      <c r="KN18" s="129" t="str">
        <f>IFERROR((((COUNTIF('Elève (6ème2)'!KK19:KM19,"A"))*4)+((COUNTIF('Elève (6ème2)'!KK19:KM19,"B"))*3)+((COUNTIF('Elève (6ème2)'!KK19:KM19,"C"))*2)+((COUNTIF('Elève (6ème2)'!KK19:KM19,"D"))*1))/(COUNTA(KK19:KM19)),"")</f>
        <v/>
      </c>
      <c r="KO18" s="121" t="str">
        <f t="shared" si="69"/>
        <v/>
      </c>
      <c r="KP18" s="100"/>
      <c r="KQ18" s="187"/>
      <c r="KR18" s="188"/>
      <c r="KS18" s="129" t="str">
        <f>IFERROR((((COUNTIF('Elève (6ème2)'!KP19:KR19,"A"))*4)+((COUNTIF('Elève (6ème2)'!KP19:KR19,"B"))*3)+((COUNTIF('Elève (6ème2)'!KP19:KR19,"C"))*2)+((COUNTIF('Elève (6ème2)'!KP19:KR19,"D"))*1))/(COUNTA(KP19:KR19)),"")</f>
        <v/>
      </c>
      <c r="KT18" s="128" t="str">
        <f t="shared" si="70"/>
        <v/>
      </c>
      <c r="KU18" s="177">
        <f>IFERROR((((COUNTIF(KF19:KH19,"A")+COUNTIF(KK19:KM19,"A")+COUNTIF(KP19:KR19,"A"))*4)+((COUNTIF(KF19:KH19,"B")+COUNTIF(KK19:KM19,"B")+COUNTIF(KP19:KR19,"B"))*3)+((COUNTIF(KF19:KH19,"C")+COUNTIF(KK19:KM19,"C")+COUNTIF(KP19:KR19,"C"))*2)+((COUNTIF(KF19:KH19,"D")+COUNTIF(KK19:KM19,"D")+COUNTIF(KP19:KR19,"D"))*1))/(COUNTA(KF19:KH19)+COUNTA(KK19:KM19)+COUNTA(KP19:KR19)),"")</f>
        <v>4</v>
      </c>
      <c r="KV18" s="130" t="str">
        <f t="shared" si="71"/>
        <v>A</v>
      </c>
      <c r="KW18" s="152"/>
      <c r="KX18" s="190"/>
      <c r="KY18" s="185"/>
      <c r="KZ18" s="129">
        <f>IFERROR((((COUNTIF('Elève (6ème2)'!KW19:KY19,"A"))*4)+((COUNTIF('Elève (6ème2)'!KW19:KY19,"B"))*3)+((COUNTIF('Elève (6ème2)'!KW19:KY19,"C"))*2)+((COUNTIF('Elève (6ème2)'!KW19:KY19,"D"))*1))/(COUNTA(KW19:KY19)),"")</f>
        <v>4</v>
      </c>
      <c r="LA18" s="107" t="str">
        <f t="shared" si="72"/>
        <v>A</v>
      </c>
      <c r="LB18" s="204"/>
      <c r="LC18" s="186"/>
      <c r="LD18" s="205"/>
      <c r="LE18" s="129" t="str">
        <f>IFERROR((((COUNTIF('Elève (6ème2)'!LB19:LD19,"A"))*4)+((COUNTIF('Elève (6ème2)'!LB19:LD19,"B"))*3)+((COUNTIF('Elève (6ème2)'!LB19:LD19,"C"))*2)+((COUNTIF('Elève (6ème2)'!LB19:LD19,"D"))*1))/(COUNTA(LB19:LD19)),"")</f>
        <v/>
      </c>
      <c r="LF18" s="121" t="str">
        <f t="shared" si="73"/>
        <v/>
      </c>
      <c r="LG18" s="100"/>
      <c r="LH18" s="187"/>
      <c r="LI18" s="188"/>
      <c r="LJ18" s="129" t="str">
        <f>IFERROR((((COUNTIF('Elève (6ème2)'!LG19:LI19,"A"))*4)+((COUNTIF('Elève (6ème2)'!LG19:LI19,"B"))*3)+((COUNTIF('Elève (6ème2)'!LG19:LI19,"C"))*2)+((COUNTIF('Elève (6ème2)'!LG19:LI19,"D"))*1))/(COUNTA(LG19:LI19)),"")</f>
        <v/>
      </c>
      <c r="LK18" s="128" t="str">
        <f t="shared" si="74"/>
        <v/>
      </c>
      <c r="LL18" s="177">
        <f>IFERROR((((COUNTIF(KW19:KY19,"A")+COUNTIF(LB19:LD19,"A")+COUNTIF(LG19:LI19,"A"))*4)+((COUNTIF(KW19:KY19,"B")+COUNTIF(LB19:LD19,"B")+COUNTIF(LG19:LI19,"B"))*3)+((COUNTIF(KW19:KY19,"C")+COUNTIF(LB19:LD19,"C")+COUNTIF(LG19:LI19,"C"))*2)+((COUNTIF(KW19:KY19,"D")+COUNTIF(LB19:LD19,"D")+COUNTIF(LG19:LI19,"D"))*1))/(COUNTA(KW19:KY19)+COUNTA(LB19:LD19)+COUNTA(LG19:LI19)),"")</f>
        <v>4</v>
      </c>
      <c r="LM18" s="130" t="str">
        <f t="shared" si="75"/>
        <v>A</v>
      </c>
      <c r="LN18" s="152"/>
      <c r="LO18" s="190"/>
      <c r="LP18" s="185"/>
      <c r="LQ18" s="129">
        <f>IFERROR((((COUNTIF('Elève (6ème2)'!LN19:LP19,"A"))*4)+((COUNTIF('Elève (6ème2)'!LN19:LP19,"B"))*3)+((COUNTIF('Elève (6ème2)'!LN19:LP19,"C"))*2)+((COUNTIF('Elève (6ème2)'!LN19:LP19,"D"))*1))/(COUNTA(LN19:LP19)),"")</f>
        <v>4</v>
      </c>
      <c r="LR18" s="107" t="str">
        <f t="shared" si="76"/>
        <v>A</v>
      </c>
      <c r="LS18" s="204"/>
      <c r="LT18" s="186"/>
      <c r="LU18" s="205"/>
      <c r="LV18" s="129" t="str">
        <f>IFERROR((((COUNTIF('Elève (6ème2)'!LS19:LU19,"A"))*4)+((COUNTIF('Elève (6ème2)'!LS19:LU19,"B"))*3)+((COUNTIF('Elève (6ème2)'!LS19:LU19,"C"))*2)+((COUNTIF('Elève (6ème2)'!LS19:LU19,"D"))*1))/(COUNTA(LS19:LU19)),"")</f>
        <v/>
      </c>
      <c r="LW18" s="121" t="str">
        <f t="shared" si="77"/>
        <v/>
      </c>
      <c r="LX18" s="100"/>
      <c r="LY18" s="187"/>
      <c r="LZ18" s="188"/>
      <c r="MA18" s="129" t="str">
        <f>IFERROR((((COUNTIF('Elève (6ème2)'!LX19:LZ19,"A"))*4)+((COUNTIF('Elève (6ème2)'!LX19:LZ19,"B"))*3)+((COUNTIF('Elève (6ème2)'!LX19:LZ19,"C"))*2)+((COUNTIF('Elève (6ème2)'!LX19:LZ19,"D"))*1))/(COUNTA(LX19:LZ19)),"")</f>
        <v/>
      </c>
      <c r="MB18" s="128" t="str">
        <f t="shared" si="78"/>
        <v/>
      </c>
      <c r="MC18" s="177">
        <f>IFERROR((((COUNTIF(LN19:LP19,"A")+COUNTIF(LS19:LU19,"A")+COUNTIF(LX19:LZ19,"A"))*4)+((COUNTIF(LN19:LP19,"B")+COUNTIF(LS19:LU19,"B")+COUNTIF(LX19:LZ19,"B"))*3)+((COUNTIF(LN19:LP19,"C")+COUNTIF(LS19:LU19,"C")+COUNTIF(LX19:LZ19,"C"))*2)+((COUNTIF(LN19:LP19,"D")+COUNTIF(LS19:LU19,"D")+COUNTIF(LX19:LZ19,"D"))*1))/(COUNTA(LN19:LP19)+COUNTA(LS19:LU19)+COUNTA(LX19:LZ19)),"")</f>
        <v>4</v>
      </c>
      <c r="MD18" s="130" t="str">
        <f t="shared" si="79"/>
        <v>A</v>
      </c>
      <c r="ME18" s="152"/>
      <c r="MF18" s="190"/>
      <c r="MG18" s="185"/>
      <c r="MH18" s="129">
        <f>IFERROR((((COUNTIF('Elève (6ème2)'!ME19:MG19,"A"))*4)+((COUNTIF('Elève (6ème2)'!ME19:MG19,"B"))*3)+((COUNTIF('Elève (6ème2)'!ME19:MG19,"C"))*2)+((COUNTIF('Elève (6ème2)'!ME19:MG19,"D"))*1))/(COUNTA(ME19:MG19)),"")</f>
        <v>4</v>
      </c>
      <c r="MI18" s="107" t="str">
        <f t="shared" si="80"/>
        <v>A</v>
      </c>
      <c r="MJ18" s="204"/>
      <c r="MK18" s="186"/>
      <c r="ML18" s="205"/>
      <c r="MM18" s="129" t="str">
        <f>IFERROR((((COUNTIF('Elève (6ème2)'!MJ19:ML19,"A"))*4)+((COUNTIF('Elève (6ème2)'!MJ19:ML19,"B"))*3)+((COUNTIF('Elève (6ème2)'!MJ19:ML19,"C"))*2)+((COUNTIF('Elève (6ème2)'!MJ19:ML19,"D"))*1))/(COUNTA(MJ19:ML19)),"")</f>
        <v/>
      </c>
      <c r="MN18" s="121" t="str">
        <f t="shared" si="81"/>
        <v/>
      </c>
      <c r="MO18" s="100"/>
      <c r="MP18" s="187"/>
      <c r="MQ18" s="188"/>
      <c r="MR18" s="129" t="str">
        <f>IFERROR((((COUNTIF('Elève (6ème2)'!MO19:MQ19,"A"))*4)+((COUNTIF('Elève (6ème2)'!MO19:MQ19,"B"))*3)+((COUNTIF('Elève (6ème2)'!MO19:MQ19,"C"))*2)+((COUNTIF('Elève (6ème2)'!MO19:MQ19,"D"))*1))/(COUNTA(MO19:MQ19)),"")</f>
        <v/>
      </c>
      <c r="MS18" s="128" t="str">
        <f t="shared" si="82"/>
        <v/>
      </c>
      <c r="MT18" s="177">
        <f>IFERROR((((COUNTIF(ME19:MG19,"A")+COUNTIF(MJ19:ML19,"A")+COUNTIF(MO19:MQ19,"A"))*4)+((COUNTIF(ME19:MG19,"B")+COUNTIF(MJ19:ML19,"B")+COUNTIF(MO19:MQ19,"B"))*3)+((COUNTIF(ME19:MG19,"C")+COUNTIF(MJ19:ML19,"C")+COUNTIF(MO19:MQ19,"C"))*2)+((COUNTIF(ME19:MG19,"D")+COUNTIF(MJ19:ML19,"D")+COUNTIF(MO19:MQ19,"D"))*1))/(COUNTA(ME19:MG19)+COUNTA(MJ19:ML19)+COUNTA(MO19:MQ19)),"")</f>
        <v>4</v>
      </c>
      <c r="MU18" s="130" t="str">
        <f t="shared" si="83"/>
        <v>A</v>
      </c>
      <c r="MV18" s="152"/>
      <c r="MW18" s="190"/>
      <c r="MX18" s="185"/>
      <c r="MY18" s="129">
        <f>IFERROR((((COUNTIF('Elève (6ème2)'!MV19:MX19,"A"))*4)+((COUNTIF('Elève (6ème2)'!MV19:MX19,"B"))*3)+((COUNTIF('Elève (6ème2)'!MV19:MX19,"C"))*2)+((COUNTIF('Elève (6ème2)'!MV19:MX19,"D"))*1))/(COUNTA(MV19:MX19)),"")</f>
        <v>4</v>
      </c>
      <c r="MZ18" s="107" t="str">
        <f t="shared" si="84"/>
        <v>A</v>
      </c>
      <c r="NA18" s="204"/>
      <c r="NB18" s="186"/>
      <c r="NC18" s="205"/>
      <c r="ND18" s="129" t="str">
        <f>IFERROR((((COUNTIF('Elève (6ème2)'!NA19:NC19,"A"))*4)+((COUNTIF('Elève (6ème2)'!NA19:NC19,"B"))*3)+((COUNTIF('Elève (6ème2)'!NA19:NC19,"C"))*2)+((COUNTIF('Elève (6ème2)'!NA19:NC19,"D"))*1))/(COUNTA(NA19:NC19)),"")</f>
        <v/>
      </c>
      <c r="NE18" s="121" t="str">
        <f t="shared" si="85"/>
        <v/>
      </c>
      <c r="NF18" s="100"/>
      <c r="NG18" s="187"/>
      <c r="NH18" s="188"/>
      <c r="NI18" s="129" t="str">
        <f>IFERROR((((COUNTIF('Elève (6ème2)'!NF19:NH19,"A"))*4)+((COUNTIF('Elève (6ème2)'!NF19:NH19,"B"))*3)+((COUNTIF('Elève (6ème2)'!NF19:NH19,"C"))*2)+((COUNTIF('Elève (6ème2)'!NF19:NH19,"D"))*1))/(COUNTA(NF19:NH19)),"")</f>
        <v/>
      </c>
      <c r="NJ18" s="128" t="str">
        <f t="shared" si="86"/>
        <v/>
      </c>
      <c r="NK18" s="177">
        <f>IFERROR((((COUNTIF(MV19:MX19,"A")+COUNTIF(NA19:NC19,"A")+COUNTIF(NF19:NH19,"A"))*4)+((COUNTIF(MV19:MX19,"B")+COUNTIF(NA19:NC19,"B")+COUNTIF(NF19:NH19,"B"))*3)+((COUNTIF(MV19:MX19,"C")+COUNTIF(NA19:NC19,"C")+COUNTIF(NF19:NH19,"C"))*2)+((COUNTIF(MV19:MX19,"D")+COUNTIF(NA19:NC19,"D")+COUNTIF(NF19:NH19,"D"))*1))/(COUNTA(MV19:MX19)+COUNTA(NA19:NC19)+COUNTA(NF19:NH19)),"")</f>
        <v>4</v>
      </c>
      <c r="NL18" s="130" t="str">
        <f t="shared" si="87"/>
        <v>A</v>
      </c>
      <c r="NM18" s="152"/>
      <c r="NN18" s="190"/>
      <c r="NO18" s="185"/>
      <c r="NP18" s="129" t="str">
        <f>IFERROR((((COUNTIF('Elève (6ème2)'!NM19:NO19,"A"))*4)+((COUNTIF('Elève (6ème2)'!NM19:NO19,"B"))*3)+((COUNTIF('Elève (6ème2)'!NM19:NO19,"C"))*2)+((COUNTIF('Elève (6ème2)'!NM19:NO19,"D"))*1))/(COUNTA(NM19:NO19)),"")</f>
        <v/>
      </c>
      <c r="NQ18" s="107" t="str">
        <f t="shared" si="88"/>
        <v/>
      </c>
      <c r="NR18" s="204"/>
      <c r="NS18" s="186"/>
      <c r="NT18" s="205"/>
      <c r="NU18" s="129" t="str">
        <f>IFERROR((((COUNTIF('Elève (6ème2)'!NR19:NT19,"A"))*4)+((COUNTIF('Elève (6ème2)'!NR19:NT19,"B"))*3)+((COUNTIF('Elève (6ème2)'!NR19:NT19,"C"))*2)+((COUNTIF('Elève (6ème2)'!NR19:NT19,"D"))*1))/(COUNTA(NR19:NT19)),"")</f>
        <v/>
      </c>
      <c r="NV18" s="121" t="str">
        <f t="shared" si="89"/>
        <v/>
      </c>
      <c r="NW18" s="100"/>
      <c r="NX18" s="187"/>
      <c r="NY18" s="188"/>
      <c r="NZ18" s="129" t="str">
        <f>IFERROR((((COUNTIF('Elève (6ème2)'!NW19:NY19,"A"))*4)+((COUNTIF('Elève (6ème2)'!NW19:NY19,"B"))*3)+((COUNTIF('Elève (6ème2)'!NW19:NY19,"C"))*2)+((COUNTIF('Elève (6ème2)'!NW19:NY19,"D"))*1))/(COUNTA(NW19:NY19)),"")</f>
        <v/>
      </c>
      <c r="OA18" s="128" t="str">
        <f t="shared" si="90"/>
        <v/>
      </c>
      <c r="OB18" s="177" t="str">
        <f>IFERROR((((COUNTIF(NM19:NO19,"A")+COUNTIF(NR19:NT19,"A")+COUNTIF(NW19:NY19,"A"))*4)+((COUNTIF(NM19:NO19,"B")+COUNTIF(NR19:NT19,"B")+COUNTIF(NW19:NY19,"B"))*3)+((COUNTIF(NM19:NO19,"C")+COUNTIF(NR19:NT19,"C")+COUNTIF(NW19:NY19,"C"))*2)+((COUNTIF(NM19:NO19,"D")+COUNTIF(NR19:NT19,"D")+COUNTIF(NW19:NY19,"D"))*1))/(COUNTA(NM19:NO19)+COUNTA(NR19:NT19)+COUNTA(NW19:NY19)),"")</f>
        <v/>
      </c>
      <c r="OC18" s="130" t="str">
        <f t="shared" si="91"/>
        <v/>
      </c>
      <c r="OD18" s="152"/>
      <c r="OE18" s="190"/>
      <c r="OF18" s="185"/>
      <c r="OG18" s="129">
        <f>IFERROR((((COUNTIF('Elève (6ème2)'!OD19:OF19,"A"))*4)+((COUNTIF('Elève (6ème2)'!OD19:OF19,"B"))*3)+((COUNTIF('Elève (6ème2)'!OD19:OF19,"C"))*2)+((COUNTIF('Elève (6ème2)'!OD19:OF19,"D"))*1))/(COUNTA(OD19:OF19)),"")</f>
        <v>4</v>
      </c>
      <c r="OH18" s="107" t="str">
        <f t="shared" si="92"/>
        <v>A</v>
      </c>
      <c r="OI18" s="204"/>
      <c r="OJ18" s="186"/>
      <c r="OK18" s="205"/>
      <c r="OL18" s="129" t="str">
        <f>IFERROR((((COUNTIF('Elève (6ème2)'!OI19:OK19,"A"))*4)+((COUNTIF('Elève (6ème2)'!OI19:OK19,"B"))*3)+((COUNTIF('Elève (6ème2)'!OI19:OK19,"C"))*2)+((COUNTIF('Elève (6ème2)'!OI19:OK19,"D"))*1))/(COUNTA(OI19:OK19)),"")</f>
        <v/>
      </c>
      <c r="OM18" s="121" t="str">
        <f t="shared" si="93"/>
        <v/>
      </c>
      <c r="ON18" s="100"/>
      <c r="OO18" s="187"/>
      <c r="OP18" s="188"/>
      <c r="OQ18" s="129" t="str">
        <f>IFERROR((((COUNTIF('Elève (6ème2)'!ON19:OP19,"A"))*4)+((COUNTIF('Elève (6ème2)'!ON19:OP19,"B"))*3)+((COUNTIF('Elève (6ème2)'!ON19:OP19,"C"))*2)+((COUNTIF('Elève (6ème2)'!ON19:OP19,"D"))*1))/(COUNTA(ON19:OP19)),"")</f>
        <v/>
      </c>
      <c r="OR18" s="128" t="str">
        <f t="shared" si="94"/>
        <v/>
      </c>
      <c r="OS18" s="177">
        <f>IFERROR((((COUNTIF(OD19:OF19,"A")+COUNTIF(OI19:OK19,"A")+COUNTIF(ON19:OP19,"A"))*4)+((COUNTIF(OD19:OF19,"B")+COUNTIF(OI19:OK19,"B")+COUNTIF(ON19:OP19,"B"))*3)+((COUNTIF(OD19:OF19,"C")+COUNTIF(OI19:OK19,"C")+COUNTIF(ON19:OP19,"C"))*2)+((COUNTIF(OD19:OF19,"D")+COUNTIF(OI19:OK19,"D")+COUNTIF(ON19:OP19,"D"))*1))/(COUNTA(OD19:OF19)+COUNTA(OI19:OK19)+COUNTA(ON19:OP19)),"")</f>
        <v>4</v>
      </c>
      <c r="OT18" s="130" t="str">
        <f t="shared" si="95"/>
        <v>A</v>
      </c>
      <c r="OU18" s="152"/>
      <c r="OV18" s="190"/>
      <c r="OW18" s="185"/>
      <c r="OX18" s="129">
        <f>IFERROR((((COUNTIF('Elève (6ème2)'!OU19:OW19,"A"))*4)+((COUNTIF('Elève (6ème2)'!OU19:OW19,"B"))*3)+((COUNTIF('Elève (6ème2)'!OU19:OW19,"C"))*2)+((COUNTIF('Elève (6ème2)'!OU19:OW19,"D"))*1))/(COUNTA(OU19:OW19)),"")</f>
        <v>4</v>
      </c>
      <c r="OY18" s="107" t="str">
        <f t="shared" si="96"/>
        <v>A</v>
      </c>
      <c r="OZ18" s="204"/>
      <c r="PA18" s="186"/>
      <c r="PB18" s="205"/>
      <c r="PC18" s="129" t="str">
        <f>IFERROR((((COUNTIF('Elève (6ème2)'!OZ19:PB19,"A"))*4)+((COUNTIF('Elève (6ème2)'!OZ19:PB19,"B"))*3)+((COUNTIF('Elève (6ème2)'!OZ19:PB19,"C"))*2)+((COUNTIF('Elève (6ème2)'!OZ19:PB19,"D"))*1))/(COUNTA(OZ19:PB19)),"")</f>
        <v/>
      </c>
      <c r="PD18" s="121" t="str">
        <f t="shared" si="97"/>
        <v/>
      </c>
      <c r="PE18" s="100"/>
      <c r="PF18" s="187"/>
      <c r="PG18" s="188"/>
      <c r="PH18" s="129" t="str">
        <f>IFERROR((((COUNTIF('Elève (6ème2)'!PE19:PG19,"A"))*4)+((COUNTIF('Elève (6ème2)'!PE19:PG19,"B"))*3)+((COUNTIF('Elève (6ème2)'!PE19:PG19,"C"))*2)+((COUNTIF('Elève (6ème2)'!PE19:PG19,"D"))*1))/(COUNTA(PE19:PG19)),"")</f>
        <v/>
      </c>
      <c r="PI18" s="128" t="str">
        <f t="shared" si="98"/>
        <v/>
      </c>
      <c r="PJ18" s="177">
        <f>IFERROR((((COUNTIF(OU19:OW19,"A")+COUNTIF(OZ19:PB19,"A")+COUNTIF(PE19:PG19,"A"))*4)+((COUNTIF(OU19:OW19,"B")+COUNTIF(OZ19:PB19,"B")+COUNTIF(PE19:PG19,"B"))*3)+((COUNTIF(OU19:OW19,"C")+COUNTIF(OZ19:PB19,"C")+COUNTIF(PE19:PG19,"C"))*2)+((COUNTIF(OU19:OW19,"D")+COUNTIF(OZ19:PB19,"D")+COUNTIF(PE19:PG19,"D"))*1))/(COUNTA(OU19:OW19)+COUNTA(OZ19:PB19)+COUNTA(PE19:PG19)),"")</f>
        <v>4</v>
      </c>
      <c r="PK18" s="130" t="str">
        <f t="shared" si="99"/>
        <v>A</v>
      </c>
      <c r="PL18" s="152"/>
      <c r="PM18" s="190"/>
      <c r="PN18" s="185"/>
      <c r="PO18" s="129">
        <f>IFERROR((((COUNTIF('Elève (6ème2)'!PL19:PN19,"A"))*4)+((COUNTIF('Elève (6ème2)'!PL19:PN19,"B"))*3)+((COUNTIF('Elève (6ème2)'!PL19:PN19,"C"))*2)+((COUNTIF('Elève (6ème2)'!PL19:PN19,"D"))*1))/(COUNTA(PL19:PN19)),"")</f>
        <v>4</v>
      </c>
      <c r="PP18" s="107" t="str">
        <f t="shared" si="100"/>
        <v>A</v>
      </c>
      <c r="PQ18" s="204"/>
      <c r="PR18" s="186"/>
      <c r="PS18" s="205"/>
      <c r="PT18" s="129" t="str">
        <f>IFERROR((((COUNTIF('Elève (6ème2)'!PQ19:PS19,"A"))*4)+((COUNTIF('Elève (6ème2)'!PQ19:PS19,"B"))*3)+((COUNTIF('Elève (6ème2)'!PQ19:PS19,"C"))*2)+((COUNTIF('Elève (6ème2)'!PQ19:PS19,"D"))*1))/(COUNTA(PQ19:PS19)),"")</f>
        <v/>
      </c>
      <c r="PU18" s="121" t="str">
        <f t="shared" si="101"/>
        <v/>
      </c>
      <c r="PV18" s="100"/>
      <c r="PW18" s="187"/>
      <c r="PX18" s="188"/>
      <c r="PY18" s="129" t="str">
        <f>IFERROR((((COUNTIF('Elève (6ème2)'!PV19:PX19,"A"))*4)+((COUNTIF('Elève (6ème2)'!PV19:PX19,"B"))*3)+((COUNTIF('Elève (6ème2)'!PV19:PX19,"C"))*2)+((COUNTIF('Elève (6ème2)'!PV19:PX19,"D"))*1))/(COUNTA(PV19:PX19)),"")</f>
        <v/>
      </c>
      <c r="PZ18" s="128" t="str">
        <f t="shared" si="102"/>
        <v/>
      </c>
      <c r="QA18" s="177">
        <f>IFERROR((((COUNTIF(PL19:PN19,"A")+COUNTIF(PQ19:PS19,"A")+COUNTIF(PV19:PX19,"A"))*4)+((COUNTIF(PL19:PN19,"B")+COUNTIF(PQ19:PS19,"B")+COUNTIF(PV19:PX19,"B"))*3)+((COUNTIF(PL19:PN19,"C")+COUNTIF(PQ19:PS19,"C")+COUNTIF(PV19:PX19,"C"))*2)+((COUNTIF(PL19:PN19,"D")+COUNTIF(PQ19:PS19,"D")+COUNTIF(PV19:PX19,"D"))*1))/(COUNTA(PL19:PN19)+COUNTA(PQ19:PS19)+COUNTA(PV19:PX19)),"")</f>
        <v>4</v>
      </c>
      <c r="QB18" s="130" t="str">
        <f t="shared" si="103"/>
        <v>A</v>
      </c>
      <c r="QC18" s="152"/>
      <c r="QD18" s="190"/>
      <c r="QE18" s="185"/>
      <c r="QF18" s="129">
        <f>IFERROR((((COUNTIF('Elève (6ème2)'!QC19:QE19,"A"))*4)+((COUNTIF('Elève (6ème2)'!QC19:QE19,"B"))*3)+((COUNTIF('Elève (6ème2)'!QC19:QE19,"C"))*2)+((COUNTIF('Elève (6ème2)'!QC19:QE19,"D"))*1))/(COUNTA(QC19:QE19)),"")</f>
        <v>4</v>
      </c>
      <c r="QG18" s="107" t="str">
        <f t="shared" si="104"/>
        <v>A</v>
      </c>
      <c r="QH18" s="204"/>
      <c r="QI18" s="186"/>
      <c r="QJ18" s="205"/>
      <c r="QK18" s="129" t="str">
        <f>IFERROR((((COUNTIF('Elève (6ème2)'!QH19:QJ19,"A"))*4)+((COUNTIF('Elève (6ème2)'!QH19:QJ19,"B"))*3)+((COUNTIF('Elève (6ème2)'!QH19:QJ19,"C"))*2)+((COUNTIF('Elève (6ème2)'!QH19:QJ19,"D"))*1))/(COUNTA(QH19:QJ19)),"")</f>
        <v/>
      </c>
      <c r="QL18" s="121" t="str">
        <f t="shared" si="105"/>
        <v/>
      </c>
      <c r="QM18" s="100"/>
      <c r="QN18" s="187"/>
      <c r="QO18" s="188"/>
      <c r="QP18" s="129" t="str">
        <f>IFERROR((((COUNTIF('Elève (6ème2)'!QM19:QO19,"A"))*4)+((COUNTIF('Elève (6ème2)'!QM19:QO19,"B"))*3)+((COUNTIF('Elève (6ème2)'!QM19:QO19,"C"))*2)+((COUNTIF('Elève (6ème2)'!QM19:QO19,"D"))*1))/(COUNTA(QM19:QO19)),"")</f>
        <v/>
      </c>
      <c r="QQ18" s="128" t="str">
        <f t="shared" si="106"/>
        <v/>
      </c>
      <c r="QR18" s="177">
        <f>IFERROR((((COUNTIF(QC19:QE19,"A")+COUNTIF(QH19:QJ19,"A")+COUNTIF(QM19:QO19,"A"))*4)+((COUNTIF(QC19:QE19,"B")+COUNTIF(QH19:QJ19,"B")+COUNTIF(QM19:QO19,"B"))*3)+((COUNTIF(QC19:QE19,"C")+COUNTIF(QH19:QJ19,"C")+COUNTIF(QM19:QO19,"C"))*2)+((COUNTIF(QC19:QE19,"D")+COUNTIF(QH19:QJ19,"D")+COUNTIF(QM19:QO19,"D"))*1))/(COUNTA(QC19:QE19)+COUNTA(QH19:QJ19)+COUNTA(QM19:QO19)),"")</f>
        <v>4</v>
      </c>
      <c r="QS18" s="130" t="str">
        <f t="shared" si="107"/>
        <v>A</v>
      </c>
      <c r="QT18" s="152"/>
      <c r="QU18" s="190"/>
      <c r="QV18" s="185"/>
      <c r="QW18" s="129" t="str">
        <f>IFERROR((((COUNTIF('Elève (6ème2)'!QT19:QV19,"A"))*4)+((COUNTIF('Elève (6ème2)'!QT19:QV19,"B"))*3)+((COUNTIF('Elève (6ème2)'!QT19:QV19,"C"))*2)+((COUNTIF('Elève (6ème2)'!QT19:QV19,"D"))*1))/(COUNTA(QT19:QV19)),"")</f>
        <v/>
      </c>
      <c r="QX18" s="107" t="str">
        <f t="shared" si="108"/>
        <v/>
      </c>
      <c r="QY18" s="204"/>
      <c r="QZ18" s="186"/>
      <c r="RA18" s="205"/>
      <c r="RB18" s="129" t="str">
        <f>IFERROR((((COUNTIF('Elève (6ème2)'!QY19:RA19,"A"))*4)+((COUNTIF('Elève (6ème2)'!QY19:RA19,"B"))*3)+((COUNTIF('Elève (6ème2)'!QY19:RA19,"C"))*2)+((COUNTIF('Elève (6ème2)'!QY19:RA19,"D"))*1))/(COUNTA(QY19:RA19)),"")</f>
        <v/>
      </c>
      <c r="RC18" s="121" t="str">
        <f t="shared" si="109"/>
        <v/>
      </c>
      <c r="RD18" s="100"/>
      <c r="RE18" s="187"/>
      <c r="RF18" s="188"/>
      <c r="RG18" s="129" t="str">
        <f>IFERROR((((COUNTIF('Elève (6ème2)'!RD19:RF19,"A"))*4)+((COUNTIF('Elève (6ème2)'!RD19:RF19,"B"))*3)+((COUNTIF('Elève (6ème2)'!RD19:RF19,"C"))*2)+((COUNTIF('Elève (6ème2)'!RD19:RF19,"D"))*1))/(COUNTA(RD19:RF19)),"")</f>
        <v/>
      </c>
      <c r="RH18" s="128" t="str">
        <f t="shared" si="110"/>
        <v/>
      </c>
      <c r="RI18" s="177" t="str">
        <f>IFERROR((((COUNTIF(QT19:QV19,"A")+COUNTIF(QY19:RA19,"A")+COUNTIF(RD19:RF19,"A"))*4)+((COUNTIF(QT19:QV19,"B")+COUNTIF(QY19:RA19,"B")+COUNTIF(RD19:RF19,"B"))*3)+((COUNTIF(QT19:QV19,"C")+COUNTIF(QY19:RA19,"C")+COUNTIF(RD19:RF19,"C"))*2)+((COUNTIF(QT19:QV19,"D")+COUNTIF(QY19:RA19,"D")+COUNTIF(RD19:RF19,"D"))*1))/(COUNTA(QT19:QV19)+COUNTA(QY19:RA19)+COUNTA(RD19:RF19)),"")</f>
        <v/>
      </c>
      <c r="RJ18" s="130" t="str">
        <f t="shared" si="111"/>
        <v/>
      </c>
      <c r="RK18" s="152"/>
      <c r="RL18" s="190"/>
      <c r="RM18" s="185"/>
      <c r="RN18" s="129" t="str">
        <f>IFERROR((((COUNTIF('Elève (6ème2)'!RK19:RM19,"A"))*4)+((COUNTIF('Elève (6ème2)'!RK19:RM19,"B"))*3)+((COUNTIF('Elève (6ème2)'!RK19:RM19,"C"))*2)+((COUNTIF('Elève (6ème2)'!RK19:RM19,"D"))*1))/(COUNTA(RK19:RM19)),"")</f>
        <v/>
      </c>
      <c r="RO18" s="107" t="str">
        <f t="shared" si="112"/>
        <v/>
      </c>
      <c r="RP18" s="204"/>
      <c r="RQ18" s="186"/>
      <c r="RR18" s="205"/>
      <c r="RS18" s="129" t="str">
        <f>IFERROR((((COUNTIF('Elève (6ème2)'!RP19:RR19,"A"))*4)+((COUNTIF('Elève (6ème2)'!RP19:RR19,"B"))*3)+((COUNTIF('Elève (6ème2)'!RP19:RR19,"C"))*2)+((COUNTIF('Elève (6ème2)'!RP19:RR19,"D"))*1))/(COUNTA(RP19:RR19)),"")</f>
        <v/>
      </c>
      <c r="RT18" s="121" t="str">
        <f t="shared" si="113"/>
        <v/>
      </c>
      <c r="RU18" s="100"/>
      <c r="RV18" s="187"/>
      <c r="RW18" s="188"/>
      <c r="RX18" s="129" t="str">
        <f>IFERROR((((COUNTIF('Elève (6ème2)'!RU19:RW19,"A"))*4)+((COUNTIF('Elève (6ème2)'!RU19:RW19,"B"))*3)+((COUNTIF('Elève (6ème2)'!RU19:RW19,"C"))*2)+((COUNTIF('Elève (6ème2)'!RU19:RW19,"D"))*1))/(COUNTA(RU19:RW19)),"")</f>
        <v/>
      </c>
      <c r="RY18" s="128" t="str">
        <f t="shared" si="114"/>
        <v/>
      </c>
      <c r="RZ18" s="177" t="str">
        <f>IFERROR((((COUNTIF(RK19:RM19,"A")+COUNTIF(RP19:RR19,"A")+COUNTIF(RU19:RW19,"A"))*4)+((COUNTIF(RK19:RM19,"B")+COUNTIF(RP19:RR19,"B")+COUNTIF(RU19:RW19,"B"))*3)+((COUNTIF(RK19:RM19,"C")+COUNTIF(RP19:RR19,"C")+COUNTIF(RU19:RW19,"C"))*2)+((COUNTIF(RK19:RM19,"D")+COUNTIF(RP19:RR19,"D")+COUNTIF(RU19:RW19,"D"))*1))/(COUNTA(RK19:RM19)+COUNTA(RP19:RR19)+COUNTA(RU19:RW19)),"")</f>
        <v/>
      </c>
      <c r="SA18" s="130" t="str">
        <f t="shared" si="115"/>
        <v/>
      </c>
      <c r="SB18" s="152"/>
      <c r="SC18" s="190"/>
      <c r="SD18" s="185"/>
      <c r="SE18" s="129" t="str">
        <f>IFERROR((((COUNTIF('Elève (6ème2)'!SB19:SD19,"A"))*4)+((COUNTIF('Elève (6ème2)'!SB19:SD19,"B"))*3)+((COUNTIF('Elève (6ème2)'!SB19:SD19,"C"))*2)+((COUNTIF('Elève (6ème2)'!SB19:SD19,"D"))*1))/(COUNTA(SB19:SD19)),"")</f>
        <v/>
      </c>
      <c r="SF18" s="107" t="str">
        <f t="shared" si="116"/>
        <v/>
      </c>
      <c r="SG18" s="204"/>
      <c r="SH18" s="186"/>
      <c r="SI18" s="205"/>
      <c r="SJ18" s="129" t="str">
        <f>IFERROR((((COUNTIF('Elève (6ème2)'!SG19:SI19,"A"))*4)+((COUNTIF('Elève (6ème2)'!SG19:SI19,"B"))*3)+((COUNTIF('Elève (6ème2)'!SG19:SI19,"C"))*2)+((COUNTIF('Elève (6ème2)'!SG19:SI19,"D"))*1))/(COUNTA(SG19:SI19)),"")</f>
        <v/>
      </c>
      <c r="SK18" s="121" t="str">
        <f t="shared" si="117"/>
        <v/>
      </c>
      <c r="SL18" s="100"/>
      <c r="SM18" s="187"/>
      <c r="SN18" s="188"/>
      <c r="SO18" s="129" t="str">
        <f>IFERROR((((COUNTIF('Elève (6ème2)'!SL19:SN19,"A"))*4)+((COUNTIF('Elève (6ème2)'!SL19:SN19,"B"))*3)+((COUNTIF('Elève (6ème2)'!SL19:SN19,"C"))*2)+((COUNTIF('Elève (6ème2)'!SL19:SN19,"D"))*1))/(COUNTA(SL19:SN19)),"")</f>
        <v/>
      </c>
      <c r="SP18" s="128" t="str">
        <f t="shared" si="118"/>
        <v/>
      </c>
      <c r="SQ18" s="177" t="str">
        <f>IFERROR((((COUNTIF(SB19:SD19,"A")+COUNTIF(SG19:SI19,"A")+COUNTIF(SL19:SN19,"A"))*4)+((COUNTIF(SB19:SD19,"B")+COUNTIF(SG19:SI19,"B")+COUNTIF(SL19:SN19,"B"))*3)+((COUNTIF(SB19:SD19,"C")+COUNTIF(SG19:SI19,"C")+COUNTIF(SL19:SN19,"C"))*2)+((COUNTIF(SB19:SD19,"D")+COUNTIF(SG19:SI19,"D")+COUNTIF(SL19:SN19,"D"))*1))/(COUNTA(SB19:SD19)+COUNTA(SG19:SI19)+COUNTA(SL19:SN19)),"")</f>
        <v/>
      </c>
      <c r="SR18" s="130" t="str">
        <f t="shared" si="119"/>
        <v/>
      </c>
    </row>
    <row r="19" spans="1:512" s="72" customFormat="1" ht="18" customHeight="1" thickBot="1" x14ac:dyDescent="0.3">
      <c r="A19" s="236" t="s">
        <v>22</v>
      </c>
      <c r="B19" s="237"/>
      <c r="C19" s="164" t="s">
        <v>24</v>
      </c>
      <c r="D19" s="165"/>
      <c r="E19" s="163"/>
      <c r="F19" s="114">
        <f>IFERROR((((COUNTIF('Elève (6ème2)'!C19:E19,"A"))*4)+((COUNTIF('Elève (6ème2)'!C19:E19,"B"))*3)+((COUNTIF('Elève (6ème2)'!C19:E19,"C"))*2)+((COUNTIF('Elève (6ème2)'!C19:E19,"D"))*1))/(COUNTA(C19:E19)),"")</f>
        <v>4</v>
      </c>
      <c r="G19" s="115" t="str">
        <f t="shared" si="0"/>
        <v>A</v>
      </c>
      <c r="H19" s="166"/>
      <c r="I19" s="90"/>
      <c r="J19" s="138"/>
      <c r="K19" s="114" t="str">
        <f>IFERROR((((COUNTIF('Elève (6ème2)'!H19:J19,"A"))*4)+((COUNTIF('Elève (6ème2)'!H19:J19,"B"))*3)+((COUNTIF('Elève (6ème2)'!H19:J19,"C"))*2)+((COUNTIF('Elève (6ème2)'!H19:J19,"D"))*1))/(COUNTA(H19:J19)),"")</f>
        <v/>
      </c>
      <c r="L19" s="115" t="str">
        <f t="shared" si="1"/>
        <v/>
      </c>
      <c r="M19" s="89"/>
      <c r="N19" s="90"/>
      <c r="O19" s="138"/>
      <c r="P19" s="114" t="str">
        <f>IFERROR((((COUNTIF('Elève (6ème2)'!M19:O19,"A"))*4)+((COUNTIF('Elève (6ème2)'!M19:O19,"B"))*3)+((COUNTIF('Elève (6ème2)'!M19:O19,"C"))*2)+((COUNTIF('Elève (6ème2)'!M19:O19,"D"))*1))/(COUNTA(M19:O19)),"")</f>
        <v/>
      </c>
      <c r="Q19" s="115" t="str">
        <f t="shared" si="2"/>
        <v/>
      </c>
      <c r="R19" s="181">
        <f>IF(COUNT(F19,K19,P19)=0,"",SUM(F19,K19,P19)/COUNT(F19,K19,P19))</f>
        <v>4</v>
      </c>
      <c r="S19" s="140" t="str">
        <f t="shared" si="3"/>
        <v>A</v>
      </c>
      <c r="T19" s="164" t="s">
        <v>24</v>
      </c>
      <c r="U19" s="165"/>
      <c r="V19" s="163"/>
      <c r="W19" s="114">
        <f>IFERROR((((COUNTIF('Elève (6ème2)'!T19:V19,"A"))*4)+((COUNTIF('Elève (6ème2)'!T19:V19,"B"))*3)+((COUNTIF('Elève (6ème2)'!T19:V19,"C"))*2)+((COUNTIF('Elève (6ème2)'!T19:V19,"D"))*1))/(COUNTA(T19:V19)),"")</f>
        <v>4</v>
      </c>
      <c r="X19" s="115" t="str">
        <f t="shared" si="4"/>
        <v>A</v>
      </c>
      <c r="Y19" s="166"/>
      <c r="Z19" s="90"/>
      <c r="AA19" s="138"/>
      <c r="AB19" s="114" t="str">
        <f>IFERROR((((COUNTIF('Elève (6ème2)'!Y19:AA19,"A"))*4)+((COUNTIF('Elève (6ème2)'!Y19:AA19,"B"))*3)+((COUNTIF('Elève (6ème2)'!Y19:AA19,"C"))*2)+((COUNTIF('Elève (6ème2)'!Y19:AA19,"D"))*1))/(COUNTA(Y19:AA19)),"")</f>
        <v/>
      </c>
      <c r="AC19" s="115" t="str">
        <f t="shared" si="5"/>
        <v/>
      </c>
      <c r="AD19" s="89"/>
      <c r="AE19" s="90"/>
      <c r="AF19" s="138"/>
      <c r="AG19" s="114" t="str">
        <f>IFERROR((((COUNTIF('Elève (6ème2)'!AD19:AF19,"A"))*4)+((COUNTIF('Elève (6ème2)'!AD19:AF19,"B"))*3)+((COUNTIF('Elève (6ème2)'!AD19:AF19,"C"))*2)+((COUNTIF('Elève (6ème2)'!AD19:AF19,"D"))*1))/(COUNTA(AD19:AF19)),"")</f>
        <v/>
      </c>
      <c r="AH19" s="115" t="str">
        <f t="shared" si="6"/>
        <v/>
      </c>
      <c r="AI19" s="181">
        <f>IF(COUNT(W19,AB19,AG19)=0,"",SUM(W19,AB19,AG19)/COUNT(W19,AB19,AG19))</f>
        <v>4</v>
      </c>
      <c r="AJ19" s="140" t="str">
        <f t="shared" si="7"/>
        <v>A</v>
      </c>
      <c r="AK19" s="164" t="s">
        <v>24</v>
      </c>
      <c r="AL19" s="165"/>
      <c r="AM19" s="163"/>
      <c r="AN19" s="114">
        <f>IFERROR((((COUNTIF('Elève (6ème2)'!AK19:AM19,"A"))*4)+((COUNTIF('Elève (6ème2)'!AK19:AM19,"B"))*3)+((COUNTIF('Elève (6ème2)'!AK19:AM19,"C"))*2)+((COUNTIF('Elève (6ème2)'!AK19:AM19,"D"))*1))/(COUNTA(AK19:AM19)),"")</f>
        <v>4</v>
      </c>
      <c r="AO19" s="115" t="str">
        <f t="shared" si="8"/>
        <v>A</v>
      </c>
      <c r="AP19" s="166"/>
      <c r="AQ19" s="90"/>
      <c r="AR19" s="138"/>
      <c r="AS19" s="114" t="str">
        <f>IFERROR((((COUNTIF('Elève (6ème2)'!AP19:AR19,"A"))*4)+((COUNTIF('Elève (6ème2)'!AP19:AR19,"B"))*3)+((COUNTIF('Elève (6ème2)'!AP19:AR19,"C"))*2)+((COUNTIF('Elève (6ème2)'!AP19:AR19,"D"))*1))/(COUNTA(AP19:AR19)),"")</f>
        <v/>
      </c>
      <c r="AT19" s="115" t="str">
        <f t="shared" si="9"/>
        <v/>
      </c>
      <c r="AU19" s="89"/>
      <c r="AV19" s="90"/>
      <c r="AW19" s="138"/>
      <c r="AX19" s="114" t="str">
        <f>IFERROR((((COUNTIF('Elève (6ème2)'!AU19:AW19,"A"))*4)+((COUNTIF('Elève (6ème2)'!AU19:AW19,"B"))*3)+((COUNTIF('Elève (6ème2)'!AU19:AW19,"C"))*2)+((COUNTIF('Elève (6ème2)'!AU19:AW19,"D"))*1))/(COUNTA(AU19:AW19)),"")</f>
        <v/>
      </c>
      <c r="AY19" s="115" t="str">
        <f t="shared" si="10"/>
        <v/>
      </c>
      <c r="AZ19" s="181">
        <f>IF(COUNT(AN19,AS19,AX19)=0,"",SUM(AN19,AS19,AX19)/COUNT(AN19,AS19,AX19))</f>
        <v>4</v>
      </c>
      <c r="BA19" s="140" t="str">
        <f t="shared" si="11"/>
        <v>A</v>
      </c>
      <c r="BB19" s="164" t="s">
        <v>24</v>
      </c>
      <c r="BC19" s="165"/>
      <c r="BD19" s="163"/>
      <c r="BE19" s="114">
        <f>IFERROR((((COUNTIF('Elève (6ème2)'!BB19:BD19,"A"))*4)+((COUNTIF('Elève (6ème2)'!BB19:BD19,"B"))*3)+((COUNTIF('Elève (6ème2)'!BB19:BD19,"C"))*2)+((COUNTIF('Elève (6ème2)'!BB19:BD19,"D"))*1))/(COUNTA(BB19:BD19)),"")</f>
        <v>4</v>
      </c>
      <c r="BF19" s="115" t="str">
        <f t="shared" si="12"/>
        <v>A</v>
      </c>
      <c r="BG19" s="166"/>
      <c r="BH19" s="90"/>
      <c r="BI19" s="138"/>
      <c r="BJ19" s="114" t="str">
        <f>IFERROR((((COUNTIF('Elève (6ème2)'!BG19:BI19,"A"))*4)+((COUNTIF('Elève (6ème2)'!BG19:BI19,"B"))*3)+((COUNTIF('Elève (6ème2)'!BG19:BI19,"C"))*2)+((COUNTIF('Elève (6ème2)'!BG19:BI19,"D"))*1))/(COUNTA(BG19:BI19)),"")</f>
        <v/>
      </c>
      <c r="BK19" s="115" t="str">
        <f t="shared" si="13"/>
        <v/>
      </c>
      <c r="BL19" s="89"/>
      <c r="BM19" s="90"/>
      <c r="BN19" s="138"/>
      <c r="BO19" s="114" t="str">
        <f>IFERROR((((COUNTIF('Elève (6ème2)'!BL19:BN19,"A"))*4)+((COUNTIF('Elève (6ème2)'!BL19:BN19,"B"))*3)+((COUNTIF('Elève (6ème2)'!BL19:BN19,"C"))*2)+((COUNTIF('Elève (6ème2)'!BL19:BN19,"D"))*1))/(COUNTA(BL19:BN19)),"")</f>
        <v/>
      </c>
      <c r="BP19" s="115" t="str">
        <f t="shared" si="14"/>
        <v/>
      </c>
      <c r="BQ19" s="181">
        <f>IF(COUNT(BE19,BJ19,BO19)=0,"",SUM(BE19,BJ19,BO19)/COUNT(BE19,BJ19,BO19))</f>
        <v>4</v>
      </c>
      <c r="BR19" s="140" t="str">
        <f t="shared" si="15"/>
        <v>A</v>
      </c>
      <c r="BS19" s="164" t="s">
        <v>24</v>
      </c>
      <c r="BT19" s="165"/>
      <c r="BU19" s="163"/>
      <c r="BV19" s="114">
        <f>IFERROR((((COUNTIF('Elève (6ème2)'!BS19:BU19,"A"))*4)+((COUNTIF('Elève (6ème2)'!BS19:BU19,"B"))*3)+((COUNTIF('Elève (6ème2)'!BS19:BU19,"C"))*2)+((COUNTIF('Elève (6ème2)'!BS19:BU19,"D"))*1))/(COUNTA(BS19:BU19)),"")</f>
        <v>4</v>
      </c>
      <c r="BW19" s="115" t="str">
        <f t="shared" si="16"/>
        <v>A</v>
      </c>
      <c r="BX19" s="166"/>
      <c r="BY19" s="90"/>
      <c r="BZ19" s="138"/>
      <c r="CA19" s="114" t="str">
        <f>IFERROR((((COUNTIF('Elève (6ème2)'!BX19:BZ19,"A"))*4)+((COUNTIF('Elève (6ème2)'!BX19:BZ19,"B"))*3)+((COUNTIF('Elève (6ème2)'!BX19:BZ19,"C"))*2)+((COUNTIF('Elève (6ème2)'!BX19:BZ19,"D"))*1))/(COUNTA(BX19:BZ19)),"")</f>
        <v/>
      </c>
      <c r="CB19" s="115" t="str">
        <f t="shared" si="17"/>
        <v/>
      </c>
      <c r="CC19" s="89"/>
      <c r="CD19" s="90"/>
      <c r="CE19" s="138"/>
      <c r="CF19" s="114" t="str">
        <f>IFERROR((((COUNTIF('Elève (6ème2)'!CC19:CE19,"A"))*4)+((COUNTIF('Elève (6ème2)'!CC19:CE19,"B"))*3)+((COUNTIF('Elève (6ème2)'!CC19:CE19,"C"))*2)+((COUNTIF('Elève (6ème2)'!CC19:CE19,"D"))*1))/(COUNTA(CC19:CE19)),"")</f>
        <v/>
      </c>
      <c r="CG19" s="115" t="str">
        <f t="shared" si="18"/>
        <v/>
      </c>
      <c r="CH19" s="181">
        <f>IF(COUNT(BV19,CA19,CF19)=0,"",SUM(BV19,CA19,CF19)/COUNT(BV19,CA19,CF19))</f>
        <v>4</v>
      </c>
      <c r="CI19" s="140" t="str">
        <f t="shared" si="19"/>
        <v>A</v>
      </c>
      <c r="CJ19" s="164" t="s">
        <v>24</v>
      </c>
      <c r="CK19" s="165"/>
      <c r="CL19" s="163"/>
      <c r="CM19" s="114">
        <f>IFERROR((((COUNTIF('Elève (6ème2)'!CJ19:CL19,"A"))*4)+((COUNTIF('Elève (6ème2)'!CJ19:CL19,"B"))*3)+((COUNTIF('Elève (6ème2)'!CJ19:CL19,"C"))*2)+((COUNTIF('Elève (6ème2)'!CJ19:CL19,"D"))*1))/(COUNTA(CJ19:CL19)),"")</f>
        <v>4</v>
      </c>
      <c r="CN19" s="115" t="str">
        <f t="shared" si="20"/>
        <v>A</v>
      </c>
      <c r="CO19" s="166"/>
      <c r="CP19" s="90"/>
      <c r="CQ19" s="138"/>
      <c r="CR19" s="114" t="str">
        <f>IFERROR((((COUNTIF('Elève (6ème2)'!CO19:CQ19,"A"))*4)+((COUNTIF('Elève (6ème2)'!CO19:CQ19,"B"))*3)+((COUNTIF('Elève (6ème2)'!CO19:CQ19,"C"))*2)+((COUNTIF('Elève (6ème2)'!CO19:CQ19,"D"))*1))/(COUNTA(CO19:CQ19)),"")</f>
        <v/>
      </c>
      <c r="CS19" s="115" t="str">
        <f t="shared" si="21"/>
        <v/>
      </c>
      <c r="CT19" s="89"/>
      <c r="CU19" s="90"/>
      <c r="CV19" s="138"/>
      <c r="CW19" s="114" t="str">
        <f>IFERROR((((COUNTIF('Elève (6ème2)'!CT19:CV19,"A"))*4)+((COUNTIF('Elève (6ème2)'!CT19:CV19,"B"))*3)+((COUNTIF('Elève (6ème2)'!CT19:CV19,"C"))*2)+((COUNTIF('Elève (6ème2)'!CT19:CV19,"D"))*1))/(COUNTA(CT19:CV19)),"")</f>
        <v/>
      </c>
      <c r="CX19" s="115" t="str">
        <f t="shared" si="22"/>
        <v/>
      </c>
      <c r="CY19" s="181">
        <f>IF(COUNT(CM19,CR19,CW19)=0,"",SUM(CM19,CR19,CW19)/COUNT(CM19,CR19,CW19))</f>
        <v>4</v>
      </c>
      <c r="CZ19" s="140" t="str">
        <f t="shared" si="23"/>
        <v>A</v>
      </c>
      <c r="DA19" s="164" t="s">
        <v>24</v>
      </c>
      <c r="DB19" s="165"/>
      <c r="DC19" s="163"/>
      <c r="DD19" s="114">
        <f>IFERROR((((COUNTIF('Elève (6ème2)'!DA19:DC19,"A"))*4)+((COUNTIF('Elève (6ème2)'!DA19:DC19,"B"))*3)+((COUNTIF('Elève (6ème2)'!DA19:DC19,"C"))*2)+((COUNTIF('Elève (6ème2)'!DA19:DC19,"D"))*1))/(COUNTA(DA19:DC19)),"")</f>
        <v>4</v>
      </c>
      <c r="DE19" s="115" t="str">
        <f t="shared" si="24"/>
        <v>A</v>
      </c>
      <c r="DF19" s="166"/>
      <c r="DG19" s="90"/>
      <c r="DH19" s="138"/>
      <c r="DI19" s="114" t="str">
        <f>IFERROR((((COUNTIF('Elève (6ème2)'!DF19:DH19,"A"))*4)+((COUNTIF('Elève (6ème2)'!DF19:DH19,"B"))*3)+((COUNTIF('Elève (6ème2)'!DF19:DH19,"C"))*2)+((COUNTIF('Elève (6ème2)'!DF19:DH19,"D"))*1))/(COUNTA(DF19:DH19)),"")</f>
        <v/>
      </c>
      <c r="DJ19" s="115" t="str">
        <f t="shared" si="25"/>
        <v/>
      </c>
      <c r="DK19" s="89"/>
      <c r="DL19" s="90"/>
      <c r="DM19" s="138"/>
      <c r="DN19" s="114" t="str">
        <f>IFERROR((((COUNTIF('Elève (6ème2)'!DK19:DM19,"A"))*4)+((COUNTIF('Elève (6ème2)'!DK19:DM19,"B"))*3)+((COUNTIF('Elève (6ème2)'!DK19:DM19,"C"))*2)+((COUNTIF('Elève (6ème2)'!DK19:DM19,"D"))*1))/(COUNTA(DK19:DM19)),"")</f>
        <v/>
      </c>
      <c r="DO19" s="115" t="str">
        <f t="shared" si="26"/>
        <v/>
      </c>
      <c r="DP19" s="181">
        <f>IF(COUNT(DD19,DI19,DN19)=0,"",SUM(DD19,DI19,DN19)/COUNT(DD19,DI19,DN19))</f>
        <v>4</v>
      </c>
      <c r="DQ19" s="140" t="str">
        <f t="shared" si="27"/>
        <v>A</v>
      </c>
      <c r="DR19" s="164" t="s">
        <v>24</v>
      </c>
      <c r="DS19" s="165"/>
      <c r="DT19" s="163"/>
      <c r="DU19" s="114">
        <f>IFERROR((((COUNTIF('Elève (6ème2)'!DR19:DT19,"A"))*4)+((COUNTIF('Elève (6ème2)'!DR19:DT19,"B"))*3)+((COUNTIF('Elève (6ème2)'!DR19:DT19,"C"))*2)+((COUNTIF('Elève (6ème2)'!DR19:DT19,"D"))*1))/(COUNTA(DR19:DT19)),"")</f>
        <v>4</v>
      </c>
      <c r="DV19" s="115" t="str">
        <f t="shared" si="28"/>
        <v>A</v>
      </c>
      <c r="DW19" s="166"/>
      <c r="DX19" s="90"/>
      <c r="DY19" s="138"/>
      <c r="DZ19" s="114" t="str">
        <f>IFERROR((((COUNTIF('Elève (6ème2)'!DW19:DY19,"A"))*4)+((COUNTIF('Elève (6ème2)'!DW19:DY19,"B"))*3)+((COUNTIF('Elève (6ème2)'!DW19:DY19,"C"))*2)+((COUNTIF('Elève (6ème2)'!DW19:DY19,"D"))*1))/(COUNTA(DW19:DY19)),"")</f>
        <v/>
      </c>
      <c r="EA19" s="115" t="str">
        <f t="shared" si="29"/>
        <v/>
      </c>
      <c r="EB19" s="89"/>
      <c r="EC19" s="90"/>
      <c r="ED19" s="138"/>
      <c r="EE19" s="114" t="str">
        <f>IFERROR((((COUNTIF('Elève (6ème2)'!EB19:ED19,"A"))*4)+((COUNTIF('Elève (6ème2)'!EB19:ED19,"B"))*3)+((COUNTIF('Elève (6ème2)'!EB19:ED19,"C"))*2)+((COUNTIF('Elève (6ème2)'!EB19:ED19,"D"))*1))/(COUNTA(EB19:ED19)),"")</f>
        <v/>
      </c>
      <c r="EF19" s="115" t="str">
        <f t="shared" si="30"/>
        <v/>
      </c>
      <c r="EG19" s="181">
        <f>IF(COUNT(DU19,DZ19,EE19)=0,"",SUM(DU19,DZ19,EE19)/COUNT(DU19,DZ19,EE19))</f>
        <v>4</v>
      </c>
      <c r="EH19" s="140" t="str">
        <f t="shared" si="31"/>
        <v>A</v>
      </c>
      <c r="EI19" s="164" t="s">
        <v>24</v>
      </c>
      <c r="EJ19" s="165"/>
      <c r="EK19" s="163"/>
      <c r="EL19" s="114">
        <f>IFERROR((((COUNTIF('Elève (6ème2)'!EI19:EK19,"A"))*4)+((COUNTIF('Elève (6ème2)'!EI19:EK19,"B"))*3)+((COUNTIF('Elève (6ème2)'!EI19:EK19,"C"))*2)+((COUNTIF('Elève (6ème2)'!EI19:EK19,"D"))*1))/(COUNTA(EI19:EK19)),"")</f>
        <v>4</v>
      </c>
      <c r="EM19" s="115" t="str">
        <f t="shared" si="32"/>
        <v>A</v>
      </c>
      <c r="EN19" s="166"/>
      <c r="EO19" s="90"/>
      <c r="EP19" s="138"/>
      <c r="EQ19" s="114" t="str">
        <f>IFERROR((((COUNTIF('Elève (6ème2)'!EN19:EP19,"A"))*4)+((COUNTIF('Elève (6ème2)'!EN19:EP19,"B"))*3)+((COUNTIF('Elève (6ème2)'!EN19:EP19,"C"))*2)+((COUNTIF('Elève (6ème2)'!EN19:EP19,"D"))*1))/(COUNTA(EN19:EP19)),"")</f>
        <v/>
      </c>
      <c r="ER19" s="115" t="str">
        <f t="shared" si="33"/>
        <v/>
      </c>
      <c r="ES19" s="89"/>
      <c r="ET19" s="90"/>
      <c r="EU19" s="138"/>
      <c r="EV19" s="114" t="str">
        <f>IFERROR((((COUNTIF('Elève (6ème2)'!ES19:EU19,"A"))*4)+((COUNTIF('Elève (6ème2)'!ES19:EU19,"B"))*3)+((COUNTIF('Elève (6ème2)'!ES19:EU19,"C"))*2)+((COUNTIF('Elève (6ème2)'!ES19:EU19,"D"))*1))/(COUNTA(ES19:EU19)),"")</f>
        <v/>
      </c>
      <c r="EW19" s="115" t="str">
        <f t="shared" si="34"/>
        <v/>
      </c>
      <c r="EX19" s="181">
        <f>IF(COUNT(EL19,EQ19,EV19)=0,"",SUM(EL19,EQ19,EV19)/COUNT(EL19,EQ19,EV19))</f>
        <v>4</v>
      </c>
      <c r="EY19" s="140" t="str">
        <f t="shared" si="35"/>
        <v>A</v>
      </c>
      <c r="EZ19" s="164" t="s">
        <v>24</v>
      </c>
      <c r="FA19" s="165"/>
      <c r="FB19" s="163"/>
      <c r="FC19" s="114">
        <f>IFERROR((((COUNTIF('Elève (6ème2)'!EZ19:FB19,"A"))*4)+((COUNTIF('Elève (6ème2)'!EZ19:FB19,"B"))*3)+((COUNTIF('Elève (6ème2)'!EZ19:FB19,"C"))*2)+((COUNTIF('Elève (6ème2)'!EZ19:FB19,"D"))*1))/(COUNTA(EZ19:FB19)),"")</f>
        <v>4</v>
      </c>
      <c r="FD19" s="115" t="str">
        <f t="shared" si="36"/>
        <v>A</v>
      </c>
      <c r="FE19" s="166"/>
      <c r="FF19" s="90"/>
      <c r="FG19" s="138"/>
      <c r="FH19" s="114" t="str">
        <f>IFERROR((((COUNTIF('Elève (6ème2)'!FE19:FG19,"A"))*4)+((COUNTIF('Elève (6ème2)'!FE19:FG19,"B"))*3)+((COUNTIF('Elève (6ème2)'!FE19:FG19,"C"))*2)+((COUNTIF('Elève (6ème2)'!FE19:FG19,"D"))*1))/(COUNTA(FE19:FG19)),"")</f>
        <v/>
      </c>
      <c r="FI19" s="115" t="str">
        <f t="shared" si="37"/>
        <v/>
      </c>
      <c r="FJ19" s="89"/>
      <c r="FK19" s="90"/>
      <c r="FL19" s="138"/>
      <c r="FM19" s="114" t="str">
        <f>IFERROR((((COUNTIF('Elève (6ème2)'!FJ19:FL19,"A"))*4)+((COUNTIF('Elève (6ème2)'!FJ19:FL19,"B"))*3)+((COUNTIF('Elève (6ème2)'!FJ19:FL19,"C"))*2)+((COUNTIF('Elève (6ème2)'!FJ19:FL19,"D"))*1))/(COUNTA(FJ19:FL19)),"")</f>
        <v/>
      </c>
      <c r="FN19" s="115" t="str">
        <f t="shared" si="38"/>
        <v/>
      </c>
      <c r="FO19" s="181">
        <f>IF(COUNT(FC19,FH19,FM19)=0,"",SUM(FC19,FH19,FM19)/COUNT(FC19,FH19,FM19))</f>
        <v>4</v>
      </c>
      <c r="FP19" s="140" t="str">
        <f t="shared" si="39"/>
        <v>A</v>
      </c>
      <c r="FQ19" s="164" t="s">
        <v>24</v>
      </c>
      <c r="FR19" s="165"/>
      <c r="FS19" s="163"/>
      <c r="FT19" s="114">
        <f>IFERROR((((COUNTIF('Elève (6ème2)'!FQ19:FS19,"A"))*4)+((COUNTIF('Elève (6ème2)'!FQ19:FS19,"B"))*3)+((COUNTIF('Elève (6ème2)'!FQ19:FS19,"C"))*2)+((COUNTIF('Elève (6ème2)'!FQ19:FS19,"D"))*1))/(COUNTA(FQ19:FS19)),"")</f>
        <v>4</v>
      </c>
      <c r="FU19" s="115" t="str">
        <f t="shared" si="40"/>
        <v>A</v>
      </c>
      <c r="FV19" s="166"/>
      <c r="FW19" s="90"/>
      <c r="FX19" s="138"/>
      <c r="FY19" s="114" t="str">
        <f>IFERROR((((COUNTIF('Elève (6ème2)'!FV19:FX19,"A"))*4)+((COUNTIF('Elève (6ème2)'!FV19:FX19,"B"))*3)+((COUNTIF('Elève (6ème2)'!FV19:FX19,"C"))*2)+((COUNTIF('Elève (6ème2)'!FV19:FX19,"D"))*1))/(COUNTA(FV19:FX19)),"")</f>
        <v/>
      </c>
      <c r="FZ19" s="115" t="str">
        <f t="shared" si="41"/>
        <v/>
      </c>
      <c r="GA19" s="89"/>
      <c r="GB19" s="90"/>
      <c r="GC19" s="138"/>
      <c r="GD19" s="114" t="str">
        <f>IFERROR((((COUNTIF('Elève (6ème2)'!GA19:GC19,"A"))*4)+((COUNTIF('Elève (6ème2)'!GA19:GC19,"B"))*3)+((COUNTIF('Elève (6ème2)'!GA19:GC19,"C"))*2)+((COUNTIF('Elève (6ème2)'!GA19:GC19,"D"))*1))/(COUNTA(GA19:GC19)),"")</f>
        <v/>
      </c>
      <c r="GE19" s="115" t="str">
        <f t="shared" si="42"/>
        <v/>
      </c>
      <c r="GF19" s="181">
        <f>IF(COUNT(FT19,FY19,GD19)=0,"",SUM(FT19,FY19,GD19)/COUNT(FT19,FY19,GD19))</f>
        <v>4</v>
      </c>
      <c r="GG19" s="140" t="str">
        <f t="shared" si="43"/>
        <v>A</v>
      </c>
      <c r="GH19" s="164" t="s">
        <v>24</v>
      </c>
      <c r="GI19" s="165"/>
      <c r="GJ19" s="163"/>
      <c r="GK19" s="114">
        <f>IFERROR((((COUNTIF('Elève (6ème2)'!GH19:GJ19,"A"))*4)+((COUNTIF('Elève (6ème2)'!GH19:GJ19,"B"))*3)+((COUNTIF('Elève (6ème2)'!GH19:GJ19,"C"))*2)+((COUNTIF('Elève (6ème2)'!GH19:GJ19,"D"))*1))/(COUNTA(GH19:GJ19)),"")</f>
        <v>4</v>
      </c>
      <c r="GL19" s="115" t="str">
        <f t="shared" si="44"/>
        <v>A</v>
      </c>
      <c r="GM19" s="166"/>
      <c r="GN19" s="90"/>
      <c r="GO19" s="138"/>
      <c r="GP19" s="114" t="str">
        <f>IFERROR((((COUNTIF('Elève (6ème2)'!GM19:GO19,"A"))*4)+((COUNTIF('Elève (6ème2)'!GM19:GO19,"B"))*3)+((COUNTIF('Elève (6ème2)'!GM19:GO19,"C"))*2)+((COUNTIF('Elève (6ème2)'!GM19:GO19,"D"))*1))/(COUNTA(GM19:GO19)),"")</f>
        <v/>
      </c>
      <c r="GQ19" s="115" t="str">
        <f t="shared" si="45"/>
        <v/>
      </c>
      <c r="GR19" s="89"/>
      <c r="GS19" s="90"/>
      <c r="GT19" s="138"/>
      <c r="GU19" s="114" t="str">
        <f>IFERROR((((COUNTIF('Elève (6ème2)'!GR19:GT19,"A"))*4)+((COUNTIF('Elève (6ème2)'!GR19:GT19,"B"))*3)+((COUNTIF('Elève (6ème2)'!GR19:GT19,"C"))*2)+((COUNTIF('Elève (6ème2)'!GR19:GT19,"D"))*1))/(COUNTA(GR19:GT19)),"")</f>
        <v/>
      </c>
      <c r="GV19" s="115" t="str">
        <f t="shared" si="46"/>
        <v/>
      </c>
      <c r="GW19" s="181">
        <f>IF(COUNT(GK19,GP19,GU19)=0,"",SUM(GK19,GP19,GU19)/COUNT(GK19,GP19,GU19))</f>
        <v>4</v>
      </c>
      <c r="GX19" s="140" t="str">
        <f t="shared" si="47"/>
        <v>A</v>
      </c>
      <c r="GY19" s="164" t="s">
        <v>24</v>
      </c>
      <c r="GZ19" s="165"/>
      <c r="HA19" s="163"/>
      <c r="HB19" s="114">
        <f>IFERROR((((COUNTIF('Elève (6ème2)'!GY19:HA19,"A"))*4)+((COUNTIF('Elève (6ème2)'!GY19:HA19,"B"))*3)+((COUNTIF('Elève (6ème2)'!GY19:HA19,"C"))*2)+((COUNTIF('Elève (6ème2)'!GY19:HA19,"D"))*1))/(COUNTA(GY19:HA19)),"")</f>
        <v>4</v>
      </c>
      <c r="HC19" s="115" t="str">
        <f t="shared" si="48"/>
        <v>A</v>
      </c>
      <c r="HD19" s="166"/>
      <c r="HE19" s="90"/>
      <c r="HF19" s="138"/>
      <c r="HG19" s="114" t="str">
        <f>IFERROR((((COUNTIF('Elève (6ème2)'!HD19:HF19,"A"))*4)+((COUNTIF('Elève (6ème2)'!HD19:HF19,"B"))*3)+((COUNTIF('Elève (6ème2)'!HD19:HF19,"C"))*2)+((COUNTIF('Elève (6ème2)'!HD19:HF19,"D"))*1))/(COUNTA(HD19:HF19)),"")</f>
        <v/>
      </c>
      <c r="HH19" s="115" t="str">
        <f t="shared" si="49"/>
        <v/>
      </c>
      <c r="HI19" s="89"/>
      <c r="HJ19" s="90"/>
      <c r="HK19" s="138"/>
      <c r="HL19" s="114" t="str">
        <f>IFERROR((((COUNTIF('Elève (6ème2)'!HI19:HK19,"A"))*4)+((COUNTIF('Elève (6ème2)'!HI19:HK19,"B"))*3)+((COUNTIF('Elève (6ème2)'!HI19:HK19,"C"))*2)+((COUNTIF('Elève (6ème2)'!HI19:HK19,"D"))*1))/(COUNTA(HI19:HK19)),"")</f>
        <v/>
      </c>
      <c r="HM19" s="115" t="str">
        <f t="shared" si="50"/>
        <v/>
      </c>
      <c r="HN19" s="181">
        <f>IF(COUNT(HB19,HG19,HL19)=0,"",SUM(HB19,HG19,HL19)/COUNT(HB19,HG19,HL19))</f>
        <v>4</v>
      </c>
      <c r="HO19" s="140" t="str">
        <f t="shared" si="51"/>
        <v>A</v>
      </c>
      <c r="HP19" s="164" t="s">
        <v>24</v>
      </c>
      <c r="HQ19" s="165"/>
      <c r="HR19" s="163"/>
      <c r="HS19" s="114">
        <f>IFERROR((((COUNTIF('Elève (6ème2)'!HP19:HR19,"A"))*4)+((COUNTIF('Elève (6ème2)'!HP19:HR19,"B"))*3)+((COUNTIF('Elève (6ème2)'!HP19:HR19,"C"))*2)+((COUNTIF('Elève (6ème2)'!HP19:HR19,"D"))*1))/(COUNTA(HP19:HR19)),"")</f>
        <v>4</v>
      </c>
      <c r="HT19" s="115" t="str">
        <f t="shared" si="52"/>
        <v>A</v>
      </c>
      <c r="HU19" s="166"/>
      <c r="HV19" s="90"/>
      <c r="HW19" s="138"/>
      <c r="HX19" s="114" t="str">
        <f>IFERROR((((COUNTIF('Elève (6ème2)'!HU19:HW19,"A"))*4)+((COUNTIF('Elève (6ème2)'!HU19:HW19,"B"))*3)+((COUNTIF('Elève (6ème2)'!HU19:HW19,"C"))*2)+((COUNTIF('Elève (6ème2)'!HU19:HW19,"D"))*1))/(COUNTA(HU19:HW19)),"")</f>
        <v/>
      </c>
      <c r="HY19" s="115" t="str">
        <f t="shared" si="53"/>
        <v/>
      </c>
      <c r="HZ19" s="89"/>
      <c r="IA19" s="90"/>
      <c r="IB19" s="138"/>
      <c r="IC19" s="114" t="str">
        <f>IFERROR((((COUNTIF('Elève (6ème2)'!HZ19:IB19,"A"))*4)+((COUNTIF('Elève (6ème2)'!HZ19:IB19,"B"))*3)+((COUNTIF('Elève (6ème2)'!HZ19:IB19,"C"))*2)+((COUNTIF('Elève (6ème2)'!HZ19:IB19,"D"))*1))/(COUNTA(HZ19:IB19)),"")</f>
        <v/>
      </c>
      <c r="ID19" s="115" t="str">
        <f t="shared" si="54"/>
        <v/>
      </c>
      <c r="IE19" s="181">
        <f>IF(COUNT(HS19,HX19,IC19)=0,"",SUM(HS19,HX19,IC19)/COUNT(HS19,HX19,IC19))</f>
        <v>4</v>
      </c>
      <c r="IF19" s="140" t="str">
        <f t="shared" si="55"/>
        <v>A</v>
      </c>
      <c r="IG19" s="164" t="s">
        <v>24</v>
      </c>
      <c r="IH19" s="165"/>
      <c r="II19" s="163"/>
      <c r="IJ19" s="114">
        <f>IFERROR((((COUNTIF('Elève (6ème2)'!IG19:II19,"A"))*4)+((COUNTIF('Elève (6ème2)'!IG19:II19,"B"))*3)+((COUNTIF('Elève (6ème2)'!IG19:II19,"C"))*2)+((COUNTIF('Elève (6ème2)'!IG19:II19,"D"))*1))/(COUNTA(IG19:II19)),"")</f>
        <v>4</v>
      </c>
      <c r="IK19" s="115" t="str">
        <f t="shared" si="56"/>
        <v>A</v>
      </c>
      <c r="IL19" s="166"/>
      <c r="IM19" s="90"/>
      <c r="IN19" s="138"/>
      <c r="IO19" s="114" t="str">
        <f>IFERROR((((COUNTIF('Elève (6ème2)'!IL19:IN19,"A"))*4)+((COUNTIF('Elève (6ème2)'!IL19:IN19,"B"))*3)+((COUNTIF('Elève (6ème2)'!IL19:IN19,"C"))*2)+((COUNTIF('Elève (6ème2)'!IL19:IN19,"D"))*1))/(COUNTA(IL19:IN19)),"")</f>
        <v/>
      </c>
      <c r="IP19" s="115" t="str">
        <f t="shared" si="57"/>
        <v/>
      </c>
      <c r="IQ19" s="89"/>
      <c r="IR19" s="90"/>
      <c r="IS19" s="138"/>
      <c r="IT19" s="114" t="str">
        <f>IFERROR((((COUNTIF('Elève (6ème2)'!IQ19:IS19,"A"))*4)+((COUNTIF('Elève (6ème2)'!IQ19:IS19,"B"))*3)+((COUNTIF('Elève (6ème2)'!IQ19:IS19,"C"))*2)+((COUNTIF('Elève (6ème2)'!IQ19:IS19,"D"))*1))/(COUNTA(IQ19:IS19)),"")</f>
        <v/>
      </c>
      <c r="IU19" s="115" t="str">
        <f t="shared" si="58"/>
        <v/>
      </c>
      <c r="IV19" s="181">
        <f>IF(COUNT(IJ19,IO19,IT19)=0,"",SUM(IJ19,IO19,IT19)/COUNT(IJ19,IO19,IT19))</f>
        <v>4</v>
      </c>
      <c r="IW19" s="140" t="str">
        <f t="shared" si="59"/>
        <v>A</v>
      </c>
      <c r="IX19" s="164" t="s">
        <v>24</v>
      </c>
      <c r="IY19" s="165"/>
      <c r="IZ19" s="163"/>
      <c r="JA19" s="114">
        <f>IFERROR((((COUNTIF('Elève (6ème2)'!IX19:IZ19,"A"))*4)+((COUNTIF('Elève (6ème2)'!IX19:IZ19,"B"))*3)+((COUNTIF('Elève (6ème2)'!IX19:IZ19,"C"))*2)+((COUNTIF('Elève (6ème2)'!IX19:IZ19,"D"))*1))/(COUNTA(IX19:IZ19)),"")</f>
        <v>4</v>
      </c>
      <c r="JB19" s="115" t="str">
        <f t="shared" si="60"/>
        <v>A</v>
      </c>
      <c r="JC19" s="166"/>
      <c r="JD19" s="90"/>
      <c r="JE19" s="138"/>
      <c r="JF19" s="114" t="str">
        <f>IFERROR((((COUNTIF('Elève (6ème2)'!JC19:JE19,"A"))*4)+((COUNTIF('Elève (6ème2)'!JC19:JE19,"B"))*3)+((COUNTIF('Elève (6ème2)'!JC19:JE19,"C"))*2)+((COUNTIF('Elève (6ème2)'!JC19:JE19,"D"))*1))/(COUNTA(JC19:JE19)),"")</f>
        <v/>
      </c>
      <c r="JG19" s="115" t="str">
        <f t="shared" si="61"/>
        <v/>
      </c>
      <c r="JH19" s="89"/>
      <c r="JI19" s="90"/>
      <c r="JJ19" s="138"/>
      <c r="JK19" s="114" t="str">
        <f>IFERROR((((COUNTIF('Elève (6ème2)'!JH19:JJ19,"A"))*4)+((COUNTIF('Elève (6ème2)'!JH19:JJ19,"B"))*3)+((COUNTIF('Elève (6ème2)'!JH19:JJ19,"C"))*2)+((COUNTIF('Elève (6ème2)'!JH19:JJ19,"D"))*1))/(COUNTA(JH19:JJ19)),"")</f>
        <v/>
      </c>
      <c r="JL19" s="115" t="str">
        <f t="shared" si="62"/>
        <v/>
      </c>
      <c r="JM19" s="181">
        <f>IF(COUNT(JA19,JF19,JK19)=0,"",SUM(JA19,JF19,JK19)/COUNT(JA19,JF19,JK19))</f>
        <v>4</v>
      </c>
      <c r="JN19" s="140" t="str">
        <f t="shared" si="63"/>
        <v>A</v>
      </c>
      <c r="JO19" s="164" t="s">
        <v>24</v>
      </c>
      <c r="JP19" s="165"/>
      <c r="JQ19" s="163"/>
      <c r="JR19" s="114">
        <f>IFERROR((((COUNTIF('Elève (6ème2)'!JO19:JQ19,"A"))*4)+((COUNTIF('Elève (6ème2)'!JO19:JQ19,"B"))*3)+((COUNTIF('Elève (6ème2)'!JO19:JQ19,"C"))*2)+((COUNTIF('Elève (6ème2)'!JO19:JQ19,"D"))*1))/(COUNTA(JO19:JQ19)),"")</f>
        <v>4</v>
      </c>
      <c r="JS19" s="115" t="str">
        <f t="shared" si="64"/>
        <v>A</v>
      </c>
      <c r="JT19" s="166"/>
      <c r="JU19" s="90"/>
      <c r="JV19" s="138"/>
      <c r="JW19" s="114" t="str">
        <f>IFERROR((((COUNTIF('Elève (6ème2)'!JT19:JV19,"A"))*4)+((COUNTIF('Elève (6ème2)'!JT19:JV19,"B"))*3)+((COUNTIF('Elève (6ème2)'!JT19:JV19,"C"))*2)+((COUNTIF('Elève (6ème2)'!JT19:JV19,"D"))*1))/(COUNTA(JT19:JV19)),"")</f>
        <v/>
      </c>
      <c r="JX19" s="115" t="str">
        <f t="shared" si="65"/>
        <v/>
      </c>
      <c r="JY19" s="89"/>
      <c r="JZ19" s="90"/>
      <c r="KA19" s="138"/>
      <c r="KB19" s="114" t="str">
        <f>IFERROR((((COUNTIF('Elève (6ème2)'!JY19:KA19,"A"))*4)+((COUNTIF('Elève (6ème2)'!JY19:KA19,"B"))*3)+((COUNTIF('Elève (6ème2)'!JY19:KA19,"C"))*2)+((COUNTIF('Elève (6ème2)'!JY19:KA19,"D"))*1))/(COUNTA(JY19:KA19)),"")</f>
        <v/>
      </c>
      <c r="KC19" s="115" t="str">
        <f t="shared" si="66"/>
        <v/>
      </c>
      <c r="KD19" s="181">
        <f>IF(COUNT(JR19,JW19,KB19)=0,"",SUM(JR19,JW19,KB19)/COUNT(JR19,JW19,KB19))</f>
        <v>4</v>
      </c>
      <c r="KE19" s="140" t="str">
        <f t="shared" si="67"/>
        <v>A</v>
      </c>
      <c r="KF19" s="164" t="s">
        <v>24</v>
      </c>
      <c r="KG19" s="165"/>
      <c r="KH19" s="163"/>
      <c r="KI19" s="114">
        <f>IFERROR((((COUNTIF('Elève (6ème2)'!KF19:KH19,"A"))*4)+((COUNTIF('Elève (6ème2)'!KF19:KH19,"B"))*3)+((COUNTIF('Elève (6ème2)'!KF19:KH19,"C"))*2)+((COUNTIF('Elève (6ème2)'!KF19:KH19,"D"))*1))/(COUNTA(KF19:KH19)),"")</f>
        <v>4</v>
      </c>
      <c r="KJ19" s="115" t="str">
        <f t="shared" si="68"/>
        <v>A</v>
      </c>
      <c r="KK19" s="166"/>
      <c r="KL19" s="90"/>
      <c r="KM19" s="138"/>
      <c r="KN19" s="114" t="str">
        <f>IFERROR((((COUNTIF('Elève (6ème2)'!KK19:KM19,"A"))*4)+((COUNTIF('Elève (6ème2)'!KK19:KM19,"B"))*3)+((COUNTIF('Elève (6ème2)'!KK19:KM19,"C"))*2)+((COUNTIF('Elève (6ème2)'!KK19:KM19,"D"))*1))/(COUNTA(KK19:KM19)),"")</f>
        <v/>
      </c>
      <c r="KO19" s="115" t="str">
        <f t="shared" si="69"/>
        <v/>
      </c>
      <c r="KP19" s="89"/>
      <c r="KQ19" s="90"/>
      <c r="KR19" s="138"/>
      <c r="KS19" s="114" t="str">
        <f>IFERROR((((COUNTIF('Elève (6ème2)'!KP19:KR19,"A"))*4)+((COUNTIF('Elève (6ème2)'!KP19:KR19,"B"))*3)+((COUNTIF('Elève (6ème2)'!KP19:KR19,"C"))*2)+((COUNTIF('Elève (6ème2)'!KP19:KR19,"D"))*1))/(COUNTA(KP19:KR19)),"")</f>
        <v/>
      </c>
      <c r="KT19" s="115" t="str">
        <f t="shared" si="70"/>
        <v/>
      </c>
      <c r="KU19" s="181">
        <f>IF(COUNT(KI19,KN19,KS19)=0,"",SUM(KI19,KN19,KS19)/COUNT(KI19,KN19,KS19))</f>
        <v>4</v>
      </c>
      <c r="KV19" s="140" t="str">
        <f t="shared" si="71"/>
        <v>A</v>
      </c>
      <c r="KW19" s="164" t="s">
        <v>24</v>
      </c>
      <c r="KX19" s="165"/>
      <c r="KY19" s="163"/>
      <c r="KZ19" s="114">
        <f>IFERROR((((COUNTIF('Elève (6ème2)'!KW19:KY19,"A"))*4)+((COUNTIF('Elève (6ème2)'!KW19:KY19,"B"))*3)+((COUNTIF('Elève (6ème2)'!KW19:KY19,"C"))*2)+((COUNTIF('Elève (6ème2)'!KW19:KY19,"D"))*1))/(COUNTA(KW19:KY19)),"")</f>
        <v>4</v>
      </c>
      <c r="LA19" s="115" t="str">
        <f t="shared" si="72"/>
        <v>A</v>
      </c>
      <c r="LB19" s="166"/>
      <c r="LC19" s="90"/>
      <c r="LD19" s="138"/>
      <c r="LE19" s="114" t="str">
        <f>IFERROR((((COUNTIF('Elève (6ème2)'!LB19:LD19,"A"))*4)+((COUNTIF('Elève (6ème2)'!LB19:LD19,"B"))*3)+((COUNTIF('Elève (6ème2)'!LB19:LD19,"C"))*2)+((COUNTIF('Elève (6ème2)'!LB19:LD19,"D"))*1))/(COUNTA(LB19:LD19)),"")</f>
        <v/>
      </c>
      <c r="LF19" s="115" t="str">
        <f t="shared" si="73"/>
        <v/>
      </c>
      <c r="LG19" s="89"/>
      <c r="LH19" s="90"/>
      <c r="LI19" s="138"/>
      <c r="LJ19" s="114" t="str">
        <f>IFERROR((((COUNTIF('Elève (6ème2)'!LG19:LI19,"A"))*4)+((COUNTIF('Elève (6ème2)'!LG19:LI19,"B"))*3)+((COUNTIF('Elève (6ème2)'!LG19:LI19,"C"))*2)+((COUNTIF('Elève (6ème2)'!LG19:LI19,"D"))*1))/(COUNTA(LG19:LI19)),"")</f>
        <v/>
      </c>
      <c r="LK19" s="115" t="str">
        <f t="shared" si="74"/>
        <v/>
      </c>
      <c r="LL19" s="181">
        <f>IF(COUNT(KZ19,LE19,LJ19)=0,"",SUM(KZ19,LE19,LJ19)/COUNT(KZ19,LE19,LJ19))</f>
        <v>4</v>
      </c>
      <c r="LM19" s="140" t="str">
        <f t="shared" si="75"/>
        <v>A</v>
      </c>
      <c r="LN19" s="164" t="s">
        <v>24</v>
      </c>
      <c r="LO19" s="165"/>
      <c r="LP19" s="163"/>
      <c r="LQ19" s="114">
        <f>IFERROR((((COUNTIF('Elève (6ème2)'!LN19:LP19,"A"))*4)+((COUNTIF('Elève (6ème2)'!LN19:LP19,"B"))*3)+((COUNTIF('Elève (6ème2)'!LN19:LP19,"C"))*2)+((COUNTIF('Elève (6ème2)'!LN19:LP19,"D"))*1))/(COUNTA(LN19:LP19)),"")</f>
        <v>4</v>
      </c>
      <c r="LR19" s="115" t="str">
        <f t="shared" si="76"/>
        <v>A</v>
      </c>
      <c r="LS19" s="166"/>
      <c r="LT19" s="90"/>
      <c r="LU19" s="138"/>
      <c r="LV19" s="114" t="str">
        <f>IFERROR((((COUNTIF('Elève (6ème2)'!LS19:LU19,"A"))*4)+((COUNTIF('Elève (6ème2)'!LS19:LU19,"B"))*3)+((COUNTIF('Elève (6ème2)'!LS19:LU19,"C"))*2)+((COUNTIF('Elève (6ème2)'!LS19:LU19,"D"))*1))/(COUNTA(LS19:LU19)),"")</f>
        <v/>
      </c>
      <c r="LW19" s="115" t="str">
        <f t="shared" si="77"/>
        <v/>
      </c>
      <c r="LX19" s="89"/>
      <c r="LY19" s="90"/>
      <c r="LZ19" s="138"/>
      <c r="MA19" s="114" t="str">
        <f>IFERROR((((COUNTIF('Elève (6ème2)'!LX19:LZ19,"A"))*4)+((COUNTIF('Elève (6ème2)'!LX19:LZ19,"B"))*3)+((COUNTIF('Elève (6ème2)'!LX19:LZ19,"C"))*2)+((COUNTIF('Elève (6ème2)'!LX19:LZ19,"D"))*1))/(COUNTA(LX19:LZ19)),"")</f>
        <v/>
      </c>
      <c r="MB19" s="115" t="str">
        <f t="shared" si="78"/>
        <v/>
      </c>
      <c r="MC19" s="181">
        <f>IF(COUNT(LQ19,LV19,MA19)=0,"",SUM(LQ19,LV19,MA19)/COUNT(LQ19,LV19,MA19))</f>
        <v>4</v>
      </c>
      <c r="MD19" s="140" t="str">
        <f t="shared" si="79"/>
        <v>A</v>
      </c>
      <c r="ME19" s="164" t="s">
        <v>24</v>
      </c>
      <c r="MF19" s="165"/>
      <c r="MG19" s="163"/>
      <c r="MH19" s="114">
        <f>IFERROR((((COUNTIF('Elève (6ème2)'!ME19:MG19,"A"))*4)+((COUNTIF('Elève (6ème2)'!ME19:MG19,"B"))*3)+((COUNTIF('Elève (6ème2)'!ME19:MG19,"C"))*2)+((COUNTIF('Elève (6ème2)'!ME19:MG19,"D"))*1))/(COUNTA(ME19:MG19)),"")</f>
        <v>4</v>
      </c>
      <c r="MI19" s="115" t="str">
        <f t="shared" si="80"/>
        <v>A</v>
      </c>
      <c r="MJ19" s="166"/>
      <c r="MK19" s="90"/>
      <c r="ML19" s="138"/>
      <c r="MM19" s="114" t="str">
        <f>IFERROR((((COUNTIF('Elève (6ème2)'!MJ19:ML19,"A"))*4)+((COUNTIF('Elève (6ème2)'!MJ19:ML19,"B"))*3)+((COUNTIF('Elève (6ème2)'!MJ19:ML19,"C"))*2)+((COUNTIF('Elève (6ème2)'!MJ19:ML19,"D"))*1))/(COUNTA(MJ19:ML19)),"")</f>
        <v/>
      </c>
      <c r="MN19" s="115" t="str">
        <f t="shared" si="81"/>
        <v/>
      </c>
      <c r="MO19" s="89"/>
      <c r="MP19" s="90"/>
      <c r="MQ19" s="138"/>
      <c r="MR19" s="114" t="str">
        <f>IFERROR((((COUNTIF('Elève (6ème2)'!MO19:MQ19,"A"))*4)+((COUNTIF('Elève (6ème2)'!MO19:MQ19,"B"))*3)+((COUNTIF('Elève (6ème2)'!MO19:MQ19,"C"))*2)+((COUNTIF('Elève (6ème2)'!MO19:MQ19,"D"))*1))/(COUNTA(MO19:MQ19)),"")</f>
        <v/>
      </c>
      <c r="MS19" s="115" t="str">
        <f t="shared" si="82"/>
        <v/>
      </c>
      <c r="MT19" s="181">
        <f>IF(COUNT(MH19,MM19,MR19)=0,"",SUM(MH19,MM19,MR19)/COUNT(MH19,MM19,MR19))</f>
        <v>4</v>
      </c>
      <c r="MU19" s="140" t="str">
        <f t="shared" si="83"/>
        <v>A</v>
      </c>
      <c r="MV19" s="164" t="s">
        <v>24</v>
      </c>
      <c r="MW19" s="165"/>
      <c r="MX19" s="163"/>
      <c r="MY19" s="114">
        <f>IFERROR((((COUNTIF('Elève (6ème2)'!MV19:MX19,"A"))*4)+((COUNTIF('Elève (6ème2)'!MV19:MX19,"B"))*3)+((COUNTIF('Elève (6ème2)'!MV19:MX19,"C"))*2)+((COUNTIF('Elève (6ème2)'!MV19:MX19,"D"))*1))/(COUNTA(MV19:MX19)),"")</f>
        <v>4</v>
      </c>
      <c r="MZ19" s="115" t="str">
        <f t="shared" si="84"/>
        <v>A</v>
      </c>
      <c r="NA19" s="166"/>
      <c r="NB19" s="90"/>
      <c r="NC19" s="138"/>
      <c r="ND19" s="114" t="str">
        <f>IFERROR((((COUNTIF('Elève (6ème2)'!NA19:NC19,"A"))*4)+((COUNTIF('Elève (6ème2)'!NA19:NC19,"B"))*3)+((COUNTIF('Elève (6ème2)'!NA19:NC19,"C"))*2)+((COUNTIF('Elève (6ème2)'!NA19:NC19,"D"))*1))/(COUNTA(NA19:NC19)),"")</f>
        <v/>
      </c>
      <c r="NE19" s="115" t="str">
        <f t="shared" si="85"/>
        <v/>
      </c>
      <c r="NF19" s="89"/>
      <c r="NG19" s="90"/>
      <c r="NH19" s="138"/>
      <c r="NI19" s="114" t="str">
        <f>IFERROR((((COUNTIF('Elève (6ème2)'!NF19:NH19,"A"))*4)+((COUNTIF('Elève (6ème2)'!NF19:NH19,"B"))*3)+((COUNTIF('Elève (6ème2)'!NF19:NH19,"C"))*2)+((COUNTIF('Elève (6ème2)'!NF19:NH19,"D"))*1))/(COUNTA(NF19:NH19)),"")</f>
        <v/>
      </c>
      <c r="NJ19" s="115" t="str">
        <f t="shared" si="86"/>
        <v/>
      </c>
      <c r="NK19" s="181">
        <f>IF(COUNT(MY19,ND19,NI19)=0,"",SUM(MY19,ND19,NI19)/COUNT(MY19,ND19,NI19))</f>
        <v>4</v>
      </c>
      <c r="NL19" s="140" t="str">
        <f t="shared" si="87"/>
        <v>A</v>
      </c>
      <c r="NM19" s="164"/>
      <c r="NN19" s="165"/>
      <c r="NO19" s="163"/>
      <c r="NP19" s="114" t="str">
        <f>IFERROR((((COUNTIF('Elève (6ème2)'!NM19:NO19,"A"))*4)+((COUNTIF('Elève (6ème2)'!NM19:NO19,"B"))*3)+((COUNTIF('Elève (6ème2)'!NM19:NO19,"C"))*2)+((COUNTIF('Elève (6ème2)'!NM19:NO19,"D"))*1))/(COUNTA(NM19:NO19)),"")</f>
        <v/>
      </c>
      <c r="NQ19" s="115" t="str">
        <f t="shared" si="88"/>
        <v/>
      </c>
      <c r="NR19" s="166"/>
      <c r="NS19" s="90"/>
      <c r="NT19" s="138"/>
      <c r="NU19" s="114" t="str">
        <f>IFERROR((((COUNTIF('Elève (6ème2)'!NR19:NT19,"A"))*4)+((COUNTIF('Elève (6ème2)'!NR19:NT19,"B"))*3)+((COUNTIF('Elève (6ème2)'!NR19:NT19,"C"))*2)+((COUNTIF('Elève (6ème2)'!NR19:NT19,"D"))*1))/(COUNTA(NR19:NT19)),"")</f>
        <v/>
      </c>
      <c r="NV19" s="115" t="str">
        <f t="shared" si="89"/>
        <v/>
      </c>
      <c r="NW19" s="89"/>
      <c r="NX19" s="90"/>
      <c r="NY19" s="138"/>
      <c r="NZ19" s="114" t="str">
        <f>IFERROR((((COUNTIF('Elève (6ème2)'!NW19:NY19,"A"))*4)+((COUNTIF('Elève (6ème2)'!NW19:NY19,"B"))*3)+((COUNTIF('Elève (6ème2)'!NW19:NY19,"C"))*2)+((COUNTIF('Elève (6ème2)'!NW19:NY19,"D"))*1))/(COUNTA(NW19:NY19)),"")</f>
        <v/>
      </c>
      <c r="OA19" s="115" t="str">
        <f t="shared" si="90"/>
        <v/>
      </c>
      <c r="OB19" s="181" t="str">
        <f>IF(COUNT(NP19,NU19,NZ19)=0,"",SUM(NP19,NU19,NZ19)/COUNT(NP19,NU19,NZ19))</f>
        <v/>
      </c>
      <c r="OC19" s="140" t="str">
        <f t="shared" si="91"/>
        <v/>
      </c>
      <c r="OD19" s="164" t="s">
        <v>24</v>
      </c>
      <c r="OE19" s="165"/>
      <c r="OF19" s="163"/>
      <c r="OG19" s="114">
        <f>IFERROR((((COUNTIF('Elève (6ème2)'!OD19:OF19,"A"))*4)+((COUNTIF('Elève (6ème2)'!OD19:OF19,"B"))*3)+((COUNTIF('Elève (6ème2)'!OD19:OF19,"C"))*2)+((COUNTIF('Elève (6ème2)'!OD19:OF19,"D"))*1))/(COUNTA(OD19:OF19)),"")</f>
        <v>4</v>
      </c>
      <c r="OH19" s="115" t="str">
        <f t="shared" si="92"/>
        <v>A</v>
      </c>
      <c r="OI19" s="166"/>
      <c r="OJ19" s="90"/>
      <c r="OK19" s="138"/>
      <c r="OL19" s="114" t="str">
        <f>IFERROR((((COUNTIF('Elève (6ème2)'!OI19:OK19,"A"))*4)+((COUNTIF('Elève (6ème2)'!OI19:OK19,"B"))*3)+((COUNTIF('Elève (6ème2)'!OI19:OK19,"C"))*2)+((COUNTIF('Elève (6ème2)'!OI19:OK19,"D"))*1))/(COUNTA(OI19:OK19)),"")</f>
        <v/>
      </c>
      <c r="OM19" s="115" t="str">
        <f t="shared" si="93"/>
        <v/>
      </c>
      <c r="ON19" s="89"/>
      <c r="OO19" s="90"/>
      <c r="OP19" s="138"/>
      <c r="OQ19" s="114" t="str">
        <f>IFERROR((((COUNTIF('Elève (6ème2)'!ON19:OP19,"A"))*4)+((COUNTIF('Elève (6ème2)'!ON19:OP19,"B"))*3)+((COUNTIF('Elève (6ème2)'!ON19:OP19,"C"))*2)+((COUNTIF('Elève (6ème2)'!ON19:OP19,"D"))*1))/(COUNTA(ON19:OP19)),"")</f>
        <v/>
      </c>
      <c r="OR19" s="115" t="str">
        <f t="shared" si="94"/>
        <v/>
      </c>
      <c r="OS19" s="181">
        <f>IF(COUNT(OG19,OL19,OQ19)=0,"",SUM(OG19,OL19,OQ19)/COUNT(OG19,OL19,OQ19))</f>
        <v>4</v>
      </c>
      <c r="OT19" s="140" t="str">
        <f t="shared" si="95"/>
        <v>A</v>
      </c>
      <c r="OU19" s="164" t="s">
        <v>24</v>
      </c>
      <c r="OV19" s="165"/>
      <c r="OW19" s="163"/>
      <c r="OX19" s="114">
        <f>IFERROR((((COUNTIF('Elève (6ème2)'!OU19:OW19,"A"))*4)+((COUNTIF('Elève (6ème2)'!OU19:OW19,"B"))*3)+((COUNTIF('Elève (6ème2)'!OU19:OW19,"C"))*2)+((COUNTIF('Elève (6ème2)'!OU19:OW19,"D"))*1))/(COUNTA(OU19:OW19)),"")</f>
        <v>4</v>
      </c>
      <c r="OY19" s="115" t="str">
        <f t="shared" si="96"/>
        <v>A</v>
      </c>
      <c r="OZ19" s="166"/>
      <c r="PA19" s="90"/>
      <c r="PB19" s="138"/>
      <c r="PC19" s="114" t="str">
        <f>IFERROR((((COUNTIF('Elève (6ème2)'!OZ19:PB19,"A"))*4)+((COUNTIF('Elève (6ème2)'!OZ19:PB19,"B"))*3)+((COUNTIF('Elève (6ème2)'!OZ19:PB19,"C"))*2)+((COUNTIF('Elève (6ème2)'!OZ19:PB19,"D"))*1))/(COUNTA(OZ19:PB19)),"")</f>
        <v/>
      </c>
      <c r="PD19" s="115" t="str">
        <f t="shared" si="97"/>
        <v/>
      </c>
      <c r="PE19" s="89"/>
      <c r="PF19" s="90"/>
      <c r="PG19" s="138"/>
      <c r="PH19" s="114" t="str">
        <f>IFERROR((((COUNTIF('Elève (6ème2)'!PE19:PG19,"A"))*4)+((COUNTIF('Elève (6ème2)'!PE19:PG19,"B"))*3)+((COUNTIF('Elève (6ème2)'!PE19:PG19,"C"))*2)+((COUNTIF('Elève (6ème2)'!PE19:PG19,"D"))*1))/(COUNTA(PE19:PG19)),"")</f>
        <v/>
      </c>
      <c r="PI19" s="115" t="str">
        <f t="shared" si="98"/>
        <v/>
      </c>
      <c r="PJ19" s="181">
        <f>IF(COUNT(OX19,PC19,PH19)=0,"",SUM(OX19,PC19,PH19)/COUNT(OX19,PC19,PH19))</f>
        <v>4</v>
      </c>
      <c r="PK19" s="140" t="str">
        <f t="shared" si="99"/>
        <v>A</v>
      </c>
      <c r="PL19" s="164" t="s">
        <v>24</v>
      </c>
      <c r="PM19" s="165"/>
      <c r="PN19" s="163"/>
      <c r="PO19" s="114">
        <f>IFERROR((((COUNTIF('Elève (6ème2)'!PL19:PN19,"A"))*4)+((COUNTIF('Elève (6ème2)'!PL19:PN19,"B"))*3)+((COUNTIF('Elève (6ème2)'!PL19:PN19,"C"))*2)+((COUNTIF('Elève (6ème2)'!PL19:PN19,"D"))*1))/(COUNTA(PL19:PN19)),"")</f>
        <v>4</v>
      </c>
      <c r="PP19" s="115" t="str">
        <f t="shared" si="100"/>
        <v>A</v>
      </c>
      <c r="PQ19" s="166"/>
      <c r="PR19" s="90"/>
      <c r="PS19" s="138"/>
      <c r="PT19" s="114" t="str">
        <f>IFERROR((((COUNTIF('Elève (6ème2)'!PQ19:PS19,"A"))*4)+((COUNTIF('Elève (6ème2)'!PQ19:PS19,"B"))*3)+((COUNTIF('Elève (6ème2)'!PQ19:PS19,"C"))*2)+((COUNTIF('Elève (6ème2)'!PQ19:PS19,"D"))*1))/(COUNTA(PQ19:PS19)),"")</f>
        <v/>
      </c>
      <c r="PU19" s="115" t="str">
        <f t="shared" si="101"/>
        <v/>
      </c>
      <c r="PV19" s="89"/>
      <c r="PW19" s="90"/>
      <c r="PX19" s="138"/>
      <c r="PY19" s="114" t="str">
        <f>IFERROR((((COUNTIF('Elève (6ème2)'!PV19:PX19,"A"))*4)+((COUNTIF('Elève (6ème2)'!PV19:PX19,"B"))*3)+((COUNTIF('Elève (6ème2)'!PV19:PX19,"C"))*2)+((COUNTIF('Elève (6ème2)'!PV19:PX19,"D"))*1))/(COUNTA(PV19:PX19)),"")</f>
        <v/>
      </c>
      <c r="PZ19" s="115" t="str">
        <f t="shared" si="102"/>
        <v/>
      </c>
      <c r="QA19" s="181">
        <f>IF(COUNT(PO19,PT19,PY19)=0,"",SUM(PO19,PT19,PY19)/COUNT(PO19,PT19,PY19))</f>
        <v>4</v>
      </c>
      <c r="QB19" s="140" t="str">
        <f t="shared" si="103"/>
        <v>A</v>
      </c>
      <c r="QC19" s="164" t="s">
        <v>24</v>
      </c>
      <c r="QD19" s="165"/>
      <c r="QE19" s="163"/>
      <c r="QF19" s="114">
        <f>IFERROR((((COUNTIF('Elève (6ème2)'!QC19:QE19,"A"))*4)+((COUNTIF('Elève (6ème2)'!QC19:QE19,"B"))*3)+((COUNTIF('Elève (6ème2)'!QC19:QE19,"C"))*2)+((COUNTIF('Elève (6ème2)'!QC19:QE19,"D"))*1))/(COUNTA(QC19:QE19)),"")</f>
        <v>4</v>
      </c>
      <c r="QG19" s="115" t="str">
        <f t="shared" si="104"/>
        <v>A</v>
      </c>
      <c r="QH19" s="166"/>
      <c r="QI19" s="90"/>
      <c r="QJ19" s="138"/>
      <c r="QK19" s="114" t="str">
        <f>IFERROR((((COUNTIF('Elève (6ème2)'!QH19:QJ19,"A"))*4)+((COUNTIF('Elève (6ème2)'!QH19:QJ19,"B"))*3)+((COUNTIF('Elève (6ème2)'!QH19:QJ19,"C"))*2)+((COUNTIF('Elève (6ème2)'!QH19:QJ19,"D"))*1))/(COUNTA(QH19:QJ19)),"")</f>
        <v/>
      </c>
      <c r="QL19" s="115" t="str">
        <f t="shared" si="105"/>
        <v/>
      </c>
      <c r="QM19" s="89"/>
      <c r="QN19" s="90"/>
      <c r="QO19" s="138"/>
      <c r="QP19" s="114" t="str">
        <f>IFERROR((((COUNTIF('Elève (6ème2)'!QM19:QO19,"A"))*4)+((COUNTIF('Elève (6ème2)'!QM19:QO19,"B"))*3)+((COUNTIF('Elève (6ème2)'!QM19:QO19,"C"))*2)+((COUNTIF('Elève (6ème2)'!QM19:QO19,"D"))*1))/(COUNTA(QM19:QO19)),"")</f>
        <v/>
      </c>
      <c r="QQ19" s="115" t="str">
        <f t="shared" si="106"/>
        <v/>
      </c>
      <c r="QR19" s="181">
        <f>IF(COUNT(QF19,QK19,QP19)=0,"",SUM(QF19,QK19,QP19)/COUNT(QF19,QK19,QP19))</f>
        <v>4</v>
      </c>
      <c r="QS19" s="140" t="str">
        <f t="shared" si="107"/>
        <v>A</v>
      </c>
      <c r="QT19" s="164"/>
      <c r="QU19" s="165"/>
      <c r="QV19" s="163"/>
      <c r="QW19" s="114" t="str">
        <f>IFERROR((((COUNTIF('Elève (6ème2)'!QT19:QV19,"A"))*4)+((COUNTIF('Elève (6ème2)'!QT19:QV19,"B"))*3)+((COUNTIF('Elève (6ème2)'!QT19:QV19,"C"))*2)+((COUNTIF('Elève (6ème2)'!QT19:QV19,"D"))*1))/(COUNTA(QT19:QV19)),"")</f>
        <v/>
      </c>
      <c r="QX19" s="115" t="str">
        <f t="shared" si="108"/>
        <v/>
      </c>
      <c r="QY19" s="166"/>
      <c r="QZ19" s="90"/>
      <c r="RA19" s="138"/>
      <c r="RB19" s="114" t="str">
        <f>IFERROR((((COUNTIF('Elève (6ème2)'!QY19:RA19,"A"))*4)+((COUNTIF('Elève (6ème2)'!QY19:RA19,"B"))*3)+((COUNTIF('Elève (6ème2)'!QY19:RA19,"C"))*2)+((COUNTIF('Elève (6ème2)'!QY19:RA19,"D"))*1))/(COUNTA(QY19:RA19)),"")</f>
        <v/>
      </c>
      <c r="RC19" s="115" t="str">
        <f t="shared" si="109"/>
        <v/>
      </c>
      <c r="RD19" s="89"/>
      <c r="RE19" s="90"/>
      <c r="RF19" s="138"/>
      <c r="RG19" s="114" t="str">
        <f>IFERROR((((COUNTIF('Elève (6ème2)'!RD19:RF19,"A"))*4)+((COUNTIF('Elève (6ème2)'!RD19:RF19,"B"))*3)+((COUNTIF('Elève (6ème2)'!RD19:RF19,"C"))*2)+((COUNTIF('Elève (6ème2)'!RD19:RF19,"D"))*1))/(COUNTA(RD19:RF19)),"")</f>
        <v/>
      </c>
      <c r="RH19" s="115" t="str">
        <f t="shared" si="110"/>
        <v/>
      </c>
      <c r="RI19" s="181" t="str">
        <f>IF(COUNT(QW19,RB19,RG19)=0,"",SUM(QW19,RB19,RG19)/COUNT(QW19,RB19,RG19))</f>
        <v/>
      </c>
      <c r="RJ19" s="140" t="str">
        <f t="shared" si="111"/>
        <v/>
      </c>
      <c r="RK19" s="164"/>
      <c r="RL19" s="165"/>
      <c r="RM19" s="163"/>
      <c r="RN19" s="114" t="str">
        <f>IFERROR((((COUNTIF('Elève (6ème2)'!RK19:RM19,"A"))*4)+((COUNTIF('Elève (6ème2)'!RK19:RM19,"B"))*3)+((COUNTIF('Elève (6ème2)'!RK19:RM19,"C"))*2)+((COUNTIF('Elève (6ème2)'!RK19:RM19,"D"))*1))/(COUNTA(RK19:RM19)),"")</f>
        <v/>
      </c>
      <c r="RO19" s="115" t="str">
        <f t="shared" si="112"/>
        <v/>
      </c>
      <c r="RP19" s="166"/>
      <c r="RQ19" s="90"/>
      <c r="RR19" s="138"/>
      <c r="RS19" s="114" t="str">
        <f>IFERROR((((COUNTIF('Elève (6ème2)'!RP19:RR19,"A"))*4)+((COUNTIF('Elève (6ème2)'!RP19:RR19,"B"))*3)+((COUNTIF('Elève (6ème2)'!RP19:RR19,"C"))*2)+((COUNTIF('Elève (6ème2)'!RP19:RR19,"D"))*1))/(COUNTA(RP19:RR19)),"")</f>
        <v/>
      </c>
      <c r="RT19" s="115" t="str">
        <f t="shared" si="113"/>
        <v/>
      </c>
      <c r="RU19" s="89"/>
      <c r="RV19" s="90"/>
      <c r="RW19" s="138"/>
      <c r="RX19" s="114" t="str">
        <f>IFERROR((((COUNTIF('Elève (6ème2)'!RU19:RW19,"A"))*4)+((COUNTIF('Elève (6ème2)'!RU19:RW19,"B"))*3)+((COUNTIF('Elève (6ème2)'!RU19:RW19,"C"))*2)+((COUNTIF('Elève (6ème2)'!RU19:RW19,"D"))*1))/(COUNTA(RU19:RW19)),"")</f>
        <v/>
      </c>
      <c r="RY19" s="115" t="str">
        <f t="shared" si="114"/>
        <v/>
      </c>
      <c r="RZ19" s="181" t="str">
        <f>IF(COUNT(RN19,RS19,RX19)=0,"",SUM(RN19,RS19,RX19)/COUNT(RN19,RS19,RX19))</f>
        <v/>
      </c>
      <c r="SA19" s="140" t="str">
        <f t="shared" si="115"/>
        <v/>
      </c>
      <c r="SB19" s="164"/>
      <c r="SC19" s="165"/>
      <c r="SD19" s="163"/>
      <c r="SE19" s="114" t="str">
        <f>IFERROR((((COUNTIF('Elève (6ème2)'!SB19:SD19,"A"))*4)+((COUNTIF('Elève (6ème2)'!SB19:SD19,"B"))*3)+((COUNTIF('Elève (6ème2)'!SB19:SD19,"C"))*2)+((COUNTIF('Elève (6ème2)'!SB19:SD19,"D"))*1))/(COUNTA(SB19:SD19)),"")</f>
        <v/>
      </c>
      <c r="SF19" s="115" t="str">
        <f t="shared" si="116"/>
        <v/>
      </c>
      <c r="SG19" s="166"/>
      <c r="SH19" s="90"/>
      <c r="SI19" s="138"/>
      <c r="SJ19" s="114" t="str">
        <f>IFERROR((((COUNTIF('Elève (6ème2)'!SG19:SI19,"A"))*4)+((COUNTIF('Elève (6ème2)'!SG19:SI19,"B"))*3)+((COUNTIF('Elève (6ème2)'!SG19:SI19,"C"))*2)+((COUNTIF('Elève (6ème2)'!SG19:SI19,"D"))*1))/(COUNTA(SG19:SI19)),"")</f>
        <v/>
      </c>
      <c r="SK19" s="115" t="str">
        <f t="shared" si="117"/>
        <v/>
      </c>
      <c r="SL19" s="89"/>
      <c r="SM19" s="90"/>
      <c r="SN19" s="138"/>
      <c r="SO19" s="114" t="str">
        <f>IFERROR((((COUNTIF('Elève (6ème2)'!SL19:SN19,"A"))*4)+((COUNTIF('Elève (6ème2)'!SL19:SN19,"B"))*3)+((COUNTIF('Elève (6ème2)'!SL19:SN19,"C"))*2)+((COUNTIF('Elève (6ème2)'!SL19:SN19,"D"))*1))/(COUNTA(SL19:SN19)),"")</f>
        <v/>
      </c>
      <c r="SP19" s="115" t="str">
        <f t="shared" si="118"/>
        <v/>
      </c>
      <c r="SQ19" s="181" t="str">
        <f>IF(COUNT(SE19,SJ19,SO19)=0,"",SUM(SE19,SJ19,SO19)/COUNT(SE19,SJ19,SO19))</f>
        <v/>
      </c>
      <c r="SR19" s="140" t="str">
        <f t="shared" si="119"/>
        <v/>
      </c>
    </row>
    <row r="20" spans="1:512" s="72" customFormat="1" ht="17.25" thickBot="1" x14ac:dyDescent="0.3">
      <c r="A20" s="238" t="s">
        <v>23</v>
      </c>
      <c r="B20" s="239"/>
      <c r="C20" s="167">
        <f ca="1">IF(COUNTA(C5:C19)=0,"",5*SUM(IFERROR((((COUNTIF(C5:C6,"A"))*4)+((COUNTIF(C5:C6,"B"))*3)+((COUNTIF(C5:C6,"C"))*2)+((COUNTIF(C5:C6,"D"))*1))*CELL("contenu",$B$4),0),IFERROR((((COUNTIF(C8:C11,"A"))*4)+((COUNTIF(C8:C11,"B"))*3)+((COUNTIF(C8:C11,"C"))*2)+((COUNTIF(C8:C11,"D"))*1))*CELL("contenu",$B$7),0),IFERROR((((COUNTIF(C13:C13,"A"))*4)+((COUNTIF(C13:C13,"B"))*3)+((COUNTIF(C13:C13,"C"))*2)+((COUNTIF(C13:C13,"D"))*1))*CELL("contenu",$B$12),0),IFERROR((((COUNTIF(C15:C17,"A"))*4)+((COUNTIF(C15:C17,"B"))*3)+((COUNTIF(C15:C17,"C"))*2)+((COUNTIF(C15:C17,"D"))*1))*CELL("contenu",$B$14),0),IFERROR((((COUNTIF(C19:C19,"A"))*4)+((COUNTIF(C19:C19,"B"))*3)+((COUNTIF(C19:C19,"C"))*2)+((COUNTIF(C19:C19,"D"))*1))*CELL("contenu",$B$18),0))/IF(SUM(COUNTA(C5:C6)*CELL("contenu",$B$4),COUNTA(C8:C11)*CELL("contenu",$B$7),COUNTA(C13:C13)*CELL("contenu",$B$12),COUNTA(C15:C17)*CELL("contenu",$B$14),COUNTA(C19:C19)*CELL("contenu",$B$18))=0,1,SUM(COUNTA(C5:C6)*CELL("contenu",$B$4),COUNTA(C8:C11)*CELL("contenu",$B$7),COUNTA(C13:C13)*CELL("contenu",$B$12),COUNTA(C15:C17)*CELL("contenu",$B$14),COUNTA(C19:C19)*CELL("contenu",$B$18))))</f>
        <v>16.666666666666668</v>
      </c>
      <c r="D20" s="168">
        <f ca="1">IF(COUNTA(D5:D19)=0,"",5*SUM(IFERROR((((COUNTIF(D5:D6,"A"))*4)+((COUNTIF(D5:D6,"B"))*3)+((COUNTIF(D5:D6,"C"))*2)+((COUNTIF(D5:D6,"D"))*1))*CELL("contenu",$B$4),0),IFERROR((((COUNTIF(D8:D11,"A"))*4)+((COUNTIF(D8:D11,"B"))*3)+((COUNTIF(D8:D11,"C"))*2)+((COUNTIF(D8:D11,"D"))*1))*CELL("contenu",$B$7),0),IFERROR((((COUNTIF(D13:D13,"A"))*4)+((COUNTIF(D13:D13,"B"))*3)+((COUNTIF(D13:D13,"C"))*2)+((COUNTIF(D13:D13,"D"))*1))*CELL("contenu",$B$12),0),IFERROR((((COUNTIF(D15:D17,"A"))*4)+((COUNTIF(D15:D17,"B"))*3)+((COUNTIF(D15:D17,"C"))*2)+((COUNTIF(D15:D17,"D"))*1))*CELL("contenu",$B$14),0),IFERROR((((COUNTIF(D19:D19,"A"))*4)+((COUNTIF(D19:D19,"B"))*3)+((COUNTIF(D19:D19,"C"))*2)+((COUNTIF(D19:D19,"D"))*1))*CELL("contenu",$B$18),0))/IF(SUM(COUNTA(D5:D6)*CELL("contenu",$B$4),COUNTA(D8:D11)*CELL("contenu",$B$7),COUNTA(D13:D13)*CELL("contenu",$B$12),COUNTA(D15:D17)*CELL("contenu",$B$14),COUNTA(D19:D19)*CELL("contenu",$B$18))=0,1,SUM(COUNTA(D5:D6)*CELL("contenu",$B$4),COUNTA(D8:D11)*CELL("contenu",$B$7),COUNTA(D13:D13)*CELL("contenu",$B$12),COUNTA(D15:D17)*CELL("contenu",$B$14),COUNTA(D19:D19)*CELL("contenu",$B$18))))</f>
        <v>16.666666666666668</v>
      </c>
      <c r="E20" s="169" t="str">
        <f ca="1">IF(COUNTA(E5:E19)=0,"",5*SUM(IFERROR((((COUNTIF(E5:E6,"A"))*4)+((COUNTIF(E5:E6,"B"))*3)+((COUNTIF(E5:E6,"C"))*2)+((COUNTIF(E5:E6,"D"))*1))*CELL("contenu",$B$4),0),IFERROR((((COUNTIF(E8:E11,"A"))*4)+((COUNTIF(E8:E11,"B"))*3)+((COUNTIF(E8:E11,"C"))*2)+((COUNTIF(E8:E11,"D"))*1))*CELL("contenu",$B$7),0),IFERROR((((COUNTIF(E13:E13,"A"))*4)+((COUNTIF(E13:E13,"B"))*3)+((COUNTIF(E13:E13,"C"))*2)+((COUNTIF(E13:E13,"D"))*1))*CELL("contenu",$B$12),0),IFERROR((((COUNTIF(E15:E17,"A"))*4)+((COUNTIF(E15:E17,"B"))*3)+((COUNTIF(E15:E17,"C"))*2)+((COUNTIF(E15:E17,"D"))*1))*CELL("contenu",$B$14),0),IFERROR((((COUNTIF(E19:E19,"A"))*4)+((COUNTIF(E19:E19,"B"))*3)+((COUNTIF(E19:E19,"C"))*2)+((COUNTIF(E19:E19,"D"))*1))*CELL("contenu",$B$18),0))/IF(SUM(COUNTA(E5:E6)*CELL("contenu",$B$4),COUNTA(E8:E11)*CELL("contenu",$B$7),COUNTA(E13:E13)*CELL("contenu",$B$12),COUNTA(E15:E17)*CELL("contenu",$B$14),COUNTA(E19:E19)*CELL("contenu",$B$18))=0,1,SUM(COUNTA(E5:E6)*CELL("contenu",$B$4),COUNTA(E8:E11)*CELL("contenu",$B$7),COUNTA(E13:E13)*CELL("contenu",$B$12),COUNTA(E15:E17)*CELL("contenu",$B$14),COUNTA(E19:E19)*CELL("contenu",$B$18))))</f>
        <v/>
      </c>
      <c r="F20" s="116"/>
      <c r="G20" s="192">
        <f ca="1">IF(COUNTA(C20:E20)-COUNTBLANK(C20:E20)=0,"",SUM(C20:E20)/(COUNTA(C20:E20)-COUNTBLANK(C20:E20)))</f>
        <v>16.666666666666668</v>
      </c>
      <c r="H20" s="182" t="str">
        <f ca="1">IF(COUNTA(H5:H19)=0,"",5*SUM(IFERROR((((COUNTIF(H5:H6,"A"))*4)+((COUNTIF(H5:H6,"B"))*3)+((COUNTIF(H5:H6,"C"))*2)+((COUNTIF(H5:H6,"D"))*1))*CELL("contenu",$B$4),0),IFERROR((((COUNTIF(H8:H11,"A"))*4)+((COUNTIF(H8:H11,"B"))*3)+((COUNTIF(H8:H11,"C"))*2)+((COUNTIF(H8:H11,"D"))*1))*CELL("contenu",$B$7),0),IFERROR((((COUNTIF(H13:H13,"A"))*4)+((COUNTIF(H13:H13,"B"))*3)+((COUNTIF(H13:H13,"C"))*2)+((COUNTIF(H13:H13,"D"))*1))*CELL("contenu",$B$12),0),IFERROR((((COUNTIF(H15:H17,"A"))*4)+((COUNTIF(H15:H17,"B"))*3)+((COUNTIF(H15:H17,"C"))*2)+((COUNTIF(H15:H17,"D"))*1))*CELL("contenu",$B$14),0),IFERROR((((COUNTIF(H19:H19,"A"))*4)+((COUNTIF(H19:H19,"B"))*3)+((COUNTIF(H19:H19,"C"))*2)+((COUNTIF(H19:H19,"D"))*1))*CELL("contenu",$B$18),0))/IF(SUM(COUNTA(H5:H6)*CELL("contenu",$B$4),COUNTA(H8:H11)*CELL("contenu",$B$7),COUNTA(H13:H13)*CELL("contenu",$B$12),COUNTA(H15:H17)*CELL("contenu",$B$14),COUNTA(H19:H19)*CELL("contenu",$B$18))=0,1,SUM(COUNTA(H5:H6)*CELL("contenu",$B$4),COUNTA(H8:H11)*CELL("contenu",$B$7),COUNTA(H13:H13)*CELL("contenu",$B$12),COUNTA(H15:H17)*CELL("contenu",$B$14),COUNTA(H19:H19)*CELL("contenu",$B$18))))</f>
        <v/>
      </c>
      <c r="I20" s="183" t="str">
        <f ca="1">IF(COUNTA(I5:I19)=0,"",5*SUM(IFERROR((((COUNTIF(I5:I6,"A"))*4)+((COUNTIF(I5:I6,"B"))*3)+((COUNTIF(I5:I6,"C"))*2)+((COUNTIF(I5:I6,"D"))*1))*CELL("contenu",$B$4),0),IFERROR((((COUNTIF(I8:I11,"A"))*4)+((COUNTIF(I8:I11,"B"))*3)+((COUNTIF(I8:I11,"C"))*2)+((COUNTIF(I8:I11,"D"))*1))*CELL("contenu",$B$7),0),IFERROR((((COUNTIF(I13:I13,"A"))*4)+((COUNTIF(I13:I13,"B"))*3)+((COUNTIF(I13:I13,"C"))*2)+((COUNTIF(I13:I13,"D"))*1))*CELL("contenu",$B$12),0),IFERROR((((COUNTIF(I15:I17,"A"))*4)+((COUNTIF(I15:I17,"B"))*3)+((COUNTIF(I15:I17,"C"))*2)+((COUNTIF(I15:I17,"D"))*1))*CELL("contenu",$B$14),0),IFERROR((((COUNTIF(I19:I19,"A"))*4)+((COUNTIF(I19:I19,"B"))*3)+((COUNTIF(I19:I19,"C"))*2)+((COUNTIF(I19:I19,"D"))*1))*CELL("contenu",$B$18),0))/IF(SUM(COUNTA(I5:I6)*CELL("contenu",$B$4),COUNTA(I8:I11)*CELL("contenu",$B$7),COUNTA(I13:I13)*CELL("contenu",$B$12),COUNTA(I15:I17)*CELL("contenu",$B$14),COUNTA(I19:I19)*CELL("contenu",$B$18))=0,1,SUM(COUNTA(I5:I6)*CELL("contenu",$B$4),COUNTA(I8:I11)*CELL("contenu",$B$7),COUNTA(I13:I13)*CELL("contenu",$B$12),COUNTA(I15:I17)*CELL("contenu",$B$14),COUNTA(I19:I19)*CELL("contenu",$B$18))))</f>
        <v/>
      </c>
      <c r="J20" s="184" t="str">
        <f ca="1">IF(COUNTA(J5:J19)=0,"",5*SUM(IFERROR((((COUNTIF(J5:J6,"A"))*4)+((COUNTIF(J5:J6,"B"))*3)+((COUNTIF(J5:J6,"C"))*2)+((COUNTIF(J5:J6,"D"))*1))*CELL("contenu",$B$4),0),IFERROR((((COUNTIF(J8:J11,"A"))*4)+((COUNTIF(J8:J11,"B"))*3)+((COUNTIF(J8:J11,"C"))*2)+((COUNTIF(J8:J11,"D"))*1))*CELL("contenu",$B$7),0),IFERROR((((COUNTIF(J13:J13,"A"))*4)+((COUNTIF(J13:J13,"B"))*3)+((COUNTIF(J13:J13,"C"))*2)+((COUNTIF(J13:J13,"D"))*1))*CELL("contenu",$B$12),0),IFERROR((((COUNTIF(J15:J17,"A"))*4)+((COUNTIF(J15:J17,"B"))*3)+((COUNTIF(J15:J17,"C"))*2)+((COUNTIF(J15:J17,"D"))*1))*CELL("contenu",$B$14),0),IFERROR((((COUNTIF(J19:J19,"A"))*4)+((COUNTIF(J19:J19,"B"))*3)+((COUNTIF(J19:J19,"C"))*2)+((COUNTIF(J19:J19,"D"))*1))*CELL("contenu",$B$18),0))/IF(SUM(COUNTA(J5:J6)*CELL("contenu",$B$4),COUNTA(J8:J11)*CELL("contenu",$B$7),COUNTA(J13:J13)*CELL("contenu",$B$12),COUNTA(J15:J17)*CELL("contenu",$B$14),COUNTA(J19:J19)*CELL("contenu",$B$18))=0,1,SUM(COUNTA(J5:J6)*CELL("contenu",$B$4),COUNTA(J8:J11)*CELL("contenu",$B$7),COUNTA(J13:J13)*CELL("contenu",$B$12),COUNTA(J15:J17)*CELL("contenu",$B$14),COUNTA(J19:J19)*CELL("contenu",$B$18))))</f>
        <v/>
      </c>
      <c r="K20" s="176"/>
      <c r="L20" s="175" t="str">
        <f ca="1">IF(COUNTA(H20:J20)-COUNTBLANK(H20:J20)=0,"",SUM(H20:J20)/(COUNTA(H20:J20)-COUNTBLANK(H20:J20)))</f>
        <v/>
      </c>
      <c r="M20" s="182" t="str">
        <f ca="1">IF(COUNTA(M5:M19)=0,"",5*SUM(IFERROR((((COUNTIF(M5:M6,"A"))*4)+((COUNTIF(M5:M6,"B"))*3)+((COUNTIF(M5:M6,"C"))*2)+((COUNTIF(M5:M6,"D"))*1))*CELL("contenu",$B$4),0),IFERROR((((COUNTIF(M8:M11,"A"))*4)+((COUNTIF(M8:M11,"B"))*3)+((COUNTIF(M8:M11,"C"))*2)+((COUNTIF(M8:M11,"D"))*1))*CELL("contenu",$B$7),0),IFERROR((((COUNTIF(M13:M13,"A"))*4)+((COUNTIF(M13:M13,"B"))*3)+((COUNTIF(M13:M13,"C"))*2)+((COUNTIF(M13:M13,"D"))*1))*CELL("contenu",$B$12),0),IFERROR((((COUNTIF(M15:M17,"A"))*4)+((COUNTIF(M15:M17,"B"))*3)+((COUNTIF(M15:M17,"C"))*2)+((COUNTIF(M15:M17,"D"))*1))*CELL("contenu",$B$14),0),IFERROR((((COUNTIF(M19:M19,"A"))*4)+((COUNTIF(M19:M19,"B"))*3)+((COUNTIF(M19:M19,"C"))*2)+((COUNTIF(M19:M19,"D"))*1))*CELL("contenu",$B$18),0))/IF(SUM(COUNTA(M5:M6)*CELL("contenu",$B$4),COUNTA(M8:M11)*CELL("contenu",$B$7),COUNTA(M13:M13)*CELL("contenu",$B$12),COUNTA(M15:M17)*CELL("contenu",$B$14),COUNTA(M19:M19)*CELL("contenu",$B$18))=0,1,SUM(COUNTA(M5:M6)*CELL("contenu",$B$4),COUNTA(M8:M11)*CELL("contenu",$B$7),COUNTA(M13:M13)*CELL("contenu",$B$12),COUNTA(M15:M17)*CELL("contenu",$B$14),COUNTA(M19:M19)*CELL("contenu",$B$18))))</f>
        <v/>
      </c>
      <c r="N20" s="183" t="str">
        <f ca="1">IF(COUNTA(N5:N19)=0,"",5*SUM(IFERROR((((COUNTIF(N5:N6,"A"))*4)+((COUNTIF(N5:N6,"B"))*3)+((COUNTIF(N5:N6,"C"))*2)+((COUNTIF(N5:N6,"D"))*1))*CELL("contenu",$B$4),0),IFERROR((((COUNTIF(N8:N11,"A"))*4)+((COUNTIF(N8:N11,"B"))*3)+((COUNTIF(N8:N11,"C"))*2)+((COUNTIF(N8:N11,"D"))*1))*CELL("contenu",$B$7),0),IFERROR((((COUNTIF(N13:N13,"A"))*4)+((COUNTIF(N13:N13,"B"))*3)+((COUNTIF(N13:N13,"C"))*2)+((COUNTIF(N13:N13,"D"))*1))*CELL("contenu",$B$12),0),IFERROR((((COUNTIF(N15:N17,"A"))*4)+((COUNTIF(N15:N17,"B"))*3)+((COUNTIF(N15:N17,"C"))*2)+((COUNTIF(N15:N17,"D"))*1))*CELL("contenu",$B$14),0),IFERROR((((COUNTIF(N19:N19,"A"))*4)+((COUNTIF(N19:N19,"B"))*3)+((COUNTIF(N19:N19,"C"))*2)+((COUNTIF(N19:N19,"D"))*1))*CELL("contenu",$B$18),0))/IF(SUM(COUNTA(N5:N6)*CELL("contenu",$B$4),COUNTA(N8:N11)*CELL("contenu",$B$7),COUNTA(N13:N13)*CELL("contenu",$B$12),COUNTA(N15:N17)*CELL("contenu",$B$14),COUNTA(N19:N19)*CELL("contenu",$B$18))=0,1,SUM(COUNTA(N5:N6)*CELL("contenu",$B$4),COUNTA(N8:N11)*CELL("contenu",$B$7),COUNTA(N13:N13)*CELL("contenu",$B$12),COUNTA(N15:N17)*CELL("contenu",$B$14),COUNTA(N19:N19)*CELL("contenu",$B$18))))</f>
        <v/>
      </c>
      <c r="O20" s="184" t="str">
        <f ca="1">IF(COUNTA(O5:O19)=0,"",5*SUM(IFERROR((((COUNTIF(O5:O6,"A"))*4)+((COUNTIF(O5:O6,"B"))*3)+((COUNTIF(O5:O6,"C"))*2)+((COUNTIF(O5:O6,"D"))*1))*CELL("contenu",$B$4),0),IFERROR((((COUNTIF(O8:O11,"A"))*4)+((COUNTIF(O8:O11,"B"))*3)+((COUNTIF(O8:O11,"C"))*2)+((COUNTIF(O8:O11,"D"))*1))*CELL("contenu",$B$7),0),IFERROR((((COUNTIF(O13:O13,"A"))*4)+((COUNTIF(O13:O13,"B"))*3)+((COUNTIF(O13:O13,"C"))*2)+((COUNTIF(O13:O13,"D"))*1))*CELL("contenu",$B$12),0),IFERROR((((COUNTIF(O15:O17,"A"))*4)+((COUNTIF(O15:O17,"B"))*3)+((COUNTIF(O15:O17,"C"))*2)+((COUNTIF(O15:O17,"D"))*1))*CELL("contenu",$B$14),0),IFERROR((((COUNTIF(O19:O19,"A"))*4)+((COUNTIF(O19:O19,"B"))*3)+((COUNTIF(O19:O19,"C"))*2)+((COUNTIF(O19:O19,"D"))*1))*CELL("contenu",$B$18),0))/IF(SUM(COUNTA(O5:O6)*CELL("contenu",$B$4),COUNTA(O8:O11)*CELL("contenu",$B$7),COUNTA(O13:O13)*CELL("contenu",$B$12),COUNTA(O15:O17)*CELL("contenu",$B$14),COUNTA(O19:O19)*CELL("contenu",$B$18))=0,1,SUM(COUNTA(O5:O6)*CELL("contenu",$B$4),COUNTA(O8:O11)*CELL("contenu",$B$7),COUNTA(O13:O13)*CELL("contenu",$B$12),COUNTA(O15:O17)*CELL("contenu",$B$14),COUNTA(O19:O19)*CELL("contenu",$B$18))))</f>
        <v/>
      </c>
      <c r="P20" s="176"/>
      <c r="Q20" s="174" t="str">
        <f ca="1">IF(COUNTA(M20:O20)-COUNTBLANK(M20:O20)=0,"",SUM(M20:O20)/(COUNTA(M20:O20)-COUNTBLANK(M20:O20)))</f>
        <v/>
      </c>
      <c r="R20" s="103"/>
      <c r="S20" s="141"/>
      <c r="T20" s="167">
        <f ca="1">IF(COUNTA(T5:T19)=0,"",5*SUM(IFERROR((((COUNTIF(T5:T6,"A"))*4)+((COUNTIF(T5:T6,"B"))*3)+((COUNTIF(T5:T6,"C"))*2)+((COUNTIF(T5:T6,"D"))*1))*CELL("contenu",$B$4),0),IFERROR((((COUNTIF(T8:T11,"A"))*4)+((COUNTIF(T8:T11,"B"))*3)+((COUNTIF(T8:T11,"C"))*2)+((COUNTIF(T8:T11,"D"))*1))*CELL("contenu",$B$7),0),IFERROR((((COUNTIF(T13:T13,"A"))*4)+((COUNTIF(T13:T13,"B"))*3)+((COUNTIF(T13:T13,"C"))*2)+((COUNTIF(T13:T13,"D"))*1))*CELL("contenu",$B$12),0),IFERROR((((COUNTIF(T15:T17,"A"))*4)+((COUNTIF(T15:T17,"B"))*3)+((COUNTIF(T15:T17,"C"))*2)+((COUNTIF(T15:T17,"D"))*1))*CELL("contenu",$B$14),0),IFERROR((((COUNTIF(T19:T19,"A"))*4)+((COUNTIF(T19:T19,"B"))*3)+((COUNTIF(T19:T19,"C"))*2)+((COUNTIF(T19:T19,"D"))*1))*CELL("contenu",$B$18),0))/IF(SUM(COUNTA(T5:T6)*CELL("contenu",$B$4),COUNTA(T8:T11)*CELL("contenu",$B$7),COUNTA(T13:T13)*CELL("contenu",$B$12),COUNTA(T15:T17)*CELL("contenu",$B$14),COUNTA(T19:T19)*CELL("contenu",$B$18))=0,1,SUM(COUNTA(T5:T6)*CELL("contenu",$B$4),COUNTA(T8:T11)*CELL("contenu",$B$7),COUNTA(T13:T13)*CELL("contenu",$B$12),COUNTA(T15:T17)*CELL("contenu",$B$14),COUNTA(T19:T19)*CELL("contenu",$B$18))))</f>
        <v>18.333333333333332</v>
      </c>
      <c r="U20" s="168">
        <f ca="1">IF(COUNTA(U5:U19)=0,"",5*SUM(IFERROR((((COUNTIF(U5:U6,"A"))*4)+((COUNTIF(U5:U6,"B"))*3)+((COUNTIF(U5:U6,"C"))*2)+((COUNTIF(U5:U6,"D"))*1))*CELL("contenu",$B$4),0),IFERROR((((COUNTIF(U8:U11,"A"))*4)+((COUNTIF(U8:U11,"B"))*3)+((COUNTIF(U8:U11,"C"))*2)+((COUNTIF(U8:U11,"D"))*1))*CELL("contenu",$B$7),0),IFERROR((((COUNTIF(U13:U13,"A"))*4)+((COUNTIF(U13:U13,"B"))*3)+((COUNTIF(U13:U13,"C"))*2)+((COUNTIF(U13:U13,"D"))*1))*CELL("contenu",$B$12),0),IFERROR((((COUNTIF(U15:U17,"A"))*4)+((COUNTIF(U15:U17,"B"))*3)+((COUNTIF(U15:U17,"C"))*2)+((COUNTIF(U15:U17,"D"))*1))*CELL("contenu",$B$14),0),IFERROR((((COUNTIF(U19:U19,"A"))*4)+((COUNTIF(U19:U19,"B"))*3)+((COUNTIF(U19:U19,"C"))*2)+((COUNTIF(U19:U19,"D"))*1))*CELL("contenu",$B$18),0))/IF(SUM(COUNTA(U5:U6)*CELL("contenu",$B$4),COUNTA(U8:U11)*CELL("contenu",$B$7),COUNTA(U13:U13)*CELL("contenu",$B$12),COUNTA(U15:U17)*CELL("contenu",$B$14),COUNTA(U19:U19)*CELL("contenu",$B$18))=0,1,SUM(COUNTA(U5:U6)*CELL("contenu",$B$4),COUNTA(U8:U11)*CELL("contenu",$B$7),COUNTA(U13:U13)*CELL("contenu",$B$12),COUNTA(U15:U17)*CELL("contenu",$B$14),COUNTA(U19:U19)*CELL("contenu",$B$18))))</f>
        <v>13.333333333333334</v>
      </c>
      <c r="V20" s="169" t="str">
        <f ca="1">IF(COUNTA(V5:V19)=0,"",5*SUM(IFERROR((((COUNTIF(V5:V6,"A"))*4)+((COUNTIF(V5:V6,"B"))*3)+((COUNTIF(V5:V6,"C"))*2)+((COUNTIF(V5:V6,"D"))*1))*CELL("contenu",$B$4),0),IFERROR((((COUNTIF(V8:V11,"A"))*4)+((COUNTIF(V8:V11,"B"))*3)+((COUNTIF(V8:V11,"C"))*2)+((COUNTIF(V8:V11,"D"))*1))*CELL("contenu",$B$7),0),IFERROR((((COUNTIF(V13:V13,"A"))*4)+((COUNTIF(V13:V13,"B"))*3)+((COUNTIF(V13:V13,"C"))*2)+((COUNTIF(V13:V13,"D"))*1))*CELL("contenu",$B$12),0),IFERROR((((COUNTIF(V15:V17,"A"))*4)+((COUNTIF(V15:V17,"B"))*3)+((COUNTIF(V15:V17,"C"))*2)+((COUNTIF(V15:V17,"D"))*1))*CELL("contenu",$B$14),0),IFERROR((((COUNTIF(V19:V19,"A"))*4)+((COUNTIF(V19:V19,"B"))*3)+((COUNTIF(V19:V19,"C"))*2)+((COUNTIF(V19:V19,"D"))*1))*CELL("contenu",$B$18),0))/IF(SUM(COUNTA(V5:V6)*CELL("contenu",$B$4),COUNTA(V8:V11)*CELL("contenu",$B$7),COUNTA(V13:V13)*CELL("contenu",$B$12),COUNTA(V15:V17)*CELL("contenu",$B$14),COUNTA(V19:V19)*CELL("contenu",$B$18))=0,1,SUM(COUNTA(V5:V6)*CELL("contenu",$B$4),COUNTA(V8:V11)*CELL("contenu",$B$7),COUNTA(V13:V13)*CELL("contenu",$B$12),COUNTA(V15:V17)*CELL("contenu",$B$14),COUNTA(V19:V19)*CELL("contenu",$B$18))))</f>
        <v/>
      </c>
      <c r="W20" s="116"/>
      <c r="X20" s="192">
        <f ca="1">IF(COUNTA(T20:V20)-COUNTBLANK(T20:V20)=0,"",SUM(T20:V20)/(COUNTA(T20:V20)-COUNTBLANK(T20:V20)))</f>
        <v>15.833333333333332</v>
      </c>
      <c r="Y20" s="182" t="str">
        <f ca="1">IF(COUNTA(Y5:Y19)=0,"",5*SUM(IFERROR((((COUNTIF(Y5:Y6,"A"))*4)+((COUNTIF(Y5:Y6,"B"))*3)+((COUNTIF(Y5:Y6,"C"))*2)+((COUNTIF(Y5:Y6,"D"))*1))*CELL("contenu",$B$4),0),IFERROR((((COUNTIF(Y8:Y11,"A"))*4)+((COUNTIF(Y8:Y11,"B"))*3)+((COUNTIF(Y8:Y11,"C"))*2)+((COUNTIF(Y8:Y11,"D"))*1))*CELL("contenu",$B$7),0),IFERROR((((COUNTIF(Y13:Y13,"A"))*4)+((COUNTIF(Y13:Y13,"B"))*3)+((COUNTIF(Y13:Y13,"C"))*2)+((COUNTIF(Y13:Y13,"D"))*1))*CELL("contenu",$B$12),0),IFERROR((((COUNTIF(Y15:Y17,"A"))*4)+((COUNTIF(Y15:Y17,"B"))*3)+((COUNTIF(Y15:Y17,"C"))*2)+((COUNTIF(Y15:Y17,"D"))*1))*CELL("contenu",$B$14),0),IFERROR((((COUNTIF(Y19:Y19,"A"))*4)+((COUNTIF(Y19:Y19,"B"))*3)+((COUNTIF(Y19:Y19,"C"))*2)+((COUNTIF(Y19:Y19,"D"))*1))*CELL("contenu",$B$18),0))/IF(SUM(COUNTA(Y5:Y6)*CELL("contenu",$B$4),COUNTA(Y8:Y11)*CELL("contenu",$B$7),COUNTA(Y13:Y13)*CELL("contenu",$B$12),COUNTA(Y15:Y17)*CELL("contenu",$B$14),COUNTA(Y19:Y19)*CELL("contenu",$B$18))=0,1,SUM(COUNTA(Y5:Y6)*CELL("contenu",$B$4),COUNTA(Y8:Y11)*CELL("contenu",$B$7),COUNTA(Y13:Y13)*CELL("contenu",$B$12),COUNTA(Y15:Y17)*CELL("contenu",$B$14),COUNTA(Y19:Y19)*CELL("contenu",$B$18))))</f>
        <v/>
      </c>
      <c r="Z20" s="183" t="str">
        <f ca="1">IF(COUNTA(Z5:Z19)=0,"",5*SUM(IFERROR((((COUNTIF(Z5:Z6,"A"))*4)+((COUNTIF(Z5:Z6,"B"))*3)+((COUNTIF(Z5:Z6,"C"))*2)+((COUNTIF(Z5:Z6,"D"))*1))*CELL("contenu",$B$4),0),IFERROR((((COUNTIF(Z8:Z11,"A"))*4)+((COUNTIF(Z8:Z11,"B"))*3)+((COUNTIF(Z8:Z11,"C"))*2)+((COUNTIF(Z8:Z11,"D"))*1))*CELL("contenu",$B$7),0),IFERROR((((COUNTIF(Z13:Z13,"A"))*4)+((COUNTIF(Z13:Z13,"B"))*3)+((COUNTIF(Z13:Z13,"C"))*2)+((COUNTIF(Z13:Z13,"D"))*1))*CELL("contenu",$B$12),0),IFERROR((((COUNTIF(Z15:Z17,"A"))*4)+((COUNTIF(Z15:Z17,"B"))*3)+((COUNTIF(Z15:Z17,"C"))*2)+((COUNTIF(Z15:Z17,"D"))*1))*CELL("contenu",$B$14),0),IFERROR((((COUNTIF(Z19:Z19,"A"))*4)+((COUNTIF(Z19:Z19,"B"))*3)+((COUNTIF(Z19:Z19,"C"))*2)+((COUNTIF(Z19:Z19,"D"))*1))*CELL("contenu",$B$18),0))/IF(SUM(COUNTA(Z5:Z6)*CELL("contenu",$B$4),COUNTA(Z8:Z11)*CELL("contenu",$B$7),COUNTA(Z13:Z13)*CELL("contenu",$B$12),COUNTA(Z15:Z17)*CELL("contenu",$B$14),COUNTA(Z19:Z19)*CELL("contenu",$B$18))=0,1,SUM(COUNTA(Z5:Z6)*CELL("contenu",$B$4),COUNTA(Z8:Z11)*CELL("contenu",$B$7),COUNTA(Z13:Z13)*CELL("contenu",$B$12),COUNTA(Z15:Z17)*CELL("contenu",$B$14),COUNTA(Z19:Z19)*CELL("contenu",$B$18))))</f>
        <v/>
      </c>
      <c r="AA20" s="184" t="str">
        <f ca="1">IF(COUNTA(AA5:AA19)=0,"",5*SUM(IFERROR((((COUNTIF(AA5:AA6,"A"))*4)+((COUNTIF(AA5:AA6,"B"))*3)+((COUNTIF(AA5:AA6,"C"))*2)+((COUNTIF(AA5:AA6,"D"))*1))*CELL("contenu",$B$4),0),IFERROR((((COUNTIF(AA8:AA11,"A"))*4)+((COUNTIF(AA8:AA11,"B"))*3)+((COUNTIF(AA8:AA11,"C"))*2)+((COUNTIF(AA8:AA11,"D"))*1))*CELL("contenu",$B$7),0),IFERROR((((COUNTIF(AA13:AA13,"A"))*4)+((COUNTIF(AA13:AA13,"B"))*3)+((COUNTIF(AA13:AA13,"C"))*2)+((COUNTIF(AA13:AA13,"D"))*1))*CELL("contenu",$B$12),0),IFERROR((((COUNTIF(AA15:AA17,"A"))*4)+((COUNTIF(AA15:AA17,"B"))*3)+((COUNTIF(AA15:AA17,"C"))*2)+((COUNTIF(AA15:AA17,"D"))*1))*CELL("contenu",$B$14),0),IFERROR((((COUNTIF(AA19:AA19,"A"))*4)+((COUNTIF(AA19:AA19,"B"))*3)+((COUNTIF(AA19:AA19,"C"))*2)+((COUNTIF(AA19:AA19,"D"))*1))*CELL("contenu",$B$18),0))/IF(SUM(COUNTA(AA5:AA6)*CELL("contenu",$B$4),COUNTA(AA8:AA11)*CELL("contenu",$B$7),COUNTA(AA13:AA13)*CELL("contenu",$B$12),COUNTA(AA15:AA17)*CELL("contenu",$B$14),COUNTA(AA19:AA19)*CELL("contenu",$B$18))=0,1,SUM(COUNTA(AA5:AA6)*CELL("contenu",$B$4),COUNTA(AA8:AA11)*CELL("contenu",$B$7),COUNTA(AA13:AA13)*CELL("contenu",$B$12),COUNTA(AA15:AA17)*CELL("contenu",$B$14),COUNTA(AA19:AA19)*CELL("contenu",$B$18))))</f>
        <v/>
      </c>
      <c r="AB20" s="176"/>
      <c r="AC20" s="175" t="str">
        <f ca="1">IF(COUNTA(Y20:AA20)-COUNTBLANK(Y20:AA20)=0,"",SUM(Y20:AA20)/(COUNTA(Y20:AA20)-COUNTBLANK(Y20:AA20)))</f>
        <v/>
      </c>
      <c r="AD20" s="182" t="str">
        <f ca="1">IF(COUNTA(AD5:AD19)=0,"",5*SUM(IFERROR((((COUNTIF(AD5:AD6,"A"))*4)+((COUNTIF(AD5:AD6,"B"))*3)+((COUNTIF(AD5:AD6,"C"))*2)+((COUNTIF(AD5:AD6,"D"))*1))*CELL("contenu",$B$4),0),IFERROR((((COUNTIF(AD8:AD11,"A"))*4)+((COUNTIF(AD8:AD11,"B"))*3)+((COUNTIF(AD8:AD11,"C"))*2)+((COUNTIF(AD8:AD11,"D"))*1))*CELL("contenu",$B$7),0),IFERROR((((COUNTIF(AD13:AD13,"A"))*4)+((COUNTIF(AD13:AD13,"B"))*3)+((COUNTIF(AD13:AD13,"C"))*2)+((COUNTIF(AD13:AD13,"D"))*1))*CELL("contenu",$B$12),0),IFERROR((((COUNTIF(AD15:AD17,"A"))*4)+((COUNTIF(AD15:AD17,"B"))*3)+((COUNTIF(AD15:AD17,"C"))*2)+((COUNTIF(AD15:AD17,"D"))*1))*CELL("contenu",$B$14),0),IFERROR((((COUNTIF(AD19:AD19,"A"))*4)+((COUNTIF(AD19:AD19,"B"))*3)+((COUNTIF(AD19:AD19,"C"))*2)+((COUNTIF(AD19:AD19,"D"))*1))*CELL("contenu",$B$18),0))/IF(SUM(COUNTA(AD5:AD6)*CELL("contenu",$B$4),COUNTA(AD8:AD11)*CELL("contenu",$B$7),COUNTA(AD13:AD13)*CELL("contenu",$B$12),COUNTA(AD15:AD17)*CELL("contenu",$B$14),COUNTA(AD19:AD19)*CELL("contenu",$B$18))=0,1,SUM(COUNTA(AD5:AD6)*CELL("contenu",$B$4),COUNTA(AD8:AD11)*CELL("contenu",$B$7),COUNTA(AD13:AD13)*CELL("contenu",$B$12),COUNTA(AD15:AD17)*CELL("contenu",$B$14),COUNTA(AD19:AD19)*CELL("contenu",$B$18))))</f>
        <v/>
      </c>
      <c r="AE20" s="183" t="str">
        <f ca="1">IF(COUNTA(AE5:AE19)=0,"",5*SUM(IFERROR((((COUNTIF(AE5:AE6,"A"))*4)+((COUNTIF(AE5:AE6,"B"))*3)+((COUNTIF(AE5:AE6,"C"))*2)+((COUNTIF(AE5:AE6,"D"))*1))*CELL("contenu",$B$4),0),IFERROR((((COUNTIF(AE8:AE11,"A"))*4)+((COUNTIF(AE8:AE11,"B"))*3)+((COUNTIF(AE8:AE11,"C"))*2)+((COUNTIF(AE8:AE11,"D"))*1))*CELL("contenu",$B$7),0),IFERROR((((COUNTIF(AE13:AE13,"A"))*4)+((COUNTIF(AE13:AE13,"B"))*3)+((COUNTIF(AE13:AE13,"C"))*2)+((COUNTIF(AE13:AE13,"D"))*1))*CELL("contenu",$B$12),0),IFERROR((((COUNTIF(AE15:AE17,"A"))*4)+((COUNTIF(AE15:AE17,"B"))*3)+((COUNTIF(AE15:AE17,"C"))*2)+((COUNTIF(AE15:AE17,"D"))*1))*CELL("contenu",$B$14),0),IFERROR((((COUNTIF(AE19:AE19,"A"))*4)+((COUNTIF(AE19:AE19,"B"))*3)+((COUNTIF(AE19:AE19,"C"))*2)+((COUNTIF(AE19:AE19,"D"))*1))*CELL("contenu",$B$18),0))/IF(SUM(COUNTA(AE5:AE6)*CELL("contenu",$B$4),COUNTA(AE8:AE11)*CELL("contenu",$B$7),COUNTA(AE13:AE13)*CELL("contenu",$B$12),COUNTA(AE15:AE17)*CELL("contenu",$B$14),COUNTA(AE19:AE19)*CELL("contenu",$B$18))=0,1,SUM(COUNTA(AE5:AE6)*CELL("contenu",$B$4),COUNTA(AE8:AE11)*CELL("contenu",$B$7),COUNTA(AE13:AE13)*CELL("contenu",$B$12),COUNTA(AE15:AE17)*CELL("contenu",$B$14),COUNTA(AE19:AE19)*CELL("contenu",$B$18))))</f>
        <v/>
      </c>
      <c r="AF20" s="184" t="str">
        <f ca="1">IF(COUNTA(AF5:AF19)=0,"",5*SUM(IFERROR((((COUNTIF(AF5:AF6,"A"))*4)+((COUNTIF(AF5:AF6,"B"))*3)+((COUNTIF(AF5:AF6,"C"))*2)+((COUNTIF(AF5:AF6,"D"))*1))*CELL("contenu",$B$4),0),IFERROR((((COUNTIF(AF8:AF11,"A"))*4)+((COUNTIF(AF8:AF11,"B"))*3)+((COUNTIF(AF8:AF11,"C"))*2)+((COUNTIF(AF8:AF11,"D"))*1))*CELL("contenu",$B$7),0),IFERROR((((COUNTIF(AF13:AF13,"A"))*4)+((COUNTIF(AF13:AF13,"B"))*3)+((COUNTIF(AF13:AF13,"C"))*2)+((COUNTIF(AF13:AF13,"D"))*1))*CELL("contenu",$B$12),0),IFERROR((((COUNTIF(AF15:AF17,"A"))*4)+((COUNTIF(AF15:AF17,"B"))*3)+((COUNTIF(AF15:AF17,"C"))*2)+((COUNTIF(AF15:AF17,"D"))*1))*CELL("contenu",$B$14),0),IFERROR((((COUNTIF(AF19:AF19,"A"))*4)+((COUNTIF(AF19:AF19,"B"))*3)+((COUNTIF(AF19:AF19,"C"))*2)+((COUNTIF(AF19:AF19,"D"))*1))*CELL("contenu",$B$18),0))/IF(SUM(COUNTA(AF5:AF6)*CELL("contenu",$B$4),COUNTA(AF8:AF11)*CELL("contenu",$B$7),COUNTA(AF13:AF13)*CELL("contenu",$B$12),COUNTA(AF15:AF17)*CELL("contenu",$B$14),COUNTA(AF19:AF19)*CELL("contenu",$B$18))=0,1,SUM(COUNTA(AF5:AF6)*CELL("contenu",$B$4),COUNTA(AF8:AF11)*CELL("contenu",$B$7),COUNTA(AF13:AF13)*CELL("contenu",$B$12),COUNTA(AF15:AF17)*CELL("contenu",$B$14),COUNTA(AF19:AF19)*CELL("contenu",$B$18))))</f>
        <v/>
      </c>
      <c r="AG20" s="176"/>
      <c r="AH20" s="174" t="str">
        <f ca="1">IF(COUNTA(AD20:AF20)-COUNTBLANK(AD20:AF20)=0,"",SUM(AD20:AF20)/(COUNTA(AD20:AF20)-COUNTBLANK(AD20:AF20)))</f>
        <v/>
      </c>
      <c r="AI20" s="103"/>
      <c r="AJ20" s="141"/>
      <c r="AK20" s="167">
        <f ca="1">IF(COUNTA(AK5:AK19)=0,"",5*SUM(IFERROR((((COUNTIF(AK5:AK6,"A"))*4)+((COUNTIF(AK5:AK6,"B"))*3)+((COUNTIF(AK5:AK6,"C"))*2)+((COUNTIF(AK5:AK6,"D"))*1))*CELL("contenu",$B$4),0),IFERROR((((COUNTIF(AK8:AK11,"A"))*4)+((COUNTIF(AK8:AK11,"B"))*3)+((COUNTIF(AK8:AK11,"C"))*2)+((COUNTIF(AK8:AK11,"D"))*1))*CELL("contenu",$B$7),0),IFERROR((((COUNTIF(AK13:AK13,"A"))*4)+((COUNTIF(AK13:AK13,"B"))*3)+((COUNTIF(AK13:AK13,"C"))*2)+((COUNTIF(AK13:AK13,"D"))*1))*CELL("contenu",$B$12),0),IFERROR((((COUNTIF(AK15:AK17,"A"))*4)+((COUNTIF(AK15:AK17,"B"))*3)+((COUNTIF(AK15:AK17,"C"))*2)+((COUNTIF(AK15:AK17,"D"))*1))*CELL("contenu",$B$14),0),IFERROR((((COUNTIF(AK19:AK19,"A"))*4)+((COUNTIF(AK19:AK19,"B"))*3)+((COUNTIF(AK19:AK19,"C"))*2)+((COUNTIF(AK19:AK19,"D"))*1))*CELL("contenu",$B$18),0))/IF(SUM(COUNTA(AK5:AK6)*CELL("contenu",$B$4),COUNTA(AK8:AK11)*CELL("contenu",$B$7),COUNTA(AK13:AK13)*CELL("contenu",$B$12),COUNTA(AK15:AK17)*CELL("contenu",$B$14),COUNTA(AK19:AK19)*CELL("contenu",$B$18))=0,1,SUM(COUNTA(AK5:AK6)*CELL("contenu",$B$4),COUNTA(AK8:AK11)*CELL("contenu",$B$7),COUNTA(AK13:AK13)*CELL("contenu",$B$12),COUNTA(AK15:AK17)*CELL("contenu",$B$14),COUNTA(AK19:AK19)*CELL("contenu",$B$18))))</f>
        <v>13.333333333333334</v>
      </c>
      <c r="AL20" s="168">
        <f ca="1">IF(COUNTA(AL5:AL19)=0,"",5*SUM(IFERROR((((COUNTIF(AL5:AL6,"A"))*4)+((COUNTIF(AL5:AL6,"B"))*3)+((COUNTIF(AL5:AL6,"C"))*2)+((COUNTIF(AL5:AL6,"D"))*1))*CELL("contenu",$B$4),0),IFERROR((((COUNTIF(AL8:AL11,"A"))*4)+((COUNTIF(AL8:AL11,"B"))*3)+((COUNTIF(AL8:AL11,"C"))*2)+((COUNTIF(AL8:AL11,"D"))*1))*CELL("contenu",$B$7),0),IFERROR((((COUNTIF(AL13:AL13,"A"))*4)+((COUNTIF(AL13:AL13,"B"))*3)+((COUNTIF(AL13:AL13,"C"))*2)+((COUNTIF(AL13:AL13,"D"))*1))*CELL("contenu",$B$12),0),IFERROR((((COUNTIF(AL15:AL17,"A"))*4)+((COUNTIF(AL15:AL17,"B"))*3)+((COUNTIF(AL15:AL17,"C"))*2)+((COUNTIF(AL15:AL17,"D"))*1))*CELL("contenu",$B$14),0),IFERROR((((COUNTIF(AL19:AL19,"A"))*4)+((COUNTIF(AL19:AL19,"B"))*3)+((COUNTIF(AL19:AL19,"C"))*2)+((COUNTIF(AL19:AL19,"D"))*1))*CELL("contenu",$B$18),0))/IF(SUM(COUNTA(AL5:AL6)*CELL("contenu",$B$4),COUNTA(AL8:AL11)*CELL("contenu",$B$7),COUNTA(AL13:AL13)*CELL("contenu",$B$12),COUNTA(AL15:AL17)*CELL("contenu",$B$14),COUNTA(AL19:AL19)*CELL("contenu",$B$18))=0,1,SUM(COUNTA(AL5:AL6)*CELL("contenu",$B$4),COUNTA(AL8:AL11)*CELL("contenu",$B$7),COUNTA(AL13:AL13)*CELL("contenu",$B$12),COUNTA(AL15:AL17)*CELL("contenu",$B$14),COUNTA(AL19:AL19)*CELL("contenu",$B$18))))</f>
        <v>13.333333333333334</v>
      </c>
      <c r="AM20" s="169" t="str">
        <f ca="1">IF(COUNTA(AM5:AM19)=0,"",5*SUM(IFERROR((((COUNTIF(AM5:AM6,"A"))*4)+((COUNTIF(AM5:AM6,"B"))*3)+((COUNTIF(AM5:AM6,"C"))*2)+((COUNTIF(AM5:AM6,"D"))*1))*CELL("contenu",$B$4),0),IFERROR((((COUNTIF(AM8:AM11,"A"))*4)+((COUNTIF(AM8:AM11,"B"))*3)+((COUNTIF(AM8:AM11,"C"))*2)+((COUNTIF(AM8:AM11,"D"))*1))*CELL("contenu",$B$7),0),IFERROR((((COUNTIF(AM13:AM13,"A"))*4)+((COUNTIF(AM13:AM13,"B"))*3)+((COUNTIF(AM13:AM13,"C"))*2)+((COUNTIF(AM13:AM13,"D"))*1))*CELL("contenu",$B$12),0),IFERROR((((COUNTIF(AM15:AM17,"A"))*4)+((COUNTIF(AM15:AM17,"B"))*3)+((COUNTIF(AM15:AM17,"C"))*2)+((COUNTIF(AM15:AM17,"D"))*1))*CELL("contenu",$B$14),0),IFERROR((((COUNTIF(AM19:AM19,"A"))*4)+((COUNTIF(AM19:AM19,"B"))*3)+((COUNTIF(AM19:AM19,"C"))*2)+((COUNTIF(AM19:AM19,"D"))*1))*CELL("contenu",$B$18),0))/IF(SUM(COUNTA(AM5:AM6)*CELL("contenu",$B$4),COUNTA(AM8:AM11)*CELL("contenu",$B$7),COUNTA(AM13:AM13)*CELL("contenu",$B$12),COUNTA(AM15:AM17)*CELL("contenu",$B$14),COUNTA(AM19:AM19)*CELL("contenu",$B$18))=0,1,SUM(COUNTA(AM5:AM6)*CELL("contenu",$B$4),COUNTA(AM8:AM11)*CELL("contenu",$B$7),COUNTA(AM13:AM13)*CELL("contenu",$B$12),COUNTA(AM15:AM17)*CELL("contenu",$B$14),COUNTA(AM19:AM19)*CELL("contenu",$B$18))))</f>
        <v/>
      </c>
      <c r="AN20" s="116"/>
      <c r="AO20" s="192">
        <f ca="1">IF(COUNTA(AK20:AM20)-COUNTBLANK(AK20:AM20)=0,"",SUM(AK20:AM20)/(COUNTA(AK20:AM20)-COUNTBLANK(AK20:AM20)))</f>
        <v>13.333333333333334</v>
      </c>
      <c r="AP20" s="182" t="str">
        <f ca="1">IF(COUNTA(AP5:AP19)=0,"",5*SUM(IFERROR((((COUNTIF(AP5:AP6,"A"))*4)+((COUNTIF(AP5:AP6,"B"))*3)+((COUNTIF(AP5:AP6,"C"))*2)+((COUNTIF(AP5:AP6,"D"))*1))*CELL("contenu",$B$4),0),IFERROR((((COUNTIF(AP8:AP11,"A"))*4)+((COUNTIF(AP8:AP11,"B"))*3)+((COUNTIF(AP8:AP11,"C"))*2)+((COUNTIF(AP8:AP11,"D"))*1))*CELL("contenu",$B$7),0),IFERROR((((COUNTIF(AP13:AP13,"A"))*4)+((COUNTIF(AP13:AP13,"B"))*3)+((COUNTIF(AP13:AP13,"C"))*2)+((COUNTIF(AP13:AP13,"D"))*1))*CELL("contenu",$B$12),0),IFERROR((((COUNTIF(AP15:AP17,"A"))*4)+((COUNTIF(AP15:AP17,"B"))*3)+((COUNTIF(AP15:AP17,"C"))*2)+((COUNTIF(AP15:AP17,"D"))*1))*CELL("contenu",$B$14),0),IFERROR((((COUNTIF(AP19:AP19,"A"))*4)+((COUNTIF(AP19:AP19,"B"))*3)+((COUNTIF(AP19:AP19,"C"))*2)+((COUNTIF(AP19:AP19,"D"))*1))*CELL("contenu",$B$18),0))/IF(SUM(COUNTA(AP5:AP6)*CELL("contenu",$B$4),COUNTA(AP8:AP11)*CELL("contenu",$B$7),COUNTA(AP13:AP13)*CELL("contenu",$B$12),COUNTA(AP15:AP17)*CELL("contenu",$B$14),COUNTA(AP19:AP19)*CELL("contenu",$B$18))=0,1,SUM(COUNTA(AP5:AP6)*CELL("contenu",$B$4),COUNTA(AP8:AP11)*CELL("contenu",$B$7),COUNTA(AP13:AP13)*CELL("contenu",$B$12),COUNTA(AP15:AP17)*CELL("contenu",$B$14),COUNTA(AP19:AP19)*CELL("contenu",$B$18))))</f>
        <v/>
      </c>
      <c r="AQ20" s="183" t="str">
        <f ca="1">IF(COUNTA(AQ5:AQ19)=0,"",5*SUM(IFERROR((((COUNTIF(AQ5:AQ6,"A"))*4)+((COUNTIF(AQ5:AQ6,"B"))*3)+((COUNTIF(AQ5:AQ6,"C"))*2)+((COUNTIF(AQ5:AQ6,"D"))*1))*CELL("contenu",$B$4),0),IFERROR((((COUNTIF(AQ8:AQ11,"A"))*4)+((COUNTIF(AQ8:AQ11,"B"))*3)+((COUNTIF(AQ8:AQ11,"C"))*2)+((COUNTIF(AQ8:AQ11,"D"))*1))*CELL("contenu",$B$7),0),IFERROR((((COUNTIF(AQ13:AQ13,"A"))*4)+((COUNTIF(AQ13:AQ13,"B"))*3)+((COUNTIF(AQ13:AQ13,"C"))*2)+((COUNTIF(AQ13:AQ13,"D"))*1))*CELL("contenu",$B$12),0),IFERROR((((COUNTIF(AQ15:AQ17,"A"))*4)+((COUNTIF(AQ15:AQ17,"B"))*3)+((COUNTIF(AQ15:AQ17,"C"))*2)+((COUNTIF(AQ15:AQ17,"D"))*1))*CELL("contenu",$B$14),0),IFERROR((((COUNTIF(AQ19:AQ19,"A"))*4)+((COUNTIF(AQ19:AQ19,"B"))*3)+((COUNTIF(AQ19:AQ19,"C"))*2)+((COUNTIF(AQ19:AQ19,"D"))*1))*CELL("contenu",$B$18),0))/IF(SUM(COUNTA(AQ5:AQ6)*CELL("contenu",$B$4),COUNTA(AQ8:AQ11)*CELL("contenu",$B$7),COUNTA(AQ13:AQ13)*CELL("contenu",$B$12),COUNTA(AQ15:AQ17)*CELL("contenu",$B$14),COUNTA(AQ19:AQ19)*CELL("contenu",$B$18))=0,1,SUM(COUNTA(AQ5:AQ6)*CELL("contenu",$B$4),COUNTA(AQ8:AQ11)*CELL("contenu",$B$7),COUNTA(AQ13:AQ13)*CELL("contenu",$B$12),COUNTA(AQ15:AQ17)*CELL("contenu",$B$14),COUNTA(AQ19:AQ19)*CELL("contenu",$B$18))))</f>
        <v/>
      </c>
      <c r="AR20" s="184" t="str">
        <f ca="1">IF(COUNTA(AR5:AR19)=0,"",5*SUM(IFERROR((((COUNTIF(AR5:AR6,"A"))*4)+((COUNTIF(AR5:AR6,"B"))*3)+((COUNTIF(AR5:AR6,"C"))*2)+((COUNTIF(AR5:AR6,"D"))*1))*CELL("contenu",$B$4),0),IFERROR((((COUNTIF(AR8:AR11,"A"))*4)+((COUNTIF(AR8:AR11,"B"))*3)+((COUNTIF(AR8:AR11,"C"))*2)+((COUNTIF(AR8:AR11,"D"))*1))*CELL("contenu",$B$7),0),IFERROR((((COUNTIF(AR13:AR13,"A"))*4)+((COUNTIF(AR13:AR13,"B"))*3)+((COUNTIF(AR13:AR13,"C"))*2)+((COUNTIF(AR13:AR13,"D"))*1))*CELL("contenu",$B$12),0),IFERROR((((COUNTIF(AR15:AR17,"A"))*4)+((COUNTIF(AR15:AR17,"B"))*3)+((COUNTIF(AR15:AR17,"C"))*2)+((COUNTIF(AR15:AR17,"D"))*1))*CELL("contenu",$B$14),0),IFERROR((((COUNTIF(AR19:AR19,"A"))*4)+((COUNTIF(AR19:AR19,"B"))*3)+((COUNTIF(AR19:AR19,"C"))*2)+((COUNTIF(AR19:AR19,"D"))*1))*CELL("contenu",$B$18),0))/IF(SUM(COUNTA(AR5:AR6)*CELL("contenu",$B$4),COUNTA(AR8:AR11)*CELL("contenu",$B$7),COUNTA(AR13:AR13)*CELL("contenu",$B$12),COUNTA(AR15:AR17)*CELL("contenu",$B$14),COUNTA(AR19:AR19)*CELL("contenu",$B$18))=0,1,SUM(COUNTA(AR5:AR6)*CELL("contenu",$B$4),COUNTA(AR8:AR11)*CELL("contenu",$B$7),COUNTA(AR13:AR13)*CELL("contenu",$B$12),COUNTA(AR15:AR17)*CELL("contenu",$B$14),COUNTA(AR19:AR19)*CELL("contenu",$B$18))))</f>
        <v/>
      </c>
      <c r="AS20" s="176"/>
      <c r="AT20" s="175" t="str">
        <f ca="1">IF(COUNTA(AP20:AR20)-COUNTBLANK(AP20:AR20)=0,"",SUM(AP20:AR20)/(COUNTA(AP20:AR20)-COUNTBLANK(AP20:AR20)))</f>
        <v/>
      </c>
      <c r="AU20" s="182" t="str">
        <f ca="1">IF(COUNTA(AU5:AU19)=0,"",5*SUM(IFERROR((((COUNTIF(AU5:AU6,"A"))*4)+((COUNTIF(AU5:AU6,"B"))*3)+((COUNTIF(AU5:AU6,"C"))*2)+((COUNTIF(AU5:AU6,"D"))*1))*CELL("contenu",$B$4),0),IFERROR((((COUNTIF(AU8:AU11,"A"))*4)+((COUNTIF(AU8:AU11,"B"))*3)+((COUNTIF(AU8:AU11,"C"))*2)+((COUNTIF(AU8:AU11,"D"))*1))*CELL("contenu",$B$7),0),IFERROR((((COUNTIF(AU13:AU13,"A"))*4)+((COUNTIF(AU13:AU13,"B"))*3)+((COUNTIF(AU13:AU13,"C"))*2)+((COUNTIF(AU13:AU13,"D"))*1))*CELL("contenu",$B$12),0),IFERROR((((COUNTIF(AU15:AU17,"A"))*4)+((COUNTIF(AU15:AU17,"B"))*3)+((COUNTIF(AU15:AU17,"C"))*2)+((COUNTIF(AU15:AU17,"D"))*1))*CELL("contenu",$B$14),0),IFERROR((((COUNTIF(AU19:AU19,"A"))*4)+((COUNTIF(AU19:AU19,"B"))*3)+((COUNTIF(AU19:AU19,"C"))*2)+((COUNTIF(AU19:AU19,"D"))*1))*CELL("contenu",$B$18),0))/IF(SUM(COUNTA(AU5:AU6)*CELL("contenu",$B$4),COUNTA(AU8:AU11)*CELL("contenu",$B$7),COUNTA(AU13:AU13)*CELL("contenu",$B$12),COUNTA(AU15:AU17)*CELL("contenu",$B$14),COUNTA(AU19:AU19)*CELL("contenu",$B$18))=0,1,SUM(COUNTA(AU5:AU6)*CELL("contenu",$B$4),COUNTA(AU8:AU11)*CELL("contenu",$B$7),COUNTA(AU13:AU13)*CELL("contenu",$B$12),COUNTA(AU15:AU17)*CELL("contenu",$B$14),COUNTA(AU19:AU19)*CELL("contenu",$B$18))))</f>
        <v/>
      </c>
      <c r="AV20" s="183" t="str">
        <f ca="1">IF(COUNTA(AV5:AV19)=0,"",5*SUM(IFERROR((((COUNTIF(AV5:AV6,"A"))*4)+((COUNTIF(AV5:AV6,"B"))*3)+((COUNTIF(AV5:AV6,"C"))*2)+((COUNTIF(AV5:AV6,"D"))*1))*CELL("contenu",$B$4),0),IFERROR((((COUNTIF(AV8:AV11,"A"))*4)+((COUNTIF(AV8:AV11,"B"))*3)+((COUNTIF(AV8:AV11,"C"))*2)+((COUNTIF(AV8:AV11,"D"))*1))*CELL("contenu",$B$7),0),IFERROR((((COUNTIF(AV13:AV13,"A"))*4)+((COUNTIF(AV13:AV13,"B"))*3)+((COUNTIF(AV13:AV13,"C"))*2)+((COUNTIF(AV13:AV13,"D"))*1))*CELL("contenu",$B$12),0),IFERROR((((COUNTIF(AV15:AV17,"A"))*4)+((COUNTIF(AV15:AV17,"B"))*3)+((COUNTIF(AV15:AV17,"C"))*2)+((COUNTIF(AV15:AV17,"D"))*1))*CELL("contenu",$B$14),0),IFERROR((((COUNTIF(AV19:AV19,"A"))*4)+((COUNTIF(AV19:AV19,"B"))*3)+((COUNTIF(AV19:AV19,"C"))*2)+((COUNTIF(AV19:AV19,"D"))*1))*CELL("contenu",$B$18),0))/IF(SUM(COUNTA(AV5:AV6)*CELL("contenu",$B$4),COUNTA(AV8:AV11)*CELL("contenu",$B$7),COUNTA(AV13:AV13)*CELL("contenu",$B$12),COUNTA(AV15:AV17)*CELL("contenu",$B$14),COUNTA(AV19:AV19)*CELL("contenu",$B$18))=0,1,SUM(COUNTA(AV5:AV6)*CELL("contenu",$B$4),COUNTA(AV8:AV11)*CELL("contenu",$B$7),COUNTA(AV13:AV13)*CELL("contenu",$B$12),COUNTA(AV15:AV17)*CELL("contenu",$B$14),COUNTA(AV19:AV19)*CELL("contenu",$B$18))))</f>
        <v/>
      </c>
      <c r="AW20" s="184" t="str">
        <f ca="1">IF(COUNTA(AW5:AW19)=0,"",5*SUM(IFERROR((((COUNTIF(AW5:AW6,"A"))*4)+((COUNTIF(AW5:AW6,"B"))*3)+((COUNTIF(AW5:AW6,"C"))*2)+((COUNTIF(AW5:AW6,"D"))*1))*CELL("contenu",$B$4),0),IFERROR((((COUNTIF(AW8:AW11,"A"))*4)+((COUNTIF(AW8:AW11,"B"))*3)+((COUNTIF(AW8:AW11,"C"))*2)+((COUNTIF(AW8:AW11,"D"))*1))*CELL("contenu",$B$7),0),IFERROR((((COUNTIF(AW13:AW13,"A"))*4)+((COUNTIF(AW13:AW13,"B"))*3)+((COUNTIF(AW13:AW13,"C"))*2)+((COUNTIF(AW13:AW13,"D"))*1))*CELL("contenu",$B$12),0),IFERROR((((COUNTIF(AW15:AW17,"A"))*4)+((COUNTIF(AW15:AW17,"B"))*3)+((COUNTIF(AW15:AW17,"C"))*2)+((COUNTIF(AW15:AW17,"D"))*1))*CELL("contenu",$B$14),0),IFERROR((((COUNTIF(AW19:AW19,"A"))*4)+((COUNTIF(AW19:AW19,"B"))*3)+((COUNTIF(AW19:AW19,"C"))*2)+((COUNTIF(AW19:AW19,"D"))*1))*CELL("contenu",$B$18),0))/IF(SUM(COUNTA(AW5:AW6)*CELL("contenu",$B$4),COUNTA(AW8:AW11)*CELL("contenu",$B$7),COUNTA(AW13:AW13)*CELL("contenu",$B$12),COUNTA(AW15:AW17)*CELL("contenu",$B$14),COUNTA(AW19:AW19)*CELL("contenu",$B$18))=0,1,SUM(COUNTA(AW5:AW6)*CELL("contenu",$B$4),COUNTA(AW8:AW11)*CELL("contenu",$B$7),COUNTA(AW13:AW13)*CELL("contenu",$B$12),COUNTA(AW15:AW17)*CELL("contenu",$B$14),COUNTA(AW19:AW19)*CELL("contenu",$B$18))))</f>
        <v/>
      </c>
      <c r="AX20" s="176"/>
      <c r="AY20" s="174" t="str">
        <f ca="1">IF(COUNTA(AU20:AW20)-COUNTBLANK(AU20:AW20)=0,"",SUM(AU20:AW20)/(COUNTA(AU20:AW20)-COUNTBLANK(AU20:AW20)))</f>
        <v/>
      </c>
      <c r="AZ20" s="103"/>
      <c r="BA20" s="141"/>
      <c r="BB20" s="167">
        <f ca="1">IF(COUNTA(BB5:BB19)=0,"",5*SUM(IFERROR((((COUNTIF(BB5:BB6,"A"))*4)+((COUNTIF(BB5:BB6,"B"))*3)+((COUNTIF(BB5:BB6,"C"))*2)+((COUNTIF(BB5:BB6,"D"))*1))*CELL("contenu",$B$4),0),IFERROR((((COUNTIF(BB8:BB11,"A"))*4)+((COUNTIF(BB8:BB11,"B"))*3)+((COUNTIF(BB8:BB11,"C"))*2)+((COUNTIF(BB8:BB11,"D"))*1))*CELL("contenu",$B$7),0),IFERROR((((COUNTIF(BB13:BB13,"A"))*4)+((COUNTIF(BB13:BB13,"B"))*3)+((COUNTIF(BB13:BB13,"C"))*2)+((COUNTIF(BB13:BB13,"D"))*1))*CELL("contenu",$B$12),0),IFERROR((((COUNTIF(BB15:BB17,"A"))*4)+((COUNTIF(BB15:BB17,"B"))*3)+((COUNTIF(BB15:BB17,"C"))*2)+((COUNTIF(BB15:BB17,"D"))*1))*CELL("contenu",$B$14),0),IFERROR((((COUNTIF(BB19:BB19,"A"))*4)+((COUNTIF(BB19:BB19,"B"))*3)+((COUNTIF(BB19:BB19,"C"))*2)+((COUNTIF(BB19:BB19,"D"))*1))*CELL("contenu",$B$18),0))/IF(SUM(COUNTA(BB5:BB6)*CELL("contenu",$B$4),COUNTA(BB8:BB11)*CELL("contenu",$B$7),COUNTA(BB13:BB13)*CELL("contenu",$B$12),COUNTA(BB15:BB17)*CELL("contenu",$B$14),COUNTA(BB19:BB19)*CELL("contenu",$B$18))=0,1,SUM(COUNTA(BB5:BB6)*CELL("contenu",$B$4),COUNTA(BB8:BB11)*CELL("contenu",$B$7),COUNTA(BB13:BB13)*CELL("contenu",$B$12),COUNTA(BB15:BB17)*CELL("contenu",$B$14),COUNTA(BB19:BB19)*CELL("contenu",$B$18))))</f>
        <v>20</v>
      </c>
      <c r="BC20" s="168">
        <f ca="1">IF(COUNTA(BC5:BC19)=0,"",5*SUM(IFERROR((((COUNTIF(BC5:BC6,"A"))*4)+((COUNTIF(BC5:BC6,"B"))*3)+((COUNTIF(BC5:BC6,"C"))*2)+((COUNTIF(BC5:BC6,"D"))*1))*CELL("contenu",$B$4),0),IFERROR((((COUNTIF(BC8:BC11,"A"))*4)+((COUNTIF(BC8:BC11,"B"))*3)+((COUNTIF(BC8:BC11,"C"))*2)+((COUNTIF(BC8:BC11,"D"))*1))*CELL("contenu",$B$7),0),IFERROR((((COUNTIF(BC13:BC13,"A"))*4)+((COUNTIF(BC13:BC13,"B"))*3)+((COUNTIF(BC13:BC13,"C"))*2)+((COUNTIF(BC13:BC13,"D"))*1))*CELL("contenu",$B$12),0),IFERROR((((COUNTIF(BC15:BC17,"A"))*4)+((COUNTIF(BC15:BC17,"B"))*3)+((COUNTIF(BC15:BC17,"C"))*2)+((COUNTIF(BC15:BC17,"D"))*1))*CELL("contenu",$B$14),0),IFERROR((((COUNTIF(BC19:BC19,"A"))*4)+((COUNTIF(BC19:BC19,"B"))*3)+((COUNTIF(BC19:BC19,"C"))*2)+((COUNTIF(BC19:BC19,"D"))*1))*CELL("contenu",$B$18),0))/IF(SUM(COUNTA(BC5:BC6)*CELL("contenu",$B$4),COUNTA(BC8:BC11)*CELL("contenu",$B$7),COUNTA(BC13:BC13)*CELL("contenu",$B$12),COUNTA(BC15:BC17)*CELL("contenu",$B$14),COUNTA(BC19:BC19)*CELL("contenu",$B$18))=0,1,SUM(COUNTA(BC5:BC6)*CELL("contenu",$B$4),COUNTA(BC8:BC11)*CELL("contenu",$B$7),COUNTA(BC13:BC13)*CELL("contenu",$B$12),COUNTA(BC15:BC17)*CELL("contenu",$B$14),COUNTA(BC19:BC19)*CELL("contenu",$B$18))))</f>
        <v>11.666666666666666</v>
      </c>
      <c r="BD20" s="169" t="str">
        <f ca="1">IF(COUNTA(BD5:BD19)=0,"",5*SUM(IFERROR((((COUNTIF(BD5:BD6,"A"))*4)+((COUNTIF(BD5:BD6,"B"))*3)+((COUNTIF(BD5:BD6,"C"))*2)+((COUNTIF(BD5:BD6,"D"))*1))*CELL("contenu",$B$4),0),IFERROR((((COUNTIF(BD8:BD11,"A"))*4)+((COUNTIF(BD8:BD11,"B"))*3)+((COUNTIF(BD8:BD11,"C"))*2)+((COUNTIF(BD8:BD11,"D"))*1))*CELL("contenu",$B$7),0),IFERROR((((COUNTIF(BD13:BD13,"A"))*4)+((COUNTIF(BD13:BD13,"B"))*3)+((COUNTIF(BD13:BD13,"C"))*2)+((COUNTIF(BD13:BD13,"D"))*1))*CELL("contenu",$B$12),0),IFERROR((((COUNTIF(BD15:BD17,"A"))*4)+((COUNTIF(BD15:BD17,"B"))*3)+((COUNTIF(BD15:BD17,"C"))*2)+((COUNTIF(BD15:BD17,"D"))*1))*CELL("contenu",$B$14),0),IFERROR((((COUNTIF(BD19:BD19,"A"))*4)+((COUNTIF(BD19:BD19,"B"))*3)+((COUNTIF(BD19:BD19,"C"))*2)+((COUNTIF(BD19:BD19,"D"))*1))*CELL("contenu",$B$18),0))/IF(SUM(COUNTA(BD5:BD6)*CELL("contenu",$B$4),COUNTA(BD8:BD11)*CELL("contenu",$B$7),COUNTA(BD13:BD13)*CELL("contenu",$B$12),COUNTA(BD15:BD17)*CELL("contenu",$B$14),COUNTA(BD19:BD19)*CELL("contenu",$B$18))=0,1,SUM(COUNTA(BD5:BD6)*CELL("contenu",$B$4),COUNTA(BD8:BD11)*CELL("contenu",$B$7),COUNTA(BD13:BD13)*CELL("contenu",$B$12),COUNTA(BD15:BD17)*CELL("contenu",$B$14),COUNTA(BD19:BD19)*CELL("contenu",$B$18))))</f>
        <v/>
      </c>
      <c r="BE20" s="116"/>
      <c r="BF20" s="192">
        <f ca="1">IF(COUNTA(BB20:BD20)-COUNTBLANK(BB20:BD20)=0,"",SUM(BB20:BD20)/(COUNTA(BB20:BD20)-COUNTBLANK(BB20:BD20)))</f>
        <v>15.833333333333332</v>
      </c>
      <c r="BG20" s="182" t="str">
        <f ca="1">IF(COUNTA(BG5:BG19)=0,"",5*SUM(IFERROR((((COUNTIF(BG5:BG6,"A"))*4)+((COUNTIF(BG5:BG6,"B"))*3)+((COUNTIF(BG5:BG6,"C"))*2)+((COUNTIF(BG5:BG6,"D"))*1))*CELL("contenu",$B$4),0),IFERROR((((COUNTIF(BG8:BG11,"A"))*4)+((COUNTIF(BG8:BG11,"B"))*3)+((COUNTIF(BG8:BG11,"C"))*2)+((COUNTIF(BG8:BG11,"D"))*1))*CELL("contenu",$B$7),0),IFERROR((((COUNTIF(BG13:BG13,"A"))*4)+((COUNTIF(BG13:BG13,"B"))*3)+((COUNTIF(BG13:BG13,"C"))*2)+((COUNTIF(BG13:BG13,"D"))*1))*CELL("contenu",$B$12),0),IFERROR((((COUNTIF(BG15:BG17,"A"))*4)+((COUNTIF(BG15:BG17,"B"))*3)+((COUNTIF(BG15:BG17,"C"))*2)+((COUNTIF(BG15:BG17,"D"))*1))*CELL("contenu",$B$14),0),IFERROR((((COUNTIF(BG19:BG19,"A"))*4)+((COUNTIF(BG19:BG19,"B"))*3)+((COUNTIF(BG19:BG19,"C"))*2)+((COUNTIF(BG19:BG19,"D"))*1))*CELL("contenu",$B$18),0))/IF(SUM(COUNTA(BG5:BG6)*CELL("contenu",$B$4),COUNTA(BG8:BG11)*CELL("contenu",$B$7),COUNTA(BG13:BG13)*CELL("contenu",$B$12),COUNTA(BG15:BG17)*CELL("contenu",$B$14),COUNTA(BG19:BG19)*CELL("contenu",$B$18))=0,1,SUM(COUNTA(BG5:BG6)*CELL("contenu",$B$4),COUNTA(BG8:BG11)*CELL("contenu",$B$7),COUNTA(BG13:BG13)*CELL("contenu",$B$12),COUNTA(BG15:BG17)*CELL("contenu",$B$14),COUNTA(BG19:BG19)*CELL("contenu",$B$18))))</f>
        <v/>
      </c>
      <c r="BH20" s="183" t="str">
        <f ca="1">IF(COUNTA(BH5:BH19)=0,"",5*SUM(IFERROR((((COUNTIF(BH5:BH6,"A"))*4)+((COUNTIF(BH5:BH6,"B"))*3)+((COUNTIF(BH5:BH6,"C"))*2)+((COUNTIF(BH5:BH6,"D"))*1))*CELL("contenu",$B$4),0),IFERROR((((COUNTIF(BH8:BH11,"A"))*4)+((COUNTIF(BH8:BH11,"B"))*3)+((COUNTIF(BH8:BH11,"C"))*2)+((COUNTIF(BH8:BH11,"D"))*1))*CELL("contenu",$B$7),0),IFERROR((((COUNTIF(BH13:BH13,"A"))*4)+((COUNTIF(BH13:BH13,"B"))*3)+((COUNTIF(BH13:BH13,"C"))*2)+((COUNTIF(BH13:BH13,"D"))*1))*CELL("contenu",$B$12),0),IFERROR((((COUNTIF(BH15:BH17,"A"))*4)+((COUNTIF(BH15:BH17,"B"))*3)+((COUNTIF(BH15:BH17,"C"))*2)+((COUNTIF(BH15:BH17,"D"))*1))*CELL("contenu",$B$14),0),IFERROR((((COUNTIF(BH19:BH19,"A"))*4)+((COUNTIF(BH19:BH19,"B"))*3)+((COUNTIF(BH19:BH19,"C"))*2)+((COUNTIF(BH19:BH19,"D"))*1))*CELL("contenu",$B$18),0))/IF(SUM(COUNTA(BH5:BH6)*CELL("contenu",$B$4),COUNTA(BH8:BH11)*CELL("contenu",$B$7),COUNTA(BH13:BH13)*CELL("contenu",$B$12),COUNTA(BH15:BH17)*CELL("contenu",$B$14),COUNTA(BH19:BH19)*CELL("contenu",$B$18))=0,1,SUM(COUNTA(BH5:BH6)*CELL("contenu",$B$4),COUNTA(BH8:BH11)*CELL("contenu",$B$7),COUNTA(BH13:BH13)*CELL("contenu",$B$12),COUNTA(BH15:BH17)*CELL("contenu",$B$14),COUNTA(BH19:BH19)*CELL("contenu",$B$18))))</f>
        <v/>
      </c>
      <c r="BI20" s="184" t="str">
        <f ca="1">IF(COUNTA(BI5:BI19)=0,"",5*SUM(IFERROR((((COUNTIF(BI5:BI6,"A"))*4)+((COUNTIF(BI5:BI6,"B"))*3)+((COUNTIF(BI5:BI6,"C"))*2)+((COUNTIF(BI5:BI6,"D"))*1))*CELL("contenu",$B$4),0),IFERROR((((COUNTIF(BI8:BI11,"A"))*4)+((COUNTIF(BI8:BI11,"B"))*3)+((COUNTIF(BI8:BI11,"C"))*2)+((COUNTIF(BI8:BI11,"D"))*1))*CELL("contenu",$B$7),0),IFERROR((((COUNTIF(BI13:BI13,"A"))*4)+((COUNTIF(BI13:BI13,"B"))*3)+((COUNTIF(BI13:BI13,"C"))*2)+((COUNTIF(BI13:BI13,"D"))*1))*CELL("contenu",$B$12),0),IFERROR((((COUNTIF(BI15:BI17,"A"))*4)+((COUNTIF(BI15:BI17,"B"))*3)+((COUNTIF(BI15:BI17,"C"))*2)+((COUNTIF(BI15:BI17,"D"))*1))*CELL("contenu",$B$14),0),IFERROR((((COUNTIF(BI19:BI19,"A"))*4)+((COUNTIF(BI19:BI19,"B"))*3)+((COUNTIF(BI19:BI19,"C"))*2)+((COUNTIF(BI19:BI19,"D"))*1))*CELL("contenu",$B$18),0))/IF(SUM(COUNTA(BI5:BI6)*CELL("contenu",$B$4),COUNTA(BI8:BI11)*CELL("contenu",$B$7),COUNTA(BI13:BI13)*CELL("contenu",$B$12),COUNTA(BI15:BI17)*CELL("contenu",$B$14),COUNTA(BI19:BI19)*CELL("contenu",$B$18))=0,1,SUM(COUNTA(BI5:BI6)*CELL("contenu",$B$4),COUNTA(BI8:BI11)*CELL("contenu",$B$7),COUNTA(BI13:BI13)*CELL("contenu",$B$12),COUNTA(BI15:BI17)*CELL("contenu",$B$14),COUNTA(BI19:BI19)*CELL("contenu",$B$18))))</f>
        <v/>
      </c>
      <c r="BJ20" s="176"/>
      <c r="BK20" s="175" t="str">
        <f ca="1">IF(COUNTA(BG20:BI20)-COUNTBLANK(BG20:BI20)=0,"",SUM(BG20:BI20)/(COUNTA(BG20:BI20)-COUNTBLANK(BG20:BI20)))</f>
        <v/>
      </c>
      <c r="BL20" s="182" t="str">
        <f ca="1">IF(COUNTA(BL5:BL19)=0,"",5*SUM(IFERROR((((COUNTIF(BL5:BL6,"A"))*4)+((COUNTIF(BL5:BL6,"B"))*3)+((COUNTIF(BL5:BL6,"C"))*2)+((COUNTIF(BL5:BL6,"D"))*1))*CELL("contenu",$B$4),0),IFERROR((((COUNTIF(BL8:BL11,"A"))*4)+((COUNTIF(BL8:BL11,"B"))*3)+((COUNTIF(BL8:BL11,"C"))*2)+((COUNTIF(BL8:BL11,"D"))*1))*CELL("contenu",$B$7),0),IFERROR((((COUNTIF(BL13:BL13,"A"))*4)+((COUNTIF(BL13:BL13,"B"))*3)+((COUNTIF(BL13:BL13,"C"))*2)+((COUNTIF(BL13:BL13,"D"))*1))*CELL("contenu",$B$12),0),IFERROR((((COUNTIF(BL15:BL17,"A"))*4)+((COUNTIF(BL15:BL17,"B"))*3)+((COUNTIF(BL15:BL17,"C"))*2)+((COUNTIF(BL15:BL17,"D"))*1))*CELL("contenu",$B$14),0),IFERROR((((COUNTIF(BL19:BL19,"A"))*4)+((COUNTIF(BL19:BL19,"B"))*3)+((COUNTIF(BL19:BL19,"C"))*2)+((COUNTIF(BL19:BL19,"D"))*1))*CELL("contenu",$B$18),0))/IF(SUM(COUNTA(BL5:BL6)*CELL("contenu",$B$4),COUNTA(BL8:BL11)*CELL("contenu",$B$7),COUNTA(BL13:BL13)*CELL("contenu",$B$12),COUNTA(BL15:BL17)*CELL("contenu",$B$14),COUNTA(BL19:BL19)*CELL("contenu",$B$18))=0,1,SUM(COUNTA(BL5:BL6)*CELL("contenu",$B$4),COUNTA(BL8:BL11)*CELL("contenu",$B$7),COUNTA(BL13:BL13)*CELL("contenu",$B$12),COUNTA(BL15:BL17)*CELL("contenu",$B$14),COUNTA(BL19:BL19)*CELL("contenu",$B$18))))</f>
        <v/>
      </c>
      <c r="BM20" s="183" t="str">
        <f ca="1">IF(COUNTA(BM5:BM19)=0,"",5*SUM(IFERROR((((COUNTIF(BM5:BM6,"A"))*4)+((COUNTIF(BM5:BM6,"B"))*3)+((COUNTIF(BM5:BM6,"C"))*2)+((COUNTIF(BM5:BM6,"D"))*1))*CELL("contenu",$B$4),0),IFERROR((((COUNTIF(BM8:BM11,"A"))*4)+((COUNTIF(BM8:BM11,"B"))*3)+((COUNTIF(BM8:BM11,"C"))*2)+((COUNTIF(BM8:BM11,"D"))*1))*CELL("contenu",$B$7),0),IFERROR((((COUNTIF(BM13:BM13,"A"))*4)+((COUNTIF(BM13:BM13,"B"))*3)+((COUNTIF(BM13:BM13,"C"))*2)+((COUNTIF(BM13:BM13,"D"))*1))*CELL("contenu",$B$12),0),IFERROR((((COUNTIF(BM15:BM17,"A"))*4)+((COUNTIF(BM15:BM17,"B"))*3)+((COUNTIF(BM15:BM17,"C"))*2)+((COUNTIF(BM15:BM17,"D"))*1))*CELL("contenu",$B$14),0),IFERROR((((COUNTIF(BM19:BM19,"A"))*4)+((COUNTIF(BM19:BM19,"B"))*3)+((COUNTIF(BM19:BM19,"C"))*2)+((COUNTIF(BM19:BM19,"D"))*1))*CELL("contenu",$B$18),0))/IF(SUM(COUNTA(BM5:BM6)*CELL("contenu",$B$4),COUNTA(BM8:BM11)*CELL("contenu",$B$7),COUNTA(BM13:BM13)*CELL("contenu",$B$12),COUNTA(BM15:BM17)*CELL("contenu",$B$14),COUNTA(BM19:BM19)*CELL("contenu",$B$18))=0,1,SUM(COUNTA(BM5:BM6)*CELL("contenu",$B$4),COUNTA(BM8:BM11)*CELL("contenu",$B$7),COUNTA(BM13:BM13)*CELL("contenu",$B$12),COUNTA(BM15:BM17)*CELL("contenu",$B$14),COUNTA(BM19:BM19)*CELL("contenu",$B$18))))</f>
        <v/>
      </c>
      <c r="BN20" s="184" t="str">
        <f ca="1">IF(COUNTA(BN5:BN19)=0,"",5*SUM(IFERROR((((COUNTIF(BN5:BN6,"A"))*4)+((COUNTIF(BN5:BN6,"B"))*3)+((COUNTIF(BN5:BN6,"C"))*2)+((COUNTIF(BN5:BN6,"D"))*1))*CELL("contenu",$B$4),0),IFERROR((((COUNTIF(BN8:BN11,"A"))*4)+((COUNTIF(BN8:BN11,"B"))*3)+((COUNTIF(BN8:BN11,"C"))*2)+((COUNTIF(BN8:BN11,"D"))*1))*CELL("contenu",$B$7),0),IFERROR((((COUNTIF(BN13:BN13,"A"))*4)+((COUNTIF(BN13:BN13,"B"))*3)+((COUNTIF(BN13:BN13,"C"))*2)+((COUNTIF(BN13:BN13,"D"))*1))*CELL("contenu",$B$12),0),IFERROR((((COUNTIF(BN15:BN17,"A"))*4)+((COUNTIF(BN15:BN17,"B"))*3)+((COUNTIF(BN15:BN17,"C"))*2)+((COUNTIF(BN15:BN17,"D"))*1))*CELL("contenu",$B$14),0),IFERROR((((COUNTIF(BN19:BN19,"A"))*4)+((COUNTIF(BN19:BN19,"B"))*3)+((COUNTIF(BN19:BN19,"C"))*2)+((COUNTIF(BN19:BN19,"D"))*1))*CELL("contenu",$B$18),0))/IF(SUM(COUNTA(BN5:BN6)*CELL("contenu",$B$4),COUNTA(BN8:BN11)*CELL("contenu",$B$7),COUNTA(BN13:BN13)*CELL("contenu",$B$12),COUNTA(BN15:BN17)*CELL("contenu",$B$14),COUNTA(BN19:BN19)*CELL("contenu",$B$18))=0,1,SUM(COUNTA(BN5:BN6)*CELL("contenu",$B$4),COUNTA(BN8:BN11)*CELL("contenu",$B$7),COUNTA(BN13:BN13)*CELL("contenu",$B$12),COUNTA(BN15:BN17)*CELL("contenu",$B$14),COUNTA(BN19:BN19)*CELL("contenu",$B$18))))</f>
        <v/>
      </c>
      <c r="BO20" s="176"/>
      <c r="BP20" s="174" t="str">
        <f ca="1">IF(COUNTA(BL20:BN20)-COUNTBLANK(BL20:BN20)=0,"",SUM(BL20:BN20)/(COUNTA(BL20:BN20)-COUNTBLANK(BL20:BN20)))</f>
        <v/>
      </c>
      <c r="BQ20" s="103"/>
      <c r="BR20" s="141"/>
      <c r="BS20" s="167">
        <f ca="1">IF(COUNTA(BS5:BS19)=0,"",5*SUM(IFERROR((((COUNTIF(BS5:BS6,"A"))*4)+((COUNTIF(BS5:BS6,"B"))*3)+((COUNTIF(BS5:BS6,"C"))*2)+((COUNTIF(BS5:BS6,"D"))*1))*CELL("contenu",$B$4),0),IFERROR((((COUNTIF(BS8:BS11,"A"))*4)+((COUNTIF(BS8:BS11,"B"))*3)+((COUNTIF(BS8:BS11,"C"))*2)+((COUNTIF(BS8:BS11,"D"))*1))*CELL("contenu",$B$7),0),IFERROR((((COUNTIF(BS13:BS13,"A"))*4)+((COUNTIF(BS13:BS13,"B"))*3)+((COUNTIF(BS13:BS13,"C"))*2)+((COUNTIF(BS13:BS13,"D"))*1))*CELL("contenu",$B$12),0),IFERROR((((COUNTIF(BS15:BS17,"A"))*4)+((COUNTIF(BS15:BS17,"B"))*3)+((COUNTIF(BS15:BS17,"C"))*2)+((COUNTIF(BS15:BS17,"D"))*1))*CELL("contenu",$B$14),0),IFERROR((((COUNTIF(BS19:BS19,"A"))*4)+((COUNTIF(BS19:BS19,"B"))*3)+((COUNTIF(BS19:BS19,"C"))*2)+((COUNTIF(BS19:BS19,"D"))*1))*CELL("contenu",$B$18),0))/IF(SUM(COUNTA(BS5:BS6)*CELL("contenu",$B$4),COUNTA(BS8:BS11)*CELL("contenu",$B$7),COUNTA(BS13:BS13)*CELL("contenu",$B$12),COUNTA(BS15:BS17)*CELL("contenu",$B$14),COUNTA(BS19:BS19)*CELL("contenu",$B$18))=0,1,SUM(COUNTA(BS5:BS6)*CELL("contenu",$B$4),COUNTA(BS8:BS11)*CELL("contenu",$B$7),COUNTA(BS13:BS13)*CELL("contenu",$B$12),COUNTA(BS15:BS17)*CELL("contenu",$B$14),COUNTA(BS19:BS19)*CELL("contenu",$B$18))))</f>
        <v>20</v>
      </c>
      <c r="BT20" s="168">
        <f ca="1">IF(COUNTA(BT5:BT19)=0,"",5*SUM(IFERROR((((COUNTIF(BT5:BT6,"A"))*4)+((COUNTIF(BT5:BT6,"B"))*3)+((COUNTIF(BT5:BT6,"C"))*2)+((COUNTIF(BT5:BT6,"D"))*1))*CELL("contenu",$B$4),0),IFERROR((((COUNTIF(BT8:BT11,"A"))*4)+((COUNTIF(BT8:BT11,"B"))*3)+((COUNTIF(BT8:BT11,"C"))*2)+((COUNTIF(BT8:BT11,"D"))*1))*CELL("contenu",$B$7),0),IFERROR((((COUNTIF(BT13:BT13,"A"))*4)+((COUNTIF(BT13:BT13,"B"))*3)+((COUNTIF(BT13:BT13,"C"))*2)+((COUNTIF(BT13:BT13,"D"))*1))*CELL("contenu",$B$12),0),IFERROR((((COUNTIF(BT15:BT17,"A"))*4)+((COUNTIF(BT15:BT17,"B"))*3)+((COUNTIF(BT15:BT17,"C"))*2)+((COUNTIF(BT15:BT17,"D"))*1))*CELL("contenu",$B$14),0),IFERROR((((COUNTIF(BT19:BT19,"A"))*4)+((COUNTIF(BT19:BT19,"B"))*3)+((COUNTIF(BT19:BT19,"C"))*2)+((COUNTIF(BT19:BT19,"D"))*1))*CELL("contenu",$B$18),0))/IF(SUM(COUNTA(BT5:BT6)*CELL("contenu",$B$4),COUNTA(BT8:BT11)*CELL("contenu",$B$7),COUNTA(BT13:BT13)*CELL("contenu",$B$12),COUNTA(BT15:BT17)*CELL("contenu",$B$14),COUNTA(BT19:BT19)*CELL("contenu",$B$18))=0,1,SUM(COUNTA(BT5:BT6)*CELL("contenu",$B$4),COUNTA(BT8:BT11)*CELL("contenu",$B$7),COUNTA(BT13:BT13)*CELL("contenu",$B$12),COUNTA(BT15:BT17)*CELL("contenu",$B$14),COUNTA(BT19:BT19)*CELL("contenu",$B$18))))</f>
        <v>15</v>
      </c>
      <c r="BU20" s="169" t="str">
        <f ca="1">IF(COUNTA(BU5:BU19)=0,"",5*SUM(IFERROR((((COUNTIF(BU5:BU6,"A"))*4)+((COUNTIF(BU5:BU6,"B"))*3)+((COUNTIF(BU5:BU6,"C"))*2)+((COUNTIF(BU5:BU6,"D"))*1))*CELL("contenu",$B$4),0),IFERROR((((COUNTIF(BU8:BU11,"A"))*4)+((COUNTIF(BU8:BU11,"B"))*3)+((COUNTIF(BU8:BU11,"C"))*2)+((COUNTIF(BU8:BU11,"D"))*1))*CELL("contenu",$B$7),0),IFERROR((((COUNTIF(BU13:BU13,"A"))*4)+((COUNTIF(BU13:BU13,"B"))*3)+((COUNTIF(BU13:BU13,"C"))*2)+((COUNTIF(BU13:BU13,"D"))*1))*CELL("contenu",$B$12),0),IFERROR((((COUNTIF(BU15:BU17,"A"))*4)+((COUNTIF(BU15:BU17,"B"))*3)+((COUNTIF(BU15:BU17,"C"))*2)+((COUNTIF(BU15:BU17,"D"))*1))*CELL("contenu",$B$14),0),IFERROR((((COUNTIF(BU19:BU19,"A"))*4)+((COUNTIF(BU19:BU19,"B"))*3)+((COUNTIF(BU19:BU19,"C"))*2)+((COUNTIF(BU19:BU19,"D"))*1))*CELL("contenu",$B$18),0))/IF(SUM(COUNTA(BU5:BU6)*CELL("contenu",$B$4),COUNTA(BU8:BU11)*CELL("contenu",$B$7),COUNTA(BU13:BU13)*CELL("contenu",$B$12),COUNTA(BU15:BU17)*CELL("contenu",$B$14),COUNTA(BU19:BU19)*CELL("contenu",$B$18))=0,1,SUM(COUNTA(BU5:BU6)*CELL("contenu",$B$4),COUNTA(BU8:BU11)*CELL("contenu",$B$7),COUNTA(BU13:BU13)*CELL("contenu",$B$12),COUNTA(BU15:BU17)*CELL("contenu",$B$14),COUNTA(BU19:BU19)*CELL("contenu",$B$18))))</f>
        <v/>
      </c>
      <c r="BV20" s="116"/>
      <c r="BW20" s="192">
        <f ca="1">IF(COUNTA(BS20:BU20)-COUNTBLANK(BS20:BU20)=0,"",SUM(BS20:BU20)/(COUNTA(BS20:BU20)-COUNTBLANK(BS20:BU20)))</f>
        <v>17.5</v>
      </c>
      <c r="BX20" s="182" t="str">
        <f ca="1">IF(COUNTA(BX5:BX19)=0,"",5*SUM(IFERROR((((COUNTIF(BX5:BX6,"A"))*4)+((COUNTIF(BX5:BX6,"B"))*3)+((COUNTIF(BX5:BX6,"C"))*2)+((COUNTIF(BX5:BX6,"D"))*1))*CELL("contenu",$B$4),0),IFERROR((((COUNTIF(BX8:BX11,"A"))*4)+((COUNTIF(BX8:BX11,"B"))*3)+((COUNTIF(BX8:BX11,"C"))*2)+((COUNTIF(BX8:BX11,"D"))*1))*CELL("contenu",$B$7),0),IFERROR((((COUNTIF(BX13:BX13,"A"))*4)+((COUNTIF(BX13:BX13,"B"))*3)+((COUNTIF(BX13:BX13,"C"))*2)+((COUNTIF(BX13:BX13,"D"))*1))*CELL("contenu",$B$12),0),IFERROR((((COUNTIF(BX15:BX17,"A"))*4)+((COUNTIF(BX15:BX17,"B"))*3)+((COUNTIF(BX15:BX17,"C"))*2)+((COUNTIF(BX15:BX17,"D"))*1))*CELL("contenu",$B$14),0),IFERROR((((COUNTIF(BX19:BX19,"A"))*4)+((COUNTIF(BX19:BX19,"B"))*3)+((COUNTIF(BX19:BX19,"C"))*2)+((COUNTIF(BX19:BX19,"D"))*1))*CELL("contenu",$B$18),0))/IF(SUM(COUNTA(BX5:BX6)*CELL("contenu",$B$4),COUNTA(BX8:BX11)*CELL("contenu",$B$7),COUNTA(BX13:BX13)*CELL("contenu",$B$12),COUNTA(BX15:BX17)*CELL("contenu",$B$14),COUNTA(BX19:BX19)*CELL("contenu",$B$18))=0,1,SUM(COUNTA(BX5:BX6)*CELL("contenu",$B$4),COUNTA(BX8:BX11)*CELL("contenu",$B$7),COUNTA(BX13:BX13)*CELL("contenu",$B$12),COUNTA(BX15:BX17)*CELL("contenu",$B$14),COUNTA(BX19:BX19)*CELL("contenu",$B$18))))</f>
        <v/>
      </c>
      <c r="BY20" s="183" t="str">
        <f ca="1">IF(COUNTA(BY5:BY19)=0,"",5*SUM(IFERROR((((COUNTIF(BY5:BY6,"A"))*4)+((COUNTIF(BY5:BY6,"B"))*3)+((COUNTIF(BY5:BY6,"C"))*2)+((COUNTIF(BY5:BY6,"D"))*1))*CELL("contenu",$B$4),0),IFERROR((((COUNTIF(BY8:BY11,"A"))*4)+((COUNTIF(BY8:BY11,"B"))*3)+((COUNTIF(BY8:BY11,"C"))*2)+((COUNTIF(BY8:BY11,"D"))*1))*CELL("contenu",$B$7),0),IFERROR((((COUNTIF(BY13:BY13,"A"))*4)+((COUNTIF(BY13:BY13,"B"))*3)+((COUNTIF(BY13:BY13,"C"))*2)+((COUNTIF(BY13:BY13,"D"))*1))*CELL("contenu",$B$12),0),IFERROR((((COUNTIF(BY15:BY17,"A"))*4)+((COUNTIF(BY15:BY17,"B"))*3)+((COUNTIF(BY15:BY17,"C"))*2)+((COUNTIF(BY15:BY17,"D"))*1))*CELL("contenu",$B$14),0),IFERROR((((COUNTIF(BY19:BY19,"A"))*4)+((COUNTIF(BY19:BY19,"B"))*3)+((COUNTIF(BY19:BY19,"C"))*2)+((COUNTIF(BY19:BY19,"D"))*1))*CELL("contenu",$B$18),0))/IF(SUM(COUNTA(BY5:BY6)*CELL("contenu",$B$4),COUNTA(BY8:BY11)*CELL("contenu",$B$7),COUNTA(BY13:BY13)*CELL("contenu",$B$12),COUNTA(BY15:BY17)*CELL("contenu",$B$14),COUNTA(BY19:BY19)*CELL("contenu",$B$18))=0,1,SUM(COUNTA(BY5:BY6)*CELL("contenu",$B$4),COUNTA(BY8:BY11)*CELL("contenu",$B$7),COUNTA(BY13:BY13)*CELL("contenu",$B$12),COUNTA(BY15:BY17)*CELL("contenu",$B$14),COUNTA(BY19:BY19)*CELL("contenu",$B$18))))</f>
        <v/>
      </c>
      <c r="BZ20" s="184" t="str">
        <f ca="1">IF(COUNTA(BZ5:BZ19)=0,"",5*SUM(IFERROR((((COUNTIF(BZ5:BZ6,"A"))*4)+((COUNTIF(BZ5:BZ6,"B"))*3)+((COUNTIF(BZ5:BZ6,"C"))*2)+((COUNTIF(BZ5:BZ6,"D"))*1))*CELL("contenu",$B$4),0),IFERROR((((COUNTIF(BZ8:BZ11,"A"))*4)+((COUNTIF(BZ8:BZ11,"B"))*3)+((COUNTIF(BZ8:BZ11,"C"))*2)+((COUNTIF(BZ8:BZ11,"D"))*1))*CELL("contenu",$B$7),0),IFERROR((((COUNTIF(BZ13:BZ13,"A"))*4)+((COUNTIF(BZ13:BZ13,"B"))*3)+((COUNTIF(BZ13:BZ13,"C"))*2)+((COUNTIF(BZ13:BZ13,"D"))*1))*CELL("contenu",$B$12),0),IFERROR((((COUNTIF(BZ15:BZ17,"A"))*4)+((COUNTIF(BZ15:BZ17,"B"))*3)+((COUNTIF(BZ15:BZ17,"C"))*2)+((COUNTIF(BZ15:BZ17,"D"))*1))*CELL("contenu",$B$14),0),IFERROR((((COUNTIF(BZ19:BZ19,"A"))*4)+((COUNTIF(BZ19:BZ19,"B"))*3)+((COUNTIF(BZ19:BZ19,"C"))*2)+((COUNTIF(BZ19:BZ19,"D"))*1))*CELL("contenu",$B$18),0))/IF(SUM(COUNTA(BZ5:BZ6)*CELL("contenu",$B$4),COUNTA(BZ8:BZ11)*CELL("contenu",$B$7),COUNTA(BZ13:BZ13)*CELL("contenu",$B$12),COUNTA(BZ15:BZ17)*CELL("contenu",$B$14),COUNTA(BZ19:BZ19)*CELL("contenu",$B$18))=0,1,SUM(COUNTA(BZ5:BZ6)*CELL("contenu",$B$4),COUNTA(BZ8:BZ11)*CELL("contenu",$B$7),COUNTA(BZ13:BZ13)*CELL("contenu",$B$12),COUNTA(BZ15:BZ17)*CELL("contenu",$B$14),COUNTA(BZ19:BZ19)*CELL("contenu",$B$18))))</f>
        <v/>
      </c>
      <c r="CA20" s="176"/>
      <c r="CB20" s="175" t="str">
        <f ca="1">IF(COUNTA(BX20:BZ20)-COUNTBLANK(BX20:BZ20)=0,"",SUM(BX20:BZ20)/(COUNTA(BX20:BZ20)-COUNTBLANK(BX20:BZ20)))</f>
        <v/>
      </c>
      <c r="CC20" s="182" t="str">
        <f ca="1">IF(COUNTA(CC5:CC19)=0,"",5*SUM(IFERROR((((COUNTIF(CC5:CC6,"A"))*4)+((COUNTIF(CC5:CC6,"B"))*3)+((COUNTIF(CC5:CC6,"C"))*2)+((COUNTIF(CC5:CC6,"D"))*1))*CELL("contenu",$B$4),0),IFERROR((((COUNTIF(CC8:CC11,"A"))*4)+((COUNTIF(CC8:CC11,"B"))*3)+((COUNTIF(CC8:CC11,"C"))*2)+((COUNTIF(CC8:CC11,"D"))*1))*CELL("contenu",$B$7),0),IFERROR((((COUNTIF(CC13:CC13,"A"))*4)+((COUNTIF(CC13:CC13,"B"))*3)+((COUNTIF(CC13:CC13,"C"))*2)+((COUNTIF(CC13:CC13,"D"))*1))*CELL("contenu",$B$12),0),IFERROR((((COUNTIF(CC15:CC17,"A"))*4)+((COUNTIF(CC15:CC17,"B"))*3)+((COUNTIF(CC15:CC17,"C"))*2)+((COUNTIF(CC15:CC17,"D"))*1))*CELL("contenu",$B$14),0),IFERROR((((COUNTIF(CC19:CC19,"A"))*4)+((COUNTIF(CC19:CC19,"B"))*3)+((COUNTIF(CC19:CC19,"C"))*2)+((COUNTIF(CC19:CC19,"D"))*1))*CELL("contenu",$B$18),0))/IF(SUM(COUNTA(CC5:CC6)*CELL("contenu",$B$4),COUNTA(CC8:CC11)*CELL("contenu",$B$7),COUNTA(CC13:CC13)*CELL("contenu",$B$12),COUNTA(CC15:CC17)*CELL("contenu",$B$14),COUNTA(CC19:CC19)*CELL("contenu",$B$18))=0,1,SUM(COUNTA(CC5:CC6)*CELL("contenu",$B$4),COUNTA(CC8:CC11)*CELL("contenu",$B$7),COUNTA(CC13:CC13)*CELL("contenu",$B$12),COUNTA(CC15:CC17)*CELL("contenu",$B$14),COUNTA(CC19:CC19)*CELL("contenu",$B$18))))</f>
        <v/>
      </c>
      <c r="CD20" s="183" t="str">
        <f ca="1">IF(COUNTA(CD5:CD19)=0,"",5*SUM(IFERROR((((COUNTIF(CD5:CD6,"A"))*4)+((COUNTIF(CD5:CD6,"B"))*3)+((COUNTIF(CD5:CD6,"C"))*2)+((COUNTIF(CD5:CD6,"D"))*1))*CELL("contenu",$B$4),0),IFERROR((((COUNTIF(CD8:CD11,"A"))*4)+((COUNTIF(CD8:CD11,"B"))*3)+((COUNTIF(CD8:CD11,"C"))*2)+((COUNTIF(CD8:CD11,"D"))*1))*CELL("contenu",$B$7),0),IFERROR((((COUNTIF(CD13:CD13,"A"))*4)+((COUNTIF(CD13:CD13,"B"))*3)+((COUNTIF(CD13:CD13,"C"))*2)+((COUNTIF(CD13:CD13,"D"))*1))*CELL("contenu",$B$12),0),IFERROR((((COUNTIF(CD15:CD17,"A"))*4)+((COUNTIF(CD15:CD17,"B"))*3)+((COUNTIF(CD15:CD17,"C"))*2)+((COUNTIF(CD15:CD17,"D"))*1))*CELL("contenu",$B$14),0),IFERROR((((COUNTIF(CD19:CD19,"A"))*4)+((COUNTIF(CD19:CD19,"B"))*3)+((COUNTIF(CD19:CD19,"C"))*2)+((COUNTIF(CD19:CD19,"D"))*1))*CELL("contenu",$B$18),0))/IF(SUM(COUNTA(CD5:CD6)*CELL("contenu",$B$4),COUNTA(CD8:CD11)*CELL("contenu",$B$7),COUNTA(CD13:CD13)*CELL("contenu",$B$12),COUNTA(CD15:CD17)*CELL("contenu",$B$14),COUNTA(CD19:CD19)*CELL("contenu",$B$18))=0,1,SUM(COUNTA(CD5:CD6)*CELL("contenu",$B$4),COUNTA(CD8:CD11)*CELL("contenu",$B$7),COUNTA(CD13:CD13)*CELL("contenu",$B$12),COUNTA(CD15:CD17)*CELL("contenu",$B$14),COUNTA(CD19:CD19)*CELL("contenu",$B$18))))</f>
        <v/>
      </c>
      <c r="CE20" s="184" t="str">
        <f ca="1">IF(COUNTA(CE5:CE19)=0,"",5*SUM(IFERROR((((COUNTIF(CE5:CE6,"A"))*4)+((COUNTIF(CE5:CE6,"B"))*3)+((COUNTIF(CE5:CE6,"C"))*2)+((COUNTIF(CE5:CE6,"D"))*1))*CELL("contenu",$B$4),0),IFERROR((((COUNTIF(CE8:CE11,"A"))*4)+((COUNTIF(CE8:CE11,"B"))*3)+((COUNTIF(CE8:CE11,"C"))*2)+((COUNTIF(CE8:CE11,"D"))*1))*CELL("contenu",$B$7),0),IFERROR((((COUNTIF(CE13:CE13,"A"))*4)+((COUNTIF(CE13:CE13,"B"))*3)+((COUNTIF(CE13:CE13,"C"))*2)+((COUNTIF(CE13:CE13,"D"))*1))*CELL("contenu",$B$12),0),IFERROR((((COUNTIF(CE15:CE17,"A"))*4)+((COUNTIF(CE15:CE17,"B"))*3)+((COUNTIF(CE15:CE17,"C"))*2)+((COUNTIF(CE15:CE17,"D"))*1))*CELL("contenu",$B$14),0),IFERROR((((COUNTIF(CE19:CE19,"A"))*4)+((COUNTIF(CE19:CE19,"B"))*3)+((COUNTIF(CE19:CE19,"C"))*2)+((COUNTIF(CE19:CE19,"D"))*1))*CELL("contenu",$B$18),0))/IF(SUM(COUNTA(CE5:CE6)*CELL("contenu",$B$4),COUNTA(CE8:CE11)*CELL("contenu",$B$7),COUNTA(CE13:CE13)*CELL("contenu",$B$12),COUNTA(CE15:CE17)*CELL("contenu",$B$14),COUNTA(CE19:CE19)*CELL("contenu",$B$18))=0,1,SUM(COUNTA(CE5:CE6)*CELL("contenu",$B$4),COUNTA(CE8:CE11)*CELL("contenu",$B$7),COUNTA(CE13:CE13)*CELL("contenu",$B$12),COUNTA(CE15:CE17)*CELL("contenu",$B$14),COUNTA(CE19:CE19)*CELL("contenu",$B$18))))</f>
        <v/>
      </c>
      <c r="CF20" s="176"/>
      <c r="CG20" s="174" t="str">
        <f ca="1">IF(COUNTA(CC20:CE20)-COUNTBLANK(CC20:CE20)=0,"",SUM(CC20:CE20)/(COUNTA(CC20:CE20)-COUNTBLANK(CC20:CE20)))</f>
        <v/>
      </c>
      <c r="CH20" s="103"/>
      <c r="CI20" s="141"/>
      <c r="CJ20" s="167">
        <f ca="1">IF(COUNTA(CJ5:CJ19)=0,"",5*SUM(IFERROR((((COUNTIF(CJ5:CJ6,"A"))*4)+((COUNTIF(CJ5:CJ6,"B"))*3)+((COUNTIF(CJ5:CJ6,"C"))*2)+((COUNTIF(CJ5:CJ6,"D"))*1))*CELL("contenu",$B$4),0),IFERROR((((COUNTIF(CJ8:CJ11,"A"))*4)+((COUNTIF(CJ8:CJ11,"B"))*3)+((COUNTIF(CJ8:CJ11,"C"))*2)+((COUNTIF(CJ8:CJ11,"D"))*1))*CELL("contenu",$B$7),0),IFERROR((((COUNTIF(CJ13:CJ13,"A"))*4)+((COUNTIF(CJ13:CJ13,"B"))*3)+((COUNTIF(CJ13:CJ13,"C"))*2)+((COUNTIF(CJ13:CJ13,"D"))*1))*CELL("contenu",$B$12),0),IFERROR((((COUNTIF(CJ15:CJ17,"A"))*4)+((COUNTIF(CJ15:CJ17,"B"))*3)+((COUNTIF(CJ15:CJ17,"C"))*2)+((COUNTIF(CJ15:CJ17,"D"))*1))*CELL("contenu",$B$14),0),IFERROR((((COUNTIF(CJ19:CJ19,"A"))*4)+((COUNTIF(CJ19:CJ19,"B"))*3)+((COUNTIF(CJ19:CJ19,"C"))*2)+((COUNTIF(CJ19:CJ19,"D"))*1))*CELL("contenu",$B$18),0))/IF(SUM(COUNTA(CJ5:CJ6)*CELL("contenu",$B$4),COUNTA(CJ8:CJ11)*CELL("contenu",$B$7),COUNTA(CJ13:CJ13)*CELL("contenu",$B$12),COUNTA(CJ15:CJ17)*CELL("contenu",$B$14),COUNTA(CJ19:CJ19)*CELL("contenu",$B$18))=0,1,SUM(COUNTA(CJ5:CJ6)*CELL("contenu",$B$4),COUNTA(CJ8:CJ11)*CELL("contenu",$B$7),COUNTA(CJ13:CJ13)*CELL("contenu",$B$12),COUNTA(CJ15:CJ17)*CELL("contenu",$B$14),COUNTA(CJ19:CJ19)*CELL("contenu",$B$18))))</f>
        <v>16.666666666666668</v>
      </c>
      <c r="CK20" s="168">
        <f ca="1">IF(COUNTA(CK5:CK19)=0,"",5*SUM(IFERROR((((COUNTIF(CK5:CK6,"A"))*4)+((COUNTIF(CK5:CK6,"B"))*3)+((COUNTIF(CK5:CK6,"C"))*2)+((COUNTIF(CK5:CK6,"D"))*1))*CELL("contenu",$B$4),0),IFERROR((((COUNTIF(CK8:CK11,"A"))*4)+((COUNTIF(CK8:CK11,"B"))*3)+((COUNTIF(CK8:CK11,"C"))*2)+((COUNTIF(CK8:CK11,"D"))*1))*CELL("contenu",$B$7),0),IFERROR((((COUNTIF(CK13:CK13,"A"))*4)+((COUNTIF(CK13:CK13,"B"))*3)+((COUNTIF(CK13:CK13,"C"))*2)+((COUNTIF(CK13:CK13,"D"))*1))*CELL("contenu",$B$12),0),IFERROR((((COUNTIF(CK15:CK17,"A"))*4)+((COUNTIF(CK15:CK17,"B"))*3)+((COUNTIF(CK15:CK17,"C"))*2)+((COUNTIF(CK15:CK17,"D"))*1))*CELL("contenu",$B$14),0),IFERROR((((COUNTIF(CK19:CK19,"A"))*4)+((COUNTIF(CK19:CK19,"B"))*3)+((COUNTIF(CK19:CK19,"C"))*2)+((COUNTIF(CK19:CK19,"D"))*1))*CELL("contenu",$B$18),0))/IF(SUM(COUNTA(CK5:CK6)*CELL("contenu",$B$4),COUNTA(CK8:CK11)*CELL("contenu",$B$7),COUNTA(CK13:CK13)*CELL("contenu",$B$12),COUNTA(CK15:CK17)*CELL("contenu",$B$14),COUNTA(CK19:CK19)*CELL("contenu",$B$18))=0,1,SUM(COUNTA(CK5:CK6)*CELL("contenu",$B$4),COUNTA(CK8:CK11)*CELL("contenu",$B$7),COUNTA(CK13:CK13)*CELL("contenu",$B$12),COUNTA(CK15:CK17)*CELL("contenu",$B$14),COUNTA(CK19:CK19)*CELL("contenu",$B$18))))</f>
        <v>6.666666666666667</v>
      </c>
      <c r="CL20" s="169" t="str">
        <f ca="1">IF(COUNTA(CL5:CL19)=0,"",5*SUM(IFERROR((((COUNTIF(CL5:CL6,"A"))*4)+((COUNTIF(CL5:CL6,"B"))*3)+((COUNTIF(CL5:CL6,"C"))*2)+((COUNTIF(CL5:CL6,"D"))*1))*CELL("contenu",$B$4),0),IFERROR((((COUNTIF(CL8:CL11,"A"))*4)+((COUNTIF(CL8:CL11,"B"))*3)+((COUNTIF(CL8:CL11,"C"))*2)+((COUNTIF(CL8:CL11,"D"))*1))*CELL("contenu",$B$7),0),IFERROR((((COUNTIF(CL13:CL13,"A"))*4)+((COUNTIF(CL13:CL13,"B"))*3)+((COUNTIF(CL13:CL13,"C"))*2)+((COUNTIF(CL13:CL13,"D"))*1))*CELL("contenu",$B$12),0),IFERROR((((COUNTIF(CL15:CL17,"A"))*4)+((COUNTIF(CL15:CL17,"B"))*3)+((COUNTIF(CL15:CL17,"C"))*2)+((COUNTIF(CL15:CL17,"D"))*1))*CELL("contenu",$B$14),0),IFERROR((((COUNTIF(CL19:CL19,"A"))*4)+((COUNTIF(CL19:CL19,"B"))*3)+((COUNTIF(CL19:CL19,"C"))*2)+((COUNTIF(CL19:CL19,"D"))*1))*CELL("contenu",$B$18),0))/IF(SUM(COUNTA(CL5:CL6)*CELL("contenu",$B$4),COUNTA(CL8:CL11)*CELL("contenu",$B$7),COUNTA(CL13:CL13)*CELL("contenu",$B$12),COUNTA(CL15:CL17)*CELL("contenu",$B$14),COUNTA(CL19:CL19)*CELL("contenu",$B$18))=0,1,SUM(COUNTA(CL5:CL6)*CELL("contenu",$B$4),COUNTA(CL8:CL11)*CELL("contenu",$B$7),COUNTA(CL13:CL13)*CELL("contenu",$B$12),COUNTA(CL15:CL17)*CELL("contenu",$B$14),COUNTA(CL19:CL19)*CELL("contenu",$B$18))))</f>
        <v/>
      </c>
      <c r="CM20" s="116"/>
      <c r="CN20" s="192">
        <f ca="1">IF(COUNTA(CJ20:CL20)-COUNTBLANK(CJ20:CL20)=0,"",SUM(CJ20:CL20)/(COUNTA(CJ20:CL20)-COUNTBLANK(CJ20:CL20)))</f>
        <v>11.666666666666668</v>
      </c>
      <c r="CO20" s="182" t="str">
        <f ca="1">IF(COUNTA(CO5:CO19)=0,"",5*SUM(IFERROR((((COUNTIF(CO5:CO6,"A"))*4)+((COUNTIF(CO5:CO6,"B"))*3)+((COUNTIF(CO5:CO6,"C"))*2)+((COUNTIF(CO5:CO6,"D"))*1))*CELL("contenu",$B$4),0),IFERROR((((COUNTIF(CO8:CO11,"A"))*4)+((COUNTIF(CO8:CO11,"B"))*3)+((COUNTIF(CO8:CO11,"C"))*2)+((COUNTIF(CO8:CO11,"D"))*1))*CELL("contenu",$B$7),0),IFERROR((((COUNTIF(CO13:CO13,"A"))*4)+((COUNTIF(CO13:CO13,"B"))*3)+((COUNTIF(CO13:CO13,"C"))*2)+((COUNTIF(CO13:CO13,"D"))*1))*CELL("contenu",$B$12),0),IFERROR((((COUNTIF(CO15:CO17,"A"))*4)+((COUNTIF(CO15:CO17,"B"))*3)+((COUNTIF(CO15:CO17,"C"))*2)+((COUNTIF(CO15:CO17,"D"))*1))*CELL("contenu",$B$14),0),IFERROR((((COUNTIF(CO19:CO19,"A"))*4)+((COUNTIF(CO19:CO19,"B"))*3)+((COUNTIF(CO19:CO19,"C"))*2)+((COUNTIF(CO19:CO19,"D"))*1))*CELL("contenu",$B$18),0))/IF(SUM(COUNTA(CO5:CO6)*CELL("contenu",$B$4),COUNTA(CO8:CO11)*CELL("contenu",$B$7),COUNTA(CO13:CO13)*CELL("contenu",$B$12),COUNTA(CO15:CO17)*CELL("contenu",$B$14),COUNTA(CO19:CO19)*CELL("contenu",$B$18))=0,1,SUM(COUNTA(CO5:CO6)*CELL("contenu",$B$4),COUNTA(CO8:CO11)*CELL("contenu",$B$7),COUNTA(CO13:CO13)*CELL("contenu",$B$12),COUNTA(CO15:CO17)*CELL("contenu",$B$14),COUNTA(CO19:CO19)*CELL("contenu",$B$18))))</f>
        <v/>
      </c>
      <c r="CP20" s="183" t="str">
        <f ca="1">IF(COUNTA(CP5:CP19)=0,"",5*SUM(IFERROR((((COUNTIF(CP5:CP6,"A"))*4)+((COUNTIF(CP5:CP6,"B"))*3)+((COUNTIF(CP5:CP6,"C"))*2)+((COUNTIF(CP5:CP6,"D"))*1))*CELL("contenu",$B$4),0),IFERROR((((COUNTIF(CP8:CP11,"A"))*4)+((COUNTIF(CP8:CP11,"B"))*3)+((COUNTIF(CP8:CP11,"C"))*2)+((COUNTIF(CP8:CP11,"D"))*1))*CELL("contenu",$B$7),0),IFERROR((((COUNTIF(CP13:CP13,"A"))*4)+((COUNTIF(CP13:CP13,"B"))*3)+((COUNTIF(CP13:CP13,"C"))*2)+((COUNTIF(CP13:CP13,"D"))*1))*CELL("contenu",$B$12),0),IFERROR((((COUNTIF(CP15:CP17,"A"))*4)+((COUNTIF(CP15:CP17,"B"))*3)+((COUNTIF(CP15:CP17,"C"))*2)+((COUNTIF(CP15:CP17,"D"))*1))*CELL("contenu",$B$14),0),IFERROR((((COUNTIF(CP19:CP19,"A"))*4)+((COUNTIF(CP19:CP19,"B"))*3)+((COUNTIF(CP19:CP19,"C"))*2)+((COUNTIF(CP19:CP19,"D"))*1))*CELL("contenu",$B$18),0))/IF(SUM(COUNTA(CP5:CP6)*CELL("contenu",$B$4),COUNTA(CP8:CP11)*CELL("contenu",$B$7),COUNTA(CP13:CP13)*CELL("contenu",$B$12),COUNTA(CP15:CP17)*CELL("contenu",$B$14),COUNTA(CP19:CP19)*CELL("contenu",$B$18))=0,1,SUM(COUNTA(CP5:CP6)*CELL("contenu",$B$4),COUNTA(CP8:CP11)*CELL("contenu",$B$7),COUNTA(CP13:CP13)*CELL("contenu",$B$12),COUNTA(CP15:CP17)*CELL("contenu",$B$14),COUNTA(CP19:CP19)*CELL("contenu",$B$18))))</f>
        <v/>
      </c>
      <c r="CQ20" s="184" t="str">
        <f ca="1">IF(COUNTA(CQ5:CQ19)=0,"",5*SUM(IFERROR((((COUNTIF(CQ5:CQ6,"A"))*4)+((COUNTIF(CQ5:CQ6,"B"))*3)+((COUNTIF(CQ5:CQ6,"C"))*2)+((COUNTIF(CQ5:CQ6,"D"))*1))*CELL("contenu",$B$4),0),IFERROR((((COUNTIF(CQ8:CQ11,"A"))*4)+((COUNTIF(CQ8:CQ11,"B"))*3)+((COUNTIF(CQ8:CQ11,"C"))*2)+((COUNTIF(CQ8:CQ11,"D"))*1))*CELL("contenu",$B$7),0),IFERROR((((COUNTIF(CQ13:CQ13,"A"))*4)+((COUNTIF(CQ13:CQ13,"B"))*3)+((COUNTIF(CQ13:CQ13,"C"))*2)+((COUNTIF(CQ13:CQ13,"D"))*1))*CELL("contenu",$B$12),0),IFERROR((((COUNTIF(CQ15:CQ17,"A"))*4)+((COUNTIF(CQ15:CQ17,"B"))*3)+((COUNTIF(CQ15:CQ17,"C"))*2)+((COUNTIF(CQ15:CQ17,"D"))*1))*CELL("contenu",$B$14),0),IFERROR((((COUNTIF(CQ19:CQ19,"A"))*4)+((COUNTIF(CQ19:CQ19,"B"))*3)+((COUNTIF(CQ19:CQ19,"C"))*2)+((COUNTIF(CQ19:CQ19,"D"))*1))*CELL("contenu",$B$18),0))/IF(SUM(COUNTA(CQ5:CQ6)*CELL("contenu",$B$4),COUNTA(CQ8:CQ11)*CELL("contenu",$B$7),COUNTA(CQ13:CQ13)*CELL("contenu",$B$12),COUNTA(CQ15:CQ17)*CELL("contenu",$B$14),COUNTA(CQ19:CQ19)*CELL("contenu",$B$18))=0,1,SUM(COUNTA(CQ5:CQ6)*CELL("contenu",$B$4),COUNTA(CQ8:CQ11)*CELL("contenu",$B$7),COUNTA(CQ13:CQ13)*CELL("contenu",$B$12),COUNTA(CQ15:CQ17)*CELL("contenu",$B$14),COUNTA(CQ19:CQ19)*CELL("contenu",$B$18))))</f>
        <v/>
      </c>
      <c r="CR20" s="176"/>
      <c r="CS20" s="175" t="str">
        <f ca="1">IF(COUNTA(CO20:CQ20)-COUNTBLANK(CO20:CQ20)=0,"",SUM(CO20:CQ20)/(COUNTA(CO20:CQ20)-COUNTBLANK(CO20:CQ20)))</f>
        <v/>
      </c>
      <c r="CT20" s="182" t="str">
        <f ca="1">IF(COUNTA(CT5:CT19)=0,"",5*SUM(IFERROR((((COUNTIF(CT5:CT6,"A"))*4)+((COUNTIF(CT5:CT6,"B"))*3)+((COUNTIF(CT5:CT6,"C"))*2)+((COUNTIF(CT5:CT6,"D"))*1))*CELL("contenu",$B$4),0),IFERROR((((COUNTIF(CT8:CT11,"A"))*4)+((COUNTIF(CT8:CT11,"B"))*3)+((COUNTIF(CT8:CT11,"C"))*2)+((COUNTIF(CT8:CT11,"D"))*1))*CELL("contenu",$B$7),0),IFERROR((((COUNTIF(CT13:CT13,"A"))*4)+((COUNTIF(CT13:CT13,"B"))*3)+((COUNTIF(CT13:CT13,"C"))*2)+((COUNTIF(CT13:CT13,"D"))*1))*CELL("contenu",$B$12),0),IFERROR((((COUNTIF(CT15:CT17,"A"))*4)+((COUNTIF(CT15:CT17,"B"))*3)+((COUNTIF(CT15:CT17,"C"))*2)+((COUNTIF(CT15:CT17,"D"))*1))*CELL("contenu",$B$14),0),IFERROR((((COUNTIF(CT19:CT19,"A"))*4)+((COUNTIF(CT19:CT19,"B"))*3)+((COUNTIF(CT19:CT19,"C"))*2)+((COUNTIF(CT19:CT19,"D"))*1))*CELL("contenu",$B$18),0))/IF(SUM(COUNTA(CT5:CT6)*CELL("contenu",$B$4),COUNTA(CT8:CT11)*CELL("contenu",$B$7),COUNTA(CT13:CT13)*CELL("contenu",$B$12),COUNTA(CT15:CT17)*CELL("contenu",$B$14),COUNTA(CT19:CT19)*CELL("contenu",$B$18))=0,1,SUM(COUNTA(CT5:CT6)*CELL("contenu",$B$4),COUNTA(CT8:CT11)*CELL("contenu",$B$7),COUNTA(CT13:CT13)*CELL("contenu",$B$12),COUNTA(CT15:CT17)*CELL("contenu",$B$14),COUNTA(CT19:CT19)*CELL("contenu",$B$18))))</f>
        <v/>
      </c>
      <c r="CU20" s="183" t="str">
        <f ca="1">IF(COUNTA(CU5:CU19)=0,"",5*SUM(IFERROR((((COUNTIF(CU5:CU6,"A"))*4)+((COUNTIF(CU5:CU6,"B"))*3)+((COUNTIF(CU5:CU6,"C"))*2)+((COUNTIF(CU5:CU6,"D"))*1))*CELL("contenu",$B$4),0),IFERROR((((COUNTIF(CU8:CU11,"A"))*4)+((COUNTIF(CU8:CU11,"B"))*3)+((COUNTIF(CU8:CU11,"C"))*2)+((COUNTIF(CU8:CU11,"D"))*1))*CELL("contenu",$B$7),0),IFERROR((((COUNTIF(CU13:CU13,"A"))*4)+((COUNTIF(CU13:CU13,"B"))*3)+((COUNTIF(CU13:CU13,"C"))*2)+((COUNTIF(CU13:CU13,"D"))*1))*CELL("contenu",$B$12),0),IFERROR((((COUNTIF(CU15:CU17,"A"))*4)+((COUNTIF(CU15:CU17,"B"))*3)+((COUNTIF(CU15:CU17,"C"))*2)+((COUNTIF(CU15:CU17,"D"))*1))*CELL("contenu",$B$14),0),IFERROR((((COUNTIF(CU19:CU19,"A"))*4)+((COUNTIF(CU19:CU19,"B"))*3)+((COUNTIF(CU19:CU19,"C"))*2)+((COUNTIF(CU19:CU19,"D"))*1))*CELL("contenu",$B$18),0))/IF(SUM(COUNTA(CU5:CU6)*CELL("contenu",$B$4),COUNTA(CU8:CU11)*CELL("contenu",$B$7),COUNTA(CU13:CU13)*CELL("contenu",$B$12),COUNTA(CU15:CU17)*CELL("contenu",$B$14),COUNTA(CU19:CU19)*CELL("contenu",$B$18))=0,1,SUM(COUNTA(CU5:CU6)*CELL("contenu",$B$4),COUNTA(CU8:CU11)*CELL("contenu",$B$7),COUNTA(CU13:CU13)*CELL("contenu",$B$12),COUNTA(CU15:CU17)*CELL("contenu",$B$14),COUNTA(CU19:CU19)*CELL("contenu",$B$18))))</f>
        <v/>
      </c>
      <c r="CV20" s="184" t="str">
        <f ca="1">IF(COUNTA(CV5:CV19)=0,"",5*SUM(IFERROR((((COUNTIF(CV5:CV6,"A"))*4)+((COUNTIF(CV5:CV6,"B"))*3)+((COUNTIF(CV5:CV6,"C"))*2)+((COUNTIF(CV5:CV6,"D"))*1))*CELL("contenu",$B$4),0),IFERROR((((COUNTIF(CV8:CV11,"A"))*4)+((COUNTIF(CV8:CV11,"B"))*3)+((COUNTIF(CV8:CV11,"C"))*2)+((COUNTIF(CV8:CV11,"D"))*1))*CELL("contenu",$B$7),0),IFERROR((((COUNTIF(CV13:CV13,"A"))*4)+((COUNTIF(CV13:CV13,"B"))*3)+((COUNTIF(CV13:CV13,"C"))*2)+((COUNTIF(CV13:CV13,"D"))*1))*CELL("contenu",$B$12),0),IFERROR((((COUNTIF(CV15:CV17,"A"))*4)+((COUNTIF(CV15:CV17,"B"))*3)+((COUNTIF(CV15:CV17,"C"))*2)+((COUNTIF(CV15:CV17,"D"))*1))*CELL("contenu",$B$14),0),IFERROR((((COUNTIF(CV19:CV19,"A"))*4)+((COUNTIF(CV19:CV19,"B"))*3)+((COUNTIF(CV19:CV19,"C"))*2)+((COUNTIF(CV19:CV19,"D"))*1))*CELL("contenu",$B$18),0))/IF(SUM(COUNTA(CV5:CV6)*CELL("contenu",$B$4),COUNTA(CV8:CV11)*CELL("contenu",$B$7),COUNTA(CV13:CV13)*CELL("contenu",$B$12),COUNTA(CV15:CV17)*CELL("contenu",$B$14),COUNTA(CV19:CV19)*CELL("contenu",$B$18))=0,1,SUM(COUNTA(CV5:CV6)*CELL("contenu",$B$4),COUNTA(CV8:CV11)*CELL("contenu",$B$7),COUNTA(CV13:CV13)*CELL("contenu",$B$12),COUNTA(CV15:CV17)*CELL("contenu",$B$14),COUNTA(CV19:CV19)*CELL("contenu",$B$18))))</f>
        <v/>
      </c>
      <c r="CW20" s="176"/>
      <c r="CX20" s="174" t="str">
        <f ca="1">IF(COUNTA(CT20:CV20)-COUNTBLANK(CT20:CV20)=0,"",SUM(CT20:CV20)/(COUNTA(CT20:CV20)-COUNTBLANK(CT20:CV20)))</f>
        <v/>
      </c>
      <c r="CY20" s="103"/>
      <c r="CZ20" s="141"/>
      <c r="DA20" s="167">
        <f ca="1">IF(COUNTA(DA5:DA19)=0,"",5*SUM(IFERROR((((COUNTIF(DA5:DA6,"A"))*4)+((COUNTIF(DA5:DA6,"B"))*3)+((COUNTIF(DA5:DA6,"C"))*2)+((COUNTIF(DA5:DA6,"D"))*1))*CELL("contenu",$B$4),0),IFERROR((((COUNTIF(DA8:DA11,"A"))*4)+((COUNTIF(DA8:DA11,"B"))*3)+((COUNTIF(DA8:DA11,"C"))*2)+((COUNTIF(DA8:DA11,"D"))*1))*CELL("contenu",$B$7),0),IFERROR((((COUNTIF(DA13:DA13,"A"))*4)+((COUNTIF(DA13:DA13,"B"))*3)+((COUNTIF(DA13:DA13,"C"))*2)+((COUNTIF(DA13:DA13,"D"))*1))*CELL("contenu",$B$12),0),IFERROR((((COUNTIF(DA15:DA17,"A"))*4)+((COUNTIF(DA15:DA17,"B"))*3)+((COUNTIF(DA15:DA17,"C"))*2)+((COUNTIF(DA15:DA17,"D"))*1))*CELL("contenu",$B$14),0),IFERROR((((COUNTIF(DA19:DA19,"A"))*4)+((COUNTIF(DA19:DA19,"B"))*3)+((COUNTIF(DA19:DA19,"C"))*2)+((COUNTIF(DA19:DA19,"D"))*1))*CELL("contenu",$B$18),0))/IF(SUM(COUNTA(DA5:DA6)*CELL("contenu",$B$4),COUNTA(DA8:DA11)*CELL("contenu",$B$7),COUNTA(DA13:DA13)*CELL("contenu",$B$12),COUNTA(DA15:DA17)*CELL("contenu",$B$14),COUNTA(DA19:DA19)*CELL("contenu",$B$18))=0,1,SUM(COUNTA(DA5:DA6)*CELL("contenu",$B$4),COUNTA(DA8:DA11)*CELL("contenu",$B$7),COUNTA(DA13:DA13)*CELL("contenu",$B$12),COUNTA(DA15:DA17)*CELL("contenu",$B$14),COUNTA(DA19:DA19)*CELL("contenu",$B$18))))</f>
        <v>20</v>
      </c>
      <c r="DB20" s="168">
        <f ca="1">IF(COUNTA(DB5:DB19)=0,"",5*SUM(IFERROR((((COUNTIF(DB5:DB6,"A"))*4)+((COUNTIF(DB5:DB6,"B"))*3)+((COUNTIF(DB5:DB6,"C"))*2)+((COUNTIF(DB5:DB6,"D"))*1))*CELL("contenu",$B$4),0),IFERROR((((COUNTIF(DB8:DB11,"A"))*4)+((COUNTIF(DB8:DB11,"B"))*3)+((COUNTIF(DB8:DB11,"C"))*2)+((COUNTIF(DB8:DB11,"D"))*1))*CELL("contenu",$B$7),0),IFERROR((((COUNTIF(DB13:DB13,"A"))*4)+((COUNTIF(DB13:DB13,"B"))*3)+((COUNTIF(DB13:DB13,"C"))*2)+((COUNTIF(DB13:DB13,"D"))*1))*CELL("contenu",$B$12),0),IFERROR((((COUNTIF(DB15:DB17,"A"))*4)+((COUNTIF(DB15:DB17,"B"))*3)+((COUNTIF(DB15:DB17,"C"))*2)+((COUNTIF(DB15:DB17,"D"))*1))*CELL("contenu",$B$14),0),IFERROR((((COUNTIF(DB19:DB19,"A"))*4)+((COUNTIF(DB19:DB19,"B"))*3)+((COUNTIF(DB19:DB19,"C"))*2)+((COUNTIF(DB19:DB19,"D"))*1))*CELL("contenu",$B$18),0))/IF(SUM(COUNTA(DB5:DB6)*CELL("contenu",$B$4),COUNTA(DB8:DB11)*CELL("contenu",$B$7),COUNTA(DB13:DB13)*CELL("contenu",$B$12),COUNTA(DB15:DB17)*CELL("contenu",$B$14),COUNTA(DB19:DB19)*CELL("contenu",$B$18))=0,1,SUM(COUNTA(DB5:DB6)*CELL("contenu",$B$4),COUNTA(DB8:DB11)*CELL("contenu",$B$7),COUNTA(DB13:DB13)*CELL("contenu",$B$12),COUNTA(DB15:DB17)*CELL("contenu",$B$14),COUNTA(DB19:DB19)*CELL("contenu",$B$18))))</f>
        <v>16.666666666666668</v>
      </c>
      <c r="DC20" s="169" t="str">
        <f ca="1">IF(COUNTA(DC5:DC19)=0,"",5*SUM(IFERROR((((COUNTIF(DC5:DC6,"A"))*4)+((COUNTIF(DC5:DC6,"B"))*3)+((COUNTIF(DC5:DC6,"C"))*2)+((COUNTIF(DC5:DC6,"D"))*1))*CELL("contenu",$B$4),0),IFERROR((((COUNTIF(DC8:DC11,"A"))*4)+((COUNTIF(DC8:DC11,"B"))*3)+((COUNTIF(DC8:DC11,"C"))*2)+((COUNTIF(DC8:DC11,"D"))*1))*CELL("contenu",$B$7),0),IFERROR((((COUNTIF(DC13:DC13,"A"))*4)+((COUNTIF(DC13:DC13,"B"))*3)+((COUNTIF(DC13:DC13,"C"))*2)+((COUNTIF(DC13:DC13,"D"))*1))*CELL("contenu",$B$12),0),IFERROR((((COUNTIF(DC15:DC17,"A"))*4)+((COUNTIF(DC15:DC17,"B"))*3)+((COUNTIF(DC15:DC17,"C"))*2)+((COUNTIF(DC15:DC17,"D"))*1))*CELL("contenu",$B$14),0),IFERROR((((COUNTIF(DC19:DC19,"A"))*4)+((COUNTIF(DC19:DC19,"B"))*3)+((COUNTIF(DC19:DC19,"C"))*2)+((COUNTIF(DC19:DC19,"D"))*1))*CELL("contenu",$B$18),0))/IF(SUM(COUNTA(DC5:DC6)*CELL("contenu",$B$4),COUNTA(DC8:DC11)*CELL("contenu",$B$7),COUNTA(DC13:DC13)*CELL("contenu",$B$12),COUNTA(DC15:DC17)*CELL("contenu",$B$14),COUNTA(DC19:DC19)*CELL("contenu",$B$18))=0,1,SUM(COUNTA(DC5:DC6)*CELL("contenu",$B$4),COUNTA(DC8:DC11)*CELL("contenu",$B$7),COUNTA(DC13:DC13)*CELL("contenu",$B$12),COUNTA(DC15:DC17)*CELL("contenu",$B$14),COUNTA(DC19:DC19)*CELL("contenu",$B$18))))</f>
        <v/>
      </c>
      <c r="DD20" s="116"/>
      <c r="DE20" s="192">
        <f ca="1">IF(COUNTA(DA20:DC20)-COUNTBLANK(DA20:DC20)=0,"",SUM(DA20:DC20)/(COUNTA(DA20:DC20)-COUNTBLANK(DA20:DC20)))</f>
        <v>18.333333333333336</v>
      </c>
      <c r="DF20" s="182" t="str">
        <f ca="1">IF(COUNTA(DF5:DF19)=0,"",5*SUM(IFERROR((((COUNTIF(DF5:DF6,"A"))*4)+((COUNTIF(DF5:DF6,"B"))*3)+((COUNTIF(DF5:DF6,"C"))*2)+((COUNTIF(DF5:DF6,"D"))*1))*CELL("contenu",$B$4),0),IFERROR((((COUNTIF(DF8:DF11,"A"))*4)+((COUNTIF(DF8:DF11,"B"))*3)+((COUNTIF(DF8:DF11,"C"))*2)+((COUNTIF(DF8:DF11,"D"))*1))*CELL("contenu",$B$7),0),IFERROR((((COUNTIF(DF13:DF13,"A"))*4)+((COUNTIF(DF13:DF13,"B"))*3)+((COUNTIF(DF13:DF13,"C"))*2)+((COUNTIF(DF13:DF13,"D"))*1))*CELL("contenu",$B$12),0),IFERROR((((COUNTIF(DF15:DF17,"A"))*4)+((COUNTIF(DF15:DF17,"B"))*3)+((COUNTIF(DF15:DF17,"C"))*2)+((COUNTIF(DF15:DF17,"D"))*1))*CELL("contenu",$B$14),0),IFERROR((((COUNTIF(DF19:DF19,"A"))*4)+((COUNTIF(DF19:DF19,"B"))*3)+((COUNTIF(DF19:DF19,"C"))*2)+((COUNTIF(DF19:DF19,"D"))*1))*CELL("contenu",$B$18),0))/IF(SUM(COUNTA(DF5:DF6)*CELL("contenu",$B$4),COUNTA(DF8:DF11)*CELL("contenu",$B$7),COUNTA(DF13:DF13)*CELL("contenu",$B$12),COUNTA(DF15:DF17)*CELL("contenu",$B$14),COUNTA(DF19:DF19)*CELL("contenu",$B$18))=0,1,SUM(COUNTA(DF5:DF6)*CELL("contenu",$B$4),COUNTA(DF8:DF11)*CELL("contenu",$B$7),COUNTA(DF13:DF13)*CELL("contenu",$B$12),COUNTA(DF15:DF17)*CELL("contenu",$B$14),COUNTA(DF19:DF19)*CELL("contenu",$B$18))))</f>
        <v/>
      </c>
      <c r="DG20" s="183" t="str">
        <f ca="1">IF(COUNTA(DG5:DG19)=0,"",5*SUM(IFERROR((((COUNTIF(DG5:DG6,"A"))*4)+((COUNTIF(DG5:DG6,"B"))*3)+((COUNTIF(DG5:DG6,"C"))*2)+((COUNTIF(DG5:DG6,"D"))*1))*CELL("contenu",$B$4),0),IFERROR((((COUNTIF(DG8:DG11,"A"))*4)+((COUNTIF(DG8:DG11,"B"))*3)+((COUNTIF(DG8:DG11,"C"))*2)+((COUNTIF(DG8:DG11,"D"))*1))*CELL("contenu",$B$7),0),IFERROR((((COUNTIF(DG13:DG13,"A"))*4)+((COUNTIF(DG13:DG13,"B"))*3)+((COUNTIF(DG13:DG13,"C"))*2)+((COUNTIF(DG13:DG13,"D"))*1))*CELL("contenu",$B$12),0),IFERROR((((COUNTIF(DG15:DG17,"A"))*4)+((COUNTIF(DG15:DG17,"B"))*3)+((COUNTIF(DG15:DG17,"C"))*2)+((COUNTIF(DG15:DG17,"D"))*1))*CELL("contenu",$B$14),0),IFERROR((((COUNTIF(DG19:DG19,"A"))*4)+((COUNTIF(DG19:DG19,"B"))*3)+((COUNTIF(DG19:DG19,"C"))*2)+((COUNTIF(DG19:DG19,"D"))*1))*CELL("contenu",$B$18),0))/IF(SUM(COUNTA(DG5:DG6)*CELL("contenu",$B$4),COUNTA(DG8:DG11)*CELL("contenu",$B$7),COUNTA(DG13:DG13)*CELL("contenu",$B$12),COUNTA(DG15:DG17)*CELL("contenu",$B$14),COUNTA(DG19:DG19)*CELL("contenu",$B$18))=0,1,SUM(COUNTA(DG5:DG6)*CELL("contenu",$B$4),COUNTA(DG8:DG11)*CELL("contenu",$B$7),COUNTA(DG13:DG13)*CELL("contenu",$B$12),COUNTA(DG15:DG17)*CELL("contenu",$B$14),COUNTA(DG19:DG19)*CELL("contenu",$B$18))))</f>
        <v/>
      </c>
      <c r="DH20" s="184" t="str">
        <f ca="1">IF(COUNTA(DH5:DH19)=0,"",5*SUM(IFERROR((((COUNTIF(DH5:DH6,"A"))*4)+((COUNTIF(DH5:DH6,"B"))*3)+((COUNTIF(DH5:DH6,"C"))*2)+((COUNTIF(DH5:DH6,"D"))*1))*CELL("contenu",$B$4),0),IFERROR((((COUNTIF(DH8:DH11,"A"))*4)+((COUNTIF(DH8:DH11,"B"))*3)+((COUNTIF(DH8:DH11,"C"))*2)+((COUNTIF(DH8:DH11,"D"))*1))*CELL("contenu",$B$7),0),IFERROR((((COUNTIF(DH13:DH13,"A"))*4)+((COUNTIF(DH13:DH13,"B"))*3)+((COUNTIF(DH13:DH13,"C"))*2)+((COUNTIF(DH13:DH13,"D"))*1))*CELL("contenu",$B$12),0),IFERROR((((COUNTIF(DH15:DH17,"A"))*4)+((COUNTIF(DH15:DH17,"B"))*3)+((COUNTIF(DH15:DH17,"C"))*2)+((COUNTIF(DH15:DH17,"D"))*1))*CELL("contenu",$B$14),0),IFERROR((((COUNTIF(DH19:DH19,"A"))*4)+((COUNTIF(DH19:DH19,"B"))*3)+((COUNTIF(DH19:DH19,"C"))*2)+((COUNTIF(DH19:DH19,"D"))*1))*CELL("contenu",$B$18),0))/IF(SUM(COUNTA(DH5:DH6)*CELL("contenu",$B$4),COUNTA(DH8:DH11)*CELL("contenu",$B$7),COUNTA(DH13:DH13)*CELL("contenu",$B$12),COUNTA(DH15:DH17)*CELL("contenu",$B$14),COUNTA(DH19:DH19)*CELL("contenu",$B$18))=0,1,SUM(COUNTA(DH5:DH6)*CELL("contenu",$B$4),COUNTA(DH8:DH11)*CELL("contenu",$B$7),COUNTA(DH13:DH13)*CELL("contenu",$B$12),COUNTA(DH15:DH17)*CELL("contenu",$B$14),COUNTA(DH19:DH19)*CELL("contenu",$B$18))))</f>
        <v/>
      </c>
      <c r="DI20" s="176"/>
      <c r="DJ20" s="175" t="str">
        <f ca="1">IF(COUNTA(DF20:DH20)-COUNTBLANK(DF20:DH20)=0,"",SUM(DF20:DH20)/(COUNTA(DF20:DH20)-COUNTBLANK(DF20:DH20)))</f>
        <v/>
      </c>
      <c r="DK20" s="182" t="str">
        <f ca="1">IF(COUNTA(DK5:DK19)=0,"",5*SUM(IFERROR((((COUNTIF(DK5:DK6,"A"))*4)+((COUNTIF(DK5:DK6,"B"))*3)+((COUNTIF(DK5:DK6,"C"))*2)+((COUNTIF(DK5:DK6,"D"))*1))*CELL("contenu",$B$4),0),IFERROR((((COUNTIF(DK8:DK11,"A"))*4)+((COUNTIF(DK8:DK11,"B"))*3)+((COUNTIF(DK8:DK11,"C"))*2)+((COUNTIF(DK8:DK11,"D"))*1))*CELL("contenu",$B$7),0),IFERROR((((COUNTIF(DK13:DK13,"A"))*4)+((COUNTIF(DK13:DK13,"B"))*3)+((COUNTIF(DK13:DK13,"C"))*2)+((COUNTIF(DK13:DK13,"D"))*1))*CELL("contenu",$B$12),0),IFERROR((((COUNTIF(DK15:DK17,"A"))*4)+((COUNTIF(DK15:DK17,"B"))*3)+((COUNTIF(DK15:DK17,"C"))*2)+((COUNTIF(DK15:DK17,"D"))*1))*CELL("contenu",$B$14),0),IFERROR((((COUNTIF(DK19:DK19,"A"))*4)+((COUNTIF(DK19:DK19,"B"))*3)+((COUNTIF(DK19:DK19,"C"))*2)+((COUNTIF(DK19:DK19,"D"))*1))*CELL("contenu",$B$18),0))/IF(SUM(COUNTA(DK5:DK6)*CELL("contenu",$B$4),COUNTA(DK8:DK11)*CELL("contenu",$B$7),COUNTA(DK13:DK13)*CELL("contenu",$B$12),COUNTA(DK15:DK17)*CELL("contenu",$B$14),COUNTA(DK19:DK19)*CELL("contenu",$B$18))=0,1,SUM(COUNTA(DK5:DK6)*CELL("contenu",$B$4),COUNTA(DK8:DK11)*CELL("contenu",$B$7),COUNTA(DK13:DK13)*CELL("contenu",$B$12),COUNTA(DK15:DK17)*CELL("contenu",$B$14),COUNTA(DK19:DK19)*CELL("contenu",$B$18))))</f>
        <v/>
      </c>
      <c r="DL20" s="183" t="str">
        <f ca="1">IF(COUNTA(DL5:DL19)=0,"",5*SUM(IFERROR((((COUNTIF(DL5:DL6,"A"))*4)+((COUNTIF(DL5:DL6,"B"))*3)+((COUNTIF(DL5:DL6,"C"))*2)+((COUNTIF(DL5:DL6,"D"))*1))*CELL("contenu",$B$4),0),IFERROR((((COUNTIF(DL8:DL11,"A"))*4)+((COUNTIF(DL8:DL11,"B"))*3)+((COUNTIF(DL8:DL11,"C"))*2)+((COUNTIF(DL8:DL11,"D"))*1))*CELL("contenu",$B$7),0),IFERROR((((COUNTIF(DL13:DL13,"A"))*4)+((COUNTIF(DL13:DL13,"B"))*3)+((COUNTIF(DL13:DL13,"C"))*2)+((COUNTIF(DL13:DL13,"D"))*1))*CELL("contenu",$B$12),0),IFERROR((((COUNTIF(DL15:DL17,"A"))*4)+((COUNTIF(DL15:DL17,"B"))*3)+((COUNTIF(DL15:DL17,"C"))*2)+((COUNTIF(DL15:DL17,"D"))*1))*CELL("contenu",$B$14),0),IFERROR((((COUNTIF(DL19:DL19,"A"))*4)+((COUNTIF(DL19:DL19,"B"))*3)+((COUNTIF(DL19:DL19,"C"))*2)+((COUNTIF(DL19:DL19,"D"))*1))*CELL("contenu",$B$18),0))/IF(SUM(COUNTA(DL5:DL6)*CELL("contenu",$B$4),COUNTA(DL8:DL11)*CELL("contenu",$B$7),COUNTA(DL13:DL13)*CELL("contenu",$B$12),COUNTA(DL15:DL17)*CELL("contenu",$B$14),COUNTA(DL19:DL19)*CELL("contenu",$B$18))=0,1,SUM(COUNTA(DL5:DL6)*CELL("contenu",$B$4),COUNTA(DL8:DL11)*CELL("contenu",$B$7),COUNTA(DL13:DL13)*CELL("contenu",$B$12),COUNTA(DL15:DL17)*CELL("contenu",$B$14),COUNTA(DL19:DL19)*CELL("contenu",$B$18))))</f>
        <v/>
      </c>
      <c r="DM20" s="184" t="str">
        <f ca="1">IF(COUNTA(DM5:DM19)=0,"",5*SUM(IFERROR((((COUNTIF(DM5:DM6,"A"))*4)+((COUNTIF(DM5:DM6,"B"))*3)+((COUNTIF(DM5:DM6,"C"))*2)+((COUNTIF(DM5:DM6,"D"))*1))*CELL("contenu",$B$4),0),IFERROR((((COUNTIF(DM8:DM11,"A"))*4)+((COUNTIF(DM8:DM11,"B"))*3)+((COUNTIF(DM8:DM11,"C"))*2)+((COUNTIF(DM8:DM11,"D"))*1))*CELL("contenu",$B$7),0),IFERROR((((COUNTIF(DM13:DM13,"A"))*4)+((COUNTIF(DM13:DM13,"B"))*3)+((COUNTIF(DM13:DM13,"C"))*2)+((COUNTIF(DM13:DM13,"D"))*1))*CELL("contenu",$B$12),0),IFERROR((((COUNTIF(DM15:DM17,"A"))*4)+((COUNTIF(DM15:DM17,"B"))*3)+((COUNTIF(DM15:DM17,"C"))*2)+((COUNTIF(DM15:DM17,"D"))*1))*CELL("contenu",$B$14),0),IFERROR((((COUNTIF(DM19:DM19,"A"))*4)+((COUNTIF(DM19:DM19,"B"))*3)+((COUNTIF(DM19:DM19,"C"))*2)+((COUNTIF(DM19:DM19,"D"))*1))*CELL("contenu",$B$18),0))/IF(SUM(COUNTA(DM5:DM6)*CELL("contenu",$B$4),COUNTA(DM8:DM11)*CELL("contenu",$B$7),COUNTA(DM13:DM13)*CELL("contenu",$B$12),COUNTA(DM15:DM17)*CELL("contenu",$B$14),COUNTA(DM19:DM19)*CELL("contenu",$B$18))=0,1,SUM(COUNTA(DM5:DM6)*CELL("contenu",$B$4),COUNTA(DM8:DM11)*CELL("contenu",$B$7),COUNTA(DM13:DM13)*CELL("contenu",$B$12),COUNTA(DM15:DM17)*CELL("contenu",$B$14),COUNTA(DM19:DM19)*CELL("contenu",$B$18))))</f>
        <v/>
      </c>
      <c r="DN20" s="176"/>
      <c r="DO20" s="174" t="str">
        <f ca="1">IF(COUNTA(DK20:DM20)-COUNTBLANK(DK20:DM20)=0,"",SUM(DK20:DM20)/(COUNTA(DK20:DM20)-COUNTBLANK(DK20:DM20)))</f>
        <v/>
      </c>
      <c r="DP20" s="103"/>
      <c r="DQ20" s="141"/>
      <c r="DR20" s="167">
        <f ca="1">IF(COUNTA(DR5:DR19)=0,"",5*SUM(IFERROR((((COUNTIF(DR5:DR6,"A"))*4)+((COUNTIF(DR5:DR6,"B"))*3)+((COUNTIF(DR5:DR6,"C"))*2)+((COUNTIF(DR5:DR6,"D"))*1))*CELL("contenu",$B$4),0),IFERROR((((COUNTIF(DR8:DR11,"A"))*4)+((COUNTIF(DR8:DR11,"B"))*3)+((COUNTIF(DR8:DR11,"C"))*2)+((COUNTIF(DR8:DR11,"D"))*1))*CELL("contenu",$B$7),0),IFERROR((((COUNTIF(DR13:DR13,"A"))*4)+((COUNTIF(DR13:DR13,"B"))*3)+((COUNTIF(DR13:DR13,"C"))*2)+((COUNTIF(DR13:DR13,"D"))*1))*CELL("contenu",$B$12),0),IFERROR((((COUNTIF(DR15:DR17,"A"))*4)+((COUNTIF(DR15:DR17,"B"))*3)+((COUNTIF(DR15:DR17,"C"))*2)+((COUNTIF(DR15:DR17,"D"))*1))*CELL("contenu",$B$14),0),IFERROR((((COUNTIF(DR19:DR19,"A"))*4)+((COUNTIF(DR19:DR19,"B"))*3)+((COUNTIF(DR19:DR19,"C"))*2)+((COUNTIF(DR19:DR19,"D"))*1))*CELL("contenu",$B$18),0))/IF(SUM(COUNTA(DR5:DR6)*CELL("contenu",$B$4),COUNTA(DR8:DR11)*CELL("contenu",$B$7),COUNTA(DR13:DR13)*CELL("contenu",$B$12),COUNTA(DR15:DR17)*CELL("contenu",$B$14),COUNTA(DR19:DR19)*CELL("contenu",$B$18))=0,1,SUM(COUNTA(DR5:DR6)*CELL("contenu",$B$4),COUNTA(DR8:DR11)*CELL("contenu",$B$7),COUNTA(DR13:DR13)*CELL("contenu",$B$12),COUNTA(DR15:DR17)*CELL("contenu",$B$14),COUNTA(DR19:DR19)*CELL("contenu",$B$18))))</f>
        <v>18.333333333333332</v>
      </c>
      <c r="DS20" s="168">
        <f ca="1">IF(COUNTA(DS5:DS19)=0,"",5*SUM(IFERROR((((COUNTIF(DS5:DS6,"A"))*4)+((COUNTIF(DS5:DS6,"B"))*3)+((COUNTIF(DS5:DS6,"C"))*2)+((COUNTIF(DS5:DS6,"D"))*1))*CELL("contenu",$B$4),0),IFERROR((((COUNTIF(DS8:DS11,"A"))*4)+((COUNTIF(DS8:DS11,"B"))*3)+((COUNTIF(DS8:DS11,"C"))*2)+((COUNTIF(DS8:DS11,"D"))*1))*CELL("contenu",$B$7),0),IFERROR((((COUNTIF(DS13:DS13,"A"))*4)+((COUNTIF(DS13:DS13,"B"))*3)+((COUNTIF(DS13:DS13,"C"))*2)+((COUNTIF(DS13:DS13,"D"))*1))*CELL("contenu",$B$12),0),IFERROR((((COUNTIF(DS15:DS17,"A"))*4)+((COUNTIF(DS15:DS17,"B"))*3)+((COUNTIF(DS15:DS17,"C"))*2)+((COUNTIF(DS15:DS17,"D"))*1))*CELL("contenu",$B$14),0),IFERROR((((COUNTIF(DS19:DS19,"A"))*4)+((COUNTIF(DS19:DS19,"B"))*3)+((COUNTIF(DS19:DS19,"C"))*2)+((COUNTIF(DS19:DS19,"D"))*1))*CELL("contenu",$B$18),0))/IF(SUM(COUNTA(DS5:DS6)*CELL("contenu",$B$4),COUNTA(DS8:DS11)*CELL("contenu",$B$7),COUNTA(DS13:DS13)*CELL("contenu",$B$12),COUNTA(DS15:DS17)*CELL("contenu",$B$14),COUNTA(DS19:DS19)*CELL("contenu",$B$18))=0,1,SUM(COUNTA(DS5:DS6)*CELL("contenu",$B$4),COUNTA(DS8:DS11)*CELL("contenu",$B$7),COUNTA(DS13:DS13)*CELL("contenu",$B$12),COUNTA(DS15:DS17)*CELL("contenu",$B$14),COUNTA(DS19:DS19)*CELL("contenu",$B$18))))</f>
        <v>11.666666666666666</v>
      </c>
      <c r="DT20" s="169" t="str">
        <f ca="1">IF(COUNTA(DT5:DT19)=0,"",5*SUM(IFERROR((((COUNTIF(DT5:DT6,"A"))*4)+((COUNTIF(DT5:DT6,"B"))*3)+((COUNTIF(DT5:DT6,"C"))*2)+((COUNTIF(DT5:DT6,"D"))*1))*CELL("contenu",$B$4),0),IFERROR((((COUNTIF(DT8:DT11,"A"))*4)+((COUNTIF(DT8:DT11,"B"))*3)+((COUNTIF(DT8:DT11,"C"))*2)+((COUNTIF(DT8:DT11,"D"))*1))*CELL("contenu",$B$7),0),IFERROR((((COUNTIF(DT13:DT13,"A"))*4)+((COUNTIF(DT13:DT13,"B"))*3)+((COUNTIF(DT13:DT13,"C"))*2)+((COUNTIF(DT13:DT13,"D"))*1))*CELL("contenu",$B$12),0),IFERROR((((COUNTIF(DT15:DT17,"A"))*4)+((COUNTIF(DT15:DT17,"B"))*3)+((COUNTIF(DT15:DT17,"C"))*2)+((COUNTIF(DT15:DT17,"D"))*1))*CELL("contenu",$B$14),0),IFERROR((((COUNTIF(DT19:DT19,"A"))*4)+((COUNTIF(DT19:DT19,"B"))*3)+((COUNTIF(DT19:DT19,"C"))*2)+((COUNTIF(DT19:DT19,"D"))*1))*CELL("contenu",$B$18),0))/IF(SUM(COUNTA(DT5:DT6)*CELL("contenu",$B$4),COUNTA(DT8:DT11)*CELL("contenu",$B$7),COUNTA(DT13:DT13)*CELL("contenu",$B$12),COUNTA(DT15:DT17)*CELL("contenu",$B$14),COUNTA(DT19:DT19)*CELL("contenu",$B$18))=0,1,SUM(COUNTA(DT5:DT6)*CELL("contenu",$B$4),COUNTA(DT8:DT11)*CELL("contenu",$B$7),COUNTA(DT13:DT13)*CELL("contenu",$B$12),COUNTA(DT15:DT17)*CELL("contenu",$B$14),COUNTA(DT19:DT19)*CELL("contenu",$B$18))))</f>
        <v/>
      </c>
      <c r="DU20" s="116"/>
      <c r="DV20" s="192">
        <f ca="1">IF(COUNTA(DR20:DT20)-COUNTBLANK(DR20:DT20)=0,"",SUM(DR20:DT20)/(COUNTA(DR20:DT20)-COUNTBLANK(DR20:DT20)))</f>
        <v>15</v>
      </c>
      <c r="DW20" s="182" t="str">
        <f ca="1">IF(COUNTA(DW5:DW19)=0,"",5*SUM(IFERROR((((COUNTIF(DW5:DW6,"A"))*4)+((COUNTIF(DW5:DW6,"B"))*3)+((COUNTIF(DW5:DW6,"C"))*2)+((COUNTIF(DW5:DW6,"D"))*1))*CELL("contenu",$B$4),0),IFERROR((((COUNTIF(DW8:DW11,"A"))*4)+((COUNTIF(DW8:DW11,"B"))*3)+((COUNTIF(DW8:DW11,"C"))*2)+((COUNTIF(DW8:DW11,"D"))*1))*CELL("contenu",$B$7),0),IFERROR((((COUNTIF(DW13:DW13,"A"))*4)+((COUNTIF(DW13:DW13,"B"))*3)+((COUNTIF(DW13:DW13,"C"))*2)+((COUNTIF(DW13:DW13,"D"))*1))*CELL("contenu",$B$12),0),IFERROR((((COUNTIF(DW15:DW17,"A"))*4)+((COUNTIF(DW15:DW17,"B"))*3)+((COUNTIF(DW15:DW17,"C"))*2)+((COUNTIF(DW15:DW17,"D"))*1))*CELL("contenu",$B$14),0),IFERROR((((COUNTIF(DW19:DW19,"A"))*4)+((COUNTIF(DW19:DW19,"B"))*3)+((COUNTIF(DW19:DW19,"C"))*2)+((COUNTIF(DW19:DW19,"D"))*1))*CELL("contenu",$B$18),0))/IF(SUM(COUNTA(DW5:DW6)*CELL("contenu",$B$4),COUNTA(DW8:DW11)*CELL("contenu",$B$7),COUNTA(DW13:DW13)*CELL("contenu",$B$12),COUNTA(DW15:DW17)*CELL("contenu",$B$14),COUNTA(DW19:DW19)*CELL("contenu",$B$18))=0,1,SUM(COUNTA(DW5:DW6)*CELL("contenu",$B$4),COUNTA(DW8:DW11)*CELL("contenu",$B$7),COUNTA(DW13:DW13)*CELL("contenu",$B$12),COUNTA(DW15:DW17)*CELL("contenu",$B$14),COUNTA(DW19:DW19)*CELL("contenu",$B$18))))</f>
        <v/>
      </c>
      <c r="DX20" s="183" t="str">
        <f ca="1">IF(COUNTA(DX5:DX19)=0,"",5*SUM(IFERROR((((COUNTIF(DX5:DX6,"A"))*4)+((COUNTIF(DX5:DX6,"B"))*3)+((COUNTIF(DX5:DX6,"C"))*2)+((COUNTIF(DX5:DX6,"D"))*1))*CELL("contenu",$B$4),0),IFERROR((((COUNTIF(DX8:DX11,"A"))*4)+((COUNTIF(DX8:DX11,"B"))*3)+((COUNTIF(DX8:DX11,"C"))*2)+((COUNTIF(DX8:DX11,"D"))*1))*CELL("contenu",$B$7),0),IFERROR((((COUNTIF(DX13:DX13,"A"))*4)+((COUNTIF(DX13:DX13,"B"))*3)+((COUNTIF(DX13:DX13,"C"))*2)+((COUNTIF(DX13:DX13,"D"))*1))*CELL("contenu",$B$12),0),IFERROR((((COUNTIF(DX15:DX17,"A"))*4)+((COUNTIF(DX15:DX17,"B"))*3)+((COUNTIF(DX15:DX17,"C"))*2)+((COUNTIF(DX15:DX17,"D"))*1))*CELL("contenu",$B$14),0),IFERROR((((COUNTIF(DX19:DX19,"A"))*4)+((COUNTIF(DX19:DX19,"B"))*3)+((COUNTIF(DX19:DX19,"C"))*2)+((COUNTIF(DX19:DX19,"D"))*1))*CELL("contenu",$B$18),0))/IF(SUM(COUNTA(DX5:DX6)*CELL("contenu",$B$4),COUNTA(DX8:DX11)*CELL("contenu",$B$7),COUNTA(DX13:DX13)*CELL("contenu",$B$12),COUNTA(DX15:DX17)*CELL("contenu",$B$14),COUNTA(DX19:DX19)*CELL("contenu",$B$18))=0,1,SUM(COUNTA(DX5:DX6)*CELL("contenu",$B$4),COUNTA(DX8:DX11)*CELL("contenu",$B$7),COUNTA(DX13:DX13)*CELL("contenu",$B$12),COUNTA(DX15:DX17)*CELL("contenu",$B$14),COUNTA(DX19:DX19)*CELL("contenu",$B$18))))</f>
        <v/>
      </c>
      <c r="DY20" s="184" t="str">
        <f ca="1">IF(COUNTA(DY5:DY19)=0,"",5*SUM(IFERROR((((COUNTIF(DY5:DY6,"A"))*4)+((COUNTIF(DY5:DY6,"B"))*3)+((COUNTIF(DY5:DY6,"C"))*2)+((COUNTIF(DY5:DY6,"D"))*1))*CELL("contenu",$B$4),0),IFERROR((((COUNTIF(DY8:DY11,"A"))*4)+((COUNTIF(DY8:DY11,"B"))*3)+((COUNTIF(DY8:DY11,"C"))*2)+((COUNTIF(DY8:DY11,"D"))*1))*CELL("contenu",$B$7),0),IFERROR((((COUNTIF(DY13:DY13,"A"))*4)+((COUNTIF(DY13:DY13,"B"))*3)+((COUNTIF(DY13:DY13,"C"))*2)+((COUNTIF(DY13:DY13,"D"))*1))*CELL("contenu",$B$12),0),IFERROR((((COUNTIF(DY15:DY17,"A"))*4)+((COUNTIF(DY15:DY17,"B"))*3)+((COUNTIF(DY15:DY17,"C"))*2)+((COUNTIF(DY15:DY17,"D"))*1))*CELL("contenu",$B$14),0),IFERROR((((COUNTIF(DY19:DY19,"A"))*4)+((COUNTIF(DY19:DY19,"B"))*3)+((COUNTIF(DY19:DY19,"C"))*2)+((COUNTIF(DY19:DY19,"D"))*1))*CELL("contenu",$B$18),0))/IF(SUM(COUNTA(DY5:DY6)*CELL("contenu",$B$4),COUNTA(DY8:DY11)*CELL("contenu",$B$7),COUNTA(DY13:DY13)*CELL("contenu",$B$12),COUNTA(DY15:DY17)*CELL("contenu",$B$14),COUNTA(DY19:DY19)*CELL("contenu",$B$18))=0,1,SUM(COUNTA(DY5:DY6)*CELL("contenu",$B$4),COUNTA(DY8:DY11)*CELL("contenu",$B$7),COUNTA(DY13:DY13)*CELL("contenu",$B$12),COUNTA(DY15:DY17)*CELL("contenu",$B$14),COUNTA(DY19:DY19)*CELL("contenu",$B$18))))</f>
        <v/>
      </c>
      <c r="DZ20" s="176"/>
      <c r="EA20" s="175" t="str">
        <f ca="1">IF(COUNTA(DW20:DY20)-COUNTBLANK(DW20:DY20)=0,"",SUM(DW20:DY20)/(COUNTA(DW20:DY20)-COUNTBLANK(DW20:DY20)))</f>
        <v/>
      </c>
      <c r="EB20" s="182" t="str">
        <f ca="1">IF(COUNTA(EB5:EB19)=0,"",5*SUM(IFERROR((((COUNTIF(EB5:EB6,"A"))*4)+((COUNTIF(EB5:EB6,"B"))*3)+((COUNTIF(EB5:EB6,"C"))*2)+((COUNTIF(EB5:EB6,"D"))*1))*CELL("contenu",$B$4),0),IFERROR((((COUNTIF(EB8:EB11,"A"))*4)+((COUNTIF(EB8:EB11,"B"))*3)+((COUNTIF(EB8:EB11,"C"))*2)+((COUNTIF(EB8:EB11,"D"))*1))*CELL("contenu",$B$7),0),IFERROR((((COUNTIF(EB13:EB13,"A"))*4)+((COUNTIF(EB13:EB13,"B"))*3)+((COUNTIF(EB13:EB13,"C"))*2)+((COUNTIF(EB13:EB13,"D"))*1))*CELL("contenu",$B$12),0),IFERROR((((COUNTIF(EB15:EB17,"A"))*4)+((COUNTIF(EB15:EB17,"B"))*3)+((COUNTIF(EB15:EB17,"C"))*2)+((COUNTIF(EB15:EB17,"D"))*1))*CELL("contenu",$B$14),0),IFERROR((((COUNTIF(EB19:EB19,"A"))*4)+((COUNTIF(EB19:EB19,"B"))*3)+((COUNTIF(EB19:EB19,"C"))*2)+((COUNTIF(EB19:EB19,"D"))*1))*CELL("contenu",$B$18),0))/IF(SUM(COUNTA(EB5:EB6)*CELL("contenu",$B$4),COUNTA(EB8:EB11)*CELL("contenu",$B$7),COUNTA(EB13:EB13)*CELL("contenu",$B$12),COUNTA(EB15:EB17)*CELL("contenu",$B$14),COUNTA(EB19:EB19)*CELL("contenu",$B$18))=0,1,SUM(COUNTA(EB5:EB6)*CELL("contenu",$B$4),COUNTA(EB8:EB11)*CELL("contenu",$B$7),COUNTA(EB13:EB13)*CELL("contenu",$B$12),COUNTA(EB15:EB17)*CELL("contenu",$B$14),COUNTA(EB19:EB19)*CELL("contenu",$B$18))))</f>
        <v/>
      </c>
      <c r="EC20" s="183" t="str">
        <f ca="1">IF(COUNTA(EC5:EC19)=0,"",5*SUM(IFERROR((((COUNTIF(EC5:EC6,"A"))*4)+((COUNTIF(EC5:EC6,"B"))*3)+((COUNTIF(EC5:EC6,"C"))*2)+((COUNTIF(EC5:EC6,"D"))*1))*CELL("contenu",$B$4),0),IFERROR((((COUNTIF(EC8:EC11,"A"))*4)+((COUNTIF(EC8:EC11,"B"))*3)+((COUNTIF(EC8:EC11,"C"))*2)+((COUNTIF(EC8:EC11,"D"))*1))*CELL("contenu",$B$7),0),IFERROR((((COUNTIF(EC13:EC13,"A"))*4)+((COUNTIF(EC13:EC13,"B"))*3)+((COUNTIF(EC13:EC13,"C"))*2)+((COUNTIF(EC13:EC13,"D"))*1))*CELL("contenu",$B$12),0),IFERROR((((COUNTIF(EC15:EC17,"A"))*4)+((COUNTIF(EC15:EC17,"B"))*3)+((COUNTIF(EC15:EC17,"C"))*2)+((COUNTIF(EC15:EC17,"D"))*1))*CELL("contenu",$B$14),0),IFERROR((((COUNTIF(EC19:EC19,"A"))*4)+((COUNTIF(EC19:EC19,"B"))*3)+((COUNTIF(EC19:EC19,"C"))*2)+((COUNTIF(EC19:EC19,"D"))*1))*CELL("contenu",$B$18),0))/IF(SUM(COUNTA(EC5:EC6)*CELL("contenu",$B$4),COUNTA(EC8:EC11)*CELL("contenu",$B$7),COUNTA(EC13:EC13)*CELL("contenu",$B$12),COUNTA(EC15:EC17)*CELL("contenu",$B$14),COUNTA(EC19:EC19)*CELL("contenu",$B$18))=0,1,SUM(COUNTA(EC5:EC6)*CELL("contenu",$B$4),COUNTA(EC8:EC11)*CELL("contenu",$B$7),COUNTA(EC13:EC13)*CELL("contenu",$B$12),COUNTA(EC15:EC17)*CELL("contenu",$B$14),COUNTA(EC19:EC19)*CELL("contenu",$B$18))))</f>
        <v/>
      </c>
      <c r="ED20" s="184" t="str">
        <f ca="1">IF(COUNTA(ED5:ED19)=0,"",5*SUM(IFERROR((((COUNTIF(ED5:ED6,"A"))*4)+((COUNTIF(ED5:ED6,"B"))*3)+((COUNTIF(ED5:ED6,"C"))*2)+((COUNTIF(ED5:ED6,"D"))*1))*CELL("contenu",$B$4),0),IFERROR((((COUNTIF(ED8:ED11,"A"))*4)+((COUNTIF(ED8:ED11,"B"))*3)+((COUNTIF(ED8:ED11,"C"))*2)+((COUNTIF(ED8:ED11,"D"))*1))*CELL("contenu",$B$7),0),IFERROR((((COUNTIF(ED13:ED13,"A"))*4)+((COUNTIF(ED13:ED13,"B"))*3)+((COUNTIF(ED13:ED13,"C"))*2)+((COUNTIF(ED13:ED13,"D"))*1))*CELL("contenu",$B$12),0),IFERROR((((COUNTIF(ED15:ED17,"A"))*4)+((COUNTIF(ED15:ED17,"B"))*3)+((COUNTIF(ED15:ED17,"C"))*2)+((COUNTIF(ED15:ED17,"D"))*1))*CELL("contenu",$B$14),0),IFERROR((((COUNTIF(ED19:ED19,"A"))*4)+((COUNTIF(ED19:ED19,"B"))*3)+((COUNTIF(ED19:ED19,"C"))*2)+((COUNTIF(ED19:ED19,"D"))*1))*CELL("contenu",$B$18),0))/IF(SUM(COUNTA(ED5:ED6)*CELL("contenu",$B$4),COUNTA(ED8:ED11)*CELL("contenu",$B$7),COUNTA(ED13:ED13)*CELL("contenu",$B$12),COUNTA(ED15:ED17)*CELL("contenu",$B$14),COUNTA(ED19:ED19)*CELL("contenu",$B$18))=0,1,SUM(COUNTA(ED5:ED6)*CELL("contenu",$B$4),COUNTA(ED8:ED11)*CELL("contenu",$B$7),COUNTA(ED13:ED13)*CELL("contenu",$B$12),COUNTA(ED15:ED17)*CELL("contenu",$B$14),COUNTA(ED19:ED19)*CELL("contenu",$B$18))))</f>
        <v/>
      </c>
      <c r="EE20" s="176"/>
      <c r="EF20" s="174" t="str">
        <f ca="1">IF(COUNTA(EB20:ED20)-COUNTBLANK(EB20:ED20)=0,"",SUM(EB20:ED20)/(COUNTA(EB20:ED20)-COUNTBLANK(EB20:ED20)))</f>
        <v/>
      </c>
      <c r="EG20" s="103"/>
      <c r="EH20" s="141"/>
      <c r="EI20" s="167">
        <f ca="1">IF(COUNTA(EI5:EI19)=0,"",5*SUM(IFERROR((((COUNTIF(EI5:EI6,"A"))*4)+((COUNTIF(EI5:EI6,"B"))*3)+((COUNTIF(EI5:EI6,"C"))*2)+((COUNTIF(EI5:EI6,"D"))*1))*CELL("contenu",$B$4),0),IFERROR((((COUNTIF(EI8:EI11,"A"))*4)+((COUNTIF(EI8:EI11,"B"))*3)+((COUNTIF(EI8:EI11,"C"))*2)+((COUNTIF(EI8:EI11,"D"))*1))*CELL("contenu",$B$7),0),IFERROR((((COUNTIF(EI13:EI13,"A"))*4)+((COUNTIF(EI13:EI13,"B"))*3)+((COUNTIF(EI13:EI13,"C"))*2)+((COUNTIF(EI13:EI13,"D"))*1))*CELL("contenu",$B$12),0),IFERROR((((COUNTIF(EI15:EI17,"A"))*4)+((COUNTIF(EI15:EI17,"B"))*3)+((COUNTIF(EI15:EI17,"C"))*2)+((COUNTIF(EI15:EI17,"D"))*1))*CELL("contenu",$B$14),0),IFERROR((((COUNTIF(EI19:EI19,"A"))*4)+((COUNTIF(EI19:EI19,"B"))*3)+((COUNTIF(EI19:EI19,"C"))*2)+((COUNTIF(EI19:EI19,"D"))*1))*CELL("contenu",$B$18),0))/IF(SUM(COUNTA(EI5:EI6)*CELL("contenu",$B$4),COUNTA(EI8:EI11)*CELL("contenu",$B$7),COUNTA(EI13:EI13)*CELL("contenu",$B$12),COUNTA(EI15:EI17)*CELL("contenu",$B$14),COUNTA(EI19:EI19)*CELL("contenu",$B$18))=0,1,SUM(COUNTA(EI5:EI6)*CELL("contenu",$B$4),COUNTA(EI8:EI11)*CELL("contenu",$B$7),COUNTA(EI13:EI13)*CELL("contenu",$B$12),COUNTA(EI15:EI17)*CELL("contenu",$B$14),COUNTA(EI19:EI19)*CELL("contenu",$B$18))))</f>
        <v>11.666666666666666</v>
      </c>
      <c r="EJ20" s="168">
        <f ca="1">IF(COUNTA(EJ5:EJ19)=0,"",5*SUM(IFERROR((((COUNTIF(EJ5:EJ6,"A"))*4)+((COUNTIF(EJ5:EJ6,"B"))*3)+((COUNTIF(EJ5:EJ6,"C"))*2)+((COUNTIF(EJ5:EJ6,"D"))*1))*CELL("contenu",$B$4),0),IFERROR((((COUNTIF(EJ8:EJ11,"A"))*4)+((COUNTIF(EJ8:EJ11,"B"))*3)+((COUNTIF(EJ8:EJ11,"C"))*2)+((COUNTIF(EJ8:EJ11,"D"))*1))*CELL("contenu",$B$7),0),IFERROR((((COUNTIF(EJ13:EJ13,"A"))*4)+((COUNTIF(EJ13:EJ13,"B"))*3)+((COUNTIF(EJ13:EJ13,"C"))*2)+((COUNTIF(EJ13:EJ13,"D"))*1))*CELL("contenu",$B$12),0),IFERROR((((COUNTIF(EJ15:EJ17,"A"))*4)+((COUNTIF(EJ15:EJ17,"B"))*3)+((COUNTIF(EJ15:EJ17,"C"))*2)+((COUNTIF(EJ15:EJ17,"D"))*1))*CELL("contenu",$B$14),0),IFERROR((((COUNTIF(EJ19:EJ19,"A"))*4)+((COUNTIF(EJ19:EJ19,"B"))*3)+((COUNTIF(EJ19:EJ19,"C"))*2)+((COUNTIF(EJ19:EJ19,"D"))*1))*CELL("contenu",$B$18),0))/IF(SUM(COUNTA(EJ5:EJ6)*CELL("contenu",$B$4),COUNTA(EJ8:EJ11)*CELL("contenu",$B$7),COUNTA(EJ13:EJ13)*CELL("contenu",$B$12),COUNTA(EJ15:EJ17)*CELL("contenu",$B$14),COUNTA(EJ19:EJ19)*CELL("contenu",$B$18))=0,1,SUM(COUNTA(EJ5:EJ6)*CELL("contenu",$B$4),COUNTA(EJ8:EJ11)*CELL("contenu",$B$7),COUNTA(EJ13:EJ13)*CELL("contenu",$B$12),COUNTA(EJ15:EJ17)*CELL("contenu",$B$14),COUNTA(EJ19:EJ19)*CELL("contenu",$B$18))))</f>
        <v>10</v>
      </c>
      <c r="EK20" s="169" t="str">
        <f ca="1">IF(COUNTA(EK5:EK19)=0,"",5*SUM(IFERROR((((COUNTIF(EK5:EK6,"A"))*4)+((COUNTIF(EK5:EK6,"B"))*3)+((COUNTIF(EK5:EK6,"C"))*2)+((COUNTIF(EK5:EK6,"D"))*1))*CELL("contenu",$B$4),0),IFERROR((((COUNTIF(EK8:EK11,"A"))*4)+((COUNTIF(EK8:EK11,"B"))*3)+((COUNTIF(EK8:EK11,"C"))*2)+((COUNTIF(EK8:EK11,"D"))*1))*CELL("contenu",$B$7),0),IFERROR((((COUNTIF(EK13:EK13,"A"))*4)+((COUNTIF(EK13:EK13,"B"))*3)+((COUNTIF(EK13:EK13,"C"))*2)+((COUNTIF(EK13:EK13,"D"))*1))*CELL("contenu",$B$12),0),IFERROR((((COUNTIF(EK15:EK17,"A"))*4)+((COUNTIF(EK15:EK17,"B"))*3)+((COUNTIF(EK15:EK17,"C"))*2)+((COUNTIF(EK15:EK17,"D"))*1))*CELL("contenu",$B$14),0),IFERROR((((COUNTIF(EK19:EK19,"A"))*4)+((COUNTIF(EK19:EK19,"B"))*3)+((COUNTIF(EK19:EK19,"C"))*2)+((COUNTIF(EK19:EK19,"D"))*1))*CELL("contenu",$B$18),0))/IF(SUM(COUNTA(EK5:EK6)*CELL("contenu",$B$4),COUNTA(EK8:EK11)*CELL("contenu",$B$7),COUNTA(EK13:EK13)*CELL("contenu",$B$12),COUNTA(EK15:EK17)*CELL("contenu",$B$14),COUNTA(EK19:EK19)*CELL("contenu",$B$18))=0,1,SUM(COUNTA(EK5:EK6)*CELL("contenu",$B$4),COUNTA(EK8:EK11)*CELL("contenu",$B$7),COUNTA(EK13:EK13)*CELL("contenu",$B$12),COUNTA(EK15:EK17)*CELL("contenu",$B$14),COUNTA(EK19:EK19)*CELL("contenu",$B$18))))</f>
        <v/>
      </c>
      <c r="EL20" s="116"/>
      <c r="EM20" s="192">
        <f ca="1">IF(COUNTA(EI20:EK20)-COUNTBLANK(EI20:EK20)=0,"",SUM(EI20:EK20)/(COUNTA(EI20:EK20)-COUNTBLANK(EI20:EK20)))</f>
        <v>10.833333333333332</v>
      </c>
      <c r="EN20" s="182" t="str">
        <f ca="1">IF(COUNTA(EN5:EN19)=0,"",5*SUM(IFERROR((((COUNTIF(EN5:EN6,"A"))*4)+((COUNTIF(EN5:EN6,"B"))*3)+((COUNTIF(EN5:EN6,"C"))*2)+((COUNTIF(EN5:EN6,"D"))*1))*CELL("contenu",$B$4),0),IFERROR((((COUNTIF(EN8:EN11,"A"))*4)+((COUNTIF(EN8:EN11,"B"))*3)+((COUNTIF(EN8:EN11,"C"))*2)+((COUNTIF(EN8:EN11,"D"))*1))*CELL("contenu",$B$7),0),IFERROR((((COUNTIF(EN13:EN13,"A"))*4)+((COUNTIF(EN13:EN13,"B"))*3)+((COUNTIF(EN13:EN13,"C"))*2)+((COUNTIF(EN13:EN13,"D"))*1))*CELL("contenu",$B$12),0),IFERROR((((COUNTIF(EN15:EN17,"A"))*4)+((COUNTIF(EN15:EN17,"B"))*3)+((COUNTIF(EN15:EN17,"C"))*2)+((COUNTIF(EN15:EN17,"D"))*1))*CELL("contenu",$B$14),0),IFERROR((((COUNTIF(EN19:EN19,"A"))*4)+((COUNTIF(EN19:EN19,"B"))*3)+((COUNTIF(EN19:EN19,"C"))*2)+((COUNTIF(EN19:EN19,"D"))*1))*CELL("contenu",$B$18),0))/IF(SUM(COUNTA(EN5:EN6)*CELL("contenu",$B$4),COUNTA(EN8:EN11)*CELL("contenu",$B$7),COUNTA(EN13:EN13)*CELL("contenu",$B$12),COUNTA(EN15:EN17)*CELL("contenu",$B$14),COUNTA(EN19:EN19)*CELL("contenu",$B$18))=0,1,SUM(COUNTA(EN5:EN6)*CELL("contenu",$B$4),COUNTA(EN8:EN11)*CELL("contenu",$B$7),COUNTA(EN13:EN13)*CELL("contenu",$B$12),COUNTA(EN15:EN17)*CELL("contenu",$B$14),COUNTA(EN19:EN19)*CELL("contenu",$B$18))))</f>
        <v/>
      </c>
      <c r="EO20" s="183" t="str">
        <f ca="1">IF(COUNTA(EO5:EO19)=0,"",5*SUM(IFERROR((((COUNTIF(EO5:EO6,"A"))*4)+((COUNTIF(EO5:EO6,"B"))*3)+((COUNTIF(EO5:EO6,"C"))*2)+((COUNTIF(EO5:EO6,"D"))*1))*CELL("contenu",$B$4),0),IFERROR((((COUNTIF(EO8:EO11,"A"))*4)+((COUNTIF(EO8:EO11,"B"))*3)+((COUNTIF(EO8:EO11,"C"))*2)+((COUNTIF(EO8:EO11,"D"))*1))*CELL("contenu",$B$7),0),IFERROR((((COUNTIF(EO13:EO13,"A"))*4)+((COUNTIF(EO13:EO13,"B"))*3)+((COUNTIF(EO13:EO13,"C"))*2)+((COUNTIF(EO13:EO13,"D"))*1))*CELL("contenu",$B$12),0),IFERROR((((COUNTIF(EO15:EO17,"A"))*4)+((COUNTIF(EO15:EO17,"B"))*3)+((COUNTIF(EO15:EO17,"C"))*2)+((COUNTIF(EO15:EO17,"D"))*1))*CELL("contenu",$B$14),0),IFERROR((((COUNTIF(EO19:EO19,"A"))*4)+((COUNTIF(EO19:EO19,"B"))*3)+((COUNTIF(EO19:EO19,"C"))*2)+((COUNTIF(EO19:EO19,"D"))*1))*CELL("contenu",$B$18),0))/IF(SUM(COUNTA(EO5:EO6)*CELL("contenu",$B$4),COUNTA(EO8:EO11)*CELL("contenu",$B$7),COUNTA(EO13:EO13)*CELL("contenu",$B$12),COUNTA(EO15:EO17)*CELL("contenu",$B$14),COUNTA(EO19:EO19)*CELL("contenu",$B$18))=0,1,SUM(COUNTA(EO5:EO6)*CELL("contenu",$B$4),COUNTA(EO8:EO11)*CELL("contenu",$B$7),COUNTA(EO13:EO13)*CELL("contenu",$B$12),COUNTA(EO15:EO17)*CELL("contenu",$B$14),COUNTA(EO19:EO19)*CELL("contenu",$B$18))))</f>
        <v/>
      </c>
      <c r="EP20" s="184" t="str">
        <f ca="1">IF(COUNTA(EP5:EP19)=0,"",5*SUM(IFERROR((((COUNTIF(EP5:EP6,"A"))*4)+((COUNTIF(EP5:EP6,"B"))*3)+((COUNTIF(EP5:EP6,"C"))*2)+((COUNTIF(EP5:EP6,"D"))*1))*CELL("contenu",$B$4),0),IFERROR((((COUNTIF(EP8:EP11,"A"))*4)+((COUNTIF(EP8:EP11,"B"))*3)+((COUNTIF(EP8:EP11,"C"))*2)+((COUNTIF(EP8:EP11,"D"))*1))*CELL("contenu",$B$7),0),IFERROR((((COUNTIF(EP13:EP13,"A"))*4)+((COUNTIF(EP13:EP13,"B"))*3)+((COUNTIF(EP13:EP13,"C"))*2)+((COUNTIF(EP13:EP13,"D"))*1))*CELL("contenu",$B$12),0),IFERROR((((COUNTIF(EP15:EP17,"A"))*4)+((COUNTIF(EP15:EP17,"B"))*3)+((COUNTIF(EP15:EP17,"C"))*2)+((COUNTIF(EP15:EP17,"D"))*1))*CELL("contenu",$B$14),0),IFERROR((((COUNTIF(EP19:EP19,"A"))*4)+((COUNTIF(EP19:EP19,"B"))*3)+((COUNTIF(EP19:EP19,"C"))*2)+((COUNTIF(EP19:EP19,"D"))*1))*CELL("contenu",$B$18),0))/IF(SUM(COUNTA(EP5:EP6)*CELL("contenu",$B$4),COUNTA(EP8:EP11)*CELL("contenu",$B$7),COUNTA(EP13:EP13)*CELL("contenu",$B$12),COUNTA(EP15:EP17)*CELL("contenu",$B$14),COUNTA(EP19:EP19)*CELL("contenu",$B$18))=0,1,SUM(COUNTA(EP5:EP6)*CELL("contenu",$B$4),COUNTA(EP8:EP11)*CELL("contenu",$B$7),COUNTA(EP13:EP13)*CELL("contenu",$B$12),COUNTA(EP15:EP17)*CELL("contenu",$B$14),COUNTA(EP19:EP19)*CELL("contenu",$B$18))))</f>
        <v/>
      </c>
      <c r="EQ20" s="176"/>
      <c r="ER20" s="175" t="str">
        <f ca="1">IF(COUNTA(EN20:EP20)-COUNTBLANK(EN20:EP20)=0,"",SUM(EN20:EP20)/(COUNTA(EN20:EP20)-COUNTBLANK(EN20:EP20)))</f>
        <v/>
      </c>
      <c r="ES20" s="182" t="str">
        <f ca="1">IF(COUNTA(ES5:ES19)=0,"",5*SUM(IFERROR((((COUNTIF(ES5:ES6,"A"))*4)+((COUNTIF(ES5:ES6,"B"))*3)+((COUNTIF(ES5:ES6,"C"))*2)+((COUNTIF(ES5:ES6,"D"))*1))*CELL("contenu",$B$4),0),IFERROR((((COUNTIF(ES8:ES11,"A"))*4)+((COUNTIF(ES8:ES11,"B"))*3)+((COUNTIF(ES8:ES11,"C"))*2)+((COUNTIF(ES8:ES11,"D"))*1))*CELL("contenu",$B$7),0),IFERROR((((COUNTIF(ES13:ES13,"A"))*4)+((COUNTIF(ES13:ES13,"B"))*3)+((COUNTIF(ES13:ES13,"C"))*2)+((COUNTIF(ES13:ES13,"D"))*1))*CELL("contenu",$B$12),0),IFERROR((((COUNTIF(ES15:ES17,"A"))*4)+((COUNTIF(ES15:ES17,"B"))*3)+((COUNTIF(ES15:ES17,"C"))*2)+((COUNTIF(ES15:ES17,"D"))*1))*CELL("contenu",$B$14),0),IFERROR((((COUNTIF(ES19:ES19,"A"))*4)+((COUNTIF(ES19:ES19,"B"))*3)+((COUNTIF(ES19:ES19,"C"))*2)+((COUNTIF(ES19:ES19,"D"))*1))*CELL("contenu",$B$18),0))/IF(SUM(COUNTA(ES5:ES6)*CELL("contenu",$B$4),COUNTA(ES8:ES11)*CELL("contenu",$B$7),COUNTA(ES13:ES13)*CELL("contenu",$B$12),COUNTA(ES15:ES17)*CELL("contenu",$B$14),COUNTA(ES19:ES19)*CELL("contenu",$B$18))=0,1,SUM(COUNTA(ES5:ES6)*CELL("contenu",$B$4),COUNTA(ES8:ES11)*CELL("contenu",$B$7),COUNTA(ES13:ES13)*CELL("contenu",$B$12),COUNTA(ES15:ES17)*CELL("contenu",$B$14),COUNTA(ES19:ES19)*CELL("contenu",$B$18))))</f>
        <v/>
      </c>
      <c r="ET20" s="183" t="str">
        <f ca="1">IF(COUNTA(ET5:ET19)=0,"",5*SUM(IFERROR((((COUNTIF(ET5:ET6,"A"))*4)+((COUNTIF(ET5:ET6,"B"))*3)+((COUNTIF(ET5:ET6,"C"))*2)+((COUNTIF(ET5:ET6,"D"))*1))*CELL("contenu",$B$4),0),IFERROR((((COUNTIF(ET8:ET11,"A"))*4)+((COUNTIF(ET8:ET11,"B"))*3)+((COUNTIF(ET8:ET11,"C"))*2)+((COUNTIF(ET8:ET11,"D"))*1))*CELL("contenu",$B$7),0),IFERROR((((COUNTIF(ET13:ET13,"A"))*4)+((COUNTIF(ET13:ET13,"B"))*3)+((COUNTIF(ET13:ET13,"C"))*2)+((COUNTIF(ET13:ET13,"D"))*1))*CELL("contenu",$B$12),0),IFERROR((((COUNTIF(ET15:ET17,"A"))*4)+((COUNTIF(ET15:ET17,"B"))*3)+((COUNTIF(ET15:ET17,"C"))*2)+((COUNTIF(ET15:ET17,"D"))*1))*CELL("contenu",$B$14),0),IFERROR((((COUNTIF(ET19:ET19,"A"))*4)+((COUNTIF(ET19:ET19,"B"))*3)+((COUNTIF(ET19:ET19,"C"))*2)+((COUNTIF(ET19:ET19,"D"))*1))*CELL("contenu",$B$18),0))/IF(SUM(COUNTA(ET5:ET6)*CELL("contenu",$B$4),COUNTA(ET8:ET11)*CELL("contenu",$B$7),COUNTA(ET13:ET13)*CELL("contenu",$B$12),COUNTA(ET15:ET17)*CELL("contenu",$B$14),COUNTA(ET19:ET19)*CELL("contenu",$B$18))=0,1,SUM(COUNTA(ET5:ET6)*CELL("contenu",$B$4),COUNTA(ET8:ET11)*CELL("contenu",$B$7),COUNTA(ET13:ET13)*CELL("contenu",$B$12),COUNTA(ET15:ET17)*CELL("contenu",$B$14),COUNTA(ET19:ET19)*CELL("contenu",$B$18))))</f>
        <v/>
      </c>
      <c r="EU20" s="184" t="str">
        <f ca="1">IF(COUNTA(EU5:EU19)=0,"",5*SUM(IFERROR((((COUNTIF(EU5:EU6,"A"))*4)+((COUNTIF(EU5:EU6,"B"))*3)+((COUNTIF(EU5:EU6,"C"))*2)+((COUNTIF(EU5:EU6,"D"))*1))*CELL("contenu",$B$4),0),IFERROR((((COUNTIF(EU8:EU11,"A"))*4)+((COUNTIF(EU8:EU11,"B"))*3)+((COUNTIF(EU8:EU11,"C"))*2)+((COUNTIF(EU8:EU11,"D"))*1))*CELL("contenu",$B$7),0),IFERROR((((COUNTIF(EU13:EU13,"A"))*4)+((COUNTIF(EU13:EU13,"B"))*3)+((COUNTIF(EU13:EU13,"C"))*2)+((COUNTIF(EU13:EU13,"D"))*1))*CELL("contenu",$B$12),0),IFERROR((((COUNTIF(EU15:EU17,"A"))*4)+((COUNTIF(EU15:EU17,"B"))*3)+((COUNTIF(EU15:EU17,"C"))*2)+((COUNTIF(EU15:EU17,"D"))*1))*CELL("contenu",$B$14),0),IFERROR((((COUNTIF(EU19:EU19,"A"))*4)+((COUNTIF(EU19:EU19,"B"))*3)+((COUNTIF(EU19:EU19,"C"))*2)+((COUNTIF(EU19:EU19,"D"))*1))*CELL("contenu",$B$18),0))/IF(SUM(COUNTA(EU5:EU6)*CELL("contenu",$B$4),COUNTA(EU8:EU11)*CELL("contenu",$B$7),COUNTA(EU13:EU13)*CELL("contenu",$B$12),COUNTA(EU15:EU17)*CELL("contenu",$B$14),COUNTA(EU19:EU19)*CELL("contenu",$B$18))=0,1,SUM(COUNTA(EU5:EU6)*CELL("contenu",$B$4),COUNTA(EU8:EU11)*CELL("contenu",$B$7),COUNTA(EU13:EU13)*CELL("contenu",$B$12),COUNTA(EU15:EU17)*CELL("contenu",$B$14),COUNTA(EU19:EU19)*CELL("contenu",$B$18))))</f>
        <v/>
      </c>
      <c r="EV20" s="176"/>
      <c r="EW20" s="174" t="str">
        <f ca="1">IF(COUNTA(ES20:EU20)-COUNTBLANK(ES20:EU20)=0,"",SUM(ES20:EU20)/(COUNTA(ES20:EU20)-COUNTBLANK(ES20:EU20)))</f>
        <v/>
      </c>
      <c r="EX20" s="103"/>
      <c r="EY20" s="141"/>
      <c r="EZ20" s="167">
        <f ca="1">IF(COUNTA(EZ5:EZ19)=0,"",5*SUM(IFERROR((((COUNTIF(EZ5:EZ6,"A"))*4)+((COUNTIF(EZ5:EZ6,"B"))*3)+((COUNTIF(EZ5:EZ6,"C"))*2)+((COUNTIF(EZ5:EZ6,"D"))*1))*CELL("contenu",$B$4),0),IFERROR((((COUNTIF(EZ8:EZ11,"A"))*4)+((COUNTIF(EZ8:EZ11,"B"))*3)+((COUNTIF(EZ8:EZ11,"C"))*2)+((COUNTIF(EZ8:EZ11,"D"))*1))*CELL("contenu",$B$7),0),IFERROR((((COUNTIF(EZ13:EZ13,"A"))*4)+((COUNTIF(EZ13:EZ13,"B"))*3)+((COUNTIF(EZ13:EZ13,"C"))*2)+((COUNTIF(EZ13:EZ13,"D"))*1))*CELL("contenu",$B$12),0),IFERROR((((COUNTIF(EZ15:EZ17,"A"))*4)+((COUNTIF(EZ15:EZ17,"B"))*3)+((COUNTIF(EZ15:EZ17,"C"))*2)+((COUNTIF(EZ15:EZ17,"D"))*1))*CELL("contenu",$B$14),0),IFERROR((((COUNTIF(EZ19:EZ19,"A"))*4)+((COUNTIF(EZ19:EZ19,"B"))*3)+((COUNTIF(EZ19:EZ19,"C"))*2)+((COUNTIF(EZ19:EZ19,"D"))*1))*CELL("contenu",$B$18),0))/IF(SUM(COUNTA(EZ5:EZ6)*CELL("contenu",$B$4),COUNTA(EZ8:EZ11)*CELL("contenu",$B$7),COUNTA(EZ13:EZ13)*CELL("contenu",$B$12),COUNTA(EZ15:EZ17)*CELL("contenu",$B$14),COUNTA(EZ19:EZ19)*CELL("contenu",$B$18))=0,1,SUM(COUNTA(EZ5:EZ6)*CELL("contenu",$B$4),COUNTA(EZ8:EZ11)*CELL("contenu",$B$7),COUNTA(EZ13:EZ13)*CELL("contenu",$B$12),COUNTA(EZ15:EZ17)*CELL("contenu",$B$14),COUNTA(EZ19:EZ19)*CELL("contenu",$B$18))))</f>
        <v>18.333333333333332</v>
      </c>
      <c r="FA20" s="168">
        <f ca="1">IF(COUNTA(FA5:FA19)=0,"",5*SUM(IFERROR((((COUNTIF(FA5:FA6,"A"))*4)+((COUNTIF(FA5:FA6,"B"))*3)+((COUNTIF(FA5:FA6,"C"))*2)+((COUNTIF(FA5:FA6,"D"))*1))*CELL("contenu",$B$4),0),IFERROR((((COUNTIF(FA8:FA11,"A"))*4)+((COUNTIF(FA8:FA11,"B"))*3)+((COUNTIF(FA8:FA11,"C"))*2)+((COUNTIF(FA8:FA11,"D"))*1))*CELL("contenu",$B$7),0),IFERROR((((COUNTIF(FA13:FA13,"A"))*4)+((COUNTIF(FA13:FA13,"B"))*3)+((COUNTIF(FA13:FA13,"C"))*2)+((COUNTIF(FA13:FA13,"D"))*1))*CELL("contenu",$B$12),0),IFERROR((((COUNTIF(FA15:FA17,"A"))*4)+((COUNTIF(FA15:FA17,"B"))*3)+((COUNTIF(FA15:FA17,"C"))*2)+((COUNTIF(FA15:FA17,"D"))*1))*CELL("contenu",$B$14),0),IFERROR((((COUNTIF(FA19:FA19,"A"))*4)+((COUNTIF(FA19:FA19,"B"))*3)+((COUNTIF(FA19:FA19,"C"))*2)+((COUNTIF(FA19:FA19,"D"))*1))*CELL("contenu",$B$18),0))/IF(SUM(COUNTA(FA5:FA6)*CELL("contenu",$B$4),COUNTA(FA8:FA11)*CELL("contenu",$B$7),COUNTA(FA13:FA13)*CELL("contenu",$B$12),COUNTA(FA15:FA17)*CELL("contenu",$B$14),COUNTA(FA19:FA19)*CELL("contenu",$B$18))=0,1,SUM(COUNTA(FA5:FA6)*CELL("contenu",$B$4),COUNTA(FA8:FA11)*CELL("contenu",$B$7),COUNTA(FA13:FA13)*CELL("contenu",$B$12),COUNTA(FA15:FA17)*CELL("contenu",$B$14),COUNTA(FA19:FA19)*CELL("contenu",$B$18))))</f>
        <v>15</v>
      </c>
      <c r="FB20" s="169" t="str">
        <f ca="1">IF(COUNTA(FB5:FB19)=0,"",5*SUM(IFERROR((((COUNTIF(FB5:FB6,"A"))*4)+((COUNTIF(FB5:FB6,"B"))*3)+((COUNTIF(FB5:FB6,"C"))*2)+((COUNTIF(FB5:FB6,"D"))*1))*CELL("contenu",$B$4),0),IFERROR((((COUNTIF(FB8:FB11,"A"))*4)+((COUNTIF(FB8:FB11,"B"))*3)+((COUNTIF(FB8:FB11,"C"))*2)+((COUNTIF(FB8:FB11,"D"))*1))*CELL("contenu",$B$7),0),IFERROR((((COUNTIF(FB13:FB13,"A"))*4)+((COUNTIF(FB13:FB13,"B"))*3)+((COUNTIF(FB13:FB13,"C"))*2)+((COUNTIF(FB13:FB13,"D"))*1))*CELL("contenu",$B$12),0),IFERROR((((COUNTIF(FB15:FB17,"A"))*4)+((COUNTIF(FB15:FB17,"B"))*3)+((COUNTIF(FB15:FB17,"C"))*2)+((COUNTIF(FB15:FB17,"D"))*1))*CELL("contenu",$B$14),0),IFERROR((((COUNTIF(FB19:FB19,"A"))*4)+((COUNTIF(FB19:FB19,"B"))*3)+((COUNTIF(FB19:FB19,"C"))*2)+((COUNTIF(FB19:FB19,"D"))*1))*CELL("contenu",$B$18),0))/IF(SUM(COUNTA(FB5:FB6)*CELL("contenu",$B$4),COUNTA(FB8:FB11)*CELL("contenu",$B$7),COUNTA(FB13:FB13)*CELL("contenu",$B$12),COUNTA(FB15:FB17)*CELL("contenu",$B$14),COUNTA(FB19:FB19)*CELL("contenu",$B$18))=0,1,SUM(COUNTA(FB5:FB6)*CELL("contenu",$B$4),COUNTA(FB8:FB11)*CELL("contenu",$B$7),COUNTA(FB13:FB13)*CELL("contenu",$B$12),COUNTA(FB15:FB17)*CELL("contenu",$B$14),COUNTA(FB19:FB19)*CELL("contenu",$B$18))))</f>
        <v/>
      </c>
      <c r="FC20" s="116"/>
      <c r="FD20" s="192">
        <f ca="1">IF(COUNTA(EZ20:FB20)-COUNTBLANK(EZ20:FB20)=0,"",SUM(EZ20:FB20)/(COUNTA(EZ20:FB20)-COUNTBLANK(EZ20:FB20)))</f>
        <v>16.666666666666664</v>
      </c>
      <c r="FE20" s="182" t="str">
        <f ca="1">IF(COUNTA(FE5:FE19)=0,"",5*SUM(IFERROR((((COUNTIF(FE5:FE6,"A"))*4)+((COUNTIF(FE5:FE6,"B"))*3)+((COUNTIF(FE5:FE6,"C"))*2)+((COUNTIF(FE5:FE6,"D"))*1))*CELL("contenu",$B$4),0),IFERROR((((COUNTIF(FE8:FE11,"A"))*4)+((COUNTIF(FE8:FE11,"B"))*3)+((COUNTIF(FE8:FE11,"C"))*2)+((COUNTIF(FE8:FE11,"D"))*1))*CELL("contenu",$B$7),0),IFERROR((((COUNTIF(FE13:FE13,"A"))*4)+((COUNTIF(FE13:FE13,"B"))*3)+((COUNTIF(FE13:FE13,"C"))*2)+((COUNTIF(FE13:FE13,"D"))*1))*CELL("contenu",$B$12),0),IFERROR((((COUNTIF(FE15:FE17,"A"))*4)+((COUNTIF(FE15:FE17,"B"))*3)+((COUNTIF(FE15:FE17,"C"))*2)+((COUNTIF(FE15:FE17,"D"))*1))*CELL("contenu",$B$14),0),IFERROR((((COUNTIF(FE19:FE19,"A"))*4)+((COUNTIF(FE19:FE19,"B"))*3)+((COUNTIF(FE19:FE19,"C"))*2)+((COUNTIF(FE19:FE19,"D"))*1))*CELL("contenu",$B$18),0))/IF(SUM(COUNTA(FE5:FE6)*CELL("contenu",$B$4),COUNTA(FE8:FE11)*CELL("contenu",$B$7),COUNTA(FE13:FE13)*CELL("contenu",$B$12),COUNTA(FE15:FE17)*CELL("contenu",$B$14),COUNTA(FE19:FE19)*CELL("contenu",$B$18))=0,1,SUM(COUNTA(FE5:FE6)*CELL("contenu",$B$4),COUNTA(FE8:FE11)*CELL("contenu",$B$7),COUNTA(FE13:FE13)*CELL("contenu",$B$12),COUNTA(FE15:FE17)*CELL("contenu",$B$14),COUNTA(FE19:FE19)*CELL("contenu",$B$18))))</f>
        <v/>
      </c>
      <c r="FF20" s="183" t="str">
        <f ca="1">IF(COUNTA(FF5:FF19)=0,"",5*SUM(IFERROR((((COUNTIF(FF5:FF6,"A"))*4)+((COUNTIF(FF5:FF6,"B"))*3)+((COUNTIF(FF5:FF6,"C"))*2)+((COUNTIF(FF5:FF6,"D"))*1))*CELL("contenu",$B$4),0),IFERROR((((COUNTIF(FF8:FF11,"A"))*4)+((COUNTIF(FF8:FF11,"B"))*3)+((COUNTIF(FF8:FF11,"C"))*2)+((COUNTIF(FF8:FF11,"D"))*1))*CELL("contenu",$B$7),0),IFERROR((((COUNTIF(FF13:FF13,"A"))*4)+((COUNTIF(FF13:FF13,"B"))*3)+((COUNTIF(FF13:FF13,"C"))*2)+((COUNTIF(FF13:FF13,"D"))*1))*CELL("contenu",$B$12),0),IFERROR((((COUNTIF(FF15:FF17,"A"))*4)+((COUNTIF(FF15:FF17,"B"))*3)+((COUNTIF(FF15:FF17,"C"))*2)+((COUNTIF(FF15:FF17,"D"))*1))*CELL("contenu",$B$14),0),IFERROR((((COUNTIF(FF19:FF19,"A"))*4)+((COUNTIF(FF19:FF19,"B"))*3)+((COUNTIF(FF19:FF19,"C"))*2)+((COUNTIF(FF19:FF19,"D"))*1))*CELL("contenu",$B$18),0))/IF(SUM(COUNTA(FF5:FF6)*CELL("contenu",$B$4),COUNTA(FF8:FF11)*CELL("contenu",$B$7),COUNTA(FF13:FF13)*CELL("contenu",$B$12),COUNTA(FF15:FF17)*CELL("contenu",$B$14),COUNTA(FF19:FF19)*CELL("contenu",$B$18))=0,1,SUM(COUNTA(FF5:FF6)*CELL("contenu",$B$4),COUNTA(FF8:FF11)*CELL("contenu",$B$7),COUNTA(FF13:FF13)*CELL("contenu",$B$12),COUNTA(FF15:FF17)*CELL("contenu",$B$14),COUNTA(FF19:FF19)*CELL("contenu",$B$18))))</f>
        <v/>
      </c>
      <c r="FG20" s="184" t="str">
        <f ca="1">IF(COUNTA(FG5:FG19)=0,"",5*SUM(IFERROR((((COUNTIF(FG5:FG6,"A"))*4)+((COUNTIF(FG5:FG6,"B"))*3)+((COUNTIF(FG5:FG6,"C"))*2)+((COUNTIF(FG5:FG6,"D"))*1))*CELL("contenu",$B$4),0),IFERROR((((COUNTIF(FG8:FG11,"A"))*4)+((COUNTIF(FG8:FG11,"B"))*3)+((COUNTIF(FG8:FG11,"C"))*2)+((COUNTIF(FG8:FG11,"D"))*1))*CELL("contenu",$B$7),0),IFERROR((((COUNTIF(FG13:FG13,"A"))*4)+((COUNTIF(FG13:FG13,"B"))*3)+((COUNTIF(FG13:FG13,"C"))*2)+((COUNTIF(FG13:FG13,"D"))*1))*CELL("contenu",$B$12),0),IFERROR((((COUNTIF(FG15:FG17,"A"))*4)+((COUNTIF(FG15:FG17,"B"))*3)+((COUNTIF(FG15:FG17,"C"))*2)+((COUNTIF(FG15:FG17,"D"))*1))*CELL("contenu",$B$14),0),IFERROR((((COUNTIF(FG19:FG19,"A"))*4)+((COUNTIF(FG19:FG19,"B"))*3)+((COUNTIF(FG19:FG19,"C"))*2)+((COUNTIF(FG19:FG19,"D"))*1))*CELL("contenu",$B$18),0))/IF(SUM(COUNTA(FG5:FG6)*CELL("contenu",$B$4),COUNTA(FG8:FG11)*CELL("contenu",$B$7),COUNTA(FG13:FG13)*CELL("contenu",$B$12),COUNTA(FG15:FG17)*CELL("contenu",$B$14),COUNTA(FG19:FG19)*CELL("contenu",$B$18))=0,1,SUM(COUNTA(FG5:FG6)*CELL("contenu",$B$4),COUNTA(FG8:FG11)*CELL("contenu",$B$7),COUNTA(FG13:FG13)*CELL("contenu",$B$12),COUNTA(FG15:FG17)*CELL("contenu",$B$14),COUNTA(FG19:FG19)*CELL("contenu",$B$18))))</f>
        <v/>
      </c>
      <c r="FH20" s="176"/>
      <c r="FI20" s="175" t="str">
        <f ca="1">IF(COUNTA(FE20:FG20)-COUNTBLANK(FE20:FG20)=0,"",SUM(FE20:FG20)/(COUNTA(FE20:FG20)-COUNTBLANK(FE20:FG20)))</f>
        <v/>
      </c>
      <c r="FJ20" s="182" t="str">
        <f ca="1">IF(COUNTA(FJ5:FJ19)=0,"",5*SUM(IFERROR((((COUNTIF(FJ5:FJ6,"A"))*4)+((COUNTIF(FJ5:FJ6,"B"))*3)+((COUNTIF(FJ5:FJ6,"C"))*2)+((COUNTIF(FJ5:FJ6,"D"))*1))*CELL("contenu",$B$4),0),IFERROR((((COUNTIF(FJ8:FJ11,"A"))*4)+((COUNTIF(FJ8:FJ11,"B"))*3)+((COUNTIF(FJ8:FJ11,"C"))*2)+((COUNTIF(FJ8:FJ11,"D"))*1))*CELL("contenu",$B$7),0),IFERROR((((COUNTIF(FJ13:FJ13,"A"))*4)+((COUNTIF(FJ13:FJ13,"B"))*3)+((COUNTIF(FJ13:FJ13,"C"))*2)+((COUNTIF(FJ13:FJ13,"D"))*1))*CELL("contenu",$B$12),0),IFERROR((((COUNTIF(FJ15:FJ17,"A"))*4)+((COUNTIF(FJ15:FJ17,"B"))*3)+((COUNTIF(FJ15:FJ17,"C"))*2)+((COUNTIF(FJ15:FJ17,"D"))*1))*CELL("contenu",$B$14),0),IFERROR((((COUNTIF(FJ19:FJ19,"A"))*4)+((COUNTIF(FJ19:FJ19,"B"))*3)+((COUNTIF(FJ19:FJ19,"C"))*2)+((COUNTIF(FJ19:FJ19,"D"))*1))*CELL("contenu",$B$18),0))/IF(SUM(COUNTA(FJ5:FJ6)*CELL("contenu",$B$4),COUNTA(FJ8:FJ11)*CELL("contenu",$B$7),COUNTA(FJ13:FJ13)*CELL("contenu",$B$12),COUNTA(FJ15:FJ17)*CELL("contenu",$B$14),COUNTA(FJ19:FJ19)*CELL("contenu",$B$18))=0,1,SUM(COUNTA(FJ5:FJ6)*CELL("contenu",$B$4),COUNTA(FJ8:FJ11)*CELL("contenu",$B$7),COUNTA(FJ13:FJ13)*CELL("contenu",$B$12),COUNTA(FJ15:FJ17)*CELL("contenu",$B$14),COUNTA(FJ19:FJ19)*CELL("contenu",$B$18))))</f>
        <v/>
      </c>
      <c r="FK20" s="183" t="str">
        <f ca="1">IF(COUNTA(FK5:FK19)=0,"",5*SUM(IFERROR((((COUNTIF(FK5:FK6,"A"))*4)+((COUNTIF(FK5:FK6,"B"))*3)+((COUNTIF(FK5:FK6,"C"))*2)+((COUNTIF(FK5:FK6,"D"))*1))*CELL("contenu",$B$4),0),IFERROR((((COUNTIF(FK8:FK11,"A"))*4)+((COUNTIF(FK8:FK11,"B"))*3)+((COUNTIF(FK8:FK11,"C"))*2)+((COUNTIF(FK8:FK11,"D"))*1))*CELL("contenu",$B$7),0),IFERROR((((COUNTIF(FK13:FK13,"A"))*4)+((COUNTIF(FK13:FK13,"B"))*3)+((COUNTIF(FK13:FK13,"C"))*2)+((COUNTIF(FK13:FK13,"D"))*1))*CELL("contenu",$B$12),0),IFERROR((((COUNTIF(FK15:FK17,"A"))*4)+((COUNTIF(FK15:FK17,"B"))*3)+((COUNTIF(FK15:FK17,"C"))*2)+((COUNTIF(FK15:FK17,"D"))*1))*CELL("contenu",$B$14),0),IFERROR((((COUNTIF(FK19:FK19,"A"))*4)+((COUNTIF(FK19:FK19,"B"))*3)+((COUNTIF(FK19:FK19,"C"))*2)+((COUNTIF(FK19:FK19,"D"))*1))*CELL("contenu",$B$18),0))/IF(SUM(COUNTA(FK5:FK6)*CELL("contenu",$B$4),COUNTA(FK8:FK11)*CELL("contenu",$B$7),COUNTA(FK13:FK13)*CELL("contenu",$B$12),COUNTA(FK15:FK17)*CELL("contenu",$B$14),COUNTA(FK19:FK19)*CELL("contenu",$B$18))=0,1,SUM(COUNTA(FK5:FK6)*CELL("contenu",$B$4),COUNTA(FK8:FK11)*CELL("contenu",$B$7),COUNTA(FK13:FK13)*CELL("contenu",$B$12),COUNTA(FK15:FK17)*CELL("contenu",$B$14),COUNTA(FK19:FK19)*CELL("contenu",$B$18))))</f>
        <v/>
      </c>
      <c r="FL20" s="184" t="str">
        <f ca="1">IF(COUNTA(FL5:FL19)=0,"",5*SUM(IFERROR((((COUNTIF(FL5:FL6,"A"))*4)+((COUNTIF(FL5:FL6,"B"))*3)+((COUNTIF(FL5:FL6,"C"))*2)+((COUNTIF(FL5:FL6,"D"))*1))*CELL("contenu",$B$4),0),IFERROR((((COUNTIF(FL8:FL11,"A"))*4)+((COUNTIF(FL8:FL11,"B"))*3)+((COUNTIF(FL8:FL11,"C"))*2)+((COUNTIF(FL8:FL11,"D"))*1))*CELL("contenu",$B$7),0),IFERROR((((COUNTIF(FL13:FL13,"A"))*4)+((COUNTIF(FL13:FL13,"B"))*3)+((COUNTIF(FL13:FL13,"C"))*2)+((COUNTIF(FL13:FL13,"D"))*1))*CELL("contenu",$B$12),0),IFERROR((((COUNTIF(FL15:FL17,"A"))*4)+((COUNTIF(FL15:FL17,"B"))*3)+((COUNTIF(FL15:FL17,"C"))*2)+((COUNTIF(FL15:FL17,"D"))*1))*CELL("contenu",$B$14),0),IFERROR((((COUNTIF(FL19:FL19,"A"))*4)+((COUNTIF(FL19:FL19,"B"))*3)+((COUNTIF(FL19:FL19,"C"))*2)+((COUNTIF(FL19:FL19,"D"))*1))*CELL("contenu",$B$18),0))/IF(SUM(COUNTA(FL5:FL6)*CELL("contenu",$B$4),COUNTA(FL8:FL11)*CELL("contenu",$B$7),COUNTA(FL13:FL13)*CELL("contenu",$B$12),COUNTA(FL15:FL17)*CELL("contenu",$B$14),COUNTA(FL19:FL19)*CELL("contenu",$B$18))=0,1,SUM(COUNTA(FL5:FL6)*CELL("contenu",$B$4),COUNTA(FL8:FL11)*CELL("contenu",$B$7),COUNTA(FL13:FL13)*CELL("contenu",$B$12),COUNTA(FL15:FL17)*CELL("contenu",$B$14),COUNTA(FL19:FL19)*CELL("contenu",$B$18))))</f>
        <v/>
      </c>
      <c r="FM20" s="176"/>
      <c r="FN20" s="174" t="str">
        <f ca="1">IF(COUNTA(FJ20:FL20)-COUNTBLANK(FJ20:FL20)=0,"",SUM(FJ20:FL20)/(COUNTA(FJ20:FL20)-COUNTBLANK(FJ20:FL20)))</f>
        <v/>
      </c>
      <c r="FO20" s="103"/>
      <c r="FP20" s="141"/>
      <c r="FQ20" s="167">
        <f ca="1">IF(COUNTA(FQ5:FQ19)=0,"",5*SUM(IFERROR((((COUNTIF(FQ5:FQ6,"A"))*4)+((COUNTIF(FQ5:FQ6,"B"))*3)+((COUNTIF(FQ5:FQ6,"C"))*2)+((COUNTIF(FQ5:FQ6,"D"))*1))*CELL("contenu",$B$4),0),IFERROR((((COUNTIF(FQ8:FQ11,"A"))*4)+((COUNTIF(FQ8:FQ11,"B"))*3)+((COUNTIF(FQ8:FQ11,"C"))*2)+((COUNTIF(FQ8:FQ11,"D"))*1))*CELL("contenu",$B$7),0),IFERROR((((COUNTIF(FQ13:FQ13,"A"))*4)+((COUNTIF(FQ13:FQ13,"B"))*3)+((COUNTIF(FQ13:FQ13,"C"))*2)+((COUNTIF(FQ13:FQ13,"D"))*1))*CELL("contenu",$B$12),0),IFERROR((((COUNTIF(FQ15:FQ17,"A"))*4)+((COUNTIF(FQ15:FQ17,"B"))*3)+((COUNTIF(FQ15:FQ17,"C"))*2)+((COUNTIF(FQ15:FQ17,"D"))*1))*CELL("contenu",$B$14),0),IFERROR((((COUNTIF(FQ19:FQ19,"A"))*4)+((COUNTIF(FQ19:FQ19,"B"))*3)+((COUNTIF(FQ19:FQ19,"C"))*2)+((COUNTIF(FQ19:FQ19,"D"))*1))*CELL("contenu",$B$18),0))/IF(SUM(COUNTA(FQ5:FQ6)*CELL("contenu",$B$4),COUNTA(FQ8:FQ11)*CELL("contenu",$B$7),COUNTA(FQ13:FQ13)*CELL("contenu",$B$12),COUNTA(FQ15:FQ17)*CELL("contenu",$B$14),COUNTA(FQ19:FQ19)*CELL("contenu",$B$18))=0,1,SUM(COUNTA(FQ5:FQ6)*CELL("contenu",$B$4),COUNTA(FQ8:FQ11)*CELL("contenu",$B$7),COUNTA(FQ13:FQ13)*CELL("contenu",$B$12),COUNTA(FQ15:FQ17)*CELL("contenu",$B$14),COUNTA(FQ19:FQ19)*CELL("contenu",$B$18))))</f>
        <v>20</v>
      </c>
      <c r="FR20" s="168">
        <f ca="1">IF(COUNTA(FR5:FR19)=0,"",5*SUM(IFERROR((((COUNTIF(FR5:FR6,"A"))*4)+((COUNTIF(FR5:FR6,"B"))*3)+((COUNTIF(FR5:FR6,"C"))*2)+((COUNTIF(FR5:FR6,"D"))*1))*CELL("contenu",$B$4),0),IFERROR((((COUNTIF(FR8:FR11,"A"))*4)+((COUNTIF(FR8:FR11,"B"))*3)+((COUNTIF(FR8:FR11,"C"))*2)+((COUNTIF(FR8:FR11,"D"))*1))*CELL("contenu",$B$7),0),IFERROR((((COUNTIF(FR13:FR13,"A"))*4)+((COUNTIF(FR13:FR13,"B"))*3)+((COUNTIF(FR13:FR13,"C"))*2)+((COUNTIF(FR13:FR13,"D"))*1))*CELL("contenu",$B$12),0),IFERROR((((COUNTIF(FR15:FR17,"A"))*4)+((COUNTIF(FR15:FR17,"B"))*3)+((COUNTIF(FR15:FR17,"C"))*2)+((COUNTIF(FR15:FR17,"D"))*1))*CELL("contenu",$B$14),0),IFERROR((((COUNTIF(FR19:FR19,"A"))*4)+((COUNTIF(FR19:FR19,"B"))*3)+((COUNTIF(FR19:FR19,"C"))*2)+((COUNTIF(FR19:FR19,"D"))*1))*CELL("contenu",$B$18),0))/IF(SUM(COUNTA(FR5:FR6)*CELL("contenu",$B$4),COUNTA(FR8:FR11)*CELL("contenu",$B$7),COUNTA(FR13:FR13)*CELL("contenu",$B$12),COUNTA(FR15:FR17)*CELL("contenu",$B$14),COUNTA(FR19:FR19)*CELL("contenu",$B$18))=0,1,SUM(COUNTA(FR5:FR6)*CELL("contenu",$B$4),COUNTA(FR8:FR11)*CELL("contenu",$B$7),COUNTA(FR13:FR13)*CELL("contenu",$B$12),COUNTA(FR15:FR17)*CELL("contenu",$B$14),COUNTA(FR19:FR19)*CELL("contenu",$B$18))))</f>
        <v>15</v>
      </c>
      <c r="FS20" s="169" t="str">
        <f ca="1">IF(COUNTA(FS5:FS19)=0,"",5*SUM(IFERROR((((COUNTIF(FS5:FS6,"A"))*4)+((COUNTIF(FS5:FS6,"B"))*3)+((COUNTIF(FS5:FS6,"C"))*2)+((COUNTIF(FS5:FS6,"D"))*1))*CELL("contenu",$B$4),0),IFERROR((((COUNTIF(FS8:FS11,"A"))*4)+((COUNTIF(FS8:FS11,"B"))*3)+((COUNTIF(FS8:FS11,"C"))*2)+((COUNTIF(FS8:FS11,"D"))*1))*CELL("contenu",$B$7),0),IFERROR((((COUNTIF(FS13:FS13,"A"))*4)+((COUNTIF(FS13:FS13,"B"))*3)+((COUNTIF(FS13:FS13,"C"))*2)+((COUNTIF(FS13:FS13,"D"))*1))*CELL("contenu",$B$12),0),IFERROR((((COUNTIF(FS15:FS17,"A"))*4)+((COUNTIF(FS15:FS17,"B"))*3)+((COUNTIF(FS15:FS17,"C"))*2)+((COUNTIF(FS15:FS17,"D"))*1))*CELL("contenu",$B$14),0),IFERROR((((COUNTIF(FS19:FS19,"A"))*4)+((COUNTIF(FS19:FS19,"B"))*3)+((COUNTIF(FS19:FS19,"C"))*2)+((COUNTIF(FS19:FS19,"D"))*1))*CELL("contenu",$B$18),0))/IF(SUM(COUNTA(FS5:FS6)*CELL("contenu",$B$4),COUNTA(FS8:FS11)*CELL("contenu",$B$7),COUNTA(FS13:FS13)*CELL("contenu",$B$12),COUNTA(FS15:FS17)*CELL("contenu",$B$14),COUNTA(FS19:FS19)*CELL("contenu",$B$18))=0,1,SUM(COUNTA(FS5:FS6)*CELL("contenu",$B$4),COUNTA(FS8:FS11)*CELL("contenu",$B$7),COUNTA(FS13:FS13)*CELL("contenu",$B$12),COUNTA(FS15:FS17)*CELL("contenu",$B$14),COUNTA(FS19:FS19)*CELL("contenu",$B$18))))</f>
        <v/>
      </c>
      <c r="FT20" s="116"/>
      <c r="FU20" s="192">
        <f ca="1">IF(COUNTA(FQ20:FS20)-COUNTBLANK(FQ20:FS20)=0,"",SUM(FQ20:FS20)/(COUNTA(FQ20:FS20)-COUNTBLANK(FQ20:FS20)))</f>
        <v>17.5</v>
      </c>
      <c r="FV20" s="182" t="str">
        <f ca="1">IF(COUNTA(FV5:FV19)=0,"",5*SUM(IFERROR((((COUNTIF(FV5:FV6,"A"))*4)+((COUNTIF(FV5:FV6,"B"))*3)+((COUNTIF(FV5:FV6,"C"))*2)+((COUNTIF(FV5:FV6,"D"))*1))*CELL("contenu",$B$4),0),IFERROR((((COUNTIF(FV8:FV11,"A"))*4)+((COUNTIF(FV8:FV11,"B"))*3)+((COUNTIF(FV8:FV11,"C"))*2)+((COUNTIF(FV8:FV11,"D"))*1))*CELL("contenu",$B$7),0),IFERROR((((COUNTIF(FV13:FV13,"A"))*4)+((COUNTIF(FV13:FV13,"B"))*3)+((COUNTIF(FV13:FV13,"C"))*2)+((COUNTIF(FV13:FV13,"D"))*1))*CELL("contenu",$B$12),0),IFERROR((((COUNTIF(FV15:FV17,"A"))*4)+((COUNTIF(FV15:FV17,"B"))*3)+((COUNTIF(FV15:FV17,"C"))*2)+((COUNTIF(FV15:FV17,"D"))*1))*CELL("contenu",$B$14),0),IFERROR((((COUNTIF(FV19:FV19,"A"))*4)+((COUNTIF(FV19:FV19,"B"))*3)+((COUNTIF(FV19:FV19,"C"))*2)+((COUNTIF(FV19:FV19,"D"))*1))*CELL("contenu",$B$18),0))/IF(SUM(COUNTA(FV5:FV6)*CELL("contenu",$B$4),COUNTA(FV8:FV11)*CELL("contenu",$B$7),COUNTA(FV13:FV13)*CELL("contenu",$B$12),COUNTA(FV15:FV17)*CELL("contenu",$B$14),COUNTA(FV19:FV19)*CELL("contenu",$B$18))=0,1,SUM(COUNTA(FV5:FV6)*CELL("contenu",$B$4),COUNTA(FV8:FV11)*CELL("contenu",$B$7),COUNTA(FV13:FV13)*CELL("contenu",$B$12),COUNTA(FV15:FV17)*CELL("contenu",$B$14),COUNTA(FV19:FV19)*CELL("contenu",$B$18))))</f>
        <v/>
      </c>
      <c r="FW20" s="183" t="str">
        <f ca="1">IF(COUNTA(FW5:FW19)=0,"",5*SUM(IFERROR((((COUNTIF(FW5:FW6,"A"))*4)+((COUNTIF(FW5:FW6,"B"))*3)+((COUNTIF(FW5:FW6,"C"))*2)+((COUNTIF(FW5:FW6,"D"))*1))*CELL("contenu",$B$4),0),IFERROR((((COUNTIF(FW8:FW11,"A"))*4)+((COUNTIF(FW8:FW11,"B"))*3)+((COUNTIF(FW8:FW11,"C"))*2)+((COUNTIF(FW8:FW11,"D"))*1))*CELL("contenu",$B$7),0),IFERROR((((COUNTIF(FW13:FW13,"A"))*4)+((COUNTIF(FW13:FW13,"B"))*3)+((COUNTIF(FW13:FW13,"C"))*2)+((COUNTIF(FW13:FW13,"D"))*1))*CELL("contenu",$B$12),0),IFERROR((((COUNTIF(FW15:FW17,"A"))*4)+((COUNTIF(FW15:FW17,"B"))*3)+((COUNTIF(FW15:FW17,"C"))*2)+((COUNTIF(FW15:FW17,"D"))*1))*CELL("contenu",$B$14),0),IFERROR((((COUNTIF(FW19:FW19,"A"))*4)+((COUNTIF(FW19:FW19,"B"))*3)+((COUNTIF(FW19:FW19,"C"))*2)+((COUNTIF(FW19:FW19,"D"))*1))*CELL("contenu",$B$18),0))/IF(SUM(COUNTA(FW5:FW6)*CELL("contenu",$B$4),COUNTA(FW8:FW11)*CELL("contenu",$B$7),COUNTA(FW13:FW13)*CELL("contenu",$B$12),COUNTA(FW15:FW17)*CELL("contenu",$B$14),COUNTA(FW19:FW19)*CELL("contenu",$B$18))=0,1,SUM(COUNTA(FW5:FW6)*CELL("contenu",$B$4),COUNTA(FW8:FW11)*CELL("contenu",$B$7),COUNTA(FW13:FW13)*CELL("contenu",$B$12),COUNTA(FW15:FW17)*CELL("contenu",$B$14),COUNTA(FW19:FW19)*CELL("contenu",$B$18))))</f>
        <v/>
      </c>
      <c r="FX20" s="184" t="str">
        <f ca="1">IF(COUNTA(FX5:FX19)=0,"",5*SUM(IFERROR((((COUNTIF(FX5:FX6,"A"))*4)+((COUNTIF(FX5:FX6,"B"))*3)+((COUNTIF(FX5:FX6,"C"))*2)+((COUNTIF(FX5:FX6,"D"))*1))*CELL("contenu",$B$4),0),IFERROR((((COUNTIF(FX8:FX11,"A"))*4)+((COUNTIF(FX8:FX11,"B"))*3)+((COUNTIF(FX8:FX11,"C"))*2)+((COUNTIF(FX8:FX11,"D"))*1))*CELL("contenu",$B$7),0),IFERROR((((COUNTIF(FX13:FX13,"A"))*4)+((COUNTIF(FX13:FX13,"B"))*3)+((COUNTIF(FX13:FX13,"C"))*2)+((COUNTIF(FX13:FX13,"D"))*1))*CELL("contenu",$B$12),0),IFERROR((((COUNTIF(FX15:FX17,"A"))*4)+((COUNTIF(FX15:FX17,"B"))*3)+((COUNTIF(FX15:FX17,"C"))*2)+((COUNTIF(FX15:FX17,"D"))*1))*CELL("contenu",$B$14),0),IFERROR((((COUNTIF(FX19:FX19,"A"))*4)+((COUNTIF(FX19:FX19,"B"))*3)+((COUNTIF(FX19:FX19,"C"))*2)+((COUNTIF(FX19:FX19,"D"))*1))*CELL("contenu",$B$18),0))/IF(SUM(COUNTA(FX5:FX6)*CELL("contenu",$B$4),COUNTA(FX8:FX11)*CELL("contenu",$B$7),COUNTA(FX13:FX13)*CELL("contenu",$B$12),COUNTA(FX15:FX17)*CELL("contenu",$B$14),COUNTA(FX19:FX19)*CELL("contenu",$B$18))=0,1,SUM(COUNTA(FX5:FX6)*CELL("contenu",$B$4),COUNTA(FX8:FX11)*CELL("contenu",$B$7),COUNTA(FX13:FX13)*CELL("contenu",$B$12),COUNTA(FX15:FX17)*CELL("contenu",$B$14),COUNTA(FX19:FX19)*CELL("contenu",$B$18))))</f>
        <v/>
      </c>
      <c r="FY20" s="176"/>
      <c r="FZ20" s="175" t="str">
        <f ca="1">IF(COUNTA(FV20:FX20)-COUNTBLANK(FV20:FX20)=0,"",SUM(FV20:FX20)/(COUNTA(FV20:FX20)-COUNTBLANK(FV20:FX20)))</f>
        <v/>
      </c>
      <c r="GA20" s="182" t="str">
        <f ca="1">IF(COUNTA(GA5:GA19)=0,"",5*SUM(IFERROR((((COUNTIF(GA5:GA6,"A"))*4)+((COUNTIF(GA5:GA6,"B"))*3)+((COUNTIF(GA5:GA6,"C"))*2)+((COUNTIF(GA5:GA6,"D"))*1))*CELL("contenu",$B$4),0),IFERROR((((COUNTIF(GA8:GA11,"A"))*4)+((COUNTIF(GA8:GA11,"B"))*3)+((COUNTIF(GA8:GA11,"C"))*2)+((COUNTIF(GA8:GA11,"D"))*1))*CELL("contenu",$B$7),0),IFERROR((((COUNTIF(GA13:GA13,"A"))*4)+((COUNTIF(GA13:GA13,"B"))*3)+((COUNTIF(GA13:GA13,"C"))*2)+((COUNTIF(GA13:GA13,"D"))*1))*CELL("contenu",$B$12),0),IFERROR((((COUNTIF(GA15:GA17,"A"))*4)+((COUNTIF(GA15:GA17,"B"))*3)+((COUNTIF(GA15:GA17,"C"))*2)+((COUNTIF(GA15:GA17,"D"))*1))*CELL("contenu",$B$14),0),IFERROR((((COUNTIF(GA19:GA19,"A"))*4)+((COUNTIF(GA19:GA19,"B"))*3)+((COUNTIF(GA19:GA19,"C"))*2)+((COUNTIF(GA19:GA19,"D"))*1))*CELL("contenu",$B$18),0))/IF(SUM(COUNTA(GA5:GA6)*CELL("contenu",$B$4),COUNTA(GA8:GA11)*CELL("contenu",$B$7),COUNTA(GA13:GA13)*CELL("contenu",$B$12),COUNTA(GA15:GA17)*CELL("contenu",$B$14),COUNTA(GA19:GA19)*CELL("contenu",$B$18))=0,1,SUM(COUNTA(GA5:GA6)*CELL("contenu",$B$4),COUNTA(GA8:GA11)*CELL("contenu",$B$7),COUNTA(GA13:GA13)*CELL("contenu",$B$12),COUNTA(GA15:GA17)*CELL("contenu",$B$14),COUNTA(GA19:GA19)*CELL("contenu",$B$18))))</f>
        <v/>
      </c>
      <c r="GB20" s="183" t="str">
        <f ca="1">IF(COUNTA(GB5:GB19)=0,"",5*SUM(IFERROR((((COUNTIF(GB5:GB6,"A"))*4)+((COUNTIF(GB5:GB6,"B"))*3)+((COUNTIF(GB5:GB6,"C"))*2)+((COUNTIF(GB5:GB6,"D"))*1))*CELL("contenu",$B$4),0),IFERROR((((COUNTIF(GB8:GB11,"A"))*4)+((COUNTIF(GB8:GB11,"B"))*3)+((COUNTIF(GB8:GB11,"C"))*2)+((COUNTIF(GB8:GB11,"D"))*1))*CELL("contenu",$B$7),0),IFERROR((((COUNTIF(GB13:GB13,"A"))*4)+((COUNTIF(GB13:GB13,"B"))*3)+((COUNTIF(GB13:GB13,"C"))*2)+((COUNTIF(GB13:GB13,"D"))*1))*CELL("contenu",$B$12),0),IFERROR((((COUNTIF(GB15:GB17,"A"))*4)+((COUNTIF(GB15:GB17,"B"))*3)+((COUNTIF(GB15:GB17,"C"))*2)+((COUNTIF(GB15:GB17,"D"))*1))*CELL("contenu",$B$14),0),IFERROR((((COUNTIF(GB19:GB19,"A"))*4)+((COUNTIF(GB19:GB19,"B"))*3)+((COUNTIF(GB19:GB19,"C"))*2)+((COUNTIF(GB19:GB19,"D"))*1))*CELL("contenu",$B$18),0))/IF(SUM(COUNTA(GB5:GB6)*CELL("contenu",$B$4),COUNTA(GB8:GB11)*CELL("contenu",$B$7),COUNTA(GB13:GB13)*CELL("contenu",$B$12),COUNTA(GB15:GB17)*CELL("contenu",$B$14),COUNTA(GB19:GB19)*CELL("contenu",$B$18))=0,1,SUM(COUNTA(GB5:GB6)*CELL("contenu",$B$4),COUNTA(GB8:GB11)*CELL("contenu",$B$7),COUNTA(GB13:GB13)*CELL("contenu",$B$12),COUNTA(GB15:GB17)*CELL("contenu",$B$14),COUNTA(GB19:GB19)*CELL("contenu",$B$18))))</f>
        <v/>
      </c>
      <c r="GC20" s="184" t="str">
        <f ca="1">IF(COUNTA(GC5:GC19)=0,"",5*SUM(IFERROR((((COUNTIF(GC5:GC6,"A"))*4)+((COUNTIF(GC5:GC6,"B"))*3)+((COUNTIF(GC5:GC6,"C"))*2)+((COUNTIF(GC5:GC6,"D"))*1))*CELL("contenu",$B$4),0),IFERROR((((COUNTIF(GC8:GC11,"A"))*4)+((COUNTIF(GC8:GC11,"B"))*3)+((COUNTIF(GC8:GC11,"C"))*2)+((COUNTIF(GC8:GC11,"D"))*1))*CELL("contenu",$B$7),0),IFERROR((((COUNTIF(GC13:GC13,"A"))*4)+((COUNTIF(GC13:GC13,"B"))*3)+((COUNTIF(GC13:GC13,"C"))*2)+((COUNTIF(GC13:GC13,"D"))*1))*CELL("contenu",$B$12),0),IFERROR((((COUNTIF(GC15:GC17,"A"))*4)+((COUNTIF(GC15:GC17,"B"))*3)+((COUNTIF(GC15:GC17,"C"))*2)+((COUNTIF(GC15:GC17,"D"))*1))*CELL("contenu",$B$14),0),IFERROR((((COUNTIF(GC19:GC19,"A"))*4)+((COUNTIF(GC19:GC19,"B"))*3)+((COUNTIF(GC19:GC19,"C"))*2)+((COUNTIF(GC19:GC19,"D"))*1))*CELL("contenu",$B$18),0))/IF(SUM(COUNTA(GC5:GC6)*CELL("contenu",$B$4),COUNTA(GC8:GC11)*CELL("contenu",$B$7),COUNTA(GC13:GC13)*CELL("contenu",$B$12),COUNTA(GC15:GC17)*CELL("contenu",$B$14),COUNTA(GC19:GC19)*CELL("contenu",$B$18))=0,1,SUM(COUNTA(GC5:GC6)*CELL("contenu",$B$4),COUNTA(GC8:GC11)*CELL("contenu",$B$7),COUNTA(GC13:GC13)*CELL("contenu",$B$12),COUNTA(GC15:GC17)*CELL("contenu",$B$14),COUNTA(GC19:GC19)*CELL("contenu",$B$18))))</f>
        <v/>
      </c>
      <c r="GD20" s="176"/>
      <c r="GE20" s="174" t="str">
        <f ca="1">IF(COUNTA(GA20:GC20)-COUNTBLANK(GA20:GC20)=0,"",SUM(GA20:GC20)/(COUNTA(GA20:GC20)-COUNTBLANK(GA20:GC20)))</f>
        <v/>
      </c>
      <c r="GF20" s="103"/>
      <c r="GG20" s="141"/>
      <c r="GH20" s="167">
        <f ca="1">IF(COUNTA(GH5:GH19)=0,"",5*SUM(IFERROR((((COUNTIF(GH5:GH6,"A"))*4)+((COUNTIF(GH5:GH6,"B"))*3)+((COUNTIF(GH5:GH6,"C"))*2)+((COUNTIF(GH5:GH6,"D"))*1))*CELL("contenu",$B$4),0),IFERROR((((COUNTIF(GH8:GH11,"A"))*4)+((COUNTIF(GH8:GH11,"B"))*3)+((COUNTIF(GH8:GH11,"C"))*2)+((COUNTIF(GH8:GH11,"D"))*1))*CELL("contenu",$B$7),0),IFERROR((((COUNTIF(GH13:GH13,"A"))*4)+((COUNTIF(GH13:GH13,"B"))*3)+((COUNTIF(GH13:GH13,"C"))*2)+((COUNTIF(GH13:GH13,"D"))*1))*CELL("contenu",$B$12),0),IFERROR((((COUNTIF(GH15:GH17,"A"))*4)+((COUNTIF(GH15:GH17,"B"))*3)+((COUNTIF(GH15:GH17,"C"))*2)+((COUNTIF(GH15:GH17,"D"))*1))*CELL("contenu",$B$14),0),IFERROR((((COUNTIF(GH19:GH19,"A"))*4)+((COUNTIF(GH19:GH19,"B"))*3)+((COUNTIF(GH19:GH19,"C"))*2)+((COUNTIF(GH19:GH19,"D"))*1))*CELL("contenu",$B$18),0))/IF(SUM(COUNTA(GH5:GH6)*CELL("contenu",$B$4),COUNTA(GH8:GH11)*CELL("contenu",$B$7),COUNTA(GH13:GH13)*CELL("contenu",$B$12),COUNTA(GH15:GH17)*CELL("contenu",$B$14),COUNTA(GH19:GH19)*CELL("contenu",$B$18))=0,1,SUM(COUNTA(GH5:GH6)*CELL("contenu",$B$4),COUNTA(GH8:GH11)*CELL("contenu",$B$7),COUNTA(GH13:GH13)*CELL("contenu",$B$12),COUNTA(GH15:GH17)*CELL("contenu",$B$14),COUNTA(GH19:GH19)*CELL("contenu",$B$18))))</f>
        <v>15</v>
      </c>
      <c r="GI20" s="168">
        <f ca="1">IF(COUNTA(GI5:GI19)=0,"",5*SUM(IFERROR((((COUNTIF(GI5:GI6,"A"))*4)+((COUNTIF(GI5:GI6,"B"))*3)+((COUNTIF(GI5:GI6,"C"))*2)+((COUNTIF(GI5:GI6,"D"))*1))*CELL("contenu",$B$4),0),IFERROR((((COUNTIF(GI8:GI11,"A"))*4)+((COUNTIF(GI8:GI11,"B"))*3)+((COUNTIF(GI8:GI11,"C"))*2)+((COUNTIF(GI8:GI11,"D"))*1))*CELL("contenu",$B$7),0),IFERROR((((COUNTIF(GI13:GI13,"A"))*4)+((COUNTIF(GI13:GI13,"B"))*3)+((COUNTIF(GI13:GI13,"C"))*2)+((COUNTIF(GI13:GI13,"D"))*1))*CELL("contenu",$B$12),0),IFERROR((((COUNTIF(GI15:GI17,"A"))*4)+((COUNTIF(GI15:GI17,"B"))*3)+((COUNTIF(GI15:GI17,"C"))*2)+((COUNTIF(GI15:GI17,"D"))*1))*CELL("contenu",$B$14),0),IFERROR((((COUNTIF(GI19:GI19,"A"))*4)+((COUNTIF(GI19:GI19,"B"))*3)+((COUNTIF(GI19:GI19,"C"))*2)+((COUNTIF(GI19:GI19,"D"))*1))*CELL("contenu",$B$18),0))/IF(SUM(COUNTA(GI5:GI6)*CELL("contenu",$B$4),COUNTA(GI8:GI11)*CELL("contenu",$B$7),COUNTA(GI13:GI13)*CELL("contenu",$B$12),COUNTA(GI15:GI17)*CELL("contenu",$B$14),COUNTA(GI19:GI19)*CELL("contenu",$B$18))=0,1,SUM(COUNTA(GI5:GI6)*CELL("contenu",$B$4),COUNTA(GI8:GI11)*CELL("contenu",$B$7),COUNTA(GI13:GI13)*CELL("contenu",$B$12),COUNTA(GI15:GI17)*CELL("contenu",$B$14),COUNTA(GI19:GI19)*CELL("contenu",$B$18))))</f>
        <v>10</v>
      </c>
      <c r="GJ20" s="169" t="str">
        <f ca="1">IF(COUNTA(GJ5:GJ19)=0,"",5*SUM(IFERROR((((COUNTIF(GJ5:GJ6,"A"))*4)+((COUNTIF(GJ5:GJ6,"B"))*3)+((COUNTIF(GJ5:GJ6,"C"))*2)+((COUNTIF(GJ5:GJ6,"D"))*1))*CELL("contenu",$B$4),0),IFERROR((((COUNTIF(GJ8:GJ11,"A"))*4)+((COUNTIF(GJ8:GJ11,"B"))*3)+((COUNTIF(GJ8:GJ11,"C"))*2)+((COUNTIF(GJ8:GJ11,"D"))*1))*CELL("contenu",$B$7),0),IFERROR((((COUNTIF(GJ13:GJ13,"A"))*4)+((COUNTIF(GJ13:GJ13,"B"))*3)+((COUNTIF(GJ13:GJ13,"C"))*2)+((COUNTIF(GJ13:GJ13,"D"))*1))*CELL("contenu",$B$12),0),IFERROR((((COUNTIF(GJ15:GJ17,"A"))*4)+((COUNTIF(GJ15:GJ17,"B"))*3)+((COUNTIF(GJ15:GJ17,"C"))*2)+((COUNTIF(GJ15:GJ17,"D"))*1))*CELL("contenu",$B$14),0),IFERROR((((COUNTIF(GJ19:GJ19,"A"))*4)+((COUNTIF(GJ19:GJ19,"B"))*3)+((COUNTIF(GJ19:GJ19,"C"))*2)+((COUNTIF(GJ19:GJ19,"D"))*1))*CELL("contenu",$B$18),0))/IF(SUM(COUNTA(GJ5:GJ6)*CELL("contenu",$B$4),COUNTA(GJ8:GJ11)*CELL("contenu",$B$7),COUNTA(GJ13:GJ13)*CELL("contenu",$B$12),COUNTA(GJ15:GJ17)*CELL("contenu",$B$14),COUNTA(GJ19:GJ19)*CELL("contenu",$B$18))=0,1,SUM(COUNTA(GJ5:GJ6)*CELL("contenu",$B$4),COUNTA(GJ8:GJ11)*CELL("contenu",$B$7),COUNTA(GJ13:GJ13)*CELL("contenu",$B$12),COUNTA(GJ15:GJ17)*CELL("contenu",$B$14),COUNTA(GJ19:GJ19)*CELL("contenu",$B$18))))</f>
        <v/>
      </c>
      <c r="GK20" s="116"/>
      <c r="GL20" s="192">
        <f ca="1">IF(COUNTA(GH20:GJ20)-COUNTBLANK(GH20:GJ20)=0,"",SUM(GH20:GJ20)/(COUNTA(GH20:GJ20)-COUNTBLANK(GH20:GJ20)))</f>
        <v>12.5</v>
      </c>
      <c r="GM20" s="182" t="str">
        <f ca="1">IF(COUNTA(GM5:GM19)=0,"",5*SUM(IFERROR((((COUNTIF(GM5:GM6,"A"))*4)+((COUNTIF(GM5:GM6,"B"))*3)+((COUNTIF(GM5:GM6,"C"))*2)+((COUNTIF(GM5:GM6,"D"))*1))*CELL("contenu",$B$4),0),IFERROR((((COUNTIF(GM8:GM11,"A"))*4)+((COUNTIF(GM8:GM11,"B"))*3)+((COUNTIF(GM8:GM11,"C"))*2)+((COUNTIF(GM8:GM11,"D"))*1))*CELL("contenu",$B$7),0),IFERROR((((COUNTIF(GM13:GM13,"A"))*4)+((COUNTIF(GM13:GM13,"B"))*3)+((COUNTIF(GM13:GM13,"C"))*2)+((COUNTIF(GM13:GM13,"D"))*1))*CELL("contenu",$B$12),0),IFERROR((((COUNTIF(GM15:GM17,"A"))*4)+((COUNTIF(GM15:GM17,"B"))*3)+((COUNTIF(GM15:GM17,"C"))*2)+((COUNTIF(GM15:GM17,"D"))*1))*CELL("contenu",$B$14),0),IFERROR((((COUNTIF(GM19:GM19,"A"))*4)+((COUNTIF(GM19:GM19,"B"))*3)+((COUNTIF(GM19:GM19,"C"))*2)+((COUNTIF(GM19:GM19,"D"))*1))*CELL("contenu",$B$18),0))/IF(SUM(COUNTA(GM5:GM6)*CELL("contenu",$B$4),COUNTA(GM8:GM11)*CELL("contenu",$B$7),COUNTA(GM13:GM13)*CELL("contenu",$B$12),COUNTA(GM15:GM17)*CELL("contenu",$B$14),COUNTA(GM19:GM19)*CELL("contenu",$B$18))=0,1,SUM(COUNTA(GM5:GM6)*CELL("contenu",$B$4),COUNTA(GM8:GM11)*CELL("contenu",$B$7),COUNTA(GM13:GM13)*CELL("contenu",$B$12),COUNTA(GM15:GM17)*CELL("contenu",$B$14),COUNTA(GM19:GM19)*CELL("contenu",$B$18))))</f>
        <v/>
      </c>
      <c r="GN20" s="183" t="str">
        <f ca="1">IF(COUNTA(GN5:GN19)=0,"",5*SUM(IFERROR((((COUNTIF(GN5:GN6,"A"))*4)+((COUNTIF(GN5:GN6,"B"))*3)+((COUNTIF(GN5:GN6,"C"))*2)+((COUNTIF(GN5:GN6,"D"))*1))*CELL("contenu",$B$4),0),IFERROR((((COUNTIF(GN8:GN11,"A"))*4)+((COUNTIF(GN8:GN11,"B"))*3)+((COUNTIF(GN8:GN11,"C"))*2)+((COUNTIF(GN8:GN11,"D"))*1))*CELL("contenu",$B$7),0),IFERROR((((COUNTIF(GN13:GN13,"A"))*4)+((COUNTIF(GN13:GN13,"B"))*3)+((COUNTIF(GN13:GN13,"C"))*2)+((COUNTIF(GN13:GN13,"D"))*1))*CELL("contenu",$B$12),0),IFERROR((((COUNTIF(GN15:GN17,"A"))*4)+((COUNTIF(GN15:GN17,"B"))*3)+((COUNTIF(GN15:GN17,"C"))*2)+((COUNTIF(GN15:GN17,"D"))*1))*CELL("contenu",$B$14),0),IFERROR((((COUNTIF(GN19:GN19,"A"))*4)+((COUNTIF(GN19:GN19,"B"))*3)+((COUNTIF(GN19:GN19,"C"))*2)+((COUNTIF(GN19:GN19,"D"))*1))*CELL("contenu",$B$18),0))/IF(SUM(COUNTA(GN5:GN6)*CELL("contenu",$B$4),COUNTA(GN8:GN11)*CELL("contenu",$B$7),COUNTA(GN13:GN13)*CELL("contenu",$B$12),COUNTA(GN15:GN17)*CELL("contenu",$B$14),COUNTA(GN19:GN19)*CELL("contenu",$B$18))=0,1,SUM(COUNTA(GN5:GN6)*CELL("contenu",$B$4),COUNTA(GN8:GN11)*CELL("contenu",$B$7),COUNTA(GN13:GN13)*CELL("contenu",$B$12),COUNTA(GN15:GN17)*CELL("contenu",$B$14),COUNTA(GN19:GN19)*CELL("contenu",$B$18))))</f>
        <v/>
      </c>
      <c r="GO20" s="184" t="str">
        <f ca="1">IF(COUNTA(GO5:GO19)=0,"",5*SUM(IFERROR((((COUNTIF(GO5:GO6,"A"))*4)+((COUNTIF(GO5:GO6,"B"))*3)+((COUNTIF(GO5:GO6,"C"))*2)+((COUNTIF(GO5:GO6,"D"))*1))*CELL("contenu",$B$4),0),IFERROR((((COUNTIF(GO8:GO11,"A"))*4)+((COUNTIF(GO8:GO11,"B"))*3)+((COUNTIF(GO8:GO11,"C"))*2)+((COUNTIF(GO8:GO11,"D"))*1))*CELL("contenu",$B$7),0),IFERROR((((COUNTIF(GO13:GO13,"A"))*4)+((COUNTIF(GO13:GO13,"B"))*3)+((COUNTIF(GO13:GO13,"C"))*2)+((COUNTIF(GO13:GO13,"D"))*1))*CELL("contenu",$B$12),0),IFERROR((((COUNTIF(GO15:GO17,"A"))*4)+((COUNTIF(GO15:GO17,"B"))*3)+((COUNTIF(GO15:GO17,"C"))*2)+((COUNTIF(GO15:GO17,"D"))*1))*CELL("contenu",$B$14),0),IFERROR((((COUNTIF(GO19:GO19,"A"))*4)+((COUNTIF(GO19:GO19,"B"))*3)+((COUNTIF(GO19:GO19,"C"))*2)+((COUNTIF(GO19:GO19,"D"))*1))*CELL("contenu",$B$18),0))/IF(SUM(COUNTA(GO5:GO6)*CELL("contenu",$B$4),COUNTA(GO8:GO11)*CELL("contenu",$B$7),COUNTA(GO13:GO13)*CELL("contenu",$B$12),COUNTA(GO15:GO17)*CELL("contenu",$B$14),COUNTA(GO19:GO19)*CELL("contenu",$B$18))=0,1,SUM(COUNTA(GO5:GO6)*CELL("contenu",$B$4),COUNTA(GO8:GO11)*CELL("contenu",$B$7),COUNTA(GO13:GO13)*CELL("contenu",$B$12),COUNTA(GO15:GO17)*CELL("contenu",$B$14),COUNTA(GO19:GO19)*CELL("contenu",$B$18))))</f>
        <v/>
      </c>
      <c r="GP20" s="176"/>
      <c r="GQ20" s="175" t="str">
        <f ca="1">IF(COUNTA(GM20:GO20)-COUNTBLANK(GM20:GO20)=0,"",SUM(GM20:GO20)/(COUNTA(GM20:GO20)-COUNTBLANK(GM20:GO20)))</f>
        <v/>
      </c>
      <c r="GR20" s="182" t="str">
        <f ca="1">IF(COUNTA(GR5:GR19)=0,"",5*SUM(IFERROR((((COUNTIF(GR5:GR6,"A"))*4)+((COUNTIF(GR5:GR6,"B"))*3)+((COUNTIF(GR5:GR6,"C"))*2)+((COUNTIF(GR5:GR6,"D"))*1))*CELL("contenu",$B$4),0),IFERROR((((COUNTIF(GR8:GR11,"A"))*4)+((COUNTIF(GR8:GR11,"B"))*3)+((COUNTIF(GR8:GR11,"C"))*2)+((COUNTIF(GR8:GR11,"D"))*1))*CELL("contenu",$B$7),0),IFERROR((((COUNTIF(GR13:GR13,"A"))*4)+((COUNTIF(GR13:GR13,"B"))*3)+((COUNTIF(GR13:GR13,"C"))*2)+((COUNTIF(GR13:GR13,"D"))*1))*CELL("contenu",$B$12),0),IFERROR((((COUNTIF(GR15:GR17,"A"))*4)+((COUNTIF(GR15:GR17,"B"))*3)+((COUNTIF(GR15:GR17,"C"))*2)+((COUNTIF(GR15:GR17,"D"))*1))*CELL("contenu",$B$14),0),IFERROR((((COUNTIF(GR19:GR19,"A"))*4)+((COUNTIF(GR19:GR19,"B"))*3)+((COUNTIF(GR19:GR19,"C"))*2)+((COUNTIF(GR19:GR19,"D"))*1))*CELL("contenu",$B$18),0))/IF(SUM(COUNTA(GR5:GR6)*CELL("contenu",$B$4),COUNTA(GR8:GR11)*CELL("contenu",$B$7),COUNTA(GR13:GR13)*CELL("contenu",$B$12),COUNTA(GR15:GR17)*CELL("contenu",$B$14),COUNTA(GR19:GR19)*CELL("contenu",$B$18))=0,1,SUM(COUNTA(GR5:GR6)*CELL("contenu",$B$4),COUNTA(GR8:GR11)*CELL("contenu",$B$7),COUNTA(GR13:GR13)*CELL("contenu",$B$12),COUNTA(GR15:GR17)*CELL("contenu",$B$14),COUNTA(GR19:GR19)*CELL("contenu",$B$18))))</f>
        <v/>
      </c>
      <c r="GS20" s="183" t="str">
        <f ca="1">IF(COUNTA(GS5:GS19)=0,"",5*SUM(IFERROR((((COUNTIF(GS5:GS6,"A"))*4)+((COUNTIF(GS5:GS6,"B"))*3)+((COUNTIF(GS5:GS6,"C"))*2)+((COUNTIF(GS5:GS6,"D"))*1))*CELL("contenu",$B$4),0),IFERROR((((COUNTIF(GS8:GS11,"A"))*4)+((COUNTIF(GS8:GS11,"B"))*3)+((COUNTIF(GS8:GS11,"C"))*2)+((COUNTIF(GS8:GS11,"D"))*1))*CELL("contenu",$B$7),0),IFERROR((((COUNTIF(GS13:GS13,"A"))*4)+((COUNTIF(GS13:GS13,"B"))*3)+((COUNTIF(GS13:GS13,"C"))*2)+((COUNTIF(GS13:GS13,"D"))*1))*CELL("contenu",$B$12),0),IFERROR((((COUNTIF(GS15:GS17,"A"))*4)+((COUNTIF(GS15:GS17,"B"))*3)+((COUNTIF(GS15:GS17,"C"))*2)+((COUNTIF(GS15:GS17,"D"))*1))*CELL("contenu",$B$14),0),IFERROR((((COUNTIF(GS19:GS19,"A"))*4)+((COUNTIF(GS19:GS19,"B"))*3)+((COUNTIF(GS19:GS19,"C"))*2)+((COUNTIF(GS19:GS19,"D"))*1))*CELL("contenu",$B$18),0))/IF(SUM(COUNTA(GS5:GS6)*CELL("contenu",$B$4),COUNTA(GS8:GS11)*CELL("contenu",$B$7),COUNTA(GS13:GS13)*CELL("contenu",$B$12),COUNTA(GS15:GS17)*CELL("contenu",$B$14),COUNTA(GS19:GS19)*CELL("contenu",$B$18))=0,1,SUM(COUNTA(GS5:GS6)*CELL("contenu",$B$4),COUNTA(GS8:GS11)*CELL("contenu",$B$7),COUNTA(GS13:GS13)*CELL("contenu",$B$12),COUNTA(GS15:GS17)*CELL("contenu",$B$14),COUNTA(GS19:GS19)*CELL("contenu",$B$18))))</f>
        <v/>
      </c>
      <c r="GT20" s="184" t="str">
        <f ca="1">IF(COUNTA(GT5:GT19)=0,"",5*SUM(IFERROR((((COUNTIF(GT5:GT6,"A"))*4)+((COUNTIF(GT5:GT6,"B"))*3)+((COUNTIF(GT5:GT6,"C"))*2)+((COUNTIF(GT5:GT6,"D"))*1))*CELL("contenu",$B$4),0),IFERROR((((COUNTIF(GT8:GT11,"A"))*4)+((COUNTIF(GT8:GT11,"B"))*3)+((COUNTIF(GT8:GT11,"C"))*2)+((COUNTIF(GT8:GT11,"D"))*1))*CELL("contenu",$B$7),0),IFERROR((((COUNTIF(GT13:GT13,"A"))*4)+((COUNTIF(GT13:GT13,"B"))*3)+((COUNTIF(GT13:GT13,"C"))*2)+((COUNTIF(GT13:GT13,"D"))*1))*CELL("contenu",$B$12),0),IFERROR((((COUNTIF(GT15:GT17,"A"))*4)+((COUNTIF(GT15:GT17,"B"))*3)+((COUNTIF(GT15:GT17,"C"))*2)+((COUNTIF(GT15:GT17,"D"))*1))*CELL("contenu",$B$14),0),IFERROR((((COUNTIF(GT19:GT19,"A"))*4)+((COUNTIF(GT19:GT19,"B"))*3)+((COUNTIF(GT19:GT19,"C"))*2)+((COUNTIF(GT19:GT19,"D"))*1))*CELL("contenu",$B$18),0))/IF(SUM(COUNTA(GT5:GT6)*CELL("contenu",$B$4),COUNTA(GT8:GT11)*CELL("contenu",$B$7),COUNTA(GT13:GT13)*CELL("contenu",$B$12),COUNTA(GT15:GT17)*CELL("contenu",$B$14),COUNTA(GT19:GT19)*CELL("contenu",$B$18))=0,1,SUM(COUNTA(GT5:GT6)*CELL("contenu",$B$4),COUNTA(GT8:GT11)*CELL("contenu",$B$7),COUNTA(GT13:GT13)*CELL("contenu",$B$12),COUNTA(GT15:GT17)*CELL("contenu",$B$14),COUNTA(GT19:GT19)*CELL("contenu",$B$18))))</f>
        <v/>
      </c>
      <c r="GU20" s="176"/>
      <c r="GV20" s="174" t="str">
        <f ca="1">IF(COUNTA(GR20:GT20)-COUNTBLANK(GR20:GT20)=0,"",SUM(GR20:GT20)/(COUNTA(GR20:GT20)-COUNTBLANK(GR20:GT20)))</f>
        <v/>
      </c>
      <c r="GW20" s="103"/>
      <c r="GX20" s="141"/>
      <c r="GY20" s="167">
        <f ca="1">IF(COUNTA(GY5:GY19)=0,"",5*SUM(IFERROR((((COUNTIF(GY5:GY6,"A"))*4)+((COUNTIF(GY5:GY6,"B"))*3)+((COUNTIF(GY5:GY6,"C"))*2)+((COUNTIF(GY5:GY6,"D"))*1))*CELL("contenu",$B$4),0),IFERROR((((COUNTIF(GY8:GY11,"A"))*4)+((COUNTIF(GY8:GY11,"B"))*3)+((COUNTIF(GY8:GY11,"C"))*2)+((COUNTIF(GY8:GY11,"D"))*1))*CELL("contenu",$B$7),0),IFERROR((((COUNTIF(GY13:GY13,"A"))*4)+((COUNTIF(GY13:GY13,"B"))*3)+((COUNTIF(GY13:GY13,"C"))*2)+((COUNTIF(GY13:GY13,"D"))*1))*CELL("contenu",$B$12),0),IFERROR((((COUNTIF(GY15:GY17,"A"))*4)+((COUNTIF(GY15:GY17,"B"))*3)+((COUNTIF(GY15:GY17,"C"))*2)+((COUNTIF(GY15:GY17,"D"))*1))*CELL("contenu",$B$14),0),IFERROR((((COUNTIF(GY19:GY19,"A"))*4)+((COUNTIF(GY19:GY19,"B"))*3)+((COUNTIF(GY19:GY19,"C"))*2)+((COUNTIF(GY19:GY19,"D"))*1))*CELL("contenu",$B$18),0))/IF(SUM(COUNTA(GY5:GY6)*CELL("contenu",$B$4),COUNTA(GY8:GY11)*CELL("contenu",$B$7),COUNTA(GY13:GY13)*CELL("contenu",$B$12),COUNTA(GY15:GY17)*CELL("contenu",$B$14),COUNTA(GY19:GY19)*CELL("contenu",$B$18))=0,1,SUM(COUNTA(GY5:GY6)*CELL("contenu",$B$4),COUNTA(GY8:GY11)*CELL("contenu",$B$7),COUNTA(GY13:GY13)*CELL("contenu",$B$12),COUNTA(GY15:GY17)*CELL("contenu",$B$14),COUNTA(GY19:GY19)*CELL("contenu",$B$18))))</f>
        <v>18.333333333333332</v>
      </c>
      <c r="GZ20" s="168">
        <f ca="1">IF(COUNTA(GZ5:GZ19)=0,"",5*SUM(IFERROR((((COUNTIF(GZ5:GZ6,"A"))*4)+((COUNTIF(GZ5:GZ6,"B"))*3)+((COUNTIF(GZ5:GZ6,"C"))*2)+((COUNTIF(GZ5:GZ6,"D"))*1))*CELL("contenu",$B$4),0),IFERROR((((COUNTIF(GZ8:GZ11,"A"))*4)+((COUNTIF(GZ8:GZ11,"B"))*3)+((COUNTIF(GZ8:GZ11,"C"))*2)+((COUNTIF(GZ8:GZ11,"D"))*1))*CELL("contenu",$B$7),0),IFERROR((((COUNTIF(GZ13:GZ13,"A"))*4)+((COUNTIF(GZ13:GZ13,"B"))*3)+((COUNTIF(GZ13:GZ13,"C"))*2)+((COUNTIF(GZ13:GZ13,"D"))*1))*CELL("contenu",$B$12),0),IFERROR((((COUNTIF(GZ15:GZ17,"A"))*4)+((COUNTIF(GZ15:GZ17,"B"))*3)+((COUNTIF(GZ15:GZ17,"C"))*2)+((COUNTIF(GZ15:GZ17,"D"))*1))*CELL("contenu",$B$14),0),IFERROR((((COUNTIF(GZ19:GZ19,"A"))*4)+((COUNTIF(GZ19:GZ19,"B"))*3)+((COUNTIF(GZ19:GZ19,"C"))*2)+((COUNTIF(GZ19:GZ19,"D"))*1))*CELL("contenu",$B$18),0))/IF(SUM(COUNTA(GZ5:GZ6)*CELL("contenu",$B$4),COUNTA(GZ8:GZ11)*CELL("contenu",$B$7),COUNTA(GZ13:GZ13)*CELL("contenu",$B$12),COUNTA(GZ15:GZ17)*CELL("contenu",$B$14),COUNTA(GZ19:GZ19)*CELL("contenu",$B$18))=0,1,SUM(COUNTA(GZ5:GZ6)*CELL("contenu",$B$4),COUNTA(GZ8:GZ11)*CELL("contenu",$B$7),COUNTA(GZ13:GZ13)*CELL("contenu",$B$12),COUNTA(GZ15:GZ17)*CELL("contenu",$B$14),COUNTA(GZ19:GZ19)*CELL("contenu",$B$18))))</f>
        <v>8.3333333333333339</v>
      </c>
      <c r="HA20" s="169" t="str">
        <f ca="1">IF(COUNTA(HA5:HA19)=0,"",5*SUM(IFERROR((((COUNTIF(HA5:HA6,"A"))*4)+((COUNTIF(HA5:HA6,"B"))*3)+((COUNTIF(HA5:HA6,"C"))*2)+((COUNTIF(HA5:HA6,"D"))*1))*CELL("contenu",$B$4),0),IFERROR((((COUNTIF(HA8:HA11,"A"))*4)+((COUNTIF(HA8:HA11,"B"))*3)+((COUNTIF(HA8:HA11,"C"))*2)+((COUNTIF(HA8:HA11,"D"))*1))*CELL("contenu",$B$7),0),IFERROR((((COUNTIF(HA13:HA13,"A"))*4)+((COUNTIF(HA13:HA13,"B"))*3)+((COUNTIF(HA13:HA13,"C"))*2)+((COUNTIF(HA13:HA13,"D"))*1))*CELL("contenu",$B$12),0),IFERROR((((COUNTIF(HA15:HA17,"A"))*4)+((COUNTIF(HA15:HA17,"B"))*3)+((COUNTIF(HA15:HA17,"C"))*2)+((COUNTIF(HA15:HA17,"D"))*1))*CELL("contenu",$B$14),0),IFERROR((((COUNTIF(HA19:HA19,"A"))*4)+((COUNTIF(HA19:HA19,"B"))*3)+((COUNTIF(HA19:HA19,"C"))*2)+((COUNTIF(HA19:HA19,"D"))*1))*CELL("contenu",$B$18),0))/IF(SUM(COUNTA(HA5:HA6)*CELL("contenu",$B$4),COUNTA(HA8:HA11)*CELL("contenu",$B$7),COUNTA(HA13:HA13)*CELL("contenu",$B$12),COUNTA(HA15:HA17)*CELL("contenu",$B$14),COUNTA(HA19:HA19)*CELL("contenu",$B$18))=0,1,SUM(COUNTA(HA5:HA6)*CELL("contenu",$B$4),COUNTA(HA8:HA11)*CELL("contenu",$B$7),COUNTA(HA13:HA13)*CELL("contenu",$B$12),COUNTA(HA15:HA17)*CELL("contenu",$B$14),COUNTA(HA19:HA19)*CELL("contenu",$B$18))))</f>
        <v/>
      </c>
      <c r="HB20" s="116"/>
      <c r="HC20" s="192">
        <f ca="1">IF(COUNTA(GY20:HA20)-COUNTBLANK(GY20:HA20)=0,"",SUM(GY20:HA20)/(COUNTA(GY20:HA20)-COUNTBLANK(GY20:HA20)))</f>
        <v>13.333333333333332</v>
      </c>
      <c r="HD20" s="182" t="str">
        <f ca="1">IF(COUNTA(HD5:HD19)=0,"",5*SUM(IFERROR((((COUNTIF(HD5:HD6,"A"))*4)+((COUNTIF(HD5:HD6,"B"))*3)+((COUNTIF(HD5:HD6,"C"))*2)+((COUNTIF(HD5:HD6,"D"))*1))*CELL("contenu",$B$4),0),IFERROR((((COUNTIF(HD8:HD11,"A"))*4)+((COUNTIF(HD8:HD11,"B"))*3)+((COUNTIF(HD8:HD11,"C"))*2)+((COUNTIF(HD8:HD11,"D"))*1))*CELL("contenu",$B$7),0),IFERROR((((COUNTIF(HD13:HD13,"A"))*4)+((COUNTIF(HD13:HD13,"B"))*3)+((COUNTIF(HD13:HD13,"C"))*2)+((COUNTIF(HD13:HD13,"D"))*1))*CELL("contenu",$B$12),0),IFERROR((((COUNTIF(HD15:HD17,"A"))*4)+((COUNTIF(HD15:HD17,"B"))*3)+((COUNTIF(HD15:HD17,"C"))*2)+((COUNTIF(HD15:HD17,"D"))*1))*CELL("contenu",$B$14),0),IFERROR((((COUNTIF(HD19:HD19,"A"))*4)+((COUNTIF(HD19:HD19,"B"))*3)+((COUNTIF(HD19:HD19,"C"))*2)+((COUNTIF(HD19:HD19,"D"))*1))*CELL("contenu",$B$18),0))/IF(SUM(COUNTA(HD5:HD6)*CELL("contenu",$B$4),COUNTA(HD8:HD11)*CELL("contenu",$B$7),COUNTA(HD13:HD13)*CELL("contenu",$B$12),COUNTA(HD15:HD17)*CELL("contenu",$B$14),COUNTA(HD19:HD19)*CELL("contenu",$B$18))=0,1,SUM(COUNTA(HD5:HD6)*CELL("contenu",$B$4),COUNTA(HD8:HD11)*CELL("contenu",$B$7),COUNTA(HD13:HD13)*CELL("contenu",$B$12),COUNTA(HD15:HD17)*CELL("contenu",$B$14),COUNTA(HD19:HD19)*CELL("contenu",$B$18))))</f>
        <v/>
      </c>
      <c r="HE20" s="183" t="str">
        <f ca="1">IF(COUNTA(HE5:HE19)=0,"",5*SUM(IFERROR((((COUNTIF(HE5:HE6,"A"))*4)+((COUNTIF(HE5:HE6,"B"))*3)+((COUNTIF(HE5:HE6,"C"))*2)+((COUNTIF(HE5:HE6,"D"))*1))*CELL("contenu",$B$4),0),IFERROR((((COUNTIF(HE8:HE11,"A"))*4)+((COUNTIF(HE8:HE11,"B"))*3)+((COUNTIF(HE8:HE11,"C"))*2)+((COUNTIF(HE8:HE11,"D"))*1))*CELL("contenu",$B$7),0),IFERROR((((COUNTIF(HE13:HE13,"A"))*4)+((COUNTIF(HE13:HE13,"B"))*3)+((COUNTIF(HE13:HE13,"C"))*2)+((COUNTIF(HE13:HE13,"D"))*1))*CELL("contenu",$B$12),0),IFERROR((((COUNTIF(HE15:HE17,"A"))*4)+((COUNTIF(HE15:HE17,"B"))*3)+((COUNTIF(HE15:HE17,"C"))*2)+((COUNTIF(HE15:HE17,"D"))*1))*CELL("contenu",$B$14),0),IFERROR((((COUNTIF(HE19:HE19,"A"))*4)+((COUNTIF(HE19:HE19,"B"))*3)+((COUNTIF(HE19:HE19,"C"))*2)+((COUNTIF(HE19:HE19,"D"))*1))*CELL("contenu",$B$18),0))/IF(SUM(COUNTA(HE5:HE6)*CELL("contenu",$B$4),COUNTA(HE8:HE11)*CELL("contenu",$B$7),COUNTA(HE13:HE13)*CELL("contenu",$B$12),COUNTA(HE15:HE17)*CELL("contenu",$B$14),COUNTA(HE19:HE19)*CELL("contenu",$B$18))=0,1,SUM(COUNTA(HE5:HE6)*CELL("contenu",$B$4),COUNTA(HE8:HE11)*CELL("contenu",$B$7),COUNTA(HE13:HE13)*CELL("contenu",$B$12),COUNTA(HE15:HE17)*CELL("contenu",$B$14),COUNTA(HE19:HE19)*CELL("contenu",$B$18))))</f>
        <v/>
      </c>
      <c r="HF20" s="184" t="str">
        <f ca="1">IF(COUNTA(HF5:HF19)=0,"",5*SUM(IFERROR((((COUNTIF(HF5:HF6,"A"))*4)+((COUNTIF(HF5:HF6,"B"))*3)+((COUNTIF(HF5:HF6,"C"))*2)+((COUNTIF(HF5:HF6,"D"))*1))*CELL("contenu",$B$4),0),IFERROR((((COUNTIF(HF8:HF11,"A"))*4)+((COUNTIF(HF8:HF11,"B"))*3)+((COUNTIF(HF8:HF11,"C"))*2)+((COUNTIF(HF8:HF11,"D"))*1))*CELL("contenu",$B$7),0),IFERROR((((COUNTIF(HF13:HF13,"A"))*4)+((COUNTIF(HF13:HF13,"B"))*3)+((COUNTIF(HF13:HF13,"C"))*2)+((COUNTIF(HF13:HF13,"D"))*1))*CELL("contenu",$B$12),0),IFERROR((((COUNTIF(HF15:HF17,"A"))*4)+((COUNTIF(HF15:HF17,"B"))*3)+((COUNTIF(HF15:HF17,"C"))*2)+((COUNTIF(HF15:HF17,"D"))*1))*CELL("contenu",$B$14),0),IFERROR((((COUNTIF(HF19:HF19,"A"))*4)+((COUNTIF(HF19:HF19,"B"))*3)+((COUNTIF(HF19:HF19,"C"))*2)+((COUNTIF(HF19:HF19,"D"))*1))*CELL("contenu",$B$18),0))/IF(SUM(COUNTA(HF5:HF6)*CELL("contenu",$B$4),COUNTA(HF8:HF11)*CELL("contenu",$B$7),COUNTA(HF13:HF13)*CELL("contenu",$B$12),COUNTA(HF15:HF17)*CELL("contenu",$B$14),COUNTA(HF19:HF19)*CELL("contenu",$B$18))=0,1,SUM(COUNTA(HF5:HF6)*CELL("contenu",$B$4),COUNTA(HF8:HF11)*CELL("contenu",$B$7),COUNTA(HF13:HF13)*CELL("contenu",$B$12),COUNTA(HF15:HF17)*CELL("contenu",$B$14),COUNTA(HF19:HF19)*CELL("contenu",$B$18))))</f>
        <v/>
      </c>
      <c r="HG20" s="176"/>
      <c r="HH20" s="175" t="str">
        <f ca="1">IF(COUNTA(HD20:HF20)-COUNTBLANK(HD20:HF20)=0,"",SUM(HD20:HF20)/(COUNTA(HD20:HF20)-COUNTBLANK(HD20:HF20)))</f>
        <v/>
      </c>
      <c r="HI20" s="182" t="str">
        <f ca="1">IF(COUNTA(HI5:HI19)=0,"",5*SUM(IFERROR((((COUNTIF(HI5:HI6,"A"))*4)+((COUNTIF(HI5:HI6,"B"))*3)+((COUNTIF(HI5:HI6,"C"))*2)+((COUNTIF(HI5:HI6,"D"))*1))*CELL("contenu",$B$4),0),IFERROR((((COUNTIF(HI8:HI11,"A"))*4)+((COUNTIF(HI8:HI11,"B"))*3)+((COUNTIF(HI8:HI11,"C"))*2)+((COUNTIF(HI8:HI11,"D"))*1))*CELL("contenu",$B$7),0),IFERROR((((COUNTIF(HI13:HI13,"A"))*4)+((COUNTIF(HI13:HI13,"B"))*3)+((COUNTIF(HI13:HI13,"C"))*2)+((COUNTIF(HI13:HI13,"D"))*1))*CELL("contenu",$B$12),0),IFERROR((((COUNTIF(HI15:HI17,"A"))*4)+((COUNTIF(HI15:HI17,"B"))*3)+((COUNTIF(HI15:HI17,"C"))*2)+((COUNTIF(HI15:HI17,"D"))*1))*CELL("contenu",$B$14),0),IFERROR((((COUNTIF(HI19:HI19,"A"))*4)+((COUNTIF(HI19:HI19,"B"))*3)+((COUNTIF(HI19:HI19,"C"))*2)+((COUNTIF(HI19:HI19,"D"))*1))*CELL("contenu",$B$18),0))/IF(SUM(COUNTA(HI5:HI6)*CELL("contenu",$B$4),COUNTA(HI8:HI11)*CELL("contenu",$B$7),COUNTA(HI13:HI13)*CELL("contenu",$B$12),COUNTA(HI15:HI17)*CELL("contenu",$B$14),COUNTA(HI19:HI19)*CELL("contenu",$B$18))=0,1,SUM(COUNTA(HI5:HI6)*CELL("contenu",$B$4),COUNTA(HI8:HI11)*CELL("contenu",$B$7),COUNTA(HI13:HI13)*CELL("contenu",$B$12),COUNTA(HI15:HI17)*CELL("contenu",$B$14),COUNTA(HI19:HI19)*CELL("contenu",$B$18))))</f>
        <v/>
      </c>
      <c r="HJ20" s="183" t="str">
        <f ca="1">IF(COUNTA(HJ5:HJ19)=0,"",5*SUM(IFERROR((((COUNTIF(HJ5:HJ6,"A"))*4)+((COUNTIF(HJ5:HJ6,"B"))*3)+((COUNTIF(HJ5:HJ6,"C"))*2)+((COUNTIF(HJ5:HJ6,"D"))*1))*CELL("contenu",$B$4),0),IFERROR((((COUNTIF(HJ8:HJ11,"A"))*4)+((COUNTIF(HJ8:HJ11,"B"))*3)+((COUNTIF(HJ8:HJ11,"C"))*2)+((COUNTIF(HJ8:HJ11,"D"))*1))*CELL("contenu",$B$7),0),IFERROR((((COUNTIF(HJ13:HJ13,"A"))*4)+((COUNTIF(HJ13:HJ13,"B"))*3)+((COUNTIF(HJ13:HJ13,"C"))*2)+((COUNTIF(HJ13:HJ13,"D"))*1))*CELL("contenu",$B$12),0),IFERROR((((COUNTIF(HJ15:HJ17,"A"))*4)+((COUNTIF(HJ15:HJ17,"B"))*3)+((COUNTIF(HJ15:HJ17,"C"))*2)+((COUNTIF(HJ15:HJ17,"D"))*1))*CELL("contenu",$B$14),0),IFERROR((((COUNTIF(HJ19:HJ19,"A"))*4)+((COUNTIF(HJ19:HJ19,"B"))*3)+((COUNTIF(HJ19:HJ19,"C"))*2)+((COUNTIF(HJ19:HJ19,"D"))*1))*CELL("contenu",$B$18),0))/IF(SUM(COUNTA(HJ5:HJ6)*CELL("contenu",$B$4),COUNTA(HJ8:HJ11)*CELL("contenu",$B$7),COUNTA(HJ13:HJ13)*CELL("contenu",$B$12),COUNTA(HJ15:HJ17)*CELL("contenu",$B$14),COUNTA(HJ19:HJ19)*CELL("contenu",$B$18))=0,1,SUM(COUNTA(HJ5:HJ6)*CELL("contenu",$B$4),COUNTA(HJ8:HJ11)*CELL("contenu",$B$7),COUNTA(HJ13:HJ13)*CELL("contenu",$B$12),COUNTA(HJ15:HJ17)*CELL("contenu",$B$14),COUNTA(HJ19:HJ19)*CELL("contenu",$B$18))))</f>
        <v/>
      </c>
      <c r="HK20" s="184" t="str">
        <f ca="1">IF(COUNTA(HK5:HK19)=0,"",5*SUM(IFERROR((((COUNTIF(HK5:HK6,"A"))*4)+((COUNTIF(HK5:HK6,"B"))*3)+((COUNTIF(HK5:HK6,"C"))*2)+((COUNTIF(HK5:HK6,"D"))*1))*CELL("contenu",$B$4),0),IFERROR((((COUNTIF(HK8:HK11,"A"))*4)+((COUNTIF(HK8:HK11,"B"))*3)+((COUNTIF(HK8:HK11,"C"))*2)+((COUNTIF(HK8:HK11,"D"))*1))*CELL("contenu",$B$7),0),IFERROR((((COUNTIF(HK13:HK13,"A"))*4)+((COUNTIF(HK13:HK13,"B"))*3)+((COUNTIF(HK13:HK13,"C"))*2)+((COUNTIF(HK13:HK13,"D"))*1))*CELL("contenu",$B$12),0),IFERROR((((COUNTIF(HK15:HK17,"A"))*4)+((COUNTIF(HK15:HK17,"B"))*3)+((COUNTIF(HK15:HK17,"C"))*2)+((COUNTIF(HK15:HK17,"D"))*1))*CELL("contenu",$B$14),0),IFERROR((((COUNTIF(HK19:HK19,"A"))*4)+((COUNTIF(HK19:HK19,"B"))*3)+((COUNTIF(HK19:HK19,"C"))*2)+((COUNTIF(HK19:HK19,"D"))*1))*CELL("contenu",$B$18),0))/IF(SUM(COUNTA(HK5:HK6)*CELL("contenu",$B$4),COUNTA(HK8:HK11)*CELL("contenu",$B$7),COUNTA(HK13:HK13)*CELL("contenu",$B$12),COUNTA(HK15:HK17)*CELL("contenu",$B$14),COUNTA(HK19:HK19)*CELL("contenu",$B$18))=0,1,SUM(COUNTA(HK5:HK6)*CELL("contenu",$B$4),COUNTA(HK8:HK11)*CELL("contenu",$B$7),COUNTA(HK13:HK13)*CELL("contenu",$B$12),COUNTA(HK15:HK17)*CELL("contenu",$B$14),COUNTA(HK19:HK19)*CELL("contenu",$B$18))))</f>
        <v/>
      </c>
      <c r="HL20" s="176"/>
      <c r="HM20" s="174" t="str">
        <f ca="1">IF(COUNTA(HI20:HK20)-COUNTBLANK(HI20:HK20)=0,"",SUM(HI20:HK20)/(COUNTA(HI20:HK20)-COUNTBLANK(HI20:HK20)))</f>
        <v/>
      </c>
      <c r="HN20" s="103"/>
      <c r="HO20" s="141"/>
      <c r="HP20" s="167">
        <f ca="1">IF(COUNTA(HP5:HP19)=0,"",5*SUM(IFERROR((((COUNTIF(HP5:HP6,"A"))*4)+((COUNTIF(HP5:HP6,"B"))*3)+((COUNTIF(HP5:HP6,"C"))*2)+((COUNTIF(HP5:HP6,"D"))*1))*CELL("contenu",$B$4),0),IFERROR((((COUNTIF(HP8:HP11,"A"))*4)+((COUNTIF(HP8:HP11,"B"))*3)+((COUNTIF(HP8:HP11,"C"))*2)+((COUNTIF(HP8:HP11,"D"))*1))*CELL("contenu",$B$7),0),IFERROR((((COUNTIF(HP13:HP13,"A"))*4)+((COUNTIF(HP13:HP13,"B"))*3)+((COUNTIF(HP13:HP13,"C"))*2)+((COUNTIF(HP13:HP13,"D"))*1))*CELL("contenu",$B$12),0),IFERROR((((COUNTIF(HP15:HP17,"A"))*4)+((COUNTIF(HP15:HP17,"B"))*3)+((COUNTIF(HP15:HP17,"C"))*2)+((COUNTIF(HP15:HP17,"D"))*1))*CELL("contenu",$B$14),0),IFERROR((((COUNTIF(HP19:HP19,"A"))*4)+((COUNTIF(HP19:HP19,"B"))*3)+((COUNTIF(HP19:HP19,"C"))*2)+((COUNTIF(HP19:HP19,"D"))*1))*CELL("contenu",$B$18),0))/IF(SUM(COUNTA(HP5:HP6)*CELL("contenu",$B$4),COUNTA(HP8:HP11)*CELL("contenu",$B$7),COUNTA(HP13:HP13)*CELL("contenu",$B$12),COUNTA(HP15:HP17)*CELL("contenu",$B$14),COUNTA(HP19:HP19)*CELL("contenu",$B$18))=0,1,SUM(COUNTA(HP5:HP6)*CELL("contenu",$B$4),COUNTA(HP8:HP11)*CELL("contenu",$B$7),COUNTA(HP13:HP13)*CELL("contenu",$B$12),COUNTA(HP15:HP17)*CELL("contenu",$B$14),COUNTA(HP19:HP19)*CELL("contenu",$B$18))))</f>
        <v>11.666666666666666</v>
      </c>
      <c r="HQ20" s="168">
        <f ca="1">IF(COUNTA(HQ5:HQ19)=0,"",5*SUM(IFERROR((((COUNTIF(HQ5:HQ6,"A"))*4)+((COUNTIF(HQ5:HQ6,"B"))*3)+((COUNTIF(HQ5:HQ6,"C"))*2)+((COUNTIF(HQ5:HQ6,"D"))*1))*CELL("contenu",$B$4),0),IFERROR((((COUNTIF(HQ8:HQ11,"A"))*4)+((COUNTIF(HQ8:HQ11,"B"))*3)+((COUNTIF(HQ8:HQ11,"C"))*2)+((COUNTIF(HQ8:HQ11,"D"))*1))*CELL("contenu",$B$7),0),IFERROR((((COUNTIF(HQ13:HQ13,"A"))*4)+((COUNTIF(HQ13:HQ13,"B"))*3)+((COUNTIF(HQ13:HQ13,"C"))*2)+((COUNTIF(HQ13:HQ13,"D"))*1))*CELL("contenu",$B$12),0),IFERROR((((COUNTIF(HQ15:HQ17,"A"))*4)+((COUNTIF(HQ15:HQ17,"B"))*3)+((COUNTIF(HQ15:HQ17,"C"))*2)+((COUNTIF(HQ15:HQ17,"D"))*1))*CELL("contenu",$B$14),0),IFERROR((((COUNTIF(HQ19:HQ19,"A"))*4)+((COUNTIF(HQ19:HQ19,"B"))*3)+((COUNTIF(HQ19:HQ19,"C"))*2)+((COUNTIF(HQ19:HQ19,"D"))*1))*CELL("contenu",$B$18),0))/IF(SUM(COUNTA(HQ5:HQ6)*CELL("contenu",$B$4),COUNTA(HQ8:HQ11)*CELL("contenu",$B$7),COUNTA(HQ13:HQ13)*CELL("contenu",$B$12),COUNTA(HQ15:HQ17)*CELL("contenu",$B$14),COUNTA(HQ19:HQ19)*CELL("contenu",$B$18))=0,1,SUM(COUNTA(HQ5:HQ6)*CELL("contenu",$B$4),COUNTA(HQ8:HQ11)*CELL("contenu",$B$7),COUNTA(HQ13:HQ13)*CELL("contenu",$B$12),COUNTA(HQ15:HQ17)*CELL("contenu",$B$14),COUNTA(HQ19:HQ19)*CELL("contenu",$B$18))))</f>
        <v>15</v>
      </c>
      <c r="HR20" s="169" t="str">
        <f ca="1">IF(COUNTA(HR5:HR19)=0,"",5*SUM(IFERROR((((COUNTIF(HR5:HR6,"A"))*4)+((COUNTIF(HR5:HR6,"B"))*3)+((COUNTIF(HR5:HR6,"C"))*2)+((COUNTIF(HR5:HR6,"D"))*1))*CELL("contenu",$B$4),0),IFERROR((((COUNTIF(HR8:HR11,"A"))*4)+((COUNTIF(HR8:HR11,"B"))*3)+((COUNTIF(HR8:HR11,"C"))*2)+((COUNTIF(HR8:HR11,"D"))*1))*CELL("contenu",$B$7),0),IFERROR((((COUNTIF(HR13:HR13,"A"))*4)+((COUNTIF(HR13:HR13,"B"))*3)+((COUNTIF(HR13:HR13,"C"))*2)+((COUNTIF(HR13:HR13,"D"))*1))*CELL("contenu",$B$12),0),IFERROR((((COUNTIF(HR15:HR17,"A"))*4)+((COUNTIF(HR15:HR17,"B"))*3)+((COUNTIF(HR15:HR17,"C"))*2)+((COUNTIF(HR15:HR17,"D"))*1))*CELL("contenu",$B$14),0),IFERROR((((COUNTIF(HR19:HR19,"A"))*4)+((COUNTIF(HR19:HR19,"B"))*3)+((COUNTIF(HR19:HR19,"C"))*2)+((COUNTIF(HR19:HR19,"D"))*1))*CELL("contenu",$B$18),0))/IF(SUM(COUNTA(HR5:HR6)*CELL("contenu",$B$4),COUNTA(HR8:HR11)*CELL("contenu",$B$7),COUNTA(HR13:HR13)*CELL("contenu",$B$12),COUNTA(HR15:HR17)*CELL("contenu",$B$14),COUNTA(HR19:HR19)*CELL("contenu",$B$18))=0,1,SUM(COUNTA(HR5:HR6)*CELL("contenu",$B$4),COUNTA(HR8:HR11)*CELL("contenu",$B$7),COUNTA(HR13:HR13)*CELL("contenu",$B$12),COUNTA(HR15:HR17)*CELL("contenu",$B$14),COUNTA(HR19:HR19)*CELL("contenu",$B$18))))</f>
        <v/>
      </c>
      <c r="HS20" s="116"/>
      <c r="HT20" s="192">
        <f ca="1">IF(COUNTA(HP20:HR20)-COUNTBLANK(HP20:HR20)=0,"",SUM(HP20:HR20)/(COUNTA(HP20:HR20)-COUNTBLANK(HP20:HR20)))</f>
        <v>13.333333333333332</v>
      </c>
      <c r="HU20" s="182" t="str">
        <f ca="1">IF(COUNTA(HU5:HU19)=0,"",5*SUM(IFERROR((((COUNTIF(HU5:HU6,"A"))*4)+((COUNTIF(HU5:HU6,"B"))*3)+((COUNTIF(HU5:HU6,"C"))*2)+((COUNTIF(HU5:HU6,"D"))*1))*CELL("contenu",$B$4),0),IFERROR((((COUNTIF(HU8:HU11,"A"))*4)+((COUNTIF(HU8:HU11,"B"))*3)+((COUNTIF(HU8:HU11,"C"))*2)+((COUNTIF(HU8:HU11,"D"))*1))*CELL("contenu",$B$7),0),IFERROR((((COUNTIF(HU13:HU13,"A"))*4)+((COUNTIF(HU13:HU13,"B"))*3)+((COUNTIF(HU13:HU13,"C"))*2)+((COUNTIF(HU13:HU13,"D"))*1))*CELL("contenu",$B$12),0),IFERROR((((COUNTIF(HU15:HU17,"A"))*4)+((COUNTIF(HU15:HU17,"B"))*3)+((COUNTIF(HU15:HU17,"C"))*2)+((COUNTIF(HU15:HU17,"D"))*1))*CELL("contenu",$B$14),0),IFERROR((((COUNTIF(HU19:HU19,"A"))*4)+((COUNTIF(HU19:HU19,"B"))*3)+((COUNTIF(HU19:HU19,"C"))*2)+((COUNTIF(HU19:HU19,"D"))*1))*CELL("contenu",$B$18),0))/IF(SUM(COUNTA(HU5:HU6)*CELL("contenu",$B$4),COUNTA(HU8:HU11)*CELL("contenu",$B$7),COUNTA(HU13:HU13)*CELL("contenu",$B$12),COUNTA(HU15:HU17)*CELL("contenu",$B$14),COUNTA(HU19:HU19)*CELL("contenu",$B$18))=0,1,SUM(COUNTA(HU5:HU6)*CELL("contenu",$B$4),COUNTA(HU8:HU11)*CELL("contenu",$B$7),COUNTA(HU13:HU13)*CELL("contenu",$B$12),COUNTA(HU15:HU17)*CELL("contenu",$B$14),COUNTA(HU19:HU19)*CELL("contenu",$B$18))))</f>
        <v/>
      </c>
      <c r="HV20" s="183" t="str">
        <f ca="1">IF(COUNTA(HV5:HV19)=0,"",5*SUM(IFERROR((((COUNTIF(HV5:HV6,"A"))*4)+((COUNTIF(HV5:HV6,"B"))*3)+((COUNTIF(HV5:HV6,"C"))*2)+((COUNTIF(HV5:HV6,"D"))*1))*CELL("contenu",$B$4),0),IFERROR((((COUNTIF(HV8:HV11,"A"))*4)+((COUNTIF(HV8:HV11,"B"))*3)+((COUNTIF(HV8:HV11,"C"))*2)+((COUNTIF(HV8:HV11,"D"))*1))*CELL("contenu",$B$7),0),IFERROR((((COUNTIF(HV13:HV13,"A"))*4)+((COUNTIF(HV13:HV13,"B"))*3)+((COUNTIF(HV13:HV13,"C"))*2)+((COUNTIF(HV13:HV13,"D"))*1))*CELL("contenu",$B$12),0),IFERROR((((COUNTIF(HV15:HV17,"A"))*4)+((COUNTIF(HV15:HV17,"B"))*3)+((COUNTIF(HV15:HV17,"C"))*2)+((COUNTIF(HV15:HV17,"D"))*1))*CELL("contenu",$B$14),0),IFERROR((((COUNTIF(HV19:HV19,"A"))*4)+((COUNTIF(HV19:HV19,"B"))*3)+((COUNTIF(HV19:HV19,"C"))*2)+((COUNTIF(HV19:HV19,"D"))*1))*CELL("contenu",$B$18),0))/IF(SUM(COUNTA(HV5:HV6)*CELL("contenu",$B$4),COUNTA(HV8:HV11)*CELL("contenu",$B$7),COUNTA(HV13:HV13)*CELL("contenu",$B$12),COUNTA(HV15:HV17)*CELL("contenu",$B$14),COUNTA(HV19:HV19)*CELL("contenu",$B$18))=0,1,SUM(COUNTA(HV5:HV6)*CELL("contenu",$B$4),COUNTA(HV8:HV11)*CELL("contenu",$B$7),COUNTA(HV13:HV13)*CELL("contenu",$B$12),COUNTA(HV15:HV17)*CELL("contenu",$B$14),COUNTA(HV19:HV19)*CELL("contenu",$B$18))))</f>
        <v/>
      </c>
      <c r="HW20" s="184" t="str">
        <f ca="1">IF(COUNTA(HW5:HW19)=0,"",5*SUM(IFERROR((((COUNTIF(HW5:HW6,"A"))*4)+((COUNTIF(HW5:HW6,"B"))*3)+((COUNTIF(HW5:HW6,"C"))*2)+((COUNTIF(HW5:HW6,"D"))*1))*CELL("contenu",$B$4),0),IFERROR((((COUNTIF(HW8:HW11,"A"))*4)+((COUNTIF(HW8:HW11,"B"))*3)+((COUNTIF(HW8:HW11,"C"))*2)+((COUNTIF(HW8:HW11,"D"))*1))*CELL("contenu",$B$7),0),IFERROR((((COUNTIF(HW13:HW13,"A"))*4)+((COUNTIF(HW13:HW13,"B"))*3)+((COUNTIF(HW13:HW13,"C"))*2)+((COUNTIF(HW13:HW13,"D"))*1))*CELL("contenu",$B$12),0),IFERROR((((COUNTIF(HW15:HW17,"A"))*4)+((COUNTIF(HW15:HW17,"B"))*3)+((COUNTIF(HW15:HW17,"C"))*2)+((COUNTIF(HW15:HW17,"D"))*1))*CELL("contenu",$B$14),0),IFERROR((((COUNTIF(HW19:HW19,"A"))*4)+((COUNTIF(HW19:HW19,"B"))*3)+((COUNTIF(HW19:HW19,"C"))*2)+((COUNTIF(HW19:HW19,"D"))*1))*CELL("contenu",$B$18),0))/IF(SUM(COUNTA(HW5:HW6)*CELL("contenu",$B$4),COUNTA(HW8:HW11)*CELL("contenu",$B$7),COUNTA(HW13:HW13)*CELL("contenu",$B$12),COUNTA(HW15:HW17)*CELL("contenu",$B$14),COUNTA(HW19:HW19)*CELL("contenu",$B$18))=0,1,SUM(COUNTA(HW5:HW6)*CELL("contenu",$B$4),COUNTA(HW8:HW11)*CELL("contenu",$B$7),COUNTA(HW13:HW13)*CELL("contenu",$B$12),COUNTA(HW15:HW17)*CELL("contenu",$B$14),COUNTA(HW19:HW19)*CELL("contenu",$B$18))))</f>
        <v/>
      </c>
      <c r="HX20" s="176"/>
      <c r="HY20" s="175" t="str">
        <f ca="1">IF(COUNTA(HU20:HW20)-COUNTBLANK(HU20:HW20)=0,"",SUM(HU20:HW20)/(COUNTA(HU20:HW20)-COUNTBLANK(HU20:HW20)))</f>
        <v/>
      </c>
      <c r="HZ20" s="182" t="str">
        <f ca="1">IF(COUNTA(HZ5:HZ19)=0,"",5*SUM(IFERROR((((COUNTIF(HZ5:HZ6,"A"))*4)+((COUNTIF(HZ5:HZ6,"B"))*3)+((COUNTIF(HZ5:HZ6,"C"))*2)+((COUNTIF(HZ5:HZ6,"D"))*1))*CELL("contenu",$B$4),0),IFERROR((((COUNTIF(HZ8:HZ11,"A"))*4)+((COUNTIF(HZ8:HZ11,"B"))*3)+((COUNTIF(HZ8:HZ11,"C"))*2)+((COUNTIF(HZ8:HZ11,"D"))*1))*CELL("contenu",$B$7),0),IFERROR((((COUNTIF(HZ13:HZ13,"A"))*4)+((COUNTIF(HZ13:HZ13,"B"))*3)+((COUNTIF(HZ13:HZ13,"C"))*2)+((COUNTIF(HZ13:HZ13,"D"))*1))*CELL("contenu",$B$12),0),IFERROR((((COUNTIF(HZ15:HZ17,"A"))*4)+((COUNTIF(HZ15:HZ17,"B"))*3)+((COUNTIF(HZ15:HZ17,"C"))*2)+((COUNTIF(HZ15:HZ17,"D"))*1))*CELL("contenu",$B$14),0),IFERROR((((COUNTIF(HZ19:HZ19,"A"))*4)+((COUNTIF(HZ19:HZ19,"B"))*3)+((COUNTIF(HZ19:HZ19,"C"))*2)+((COUNTIF(HZ19:HZ19,"D"))*1))*CELL("contenu",$B$18),0))/IF(SUM(COUNTA(HZ5:HZ6)*CELL("contenu",$B$4),COUNTA(HZ8:HZ11)*CELL("contenu",$B$7),COUNTA(HZ13:HZ13)*CELL("contenu",$B$12),COUNTA(HZ15:HZ17)*CELL("contenu",$B$14),COUNTA(HZ19:HZ19)*CELL("contenu",$B$18))=0,1,SUM(COUNTA(HZ5:HZ6)*CELL("contenu",$B$4),COUNTA(HZ8:HZ11)*CELL("contenu",$B$7),COUNTA(HZ13:HZ13)*CELL("contenu",$B$12),COUNTA(HZ15:HZ17)*CELL("contenu",$B$14),COUNTA(HZ19:HZ19)*CELL("contenu",$B$18))))</f>
        <v/>
      </c>
      <c r="IA20" s="183" t="str">
        <f ca="1">IF(COUNTA(IA5:IA19)=0,"",5*SUM(IFERROR((((COUNTIF(IA5:IA6,"A"))*4)+((COUNTIF(IA5:IA6,"B"))*3)+((COUNTIF(IA5:IA6,"C"))*2)+((COUNTIF(IA5:IA6,"D"))*1))*CELL("contenu",$B$4),0),IFERROR((((COUNTIF(IA8:IA11,"A"))*4)+((COUNTIF(IA8:IA11,"B"))*3)+((COUNTIF(IA8:IA11,"C"))*2)+((COUNTIF(IA8:IA11,"D"))*1))*CELL("contenu",$B$7),0),IFERROR((((COUNTIF(IA13:IA13,"A"))*4)+((COUNTIF(IA13:IA13,"B"))*3)+((COUNTIF(IA13:IA13,"C"))*2)+((COUNTIF(IA13:IA13,"D"))*1))*CELL("contenu",$B$12),0),IFERROR((((COUNTIF(IA15:IA17,"A"))*4)+((COUNTIF(IA15:IA17,"B"))*3)+((COUNTIF(IA15:IA17,"C"))*2)+((COUNTIF(IA15:IA17,"D"))*1))*CELL("contenu",$B$14),0),IFERROR((((COUNTIF(IA19:IA19,"A"))*4)+((COUNTIF(IA19:IA19,"B"))*3)+((COUNTIF(IA19:IA19,"C"))*2)+((COUNTIF(IA19:IA19,"D"))*1))*CELL("contenu",$B$18),0))/IF(SUM(COUNTA(IA5:IA6)*CELL("contenu",$B$4),COUNTA(IA8:IA11)*CELL("contenu",$B$7),COUNTA(IA13:IA13)*CELL("contenu",$B$12),COUNTA(IA15:IA17)*CELL("contenu",$B$14),COUNTA(IA19:IA19)*CELL("contenu",$B$18))=0,1,SUM(COUNTA(IA5:IA6)*CELL("contenu",$B$4),COUNTA(IA8:IA11)*CELL("contenu",$B$7),COUNTA(IA13:IA13)*CELL("contenu",$B$12),COUNTA(IA15:IA17)*CELL("contenu",$B$14),COUNTA(IA19:IA19)*CELL("contenu",$B$18))))</f>
        <v/>
      </c>
      <c r="IB20" s="184" t="str">
        <f ca="1">IF(COUNTA(IB5:IB19)=0,"",5*SUM(IFERROR((((COUNTIF(IB5:IB6,"A"))*4)+((COUNTIF(IB5:IB6,"B"))*3)+((COUNTIF(IB5:IB6,"C"))*2)+((COUNTIF(IB5:IB6,"D"))*1))*CELL("contenu",$B$4),0),IFERROR((((COUNTIF(IB8:IB11,"A"))*4)+((COUNTIF(IB8:IB11,"B"))*3)+((COUNTIF(IB8:IB11,"C"))*2)+((COUNTIF(IB8:IB11,"D"))*1))*CELL("contenu",$B$7),0),IFERROR((((COUNTIF(IB13:IB13,"A"))*4)+((COUNTIF(IB13:IB13,"B"))*3)+((COUNTIF(IB13:IB13,"C"))*2)+((COUNTIF(IB13:IB13,"D"))*1))*CELL("contenu",$B$12),0),IFERROR((((COUNTIF(IB15:IB17,"A"))*4)+((COUNTIF(IB15:IB17,"B"))*3)+((COUNTIF(IB15:IB17,"C"))*2)+((COUNTIF(IB15:IB17,"D"))*1))*CELL("contenu",$B$14),0),IFERROR((((COUNTIF(IB19:IB19,"A"))*4)+((COUNTIF(IB19:IB19,"B"))*3)+((COUNTIF(IB19:IB19,"C"))*2)+((COUNTIF(IB19:IB19,"D"))*1))*CELL("contenu",$B$18),0))/IF(SUM(COUNTA(IB5:IB6)*CELL("contenu",$B$4),COUNTA(IB8:IB11)*CELL("contenu",$B$7),COUNTA(IB13:IB13)*CELL("contenu",$B$12),COUNTA(IB15:IB17)*CELL("contenu",$B$14),COUNTA(IB19:IB19)*CELL("contenu",$B$18))=0,1,SUM(COUNTA(IB5:IB6)*CELL("contenu",$B$4),COUNTA(IB8:IB11)*CELL("contenu",$B$7),COUNTA(IB13:IB13)*CELL("contenu",$B$12),COUNTA(IB15:IB17)*CELL("contenu",$B$14),COUNTA(IB19:IB19)*CELL("contenu",$B$18))))</f>
        <v/>
      </c>
      <c r="IC20" s="176"/>
      <c r="ID20" s="174" t="str">
        <f ca="1">IF(COUNTA(HZ20:IB20)-COUNTBLANK(HZ20:IB20)=0,"",SUM(HZ20:IB20)/(COUNTA(HZ20:IB20)-COUNTBLANK(HZ20:IB20)))</f>
        <v/>
      </c>
      <c r="IE20" s="103"/>
      <c r="IF20" s="141"/>
      <c r="IG20" s="167">
        <f ca="1">IF(COUNTA(IG5:IG19)=0,"",5*SUM(IFERROR((((COUNTIF(IG5:IG6,"A"))*4)+((COUNTIF(IG5:IG6,"B"))*3)+((COUNTIF(IG5:IG6,"C"))*2)+((COUNTIF(IG5:IG6,"D"))*1))*CELL("contenu",$B$4),0),IFERROR((((COUNTIF(IG8:IG11,"A"))*4)+((COUNTIF(IG8:IG11,"B"))*3)+((COUNTIF(IG8:IG11,"C"))*2)+((COUNTIF(IG8:IG11,"D"))*1))*CELL("contenu",$B$7),0),IFERROR((((COUNTIF(IG13:IG13,"A"))*4)+((COUNTIF(IG13:IG13,"B"))*3)+((COUNTIF(IG13:IG13,"C"))*2)+((COUNTIF(IG13:IG13,"D"))*1))*CELL("contenu",$B$12),0),IFERROR((((COUNTIF(IG15:IG17,"A"))*4)+((COUNTIF(IG15:IG17,"B"))*3)+((COUNTIF(IG15:IG17,"C"))*2)+((COUNTIF(IG15:IG17,"D"))*1))*CELL("contenu",$B$14),0),IFERROR((((COUNTIF(IG19:IG19,"A"))*4)+((COUNTIF(IG19:IG19,"B"))*3)+((COUNTIF(IG19:IG19,"C"))*2)+((COUNTIF(IG19:IG19,"D"))*1))*CELL("contenu",$B$18),0))/IF(SUM(COUNTA(IG5:IG6)*CELL("contenu",$B$4),COUNTA(IG8:IG11)*CELL("contenu",$B$7),COUNTA(IG13:IG13)*CELL("contenu",$B$12),COUNTA(IG15:IG17)*CELL("contenu",$B$14),COUNTA(IG19:IG19)*CELL("contenu",$B$18))=0,1,SUM(COUNTA(IG5:IG6)*CELL("contenu",$B$4),COUNTA(IG8:IG11)*CELL("contenu",$B$7),COUNTA(IG13:IG13)*CELL("contenu",$B$12),COUNTA(IG15:IG17)*CELL("contenu",$B$14),COUNTA(IG19:IG19)*CELL("contenu",$B$18))))</f>
        <v>18.333333333333332</v>
      </c>
      <c r="IH20" s="168">
        <f ca="1">IF(COUNTA(IH5:IH19)=0,"",5*SUM(IFERROR((((COUNTIF(IH5:IH6,"A"))*4)+((COUNTIF(IH5:IH6,"B"))*3)+((COUNTIF(IH5:IH6,"C"))*2)+((COUNTIF(IH5:IH6,"D"))*1))*CELL("contenu",$B$4),0),IFERROR((((COUNTIF(IH8:IH11,"A"))*4)+((COUNTIF(IH8:IH11,"B"))*3)+((COUNTIF(IH8:IH11,"C"))*2)+((COUNTIF(IH8:IH11,"D"))*1))*CELL("contenu",$B$7),0),IFERROR((((COUNTIF(IH13:IH13,"A"))*4)+((COUNTIF(IH13:IH13,"B"))*3)+((COUNTIF(IH13:IH13,"C"))*2)+((COUNTIF(IH13:IH13,"D"))*1))*CELL("contenu",$B$12),0),IFERROR((((COUNTIF(IH15:IH17,"A"))*4)+((COUNTIF(IH15:IH17,"B"))*3)+((COUNTIF(IH15:IH17,"C"))*2)+((COUNTIF(IH15:IH17,"D"))*1))*CELL("contenu",$B$14),0),IFERROR((((COUNTIF(IH19:IH19,"A"))*4)+((COUNTIF(IH19:IH19,"B"))*3)+((COUNTIF(IH19:IH19,"C"))*2)+((COUNTIF(IH19:IH19,"D"))*1))*CELL("contenu",$B$18),0))/IF(SUM(COUNTA(IH5:IH6)*CELL("contenu",$B$4),COUNTA(IH8:IH11)*CELL("contenu",$B$7),COUNTA(IH13:IH13)*CELL("contenu",$B$12),COUNTA(IH15:IH17)*CELL("contenu",$B$14),COUNTA(IH19:IH19)*CELL("contenu",$B$18))=0,1,SUM(COUNTA(IH5:IH6)*CELL("contenu",$B$4),COUNTA(IH8:IH11)*CELL("contenu",$B$7),COUNTA(IH13:IH13)*CELL("contenu",$B$12),COUNTA(IH15:IH17)*CELL("contenu",$B$14),COUNTA(IH19:IH19)*CELL("contenu",$B$18))))</f>
        <v>8.3333333333333339</v>
      </c>
      <c r="II20" s="169" t="str">
        <f ca="1">IF(COUNTA(II5:II19)=0,"",5*SUM(IFERROR((((COUNTIF(II5:II6,"A"))*4)+((COUNTIF(II5:II6,"B"))*3)+((COUNTIF(II5:II6,"C"))*2)+((COUNTIF(II5:II6,"D"))*1))*CELL("contenu",$B$4),0),IFERROR((((COUNTIF(II8:II11,"A"))*4)+((COUNTIF(II8:II11,"B"))*3)+((COUNTIF(II8:II11,"C"))*2)+((COUNTIF(II8:II11,"D"))*1))*CELL("contenu",$B$7),0),IFERROR((((COUNTIF(II13:II13,"A"))*4)+((COUNTIF(II13:II13,"B"))*3)+((COUNTIF(II13:II13,"C"))*2)+((COUNTIF(II13:II13,"D"))*1))*CELL("contenu",$B$12),0),IFERROR((((COUNTIF(II15:II17,"A"))*4)+((COUNTIF(II15:II17,"B"))*3)+((COUNTIF(II15:II17,"C"))*2)+((COUNTIF(II15:II17,"D"))*1))*CELL("contenu",$B$14),0),IFERROR((((COUNTIF(II19:II19,"A"))*4)+((COUNTIF(II19:II19,"B"))*3)+((COUNTIF(II19:II19,"C"))*2)+((COUNTIF(II19:II19,"D"))*1))*CELL("contenu",$B$18),0))/IF(SUM(COUNTA(II5:II6)*CELL("contenu",$B$4),COUNTA(II8:II11)*CELL("contenu",$B$7),COUNTA(II13:II13)*CELL("contenu",$B$12),COUNTA(II15:II17)*CELL("contenu",$B$14),COUNTA(II19:II19)*CELL("contenu",$B$18))=0,1,SUM(COUNTA(II5:II6)*CELL("contenu",$B$4),COUNTA(II8:II11)*CELL("contenu",$B$7),COUNTA(II13:II13)*CELL("contenu",$B$12),COUNTA(II15:II17)*CELL("contenu",$B$14),COUNTA(II19:II19)*CELL("contenu",$B$18))))</f>
        <v/>
      </c>
      <c r="IJ20" s="116"/>
      <c r="IK20" s="192">
        <f ca="1">IF(COUNTA(IG20:II20)-COUNTBLANK(IG20:II20)=0,"",SUM(IG20:II20)/(COUNTA(IG20:II20)-COUNTBLANK(IG20:II20)))</f>
        <v>13.333333333333332</v>
      </c>
      <c r="IL20" s="182" t="str">
        <f ca="1">IF(COUNTA(IL5:IL19)=0,"",5*SUM(IFERROR((((COUNTIF(IL5:IL6,"A"))*4)+((COUNTIF(IL5:IL6,"B"))*3)+((COUNTIF(IL5:IL6,"C"))*2)+((COUNTIF(IL5:IL6,"D"))*1))*CELL("contenu",$B$4),0),IFERROR((((COUNTIF(IL8:IL11,"A"))*4)+((COUNTIF(IL8:IL11,"B"))*3)+((COUNTIF(IL8:IL11,"C"))*2)+((COUNTIF(IL8:IL11,"D"))*1))*CELL("contenu",$B$7),0),IFERROR((((COUNTIF(IL13:IL13,"A"))*4)+((COUNTIF(IL13:IL13,"B"))*3)+((COUNTIF(IL13:IL13,"C"))*2)+((COUNTIF(IL13:IL13,"D"))*1))*CELL("contenu",$B$12),0),IFERROR((((COUNTIF(IL15:IL17,"A"))*4)+((COUNTIF(IL15:IL17,"B"))*3)+((COUNTIF(IL15:IL17,"C"))*2)+((COUNTIF(IL15:IL17,"D"))*1))*CELL("contenu",$B$14),0),IFERROR((((COUNTIF(IL19:IL19,"A"))*4)+((COUNTIF(IL19:IL19,"B"))*3)+((COUNTIF(IL19:IL19,"C"))*2)+((COUNTIF(IL19:IL19,"D"))*1))*CELL("contenu",$B$18),0))/IF(SUM(COUNTA(IL5:IL6)*CELL("contenu",$B$4),COUNTA(IL8:IL11)*CELL("contenu",$B$7),COUNTA(IL13:IL13)*CELL("contenu",$B$12),COUNTA(IL15:IL17)*CELL("contenu",$B$14),COUNTA(IL19:IL19)*CELL("contenu",$B$18))=0,1,SUM(COUNTA(IL5:IL6)*CELL("contenu",$B$4),COUNTA(IL8:IL11)*CELL("contenu",$B$7),COUNTA(IL13:IL13)*CELL("contenu",$B$12),COUNTA(IL15:IL17)*CELL("contenu",$B$14),COUNTA(IL19:IL19)*CELL("contenu",$B$18))))</f>
        <v/>
      </c>
      <c r="IM20" s="183" t="str">
        <f ca="1">IF(COUNTA(IM5:IM19)=0,"",5*SUM(IFERROR((((COUNTIF(IM5:IM6,"A"))*4)+((COUNTIF(IM5:IM6,"B"))*3)+((COUNTIF(IM5:IM6,"C"))*2)+((COUNTIF(IM5:IM6,"D"))*1))*CELL("contenu",$B$4),0),IFERROR((((COUNTIF(IM8:IM11,"A"))*4)+((COUNTIF(IM8:IM11,"B"))*3)+((COUNTIF(IM8:IM11,"C"))*2)+((COUNTIF(IM8:IM11,"D"))*1))*CELL("contenu",$B$7),0),IFERROR((((COUNTIF(IM13:IM13,"A"))*4)+((COUNTIF(IM13:IM13,"B"))*3)+((COUNTIF(IM13:IM13,"C"))*2)+((COUNTIF(IM13:IM13,"D"))*1))*CELL("contenu",$B$12),0),IFERROR((((COUNTIF(IM15:IM17,"A"))*4)+((COUNTIF(IM15:IM17,"B"))*3)+((COUNTIF(IM15:IM17,"C"))*2)+((COUNTIF(IM15:IM17,"D"))*1))*CELL("contenu",$B$14),0),IFERROR((((COUNTIF(IM19:IM19,"A"))*4)+((COUNTIF(IM19:IM19,"B"))*3)+((COUNTIF(IM19:IM19,"C"))*2)+((COUNTIF(IM19:IM19,"D"))*1))*CELL("contenu",$B$18),0))/IF(SUM(COUNTA(IM5:IM6)*CELL("contenu",$B$4),COUNTA(IM8:IM11)*CELL("contenu",$B$7),COUNTA(IM13:IM13)*CELL("contenu",$B$12),COUNTA(IM15:IM17)*CELL("contenu",$B$14),COUNTA(IM19:IM19)*CELL("contenu",$B$18))=0,1,SUM(COUNTA(IM5:IM6)*CELL("contenu",$B$4),COUNTA(IM8:IM11)*CELL("contenu",$B$7),COUNTA(IM13:IM13)*CELL("contenu",$B$12),COUNTA(IM15:IM17)*CELL("contenu",$B$14),COUNTA(IM19:IM19)*CELL("contenu",$B$18))))</f>
        <v/>
      </c>
      <c r="IN20" s="184" t="str">
        <f ca="1">IF(COUNTA(IN5:IN19)=0,"",5*SUM(IFERROR((((COUNTIF(IN5:IN6,"A"))*4)+((COUNTIF(IN5:IN6,"B"))*3)+((COUNTIF(IN5:IN6,"C"))*2)+((COUNTIF(IN5:IN6,"D"))*1))*CELL("contenu",$B$4),0),IFERROR((((COUNTIF(IN8:IN11,"A"))*4)+((COUNTIF(IN8:IN11,"B"))*3)+((COUNTIF(IN8:IN11,"C"))*2)+((COUNTIF(IN8:IN11,"D"))*1))*CELL("contenu",$B$7),0),IFERROR((((COUNTIF(IN13:IN13,"A"))*4)+((COUNTIF(IN13:IN13,"B"))*3)+((COUNTIF(IN13:IN13,"C"))*2)+((COUNTIF(IN13:IN13,"D"))*1))*CELL("contenu",$B$12),0),IFERROR((((COUNTIF(IN15:IN17,"A"))*4)+((COUNTIF(IN15:IN17,"B"))*3)+((COUNTIF(IN15:IN17,"C"))*2)+((COUNTIF(IN15:IN17,"D"))*1))*CELL("contenu",$B$14),0),IFERROR((((COUNTIF(IN19:IN19,"A"))*4)+((COUNTIF(IN19:IN19,"B"))*3)+((COUNTIF(IN19:IN19,"C"))*2)+((COUNTIF(IN19:IN19,"D"))*1))*CELL("contenu",$B$18),0))/IF(SUM(COUNTA(IN5:IN6)*CELL("contenu",$B$4),COUNTA(IN8:IN11)*CELL("contenu",$B$7),COUNTA(IN13:IN13)*CELL("contenu",$B$12),COUNTA(IN15:IN17)*CELL("contenu",$B$14),COUNTA(IN19:IN19)*CELL("contenu",$B$18))=0,1,SUM(COUNTA(IN5:IN6)*CELL("contenu",$B$4),COUNTA(IN8:IN11)*CELL("contenu",$B$7),COUNTA(IN13:IN13)*CELL("contenu",$B$12),COUNTA(IN15:IN17)*CELL("contenu",$B$14),COUNTA(IN19:IN19)*CELL("contenu",$B$18))))</f>
        <v/>
      </c>
      <c r="IO20" s="176"/>
      <c r="IP20" s="175" t="str">
        <f ca="1">IF(COUNTA(IL20:IN20)-COUNTBLANK(IL20:IN20)=0,"",SUM(IL20:IN20)/(COUNTA(IL20:IN20)-COUNTBLANK(IL20:IN20)))</f>
        <v/>
      </c>
      <c r="IQ20" s="182" t="str">
        <f ca="1">IF(COUNTA(IQ5:IQ19)=0,"",5*SUM(IFERROR((((COUNTIF(IQ5:IQ6,"A"))*4)+((COUNTIF(IQ5:IQ6,"B"))*3)+((COUNTIF(IQ5:IQ6,"C"))*2)+((COUNTIF(IQ5:IQ6,"D"))*1))*CELL("contenu",$B$4),0),IFERROR((((COUNTIF(IQ8:IQ11,"A"))*4)+((COUNTIF(IQ8:IQ11,"B"))*3)+((COUNTIF(IQ8:IQ11,"C"))*2)+((COUNTIF(IQ8:IQ11,"D"))*1))*CELL("contenu",$B$7),0),IFERROR((((COUNTIF(IQ13:IQ13,"A"))*4)+((COUNTIF(IQ13:IQ13,"B"))*3)+((COUNTIF(IQ13:IQ13,"C"))*2)+((COUNTIF(IQ13:IQ13,"D"))*1))*CELL("contenu",$B$12),0),IFERROR((((COUNTIF(IQ15:IQ17,"A"))*4)+((COUNTIF(IQ15:IQ17,"B"))*3)+((COUNTIF(IQ15:IQ17,"C"))*2)+((COUNTIF(IQ15:IQ17,"D"))*1))*CELL("contenu",$B$14),0),IFERROR((((COUNTIF(IQ19:IQ19,"A"))*4)+((COUNTIF(IQ19:IQ19,"B"))*3)+((COUNTIF(IQ19:IQ19,"C"))*2)+((COUNTIF(IQ19:IQ19,"D"))*1))*CELL("contenu",$B$18),0))/IF(SUM(COUNTA(IQ5:IQ6)*CELL("contenu",$B$4),COUNTA(IQ8:IQ11)*CELL("contenu",$B$7),COUNTA(IQ13:IQ13)*CELL("contenu",$B$12),COUNTA(IQ15:IQ17)*CELL("contenu",$B$14),COUNTA(IQ19:IQ19)*CELL("contenu",$B$18))=0,1,SUM(COUNTA(IQ5:IQ6)*CELL("contenu",$B$4),COUNTA(IQ8:IQ11)*CELL("contenu",$B$7),COUNTA(IQ13:IQ13)*CELL("contenu",$B$12),COUNTA(IQ15:IQ17)*CELL("contenu",$B$14),COUNTA(IQ19:IQ19)*CELL("contenu",$B$18))))</f>
        <v/>
      </c>
      <c r="IR20" s="183" t="str">
        <f ca="1">IF(COUNTA(IR5:IR19)=0,"",5*SUM(IFERROR((((COUNTIF(IR5:IR6,"A"))*4)+((COUNTIF(IR5:IR6,"B"))*3)+((COUNTIF(IR5:IR6,"C"))*2)+((COUNTIF(IR5:IR6,"D"))*1))*CELL("contenu",$B$4),0),IFERROR((((COUNTIF(IR8:IR11,"A"))*4)+((COUNTIF(IR8:IR11,"B"))*3)+((COUNTIF(IR8:IR11,"C"))*2)+((COUNTIF(IR8:IR11,"D"))*1))*CELL("contenu",$B$7),0),IFERROR((((COUNTIF(IR13:IR13,"A"))*4)+((COUNTIF(IR13:IR13,"B"))*3)+((COUNTIF(IR13:IR13,"C"))*2)+((COUNTIF(IR13:IR13,"D"))*1))*CELL("contenu",$B$12),0),IFERROR((((COUNTIF(IR15:IR17,"A"))*4)+((COUNTIF(IR15:IR17,"B"))*3)+((COUNTIF(IR15:IR17,"C"))*2)+((COUNTIF(IR15:IR17,"D"))*1))*CELL("contenu",$B$14),0),IFERROR((((COUNTIF(IR19:IR19,"A"))*4)+((COUNTIF(IR19:IR19,"B"))*3)+((COUNTIF(IR19:IR19,"C"))*2)+((COUNTIF(IR19:IR19,"D"))*1))*CELL("contenu",$B$18),0))/IF(SUM(COUNTA(IR5:IR6)*CELL("contenu",$B$4),COUNTA(IR8:IR11)*CELL("contenu",$B$7),COUNTA(IR13:IR13)*CELL("contenu",$B$12),COUNTA(IR15:IR17)*CELL("contenu",$B$14),COUNTA(IR19:IR19)*CELL("contenu",$B$18))=0,1,SUM(COUNTA(IR5:IR6)*CELL("contenu",$B$4),COUNTA(IR8:IR11)*CELL("contenu",$B$7),COUNTA(IR13:IR13)*CELL("contenu",$B$12),COUNTA(IR15:IR17)*CELL("contenu",$B$14),COUNTA(IR19:IR19)*CELL("contenu",$B$18))))</f>
        <v/>
      </c>
      <c r="IS20" s="184" t="str">
        <f ca="1">IF(COUNTA(IS5:IS19)=0,"",5*SUM(IFERROR((((COUNTIF(IS5:IS6,"A"))*4)+((COUNTIF(IS5:IS6,"B"))*3)+((COUNTIF(IS5:IS6,"C"))*2)+((COUNTIF(IS5:IS6,"D"))*1))*CELL("contenu",$B$4),0),IFERROR((((COUNTIF(IS8:IS11,"A"))*4)+((COUNTIF(IS8:IS11,"B"))*3)+((COUNTIF(IS8:IS11,"C"))*2)+((COUNTIF(IS8:IS11,"D"))*1))*CELL("contenu",$B$7),0),IFERROR((((COUNTIF(IS13:IS13,"A"))*4)+((COUNTIF(IS13:IS13,"B"))*3)+((COUNTIF(IS13:IS13,"C"))*2)+((COUNTIF(IS13:IS13,"D"))*1))*CELL("contenu",$B$12),0),IFERROR((((COUNTIF(IS15:IS17,"A"))*4)+((COUNTIF(IS15:IS17,"B"))*3)+((COUNTIF(IS15:IS17,"C"))*2)+((COUNTIF(IS15:IS17,"D"))*1))*CELL("contenu",$B$14),0),IFERROR((((COUNTIF(IS19:IS19,"A"))*4)+((COUNTIF(IS19:IS19,"B"))*3)+((COUNTIF(IS19:IS19,"C"))*2)+((COUNTIF(IS19:IS19,"D"))*1))*CELL("contenu",$B$18),0))/IF(SUM(COUNTA(IS5:IS6)*CELL("contenu",$B$4),COUNTA(IS8:IS11)*CELL("contenu",$B$7),COUNTA(IS13:IS13)*CELL("contenu",$B$12),COUNTA(IS15:IS17)*CELL("contenu",$B$14),COUNTA(IS19:IS19)*CELL("contenu",$B$18))=0,1,SUM(COUNTA(IS5:IS6)*CELL("contenu",$B$4),COUNTA(IS8:IS11)*CELL("contenu",$B$7),COUNTA(IS13:IS13)*CELL("contenu",$B$12),COUNTA(IS15:IS17)*CELL("contenu",$B$14),COUNTA(IS19:IS19)*CELL("contenu",$B$18))))</f>
        <v/>
      </c>
      <c r="IT20" s="176"/>
      <c r="IU20" s="174" t="str">
        <f ca="1">IF(COUNTA(IQ20:IS20)-COUNTBLANK(IQ20:IS20)=0,"",SUM(IQ20:IS20)/(COUNTA(IQ20:IS20)-COUNTBLANK(IQ20:IS20)))</f>
        <v/>
      </c>
      <c r="IV20" s="103"/>
      <c r="IW20" s="141"/>
      <c r="IX20" s="167">
        <f ca="1">IF(COUNTA(IX5:IX19)=0,"",5*SUM(IFERROR((((COUNTIF(IX5:IX6,"A"))*4)+((COUNTIF(IX5:IX6,"B"))*3)+((COUNTIF(IX5:IX6,"C"))*2)+((COUNTIF(IX5:IX6,"D"))*1))*CELL("contenu",$B$4),0),IFERROR((((COUNTIF(IX8:IX11,"A"))*4)+((COUNTIF(IX8:IX11,"B"))*3)+((COUNTIF(IX8:IX11,"C"))*2)+((COUNTIF(IX8:IX11,"D"))*1))*CELL("contenu",$B$7),0),IFERROR((((COUNTIF(IX13:IX13,"A"))*4)+((COUNTIF(IX13:IX13,"B"))*3)+((COUNTIF(IX13:IX13,"C"))*2)+((COUNTIF(IX13:IX13,"D"))*1))*CELL("contenu",$B$12),0),IFERROR((((COUNTIF(IX15:IX17,"A"))*4)+((COUNTIF(IX15:IX17,"B"))*3)+((COUNTIF(IX15:IX17,"C"))*2)+((COUNTIF(IX15:IX17,"D"))*1))*CELL("contenu",$B$14),0),IFERROR((((COUNTIF(IX19:IX19,"A"))*4)+((COUNTIF(IX19:IX19,"B"))*3)+((COUNTIF(IX19:IX19,"C"))*2)+((COUNTIF(IX19:IX19,"D"))*1))*CELL("contenu",$B$18),0))/IF(SUM(COUNTA(IX5:IX6)*CELL("contenu",$B$4),COUNTA(IX8:IX11)*CELL("contenu",$B$7),COUNTA(IX13:IX13)*CELL("contenu",$B$12),COUNTA(IX15:IX17)*CELL("contenu",$B$14),COUNTA(IX19:IX19)*CELL("contenu",$B$18))=0,1,SUM(COUNTA(IX5:IX6)*CELL("contenu",$B$4),COUNTA(IX8:IX11)*CELL("contenu",$B$7),COUNTA(IX13:IX13)*CELL("contenu",$B$12),COUNTA(IX15:IX17)*CELL("contenu",$B$14),COUNTA(IX19:IX19)*CELL("contenu",$B$18))))</f>
        <v>18.333333333333332</v>
      </c>
      <c r="IY20" s="168">
        <f ca="1">IF(COUNTA(IY5:IY19)=0,"",5*SUM(IFERROR((((COUNTIF(IY5:IY6,"A"))*4)+((COUNTIF(IY5:IY6,"B"))*3)+((COUNTIF(IY5:IY6,"C"))*2)+((COUNTIF(IY5:IY6,"D"))*1))*CELL("contenu",$B$4),0),IFERROR((((COUNTIF(IY8:IY11,"A"))*4)+((COUNTIF(IY8:IY11,"B"))*3)+((COUNTIF(IY8:IY11,"C"))*2)+((COUNTIF(IY8:IY11,"D"))*1))*CELL("contenu",$B$7),0),IFERROR((((COUNTIF(IY13:IY13,"A"))*4)+((COUNTIF(IY13:IY13,"B"))*3)+((COUNTIF(IY13:IY13,"C"))*2)+((COUNTIF(IY13:IY13,"D"))*1))*CELL("contenu",$B$12),0),IFERROR((((COUNTIF(IY15:IY17,"A"))*4)+((COUNTIF(IY15:IY17,"B"))*3)+((COUNTIF(IY15:IY17,"C"))*2)+((COUNTIF(IY15:IY17,"D"))*1))*CELL("contenu",$B$14),0),IFERROR((((COUNTIF(IY19:IY19,"A"))*4)+((COUNTIF(IY19:IY19,"B"))*3)+((COUNTIF(IY19:IY19,"C"))*2)+((COUNTIF(IY19:IY19,"D"))*1))*CELL("contenu",$B$18),0))/IF(SUM(COUNTA(IY5:IY6)*CELL("contenu",$B$4),COUNTA(IY8:IY11)*CELL("contenu",$B$7),COUNTA(IY13:IY13)*CELL("contenu",$B$12),COUNTA(IY15:IY17)*CELL("contenu",$B$14),COUNTA(IY19:IY19)*CELL("contenu",$B$18))=0,1,SUM(COUNTA(IY5:IY6)*CELL("contenu",$B$4),COUNTA(IY8:IY11)*CELL("contenu",$B$7),COUNTA(IY13:IY13)*CELL("contenu",$B$12),COUNTA(IY15:IY17)*CELL("contenu",$B$14),COUNTA(IY19:IY19)*CELL("contenu",$B$18))))</f>
        <v>15</v>
      </c>
      <c r="IZ20" s="169" t="str">
        <f ca="1">IF(COUNTA(IZ5:IZ19)=0,"",5*SUM(IFERROR((((COUNTIF(IZ5:IZ6,"A"))*4)+((COUNTIF(IZ5:IZ6,"B"))*3)+((COUNTIF(IZ5:IZ6,"C"))*2)+((COUNTIF(IZ5:IZ6,"D"))*1))*CELL("contenu",$B$4),0),IFERROR((((COUNTIF(IZ8:IZ11,"A"))*4)+((COUNTIF(IZ8:IZ11,"B"))*3)+((COUNTIF(IZ8:IZ11,"C"))*2)+((COUNTIF(IZ8:IZ11,"D"))*1))*CELL("contenu",$B$7),0),IFERROR((((COUNTIF(IZ13:IZ13,"A"))*4)+((COUNTIF(IZ13:IZ13,"B"))*3)+((COUNTIF(IZ13:IZ13,"C"))*2)+((COUNTIF(IZ13:IZ13,"D"))*1))*CELL("contenu",$B$12),0),IFERROR((((COUNTIF(IZ15:IZ17,"A"))*4)+((COUNTIF(IZ15:IZ17,"B"))*3)+((COUNTIF(IZ15:IZ17,"C"))*2)+((COUNTIF(IZ15:IZ17,"D"))*1))*CELL("contenu",$B$14),0),IFERROR((((COUNTIF(IZ19:IZ19,"A"))*4)+((COUNTIF(IZ19:IZ19,"B"))*3)+((COUNTIF(IZ19:IZ19,"C"))*2)+((COUNTIF(IZ19:IZ19,"D"))*1))*CELL("contenu",$B$18),0))/IF(SUM(COUNTA(IZ5:IZ6)*CELL("contenu",$B$4),COUNTA(IZ8:IZ11)*CELL("contenu",$B$7),COUNTA(IZ13:IZ13)*CELL("contenu",$B$12),COUNTA(IZ15:IZ17)*CELL("contenu",$B$14),COUNTA(IZ19:IZ19)*CELL("contenu",$B$18))=0,1,SUM(COUNTA(IZ5:IZ6)*CELL("contenu",$B$4),COUNTA(IZ8:IZ11)*CELL("contenu",$B$7),COUNTA(IZ13:IZ13)*CELL("contenu",$B$12),COUNTA(IZ15:IZ17)*CELL("contenu",$B$14),COUNTA(IZ19:IZ19)*CELL("contenu",$B$18))))</f>
        <v/>
      </c>
      <c r="JA20" s="116"/>
      <c r="JB20" s="192">
        <f ca="1">IF(COUNTA(IX20:IZ20)-COUNTBLANK(IX20:IZ20)=0,"",SUM(IX20:IZ20)/(COUNTA(IX20:IZ20)-COUNTBLANK(IX20:IZ20)))</f>
        <v>16.666666666666664</v>
      </c>
      <c r="JC20" s="182" t="str">
        <f ca="1">IF(COUNTA(JC5:JC19)=0,"",5*SUM(IFERROR((((COUNTIF(JC5:JC6,"A"))*4)+((COUNTIF(JC5:JC6,"B"))*3)+((COUNTIF(JC5:JC6,"C"))*2)+((COUNTIF(JC5:JC6,"D"))*1))*CELL("contenu",$B$4),0),IFERROR((((COUNTIF(JC8:JC11,"A"))*4)+((COUNTIF(JC8:JC11,"B"))*3)+((COUNTIF(JC8:JC11,"C"))*2)+((COUNTIF(JC8:JC11,"D"))*1))*CELL("contenu",$B$7),0),IFERROR((((COUNTIF(JC13:JC13,"A"))*4)+((COUNTIF(JC13:JC13,"B"))*3)+((COUNTIF(JC13:JC13,"C"))*2)+((COUNTIF(JC13:JC13,"D"))*1))*CELL("contenu",$B$12),0),IFERROR((((COUNTIF(JC15:JC17,"A"))*4)+((COUNTIF(JC15:JC17,"B"))*3)+((COUNTIF(JC15:JC17,"C"))*2)+((COUNTIF(JC15:JC17,"D"))*1))*CELL("contenu",$B$14),0),IFERROR((((COUNTIF(JC19:JC19,"A"))*4)+((COUNTIF(JC19:JC19,"B"))*3)+((COUNTIF(JC19:JC19,"C"))*2)+((COUNTIF(JC19:JC19,"D"))*1))*CELL("contenu",$B$18),0))/IF(SUM(COUNTA(JC5:JC6)*CELL("contenu",$B$4),COUNTA(JC8:JC11)*CELL("contenu",$B$7),COUNTA(JC13:JC13)*CELL("contenu",$B$12),COUNTA(JC15:JC17)*CELL("contenu",$B$14),COUNTA(JC19:JC19)*CELL("contenu",$B$18))=0,1,SUM(COUNTA(JC5:JC6)*CELL("contenu",$B$4),COUNTA(JC8:JC11)*CELL("contenu",$B$7),COUNTA(JC13:JC13)*CELL("contenu",$B$12),COUNTA(JC15:JC17)*CELL("contenu",$B$14),COUNTA(JC19:JC19)*CELL("contenu",$B$18))))</f>
        <v/>
      </c>
      <c r="JD20" s="183" t="str">
        <f ca="1">IF(COUNTA(JD5:JD19)=0,"",5*SUM(IFERROR((((COUNTIF(JD5:JD6,"A"))*4)+((COUNTIF(JD5:JD6,"B"))*3)+((COUNTIF(JD5:JD6,"C"))*2)+((COUNTIF(JD5:JD6,"D"))*1))*CELL("contenu",$B$4),0),IFERROR((((COUNTIF(JD8:JD11,"A"))*4)+((COUNTIF(JD8:JD11,"B"))*3)+((COUNTIF(JD8:JD11,"C"))*2)+((COUNTIF(JD8:JD11,"D"))*1))*CELL("contenu",$B$7),0),IFERROR((((COUNTIF(JD13:JD13,"A"))*4)+((COUNTIF(JD13:JD13,"B"))*3)+((COUNTIF(JD13:JD13,"C"))*2)+((COUNTIF(JD13:JD13,"D"))*1))*CELL("contenu",$B$12),0),IFERROR((((COUNTIF(JD15:JD17,"A"))*4)+((COUNTIF(JD15:JD17,"B"))*3)+((COUNTIF(JD15:JD17,"C"))*2)+((COUNTIF(JD15:JD17,"D"))*1))*CELL("contenu",$B$14),0),IFERROR((((COUNTIF(JD19:JD19,"A"))*4)+((COUNTIF(JD19:JD19,"B"))*3)+((COUNTIF(JD19:JD19,"C"))*2)+((COUNTIF(JD19:JD19,"D"))*1))*CELL("contenu",$B$18),0))/IF(SUM(COUNTA(JD5:JD6)*CELL("contenu",$B$4),COUNTA(JD8:JD11)*CELL("contenu",$B$7),COUNTA(JD13:JD13)*CELL("contenu",$B$12),COUNTA(JD15:JD17)*CELL("contenu",$B$14),COUNTA(JD19:JD19)*CELL("contenu",$B$18))=0,1,SUM(COUNTA(JD5:JD6)*CELL("contenu",$B$4),COUNTA(JD8:JD11)*CELL("contenu",$B$7),COUNTA(JD13:JD13)*CELL("contenu",$B$12),COUNTA(JD15:JD17)*CELL("contenu",$B$14),COUNTA(JD19:JD19)*CELL("contenu",$B$18))))</f>
        <v/>
      </c>
      <c r="JE20" s="184" t="str">
        <f ca="1">IF(COUNTA(JE5:JE19)=0,"",5*SUM(IFERROR((((COUNTIF(JE5:JE6,"A"))*4)+((COUNTIF(JE5:JE6,"B"))*3)+((COUNTIF(JE5:JE6,"C"))*2)+((COUNTIF(JE5:JE6,"D"))*1))*CELL("contenu",$B$4),0),IFERROR((((COUNTIF(JE8:JE11,"A"))*4)+((COUNTIF(JE8:JE11,"B"))*3)+((COUNTIF(JE8:JE11,"C"))*2)+((COUNTIF(JE8:JE11,"D"))*1))*CELL("contenu",$B$7),0),IFERROR((((COUNTIF(JE13:JE13,"A"))*4)+((COUNTIF(JE13:JE13,"B"))*3)+((COUNTIF(JE13:JE13,"C"))*2)+((COUNTIF(JE13:JE13,"D"))*1))*CELL("contenu",$B$12),0),IFERROR((((COUNTIF(JE15:JE17,"A"))*4)+((COUNTIF(JE15:JE17,"B"))*3)+((COUNTIF(JE15:JE17,"C"))*2)+((COUNTIF(JE15:JE17,"D"))*1))*CELL("contenu",$B$14),0),IFERROR((((COUNTIF(JE19:JE19,"A"))*4)+((COUNTIF(JE19:JE19,"B"))*3)+((COUNTIF(JE19:JE19,"C"))*2)+((COUNTIF(JE19:JE19,"D"))*1))*CELL("contenu",$B$18),0))/IF(SUM(COUNTA(JE5:JE6)*CELL("contenu",$B$4),COUNTA(JE8:JE11)*CELL("contenu",$B$7),COUNTA(JE13:JE13)*CELL("contenu",$B$12),COUNTA(JE15:JE17)*CELL("contenu",$B$14),COUNTA(JE19:JE19)*CELL("contenu",$B$18))=0,1,SUM(COUNTA(JE5:JE6)*CELL("contenu",$B$4),COUNTA(JE8:JE11)*CELL("contenu",$B$7),COUNTA(JE13:JE13)*CELL("contenu",$B$12),COUNTA(JE15:JE17)*CELL("contenu",$B$14),COUNTA(JE19:JE19)*CELL("contenu",$B$18))))</f>
        <v/>
      </c>
      <c r="JF20" s="176"/>
      <c r="JG20" s="175" t="str">
        <f ca="1">IF(COUNTA(JC20:JE20)-COUNTBLANK(JC20:JE20)=0,"",SUM(JC20:JE20)/(COUNTA(JC20:JE20)-COUNTBLANK(JC20:JE20)))</f>
        <v/>
      </c>
      <c r="JH20" s="182" t="str">
        <f ca="1">IF(COUNTA(JH5:JH19)=0,"",5*SUM(IFERROR((((COUNTIF(JH5:JH6,"A"))*4)+((COUNTIF(JH5:JH6,"B"))*3)+((COUNTIF(JH5:JH6,"C"))*2)+((COUNTIF(JH5:JH6,"D"))*1))*CELL("contenu",$B$4),0),IFERROR((((COUNTIF(JH8:JH11,"A"))*4)+((COUNTIF(JH8:JH11,"B"))*3)+((COUNTIF(JH8:JH11,"C"))*2)+((COUNTIF(JH8:JH11,"D"))*1))*CELL("contenu",$B$7),0),IFERROR((((COUNTIF(JH13:JH13,"A"))*4)+((COUNTIF(JH13:JH13,"B"))*3)+((COUNTIF(JH13:JH13,"C"))*2)+((COUNTIF(JH13:JH13,"D"))*1))*CELL("contenu",$B$12),0),IFERROR((((COUNTIF(JH15:JH17,"A"))*4)+((COUNTIF(JH15:JH17,"B"))*3)+((COUNTIF(JH15:JH17,"C"))*2)+((COUNTIF(JH15:JH17,"D"))*1))*CELL("contenu",$B$14),0),IFERROR((((COUNTIF(JH19:JH19,"A"))*4)+((COUNTIF(JH19:JH19,"B"))*3)+((COUNTIF(JH19:JH19,"C"))*2)+((COUNTIF(JH19:JH19,"D"))*1))*CELL("contenu",$B$18),0))/IF(SUM(COUNTA(JH5:JH6)*CELL("contenu",$B$4),COUNTA(JH8:JH11)*CELL("contenu",$B$7),COUNTA(JH13:JH13)*CELL("contenu",$B$12),COUNTA(JH15:JH17)*CELL("contenu",$B$14),COUNTA(JH19:JH19)*CELL("contenu",$B$18))=0,1,SUM(COUNTA(JH5:JH6)*CELL("contenu",$B$4),COUNTA(JH8:JH11)*CELL("contenu",$B$7),COUNTA(JH13:JH13)*CELL("contenu",$B$12),COUNTA(JH15:JH17)*CELL("contenu",$B$14),COUNTA(JH19:JH19)*CELL("contenu",$B$18))))</f>
        <v/>
      </c>
      <c r="JI20" s="183" t="str">
        <f ca="1">IF(COUNTA(JI5:JI19)=0,"",5*SUM(IFERROR((((COUNTIF(JI5:JI6,"A"))*4)+((COUNTIF(JI5:JI6,"B"))*3)+((COUNTIF(JI5:JI6,"C"))*2)+((COUNTIF(JI5:JI6,"D"))*1))*CELL("contenu",$B$4),0),IFERROR((((COUNTIF(JI8:JI11,"A"))*4)+((COUNTIF(JI8:JI11,"B"))*3)+((COUNTIF(JI8:JI11,"C"))*2)+((COUNTIF(JI8:JI11,"D"))*1))*CELL("contenu",$B$7),0),IFERROR((((COUNTIF(JI13:JI13,"A"))*4)+((COUNTIF(JI13:JI13,"B"))*3)+((COUNTIF(JI13:JI13,"C"))*2)+((COUNTIF(JI13:JI13,"D"))*1))*CELL("contenu",$B$12),0),IFERROR((((COUNTIF(JI15:JI17,"A"))*4)+((COUNTIF(JI15:JI17,"B"))*3)+((COUNTIF(JI15:JI17,"C"))*2)+((COUNTIF(JI15:JI17,"D"))*1))*CELL("contenu",$B$14),0),IFERROR((((COUNTIF(JI19:JI19,"A"))*4)+((COUNTIF(JI19:JI19,"B"))*3)+((COUNTIF(JI19:JI19,"C"))*2)+((COUNTIF(JI19:JI19,"D"))*1))*CELL("contenu",$B$18),0))/IF(SUM(COUNTA(JI5:JI6)*CELL("contenu",$B$4),COUNTA(JI8:JI11)*CELL("contenu",$B$7),COUNTA(JI13:JI13)*CELL("contenu",$B$12),COUNTA(JI15:JI17)*CELL("contenu",$B$14),COUNTA(JI19:JI19)*CELL("contenu",$B$18))=0,1,SUM(COUNTA(JI5:JI6)*CELL("contenu",$B$4),COUNTA(JI8:JI11)*CELL("contenu",$B$7),COUNTA(JI13:JI13)*CELL("contenu",$B$12),COUNTA(JI15:JI17)*CELL("contenu",$B$14),COUNTA(JI19:JI19)*CELL("contenu",$B$18))))</f>
        <v/>
      </c>
      <c r="JJ20" s="184" t="str">
        <f ca="1">IF(COUNTA(JJ5:JJ19)=0,"",5*SUM(IFERROR((((COUNTIF(JJ5:JJ6,"A"))*4)+((COUNTIF(JJ5:JJ6,"B"))*3)+((COUNTIF(JJ5:JJ6,"C"))*2)+((COUNTIF(JJ5:JJ6,"D"))*1))*CELL("contenu",$B$4),0),IFERROR((((COUNTIF(JJ8:JJ11,"A"))*4)+((COUNTIF(JJ8:JJ11,"B"))*3)+((COUNTIF(JJ8:JJ11,"C"))*2)+((COUNTIF(JJ8:JJ11,"D"))*1))*CELL("contenu",$B$7),0),IFERROR((((COUNTIF(JJ13:JJ13,"A"))*4)+((COUNTIF(JJ13:JJ13,"B"))*3)+((COUNTIF(JJ13:JJ13,"C"))*2)+((COUNTIF(JJ13:JJ13,"D"))*1))*CELL("contenu",$B$12),0),IFERROR((((COUNTIF(JJ15:JJ17,"A"))*4)+((COUNTIF(JJ15:JJ17,"B"))*3)+((COUNTIF(JJ15:JJ17,"C"))*2)+((COUNTIF(JJ15:JJ17,"D"))*1))*CELL("contenu",$B$14),0),IFERROR((((COUNTIF(JJ19:JJ19,"A"))*4)+((COUNTIF(JJ19:JJ19,"B"))*3)+((COUNTIF(JJ19:JJ19,"C"))*2)+((COUNTIF(JJ19:JJ19,"D"))*1))*CELL("contenu",$B$18),0))/IF(SUM(COUNTA(JJ5:JJ6)*CELL("contenu",$B$4),COUNTA(JJ8:JJ11)*CELL("contenu",$B$7),COUNTA(JJ13:JJ13)*CELL("contenu",$B$12),COUNTA(JJ15:JJ17)*CELL("contenu",$B$14),COUNTA(JJ19:JJ19)*CELL("contenu",$B$18))=0,1,SUM(COUNTA(JJ5:JJ6)*CELL("contenu",$B$4),COUNTA(JJ8:JJ11)*CELL("contenu",$B$7),COUNTA(JJ13:JJ13)*CELL("contenu",$B$12),COUNTA(JJ15:JJ17)*CELL("contenu",$B$14),COUNTA(JJ19:JJ19)*CELL("contenu",$B$18))))</f>
        <v/>
      </c>
      <c r="JK20" s="176"/>
      <c r="JL20" s="174" t="str">
        <f ca="1">IF(COUNTA(JH20:JJ20)-COUNTBLANK(JH20:JJ20)=0,"",SUM(JH20:JJ20)/(COUNTA(JH20:JJ20)-COUNTBLANK(JH20:JJ20)))</f>
        <v/>
      </c>
      <c r="JM20" s="103"/>
      <c r="JN20" s="141"/>
      <c r="JO20" s="167">
        <f ca="1">IF(COUNTA(JO5:JO19)=0,"",5*SUM(IFERROR((((COUNTIF(JO5:JO6,"A"))*4)+((COUNTIF(JO5:JO6,"B"))*3)+((COUNTIF(JO5:JO6,"C"))*2)+((COUNTIF(JO5:JO6,"D"))*1))*CELL("contenu",$B$4),0),IFERROR((((COUNTIF(JO8:JO11,"A"))*4)+((COUNTIF(JO8:JO11,"B"))*3)+((COUNTIF(JO8:JO11,"C"))*2)+((COUNTIF(JO8:JO11,"D"))*1))*CELL("contenu",$B$7),0),IFERROR((((COUNTIF(JO13:JO13,"A"))*4)+((COUNTIF(JO13:JO13,"B"))*3)+((COUNTIF(JO13:JO13,"C"))*2)+((COUNTIF(JO13:JO13,"D"))*1))*CELL("contenu",$B$12),0),IFERROR((((COUNTIF(JO15:JO17,"A"))*4)+((COUNTIF(JO15:JO17,"B"))*3)+((COUNTIF(JO15:JO17,"C"))*2)+((COUNTIF(JO15:JO17,"D"))*1))*CELL("contenu",$B$14),0),IFERROR((((COUNTIF(JO19:JO19,"A"))*4)+((COUNTIF(JO19:JO19,"B"))*3)+((COUNTIF(JO19:JO19,"C"))*2)+((COUNTIF(JO19:JO19,"D"))*1))*CELL("contenu",$B$18),0))/IF(SUM(COUNTA(JO5:JO6)*CELL("contenu",$B$4),COUNTA(JO8:JO11)*CELL("contenu",$B$7),COUNTA(JO13:JO13)*CELL("contenu",$B$12),COUNTA(JO15:JO17)*CELL("contenu",$B$14),COUNTA(JO19:JO19)*CELL("contenu",$B$18))=0,1,SUM(COUNTA(JO5:JO6)*CELL("contenu",$B$4),COUNTA(JO8:JO11)*CELL("contenu",$B$7),COUNTA(JO13:JO13)*CELL("contenu",$B$12),COUNTA(JO15:JO17)*CELL("contenu",$B$14),COUNTA(JO19:JO19)*CELL("contenu",$B$18))))</f>
        <v>16.666666666666668</v>
      </c>
      <c r="JP20" s="168">
        <f ca="1">IF(COUNTA(JP5:JP19)=0,"",5*SUM(IFERROR((((COUNTIF(JP5:JP6,"A"))*4)+((COUNTIF(JP5:JP6,"B"))*3)+((COUNTIF(JP5:JP6,"C"))*2)+((COUNTIF(JP5:JP6,"D"))*1))*CELL("contenu",$B$4),0),IFERROR((((COUNTIF(JP8:JP11,"A"))*4)+((COUNTIF(JP8:JP11,"B"))*3)+((COUNTIF(JP8:JP11,"C"))*2)+((COUNTIF(JP8:JP11,"D"))*1))*CELL("contenu",$B$7),0),IFERROR((((COUNTIF(JP13:JP13,"A"))*4)+((COUNTIF(JP13:JP13,"B"))*3)+((COUNTIF(JP13:JP13,"C"))*2)+((COUNTIF(JP13:JP13,"D"))*1))*CELL("contenu",$B$12),0),IFERROR((((COUNTIF(JP15:JP17,"A"))*4)+((COUNTIF(JP15:JP17,"B"))*3)+((COUNTIF(JP15:JP17,"C"))*2)+((COUNTIF(JP15:JP17,"D"))*1))*CELL("contenu",$B$14),0),IFERROR((((COUNTIF(JP19:JP19,"A"))*4)+((COUNTIF(JP19:JP19,"B"))*3)+((COUNTIF(JP19:JP19,"C"))*2)+((COUNTIF(JP19:JP19,"D"))*1))*CELL("contenu",$B$18),0))/IF(SUM(COUNTA(JP5:JP6)*CELL("contenu",$B$4),COUNTA(JP8:JP11)*CELL("contenu",$B$7),COUNTA(JP13:JP13)*CELL("contenu",$B$12),COUNTA(JP15:JP17)*CELL("contenu",$B$14),COUNTA(JP19:JP19)*CELL("contenu",$B$18))=0,1,SUM(COUNTA(JP5:JP6)*CELL("contenu",$B$4),COUNTA(JP8:JP11)*CELL("contenu",$B$7),COUNTA(JP13:JP13)*CELL("contenu",$B$12),COUNTA(JP15:JP17)*CELL("contenu",$B$14),COUNTA(JP19:JP19)*CELL("contenu",$B$18))))</f>
        <v>10</v>
      </c>
      <c r="JQ20" s="169" t="str">
        <f ca="1">IF(COUNTA(JQ5:JQ19)=0,"",5*SUM(IFERROR((((COUNTIF(JQ5:JQ6,"A"))*4)+((COUNTIF(JQ5:JQ6,"B"))*3)+((COUNTIF(JQ5:JQ6,"C"))*2)+((COUNTIF(JQ5:JQ6,"D"))*1))*CELL("contenu",$B$4),0),IFERROR((((COUNTIF(JQ8:JQ11,"A"))*4)+((COUNTIF(JQ8:JQ11,"B"))*3)+((COUNTIF(JQ8:JQ11,"C"))*2)+((COUNTIF(JQ8:JQ11,"D"))*1))*CELL("contenu",$B$7),0),IFERROR((((COUNTIF(JQ13:JQ13,"A"))*4)+((COUNTIF(JQ13:JQ13,"B"))*3)+((COUNTIF(JQ13:JQ13,"C"))*2)+((COUNTIF(JQ13:JQ13,"D"))*1))*CELL("contenu",$B$12),0),IFERROR((((COUNTIF(JQ15:JQ17,"A"))*4)+((COUNTIF(JQ15:JQ17,"B"))*3)+((COUNTIF(JQ15:JQ17,"C"))*2)+((COUNTIF(JQ15:JQ17,"D"))*1))*CELL("contenu",$B$14),0),IFERROR((((COUNTIF(JQ19:JQ19,"A"))*4)+((COUNTIF(JQ19:JQ19,"B"))*3)+((COUNTIF(JQ19:JQ19,"C"))*2)+((COUNTIF(JQ19:JQ19,"D"))*1))*CELL("contenu",$B$18),0))/IF(SUM(COUNTA(JQ5:JQ6)*CELL("contenu",$B$4),COUNTA(JQ8:JQ11)*CELL("contenu",$B$7),COUNTA(JQ13:JQ13)*CELL("contenu",$B$12),COUNTA(JQ15:JQ17)*CELL("contenu",$B$14),COUNTA(JQ19:JQ19)*CELL("contenu",$B$18))=0,1,SUM(COUNTA(JQ5:JQ6)*CELL("contenu",$B$4),COUNTA(JQ8:JQ11)*CELL("contenu",$B$7),COUNTA(JQ13:JQ13)*CELL("contenu",$B$12),COUNTA(JQ15:JQ17)*CELL("contenu",$B$14),COUNTA(JQ19:JQ19)*CELL("contenu",$B$18))))</f>
        <v/>
      </c>
      <c r="JR20" s="116"/>
      <c r="JS20" s="192">
        <f ca="1">IF(COUNTA(JO20:JQ20)-COUNTBLANK(JO20:JQ20)=0,"",SUM(JO20:JQ20)/(COUNTA(JO20:JQ20)-COUNTBLANK(JO20:JQ20)))</f>
        <v>13.333333333333334</v>
      </c>
      <c r="JT20" s="182" t="str">
        <f ca="1">IF(COUNTA(JT5:JT19)=0,"",5*SUM(IFERROR((((COUNTIF(JT5:JT6,"A"))*4)+((COUNTIF(JT5:JT6,"B"))*3)+((COUNTIF(JT5:JT6,"C"))*2)+((COUNTIF(JT5:JT6,"D"))*1))*CELL("contenu",$B$4),0),IFERROR((((COUNTIF(JT8:JT11,"A"))*4)+((COUNTIF(JT8:JT11,"B"))*3)+((COUNTIF(JT8:JT11,"C"))*2)+((COUNTIF(JT8:JT11,"D"))*1))*CELL("contenu",$B$7),0),IFERROR((((COUNTIF(JT13:JT13,"A"))*4)+((COUNTIF(JT13:JT13,"B"))*3)+((COUNTIF(JT13:JT13,"C"))*2)+((COUNTIF(JT13:JT13,"D"))*1))*CELL("contenu",$B$12),0),IFERROR((((COUNTIF(JT15:JT17,"A"))*4)+((COUNTIF(JT15:JT17,"B"))*3)+((COUNTIF(JT15:JT17,"C"))*2)+((COUNTIF(JT15:JT17,"D"))*1))*CELL("contenu",$B$14),0),IFERROR((((COUNTIF(JT19:JT19,"A"))*4)+((COUNTIF(JT19:JT19,"B"))*3)+((COUNTIF(JT19:JT19,"C"))*2)+((COUNTIF(JT19:JT19,"D"))*1))*CELL("contenu",$B$18),0))/IF(SUM(COUNTA(JT5:JT6)*CELL("contenu",$B$4),COUNTA(JT8:JT11)*CELL("contenu",$B$7),COUNTA(JT13:JT13)*CELL("contenu",$B$12),COUNTA(JT15:JT17)*CELL("contenu",$B$14),COUNTA(JT19:JT19)*CELL("contenu",$B$18))=0,1,SUM(COUNTA(JT5:JT6)*CELL("contenu",$B$4),COUNTA(JT8:JT11)*CELL("contenu",$B$7),COUNTA(JT13:JT13)*CELL("contenu",$B$12),COUNTA(JT15:JT17)*CELL("contenu",$B$14),COUNTA(JT19:JT19)*CELL("contenu",$B$18))))</f>
        <v/>
      </c>
      <c r="JU20" s="183" t="str">
        <f ca="1">IF(COUNTA(JU5:JU19)=0,"",5*SUM(IFERROR((((COUNTIF(JU5:JU6,"A"))*4)+((COUNTIF(JU5:JU6,"B"))*3)+((COUNTIF(JU5:JU6,"C"))*2)+((COUNTIF(JU5:JU6,"D"))*1))*CELL("contenu",$B$4),0),IFERROR((((COUNTIF(JU8:JU11,"A"))*4)+((COUNTIF(JU8:JU11,"B"))*3)+((COUNTIF(JU8:JU11,"C"))*2)+((COUNTIF(JU8:JU11,"D"))*1))*CELL("contenu",$B$7),0),IFERROR((((COUNTIF(JU13:JU13,"A"))*4)+((COUNTIF(JU13:JU13,"B"))*3)+((COUNTIF(JU13:JU13,"C"))*2)+((COUNTIF(JU13:JU13,"D"))*1))*CELL("contenu",$B$12),0),IFERROR((((COUNTIF(JU15:JU17,"A"))*4)+((COUNTIF(JU15:JU17,"B"))*3)+((COUNTIF(JU15:JU17,"C"))*2)+((COUNTIF(JU15:JU17,"D"))*1))*CELL("contenu",$B$14),0),IFERROR((((COUNTIF(JU19:JU19,"A"))*4)+((COUNTIF(JU19:JU19,"B"))*3)+((COUNTIF(JU19:JU19,"C"))*2)+((COUNTIF(JU19:JU19,"D"))*1))*CELL("contenu",$B$18),0))/IF(SUM(COUNTA(JU5:JU6)*CELL("contenu",$B$4),COUNTA(JU8:JU11)*CELL("contenu",$B$7),COUNTA(JU13:JU13)*CELL("contenu",$B$12),COUNTA(JU15:JU17)*CELL("contenu",$B$14),COUNTA(JU19:JU19)*CELL("contenu",$B$18))=0,1,SUM(COUNTA(JU5:JU6)*CELL("contenu",$B$4),COUNTA(JU8:JU11)*CELL("contenu",$B$7),COUNTA(JU13:JU13)*CELL("contenu",$B$12),COUNTA(JU15:JU17)*CELL("contenu",$B$14),COUNTA(JU19:JU19)*CELL("contenu",$B$18))))</f>
        <v/>
      </c>
      <c r="JV20" s="184" t="str">
        <f ca="1">IF(COUNTA(JV5:JV19)=0,"",5*SUM(IFERROR((((COUNTIF(JV5:JV6,"A"))*4)+((COUNTIF(JV5:JV6,"B"))*3)+((COUNTIF(JV5:JV6,"C"))*2)+((COUNTIF(JV5:JV6,"D"))*1))*CELL("contenu",$B$4),0),IFERROR((((COUNTIF(JV8:JV11,"A"))*4)+((COUNTIF(JV8:JV11,"B"))*3)+((COUNTIF(JV8:JV11,"C"))*2)+((COUNTIF(JV8:JV11,"D"))*1))*CELL("contenu",$B$7),0),IFERROR((((COUNTIF(JV13:JV13,"A"))*4)+((COUNTIF(JV13:JV13,"B"))*3)+((COUNTIF(JV13:JV13,"C"))*2)+((COUNTIF(JV13:JV13,"D"))*1))*CELL("contenu",$B$12),0),IFERROR((((COUNTIF(JV15:JV17,"A"))*4)+((COUNTIF(JV15:JV17,"B"))*3)+((COUNTIF(JV15:JV17,"C"))*2)+((COUNTIF(JV15:JV17,"D"))*1))*CELL("contenu",$B$14),0),IFERROR((((COUNTIF(JV19:JV19,"A"))*4)+((COUNTIF(JV19:JV19,"B"))*3)+((COUNTIF(JV19:JV19,"C"))*2)+((COUNTIF(JV19:JV19,"D"))*1))*CELL("contenu",$B$18),0))/IF(SUM(COUNTA(JV5:JV6)*CELL("contenu",$B$4),COUNTA(JV8:JV11)*CELL("contenu",$B$7),COUNTA(JV13:JV13)*CELL("contenu",$B$12),COUNTA(JV15:JV17)*CELL("contenu",$B$14),COUNTA(JV19:JV19)*CELL("contenu",$B$18))=0,1,SUM(COUNTA(JV5:JV6)*CELL("contenu",$B$4),COUNTA(JV8:JV11)*CELL("contenu",$B$7),COUNTA(JV13:JV13)*CELL("contenu",$B$12),COUNTA(JV15:JV17)*CELL("contenu",$B$14),COUNTA(JV19:JV19)*CELL("contenu",$B$18))))</f>
        <v/>
      </c>
      <c r="JW20" s="176"/>
      <c r="JX20" s="175" t="str">
        <f ca="1">IF(COUNTA(JT20:JV20)-COUNTBLANK(JT20:JV20)=0,"",SUM(JT20:JV20)/(COUNTA(JT20:JV20)-COUNTBLANK(JT20:JV20)))</f>
        <v/>
      </c>
      <c r="JY20" s="182" t="str">
        <f ca="1">IF(COUNTA(JY5:JY19)=0,"",5*SUM(IFERROR((((COUNTIF(JY5:JY6,"A"))*4)+((COUNTIF(JY5:JY6,"B"))*3)+((COUNTIF(JY5:JY6,"C"))*2)+((COUNTIF(JY5:JY6,"D"))*1))*CELL("contenu",$B$4),0),IFERROR((((COUNTIF(JY8:JY11,"A"))*4)+((COUNTIF(JY8:JY11,"B"))*3)+((COUNTIF(JY8:JY11,"C"))*2)+((COUNTIF(JY8:JY11,"D"))*1))*CELL("contenu",$B$7),0),IFERROR((((COUNTIF(JY13:JY13,"A"))*4)+((COUNTIF(JY13:JY13,"B"))*3)+((COUNTIF(JY13:JY13,"C"))*2)+((COUNTIF(JY13:JY13,"D"))*1))*CELL("contenu",$B$12),0),IFERROR((((COUNTIF(JY15:JY17,"A"))*4)+((COUNTIF(JY15:JY17,"B"))*3)+((COUNTIF(JY15:JY17,"C"))*2)+((COUNTIF(JY15:JY17,"D"))*1))*CELL("contenu",$B$14),0),IFERROR((((COUNTIF(JY19:JY19,"A"))*4)+((COUNTIF(JY19:JY19,"B"))*3)+((COUNTIF(JY19:JY19,"C"))*2)+((COUNTIF(JY19:JY19,"D"))*1))*CELL("contenu",$B$18),0))/IF(SUM(COUNTA(JY5:JY6)*CELL("contenu",$B$4),COUNTA(JY8:JY11)*CELL("contenu",$B$7),COUNTA(JY13:JY13)*CELL("contenu",$B$12),COUNTA(JY15:JY17)*CELL("contenu",$B$14),COUNTA(JY19:JY19)*CELL("contenu",$B$18))=0,1,SUM(COUNTA(JY5:JY6)*CELL("contenu",$B$4),COUNTA(JY8:JY11)*CELL("contenu",$B$7),COUNTA(JY13:JY13)*CELL("contenu",$B$12),COUNTA(JY15:JY17)*CELL("contenu",$B$14),COUNTA(JY19:JY19)*CELL("contenu",$B$18))))</f>
        <v/>
      </c>
      <c r="JZ20" s="183" t="str">
        <f ca="1">IF(COUNTA(JZ5:JZ19)=0,"",5*SUM(IFERROR((((COUNTIF(JZ5:JZ6,"A"))*4)+((COUNTIF(JZ5:JZ6,"B"))*3)+((COUNTIF(JZ5:JZ6,"C"))*2)+((COUNTIF(JZ5:JZ6,"D"))*1))*CELL("contenu",$B$4),0),IFERROR((((COUNTIF(JZ8:JZ11,"A"))*4)+((COUNTIF(JZ8:JZ11,"B"))*3)+((COUNTIF(JZ8:JZ11,"C"))*2)+((COUNTIF(JZ8:JZ11,"D"))*1))*CELL("contenu",$B$7),0),IFERROR((((COUNTIF(JZ13:JZ13,"A"))*4)+((COUNTIF(JZ13:JZ13,"B"))*3)+((COUNTIF(JZ13:JZ13,"C"))*2)+((COUNTIF(JZ13:JZ13,"D"))*1))*CELL("contenu",$B$12),0),IFERROR((((COUNTIF(JZ15:JZ17,"A"))*4)+((COUNTIF(JZ15:JZ17,"B"))*3)+((COUNTIF(JZ15:JZ17,"C"))*2)+((COUNTIF(JZ15:JZ17,"D"))*1))*CELL("contenu",$B$14),0),IFERROR((((COUNTIF(JZ19:JZ19,"A"))*4)+((COUNTIF(JZ19:JZ19,"B"))*3)+((COUNTIF(JZ19:JZ19,"C"))*2)+((COUNTIF(JZ19:JZ19,"D"))*1))*CELL("contenu",$B$18),0))/IF(SUM(COUNTA(JZ5:JZ6)*CELL("contenu",$B$4),COUNTA(JZ8:JZ11)*CELL("contenu",$B$7),COUNTA(JZ13:JZ13)*CELL("contenu",$B$12),COUNTA(JZ15:JZ17)*CELL("contenu",$B$14),COUNTA(JZ19:JZ19)*CELL("contenu",$B$18))=0,1,SUM(COUNTA(JZ5:JZ6)*CELL("contenu",$B$4),COUNTA(JZ8:JZ11)*CELL("contenu",$B$7),COUNTA(JZ13:JZ13)*CELL("contenu",$B$12),COUNTA(JZ15:JZ17)*CELL("contenu",$B$14),COUNTA(JZ19:JZ19)*CELL("contenu",$B$18))))</f>
        <v/>
      </c>
      <c r="KA20" s="184" t="str">
        <f ca="1">IF(COUNTA(KA5:KA19)=0,"",5*SUM(IFERROR((((COUNTIF(KA5:KA6,"A"))*4)+((COUNTIF(KA5:KA6,"B"))*3)+((COUNTIF(KA5:KA6,"C"))*2)+((COUNTIF(KA5:KA6,"D"))*1))*CELL("contenu",$B$4),0),IFERROR((((COUNTIF(KA8:KA11,"A"))*4)+((COUNTIF(KA8:KA11,"B"))*3)+((COUNTIF(KA8:KA11,"C"))*2)+((COUNTIF(KA8:KA11,"D"))*1))*CELL("contenu",$B$7),0),IFERROR((((COUNTIF(KA13:KA13,"A"))*4)+((COUNTIF(KA13:KA13,"B"))*3)+((COUNTIF(KA13:KA13,"C"))*2)+((COUNTIF(KA13:KA13,"D"))*1))*CELL("contenu",$B$12),0),IFERROR((((COUNTIF(KA15:KA17,"A"))*4)+((COUNTIF(KA15:KA17,"B"))*3)+((COUNTIF(KA15:KA17,"C"))*2)+((COUNTIF(KA15:KA17,"D"))*1))*CELL("contenu",$B$14),0),IFERROR((((COUNTIF(KA19:KA19,"A"))*4)+((COUNTIF(KA19:KA19,"B"))*3)+((COUNTIF(KA19:KA19,"C"))*2)+((COUNTIF(KA19:KA19,"D"))*1))*CELL("contenu",$B$18),0))/IF(SUM(COUNTA(KA5:KA6)*CELL("contenu",$B$4),COUNTA(KA8:KA11)*CELL("contenu",$B$7),COUNTA(KA13:KA13)*CELL("contenu",$B$12),COUNTA(KA15:KA17)*CELL("contenu",$B$14),COUNTA(KA19:KA19)*CELL("contenu",$B$18))=0,1,SUM(COUNTA(KA5:KA6)*CELL("contenu",$B$4),COUNTA(KA8:KA11)*CELL("contenu",$B$7),COUNTA(KA13:KA13)*CELL("contenu",$B$12),COUNTA(KA15:KA17)*CELL("contenu",$B$14),COUNTA(KA19:KA19)*CELL("contenu",$B$18))))</f>
        <v/>
      </c>
      <c r="KB20" s="176"/>
      <c r="KC20" s="174" t="str">
        <f ca="1">IF(COUNTA(JY20:KA20)-COUNTBLANK(JY20:KA20)=0,"",SUM(JY20:KA20)/(COUNTA(JY20:KA20)-COUNTBLANK(JY20:KA20)))</f>
        <v/>
      </c>
      <c r="KD20" s="103"/>
      <c r="KE20" s="141"/>
      <c r="KF20" s="167">
        <f ca="1">IF(COUNTA(KF5:KF19)=0,"",5*SUM(IFERROR((((COUNTIF(KF5:KF6,"A"))*4)+((COUNTIF(KF5:KF6,"B"))*3)+((COUNTIF(KF5:KF6,"C"))*2)+((COUNTIF(KF5:KF6,"D"))*1))*CELL("contenu",$B$4),0),IFERROR((((COUNTIF(KF8:KF11,"A"))*4)+((COUNTIF(KF8:KF11,"B"))*3)+((COUNTIF(KF8:KF11,"C"))*2)+((COUNTIF(KF8:KF11,"D"))*1))*CELL("contenu",$B$7),0),IFERROR((((COUNTIF(KF13:KF13,"A"))*4)+((COUNTIF(KF13:KF13,"B"))*3)+((COUNTIF(KF13:KF13,"C"))*2)+((COUNTIF(KF13:KF13,"D"))*1))*CELL("contenu",$B$12),0),IFERROR((((COUNTIF(KF15:KF17,"A"))*4)+((COUNTIF(KF15:KF17,"B"))*3)+((COUNTIF(KF15:KF17,"C"))*2)+((COUNTIF(KF15:KF17,"D"))*1))*CELL("contenu",$B$14),0),IFERROR((((COUNTIF(KF19:KF19,"A"))*4)+((COUNTIF(KF19:KF19,"B"))*3)+((COUNTIF(KF19:KF19,"C"))*2)+((COUNTIF(KF19:KF19,"D"))*1))*CELL("contenu",$B$18),0))/IF(SUM(COUNTA(KF5:KF6)*CELL("contenu",$B$4),COUNTA(KF8:KF11)*CELL("contenu",$B$7),COUNTA(KF13:KF13)*CELL("contenu",$B$12),COUNTA(KF15:KF17)*CELL("contenu",$B$14),COUNTA(KF19:KF19)*CELL("contenu",$B$18))=0,1,SUM(COUNTA(KF5:KF6)*CELL("contenu",$B$4),COUNTA(KF8:KF11)*CELL("contenu",$B$7),COUNTA(KF13:KF13)*CELL("contenu",$B$12),COUNTA(KF15:KF17)*CELL("contenu",$B$14),COUNTA(KF19:KF19)*CELL("contenu",$B$18))))</f>
        <v>16.666666666666668</v>
      </c>
      <c r="KG20" s="168">
        <f ca="1">IF(COUNTA(KG5:KG19)=0,"",5*SUM(IFERROR((((COUNTIF(KG5:KG6,"A"))*4)+((COUNTIF(KG5:KG6,"B"))*3)+((COUNTIF(KG5:KG6,"C"))*2)+((COUNTIF(KG5:KG6,"D"))*1))*CELL("contenu",$B$4),0),IFERROR((((COUNTIF(KG8:KG11,"A"))*4)+((COUNTIF(KG8:KG11,"B"))*3)+((COUNTIF(KG8:KG11,"C"))*2)+((COUNTIF(KG8:KG11,"D"))*1))*CELL("contenu",$B$7),0),IFERROR((((COUNTIF(KG13:KG13,"A"))*4)+((COUNTIF(KG13:KG13,"B"))*3)+((COUNTIF(KG13:KG13,"C"))*2)+((COUNTIF(KG13:KG13,"D"))*1))*CELL("contenu",$B$12),0),IFERROR((((COUNTIF(KG15:KG17,"A"))*4)+((COUNTIF(KG15:KG17,"B"))*3)+((COUNTIF(KG15:KG17,"C"))*2)+((COUNTIF(KG15:KG17,"D"))*1))*CELL("contenu",$B$14),0),IFERROR((((COUNTIF(KG19:KG19,"A"))*4)+((COUNTIF(KG19:KG19,"B"))*3)+((COUNTIF(KG19:KG19,"C"))*2)+((COUNTIF(KG19:KG19,"D"))*1))*CELL("contenu",$B$18),0))/IF(SUM(COUNTA(KG5:KG6)*CELL("contenu",$B$4),COUNTA(KG8:KG11)*CELL("contenu",$B$7),COUNTA(KG13:KG13)*CELL("contenu",$B$12),COUNTA(KG15:KG17)*CELL("contenu",$B$14),COUNTA(KG19:KG19)*CELL("contenu",$B$18))=0,1,SUM(COUNTA(KG5:KG6)*CELL("contenu",$B$4),COUNTA(KG8:KG11)*CELL("contenu",$B$7),COUNTA(KG13:KG13)*CELL("contenu",$B$12),COUNTA(KG15:KG17)*CELL("contenu",$B$14),COUNTA(KG19:KG19)*CELL("contenu",$B$18))))</f>
        <v>20</v>
      </c>
      <c r="KH20" s="169" t="str">
        <f ca="1">IF(COUNTA(KH5:KH19)=0,"",5*SUM(IFERROR((((COUNTIF(KH5:KH6,"A"))*4)+((COUNTIF(KH5:KH6,"B"))*3)+((COUNTIF(KH5:KH6,"C"))*2)+((COUNTIF(KH5:KH6,"D"))*1))*CELL("contenu",$B$4),0),IFERROR((((COUNTIF(KH8:KH11,"A"))*4)+((COUNTIF(KH8:KH11,"B"))*3)+((COUNTIF(KH8:KH11,"C"))*2)+((COUNTIF(KH8:KH11,"D"))*1))*CELL("contenu",$B$7),0),IFERROR((((COUNTIF(KH13:KH13,"A"))*4)+((COUNTIF(KH13:KH13,"B"))*3)+((COUNTIF(KH13:KH13,"C"))*2)+((COUNTIF(KH13:KH13,"D"))*1))*CELL("contenu",$B$12),0),IFERROR((((COUNTIF(KH15:KH17,"A"))*4)+((COUNTIF(KH15:KH17,"B"))*3)+((COUNTIF(KH15:KH17,"C"))*2)+((COUNTIF(KH15:KH17,"D"))*1))*CELL("contenu",$B$14),0),IFERROR((((COUNTIF(KH19:KH19,"A"))*4)+((COUNTIF(KH19:KH19,"B"))*3)+((COUNTIF(KH19:KH19,"C"))*2)+((COUNTIF(KH19:KH19,"D"))*1))*CELL("contenu",$B$18),0))/IF(SUM(COUNTA(KH5:KH6)*CELL("contenu",$B$4),COUNTA(KH8:KH11)*CELL("contenu",$B$7),COUNTA(KH13:KH13)*CELL("contenu",$B$12),COUNTA(KH15:KH17)*CELL("contenu",$B$14),COUNTA(KH19:KH19)*CELL("contenu",$B$18))=0,1,SUM(COUNTA(KH5:KH6)*CELL("contenu",$B$4),COUNTA(KH8:KH11)*CELL("contenu",$B$7),COUNTA(KH13:KH13)*CELL("contenu",$B$12),COUNTA(KH15:KH17)*CELL("contenu",$B$14),COUNTA(KH19:KH19)*CELL("contenu",$B$18))))</f>
        <v/>
      </c>
      <c r="KI20" s="116"/>
      <c r="KJ20" s="192">
        <f ca="1">IF(COUNTA(KF20:KH20)-COUNTBLANK(KF20:KH20)=0,"",SUM(KF20:KH20)/(COUNTA(KF20:KH20)-COUNTBLANK(KF20:KH20)))</f>
        <v>18.333333333333336</v>
      </c>
      <c r="KK20" s="182" t="str">
        <f ca="1">IF(COUNTA(KK5:KK19)=0,"",5*SUM(IFERROR((((COUNTIF(KK5:KK6,"A"))*4)+((COUNTIF(KK5:KK6,"B"))*3)+((COUNTIF(KK5:KK6,"C"))*2)+((COUNTIF(KK5:KK6,"D"))*1))*CELL("contenu",$B$4),0),IFERROR((((COUNTIF(KK8:KK11,"A"))*4)+((COUNTIF(KK8:KK11,"B"))*3)+((COUNTIF(KK8:KK11,"C"))*2)+((COUNTIF(KK8:KK11,"D"))*1))*CELL("contenu",$B$7),0),IFERROR((((COUNTIF(KK13:KK13,"A"))*4)+((COUNTIF(KK13:KK13,"B"))*3)+((COUNTIF(KK13:KK13,"C"))*2)+((COUNTIF(KK13:KK13,"D"))*1))*CELL("contenu",$B$12),0),IFERROR((((COUNTIF(KK15:KK17,"A"))*4)+((COUNTIF(KK15:KK17,"B"))*3)+((COUNTIF(KK15:KK17,"C"))*2)+((COUNTIF(KK15:KK17,"D"))*1))*CELL("contenu",$B$14),0),IFERROR((((COUNTIF(KK19:KK19,"A"))*4)+((COUNTIF(KK19:KK19,"B"))*3)+((COUNTIF(KK19:KK19,"C"))*2)+((COUNTIF(KK19:KK19,"D"))*1))*CELL("contenu",$B$18),0))/IF(SUM(COUNTA(KK5:KK6)*CELL("contenu",$B$4),COUNTA(KK8:KK11)*CELL("contenu",$B$7),COUNTA(KK13:KK13)*CELL("contenu",$B$12),COUNTA(KK15:KK17)*CELL("contenu",$B$14),COUNTA(KK19:KK19)*CELL("contenu",$B$18))=0,1,SUM(COUNTA(KK5:KK6)*CELL("contenu",$B$4),COUNTA(KK8:KK11)*CELL("contenu",$B$7),COUNTA(KK13:KK13)*CELL("contenu",$B$12),COUNTA(KK15:KK17)*CELL("contenu",$B$14),COUNTA(KK19:KK19)*CELL("contenu",$B$18))))</f>
        <v/>
      </c>
      <c r="KL20" s="183" t="str">
        <f ca="1">IF(COUNTA(KL5:KL19)=0,"",5*SUM(IFERROR((((COUNTIF(KL5:KL6,"A"))*4)+((COUNTIF(KL5:KL6,"B"))*3)+((COUNTIF(KL5:KL6,"C"))*2)+((COUNTIF(KL5:KL6,"D"))*1))*CELL("contenu",$B$4),0),IFERROR((((COUNTIF(KL8:KL11,"A"))*4)+((COUNTIF(KL8:KL11,"B"))*3)+((COUNTIF(KL8:KL11,"C"))*2)+((COUNTIF(KL8:KL11,"D"))*1))*CELL("contenu",$B$7),0),IFERROR((((COUNTIF(KL13:KL13,"A"))*4)+((COUNTIF(KL13:KL13,"B"))*3)+((COUNTIF(KL13:KL13,"C"))*2)+((COUNTIF(KL13:KL13,"D"))*1))*CELL("contenu",$B$12),0),IFERROR((((COUNTIF(KL15:KL17,"A"))*4)+((COUNTIF(KL15:KL17,"B"))*3)+((COUNTIF(KL15:KL17,"C"))*2)+((COUNTIF(KL15:KL17,"D"))*1))*CELL("contenu",$B$14),0),IFERROR((((COUNTIF(KL19:KL19,"A"))*4)+((COUNTIF(KL19:KL19,"B"))*3)+((COUNTIF(KL19:KL19,"C"))*2)+((COUNTIF(KL19:KL19,"D"))*1))*CELL("contenu",$B$18),0))/IF(SUM(COUNTA(KL5:KL6)*CELL("contenu",$B$4),COUNTA(KL8:KL11)*CELL("contenu",$B$7),COUNTA(KL13:KL13)*CELL("contenu",$B$12),COUNTA(KL15:KL17)*CELL("contenu",$B$14),COUNTA(KL19:KL19)*CELL("contenu",$B$18))=0,1,SUM(COUNTA(KL5:KL6)*CELL("contenu",$B$4),COUNTA(KL8:KL11)*CELL("contenu",$B$7),COUNTA(KL13:KL13)*CELL("contenu",$B$12),COUNTA(KL15:KL17)*CELL("contenu",$B$14),COUNTA(KL19:KL19)*CELL("contenu",$B$18))))</f>
        <v/>
      </c>
      <c r="KM20" s="184" t="str">
        <f ca="1">IF(COUNTA(KM5:KM19)=0,"",5*SUM(IFERROR((((COUNTIF(KM5:KM6,"A"))*4)+((COUNTIF(KM5:KM6,"B"))*3)+((COUNTIF(KM5:KM6,"C"))*2)+((COUNTIF(KM5:KM6,"D"))*1))*CELL("contenu",$B$4),0),IFERROR((((COUNTIF(KM8:KM11,"A"))*4)+((COUNTIF(KM8:KM11,"B"))*3)+((COUNTIF(KM8:KM11,"C"))*2)+((COUNTIF(KM8:KM11,"D"))*1))*CELL("contenu",$B$7),0),IFERROR((((COUNTIF(KM13:KM13,"A"))*4)+((COUNTIF(KM13:KM13,"B"))*3)+((COUNTIF(KM13:KM13,"C"))*2)+((COUNTIF(KM13:KM13,"D"))*1))*CELL("contenu",$B$12),0),IFERROR((((COUNTIF(KM15:KM17,"A"))*4)+((COUNTIF(KM15:KM17,"B"))*3)+((COUNTIF(KM15:KM17,"C"))*2)+((COUNTIF(KM15:KM17,"D"))*1))*CELL("contenu",$B$14),0),IFERROR((((COUNTIF(KM19:KM19,"A"))*4)+((COUNTIF(KM19:KM19,"B"))*3)+((COUNTIF(KM19:KM19,"C"))*2)+((COUNTIF(KM19:KM19,"D"))*1))*CELL("contenu",$B$18),0))/IF(SUM(COUNTA(KM5:KM6)*CELL("contenu",$B$4),COUNTA(KM8:KM11)*CELL("contenu",$B$7),COUNTA(KM13:KM13)*CELL("contenu",$B$12),COUNTA(KM15:KM17)*CELL("contenu",$B$14),COUNTA(KM19:KM19)*CELL("contenu",$B$18))=0,1,SUM(COUNTA(KM5:KM6)*CELL("contenu",$B$4),COUNTA(KM8:KM11)*CELL("contenu",$B$7),COUNTA(KM13:KM13)*CELL("contenu",$B$12),COUNTA(KM15:KM17)*CELL("contenu",$B$14),COUNTA(KM19:KM19)*CELL("contenu",$B$18))))</f>
        <v/>
      </c>
      <c r="KN20" s="176"/>
      <c r="KO20" s="175" t="str">
        <f ca="1">IF(COUNTA(KK20:KM20)-COUNTBLANK(KK20:KM20)=0,"",SUM(KK20:KM20)/(COUNTA(KK20:KM20)-COUNTBLANK(KK20:KM20)))</f>
        <v/>
      </c>
      <c r="KP20" s="182" t="str">
        <f ca="1">IF(COUNTA(KP5:KP19)=0,"",5*SUM(IFERROR((((COUNTIF(KP5:KP6,"A"))*4)+((COUNTIF(KP5:KP6,"B"))*3)+((COUNTIF(KP5:KP6,"C"))*2)+((COUNTIF(KP5:KP6,"D"))*1))*CELL("contenu",$B$4),0),IFERROR((((COUNTIF(KP8:KP11,"A"))*4)+((COUNTIF(KP8:KP11,"B"))*3)+((COUNTIF(KP8:KP11,"C"))*2)+((COUNTIF(KP8:KP11,"D"))*1))*CELL("contenu",$B$7),0),IFERROR((((COUNTIF(KP13:KP13,"A"))*4)+((COUNTIF(KP13:KP13,"B"))*3)+((COUNTIF(KP13:KP13,"C"))*2)+((COUNTIF(KP13:KP13,"D"))*1))*CELL("contenu",$B$12),0),IFERROR((((COUNTIF(KP15:KP17,"A"))*4)+((COUNTIF(KP15:KP17,"B"))*3)+((COUNTIF(KP15:KP17,"C"))*2)+((COUNTIF(KP15:KP17,"D"))*1))*CELL("contenu",$B$14),0),IFERROR((((COUNTIF(KP19:KP19,"A"))*4)+((COUNTIF(KP19:KP19,"B"))*3)+((COUNTIF(KP19:KP19,"C"))*2)+((COUNTIF(KP19:KP19,"D"))*1))*CELL("contenu",$B$18),0))/IF(SUM(COUNTA(KP5:KP6)*CELL("contenu",$B$4),COUNTA(KP8:KP11)*CELL("contenu",$B$7),COUNTA(KP13:KP13)*CELL("contenu",$B$12),COUNTA(KP15:KP17)*CELL("contenu",$B$14),COUNTA(KP19:KP19)*CELL("contenu",$B$18))=0,1,SUM(COUNTA(KP5:KP6)*CELL("contenu",$B$4),COUNTA(KP8:KP11)*CELL("contenu",$B$7),COUNTA(KP13:KP13)*CELL("contenu",$B$12),COUNTA(KP15:KP17)*CELL("contenu",$B$14),COUNTA(KP19:KP19)*CELL("contenu",$B$18))))</f>
        <v/>
      </c>
      <c r="KQ20" s="183" t="str">
        <f ca="1">IF(COUNTA(KQ5:KQ19)=0,"",5*SUM(IFERROR((((COUNTIF(KQ5:KQ6,"A"))*4)+((COUNTIF(KQ5:KQ6,"B"))*3)+((COUNTIF(KQ5:KQ6,"C"))*2)+((COUNTIF(KQ5:KQ6,"D"))*1))*CELL("contenu",$B$4),0),IFERROR((((COUNTIF(KQ8:KQ11,"A"))*4)+((COUNTIF(KQ8:KQ11,"B"))*3)+((COUNTIF(KQ8:KQ11,"C"))*2)+((COUNTIF(KQ8:KQ11,"D"))*1))*CELL("contenu",$B$7),0),IFERROR((((COUNTIF(KQ13:KQ13,"A"))*4)+((COUNTIF(KQ13:KQ13,"B"))*3)+((COUNTIF(KQ13:KQ13,"C"))*2)+((COUNTIF(KQ13:KQ13,"D"))*1))*CELL("contenu",$B$12),0),IFERROR((((COUNTIF(KQ15:KQ17,"A"))*4)+((COUNTIF(KQ15:KQ17,"B"))*3)+((COUNTIF(KQ15:KQ17,"C"))*2)+((COUNTIF(KQ15:KQ17,"D"))*1))*CELL("contenu",$B$14),0),IFERROR((((COUNTIF(KQ19:KQ19,"A"))*4)+((COUNTIF(KQ19:KQ19,"B"))*3)+((COUNTIF(KQ19:KQ19,"C"))*2)+((COUNTIF(KQ19:KQ19,"D"))*1))*CELL("contenu",$B$18),0))/IF(SUM(COUNTA(KQ5:KQ6)*CELL("contenu",$B$4),COUNTA(KQ8:KQ11)*CELL("contenu",$B$7),COUNTA(KQ13:KQ13)*CELL("contenu",$B$12),COUNTA(KQ15:KQ17)*CELL("contenu",$B$14),COUNTA(KQ19:KQ19)*CELL("contenu",$B$18))=0,1,SUM(COUNTA(KQ5:KQ6)*CELL("contenu",$B$4),COUNTA(KQ8:KQ11)*CELL("contenu",$B$7),COUNTA(KQ13:KQ13)*CELL("contenu",$B$12),COUNTA(KQ15:KQ17)*CELL("contenu",$B$14),COUNTA(KQ19:KQ19)*CELL("contenu",$B$18))))</f>
        <v/>
      </c>
      <c r="KR20" s="184" t="str">
        <f ca="1">IF(COUNTA(KR5:KR19)=0,"",5*SUM(IFERROR((((COUNTIF(KR5:KR6,"A"))*4)+((COUNTIF(KR5:KR6,"B"))*3)+((COUNTIF(KR5:KR6,"C"))*2)+((COUNTIF(KR5:KR6,"D"))*1))*CELL("contenu",$B$4),0),IFERROR((((COUNTIF(KR8:KR11,"A"))*4)+((COUNTIF(KR8:KR11,"B"))*3)+((COUNTIF(KR8:KR11,"C"))*2)+((COUNTIF(KR8:KR11,"D"))*1))*CELL("contenu",$B$7),0),IFERROR((((COUNTIF(KR13:KR13,"A"))*4)+((COUNTIF(KR13:KR13,"B"))*3)+((COUNTIF(KR13:KR13,"C"))*2)+((COUNTIF(KR13:KR13,"D"))*1))*CELL("contenu",$B$12),0),IFERROR((((COUNTIF(KR15:KR17,"A"))*4)+((COUNTIF(KR15:KR17,"B"))*3)+((COUNTIF(KR15:KR17,"C"))*2)+((COUNTIF(KR15:KR17,"D"))*1))*CELL("contenu",$B$14),0),IFERROR((((COUNTIF(KR19:KR19,"A"))*4)+((COUNTIF(KR19:KR19,"B"))*3)+((COUNTIF(KR19:KR19,"C"))*2)+((COUNTIF(KR19:KR19,"D"))*1))*CELL("contenu",$B$18),0))/IF(SUM(COUNTA(KR5:KR6)*CELL("contenu",$B$4),COUNTA(KR8:KR11)*CELL("contenu",$B$7),COUNTA(KR13:KR13)*CELL("contenu",$B$12),COUNTA(KR15:KR17)*CELL("contenu",$B$14),COUNTA(KR19:KR19)*CELL("contenu",$B$18))=0,1,SUM(COUNTA(KR5:KR6)*CELL("contenu",$B$4),COUNTA(KR8:KR11)*CELL("contenu",$B$7),COUNTA(KR13:KR13)*CELL("contenu",$B$12),COUNTA(KR15:KR17)*CELL("contenu",$B$14),COUNTA(KR19:KR19)*CELL("contenu",$B$18))))</f>
        <v/>
      </c>
      <c r="KS20" s="176"/>
      <c r="KT20" s="174" t="str">
        <f ca="1">IF(COUNTA(KP20:KR20)-COUNTBLANK(KP20:KR20)=0,"",SUM(KP20:KR20)/(COUNTA(KP20:KR20)-COUNTBLANK(KP20:KR20)))</f>
        <v/>
      </c>
      <c r="KU20" s="103"/>
      <c r="KV20" s="141"/>
      <c r="KW20" s="167">
        <f ca="1">IF(COUNTA(KW5:KW19)=0,"",5*SUM(IFERROR((((COUNTIF(KW5:KW6,"A"))*4)+((COUNTIF(KW5:KW6,"B"))*3)+((COUNTIF(KW5:KW6,"C"))*2)+((COUNTIF(KW5:KW6,"D"))*1))*CELL("contenu",$B$4),0),IFERROR((((COUNTIF(KW8:KW11,"A"))*4)+((COUNTIF(KW8:KW11,"B"))*3)+((COUNTIF(KW8:KW11,"C"))*2)+((COUNTIF(KW8:KW11,"D"))*1))*CELL("contenu",$B$7),0),IFERROR((((COUNTIF(KW13:KW13,"A"))*4)+((COUNTIF(KW13:KW13,"B"))*3)+((COUNTIF(KW13:KW13,"C"))*2)+((COUNTIF(KW13:KW13,"D"))*1))*CELL("contenu",$B$12),0),IFERROR((((COUNTIF(KW15:KW17,"A"))*4)+((COUNTIF(KW15:KW17,"B"))*3)+((COUNTIF(KW15:KW17,"C"))*2)+((COUNTIF(KW15:KW17,"D"))*1))*CELL("contenu",$B$14),0),IFERROR((((COUNTIF(KW19:KW19,"A"))*4)+((COUNTIF(KW19:KW19,"B"))*3)+((COUNTIF(KW19:KW19,"C"))*2)+((COUNTIF(KW19:KW19,"D"))*1))*CELL("contenu",$B$18),0))/IF(SUM(COUNTA(KW5:KW6)*CELL("contenu",$B$4),COUNTA(KW8:KW11)*CELL("contenu",$B$7),COUNTA(KW13:KW13)*CELL("contenu",$B$12),COUNTA(KW15:KW17)*CELL("contenu",$B$14),COUNTA(KW19:KW19)*CELL("contenu",$B$18))=0,1,SUM(COUNTA(KW5:KW6)*CELL("contenu",$B$4),COUNTA(KW8:KW11)*CELL("contenu",$B$7),COUNTA(KW13:KW13)*CELL("contenu",$B$12),COUNTA(KW15:KW17)*CELL("contenu",$B$14),COUNTA(KW19:KW19)*CELL("contenu",$B$18))))</f>
        <v>16.666666666666668</v>
      </c>
      <c r="KX20" s="168">
        <f ca="1">IF(COUNTA(KX5:KX19)=0,"",5*SUM(IFERROR((((COUNTIF(KX5:KX6,"A"))*4)+((COUNTIF(KX5:KX6,"B"))*3)+((COUNTIF(KX5:KX6,"C"))*2)+((COUNTIF(KX5:KX6,"D"))*1))*CELL("contenu",$B$4),0),IFERROR((((COUNTIF(KX8:KX11,"A"))*4)+((COUNTIF(KX8:KX11,"B"))*3)+((COUNTIF(KX8:KX11,"C"))*2)+((COUNTIF(KX8:KX11,"D"))*1))*CELL("contenu",$B$7),0),IFERROR((((COUNTIF(KX13:KX13,"A"))*4)+((COUNTIF(KX13:KX13,"B"))*3)+((COUNTIF(KX13:KX13,"C"))*2)+((COUNTIF(KX13:KX13,"D"))*1))*CELL("contenu",$B$12),0),IFERROR((((COUNTIF(KX15:KX17,"A"))*4)+((COUNTIF(KX15:KX17,"B"))*3)+((COUNTIF(KX15:KX17,"C"))*2)+((COUNTIF(KX15:KX17,"D"))*1))*CELL("contenu",$B$14),0),IFERROR((((COUNTIF(KX19:KX19,"A"))*4)+((COUNTIF(KX19:KX19,"B"))*3)+((COUNTIF(KX19:KX19,"C"))*2)+((COUNTIF(KX19:KX19,"D"))*1))*CELL("contenu",$B$18),0))/IF(SUM(COUNTA(KX5:KX6)*CELL("contenu",$B$4),COUNTA(KX8:KX11)*CELL("contenu",$B$7),COUNTA(KX13:KX13)*CELL("contenu",$B$12),COUNTA(KX15:KX17)*CELL("contenu",$B$14),COUNTA(KX19:KX19)*CELL("contenu",$B$18))=0,1,SUM(COUNTA(KX5:KX6)*CELL("contenu",$B$4),COUNTA(KX8:KX11)*CELL("contenu",$B$7),COUNTA(KX13:KX13)*CELL("contenu",$B$12),COUNTA(KX15:KX17)*CELL("contenu",$B$14),COUNTA(KX19:KX19)*CELL("contenu",$B$18))))</f>
        <v>11.666666666666666</v>
      </c>
      <c r="KY20" s="169" t="str">
        <f ca="1">IF(COUNTA(KY5:KY19)=0,"",5*SUM(IFERROR((((COUNTIF(KY5:KY6,"A"))*4)+((COUNTIF(KY5:KY6,"B"))*3)+((COUNTIF(KY5:KY6,"C"))*2)+((COUNTIF(KY5:KY6,"D"))*1))*CELL("contenu",$B$4),0),IFERROR((((COUNTIF(KY8:KY11,"A"))*4)+((COUNTIF(KY8:KY11,"B"))*3)+((COUNTIF(KY8:KY11,"C"))*2)+((COUNTIF(KY8:KY11,"D"))*1))*CELL("contenu",$B$7),0),IFERROR((((COUNTIF(KY13:KY13,"A"))*4)+((COUNTIF(KY13:KY13,"B"))*3)+((COUNTIF(KY13:KY13,"C"))*2)+((COUNTIF(KY13:KY13,"D"))*1))*CELL("contenu",$B$12),0),IFERROR((((COUNTIF(KY15:KY17,"A"))*4)+((COUNTIF(KY15:KY17,"B"))*3)+((COUNTIF(KY15:KY17,"C"))*2)+((COUNTIF(KY15:KY17,"D"))*1))*CELL("contenu",$B$14),0),IFERROR((((COUNTIF(KY19:KY19,"A"))*4)+((COUNTIF(KY19:KY19,"B"))*3)+((COUNTIF(KY19:KY19,"C"))*2)+((COUNTIF(KY19:KY19,"D"))*1))*CELL("contenu",$B$18),0))/IF(SUM(COUNTA(KY5:KY6)*CELL("contenu",$B$4),COUNTA(KY8:KY11)*CELL("contenu",$B$7),COUNTA(KY13:KY13)*CELL("contenu",$B$12),COUNTA(KY15:KY17)*CELL("contenu",$B$14),COUNTA(KY19:KY19)*CELL("contenu",$B$18))=0,1,SUM(COUNTA(KY5:KY6)*CELL("contenu",$B$4),COUNTA(KY8:KY11)*CELL("contenu",$B$7),COUNTA(KY13:KY13)*CELL("contenu",$B$12),COUNTA(KY15:KY17)*CELL("contenu",$B$14),COUNTA(KY19:KY19)*CELL("contenu",$B$18))))</f>
        <v/>
      </c>
      <c r="KZ20" s="116"/>
      <c r="LA20" s="192">
        <f ca="1">IF(COUNTA(KW20:KY20)-COUNTBLANK(KW20:KY20)=0,"",SUM(KW20:KY20)/(COUNTA(KW20:KY20)-COUNTBLANK(KW20:KY20)))</f>
        <v>14.166666666666668</v>
      </c>
      <c r="LB20" s="182" t="str">
        <f ca="1">IF(COUNTA(LB5:LB19)=0,"",5*SUM(IFERROR((((COUNTIF(LB5:LB6,"A"))*4)+((COUNTIF(LB5:LB6,"B"))*3)+((COUNTIF(LB5:LB6,"C"))*2)+((COUNTIF(LB5:LB6,"D"))*1))*CELL("contenu",$B$4),0),IFERROR((((COUNTIF(LB8:LB11,"A"))*4)+((COUNTIF(LB8:LB11,"B"))*3)+((COUNTIF(LB8:LB11,"C"))*2)+((COUNTIF(LB8:LB11,"D"))*1))*CELL("contenu",$B$7),0),IFERROR((((COUNTIF(LB13:LB13,"A"))*4)+((COUNTIF(LB13:LB13,"B"))*3)+((COUNTIF(LB13:LB13,"C"))*2)+((COUNTIF(LB13:LB13,"D"))*1))*CELL("contenu",$B$12),0),IFERROR((((COUNTIF(LB15:LB17,"A"))*4)+((COUNTIF(LB15:LB17,"B"))*3)+((COUNTIF(LB15:LB17,"C"))*2)+((COUNTIF(LB15:LB17,"D"))*1))*CELL("contenu",$B$14),0),IFERROR((((COUNTIF(LB19:LB19,"A"))*4)+((COUNTIF(LB19:LB19,"B"))*3)+((COUNTIF(LB19:LB19,"C"))*2)+((COUNTIF(LB19:LB19,"D"))*1))*CELL("contenu",$B$18),0))/IF(SUM(COUNTA(LB5:LB6)*CELL("contenu",$B$4),COUNTA(LB8:LB11)*CELL("contenu",$B$7),COUNTA(LB13:LB13)*CELL("contenu",$B$12),COUNTA(LB15:LB17)*CELL("contenu",$B$14),COUNTA(LB19:LB19)*CELL("contenu",$B$18))=0,1,SUM(COUNTA(LB5:LB6)*CELL("contenu",$B$4),COUNTA(LB8:LB11)*CELL("contenu",$B$7),COUNTA(LB13:LB13)*CELL("contenu",$B$12),COUNTA(LB15:LB17)*CELL("contenu",$B$14),COUNTA(LB19:LB19)*CELL("contenu",$B$18))))</f>
        <v/>
      </c>
      <c r="LC20" s="183" t="str">
        <f ca="1">IF(COUNTA(LC5:LC19)=0,"",5*SUM(IFERROR((((COUNTIF(LC5:LC6,"A"))*4)+((COUNTIF(LC5:LC6,"B"))*3)+((COUNTIF(LC5:LC6,"C"))*2)+((COUNTIF(LC5:LC6,"D"))*1))*CELL("contenu",$B$4),0),IFERROR((((COUNTIF(LC8:LC11,"A"))*4)+((COUNTIF(LC8:LC11,"B"))*3)+((COUNTIF(LC8:LC11,"C"))*2)+((COUNTIF(LC8:LC11,"D"))*1))*CELL("contenu",$B$7),0),IFERROR((((COUNTIF(LC13:LC13,"A"))*4)+((COUNTIF(LC13:LC13,"B"))*3)+((COUNTIF(LC13:LC13,"C"))*2)+((COUNTIF(LC13:LC13,"D"))*1))*CELL("contenu",$B$12),0),IFERROR((((COUNTIF(LC15:LC17,"A"))*4)+((COUNTIF(LC15:LC17,"B"))*3)+((COUNTIF(LC15:LC17,"C"))*2)+((COUNTIF(LC15:LC17,"D"))*1))*CELL("contenu",$B$14),0),IFERROR((((COUNTIF(LC19:LC19,"A"))*4)+((COUNTIF(LC19:LC19,"B"))*3)+((COUNTIF(LC19:LC19,"C"))*2)+((COUNTIF(LC19:LC19,"D"))*1))*CELL("contenu",$B$18),0))/IF(SUM(COUNTA(LC5:LC6)*CELL("contenu",$B$4),COUNTA(LC8:LC11)*CELL("contenu",$B$7),COUNTA(LC13:LC13)*CELL("contenu",$B$12),COUNTA(LC15:LC17)*CELL("contenu",$B$14),COUNTA(LC19:LC19)*CELL("contenu",$B$18))=0,1,SUM(COUNTA(LC5:LC6)*CELL("contenu",$B$4),COUNTA(LC8:LC11)*CELL("contenu",$B$7),COUNTA(LC13:LC13)*CELL("contenu",$B$12),COUNTA(LC15:LC17)*CELL("contenu",$B$14),COUNTA(LC19:LC19)*CELL("contenu",$B$18))))</f>
        <v/>
      </c>
      <c r="LD20" s="184" t="str">
        <f ca="1">IF(COUNTA(LD5:LD19)=0,"",5*SUM(IFERROR((((COUNTIF(LD5:LD6,"A"))*4)+((COUNTIF(LD5:LD6,"B"))*3)+((COUNTIF(LD5:LD6,"C"))*2)+((COUNTIF(LD5:LD6,"D"))*1))*CELL("contenu",$B$4),0),IFERROR((((COUNTIF(LD8:LD11,"A"))*4)+((COUNTIF(LD8:LD11,"B"))*3)+((COUNTIF(LD8:LD11,"C"))*2)+((COUNTIF(LD8:LD11,"D"))*1))*CELL("contenu",$B$7),0),IFERROR((((COUNTIF(LD13:LD13,"A"))*4)+((COUNTIF(LD13:LD13,"B"))*3)+((COUNTIF(LD13:LD13,"C"))*2)+((COUNTIF(LD13:LD13,"D"))*1))*CELL("contenu",$B$12),0),IFERROR((((COUNTIF(LD15:LD17,"A"))*4)+((COUNTIF(LD15:LD17,"B"))*3)+((COUNTIF(LD15:LD17,"C"))*2)+((COUNTIF(LD15:LD17,"D"))*1))*CELL("contenu",$B$14),0),IFERROR((((COUNTIF(LD19:LD19,"A"))*4)+((COUNTIF(LD19:LD19,"B"))*3)+((COUNTIF(LD19:LD19,"C"))*2)+((COUNTIF(LD19:LD19,"D"))*1))*CELL("contenu",$B$18),0))/IF(SUM(COUNTA(LD5:LD6)*CELL("contenu",$B$4),COUNTA(LD8:LD11)*CELL("contenu",$B$7),COUNTA(LD13:LD13)*CELL("contenu",$B$12),COUNTA(LD15:LD17)*CELL("contenu",$B$14),COUNTA(LD19:LD19)*CELL("contenu",$B$18))=0,1,SUM(COUNTA(LD5:LD6)*CELL("contenu",$B$4),COUNTA(LD8:LD11)*CELL("contenu",$B$7),COUNTA(LD13:LD13)*CELL("contenu",$B$12),COUNTA(LD15:LD17)*CELL("contenu",$B$14),COUNTA(LD19:LD19)*CELL("contenu",$B$18))))</f>
        <v/>
      </c>
      <c r="LE20" s="176"/>
      <c r="LF20" s="175" t="str">
        <f ca="1">IF(COUNTA(LB20:LD20)-COUNTBLANK(LB20:LD20)=0,"",SUM(LB20:LD20)/(COUNTA(LB20:LD20)-COUNTBLANK(LB20:LD20)))</f>
        <v/>
      </c>
      <c r="LG20" s="182" t="str">
        <f ca="1">IF(COUNTA(LG5:LG19)=0,"",5*SUM(IFERROR((((COUNTIF(LG5:LG6,"A"))*4)+((COUNTIF(LG5:LG6,"B"))*3)+((COUNTIF(LG5:LG6,"C"))*2)+((COUNTIF(LG5:LG6,"D"))*1))*CELL("contenu",$B$4),0),IFERROR((((COUNTIF(LG8:LG11,"A"))*4)+((COUNTIF(LG8:LG11,"B"))*3)+((COUNTIF(LG8:LG11,"C"))*2)+((COUNTIF(LG8:LG11,"D"))*1))*CELL("contenu",$B$7),0),IFERROR((((COUNTIF(LG13:LG13,"A"))*4)+((COUNTIF(LG13:LG13,"B"))*3)+((COUNTIF(LG13:LG13,"C"))*2)+((COUNTIF(LG13:LG13,"D"))*1))*CELL("contenu",$B$12),0),IFERROR((((COUNTIF(LG15:LG17,"A"))*4)+((COUNTIF(LG15:LG17,"B"))*3)+((COUNTIF(LG15:LG17,"C"))*2)+((COUNTIF(LG15:LG17,"D"))*1))*CELL("contenu",$B$14),0),IFERROR((((COUNTIF(LG19:LG19,"A"))*4)+((COUNTIF(LG19:LG19,"B"))*3)+((COUNTIF(LG19:LG19,"C"))*2)+((COUNTIF(LG19:LG19,"D"))*1))*CELL("contenu",$B$18),0))/IF(SUM(COUNTA(LG5:LG6)*CELL("contenu",$B$4),COUNTA(LG8:LG11)*CELL("contenu",$B$7),COUNTA(LG13:LG13)*CELL("contenu",$B$12),COUNTA(LG15:LG17)*CELL("contenu",$B$14),COUNTA(LG19:LG19)*CELL("contenu",$B$18))=0,1,SUM(COUNTA(LG5:LG6)*CELL("contenu",$B$4),COUNTA(LG8:LG11)*CELL("contenu",$B$7),COUNTA(LG13:LG13)*CELL("contenu",$B$12),COUNTA(LG15:LG17)*CELL("contenu",$B$14),COUNTA(LG19:LG19)*CELL("contenu",$B$18))))</f>
        <v/>
      </c>
      <c r="LH20" s="183" t="str">
        <f ca="1">IF(COUNTA(LH5:LH19)=0,"",5*SUM(IFERROR((((COUNTIF(LH5:LH6,"A"))*4)+((COUNTIF(LH5:LH6,"B"))*3)+((COUNTIF(LH5:LH6,"C"))*2)+((COUNTIF(LH5:LH6,"D"))*1))*CELL("contenu",$B$4),0),IFERROR((((COUNTIF(LH8:LH11,"A"))*4)+((COUNTIF(LH8:LH11,"B"))*3)+((COUNTIF(LH8:LH11,"C"))*2)+((COUNTIF(LH8:LH11,"D"))*1))*CELL("contenu",$B$7),0),IFERROR((((COUNTIF(LH13:LH13,"A"))*4)+((COUNTIF(LH13:LH13,"B"))*3)+((COUNTIF(LH13:LH13,"C"))*2)+((COUNTIF(LH13:LH13,"D"))*1))*CELL("contenu",$B$12),0),IFERROR((((COUNTIF(LH15:LH17,"A"))*4)+((COUNTIF(LH15:LH17,"B"))*3)+((COUNTIF(LH15:LH17,"C"))*2)+((COUNTIF(LH15:LH17,"D"))*1))*CELL("contenu",$B$14),0),IFERROR((((COUNTIF(LH19:LH19,"A"))*4)+((COUNTIF(LH19:LH19,"B"))*3)+((COUNTIF(LH19:LH19,"C"))*2)+((COUNTIF(LH19:LH19,"D"))*1))*CELL("contenu",$B$18),0))/IF(SUM(COUNTA(LH5:LH6)*CELL("contenu",$B$4),COUNTA(LH8:LH11)*CELL("contenu",$B$7),COUNTA(LH13:LH13)*CELL("contenu",$B$12),COUNTA(LH15:LH17)*CELL("contenu",$B$14),COUNTA(LH19:LH19)*CELL("contenu",$B$18))=0,1,SUM(COUNTA(LH5:LH6)*CELL("contenu",$B$4),COUNTA(LH8:LH11)*CELL("contenu",$B$7),COUNTA(LH13:LH13)*CELL("contenu",$B$12),COUNTA(LH15:LH17)*CELL("contenu",$B$14),COUNTA(LH19:LH19)*CELL("contenu",$B$18))))</f>
        <v/>
      </c>
      <c r="LI20" s="184" t="str">
        <f ca="1">IF(COUNTA(LI5:LI19)=0,"",5*SUM(IFERROR((((COUNTIF(LI5:LI6,"A"))*4)+((COUNTIF(LI5:LI6,"B"))*3)+((COUNTIF(LI5:LI6,"C"))*2)+((COUNTIF(LI5:LI6,"D"))*1))*CELL("contenu",$B$4),0),IFERROR((((COUNTIF(LI8:LI11,"A"))*4)+((COUNTIF(LI8:LI11,"B"))*3)+((COUNTIF(LI8:LI11,"C"))*2)+((COUNTIF(LI8:LI11,"D"))*1))*CELL("contenu",$B$7),0),IFERROR((((COUNTIF(LI13:LI13,"A"))*4)+((COUNTIF(LI13:LI13,"B"))*3)+((COUNTIF(LI13:LI13,"C"))*2)+((COUNTIF(LI13:LI13,"D"))*1))*CELL("contenu",$B$12),0),IFERROR((((COUNTIF(LI15:LI17,"A"))*4)+((COUNTIF(LI15:LI17,"B"))*3)+((COUNTIF(LI15:LI17,"C"))*2)+((COUNTIF(LI15:LI17,"D"))*1))*CELL("contenu",$B$14),0),IFERROR((((COUNTIF(LI19:LI19,"A"))*4)+((COUNTIF(LI19:LI19,"B"))*3)+((COUNTIF(LI19:LI19,"C"))*2)+((COUNTIF(LI19:LI19,"D"))*1))*CELL("contenu",$B$18),0))/IF(SUM(COUNTA(LI5:LI6)*CELL("contenu",$B$4),COUNTA(LI8:LI11)*CELL("contenu",$B$7),COUNTA(LI13:LI13)*CELL("contenu",$B$12),COUNTA(LI15:LI17)*CELL("contenu",$B$14),COUNTA(LI19:LI19)*CELL("contenu",$B$18))=0,1,SUM(COUNTA(LI5:LI6)*CELL("contenu",$B$4),COUNTA(LI8:LI11)*CELL("contenu",$B$7),COUNTA(LI13:LI13)*CELL("contenu",$B$12),COUNTA(LI15:LI17)*CELL("contenu",$B$14),COUNTA(LI19:LI19)*CELL("contenu",$B$18))))</f>
        <v/>
      </c>
      <c r="LJ20" s="176"/>
      <c r="LK20" s="174" t="str">
        <f ca="1">IF(COUNTA(LG20:LI20)-COUNTBLANK(LG20:LI20)=0,"",SUM(LG20:LI20)/(COUNTA(LG20:LI20)-COUNTBLANK(LG20:LI20)))</f>
        <v/>
      </c>
      <c r="LL20" s="103"/>
      <c r="LM20" s="141"/>
      <c r="LN20" s="167">
        <f ca="1">IF(COUNTA(LN5:LN19)=0,"",5*SUM(IFERROR((((COUNTIF(LN5:LN6,"A"))*4)+((COUNTIF(LN5:LN6,"B"))*3)+((COUNTIF(LN5:LN6,"C"))*2)+((COUNTIF(LN5:LN6,"D"))*1))*CELL("contenu",$B$4),0),IFERROR((((COUNTIF(LN8:LN11,"A"))*4)+((COUNTIF(LN8:LN11,"B"))*3)+((COUNTIF(LN8:LN11,"C"))*2)+((COUNTIF(LN8:LN11,"D"))*1))*CELL("contenu",$B$7),0),IFERROR((((COUNTIF(LN13:LN13,"A"))*4)+((COUNTIF(LN13:LN13,"B"))*3)+((COUNTIF(LN13:LN13,"C"))*2)+((COUNTIF(LN13:LN13,"D"))*1))*CELL("contenu",$B$12),0),IFERROR((((COUNTIF(LN15:LN17,"A"))*4)+((COUNTIF(LN15:LN17,"B"))*3)+((COUNTIF(LN15:LN17,"C"))*2)+((COUNTIF(LN15:LN17,"D"))*1))*CELL("contenu",$B$14),0),IFERROR((((COUNTIF(LN19:LN19,"A"))*4)+((COUNTIF(LN19:LN19,"B"))*3)+((COUNTIF(LN19:LN19,"C"))*2)+((COUNTIF(LN19:LN19,"D"))*1))*CELL("contenu",$B$18),0))/IF(SUM(COUNTA(LN5:LN6)*CELL("contenu",$B$4),COUNTA(LN8:LN11)*CELL("contenu",$B$7),COUNTA(LN13:LN13)*CELL("contenu",$B$12),COUNTA(LN15:LN17)*CELL("contenu",$B$14),COUNTA(LN19:LN19)*CELL("contenu",$B$18))=0,1,SUM(COUNTA(LN5:LN6)*CELL("contenu",$B$4),COUNTA(LN8:LN11)*CELL("contenu",$B$7),COUNTA(LN13:LN13)*CELL("contenu",$B$12),COUNTA(LN15:LN17)*CELL("contenu",$B$14),COUNTA(LN19:LN19)*CELL("contenu",$B$18))))</f>
        <v>18.333333333333332</v>
      </c>
      <c r="LO20" s="168">
        <f ca="1">IF(COUNTA(LO5:LO19)=0,"",5*SUM(IFERROR((((COUNTIF(LO5:LO6,"A"))*4)+((COUNTIF(LO5:LO6,"B"))*3)+((COUNTIF(LO5:LO6,"C"))*2)+((COUNTIF(LO5:LO6,"D"))*1))*CELL("contenu",$B$4),0),IFERROR((((COUNTIF(LO8:LO11,"A"))*4)+((COUNTIF(LO8:LO11,"B"))*3)+((COUNTIF(LO8:LO11,"C"))*2)+((COUNTIF(LO8:LO11,"D"))*1))*CELL("contenu",$B$7),0),IFERROR((((COUNTIF(LO13:LO13,"A"))*4)+((COUNTIF(LO13:LO13,"B"))*3)+((COUNTIF(LO13:LO13,"C"))*2)+((COUNTIF(LO13:LO13,"D"))*1))*CELL("contenu",$B$12),0),IFERROR((((COUNTIF(LO15:LO17,"A"))*4)+((COUNTIF(LO15:LO17,"B"))*3)+((COUNTIF(LO15:LO17,"C"))*2)+((COUNTIF(LO15:LO17,"D"))*1))*CELL("contenu",$B$14),0),IFERROR((((COUNTIF(LO19:LO19,"A"))*4)+((COUNTIF(LO19:LO19,"B"))*3)+((COUNTIF(LO19:LO19,"C"))*2)+((COUNTIF(LO19:LO19,"D"))*1))*CELL("contenu",$B$18),0))/IF(SUM(COUNTA(LO5:LO6)*CELL("contenu",$B$4),COUNTA(LO8:LO11)*CELL("contenu",$B$7),COUNTA(LO13:LO13)*CELL("contenu",$B$12),COUNTA(LO15:LO17)*CELL("contenu",$B$14),COUNTA(LO19:LO19)*CELL("contenu",$B$18))=0,1,SUM(COUNTA(LO5:LO6)*CELL("contenu",$B$4),COUNTA(LO8:LO11)*CELL("contenu",$B$7),COUNTA(LO13:LO13)*CELL("contenu",$B$12),COUNTA(LO15:LO17)*CELL("contenu",$B$14),COUNTA(LO19:LO19)*CELL("contenu",$B$18))))</f>
        <v>15</v>
      </c>
      <c r="LP20" s="169" t="str">
        <f ca="1">IF(COUNTA(LP5:LP19)=0,"",5*SUM(IFERROR((((COUNTIF(LP5:LP6,"A"))*4)+((COUNTIF(LP5:LP6,"B"))*3)+((COUNTIF(LP5:LP6,"C"))*2)+((COUNTIF(LP5:LP6,"D"))*1))*CELL("contenu",$B$4),0),IFERROR((((COUNTIF(LP8:LP11,"A"))*4)+((COUNTIF(LP8:LP11,"B"))*3)+((COUNTIF(LP8:LP11,"C"))*2)+((COUNTIF(LP8:LP11,"D"))*1))*CELL("contenu",$B$7),0),IFERROR((((COUNTIF(LP13:LP13,"A"))*4)+((COUNTIF(LP13:LP13,"B"))*3)+((COUNTIF(LP13:LP13,"C"))*2)+((COUNTIF(LP13:LP13,"D"))*1))*CELL("contenu",$B$12),0),IFERROR((((COUNTIF(LP15:LP17,"A"))*4)+((COUNTIF(LP15:LP17,"B"))*3)+((COUNTIF(LP15:LP17,"C"))*2)+((COUNTIF(LP15:LP17,"D"))*1))*CELL("contenu",$B$14),0),IFERROR((((COUNTIF(LP19:LP19,"A"))*4)+((COUNTIF(LP19:LP19,"B"))*3)+((COUNTIF(LP19:LP19,"C"))*2)+((COUNTIF(LP19:LP19,"D"))*1))*CELL("contenu",$B$18),0))/IF(SUM(COUNTA(LP5:LP6)*CELL("contenu",$B$4),COUNTA(LP8:LP11)*CELL("contenu",$B$7),COUNTA(LP13:LP13)*CELL("contenu",$B$12),COUNTA(LP15:LP17)*CELL("contenu",$B$14),COUNTA(LP19:LP19)*CELL("contenu",$B$18))=0,1,SUM(COUNTA(LP5:LP6)*CELL("contenu",$B$4),COUNTA(LP8:LP11)*CELL("contenu",$B$7),COUNTA(LP13:LP13)*CELL("contenu",$B$12),COUNTA(LP15:LP17)*CELL("contenu",$B$14),COUNTA(LP19:LP19)*CELL("contenu",$B$18))))</f>
        <v/>
      </c>
      <c r="LQ20" s="116"/>
      <c r="LR20" s="192">
        <f ca="1">IF(COUNTA(LN20:LP20)-COUNTBLANK(LN20:LP20)=0,"",SUM(LN20:LP20)/(COUNTA(LN20:LP20)-COUNTBLANK(LN20:LP20)))</f>
        <v>16.666666666666664</v>
      </c>
      <c r="LS20" s="182" t="str">
        <f ca="1">IF(COUNTA(LS5:LS19)=0,"",5*SUM(IFERROR((((COUNTIF(LS5:LS6,"A"))*4)+((COUNTIF(LS5:LS6,"B"))*3)+((COUNTIF(LS5:LS6,"C"))*2)+((COUNTIF(LS5:LS6,"D"))*1))*CELL("contenu",$B$4),0),IFERROR((((COUNTIF(LS8:LS11,"A"))*4)+((COUNTIF(LS8:LS11,"B"))*3)+((COUNTIF(LS8:LS11,"C"))*2)+((COUNTIF(LS8:LS11,"D"))*1))*CELL("contenu",$B$7),0),IFERROR((((COUNTIF(LS13:LS13,"A"))*4)+((COUNTIF(LS13:LS13,"B"))*3)+((COUNTIF(LS13:LS13,"C"))*2)+((COUNTIF(LS13:LS13,"D"))*1))*CELL("contenu",$B$12),0),IFERROR((((COUNTIF(LS15:LS17,"A"))*4)+((COUNTIF(LS15:LS17,"B"))*3)+((COUNTIF(LS15:LS17,"C"))*2)+((COUNTIF(LS15:LS17,"D"))*1))*CELL("contenu",$B$14),0),IFERROR((((COUNTIF(LS19:LS19,"A"))*4)+((COUNTIF(LS19:LS19,"B"))*3)+((COUNTIF(LS19:LS19,"C"))*2)+((COUNTIF(LS19:LS19,"D"))*1))*CELL("contenu",$B$18),0))/IF(SUM(COUNTA(LS5:LS6)*CELL("contenu",$B$4),COUNTA(LS8:LS11)*CELL("contenu",$B$7),COUNTA(LS13:LS13)*CELL("contenu",$B$12),COUNTA(LS15:LS17)*CELL("contenu",$B$14),COUNTA(LS19:LS19)*CELL("contenu",$B$18))=0,1,SUM(COUNTA(LS5:LS6)*CELL("contenu",$B$4),COUNTA(LS8:LS11)*CELL("contenu",$B$7),COUNTA(LS13:LS13)*CELL("contenu",$B$12),COUNTA(LS15:LS17)*CELL("contenu",$B$14),COUNTA(LS19:LS19)*CELL("contenu",$B$18))))</f>
        <v/>
      </c>
      <c r="LT20" s="183" t="str">
        <f ca="1">IF(COUNTA(LT5:LT19)=0,"",5*SUM(IFERROR((((COUNTIF(LT5:LT6,"A"))*4)+((COUNTIF(LT5:LT6,"B"))*3)+((COUNTIF(LT5:LT6,"C"))*2)+((COUNTIF(LT5:LT6,"D"))*1))*CELL("contenu",$B$4),0),IFERROR((((COUNTIF(LT8:LT11,"A"))*4)+((COUNTIF(LT8:LT11,"B"))*3)+((COUNTIF(LT8:LT11,"C"))*2)+((COUNTIF(LT8:LT11,"D"))*1))*CELL("contenu",$B$7),0),IFERROR((((COUNTIF(LT13:LT13,"A"))*4)+((COUNTIF(LT13:LT13,"B"))*3)+((COUNTIF(LT13:LT13,"C"))*2)+((COUNTIF(LT13:LT13,"D"))*1))*CELL("contenu",$B$12),0),IFERROR((((COUNTIF(LT15:LT17,"A"))*4)+((COUNTIF(LT15:LT17,"B"))*3)+((COUNTIF(LT15:LT17,"C"))*2)+((COUNTIF(LT15:LT17,"D"))*1))*CELL("contenu",$B$14),0),IFERROR((((COUNTIF(LT19:LT19,"A"))*4)+((COUNTIF(LT19:LT19,"B"))*3)+((COUNTIF(LT19:LT19,"C"))*2)+((COUNTIF(LT19:LT19,"D"))*1))*CELL("contenu",$B$18),0))/IF(SUM(COUNTA(LT5:LT6)*CELL("contenu",$B$4),COUNTA(LT8:LT11)*CELL("contenu",$B$7),COUNTA(LT13:LT13)*CELL("contenu",$B$12),COUNTA(LT15:LT17)*CELL("contenu",$B$14),COUNTA(LT19:LT19)*CELL("contenu",$B$18))=0,1,SUM(COUNTA(LT5:LT6)*CELL("contenu",$B$4),COUNTA(LT8:LT11)*CELL("contenu",$B$7),COUNTA(LT13:LT13)*CELL("contenu",$B$12),COUNTA(LT15:LT17)*CELL("contenu",$B$14),COUNTA(LT19:LT19)*CELL("contenu",$B$18))))</f>
        <v/>
      </c>
      <c r="LU20" s="184" t="str">
        <f ca="1">IF(COUNTA(LU5:LU19)=0,"",5*SUM(IFERROR((((COUNTIF(LU5:LU6,"A"))*4)+((COUNTIF(LU5:LU6,"B"))*3)+((COUNTIF(LU5:LU6,"C"))*2)+((COUNTIF(LU5:LU6,"D"))*1))*CELL("contenu",$B$4),0),IFERROR((((COUNTIF(LU8:LU11,"A"))*4)+((COUNTIF(LU8:LU11,"B"))*3)+((COUNTIF(LU8:LU11,"C"))*2)+((COUNTIF(LU8:LU11,"D"))*1))*CELL("contenu",$B$7),0),IFERROR((((COUNTIF(LU13:LU13,"A"))*4)+((COUNTIF(LU13:LU13,"B"))*3)+((COUNTIF(LU13:LU13,"C"))*2)+((COUNTIF(LU13:LU13,"D"))*1))*CELL("contenu",$B$12),0),IFERROR((((COUNTIF(LU15:LU17,"A"))*4)+((COUNTIF(LU15:LU17,"B"))*3)+((COUNTIF(LU15:LU17,"C"))*2)+((COUNTIF(LU15:LU17,"D"))*1))*CELL("contenu",$B$14),0),IFERROR((((COUNTIF(LU19:LU19,"A"))*4)+((COUNTIF(LU19:LU19,"B"))*3)+((COUNTIF(LU19:LU19,"C"))*2)+((COUNTIF(LU19:LU19,"D"))*1))*CELL("contenu",$B$18),0))/IF(SUM(COUNTA(LU5:LU6)*CELL("contenu",$B$4),COUNTA(LU8:LU11)*CELL("contenu",$B$7),COUNTA(LU13:LU13)*CELL("contenu",$B$12),COUNTA(LU15:LU17)*CELL("contenu",$B$14),COUNTA(LU19:LU19)*CELL("contenu",$B$18))=0,1,SUM(COUNTA(LU5:LU6)*CELL("contenu",$B$4),COUNTA(LU8:LU11)*CELL("contenu",$B$7),COUNTA(LU13:LU13)*CELL("contenu",$B$12),COUNTA(LU15:LU17)*CELL("contenu",$B$14),COUNTA(LU19:LU19)*CELL("contenu",$B$18))))</f>
        <v/>
      </c>
      <c r="LV20" s="176"/>
      <c r="LW20" s="175" t="str">
        <f ca="1">IF(COUNTA(LS20:LU20)-COUNTBLANK(LS20:LU20)=0,"",SUM(LS20:LU20)/(COUNTA(LS20:LU20)-COUNTBLANK(LS20:LU20)))</f>
        <v/>
      </c>
      <c r="LX20" s="182" t="str">
        <f ca="1">IF(COUNTA(LX5:LX19)=0,"",5*SUM(IFERROR((((COUNTIF(LX5:LX6,"A"))*4)+((COUNTIF(LX5:LX6,"B"))*3)+((COUNTIF(LX5:LX6,"C"))*2)+((COUNTIF(LX5:LX6,"D"))*1))*CELL("contenu",$B$4),0),IFERROR((((COUNTIF(LX8:LX11,"A"))*4)+((COUNTIF(LX8:LX11,"B"))*3)+((COUNTIF(LX8:LX11,"C"))*2)+((COUNTIF(LX8:LX11,"D"))*1))*CELL("contenu",$B$7),0),IFERROR((((COUNTIF(LX13:LX13,"A"))*4)+((COUNTIF(LX13:LX13,"B"))*3)+((COUNTIF(LX13:LX13,"C"))*2)+((COUNTIF(LX13:LX13,"D"))*1))*CELL("contenu",$B$12),0),IFERROR((((COUNTIF(LX15:LX17,"A"))*4)+((COUNTIF(LX15:LX17,"B"))*3)+((COUNTIF(LX15:LX17,"C"))*2)+((COUNTIF(LX15:LX17,"D"))*1))*CELL("contenu",$B$14),0),IFERROR((((COUNTIF(LX19:LX19,"A"))*4)+((COUNTIF(LX19:LX19,"B"))*3)+((COUNTIF(LX19:LX19,"C"))*2)+((COUNTIF(LX19:LX19,"D"))*1))*CELL("contenu",$B$18),0))/IF(SUM(COUNTA(LX5:LX6)*CELL("contenu",$B$4),COUNTA(LX8:LX11)*CELL("contenu",$B$7),COUNTA(LX13:LX13)*CELL("contenu",$B$12),COUNTA(LX15:LX17)*CELL("contenu",$B$14),COUNTA(LX19:LX19)*CELL("contenu",$B$18))=0,1,SUM(COUNTA(LX5:LX6)*CELL("contenu",$B$4),COUNTA(LX8:LX11)*CELL("contenu",$B$7),COUNTA(LX13:LX13)*CELL("contenu",$B$12),COUNTA(LX15:LX17)*CELL("contenu",$B$14),COUNTA(LX19:LX19)*CELL("contenu",$B$18))))</f>
        <v/>
      </c>
      <c r="LY20" s="183" t="str">
        <f ca="1">IF(COUNTA(LY5:LY19)=0,"",5*SUM(IFERROR((((COUNTIF(LY5:LY6,"A"))*4)+((COUNTIF(LY5:LY6,"B"))*3)+((COUNTIF(LY5:LY6,"C"))*2)+((COUNTIF(LY5:LY6,"D"))*1))*CELL("contenu",$B$4),0),IFERROR((((COUNTIF(LY8:LY11,"A"))*4)+((COUNTIF(LY8:LY11,"B"))*3)+((COUNTIF(LY8:LY11,"C"))*2)+((COUNTIF(LY8:LY11,"D"))*1))*CELL("contenu",$B$7),0),IFERROR((((COUNTIF(LY13:LY13,"A"))*4)+((COUNTIF(LY13:LY13,"B"))*3)+((COUNTIF(LY13:LY13,"C"))*2)+((COUNTIF(LY13:LY13,"D"))*1))*CELL("contenu",$B$12),0),IFERROR((((COUNTIF(LY15:LY17,"A"))*4)+((COUNTIF(LY15:LY17,"B"))*3)+((COUNTIF(LY15:LY17,"C"))*2)+((COUNTIF(LY15:LY17,"D"))*1))*CELL("contenu",$B$14),0),IFERROR((((COUNTIF(LY19:LY19,"A"))*4)+((COUNTIF(LY19:LY19,"B"))*3)+((COUNTIF(LY19:LY19,"C"))*2)+((COUNTIF(LY19:LY19,"D"))*1))*CELL("contenu",$B$18),0))/IF(SUM(COUNTA(LY5:LY6)*CELL("contenu",$B$4),COUNTA(LY8:LY11)*CELL("contenu",$B$7),COUNTA(LY13:LY13)*CELL("contenu",$B$12),COUNTA(LY15:LY17)*CELL("contenu",$B$14),COUNTA(LY19:LY19)*CELL("contenu",$B$18))=0,1,SUM(COUNTA(LY5:LY6)*CELL("contenu",$B$4),COUNTA(LY8:LY11)*CELL("contenu",$B$7),COUNTA(LY13:LY13)*CELL("contenu",$B$12),COUNTA(LY15:LY17)*CELL("contenu",$B$14),COUNTA(LY19:LY19)*CELL("contenu",$B$18))))</f>
        <v/>
      </c>
      <c r="LZ20" s="184" t="str">
        <f ca="1">IF(COUNTA(LZ5:LZ19)=0,"",5*SUM(IFERROR((((COUNTIF(LZ5:LZ6,"A"))*4)+((COUNTIF(LZ5:LZ6,"B"))*3)+((COUNTIF(LZ5:LZ6,"C"))*2)+((COUNTIF(LZ5:LZ6,"D"))*1))*CELL("contenu",$B$4),0),IFERROR((((COUNTIF(LZ8:LZ11,"A"))*4)+((COUNTIF(LZ8:LZ11,"B"))*3)+((COUNTIF(LZ8:LZ11,"C"))*2)+((COUNTIF(LZ8:LZ11,"D"))*1))*CELL("contenu",$B$7),0),IFERROR((((COUNTIF(LZ13:LZ13,"A"))*4)+((COUNTIF(LZ13:LZ13,"B"))*3)+((COUNTIF(LZ13:LZ13,"C"))*2)+((COUNTIF(LZ13:LZ13,"D"))*1))*CELL("contenu",$B$12),0),IFERROR((((COUNTIF(LZ15:LZ17,"A"))*4)+((COUNTIF(LZ15:LZ17,"B"))*3)+((COUNTIF(LZ15:LZ17,"C"))*2)+((COUNTIF(LZ15:LZ17,"D"))*1))*CELL("contenu",$B$14),0),IFERROR((((COUNTIF(LZ19:LZ19,"A"))*4)+((COUNTIF(LZ19:LZ19,"B"))*3)+((COUNTIF(LZ19:LZ19,"C"))*2)+((COUNTIF(LZ19:LZ19,"D"))*1))*CELL("contenu",$B$18),0))/IF(SUM(COUNTA(LZ5:LZ6)*CELL("contenu",$B$4),COUNTA(LZ8:LZ11)*CELL("contenu",$B$7),COUNTA(LZ13:LZ13)*CELL("contenu",$B$12),COUNTA(LZ15:LZ17)*CELL("contenu",$B$14),COUNTA(LZ19:LZ19)*CELL("contenu",$B$18))=0,1,SUM(COUNTA(LZ5:LZ6)*CELL("contenu",$B$4),COUNTA(LZ8:LZ11)*CELL("contenu",$B$7),COUNTA(LZ13:LZ13)*CELL("contenu",$B$12),COUNTA(LZ15:LZ17)*CELL("contenu",$B$14),COUNTA(LZ19:LZ19)*CELL("contenu",$B$18))))</f>
        <v/>
      </c>
      <c r="MA20" s="176"/>
      <c r="MB20" s="174" t="str">
        <f ca="1">IF(COUNTA(LX20:LZ20)-COUNTBLANK(LX20:LZ20)=0,"",SUM(LX20:LZ20)/(COUNTA(LX20:LZ20)-COUNTBLANK(LX20:LZ20)))</f>
        <v/>
      </c>
      <c r="MC20" s="103"/>
      <c r="MD20" s="141"/>
      <c r="ME20" s="167">
        <f ca="1">IF(COUNTA(ME5:ME19)=0,"",5*SUM(IFERROR((((COUNTIF(ME5:ME6,"A"))*4)+((COUNTIF(ME5:ME6,"B"))*3)+((COUNTIF(ME5:ME6,"C"))*2)+((COUNTIF(ME5:ME6,"D"))*1))*CELL("contenu",$B$4),0),IFERROR((((COUNTIF(ME8:ME11,"A"))*4)+((COUNTIF(ME8:ME11,"B"))*3)+((COUNTIF(ME8:ME11,"C"))*2)+((COUNTIF(ME8:ME11,"D"))*1))*CELL("contenu",$B$7),0),IFERROR((((COUNTIF(ME13:ME13,"A"))*4)+((COUNTIF(ME13:ME13,"B"))*3)+((COUNTIF(ME13:ME13,"C"))*2)+((COUNTIF(ME13:ME13,"D"))*1))*CELL("contenu",$B$12),0),IFERROR((((COUNTIF(ME15:ME17,"A"))*4)+((COUNTIF(ME15:ME17,"B"))*3)+((COUNTIF(ME15:ME17,"C"))*2)+((COUNTIF(ME15:ME17,"D"))*1))*CELL("contenu",$B$14),0),IFERROR((((COUNTIF(ME19:ME19,"A"))*4)+((COUNTIF(ME19:ME19,"B"))*3)+((COUNTIF(ME19:ME19,"C"))*2)+((COUNTIF(ME19:ME19,"D"))*1))*CELL("contenu",$B$18),0))/IF(SUM(COUNTA(ME5:ME6)*CELL("contenu",$B$4),COUNTA(ME8:ME11)*CELL("contenu",$B$7),COUNTA(ME13:ME13)*CELL("contenu",$B$12),COUNTA(ME15:ME17)*CELL("contenu",$B$14),COUNTA(ME19:ME19)*CELL("contenu",$B$18))=0,1,SUM(COUNTA(ME5:ME6)*CELL("contenu",$B$4),COUNTA(ME8:ME11)*CELL("contenu",$B$7),COUNTA(ME13:ME13)*CELL("contenu",$B$12),COUNTA(ME15:ME17)*CELL("contenu",$B$14),COUNTA(ME19:ME19)*CELL("contenu",$B$18))))</f>
        <v>18.333333333333332</v>
      </c>
      <c r="MF20" s="168">
        <f ca="1">IF(COUNTA(MF5:MF19)=0,"",5*SUM(IFERROR((((COUNTIF(MF5:MF6,"A"))*4)+((COUNTIF(MF5:MF6,"B"))*3)+((COUNTIF(MF5:MF6,"C"))*2)+((COUNTIF(MF5:MF6,"D"))*1))*CELL("contenu",$B$4),0),IFERROR((((COUNTIF(MF8:MF11,"A"))*4)+((COUNTIF(MF8:MF11,"B"))*3)+((COUNTIF(MF8:MF11,"C"))*2)+((COUNTIF(MF8:MF11,"D"))*1))*CELL("contenu",$B$7),0),IFERROR((((COUNTIF(MF13:MF13,"A"))*4)+((COUNTIF(MF13:MF13,"B"))*3)+((COUNTIF(MF13:MF13,"C"))*2)+((COUNTIF(MF13:MF13,"D"))*1))*CELL("contenu",$B$12),0),IFERROR((((COUNTIF(MF15:MF17,"A"))*4)+((COUNTIF(MF15:MF17,"B"))*3)+((COUNTIF(MF15:MF17,"C"))*2)+((COUNTIF(MF15:MF17,"D"))*1))*CELL("contenu",$B$14),0),IFERROR((((COUNTIF(MF19:MF19,"A"))*4)+((COUNTIF(MF19:MF19,"B"))*3)+((COUNTIF(MF19:MF19,"C"))*2)+((COUNTIF(MF19:MF19,"D"))*1))*CELL("contenu",$B$18),0))/IF(SUM(COUNTA(MF5:MF6)*CELL("contenu",$B$4),COUNTA(MF8:MF11)*CELL("contenu",$B$7),COUNTA(MF13:MF13)*CELL("contenu",$B$12),COUNTA(MF15:MF17)*CELL("contenu",$B$14),COUNTA(MF19:MF19)*CELL("contenu",$B$18))=0,1,SUM(COUNTA(MF5:MF6)*CELL("contenu",$B$4),COUNTA(MF8:MF11)*CELL("contenu",$B$7),COUNTA(MF13:MF13)*CELL("contenu",$B$12),COUNTA(MF15:MF17)*CELL("contenu",$B$14),COUNTA(MF19:MF19)*CELL("contenu",$B$18))))</f>
        <v>15</v>
      </c>
      <c r="MG20" s="169" t="str">
        <f ca="1">IF(COUNTA(MG5:MG19)=0,"",5*SUM(IFERROR((((COUNTIF(MG5:MG6,"A"))*4)+((COUNTIF(MG5:MG6,"B"))*3)+((COUNTIF(MG5:MG6,"C"))*2)+((COUNTIF(MG5:MG6,"D"))*1))*CELL("contenu",$B$4),0),IFERROR((((COUNTIF(MG8:MG11,"A"))*4)+((COUNTIF(MG8:MG11,"B"))*3)+((COUNTIF(MG8:MG11,"C"))*2)+((COUNTIF(MG8:MG11,"D"))*1))*CELL("contenu",$B$7),0),IFERROR((((COUNTIF(MG13:MG13,"A"))*4)+((COUNTIF(MG13:MG13,"B"))*3)+((COUNTIF(MG13:MG13,"C"))*2)+((COUNTIF(MG13:MG13,"D"))*1))*CELL("contenu",$B$12),0),IFERROR((((COUNTIF(MG15:MG17,"A"))*4)+((COUNTIF(MG15:MG17,"B"))*3)+((COUNTIF(MG15:MG17,"C"))*2)+((COUNTIF(MG15:MG17,"D"))*1))*CELL("contenu",$B$14),0),IFERROR((((COUNTIF(MG19:MG19,"A"))*4)+((COUNTIF(MG19:MG19,"B"))*3)+((COUNTIF(MG19:MG19,"C"))*2)+((COUNTIF(MG19:MG19,"D"))*1))*CELL("contenu",$B$18),0))/IF(SUM(COUNTA(MG5:MG6)*CELL("contenu",$B$4),COUNTA(MG8:MG11)*CELL("contenu",$B$7),COUNTA(MG13:MG13)*CELL("contenu",$B$12),COUNTA(MG15:MG17)*CELL("contenu",$B$14),COUNTA(MG19:MG19)*CELL("contenu",$B$18))=0,1,SUM(COUNTA(MG5:MG6)*CELL("contenu",$B$4),COUNTA(MG8:MG11)*CELL("contenu",$B$7),COUNTA(MG13:MG13)*CELL("contenu",$B$12),COUNTA(MG15:MG17)*CELL("contenu",$B$14),COUNTA(MG19:MG19)*CELL("contenu",$B$18))))</f>
        <v/>
      </c>
      <c r="MH20" s="116"/>
      <c r="MI20" s="192">
        <f ca="1">IF(COUNTA(ME20:MG20)-COUNTBLANK(ME20:MG20)=0,"",SUM(ME20:MG20)/(COUNTA(ME20:MG20)-COUNTBLANK(ME20:MG20)))</f>
        <v>16.666666666666664</v>
      </c>
      <c r="MJ20" s="182" t="str">
        <f ca="1">IF(COUNTA(MJ5:MJ19)=0,"",5*SUM(IFERROR((((COUNTIF(MJ5:MJ6,"A"))*4)+((COUNTIF(MJ5:MJ6,"B"))*3)+((COUNTIF(MJ5:MJ6,"C"))*2)+((COUNTIF(MJ5:MJ6,"D"))*1))*CELL("contenu",$B$4),0),IFERROR((((COUNTIF(MJ8:MJ11,"A"))*4)+((COUNTIF(MJ8:MJ11,"B"))*3)+((COUNTIF(MJ8:MJ11,"C"))*2)+((COUNTIF(MJ8:MJ11,"D"))*1))*CELL("contenu",$B$7),0),IFERROR((((COUNTIF(MJ13:MJ13,"A"))*4)+((COUNTIF(MJ13:MJ13,"B"))*3)+((COUNTIF(MJ13:MJ13,"C"))*2)+((COUNTIF(MJ13:MJ13,"D"))*1))*CELL("contenu",$B$12),0),IFERROR((((COUNTIF(MJ15:MJ17,"A"))*4)+((COUNTIF(MJ15:MJ17,"B"))*3)+((COUNTIF(MJ15:MJ17,"C"))*2)+((COUNTIF(MJ15:MJ17,"D"))*1))*CELL("contenu",$B$14),0),IFERROR((((COUNTIF(MJ19:MJ19,"A"))*4)+((COUNTIF(MJ19:MJ19,"B"))*3)+((COUNTIF(MJ19:MJ19,"C"))*2)+((COUNTIF(MJ19:MJ19,"D"))*1))*CELL("contenu",$B$18),0))/IF(SUM(COUNTA(MJ5:MJ6)*CELL("contenu",$B$4),COUNTA(MJ8:MJ11)*CELL("contenu",$B$7),COUNTA(MJ13:MJ13)*CELL("contenu",$B$12),COUNTA(MJ15:MJ17)*CELL("contenu",$B$14),COUNTA(MJ19:MJ19)*CELL("contenu",$B$18))=0,1,SUM(COUNTA(MJ5:MJ6)*CELL("contenu",$B$4),COUNTA(MJ8:MJ11)*CELL("contenu",$B$7),COUNTA(MJ13:MJ13)*CELL("contenu",$B$12),COUNTA(MJ15:MJ17)*CELL("contenu",$B$14),COUNTA(MJ19:MJ19)*CELL("contenu",$B$18))))</f>
        <v/>
      </c>
      <c r="MK20" s="183" t="str">
        <f ca="1">IF(COUNTA(MK5:MK19)=0,"",5*SUM(IFERROR((((COUNTIF(MK5:MK6,"A"))*4)+((COUNTIF(MK5:MK6,"B"))*3)+((COUNTIF(MK5:MK6,"C"))*2)+((COUNTIF(MK5:MK6,"D"))*1))*CELL("contenu",$B$4),0),IFERROR((((COUNTIF(MK8:MK11,"A"))*4)+((COUNTIF(MK8:MK11,"B"))*3)+((COUNTIF(MK8:MK11,"C"))*2)+((COUNTIF(MK8:MK11,"D"))*1))*CELL("contenu",$B$7),0),IFERROR((((COUNTIF(MK13:MK13,"A"))*4)+((COUNTIF(MK13:MK13,"B"))*3)+((COUNTIF(MK13:MK13,"C"))*2)+((COUNTIF(MK13:MK13,"D"))*1))*CELL("contenu",$B$12),0),IFERROR((((COUNTIF(MK15:MK17,"A"))*4)+((COUNTIF(MK15:MK17,"B"))*3)+((COUNTIF(MK15:MK17,"C"))*2)+((COUNTIF(MK15:MK17,"D"))*1))*CELL("contenu",$B$14),0),IFERROR((((COUNTIF(MK19:MK19,"A"))*4)+((COUNTIF(MK19:MK19,"B"))*3)+((COUNTIF(MK19:MK19,"C"))*2)+((COUNTIF(MK19:MK19,"D"))*1))*CELL("contenu",$B$18),0))/IF(SUM(COUNTA(MK5:MK6)*CELL("contenu",$B$4),COUNTA(MK8:MK11)*CELL("contenu",$B$7),COUNTA(MK13:MK13)*CELL("contenu",$B$12),COUNTA(MK15:MK17)*CELL("contenu",$B$14),COUNTA(MK19:MK19)*CELL("contenu",$B$18))=0,1,SUM(COUNTA(MK5:MK6)*CELL("contenu",$B$4),COUNTA(MK8:MK11)*CELL("contenu",$B$7),COUNTA(MK13:MK13)*CELL("contenu",$B$12),COUNTA(MK15:MK17)*CELL("contenu",$B$14),COUNTA(MK19:MK19)*CELL("contenu",$B$18))))</f>
        <v/>
      </c>
      <c r="ML20" s="184" t="str">
        <f ca="1">IF(COUNTA(ML5:ML19)=0,"",5*SUM(IFERROR((((COUNTIF(ML5:ML6,"A"))*4)+((COUNTIF(ML5:ML6,"B"))*3)+((COUNTIF(ML5:ML6,"C"))*2)+((COUNTIF(ML5:ML6,"D"))*1))*CELL("contenu",$B$4),0),IFERROR((((COUNTIF(ML8:ML11,"A"))*4)+((COUNTIF(ML8:ML11,"B"))*3)+((COUNTIF(ML8:ML11,"C"))*2)+((COUNTIF(ML8:ML11,"D"))*1))*CELL("contenu",$B$7),0),IFERROR((((COUNTIF(ML13:ML13,"A"))*4)+((COUNTIF(ML13:ML13,"B"))*3)+((COUNTIF(ML13:ML13,"C"))*2)+((COUNTIF(ML13:ML13,"D"))*1))*CELL("contenu",$B$12),0),IFERROR((((COUNTIF(ML15:ML17,"A"))*4)+((COUNTIF(ML15:ML17,"B"))*3)+((COUNTIF(ML15:ML17,"C"))*2)+((COUNTIF(ML15:ML17,"D"))*1))*CELL("contenu",$B$14),0),IFERROR((((COUNTIF(ML19:ML19,"A"))*4)+((COUNTIF(ML19:ML19,"B"))*3)+((COUNTIF(ML19:ML19,"C"))*2)+((COUNTIF(ML19:ML19,"D"))*1))*CELL("contenu",$B$18),0))/IF(SUM(COUNTA(ML5:ML6)*CELL("contenu",$B$4),COUNTA(ML8:ML11)*CELL("contenu",$B$7),COUNTA(ML13:ML13)*CELL("contenu",$B$12),COUNTA(ML15:ML17)*CELL("contenu",$B$14),COUNTA(ML19:ML19)*CELL("contenu",$B$18))=0,1,SUM(COUNTA(ML5:ML6)*CELL("contenu",$B$4),COUNTA(ML8:ML11)*CELL("contenu",$B$7),COUNTA(ML13:ML13)*CELL("contenu",$B$12),COUNTA(ML15:ML17)*CELL("contenu",$B$14),COUNTA(ML19:ML19)*CELL("contenu",$B$18))))</f>
        <v/>
      </c>
      <c r="MM20" s="176"/>
      <c r="MN20" s="175" t="str">
        <f ca="1">IF(COUNTA(MJ20:ML20)-COUNTBLANK(MJ20:ML20)=0,"",SUM(MJ20:ML20)/(COUNTA(MJ20:ML20)-COUNTBLANK(MJ20:ML20)))</f>
        <v/>
      </c>
      <c r="MO20" s="182" t="str">
        <f ca="1">IF(COUNTA(MO5:MO19)=0,"",5*SUM(IFERROR((((COUNTIF(MO5:MO6,"A"))*4)+((COUNTIF(MO5:MO6,"B"))*3)+((COUNTIF(MO5:MO6,"C"))*2)+((COUNTIF(MO5:MO6,"D"))*1))*CELL("contenu",$B$4),0),IFERROR((((COUNTIF(MO8:MO11,"A"))*4)+((COUNTIF(MO8:MO11,"B"))*3)+((COUNTIF(MO8:MO11,"C"))*2)+((COUNTIF(MO8:MO11,"D"))*1))*CELL("contenu",$B$7),0),IFERROR((((COUNTIF(MO13:MO13,"A"))*4)+((COUNTIF(MO13:MO13,"B"))*3)+((COUNTIF(MO13:MO13,"C"))*2)+((COUNTIF(MO13:MO13,"D"))*1))*CELL("contenu",$B$12),0),IFERROR((((COUNTIF(MO15:MO17,"A"))*4)+((COUNTIF(MO15:MO17,"B"))*3)+((COUNTIF(MO15:MO17,"C"))*2)+((COUNTIF(MO15:MO17,"D"))*1))*CELL("contenu",$B$14),0),IFERROR((((COUNTIF(MO19:MO19,"A"))*4)+((COUNTIF(MO19:MO19,"B"))*3)+((COUNTIF(MO19:MO19,"C"))*2)+((COUNTIF(MO19:MO19,"D"))*1))*CELL("contenu",$B$18),0))/IF(SUM(COUNTA(MO5:MO6)*CELL("contenu",$B$4),COUNTA(MO8:MO11)*CELL("contenu",$B$7),COUNTA(MO13:MO13)*CELL("contenu",$B$12),COUNTA(MO15:MO17)*CELL("contenu",$B$14),COUNTA(MO19:MO19)*CELL("contenu",$B$18))=0,1,SUM(COUNTA(MO5:MO6)*CELL("contenu",$B$4),COUNTA(MO8:MO11)*CELL("contenu",$B$7),COUNTA(MO13:MO13)*CELL("contenu",$B$12),COUNTA(MO15:MO17)*CELL("contenu",$B$14),COUNTA(MO19:MO19)*CELL("contenu",$B$18))))</f>
        <v/>
      </c>
      <c r="MP20" s="183" t="str">
        <f ca="1">IF(COUNTA(MP5:MP19)=0,"",5*SUM(IFERROR((((COUNTIF(MP5:MP6,"A"))*4)+((COUNTIF(MP5:MP6,"B"))*3)+((COUNTIF(MP5:MP6,"C"))*2)+((COUNTIF(MP5:MP6,"D"))*1))*CELL("contenu",$B$4),0),IFERROR((((COUNTIF(MP8:MP11,"A"))*4)+((COUNTIF(MP8:MP11,"B"))*3)+((COUNTIF(MP8:MP11,"C"))*2)+((COUNTIF(MP8:MP11,"D"))*1))*CELL("contenu",$B$7),0),IFERROR((((COUNTIF(MP13:MP13,"A"))*4)+((COUNTIF(MP13:MP13,"B"))*3)+((COUNTIF(MP13:MP13,"C"))*2)+((COUNTIF(MP13:MP13,"D"))*1))*CELL("contenu",$B$12),0),IFERROR((((COUNTIF(MP15:MP17,"A"))*4)+((COUNTIF(MP15:MP17,"B"))*3)+((COUNTIF(MP15:MP17,"C"))*2)+((COUNTIF(MP15:MP17,"D"))*1))*CELL("contenu",$B$14),0),IFERROR((((COUNTIF(MP19:MP19,"A"))*4)+((COUNTIF(MP19:MP19,"B"))*3)+((COUNTIF(MP19:MP19,"C"))*2)+((COUNTIF(MP19:MP19,"D"))*1))*CELL("contenu",$B$18),0))/IF(SUM(COUNTA(MP5:MP6)*CELL("contenu",$B$4),COUNTA(MP8:MP11)*CELL("contenu",$B$7),COUNTA(MP13:MP13)*CELL("contenu",$B$12),COUNTA(MP15:MP17)*CELL("contenu",$B$14),COUNTA(MP19:MP19)*CELL("contenu",$B$18))=0,1,SUM(COUNTA(MP5:MP6)*CELL("contenu",$B$4),COUNTA(MP8:MP11)*CELL("contenu",$B$7),COUNTA(MP13:MP13)*CELL("contenu",$B$12),COUNTA(MP15:MP17)*CELL("contenu",$B$14),COUNTA(MP19:MP19)*CELL("contenu",$B$18))))</f>
        <v/>
      </c>
      <c r="MQ20" s="184" t="str">
        <f ca="1">IF(COUNTA(MQ5:MQ19)=0,"",5*SUM(IFERROR((((COUNTIF(MQ5:MQ6,"A"))*4)+((COUNTIF(MQ5:MQ6,"B"))*3)+((COUNTIF(MQ5:MQ6,"C"))*2)+((COUNTIF(MQ5:MQ6,"D"))*1))*CELL("contenu",$B$4),0),IFERROR((((COUNTIF(MQ8:MQ11,"A"))*4)+((COUNTIF(MQ8:MQ11,"B"))*3)+((COUNTIF(MQ8:MQ11,"C"))*2)+((COUNTIF(MQ8:MQ11,"D"))*1))*CELL("contenu",$B$7),0),IFERROR((((COUNTIF(MQ13:MQ13,"A"))*4)+((COUNTIF(MQ13:MQ13,"B"))*3)+((COUNTIF(MQ13:MQ13,"C"))*2)+((COUNTIF(MQ13:MQ13,"D"))*1))*CELL("contenu",$B$12),0),IFERROR((((COUNTIF(MQ15:MQ17,"A"))*4)+((COUNTIF(MQ15:MQ17,"B"))*3)+((COUNTIF(MQ15:MQ17,"C"))*2)+((COUNTIF(MQ15:MQ17,"D"))*1))*CELL("contenu",$B$14),0),IFERROR((((COUNTIF(MQ19:MQ19,"A"))*4)+((COUNTIF(MQ19:MQ19,"B"))*3)+((COUNTIF(MQ19:MQ19,"C"))*2)+((COUNTIF(MQ19:MQ19,"D"))*1))*CELL("contenu",$B$18),0))/IF(SUM(COUNTA(MQ5:MQ6)*CELL("contenu",$B$4),COUNTA(MQ8:MQ11)*CELL("contenu",$B$7),COUNTA(MQ13:MQ13)*CELL("contenu",$B$12),COUNTA(MQ15:MQ17)*CELL("contenu",$B$14),COUNTA(MQ19:MQ19)*CELL("contenu",$B$18))=0,1,SUM(COUNTA(MQ5:MQ6)*CELL("contenu",$B$4),COUNTA(MQ8:MQ11)*CELL("contenu",$B$7),COUNTA(MQ13:MQ13)*CELL("contenu",$B$12),COUNTA(MQ15:MQ17)*CELL("contenu",$B$14),COUNTA(MQ19:MQ19)*CELL("contenu",$B$18))))</f>
        <v/>
      </c>
      <c r="MR20" s="176"/>
      <c r="MS20" s="174" t="str">
        <f ca="1">IF(COUNTA(MO20:MQ20)-COUNTBLANK(MO20:MQ20)=0,"",SUM(MO20:MQ20)/(COUNTA(MO20:MQ20)-COUNTBLANK(MO20:MQ20)))</f>
        <v/>
      </c>
      <c r="MT20" s="103"/>
      <c r="MU20" s="141"/>
      <c r="MV20" s="167">
        <f ca="1">IF(COUNTA(MV5:MV19)=0,"",5*SUM(IFERROR((((COUNTIF(MV5:MV6,"A"))*4)+((COUNTIF(MV5:MV6,"B"))*3)+((COUNTIF(MV5:MV6,"C"))*2)+((COUNTIF(MV5:MV6,"D"))*1))*CELL("contenu",$B$4),0),IFERROR((((COUNTIF(MV8:MV11,"A"))*4)+((COUNTIF(MV8:MV11,"B"))*3)+((COUNTIF(MV8:MV11,"C"))*2)+((COUNTIF(MV8:MV11,"D"))*1))*CELL("contenu",$B$7),0),IFERROR((((COUNTIF(MV13:MV13,"A"))*4)+((COUNTIF(MV13:MV13,"B"))*3)+((COUNTIF(MV13:MV13,"C"))*2)+((COUNTIF(MV13:MV13,"D"))*1))*CELL("contenu",$B$12),0),IFERROR((((COUNTIF(MV15:MV17,"A"))*4)+((COUNTIF(MV15:MV17,"B"))*3)+((COUNTIF(MV15:MV17,"C"))*2)+((COUNTIF(MV15:MV17,"D"))*1))*CELL("contenu",$B$14),0),IFERROR((((COUNTIF(MV19:MV19,"A"))*4)+((COUNTIF(MV19:MV19,"B"))*3)+((COUNTIF(MV19:MV19,"C"))*2)+((COUNTIF(MV19:MV19,"D"))*1))*CELL("contenu",$B$18),0))/IF(SUM(COUNTA(MV5:MV6)*CELL("contenu",$B$4),COUNTA(MV8:MV11)*CELL("contenu",$B$7),COUNTA(MV13:MV13)*CELL("contenu",$B$12),COUNTA(MV15:MV17)*CELL("contenu",$B$14),COUNTA(MV19:MV19)*CELL("contenu",$B$18))=0,1,SUM(COUNTA(MV5:MV6)*CELL("contenu",$B$4),COUNTA(MV8:MV11)*CELL("contenu",$B$7),COUNTA(MV13:MV13)*CELL("contenu",$B$12),COUNTA(MV15:MV17)*CELL("contenu",$B$14),COUNTA(MV19:MV19)*CELL("contenu",$B$18))))</f>
        <v>15</v>
      </c>
      <c r="MW20" s="168">
        <f ca="1">IF(COUNTA(MW5:MW19)=0,"",5*SUM(IFERROR((((COUNTIF(MW5:MW6,"A"))*4)+((COUNTIF(MW5:MW6,"B"))*3)+((COUNTIF(MW5:MW6,"C"))*2)+((COUNTIF(MW5:MW6,"D"))*1))*CELL("contenu",$B$4),0),IFERROR((((COUNTIF(MW8:MW11,"A"))*4)+((COUNTIF(MW8:MW11,"B"))*3)+((COUNTIF(MW8:MW11,"C"))*2)+((COUNTIF(MW8:MW11,"D"))*1))*CELL("contenu",$B$7),0),IFERROR((((COUNTIF(MW13:MW13,"A"))*4)+((COUNTIF(MW13:MW13,"B"))*3)+((COUNTIF(MW13:MW13,"C"))*2)+((COUNTIF(MW13:MW13,"D"))*1))*CELL("contenu",$B$12),0),IFERROR((((COUNTIF(MW15:MW17,"A"))*4)+((COUNTIF(MW15:MW17,"B"))*3)+((COUNTIF(MW15:MW17,"C"))*2)+((COUNTIF(MW15:MW17,"D"))*1))*CELL("contenu",$B$14),0),IFERROR((((COUNTIF(MW19:MW19,"A"))*4)+((COUNTIF(MW19:MW19,"B"))*3)+((COUNTIF(MW19:MW19,"C"))*2)+((COUNTIF(MW19:MW19,"D"))*1))*CELL("contenu",$B$18),0))/IF(SUM(COUNTA(MW5:MW6)*CELL("contenu",$B$4),COUNTA(MW8:MW11)*CELL("contenu",$B$7),COUNTA(MW13:MW13)*CELL("contenu",$B$12),COUNTA(MW15:MW17)*CELL("contenu",$B$14),COUNTA(MW19:MW19)*CELL("contenu",$B$18))=0,1,SUM(COUNTA(MW5:MW6)*CELL("contenu",$B$4),COUNTA(MW8:MW11)*CELL("contenu",$B$7),COUNTA(MW13:MW13)*CELL("contenu",$B$12),COUNTA(MW15:MW17)*CELL("contenu",$B$14),COUNTA(MW19:MW19)*CELL("contenu",$B$18))))</f>
        <v>5</v>
      </c>
      <c r="MX20" s="169" t="str">
        <f ca="1">IF(COUNTA(MX5:MX19)=0,"",5*SUM(IFERROR((((COUNTIF(MX5:MX6,"A"))*4)+((COUNTIF(MX5:MX6,"B"))*3)+((COUNTIF(MX5:MX6,"C"))*2)+((COUNTIF(MX5:MX6,"D"))*1))*CELL("contenu",$B$4),0),IFERROR((((COUNTIF(MX8:MX11,"A"))*4)+((COUNTIF(MX8:MX11,"B"))*3)+((COUNTIF(MX8:MX11,"C"))*2)+((COUNTIF(MX8:MX11,"D"))*1))*CELL("contenu",$B$7),0),IFERROR((((COUNTIF(MX13:MX13,"A"))*4)+((COUNTIF(MX13:MX13,"B"))*3)+((COUNTIF(MX13:MX13,"C"))*2)+((COUNTIF(MX13:MX13,"D"))*1))*CELL("contenu",$B$12),0),IFERROR((((COUNTIF(MX15:MX17,"A"))*4)+((COUNTIF(MX15:MX17,"B"))*3)+((COUNTIF(MX15:MX17,"C"))*2)+((COUNTIF(MX15:MX17,"D"))*1))*CELL("contenu",$B$14),0),IFERROR((((COUNTIF(MX19:MX19,"A"))*4)+((COUNTIF(MX19:MX19,"B"))*3)+((COUNTIF(MX19:MX19,"C"))*2)+((COUNTIF(MX19:MX19,"D"))*1))*CELL("contenu",$B$18),0))/IF(SUM(COUNTA(MX5:MX6)*CELL("contenu",$B$4),COUNTA(MX8:MX11)*CELL("contenu",$B$7),COUNTA(MX13:MX13)*CELL("contenu",$B$12),COUNTA(MX15:MX17)*CELL("contenu",$B$14),COUNTA(MX19:MX19)*CELL("contenu",$B$18))=0,1,SUM(COUNTA(MX5:MX6)*CELL("contenu",$B$4),COUNTA(MX8:MX11)*CELL("contenu",$B$7),COUNTA(MX13:MX13)*CELL("contenu",$B$12),COUNTA(MX15:MX17)*CELL("contenu",$B$14),COUNTA(MX19:MX19)*CELL("contenu",$B$18))))</f>
        <v/>
      </c>
      <c r="MY20" s="116"/>
      <c r="MZ20" s="192">
        <f ca="1">IF(COUNTA(MV20:MX20)-COUNTBLANK(MV20:MX20)=0,"",SUM(MV20:MX20)/(COUNTA(MV20:MX20)-COUNTBLANK(MV20:MX20)))</f>
        <v>10</v>
      </c>
      <c r="NA20" s="182" t="str">
        <f ca="1">IF(COUNTA(NA5:NA19)=0,"",5*SUM(IFERROR((((COUNTIF(NA5:NA6,"A"))*4)+((COUNTIF(NA5:NA6,"B"))*3)+((COUNTIF(NA5:NA6,"C"))*2)+((COUNTIF(NA5:NA6,"D"))*1))*CELL("contenu",$B$4),0),IFERROR((((COUNTIF(NA8:NA11,"A"))*4)+((COUNTIF(NA8:NA11,"B"))*3)+((COUNTIF(NA8:NA11,"C"))*2)+((COUNTIF(NA8:NA11,"D"))*1))*CELL("contenu",$B$7),0),IFERROR((((COUNTIF(NA13:NA13,"A"))*4)+((COUNTIF(NA13:NA13,"B"))*3)+((COUNTIF(NA13:NA13,"C"))*2)+((COUNTIF(NA13:NA13,"D"))*1))*CELL("contenu",$B$12),0),IFERROR((((COUNTIF(NA15:NA17,"A"))*4)+((COUNTIF(NA15:NA17,"B"))*3)+((COUNTIF(NA15:NA17,"C"))*2)+((COUNTIF(NA15:NA17,"D"))*1))*CELL("contenu",$B$14),0),IFERROR((((COUNTIF(NA19:NA19,"A"))*4)+((COUNTIF(NA19:NA19,"B"))*3)+((COUNTIF(NA19:NA19,"C"))*2)+((COUNTIF(NA19:NA19,"D"))*1))*CELL("contenu",$B$18),0))/IF(SUM(COUNTA(NA5:NA6)*CELL("contenu",$B$4),COUNTA(NA8:NA11)*CELL("contenu",$B$7),COUNTA(NA13:NA13)*CELL("contenu",$B$12),COUNTA(NA15:NA17)*CELL("contenu",$B$14),COUNTA(NA19:NA19)*CELL("contenu",$B$18))=0,1,SUM(COUNTA(NA5:NA6)*CELL("contenu",$B$4),COUNTA(NA8:NA11)*CELL("contenu",$B$7),COUNTA(NA13:NA13)*CELL("contenu",$B$12),COUNTA(NA15:NA17)*CELL("contenu",$B$14),COUNTA(NA19:NA19)*CELL("contenu",$B$18))))</f>
        <v/>
      </c>
      <c r="NB20" s="183" t="str">
        <f ca="1">IF(COUNTA(NB5:NB19)=0,"",5*SUM(IFERROR((((COUNTIF(NB5:NB6,"A"))*4)+((COUNTIF(NB5:NB6,"B"))*3)+((COUNTIF(NB5:NB6,"C"))*2)+((COUNTIF(NB5:NB6,"D"))*1))*CELL("contenu",$B$4),0),IFERROR((((COUNTIF(NB8:NB11,"A"))*4)+((COUNTIF(NB8:NB11,"B"))*3)+((COUNTIF(NB8:NB11,"C"))*2)+((COUNTIF(NB8:NB11,"D"))*1))*CELL("contenu",$B$7),0),IFERROR((((COUNTIF(NB13:NB13,"A"))*4)+((COUNTIF(NB13:NB13,"B"))*3)+((COUNTIF(NB13:NB13,"C"))*2)+((COUNTIF(NB13:NB13,"D"))*1))*CELL("contenu",$B$12),0),IFERROR((((COUNTIF(NB15:NB17,"A"))*4)+((COUNTIF(NB15:NB17,"B"))*3)+((COUNTIF(NB15:NB17,"C"))*2)+((COUNTIF(NB15:NB17,"D"))*1))*CELL("contenu",$B$14),0),IFERROR((((COUNTIF(NB19:NB19,"A"))*4)+((COUNTIF(NB19:NB19,"B"))*3)+((COUNTIF(NB19:NB19,"C"))*2)+((COUNTIF(NB19:NB19,"D"))*1))*CELL("contenu",$B$18),0))/IF(SUM(COUNTA(NB5:NB6)*CELL("contenu",$B$4),COUNTA(NB8:NB11)*CELL("contenu",$B$7),COUNTA(NB13:NB13)*CELL("contenu",$B$12),COUNTA(NB15:NB17)*CELL("contenu",$B$14),COUNTA(NB19:NB19)*CELL("contenu",$B$18))=0,1,SUM(COUNTA(NB5:NB6)*CELL("contenu",$B$4),COUNTA(NB8:NB11)*CELL("contenu",$B$7),COUNTA(NB13:NB13)*CELL("contenu",$B$12),COUNTA(NB15:NB17)*CELL("contenu",$B$14),COUNTA(NB19:NB19)*CELL("contenu",$B$18))))</f>
        <v/>
      </c>
      <c r="NC20" s="184" t="str">
        <f ca="1">IF(COUNTA(NC5:NC19)=0,"",5*SUM(IFERROR((((COUNTIF(NC5:NC6,"A"))*4)+((COUNTIF(NC5:NC6,"B"))*3)+((COUNTIF(NC5:NC6,"C"))*2)+((COUNTIF(NC5:NC6,"D"))*1))*CELL("contenu",$B$4),0),IFERROR((((COUNTIF(NC8:NC11,"A"))*4)+((COUNTIF(NC8:NC11,"B"))*3)+((COUNTIF(NC8:NC11,"C"))*2)+((COUNTIF(NC8:NC11,"D"))*1))*CELL("contenu",$B$7),0),IFERROR((((COUNTIF(NC13:NC13,"A"))*4)+((COUNTIF(NC13:NC13,"B"))*3)+((COUNTIF(NC13:NC13,"C"))*2)+((COUNTIF(NC13:NC13,"D"))*1))*CELL("contenu",$B$12),0),IFERROR((((COUNTIF(NC15:NC17,"A"))*4)+((COUNTIF(NC15:NC17,"B"))*3)+((COUNTIF(NC15:NC17,"C"))*2)+((COUNTIF(NC15:NC17,"D"))*1))*CELL("contenu",$B$14),0),IFERROR((((COUNTIF(NC19:NC19,"A"))*4)+((COUNTIF(NC19:NC19,"B"))*3)+((COUNTIF(NC19:NC19,"C"))*2)+((COUNTIF(NC19:NC19,"D"))*1))*CELL("contenu",$B$18),0))/IF(SUM(COUNTA(NC5:NC6)*CELL("contenu",$B$4),COUNTA(NC8:NC11)*CELL("contenu",$B$7),COUNTA(NC13:NC13)*CELL("contenu",$B$12),COUNTA(NC15:NC17)*CELL("contenu",$B$14),COUNTA(NC19:NC19)*CELL("contenu",$B$18))=0,1,SUM(COUNTA(NC5:NC6)*CELL("contenu",$B$4),COUNTA(NC8:NC11)*CELL("contenu",$B$7),COUNTA(NC13:NC13)*CELL("contenu",$B$12),COUNTA(NC15:NC17)*CELL("contenu",$B$14),COUNTA(NC19:NC19)*CELL("contenu",$B$18))))</f>
        <v/>
      </c>
      <c r="ND20" s="176"/>
      <c r="NE20" s="175" t="str">
        <f ca="1">IF(COUNTA(NA20:NC20)-COUNTBLANK(NA20:NC20)=0,"",SUM(NA20:NC20)/(COUNTA(NA20:NC20)-COUNTBLANK(NA20:NC20)))</f>
        <v/>
      </c>
      <c r="NF20" s="182" t="str">
        <f ca="1">IF(COUNTA(NF5:NF19)=0,"",5*SUM(IFERROR((((COUNTIF(NF5:NF6,"A"))*4)+((COUNTIF(NF5:NF6,"B"))*3)+((COUNTIF(NF5:NF6,"C"))*2)+((COUNTIF(NF5:NF6,"D"))*1))*CELL("contenu",$B$4),0),IFERROR((((COUNTIF(NF8:NF11,"A"))*4)+((COUNTIF(NF8:NF11,"B"))*3)+((COUNTIF(NF8:NF11,"C"))*2)+((COUNTIF(NF8:NF11,"D"))*1))*CELL("contenu",$B$7),0),IFERROR((((COUNTIF(NF13:NF13,"A"))*4)+((COUNTIF(NF13:NF13,"B"))*3)+((COUNTIF(NF13:NF13,"C"))*2)+((COUNTIF(NF13:NF13,"D"))*1))*CELL("contenu",$B$12),0),IFERROR((((COUNTIF(NF15:NF17,"A"))*4)+((COUNTIF(NF15:NF17,"B"))*3)+((COUNTIF(NF15:NF17,"C"))*2)+((COUNTIF(NF15:NF17,"D"))*1))*CELL("contenu",$B$14),0),IFERROR((((COUNTIF(NF19:NF19,"A"))*4)+((COUNTIF(NF19:NF19,"B"))*3)+((COUNTIF(NF19:NF19,"C"))*2)+((COUNTIF(NF19:NF19,"D"))*1))*CELL("contenu",$B$18),0))/IF(SUM(COUNTA(NF5:NF6)*CELL("contenu",$B$4),COUNTA(NF8:NF11)*CELL("contenu",$B$7),COUNTA(NF13:NF13)*CELL("contenu",$B$12),COUNTA(NF15:NF17)*CELL("contenu",$B$14),COUNTA(NF19:NF19)*CELL("contenu",$B$18))=0,1,SUM(COUNTA(NF5:NF6)*CELL("contenu",$B$4),COUNTA(NF8:NF11)*CELL("contenu",$B$7),COUNTA(NF13:NF13)*CELL("contenu",$B$12),COUNTA(NF15:NF17)*CELL("contenu",$B$14),COUNTA(NF19:NF19)*CELL("contenu",$B$18))))</f>
        <v/>
      </c>
      <c r="NG20" s="183" t="str">
        <f ca="1">IF(COUNTA(NG5:NG19)=0,"",5*SUM(IFERROR((((COUNTIF(NG5:NG6,"A"))*4)+((COUNTIF(NG5:NG6,"B"))*3)+((COUNTIF(NG5:NG6,"C"))*2)+((COUNTIF(NG5:NG6,"D"))*1))*CELL("contenu",$B$4),0),IFERROR((((COUNTIF(NG8:NG11,"A"))*4)+((COUNTIF(NG8:NG11,"B"))*3)+((COUNTIF(NG8:NG11,"C"))*2)+((COUNTIF(NG8:NG11,"D"))*1))*CELL("contenu",$B$7),0),IFERROR((((COUNTIF(NG13:NG13,"A"))*4)+((COUNTIF(NG13:NG13,"B"))*3)+((COUNTIF(NG13:NG13,"C"))*2)+((COUNTIF(NG13:NG13,"D"))*1))*CELL("contenu",$B$12),0),IFERROR((((COUNTIF(NG15:NG17,"A"))*4)+((COUNTIF(NG15:NG17,"B"))*3)+((COUNTIF(NG15:NG17,"C"))*2)+((COUNTIF(NG15:NG17,"D"))*1))*CELL("contenu",$B$14),0),IFERROR((((COUNTIF(NG19:NG19,"A"))*4)+((COUNTIF(NG19:NG19,"B"))*3)+((COUNTIF(NG19:NG19,"C"))*2)+((COUNTIF(NG19:NG19,"D"))*1))*CELL("contenu",$B$18),0))/IF(SUM(COUNTA(NG5:NG6)*CELL("contenu",$B$4),COUNTA(NG8:NG11)*CELL("contenu",$B$7),COUNTA(NG13:NG13)*CELL("contenu",$B$12),COUNTA(NG15:NG17)*CELL("contenu",$B$14),COUNTA(NG19:NG19)*CELL("contenu",$B$18))=0,1,SUM(COUNTA(NG5:NG6)*CELL("contenu",$B$4),COUNTA(NG8:NG11)*CELL("contenu",$B$7),COUNTA(NG13:NG13)*CELL("contenu",$B$12),COUNTA(NG15:NG17)*CELL("contenu",$B$14),COUNTA(NG19:NG19)*CELL("contenu",$B$18))))</f>
        <v/>
      </c>
      <c r="NH20" s="184" t="str">
        <f ca="1">IF(COUNTA(NH5:NH19)=0,"",5*SUM(IFERROR((((COUNTIF(NH5:NH6,"A"))*4)+((COUNTIF(NH5:NH6,"B"))*3)+((COUNTIF(NH5:NH6,"C"))*2)+((COUNTIF(NH5:NH6,"D"))*1))*CELL("contenu",$B$4),0),IFERROR((((COUNTIF(NH8:NH11,"A"))*4)+((COUNTIF(NH8:NH11,"B"))*3)+((COUNTIF(NH8:NH11,"C"))*2)+((COUNTIF(NH8:NH11,"D"))*1))*CELL("contenu",$B$7),0),IFERROR((((COUNTIF(NH13:NH13,"A"))*4)+((COUNTIF(NH13:NH13,"B"))*3)+((COUNTIF(NH13:NH13,"C"))*2)+((COUNTIF(NH13:NH13,"D"))*1))*CELL("contenu",$B$12),0),IFERROR((((COUNTIF(NH15:NH17,"A"))*4)+((COUNTIF(NH15:NH17,"B"))*3)+((COUNTIF(NH15:NH17,"C"))*2)+((COUNTIF(NH15:NH17,"D"))*1))*CELL("contenu",$B$14),0),IFERROR((((COUNTIF(NH19:NH19,"A"))*4)+((COUNTIF(NH19:NH19,"B"))*3)+((COUNTIF(NH19:NH19,"C"))*2)+((COUNTIF(NH19:NH19,"D"))*1))*CELL("contenu",$B$18),0))/IF(SUM(COUNTA(NH5:NH6)*CELL("contenu",$B$4),COUNTA(NH8:NH11)*CELL("contenu",$B$7),COUNTA(NH13:NH13)*CELL("contenu",$B$12),COUNTA(NH15:NH17)*CELL("contenu",$B$14),COUNTA(NH19:NH19)*CELL("contenu",$B$18))=0,1,SUM(COUNTA(NH5:NH6)*CELL("contenu",$B$4),COUNTA(NH8:NH11)*CELL("contenu",$B$7),COUNTA(NH13:NH13)*CELL("contenu",$B$12),COUNTA(NH15:NH17)*CELL("contenu",$B$14),COUNTA(NH19:NH19)*CELL("contenu",$B$18))))</f>
        <v/>
      </c>
      <c r="NI20" s="176"/>
      <c r="NJ20" s="174" t="str">
        <f ca="1">IF(COUNTA(NF20:NH20)-COUNTBLANK(NF20:NH20)=0,"",SUM(NF20:NH20)/(COUNTA(NF20:NH20)-COUNTBLANK(NF20:NH20)))</f>
        <v/>
      </c>
      <c r="NK20" s="103"/>
      <c r="NL20" s="141"/>
      <c r="NM20" s="167" t="str">
        <f ca="1">IF(COUNTA(NM5:NM19)=0,"",5*SUM(IFERROR((((COUNTIF(NM5:NM6,"A"))*4)+((COUNTIF(NM5:NM6,"B"))*3)+((COUNTIF(NM5:NM6,"C"))*2)+((COUNTIF(NM5:NM6,"D"))*1))*CELL("contenu",$B$4),0),IFERROR((((COUNTIF(NM8:NM11,"A"))*4)+((COUNTIF(NM8:NM11,"B"))*3)+((COUNTIF(NM8:NM11,"C"))*2)+((COUNTIF(NM8:NM11,"D"))*1))*CELL("contenu",$B$7),0),IFERROR((((COUNTIF(NM13:NM13,"A"))*4)+((COUNTIF(NM13:NM13,"B"))*3)+((COUNTIF(NM13:NM13,"C"))*2)+((COUNTIF(NM13:NM13,"D"))*1))*CELL("contenu",$B$12),0),IFERROR((((COUNTIF(NM15:NM17,"A"))*4)+((COUNTIF(NM15:NM17,"B"))*3)+((COUNTIF(NM15:NM17,"C"))*2)+((COUNTIF(NM15:NM17,"D"))*1))*CELL("contenu",$B$14),0),IFERROR((((COUNTIF(NM19:NM19,"A"))*4)+((COUNTIF(NM19:NM19,"B"))*3)+((COUNTIF(NM19:NM19,"C"))*2)+((COUNTIF(NM19:NM19,"D"))*1))*CELL("contenu",$B$18),0))/IF(SUM(COUNTA(NM5:NM6)*CELL("contenu",$B$4),COUNTA(NM8:NM11)*CELL("contenu",$B$7),COUNTA(NM13:NM13)*CELL("contenu",$B$12),COUNTA(NM15:NM17)*CELL("contenu",$B$14),COUNTA(NM19:NM19)*CELL("contenu",$B$18))=0,1,SUM(COUNTA(NM5:NM6)*CELL("contenu",$B$4),COUNTA(NM8:NM11)*CELL("contenu",$B$7),COUNTA(NM13:NM13)*CELL("contenu",$B$12),COUNTA(NM15:NM17)*CELL("contenu",$B$14),COUNTA(NM19:NM19)*CELL("contenu",$B$18))))</f>
        <v/>
      </c>
      <c r="NN20" s="168" t="str">
        <f ca="1">IF(COUNTA(NN5:NN19)=0,"",5*SUM(IFERROR((((COUNTIF(NN5:NN6,"A"))*4)+((COUNTIF(NN5:NN6,"B"))*3)+((COUNTIF(NN5:NN6,"C"))*2)+((COUNTIF(NN5:NN6,"D"))*1))*CELL("contenu",$B$4),0),IFERROR((((COUNTIF(NN8:NN11,"A"))*4)+((COUNTIF(NN8:NN11,"B"))*3)+((COUNTIF(NN8:NN11,"C"))*2)+((COUNTIF(NN8:NN11,"D"))*1))*CELL("contenu",$B$7),0),IFERROR((((COUNTIF(NN13:NN13,"A"))*4)+((COUNTIF(NN13:NN13,"B"))*3)+((COUNTIF(NN13:NN13,"C"))*2)+((COUNTIF(NN13:NN13,"D"))*1))*CELL("contenu",$B$12),0),IFERROR((((COUNTIF(NN15:NN17,"A"))*4)+((COUNTIF(NN15:NN17,"B"))*3)+((COUNTIF(NN15:NN17,"C"))*2)+((COUNTIF(NN15:NN17,"D"))*1))*CELL("contenu",$B$14),0),IFERROR((((COUNTIF(NN19:NN19,"A"))*4)+((COUNTIF(NN19:NN19,"B"))*3)+((COUNTIF(NN19:NN19,"C"))*2)+((COUNTIF(NN19:NN19,"D"))*1))*CELL("contenu",$B$18),0))/IF(SUM(COUNTA(NN5:NN6)*CELL("contenu",$B$4),COUNTA(NN8:NN11)*CELL("contenu",$B$7),COUNTA(NN13:NN13)*CELL("contenu",$B$12),COUNTA(NN15:NN17)*CELL("contenu",$B$14),COUNTA(NN19:NN19)*CELL("contenu",$B$18))=0,1,SUM(COUNTA(NN5:NN6)*CELL("contenu",$B$4),COUNTA(NN8:NN11)*CELL("contenu",$B$7),COUNTA(NN13:NN13)*CELL("contenu",$B$12),COUNTA(NN15:NN17)*CELL("contenu",$B$14),COUNTA(NN19:NN19)*CELL("contenu",$B$18))))</f>
        <v/>
      </c>
      <c r="NO20" s="169" t="str">
        <f ca="1">IF(COUNTA(NO5:NO19)=0,"",5*SUM(IFERROR((((COUNTIF(NO5:NO6,"A"))*4)+((COUNTIF(NO5:NO6,"B"))*3)+((COUNTIF(NO5:NO6,"C"))*2)+((COUNTIF(NO5:NO6,"D"))*1))*CELL("contenu",$B$4),0),IFERROR((((COUNTIF(NO8:NO11,"A"))*4)+((COUNTIF(NO8:NO11,"B"))*3)+((COUNTIF(NO8:NO11,"C"))*2)+((COUNTIF(NO8:NO11,"D"))*1))*CELL("contenu",$B$7),0),IFERROR((((COUNTIF(NO13:NO13,"A"))*4)+((COUNTIF(NO13:NO13,"B"))*3)+((COUNTIF(NO13:NO13,"C"))*2)+((COUNTIF(NO13:NO13,"D"))*1))*CELL("contenu",$B$12),0),IFERROR((((COUNTIF(NO15:NO17,"A"))*4)+((COUNTIF(NO15:NO17,"B"))*3)+((COUNTIF(NO15:NO17,"C"))*2)+((COUNTIF(NO15:NO17,"D"))*1))*CELL("contenu",$B$14),0),IFERROR((((COUNTIF(NO19:NO19,"A"))*4)+((COUNTIF(NO19:NO19,"B"))*3)+((COUNTIF(NO19:NO19,"C"))*2)+((COUNTIF(NO19:NO19,"D"))*1))*CELL("contenu",$B$18),0))/IF(SUM(COUNTA(NO5:NO6)*CELL("contenu",$B$4),COUNTA(NO8:NO11)*CELL("contenu",$B$7),COUNTA(NO13:NO13)*CELL("contenu",$B$12),COUNTA(NO15:NO17)*CELL("contenu",$B$14),COUNTA(NO19:NO19)*CELL("contenu",$B$18))=0,1,SUM(COUNTA(NO5:NO6)*CELL("contenu",$B$4),COUNTA(NO8:NO11)*CELL("contenu",$B$7),COUNTA(NO13:NO13)*CELL("contenu",$B$12),COUNTA(NO15:NO17)*CELL("contenu",$B$14),COUNTA(NO19:NO19)*CELL("contenu",$B$18))))</f>
        <v/>
      </c>
      <c r="NP20" s="116"/>
      <c r="NQ20" s="192" t="str">
        <f ca="1">IF(COUNTA(NM20:NO20)-COUNTBLANK(NM20:NO20)=0,"",SUM(NM20:NO20)/(COUNTA(NM20:NO20)-COUNTBLANK(NM20:NO20)))</f>
        <v/>
      </c>
      <c r="NR20" s="182" t="str">
        <f ca="1">IF(COUNTA(NR5:NR19)=0,"",5*SUM(IFERROR((((COUNTIF(NR5:NR6,"A"))*4)+((COUNTIF(NR5:NR6,"B"))*3)+((COUNTIF(NR5:NR6,"C"))*2)+((COUNTIF(NR5:NR6,"D"))*1))*CELL("contenu",$B$4),0),IFERROR((((COUNTIF(NR8:NR11,"A"))*4)+((COUNTIF(NR8:NR11,"B"))*3)+((COUNTIF(NR8:NR11,"C"))*2)+((COUNTIF(NR8:NR11,"D"))*1))*CELL("contenu",$B$7),0),IFERROR((((COUNTIF(NR13:NR13,"A"))*4)+((COUNTIF(NR13:NR13,"B"))*3)+((COUNTIF(NR13:NR13,"C"))*2)+((COUNTIF(NR13:NR13,"D"))*1))*CELL("contenu",$B$12),0),IFERROR((((COUNTIF(NR15:NR17,"A"))*4)+((COUNTIF(NR15:NR17,"B"))*3)+((COUNTIF(NR15:NR17,"C"))*2)+((COUNTIF(NR15:NR17,"D"))*1))*CELL("contenu",$B$14),0),IFERROR((((COUNTIF(NR19:NR19,"A"))*4)+((COUNTIF(NR19:NR19,"B"))*3)+((COUNTIF(NR19:NR19,"C"))*2)+((COUNTIF(NR19:NR19,"D"))*1))*CELL("contenu",$B$18),0))/IF(SUM(COUNTA(NR5:NR6)*CELL("contenu",$B$4),COUNTA(NR8:NR11)*CELL("contenu",$B$7),COUNTA(NR13:NR13)*CELL("contenu",$B$12),COUNTA(NR15:NR17)*CELL("contenu",$B$14),COUNTA(NR19:NR19)*CELL("contenu",$B$18))=0,1,SUM(COUNTA(NR5:NR6)*CELL("contenu",$B$4),COUNTA(NR8:NR11)*CELL("contenu",$B$7),COUNTA(NR13:NR13)*CELL("contenu",$B$12),COUNTA(NR15:NR17)*CELL("contenu",$B$14),COUNTA(NR19:NR19)*CELL("contenu",$B$18))))</f>
        <v/>
      </c>
      <c r="NS20" s="183" t="str">
        <f ca="1">IF(COUNTA(NS5:NS19)=0,"",5*SUM(IFERROR((((COUNTIF(NS5:NS6,"A"))*4)+((COUNTIF(NS5:NS6,"B"))*3)+((COUNTIF(NS5:NS6,"C"))*2)+((COUNTIF(NS5:NS6,"D"))*1))*CELL("contenu",$B$4),0),IFERROR((((COUNTIF(NS8:NS11,"A"))*4)+((COUNTIF(NS8:NS11,"B"))*3)+((COUNTIF(NS8:NS11,"C"))*2)+((COUNTIF(NS8:NS11,"D"))*1))*CELL("contenu",$B$7),0),IFERROR((((COUNTIF(NS13:NS13,"A"))*4)+((COUNTIF(NS13:NS13,"B"))*3)+((COUNTIF(NS13:NS13,"C"))*2)+((COUNTIF(NS13:NS13,"D"))*1))*CELL("contenu",$B$12),0),IFERROR((((COUNTIF(NS15:NS17,"A"))*4)+((COUNTIF(NS15:NS17,"B"))*3)+((COUNTIF(NS15:NS17,"C"))*2)+((COUNTIF(NS15:NS17,"D"))*1))*CELL("contenu",$B$14),0),IFERROR((((COUNTIF(NS19:NS19,"A"))*4)+((COUNTIF(NS19:NS19,"B"))*3)+((COUNTIF(NS19:NS19,"C"))*2)+((COUNTIF(NS19:NS19,"D"))*1))*CELL("contenu",$B$18),0))/IF(SUM(COUNTA(NS5:NS6)*CELL("contenu",$B$4),COUNTA(NS8:NS11)*CELL("contenu",$B$7),COUNTA(NS13:NS13)*CELL("contenu",$B$12),COUNTA(NS15:NS17)*CELL("contenu",$B$14),COUNTA(NS19:NS19)*CELL("contenu",$B$18))=0,1,SUM(COUNTA(NS5:NS6)*CELL("contenu",$B$4),COUNTA(NS8:NS11)*CELL("contenu",$B$7),COUNTA(NS13:NS13)*CELL("contenu",$B$12),COUNTA(NS15:NS17)*CELL("contenu",$B$14),COUNTA(NS19:NS19)*CELL("contenu",$B$18))))</f>
        <v/>
      </c>
      <c r="NT20" s="184" t="str">
        <f ca="1">IF(COUNTA(NT5:NT19)=0,"",5*SUM(IFERROR((((COUNTIF(NT5:NT6,"A"))*4)+((COUNTIF(NT5:NT6,"B"))*3)+((COUNTIF(NT5:NT6,"C"))*2)+((COUNTIF(NT5:NT6,"D"))*1))*CELL("contenu",$B$4),0),IFERROR((((COUNTIF(NT8:NT11,"A"))*4)+((COUNTIF(NT8:NT11,"B"))*3)+((COUNTIF(NT8:NT11,"C"))*2)+((COUNTIF(NT8:NT11,"D"))*1))*CELL("contenu",$B$7),0),IFERROR((((COUNTIF(NT13:NT13,"A"))*4)+((COUNTIF(NT13:NT13,"B"))*3)+((COUNTIF(NT13:NT13,"C"))*2)+((COUNTIF(NT13:NT13,"D"))*1))*CELL("contenu",$B$12),0),IFERROR((((COUNTIF(NT15:NT17,"A"))*4)+((COUNTIF(NT15:NT17,"B"))*3)+((COUNTIF(NT15:NT17,"C"))*2)+((COUNTIF(NT15:NT17,"D"))*1))*CELL("contenu",$B$14),0),IFERROR((((COUNTIF(NT19:NT19,"A"))*4)+((COUNTIF(NT19:NT19,"B"))*3)+((COUNTIF(NT19:NT19,"C"))*2)+((COUNTIF(NT19:NT19,"D"))*1))*CELL("contenu",$B$18),0))/IF(SUM(COUNTA(NT5:NT6)*CELL("contenu",$B$4),COUNTA(NT8:NT11)*CELL("contenu",$B$7),COUNTA(NT13:NT13)*CELL("contenu",$B$12),COUNTA(NT15:NT17)*CELL("contenu",$B$14),COUNTA(NT19:NT19)*CELL("contenu",$B$18))=0,1,SUM(COUNTA(NT5:NT6)*CELL("contenu",$B$4),COUNTA(NT8:NT11)*CELL("contenu",$B$7),COUNTA(NT13:NT13)*CELL("contenu",$B$12),COUNTA(NT15:NT17)*CELL("contenu",$B$14),COUNTA(NT19:NT19)*CELL("contenu",$B$18))))</f>
        <v/>
      </c>
      <c r="NU20" s="176"/>
      <c r="NV20" s="175" t="str">
        <f ca="1">IF(COUNTA(NR20:NT20)-COUNTBLANK(NR20:NT20)=0,"",SUM(NR20:NT20)/(COUNTA(NR20:NT20)-COUNTBLANK(NR20:NT20)))</f>
        <v/>
      </c>
      <c r="NW20" s="182" t="str">
        <f ca="1">IF(COUNTA(NW5:NW19)=0,"",5*SUM(IFERROR((((COUNTIF(NW5:NW6,"A"))*4)+((COUNTIF(NW5:NW6,"B"))*3)+((COUNTIF(NW5:NW6,"C"))*2)+((COUNTIF(NW5:NW6,"D"))*1))*CELL("contenu",$B$4),0),IFERROR((((COUNTIF(NW8:NW11,"A"))*4)+((COUNTIF(NW8:NW11,"B"))*3)+((COUNTIF(NW8:NW11,"C"))*2)+((COUNTIF(NW8:NW11,"D"))*1))*CELL("contenu",$B$7),0),IFERROR((((COUNTIF(NW13:NW13,"A"))*4)+((COUNTIF(NW13:NW13,"B"))*3)+((COUNTIF(NW13:NW13,"C"))*2)+((COUNTIF(NW13:NW13,"D"))*1))*CELL("contenu",$B$12),0),IFERROR((((COUNTIF(NW15:NW17,"A"))*4)+((COUNTIF(NW15:NW17,"B"))*3)+((COUNTIF(NW15:NW17,"C"))*2)+((COUNTIF(NW15:NW17,"D"))*1))*CELL("contenu",$B$14),0),IFERROR((((COUNTIF(NW19:NW19,"A"))*4)+((COUNTIF(NW19:NW19,"B"))*3)+((COUNTIF(NW19:NW19,"C"))*2)+((COUNTIF(NW19:NW19,"D"))*1))*CELL("contenu",$B$18),0))/IF(SUM(COUNTA(NW5:NW6)*CELL("contenu",$B$4),COUNTA(NW8:NW11)*CELL("contenu",$B$7),COUNTA(NW13:NW13)*CELL("contenu",$B$12),COUNTA(NW15:NW17)*CELL("contenu",$B$14),COUNTA(NW19:NW19)*CELL("contenu",$B$18))=0,1,SUM(COUNTA(NW5:NW6)*CELL("contenu",$B$4),COUNTA(NW8:NW11)*CELL("contenu",$B$7),COUNTA(NW13:NW13)*CELL("contenu",$B$12),COUNTA(NW15:NW17)*CELL("contenu",$B$14),COUNTA(NW19:NW19)*CELL("contenu",$B$18))))</f>
        <v/>
      </c>
      <c r="NX20" s="183" t="str">
        <f ca="1">IF(COUNTA(NX5:NX19)=0,"",5*SUM(IFERROR((((COUNTIF(NX5:NX6,"A"))*4)+((COUNTIF(NX5:NX6,"B"))*3)+((COUNTIF(NX5:NX6,"C"))*2)+((COUNTIF(NX5:NX6,"D"))*1))*CELL("contenu",$B$4),0),IFERROR((((COUNTIF(NX8:NX11,"A"))*4)+((COUNTIF(NX8:NX11,"B"))*3)+((COUNTIF(NX8:NX11,"C"))*2)+((COUNTIF(NX8:NX11,"D"))*1))*CELL("contenu",$B$7),0),IFERROR((((COUNTIF(NX13:NX13,"A"))*4)+((COUNTIF(NX13:NX13,"B"))*3)+((COUNTIF(NX13:NX13,"C"))*2)+((COUNTIF(NX13:NX13,"D"))*1))*CELL("contenu",$B$12),0),IFERROR((((COUNTIF(NX15:NX17,"A"))*4)+((COUNTIF(NX15:NX17,"B"))*3)+((COUNTIF(NX15:NX17,"C"))*2)+((COUNTIF(NX15:NX17,"D"))*1))*CELL("contenu",$B$14),0),IFERROR((((COUNTIF(NX19:NX19,"A"))*4)+((COUNTIF(NX19:NX19,"B"))*3)+((COUNTIF(NX19:NX19,"C"))*2)+((COUNTIF(NX19:NX19,"D"))*1))*CELL("contenu",$B$18),0))/IF(SUM(COUNTA(NX5:NX6)*CELL("contenu",$B$4),COUNTA(NX8:NX11)*CELL("contenu",$B$7),COUNTA(NX13:NX13)*CELL("contenu",$B$12),COUNTA(NX15:NX17)*CELL("contenu",$B$14),COUNTA(NX19:NX19)*CELL("contenu",$B$18))=0,1,SUM(COUNTA(NX5:NX6)*CELL("contenu",$B$4),COUNTA(NX8:NX11)*CELL("contenu",$B$7),COUNTA(NX13:NX13)*CELL("contenu",$B$12),COUNTA(NX15:NX17)*CELL("contenu",$B$14),COUNTA(NX19:NX19)*CELL("contenu",$B$18))))</f>
        <v/>
      </c>
      <c r="NY20" s="184" t="str">
        <f ca="1">IF(COUNTA(NY5:NY19)=0,"",5*SUM(IFERROR((((COUNTIF(NY5:NY6,"A"))*4)+((COUNTIF(NY5:NY6,"B"))*3)+((COUNTIF(NY5:NY6,"C"))*2)+((COUNTIF(NY5:NY6,"D"))*1))*CELL("contenu",$B$4),0),IFERROR((((COUNTIF(NY8:NY11,"A"))*4)+((COUNTIF(NY8:NY11,"B"))*3)+((COUNTIF(NY8:NY11,"C"))*2)+((COUNTIF(NY8:NY11,"D"))*1))*CELL("contenu",$B$7),0),IFERROR((((COUNTIF(NY13:NY13,"A"))*4)+((COUNTIF(NY13:NY13,"B"))*3)+((COUNTIF(NY13:NY13,"C"))*2)+((COUNTIF(NY13:NY13,"D"))*1))*CELL("contenu",$B$12),0),IFERROR((((COUNTIF(NY15:NY17,"A"))*4)+((COUNTIF(NY15:NY17,"B"))*3)+((COUNTIF(NY15:NY17,"C"))*2)+((COUNTIF(NY15:NY17,"D"))*1))*CELL("contenu",$B$14),0),IFERROR((((COUNTIF(NY19:NY19,"A"))*4)+((COUNTIF(NY19:NY19,"B"))*3)+((COUNTIF(NY19:NY19,"C"))*2)+((COUNTIF(NY19:NY19,"D"))*1))*CELL("contenu",$B$18),0))/IF(SUM(COUNTA(NY5:NY6)*CELL("contenu",$B$4),COUNTA(NY8:NY11)*CELL("contenu",$B$7),COUNTA(NY13:NY13)*CELL("contenu",$B$12),COUNTA(NY15:NY17)*CELL("contenu",$B$14),COUNTA(NY19:NY19)*CELL("contenu",$B$18))=0,1,SUM(COUNTA(NY5:NY6)*CELL("contenu",$B$4),COUNTA(NY8:NY11)*CELL("contenu",$B$7),COUNTA(NY13:NY13)*CELL("contenu",$B$12),COUNTA(NY15:NY17)*CELL("contenu",$B$14),COUNTA(NY19:NY19)*CELL("contenu",$B$18))))</f>
        <v/>
      </c>
      <c r="NZ20" s="176"/>
      <c r="OA20" s="174" t="str">
        <f ca="1">IF(COUNTA(NW20:NY20)-COUNTBLANK(NW20:NY20)=0,"",SUM(NW20:NY20)/(COUNTA(NW20:NY20)-COUNTBLANK(NW20:NY20)))</f>
        <v/>
      </c>
      <c r="OB20" s="103"/>
      <c r="OC20" s="141"/>
      <c r="OD20" s="167">
        <f ca="1">IF(COUNTA(OD5:OD19)=0,"",5*SUM(IFERROR((((COUNTIF(OD5:OD6,"A"))*4)+((COUNTIF(OD5:OD6,"B"))*3)+((COUNTIF(OD5:OD6,"C"))*2)+((COUNTIF(OD5:OD6,"D"))*1))*CELL("contenu",$B$4),0),IFERROR((((COUNTIF(OD8:OD11,"A"))*4)+((COUNTIF(OD8:OD11,"B"))*3)+((COUNTIF(OD8:OD11,"C"))*2)+((COUNTIF(OD8:OD11,"D"))*1))*CELL("contenu",$B$7),0),IFERROR((((COUNTIF(OD13:OD13,"A"))*4)+((COUNTIF(OD13:OD13,"B"))*3)+((COUNTIF(OD13:OD13,"C"))*2)+((COUNTIF(OD13:OD13,"D"))*1))*CELL("contenu",$B$12),0),IFERROR((((COUNTIF(OD15:OD17,"A"))*4)+((COUNTIF(OD15:OD17,"B"))*3)+((COUNTIF(OD15:OD17,"C"))*2)+((COUNTIF(OD15:OD17,"D"))*1))*CELL("contenu",$B$14),0),IFERROR((((COUNTIF(OD19:OD19,"A"))*4)+((COUNTIF(OD19:OD19,"B"))*3)+((COUNTIF(OD19:OD19,"C"))*2)+((COUNTIF(OD19:OD19,"D"))*1))*CELL("contenu",$B$18),0))/IF(SUM(COUNTA(OD5:OD6)*CELL("contenu",$B$4),COUNTA(OD8:OD11)*CELL("contenu",$B$7),COUNTA(OD13:OD13)*CELL("contenu",$B$12),COUNTA(OD15:OD17)*CELL("contenu",$B$14),COUNTA(OD19:OD19)*CELL("contenu",$B$18))=0,1,SUM(COUNTA(OD5:OD6)*CELL("contenu",$B$4),COUNTA(OD8:OD11)*CELL("contenu",$B$7),COUNTA(OD13:OD13)*CELL("contenu",$B$12),COUNTA(OD15:OD17)*CELL("contenu",$B$14),COUNTA(OD19:OD19)*CELL("contenu",$B$18))))</f>
        <v>11.666666666666666</v>
      </c>
      <c r="OE20" s="168">
        <f ca="1">IF(COUNTA(OE5:OE19)=0,"",5*SUM(IFERROR((((COUNTIF(OE5:OE6,"A"))*4)+((COUNTIF(OE5:OE6,"B"))*3)+((COUNTIF(OE5:OE6,"C"))*2)+((COUNTIF(OE5:OE6,"D"))*1))*CELL("contenu",$B$4),0),IFERROR((((COUNTIF(OE8:OE11,"A"))*4)+((COUNTIF(OE8:OE11,"B"))*3)+((COUNTIF(OE8:OE11,"C"))*2)+((COUNTIF(OE8:OE11,"D"))*1))*CELL("contenu",$B$7),0),IFERROR((((COUNTIF(OE13:OE13,"A"))*4)+((COUNTIF(OE13:OE13,"B"))*3)+((COUNTIF(OE13:OE13,"C"))*2)+((COUNTIF(OE13:OE13,"D"))*1))*CELL("contenu",$B$12),0),IFERROR((((COUNTIF(OE15:OE17,"A"))*4)+((COUNTIF(OE15:OE17,"B"))*3)+((COUNTIF(OE15:OE17,"C"))*2)+((COUNTIF(OE15:OE17,"D"))*1))*CELL("contenu",$B$14),0),IFERROR((((COUNTIF(OE19:OE19,"A"))*4)+((COUNTIF(OE19:OE19,"B"))*3)+((COUNTIF(OE19:OE19,"C"))*2)+((COUNTIF(OE19:OE19,"D"))*1))*CELL("contenu",$B$18),0))/IF(SUM(COUNTA(OE5:OE6)*CELL("contenu",$B$4),COUNTA(OE8:OE11)*CELL("contenu",$B$7),COUNTA(OE13:OE13)*CELL("contenu",$B$12),COUNTA(OE15:OE17)*CELL("contenu",$B$14),COUNTA(OE19:OE19)*CELL("contenu",$B$18))=0,1,SUM(COUNTA(OE5:OE6)*CELL("contenu",$B$4),COUNTA(OE8:OE11)*CELL("contenu",$B$7),COUNTA(OE13:OE13)*CELL("contenu",$B$12),COUNTA(OE15:OE17)*CELL("contenu",$B$14),COUNTA(OE19:OE19)*CELL("contenu",$B$18))))</f>
        <v>11.666666666666666</v>
      </c>
      <c r="OF20" s="169" t="str">
        <f ca="1">IF(COUNTA(OF5:OF19)=0,"",5*SUM(IFERROR((((COUNTIF(OF5:OF6,"A"))*4)+((COUNTIF(OF5:OF6,"B"))*3)+((COUNTIF(OF5:OF6,"C"))*2)+((COUNTIF(OF5:OF6,"D"))*1))*CELL("contenu",$B$4),0),IFERROR((((COUNTIF(OF8:OF11,"A"))*4)+((COUNTIF(OF8:OF11,"B"))*3)+((COUNTIF(OF8:OF11,"C"))*2)+((COUNTIF(OF8:OF11,"D"))*1))*CELL("contenu",$B$7),0),IFERROR((((COUNTIF(OF13:OF13,"A"))*4)+((COUNTIF(OF13:OF13,"B"))*3)+((COUNTIF(OF13:OF13,"C"))*2)+((COUNTIF(OF13:OF13,"D"))*1))*CELL("contenu",$B$12),0),IFERROR((((COUNTIF(OF15:OF17,"A"))*4)+((COUNTIF(OF15:OF17,"B"))*3)+((COUNTIF(OF15:OF17,"C"))*2)+((COUNTIF(OF15:OF17,"D"))*1))*CELL("contenu",$B$14),0),IFERROR((((COUNTIF(OF19:OF19,"A"))*4)+((COUNTIF(OF19:OF19,"B"))*3)+((COUNTIF(OF19:OF19,"C"))*2)+((COUNTIF(OF19:OF19,"D"))*1))*CELL("contenu",$B$18),0))/IF(SUM(COUNTA(OF5:OF6)*CELL("contenu",$B$4),COUNTA(OF8:OF11)*CELL("contenu",$B$7),COUNTA(OF13:OF13)*CELL("contenu",$B$12),COUNTA(OF15:OF17)*CELL("contenu",$B$14),COUNTA(OF19:OF19)*CELL("contenu",$B$18))=0,1,SUM(COUNTA(OF5:OF6)*CELL("contenu",$B$4),COUNTA(OF8:OF11)*CELL("contenu",$B$7),COUNTA(OF13:OF13)*CELL("contenu",$B$12),COUNTA(OF15:OF17)*CELL("contenu",$B$14),COUNTA(OF19:OF19)*CELL("contenu",$B$18))))</f>
        <v/>
      </c>
      <c r="OG20" s="116"/>
      <c r="OH20" s="192">
        <f ca="1">IF(COUNTA(OD20:OF20)-COUNTBLANK(OD20:OF20)=0,"",SUM(OD20:OF20)/(COUNTA(OD20:OF20)-COUNTBLANK(OD20:OF20)))</f>
        <v>11.666666666666666</v>
      </c>
      <c r="OI20" s="182" t="str">
        <f ca="1">IF(COUNTA(OI5:OI19)=0,"",5*SUM(IFERROR((((COUNTIF(OI5:OI6,"A"))*4)+((COUNTIF(OI5:OI6,"B"))*3)+((COUNTIF(OI5:OI6,"C"))*2)+((COUNTIF(OI5:OI6,"D"))*1))*CELL("contenu",$B$4),0),IFERROR((((COUNTIF(OI8:OI11,"A"))*4)+((COUNTIF(OI8:OI11,"B"))*3)+((COUNTIF(OI8:OI11,"C"))*2)+((COUNTIF(OI8:OI11,"D"))*1))*CELL("contenu",$B$7),0),IFERROR((((COUNTIF(OI13:OI13,"A"))*4)+((COUNTIF(OI13:OI13,"B"))*3)+((COUNTIF(OI13:OI13,"C"))*2)+((COUNTIF(OI13:OI13,"D"))*1))*CELL("contenu",$B$12),0),IFERROR((((COUNTIF(OI15:OI17,"A"))*4)+((COUNTIF(OI15:OI17,"B"))*3)+((COUNTIF(OI15:OI17,"C"))*2)+((COUNTIF(OI15:OI17,"D"))*1))*CELL("contenu",$B$14),0),IFERROR((((COUNTIF(OI19:OI19,"A"))*4)+((COUNTIF(OI19:OI19,"B"))*3)+((COUNTIF(OI19:OI19,"C"))*2)+((COUNTIF(OI19:OI19,"D"))*1))*CELL("contenu",$B$18),0))/IF(SUM(COUNTA(OI5:OI6)*CELL("contenu",$B$4),COUNTA(OI8:OI11)*CELL("contenu",$B$7),COUNTA(OI13:OI13)*CELL("contenu",$B$12),COUNTA(OI15:OI17)*CELL("contenu",$B$14),COUNTA(OI19:OI19)*CELL("contenu",$B$18))=0,1,SUM(COUNTA(OI5:OI6)*CELL("contenu",$B$4),COUNTA(OI8:OI11)*CELL("contenu",$B$7),COUNTA(OI13:OI13)*CELL("contenu",$B$12),COUNTA(OI15:OI17)*CELL("contenu",$B$14),COUNTA(OI19:OI19)*CELL("contenu",$B$18))))</f>
        <v/>
      </c>
      <c r="OJ20" s="183" t="str">
        <f ca="1">IF(COUNTA(OJ5:OJ19)=0,"",5*SUM(IFERROR((((COUNTIF(OJ5:OJ6,"A"))*4)+((COUNTIF(OJ5:OJ6,"B"))*3)+((COUNTIF(OJ5:OJ6,"C"))*2)+((COUNTIF(OJ5:OJ6,"D"))*1))*CELL("contenu",$B$4),0),IFERROR((((COUNTIF(OJ8:OJ11,"A"))*4)+((COUNTIF(OJ8:OJ11,"B"))*3)+((COUNTIF(OJ8:OJ11,"C"))*2)+((COUNTIF(OJ8:OJ11,"D"))*1))*CELL("contenu",$B$7),0),IFERROR((((COUNTIF(OJ13:OJ13,"A"))*4)+((COUNTIF(OJ13:OJ13,"B"))*3)+((COUNTIF(OJ13:OJ13,"C"))*2)+((COUNTIF(OJ13:OJ13,"D"))*1))*CELL("contenu",$B$12),0),IFERROR((((COUNTIF(OJ15:OJ17,"A"))*4)+((COUNTIF(OJ15:OJ17,"B"))*3)+((COUNTIF(OJ15:OJ17,"C"))*2)+((COUNTIF(OJ15:OJ17,"D"))*1))*CELL("contenu",$B$14),0),IFERROR((((COUNTIF(OJ19:OJ19,"A"))*4)+((COUNTIF(OJ19:OJ19,"B"))*3)+((COUNTIF(OJ19:OJ19,"C"))*2)+((COUNTIF(OJ19:OJ19,"D"))*1))*CELL("contenu",$B$18),0))/IF(SUM(COUNTA(OJ5:OJ6)*CELL("contenu",$B$4),COUNTA(OJ8:OJ11)*CELL("contenu",$B$7),COUNTA(OJ13:OJ13)*CELL("contenu",$B$12),COUNTA(OJ15:OJ17)*CELL("contenu",$B$14),COUNTA(OJ19:OJ19)*CELL("contenu",$B$18))=0,1,SUM(COUNTA(OJ5:OJ6)*CELL("contenu",$B$4),COUNTA(OJ8:OJ11)*CELL("contenu",$B$7),COUNTA(OJ13:OJ13)*CELL("contenu",$B$12),COUNTA(OJ15:OJ17)*CELL("contenu",$B$14),COUNTA(OJ19:OJ19)*CELL("contenu",$B$18))))</f>
        <v/>
      </c>
      <c r="OK20" s="184" t="str">
        <f ca="1">IF(COUNTA(OK5:OK19)=0,"",5*SUM(IFERROR((((COUNTIF(OK5:OK6,"A"))*4)+((COUNTIF(OK5:OK6,"B"))*3)+((COUNTIF(OK5:OK6,"C"))*2)+((COUNTIF(OK5:OK6,"D"))*1))*CELL("contenu",$B$4),0),IFERROR((((COUNTIF(OK8:OK11,"A"))*4)+((COUNTIF(OK8:OK11,"B"))*3)+((COUNTIF(OK8:OK11,"C"))*2)+((COUNTIF(OK8:OK11,"D"))*1))*CELL("contenu",$B$7),0),IFERROR((((COUNTIF(OK13:OK13,"A"))*4)+((COUNTIF(OK13:OK13,"B"))*3)+((COUNTIF(OK13:OK13,"C"))*2)+((COUNTIF(OK13:OK13,"D"))*1))*CELL("contenu",$B$12),0),IFERROR((((COUNTIF(OK15:OK17,"A"))*4)+((COUNTIF(OK15:OK17,"B"))*3)+((COUNTIF(OK15:OK17,"C"))*2)+((COUNTIF(OK15:OK17,"D"))*1))*CELL("contenu",$B$14),0),IFERROR((((COUNTIF(OK19:OK19,"A"))*4)+((COUNTIF(OK19:OK19,"B"))*3)+((COUNTIF(OK19:OK19,"C"))*2)+((COUNTIF(OK19:OK19,"D"))*1))*CELL("contenu",$B$18),0))/IF(SUM(COUNTA(OK5:OK6)*CELL("contenu",$B$4),COUNTA(OK8:OK11)*CELL("contenu",$B$7),COUNTA(OK13:OK13)*CELL("contenu",$B$12),COUNTA(OK15:OK17)*CELL("contenu",$B$14),COUNTA(OK19:OK19)*CELL("contenu",$B$18))=0,1,SUM(COUNTA(OK5:OK6)*CELL("contenu",$B$4),COUNTA(OK8:OK11)*CELL("contenu",$B$7),COUNTA(OK13:OK13)*CELL("contenu",$B$12),COUNTA(OK15:OK17)*CELL("contenu",$B$14),COUNTA(OK19:OK19)*CELL("contenu",$B$18))))</f>
        <v/>
      </c>
      <c r="OL20" s="176"/>
      <c r="OM20" s="175" t="str">
        <f ca="1">IF(COUNTA(OI20:OK20)-COUNTBLANK(OI20:OK20)=0,"",SUM(OI20:OK20)/(COUNTA(OI20:OK20)-COUNTBLANK(OI20:OK20)))</f>
        <v/>
      </c>
      <c r="ON20" s="182" t="str">
        <f ca="1">IF(COUNTA(ON5:ON19)=0,"",5*SUM(IFERROR((((COUNTIF(ON5:ON6,"A"))*4)+((COUNTIF(ON5:ON6,"B"))*3)+((COUNTIF(ON5:ON6,"C"))*2)+((COUNTIF(ON5:ON6,"D"))*1))*CELL("contenu",$B$4),0),IFERROR((((COUNTIF(ON8:ON11,"A"))*4)+((COUNTIF(ON8:ON11,"B"))*3)+((COUNTIF(ON8:ON11,"C"))*2)+((COUNTIF(ON8:ON11,"D"))*1))*CELL("contenu",$B$7),0),IFERROR((((COUNTIF(ON13:ON13,"A"))*4)+((COUNTIF(ON13:ON13,"B"))*3)+((COUNTIF(ON13:ON13,"C"))*2)+((COUNTIF(ON13:ON13,"D"))*1))*CELL("contenu",$B$12),0),IFERROR((((COUNTIF(ON15:ON17,"A"))*4)+((COUNTIF(ON15:ON17,"B"))*3)+((COUNTIF(ON15:ON17,"C"))*2)+((COUNTIF(ON15:ON17,"D"))*1))*CELL("contenu",$B$14),0),IFERROR((((COUNTIF(ON19:ON19,"A"))*4)+((COUNTIF(ON19:ON19,"B"))*3)+((COUNTIF(ON19:ON19,"C"))*2)+((COUNTIF(ON19:ON19,"D"))*1))*CELL("contenu",$B$18),0))/IF(SUM(COUNTA(ON5:ON6)*CELL("contenu",$B$4),COUNTA(ON8:ON11)*CELL("contenu",$B$7),COUNTA(ON13:ON13)*CELL("contenu",$B$12),COUNTA(ON15:ON17)*CELL("contenu",$B$14),COUNTA(ON19:ON19)*CELL("contenu",$B$18))=0,1,SUM(COUNTA(ON5:ON6)*CELL("contenu",$B$4),COUNTA(ON8:ON11)*CELL("contenu",$B$7),COUNTA(ON13:ON13)*CELL("contenu",$B$12),COUNTA(ON15:ON17)*CELL("contenu",$B$14),COUNTA(ON19:ON19)*CELL("contenu",$B$18))))</f>
        <v/>
      </c>
      <c r="OO20" s="183" t="str">
        <f ca="1">IF(COUNTA(OO5:OO19)=0,"",5*SUM(IFERROR((((COUNTIF(OO5:OO6,"A"))*4)+((COUNTIF(OO5:OO6,"B"))*3)+((COUNTIF(OO5:OO6,"C"))*2)+((COUNTIF(OO5:OO6,"D"))*1))*CELL("contenu",$B$4),0),IFERROR((((COUNTIF(OO8:OO11,"A"))*4)+((COUNTIF(OO8:OO11,"B"))*3)+((COUNTIF(OO8:OO11,"C"))*2)+((COUNTIF(OO8:OO11,"D"))*1))*CELL("contenu",$B$7),0),IFERROR((((COUNTIF(OO13:OO13,"A"))*4)+((COUNTIF(OO13:OO13,"B"))*3)+((COUNTIF(OO13:OO13,"C"))*2)+((COUNTIF(OO13:OO13,"D"))*1))*CELL("contenu",$B$12),0),IFERROR((((COUNTIF(OO15:OO17,"A"))*4)+((COUNTIF(OO15:OO17,"B"))*3)+((COUNTIF(OO15:OO17,"C"))*2)+((COUNTIF(OO15:OO17,"D"))*1))*CELL("contenu",$B$14),0),IFERROR((((COUNTIF(OO19:OO19,"A"))*4)+((COUNTIF(OO19:OO19,"B"))*3)+((COUNTIF(OO19:OO19,"C"))*2)+((COUNTIF(OO19:OO19,"D"))*1))*CELL("contenu",$B$18),0))/IF(SUM(COUNTA(OO5:OO6)*CELL("contenu",$B$4),COUNTA(OO8:OO11)*CELL("contenu",$B$7),COUNTA(OO13:OO13)*CELL("contenu",$B$12),COUNTA(OO15:OO17)*CELL("contenu",$B$14),COUNTA(OO19:OO19)*CELL("contenu",$B$18))=0,1,SUM(COUNTA(OO5:OO6)*CELL("contenu",$B$4),COUNTA(OO8:OO11)*CELL("contenu",$B$7),COUNTA(OO13:OO13)*CELL("contenu",$B$12),COUNTA(OO15:OO17)*CELL("contenu",$B$14),COUNTA(OO19:OO19)*CELL("contenu",$B$18))))</f>
        <v/>
      </c>
      <c r="OP20" s="184" t="str">
        <f ca="1">IF(COUNTA(OP5:OP19)=0,"",5*SUM(IFERROR((((COUNTIF(OP5:OP6,"A"))*4)+((COUNTIF(OP5:OP6,"B"))*3)+((COUNTIF(OP5:OP6,"C"))*2)+((COUNTIF(OP5:OP6,"D"))*1))*CELL("contenu",$B$4),0),IFERROR((((COUNTIF(OP8:OP11,"A"))*4)+((COUNTIF(OP8:OP11,"B"))*3)+((COUNTIF(OP8:OP11,"C"))*2)+((COUNTIF(OP8:OP11,"D"))*1))*CELL("contenu",$B$7),0),IFERROR((((COUNTIF(OP13:OP13,"A"))*4)+((COUNTIF(OP13:OP13,"B"))*3)+((COUNTIF(OP13:OP13,"C"))*2)+((COUNTIF(OP13:OP13,"D"))*1))*CELL("contenu",$B$12),0),IFERROR((((COUNTIF(OP15:OP17,"A"))*4)+((COUNTIF(OP15:OP17,"B"))*3)+((COUNTIF(OP15:OP17,"C"))*2)+((COUNTIF(OP15:OP17,"D"))*1))*CELL("contenu",$B$14),0),IFERROR((((COUNTIF(OP19:OP19,"A"))*4)+((COUNTIF(OP19:OP19,"B"))*3)+((COUNTIF(OP19:OP19,"C"))*2)+((COUNTIF(OP19:OP19,"D"))*1))*CELL("contenu",$B$18),0))/IF(SUM(COUNTA(OP5:OP6)*CELL("contenu",$B$4),COUNTA(OP8:OP11)*CELL("contenu",$B$7),COUNTA(OP13:OP13)*CELL("contenu",$B$12),COUNTA(OP15:OP17)*CELL("contenu",$B$14),COUNTA(OP19:OP19)*CELL("contenu",$B$18))=0,1,SUM(COUNTA(OP5:OP6)*CELL("contenu",$B$4),COUNTA(OP8:OP11)*CELL("contenu",$B$7),COUNTA(OP13:OP13)*CELL("contenu",$B$12),COUNTA(OP15:OP17)*CELL("contenu",$B$14),COUNTA(OP19:OP19)*CELL("contenu",$B$18))))</f>
        <v/>
      </c>
      <c r="OQ20" s="176"/>
      <c r="OR20" s="174" t="str">
        <f ca="1">IF(COUNTA(ON20:OP20)-COUNTBLANK(ON20:OP20)=0,"",SUM(ON20:OP20)/(COUNTA(ON20:OP20)-COUNTBLANK(ON20:OP20)))</f>
        <v/>
      </c>
      <c r="OS20" s="103"/>
      <c r="OT20" s="141"/>
      <c r="OU20" s="167">
        <f ca="1">IF(COUNTA(OU5:OU19)=0,"",5*SUM(IFERROR((((COUNTIF(OU5:OU6,"A"))*4)+((COUNTIF(OU5:OU6,"B"))*3)+((COUNTIF(OU5:OU6,"C"))*2)+((COUNTIF(OU5:OU6,"D"))*1))*CELL("contenu",$B$4),0),IFERROR((((COUNTIF(OU8:OU11,"A"))*4)+((COUNTIF(OU8:OU11,"B"))*3)+((COUNTIF(OU8:OU11,"C"))*2)+((COUNTIF(OU8:OU11,"D"))*1))*CELL("contenu",$B$7),0),IFERROR((((COUNTIF(OU13:OU13,"A"))*4)+((COUNTIF(OU13:OU13,"B"))*3)+((COUNTIF(OU13:OU13,"C"))*2)+((COUNTIF(OU13:OU13,"D"))*1))*CELL("contenu",$B$12),0),IFERROR((((COUNTIF(OU15:OU17,"A"))*4)+((COUNTIF(OU15:OU17,"B"))*3)+((COUNTIF(OU15:OU17,"C"))*2)+((COUNTIF(OU15:OU17,"D"))*1))*CELL("contenu",$B$14),0),IFERROR((((COUNTIF(OU19:OU19,"A"))*4)+((COUNTIF(OU19:OU19,"B"))*3)+((COUNTIF(OU19:OU19,"C"))*2)+((COUNTIF(OU19:OU19,"D"))*1))*CELL("contenu",$B$18),0))/IF(SUM(COUNTA(OU5:OU6)*CELL("contenu",$B$4),COUNTA(OU8:OU11)*CELL("contenu",$B$7),COUNTA(OU13:OU13)*CELL("contenu",$B$12),COUNTA(OU15:OU17)*CELL("contenu",$B$14),COUNTA(OU19:OU19)*CELL("contenu",$B$18))=0,1,SUM(COUNTA(OU5:OU6)*CELL("contenu",$B$4),COUNTA(OU8:OU11)*CELL("contenu",$B$7),COUNTA(OU13:OU13)*CELL("contenu",$B$12),COUNTA(OU15:OU17)*CELL("contenu",$B$14),COUNTA(OU19:OU19)*CELL("contenu",$B$18))))</f>
        <v>18.333333333333332</v>
      </c>
      <c r="OV20" s="168">
        <f ca="1">IF(COUNTA(OV5:OV19)=0,"",5*SUM(IFERROR((((COUNTIF(OV5:OV6,"A"))*4)+((COUNTIF(OV5:OV6,"B"))*3)+((COUNTIF(OV5:OV6,"C"))*2)+((COUNTIF(OV5:OV6,"D"))*1))*CELL("contenu",$B$4),0),IFERROR((((COUNTIF(OV8:OV11,"A"))*4)+((COUNTIF(OV8:OV11,"B"))*3)+((COUNTIF(OV8:OV11,"C"))*2)+((COUNTIF(OV8:OV11,"D"))*1))*CELL("contenu",$B$7),0),IFERROR((((COUNTIF(OV13:OV13,"A"))*4)+((COUNTIF(OV13:OV13,"B"))*3)+((COUNTIF(OV13:OV13,"C"))*2)+((COUNTIF(OV13:OV13,"D"))*1))*CELL("contenu",$B$12),0),IFERROR((((COUNTIF(OV15:OV17,"A"))*4)+((COUNTIF(OV15:OV17,"B"))*3)+((COUNTIF(OV15:OV17,"C"))*2)+((COUNTIF(OV15:OV17,"D"))*1))*CELL("contenu",$B$14),0),IFERROR((((COUNTIF(OV19:OV19,"A"))*4)+((COUNTIF(OV19:OV19,"B"))*3)+((COUNTIF(OV19:OV19,"C"))*2)+((COUNTIF(OV19:OV19,"D"))*1))*CELL("contenu",$B$18),0))/IF(SUM(COUNTA(OV5:OV6)*CELL("contenu",$B$4),COUNTA(OV8:OV11)*CELL("contenu",$B$7),COUNTA(OV13:OV13)*CELL("contenu",$B$12),COUNTA(OV15:OV17)*CELL("contenu",$B$14),COUNTA(OV19:OV19)*CELL("contenu",$B$18))=0,1,SUM(COUNTA(OV5:OV6)*CELL("contenu",$B$4),COUNTA(OV8:OV11)*CELL("contenu",$B$7),COUNTA(OV13:OV13)*CELL("contenu",$B$12),COUNTA(OV15:OV17)*CELL("contenu",$B$14),COUNTA(OV19:OV19)*CELL("contenu",$B$18))))</f>
        <v>15</v>
      </c>
      <c r="OW20" s="169" t="str">
        <f ca="1">IF(COUNTA(OW5:OW19)=0,"",5*SUM(IFERROR((((COUNTIF(OW5:OW6,"A"))*4)+((COUNTIF(OW5:OW6,"B"))*3)+((COUNTIF(OW5:OW6,"C"))*2)+((COUNTIF(OW5:OW6,"D"))*1))*CELL("contenu",$B$4),0),IFERROR((((COUNTIF(OW8:OW11,"A"))*4)+((COUNTIF(OW8:OW11,"B"))*3)+((COUNTIF(OW8:OW11,"C"))*2)+((COUNTIF(OW8:OW11,"D"))*1))*CELL("contenu",$B$7),0),IFERROR((((COUNTIF(OW13:OW13,"A"))*4)+((COUNTIF(OW13:OW13,"B"))*3)+((COUNTIF(OW13:OW13,"C"))*2)+((COUNTIF(OW13:OW13,"D"))*1))*CELL("contenu",$B$12),0),IFERROR((((COUNTIF(OW15:OW17,"A"))*4)+((COUNTIF(OW15:OW17,"B"))*3)+((COUNTIF(OW15:OW17,"C"))*2)+((COUNTIF(OW15:OW17,"D"))*1))*CELL("contenu",$B$14),0),IFERROR((((COUNTIF(OW19:OW19,"A"))*4)+((COUNTIF(OW19:OW19,"B"))*3)+((COUNTIF(OW19:OW19,"C"))*2)+((COUNTIF(OW19:OW19,"D"))*1))*CELL("contenu",$B$18),0))/IF(SUM(COUNTA(OW5:OW6)*CELL("contenu",$B$4),COUNTA(OW8:OW11)*CELL("contenu",$B$7),COUNTA(OW13:OW13)*CELL("contenu",$B$12),COUNTA(OW15:OW17)*CELL("contenu",$B$14),COUNTA(OW19:OW19)*CELL("contenu",$B$18))=0,1,SUM(COUNTA(OW5:OW6)*CELL("contenu",$B$4),COUNTA(OW8:OW11)*CELL("contenu",$B$7),COUNTA(OW13:OW13)*CELL("contenu",$B$12),COUNTA(OW15:OW17)*CELL("contenu",$B$14),COUNTA(OW19:OW19)*CELL("contenu",$B$18))))</f>
        <v/>
      </c>
      <c r="OX20" s="116"/>
      <c r="OY20" s="192">
        <f ca="1">IF(COUNTA(OU20:OW20)-COUNTBLANK(OU20:OW20)=0,"",SUM(OU20:OW20)/(COUNTA(OU20:OW20)-COUNTBLANK(OU20:OW20)))</f>
        <v>16.666666666666664</v>
      </c>
      <c r="OZ20" s="182" t="str">
        <f ca="1">IF(COUNTA(OZ5:OZ19)=0,"",5*SUM(IFERROR((((COUNTIF(OZ5:OZ6,"A"))*4)+((COUNTIF(OZ5:OZ6,"B"))*3)+((COUNTIF(OZ5:OZ6,"C"))*2)+((COUNTIF(OZ5:OZ6,"D"))*1))*CELL("contenu",$B$4),0),IFERROR((((COUNTIF(OZ8:OZ11,"A"))*4)+((COUNTIF(OZ8:OZ11,"B"))*3)+((COUNTIF(OZ8:OZ11,"C"))*2)+((COUNTIF(OZ8:OZ11,"D"))*1))*CELL("contenu",$B$7),0),IFERROR((((COUNTIF(OZ13:OZ13,"A"))*4)+((COUNTIF(OZ13:OZ13,"B"))*3)+((COUNTIF(OZ13:OZ13,"C"))*2)+((COUNTIF(OZ13:OZ13,"D"))*1))*CELL("contenu",$B$12),0),IFERROR((((COUNTIF(OZ15:OZ17,"A"))*4)+((COUNTIF(OZ15:OZ17,"B"))*3)+((COUNTIF(OZ15:OZ17,"C"))*2)+((COUNTIF(OZ15:OZ17,"D"))*1))*CELL("contenu",$B$14),0),IFERROR((((COUNTIF(OZ19:OZ19,"A"))*4)+((COUNTIF(OZ19:OZ19,"B"))*3)+((COUNTIF(OZ19:OZ19,"C"))*2)+((COUNTIF(OZ19:OZ19,"D"))*1))*CELL("contenu",$B$18),0))/IF(SUM(COUNTA(OZ5:OZ6)*CELL("contenu",$B$4),COUNTA(OZ8:OZ11)*CELL("contenu",$B$7),COUNTA(OZ13:OZ13)*CELL("contenu",$B$12),COUNTA(OZ15:OZ17)*CELL("contenu",$B$14),COUNTA(OZ19:OZ19)*CELL("contenu",$B$18))=0,1,SUM(COUNTA(OZ5:OZ6)*CELL("contenu",$B$4),COUNTA(OZ8:OZ11)*CELL("contenu",$B$7),COUNTA(OZ13:OZ13)*CELL("contenu",$B$12),COUNTA(OZ15:OZ17)*CELL("contenu",$B$14),COUNTA(OZ19:OZ19)*CELL("contenu",$B$18))))</f>
        <v/>
      </c>
      <c r="PA20" s="183" t="str">
        <f ca="1">IF(COUNTA(PA5:PA19)=0,"",5*SUM(IFERROR((((COUNTIF(PA5:PA6,"A"))*4)+((COUNTIF(PA5:PA6,"B"))*3)+((COUNTIF(PA5:PA6,"C"))*2)+((COUNTIF(PA5:PA6,"D"))*1))*CELL("contenu",$B$4),0),IFERROR((((COUNTIF(PA8:PA11,"A"))*4)+((COUNTIF(PA8:PA11,"B"))*3)+((COUNTIF(PA8:PA11,"C"))*2)+((COUNTIF(PA8:PA11,"D"))*1))*CELL("contenu",$B$7),0),IFERROR((((COUNTIF(PA13:PA13,"A"))*4)+((COUNTIF(PA13:PA13,"B"))*3)+((COUNTIF(PA13:PA13,"C"))*2)+((COUNTIF(PA13:PA13,"D"))*1))*CELL("contenu",$B$12),0),IFERROR((((COUNTIF(PA15:PA17,"A"))*4)+((COUNTIF(PA15:PA17,"B"))*3)+((COUNTIF(PA15:PA17,"C"))*2)+((COUNTIF(PA15:PA17,"D"))*1))*CELL("contenu",$B$14),0),IFERROR((((COUNTIF(PA19:PA19,"A"))*4)+((COUNTIF(PA19:PA19,"B"))*3)+((COUNTIF(PA19:PA19,"C"))*2)+((COUNTIF(PA19:PA19,"D"))*1))*CELL("contenu",$B$18),0))/IF(SUM(COUNTA(PA5:PA6)*CELL("contenu",$B$4),COUNTA(PA8:PA11)*CELL("contenu",$B$7),COUNTA(PA13:PA13)*CELL("contenu",$B$12),COUNTA(PA15:PA17)*CELL("contenu",$B$14),COUNTA(PA19:PA19)*CELL("contenu",$B$18))=0,1,SUM(COUNTA(PA5:PA6)*CELL("contenu",$B$4),COUNTA(PA8:PA11)*CELL("contenu",$B$7),COUNTA(PA13:PA13)*CELL("contenu",$B$12),COUNTA(PA15:PA17)*CELL("contenu",$B$14),COUNTA(PA19:PA19)*CELL("contenu",$B$18))))</f>
        <v/>
      </c>
      <c r="PB20" s="184" t="str">
        <f ca="1">IF(COUNTA(PB5:PB19)=0,"",5*SUM(IFERROR((((COUNTIF(PB5:PB6,"A"))*4)+((COUNTIF(PB5:PB6,"B"))*3)+((COUNTIF(PB5:PB6,"C"))*2)+((COUNTIF(PB5:PB6,"D"))*1))*CELL("contenu",$B$4),0),IFERROR((((COUNTIF(PB8:PB11,"A"))*4)+((COUNTIF(PB8:PB11,"B"))*3)+((COUNTIF(PB8:PB11,"C"))*2)+((COUNTIF(PB8:PB11,"D"))*1))*CELL("contenu",$B$7),0),IFERROR((((COUNTIF(PB13:PB13,"A"))*4)+((COUNTIF(PB13:PB13,"B"))*3)+((COUNTIF(PB13:PB13,"C"))*2)+((COUNTIF(PB13:PB13,"D"))*1))*CELL("contenu",$B$12),0),IFERROR((((COUNTIF(PB15:PB17,"A"))*4)+((COUNTIF(PB15:PB17,"B"))*3)+((COUNTIF(PB15:PB17,"C"))*2)+((COUNTIF(PB15:PB17,"D"))*1))*CELL("contenu",$B$14),0),IFERROR((((COUNTIF(PB19:PB19,"A"))*4)+((COUNTIF(PB19:PB19,"B"))*3)+((COUNTIF(PB19:PB19,"C"))*2)+((COUNTIF(PB19:PB19,"D"))*1))*CELL("contenu",$B$18),0))/IF(SUM(COUNTA(PB5:PB6)*CELL("contenu",$B$4),COUNTA(PB8:PB11)*CELL("contenu",$B$7),COUNTA(PB13:PB13)*CELL("contenu",$B$12),COUNTA(PB15:PB17)*CELL("contenu",$B$14),COUNTA(PB19:PB19)*CELL("contenu",$B$18))=0,1,SUM(COUNTA(PB5:PB6)*CELL("contenu",$B$4),COUNTA(PB8:PB11)*CELL("contenu",$B$7),COUNTA(PB13:PB13)*CELL("contenu",$B$12),COUNTA(PB15:PB17)*CELL("contenu",$B$14),COUNTA(PB19:PB19)*CELL("contenu",$B$18))))</f>
        <v/>
      </c>
      <c r="PC20" s="176"/>
      <c r="PD20" s="175" t="str">
        <f ca="1">IF(COUNTA(OZ20:PB20)-COUNTBLANK(OZ20:PB20)=0,"",SUM(OZ20:PB20)/(COUNTA(OZ20:PB20)-COUNTBLANK(OZ20:PB20)))</f>
        <v/>
      </c>
      <c r="PE20" s="182" t="str">
        <f ca="1">IF(COUNTA(PE5:PE19)=0,"",5*SUM(IFERROR((((COUNTIF(PE5:PE6,"A"))*4)+((COUNTIF(PE5:PE6,"B"))*3)+((COUNTIF(PE5:PE6,"C"))*2)+((COUNTIF(PE5:PE6,"D"))*1))*CELL("contenu",$B$4),0),IFERROR((((COUNTIF(PE8:PE11,"A"))*4)+((COUNTIF(PE8:PE11,"B"))*3)+((COUNTIF(PE8:PE11,"C"))*2)+((COUNTIF(PE8:PE11,"D"))*1))*CELL("contenu",$B$7),0),IFERROR((((COUNTIF(PE13:PE13,"A"))*4)+((COUNTIF(PE13:PE13,"B"))*3)+((COUNTIF(PE13:PE13,"C"))*2)+((COUNTIF(PE13:PE13,"D"))*1))*CELL("contenu",$B$12),0),IFERROR((((COUNTIF(PE15:PE17,"A"))*4)+((COUNTIF(PE15:PE17,"B"))*3)+((COUNTIF(PE15:PE17,"C"))*2)+((COUNTIF(PE15:PE17,"D"))*1))*CELL("contenu",$B$14),0),IFERROR((((COUNTIF(PE19:PE19,"A"))*4)+((COUNTIF(PE19:PE19,"B"))*3)+((COUNTIF(PE19:PE19,"C"))*2)+((COUNTIF(PE19:PE19,"D"))*1))*CELL("contenu",$B$18),0))/IF(SUM(COUNTA(PE5:PE6)*CELL("contenu",$B$4),COUNTA(PE8:PE11)*CELL("contenu",$B$7),COUNTA(PE13:PE13)*CELL("contenu",$B$12),COUNTA(PE15:PE17)*CELL("contenu",$B$14),COUNTA(PE19:PE19)*CELL("contenu",$B$18))=0,1,SUM(COUNTA(PE5:PE6)*CELL("contenu",$B$4),COUNTA(PE8:PE11)*CELL("contenu",$B$7),COUNTA(PE13:PE13)*CELL("contenu",$B$12),COUNTA(PE15:PE17)*CELL("contenu",$B$14),COUNTA(PE19:PE19)*CELL("contenu",$B$18))))</f>
        <v/>
      </c>
      <c r="PF20" s="183" t="str">
        <f ca="1">IF(COUNTA(PF5:PF19)=0,"",5*SUM(IFERROR((((COUNTIF(PF5:PF6,"A"))*4)+((COUNTIF(PF5:PF6,"B"))*3)+((COUNTIF(PF5:PF6,"C"))*2)+((COUNTIF(PF5:PF6,"D"))*1))*CELL("contenu",$B$4),0),IFERROR((((COUNTIF(PF8:PF11,"A"))*4)+((COUNTIF(PF8:PF11,"B"))*3)+((COUNTIF(PF8:PF11,"C"))*2)+((COUNTIF(PF8:PF11,"D"))*1))*CELL("contenu",$B$7),0),IFERROR((((COUNTIF(PF13:PF13,"A"))*4)+((COUNTIF(PF13:PF13,"B"))*3)+((COUNTIF(PF13:PF13,"C"))*2)+((COUNTIF(PF13:PF13,"D"))*1))*CELL("contenu",$B$12),0),IFERROR((((COUNTIF(PF15:PF17,"A"))*4)+((COUNTIF(PF15:PF17,"B"))*3)+((COUNTIF(PF15:PF17,"C"))*2)+((COUNTIF(PF15:PF17,"D"))*1))*CELL("contenu",$B$14),0),IFERROR((((COUNTIF(PF19:PF19,"A"))*4)+((COUNTIF(PF19:PF19,"B"))*3)+((COUNTIF(PF19:PF19,"C"))*2)+((COUNTIF(PF19:PF19,"D"))*1))*CELL("contenu",$B$18),0))/IF(SUM(COUNTA(PF5:PF6)*CELL("contenu",$B$4),COUNTA(PF8:PF11)*CELL("contenu",$B$7),COUNTA(PF13:PF13)*CELL("contenu",$B$12),COUNTA(PF15:PF17)*CELL("contenu",$B$14),COUNTA(PF19:PF19)*CELL("contenu",$B$18))=0,1,SUM(COUNTA(PF5:PF6)*CELL("contenu",$B$4),COUNTA(PF8:PF11)*CELL("contenu",$B$7),COUNTA(PF13:PF13)*CELL("contenu",$B$12),COUNTA(PF15:PF17)*CELL("contenu",$B$14),COUNTA(PF19:PF19)*CELL("contenu",$B$18))))</f>
        <v/>
      </c>
      <c r="PG20" s="184" t="str">
        <f ca="1">IF(COUNTA(PG5:PG19)=0,"",5*SUM(IFERROR((((COUNTIF(PG5:PG6,"A"))*4)+((COUNTIF(PG5:PG6,"B"))*3)+((COUNTIF(PG5:PG6,"C"))*2)+((COUNTIF(PG5:PG6,"D"))*1))*CELL("contenu",$B$4),0),IFERROR((((COUNTIF(PG8:PG11,"A"))*4)+((COUNTIF(PG8:PG11,"B"))*3)+((COUNTIF(PG8:PG11,"C"))*2)+((COUNTIF(PG8:PG11,"D"))*1))*CELL("contenu",$B$7),0),IFERROR((((COUNTIF(PG13:PG13,"A"))*4)+((COUNTIF(PG13:PG13,"B"))*3)+((COUNTIF(PG13:PG13,"C"))*2)+((COUNTIF(PG13:PG13,"D"))*1))*CELL("contenu",$B$12),0),IFERROR((((COUNTIF(PG15:PG17,"A"))*4)+((COUNTIF(PG15:PG17,"B"))*3)+((COUNTIF(PG15:PG17,"C"))*2)+((COUNTIF(PG15:PG17,"D"))*1))*CELL("contenu",$B$14),0),IFERROR((((COUNTIF(PG19:PG19,"A"))*4)+((COUNTIF(PG19:PG19,"B"))*3)+((COUNTIF(PG19:PG19,"C"))*2)+((COUNTIF(PG19:PG19,"D"))*1))*CELL("contenu",$B$18),0))/IF(SUM(COUNTA(PG5:PG6)*CELL("contenu",$B$4),COUNTA(PG8:PG11)*CELL("contenu",$B$7),COUNTA(PG13:PG13)*CELL("contenu",$B$12),COUNTA(PG15:PG17)*CELL("contenu",$B$14),COUNTA(PG19:PG19)*CELL("contenu",$B$18))=0,1,SUM(COUNTA(PG5:PG6)*CELL("contenu",$B$4),COUNTA(PG8:PG11)*CELL("contenu",$B$7),COUNTA(PG13:PG13)*CELL("contenu",$B$12),COUNTA(PG15:PG17)*CELL("contenu",$B$14),COUNTA(PG19:PG19)*CELL("contenu",$B$18))))</f>
        <v/>
      </c>
      <c r="PH20" s="176"/>
      <c r="PI20" s="174" t="str">
        <f ca="1">IF(COUNTA(PE20:PG20)-COUNTBLANK(PE20:PG20)=0,"",SUM(PE20:PG20)/(COUNTA(PE20:PG20)-COUNTBLANK(PE20:PG20)))</f>
        <v/>
      </c>
      <c r="PJ20" s="103"/>
      <c r="PK20" s="141"/>
      <c r="PL20" s="167">
        <f ca="1">IF(COUNTA(PL5:PL19)=0,"",5*SUM(IFERROR((((COUNTIF(PL5:PL6,"A"))*4)+((COUNTIF(PL5:PL6,"B"))*3)+((COUNTIF(PL5:PL6,"C"))*2)+((COUNTIF(PL5:PL6,"D"))*1))*CELL("contenu",$B$4),0),IFERROR((((COUNTIF(PL8:PL11,"A"))*4)+((COUNTIF(PL8:PL11,"B"))*3)+((COUNTIF(PL8:PL11,"C"))*2)+((COUNTIF(PL8:PL11,"D"))*1))*CELL("contenu",$B$7),0),IFERROR((((COUNTIF(PL13:PL13,"A"))*4)+((COUNTIF(PL13:PL13,"B"))*3)+((COUNTIF(PL13:PL13,"C"))*2)+((COUNTIF(PL13:PL13,"D"))*1))*CELL("contenu",$B$12),0),IFERROR((((COUNTIF(PL15:PL17,"A"))*4)+((COUNTIF(PL15:PL17,"B"))*3)+((COUNTIF(PL15:PL17,"C"))*2)+((COUNTIF(PL15:PL17,"D"))*1))*CELL("contenu",$B$14),0),IFERROR((((COUNTIF(PL19:PL19,"A"))*4)+((COUNTIF(PL19:PL19,"B"))*3)+((COUNTIF(PL19:PL19,"C"))*2)+((COUNTIF(PL19:PL19,"D"))*1))*CELL("contenu",$B$18),0))/IF(SUM(COUNTA(PL5:PL6)*CELL("contenu",$B$4),COUNTA(PL8:PL11)*CELL("contenu",$B$7),COUNTA(PL13:PL13)*CELL("contenu",$B$12),COUNTA(PL15:PL17)*CELL("contenu",$B$14),COUNTA(PL19:PL19)*CELL("contenu",$B$18))=0,1,SUM(COUNTA(PL5:PL6)*CELL("contenu",$B$4),COUNTA(PL8:PL11)*CELL("contenu",$B$7),COUNTA(PL13:PL13)*CELL("contenu",$B$12),COUNTA(PL15:PL17)*CELL("contenu",$B$14),COUNTA(PL19:PL19)*CELL("contenu",$B$18))))</f>
        <v>18.333333333333332</v>
      </c>
      <c r="PM20" s="168">
        <f ca="1">IF(COUNTA(PM5:PM19)=0,"",5*SUM(IFERROR((((COUNTIF(PM5:PM6,"A"))*4)+((COUNTIF(PM5:PM6,"B"))*3)+((COUNTIF(PM5:PM6,"C"))*2)+((COUNTIF(PM5:PM6,"D"))*1))*CELL("contenu",$B$4),0),IFERROR((((COUNTIF(PM8:PM11,"A"))*4)+((COUNTIF(PM8:PM11,"B"))*3)+((COUNTIF(PM8:PM11,"C"))*2)+((COUNTIF(PM8:PM11,"D"))*1))*CELL("contenu",$B$7),0),IFERROR((((COUNTIF(PM13:PM13,"A"))*4)+((COUNTIF(PM13:PM13,"B"))*3)+((COUNTIF(PM13:PM13,"C"))*2)+((COUNTIF(PM13:PM13,"D"))*1))*CELL("contenu",$B$12),0),IFERROR((((COUNTIF(PM15:PM17,"A"))*4)+((COUNTIF(PM15:PM17,"B"))*3)+((COUNTIF(PM15:PM17,"C"))*2)+((COUNTIF(PM15:PM17,"D"))*1))*CELL("contenu",$B$14),0),IFERROR((((COUNTIF(PM19:PM19,"A"))*4)+((COUNTIF(PM19:PM19,"B"))*3)+((COUNTIF(PM19:PM19,"C"))*2)+((COUNTIF(PM19:PM19,"D"))*1))*CELL("contenu",$B$18),0))/IF(SUM(COUNTA(PM5:PM6)*CELL("contenu",$B$4),COUNTA(PM8:PM11)*CELL("contenu",$B$7),COUNTA(PM13:PM13)*CELL("contenu",$B$12),COUNTA(PM15:PM17)*CELL("contenu",$B$14),COUNTA(PM19:PM19)*CELL("contenu",$B$18))=0,1,SUM(COUNTA(PM5:PM6)*CELL("contenu",$B$4),COUNTA(PM8:PM11)*CELL("contenu",$B$7),COUNTA(PM13:PM13)*CELL("contenu",$B$12),COUNTA(PM15:PM17)*CELL("contenu",$B$14),COUNTA(PM19:PM19)*CELL("contenu",$B$18))))</f>
        <v>10</v>
      </c>
      <c r="PN20" s="169" t="str">
        <f ca="1">IF(COUNTA(PN5:PN19)=0,"",5*SUM(IFERROR((((COUNTIF(PN5:PN6,"A"))*4)+((COUNTIF(PN5:PN6,"B"))*3)+((COUNTIF(PN5:PN6,"C"))*2)+((COUNTIF(PN5:PN6,"D"))*1))*CELL("contenu",$B$4),0),IFERROR((((COUNTIF(PN8:PN11,"A"))*4)+((COUNTIF(PN8:PN11,"B"))*3)+((COUNTIF(PN8:PN11,"C"))*2)+((COUNTIF(PN8:PN11,"D"))*1))*CELL("contenu",$B$7),0),IFERROR((((COUNTIF(PN13:PN13,"A"))*4)+((COUNTIF(PN13:PN13,"B"))*3)+((COUNTIF(PN13:PN13,"C"))*2)+((COUNTIF(PN13:PN13,"D"))*1))*CELL("contenu",$B$12),0),IFERROR((((COUNTIF(PN15:PN17,"A"))*4)+((COUNTIF(PN15:PN17,"B"))*3)+((COUNTIF(PN15:PN17,"C"))*2)+((COUNTIF(PN15:PN17,"D"))*1))*CELL("contenu",$B$14),0),IFERROR((((COUNTIF(PN19:PN19,"A"))*4)+((COUNTIF(PN19:PN19,"B"))*3)+((COUNTIF(PN19:PN19,"C"))*2)+((COUNTIF(PN19:PN19,"D"))*1))*CELL("contenu",$B$18),0))/IF(SUM(COUNTA(PN5:PN6)*CELL("contenu",$B$4),COUNTA(PN8:PN11)*CELL("contenu",$B$7),COUNTA(PN13:PN13)*CELL("contenu",$B$12),COUNTA(PN15:PN17)*CELL("contenu",$B$14),COUNTA(PN19:PN19)*CELL("contenu",$B$18))=0,1,SUM(COUNTA(PN5:PN6)*CELL("contenu",$B$4),COUNTA(PN8:PN11)*CELL("contenu",$B$7),COUNTA(PN13:PN13)*CELL("contenu",$B$12),COUNTA(PN15:PN17)*CELL("contenu",$B$14),COUNTA(PN19:PN19)*CELL("contenu",$B$18))))</f>
        <v/>
      </c>
      <c r="PO20" s="116"/>
      <c r="PP20" s="192">
        <f ca="1">IF(COUNTA(PL20:PN20)-COUNTBLANK(PL20:PN20)=0,"",SUM(PL20:PN20)/(COUNTA(PL20:PN20)-COUNTBLANK(PL20:PN20)))</f>
        <v>14.166666666666666</v>
      </c>
      <c r="PQ20" s="182" t="str">
        <f ca="1">IF(COUNTA(PQ5:PQ19)=0,"",5*SUM(IFERROR((((COUNTIF(PQ5:PQ6,"A"))*4)+((COUNTIF(PQ5:PQ6,"B"))*3)+((COUNTIF(PQ5:PQ6,"C"))*2)+((COUNTIF(PQ5:PQ6,"D"))*1))*CELL("contenu",$B$4),0),IFERROR((((COUNTIF(PQ8:PQ11,"A"))*4)+((COUNTIF(PQ8:PQ11,"B"))*3)+((COUNTIF(PQ8:PQ11,"C"))*2)+((COUNTIF(PQ8:PQ11,"D"))*1))*CELL("contenu",$B$7),0),IFERROR((((COUNTIF(PQ13:PQ13,"A"))*4)+((COUNTIF(PQ13:PQ13,"B"))*3)+((COUNTIF(PQ13:PQ13,"C"))*2)+((COUNTIF(PQ13:PQ13,"D"))*1))*CELL("contenu",$B$12),0),IFERROR((((COUNTIF(PQ15:PQ17,"A"))*4)+((COUNTIF(PQ15:PQ17,"B"))*3)+((COUNTIF(PQ15:PQ17,"C"))*2)+((COUNTIF(PQ15:PQ17,"D"))*1))*CELL("contenu",$B$14),0),IFERROR((((COUNTIF(PQ19:PQ19,"A"))*4)+((COUNTIF(PQ19:PQ19,"B"))*3)+((COUNTIF(PQ19:PQ19,"C"))*2)+((COUNTIF(PQ19:PQ19,"D"))*1))*CELL("contenu",$B$18),0))/IF(SUM(COUNTA(PQ5:PQ6)*CELL("contenu",$B$4),COUNTA(PQ8:PQ11)*CELL("contenu",$B$7),COUNTA(PQ13:PQ13)*CELL("contenu",$B$12),COUNTA(PQ15:PQ17)*CELL("contenu",$B$14),COUNTA(PQ19:PQ19)*CELL("contenu",$B$18))=0,1,SUM(COUNTA(PQ5:PQ6)*CELL("contenu",$B$4),COUNTA(PQ8:PQ11)*CELL("contenu",$B$7),COUNTA(PQ13:PQ13)*CELL("contenu",$B$12),COUNTA(PQ15:PQ17)*CELL("contenu",$B$14),COUNTA(PQ19:PQ19)*CELL("contenu",$B$18))))</f>
        <v/>
      </c>
      <c r="PR20" s="183" t="str">
        <f ca="1">IF(COUNTA(PR5:PR19)=0,"",5*SUM(IFERROR((((COUNTIF(PR5:PR6,"A"))*4)+((COUNTIF(PR5:PR6,"B"))*3)+((COUNTIF(PR5:PR6,"C"))*2)+((COUNTIF(PR5:PR6,"D"))*1))*CELL("contenu",$B$4),0),IFERROR((((COUNTIF(PR8:PR11,"A"))*4)+((COUNTIF(PR8:PR11,"B"))*3)+((COUNTIF(PR8:PR11,"C"))*2)+((COUNTIF(PR8:PR11,"D"))*1))*CELL("contenu",$B$7),0),IFERROR((((COUNTIF(PR13:PR13,"A"))*4)+((COUNTIF(PR13:PR13,"B"))*3)+((COUNTIF(PR13:PR13,"C"))*2)+((COUNTIF(PR13:PR13,"D"))*1))*CELL("contenu",$B$12),0),IFERROR((((COUNTIF(PR15:PR17,"A"))*4)+((COUNTIF(PR15:PR17,"B"))*3)+((COUNTIF(PR15:PR17,"C"))*2)+((COUNTIF(PR15:PR17,"D"))*1))*CELL("contenu",$B$14),0),IFERROR((((COUNTIF(PR19:PR19,"A"))*4)+((COUNTIF(PR19:PR19,"B"))*3)+((COUNTIF(PR19:PR19,"C"))*2)+((COUNTIF(PR19:PR19,"D"))*1))*CELL("contenu",$B$18),0))/IF(SUM(COUNTA(PR5:PR6)*CELL("contenu",$B$4),COUNTA(PR8:PR11)*CELL("contenu",$B$7),COUNTA(PR13:PR13)*CELL("contenu",$B$12),COUNTA(PR15:PR17)*CELL("contenu",$B$14),COUNTA(PR19:PR19)*CELL("contenu",$B$18))=0,1,SUM(COUNTA(PR5:PR6)*CELL("contenu",$B$4),COUNTA(PR8:PR11)*CELL("contenu",$B$7),COUNTA(PR13:PR13)*CELL("contenu",$B$12),COUNTA(PR15:PR17)*CELL("contenu",$B$14),COUNTA(PR19:PR19)*CELL("contenu",$B$18))))</f>
        <v/>
      </c>
      <c r="PS20" s="184" t="str">
        <f ca="1">IF(COUNTA(PS5:PS19)=0,"",5*SUM(IFERROR((((COUNTIF(PS5:PS6,"A"))*4)+((COUNTIF(PS5:PS6,"B"))*3)+((COUNTIF(PS5:PS6,"C"))*2)+((COUNTIF(PS5:PS6,"D"))*1))*CELL("contenu",$B$4),0),IFERROR((((COUNTIF(PS8:PS11,"A"))*4)+((COUNTIF(PS8:PS11,"B"))*3)+((COUNTIF(PS8:PS11,"C"))*2)+((COUNTIF(PS8:PS11,"D"))*1))*CELL("contenu",$B$7),0),IFERROR((((COUNTIF(PS13:PS13,"A"))*4)+((COUNTIF(PS13:PS13,"B"))*3)+((COUNTIF(PS13:PS13,"C"))*2)+((COUNTIF(PS13:PS13,"D"))*1))*CELL("contenu",$B$12),0),IFERROR((((COUNTIF(PS15:PS17,"A"))*4)+((COUNTIF(PS15:PS17,"B"))*3)+((COUNTIF(PS15:PS17,"C"))*2)+((COUNTIF(PS15:PS17,"D"))*1))*CELL("contenu",$B$14),0),IFERROR((((COUNTIF(PS19:PS19,"A"))*4)+((COUNTIF(PS19:PS19,"B"))*3)+((COUNTIF(PS19:PS19,"C"))*2)+((COUNTIF(PS19:PS19,"D"))*1))*CELL("contenu",$B$18),0))/IF(SUM(COUNTA(PS5:PS6)*CELL("contenu",$B$4),COUNTA(PS8:PS11)*CELL("contenu",$B$7),COUNTA(PS13:PS13)*CELL("contenu",$B$12),COUNTA(PS15:PS17)*CELL("contenu",$B$14),COUNTA(PS19:PS19)*CELL("contenu",$B$18))=0,1,SUM(COUNTA(PS5:PS6)*CELL("contenu",$B$4),COUNTA(PS8:PS11)*CELL("contenu",$B$7),COUNTA(PS13:PS13)*CELL("contenu",$B$12),COUNTA(PS15:PS17)*CELL("contenu",$B$14),COUNTA(PS19:PS19)*CELL("contenu",$B$18))))</f>
        <v/>
      </c>
      <c r="PT20" s="176"/>
      <c r="PU20" s="175" t="str">
        <f ca="1">IF(COUNTA(PQ20:PS20)-COUNTBLANK(PQ20:PS20)=0,"",SUM(PQ20:PS20)/(COUNTA(PQ20:PS20)-COUNTBLANK(PQ20:PS20)))</f>
        <v/>
      </c>
      <c r="PV20" s="182" t="str">
        <f ca="1">IF(COUNTA(PV5:PV19)=0,"",5*SUM(IFERROR((((COUNTIF(PV5:PV6,"A"))*4)+((COUNTIF(PV5:PV6,"B"))*3)+((COUNTIF(PV5:PV6,"C"))*2)+((COUNTIF(PV5:PV6,"D"))*1))*CELL("contenu",$B$4),0),IFERROR((((COUNTIF(PV8:PV11,"A"))*4)+((COUNTIF(PV8:PV11,"B"))*3)+((COUNTIF(PV8:PV11,"C"))*2)+((COUNTIF(PV8:PV11,"D"))*1))*CELL("contenu",$B$7),0),IFERROR((((COUNTIF(PV13:PV13,"A"))*4)+((COUNTIF(PV13:PV13,"B"))*3)+((COUNTIF(PV13:PV13,"C"))*2)+((COUNTIF(PV13:PV13,"D"))*1))*CELL("contenu",$B$12),0),IFERROR((((COUNTIF(PV15:PV17,"A"))*4)+((COUNTIF(PV15:PV17,"B"))*3)+((COUNTIF(PV15:PV17,"C"))*2)+((COUNTIF(PV15:PV17,"D"))*1))*CELL("contenu",$B$14),0),IFERROR((((COUNTIF(PV19:PV19,"A"))*4)+((COUNTIF(PV19:PV19,"B"))*3)+((COUNTIF(PV19:PV19,"C"))*2)+((COUNTIF(PV19:PV19,"D"))*1))*CELL("contenu",$B$18),0))/IF(SUM(COUNTA(PV5:PV6)*CELL("contenu",$B$4),COUNTA(PV8:PV11)*CELL("contenu",$B$7),COUNTA(PV13:PV13)*CELL("contenu",$B$12),COUNTA(PV15:PV17)*CELL("contenu",$B$14),COUNTA(PV19:PV19)*CELL("contenu",$B$18))=0,1,SUM(COUNTA(PV5:PV6)*CELL("contenu",$B$4),COUNTA(PV8:PV11)*CELL("contenu",$B$7),COUNTA(PV13:PV13)*CELL("contenu",$B$12),COUNTA(PV15:PV17)*CELL("contenu",$B$14),COUNTA(PV19:PV19)*CELL("contenu",$B$18))))</f>
        <v/>
      </c>
      <c r="PW20" s="183" t="str">
        <f ca="1">IF(COUNTA(PW5:PW19)=0,"",5*SUM(IFERROR((((COUNTIF(PW5:PW6,"A"))*4)+((COUNTIF(PW5:PW6,"B"))*3)+((COUNTIF(PW5:PW6,"C"))*2)+((COUNTIF(PW5:PW6,"D"))*1))*CELL("contenu",$B$4),0),IFERROR((((COUNTIF(PW8:PW11,"A"))*4)+((COUNTIF(PW8:PW11,"B"))*3)+((COUNTIF(PW8:PW11,"C"))*2)+((COUNTIF(PW8:PW11,"D"))*1))*CELL("contenu",$B$7),0),IFERROR((((COUNTIF(PW13:PW13,"A"))*4)+((COUNTIF(PW13:PW13,"B"))*3)+((COUNTIF(PW13:PW13,"C"))*2)+((COUNTIF(PW13:PW13,"D"))*1))*CELL("contenu",$B$12),0),IFERROR((((COUNTIF(PW15:PW17,"A"))*4)+((COUNTIF(PW15:PW17,"B"))*3)+((COUNTIF(PW15:PW17,"C"))*2)+((COUNTIF(PW15:PW17,"D"))*1))*CELL("contenu",$B$14),0),IFERROR((((COUNTIF(PW19:PW19,"A"))*4)+((COUNTIF(PW19:PW19,"B"))*3)+((COUNTIF(PW19:PW19,"C"))*2)+((COUNTIF(PW19:PW19,"D"))*1))*CELL("contenu",$B$18),0))/IF(SUM(COUNTA(PW5:PW6)*CELL("contenu",$B$4),COUNTA(PW8:PW11)*CELL("contenu",$B$7),COUNTA(PW13:PW13)*CELL("contenu",$B$12),COUNTA(PW15:PW17)*CELL("contenu",$B$14),COUNTA(PW19:PW19)*CELL("contenu",$B$18))=0,1,SUM(COUNTA(PW5:PW6)*CELL("contenu",$B$4),COUNTA(PW8:PW11)*CELL("contenu",$B$7),COUNTA(PW13:PW13)*CELL("contenu",$B$12),COUNTA(PW15:PW17)*CELL("contenu",$B$14),COUNTA(PW19:PW19)*CELL("contenu",$B$18))))</f>
        <v/>
      </c>
      <c r="PX20" s="184" t="str">
        <f ca="1">IF(COUNTA(PX5:PX19)=0,"",5*SUM(IFERROR((((COUNTIF(PX5:PX6,"A"))*4)+((COUNTIF(PX5:PX6,"B"))*3)+((COUNTIF(PX5:PX6,"C"))*2)+((COUNTIF(PX5:PX6,"D"))*1))*CELL("contenu",$B$4),0),IFERROR((((COUNTIF(PX8:PX11,"A"))*4)+((COUNTIF(PX8:PX11,"B"))*3)+((COUNTIF(PX8:PX11,"C"))*2)+((COUNTIF(PX8:PX11,"D"))*1))*CELL("contenu",$B$7),0),IFERROR((((COUNTIF(PX13:PX13,"A"))*4)+((COUNTIF(PX13:PX13,"B"))*3)+((COUNTIF(PX13:PX13,"C"))*2)+((COUNTIF(PX13:PX13,"D"))*1))*CELL("contenu",$B$12),0),IFERROR((((COUNTIF(PX15:PX17,"A"))*4)+((COUNTIF(PX15:PX17,"B"))*3)+((COUNTIF(PX15:PX17,"C"))*2)+((COUNTIF(PX15:PX17,"D"))*1))*CELL("contenu",$B$14),0),IFERROR((((COUNTIF(PX19:PX19,"A"))*4)+((COUNTIF(PX19:PX19,"B"))*3)+((COUNTIF(PX19:PX19,"C"))*2)+((COUNTIF(PX19:PX19,"D"))*1))*CELL("contenu",$B$18),0))/IF(SUM(COUNTA(PX5:PX6)*CELL("contenu",$B$4),COUNTA(PX8:PX11)*CELL("contenu",$B$7),COUNTA(PX13:PX13)*CELL("contenu",$B$12),COUNTA(PX15:PX17)*CELL("contenu",$B$14),COUNTA(PX19:PX19)*CELL("contenu",$B$18))=0,1,SUM(COUNTA(PX5:PX6)*CELL("contenu",$B$4),COUNTA(PX8:PX11)*CELL("contenu",$B$7),COUNTA(PX13:PX13)*CELL("contenu",$B$12),COUNTA(PX15:PX17)*CELL("contenu",$B$14),COUNTA(PX19:PX19)*CELL("contenu",$B$18))))</f>
        <v/>
      </c>
      <c r="PY20" s="176"/>
      <c r="PZ20" s="174" t="str">
        <f ca="1">IF(COUNTA(PV20:PX20)-COUNTBLANK(PV20:PX20)=0,"",SUM(PV20:PX20)/(COUNTA(PV20:PX20)-COUNTBLANK(PV20:PX20)))</f>
        <v/>
      </c>
      <c r="QA20" s="103"/>
      <c r="QB20" s="141"/>
      <c r="QC20" s="167">
        <f ca="1">IF(COUNTA(QC5:QC19)=0,"",5*SUM(IFERROR((((COUNTIF(QC5:QC6,"A"))*4)+((COUNTIF(QC5:QC6,"B"))*3)+((COUNTIF(QC5:QC6,"C"))*2)+((COUNTIF(QC5:QC6,"D"))*1))*CELL("contenu",$B$4),0),IFERROR((((COUNTIF(QC8:QC11,"A"))*4)+((COUNTIF(QC8:QC11,"B"))*3)+((COUNTIF(QC8:QC11,"C"))*2)+((COUNTIF(QC8:QC11,"D"))*1))*CELL("contenu",$B$7),0),IFERROR((((COUNTIF(QC13:QC13,"A"))*4)+((COUNTIF(QC13:QC13,"B"))*3)+((COUNTIF(QC13:QC13,"C"))*2)+((COUNTIF(QC13:QC13,"D"))*1))*CELL("contenu",$B$12),0),IFERROR((((COUNTIF(QC15:QC17,"A"))*4)+((COUNTIF(QC15:QC17,"B"))*3)+((COUNTIF(QC15:QC17,"C"))*2)+((COUNTIF(QC15:QC17,"D"))*1))*CELL("contenu",$B$14),0),IFERROR((((COUNTIF(QC19:QC19,"A"))*4)+((COUNTIF(QC19:QC19,"B"))*3)+((COUNTIF(QC19:QC19,"C"))*2)+((COUNTIF(QC19:QC19,"D"))*1))*CELL("contenu",$B$18),0))/IF(SUM(COUNTA(QC5:QC6)*CELL("contenu",$B$4),COUNTA(QC8:QC11)*CELL("contenu",$B$7),COUNTA(QC13:QC13)*CELL("contenu",$B$12),COUNTA(QC15:QC17)*CELL("contenu",$B$14),COUNTA(QC19:QC19)*CELL("contenu",$B$18))=0,1,SUM(COUNTA(QC5:QC6)*CELL("contenu",$B$4),COUNTA(QC8:QC11)*CELL("contenu",$B$7),COUNTA(QC13:QC13)*CELL("contenu",$B$12),COUNTA(QC15:QC17)*CELL("contenu",$B$14),COUNTA(QC19:QC19)*CELL("contenu",$B$18))))</f>
        <v>18.333333333333332</v>
      </c>
      <c r="QD20" s="168">
        <f ca="1">IF(COUNTA(QD5:QD19)=0,"",5*SUM(IFERROR((((COUNTIF(QD5:QD6,"A"))*4)+((COUNTIF(QD5:QD6,"B"))*3)+((COUNTIF(QD5:QD6,"C"))*2)+((COUNTIF(QD5:QD6,"D"))*1))*CELL("contenu",$B$4),0),IFERROR((((COUNTIF(QD8:QD11,"A"))*4)+((COUNTIF(QD8:QD11,"B"))*3)+((COUNTIF(QD8:QD11,"C"))*2)+((COUNTIF(QD8:QD11,"D"))*1))*CELL("contenu",$B$7),0),IFERROR((((COUNTIF(QD13:QD13,"A"))*4)+((COUNTIF(QD13:QD13,"B"))*3)+((COUNTIF(QD13:QD13,"C"))*2)+((COUNTIF(QD13:QD13,"D"))*1))*CELL("contenu",$B$12),0),IFERROR((((COUNTIF(QD15:QD17,"A"))*4)+((COUNTIF(QD15:QD17,"B"))*3)+((COUNTIF(QD15:QD17,"C"))*2)+((COUNTIF(QD15:QD17,"D"))*1))*CELL("contenu",$B$14),0),IFERROR((((COUNTIF(QD19:QD19,"A"))*4)+((COUNTIF(QD19:QD19,"B"))*3)+((COUNTIF(QD19:QD19,"C"))*2)+((COUNTIF(QD19:QD19,"D"))*1))*CELL("contenu",$B$18),0))/IF(SUM(COUNTA(QD5:QD6)*CELL("contenu",$B$4),COUNTA(QD8:QD11)*CELL("contenu",$B$7),COUNTA(QD13:QD13)*CELL("contenu",$B$12),COUNTA(QD15:QD17)*CELL("contenu",$B$14),COUNTA(QD19:QD19)*CELL("contenu",$B$18))=0,1,SUM(COUNTA(QD5:QD6)*CELL("contenu",$B$4),COUNTA(QD8:QD11)*CELL("contenu",$B$7),COUNTA(QD13:QD13)*CELL("contenu",$B$12),COUNTA(QD15:QD17)*CELL("contenu",$B$14),COUNTA(QD19:QD19)*CELL("contenu",$B$18))))</f>
        <v>16.666666666666668</v>
      </c>
      <c r="QE20" s="169" t="str">
        <f ca="1">IF(COUNTA(QE5:QE19)=0,"",5*SUM(IFERROR((((COUNTIF(QE5:QE6,"A"))*4)+((COUNTIF(QE5:QE6,"B"))*3)+((COUNTIF(QE5:QE6,"C"))*2)+((COUNTIF(QE5:QE6,"D"))*1))*CELL("contenu",$B$4),0),IFERROR((((COUNTIF(QE8:QE11,"A"))*4)+((COUNTIF(QE8:QE11,"B"))*3)+((COUNTIF(QE8:QE11,"C"))*2)+((COUNTIF(QE8:QE11,"D"))*1))*CELL("contenu",$B$7),0),IFERROR((((COUNTIF(QE13:QE13,"A"))*4)+((COUNTIF(QE13:QE13,"B"))*3)+((COUNTIF(QE13:QE13,"C"))*2)+((COUNTIF(QE13:QE13,"D"))*1))*CELL("contenu",$B$12),0),IFERROR((((COUNTIF(QE15:QE17,"A"))*4)+((COUNTIF(QE15:QE17,"B"))*3)+((COUNTIF(QE15:QE17,"C"))*2)+((COUNTIF(QE15:QE17,"D"))*1))*CELL("contenu",$B$14),0),IFERROR((((COUNTIF(QE19:QE19,"A"))*4)+((COUNTIF(QE19:QE19,"B"))*3)+((COUNTIF(QE19:QE19,"C"))*2)+((COUNTIF(QE19:QE19,"D"))*1))*CELL("contenu",$B$18),0))/IF(SUM(COUNTA(QE5:QE6)*CELL("contenu",$B$4),COUNTA(QE8:QE11)*CELL("contenu",$B$7),COUNTA(QE13:QE13)*CELL("contenu",$B$12),COUNTA(QE15:QE17)*CELL("contenu",$B$14),COUNTA(QE19:QE19)*CELL("contenu",$B$18))=0,1,SUM(COUNTA(QE5:QE6)*CELL("contenu",$B$4),COUNTA(QE8:QE11)*CELL("contenu",$B$7),COUNTA(QE13:QE13)*CELL("contenu",$B$12),COUNTA(QE15:QE17)*CELL("contenu",$B$14),COUNTA(QE19:QE19)*CELL("contenu",$B$18))))</f>
        <v/>
      </c>
      <c r="QF20" s="116"/>
      <c r="QG20" s="192">
        <f ca="1">IF(COUNTA(QC20:QE20)-COUNTBLANK(QC20:QE20)=0,"",SUM(QC20:QE20)/(COUNTA(QC20:QE20)-COUNTBLANK(QC20:QE20)))</f>
        <v>17.5</v>
      </c>
      <c r="QH20" s="182" t="str">
        <f ca="1">IF(COUNTA(QH5:QH19)=0,"",5*SUM(IFERROR((((COUNTIF(QH5:QH6,"A"))*4)+((COUNTIF(QH5:QH6,"B"))*3)+((COUNTIF(QH5:QH6,"C"))*2)+((COUNTIF(QH5:QH6,"D"))*1))*CELL("contenu",$B$4),0),IFERROR((((COUNTIF(QH8:QH11,"A"))*4)+((COUNTIF(QH8:QH11,"B"))*3)+((COUNTIF(QH8:QH11,"C"))*2)+((COUNTIF(QH8:QH11,"D"))*1))*CELL("contenu",$B$7),0),IFERROR((((COUNTIF(QH13:QH13,"A"))*4)+((COUNTIF(QH13:QH13,"B"))*3)+((COUNTIF(QH13:QH13,"C"))*2)+((COUNTIF(QH13:QH13,"D"))*1))*CELL("contenu",$B$12),0),IFERROR((((COUNTIF(QH15:QH17,"A"))*4)+((COUNTIF(QH15:QH17,"B"))*3)+((COUNTIF(QH15:QH17,"C"))*2)+((COUNTIF(QH15:QH17,"D"))*1))*CELL("contenu",$B$14),0),IFERROR((((COUNTIF(QH19:QH19,"A"))*4)+((COUNTIF(QH19:QH19,"B"))*3)+((COUNTIF(QH19:QH19,"C"))*2)+((COUNTIF(QH19:QH19,"D"))*1))*CELL("contenu",$B$18),0))/IF(SUM(COUNTA(QH5:QH6)*CELL("contenu",$B$4),COUNTA(QH8:QH11)*CELL("contenu",$B$7),COUNTA(QH13:QH13)*CELL("contenu",$B$12),COUNTA(QH15:QH17)*CELL("contenu",$B$14),COUNTA(QH19:QH19)*CELL("contenu",$B$18))=0,1,SUM(COUNTA(QH5:QH6)*CELL("contenu",$B$4),COUNTA(QH8:QH11)*CELL("contenu",$B$7),COUNTA(QH13:QH13)*CELL("contenu",$B$12),COUNTA(QH15:QH17)*CELL("contenu",$B$14),COUNTA(QH19:QH19)*CELL("contenu",$B$18))))</f>
        <v/>
      </c>
      <c r="QI20" s="183" t="str">
        <f ca="1">IF(COUNTA(QI5:QI19)=0,"",5*SUM(IFERROR((((COUNTIF(QI5:QI6,"A"))*4)+((COUNTIF(QI5:QI6,"B"))*3)+((COUNTIF(QI5:QI6,"C"))*2)+((COUNTIF(QI5:QI6,"D"))*1))*CELL("contenu",$B$4),0),IFERROR((((COUNTIF(QI8:QI11,"A"))*4)+((COUNTIF(QI8:QI11,"B"))*3)+((COUNTIF(QI8:QI11,"C"))*2)+((COUNTIF(QI8:QI11,"D"))*1))*CELL("contenu",$B$7),0),IFERROR((((COUNTIF(QI13:QI13,"A"))*4)+((COUNTIF(QI13:QI13,"B"))*3)+((COUNTIF(QI13:QI13,"C"))*2)+((COUNTIF(QI13:QI13,"D"))*1))*CELL("contenu",$B$12),0),IFERROR((((COUNTIF(QI15:QI17,"A"))*4)+((COUNTIF(QI15:QI17,"B"))*3)+((COUNTIF(QI15:QI17,"C"))*2)+((COUNTIF(QI15:QI17,"D"))*1))*CELL("contenu",$B$14),0),IFERROR((((COUNTIF(QI19:QI19,"A"))*4)+((COUNTIF(QI19:QI19,"B"))*3)+((COUNTIF(QI19:QI19,"C"))*2)+((COUNTIF(QI19:QI19,"D"))*1))*CELL("contenu",$B$18),0))/IF(SUM(COUNTA(QI5:QI6)*CELL("contenu",$B$4),COUNTA(QI8:QI11)*CELL("contenu",$B$7),COUNTA(QI13:QI13)*CELL("contenu",$B$12),COUNTA(QI15:QI17)*CELL("contenu",$B$14),COUNTA(QI19:QI19)*CELL("contenu",$B$18))=0,1,SUM(COUNTA(QI5:QI6)*CELL("contenu",$B$4),COUNTA(QI8:QI11)*CELL("contenu",$B$7),COUNTA(QI13:QI13)*CELL("contenu",$B$12),COUNTA(QI15:QI17)*CELL("contenu",$B$14),COUNTA(QI19:QI19)*CELL("contenu",$B$18))))</f>
        <v/>
      </c>
      <c r="QJ20" s="184" t="str">
        <f ca="1">IF(COUNTA(QJ5:QJ19)=0,"",5*SUM(IFERROR((((COUNTIF(QJ5:QJ6,"A"))*4)+((COUNTIF(QJ5:QJ6,"B"))*3)+((COUNTIF(QJ5:QJ6,"C"))*2)+((COUNTIF(QJ5:QJ6,"D"))*1))*CELL("contenu",$B$4),0),IFERROR((((COUNTIF(QJ8:QJ11,"A"))*4)+((COUNTIF(QJ8:QJ11,"B"))*3)+((COUNTIF(QJ8:QJ11,"C"))*2)+((COUNTIF(QJ8:QJ11,"D"))*1))*CELL("contenu",$B$7),0),IFERROR((((COUNTIF(QJ13:QJ13,"A"))*4)+((COUNTIF(QJ13:QJ13,"B"))*3)+((COUNTIF(QJ13:QJ13,"C"))*2)+((COUNTIF(QJ13:QJ13,"D"))*1))*CELL("contenu",$B$12),0),IFERROR((((COUNTIF(QJ15:QJ17,"A"))*4)+((COUNTIF(QJ15:QJ17,"B"))*3)+((COUNTIF(QJ15:QJ17,"C"))*2)+((COUNTIF(QJ15:QJ17,"D"))*1))*CELL("contenu",$B$14),0),IFERROR((((COUNTIF(QJ19:QJ19,"A"))*4)+((COUNTIF(QJ19:QJ19,"B"))*3)+((COUNTIF(QJ19:QJ19,"C"))*2)+((COUNTIF(QJ19:QJ19,"D"))*1))*CELL("contenu",$B$18),0))/IF(SUM(COUNTA(QJ5:QJ6)*CELL("contenu",$B$4),COUNTA(QJ8:QJ11)*CELL("contenu",$B$7),COUNTA(QJ13:QJ13)*CELL("contenu",$B$12),COUNTA(QJ15:QJ17)*CELL("contenu",$B$14),COUNTA(QJ19:QJ19)*CELL("contenu",$B$18))=0,1,SUM(COUNTA(QJ5:QJ6)*CELL("contenu",$B$4),COUNTA(QJ8:QJ11)*CELL("contenu",$B$7),COUNTA(QJ13:QJ13)*CELL("contenu",$B$12),COUNTA(QJ15:QJ17)*CELL("contenu",$B$14),COUNTA(QJ19:QJ19)*CELL("contenu",$B$18))))</f>
        <v/>
      </c>
      <c r="QK20" s="176"/>
      <c r="QL20" s="175" t="str">
        <f ca="1">IF(COUNTA(QH20:QJ20)-COUNTBLANK(QH20:QJ20)=0,"",SUM(QH20:QJ20)/(COUNTA(QH20:QJ20)-COUNTBLANK(QH20:QJ20)))</f>
        <v/>
      </c>
      <c r="QM20" s="182" t="str">
        <f ca="1">IF(COUNTA(QM5:QM19)=0,"",5*SUM(IFERROR((((COUNTIF(QM5:QM6,"A"))*4)+((COUNTIF(QM5:QM6,"B"))*3)+((COUNTIF(QM5:QM6,"C"))*2)+((COUNTIF(QM5:QM6,"D"))*1))*CELL("contenu",$B$4),0),IFERROR((((COUNTIF(QM8:QM11,"A"))*4)+((COUNTIF(QM8:QM11,"B"))*3)+((COUNTIF(QM8:QM11,"C"))*2)+((COUNTIF(QM8:QM11,"D"))*1))*CELL("contenu",$B$7),0),IFERROR((((COUNTIF(QM13:QM13,"A"))*4)+((COUNTIF(QM13:QM13,"B"))*3)+((COUNTIF(QM13:QM13,"C"))*2)+((COUNTIF(QM13:QM13,"D"))*1))*CELL("contenu",$B$12),0),IFERROR((((COUNTIF(QM15:QM17,"A"))*4)+((COUNTIF(QM15:QM17,"B"))*3)+((COUNTIF(QM15:QM17,"C"))*2)+((COUNTIF(QM15:QM17,"D"))*1))*CELL("contenu",$B$14),0),IFERROR((((COUNTIF(QM19:QM19,"A"))*4)+((COUNTIF(QM19:QM19,"B"))*3)+((COUNTIF(QM19:QM19,"C"))*2)+((COUNTIF(QM19:QM19,"D"))*1))*CELL("contenu",$B$18),0))/IF(SUM(COUNTA(QM5:QM6)*CELL("contenu",$B$4),COUNTA(QM8:QM11)*CELL("contenu",$B$7),COUNTA(QM13:QM13)*CELL("contenu",$B$12),COUNTA(QM15:QM17)*CELL("contenu",$B$14),COUNTA(QM19:QM19)*CELL("contenu",$B$18))=0,1,SUM(COUNTA(QM5:QM6)*CELL("contenu",$B$4),COUNTA(QM8:QM11)*CELL("contenu",$B$7),COUNTA(QM13:QM13)*CELL("contenu",$B$12),COUNTA(QM15:QM17)*CELL("contenu",$B$14),COUNTA(QM19:QM19)*CELL("contenu",$B$18))))</f>
        <v/>
      </c>
      <c r="QN20" s="183" t="str">
        <f ca="1">IF(COUNTA(QN5:QN19)=0,"",5*SUM(IFERROR((((COUNTIF(QN5:QN6,"A"))*4)+((COUNTIF(QN5:QN6,"B"))*3)+((COUNTIF(QN5:QN6,"C"))*2)+((COUNTIF(QN5:QN6,"D"))*1))*CELL("contenu",$B$4),0),IFERROR((((COUNTIF(QN8:QN11,"A"))*4)+((COUNTIF(QN8:QN11,"B"))*3)+((COUNTIF(QN8:QN11,"C"))*2)+((COUNTIF(QN8:QN11,"D"))*1))*CELL("contenu",$B$7),0),IFERROR((((COUNTIF(QN13:QN13,"A"))*4)+((COUNTIF(QN13:QN13,"B"))*3)+((COUNTIF(QN13:QN13,"C"))*2)+((COUNTIF(QN13:QN13,"D"))*1))*CELL("contenu",$B$12),0),IFERROR((((COUNTIF(QN15:QN17,"A"))*4)+((COUNTIF(QN15:QN17,"B"))*3)+((COUNTIF(QN15:QN17,"C"))*2)+((COUNTIF(QN15:QN17,"D"))*1))*CELL("contenu",$B$14),0),IFERROR((((COUNTIF(QN19:QN19,"A"))*4)+((COUNTIF(QN19:QN19,"B"))*3)+((COUNTIF(QN19:QN19,"C"))*2)+((COUNTIF(QN19:QN19,"D"))*1))*CELL("contenu",$B$18),0))/IF(SUM(COUNTA(QN5:QN6)*CELL("contenu",$B$4),COUNTA(QN8:QN11)*CELL("contenu",$B$7),COUNTA(QN13:QN13)*CELL("contenu",$B$12),COUNTA(QN15:QN17)*CELL("contenu",$B$14),COUNTA(QN19:QN19)*CELL("contenu",$B$18))=0,1,SUM(COUNTA(QN5:QN6)*CELL("contenu",$B$4),COUNTA(QN8:QN11)*CELL("contenu",$B$7),COUNTA(QN13:QN13)*CELL("contenu",$B$12),COUNTA(QN15:QN17)*CELL("contenu",$B$14),COUNTA(QN19:QN19)*CELL("contenu",$B$18))))</f>
        <v/>
      </c>
      <c r="QO20" s="184" t="str">
        <f ca="1">IF(COUNTA(QO5:QO19)=0,"",5*SUM(IFERROR((((COUNTIF(QO5:QO6,"A"))*4)+((COUNTIF(QO5:QO6,"B"))*3)+((COUNTIF(QO5:QO6,"C"))*2)+((COUNTIF(QO5:QO6,"D"))*1))*CELL("contenu",$B$4),0),IFERROR((((COUNTIF(QO8:QO11,"A"))*4)+((COUNTIF(QO8:QO11,"B"))*3)+((COUNTIF(QO8:QO11,"C"))*2)+((COUNTIF(QO8:QO11,"D"))*1))*CELL("contenu",$B$7),0),IFERROR((((COUNTIF(QO13:QO13,"A"))*4)+((COUNTIF(QO13:QO13,"B"))*3)+((COUNTIF(QO13:QO13,"C"))*2)+((COUNTIF(QO13:QO13,"D"))*1))*CELL("contenu",$B$12),0),IFERROR((((COUNTIF(QO15:QO17,"A"))*4)+((COUNTIF(QO15:QO17,"B"))*3)+((COUNTIF(QO15:QO17,"C"))*2)+((COUNTIF(QO15:QO17,"D"))*1))*CELL("contenu",$B$14),0),IFERROR((((COUNTIF(QO19:QO19,"A"))*4)+((COUNTIF(QO19:QO19,"B"))*3)+((COUNTIF(QO19:QO19,"C"))*2)+((COUNTIF(QO19:QO19,"D"))*1))*CELL("contenu",$B$18),0))/IF(SUM(COUNTA(QO5:QO6)*CELL("contenu",$B$4),COUNTA(QO8:QO11)*CELL("contenu",$B$7),COUNTA(QO13:QO13)*CELL("contenu",$B$12),COUNTA(QO15:QO17)*CELL("contenu",$B$14),COUNTA(QO19:QO19)*CELL("contenu",$B$18))=0,1,SUM(COUNTA(QO5:QO6)*CELL("contenu",$B$4),COUNTA(QO8:QO11)*CELL("contenu",$B$7),COUNTA(QO13:QO13)*CELL("contenu",$B$12),COUNTA(QO15:QO17)*CELL("contenu",$B$14),COUNTA(QO19:QO19)*CELL("contenu",$B$18))))</f>
        <v/>
      </c>
      <c r="QP20" s="176"/>
      <c r="QQ20" s="174" t="str">
        <f ca="1">IF(COUNTA(QM20:QO20)-COUNTBLANK(QM20:QO20)=0,"",SUM(QM20:QO20)/(COUNTA(QM20:QO20)-COUNTBLANK(QM20:QO20)))</f>
        <v/>
      </c>
      <c r="QR20" s="103"/>
      <c r="QS20" s="141"/>
      <c r="QT20" s="167" t="str">
        <f ca="1">IF(COUNTA(QT5:QT19)=0,"",5*SUM(IFERROR((((COUNTIF(QT5:QT6,"A"))*4)+((COUNTIF(QT5:QT6,"B"))*3)+((COUNTIF(QT5:QT6,"C"))*2)+((COUNTIF(QT5:QT6,"D"))*1))*CELL("contenu",$B$4),0),IFERROR((((COUNTIF(QT8:QT11,"A"))*4)+((COUNTIF(QT8:QT11,"B"))*3)+((COUNTIF(QT8:QT11,"C"))*2)+((COUNTIF(QT8:QT11,"D"))*1))*CELL("contenu",$B$7),0),IFERROR((((COUNTIF(QT13:QT13,"A"))*4)+((COUNTIF(QT13:QT13,"B"))*3)+((COUNTIF(QT13:QT13,"C"))*2)+((COUNTIF(QT13:QT13,"D"))*1))*CELL("contenu",$B$12),0),IFERROR((((COUNTIF(QT15:QT17,"A"))*4)+((COUNTIF(QT15:QT17,"B"))*3)+((COUNTIF(QT15:QT17,"C"))*2)+((COUNTIF(QT15:QT17,"D"))*1))*CELL("contenu",$B$14),0),IFERROR((((COUNTIF(QT19:QT19,"A"))*4)+((COUNTIF(QT19:QT19,"B"))*3)+((COUNTIF(QT19:QT19,"C"))*2)+((COUNTIF(QT19:QT19,"D"))*1))*CELL("contenu",$B$18),0))/IF(SUM(COUNTA(QT5:QT6)*CELL("contenu",$B$4),COUNTA(QT8:QT11)*CELL("contenu",$B$7),COUNTA(QT13:QT13)*CELL("contenu",$B$12),COUNTA(QT15:QT17)*CELL("contenu",$B$14),COUNTA(QT19:QT19)*CELL("contenu",$B$18))=0,1,SUM(COUNTA(QT5:QT6)*CELL("contenu",$B$4),COUNTA(QT8:QT11)*CELL("contenu",$B$7),COUNTA(QT13:QT13)*CELL("contenu",$B$12),COUNTA(QT15:QT17)*CELL("contenu",$B$14),COUNTA(QT19:QT19)*CELL("contenu",$B$18))))</f>
        <v/>
      </c>
      <c r="QU20" s="168" t="str">
        <f ca="1">IF(COUNTA(QU5:QU19)=0,"",5*SUM(IFERROR((((COUNTIF(QU5:QU6,"A"))*4)+((COUNTIF(QU5:QU6,"B"))*3)+((COUNTIF(QU5:QU6,"C"))*2)+((COUNTIF(QU5:QU6,"D"))*1))*CELL("contenu",$B$4),0),IFERROR((((COUNTIF(QU8:QU11,"A"))*4)+((COUNTIF(QU8:QU11,"B"))*3)+((COUNTIF(QU8:QU11,"C"))*2)+((COUNTIF(QU8:QU11,"D"))*1))*CELL("contenu",$B$7),0),IFERROR((((COUNTIF(QU13:QU13,"A"))*4)+((COUNTIF(QU13:QU13,"B"))*3)+((COUNTIF(QU13:QU13,"C"))*2)+((COUNTIF(QU13:QU13,"D"))*1))*CELL("contenu",$B$12),0),IFERROR((((COUNTIF(QU15:QU17,"A"))*4)+((COUNTIF(QU15:QU17,"B"))*3)+((COUNTIF(QU15:QU17,"C"))*2)+((COUNTIF(QU15:QU17,"D"))*1))*CELL("contenu",$B$14),0),IFERROR((((COUNTIF(QU19:QU19,"A"))*4)+((COUNTIF(QU19:QU19,"B"))*3)+((COUNTIF(QU19:QU19,"C"))*2)+((COUNTIF(QU19:QU19,"D"))*1))*CELL("contenu",$B$18),0))/IF(SUM(COUNTA(QU5:QU6)*CELL("contenu",$B$4),COUNTA(QU8:QU11)*CELL("contenu",$B$7),COUNTA(QU13:QU13)*CELL("contenu",$B$12),COUNTA(QU15:QU17)*CELL("contenu",$B$14),COUNTA(QU19:QU19)*CELL("contenu",$B$18))=0,1,SUM(COUNTA(QU5:QU6)*CELL("contenu",$B$4),COUNTA(QU8:QU11)*CELL("contenu",$B$7),COUNTA(QU13:QU13)*CELL("contenu",$B$12),COUNTA(QU15:QU17)*CELL("contenu",$B$14),COUNTA(QU19:QU19)*CELL("contenu",$B$18))))</f>
        <v/>
      </c>
      <c r="QV20" s="169" t="str">
        <f ca="1">IF(COUNTA(QV5:QV19)=0,"",5*SUM(IFERROR((((COUNTIF(QV5:QV6,"A"))*4)+((COUNTIF(QV5:QV6,"B"))*3)+((COUNTIF(QV5:QV6,"C"))*2)+((COUNTIF(QV5:QV6,"D"))*1))*CELL("contenu",$B$4),0),IFERROR((((COUNTIF(QV8:QV11,"A"))*4)+((COUNTIF(QV8:QV11,"B"))*3)+((COUNTIF(QV8:QV11,"C"))*2)+((COUNTIF(QV8:QV11,"D"))*1))*CELL("contenu",$B$7),0),IFERROR((((COUNTIF(QV13:QV13,"A"))*4)+((COUNTIF(QV13:QV13,"B"))*3)+((COUNTIF(QV13:QV13,"C"))*2)+((COUNTIF(QV13:QV13,"D"))*1))*CELL("contenu",$B$12),0),IFERROR((((COUNTIF(QV15:QV17,"A"))*4)+((COUNTIF(QV15:QV17,"B"))*3)+((COUNTIF(QV15:QV17,"C"))*2)+((COUNTIF(QV15:QV17,"D"))*1))*CELL("contenu",$B$14),0),IFERROR((((COUNTIF(QV19:QV19,"A"))*4)+((COUNTIF(QV19:QV19,"B"))*3)+((COUNTIF(QV19:QV19,"C"))*2)+((COUNTIF(QV19:QV19,"D"))*1))*CELL("contenu",$B$18),0))/IF(SUM(COUNTA(QV5:QV6)*CELL("contenu",$B$4),COUNTA(QV8:QV11)*CELL("contenu",$B$7),COUNTA(QV13:QV13)*CELL("contenu",$B$12),COUNTA(QV15:QV17)*CELL("contenu",$B$14),COUNTA(QV19:QV19)*CELL("contenu",$B$18))=0,1,SUM(COUNTA(QV5:QV6)*CELL("contenu",$B$4),COUNTA(QV8:QV11)*CELL("contenu",$B$7),COUNTA(QV13:QV13)*CELL("contenu",$B$12),COUNTA(QV15:QV17)*CELL("contenu",$B$14),COUNTA(QV19:QV19)*CELL("contenu",$B$18))))</f>
        <v/>
      </c>
      <c r="QW20" s="116"/>
      <c r="QX20" s="192" t="str">
        <f ca="1">IF(COUNTA(QT20:QV20)-COUNTBLANK(QT20:QV20)=0,"",SUM(QT20:QV20)/(COUNTA(QT20:QV20)-COUNTBLANK(QT20:QV20)))</f>
        <v/>
      </c>
      <c r="QY20" s="182" t="str">
        <f ca="1">IF(COUNTA(QY5:QY19)=0,"",5*SUM(IFERROR((((COUNTIF(QY5:QY6,"A"))*4)+((COUNTIF(QY5:QY6,"B"))*3)+((COUNTIF(QY5:QY6,"C"))*2)+((COUNTIF(QY5:QY6,"D"))*1))*CELL("contenu",$B$4),0),IFERROR((((COUNTIF(QY8:QY11,"A"))*4)+((COUNTIF(QY8:QY11,"B"))*3)+((COUNTIF(QY8:QY11,"C"))*2)+((COUNTIF(QY8:QY11,"D"))*1))*CELL("contenu",$B$7),0),IFERROR((((COUNTIF(QY13:QY13,"A"))*4)+((COUNTIF(QY13:QY13,"B"))*3)+((COUNTIF(QY13:QY13,"C"))*2)+((COUNTIF(QY13:QY13,"D"))*1))*CELL("contenu",$B$12),0),IFERROR((((COUNTIF(QY15:QY17,"A"))*4)+((COUNTIF(QY15:QY17,"B"))*3)+((COUNTIF(QY15:QY17,"C"))*2)+((COUNTIF(QY15:QY17,"D"))*1))*CELL("contenu",$B$14),0),IFERROR((((COUNTIF(QY19:QY19,"A"))*4)+((COUNTIF(QY19:QY19,"B"))*3)+((COUNTIF(QY19:QY19,"C"))*2)+((COUNTIF(QY19:QY19,"D"))*1))*CELL("contenu",$B$18),0))/IF(SUM(COUNTA(QY5:QY6)*CELL("contenu",$B$4),COUNTA(QY8:QY11)*CELL("contenu",$B$7),COUNTA(QY13:QY13)*CELL("contenu",$B$12),COUNTA(QY15:QY17)*CELL("contenu",$B$14),COUNTA(QY19:QY19)*CELL("contenu",$B$18))=0,1,SUM(COUNTA(QY5:QY6)*CELL("contenu",$B$4),COUNTA(QY8:QY11)*CELL("contenu",$B$7),COUNTA(QY13:QY13)*CELL("contenu",$B$12),COUNTA(QY15:QY17)*CELL("contenu",$B$14),COUNTA(QY19:QY19)*CELL("contenu",$B$18))))</f>
        <v/>
      </c>
      <c r="QZ20" s="183" t="str">
        <f ca="1">IF(COUNTA(QZ5:QZ19)=0,"",5*SUM(IFERROR((((COUNTIF(QZ5:QZ6,"A"))*4)+((COUNTIF(QZ5:QZ6,"B"))*3)+((COUNTIF(QZ5:QZ6,"C"))*2)+((COUNTIF(QZ5:QZ6,"D"))*1))*CELL("contenu",$B$4),0),IFERROR((((COUNTIF(QZ8:QZ11,"A"))*4)+((COUNTIF(QZ8:QZ11,"B"))*3)+((COUNTIF(QZ8:QZ11,"C"))*2)+((COUNTIF(QZ8:QZ11,"D"))*1))*CELL("contenu",$B$7),0),IFERROR((((COUNTIF(QZ13:QZ13,"A"))*4)+((COUNTIF(QZ13:QZ13,"B"))*3)+((COUNTIF(QZ13:QZ13,"C"))*2)+((COUNTIF(QZ13:QZ13,"D"))*1))*CELL("contenu",$B$12),0),IFERROR((((COUNTIF(QZ15:QZ17,"A"))*4)+((COUNTIF(QZ15:QZ17,"B"))*3)+((COUNTIF(QZ15:QZ17,"C"))*2)+((COUNTIF(QZ15:QZ17,"D"))*1))*CELL("contenu",$B$14),0),IFERROR((((COUNTIF(QZ19:QZ19,"A"))*4)+((COUNTIF(QZ19:QZ19,"B"))*3)+((COUNTIF(QZ19:QZ19,"C"))*2)+((COUNTIF(QZ19:QZ19,"D"))*1))*CELL("contenu",$B$18),0))/IF(SUM(COUNTA(QZ5:QZ6)*CELL("contenu",$B$4),COUNTA(QZ8:QZ11)*CELL("contenu",$B$7),COUNTA(QZ13:QZ13)*CELL("contenu",$B$12),COUNTA(QZ15:QZ17)*CELL("contenu",$B$14),COUNTA(QZ19:QZ19)*CELL("contenu",$B$18))=0,1,SUM(COUNTA(QZ5:QZ6)*CELL("contenu",$B$4),COUNTA(QZ8:QZ11)*CELL("contenu",$B$7),COUNTA(QZ13:QZ13)*CELL("contenu",$B$12),COUNTA(QZ15:QZ17)*CELL("contenu",$B$14),COUNTA(QZ19:QZ19)*CELL("contenu",$B$18))))</f>
        <v/>
      </c>
      <c r="RA20" s="184" t="str">
        <f ca="1">IF(COUNTA(RA5:RA19)=0,"",5*SUM(IFERROR((((COUNTIF(RA5:RA6,"A"))*4)+((COUNTIF(RA5:RA6,"B"))*3)+((COUNTIF(RA5:RA6,"C"))*2)+((COUNTIF(RA5:RA6,"D"))*1))*CELL("contenu",$B$4),0),IFERROR((((COUNTIF(RA8:RA11,"A"))*4)+((COUNTIF(RA8:RA11,"B"))*3)+((COUNTIF(RA8:RA11,"C"))*2)+((COUNTIF(RA8:RA11,"D"))*1))*CELL("contenu",$B$7),0),IFERROR((((COUNTIF(RA13:RA13,"A"))*4)+((COUNTIF(RA13:RA13,"B"))*3)+((COUNTIF(RA13:RA13,"C"))*2)+((COUNTIF(RA13:RA13,"D"))*1))*CELL("contenu",$B$12),0),IFERROR((((COUNTIF(RA15:RA17,"A"))*4)+((COUNTIF(RA15:RA17,"B"))*3)+((COUNTIF(RA15:RA17,"C"))*2)+((COUNTIF(RA15:RA17,"D"))*1))*CELL("contenu",$B$14),0),IFERROR((((COUNTIF(RA19:RA19,"A"))*4)+((COUNTIF(RA19:RA19,"B"))*3)+((COUNTIF(RA19:RA19,"C"))*2)+((COUNTIF(RA19:RA19,"D"))*1))*CELL("contenu",$B$18),0))/IF(SUM(COUNTA(RA5:RA6)*CELL("contenu",$B$4),COUNTA(RA8:RA11)*CELL("contenu",$B$7),COUNTA(RA13:RA13)*CELL("contenu",$B$12),COUNTA(RA15:RA17)*CELL("contenu",$B$14),COUNTA(RA19:RA19)*CELL("contenu",$B$18))=0,1,SUM(COUNTA(RA5:RA6)*CELL("contenu",$B$4),COUNTA(RA8:RA11)*CELL("contenu",$B$7),COUNTA(RA13:RA13)*CELL("contenu",$B$12),COUNTA(RA15:RA17)*CELL("contenu",$B$14),COUNTA(RA19:RA19)*CELL("contenu",$B$18))))</f>
        <v/>
      </c>
      <c r="RB20" s="176"/>
      <c r="RC20" s="175" t="str">
        <f ca="1">IF(COUNTA(QY20:RA20)-COUNTBLANK(QY20:RA20)=0,"",SUM(QY20:RA20)/(COUNTA(QY20:RA20)-COUNTBLANK(QY20:RA20)))</f>
        <v/>
      </c>
      <c r="RD20" s="182" t="str">
        <f ca="1">IF(COUNTA(RD5:RD19)=0,"",5*SUM(IFERROR((((COUNTIF(RD5:RD6,"A"))*4)+((COUNTIF(RD5:RD6,"B"))*3)+((COUNTIF(RD5:RD6,"C"))*2)+((COUNTIF(RD5:RD6,"D"))*1))*CELL("contenu",$B$4),0),IFERROR((((COUNTIF(RD8:RD11,"A"))*4)+((COUNTIF(RD8:RD11,"B"))*3)+((COUNTIF(RD8:RD11,"C"))*2)+((COUNTIF(RD8:RD11,"D"))*1))*CELL("contenu",$B$7),0),IFERROR((((COUNTIF(RD13:RD13,"A"))*4)+((COUNTIF(RD13:RD13,"B"))*3)+((COUNTIF(RD13:RD13,"C"))*2)+((COUNTIF(RD13:RD13,"D"))*1))*CELL("contenu",$B$12),0),IFERROR((((COUNTIF(RD15:RD17,"A"))*4)+((COUNTIF(RD15:RD17,"B"))*3)+((COUNTIF(RD15:RD17,"C"))*2)+((COUNTIF(RD15:RD17,"D"))*1))*CELL("contenu",$B$14),0),IFERROR((((COUNTIF(RD19:RD19,"A"))*4)+((COUNTIF(RD19:RD19,"B"))*3)+((COUNTIF(RD19:RD19,"C"))*2)+((COUNTIF(RD19:RD19,"D"))*1))*CELL("contenu",$B$18),0))/IF(SUM(COUNTA(RD5:RD6)*CELL("contenu",$B$4),COUNTA(RD8:RD11)*CELL("contenu",$B$7),COUNTA(RD13:RD13)*CELL("contenu",$B$12),COUNTA(RD15:RD17)*CELL("contenu",$B$14),COUNTA(RD19:RD19)*CELL("contenu",$B$18))=0,1,SUM(COUNTA(RD5:RD6)*CELL("contenu",$B$4),COUNTA(RD8:RD11)*CELL("contenu",$B$7),COUNTA(RD13:RD13)*CELL("contenu",$B$12),COUNTA(RD15:RD17)*CELL("contenu",$B$14),COUNTA(RD19:RD19)*CELL("contenu",$B$18))))</f>
        <v/>
      </c>
      <c r="RE20" s="183" t="str">
        <f ca="1">IF(COUNTA(RE5:RE19)=0,"",5*SUM(IFERROR((((COUNTIF(RE5:RE6,"A"))*4)+((COUNTIF(RE5:RE6,"B"))*3)+((COUNTIF(RE5:RE6,"C"))*2)+((COUNTIF(RE5:RE6,"D"))*1))*CELL("contenu",$B$4),0),IFERROR((((COUNTIF(RE8:RE11,"A"))*4)+((COUNTIF(RE8:RE11,"B"))*3)+((COUNTIF(RE8:RE11,"C"))*2)+((COUNTIF(RE8:RE11,"D"))*1))*CELL("contenu",$B$7),0),IFERROR((((COUNTIF(RE13:RE13,"A"))*4)+((COUNTIF(RE13:RE13,"B"))*3)+((COUNTIF(RE13:RE13,"C"))*2)+((COUNTIF(RE13:RE13,"D"))*1))*CELL("contenu",$B$12),0),IFERROR((((COUNTIF(RE15:RE17,"A"))*4)+((COUNTIF(RE15:RE17,"B"))*3)+((COUNTIF(RE15:RE17,"C"))*2)+((COUNTIF(RE15:RE17,"D"))*1))*CELL("contenu",$B$14),0),IFERROR((((COUNTIF(RE19:RE19,"A"))*4)+((COUNTIF(RE19:RE19,"B"))*3)+((COUNTIF(RE19:RE19,"C"))*2)+((COUNTIF(RE19:RE19,"D"))*1))*CELL("contenu",$B$18),0))/IF(SUM(COUNTA(RE5:RE6)*CELL("contenu",$B$4),COUNTA(RE8:RE11)*CELL("contenu",$B$7),COUNTA(RE13:RE13)*CELL("contenu",$B$12),COUNTA(RE15:RE17)*CELL("contenu",$B$14),COUNTA(RE19:RE19)*CELL("contenu",$B$18))=0,1,SUM(COUNTA(RE5:RE6)*CELL("contenu",$B$4),COUNTA(RE8:RE11)*CELL("contenu",$B$7),COUNTA(RE13:RE13)*CELL("contenu",$B$12),COUNTA(RE15:RE17)*CELL("contenu",$B$14),COUNTA(RE19:RE19)*CELL("contenu",$B$18))))</f>
        <v/>
      </c>
      <c r="RF20" s="184" t="str">
        <f ca="1">IF(COUNTA(RF5:RF19)=0,"",5*SUM(IFERROR((((COUNTIF(RF5:RF6,"A"))*4)+((COUNTIF(RF5:RF6,"B"))*3)+((COUNTIF(RF5:RF6,"C"))*2)+((COUNTIF(RF5:RF6,"D"))*1))*CELL("contenu",$B$4),0),IFERROR((((COUNTIF(RF8:RF11,"A"))*4)+((COUNTIF(RF8:RF11,"B"))*3)+((COUNTIF(RF8:RF11,"C"))*2)+((COUNTIF(RF8:RF11,"D"))*1))*CELL("contenu",$B$7),0),IFERROR((((COUNTIF(RF13:RF13,"A"))*4)+((COUNTIF(RF13:RF13,"B"))*3)+((COUNTIF(RF13:RF13,"C"))*2)+((COUNTIF(RF13:RF13,"D"))*1))*CELL("contenu",$B$12),0),IFERROR((((COUNTIF(RF15:RF17,"A"))*4)+((COUNTIF(RF15:RF17,"B"))*3)+((COUNTIF(RF15:RF17,"C"))*2)+((COUNTIF(RF15:RF17,"D"))*1))*CELL("contenu",$B$14),0),IFERROR((((COUNTIF(RF19:RF19,"A"))*4)+((COUNTIF(RF19:RF19,"B"))*3)+((COUNTIF(RF19:RF19,"C"))*2)+((COUNTIF(RF19:RF19,"D"))*1))*CELL("contenu",$B$18),0))/IF(SUM(COUNTA(RF5:RF6)*CELL("contenu",$B$4),COUNTA(RF8:RF11)*CELL("contenu",$B$7),COUNTA(RF13:RF13)*CELL("contenu",$B$12),COUNTA(RF15:RF17)*CELL("contenu",$B$14),COUNTA(RF19:RF19)*CELL("contenu",$B$18))=0,1,SUM(COUNTA(RF5:RF6)*CELL("contenu",$B$4),COUNTA(RF8:RF11)*CELL("contenu",$B$7),COUNTA(RF13:RF13)*CELL("contenu",$B$12),COUNTA(RF15:RF17)*CELL("contenu",$B$14),COUNTA(RF19:RF19)*CELL("contenu",$B$18))))</f>
        <v/>
      </c>
      <c r="RG20" s="176"/>
      <c r="RH20" s="174" t="str">
        <f ca="1">IF(COUNTA(RD20:RF20)-COUNTBLANK(RD20:RF20)=0,"",SUM(RD20:RF20)/(COUNTA(RD20:RF20)-COUNTBLANK(RD20:RF20)))</f>
        <v/>
      </c>
      <c r="RI20" s="103"/>
      <c r="RJ20" s="141"/>
      <c r="RK20" s="167" t="str">
        <f ca="1">IF(COUNTA(RK5:RK19)=0,"",5*SUM(IFERROR((((COUNTIF(RK5:RK6,"A"))*4)+((COUNTIF(RK5:RK6,"B"))*3)+((COUNTIF(RK5:RK6,"C"))*2)+((COUNTIF(RK5:RK6,"D"))*1))*CELL("contenu",$B$4),0),IFERROR((((COUNTIF(RK8:RK11,"A"))*4)+((COUNTIF(RK8:RK11,"B"))*3)+((COUNTIF(RK8:RK11,"C"))*2)+((COUNTIF(RK8:RK11,"D"))*1))*CELL("contenu",$B$7),0),IFERROR((((COUNTIF(RK13:RK13,"A"))*4)+((COUNTIF(RK13:RK13,"B"))*3)+((COUNTIF(RK13:RK13,"C"))*2)+((COUNTIF(RK13:RK13,"D"))*1))*CELL("contenu",$B$12),0),IFERROR((((COUNTIF(RK15:RK17,"A"))*4)+((COUNTIF(RK15:RK17,"B"))*3)+((COUNTIF(RK15:RK17,"C"))*2)+((COUNTIF(RK15:RK17,"D"))*1))*CELL("contenu",$B$14),0),IFERROR((((COUNTIF(RK19:RK19,"A"))*4)+((COUNTIF(RK19:RK19,"B"))*3)+((COUNTIF(RK19:RK19,"C"))*2)+((COUNTIF(RK19:RK19,"D"))*1))*CELL("contenu",$B$18),0))/IF(SUM(COUNTA(RK5:RK6)*CELL("contenu",$B$4),COUNTA(RK8:RK11)*CELL("contenu",$B$7),COUNTA(RK13:RK13)*CELL("contenu",$B$12),COUNTA(RK15:RK17)*CELL("contenu",$B$14),COUNTA(RK19:RK19)*CELL("contenu",$B$18))=0,1,SUM(COUNTA(RK5:RK6)*CELL("contenu",$B$4),COUNTA(RK8:RK11)*CELL("contenu",$B$7),COUNTA(RK13:RK13)*CELL("contenu",$B$12),COUNTA(RK15:RK17)*CELL("contenu",$B$14),COUNTA(RK19:RK19)*CELL("contenu",$B$18))))</f>
        <v/>
      </c>
      <c r="RL20" s="168" t="str">
        <f ca="1">IF(COUNTA(RL5:RL19)=0,"",5*SUM(IFERROR((((COUNTIF(RL5:RL6,"A"))*4)+((COUNTIF(RL5:RL6,"B"))*3)+((COUNTIF(RL5:RL6,"C"))*2)+((COUNTIF(RL5:RL6,"D"))*1))*CELL("contenu",$B$4),0),IFERROR((((COUNTIF(RL8:RL11,"A"))*4)+((COUNTIF(RL8:RL11,"B"))*3)+((COUNTIF(RL8:RL11,"C"))*2)+((COUNTIF(RL8:RL11,"D"))*1))*CELL("contenu",$B$7),0),IFERROR((((COUNTIF(RL13:RL13,"A"))*4)+((COUNTIF(RL13:RL13,"B"))*3)+((COUNTIF(RL13:RL13,"C"))*2)+((COUNTIF(RL13:RL13,"D"))*1))*CELL("contenu",$B$12),0),IFERROR((((COUNTIF(RL15:RL17,"A"))*4)+((COUNTIF(RL15:RL17,"B"))*3)+((COUNTIF(RL15:RL17,"C"))*2)+((COUNTIF(RL15:RL17,"D"))*1))*CELL("contenu",$B$14),0),IFERROR((((COUNTIF(RL19:RL19,"A"))*4)+((COUNTIF(RL19:RL19,"B"))*3)+((COUNTIF(RL19:RL19,"C"))*2)+((COUNTIF(RL19:RL19,"D"))*1))*CELL("contenu",$B$18),0))/IF(SUM(COUNTA(RL5:RL6)*CELL("contenu",$B$4),COUNTA(RL8:RL11)*CELL("contenu",$B$7),COUNTA(RL13:RL13)*CELL("contenu",$B$12),COUNTA(RL15:RL17)*CELL("contenu",$B$14),COUNTA(RL19:RL19)*CELL("contenu",$B$18))=0,1,SUM(COUNTA(RL5:RL6)*CELL("contenu",$B$4),COUNTA(RL8:RL11)*CELL("contenu",$B$7),COUNTA(RL13:RL13)*CELL("contenu",$B$12),COUNTA(RL15:RL17)*CELL("contenu",$B$14),COUNTA(RL19:RL19)*CELL("contenu",$B$18))))</f>
        <v/>
      </c>
      <c r="RM20" s="169" t="str">
        <f ca="1">IF(COUNTA(RM5:RM19)=0,"",5*SUM(IFERROR((((COUNTIF(RM5:RM6,"A"))*4)+((COUNTIF(RM5:RM6,"B"))*3)+((COUNTIF(RM5:RM6,"C"))*2)+((COUNTIF(RM5:RM6,"D"))*1))*CELL("contenu",$B$4),0),IFERROR((((COUNTIF(RM8:RM11,"A"))*4)+((COUNTIF(RM8:RM11,"B"))*3)+((COUNTIF(RM8:RM11,"C"))*2)+((COUNTIF(RM8:RM11,"D"))*1))*CELL("contenu",$B$7),0),IFERROR((((COUNTIF(RM13:RM13,"A"))*4)+((COUNTIF(RM13:RM13,"B"))*3)+((COUNTIF(RM13:RM13,"C"))*2)+((COUNTIF(RM13:RM13,"D"))*1))*CELL("contenu",$B$12),0),IFERROR((((COUNTIF(RM15:RM17,"A"))*4)+((COUNTIF(RM15:RM17,"B"))*3)+((COUNTIF(RM15:RM17,"C"))*2)+((COUNTIF(RM15:RM17,"D"))*1))*CELL("contenu",$B$14),0),IFERROR((((COUNTIF(RM19:RM19,"A"))*4)+((COUNTIF(RM19:RM19,"B"))*3)+((COUNTIF(RM19:RM19,"C"))*2)+((COUNTIF(RM19:RM19,"D"))*1))*CELL("contenu",$B$18),0))/IF(SUM(COUNTA(RM5:RM6)*CELL("contenu",$B$4),COUNTA(RM8:RM11)*CELL("contenu",$B$7),COUNTA(RM13:RM13)*CELL("contenu",$B$12),COUNTA(RM15:RM17)*CELL("contenu",$B$14),COUNTA(RM19:RM19)*CELL("contenu",$B$18))=0,1,SUM(COUNTA(RM5:RM6)*CELL("contenu",$B$4),COUNTA(RM8:RM11)*CELL("contenu",$B$7),COUNTA(RM13:RM13)*CELL("contenu",$B$12),COUNTA(RM15:RM17)*CELL("contenu",$B$14),COUNTA(RM19:RM19)*CELL("contenu",$B$18))))</f>
        <v/>
      </c>
      <c r="RN20" s="116"/>
      <c r="RO20" s="192" t="str">
        <f ca="1">IF(COUNTA(RK20:RM20)-COUNTBLANK(RK20:RM20)=0,"",SUM(RK20:RM20)/(COUNTA(RK20:RM20)-COUNTBLANK(RK20:RM20)))</f>
        <v/>
      </c>
      <c r="RP20" s="182" t="str">
        <f ca="1">IF(COUNTA(RP5:RP19)=0,"",5*SUM(IFERROR((((COUNTIF(RP5:RP6,"A"))*4)+((COUNTIF(RP5:RP6,"B"))*3)+((COUNTIF(RP5:RP6,"C"))*2)+((COUNTIF(RP5:RP6,"D"))*1))*CELL("contenu",$B$4),0),IFERROR((((COUNTIF(RP8:RP11,"A"))*4)+((COUNTIF(RP8:RP11,"B"))*3)+((COUNTIF(RP8:RP11,"C"))*2)+((COUNTIF(RP8:RP11,"D"))*1))*CELL("contenu",$B$7),0),IFERROR((((COUNTIF(RP13:RP13,"A"))*4)+((COUNTIF(RP13:RP13,"B"))*3)+((COUNTIF(RP13:RP13,"C"))*2)+((COUNTIF(RP13:RP13,"D"))*1))*CELL("contenu",$B$12),0),IFERROR((((COUNTIF(RP15:RP17,"A"))*4)+((COUNTIF(RP15:RP17,"B"))*3)+((COUNTIF(RP15:RP17,"C"))*2)+((COUNTIF(RP15:RP17,"D"))*1))*CELL("contenu",$B$14),0),IFERROR((((COUNTIF(RP19:RP19,"A"))*4)+((COUNTIF(RP19:RP19,"B"))*3)+((COUNTIF(RP19:RP19,"C"))*2)+((COUNTIF(RP19:RP19,"D"))*1))*CELL("contenu",$B$18),0))/IF(SUM(COUNTA(RP5:RP6)*CELL("contenu",$B$4),COUNTA(RP8:RP11)*CELL("contenu",$B$7),COUNTA(RP13:RP13)*CELL("contenu",$B$12),COUNTA(RP15:RP17)*CELL("contenu",$B$14),COUNTA(RP19:RP19)*CELL("contenu",$B$18))=0,1,SUM(COUNTA(RP5:RP6)*CELL("contenu",$B$4),COUNTA(RP8:RP11)*CELL("contenu",$B$7),COUNTA(RP13:RP13)*CELL("contenu",$B$12),COUNTA(RP15:RP17)*CELL("contenu",$B$14),COUNTA(RP19:RP19)*CELL("contenu",$B$18))))</f>
        <v/>
      </c>
      <c r="RQ20" s="183" t="str">
        <f ca="1">IF(COUNTA(RQ5:RQ19)=0,"",5*SUM(IFERROR((((COUNTIF(RQ5:RQ6,"A"))*4)+((COUNTIF(RQ5:RQ6,"B"))*3)+((COUNTIF(RQ5:RQ6,"C"))*2)+((COUNTIF(RQ5:RQ6,"D"))*1))*CELL("contenu",$B$4),0),IFERROR((((COUNTIF(RQ8:RQ11,"A"))*4)+((COUNTIF(RQ8:RQ11,"B"))*3)+((COUNTIF(RQ8:RQ11,"C"))*2)+((COUNTIF(RQ8:RQ11,"D"))*1))*CELL("contenu",$B$7),0),IFERROR((((COUNTIF(RQ13:RQ13,"A"))*4)+((COUNTIF(RQ13:RQ13,"B"))*3)+((COUNTIF(RQ13:RQ13,"C"))*2)+((COUNTIF(RQ13:RQ13,"D"))*1))*CELL("contenu",$B$12),0),IFERROR((((COUNTIF(RQ15:RQ17,"A"))*4)+((COUNTIF(RQ15:RQ17,"B"))*3)+((COUNTIF(RQ15:RQ17,"C"))*2)+((COUNTIF(RQ15:RQ17,"D"))*1))*CELL("contenu",$B$14),0),IFERROR((((COUNTIF(RQ19:RQ19,"A"))*4)+((COUNTIF(RQ19:RQ19,"B"))*3)+((COUNTIF(RQ19:RQ19,"C"))*2)+((COUNTIF(RQ19:RQ19,"D"))*1))*CELL("contenu",$B$18),0))/IF(SUM(COUNTA(RQ5:RQ6)*CELL("contenu",$B$4),COUNTA(RQ8:RQ11)*CELL("contenu",$B$7),COUNTA(RQ13:RQ13)*CELL("contenu",$B$12),COUNTA(RQ15:RQ17)*CELL("contenu",$B$14),COUNTA(RQ19:RQ19)*CELL("contenu",$B$18))=0,1,SUM(COUNTA(RQ5:RQ6)*CELL("contenu",$B$4),COUNTA(RQ8:RQ11)*CELL("contenu",$B$7),COUNTA(RQ13:RQ13)*CELL("contenu",$B$12),COUNTA(RQ15:RQ17)*CELL("contenu",$B$14),COUNTA(RQ19:RQ19)*CELL("contenu",$B$18))))</f>
        <v/>
      </c>
      <c r="RR20" s="184" t="str">
        <f ca="1">IF(COUNTA(RR5:RR19)=0,"",5*SUM(IFERROR((((COUNTIF(RR5:RR6,"A"))*4)+((COUNTIF(RR5:RR6,"B"))*3)+((COUNTIF(RR5:RR6,"C"))*2)+((COUNTIF(RR5:RR6,"D"))*1))*CELL("contenu",$B$4),0),IFERROR((((COUNTIF(RR8:RR11,"A"))*4)+((COUNTIF(RR8:RR11,"B"))*3)+((COUNTIF(RR8:RR11,"C"))*2)+((COUNTIF(RR8:RR11,"D"))*1))*CELL("contenu",$B$7),0),IFERROR((((COUNTIF(RR13:RR13,"A"))*4)+((COUNTIF(RR13:RR13,"B"))*3)+((COUNTIF(RR13:RR13,"C"))*2)+((COUNTIF(RR13:RR13,"D"))*1))*CELL("contenu",$B$12),0),IFERROR((((COUNTIF(RR15:RR17,"A"))*4)+((COUNTIF(RR15:RR17,"B"))*3)+((COUNTIF(RR15:RR17,"C"))*2)+((COUNTIF(RR15:RR17,"D"))*1))*CELL("contenu",$B$14),0),IFERROR((((COUNTIF(RR19:RR19,"A"))*4)+((COUNTIF(RR19:RR19,"B"))*3)+((COUNTIF(RR19:RR19,"C"))*2)+((COUNTIF(RR19:RR19,"D"))*1))*CELL("contenu",$B$18),0))/IF(SUM(COUNTA(RR5:RR6)*CELL("contenu",$B$4),COUNTA(RR8:RR11)*CELL("contenu",$B$7),COUNTA(RR13:RR13)*CELL("contenu",$B$12),COUNTA(RR15:RR17)*CELL("contenu",$B$14),COUNTA(RR19:RR19)*CELL("contenu",$B$18))=0,1,SUM(COUNTA(RR5:RR6)*CELL("contenu",$B$4),COUNTA(RR8:RR11)*CELL("contenu",$B$7),COUNTA(RR13:RR13)*CELL("contenu",$B$12),COUNTA(RR15:RR17)*CELL("contenu",$B$14),COUNTA(RR19:RR19)*CELL("contenu",$B$18))))</f>
        <v/>
      </c>
      <c r="RS20" s="176"/>
      <c r="RT20" s="175" t="str">
        <f ca="1">IF(COUNTA(RP20:RR20)-COUNTBLANK(RP20:RR20)=0,"",SUM(RP20:RR20)/(COUNTA(RP20:RR20)-COUNTBLANK(RP20:RR20)))</f>
        <v/>
      </c>
      <c r="RU20" s="182" t="str">
        <f ca="1">IF(COUNTA(RU5:RU19)=0,"",5*SUM(IFERROR((((COUNTIF(RU5:RU6,"A"))*4)+((COUNTIF(RU5:RU6,"B"))*3)+((COUNTIF(RU5:RU6,"C"))*2)+((COUNTIF(RU5:RU6,"D"))*1))*CELL("contenu",$B$4),0),IFERROR((((COUNTIF(RU8:RU11,"A"))*4)+((COUNTIF(RU8:RU11,"B"))*3)+((COUNTIF(RU8:RU11,"C"))*2)+((COUNTIF(RU8:RU11,"D"))*1))*CELL("contenu",$B$7),0),IFERROR((((COUNTIF(RU13:RU13,"A"))*4)+((COUNTIF(RU13:RU13,"B"))*3)+((COUNTIF(RU13:RU13,"C"))*2)+((COUNTIF(RU13:RU13,"D"))*1))*CELL("contenu",$B$12),0),IFERROR((((COUNTIF(RU15:RU17,"A"))*4)+((COUNTIF(RU15:RU17,"B"))*3)+((COUNTIF(RU15:RU17,"C"))*2)+((COUNTIF(RU15:RU17,"D"))*1))*CELL("contenu",$B$14),0),IFERROR((((COUNTIF(RU19:RU19,"A"))*4)+((COUNTIF(RU19:RU19,"B"))*3)+((COUNTIF(RU19:RU19,"C"))*2)+((COUNTIF(RU19:RU19,"D"))*1))*CELL("contenu",$B$18),0))/IF(SUM(COUNTA(RU5:RU6)*CELL("contenu",$B$4),COUNTA(RU8:RU11)*CELL("contenu",$B$7),COUNTA(RU13:RU13)*CELL("contenu",$B$12),COUNTA(RU15:RU17)*CELL("contenu",$B$14),COUNTA(RU19:RU19)*CELL("contenu",$B$18))=0,1,SUM(COUNTA(RU5:RU6)*CELL("contenu",$B$4),COUNTA(RU8:RU11)*CELL("contenu",$B$7),COUNTA(RU13:RU13)*CELL("contenu",$B$12),COUNTA(RU15:RU17)*CELL("contenu",$B$14),COUNTA(RU19:RU19)*CELL("contenu",$B$18))))</f>
        <v/>
      </c>
      <c r="RV20" s="183" t="str">
        <f ca="1">IF(COUNTA(RV5:RV19)=0,"",5*SUM(IFERROR((((COUNTIF(RV5:RV6,"A"))*4)+((COUNTIF(RV5:RV6,"B"))*3)+((COUNTIF(RV5:RV6,"C"))*2)+((COUNTIF(RV5:RV6,"D"))*1))*CELL("contenu",$B$4),0),IFERROR((((COUNTIF(RV8:RV11,"A"))*4)+((COUNTIF(RV8:RV11,"B"))*3)+((COUNTIF(RV8:RV11,"C"))*2)+((COUNTIF(RV8:RV11,"D"))*1))*CELL("contenu",$B$7),0),IFERROR((((COUNTIF(RV13:RV13,"A"))*4)+((COUNTIF(RV13:RV13,"B"))*3)+((COUNTIF(RV13:RV13,"C"))*2)+((COUNTIF(RV13:RV13,"D"))*1))*CELL("contenu",$B$12),0),IFERROR((((COUNTIF(RV15:RV17,"A"))*4)+((COUNTIF(RV15:RV17,"B"))*3)+((COUNTIF(RV15:RV17,"C"))*2)+((COUNTIF(RV15:RV17,"D"))*1))*CELL("contenu",$B$14),0),IFERROR((((COUNTIF(RV19:RV19,"A"))*4)+((COUNTIF(RV19:RV19,"B"))*3)+((COUNTIF(RV19:RV19,"C"))*2)+((COUNTIF(RV19:RV19,"D"))*1))*CELL("contenu",$B$18),0))/IF(SUM(COUNTA(RV5:RV6)*CELL("contenu",$B$4),COUNTA(RV8:RV11)*CELL("contenu",$B$7),COUNTA(RV13:RV13)*CELL("contenu",$B$12),COUNTA(RV15:RV17)*CELL("contenu",$B$14),COUNTA(RV19:RV19)*CELL("contenu",$B$18))=0,1,SUM(COUNTA(RV5:RV6)*CELL("contenu",$B$4),COUNTA(RV8:RV11)*CELL("contenu",$B$7),COUNTA(RV13:RV13)*CELL("contenu",$B$12),COUNTA(RV15:RV17)*CELL("contenu",$B$14),COUNTA(RV19:RV19)*CELL("contenu",$B$18))))</f>
        <v/>
      </c>
      <c r="RW20" s="184" t="str">
        <f ca="1">IF(COUNTA(RW5:RW19)=0,"",5*SUM(IFERROR((((COUNTIF(RW5:RW6,"A"))*4)+((COUNTIF(RW5:RW6,"B"))*3)+((COUNTIF(RW5:RW6,"C"))*2)+((COUNTIF(RW5:RW6,"D"))*1))*CELL("contenu",$B$4),0),IFERROR((((COUNTIF(RW8:RW11,"A"))*4)+((COUNTIF(RW8:RW11,"B"))*3)+((COUNTIF(RW8:RW11,"C"))*2)+((COUNTIF(RW8:RW11,"D"))*1))*CELL("contenu",$B$7),0),IFERROR((((COUNTIF(RW13:RW13,"A"))*4)+((COUNTIF(RW13:RW13,"B"))*3)+((COUNTIF(RW13:RW13,"C"))*2)+((COUNTIF(RW13:RW13,"D"))*1))*CELL("contenu",$B$12),0),IFERROR((((COUNTIF(RW15:RW17,"A"))*4)+((COUNTIF(RW15:RW17,"B"))*3)+((COUNTIF(RW15:RW17,"C"))*2)+((COUNTIF(RW15:RW17,"D"))*1))*CELL("contenu",$B$14),0),IFERROR((((COUNTIF(RW19:RW19,"A"))*4)+((COUNTIF(RW19:RW19,"B"))*3)+((COUNTIF(RW19:RW19,"C"))*2)+((COUNTIF(RW19:RW19,"D"))*1))*CELL("contenu",$B$18),0))/IF(SUM(COUNTA(RW5:RW6)*CELL("contenu",$B$4),COUNTA(RW8:RW11)*CELL("contenu",$B$7),COUNTA(RW13:RW13)*CELL("contenu",$B$12),COUNTA(RW15:RW17)*CELL("contenu",$B$14),COUNTA(RW19:RW19)*CELL("contenu",$B$18))=0,1,SUM(COUNTA(RW5:RW6)*CELL("contenu",$B$4),COUNTA(RW8:RW11)*CELL("contenu",$B$7),COUNTA(RW13:RW13)*CELL("contenu",$B$12),COUNTA(RW15:RW17)*CELL("contenu",$B$14),COUNTA(RW19:RW19)*CELL("contenu",$B$18))))</f>
        <v/>
      </c>
      <c r="RX20" s="176"/>
      <c r="RY20" s="174" t="str">
        <f ca="1">IF(COUNTA(RU20:RW20)-COUNTBLANK(RU20:RW20)=0,"",SUM(RU20:RW20)/(COUNTA(RU20:RW20)-COUNTBLANK(RU20:RW20)))</f>
        <v/>
      </c>
      <c r="RZ20" s="103"/>
      <c r="SA20" s="141"/>
      <c r="SB20" s="167" t="str">
        <f ca="1">IF(COUNTA(SB5:SB19)=0,"",5*SUM(IFERROR((((COUNTIF(SB5:SB6,"A"))*4)+((COUNTIF(SB5:SB6,"B"))*3)+((COUNTIF(SB5:SB6,"C"))*2)+((COUNTIF(SB5:SB6,"D"))*1))*CELL("contenu",$B$4),0),IFERROR((((COUNTIF(SB8:SB11,"A"))*4)+((COUNTIF(SB8:SB11,"B"))*3)+((COUNTIF(SB8:SB11,"C"))*2)+((COUNTIF(SB8:SB11,"D"))*1))*CELL("contenu",$B$7),0),IFERROR((((COUNTIF(SB13:SB13,"A"))*4)+((COUNTIF(SB13:SB13,"B"))*3)+((COUNTIF(SB13:SB13,"C"))*2)+((COUNTIF(SB13:SB13,"D"))*1))*CELL("contenu",$B$12),0),IFERROR((((COUNTIF(SB15:SB17,"A"))*4)+((COUNTIF(SB15:SB17,"B"))*3)+((COUNTIF(SB15:SB17,"C"))*2)+((COUNTIF(SB15:SB17,"D"))*1))*CELL("contenu",$B$14),0),IFERROR((((COUNTIF(SB19:SB19,"A"))*4)+((COUNTIF(SB19:SB19,"B"))*3)+((COUNTIF(SB19:SB19,"C"))*2)+((COUNTIF(SB19:SB19,"D"))*1))*CELL("contenu",$B$18),0))/IF(SUM(COUNTA(SB5:SB6)*CELL("contenu",$B$4),COUNTA(SB8:SB11)*CELL("contenu",$B$7),COUNTA(SB13:SB13)*CELL("contenu",$B$12),COUNTA(SB15:SB17)*CELL("contenu",$B$14),COUNTA(SB19:SB19)*CELL("contenu",$B$18))=0,1,SUM(COUNTA(SB5:SB6)*CELL("contenu",$B$4),COUNTA(SB8:SB11)*CELL("contenu",$B$7),COUNTA(SB13:SB13)*CELL("contenu",$B$12),COUNTA(SB15:SB17)*CELL("contenu",$B$14),COUNTA(SB19:SB19)*CELL("contenu",$B$18))))</f>
        <v/>
      </c>
      <c r="SC20" s="168" t="str">
        <f ca="1">IF(COUNTA(SC5:SC19)=0,"",5*SUM(IFERROR((((COUNTIF(SC5:SC6,"A"))*4)+((COUNTIF(SC5:SC6,"B"))*3)+((COUNTIF(SC5:SC6,"C"))*2)+((COUNTIF(SC5:SC6,"D"))*1))*CELL("contenu",$B$4),0),IFERROR((((COUNTIF(SC8:SC11,"A"))*4)+((COUNTIF(SC8:SC11,"B"))*3)+((COUNTIF(SC8:SC11,"C"))*2)+((COUNTIF(SC8:SC11,"D"))*1))*CELL("contenu",$B$7),0),IFERROR((((COUNTIF(SC13:SC13,"A"))*4)+((COUNTIF(SC13:SC13,"B"))*3)+((COUNTIF(SC13:SC13,"C"))*2)+((COUNTIF(SC13:SC13,"D"))*1))*CELL("contenu",$B$12),0),IFERROR((((COUNTIF(SC15:SC17,"A"))*4)+((COUNTIF(SC15:SC17,"B"))*3)+((COUNTIF(SC15:SC17,"C"))*2)+((COUNTIF(SC15:SC17,"D"))*1))*CELL("contenu",$B$14),0),IFERROR((((COUNTIF(SC19:SC19,"A"))*4)+((COUNTIF(SC19:SC19,"B"))*3)+((COUNTIF(SC19:SC19,"C"))*2)+((COUNTIF(SC19:SC19,"D"))*1))*CELL("contenu",$B$18),0))/IF(SUM(COUNTA(SC5:SC6)*CELL("contenu",$B$4),COUNTA(SC8:SC11)*CELL("contenu",$B$7),COUNTA(SC13:SC13)*CELL("contenu",$B$12),COUNTA(SC15:SC17)*CELL("contenu",$B$14),COUNTA(SC19:SC19)*CELL("contenu",$B$18))=0,1,SUM(COUNTA(SC5:SC6)*CELL("contenu",$B$4),COUNTA(SC8:SC11)*CELL("contenu",$B$7),COUNTA(SC13:SC13)*CELL("contenu",$B$12),COUNTA(SC15:SC17)*CELL("contenu",$B$14),COUNTA(SC19:SC19)*CELL("contenu",$B$18))))</f>
        <v/>
      </c>
      <c r="SD20" s="169" t="str">
        <f ca="1">IF(COUNTA(SD5:SD19)=0,"",5*SUM(IFERROR((((COUNTIF(SD5:SD6,"A"))*4)+((COUNTIF(SD5:SD6,"B"))*3)+((COUNTIF(SD5:SD6,"C"))*2)+((COUNTIF(SD5:SD6,"D"))*1))*CELL("contenu",$B$4),0),IFERROR((((COUNTIF(SD8:SD11,"A"))*4)+((COUNTIF(SD8:SD11,"B"))*3)+((COUNTIF(SD8:SD11,"C"))*2)+((COUNTIF(SD8:SD11,"D"))*1))*CELL("contenu",$B$7),0),IFERROR((((COUNTIF(SD13:SD13,"A"))*4)+((COUNTIF(SD13:SD13,"B"))*3)+((COUNTIF(SD13:SD13,"C"))*2)+((COUNTIF(SD13:SD13,"D"))*1))*CELL("contenu",$B$12),0),IFERROR((((COUNTIF(SD15:SD17,"A"))*4)+((COUNTIF(SD15:SD17,"B"))*3)+((COUNTIF(SD15:SD17,"C"))*2)+((COUNTIF(SD15:SD17,"D"))*1))*CELL("contenu",$B$14),0),IFERROR((((COUNTIF(SD19:SD19,"A"))*4)+((COUNTIF(SD19:SD19,"B"))*3)+((COUNTIF(SD19:SD19,"C"))*2)+((COUNTIF(SD19:SD19,"D"))*1))*CELL("contenu",$B$18),0))/IF(SUM(COUNTA(SD5:SD6)*CELL("contenu",$B$4),COUNTA(SD8:SD11)*CELL("contenu",$B$7),COUNTA(SD13:SD13)*CELL("contenu",$B$12),COUNTA(SD15:SD17)*CELL("contenu",$B$14),COUNTA(SD19:SD19)*CELL("contenu",$B$18))=0,1,SUM(COUNTA(SD5:SD6)*CELL("contenu",$B$4),COUNTA(SD8:SD11)*CELL("contenu",$B$7),COUNTA(SD13:SD13)*CELL("contenu",$B$12),COUNTA(SD15:SD17)*CELL("contenu",$B$14),COUNTA(SD19:SD19)*CELL("contenu",$B$18))))</f>
        <v/>
      </c>
      <c r="SE20" s="116"/>
      <c r="SF20" s="192" t="str">
        <f ca="1">IF(COUNTA(SB20:SD20)-COUNTBLANK(SB20:SD20)=0,"",SUM(SB20:SD20)/(COUNTA(SB20:SD20)-COUNTBLANK(SB20:SD20)))</f>
        <v/>
      </c>
      <c r="SG20" s="182" t="str">
        <f ca="1">IF(COUNTA(SG5:SG19)=0,"",5*SUM(IFERROR((((COUNTIF(SG5:SG6,"A"))*4)+((COUNTIF(SG5:SG6,"B"))*3)+((COUNTIF(SG5:SG6,"C"))*2)+((COUNTIF(SG5:SG6,"D"))*1))*CELL("contenu",$B$4),0),IFERROR((((COUNTIF(SG8:SG11,"A"))*4)+((COUNTIF(SG8:SG11,"B"))*3)+((COUNTIF(SG8:SG11,"C"))*2)+((COUNTIF(SG8:SG11,"D"))*1))*CELL("contenu",$B$7),0),IFERROR((((COUNTIF(SG13:SG13,"A"))*4)+((COUNTIF(SG13:SG13,"B"))*3)+((COUNTIF(SG13:SG13,"C"))*2)+((COUNTIF(SG13:SG13,"D"))*1))*CELL("contenu",$B$12),0),IFERROR((((COUNTIF(SG15:SG17,"A"))*4)+((COUNTIF(SG15:SG17,"B"))*3)+((COUNTIF(SG15:SG17,"C"))*2)+((COUNTIF(SG15:SG17,"D"))*1))*CELL("contenu",$B$14),0),IFERROR((((COUNTIF(SG19:SG19,"A"))*4)+((COUNTIF(SG19:SG19,"B"))*3)+((COUNTIF(SG19:SG19,"C"))*2)+((COUNTIF(SG19:SG19,"D"))*1))*CELL("contenu",$B$18),0))/IF(SUM(COUNTA(SG5:SG6)*CELL("contenu",$B$4),COUNTA(SG8:SG11)*CELL("contenu",$B$7),COUNTA(SG13:SG13)*CELL("contenu",$B$12),COUNTA(SG15:SG17)*CELL("contenu",$B$14),COUNTA(SG19:SG19)*CELL("contenu",$B$18))=0,1,SUM(COUNTA(SG5:SG6)*CELL("contenu",$B$4),COUNTA(SG8:SG11)*CELL("contenu",$B$7),COUNTA(SG13:SG13)*CELL("contenu",$B$12),COUNTA(SG15:SG17)*CELL("contenu",$B$14),COUNTA(SG19:SG19)*CELL("contenu",$B$18))))</f>
        <v/>
      </c>
      <c r="SH20" s="183" t="str">
        <f ca="1">IF(COUNTA(SH5:SH19)=0,"",5*SUM(IFERROR((((COUNTIF(SH5:SH6,"A"))*4)+((COUNTIF(SH5:SH6,"B"))*3)+((COUNTIF(SH5:SH6,"C"))*2)+((COUNTIF(SH5:SH6,"D"))*1))*CELL("contenu",$B$4),0),IFERROR((((COUNTIF(SH8:SH11,"A"))*4)+((COUNTIF(SH8:SH11,"B"))*3)+((COUNTIF(SH8:SH11,"C"))*2)+((COUNTIF(SH8:SH11,"D"))*1))*CELL("contenu",$B$7),0),IFERROR((((COUNTIF(SH13:SH13,"A"))*4)+((COUNTIF(SH13:SH13,"B"))*3)+((COUNTIF(SH13:SH13,"C"))*2)+((COUNTIF(SH13:SH13,"D"))*1))*CELL("contenu",$B$12),0),IFERROR((((COUNTIF(SH15:SH17,"A"))*4)+((COUNTIF(SH15:SH17,"B"))*3)+((COUNTIF(SH15:SH17,"C"))*2)+((COUNTIF(SH15:SH17,"D"))*1))*CELL("contenu",$B$14),0),IFERROR((((COUNTIF(SH19:SH19,"A"))*4)+((COUNTIF(SH19:SH19,"B"))*3)+((COUNTIF(SH19:SH19,"C"))*2)+((COUNTIF(SH19:SH19,"D"))*1))*CELL("contenu",$B$18),0))/IF(SUM(COUNTA(SH5:SH6)*CELL("contenu",$B$4),COUNTA(SH8:SH11)*CELL("contenu",$B$7),COUNTA(SH13:SH13)*CELL("contenu",$B$12),COUNTA(SH15:SH17)*CELL("contenu",$B$14),COUNTA(SH19:SH19)*CELL("contenu",$B$18))=0,1,SUM(COUNTA(SH5:SH6)*CELL("contenu",$B$4),COUNTA(SH8:SH11)*CELL("contenu",$B$7),COUNTA(SH13:SH13)*CELL("contenu",$B$12),COUNTA(SH15:SH17)*CELL("contenu",$B$14),COUNTA(SH19:SH19)*CELL("contenu",$B$18))))</f>
        <v/>
      </c>
      <c r="SI20" s="184" t="str">
        <f ca="1">IF(COUNTA(SI5:SI19)=0,"",5*SUM(IFERROR((((COUNTIF(SI5:SI6,"A"))*4)+((COUNTIF(SI5:SI6,"B"))*3)+((COUNTIF(SI5:SI6,"C"))*2)+((COUNTIF(SI5:SI6,"D"))*1))*CELL("contenu",$B$4),0),IFERROR((((COUNTIF(SI8:SI11,"A"))*4)+((COUNTIF(SI8:SI11,"B"))*3)+((COUNTIF(SI8:SI11,"C"))*2)+((COUNTIF(SI8:SI11,"D"))*1))*CELL("contenu",$B$7),0),IFERROR((((COUNTIF(SI13:SI13,"A"))*4)+((COUNTIF(SI13:SI13,"B"))*3)+((COUNTIF(SI13:SI13,"C"))*2)+((COUNTIF(SI13:SI13,"D"))*1))*CELL("contenu",$B$12),0),IFERROR((((COUNTIF(SI15:SI17,"A"))*4)+((COUNTIF(SI15:SI17,"B"))*3)+((COUNTIF(SI15:SI17,"C"))*2)+((COUNTIF(SI15:SI17,"D"))*1))*CELL("contenu",$B$14),0),IFERROR((((COUNTIF(SI19:SI19,"A"))*4)+((COUNTIF(SI19:SI19,"B"))*3)+((COUNTIF(SI19:SI19,"C"))*2)+((COUNTIF(SI19:SI19,"D"))*1))*CELL("contenu",$B$18),0))/IF(SUM(COUNTA(SI5:SI6)*CELL("contenu",$B$4),COUNTA(SI8:SI11)*CELL("contenu",$B$7),COUNTA(SI13:SI13)*CELL("contenu",$B$12),COUNTA(SI15:SI17)*CELL("contenu",$B$14),COUNTA(SI19:SI19)*CELL("contenu",$B$18))=0,1,SUM(COUNTA(SI5:SI6)*CELL("contenu",$B$4),COUNTA(SI8:SI11)*CELL("contenu",$B$7),COUNTA(SI13:SI13)*CELL("contenu",$B$12),COUNTA(SI15:SI17)*CELL("contenu",$B$14),COUNTA(SI19:SI19)*CELL("contenu",$B$18))))</f>
        <v/>
      </c>
      <c r="SJ20" s="176"/>
      <c r="SK20" s="175" t="str">
        <f ca="1">IF(COUNTA(SG20:SI20)-COUNTBLANK(SG20:SI20)=0,"",SUM(SG20:SI20)/(COUNTA(SG20:SI20)-COUNTBLANK(SG20:SI20)))</f>
        <v/>
      </c>
      <c r="SL20" s="182" t="str">
        <f ca="1">IF(COUNTA(SL5:SL19)=0,"",5*SUM(IFERROR((((COUNTIF(SL5:SL6,"A"))*4)+((COUNTIF(SL5:SL6,"B"))*3)+((COUNTIF(SL5:SL6,"C"))*2)+((COUNTIF(SL5:SL6,"D"))*1))*CELL("contenu",$B$4),0),IFERROR((((COUNTIF(SL8:SL11,"A"))*4)+((COUNTIF(SL8:SL11,"B"))*3)+((COUNTIF(SL8:SL11,"C"))*2)+((COUNTIF(SL8:SL11,"D"))*1))*CELL("contenu",$B$7),0),IFERROR((((COUNTIF(SL13:SL13,"A"))*4)+((COUNTIF(SL13:SL13,"B"))*3)+((COUNTIF(SL13:SL13,"C"))*2)+((COUNTIF(SL13:SL13,"D"))*1))*CELL("contenu",$B$12),0),IFERROR((((COUNTIF(SL15:SL17,"A"))*4)+((COUNTIF(SL15:SL17,"B"))*3)+((COUNTIF(SL15:SL17,"C"))*2)+((COUNTIF(SL15:SL17,"D"))*1))*CELL("contenu",$B$14),0),IFERROR((((COUNTIF(SL19:SL19,"A"))*4)+((COUNTIF(SL19:SL19,"B"))*3)+((COUNTIF(SL19:SL19,"C"))*2)+((COUNTIF(SL19:SL19,"D"))*1))*CELL("contenu",$B$18),0))/IF(SUM(COUNTA(SL5:SL6)*CELL("contenu",$B$4),COUNTA(SL8:SL11)*CELL("contenu",$B$7),COUNTA(SL13:SL13)*CELL("contenu",$B$12),COUNTA(SL15:SL17)*CELL("contenu",$B$14),COUNTA(SL19:SL19)*CELL("contenu",$B$18))=0,1,SUM(COUNTA(SL5:SL6)*CELL("contenu",$B$4),COUNTA(SL8:SL11)*CELL("contenu",$B$7),COUNTA(SL13:SL13)*CELL("contenu",$B$12),COUNTA(SL15:SL17)*CELL("contenu",$B$14),COUNTA(SL19:SL19)*CELL("contenu",$B$18))))</f>
        <v/>
      </c>
      <c r="SM20" s="183" t="str">
        <f ca="1">IF(COUNTA(SM5:SM19)=0,"",5*SUM(IFERROR((((COUNTIF(SM5:SM6,"A"))*4)+((COUNTIF(SM5:SM6,"B"))*3)+((COUNTIF(SM5:SM6,"C"))*2)+((COUNTIF(SM5:SM6,"D"))*1))*CELL("contenu",$B$4),0),IFERROR((((COUNTIF(SM8:SM11,"A"))*4)+((COUNTIF(SM8:SM11,"B"))*3)+((COUNTIF(SM8:SM11,"C"))*2)+((COUNTIF(SM8:SM11,"D"))*1))*CELL("contenu",$B$7),0),IFERROR((((COUNTIF(SM13:SM13,"A"))*4)+((COUNTIF(SM13:SM13,"B"))*3)+((COUNTIF(SM13:SM13,"C"))*2)+((COUNTIF(SM13:SM13,"D"))*1))*CELL("contenu",$B$12),0),IFERROR((((COUNTIF(SM15:SM17,"A"))*4)+((COUNTIF(SM15:SM17,"B"))*3)+((COUNTIF(SM15:SM17,"C"))*2)+((COUNTIF(SM15:SM17,"D"))*1))*CELL("contenu",$B$14),0),IFERROR((((COUNTIF(SM19:SM19,"A"))*4)+((COUNTIF(SM19:SM19,"B"))*3)+((COUNTIF(SM19:SM19,"C"))*2)+((COUNTIF(SM19:SM19,"D"))*1))*CELL("contenu",$B$18),0))/IF(SUM(COUNTA(SM5:SM6)*CELL("contenu",$B$4),COUNTA(SM8:SM11)*CELL("contenu",$B$7),COUNTA(SM13:SM13)*CELL("contenu",$B$12),COUNTA(SM15:SM17)*CELL("contenu",$B$14),COUNTA(SM19:SM19)*CELL("contenu",$B$18))=0,1,SUM(COUNTA(SM5:SM6)*CELL("contenu",$B$4),COUNTA(SM8:SM11)*CELL("contenu",$B$7),COUNTA(SM13:SM13)*CELL("contenu",$B$12),COUNTA(SM15:SM17)*CELL("contenu",$B$14),COUNTA(SM19:SM19)*CELL("contenu",$B$18))))</f>
        <v/>
      </c>
      <c r="SN20" s="184" t="str">
        <f ca="1">IF(COUNTA(SN5:SN19)=0,"",5*SUM(IFERROR((((COUNTIF(SN5:SN6,"A"))*4)+((COUNTIF(SN5:SN6,"B"))*3)+((COUNTIF(SN5:SN6,"C"))*2)+((COUNTIF(SN5:SN6,"D"))*1))*CELL("contenu",$B$4),0),IFERROR((((COUNTIF(SN8:SN11,"A"))*4)+((COUNTIF(SN8:SN11,"B"))*3)+((COUNTIF(SN8:SN11,"C"))*2)+((COUNTIF(SN8:SN11,"D"))*1))*CELL("contenu",$B$7),0),IFERROR((((COUNTIF(SN13:SN13,"A"))*4)+((COUNTIF(SN13:SN13,"B"))*3)+((COUNTIF(SN13:SN13,"C"))*2)+((COUNTIF(SN13:SN13,"D"))*1))*CELL("contenu",$B$12),0),IFERROR((((COUNTIF(SN15:SN17,"A"))*4)+((COUNTIF(SN15:SN17,"B"))*3)+((COUNTIF(SN15:SN17,"C"))*2)+((COUNTIF(SN15:SN17,"D"))*1))*CELL("contenu",$B$14),0),IFERROR((((COUNTIF(SN19:SN19,"A"))*4)+((COUNTIF(SN19:SN19,"B"))*3)+((COUNTIF(SN19:SN19,"C"))*2)+((COUNTIF(SN19:SN19,"D"))*1))*CELL("contenu",$B$18),0))/IF(SUM(COUNTA(SN5:SN6)*CELL("contenu",$B$4),COUNTA(SN8:SN11)*CELL("contenu",$B$7),COUNTA(SN13:SN13)*CELL("contenu",$B$12),COUNTA(SN15:SN17)*CELL("contenu",$B$14),COUNTA(SN19:SN19)*CELL("contenu",$B$18))=0,1,SUM(COUNTA(SN5:SN6)*CELL("contenu",$B$4),COUNTA(SN8:SN11)*CELL("contenu",$B$7),COUNTA(SN13:SN13)*CELL("contenu",$B$12),COUNTA(SN15:SN17)*CELL("contenu",$B$14),COUNTA(SN19:SN19)*CELL("contenu",$B$18))))</f>
        <v/>
      </c>
      <c r="SO20" s="176"/>
      <c r="SP20" s="174" t="str">
        <f ca="1">IF(COUNTA(SL20:SN20)-COUNTBLANK(SL20:SN20)=0,"",SUM(SL20:SN20)/(COUNTA(SL20:SN20)-COUNTBLANK(SL20:SN20)))</f>
        <v/>
      </c>
      <c r="SQ20" s="103"/>
      <c r="SR20" s="141"/>
    </row>
    <row r="21" spans="1:512" s="142" customFormat="1" ht="16.5" x14ac:dyDescent="0.3">
      <c r="A21" s="170"/>
      <c r="B21" s="170"/>
      <c r="C21" s="199"/>
      <c r="D21" s="199"/>
      <c r="E21" s="199"/>
      <c r="F21" s="170"/>
      <c r="G21" s="170"/>
      <c r="R21" s="143"/>
      <c r="S21" s="143"/>
      <c r="AI21" s="143"/>
      <c r="AJ21" s="143"/>
      <c r="AZ21" s="143"/>
      <c r="BA21" s="143"/>
      <c r="BQ21" s="143"/>
      <c r="BR21" s="143"/>
      <c r="CH21" s="143"/>
      <c r="CI21" s="143"/>
      <c r="CY21" s="143"/>
      <c r="CZ21" s="143"/>
      <c r="DP21" s="143"/>
      <c r="DQ21" s="143"/>
      <c r="EG21" s="143"/>
      <c r="EH21" s="143"/>
      <c r="EX21" s="143"/>
      <c r="EY21" s="143"/>
      <c r="FO21" s="143"/>
      <c r="FP21" s="143"/>
      <c r="GF21" s="143"/>
      <c r="GG21" s="143"/>
      <c r="GW21" s="143"/>
      <c r="GX21" s="143"/>
      <c r="HN21" s="143"/>
      <c r="HO21" s="143"/>
      <c r="IE21" s="143"/>
      <c r="IF21" s="143"/>
      <c r="IV21" s="143"/>
      <c r="IW21" s="143"/>
      <c r="JM21" s="143"/>
      <c r="JN21" s="143"/>
      <c r="KD21" s="143"/>
      <c r="KE21" s="143"/>
      <c r="KU21" s="143"/>
      <c r="KV21" s="143"/>
      <c r="LL21" s="143"/>
      <c r="LM21" s="143"/>
      <c r="MC21" s="143"/>
      <c r="MD21" s="143"/>
      <c r="MT21" s="143"/>
      <c r="MU21" s="143"/>
      <c r="NK21" s="143"/>
      <c r="NL21" s="143"/>
      <c r="OB21" s="143"/>
      <c r="OC21" s="143"/>
      <c r="OS21" s="143"/>
      <c r="OT21" s="143"/>
      <c r="PJ21" s="143"/>
      <c r="PK21" s="143"/>
      <c r="QA21" s="143"/>
      <c r="QB21" s="143"/>
      <c r="QR21" s="143"/>
      <c r="QS21" s="143"/>
      <c r="RI21" s="143"/>
      <c r="RJ21" s="143"/>
      <c r="RZ21" s="143"/>
      <c r="SA21" s="143"/>
      <c r="SQ21" s="143"/>
      <c r="SR21" s="143"/>
    </row>
    <row r="22" spans="1:512" s="144" customFormat="1" ht="16.5" x14ac:dyDescent="0.25">
      <c r="A22" s="171"/>
      <c r="B22" s="171"/>
      <c r="C22" s="200"/>
      <c r="D22" s="200"/>
      <c r="E22" s="200"/>
      <c r="F22" s="172"/>
      <c r="G22" s="173"/>
      <c r="H22" s="201"/>
      <c r="I22" s="201"/>
      <c r="J22" s="201"/>
      <c r="K22" s="143"/>
      <c r="L22" s="143"/>
      <c r="M22" s="201"/>
      <c r="N22" s="201"/>
      <c r="O22" s="201"/>
      <c r="P22" s="143"/>
      <c r="Q22" s="143"/>
      <c r="R22" s="143" t="str">
        <f>IFERROR((((COUNTIF(C5:E6,"A")+COUNTIF(H5:J6,"A")+COUNTIF(M5:O6,"A"))*4)+((COUNTIF(C5:E6,"B")+COUNTIF(H5:J6,"B")+COUNTIF(M5:O6,"B"))*3)+((COUNTIF(C5:E6,"C")+COUNTIF(H5:J6,"C")+COUNTIF(M5:O6,"C"))*2)+((COUNTIF(C5:E6,"D")+COUNTIF(H5:J6,"D")+COUNTIF(M5:O6,"D"))*1))/(COUNTA(C5:E6)+COUNTA(H5:J6)+COUNTA(M5:O6)),"")</f>
        <v/>
      </c>
      <c r="S22" s="143"/>
      <c r="T22" s="102"/>
      <c r="U22" s="102"/>
      <c r="V22" s="102"/>
      <c r="W22" s="102"/>
      <c r="X22" s="143"/>
      <c r="Y22" s="201"/>
      <c r="Z22" s="201"/>
      <c r="AA22" s="201"/>
      <c r="AB22" s="143"/>
      <c r="AC22" s="143"/>
      <c r="AD22" s="201"/>
      <c r="AE22" s="201"/>
      <c r="AF22" s="201"/>
      <c r="AG22" s="143"/>
      <c r="AH22" s="143"/>
      <c r="AI22" s="143"/>
      <c r="AJ22" s="143"/>
      <c r="AK22" s="102"/>
      <c r="AL22" s="102"/>
      <c r="AM22" s="102"/>
      <c r="AN22" s="102"/>
      <c r="AO22" s="143"/>
      <c r="AP22" s="201"/>
      <c r="AQ22" s="201"/>
      <c r="AR22" s="201"/>
      <c r="AS22" s="143"/>
      <c r="AT22" s="143"/>
      <c r="AU22" s="201"/>
      <c r="AV22" s="201"/>
      <c r="AW22" s="201"/>
      <c r="AX22" s="143"/>
      <c r="AY22" s="143"/>
      <c r="AZ22" s="143"/>
      <c r="BA22" s="143"/>
      <c r="BB22" s="102"/>
      <c r="BC22" s="102"/>
      <c r="BD22" s="102"/>
      <c r="BE22" s="102"/>
      <c r="BF22" s="143"/>
      <c r="BG22" s="201"/>
      <c r="BH22" s="201"/>
      <c r="BI22" s="201"/>
      <c r="BJ22" s="143"/>
      <c r="BK22" s="143"/>
      <c r="BL22" s="201"/>
      <c r="BM22" s="201"/>
      <c r="BN22" s="201"/>
      <c r="BO22" s="143"/>
      <c r="BP22" s="143"/>
      <c r="BQ22" s="143"/>
      <c r="BR22" s="143"/>
      <c r="BS22" s="102"/>
      <c r="BT22" s="102"/>
      <c r="BU22" s="102"/>
      <c r="BV22" s="102"/>
      <c r="BW22" s="143"/>
      <c r="BX22" s="201"/>
      <c r="BY22" s="201"/>
      <c r="BZ22" s="201"/>
      <c r="CA22" s="143"/>
      <c r="CB22" s="143"/>
      <c r="CC22" s="201"/>
      <c r="CD22" s="201"/>
      <c r="CE22" s="201"/>
      <c r="CF22" s="143"/>
      <c r="CG22" s="143"/>
      <c r="CH22" s="143"/>
      <c r="CI22" s="143"/>
      <c r="CJ22" s="102"/>
      <c r="CK22" s="102"/>
      <c r="CL22" s="102"/>
      <c r="CM22" s="102"/>
      <c r="CN22" s="143"/>
      <c r="CO22" s="201"/>
      <c r="CP22" s="201"/>
      <c r="CQ22" s="201"/>
      <c r="CR22" s="143"/>
      <c r="CS22" s="143"/>
      <c r="CT22" s="201"/>
      <c r="CU22" s="201"/>
      <c r="CV22" s="201"/>
      <c r="CW22" s="143"/>
      <c r="CX22" s="143"/>
      <c r="CY22" s="143"/>
      <c r="CZ22" s="143"/>
      <c r="DA22" s="102"/>
      <c r="DB22" s="102"/>
      <c r="DC22" s="102"/>
      <c r="DD22" s="102"/>
      <c r="DE22" s="143"/>
      <c r="DF22" s="201"/>
      <c r="DG22" s="201"/>
      <c r="DH22" s="201"/>
      <c r="DI22" s="143"/>
      <c r="DJ22" s="143"/>
      <c r="DK22" s="201"/>
      <c r="DL22" s="201"/>
      <c r="DM22" s="201"/>
      <c r="DN22" s="143"/>
      <c r="DO22" s="143"/>
      <c r="DP22" s="143"/>
      <c r="DQ22" s="143"/>
      <c r="DR22" s="102"/>
      <c r="DS22" s="102"/>
      <c r="DT22" s="102"/>
      <c r="DU22" s="102"/>
      <c r="DV22" s="143"/>
      <c r="DW22" s="201"/>
      <c r="DX22" s="201"/>
      <c r="DY22" s="201"/>
      <c r="DZ22" s="143"/>
      <c r="EA22" s="143"/>
      <c r="EB22" s="201"/>
      <c r="EC22" s="201"/>
      <c r="ED22" s="201"/>
      <c r="EE22" s="143"/>
      <c r="EF22" s="143"/>
      <c r="EG22" s="143"/>
      <c r="EH22" s="143"/>
      <c r="EI22" s="102"/>
      <c r="EJ22" s="102"/>
      <c r="EK22" s="102"/>
      <c r="EL22" s="102"/>
      <c r="EM22" s="143"/>
      <c r="EN22" s="201"/>
      <c r="EO22" s="201"/>
      <c r="EP22" s="201"/>
      <c r="EQ22" s="143"/>
      <c r="ER22" s="143"/>
      <c r="ES22" s="201"/>
      <c r="ET22" s="201"/>
      <c r="EU22" s="201"/>
      <c r="EV22" s="143"/>
      <c r="EW22" s="143"/>
      <c r="EX22" s="143"/>
      <c r="EY22" s="143"/>
      <c r="EZ22" s="102"/>
      <c r="FA22" s="102"/>
      <c r="FB22" s="102"/>
      <c r="FC22" s="102"/>
      <c r="FD22" s="143"/>
      <c r="FE22" s="201"/>
      <c r="FF22" s="201"/>
      <c r="FG22" s="201"/>
      <c r="FH22" s="143"/>
      <c r="FI22" s="143"/>
      <c r="FJ22" s="201"/>
      <c r="FK22" s="201"/>
      <c r="FL22" s="201"/>
      <c r="FM22" s="143"/>
      <c r="FN22" s="143"/>
      <c r="FO22" s="143"/>
      <c r="FP22" s="143"/>
      <c r="FQ22" s="102"/>
      <c r="FR22" s="102"/>
      <c r="FS22" s="102"/>
      <c r="FT22" s="102"/>
      <c r="FU22" s="143"/>
      <c r="FV22" s="201"/>
      <c r="FW22" s="201"/>
      <c r="FX22" s="201"/>
      <c r="FY22" s="143"/>
      <c r="FZ22" s="143"/>
      <c r="GA22" s="201"/>
      <c r="GB22" s="201"/>
      <c r="GC22" s="201"/>
      <c r="GD22" s="143"/>
      <c r="GE22" s="143"/>
      <c r="GF22" s="143"/>
      <c r="GG22" s="143"/>
      <c r="GH22" s="102"/>
      <c r="GI22" s="102"/>
      <c r="GJ22" s="102"/>
      <c r="GK22" s="102"/>
      <c r="GL22" s="143"/>
      <c r="GM22" s="201"/>
      <c r="GN22" s="201"/>
      <c r="GO22" s="201"/>
      <c r="GP22" s="143"/>
      <c r="GQ22" s="143"/>
      <c r="GR22" s="201"/>
      <c r="GS22" s="201"/>
      <c r="GT22" s="201"/>
      <c r="GU22" s="143"/>
      <c r="GV22" s="143"/>
      <c r="GW22" s="143"/>
      <c r="GX22" s="143"/>
      <c r="GY22" s="102"/>
      <c r="GZ22" s="102"/>
      <c r="HA22" s="102"/>
      <c r="HB22" s="102"/>
      <c r="HC22" s="143"/>
      <c r="HD22" s="201"/>
      <c r="HE22" s="201"/>
      <c r="HF22" s="201"/>
      <c r="HG22" s="143"/>
      <c r="HH22" s="143"/>
      <c r="HI22" s="201"/>
      <c r="HJ22" s="201"/>
      <c r="HK22" s="201"/>
      <c r="HL22" s="143"/>
      <c r="HM22" s="143"/>
      <c r="HN22" s="143"/>
      <c r="HO22" s="143"/>
      <c r="HP22" s="102"/>
      <c r="HQ22" s="102"/>
      <c r="HR22" s="102"/>
      <c r="HS22" s="102"/>
      <c r="HT22" s="143"/>
      <c r="HU22" s="201"/>
      <c r="HV22" s="201"/>
      <c r="HW22" s="201"/>
      <c r="HX22" s="143"/>
      <c r="HY22" s="143"/>
      <c r="HZ22" s="201"/>
      <c r="IA22" s="201"/>
      <c r="IB22" s="201"/>
      <c r="IC22" s="143"/>
      <c r="ID22" s="143"/>
      <c r="IE22" s="143"/>
      <c r="IF22" s="143"/>
      <c r="IG22" s="102"/>
      <c r="IH22" s="102"/>
      <c r="II22" s="102"/>
      <c r="IJ22" s="102"/>
      <c r="IK22" s="143"/>
      <c r="IL22" s="201"/>
      <c r="IM22" s="201"/>
      <c r="IN22" s="201"/>
      <c r="IO22" s="143"/>
      <c r="IP22" s="143"/>
      <c r="IQ22" s="201"/>
      <c r="IR22" s="201"/>
      <c r="IS22" s="201"/>
      <c r="IT22" s="143"/>
      <c r="IU22" s="143"/>
      <c r="IV22" s="143"/>
      <c r="IW22" s="143"/>
      <c r="IX22" s="102"/>
      <c r="IY22" s="102"/>
      <c r="IZ22" s="102"/>
      <c r="JA22" s="102"/>
      <c r="JB22" s="143"/>
      <c r="JC22" s="201"/>
      <c r="JD22" s="201"/>
      <c r="JE22" s="201"/>
      <c r="JF22" s="143"/>
      <c r="JG22" s="143"/>
      <c r="JH22" s="201"/>
      <c r="JI22" s="201"/>
      <c r="JJ22" s="201"/>
      <c r="JK22" s="143"/>
      <c r="JL22" s="143"/>
      <c r="JM22" s="143"/>
      <c r="JN22" s="143"/>
      <c r="JO22" s="102"/>
      <c r="JP22" s="102"/>
      <c r="JQ22" s="102"/>
      <c r="JR22" s="102"/>
      <c r="JS22" s="143"/>
      <c r="JT22" s="201"/>
      <c r="JU22" s="201"/>
      <c r="JV22" s="201"/>
      <c r="JW22" s="143"/>
      <c r="JX22" s="143"/>
      <c r="JY22" s="201"/>
      <c r="JZ22" s="201"/>
      <c r="KA22" s="201"/>
      <c r="KB22" s="143"/>
      <c r="KC22" s="143"/>
      <c r="KD22" s="143"/>
      <c r="KE22" s="143"/>
      <c r="KF22" s="102"/>
      <c r="KG22" s="102"/>
      <c r="KH22" s="102"/>
      <c r="KI22" s="102"/>
      <c r="KJ22" s="143"/>
      <c r="KK22" s="201"/>
      <c r="KL22" s="201"/>
      <c r="KM22" s="201"/>
      <c r="KN22" s="143"/>
      <c r="KO22" s="143"/>
      <c r="KP22" s="201"/>
      <c r="KQ22" s="201"/>
      <c r="KR22" s="201"/>
      <c r="KS22" s="143"/>
      <c r="KT22" s="143"/>
      <c r="KU22" s="143"/>
      <c r="KV22" s="143"/>
      <c r="KW22" s="102"/>
      <c r="KX22" s="102"/>
      <c r="KY22" s="102"/>
      <c r="KZ22" s="102"/>
      <c r="LA22" s="143"/>
      <c r="LB22" s="201"/>
      <c r="LC22" s="201"/>
      <c r="LD22" s="201"/>
      <c r="LE22" s="143"/>
      <c r="LF22" s="143"/>
      <c r="LG22" s="201"/>
      <c r="LH22" s="201"/>
      <c r="LI22" s="201"/>
      <c r="LJ22" s="143"/>
      <c r="LK22" s="143"/>
      <c r="LL22" s="143"/>
      <c r="LM22" s="143"/>
      <c r="LN22" s="102"/>
      <c r="LO22" s="102"/>
      <c r="LP22" s="102"/>
      <c r="LQ22" s="102"/>
      <c r="LR22" s="143"/>
      <c r="LS22" s="201"/>
      <c r="LT22" s="201"/>
      <c r="LU22" s="201"/>
      <c r="LV22" s="143"/>
      <c r="LW22" s="143"/>
      <c r="LX22" s="201"/>
      <c r="LY22" s="201"/>
      <c r="LZ22" s="201"/>
      <c r="MA22" s="143"/>
      <c r="MB22" s="143"/>
      <c r="MC22" s="143"/>
      <c r="MD22" s="143"/>
      <c r="ME22" s="102"/>
      <c r="MF22" s="102"/>
      <c r="MG22" s="102"/>
      <c r="MH22" s="102"/>
      <c r="MI22" s="143"/>
      <c r="MJ22" s="201"/>
      <c r="MK22" s="201"/>
      <c r="ML22" s="201"/>
      <c r="MM22" s="143"/>
      <c r="MN22" s="143"/>
      <c r="MO22" s="201"/>
      <c r="MP22" s="201"/>
      <c r="MQ22" s="201"/>
      <c r="MR22" s="143"/>
      <c r="MS22" s="143"/>
      <c r="MT22" s="143"/>
      <c r="MU22" s="143"/>
      <c r="MV22" s="102"/>
      <c r="MW22" s="102"/>
      <c r="MX22" s="102"/>
      <c r="MY22" s="102"/>
      <c r="MZ22" s="143"/>
      <c r="NA22" s="201"/>
      <c r="NB22" s="201"/>
      <c r="NC22" s="201"/>
      <c r="ND22" s="143"/>
      <c r="NE22" s="143"/>
      <c r="NF22" s="201"/>
      <c r="NG22" s="201"/>
      <c r="NH22" s="201"/>
      <c r="NI22" s="143"/>
      <c r="NJ22" s="143"/>
      <c r="NK22" s="143"/>
      <c r="NL22" s="143"/>
      <c r="NM22" s="102"/>
      <c r="NN22" s="102"/>
      <c r="NO22" s="102"/>
      <c r="NP22" s="102"/>
      <c r="NQ22" s="143"/>
      <c r="NR22" s="201"/>
      <c r="NS22" s="201"/>
      <c r="NT22" s="201"/>
      <c r="NU22" s="143"/>
      <c r="NV22" s="143"/>
      <c r="NW22" s="201"/>
      <c r="NX22" s="201"/>
      <c r="NY22" s="201"/>
      <c r="NZ22" s="143"/>
      <c r="OA22" s="143"/>
      <c r="OB22" s="143"/>
      <c r="OC22" s="143"/>
      <c r="OD22" s="102"/>
      <c r="OE22" s="102"/>
      <c r="OF22" s="102"/>
      <c r="OG22" s="102"/>
      <c r="OH22" s="143"/>
      <c r="OI22" s="201"/>
      <c r="OJ22" s="201"/>
      <c r="OK22" s="201"/>
      <c r="OL22" s="143"/>
      <c r="OM22" s="143"/>
      <c r="ON22" s="201"/>
      <c r="OO22" s="201"/>
      <c r="OP22" s="201"/>
      <c r="OQ22" s="143"/>
      <c r="OR22" s="143"/>
      <c r="OS22" s="143"/>
      <c r="OT22" s="143"/>
      <c r="OU22" s="102"/>
      <c r="OV22" s="102"/>
      <c r="OW22" s="102"/>
      <c r="OX22" s="102"/>
      <c r="OY22" s="143"/>
      <c r="OZ22" s="201"/>
      <c r="PA22" s="201"/>
      <c r="PB22" s="201"/>
      <c r="PC22" s="143"/>
      <c r="PD22" s="143"/>
      <c r="PE22" s="201"/>
      <c r="PF22" s="201"/>
      <c r="PG22" s="201"/>
      <c r="PH22" s="143"/>
      <c r="PI22" s="143"/>
      <c r="PJ22" s="143"/>
      <c r="PK22" s="143"/>
      <c r="PL22" s="102"/>
      <c r="PM22" s="102"/>
      <c r="PN22" s="102"/>
      <c r="PO22" s="102"/>
      <c r="PP22" s="143"/>
      <c r="PQ22" s="201"/>
      <c r="PR22" s="201"/>
      <c r="PS22" s="201"/>
      <c r="PT22" s="143"/>
      <c r="PU22" s="143"/>
      <c r="PV22" s="201"/>
      <c r="PW22" s="201"/>
      <c r="PX22" s="201"/>
      <c r="PY22" s="143"/>
      <c r="PZ22" s="143"/>
      <c r="QA22" s="143"/>
      <c r="QB22" s="143"/>
      <c r="QC22" s="102"/>
      <c r="QD22" s="102"/>
      <c r="QE22" s="102"/>
      <c r="QF22" s="102"/>
      <c r="QG22" s="143"/>
      <c r="QH22" s="201"/>
      <c r="QI22" s="201"/>
      <c r="QJ22" s="201"/>
      <c r="QK22" s="143"/>
      <c r="QL22" s="143"/>
      <c r="QM22" s="201"/>
      <c r="QN22" s="201"/>
      <c r="QO22" s="201"/>
      <c r="QP22" s="143"/>
      <c r="QQ22" s="143"/>
      <c r="QR22" s="143"/>
      <c r="QS22" s="143"/>
      <c r="QT22" s="102"/>
      <c r="QU22" s="102"/>
      <c r="QV22" s="102"/>
      <c r="QW22" s="102"/>
      <c r="QX22" s="143"/>
      <c r="QY22" s="201"/>
      <c r="QZ22" s="201"/>
      <c r="RA22" s="201"/>
      <c r="RB22" s="143"/>
      <c r="RC22" s="143"/>
      <c r="RD22" s="201"/>
      <c r="RE22" s="201"/>
      <c r="RF22" s="201"/>
      <c r="RG22" s="143"/>
      <c r="RH22" s="143"/>
      <c r="RI22" s="143"/>
      <c r="RJ22" s="143"/>
      <c r="RK22" s="102"/>
      <c r="RL22" s="102"/>
      <c r="RM22" s="102"/>
      <c r="RN22" s="102"/>
      <c r="RO22" s="143"/>
      <c r="RP22" s="201"/>
      <c r="RQ22" s="201"/>
      <c r="RR22" s="201"/>
      <c r="RS22" s="143"/>
      <c r="RT22" s="143"/>
      <c r="RU22" s="201"/>
      <c r="RV22" s="201"/>
      <c r="RW22" s="201"/>
      <c r="RX22" s="143"/>
      <c r="RY22" s="143"/>
      <c r="RZ22" s="143"/>
      <c r="SA22" s="143"/>
      <c r="SB22" s="102"/>
      <c r="SC22" s="102"/>
      <c r="SD22" s="102"/>
      <c r="SE22" s="102"/>
      <c r="SF22" s="143"/>
      <c r="SG22" s="201"/>
      <c r="SH22" s="201"/>
      <c r="SI22" s="201"/>
      <c r="SJ22" s="143"/>
      <c r="SK22" s="143"/>
      <c r="SL22" s="201"/>
      <c r="SM22" s="201"/>
      <c r="SN22" s="201"/>
      <c r="SO22" s="143"/>
      <c r="SP22" s="143"/>
      <c r="SQ22" s="143"/>
      <c r="SR22" s="143"/>
    </row>
    <row r="23" spans="1:512" s="144" customFormat="1" ht="16.5" x14ac:dyDescent="0.25">
      <c r="A23" s="171"/>
      <c r="B23" s="171"/>
      <c r="C23" s="200"/>
      <c r="D23" s="200"/>
      <c r="E23" s="200"/>
      <c r="F23" s="172"/>
      <c r="G23" s="173"/>
      <c r="H23" s="201"/>
      <c r="I23" s="201"/>
      <c r="J23" s="201"/>
      <c r="K23" s="143"/>
      <c r="L23" s="143"/>
      <c r="M23" s="201"/>
      <c r="N23" s="201"/>
      <c r="O23" s="201"/>
      <c r="P23" s="143"/>
      <c r="Q23" s="143"/>
      <c r="R23" s="143"/>
      <c r="S23" s="143"/>
      <c r="T23" s="102"/>
      <c r="U23" s="102"/>
      <c r="V23" s="102"/>
      <c r="W23" s="102"/>
      <c r="X23" s="143"/>
      <c r="Y23" s="201"/>
      <c r="Z23" s="201"/>
      <c r="AA23" s="201"/>
      <c r="AB23" s="143"/>
      <c r="AC23" s="143"/>
      <c r="AD23" s="201"/>
      <c r="AE23" s="201"/>
      <c r="AF23" s="201"/>
      <c r="AG23" s="143"/>
      <c r="AH23" s="143"/>
      <c r="AI23" s="143"/>
      <c r="AJ23" s="143"/>
      <c r="AK23" s="102"/>
      <c r="AL23" s="102"/>
      <c r="AM23" s="102"/>
      <c r="AN23" s="102"/>
      <c r="AO23" s="143"/>
      <c r="AP23" s="201"/>
      <c r="AQ23" s="201"/>
      <c r="AR23" s="201"/>
      <c r="AS23" s="143"/>
      <c r="AT23" s="143"/>
      <c r="AU23" s="201"/>
      <c r="AV23" s="201"/>
      <c r="AW23" s="201"/>
      <c r="AX23" s="143"/>
      <c r="AY23" s="143"/>
      <c r="AZ23" s="143"/>
      <c r="BA23" s="143"/>
      <c r="BB23" s="102"/>
      <c r="BC23" s="102"/>
      <c r="BD23" s="102"/>
      <c r="BE23" s="102"/>
      <c r="BF23" s="143"/>
      <c r="BG23" s="201"/>
      <c r="BH23" s="201"/>
      <c r="BI23" s="201"/>
      <c r="BJ23" s="143"/>
      <c r="BK23" s="143"/>
      <c r="BL23" s="201"/>
      <c r="BM23" s="201"/>
      <c r="BN23" s="201"/>
      <c r="BO23" s="143"/>
      <c r="BP23" s="143"/>
      <c r="BQ23" s="143"/>
      <c r="BR23" s="143"/>
      <c r="BS23" s="102"/>
      <c r="BT23" s="102"/>
      <c r="BU23" s="102"/>
      <c r="BV23" s="102"/>
      <c r="BW23" s="143"/>
      <c r="BX23" s="201"/>
      <c r="BY23" s="201"/>
      <c r="BZ23" s="201"/>
      <c r="CA23" s="143"/>
      <c r="CB23" s="143"/>
      <c r="CC23" s="201"/>
      <c r="CD23" s="201"/>
      <c r="CE23" s="201"/>
      <c r="CF23" s="143"/>
      <c r="CG23" s="143"/>
      <c r="CH23" s="143"/>
      <c r="CI23" s="143"/>
      <c r="CJ23" s="102"/>
      <c r="CK23" s="102"/>
      <c r="CL23" s="102"/>
      <c r="CM23" s="102"/>
      <c r="CN23" s="143"/>
      <c r="CO23" s="201"/>
      <c r="CP23" s="201"/>
      <c r="CQ23" s="201"/>
      <c r="CR23" s="143"/>
      <c r="CS23" s="143"/>
      <c r="CT23" s="201"/>
      <c r="CU23" s="201"/>
      <c r="CV23" s="201"/>
      <c r="CW23" s="143"/>
      <c r="CX23" s="143"/>
      <c r="CY23" s="143"/>
      <c r="CZ23" s="143"/>
      <c r="DA23" s="102"/>
      <c r="DB23" s="102"/>
      <c r="DC23" s="102"/>
      <c r="DD23" s="102"/>
      <c r="DE23" s="143"/>
      <c r="DF23" s="201"/>
      <c r="DG23" s="201"/>
      <c r="DH23" s="201"/>
      <c r="DI23" s="143"/>
      <c r="DJ23" s="143"/>
      <c r="DK23" s="201"/>
      <c r="DL23" s="201"/>
      <c r="DM23" s="201"/>
      <c r="DN23" s="143"/>
      <c r="DO23" s="143"/>
      <c r="DP23" s="143"/>
      <c r="DQ23" s="143"/>
      <c r="DR23" s="102"/>
      <c r="DS23" s="102"/>
      <c r="DT23" s="102"/>
      <c r="DU23" s="102"/>
      <c r="DV23" s="143"/>
      <c r="DW23" s="201"/>
      <c r="DX23" s="201"/>
      <c r="DY23" s="201"/>
      <c r="DZ23" s="143"/>
      <c r="EA23" s="143"/>
      <c r="EB23" s="201"/>
      <c r="EC23" s="201"/>
      <c r="ED23" s="201"/>
      <c r="EE23" s="143"/>
      <c r="EF23" s="143"/>
      <c r="EG23" s="143"/>
      <c r="EH23" s="143"/>
      <c r="EI23" s="102"/>
      <c r="EJ23" s="102"/>
      <c r="EK23" s="102"/>
      <c r="EL23" s="102"/>
      <c r="EM23" s="143"/>
      <c r="EN23" s="201"/>
      <c r="EO23" s="201"/>
      <c r="EP23" s="201"/>
      <c r="EQ23" s="143"/>
      <c r="ER23" s="143"/>
      <c r="ES23" s="201"/>
      <c r="ET23" s="201"/>
      <c r="EU23" s="201"/>
      <c r="EV23" s="143"/>
      <c r="EW23" s="143"/>
      <c r="EX23" s="143"/>
      <c r="EY23" s="143"/>
      <c r="EZ23" s="102"/>
      <c r="FA23" s="102"/>
      <c r="FB23" s="102"/>
      <c r="FC23" s="102"/>
      <c r="FD23" s="143"/>
      <c r="FE23" s="201"/>
      <c r="FF23" s="201"/>
      <c r="FG23" s="201"/>
      <c r="FH23" s="143"/>
      <c r="FI23" s="143"/>
      <c r="FJ23" s="201"/>
      <c r="FK23" s="201"/>
      <c r="FL23" s="201"/>
      <c r="FM23" s="143"/>
      <c r="FN23" s="143"/>
      <c r="FO23" s="143"/>
      <c r="FP23" s="143"/>
      <c r="FQ23" s="102"/>
      <c r="FR23" s="102"/>
      <c r="FS23" s="102"/>
      <c r="FT23" s="102"/>
      <c r="FU23" s="143"/>
      <c r="FV23" s="201"/>
      <c r="FW23" s="201"/>
      <c r="FX23" s="201"/>
      <c r="FY23" s="143"/>
      <c r="FZ23" s="143"/>
      <c r="GA23" s="201"/>
      <c r="GB23" s="201"/>
      <c r="GC23" s="201"/>
      <c r="GD23" s="143"/>
      <c r="GE23" s="143"/>
      <c r="GF23" s="143"/>
      <c r="GG23" s="143"/>
      <c r="GH23" s="102"/>
      <c r="GI23" s="102"/>
      <c r="GJ23" s="102"/>
      <c r="GK23" s="102"/>
      <c r="GL23" s="143"/>
      <c r="GM23" s="201"/>
      <c r="GN23" s="201"/>
      <c r="GO23" s="201"/>
      <c r="GP23" s="143"/>
      <c r="GQ23" s="143"/>
      <c r="GR23" s="201"/>
      <c r="GS23" s="201"/>
      <c r="GT23" s="201"/>
      <c r="GU23" s="143"/>
      <c r="GV23" s="143"/>
      <c r="GW23" s="143"/>
      <c r="GX23" s="143"/>
      <c r="GY23" s="102"/>
      <c r="GZ23" s="102"/>
      <c r="HA23" s="102"/>
      <c r="HB23" s="102"/>
      <c r="HC23" s="143"/>
      <c r="HD23" s="201"/>
      <c r="HE23" s="201"/>
      <c r="HF23" s="201"/>
      <c r="HG23" s="143"/>
      <c r="HH23" s="143"/>
      <c r="HI23" s="201"/>
      <c r="HJ23" s="201"/>
      <c r="HK23" s="201"/>
      <c r="HL23" s="143"/>
      <c r="HM23" s="143"/>
      <c r="HN23" s="143"/>
      <c r="HO23" s="143"/>
      <c r="HP23" s="102"/>
      <c r="HQ23" s="102"/>
      <c r="HR23" s="102"/>
      <c r="HS23" s="102"/>
      <c r="HT23" s="143"/>
      <c r="HU23" s="201"/>
      <c r="HV23" s="201"/>
      <c r="HW23" s="201"/>
      <c r="HX23" s="143"/>
      <c r="HY23" s="143"/>
      <c r="HZ23" s="201"/>
      <c r="IA23" s="201"/>
      <c r="IB23" s="201"/>
      <c r="IC23" s="143"/>
      <c r="ID23" s="143"/>
      <c r="IE23" s="143"/>
      <c r="IF23" s="143"/>
      <c r="IG23" s="102"/>
      <c r="IH23" s="102"/>
      <c r="II23" s="102"/>
      <c r="IJ23" s="102"/>
      <c r="IK23" s="143"/>
      <c r="IL23" s="201"/>
      <c r="IM23" s="201"/>
      <c r="IN23" s="201"/>
      <c r="IO23" s="143"/>
      <c r="IP23" s="143"/>
      <c r="IQ23" s="201"/>
      <c r="IR23" s="201"/>
      <c r="IS23" s="201"/>
      <c r="IT23" s="143"/>
      <c r="IU23" s="143"/>
      <c r="IV23" s="143"/>
      <c r="IW23" s="143"/>
      <c r="IX23" s="102"/>
      <c r="IY23" s="102"/>
      <c r="IZ23" s="102"/>
      <c r="JA23" s="102"/>
      <c r="JB23" s="143"/>
      <c r="JC23" s="201"/>
      <c r="JD23" s="201"/>
      <c r="JE23" s="201"/>
      <c r="JF23" s="143"/>
      <c r="JG23" s="143"/>
      <c r="JH23" s="201"/>
      <c r="JI23" s="201"/>
      <c r="JJ23" s="201"/>
      <c r="JK23" s="143"/>
      <c r="JL23" s="143"/>
      <c r="JM23" s="143"/>
      <c r="JN23" s="143"/>
      <c r="JO23" s="102"/>
      <c r="JP23" s="102"/>
      <c r="JQ23" s="102"/>
      <c r="JR23" s="102"/>
      <c r="JS23" s="143"/>
      <c r="JT23" s="201"/>
      <c r="JU23" s="201"/>
      <c r="JV23" s="201"/>
      <c r="JW23" s="143"/>
      <c r="JX23" s="143"/>
      <c r="JY23" s="201"/>
      <c r="JZ23" s="201"/>
      <c r="KA23" s="201"/>
      <c r="KB23" s="143"/>
      <c r="KC23" s="143"/>
      <c r="KD23" s="143"/>
      <c r="KE23" s="143"/>
      <c r="KF23" s="102"/>
      <c r="KG23" s="102"/>
      <c r="KH23" s="102"/>
      <c r="KI23" s="102"/>
      <c r="KJ23" s="143"/>
      <c r="KK23" s="201"/>
      <c r="KL23" s="201"/>
      <c r="KM23" s="201"/>
      <c r="KN23" s="143"/>
      <c r="KO23" s="143"/>
      <c r="KP23" s="201"/>
      <c r="KQ23" s="201"/>
      <c r="KR23" s="201"/>
      <c r="KS23" s="143"/>
      <c r="KT23" s="143"/>
      <c r="KU23" s="143"/>
      <c r="KV23" s="143"/>
      <c r="KW23" s="102"/>
      <c r="KX23" s="102"/>
      <c r="KY23" s="102"/>
      <c r="KZ23" s="102"/>
      <c r="LA23" s="143"/>
      <c r="LB23" s="201"/>
      <c r="LC23" s="201"/>
      <c r="LD23" s="201"/>
      <c r="LE23" s="143"/>
      <c r="LF23" s="143"/>
      <c r="LG23" s="201"/>
      <c r="LH23" s="201"/>
      <c r="LI23" s="201"/>
      <c r="LJ23" s="143"/>
      <c r="LK23" s="143"/>
      <c r="LL23" s="143"/>
      <c r="LM23" s="143"/>
      <c r="LN23" s="102"/>
      <c r="LO23" s="102"/>
      <c r="LP23" s="102"/>
      <c r="LQ23" s="102"/>
      <c r="LR23" s="143"/>
      <c r="LS23" s="201"/>
      <c r="LT23" s="201"/>
      <c r="LU23" s="201"/>
      <c r="LV23" s="143"/>
      <c r="LW23" s="143"/>
      <c r="LX23" s="201"/>
      <c r="LY23" s="201"/>
      <c r="LZ23" s="201"/>
      <c r="MA23" s="143"/>
      <c r="MB23" s="143"/>
      <c r="MC23" s="143"/>
      <c r="MD23" s="143"/>
      <c r="ME23" s="102"/>
      <c r="MF23" s="102"/>
      <c r="MG23" s="102"/>
      <c r="MH23" s="102"/>
      <c r="MI23" s="143"/>
      <c r="MJ23" s="201"/>
      <c r="MK23" s="201"/>
      <c r="ML23" s="201"/>
      <c r="MM23" s="143"/>
      <c r="MN23" s="143"/>
      <c r="MO23" s="201"/>
      <c r="MP23" s="201"/>
      <c r="MQ23" s="201"/>
      <c r="MR23" s="143"/>
      <c r="MS23" s="143"/>
      <c r="MT23" s="143"/>
      <c r="MU23" s="143"/>
      <c r="MV23" s="102"/>
      <c r="MW23" s="102"/>
      <c r="MX23" s="102"/>
      <c r="MY23" s="102"/>
      <c r="MZ23" s="143"/>
      <c r="NA23" s="201"/>
      <c r="NB23" s="201"/>
      <c r="NC23" s="201"/>
      <c r="ND23" s="143"/>
      <c r="NE23" s="143"/>
      <c r="NF23" s="201"/>
      <c r="NG23" s="201"/>
      <c r="NH23" s="201"/>
      <c r="NI23" s="143"/>
      <c r="NJ23" s="143"/>
      <c r="NK23" s="143"/>
      <c r="NL23" s="143"/>
      <c r="NM23" s="102"/>
      <c r="NN23" s="102"/>
      <c r="NO23" s="102"/>
      <c r="NP23" s="102"/>
      <c r="NQ23" s="143"/>
      <c r="NR23" s="201"/>
      <c r="NS23" s="201"/>
      <c r="NT23" s="201"/>
      <c r="NU23" s="143"/>
      <c r="NV23" s="143"/>
      <c r="NW23" s="201"/>
      <c r="NX23" s="201"/>
      <c r="NY23" s="201"/>
      <c r="NZ23" s="143"/>
      <c r="OA23" s="143"/>
      <c r="OB23" s="143"/>
      <c r="OC23" s="143"/>
      <c r="OD23" s="102"/>
      <c r="OE23" s="102"/>
      <c r="OF23" s="102"/>
      <c r="OG23" s="102"/>
      <c r="OH23" s="143"/>
      <c r="OI23" s="201"/>
      <c r="OJ23" s="201"/>
      <c r="OK23" s="201"/>
      <c r="OL23" s="143"/>
      <c r="OM23" s="143"/>
      <c r="ON23" s="201"/>
      <c r="OO23" s="201"/>
      <c r="OP23" s="201"/>
      <c r="OQ23" s="143"/>
      <c r="OR23" s="143"/>
      <c r="OS23" s="143"/>
      <c r="OT23" s="143"/>
      <c r="OU23" s="102"/>
      <c r="OV23" s="102"/>
      <c r="OW23" s="102"/>
      <c r="OX23" s="102"/>
      <c r="OY23" s="143"/>
      <c r="OZ23" s="201"/>
      <c r="PA23" s="201"/>
      <c r="PB23" s="201"/>
      <c r="PC23" s="143"/>
      <c r="PD23" s="143"/>
      <c r="PE23" s="201"/>
      <c r="PF23" s="201"/>
      <c r="PG23" s="201"/>
      <c r="PH23" s="143"/>
      <c r="PI23" s="143"/>
      <c r="PJ23" s="143"/>
      <c r="PK23" s="143"/>
      <c r="PL23" s="102"/>
      <c r="PM23" s="102"/>
      <c r="PN23" s="102"/>
      <c r="PO23" s="102"/>
      <c r="PP23" s="143"/>
      <c r="PQ23" s="201"/>
      <c r="PR23" s="201"/>
      <c r="PS23" s="201"/>
      <c r="PT23" s="143"/>
      <c r="PU23" s="143"/>
      <c r="PV23" s="201"/>
      <c r="PW23" s="201"/>
      <c r="PX23" s="201"/>
      <c r="PY23" s="143"/>
      <c r="PZ23" s="143"/>
      <c r="QA23" s="143"/>
      <c r="QB23" s="143"/>
      <c r="QC23" s="102"/>
      <c r="QD23" s="102"/>
      <c r="QE23" s="102"/>
      <c r="QF23" s="102"/>
      <c r="QG23" s="143"/>
      <c r="QH23" s="201"/>
      <c r="QI23" s="201"/>
      <c r="QJ23" s="201"/>
      <c r="QK23" s="143"/>
      <c r="QL23" s="143"/>
      <c r="QM23" s="201"/>
      <c r="QN23" s="201"/>
      <c r="QO23" s="201"/>
      <c r="QP23" s="143"/>
      <c r="QQ23" s="143"/>
      <c r="QR23" s="143"/>
      <c r="QS23" s="143"/>
      <c r="QT23" s="102"/>
      <c r="QU23" s="102"/>
      <c r="QV23" s="102"/>
      <c r="QW23" s="102"/>
      <c r="QX23" s="143"/>
      <c r="QY23" s="201"/>
      <c r="QZ23" s="201"/>
      <c r="RA23" s="201"/>
      <c r="RB23" s="143"/>
      <c r="RC23" s="143"/>
      <c r="RD23" s="201"/>
      <c r="RE23" s="201"/>
      <c r="RF23" s="201"/>
      <c r="RG23" s="143"/>
      <c r="RH23" s="143"/>
      <c r="RI23" s="143"/>
      <c r="RJ23" s="143"/>
      <c r="RK23" s="102"/>
      <c r="RL23" s="102"/>
      <c r="RM23" s="102"/>
      <c r="RN23" s="102"/>
      <c r="RO23" s="143"/>
      <c r="RP23" s="201"/>
      <c r="RQ23" s="201"/>
      <c r="RR23" s="201"/>
      <c r="RS23" s="143"/>
      <c r="RT23" s="143"/>
      <c r="RU23" s="201"/>
      <c r="RV23" s="201"/>
      <c r="RW23" s="201"/>
      <c r="RX23" s="143"/>
      <c r="RY23" s="143"/>
      <c r="RZ23" s="143"/>
      <c r="SA23" s="143"/>
      <c r="SB23" s="102"/>
      <c r="SC23" s="102"/>
      <c r="SD23" s="102"/>
      <c r="SE23" s="102"/>
      <c r="SF23" s="143"/>
      <c r="SG23" s="201"/>
      <c r="SH23" s="201"/>
      <c r="SI23" s="201"/>
      <c r="SJ23" s="143"/>
      <c r="SK23" s="143"/>
      <c r="SL23" s="201"/>
      <c r="SM23" s="201"/>
      <c r="SN23" s="201"/>
      <c r="SO23" s="143"/>
      <c r="SP23" s="143"/>
      <c r="SQ23" s="143"/>
      <c r="SR23" s="143"/>
    </row>
    <row r="24" spans="1:512" s="144" customFormat="1" ht="16.5" x14ac:dyDescent="0.25">
      <c r="C24" s="191"/>
      <c r="D24" s="191"/>
      <c r="E24" s="191"/>
      <c r="F24" s="102"/>
      <c r="G24" s="143"/>
      <c r="H24" s="201"/>
      <c r="I24" s="201"/>
      <c r="J24" s="201"/>
      <c r="K24" s="143"/>
      <c r="L24" s="143"/>
      <c r="M24" s="201"/>
      <c r="N24" s="201"/>
      <c r="O24" s="201"/>
      <c r="P24" s="143"/>
      <c r="Q24" s="143"/>
      <c r="R24" s="143"/>
      <c r="S24" s="143"/>
      <c r="T24" s="102"/>
      <c r="U24" s="102"/>
      <c r="V24" s="102"/>
      <c r="W24" s="102"/>
      <c r="X24" s="143"/>
      <c r="Y24" s="201"/>
      <c r="Z24" s="201"/>
      <c r="AA24" s="201"/>
      <c r="AB24" s="143"/>
      <c r="AC24" s="143"/>
      <c r="AD24" s="201"/>
      <c r="AE24" s="201"/>
      <c r="AF24" s="201"/>
      <c r="AG24" s="143"/>
      <c r="AH24" s="143"/>
      <c r="AI24" s="143"/>
      <c r="AJ24" s="143"/>
      <c r="AK24" s="102"/>
      <c r="AL24" s="102"/>
      <c r="AM24" s="102"/>
      <c r="AN24" s="102"/>
      <c r="AO24" s="143"/>
      <c r="AP24" s="201"/>
      <c r="AQ24" s="201"/>
      <c r="AR24" s="201"/>
      <c r="AS24" s="143"/>
      <c r="AT24" s="143"/>
      <c r="AU24" s="201"/>
      <c r="AV24" s="201"/>
      <c r="AW24" s="201"/>
      <c r="AX24" s="143"/>
      <c r="AY24" s="143"/>
      <c r="AZ24" s="143"/>
      <c r="BA24" s="143"/>
      <c r="BB24" s="102"/>
      <c r="BC24" s="102"/>
      <c r="BD24" s="102"/>
      <c r="BE24" s="102"/>
      <c r="BF24" s="143"/>
      <c r="BG24" s="201"/>
      <c r="BH24" s="201"/>
      <c r="BI24" s="201"/>
      <c r="BJ24" s="143"/>
      <c r="BK24" s="143"/>
      <c r="BL24" s="201"/>
      <c r="BM24" s="201"/>
      <c r="BN24" s="201"/>
      <c r="BO24" s="143"/>
      <c r="BP24" s="143"/>
      <c r="BQ24" s="143"/>
      <c r="BR24" s="143"/>
      <c r="BS24" s="102"/>
      <c r="BT24" s="102"/>
      <c r="BU24" s="102"/>
      <c r="BV24" s="102"/>
      <c r="BW24" s="143"/>
      <c r="BX24" s="201"/>
      <c r="BY24" s="201"/>
      <c r="BZ24" s="201"/>
      <c r="CA24" s="143"/>
      <c r="CB24" s="143"/>
      <c r="CC24" s="201"/>
      <c r="CD24" s="201"/>
      <c r="CE24" s="201"/>
      <c r="CF24" s="143"/>
      <c r="CG24" s="143"/>
      <c r="CH24" s="143"/>
      <c r="CI24" s="143"/>
      <c r="CJ24" s="102"/>
      <c r="CK24" s="102"/>
      <c r="CL24" s="102"/>
      <c r="CM24" s="102"/>
      <c r="CN24" s="143"/>
      <c r="CO24" s="201"/>
      <c r="CP24" s="201"/>
      <c r="CQ24" s="201"/>
      <c r="CR24" s="143"/>
      <c r="CS24" s="143"/>
      <c r="CT24" s="201"/>
      <c r="CU24" s="201"/>
      <c r="CV24" s="201"/>
      <c r="CW24" s="143"/>
      <c r="CX24" s="143"/>
      <c r="CY24" s="143"/>
      <c r="CZ24" s="143"/>
      <c r="DA24" s="102"/>
      <c r="DB24" s="102"/>
      <c r="DC24" s="102"/>
      <c r="DD24" s="102"/>
      <c r="DE24" s="143"/>
      <c r="DF24" s="201"/>
      <c r="DG24" s="201"/>
      <c r="DH24" s="201"/>
      <c r="DI24" s="143"/>
      <c r="DJ24" s="143"/>
      <c r="DK24" s="201"/>
      <c r="DL24" s="201"/>
      <c r="DM24" s="201"/>
      <c r="DN24" s="143"/>
      <c r="DO24" s="143"/>
      <c r="DP24" s="143"/>
      <c r="DQ24" s="143"/>
      <c r="DR24" s="102"/>
      <c r="DS24" s="102"/>
      <c r="DT24" s="102"/>
      <c r="DU24" s="102"/>
      <c r="DV24" s="143"/>
      <c r="DW24" s="201"/>
      <c r="DX24" s="201"/>
      <c r="DY24" s="201"/>
      <c r="DZ24" s="143"/>
      <c r="EA24" s="143"/>
      <c r="EB24" s="201"/>
      <c r="EC24" s="201"/>
      <c r="ED24" s="201"/>
      <c r="EE24" s="143"/>
      <c r="EF24" s="143"/>
      <c r="EG24" s="143"/>
      <c r="EH24" s="143"/>
      <c r="EI24" s="102"/>
      <c r="EJ24" s="102"/>
      <c r="EK24" s="102"/>
      <c r="EL24" s="102"/>
      <c r="EM24" s="143"/>
      <c r="EN24" s="201"/>
      <c r="EO24" s="201"/>
      <c r="EP24" s="201"/>
      <c r="EQ24" s="143"/>
      <c r="ER24" s="143"/>
      <c r="ES24" s="201"/>
      <c r="ET24" s="201"/>
      <c r="EU24" s="201"/>
      <c r="EV24" s="143"/>
      <c r="EW24" s="143"/>
      <c r="EX24" s="143"/>
      <c r="EY24" s="143"/>
      <c r="EZ24" s="102"/>
      <c r="FA24" s="102"/>
      <c r="FB24" s="102"/>
      <c r="FC24" s="102"/>
      <c r="FD24" s="143"/>
      <c r="FE24" s="201"/>
      <c r="FF24" s="201"/>
      <c r="FG24" s="201"/>
      <c r="FH24" s="143"/>
      <c r="FI24" s="143"/>
      <c r="FJ24" s="201"/>
      <c r="FK24" s="201"/>
      <c r="FL24" s="201"/>
      <c r="FM24" s="143"/>
      <c r="FN24" s="143"/>
      <c r="FO24" s="143"/>
      <c r="FP24" s="143"/>
      <c r="FQ24" s="102"/>
      <c r="FR24" s="102"/>
      <c r="FS24" s="102"/>
      <c r="FT24" s="102"/>
      <c r="FU24" s="143"/>
      <c r="FV24" s="201"/>
      <c r="FW24" s="201"/>
      <c r="FX24" s="201"/>
      <c r="FY24" s="143"/>
      <c r="FZ24" s="143"/>
      <c r="GA24" s="201"/>
      <c r="GB24" s="201"/>
      <c r="GC24" s="201"/>
      <c r="GD24" s="143"/>
      <c r="GE24" s="143"/>
      <c r="GF24" s="143"/>
      <c r="GG24" s="143"/>
      <c r="GH24" s="102"/>
      <c r="GI24" s="102"/>
      <c r="GJ24" s="102"/>
      <c r="GK24" s="102"/>
      <c r="GL24" s="143"/>
      <c r="GM24" s="201"/>
      <c r="GN24" s="201"/>
      <c r="GO24" s="201"/>
      <c r="GP24" s="143"/>
      <c r="GQ24" s="143"/>
      <c r="GR24" s="201"/>
      <c r="GS24" s="201"/>
      <c r="GT24" s="201"/>
      <c r="GU24" s="143"/>
      <c r="GV24" s="143"/>
      <c r="GW24" s="143"/>
      <c r="GX24" s="143"/>
      <c r="GY24" s="102"/>
      <c r="GZ24" s="102"/>
      <c r="HA24" s="102"/>
      <c r="HB24" s="102"/>
      <c r="HC24" s="143"/>
      <c r="HD24" s="201"/>
      <c r="HE24" s="201"/>
      <c r="HF24" s="201"/>
      <c r="HG24" s="143"/>
      <c r="HH24" s="143"/>
      <c r="HI24" s="201"/>
      <c r="HJ24" s="201"/>
      <c r="HK24" s="201"/>
      <c r="HL24" s="143"/>
      <c r="HM24" s="143"/>
      <c r="HN24" s="143"/>
      <c r="HO24" s="143"/>
      <c r="HP24" s="102"/>
      <c r="HQ24" s="102"/>
      <c r="HR24" s="102"/>
      <c r="HS24" s="102"/>
      <c r="HT24" s="143"/>
      <c r="HU24" s="201"/>
      <c r="HV24" s="201"/>
      <c r="HW24" s="201"/>
      <c r="HX24" s="143"/>
      <c r="HY24" s="143"/>
      <c r="HZ24" s="201"/>
      <c r="IA24" s="201"/>
      <c r="IB24" s="201"/>
      <c r="IC24" s="143"/>
      <c r="ID24" s="143"/>
      <c r="IE24" s="143"/>
      <c r="IF24" s="143"/>
      <c r="IG24" s="102"/>
      <c r="IH24" s="102"/>
      <c r="II24" s="102"/>
      <c r="IJ24" s="102"/>
      <c r="IK24" s="143"/>
      <c r="IL24" s="201"/>
      <c r="IM24" s="201"/>
      <c r="IN24" s="201"/>
      <c r="IO24" s="143"/>
      <c r="IP24" s="143"/>
      <c r="IQ24" s="201"/>
      <c r="IR24" s="201"/>
      <c r="IS24" s="201"/>
      <c r="IT24" s="143"/>
      <c r="IU24" s="143"/>
      <c r="IV24" s="143"/>
      <c r="IW24" s="143"/>
      <c r="IX24" s="102"/>
      <c r="IY24" s="102"/>
      <c r="IZ24" s="102"/>
      <c r="JA24" s="102"/>
      <c r="JB24" s="143"/>
      <c r="JC24" s="201"/>
      <c r="JD24" s="201"/>
      <c r="JE24" s="201"/>
      <c r="JF24" s="143"/>
      <c r="JG24" s="143"/>
      <c r="JH24" s="201"/>
      <c r="JI24" s="201"/>
      <c r="JJ24" s="201"/>
      <c r="JK24" s="143"/>
      <c r="JL24" s="143"/>
      <c r="JM24" s="143"/>
      <c r="JN24" s="143"/>
      <c r="JO24" s="102"/>
      <c r="JP24" s="102"/>
      <c r="JQ24" s="102"/>
      <c r="JR24" s="102"/>
      <c r="JS24" s="143"/>
      <c r="JT24" s="201"/>
      <c r="JU24" s="201"/>
      <c r="JV24" s="201"/>
      <c r="JW24" s="143"/>
      <c r="JX24" s="143"/>
      <c r="JY24" s="201"/>
      <c r="JZ24" s="201"/>
      <c r="KA24" s="201"/>
      <c r="KB24" s="143"/>
      <c r="KC24" s="143"/>
      <c r="KD24" s="143"/>
      <c r="KE24" s="143"/>
      <c r="KF24" s="102"/>
      <c r="KG24" s="102"/>
      <c r="KH24" s="102"/>
      <c r="KI24" s="102"/>
      <c r="KJ24" s="143"/>
      <c r="KK24" s="201"/>
      <c r="KL24" s="201"/>
      <c r="KM24" s="201"/>
      <c r="KN24" s="143"/>
      <c r="KO24" s="143"/>
      <c r="KP24" s="201"/>
      <c r="KQ24" s="201"/>
      <c r="KR24" s="201"/>
      <c r="KS24" s="143"/>
      <c r="KT24" s="143"/>
      <c r="KU24" s="143"/>
      <c r="KV24" s="143"/>
      <c r="KW24" s="102"/>
      <c r="KX24" s="102"/>
      <c r="KY24" s="102"/>
      <c r="KZ24" s="102"/>
      <c r="LA24" s="143"/>
      <c r="LB24" s="201"/>
      <c r="LC24" s="201"/>
      <c r="LD24" s="201"/>
      <c r="LE24" s="143"/>
      <c r="LF24" s="143"/>
      <c r="LG24" s="201"/>
      <c r="LH24" s="201"/>
      <c r="LI24" s="201"/>
      <c r="LJ24" s="143"/>
      <c r="LK24" s="143"/>
      <c r="LL24" s="143"/>
      <c r="LM24" s="143"/>
      <c r="LN24" s="102"/>
      <c r="LO24" s="102"/>
      <c r="LP24" s="102"/>
      <c r="LQ24" s="102"/>
      <c r="LR24" s="143"/>
      <c r="LS24" s="201"/>
      <c r="LT24" s="201"/>
      <c r="LU24" s="201"/>
      <c r="LV24" s="143"/>
      <c r="LW24" s="143"/>
      <c r="LX24" s="201"/>
      <c r="LY24" s="201"/>
      <c r="LZ24" s="201"/>
      <c r="MA24" s="143"/>
      <c r="MB24" s="143"/>
      <c r="MC24" s="143"/>
      <c r="MD24" s="143"/>
      <c r="ME24" s="102"/>
      <c r="MF24" s="102"/>
      <c r="MG24" s="102"/>
      <c r="MH24" s="102"/>
      <c r="MI24" s="143"/>
      <c r="MJ24" s="201"/>
      <c r="MK24" s="201"/>
      <c r="ML24" s="201"/>
      <c r="MM24" s="143"/>
      <c r="MN24" s="143"/>
      <c r="MO24" s="201"/>
      <c r="MP24" s="201"/>
      <c r="MQ24" s="201"/>
      <c r="MR24" s="143"/>
      <c r="MS24" s="143"/>
      <c r="MT24" s="143"/>
      <c r="MU24" s="143"/>
      <c r="MV24" s="102"/>
      <c r="MW24" s="102"/>
      <c r="MX24" s="102"/>
      <c r="MY24" s="102"/>
      <c r="MZ24" s="143"/>
      <c r="NA24" s="201"/>
      <c r="NB24" s="201"/>
      <c r="NC24" s="201"/>
      <c r="ND24" s="143"/>
      <c r="NE24" s="143"/>
      <c r="NF24" s="201"/>
      <c r="NG24" s="201"/>
      <c r="NH24" s="201"/>
      <c r="NI24" s="143"/>
      <c r="NJ24" s="143"/>
      <c r="NK24" s="143"/>
      <c r="NL24" s="143"/>
      <c r="NM24" s="102"/>
      <c r="NN24" s="102"/>
      <c r="NO24" s="102"/>
      <c r="NP24" s="102"/>
      <c r="NQ24" s="143"/>
      <c r="NR24" s="201"/>
      <c r="NS24" s="201"/>
      <c r="NT24" s="201"/>
      <c r="NU24" s="143"/>
      <c r="NV24" s="143"/>
      <c r="NW24" s="201"/>
      <c r="NX24" s="201"/>
      <c r="NY24" s="201"/>
      <c r="NZ24" s="143"/>
      <c r="OA24" s="143"/>
      <c r="OB24" s="143"/>
      <c r="OC24" s="143"/>
      <c r="OD24" s="102"/>
      <c r="OE24" s="102"/>
      <c r="OF24" s="102"/>
      <c r="OG24" s="102"/>
      <c r="OH24" s="143"/>
      <c r="OI24" s="201"/>
      <c r="OJ24" s="201"/>
      <c r="OK24" s="201"/>
      <c r="OL24" s="143"/>
      <c r="OM24" s="143"/>
      <c r="ON24" s="201"/>
      <c r="OO24" s="201"/>
      <c r="OP24" s="201"/>
      <c r="OQ24" s="143"/>
      <c r="OR24" s="143"/>
      <c r="OS24" s="143"/>
      <c r="OT24" s="143"/>
      <c r="OU24" s="102"/>
      <c r="OV24" s="102"/>
      <c r="OW24" s="102"/>
      <c r="OX24" s="102"/>
      <c r="OY24" s="143"/>
      <c r="OZ24" s="201"/>
      <c r="PA24" s="201"/>
      <c r="PB24" s="201"/>
      <c r="PC24" s="143"/>
      <c r="PD24" s="143"/>
      <c r="PE24" s="201"/>
      <c r="PF24" s="201"/>
      <c r="PG24" s="201"/>
      <c r="PH24" s="143"/>
      <c r="PI24" s="143"/>
      <c r="PJ24" s="143"/>
      <c r="PK24" s="143"/>
      <c r="PL24" s="102"/>
      <c r="PM24" s="102"/>
      <c r="PN24" s="102"/>
      <c r="PO24" s="102"/>
      <c r="PP24" s="143"/>
      <c r="PQ24" s="201"/>
      <c r="PR24" s="201"/>
      <c r="PS24" s="201"/>
      <c r="PT24" s="143"/>
      <c r="PU24" s="143"/>
      <c r="PV24" s="201"/>
      <c r="PW24" s="201"/>
      <c r="PX24" s="201"/>
      <c r="PY24" s="143"/>
      <c r="PZ24" s="143"/>
      <c r="QA24" s="143"/>
      <c r="QB24" s="143"/>
      <c r="QC24" s="102"/>
      <c r="QD24" s="102"/>
      <c r="QE24" s="102"/>
      <c r="QF24" s="102"/>
      <c r="QG24" s="143"/>
      <c r="QH24" s="201"/>
      <c r="QI24" s="201"/>
      <c r="QJ24" s="201"/>
      <c r="QK24" s="143"/>
      <c r="QL24" s="143"/>
      <c r="QM24" s="201"/>
      <c r="QN24" s="201"/>
      <c r="QO24" s="201"/>
      <c r="QP24" s="143"/>
      <c r="QQ24" s="143"/>
      <c r="QR24" s="143"/>
      <c r="QS24" s="143"/>
      <c r="QT24" s="102"/>
      <c r="QU24" s="102"/>
      <c r="QV24" s="102"/>
      <c r="QW24" s="102"/>
      <c r="QX24" s="143"/>
      <c r="QY24" s="201"/>
      <c r="QZ24" s="201"/>
      <c r="RA24" s="201"/>
      <c r="RB24" s="143"/>
      <c r="RC24" s="143"/>
      <c r="RD24" s="201"/>
      <c r="RE24" s="201"/>
      <c r="RF24" s="201"/>
      <c r="RG24" s="143"/>
      <c r="RH24" s="143"/>
      <c r="RI24" s="143"/>
      <c r="RJ24" s="143"/>
      <c r="RK24" s="102"/>
      <c r="RL24" s="102"/>
      <c r="RM24" s="102"/>
      <c r="RN24" s="102"/>
      <c r="RO24" s="143"/>
      <c r="RP24" s="201"/>
      <c r="RQ24" s="201"/>
      <c r="RR24" s="201"/>
      <c r="RS24" s="143"/>
      <c r="RT24" s="143"/>
      <c r="RU24" s="201"/>
      <c r="RV24" s="201"/>
      <c r="RW24" s="201"/>
      <c r="RX24" s="143"/>
      <c r="RY24" s="143"/>
      <c r="RZ24" s="143"/>
      <c r="SA24" s="143"/>
      <c r="SB24" s="102"/>
      <c r="SC24" s="102"/>
      <c r="SD24" s="102"/>
      <c r="SE24" s="102"/>
      <c r="SF24" s="143"/>
      <c r="SG24" s="201"/>
      <c r="SH24" s="201"/>
      <c r="SI24" s="201"/>
      <c r="SJ24" s="143"/>
      <c r="SK24" s="143"/>
      <c r="SL24" s="201"/>
      <c r="SM24" s="201"/>
      <c r="SN24" s="201"/>
      <c r="SO24" s="143"/>
      <c r="SP24" s="143"/>
      <c r="SQ24" s="143"/>
      <c r="SR24" s="143"/>
    </row>
    <row r="25" spans="1:512" s="144" customFormat="1" ht="16.5" x14ac:dyDescent="0.25">
      <c r="C25" s="191"/>
      <c r="D25" s="191"/>
      <c r="E25" s="191"/>
      <c r="F25" s="102"/>
      <c r="G25" s="143"/>
      <c r="H25" s="201"/>
      <c r="I25" s="201"/>
      <c r="J25" s="201"/>
      <c r="K25" s="143"/>
      <c r="L25" s="143"/>
      <c r="M25" s="201"/>
      <c r="N25" s="201"/>
      <c r="O25" s="201"/>
      <c r="P25" s="143"/>
      <c r="Q25" s="143"/>
      <c r="R25" s="143"/>
      <c r="S25" s="143"/>
      <c r="T25" s="102"/>
      <c r="U25" s="102"/>
      <c r="V25" s="102"/>
      <c r="W25" s="102"/>
      <c r="X25" s="143"/>
      <c r="Y25" s="201"/>
      <c r="Z25" s="201"/>
      <c r="AA25" s="201"/>
      <c r="AB25" s="143"/>
      <c r="AC25" s="143"/>
      <c r="AD25" s="201"/>
      <c r="AE25" s="201"/>
      <c r="AF25" s="201"/>
      <c r="AG25" s="143"/>
      <c r="AH25" s="143"/>
      <c r="AI25" s="143"/>
      <c r="AJ25" s="143"/>
      <c r="AK25" s="102"/>
      <c r="AL25" s="102"/>
      <c r="AM25" s="102"/>
      <c r="AN25" s="102"/>
      <c r="AO25" s="143"/>
      <c r="AP25" s="201"/>
      <c r="AQ25" s="201"/>
      <c r="AR25" s="201"/>
      <c r="AS25" s="143"/>
      <c r="AT25" s="143"/>
      <c r="AU25" s="201"/>
      <c r="AV25" s="201"/>
      <c r="AW25" s="201"/>
      <c r="AX25" s="143"/>
      <c r="AY25" s="143"/>
      <c r="AZ25" s="143"/>
      <c r="BA25" s="143"/>
      <c r="BB25" s="102"/>
      <c r="BC25" s="102"/>
      <c r="BD25" s="102"/>
      <c r="BE25" s="102"/>
      <c r="BF25" s="143"/>
      <c r="BG25" s="201"/>
      <c r="BH25" s="201"/>
      <c r="BI25" s="201"/>
      <c r="BJ25" s="143"/>
      <c r="BK25" s="143"/>
      <c r="BL25" s="201"/>
      <c r="BM25" s="201"/>
      <c r="BN25" s="201"/>
      <c r="BO25" s="143"/>
      <c r="BP25" s="143"/>
      <c r="BQ25" s="143"/>
      <c r="BR25" s="143"/>
      <c r="BS25" s="102"/>
      <c r="BT25" s="102"/>
      <c r="BU25" s="102"/>
      <c r="BV25" s="102"/>
      <c r="BW25" s="143"/>
      <c r="BX25" s="201"/>
      <c r="BY25" s="201"/>
      <c r="BZ25" s="201"/>
      <c r="CA25" s="143"/>
      <c r="CB25" s="143"/>
      <c r="CC25" s="201"/>
      <c r="CD25" s="201"/>
      <c r="CE25" s="201"/>
      <c r="CF25" s="143"/>
      <c r="CG25" s="143"/>
      <c r="CH25" s="143"/>
      <c r="CI25" s="143"/>
      <c r="CJ25" s="102"/>
      <c r="CK25" s="102"/>
      <c r="CL25" s="102"/>
      <c r="CM25" s="102"/>
      <c r="CN25" s="143"/>
      <c r="CO25" s="201"/>
      <c r="CP25" s="201"/>
      <c r="CQ25" s="201"/>
      <c r="CR25" s="143"/>
      <c r="CS25" s="143"/>
      <c r="CT25" s="201"/>
      <c r="CU25" s="201"/>
      <c r="CV25" s="201"/>
      <c r="CW25" s="143"/>
      <c r="CX25" s="143"/>
      <c r="CY25" s="143"/>
      <c r="CZ25" s="143"/>
      <c r="DA25" s="102"/>
      <c r="DB25" s="102"/>
      <c r="DC25" s="102"/>
      <c r="DD25" s="102"/>
      <c r="DE25" s="143"/>
      <c r="DF25" s="201"/>
      <c r="DG25" s="201"/>
      <c r="DH25" s="201"/>
      <c r="DI25" s="143"/>
      <c r="DJ25" s="143"/>
      <c r="DK25" s="201"/>
      <c r="DL25" s="201"/>
      <c r="DM25" s="201"/>
      <c r="DN25" s="143"/>
      <c r="DO25" s="143"/>
      <c r="DP25" s="143"/>
      <c r="DQ25" s="143"/>
      <c r="DR25" s="102"/>
      <c r="DS25" s="102"/>
      <c r="DT25" s="102"/>
      <c r="DU25" s="102"/>
      <c r="DV25" s="143"/>
      <c r="DW25" s="201"/>
      <c r="DX25" s="201"/>
      <c r="DY25" s="201"/>
      <c r="DZ25" s="143"/>
      <c r="EA25" s="143"/>
      <c r="EB25" s="201"/>
      <c r="EC25" s="201"/>
      <c r="ED25" s="201"/>
      <c r="EE25" s="143"/>
      <c r="EF25" s="143"/>
      <c r="EG25" s="143"/>
      <c r="EH25" s="143"/>
      <c r="EI25" s="102"/>
      <c r="EJ25" s="102"/>
      <c r="EK25" s="102"/>
      <c r="EL25" s="102"/>
      <c r="EM25" s="143"/>
      <c r="EN25" s="201"/>
      <c r="EO25" s="201"/>
      <c r="EP25" s="201"/>
      <c r="EQ25" s="143"/>
      <c r="ER25" s="143"/>
      <c r="ES25" s="201"/>
      <c r="ET25" s="201"/>
      <c r="EU25" s="201"/>
      <c r="EV25" s="143"/>
      <c r="EW25" s="143"/>
      <c r="EX25" s="143"/>
      <c r="EY25" s="143"/>
      <c r="EZ25" s="102"/>
      <c r="FA25" s="102"/>
      <c r="FB25" s="102"/>
      <c r="FC25" s="102"/>
      <c r="FD25" s="143"/>
      <c r="FE25" s="201"/>
      <c r="FF25" s="201"/>
      <c r="FG25" s="201"/>
      <c r="FH25" s="143"/>
      <c r="FI25" s="143"/>
      <c r="FJ25" s="201"/>
      <c r="FK25" s="201"/>
      <c r="FL25" s="201"/>
      <c r="FM25" s="143"/>
      <c r="FN25" s="143"/>
      <c r="FO25" s="143"/>
      <c r="FP25" s="143"/>
      <c r="FQ25" s="102"/>
      <c r="FR25" s="102"/>
      <c r="FS25" s="102"/>
      <c r="FT25" s="102"/>
      <c r="FU25" s="143"/>
      <c r="FV25" s="201"/>
      <c r="FW25" s="201"/>
      <c r="FX25" s="201"/>
      <c r="FY25" s="143"/>
      <c r="FZ25" s="143"/>
      <c r="GA25" s="201"/>
      <c r="GB25" s="201"/>
      <c r="GC25" s="201"/>
      <c r="GD25" s="143"/>
      <c r="GE25" s="143"/>
      <c r="GF25" s="143"/>
      <c r="GG25" s="143"/>
      <c r="GH25" s="102"/>
      <c r="GI25" s="102"/>
      <c r="GJ25" s="102"/>
      <c r="GK25" s="102"/>
      <c r="GL25" s="143"/>
      <c r="GM25" s="201"/>
      <c r="GN25" s="201"/>
      <c r="GO25" s="201"/>
      <c r="GP25" s="143"/>
      <c r="GQ25" s="143"/>
      <c r="GR25" s="201"/>
      <c r="GS25" s="201"/>
      <c r="GT25" s="201"/>
      <c r="GU25" s="143"/>
      <c r="GV25" s="143"/>
      <c r="GW25" s="143"/>
      <c r="GX25" s="143"/>
      <c r="GY25" s="102"/>
      <c r="GZ25" s="102"/>
      <c r="HA25" s="102"/>
      <c r="HB25" s="102"/>
      <c r="HC25" s="143"/>
      <c r="HD25" s="201"/>
      <c r="HE25" s="201"/>
      <c r="HF25" s="201"/>
      <c r="HG25" s="143"/>
      <c r="HH25" s="143"/>
      <c r="HI25" s="201"/>
      <c r="HJ25" s="201"/>
      <c r="HK25" s="201"/>
      <c r="HL25" s="143"/>
      <c r="HM25" s="143"/>
      <c r="HN25" s="143"/>
      <c r="HO25" s="143"/>
      <c r="HP25" s="102"/>
      <c r="HQ25" s="102"/>
      <c r="HR25" s="102"/>
      <c r="HS25" s="102"/>
      <c r="HT25" s="143"/>
      <c r="HU25" s="201"/>
      <c r="HV25" s="201"/>
      <c r="HW25" s="201"/>
      <c r="HX25" s="143"/>
      <c r="HY25" s="143"/>
      <c r="HZ25" s="201"/>
      <c r="IA25" s="201"/>
      <c r="IB25" s="201"/>
      <c r="IC25" s="143"/>
      <c r="ID25" s="143"/>
      <c r="IE25" s="143"/>
      <c r="IF25" s="143"/>
      <c r="IG25" s="102"/>
      <c r="IH25" s="102"/>
      <c r="II25" s="102"/>
      <c r="IJ25" s="102"/>
      <c r="IK25" s="143"/>
      <c r="IL25" s="201"/>
      <c r="IM25" s="201"/>
      <c r="IN25" s="201"/>
      <c r="IO25" s="143"/>
      <c r="IP25" s="143"/>
      <c r="IQ25" s="201"/>
      <c r="IR25" s="201"/>
      <c r="IS25" s="201"/>
      <c r="IT25" s="143"/>
      <c r="IU25" s="143"/>
      <c r="IV25" s="143"/>
      <c r="IW25" s="143"/>
      <c r="IX25" s="102"/>
      <c r="IY25" s="102"/>
      <c r="IZ25" s="102"/>
      <c r="JA25" s="102"/>
      <c r="JB25" s="143"/>
      <c r="JC25" s="201"/>
      <c r="JD25" s="201"/>
      <c r="JE25" s="201"/>
      <c r="JF25" s="143"/>
      <c r="JG25" s="143"/>
      <c r="JH25" s="201"/>
      <c r="JI25" s="201"/>
      <c r="JJ25" s="201"/>
      <c r="JK25" s="143"/>
      <c r="JL25" s="143"/>
      <c r="JM25" s="143"/>
      <c r="JN25" s="143"/>
      <c r="JO25" s="102"/>
      <c r="JP25" s="102"/>
      <c r="JQ25" s="102"/>
      <c r="JR25" s="102"/>
      <c r="JS25" s="143"/>
      <c r="JT25" s="201"/>
      <c r="JU25" s="201"/>
      <c r="JV25" s="201"/>
      <c r="JW25" s="143"/>
      <c r="JX25" s="143"/>
      <c r="JY25" s="201"/>
      <c r="JZ25" s="201"/>
      <c r="KA25" s="201"/>
      <c r="KB25" s="143"/>
      <c r="KC25" s="143"/>
      <c r="KD25" s="143"/>
      <c r="KE25" s="143"/>
      <c r="KF25" s="102"/>
      <c r="KG25" s="102"/>
      <c r="KH25" s="102"/>
      <c r="KI25" s="102"/>
      <c r="KJ25" s="143"/>
      <c r="KK25" s="201"/>
      <c r="KL25" s="201"/>
      <c r="KM25" s="201"/>
      <c r="KN25" s="143"/>
      <c r="KO25" s="143"/>
      <c r="KP25" s="201"/>
      <c r="KQ25" s="201"/>
      <c r="KR25" s="201"/>
      <c r="KS25" s="143"/>
      <c r="KT25" s="143"/>
      <c r="KU25" s="143"/>
      <c r="KV25" s="143"/>
      <c r="KW25" s="102"/>
      <c r="KX25" s="102"/>
      <c r="KY25" s="102"/>
      <c r="KZ25" s="102"/>
      <c r="LA25" s="143"/>
      <c r="LB25" s="201"/>
      <c r="LC25" s="201"/>
      <c r="LD25" s="201"/>
      <c r="LE25" s="143"/>
      <c r="LF25" s="143"/>
      <c r="LG25" s="201"/>
      <c r="LH25" s="201"/>
      <c r="LI25" s="201"/>
      <c r="LJ25" s="143"/>
      <c r="LK25" s="143"/>
      <c r="LL25" s="143"/>
      <c r="LM25" s="143"/>
      <c r="LN25" s="102"/>
      <c r="LO25" s="102"/>
      <c r="LP25" s="102"/>
      <c r="LQ25" s="102"/>
      <c r="LR25" s="143"/>
      <c r="LS25" s="201"/>
      <c r="LT25" s="201"/>
      <c r="LU25" s="201"/>
      <c r="LV25" s="143"/>
      <c r="LW25" s="143"/>
      <c r="LX25" s="201"/>
      <c r="LY25" s="201"/>
      <c r="LZ25" s="201"/>
      <c r="MA25" s="143"/>
      <c r="MB25" s="143"/>
      <c r="MC25" s="143"/>
      <c r="MD25" s="143"/>
      <c r="ME25" s="102"/>
      <c r="MF25" s="102"/>
      <c r="MG25" s="102"/>
      <c r="MH25" s="102"/>
      <c r="MI25" s="143"/>
      <c r="MJ25" s="201"/>
      <c r="MK25" s="201"/>
      <c r="ML25" s="201"/>
      <c r="MM25" s="143"/>
      <c r="MN25" s="143"/>
      <c r="MO25" s="201"/>
      <c r="MP25" s="201"/>
      <c r="MQ25" s="201"/>
      <c r="MR25" s="143"/>
      <c r="MS25" s="143"/>
      <c r="MT25" s="143"/>
      <c r="MU25" s="143"/>
      <c r="MV25" s="102"/>
      <c r="MW25" s="102"/>
      <c r="MX25" s="102"/>
      <c r="MY25" s="102"/>
      <c r="MZ25" s="143"/>
      <c r="NA25" s="201"/>
      <c r="NB25" s="201"/>
      <c r="NC25" s="201"/>
      <c r="ND25" s="143"/>
      <c r="NE25" s="143"/>
      <c r="NF25" s="201"/>
      <c r="NG25" s="201"/>
      <c r="NH25" s="201"/>
      <c r="NI25" s="143"/>
      <c r="NJ25" s="143"/>
      <c r="NK25" s="143"/>
      <c r="NL25" s="143"/>
      <c r="NM25" s="102"/>
      <c r="NN25" s="102"/>
      <c r="NO25" s="102"/>
      <c r="NP25" s="102"/>
      <c r="NQ25" s="143"/>
      <c r="NR25" s="201"/>
      <c r="NS25" s="201"/>
      <c r="NT25" s="201"/>
      <c r="NU25" s="143"/>
      <c r="NV25" s="143"/>
      <c r="NW25" s="201"/>
      <c r="NX25" s="201"/>
      <c r="NY25" s="201"/>
      <c r="NZ25" s="143"/>
      <c r="OA25" s="143"/>
      <c r="OB25" s="143"/>
      <c r="OC25" s="143"/>
      <c r="OD25" s="102"/>
      <c r="OE25" s="102"/>
      <c r="OF25" s="102"/>
      <c r="OG25" s="102"/>
      <c r="OH25" s="143"/>
      <c r="OI25" s="201"/>
      <c r="OJ25" s="201"/>
      <c r="OK25" s="201"/>
      <c r="OL25" s="143"/>
      <c r="OM25" s="143"/>
      <c r="ON25" s="201"/>
      <c r="OO25" s="201"/>
      <c r="OP25" s="201"/>
      <c r="OQ25" s="143"/>
      <c r="OR25" s="143"/>
      <c r="OS25" s="143"/>
      <c r="OT25" s="143"/>
      <c r="OU25" s="102"/>
      <c r="OV25" s="102"/>
      <c r="OW25" s="102"/>
      <c r="OX25" s="102"/>
      <c r="OY25" s="143"/>
      <c r="OZ25" s="201"/>
      <c r="PA25" s="201"/>
      <c r="PB25" s="201"/>
      <c r="PC25" s="143"/>
      <c r="PD25" s="143"/>
      <c r="PE25" s="201"/>
      <c r="PF25" s="201"/>
      <c r="PG25" s="201"/>
      <c r="PH25" s="143"/>
      <c r="PI25" s="143"/>
      <c r="PJ25" s="143"/>
      <c r="PK25" s="143"/>
      <c r="PL25" s="102"/>
      <c r="PM25" s="102"/>
      <c r="PN25" s="102"/>
      <c r="PO25" s="102"/>
      <c r="PP25" s="143"/>
      <c r="PQ25" s="201"/>
      <c r="PR25" s="201"/>
      <c r="PS25" s="201"/>
      <c r="PT25" s="143"/>
      <c r="PU25" s="143"/>
      <c r="PV25" s="201"/>
      <c r="PW25" s="201"/>
      <c r="PX25" s="201"/>
      <c r="PY25" s="143"/>
      <c r="PZ25" s="143"/>
      <c r="QA25" s="143"/>
      <c r="QB25" s="143"/>
      <c r="QC25" s="102"/>
      <c r="QD25" s="102"/>
      <c r="QE25" s="102"/>
      <c r="QF25" s="102"/>
      <c r="QG25" s="143"/>
      <c r="QH25" s="201"/>
      <c r="QI25" s="201"/>
      <c r="QJ25" s="201"/>
      <c r="QK25" s="143"/>
      <c r="QL25" s="143"/>
      <c r="QM25" s="201"/>
      <c r="QN25" s="201"/>
      <c r="QO25" s="201"/>
      <c r="QP25" s="143"/>
      <c r="QQ25" s="143"/>
      <c r="QR25" s="143"/>
      <c r="QS25" s="143"/>
      <c r="QT25" s="102"/>
      <c r="QU25" s="102"/>
      <c r="QV25" s="102"/>
      <c r="QW25" s="102"/>
      <c r="QX25" s="143"/>
      <c r="QY25" s="201"/>
      <c r="QZ25" s="201"/>
      <c r="RA25" s="201"/>
      <c r="RB25" s="143"/>
      <c r="RC25" s="143"/>
      <c r="RD25" s="201"/>
      <c r="RE25" s="201"/>
      <c r="RF25" s="201"/>
      <c r="RG25" s="143"/>
      <c r="RH25" s="143"/>
      <c r="RI25" s="143"/>
      <c r="RJ25" s="143"/>
      <c r="RK25" s="102"/>
      <c r="RL25" s="102"/>
      <c r="RM25" s="102"/>
      <c r="RN25" s="102"/>
      <c r="RO25" s="143"/>
      <c r="RP25" s="201"/>
      <c r="RQ25" s="201"/>
      <c r="RR25" s="201"/>
      <c r="RS25" s="143"/>
      <c r="RT25" s="143"/>
      <c r="RU25" s="201"/>
      <c r="RV25" s="201"/>
      <c r="RW25" s="201"/>
      <c r="RX25" s="143"/>
      <c r="RY25" s="143"/>
      <c r="RZ25" s="143"/>
      <c r="SA25" s="143"/>
      <c r="SB25" s="102"/>
      <c r="SC25" s="102"/>
      <c r="SD25" s="102"/>
      <c r="SE25" s="102"/>
      <c r="SF25" s="143"/>
      <c r="SG25" s="201"/>
      <c r="SH25" s="201"/>
      <c r="SI25" s="201"/>
      <c r="SJ25" s="143"/>
      <c r="SK25" s="143"/>
      <c r="SL25" s="201"/>
      <c r="SM25" s="201"/>
      <c r="SN25" s="201"/>
      <c r="SO25" s="143"/>
      <c r="SP25" s="143"/>
      <c r="SQ25" s="143"/>
      <c r="SR25" s="143"/>
    </row>
  </sheetData>
  <sheetProtection algorithmName="SHA-512" hashValue="VDGbioNlT0spehN56mqg7MfNlfthPxCHh0gDIdiBl8UPoQt4/peZlfUguKGtltbQCPPEWud47625qk+r5IXriw==" saltValue="wDOVDewp3kaDu5LQqxD8nA==" spinCount="100000" sheet="1" insertColumns="0" deleteColumns="0" selectLockedCells="1"/>
  <dataConsolidate/>
  <mergeCells count="13">
    <mergeCell ref="A20:B20"/>
    <mergeCell ref="A11:B11"/>
    <mergeCell ref="A13:B13"/>
    <mergeCell ref="A15:B15"/>
    <mergeCell ref="A16:B16"/>
    <mergeCell ref="A17:B17"/>
    <mergeCell ref="A19:B19"/>
    <mergeCell ref="A10:B10"/>
    <mergeCell ref="A1:B1"/>
    <mergeCell ref="A5:B5"/>
    <mergeCell ref="A6:B6"/>
    <mergeCell ref="A8:B8"/>
    <mergeCell ref="A9:B9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ref!$B$3:$B$6</xm:f>
          </x14:formula1>
          <xm:sqref>H5:J6 C5:E6 M5:O6 QM8:QO11 QH8:QJ11 QC8:QE11 C13:E13 H13:J13 M13:O13 PE8:PG11 OZ8:PB11 OU8:OW11 C15:E17 H15:J17 M15:O17 ON8:OP11 OI8:OK11 OD8:OF11 C19:E19 H19:J19 M19:O19 M8:O11 H8:J11 C8:E11 OD5:OF6 OI5:OK6 ON5:OP6 OD13:OF13 OI13:OK13 ON13:OP13 OD15:OF17 OI15:OK17 ON15:OP17 OD19:OF19 OI19:OK19 ON19:OP19 OU5:OW6 OZ5:PB6 PE5:PG6 OU13:OW13 OZ13:PB13 PE13:PG13 OU15:OW17 OZ15:PB17 PE15:PG17 OU19:OW19 OZ19:PB19 PE19:PG19 QC5:QE6 QH5:QJ6 QM5:QO6 QC13:QE13 QH13:QJ13 QM13:QO13 QC15:QE17 QH15:QJ17 QM15:QO17 QC19:QE19 QH19:QJ19 QM19:QO19 PL5:PN6 PQ5:PS6 PV5:PX6 PL13:PN13 PQ13:PS13 PV13:PX13 PL15:PN17 PQ15:PS17 PV15:PX17 PL19:PN19 PQ19:PS19 PV19:PX19 QT5:QV6 QY5:RA6 RD5:RF6 QT13:QV13 QY13:RA13 RD13:RF13 QT15:QV17 QY15:RA17 RD15:RF17 QT19:QV19 QY19:RA19 RD19:RF19 RK5:RM6 RP5:RR6 RU5:RW6 RK13:RM13 RP13:RR13 RU13:RW13 RK15:RM17 RP15:RR17 RU15:RW17 RK19:RM19 RP19:RR19 RU19:RW19 Y5:AA6 T5:V6 AD5:AF6 T13:V13 Y13:AA13 AD13:AF13 T15:V17 Y15:AA17 AD15:AF17 T19:V19 Y19:AA19 AD19:AF19 BB5:BD6 BG5:BI6 BL5:BN6 BB13:BD13 BG13:BI13 BL13:BN13 BB15:BD17 BG15:BI17 BL15:BN17 BB19:BD19 BG19:BI19 BL19:BN19 BS5:BU6 BX5:BZ6 CC5:CE6 BS13:BU13 BX13:BZ13 CC13:CE13 BS15:BU17 BX15:BZ17 CC15:CE17 BS19:BU19 BX19:BZ19 CC19:CE19 CJ5:CL6 CO5:CQ6 CT5:CV6 CJ13:CL13 CO13:CQ13 CT13:CV13 CJ15:CL17 CO15:CQ17 CT15:CV17 CJ19:CL19 CO19:CQ19 CT19:CV19 DA5:DC6 DF5:DH6 DK5:DM6 DA13:DC13 DF13:DH13 DK13:DM13 DA15:DC17 DF15:DH17 DK15:DM17 DA19:DC19 DF19:DH19 DK19:DM19 DR5:DT6 DW5:DY6 EB5:ED6 DR13:DT13 DW13:DY13 EB13:ED13 DR15:DT17 DW15:DY17 EB15:ED17 DR19:DT19 DW19:DY19 EB19:ED19 EI5:EK6 EN5:EP6 ES5:EU6 EI13:EK13 EN13:EP13 ES13:EU13 EI15:EK17 EN15:EP17 ES15:EU17 EI19:EK19 EN19:EP19 ES19:EU19 EZ5:FB6 FE5:FG6 FJ5:FL6 EZ13:FB13 FE13:FG13 FJ13:FL13 EZ15:FB17 FE15:FG17 FJ15:FL17 EZ19:FB19 FE19:FG19 FJ19:FL19 FQ5:FS6 FV5:FX6 GA5:GC6 FQ13:FS13 FV13:FX13 GA13:GC13 FQ15:FS17 FV15:FX17 GA15:GC17 FQ19:FS19 FV19:FX19 GA19:GC19 GH5:GJ6 GM5:GO6 GR5:GT6 GH13:GJ13 GM13:GO13 GR13:GT13 GH15:GJ17 GM15:GO17 GR15:GT17 GH19:GJ19 GM19:GO19 GR19:GT19 GY5:HA6 HD5:HF6 HI5:HK6 GY13:HA13 HD13:HF13 HI13:HK13 GY15:HA17 HD15:HF17 HI15:HK17 GY19:HA19 HD19:HF19 HI19:HK19 HP5:HR6 HU5:HW6 HZ5:IB6 HP13:HR13 HU13:HW13 HZ13:IB13 HP15:HR17 HU15:HW17 HZ15:IB17 HP19:HR19 HU19:HW19 HZ19:IB19 IG5:II6 IL5:IN6 IQ5:IS6 IG13:II13 IL13:IN13 IQ13:IS13 IG15:II17 IL15:IN17 IQ15:IS17 IG19:II19 IL19:IN19 IQ19:IS19 IX5:IZ6 JC5:JE6 JH5:JJ6 IX13:IZ13 JC13:JE13 JH13:JJ13 IX15:IZ17 JC15:JE17 JH15:JJ17 IX19:IZ19 JC19:JE19 JH19:JJ19 JO5:JQ6 JT5:JV6 JY5:KA6 JO13:JQ13 JT13:JV13 JY13:KA13 JO15:JQ17 JT15:JV17 JY15:KA17 JO19:JQ19 JT19:JV19 JY19:KA19 KF5:KH6 KK5:KM6 KP5:KR6 KF13:KH13 KK13:KM13 KP13:KR13 KF15:KH17 KK15:KM17 KP15:KR17 KF19:KH19 KK19:KM19 KP19:KR19 KW5:KY6 LB5:LD6 LG5:LI6 KW13:KY13 LB13:LD13 LG13:LI13 KW15:KY17 LB15:LD17 LG15:LI17 KW19:KY19 LB19:LD19 LG19:LI19 LN5:LP6 LS5:LU6 LX5:LZ6 LN13:LP13 LS13:LU13 LX13:LZ13 LN15:LP17 LS15:LU17 LX15:LZ17 LN19:LP19 LS19:LU19 LX19:LZ19 ME5:MG6 MJ5:ML6 MO5:MQ6 ME13:MG13 MJ13:ML13 MO13:MQ13 ME15:MG17 MJ15:ML17 MO15:MQ17 ME19:MG19 MJ19:ML19 MO19:MQ19 MV5:MX6 NA5:NC6 NF5:NH6 MV13:MX13 NA13:NC13 NF13:NH13 MV15:MX17 NA15:NC17 NF15:NH17 MV19:MX19 NA19:NC19 NF19:NH19 NM5:NO6 NR5:NT6 NW5:NY6 NM13:NO13 NR13:NT13 NW13:NY13 NM15:NO17 NR15:NT17 NW15:NY17 NM19:NO19 NR19:NT19 NW19:NY19 SB5:SD6 SG5:SI6 SL5:SN6 SB13:SD13 SG13:SI13 SL13:SN13 SB15:SD17 SG15:SI17 SL15:SN17 SB19:SD19 SG19:SI19 SL19:SN19 SL8:SN11 SG8:SI11 SB8:SD11 NW8:NY11 NR8:NT11 NM8:NO11 NF8:NH11 NA8:NC11 MV8:MX11 MO8:MQ11 MJ8:ML11 ME8:MG11 LX8:LZ11 LS8:LU11 LN8:LP11 LG8:LI11 LB8:LD11 KW8:KY11 KP8:KR11 KK8:KM11 KF8:KH11 JY8:KA11 JT8:JV11 JO8:JQ11 JH8:JJ11 JC8:JE11 IX8:IZ11 IQ8:IS11 IL8:IN11 IG8:II11 HZ8:IB11 HU8:HW11 HP8:HR11 HI8:HK11 HD8:HF11 GY8:HA11 GR8:GT11 GM8:GO11 GH8:GJ11 GA8:GC11 FV8:FX11 FQ8:FS11 FJ8:FL11 FE8:FG11 EZ8:FB11 ES8:EU11 EN8:EP11 EI8:EK11 EB8:ED11 DW8:DY11 DR8:DT11 DK8:DM11 DF8:DH11 DA8:DC11 CT8:CV11 CO8:CQ11 CJ8:CL11 CC8:CE11 BX8:BZ11 BS8:BU11 BL8:BN11 BG8:BI11 BB8:BD11 AD8:AF11 Y8:AA11 T8:V11 RU8:RW11 RP8:RR11 RK8:RM11 RD8:RF11 QY8:RA11 QT8:QV11 PV8:PX11 PQ8:PS11 PL8:PN11 AP5:AR6 AK5:AM6 AU5:AW6 AK13:AM13 AP13:AR13 AU13:AW13 AK15:AM17 AP15:AR17 AU15:AW17 AK19:AM19 AP19:AR19 AU19:AW19 AU8:AW11 AP8:AR11 AK8:AM11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7"/>
  <dimension ref="A1:AC33"/>
  <sheetViews>
    <sheetView zoomScale="90" zoomScaleNormal="90" workbookViewId="0">
      <selection activeCell="AC3" sqref="AC3"/>
    </sheetView>
  </sheetViews>
  <sheetFormatPr baseColWidth="10" defaultRowHeight="15" x14ac:dyDescent="0.25"/>
  <cols>
    <col min="1" max="1" width="30.7109375" style="48" customWidth="1"/>
    <col min="2" max="27" width="6.7109375" style="48" customWidth="1"/>
    <col min="28" max="28" width="3" style="48" customWidth="1"/>
    <col min="29" max="29" width="20.140625" style="48" customWidth="1"/>
    <col min="30" max="16384" width="11.42578125" style="48"/>
  </cols>
  <sheetData>
    <row r="1" spans="1:29" ht="31.5" customHeight="1" thickBot="1" x14ac:dyDescent="0.3">
      <c r="A1" s="37" t="s">
        <v>199</v>
      </c>
      <c r="B1" s="221" t="s">
        <v>0</v>
      </c>
      <c r="C1" s="221"/>
      <c r="D1" s="221"/>
      <c r="E1" s="221"/>
      <c r="F1" s="221"/>
      <c r="G1" s="221"/>
      <c r="H1" s="221"/>
      <c r="I1" s="221"/>
      <c r="J1" s="221"/>
      <c r="K1" s="221"/>
      <c r="L1" s="221"/>
      <c r="M1" s="221"/>
      <c r="N1" s="221"/>
      <c r="O1" s="221"/>
      <c r="P1" s="221"/>
      <c r="Q1" s="221"/>
      <c r="R1" s="221"/>
      <c r="S1" s="221"/>
      <c r="T1" s="221"/>
      <c r="U1" s="221"/>
      <c r="V1" s="221"/>
      <c r="W1" s="221"/>
      <c r="X1" s="221"/>
      <c r="Y1" s="221"/>
      <c r="Z1" s="221"/>
      <c r="AA1" s="222"/>
      <c r="AC1" s="38" t="s">
        <v>36</v>
      </c>
    </row>
    <row r="2" spans="1:29" ht="24.95" customHeight="1" thickTop="1" x14ac:dyDescent="0.25">
      <c r="A2" s="223" t="s">
        <v>1</v>
      </c>
      <c r="B2" s="225" t="s">
        <v>2</v>
      </c>
      <c r="C2" s="225"/>
      <c r="D2" s="225"/>
      <c r="E2" s="226"/>
      <c r="F2" s="227" t="s">
        <v>3</v>
      </c>
      <c r="G2" s="228"/>
      <c r="H2" s="228"/>
      <c r="I2" s="229"/>
      <c r="J2" s="227" t="s">
        <v>4</v>
      </c>
      <c r="K2" s="228"/>
      <c r="L2" s="228"/>
      <c r="M2" s="229"/>
      <c r="N2" s="227" t="s">
        <v>5</v>
      </c>
      <c r="O2" s="228"/>
      <c r="P2" s="228"/>
      <c r="Q2" s="229"/>
      <c r="R2" s="227" t="s">
        <v>6</v>
      </c>
      <c r="S2" s="228"/>
      <c r="T2" s="228"/>
      <c r="U2" s="229"/>
      <c r="V2" s="230" t="s">
        <v>34</v>
      </c>
      <c r="W2" s="231"/>
      <c r="X2" s="232"/>
      <c r="Y2" s="233" t="s">
        <v>33</v>
      </c>
      <c r="Z2" s="234"/>
      <c r="AA2" s="235"/>
      <c r="AC2" s="47" t="s">
        <v>200</v>
      </c>
    </row>
    <row r="3" spans="1:29" ht="24.95" customHeight="1" thickBot="1" x14ac:dyDescent="0.3">
      <c r="A3" s="224"/>
      <c r="B3" s="18" t="s">
        <v>28</v>
      </c>
      <c r="C3" s="19" t="s">
        <v>29</v>
      </c>
      <c r="D3" s="18" t="s">
        <v>30</v>
      </c>
      <c r="E3" s="20" t="s">
        <v>10</v>
      </c>
      <c r="F3" s="21" t="s">
        <v>28</v>
      </c>
      <c r="G3" s="22" t="s">
        <v>29</v>
      </c>
      <c r="H3" s="23" t="s">
        <v>30</v>
      </c>
      <c r="I3" s="24" t="s">
        <v>10</v>
      </c>
      <c r="J3" s="25" t="s">
        <v>28</v>
      </c>
      <c r="K3" s="26" t="s">
        <v>29</v>
      </c>
      <c r="L3" s="23" t="s">
        <v>30</v>
      </c>
      <c r="M3" s="24" t="s">
        <v>10</v>
      </c>
      <c r="N3" s="21" t="s">
        <v>28</v>
      </c>
      <c r="O3" s="27" t="s">
        <v>29</v>
      </c>
      <c r="P3" s="23" t="s">
        <v>30</v>
      </c>
      <c r="Q3" s="24" t="s">
        <v>10</v>
      </c>
      <c r="R3" s="21" t="s">
        <v>28</v>
      </c>
      <c r="S3" s="27" t="s">
        <v>29</v>
      </c>
      <c r="T3" s="23" t="s">
        <v>30</v>
      </c>
      <c r="U3" s="24" t="s">
        <v>10</v>
      </c>
      <c r="V3" s="16" t="s">
        <v>28</v>
      </c>
      <c r="W3" s="17" t="s">
        <v>29</v>
      </c>
      <c r="X3" s="17" t="s">
        <v>30</v>
      </c>
      <c r="Y3" s="40"/>
      <c r="Z3" s="41"/>
      <c r="AA3" s="42"/>
      <c r="AB3" s="43"/>
      <c r="AC3" s="39" t="s">
        <v>194</v>
      </c>
    </row>
    <row r="4" spans="1:29" ht="15.75" customHeight="1" thickTop="1" x14ac:dyDescent="0.25">
      <c r="A4" s="44" t="str">
        <f ca="1">CELL("contenu",INDIRECT(ADDRESS(ROW()-2,5,1,,CELL("contenu",$AC$3))))</f>
        <v>AFONSO Marco</v>
      </c>
      <c r="B4" s="1" t="str">
        <f ca="1">CELL("contenu",INDIRECT(ADDRESS(ref!$K$3,ref!E3,1,,CELL("contenu",$AC$2))))</f>
        <v/>
      </c>
      <c r="C4" s="2" t="str">
        <f ca="1">CELL("contenu",INDIRECT(ADDRESS(ref!$K$3,ref!F3,1,,CELL("contenu",$AC$2))))</f>
        <v/>
      </c>
      <c r="D4" s="3" t="str">
        <f ca="1">CELL("contenu",INDIRECT(ADDRESS(ref!$K$3,ref!G3,1,,CELL("contenu",$AC$2))))</f>
        <v/>
      </c>
      <c r="E4" s="4" t="str">
        <f ca="1">CELL("contenu",INDIRECT(ADDRESS(ref!$K$3,ref!H3,1,,CELL("contenu",$AC$2))))</f>
        <v/>
      </c>
      <c r="F4" s="5" t="str">
        <f ca="1">CELL("contenu",INDIRECT(ADDRESS(ref!$K$4,ref!E3,1,,CELL("contenu",$AC$2))))</f>
        <v>B</v>
      </c>
      <c r="G4" s="2" t="str">
        <f ca="1">CELL("contenu",INDIRECT(ADDRESS(ref!$K$4,ref!F3,1,,CELL("contenu",$AC$2))))</f>
        <v/>
      </c>
      <c r="H4" s="3" t="str">
        <f ca="1">CELL("contenu",INDIRECT(ADDRESS(ref!$K$4,ref!G3,1,,CELL("contenu",$AC$2))))</f>
        <v/>
      </c>
      <c r="I4" s="4" t="str">
        <f ca="1">CELL("contenu",INDIRECT(ADDRESS(ref!$K$4,ref!H3,1,,CELL("contenu",$AC$2))))</f>
        <v>B</v>
      </c>
      <c r="J4" s="5" t="str">
        <f ca="1">CELL("contenu",INDIRECT(ADDRESS(ref!$K$5,ref!E3,1,,CELL("contenu",$AC$2))))</f>
        <v>C</v>
      </c>
      <c r="K4" s="2" t="str">
        <f ca="1">CELL("contenu",INDIRECT(ADDRESS(ref!$K$5,ref!F3,1,,CELL("contenu",$AC$2))))</f>
        <v/>
      </c>
      <c r="L4" s="3" t="str">
        <f ca="1">CELL("contenu",INDIRECT(ADDRESS(ref!$K$5,ref!G3,1,,CELL("contenu",$AC$2))))</f>
        <v/>
      </c>
      <c r="M4" s="4" t="str">
        <f ca="1">CELL("contenu",INDIRECT(ADDRESS(ref!$K$5,ref!H3,1,,CELL("contenu",$AC$2))))</f>
        <v>C</v>
      </c>
      <c r="N4" s="5" t="str">
        <f ca="1">CELL("contenu",INDIRECT(ADDRESS(ref!$K$6,ref!E3,1,,CELL("contenu",$AC$2))))</f>
        <v>D</v>
      </c>
      <c r="O4" s="2" t="str">
        <f ca="1">CELL("contenu",INDIRECT(ADDRESS(ref!$K$6,ref!F3,1,,CELL("contenu",$AC$2))))</f>
        <v/>
      </c>
      <c r="P4" s="3" t="str">
        <f ca="1">CELL("contenu",INDIRECT(ADDRESS(ref!$K$6,ref!G3,1,,CELL("contenu",$AC$2))))</f>
        <v/>
      </c>
      <c r="Q4" s="4" t="str">
        <f ca="1">CELL("contenu",INDIRECT(ADDRESS(ref!$K$6,ref!H3,1,,CELL("contenu",$AC$2))))</f>
        <v>D</v>
      </c>
      <c r="R4" s="5" t="str">
        <f ca="1">CELL("contenu",INDIRECT(ADDRESS(ref!$K$7,ref!E3,1,,CELL("contenu",$AC$2))))</f>
        <v>A</v>
      </c>
      <c r="S4" s="2" t="str">
        <f ca="1">CELL("contenu",INDIRECT(ADDRESS(ref!$K$7,ref!F3,1,,CELL("contenu",$AC$2))))</f>
        <v/>
      </c>
      <c r="T4" s="3" t="str">
        <f ca="1">CELL("contenu",INDIRECT(ADDRESS(ref!$K$7,ref!G3,1,,CELL("contenu",$AC$2))))</f>
        <v/>
      </c>
      <c r="U4" s="4" t="str">
        <f ca="1">CELL("contenu",INDIRECT(ADDRESS(ref!$K$7,ref!H3,1,,CELL("contenu",$AC$2))))</f>
        <v>A</v>
      </c>
      <c r="V4" s="28">
        <f ca="1">CELL("contenu",INDIRECT(ADDRESS(ref!$K$8,ref!E3,1,,CELL("contenu",$AC$2))))</f>
        <v>11.666666666666668</v>
      </c>
      <c r="W4" s="29" t="str">
        <f ca="1">CELL("contenu",INDIRECT(ADDRESS(ref!$K$8,ref!F3,1,,CELL("contenu",$AC$2))))</f>
        <v/>
      </c>
      <c r="X4" s="30" t="str">
        <f ca="1">CELL("contenu",INDIRECT(ADDRESS(ref!$K$8,ref!G3,1,,CELL("contenu",$AC$2))))</f>
        <v/>
      </c>
      <c r="Y4" s="6" t="str">
        <f ca="1">CELL("contenu",INDIRECT(ADDRESS(ref!$K$9,ref!H3,1,,CELL("contenu",$AC$2))))</f>
        <v/>
      </c>
      <c r="Z4" s="3" t="str">
        <f ca="1">CELL("contenu",INDIRECT(ADDRESS(ref!$K$10,ref!H3,1,,CELL("contenu",$AC$2))))</f>
        <v>C</v>
      </c>
      <c r="AA4" s="7" t="str">
        <f ca="1">CELL("contenu",INDIRECT(ADDRESS(ref!$K$11,ref!H3,1,,CELL("contenu",$AC$2))))</f>
        <v>D</v>
      </c>
    </row>
    <row r="5" spans="1:29" x14ac:dyDescent="0.25">
      <c r="A5" s="44" t="str">
        <f t="shared" ref="A5:A33" ca="1" si="0">CELL("contenu",INDIRECT(ADDRESS(ROW()-2,5,1,,CELL("contenu",$AC$3))))</f>
        <v>AUDOUIN Amelie</v>
      </c>
      <c r="B5" s="1" t="str">
        <f ca="1">CELL("contenu",INDIRECT(ADDRESS(ref!$K$3,ref!E4,1,,CELL("contenu",$AC$2))))</f>
        <v/>
      </c>
      <c r="C5" s="2" t="str">
        <f ca="1">CELL("contenu",INDIRECT(ADDRESS(ref!$K$3,ref!F4,1,,CELL("contenu",$AC$2))))</f>
        <v/>
      </c>
      <c r="D5" s="3" t="str">
        <f ca="1">CELL("contenu",INDIRECT(ADDRESS(ref!$K$3,ref!G4,1,,CELL("contenu",$AC$2))))</f>
        <v/>
      </c>
      <c r="E5" s="4" t="str">
        <f ca="1">CELL("contenu",INDIRECT(ADDRESS(ref!$K$3,ref!H4,1,,CELL("contenu",$AC$2))))</f>
        <v/>
      </c>
      <c r="F5" s="5" t="str">
        <f ca="1">CELL("contenu",INDIRECT(ADDRESS(ref!$K$4,ref!E4,1,,CELL("contenu",$AC$2))))</f>
        <v>B</v>
      </c>
      <c r="G5" s="2" t="str">
        <f ca="1">CELL("contenu",INDIRECT(ADDRESS(ref!$K$4,ref!F4,1,,CELL("contenu",$AC$2))))</f>
        <v/>
      </c>
      <c r="H5" s="3" t="str">
        <f ca="1">CELL("contenu",INDIRECT(ADDRESS(ref!$K$4,ref!G4,1,,CELL("contenu",$AC$2))))</f>
        <v/>
      </c>
      <c r="I5" s="4" t="str">
        <f ca="1">CELL("contenu",INDIRECT(ADDRESS(ref!$K$4,ref!H4,1,,CELL("contenu",$AC$2))))</f>
        <v>B</v>
      </c>
      <c r="J5" s="5" t="str">
        <f ca="1">CELL("contenu",INDIRECT(ADDRESS(ref!$K$5,ref!E4,1,,CELL("contenu",$AC$2))))</f>
        <v>A</v>
      </c>
      <c r="K5" s="2" t="str">
        <f ca="1">CELL("contenu",INDIRECT(ADDRESS(ref!$K$5,ref!F4,1,,CELL("contenu",$AC$2))))</f>
        <v/>
      </c>
      <c r="L5" s="3" t="str">
        <f ca="1">CELL("contenu",INDIRECT(ADDRESS(ref!$K$5,ref!G4,1,,CELL("contenu",$AC$2))))</f>
        <v/>
      </c>
      <c r="M5" s="4" t="str">
        <f ca="1">CELL("contenu",INDIRECT(ADDRESS(ref!$K$5,ref!H4,1,,CELL("contenu",$AC$2))))</f>
        <v>A</v>
      </c>
      <c r="N5" s="5" t="str">
        <f ca="1">CELL("contenu",INDIRECT(ADDRESS(ref!$K$6,ref!E4,1,,CELL("contenu",$AC$2))))</f>
        <v>B</v>
      </c>
      <c r="O5" s="2" t="str">
        <f ca="1">CELL("contenu",INDIRECT(ADDRESS(ref!$K$6,ref!F4,1,,CELL("contenu",$AC$2))))</f>
        <v/>
      </c>
      <c r="P5" s="3" t="str">
        <f ca="1">CELL("contenu",INDIRECT(ADDRESS(ref!$K$6,ref!G4,1,,CELL("contenu",$AC$2))))</f>
        <v/>
      </c>
      <c r="Q5" s="4" t="str">
        <f ca="1">CELL("contenu",INDIRECT(ADDRESS(ref!$K$6,ref!H4,1,,CELL("contenu",$AC$2))))</f>
        <v>B</v>
      </c>
      <c r="R5" s="5" t="str">
        <f ca="1">CELL("contenu",INDIRECT(ADDRESS(ref!$K$7,ref!E4,1,,CELL("contenu",$AC$2))))</f>
        <v>A</v>
      </c>
      <c r="S5" s="2" t="str">
        <f ca="1">CELL("contenu",INDIRECT(ADDRESS(ref!$K$7,ref!F4,1,,CELL("contenu",$AC$2))))</f>
        <v/>
      </c>
      <c r="T5" s="3" t="str">
        <f ca="1">CELL("contenu",INDIRECT(ADDRESS(ref!$K$7,ref!G4,1,,CELL("contenu",$AC$2))))</f>
        <v/>
      </c>
      <c r="U5" s="4" t="str">
        <f ca="1">CELL("contenu",INDIRECT(ADDRESS(ref!$K$7,ref!H4,1,,CELL("contenu",$AC$2))))</f>
        <v>A</v>
      </c>
      <c r="V5" s="28">
        <f ca="1">CELL("contenu",INDIRECT(ADDRESS(ref!$K$8,ref!E4,1,,CELL("contenu",$AC$2))))</f>
        <v>16.666666666666668</v>
      </c>
      <c r="W5" s="29" t="str">
        <f ca="1">CELL("contenu",INDIRECT(ADDRESS(ref!$K$8,ref!F4,1,,CELL("contenu",$AC$2))))</f>
        <v/>
      </c>
      <c r="X5" s="30" t="str">
        <f ca="1">CELL("contenu",INDIRECT(ADDRESS(ref!$K$8,ref!G4,1,,CELL("contenu",$AC$2))))</f>
        <v/>
      </c>
      <c r="Y5" s="6" t="str">
        <f ca="1">CELL("contenu",INDIRECT(ADDRESS(ref!$K$9,ref!H4,1,,CELL("contenu",$AC$2))))</f>
        <v/>
      </c>
      <c r="Z5" s="3" t="str">
        <f ca="1">CELL("contenu",INDIRECT(ADDRESS(ref!$K$10,ref!H4,1,,CELL("contenu",$AC$2))))</f>
        <v>A</v>
      </c>
      <c r="AA5" s="7" t="str">
        <f ca="1">CELL("contenu",INDIRECT(ADDRESS(ref!$K$11,ref!H4,1,,CELL("contenu",$AC$2))))</f>
        <v>B</v>
      </c>
    </row>
    <row r="6" spans="1:29" x14ac:dyDescent="0.25">
      <c r="A6" s="44" t="str">
        <f t="shared" ca="1" si="0"/>
        <v>BELLICAUD Martin</v>
      </c>
      <c r="B6" s="1" t="str">
        <f ca="1">CELL("contenu",INDIRECT(ADDRESS(ref!$K$3,ref!E5,1,,CELL("contenu",$AC$2))))</f>
        <v/>
      </c>
      <c r="C6" s="2" t="str">
        <f ca="1">CELL("contenu",INDIRECT(ADDRESS(ref!$K$3,ref!F5,1,,CELL("contenu",$AC$2))))</f>
        <v/>
      </c>
      <c r="D6" s="3" t="str">
        <f ca="1">CELL("contenu",INDIRECT(ADDRESS(ref!$K$3,ref!G5,1,,CELL("contenu",$AC$2))))</f>
        <v/>
      </c>
      <c r="E6" s="4" t="str">
        <f ca="1">CELL("contenu",INDIRECT(ADDRESS(ref!$K$3,ref!H5,1,,CELL("contenu",$AC$2))))</f>
        <v/>
      </c>
      <c r="F6" s="5" t="str">
        <f ca="1">CELL("contenu",INDIRECT(ADDRESS(ref!$K$4,ref!E5,1,,CELL("contenu",$AC$2))))</f>
        <v>B</v>
      </c>
      <c r="G6" s="2" t="str">
        <f ca="1">CELL("contenu",INDIRECT(ADDRESS(ref!$K$4,ref!F5,1,,CELL("contenu",$AC$2))))</f>
        <v/>
      </c>
      <c r="H6" s="3" t="str">
        <f ca="1">CELL("contenu",INDIRECT(ADDRESS(ref!$K$4,ref!G5,1,,CELL("contenu",$AC$2))))</f>
        <v/>
      </c>
      <c r="I6" s="4" t="str">
        <f ca="1">CELL("contenu",INDIRECT(ADDRESS(ref!$K$4,ref!H5,1,,CELL("contenu",$AC$2))))</f>
        <v>B</v>
      </c>
      <c r="J6" s="5" t="str">
        <f ca="1">CELL("contenu",INDIRECT(ADDRESS(ref!$K$5,ref!E5,1,,CELL("contenu",$AC$2))))</f>
        <v>A</v>
      </c>
      <c r="K6" s="2" t="str">
        <f ca="1">CELL("contenu",INDIRECT(ADDRESS(ref!$K$5,ref!F5,1,,CELL("contenu",$AC$2))))</f>
        <v/>
      </c>
      <c r="L6" s="3" t="str">
        <f ca="1">CELL("contenu",INDIRECT(ADDRESS(ref!$K$5,ref!G5,1,,CELL("contenu",$AC$2))))</f>
        <v/>
      </c>
      <c r="M6" s="4" t="str">
        <f ca="1">CELL("contenu",INDIRECT(ADDRESS(ref!$K$5,ref!H5,1,,CELL("contenu",$AC$2))))</f>
        <v>A</v>
      </c>
      <c r="N6" s="5" t="str">
        <f ca="1">CELL("contenu",INDIRECT(ADDRESS(ref!$K$6,ref!E5,1,,CELL("contenu",$AC$2))))</f>
        <v>B</v>
      </c>
      <c r="O6" s="2" t="str">
        <f ca="1">CELL("contenu",INDIRECT(ADDRESS(ref!$K$6,ref!F5,1,,CELL("contenu",$AC$2))))</f>
        <v/>
      </c>
      <c r="P6" s="3" t="str">
        <f ca="1">CELL("contenu",INDIRECT(ADDRESS(ref!$K$6,ref!G5,1,,CELL("contenu",$AC$2))))</f>
        <v/>
      </c>
      <c r="Q6" s="4" t="str">
        <f ca="1">CELL("contenu",INDIRECT(ADDRESS(ref!$K$6,ref!H5,1,,CELL("contenu",$AC$2))))</f>
        <v>B</v>
      </c>
      <c r="R6" s="5" t="str">
        <f ca="1">CELL("contenu",INDIRECT(ADDRESS(ref!$K$7,ref!E5,1,,CELL("contenu",$AC$2))))</f>
        <v>A</v>
      </c>
      <c r="S6" s="2" t="str">
        <f ca="1">CELL("contenu",INDIRECT(ADDRESS(ref!$K$7,ref!F5,1,,CELL("contenu",$AC$2))))</f>
        <v/>
      </c>
      <c r="T6" s="3" t="str">
        <f ca="1">CELL("contenu",INDIRECT(ADDRESS(ref!$K$7,ref!G5,1,,CELL("contenu",$AC$2))))</f>
        <v/>
      </c>
      <c r="U6" s="4" t="str">
        <f ca="1">CELL("contenu",INDIRECT(ADDRESS(ref!$K$7,ref!H5,1,,CELL("contenu",$AC$2))))</f>
        <v>A</v>
      </c>
      <c r="V6" s="28">
        <f ca="1">CELL("contenu",INDIRECT(ADDRESS(ref!$K$8,ref!E5,1,,CELL("contenu",$AC$2))))</f>
        <v>17.5</v>
      </c>
      <c r="W6" s="29" t="str">
        <f ca="1">CELL("contenu",INDIRECT(ADDRESS(ref!$K$8,ref!F5,1,,CELL("contenu",$AC$2))))</f>
        <v/>
      </c>
      <c r="X6" s="30" t="str">
        <f ca="1">CELL("contenu",INDIRECT(ADDRESS(ref!$K$8,ref!G5,1,,CELL("contenu",$AC$2))))</f>
        <v/>
      </c>
      <c r="Y6" s="6" t="str">
        <f ca="1">CELL("contenu",INDIRECT(ADDRESS(ref!$K$9,ref!H5,1,,CELL("contenu",$AC$2))))</f>
        <v/>
      </c>
      <c r="Z6" s="3" t="str">
        <f ca="1">CELL("contenu",INDIRECT(ADDRESS(ref!$K$10,ref!H5,1,,CELL("contenu",$AC$2))))</f>
        <v>A</v>
      </c>
      <c r="AA6" s="7" t="str">
        <f ca="1">CELL("contenu",INDIRECT(ADDRESS(ref!$K$11,ref!H5,1,,CELL("contenu",$AC$2))))</f>
        <v>B</v>
      </c>
    </row>
    <row r="7" spans="1:29" x14ac:dyDescent="0.25">
      <c r="A7" s="44" t="str">
        <f t="shared" ca="1" si="0"/>
        <v>BRARD Ulysse</v>
      </c>
      <c r="B7" s="1" t="str">
        <f ca="1">CELL("contenu",INDIRECT(ADDRESS(ref!$K$3,ref!E6,1,,CELL("contenu",$AC$2))))</f>
        <v/>
      </c>
      <c r="C7" s="2" t="str">
        <f ca="1">CELL("contenu",INDIRECT(ADDRESS(ref!$K$3,ref!F6,1,,CELL("contenu",$AC$2))))</f>
        <v/>
      </c>
      <c r="D7" s="3" t="str">
        <f ca="1">CELL("contenu",INDIRECT(ADDRESS(ref!$K$3,ref!G6,1,,CELL("contenu",$AC$2))))</f>
        <v/>
      </c>
      <c r="E7" s="4" t="str">
        <f ca="1">CELL("contenu",INDIRECT(ADDRESS(ref!$K$3,ref!H6,1,,CELL("contenu",$AC$2))))</f>
        <v/>
      </c>
      <c r="F7" s="5" t="str">
        <f ca="1">CELL("contenu",INDIRECT(ADDRESS(ref!$K$4,ref!E6,1,,CELL("contenu",$AC$2))))</f>
        <v>A</v>
      </c>
      <c r="G7" s="2" t="str">
        <f ca="1">CELL("contenu",INDIRECT(ADDRESS(ref!$K$4,ref!F6,1,,CELL("contenu",$AC$2))))</f>
        <v/>
      </c>
      <c r="H7" s="3" t="str">
        <f ca="1">CELL("contenu",INDIRECT(ADDRESS(ref!$K$4,ref!G6,1,,CELL("contenu",$AC$2))))</f>
        <v/>
      </c>
      <c r="I7" s="4" t="str">
        <f ca="1">CELL("contenu",INDIRECT(ADDRESS(ref!$K$4,ref!H6,1,,CELL("contenu",$AC$2))))</f>
        <v>A</v>
      </c>
      <c r="J7" s="5" t="str">
        <f ca="1">CELL("contenu",INDIRECT(ADDRESS(ref!$K$5,ref!E6,1,,CELL("contenu",$AC$2))))</f>
        <v>A</v>
      </c>
      <c r="K7" s="2" t="str">
        <f ca="1">CELL("contenu",INDIRECT(ADDRESS(ref!$K$5,ref!F6,1,,CELL("contenu",$AC$2))))</f>
        <v/>
      </c>
      <c r="L7" s="3" t="str">
        <f ca="1">CELL("contenu",INDIRECT(ADDRESS(ref!$K$5,ref!G6,1,,CELL("contenu",$AC$2))))</f>
        <v/>
      </c>
      <c r="M7" s="4" t="str">
        <f ca="1">CELL("contenu",INDIRECT(ADDRESS(ref!$K$5,ref!H6,1,,CELL("contenu",$AC$2))))</f>
        <v>A</v>
      </c>
      <c r="N7" s="5" t="str">
        <f ca="1">CELL("contenu",INDIRECT(ADDRESS(ref!$K$6,ref!E6,1,,CELL("contenu",$AC$2))))</f>
        <v>A</v>
      </c>
      <c r="O7" s="2" t="str">
        <f ca="1">CELL("contenu",INDIRECT(ADDRESS(ref!$K$6,ref!F6,1,,CELL("contenu",$AC$2))))</f>
        <v/>
      </c>
      <c r="P7" s="3" t="str">
        <f ca="1">CELL("contenu",INDIRECT(ADDRESS(ref!$K$6,ref!G6,1,,CELL("contenu",$AC$2))))</f>
        <v/>
      </c>
      <c r="Q7" s="4" t="str">
        <f ca="1">CELL("contenu",INDIRECT(ADDRESS(ref!$K$6,ref!H6,1,,CELL("contenu",$AC$2))))</f>
        <v>A</v>
      </c>
      <c r="R7" s="5" t="str">
        <f ca="1">CELL("contenu",INDIRECT(ADDRESS(ref!$K$7,ref!E6,1,,CELL("contenu",$AC$2))))</f>
        <v>A</v>
      </c>
      <c r="S7" s="2" t="str">
        <f ca="1">CELL("contenu",INDIRECT(ADDRESS(ref!$K$7,ref!F6,1,,CELL("contenu",$AC$2))))</f>
        <v/>
      </c>
      <c r="T7" s="3" t="str">
        <f ca="1">CELL("contenu",INDIRECT(ADDRESS(ref!$K$7,ref!G6,1,,CELL("contenu",$AC$2))))</f>
        <v/>
      </c>
      <c r="U7" s="4" t="str">
        <f ca="1">CELL("contenu",INDIRECT(ADDRESS(ref!$K$7,ref!H6,1,,CELL("contenu",$AC$2))))</f>
        <v>A</v>
      </c>
      <c r="V7" s="28">
        <f ca="1">CELL("contenu",INDIRECT(ADDRESS(ref!$K$8,ref!E6,1,,CELL("contenu",$AC$2))))</f>
        <v>20</v>
      </c>
      <c r="W7" s="29" t="str">
        <f ca="1">CELL("contenu",INDIRECT(ADDRESS(ref!$K$8,ref!F6,1,,CELL("contenu",$AC$2))))</f>
        <v/>
      </c>
      <c r="X7" s="30" t="str">
        <f ca="1">CELL("contenu",INDIRECT(ADDRESS(ref!$K$8,ref!G6,1,,CELL("contenu",$AC$2))))</f>
        <v/>
      </c>
      <c r="Y7" s="6" t="str">
        <f ca="1">CELL("contenu",INDIRECT(ADDRESS(ref!$K$9,ref!H6,1,,CELL("contenu",$AC$2))))</f>
        <v/>
      </c>
      <c r="Z7" s="3" t="str">
        <f ca="1">CELL("contenu",INDIRECT(ADDRESS(ref!$K$10,ref!H6,1,,CELL("contenu",$AC$2))))</f>
        <v>A</v>
      </c>
      <c r="AA7" s="7" t="str">
        <f ca="1">CELL("contenu",INDIRECT(ADDRESS(ref!$K$11,ref!H6,1,,CELL("contenu",$AC$2))))</f>
        <v>A</v>
      </c>
    </row>
    <row r="8" spans="1:29" x14ac:dyDescent="0.25">
      <c r="A8" s="44" t="str">
        <f t="shared" ca="1" si="0"/>
        <v>BRAZILIER Gatien</v>
      </c>
      <c r="B8" s="1" t="str">
        <f ca="1">CELL("contenu",INDIRECT(ADDRESS(ref!$K$3,ref!E7,1,,CELL("contenu",$AC$2))))</f>
        <v/>
      </c>
      <c r="C8" s="2" t="str">
        <f ca="1">CELL("contenu",INDIRECT(ADDRESS(ref!$K$3,ref!F7,1,,CELL("contenu",$AC$2))))</f>
        <v/>
      </c>
      <c r="D8" s="3" t="str">
        <f ca="1">CELL("contenu",INDIRECT(ADDRESS(ref!$K$3,ref!G7,1,,CELL("contenu",$AC$2))))</f>
        <v/>
      </c>
      <c r="E8" s="4" t="str">
        <f ca="1">CELL("contenu",INDIRECT(ADDRESS(ref!$K$3,ref!H7,1,,CELL("contenu",$AC$2))))</f>
        <v/>
      </c>
      <c r="F8" s="5" t="str">
        <f ca="1">CELL("contenu",INDIRECT(ADDRESS(ref!$K$4,ref!E7,1,,CELL("contenu",$AC$2))))</f>
        <v>C</v>
      </c>
      <c r="G8" s="2" t="str">
        <f ca="1">CELL("contenu",INDIRECT(ADDRESS(ref!$K$4,ref!F7,1,,CELL("contenu",$AC$2))))</f>
        <v/>
      </c>
      <c r="H8" s="3" t="str">
        <f ca="1">CELL("contenu",INDIRECT(ADDRESS(ref!$K$4,ref!G7,1,,CELL("contenu",$AC$2))))</f>
        <v/>
      </c>
      <c r="I8" s="4" t="str">
        <f ca="1">CELL("contenu",INDIRECT(ADDRESS(ref!$K$4,ref!H7,1,,CELL("contenu",$AC$2))))</f>
        <v>C</v>
      </c>
      <c r="J8" s="5" t="str">
        <f ca="1">CELL("contenu",INDIRECT(ADDRESS(ref!$K$5,ref!E7,1,,CELL("contenu",$AC$2))))</f>
        <v>B</v>
      </c>
      <c r="K8" s="2" t="str">
        <f ca="1">CELL("contenu",INDIRECT(ADDRESS(ref!$K$5,ref!F7,1,,CELL("contenu",$AC$2))))</f>
        <v/>
      </c>
      <c r="L8" s="3" t="str">
        <f ca="1">CELL("contenu",INDIRECT(ADDRESS(ref!$K$5,ref!G7,1,,CELL("contenu",$AC$2))))</f>
        <v/>
      </c>
      <c r="M8" s="4" t="str">
        <f ca="1">CELL("contenu",INDIRECT(ADDRESS(ref!$K$5,ref!H7,1,,CELL("contenu",$AC$2))))</f>
        <v>B</v>
      </c>
      <c r="N8" s="5" t="str">
        <f ca="1">CELL("contenu",INDIRECT(ADDRESS(ref!$K$6,ref!E7,1,,CELL("contenu",$AC$2))))</f>
        <v>B</v>
      </c>
      <c r="O8" s="2" t="str">
        <f ca="1">CELL("contenu",INDIRECT(ADDRESS(ref!$K$6,ref!F7,1,,CELL("contenu",$AC$2))))</f>
        <v/>
      </c>
      <c r="P8" s="3" t="str">
        <f ca="1">CELL("contenu",INDIRECT(ADDRESS(ref!$K$6,ref!G7,1,,CELL("contenu",$AC$2))))</f>
        <v/>
      </c>
      <c r="Q8" s="4" t="str">
        <f ca="1">CELL("contenu",INDIRECT(ADDRESS(ref!$K$6,ref!H7,1,,CELL("contenu",$AC$2))))</f>
        <v>B</v>
      </c>
      <c r="R8" s="5" t="str">
        <f ca="1">CELL("contenu",INDIRECT(ADDRESS(ref!$K$7,ref!E7,1,,CELL("contenu",$AC$2))))</f>
        <v>A</v>
      </c>
      <c r="S8" s="2" t="str">
        <f ca="1">CELL("contenu",INDIRECT(ADDRESS(ref!$K$7,ref!F7,1,,CELL("contenu",$AC$2))))</f>
        <v/>
      </c>
      <c r="T8" s="3" t="str">
        <f ca="1">CELL("contenu",INDIRECT(ADDRESS(ref!$K$7,ref!G7,1,,CELL("contenu",$AC$2))))</f>
        <v/>
      </c>
      <c r="U8" s="4" t="str">
        <f ca="1">CELL("contenu",INDIRECT(ADDRESS(ref!$K$7,ref!H7,1,,CELL("contenu",$AC$2))))</f>
        <v>A</v>
      </c>
      <c r="V8" s="28">
        <f ca="1">CELL("contenu",INDIRECT(ADDRESS(ref!$K$8,ref!E7,1,,CELL("contenu",$AC$2))))</f>
        <v>15</v>
      </c>
      <c r="W8" s="29" t="str">
        <f ca="1">CELL("contenu",INDIRECT(ADDRESS(ref!$K$8,ref!F7,1,,CELL("contenu",$AC$2))))</f>
        <v/>
      </c>
      <c r="X8" s="30" t="str">
        <f ca="1">CELL("contenu",INDIRECT(ADDRESS(ref!$K$8,ref!G7,1,,CELL("contenu",$AC$2))))</f>
        <v/>
      </c>
      <c r="Y8" s="6" t="str">
        <f ca="1">CELL("contenu",INDIRECT(ADDRESS(ref!$K$9,ref!H7,1,,CELL("contenu",$AC$2))))</f>
        <v/>
      </c>
      <c r="Z8" s="3" t="str">
        <f ca="1">CELL("contenu",INDIRECT(ADDRESS(ref!$K$10,ref!H7,1,,CELL("contenu",$AC$2))))</f>
        <v>B</v>
      </c>
      <c r="AA8" s="7" t="str">
        <f ca="1">CELL("contenu",INDIRECT(ADDRESS(ref!$K$11,ref!H7,1,,CELL("contenu",$AC$2))))</f>
        <v>B</v>
      </c>
    </row>
    <row r="9" spans="1:29" x14ac:dyDescent="0.25">
      <c r="A9" s="44" t="str">
        <f t="shared" ca="1" si="0"/>
        <v>CURIAL Marie</v>
      </c>
      <c r="B9" s="1" t="str">
        <f ca="1">CELL("contenu",INDIRECT(ADDRESS(ref!$K$3,ref!E8,1,,CELL("contenu",$AC$2))))</f>
        <v/>
      </c>
      <c r="C9" s="2" t="str">
        <f ca="1">CELL("contenu",INDIRECT(ADDRESS(ref!$K$3,ref!F8,1,,CELL("contenu",$AC$2))))</f>
        <v/>
      </c>
      <c r="D9" s="3" t="str">
        <f ca="1">CELL("contenu",INDIRECT(ADDRESS(ref!$K$3,ref!G8,1,,CELL("contenu",$AC$2))))</f>
        <v/>
      </c>
      <c r="E9" s="4" t="str">
        <f ca="1">CELL("contenu",INDIRECT(ADDRESS(ref!$K$3,ref!H8,1,,CELL("contenu",$AC$2))))</f>
        <v/>
      </c>
      <c r="F9" s="5" t="str">
        <f ca="1">CELL("contenu",INDIRECT(ADDRESS(ref!$K$4,ref!E8,1,,CELL("contenu",$AC$2))))</f>
        <v>C</v>
      </c>
      <c r="G9" s="2" t="str">
        <f ca="1">CELL("contenu",INDIRECT(ADDRESS(ref!$K$4,ref!F8,1,,CELL("contenu",$AC$2))))</f>
        <v/>
      </c>
      <c r="H9" s="3" t="str">
        <f ca="1">CELL("contenu",INDIRECT(ADDRESS(ref!$K$4,ref!G8,1,,CELL("contenu",$AC$2))))</f>
        <v/>
      </c>
      <c r="I9" s="4" t="str">
        <f ca="1">CELL("contenu",INDIRECT(ADDRESS(ref!$K$4,ref!H8,1,,CELL("contenu",$AC$2))))</f>
        <v>C</v>
      </c>
      <c r="J9" s="5" t="str">
        <f ca="1">CELL("contenu",INDIRECT(ADDRESS(ref!$K$5,ref!E8,1,,CELL("contenu",$AC$2))))</f>
        <v>A</v>
      </c>
      <c r="K9" s="2" t="str">
        <f ca="1">CELL("contenu",INDIRECT(ADDRESS(ref!$K$5,ref!F8,1,,CELL("contenu",$AC$2))))</f>
        <v/>
      </c>
      <c r="L9" s="3" t="str">
        <f ca="1">CELL("contenu",INDIRECT(ADDRESS(ref!$K$5,ref!G8,1,,CELL("contenu",$AC$2))))</f>
        <v/>
      </c>
      <c r="M9" s="4" t="str">
        <f ca="1">CELL("contenu",INDIRECT(ADDRESS(ref!$K$5,ref!H8,1,,CELL("contenu",$AC$2))))</f>
        <v>A</v>
      </c>
      <c r="N9" s="5" t="str">
        <f ca="1">CELL("contenu",INDIRECT(ADDRESS(ref!$K$6,ref!E8,1,,CELL("contenu",$AC$2))))</f>
        <v>B</v>
      </c>
      <c r="O9" s="2" t="str">
        <f ca="1">CELL("contenu",INDIRECT(ADDRESS(ref!$K$6,ref!F8,1,,CELL("contenu",$AC$2))))</f>
        <v/>
      </c>
      <c r="P9" s="3" t="str">
        <f ca="1">CELL("contenu",INDIRECT(ADDRESS(ref!$K$6,ref!G8,1,,CELL("contenu",$AC$2))))</f>
        <v/>
      </c>
      <c r="Q9" s="4" t="str">
        <f ca="1">CELL("contenu",INDIRECT(ADDRESS(ref!$K$6,ref!H8,1,,CELL("contenu",$AC$2))))</f>
        <v>B</v>
      </c>
      <c r="R9" s="5" t="str">
        <f ca="1">CELL("contenu",INDIRECT(ADDRESS(ref!$K$7,ref!E8,1,,CELL("contenu",$AC$2))))</f>
        <v>A</v>
      </c>
      <c r="S9" s="2" t="str">
        <f ca="1">CELL("contenu",INDIRECT(ADDRESS(ref!$K$7,ref!F8,1,,CELL("contenu",$AC$2))))</f>
        <v/>
      </c>
      <c r="T9" s="3" t="str">
        <f ca="1">CELL("contenu",INDIRECT(ADDRESS(ref!$K$7,ref!G8,1,,CELL("contenu",$AC$2))))</f>
        <v/>
      </c>
      <c r="U9" s="4" t="str">
        <f ca="1">CELL("contenu",INDIRECT(ADDRESS(ref!$K$7,ref!H8,1,,CELL("contenu",$AC$2))))</f>
        <v>A</v>
      </c>
      <c r="V9" s="28">
        <f ca="1">CELL("contenu",INDIRECT(ADDRESS(ref!$K$8,ref!E8,1,,CELL("contenu",$AC$2))))</f>
        <v>15</v>
      </c>
      <c r="W9" s="29" t="str">
        <f ca="1">CELL("contenu",INDIRECT(ADDRESS(ref!$K$8,ref!F8,1,,CELL("contenu",$AC$2))))</f>
        <v/>
      </c>
      <c r="X9" s="30" t="str">
        <f ca="1">CELL("contenu",INDIRECT(ADDRESS(ref!$K$8,ref!G8,1,,CELL("contenu",$AC$2))))</f>
        <v/>
      </c>
      <c r="Y9" s="6" t="str">
        <f ca="1">CELL("contenu",INDIRECT(ADDRESS(ref!$K$9,ref!H8,1,,CELL("contenu",$AC$2))))</f>
        <v/>
      </c>
      <c r="Z9" s="3" t="str">
        <f ca="1">CELL("contenu",INDIRECT(ADDRESS(ref!$K$10,ref!H8,1,,CELL("contenu",$AC$2))))</f>
        <v>A</v>
      </c>
      <c r="AA9" s="7" t="str">
        <f ca="1">CELL("contenu",INDIRECT(ADDRESS(ref!$K$11,ref!H8,1,,CELL("contenu",$AC$2))))</f>
        <v>B</v>
      </c>
    </row>
    <row r="10" spans="1:29" x14ac:dyDescent="0.25">
      <c r="A10" s="44" t="str">
        <f t="shared" ca="1" si="0"/>
        <v>DOULCET Louis</v>
      </c>
      <c r="B10" s="1" t="str">
        <f ca="1">CELL("contenu",INDIRECT(ADDRESS(ref!$K$3,ref!E9,1,,CELL("contenu",$AC$2))))</f>
        <v/>
      </c>
      <c r="C10" s="2" t="str">
        <f ca="1">CELL("contenu",INDIRECT(ADDRESS(ref!$K$3,ref!F9,1,,CELL("contenu",$AC$2))))</f>
        <v/>
      </c>
      <c r="D10" s="3" t="str">
        <f ca="1">CELL("contenu",INDIRECT(ADDRESS(ref!$K$3,ref!G9,1,,CELL("contenu",$AC$2))))</f>
        <v/>
      </c>
      <c r="E10" s="4" t="str">
        <f ca="1">CELL("contenu",INDIRECT(ADDRESS(ref!$K$3,ref!H9,1,,CELL("contenu",$AC$2))))</f>
        <v/>
      </c>
      <c r="F10" s="5" t="str">
        <f ca="1">CELL("contenu",INDIRECT(ADDRESS(ref!$K$4,ref!E9,1,,CELL("contenu",$AC$2))))</f>
        <v/>
      </c>
      <c r="G10" s="2" t="str">
        <f ca="1">CELL("contenu",INDIRECT(ADDRESS(ref!$K$4,ref!F9,1,,CELL("contenu",$AC$2))))</f>
        <v/>
      </c>
      <c r="H10" s="3" t="str">
        <f ca="1">CELL("contenu",INDIRECT(ADDRESS(ref!$K$4,ref!G9,1,,CELL("contenu",$AC$2))))</f>
        <v/>
      </c>
      <c r="I10" s="4" t="str">
        <f ca="1">CELL("contenu",INDIRECT(ADDRESS(ref!$K$4,ref!H9,1,,CELL("contenu",$AC$2))))</f>
        <v/>
      </c>
      <c r="J10" s="5" t="str">
        <f ca="1">CELL("contenu",INDIRECT(ADDRESS(ref!$K$5,ref!E9,1,,CELL("contenu",$AC$2))))</f>
        <v/>
      </c>
      <c r="K10" s="2" t="str">
        <f ca="1">CELL("contenu",INDIRECT(ADDRESS(ref!$K$5,ref!F9,1,,CELL("contenu",$AC$2))))</f>
        <v/>
      </c>
      <c r="L10" s="3" t="str">
        <f ca="1">CELL("contenu",INDIRECT(ADDRESS(ref!$K$5,ref!G9,1,,CELL("contenu",$AC$2))))</f>
        <v/>
      </c>
      <c r="M10" s="4" t="str">
        <f ca="1">CELL("contenu",INDIRECT(ADDRESS(ref!$K$5,ref!H9,1,,CELL("contenu",$AC$2))))</f>
        <v/>
      </c>
      <c r="N10" s="5" t="str">
        <f ca="1">CELL("contenu",INDIRECT(ADDRESS(ref!$K$6,ref!E9,1,,CELL("contenu",$AC$2))))</f>
        <v/>
      </c>
      <c r="O10" s="2" t="str">
        <f ca="1">CELL("contenu",INDIRECT(ADDRESS(ref!$K$6,ref!F9,1,,CELL("contenu",$AC$2))))</f>
        <v/>
      </c>
      <c r="P10" s="3" t="str">
        <f ca="1">CELL("contenu",INDIRECT(ADDRESS(ref!$K$6,ref!G9,1,,CELL("contenu",$AC$2))))</f>
        <v/>
      </c>
      <c r="Q10" s="4" t="str">
        <f ca="1">CELL("contenu",INDIRECT(ADDRESS(ref!$K$6,ref!H9,1,,CELL("contenu",$AC$2))))</f>
        <v/>
      </c>
      <c r="R10" s="5" t="str">
        <f ca="1">CELL("contenu",INDIRECT(ADDRESS(ref!$K$7,ref!E9,1,,CELL("contenu",$AC$2))))</f>
        <v/>
      </c>
      <c r="S10" s="2" t="str">
        <f ca="1">CELL("contenu",INDIRECT(ADDRESS(ref!$K$7,ref!F9,1,,CELL("contenu",$AC$2))))</f>
        <v/>
      </c>
      <c r="T10" s="3" t="str">
        <f ca="1">CELL("contenu",INDIRECT(ADDRESS(ref!$K$7,ref!G9,1,,CELL("contenu",$AC$2))))</f>
        <v/>
      </c>
      <c r="U10" s="4" t="str">
        <f ca="1">CELL("contenu",INDIRECT(ADDRESS(ref!$K$7,ref!H9,1,,CELL("contenu",$AC$2))))</f>
        <v/>
      </c>
      <c r="V10" s="28" t="str">
        <f ca="1">CELL("contenu",INDIRECT(ADDRESS(ref!$K$8,ref!E9,1,,CELL("contenu",$AC$2))))</f>
        <v/>
      </c>
      <c r="W10" s="29" t="str">
        <f ca="1">CELL("contenu",INDIRECT(ADDRESS(ref!$K$8,ref!F9,1,,CELL("contenu",$AC$2))))</f>
        <v/>
      </c>
      <c r="X10" s="30" t="str">
        <f ca="1">CELL("contenu",INDIRECT(ADDRESS(ref!$K$8,ref!G9,1,,CELL("contenu",$AC$2))))</f>
        <v/>
      </c>
      <c r="Y10" s="6" t="str">
        <f ca="1">CELL("contenu",INDIRECT(ADDRESS(ref!$K$9,ref!H9,1,,CELL("contenu",$AC$2))))</f>
        <v/>
      </c>
      <c r="Z10" s="3" t="str">
        <f ca="1">CELL("contenu",INDIRECT(ADDRESS(ref!$K$10,ref!H9,1,,CELL("contenu",$AC$2))))</f>
        <v/>
      </c>
      <c r="AA10" s="7" t="str">
        <f ca="1">CELL("contenu",INDIRECT(ADDRESS(ref!$K$11,ref!H9,1,,CELL("contenu",$AC$2))))</f>
        <v/>
      </c>
    </row>
    <row r="11" spans="1:29" x14ac:dyDescent="0.25">
      <c r="A11" s="44" t="str">
        <f t="shared" ca="1" si="0"/>
        <v>DUPEYRON Vincent</v>
      </c>
      <c r="B11" s="1" t="str">
        <f ca="1">CELL("contenu",INDIRECT(ADDRESS(ref!$K$3,ref!E10,1,,CELL("contenu",$AC$2))))</f>
        <v/>
      </c>
      <c r="C11" s="2" t="str">
        <f ca="1">CELL("contenu",INDIRECT(ADDRESS(ref!$K$3,ref!F10,1,,CELL("contenu",$AC$2))))</f>
        <v/>
      </c>
      <c r="D11" s="3" t="str">
        <f ca="1">CELL("contenu",INDIRECT(ADDRESS(ref!$K$3,ref!G10,1,,CELL("contenu",$AC$2))))</f>
        <v/>
      </c>
      <c r="E11" s="4" t="str">
        <f ca="1">CELL("contenu",INDIRECT(ADDRESS(ref!$K$3,ref!H10,1,,CELL("contenu",$AC$2))))</f>
        <v/>
      </c>
      <c r="F11" s="5" t="str">
        <f ca="1">CELL("contenu",INDIRECT(ADDRESS(ref!$K$4,ref!E10,1,,CELL("contenu",$AC$2))))</f>
        <v>A</v>
      </c>
      <c r="G11" s="2" t="str">
        <f ca="1">CELL("contenu",INDIRECT(ADDRESS(ref!$K$4,ref!F10,1,,CELL("contenu",$AC$2))))</f>
        <v/>
      </c>
      <c r="H11" s="3" t="str">
        <f ca="1">CELL("contenu",INDIRECT(ADDRESS(ref!$K$4,ref!G10,1,,CELL("contenu",$AC$2))))</f>
        <v/>
      </c>
      <c r="I11" s="4" t="str">
        <f ca="1">CELL("contenu",INDIRECT(ADDRESS(ref!$K$4,ref!H10,1,,CELL("contenu",$AC$2))))</f>
        <v>A</v>
      </c>
      <c r="J11" s="5" t="str">
        <f ca="1">CELL("contenu",INDIRECT(ADDRESS(ref!$K$5,ref!E10,1,,CELL("contenu",$AC$2))))</f>
        <v>C</v>
      </c>
      <c r="K11" s="2" t="str">
        <f ca="1">CELL("contenu",INDIRECT(ADDRESS(ref!$K$5,ref!F10,1,,CELL("contenu",$AC$2))))</f>
        <v/>
      </c>
      <c r="L11" s="3" t="str">
        <f ca="1">CELL("contenu",INDIRECT(ADDRESS(ref!$K$5,ref!G10,1,,CELL("contenu",$AC$2))))</f>
        <v/>
      </c>
      <c r="M11" s="4" t="str">
        <f ca="1">CELL("contenu",INDIRECT(ADDRESS(ref!$K$5,ref!H10,1,,CELL("contenu",$AC$2))))</f>
        <v>C</v>
      </c>
      <c r="N11" s="5" t="str">
        <f ca="1">CELL("contenu",INDIRECT(ADDRESS(ref!$K$6,ref!E10,1,,CELL("contenu",$AC$2))))</f>
        <v>B</v>
      </c>
      <c r="O11" s="2" t="str">
        <f ca="1">CELL("contenu",INDIRECT(ADDRESS(ref!$K$6,ref!F10,1,,CELL("contenu",$AC$2))))</f>
        <v/>
      </c>
      <c r="P11" s="3" t="str">
        <f ca="1">CELL("contenu",INDIRECT(ADDRESS(ref!$K$6,ref!G10,1,,CELL("contenu",$AC$2))))</f>
        <v/>
      </c>
      <c r="Q11" s="4" t="str">
        <f ca="1">CELL("contenu",INDIRECT(ADDRESS(ref!$K$6,ref!H10,1,,CELL("contenu",$AC$2))))</f>
        <v>B</v>
      </c>
      <c r="R11" s="5" t="str">
        <f ca="1">CELL("contenu",INDIRECT(ADDRESS(ref!$K$7,ref!E10,1,,CELL("contenu",$AC$2))))</f>
        <v>A</v>
      </c>
      <c r="S11" s="2" t="str">
        <f ca="1">CELL("contenu",INDIRECT(ADDRESS(ref!$K$7,ref!F10,1,,CELL("contenu",$AC$2))))</f>
        <v/>
      </c>
      <c r="T11" s="3" t="str">
        <f ca="1">CELL("contenu",INDIRECT(ADDRESS(ref!$K$7,ref!G10,1,,CELL("contenu",$AC$2))))</f>
        <v/>
      </c>
      <c r="U11" s="4" t="str">
        <f ca="1">CELL("contenu",INDIRECT(ADDRESS(ref!$K$7,ref!H10,1,,CELL("contenu",$AC$2))))</f>
        <v>A</v>
      </c>
      <c r="V11" s="28">
        <f ca="1">CELL("contenu",INDIRECT(ADDRESS(ref!$K$8,ref!E10,1,,CELL("contenu",$AC$2))))</f>
        <v>16.666666666666668</v>
      </c>
      <c r="W11" s="29" t="str">
        <f ca="1">CELL("contenu",INDIRECT(ADDRESS(ref!$K$8,ref!F10,1,,CELL("contenu",$AC$2))))</f>
        <v/>
      </c>
      <c r="X11" s="30" t="str">
        <f ca="1">CELL("contenu",INDIRECT(ADDRESS(ref!$K$8,ref!G10,1,,CELL("contenu",$AC$2))))</f>
        <v/>
      </c>
      <c r="Y11" s="6" t="str">
        <f ca="1">CELL("contenu",INDIRECT(ADDRESS(ref!$K$9,ref!H10,1,,CELL("contenu",$AC$2))))</f>
        <v/>
      </c>
      <c r="Z11" s="3" t="str">
        <f ca="1">CELL("contenu",INDIRECT(ADDRESS(ref!$K$10,ref!H10,1,,CELL("contenu",$AC$2))))</f>
        <v>C</v>
      </c>
      <c r="AA11" s="7" t="str">
        <f ca="1">CELL("contenu",INDIRECT(ADDRESS(ref!$K$11,ref!H10,1,,CELL("contenu",$AC$2))))</f>
        <v>B</v>
      </c>
    </row>
    <row r="12" spans="1:29" x14ac:dyDescent="0.25">
      <c r="A12" s="44" t="str">
        <f t="shared" ca="1" si="0"/>
        <v>DURLIN Constance</v>
      </c>
      <c r="B12" s="1" t="str">
        <f ca="1">CELL("contenu",INDIRECT(ADDRESS(ref!$K$3,ref!E11,1,,CELL("contenu",$AC$2))))</f>
        <v/>
      </c>
      <c r="C12" s="2" t="str">
        <f ca="1">CELL("contenu",INDIRECT(ADDRESS(ref!$K$3,ref!F11,1,,CELL("contenu",$AC$2))))</f>
        <v/>
      </c>
      <c r="D12" s="3" t="str">
        <f ca="1">CELL("contenu",INDIRECT(ADDRESS(ref!$K$3,ref!G11,1,,CELL("contenu",$AC$2))))</f>
        <v/>
      </c>
      <c r="E12" s="4" t="str">
        <f ca="1">CELL("contenu",INDIRECT(ADDRESS(ref!$K$3,ref!H11,1,,CELL("contenu",$AC$2))))</f>
        <v/>
      </c>
      <c r="F12" s="5" t="str">
        <f ca="1">CELL("contenu",INDIRECT(ADDRESS(ref!$K$4,ref!E11,1,,CELL("contenu",$AC$2))))</f>
        <v>B</v>
      </c>
      <c r="G12" s="2" t="str">
        <f ca="1">CELL("contenu",INDIRECT(ADDRESS(ref!$K$4,ref!F11,1,,CELL("contenu",$AC$2))))</f>
        <v/>
      </c>
      <c r="H12" s="3" t="str">
        <f ca="1">CELL("contenu",INDIRECT(ADDRESS(ref!$K$4,ref!G11,1,,CELL("contenu",$AC$2))))</f>
        <v/>
      </c>
      <c r="I12" s="4" t="str">
        <f ca="1">CELL("contenu",INDIRECT(ADDRESS(ref!$K$4,ref!H11,1,,CELL("contenu",$AC$2))))</f>
        <v>B</v>
      </c>
      <c r="J12" s="5" t="str">
        <f ca="1">CELL("contenu",INDIRECT(ADDRESS(ref!$K$5,ref!E11,1,,CELL("contenu",$AC$2))))</f>
        <v>A</v>
      </c>
      <c r="K12" s="2" t="str">
        <f ca="1">CELL("contenu",INDIRECT(ADDRESS(ref!$K$5,ref!F11,1,,CELL("contenu",$AC$2))))</f>
        <v/>
      </c>
      <c r="L12" s="3" t="str">
        <f ca="1">CELL("contenu",INDIRECT(ADDRESS(ref!$K$5,ref!G11,1,,CELL("contenu",$AC$2))))</f>
        <v/>
      </c>
      <c r="M12" s="4" t="str">
        <f ca="1">CELL("contenu",INDIRECT(ADDRESS(ref!$K$5,ref!H11,1,,CELL("contenu",$AC$2))))</f>
        <v>A</v>
      </c>
      <c r="N12" s="5" t="str">
        <f ca="1">CELL("contenu",INDIRECT(ADDRESS(ref!$K$6,ref!E11,1,,CELL("contenu",$AC$2))))</f>
        <v>C</v>
      </c>
      <c r="O12" s="2" t="str">
        <f ca="1">CELL("contenu",INDIRECT(ADDRESS(ref!$K$6,ref!F11,1,,CELL("contenu",$AC$2))))</f>
        <v/>
      </c>
      <c r="P12" s="3" t="str">
        <f ca="1">CELL("contenu",INDIRECT(ADDRESS(ref!$K$6,ref!G11,1,,CELL("contenu",$AC$2))))</f>
        <v/>
      </c>
      <c r="Q12" s="4" t="str">
        <f ca="1">CELL("contenu",INDIRECT(ADDRESS(ref!$K$6,ref!H11,1,,CELL("contenu",$AC$2))))</f>
        <v>C</v>
      </c>
      <c r="R12" s="5" t="str">
        <f ca="1">CELL("contenu",INDIRECT(ADDRESS(ref!$K$7,ref!E11,1,,CELL("contenu",$AC$2))))</f>
        <v>A</v>
      </c>
      <c r="S12" s="2" t="str">
        <f ca="1">CELL("contenu",INDIRECT(ADDRESS(ref!$K$7,ref!F11,1,,CELL("contenu",$AC$2))))</f>
        <v/>
      </c>
      <c r="T12" s="3" t="str">
        <f ca="1">CELL("contenu",INDIRECT(ADDRESS(ref!$K$7,ref!G11,1,,CELL("contenu",$AC$2))))</f>
        <v/>
      </c>
      <c r="U12" s="4" t="str">
        <f ca="1">CELL("contenu",INDIRECT(ADDRESS(ref!$K$7,ref!H11,1,,CELL("contenu",$AC$2))))</f>
        <v>A</v>
      </c>
      <c r="V12" s="28">
        <f ca="1">CELL("contenu",INDIRECT(ADDRESS(ref!$K$8,ref!E11,1,,CELL("contenu",$AC$2))))</f>
        <v>15.833333333333332</v>
      </c>
      <c r="W12" s="29" t="str">
        <f ca="1">CELL("contenu",INDIRECT(ADDRESS(ref!$K$8,ref!F11,1,,CELL("contenu",$AC$2))))</f>
        <v/>
      </c>
      <c r="X12" s="30" t="str">
        <f ca="1">CELL("contenu",INDIRECT(ADDRESS(ref!$K$8,ref!G11,1,,CELL("contenu",$AC$2))))</f>
        <v/>
      </c>
      <c r="Y12" s="6" t="str">
        <f ca="1">CELL("contenu",INDIRECT(ADDRESS(ref!$K$9,ref!H11,1,,CELL("contenu",$AC$2))))</f>
        <v/>
      </c>
      <c r="Z12" s="3" t="str">
        <f ca="1">CELL("contenu",INDIRECT(ADDRESS(ref!$K$10,ref!H11,1,,CELL("contenu",$AC$2))))</f>
        <v>A</v>
      </c>
      <c r="AA12" s="7" t="str">
        <f ca="1">CELL("contenu",INDIRECT(ADDRESS(ref!$K$11,ref!H11,1,,CELL("contenu",$AC$2))))</f>
        <v>C</v>
      </c>
    </row>
    <row r="13" spans="1:29" x14ac:dyDescent="0.25">
      <c r="A13" s="44" t="str">
        <f t="shared" ca="1" si="0"/>
        <v>DUVERNAY Louis</v>
      </c>
      <c r="B13" s="1" t="str">
        <f ca="1">CELL("contenu",INDIRECT(ADDRESS(ref!$K$3,ref!E12,1,,CELL("contenu",$AC$2))))</f>
        <v/>
      </c>
      <c r="C13" s="2" t="str">
        <f ca="1">CELL("contenu",INDIRECT(ADDRESS(ref!$K$3,ref!F12,1,,CELL("contenu",$AC$2))))</f>
        <v/>
      </c>
      <c r="D13" s="3" t="str">
        <f ca="1">CELL("contenu",INDIRECT(ADDRESS(ref!$K$3,ref!G12,1,,CELL("contenu",$AC$2))))</f>
        <v/>
      </c>
      <c r="E13" s="4" t="str">
        <f ca="1">CELL("contenu",INDIRECT(ADDRESS(ref!$K$3,ref!H12,1,,CELL("contenu",$AC$2))))</f>
        <v/>
      </c>
      <c r="F13" s="5" t="str">
        <f ca="1">CELL("contenu",INDIRECT(ADDRESS(ref!$K$4,ref!E12,1,,CELL("contenu",$AC$2))))</f>
        <v>B</v>
      </c>
      <c r="G13" s="2" t="str">
        <f ca="1">CELL("contenu",INDIRECT(ADDRESS(ref!$K$4,ref!F12,1,,CELL("contenu",$AC$2))))</f>
        <v/>
      </c>
      <c r="H13" s="3" t="str">
        <f ca="1">CELL("contenu",INDIRECT(ADDRESS(ref!$K$4,ref!G12,1,,CELL("contenu",$AC$2))))</f>
        <v/>
      </c>
      <c r="I13" s="4" t="str">
        <f ca="1">CELL("contenu",INDIRECT(ADDRESS(ref!$K$4,ref!H12,1,,CELL("contenu",$AC$2))))</f>
        <v>B</v>
      </c>
      <c r="J13" s="5" t="str">
        <f ca="1">CELL("contenu",INDIRECT(ADDRESS(ref!$K$5,ref!E12,1,,CELL("contenu",$AC$2))))</f>
        <v>A</v>
      </c>
      <c r="K13" s="2" t="str">
        <f ca="1">CELL("contenu",INDIRECT(ADDRESS(ref!$K$5,ref!F12,1,,CELL("contenu",$AC$2))))</f>
        <v/>
      </c>
      <c r="L13" s="3" t="str">
        <f ca="1">CELL("contenu",INDIRECT(ADDRESS(ref!$K$5,ref!G12,1,,CELL("contenu",$AC$2))))</f>
        <v/>
      </c>
      <c r="M13" s="4" t="str">
        <f ca="1">CELL("contenu",INDIRECT(ADDRESS(ref!$K$5,ref!H12,1,,CELL("contenu",$AC$2))))</f>
        <v>A</v>
      </c>
      <c r="N13" s="5" t="str">
        <f ca="1">CELL("contenu",INDIRECT(ADDRESS(ref!$K$6,ref!E12,1,,CELL("contenu",$AC$2))))</f>
        <v>C</v>
      </c>
      <c r="O13" s="2" t="str">
        <f ca="1">CELL("contenu",INDIRECT(ADDRESS(ref!$K$6,ref!F12,1,,CELL("contenu",$AC$2))))</f>
        <v/>
      </c>
      <c r="P13" s="3" t="str">
        <f ca="1">CELL("contenu",INDIRECT(ADDRESS(ref!$K$6,ref!G12,1,,CELL("contenu",$AC$2))))</f>
        <v/>
      </c>
      <c r="Q13" s="4" t="str">
        <f ca="1">CELL("contenu",INDIRECT(ADDRESS(ref!$K$6,ref!H12,1,,CELL("contenu",$AC$2))))</f>
        <v>C</v>
      </c>
      <c r="R13" s="5" t="str">
        <f ca="1">CELL("contenu",INDIRECT(ADDRESS(ref!$K$7,ref!E12,1,,CELL("contenu",$AC$2))))</f>
        <v>A</v>
      </c>
      <c r="S13" s="2" t="str">
        <f ca="1">CELL("contenu",INDIRECT(ADDRESS(ref!$K$7,ref!F12,1,,CELL("contenu",$AC$2))))</f>
        <v/>
      </c>
      <c r="T13" s="3" t="str">
        <f ca="1">CELL("contenu",INDIRECT(ADDRESS(ref!$K$7,ref!G12,1,,CELL("contenu",$AC$2))))</f>
        <v/>
      </c>
      <c r="U13" s="4" t="str">
        <f ca="1">CELL("contenu",INDIRECT(ADDRESS(ref!$K$7,ref!H12,1,,CELL("contenu",$AC$2))))</f>
        <v>A</v>
      </c>
      <c r="V13" s="28">
        <f ca="1">CELL("contenu",INDIRECT(ADDRESS(ref!$K$8,ref!E12,1,,CELL("contenu",$AC$2))))</f>
        <v>15.833333333333332</v>
      </c>
      <c r="W13" s="29" t="str">
        <f ca="1">CELL("contenu",INDIRECT(ADDRESS(ref!$K$8,ref!F12,1,,CELL("contenu",$AC$2))))</f>
        <v/>
      </c>
      <c r="X13" s="30" t="str">
        <f ca="1">CELL("contenu",INDIRECT(ADDRESS(ref!$K$8,ref!G12,1,,CELL("contenu",$AC$2))))</f>
        <v/>
      </c>
      <c r="Y13" s="6" t="str">
        <f ca="1">CELL("contenu",INDIRECT(ADDRESS(ref!$K$9,ref!H12,1,,CELL("contenu",$AC$2))))</f>
        <v/>
      </c>
      <c r="Z13" s="3" t="str">
        <f ca="1">CELL("contenu",INDIRECT(ADDRESS(ref!$K$10,ref!H12,1,,CELL("contenu",$AC$2))))</f>
        <v>A</v>
      </c>
      <c r="AA13" s="7" t="str">
        <f ca="1">CELL("contenu",INDIRECT(ADDRESS(ref!$K$11,ref!H12,1,,CELL("contenu",$AC$2))))</f>
        <v>C</v>
      </c>
    </row>
    <row r="14" spans="1:29" x14ac:dyDescent="0.25">
      <c r="A14" s="44" t="str">
        <f t="shared" ca="1" si="0"/>
        <v>FAIVRE D'ARCIER Thibaut</v>
      </c>
      <c r="B14" s="1" t="str">
        <f ca="1">CELL("contenu",INDIRECT(ADDRESS(ref!$K$3,ref!E13,1,,CELL("contenu",$AC$2))))</f>
        <v/>
      </c>
      <c r="C14" s="2" t="str">
        <f ca="1">CELL("contenu",INDIRECT(ADDRESS(ref!$K$3,ref!F13,1,,CELL("contenu",$AC$2))))</f>
        <v/>
      </c>
      <c r="D14" s="3" t="str">
        <f ca="1">CELL("contenu",INDIRECT(ADDRESS(ref!$K$3,ref!G13,1,,CELL("contenu",$AC$2))))</f>
        <v/>
      </c>
      <c r="E14" s="4" t="str">
        <f ca="1">CELL("contenu",INDIRECT(ADDRESS(ref!$K$3,ref!H13,1,,CELL("contenu",$AC$2))))</f>
        <v/>
      </c>
      <c r="F14" s="5" t="str">
        <f ca="1">CELL("contenu",INDIRECT(ADDRESS(ref!$K$4,ref!E13,1,,CELL("contenu",$AC$2))))</f>
        <v>B</v>
      </c>
      <c r="G14" s="2" t="str">
        <f ca="1">CELL("contenu",INDIRECT(ADDRESS(ref!$K$4,ref!F13,1,,CELL("contenu",$AC$2))))</f>
        <v/>
      </c>
      <c r="H14" s="3" t="str">
        <f ca="1">CELL("contenu",INDIRECT(ADDRESS(ref!$K$4,ref!G13,1,,CELL("contenu",$AC$2))))</f>
        <v/>
      </c>
      <c r="I14" s="4" t="str">
        <f ca="1">CELL("contenu",INDIRECT(ADDRESS(ref!$K$4,ref!H13,1,,CELL("contenu",$AC$2))))</f>
        <v>B</v>
      </c>
      <c r="J14" s="5" t="str">
        <f ca="1">CELL("contenu",INDIRECT(ADDRESS(ref!$K$5,ref!E13,1,,CELL("contenu",$AC$2))))</f>
        <v>A</v>
      </c>
      <c r="K14" s="2" t="str">
        <f ca="1">CELL("contenu",INDIRECT(ADDRESS(ref!$K$5,ref!F13,1,,CELL("contenu",$AC$2))))</f>
        <v/>
      </c>
      <c r="L14" s="3" t="str">
        <f ca="1">CELL("contenu",INDIRECT(ADDRESS(ref!$K$5,ref!G13,1,,CELL("contenu",$AC$2))))</f>
        <v/>
      </c>
      <c r="M14" s="4" t="str">
        <f ca="1">CELL("contenu",INDIRECT(ADDRESS(ref!$K$5,ref!H13,1,,CELL("contenu",$AC$2))))</f>
        <v>A</v>
      </c>
      <c r="N14" s="5" t="str">
        <f ca="1">CELL("contenu",INDIRECT(ADDRESS(ref!$K$6,ref!E13,1,,CELL("contenu",$AC$2))))</f>
        <v>A</v>
      </c>
      <c r="O14" s="2" t="str">
        <f ca="1">CELL("contenu",INDIRECT(ADDRESS(ref!$K$6,ref!F13,1,,CELL("contenu",$AC$2))))</f>
        <v/>
      </c>
      <c r="P14" s="3" t="str">
        <f ca="1">CELL("contenu",INDIRECT(ADDRESS(ref!$K$6,ref!G13,1,,CELL("contenu",$AC$2))))</f>
        <v/>
      </c>
      <c r="Q14" s="4" t="str">
        <f ca="1">CELL("contenu",INDIRECT(ADDRESS(ref!$K$6,ref!H13,1,,CELL("contenu",$AC$2))))</f>
        <v>A</v>
      </c>
      <c r="R14" s="5" t="str">
        <f ca="1">CELL("contenu",INDIRECT(ADDRESS(ref!$K$7,ref!E13,1,,CELL("contenu",$AC$2))))</f>
        <v>A</v>
      </c>
      <c r="S14" s="2" t="str">
        <f ca="1">CELL("contenu",INDIRECT(ADDRESS(ref!$K$7,ref!F13,1,,CELL("contenu",$AC$2))))</f>
        <v/>
      </c>
      <c r="T14" s="3" t="str">
        <f ca="1">CELL("contenu",INDIRECT(ADDRESS(ref!$K$7,ref!G13,1,,CELL("contenu",$AC$2))))</f>
        <v/>
      </c>
      <c r="U14" s="4" t="str">
        <f ca="1">CELL("contenu",INDIRECT(ADDRESS(ref!$K$7,ref!H13,1,,CELL("contenu",$AC$2))))</f>
        <v>A</v>
      </c>
      <c r="V14" s="28">
        <f ca="1">CELL("contenu",INDIRECT(ADDRESS(ref!$K$8,ref!E13,1,,CELL("contenu",$AC$2))))</f>
        <v>18.333333333333336</v>
      </c>
      <c r="W14" s="29" t="str">
        <f ca="1">CELL("contenu",INDIRECT(ADDRESS(ref!$K$8,ref!F13,1,,CELL("contenu",$AC$2))))</f>
        <v/>
      </c>
      <c r="X14" s="30" t="str">
        <f ca="1">CELL("contenu",INDIRECT(ADDRESS(ref!$K$8,ref!G13,1,,CELL("contenu",$AC$2))))</f>
        <v/>
      </c>
      <c r="Y14" s="6" t="str">
        <f ca="1">CELL("contenu",INDIRECT(ADDRESS(ref!$K$9,ref!H13,1,,CELL("contenu",$AC$2))))</f>
        <v/>
      </c>
      <c r="Z14" s="3" t="str">
        <f ca="1">CELL("contenu",INDIRECT(ADDRESS(ref!$K$10,ref!H13,1,,CELL("contenu",$AC$2))))</f>
        <v>A</v>
      </c>
      <c r="AA14" s="7" t="str">
        <f ca="1">CELL("contenu",INDIRECT(ADDRESS(ref!$K$11,ref!H13,1,,CELL("contenu",$AC$2))))</f>
        <v>A</v>
      </c>
    </row>
    <row r="15" spans="1:29" x14ac:dyDescent="0.25">
      <c r="A15" s="44" t="str">
        <f t="shared" ca="1" si="0"/>
        <v>GAUDUCHON-REBEYROL Titouan</v>
      </c>
      <c r="B15" s="1" t="str">
        <f ca="1">CELL("contenu",INDIRECT(ADDRESS(ref!$K$3,ref!E14,1,,CELL("contenu",$AC$2))))</f>
        <v/>
      </c>
      <c r="C15" s="2" t="str">
        <f ca="1">CELL("contenu",INDIRECT(ADDRESS(ref!$K$3,ref!F14,1,,CELL("contenu",$AC$2))))</f>
        <v/>
      </c>
      <c r="D15" s="3" t="str">
        <f ca="1">CELL("contenu",INDIRECT(ADDRESS(ref!$K$3,ref!G14,1,,CELL("contenu",$AC$2))))</f>
        <v/>
      </c>
      <c r="E15" s="4" t="str">
        <f ca="1">CELL("contenu",INDIRECT(ADDRESS(ref!$K$3,ref!H14,1,,CELL("contenu",$AC$2))))</f>
        <v/>
      </c>
      <c r="F15" s="5" t="str">
        <f ca="1">CELL("contenu",INDIRECT(ADDRESS(ref!$K$4,ref!E14,1,,CELL("contenu",$AC$2))))</f>
        <v>C</v>
      </c>
      <c r="G15" s="2" t="str">
        <f ca="1">CELL("contenu",INDIRECT(ADDRESS(ref!$K$4,ref!F14,1,,CELL("contenu",$AC$2))))</f>
        <v/>
      </c>
      <c r="H15" s="3" t="str">
        <f ca="1">CELL("contenu",INDIRECT(ADDRESS(ref!$K$4,ref!G14,1,,CELL("contenu",$AC$2))))</f>
        <v/>
      </c>
      <c r="I15" s="4" t="str">
        <f ca="1">CELL("contenu",INDIRECT(ADDRESS(ref!$K$4,ref!H14,1,,CELL("contenu",$AC$2))))</f>
        <v>C</v>
      </c>
      <c r="J15" s="5" t="str">
        <f ca="1">CELL("contenu",INDIRECT(ADDRESS(ref!$K$5,ref!E14,1,,CELL("contenu",$AC$2))))</f>
        <v>A</v>
      </c>
      <c r="K15" s="2" t="str">
        <f ca="1">CELL("contenu",INDIRECT(ADDRESS(ref!$K$5,ref!F14,1,,CELL("contenu",$AC$2))))</f>
        <v/>
      </c>
      <c r="L15" s="3" t="str">
        <f ca="1">CELL("contenu",INDIRECT(ADDRESS(ref!$K$5,ref!G14,1,,CELL("contenu",$AC$2))))</f>
        <v/>
      </c>
      <c r="M15" s="4" t="str">
        <f ca="1">CELL("contenu",INDIRECT(ADDRESS(ref!$K$5,ref!H14,1,,CELL("contenu",$AC$2))))</f>
        <v>A</v>
      </c>
      <c r="N15" s="5" t="str">
        <f ca="1">CELL("contenu",INDIRECT(ADDRESS(ref!$K$6,ref!E14,1,,CELL("contenu",$AC$2))))</f>
        <v>B</v>
      </c>
      <c r="O15" s="2" t="str">
        <f ca="1">CELL("contenu",INDIRECT(ADDRESS(ref!$K$6,ref!F14,1,,CELL("contenu",$AC$2))))</f>
        <v/>
      </c>
      <c r="P15" s="3" t="str">
        <f ca="1">CELL("contenu",INDIRECT(ADDRESS(ref!$K$6,ref!G14,1,,CELL("contenu",$AC$2))))</f>
        <v/>
      </c>
      <c r="Q15" s="4" t="str">
        <f ca="1">CELL("contenu",INDIRECT(ADDRESS(ref!$K$6,ref!H14,1,,CELL("contenu",$AC$2))))</f>
        <v>B</v>
      </c>
      <c r="R15" s="5" t="str">
        <f ca="1">CELL("contenu",INDIRECT(ADDRESS(ref!$K$7,ref!E14,1,,CELL("contenu",$AC$2))))</f>
        <v>B</v>
      </c>
      <c r="S15" s="2" t="str">
        <f ca="1">CELL("contenu",INDIRECT(ADDRESS(ref!$K$7,ref!F14,1,,CELL("contenu",$AC$2))))</f>
        <v/>
      </c>
      <c r="T15" s="3" t="str">
        <f ca="1">CELL("contenu",INDIRECT(ADDRESS(ref!$K$7,ref!G14,1,,CELL("contenu",$AC$2))))</f>
        <v/>
      </c>
      <c r="U15" s="4" t="str">
        <f ca="1">CELL("contenu",INDIRECT(ADDRESS(ref!$K$7,ref!H14,1,,CELL("contenu",$AC$2))))</f>
        <v>B</v>
      </c>
      <c r="V15" s="28">
        <f ca="1">CELL("contenu",INDIRECT(ADDRESS(ref!$K$8,ref!E14,1,,CELL("contenu",$AC$2))))</f>
        <v>15</v>
      </c>
      <c r="W15" s="29" t="str">
        <f ca="1">CELL("contenu",INDIRECT(ADDRESS(ref!$K$8,ref!F14,1,,CELL("contenu",$AC$2))))</f>
        <v/>
      </c>
      <c r="X15" s="30" t="str">
        <f ca="1">CELL("contenu",INDIRECT(ADDRESS(ref!$K$8,ref!G14,1,,CELL("contenu",$AC$2))))</f>
        <v/>
      </c>
      <c r="Y15" s="6" t="str">
        <f ca="1">CELL("contenu",INDIRECT(ADDRESS(ref!$K$9,ref!H14,1,,CELL("contenu",$AC$2))))</f>
        <v/>
      </c>
      <c r="Z15" s="3" t="str">
        <f ca="1">CELL("contenu",INDIRECT(ADDRESS(ref!$K$10,ref!H14,1,,CELL("contenu",$AC$2))))</f>
        <v>A</v>
      </c>
      <c r="AA15" s="7" t="str">
        <f ca="1">CELL("contenu",INDIRECT(ADDRESS(ref!$K$11,ref!H14,1,,CELL("contenu",$AC$2))))</f>
        <v>B</v>
      </c>
    </row>
    <row r="16" spans="1:29" x14ac:dyDescent="0.25">
      <c r="A16" s="44" t="str">
        <f t="shared" ca="1" si="0"/>
        <v>GUILLAUD-VALLEE Gaspard</v>
      </c>
      <c r="B16" s="1" t="str">
        <f ca="1">CELL("contenu",INDIRECT(ADDRESS(ref!$K$3,ref!E15,1,,CELL("contenu",$AC$2))))</f>
        <v/>
      </c>
      <c r="C16" s="2" t="str">
        <f ca="1">CELL("contenu",INDIRECT(ADDRESS(ref!$K$3,ref!F15,1,,CELL("contenu",$AC$2))))</f>
        <v/>
      </c>
      <c r="D16" s="3" t="str">
        <f ca="1">CELL("contenu",INDIRECT(ADDRESS(ref!$K$3,ref!G15,1,,CELL("contenu",$AC$2))))</f>
        <v/>
      </c>
      <c r="E16" s="4" t="str">
        <f ca="1">CELL("contenu",INDIRECT(ADDRESS(ref!$K$3,ref!H15,1,,CELL("contenu",$AC$2))))</f>
        <v/>
      </c>
      <c r="F16" s="5" t="str">
        <f ca="1">CELL("contenu",INDIRECT(ADDRESS(ref!$K$4,ref!E15,1,,CELL("contenu",$AC$2))))</f>
        <v>B</v>
      </c>
      <c r="G16" s="2" t="str">
        <f ca="1">CELL("contenu",INDIRECT(ADDRESS(ref!$K$4,ref!F15,1,,CELL("contenu",$AC$2))))</f>
        <v/>
      </c>
      <c r="H16" s="3" t="str">
        <f ca="1">CELL("contenu",INDIRECT(ADDRESS(ref!$K$4,ref!G15,1,,CELL("contenu",$AC$2))))</f>
        <v/>
      </c>
      <c r="I16" s="4" t="str">
        <f ca="1">CELL("contenu",INDIRECT(ADDRESS(ref!$K$4,ref!H15,1,,CELL("contenu",$AC$2))))</f>
        <v>B</v>
      </c>
      <c r="J16" s="5" t="str">
        <f ca="1">CELL("contenu",INDIRECT(ADDRESS(ref!$K$5,ref!E15,1,,CELL("contenu",$AC$2))))</f>
        <v>A</v>
      </c>
      <c r="K16" s="2" t="str">
        <f ca="1">CELL("contenu",INDIRECT(ADDRESS(ref!$K$5,ref!F15,1,,CELL("contenu",$AC$2))))</f>
        <v/>
      </c>
      <c r="L16" s="3" t="str">
        <f ca="1">CELL("contenu",INDIRECT(ADDRESS(ref!$K$5,ref!G15,1,,CELL("contenu",$AC$2))))</f>
        <v/>
      </c>
      <c r="M16" s="4" t="str">
        <f ca="1">CELL("contenu",INDIRECT(ADDRESS(ref!$K$5,ref!H15,1,,CELL("contenu",$AC$2))))</f>
        <v>A</v>
      </c>
      <c r="N16" s="5" t="str">
        <f ca="1">CELL("contenu",INDIRECT(ADDRESS(ref!$K$6,ref!E15,1,,CELL("contenu",$AC$2))))</f>
        <v>B</v>
      </c>
      <c r="O16" s="2" t="str">
        <f ca="1">CELL("contenu",INDIRECT(ADDRESS(ref!$K$6,ref!F15,1,,CELL("contenu",$AC$2))))</f>
        <v/>
      </c>
      <c r="P16" s="3" t="str">
        <f ca="1">CELL("contenu",INDIRECT(ADDRESS(ref!$K$6,ref!G15,1,,CELL("contenu",$AC$2))))</f>
        <v/>
      </c>
      <c r="Q16" s="4" t="str">
        <f ca="1">CELL("contenu",INDIRECT(ADDRESS(ref!$K$6,ref!H15,1,,CELL("contenu",$AC$2))))</f>
        <v>B</v>
      </c>
      <c r="R16" s="5" t="str">
        <f ca="1">CELL("contenu",INDIRECT(ADDRESS(ref!$K$7,ref!E15,1,,CELL("contenu",$AC$2))))</f>
        <v>A</v>
      </c>
      <c r="S16" s="2" t="str">
        <f ca="1">CELL("contenu",INDIRECT(ADDRESS(ref!$K$7,ref!F15,1,,CELL("contenu",$AC$2))))</f>
        <v/>
      </c>
      <c r="T16" s="3" t="str">
        <f ca="1">CELL("contenu",INDIRECT(ADDRESS(ref!$K$7,ref!G15,1,,CELL("contenu",$AC$2))))</f>
        <v/>
      </c>
      <c r="U16" s="4" t="str">
        <f ca="1">CELL("contenu",INDIRECT(ADDRESS(ref!$K$7,ref!H15,1,,CELL("contenu",$AC$2))))</f>
        <v>A</v>
      </c>
      <c r="V16" s="28">
        <f ca="1">CELL("contenu",INDIRECT(ADDRESS(ref!$K$8,ref!E15,1,,CELL("contenu",$AC$2))))</f>
        <v>17.5</v>
      </c>
      <c r="W16" s="29" t="str">
        <f ca="1">CELL("contenu",INDIRECT(ADDRESS(ref!$K$8,ref!F15,1,,CELL("contenu",$AC$2))))</f>
        <v/>
      </c>
      <c r="X16" s="30" t="str">
        <f ca="1">CELL("contenu",INDIRECT(ADDRESS(ref!$K$8,ref!G15,1,,CELL("contenu",$AC$2))))</f>
        <v/>
      </c>
      <c r="Y16" s="6" t="str">
        <f ca="1">CELL("contenu",INDIRECT(ADDRESS(ref!$K$9,ref!H15,1,,CELL("contenu",$AC$2))))</f>
        <v/>
      </c>
      <c r="Z16" s="3" t="str">
        <f ca="1">CELL("contenu",INDIRECT(ADDRESS(ref!$K$10,ref!H15,1,,CELL("contenu",$AC$2))))</f>
        <v>A</v>
      </c>
      <c r="AA16" s="7" t="str">
        <f ca="1">CELL("contenu",INDIRECT(ADDRESS(ref!$K$11,ref!H15,1,,CELL("contenu",$AC$2))))</f>
        <v>B</v>
      </c>
    </row>
    <row r="17" spans="1:27" x14ac:dyDescent="0.25">
      <c r="A17" s="44" t="str">
        <f t="shared" ca="1" si="0"/>
        <v>GUINOISEAU Mathilde</v>
      </c>
      <c r="B17" s="1" t="str">
        <f ca="1">CELL("contenu",INDIRECT(ADDRESS(ref!$K$3,ref!E16,1,,CELL("contenu",$AC$2))))</f>
        <v/>
      </c>
      <c r="C17" s="2" t="str">
        <f ca="1">CELL("contenu",INDIRECT(ADDRESS(ref!$K$3,ref!F16,1,,CELL("contenu",$AC$2))))</f>
        <v/>
      </c>
      <c r="D17" s="3" t="str">
        <f ca="1">CELL("contenu",INDIRECT(ADDRESS(ref!$K$3,ref!G16,1,,CELL("contenu",$AC$2))))</f>
        <v/>
      </c>
      <c r="E17" s="4" t="str">
        <f ca="1">CELL("contenu",INDIRECT(ADDRESS(ref!$K$3,ref!H16,1,,CELL("contenu",$AC$2))))</f>
        <v/>
      </c>
      <c r="F17" s="5" t="str">
        <f ca="1">CELL("contenu",INDIRECT(ADDRESS(ref!$K$4,ref!E16,1,,CELL("contenu",$AC$2))))</f>
        <v>B</v>
      </c>
      <c r="G17" s="2" t="str">
        <f ca="1">CELL("contenu",INDIRECT(ADDRESS(ref!$K$4,ref!F16,1,,CELL("contenu",$AC$2))))</f>
        <v/>
      </c>
      <c r="H17" s="3" t="str">
        <f ca="1">CELL("contenu",INDIRECT(ADDRESS(ref!$K$4,ref!G16,1,,CELL("contenu",$AC$2))))</f>
        <v/>
      </c>
      <c r="I17" s="4" t="str">
        <f ca="1">CELL("contenu",INDIRECT(ADDRESS(ref!$K$4,ref!H16,1,,CELL("contenu",$AC$2))))</f>
        <v>B</v>
      </c>
      <c r="J17" s="5" t="str">
        <f ca="1">CELL("contenu",INDIRECT(ADDRESS(ref!$K$5,ref!E16,1,,CELL("contenu",$AC$2))))</f>
        <v>A</v>
      </c>
      <c r="K17" s="2" t="str">
        <f ca="1">CELL("contenu",INDIRECT(ADDRESS(ref!$K$5,ref!F16,1,,CELL("contenu",$AC$2))))</f>
        <v/>
      </c>
      <c r="L17" s="3" t="str">
        <f ca="1">CELL("contenu",INDIRECT(ADDRESS(ref!$K$5,ref!G16,1,,CELL("contenu",$AC$2))))</f>
        <v/>
      </c>
      <c r="M17" s="4" t="str">
        <f ca="1">CELL("contenu",INDIRECT(ADDRESS(ref!$K$5,ref!H16,1,,CELL("contenu",$AC$2))))</f>
        <v>A</v>
      </c>
      <c r="N17" s="5" t="str">
        <f ca="1">CELL("contenu",INDIRECT(ADDRESS(ref!$K$6,ref!E16,1,,CELL("contenu",$AC$2))))</f>
        <v>B</v>
      </c>
      <c r="O17" s="2" t="str">
        <f ca="1">CELL("contenu",INDIRECT(ADDRESS(ref!$K$6,ref!F16,1,,CELL("contenu",$AC$2))))</f>
        <v/>
      </c>
      <c r="P17" s="3" t="str">
        <f ca="1">CELL("contenu",INDIRECT(ADDRESS(ref!$K$6,ref!G16,1,,CELL("contenu",$AC$2))))</f>
        <v/>
      </c>
      <c r="Q17" s="4" t="str">
        <f ca="1">CELL("contenu",INDIRECT(ADDRESS(ref!$K$6,ref!H16,1,,CELL("contenu",$AC$2))))</f>
        <v>B</v>
      </c>
      <c r="R17" s="5" t="str">
        <f ca="1">CELL("contenu",INDIRECT(ADDRESS(ref!$K$7,ref!E16,1,,CELL("contenu",$AC$2))))</f>
        <v>A</v>
      </c>
      <c r="S17" s="2" t="str">
        <f ca="1">CELL("contenu",INDIRECT(ADDRESS(ref!$K$7,ref!F16,1,,CELL("contenu",$AC$2))))</f>
        <v/>
      </c>
      <c r="T17" s="3" t="str">
        <f ca="1">CELL("contenu",INDIRECT(ADDRESS(ref!$K$7,ref!G16,1,,CELL("contenu",$AC$2))))</f>
        <v/>
      </c>
      <c r="U17" s="4" t="str">
        <f ca="1">CELL("contenu",INDIRECT(ADDRESS(ref!$K$7,ref!H16,1,,CELL("contenu",$AC$2))))</f>
        <v>A</v>
      </c>
      <c r="V17" s="28">
        <f ca="1">CELL("contenu",INDIRECT(ADDRESS(ref!$K$8,ref!E16,1,,CELL("contenu",$AC$2))))</f>
        <v>17.5</v>
      </c>
      <c r="W17" s="29" t="str">
        <f ca="1">CELL("contenu",INDIRECT(ADDRESS(ref!$K$8,ref!F16,1,,CELL("contenu",$AC$2))))</f>
        <v/>
      </c>
      <c r="X17" s="30" t="str">
        <f ca="1">CELL("contenu",INDIRECT(ADDRESS(ref!$K$8,ref!G16,1,,CELL("contenu",$AC$2))))</f>
        <v/>
      </c>
      <c r="Y17" s="6" t="str">
        <f ca="1">CELL("contenu",INDIRECT(ADDRESS(ref!$K$9,ref!H16,1,,CELL("contenu",$AC$2))))</f>
        <v/>
      </c>
      <c r="Z17" s="3" t="str">
        <f ca="1">CELL("contenu",INDIRECT(ADDRESS(ref!$K$10,ref!H16,1,,CELL("contenu",$AC$2))))</f>
        <v>A</v>
      </c>
      <c r="AA17" s="7" t="str">
        <f ca="1">CELL("contenu",INDIRECT(ADDRESS(ref!$K$11,ref!H16,1,,CELL("contenu",$AC$2))))</f>
        <v>B</v>
      </c>
    </row>
    <row r="18" spans="1:27" x14ac:dyDescent="0.25">
      <c r="A18" s="44" t="str">
        <f t="shared" ca="1" si="0"/>
        <v>HALLE Joseph</v>
      </c>
      <c r="B18" s="1" t="str">
        <f ca="1">CELL("contenu",INDIRECT(ADDRESS(ref!$K$3,ref!E17,1,,CELL("contenu",$AC$2))))</f>
        <v/>
      </c>
      <c r="C18" s="2" t="str">
        <f ca="1">CELL("contenu",INDIRECT(ADDRESS(ref!$K$3,ref!F17,1,,CELL("contenu",$AC$2))))</f>
        <v/>
      </c>
      <c r="D18" s="3" t="str">
        <f ca="1">CELL("contenu",INDIRECT(ADDRESS(ref!$K$3,ref!G17,1,,CELL("contenu",$AC$2))))</f>
        <v/>
      </c>
      <c r="E18" s="4" t="str">
        <f ca="1">CELL("contenu",INDIRECT(ADDRESS(ref!$K$3,ref!H17,1,,CELL("contenu",$AC$2))))</f>
        <v/>
      </c>
      <c r="F18" s="5" t="str">
        <f ca="1">CELL("contenu",INDIRECT(ADDRESS(ref!$K$4,ref!E17,1,,CELL("contenu",$AC$2))))</f>
        <v>B</v>
      </c>
      <c r="G18" s="2" t="str">
        <f ca="1">CELL("contenu",INDIRECT(ADDRESS(ref!$K$4,ref!F17,1,,CELL("contenu",$AC$2))))</f>
        <v/>
      </c>
      <c r="H18" s="3" t="str">
        <f ca="1">CELL("contenu",INDIRECT(ADDRESS(ref!$K$4,ref!G17,1,,CELL("contenu",$AC$2))))</f>
        <v/>
      </c>
      <c r="I18" s="4" t="str">
        <f ca="1">CELL("contenu",INDIRECT(ADDRESS(ref!$K$4,ref!H17,1,,CELL("contenu",$AC$2))))</f>
        <v>B</v>
      </c>
      <c r="J18" s="5" t="str">
        <f ca="1">CELL("contenu",INDIRECT(ADDRESS(ref!$K$5,ref!E17,1,,CELL("contenu",$AC$2))))</f>
        <v>A</v>
      </c>
      <c r="K18" s="2" t="str">
        <f ca="1">CELL("contenu",INDIRECT(ADDRESS(ref!$K$5,ref!F17,1,,CELL("contenu",$AC$2))))</f>
        <v/>
      </c>
      <c r="L18" s="3" t="str">
        <f ca="1">CELL("contenu",INDIRECT(ADDRESS(ref!$K$5,ref!G17,1,,CELL("contenu",$AC$2))))</f>
        <v/>
      </c>
      <c r="M18" s="4" t="str">
        <f ca="1">CELL("contenu",INDIRECT(ADDRESS(ref!$K$5,ref!H17,1,,CELL("contenu",$AC$2))))</f>
        <v>A</v>
      </c>
      <c r="N18" s="5" t="str">
        <f ca="1">CELL("contenu",INDIRECT(ADDRESS(ref!$K$6,ref!E17,1,,CELL("contenu",$AC$2))))</f>
        <v>C</v>
      </c>
      <c r="O18" s="2" t="str">
        <f ca="1">CELL("contenu",INDIRECT(ADDRESS(ref!$K$6,ref!F17,1,,CELL("contenu",$AC$2))))</f>
        <v/>
      </c>
      <c r="P18" s="3" t="str">
        <f ca="1">CELL("contenu",INDIRECT(ADDRESS(ref!$K$6,ref!G17,1,,CELL("contenu",$AC$2))))</f>
        <v/>
      </c>
      <c r="Q18" s="4" t="str">
        <f ca="1">CELL("contenu",INDIRECT(ADDRESS(ref!$K$6,ref!H17,1,,CELL("contenu",$AC$2))))</f>
        <v>C</v>
      </c>
      <c r="R18" s="5" t="str">
        <f ca="1">CELL("contenu",INDIRECT(ADDRESS(ref!$K$7,ref!E17,1,,CELL("contenu",$AC$2))))</f>
        <v>A</v>
      </c>
      <c r="S18" s="2" t="str">
        <f ca="1">CELL("contenu",INDIRECT(ADDRESS(ref!$K$7,ref!F17,1,,CELL("contenu",$AC$2))))</f>
        <v/>
      </c>
      <c r="T18" s="3" t="str">
        <f ca="1">CELL("contenu",INDIRECT(ADDRESS(ref!$K$7,ref!G17,1,,CELL("contenu",$AC$2))))</f>
        <v/>
      </c>
      <c r="U18" s="4" t="str">
        <f ca="1">CELL("contenu",INDIRECT(ADDRESS(ref!$K$7,ref!H17,1,,CELL("contenu",$AC$2))))</f>
        <v>A</v>
      </c>
      <c r="V18" s="28">
        <f ca="1">CELL("contenu",INDIRECT(ADDRESS(ref!$K$8,ref!E17,1,,CELL("contenu",$AC$2))))</f>
        <v>15.833333333333332</v>
      </c>
      <c r="W18" s="29" t="str">
        <f ca="1">CELL("contenu",INDIRECT(ADDRESS(ref!$K$8,ref!F17,1,,CELL("contenu",$AC$2))))</f>
        <v/>
      </c>
      <c r="X18" s="30" t="str">
        <f ca="1">CELL("contenu",INDIRECT(ADDRESS(ref!$K$8,ref!G17,1,,CELL("contenu",$AC$2))))</f>
        <v/>
      </c>
      <c r="Y18" s="6" t="str">
        <f ca="1">CELL("contenu",INDIRECT(ADDRESS(ref!$K$9,ref!H17,1,,CELL("contenu",$AC$2))))</f>
        <v/>
      </c>
      <c r="Z18" s="3" t="str">
        <f ca="1">CELL("contenu",INDIRECT(ADDRESS(ref!$K$10,ref!H17,1,,CELL("contenu",$AC$2))))</f>
        <v>A</v>
      </c>
      <c r="AA18" s="7" t="str">
        <f ca="1">CELL("contenu",INDIRECT(ADDRESS(ref!$K$11,ref!H17,1,,CELL("contenu",$AC$2))))</f>
        <v>C</v>
      </c>
    </row>
    <row r="19" spans="1:27" x14ac:dyDescent="0.25">
      <c r="A19" s="44" t="str">
        <f t="shared" ca="1" si="0"/>
        <v>LAPLANCHE Chiara</v>
      </c>
      <c r="B19" s="1" t="str">
        <f ca="1">CELL("contenu",INDIRECT(ADDRESS(ref!$K$3,ref!E18,1,,CELL("contenu",$AC$2))))</f>
        <v/>
      </c>
      <c r="C19" s="2" t="str">
        <f ca="1">CELL("contenu",INDIRECT(ADDRESS(ref!$K$3,ref!F18,1,,CELL("contenu",$AC$2))))</f>
        <v/>
      </c>
      <c r="D19" s="3" t="str">
        <f ca="1">CELL("contenu",INDIRECT(ADDRESS(ref!$K$3,ref!G18,1,,CELL("contenu",$AC$2))))</f>
        <v/>
      </c>
      <c r="E19" s="4" t="str">
        <f ca="1">CELL("contenu",INDIRECT(ADDRESS(ref!$K$3,ref!H18,1,,CELL("contenu",$AC$2))))</f>
        <v/>
      </c>
      <c r="F19" s="5" t="str">
        <f ca="1">CELL("contenu",INDIRECT(ADDRESS(ref!$K$4,ref!E18,1,,CELL("contenu",$AC$2))))</f>
        <v>B</v>
      </c>
      <c r="G19" s="2" t="str">
        <f ca="1">CELL("contenu",INDIRECT(ADDRESS(ref!$K$4,ref!F18,1,,CELL("contenu",$AC$2))))</f>
        <v/>
      </c>
      <c r="H19" s="3" t="str">
        <f ca="1">CELL("contenu",INDIRECT(ADDRESS(ref!$K$4,ref!G18,1,,CELL("contenu",$AC$2))))</f>
        <v/>
      </c>
      <c r="I19" s="4" t="str">
        <f ca="1">CELL("contenu",INDIRECT(ADDRESS(ref!$K$4,ref!H18,1,,CELL("contenu",$AC$2))))</f>
        <v>B</v>
      </c>
      <c r="J19" s="5" t="str">
        <f ca="1">CELL("contenu",INDIRECT(ADDRESS(ref!$K$5,ref!E18,1,,CELL("contenu",$AC$2))))</f>
        <v>A</v>
      </c>
      <c r="K19" s="2" t="str">
        <f ca="1">CELL("contenu",INDIRECT(ADDRESS(ref!$K$5,ref!F18,1,,CELL("contenu",$AC$2))))</f>
        <v/>
      </c>
      <c r="L19" s="3" t="str">
        <f ca="1">CELL("contenu",INDIRECT(ADDRESS(ref!$K$5,ref!G18,1,,CELL("contenu",$AC$2))))</f>
        <v/>
      </c>
      <c r="M19" s="4" t="str">
        <f ca="1">CELL("contenu",INDIRECT(ADDRESS(ref!$K$5,ref!H18,1,,CELL("contenu",$AC$2))))</f>
        <v>A</v>
      </c>
      <c r="N19" s="5" t="str">
        <f ca="1">CELL("contenu",INDIRECT(ADDRESS(ref!$K$6,ref!E18,1,,CELL("contenu",$AC$2))))</f>
        <v>B</v>
      </c>
      <c r="O19" s="2" t="str">
        <f ca="1">CELL("contenu",INDIRECT(ADDRESS(ref!$K$6,ref!F18,1,,CELL("contenu",$AC$2))))</f>
        <v/>
      </c>
      <c r="P19" s="3" t="str">
        <f ca="1">CELL("contenu",INDIRECT(ADDRESS(ref!$K$6,ref!G18,1,,CELL("contenu",$AC$2))))</f>
        <v/>
      </c>
      <c r="Q19" s="4" t="str">
        <f ca="1">CELL("contenu",INDIRECT(ADDRESS(ref!$K$6,ref!H18,1,,CELL("contenu",$AC$2))))</f>
        <v>B</v>
      </c>
      <c r="R19" s="5" t="str">
        <f ca="1">CELL("contenu",INDIRECT(ADDRESS(ref!$K$7,ref!E18,1,,CELL("contenu",$AC$2))))</f>
        <v>A</v>
      </c>
      <c r="S19" s="2" t="str">
        <f ca="1">CELL("contenu",INDIRECT(ADDRESS(ref!$K$7,ref!F18,1,,CELL("contenu",$AC$2))))</f>
        <v/>
      </c>
      <c r="T19" s="3" t="str">
        <f ca="1">CELL("contenu",INDIRECT(ADDRESS(ref!$K$7,ref!G18,1,,CELL("contenu",$AC$2))))</f>
        <v/>
      </c>
      <c r="U19" s="4" t="str">
        <f ca="1">CELL("contenu",INDIRECT(ADDRESS(ref!$K$7,ref!H18,1,,CELL("contenu",$AC$2))))</f>
        <v>A</v>
      </c>
      <c r="V19" s="28">
        <f ca="1">CELL("contenu",INDIRECT(ADDRESS(ref!$K$8,ref!E18,1,,CELL("contenu",$AC$2))))</f>
        <v>17.5</v>
      </c>
      <c r="W19" s="29" t="str">
        <f ca="1">CELL("contenu",INDIRECT(ADDRESS(ref!$K$8,ref!F18,1,,CELL("contenu",$AC$2))))</f>
        <v/>
      </c>
      <c r="X19" s="30" t="str">
        <f ca="1">CELL("contenu",INDIRECT(ADDRESS(ref!$K$8,ref!G18,1,,CELL("contenu",$AC$2))))</f>
        <v/>
      </c>
      <c r="Y19" s="6" t="str">
        <f ca="1">CELL("contenu",INDIRECT(ADDRESS(ref!$K$9,ref!H18,1,,CELL("contenu",$AC$2))))</f>
        <v/>
      </c>
      <c r="Z19" s="3" t="str">
        <f ca="1">CELL("contenu",INDIRECT(ADDRESS(ref!$K$10,ref!H18,1,,CELL("contenu",$AC$2))))</f>
        <v>A</v>
      </c>
      <c r="AA19" s="7" t="str">
        <f ca="1">CELL("contenu",INDIRECT(ADDRESS(ref!$K$11,ref!H18,1,,CELL("contenu",$AC$2))))</f>
        <v>B</v>
      </c>
    </row>
    <row r="20" spans="1:27" x14ac:dyDescent="0.25">
      <c r="A20" s="44" t="str">
        <f t="shared" ca="1" si="0"/>
        <v>LECCIA Heloise</v>
      </c>
      <c r="B20" s="1" t="str">
        <f ca="1">CELL("contenu",INDIRECT(ADDRESS(ref!$K$3,ref!E19,1,,CELL("contenu",$AC$2))))</f>
        <v/>
      </c>
      <c r="C20" s="2" t="str">
        <f ca="1">CELL("contenu",INDIRECT(ADDRESS(ref!$K$3,ref!F19,1,,CELL("contenu",$AC$2))))</f>
        <v/>
      </c>
      <c r="D20" s="3" t="str">
        <f ca="1">CELL("contenu",INDIRECT(ADDRESS(ref!$K$3,ref!G19,1,,CELL("contenu",$AC$2))))</f>
        <v/>
      </c>
      <c r="E20" s="4" t="str">
        <f ca="1">CELL("contenu",INDIRECT(ADDRESS(ref!$K$3,ref!H19,1,,CELL("contenu",$AC$2))))</f>
        <v/>
      </c>
      <c r="F20" s="5" t="str">
        <f ca="1">CELL("contenu",INDIRECT(ADDRESS(ref!$K$4,ref!E19,1,,CELL("contenu",$AC$2))))</f>
        <v>C</v>
      </c>
      <c r="G20" s="2" t="str">
        <f ca="1">CELL("contenu",INDIRECT(ADDRESS(ref!$K$4,ref!F19,1,,CELL("contenu",$AC$2))))</f>
        <v/>
      </c>
      <c r="H20" s="3" t="str">
        <f ca="1">CELL("contenu",INDIRECT(ADDRESS(ref!$K$4,ref!G19,1,,CELL("contenu",$AC$2))))</f>
        <v/>
      </c>
      <c r="I20" s="4" t="str">
        <f ca="1">CELL("contenu",INDIRECT(ADDRESS(ref!$K$4,ref!H19,1,,CELL("contenu",$AC$2))))</f>
        <v>C</v>
      </c>
      <c r="J20" s="5" t="str">
        <f ca="1">CELL("contenu",INDIRECT(ADDRESS(ref!$K$5,ref!E19,1,,CELL("contenu",$AC$2))))</f>
        <v>C</v>
      </c>
      <c r="K20" s="2" t="str">
        <f ca="1">CELL("contenu",INDIRECT(ADDRESS(ref!$K$5,ref!F19,1,,CELL("contenu",$AC$2))))</f>
        <v/>
      </c>
      <c r="L20" s="3" t="str">
        <f ca="1">CELL("contenu",INDIRECT(ADDRESS(ref!$K$5,ref!G19,1,,CELL("contenu",$AC$2))))</f>
        <v/>
      </c>
      <c r="M20" s="4" t="str">
        <f ca="1">CELL("contenu",INDIRECT(ADDRESS(ref!$K$5,ref!H19,1,,CELL("contenu",$AC$2))))</f>
        <v>C</v>
      </c>
      <c r="N20" s="5" t="str">
        <f ca="1">CELL("contenu",INDIRECT(ADDRESS(ref!$K$6,ref!E19,1,,CELL("contenu",$AC$2))))</f>
        <v>C</v>
      </c>
      <c r="O20" s="2" t="str">
        <f ca="1">CELL("contenu",INDIRECT(ADDRESS(ref!$K$6,ref!F19,1,,CELL("contenu",$AC$2))))</f>
        <v/>
      </c>
      <c r="P20" s="3" t="str">
        <f ca="1">CELL("contenu",INDIRECT(ADDRESS(ref!$K$6,ref!G19,1,,CELL("contenu",$AC$2))))</f>
        <v/>
      </c>
      <c r="Q20" s="4" t="str">
        <f ca="1">CELL("contenu",INDIRECT(ADDRESS(ref!$K$6,ref!H19,1,,CELL("contenu",$AC$2))))</f>
        <v>C</v>
      </c>
      <c r="R20" s="5" t="str">
        <f ca="1">CELL("contenu",INDIRECT(ADDRESS(ref!$K$7,ref!E19,1,,CELL("contenu",$AC$2))))</f>
        <v>B</v>
      </c>
      <c r="S20" s="2" t="str">
        <f ca="1">CELL("contenu",INDIRECT(ADDRESS(ref!$K$7,ref!F19,1,,CELL("contenu",$AC$2))))</f>
        <v/>
      </c>
      <c r="T20" s="3" t="str">
        <f ca="1">CELL("contenu",INDIRECT(ADDRESS(ref!$K$7,ref!G19,1,,CELL("contenu",$AC$2))))</f>
        <v/>
      </c>
      <c r="U20" s="4" t="str">
        <f ca="1">CELL("contenu",INDIRECT(ADDRESS(ref!$K$7,ref!H19,1,,CELL("contenu",$AC$2))))</f>
        <v>B</v>
      </c>
      <c r="V20" s="28">
        <f ca="1">CELL("contenu",INDIRECT(ADDRESS(ref!$K$8,ref!E19,1,,CELL("contenu",$AC$2))))</f>
        <v>11.666666666666668</v>
      </c>
      <c r="W20" s="29" t="str">
        <f ca="1">CELL("contenu",INDIRECT(ADDRESS(ref!$K$8,ref!F19,1,,CELL("contenu",$AC$2))))</f>
        <v/>
      </c>
      <c r="X20" s="30" t="str">
        <f ca="1">CELL("contenu",INDIRECT(ADDRESS(ref!$K$8,ref!G19,1,,CELL("contenu",$AC$2))))</f>
        <v/>
      </c>
      <c r="Y20" s="6" t="str">
        <f ca="1">CELL("contenu",INDIRECT(ADDRESS(ref!$K$9,ref!H19,1,,CELL("contenu",$AC$2))))</f>
        <v/>
      </c>
      <c r="Z20" s="3" t="str">
        <f ca="1">CELL("contenu",INDIRECT(ADDRESS(ref!$K$10,ref!H19,1,,CELL("contenu",$AC$2))))</f>
        <v>C</v>
      </c>
      <c r="AA20" s="7" t="str">
        <f ca="1">CELL("contenu",INDIRECT(ADDRESS(ref!$K$11,ref!H19,1,,CELL("contenu",$AC$2))))</f>
        <v>C</v>
      </c>
    </row>
    <row r="21" spans="1:27" x14ac:dyDescent="0.25">
      <c r="A21" s="44" t="str">
        <f t="shared" ca="1" si="0"/>
        <v>LEGENDRE Solal</v>
      </c>
      <c r="B21" s="1" t="str">
        <f ca="1">CELL("contenu",INDIRECT(ADDRESS(ref!$K$3,ref!E20,1,,CELL("contenu",$AC$2))))</f>
        <v/>
      </c>
      <c r="C21" s="2" t="str">
        <f ca="1">CELL("contenu",INDIRECT(ADDRESS(ref!$K$3,ref!F20,1,,CELL("contenu",$AC$2))))</f>
        <v/>
      </c>
      <c r="D21" s="3" t="str">
        <f ca="1">CELL("contenu",INDIRECT(ADDRESS(ref!$K$3,ref!G20,1,,CELL("contenu",$AC$2))))</f>
        <v/>
      </c>
      <c r="E21" s="4" t="str">
        <f ca="1">CELL("contenu",INDIRECT(ADDRESS(ref!$K$3,ref!H20,1,,CELL("contenu",$AC$2))))</f>
        <v/>
      </c>
      <c r="F21" s="5" t="str">
        <f ca="1">CELL("contenu",INDIRECT(ADDRESS(ref!$K$4,ref!E20,1,,CELL("contenu",$AC$2))))</f>
        <v>B</v>
      </c>
      <c r="G21" s="2" t="str">
        <f ca="1">CELL("contenu",INDIRECT(ADDRESS(ref!$K$4,ref!F20,1,,CELL("contenu",$AC$2))))</f>
        <v/>
      </c>
      <c r="H21" s="3" t="str">
        <f ca="1">CELL("contenu",INDIRECT(ADDRESS(ref!$K$4,ref!G20,1,,CELL("contenu",$AC$2))))</f>
        <v/>
      </c>
      <c r="I21" s="4" t="str">
        <f ca="1">CELL("contenu",INDIRECT(ADDRESS(ref!$K$4,ref!H20,1,,CELL("contenu",$AC$2))))</f>
        <v>B</v>
      </c>
      <c r="J21" s="5" t="str">
        <f ca="1">CELL("contenu",INDIRECT(ADDRESS(ref!$K$5,ref!E20,1,,CELL("contenu",$AC$2))))</f>
        <v>A</v>
      </c>
      <c r="K21" s="2" t="str">
        <f ca="1">CELL("contenu",INDIRECT(ADDRESS(ref!$K$5,ref!F20,1,,CELL("contenu",$AC$2))))</f>
        <v/>
      </c>
      <c r="L21" s="3" t="str">
        <f ca="1">CELL("contenu",INDIRECT(ADDRESS(ref!$K$5,ref!G20,1,,CELL("contenu",$AC$2))))</f>
        <v/>
      </c>
      <c r="M21" s="4" t="str">
        <f ca="1">CELL("contenu",INDIRECT(ADDRESS(ref!$K$5,ref!H20,1,,CELL("contenu",$AC$2))))</f>
        <v>A</v>
      </c>
      <c r="N21" s="5" t="str">
        <f ca="1">CELL("contenu",INDIRECT(ADDRESS(ref!$K$6,ref!E20,1,,CELL("contenu",$AC$2))))</f>
        <v>B</v>
      </c>
      <c r="O21" s="2" t="str">
        <f ca="1">CELL("contenu",INDIRECT(ADDRESS(ref!$K$6,ref!F20,1,,CELL("contenu",$AC$2))))</f>
        <v/>
      </c>
      <c r="P21" s="3" t="str">
        <f ca="1">CELL("contenu",INDIRECT(ADDRESS(ref!$K$6,ref!G20,1,,CELL("contenu",$AC$2))))</f>
        <v/>
      </c>
      <c r="Q21" s="4" t="str">
        <f ca="1">CELL("contenu",INDIRECT(ADDRESS(ref!$K$6,ref!H20,1,,CELL("contenu",$AC$2))))</f>
        <v>B</v>
      </c>
      <c r="R21" s="5" t="str">
        <f ca="1">CELL("contenu",INDIRECT(ADDRESS(ref!$K$7,ref!E20,1,,CELL("contenu",$AC$2))))</f>
        <v>A</v>
      </c>
      <c r="S21" s="2" t="str">
        <f ca="1">CELL("contenu",INDIRECT(ADDRESS(ref!$K$7,ref!F20,1,,CELL("contenu",$AC$2))))</f>
        <v/>
      </c>
      <c r="T21" s="3" t="str">
        <f ca="1">CELL("contenu",INDIRECT(ADDRESS(ref!$K$7,ref!G20,1,,CELL("contenu",$AC$2))))</f>
        <v/>
      </c>
      <c r="U21" s="4" t="str">
        <f ca="1">CELL("contenu",INDIRECT(ADDRESS(ref!$K$7,ref!H20,1,,CELL("contenu",$AC$2))))</f>
        <v>A</v>
      </c>
      <c r="V21" s="28">
        <f ca="1">CELL("contenu",INDIRECT(ADDRESS(ref!$K$8,ref!E20,1,,CELL("contenu",$AC$2))))</f>
        <v>16.666666666666668</v>
      </c>
      <c r="W21" s="29" t="str">
        <f ca="1">CELL("contenu",INDIRECT(ADDRESS(ref!$K$8,ref!F20,1,,CELL("contenu",$AC$2))))</f>
        <v/>
      </c>
      <c r="X21" s="30" t="str">
        <f ca="1">CELL("contenu",INDIRECT(ADDRESS(ref!$K$8,ref!G20,1,,CELL("contenu",$AC$2))))</f>
        <v/>
      </c>
      <c r="Y21" s="6" t="str">
        <f ca="1">CELL("contenu",INDIRECT(ADDRESS(ref!$K$9,ref!H20,1,,CELL("contenu",$AC$2))))</f>
        <v/>
      </c>
      <c r="Z21" s="3" t="str">
        <f ca="1">CELL("contenu",INDIRECT(ADDRESS(ref!$K$10,ref!H20,1,,CELL("contenu",$AC$2))))</f>
        <v>A</v>
      </c>
      <c r="AA21" s="7" t="str">
        <f ca="1">CELL("contenu",INDIRECT(ADDRESS(ref!$K$11,ref!H20,1,,CELL("contenu",$AC$2))))</f>
        <v>B</v>
      </c>
    </row>
    <row r="22" spans="1:27" x14ac:dyDescent="0.25">
      <c r="A22" s="44" t="str">
        <f t="shared" ca="1" si="0"/>
        <v>LESERRE Julie</v>
      </c>
      <c r="B22" s="1" t="str">
        <f ca="1">CELL("contenu",INDIRECT(ADDRESS(ref!$K$3,ref!E21,1,,CELL("contenu",$AC$2))))</f>
        <v/>
      </c>
      <c r="C22" s="2" t="str">
        <f ca="1">CELL("contenu",INDIRECT(ADDRESS(ref!$K$3,ref!F21,1,,CELL("contenu",$AC$2))))</f>
        <v/>
      </c>
      <c r="D22" s="3" t="str">
        <f ca="1">CELL("contenu",INDIRECT(ADDRESS(ref!$K$3,ref!G21,1,,CELL("contenu",$AC$2))))</f>
        <v/>
      </c>
      <c r="E22" s="4" t="str">
        <f ca="1">CELL("contenu",INDIRECT(ADDRESS(ref!$K$3,ref!H21,1,,CELL("contenu",$AC$2))))</f>
        <v/>
      </c>
      <c r="F22" s="5" t="str">
        <f ca="1">CELL("contenu",INDIRECT(ADDRESS(ref!$K$4,ref!E21,1,,CELL("contenu",$AC$2))))</f>
        <v>A</v>
      </c>
      <c r="G22" s="2" t="str">
        <f ca="1">CELL("contenu",INDIRECT(ADDRESS(ref!$K$4,ref!F21,1,,CELL("contenu",$AC$2))))</f>
        <v/>
      </c>
      <c r="H22" s="3" t="str">
        <f ca="1">CELL("contenu",INDIRECT(ADDRESS(ref!$K$4,ref!G21,1,,CELL("contenu",$AC$2))))</f>
        <v/>
      </c>
      <c r="I22" s="4" t="str">
        <f ca="1">CELL("contenu",INDIRECT(ADDRESS(ref!$K$4,ref!H21,1,,CELL("contenu",$AC$2))))</f>
        <v>A</v>
      </c>
      <c r="J22" s="5" t="str">
        <f ca="1">CELL("contenu",INDIRECT(ADDRESS(ref!$K$5,ref!E21,1,,CELL("contenu",$AC$2))))</f>
        <v>A</v>
      </c>
      <c r="K22" s="2" t="str">
        <f ca="1">CELL("contenu",INDIRECT(ADDRESS(ref!$K$5,ref!F21,1,,CELL("contenu",$AC$2))))</f>
        <v/>
      </c>
      <c r="L22" s="3" t="str">
        <f ca="1">CELL("contenu",INDIRECT(ADDRESS(ref!$K$5,ref!G21,1,,CELL("contenu",$AC$2))))</f>
        <v/>
      </c>
      <c r="M22" s="4" t="str">
        <f ca="1">CELL("contenu",INDIRECT(ADDRESS(ref!$K$5,ref!H21,1,,CELL("contenu",$AC$2))))</f>
        <v>A</v>
      </c>
      <c r="N22" s="5" t="str">
        <f ca="1">CELL("contenu",INDIRECT(ADDRESS(ref!$K$6,ref!E21,1,,CELL("contenu",$AC$2))))</f>
        <v>A</v>
      </c>
      <c r="O22" s="2" t="str">
        <f ca="1">CELL("contenu",INDIRECT(ADDRESS(ref!$K$6,ref!F21,1,,CELL("contenu",$AC$2))))</f>
        <v/>
      </c>
      <c r="P22" s="3" t="str">
        <f ca="1">CELL("contenu",INDIRECT(ADDRESS(ref!$K$6,ref!G21,1,,CELL("contenu",$AC$2))))</f>
        <v/>
      </c>
      <c r="Q22" s="4" t="str">
        <f ca="1">CELL("contenu",INDIRECT(ADDRESS(ref!$K$6,ref!H21,1,,CELL("contenu",$AC$2))))</f>
        <v>A</v>
      </c>
      <c r="R22" s="5" t="str">
        <f ca="1">CELL("contenu",INDIRECT(ADDRESS(ref!$K$7,ref!E21,1,,CELL("contenu",$AC$2))))</f>
        <v>A</v>
      </c>
      <c r="S22" s="2" t="str">
        <f ca="1">CELL("contenu",INDIRECT(ADDRESS(ref!$K$7,ref!F21,1,,CELL("contenu",$AC$2))))</f>
        <v/>
      </c>
      <c r="T22" s="3" t="str">
        <f ca="1">CELL("contenu",INDIRECT(ADDRESS(ref!$K$7,ref!G21,1,,CELL("contenu",$AC$2))))</f>
        <v/>
      </c>
      <c r="U22" s="4" t="str">
        <f ca="1">CELL("contenu",INDIRECT(ADDRESS(ref!$K$7,ref!H21,1,,CELL("contenu",$AC$2))))</f>
        <v>A</v>
      </c>
      <c r="V22" s="28">
        <f ca="1">CELL("contenu",INDIRECT(ADDRESS(ref!$K$8,ref!E21,1,,CELL("contenu",$AC$2))))</f>
        <v>20</v>
      </c>
      <c r="W22" s="29" t="str">
        <f ca="1">CELL("contenu",INDIRECT(ADDRESS(ref!$K$8,ref!F21,1,,CELL("contenu",$AC$2))))</f>
        <v/>
      </c>
      <c r="X22" s="30" t="str">
        <f ca="1">CELL("contenu",INDIRECT(ADDRESS(ref!$K$8,ref!G21,1,,CELL("contenu",$AC$2))))</f>
        <v/>
      </c>
      <c r="Y22" s="6" t="str">
        <f ca="1">CELL("contenu",INDIRECT(ADDRESS(ref!$K$9,ref!H21,1,,CELL("contenu",$AC$2))))</f>
        <v/>
      </c>
      <c r="Z22" s="3" t="str">
        <f ca="1">CELL("contenu",INDIRECT(ADDRESS(ref!$K$10,ref!H21,1,,CELL("contenu",$AC$2))))</f>
        <v>A</v>
      </c>
      <c r="AA22" s="7" t="str">
        <f ca="1">CELL("contenu",INDIRECT(ADDRESS(ref!$K$11,ref!H21,1,,CELL("contenu",$AC$2))))</f>
        <v>A</v>
      </c>
    </row>
    <row r="23" spans="1:27" x14ac:dyDescent="0.25">
      <c r="A23" s="44" t="str">
        <f t="shared" ca="1" si="0"/>
        <v>MELNYCK Lise</v>
      </c>
      <c r="B23" s="1" t="str">
        <f ca="1">CELL("contenu",INDIRECT(ADDRESS(ref!$K$3,ref!E22,1,,CELL("contenu",$AC$2))))</f>
        <v/>
      </c>
      <c r="C23" s="2" t="str">
        <f ca="1">CELL("contenu",INDIRECT(ADDRESS(ref!$K$3,ref!F22,1,,CELL("contenu",$AC$2))))</f>
        <v/>
      </c>
      <c r="D23" s="3" t="str">
        <f ca="1">CELL("contenu",INDIRECT(ADDRESS(ref!$K$3,ref!G22,1,,CELL("contenu",$AC$2))))</f>
        <v/>
      </c>
      <c r="E23" s="4" t="str">
        <f ca="1">CELL("contenu",INDIRECT(ADDRESS(ref!$K$3,ref!H22,1,,CELL("contenu",$AC$2))))</f>
        <v/>
      </c>
      <c r="F23" s="5" t="str">
        <f ca="1">CELL("contenu",INDIRECT(ADDRESS(ref!$K$4,ref!E22,1,,CELL("contenu",$AC$2))))</f>
        <v>B</v>
      </c>
      <c r="G23" s="2" t="str">
        <f ca="1">CELL("contenu",INDIRECT(ADDRESS(ref!$K$4,ref!F22,1,,CELL("contenu",$AC$2))))</f>
        <v/>
      </c>
      <c r="H23" s="3" t="str">
        <f ca="1">CELL("contenu",INDIRECT(ADDRESS(ref!$K$4,ref!G22,1,,CELL("contenu",$AC$2))))</f>
        <v/>
      </c>
      <c r="I23" s="4" t="str">
        <f ca="1">CELL("contenu",INDIRECT(ADDRESS(ref!$K$4,ref!H22,1,,CELL("contenu",$AC$2))))</f>
        <v>B</v>
      </c>
      <c r="J23" s="5" t="str">
        <f ca="1">CELL("contenu",INDIRECT(ADDRESS(ref!$K$5,ref!E22,1,,CELL("contenu",$AC$2))))</f>
        <v>A</v>
      </c>
      <c r="K23" s="2" t="str">
        <f ca="1">CELL("contenu",INDIRECT(ADDRESS(ref!$K$5,ref!F22,1,,CELL("contenu",$AC$2))))</f>
        <v/>
      </c>
      <c r="L23" s="3" t="str">
        <f ca="1">CELL("contenu",INDIRECT(ADDRESS(ref!$K$5,ref!G22,1,,CELL("contenu",$AC$2))))</f>
        <v/>
      </c>
      <c r="M23" s="4" t="str">
        <f ca="1">CELL("contenu",INDIRECT(ADDRESS(ref!$K$5,ref!H22,1,,CELL("contenu",$AC$2))))</f>
        <v>A</v>
      </c>
      <c r="N23" s="5" t="str">
        <f ca="1">CELL("contenu",INDIRECT(ADDRESS(ref!$K$6,ref!E22,1,,CELL("contenu",$AC$2))))</f>
        <v>B</v>
      </c>
      <c r="O23" s="2" t="str">
        <f ca="1">CELL("contenu",INDIRECT(ADDRESS(ref!$K$6,ref!F22,1,,CELL("contenu",$AC$2))))</f>
        <v/>
      </c>
      <c r="P23" s="3" t="str">
        <f ca="1">CELL("contenu",INDIRECT(ADDRESS(ref!$K$6,ref!G22,1,,CELL("contenu",$AC$2))))</f>
        <v/>
      </c>
      <c r="Q23" s="4" t="str">
        <f ca="1">CELL("contenu",INDIRECT(ADDRESS(ref!$K$6,ref!H22,1,,CELL("contenu",$AC$2))))</f>
        <v>B</v>
      </c>
      <c r="R23" s="5" t="str">
        <f ca="1">CELL("contenu",INDIRECT(ADDRESS(ref!$K$7,ref!E22,1,,CELL("contenu",$AC$2))))</f>
        <v>A</v>
      </c>
      <c r="S23" s="2" t="str">
        <f ca="1">CELL("contenu",INDIRECT(ADDRESS(ref!$K$7,ref!F22,1,,CELL("contenu",$AC$2))))</f>
        <v/>
      </c>
      <c r="T23" s="3" t="str">
        <f ca="1">CELL("contenu",INDIRECT(ADDRESS(ref!$K$7,ref!G22,1,,CELL("contenu",$AC$2))))</f>
        <v/>
      </c>
      <c r="U23" s="4" t="str">
        <f ca="1">CELL("contenu",INDIRECT(ADDRESS(ref!$K$7,ref!H22,1,,CELL("contenu",$AC$2))))</f>
        <v>A</v>
      </c>
      <c r="V23" s="28">
        <f ca="1">CELL("contenu",INDIRECT(ADDRESS(ref!$K$8,ref!E22,1,,CELL("contenu",$AC$2))))</f>
        <v>16.666666666666668</v>
      </c>
      <c r="W23" s="29" t="str">
        <f ca="1">CELL("contenu",INDIRECT(ADDRESS(ref!$K$8,ref!F22,1,,CELL("contenu",$AC$2))))</f>
        <v/>
      </c>
      <c r="X23" s="30" t="str">
        <f ca="1">CELL("contenu",INDIRECT(ADDRESS(ref!$K$8,ref!G22,1,,CELL("contenu",$AC$2))))</f>
        <v/>
      </c>
      <c r="Y23" s="6" t="str">
        <f ca="1">CELL("contenu",INDIRECT(ADDRESS(ref!$K$9,ref!H22,1,,CELL("contenu",$AC$2))))</f>
        <v/>
      </c>
      <c r="Z23" s="3" t="str">
        <f ca="1">CELL("contenu",INDIRECT(ADDRESS(ref!$K$10,ref!H22,1,,CELL("contenu",$AC$2))))</f>
        <v>A</v>
      </c>
      <c r="AA23" s="7" t="str">
        <f ca="1">CELL("contenu",INDIRECT(ADDRESS(ref!$K$11,ref!H22,1,,CELL("contenu",$AC$2))))</f>
        <v>B</v>
      </c>
    </row>
    <row r="24" spans="1:27" x14ac:dyDescent="0.25">
      <c r="A24" s="44" t="str">
        <f t="shared" ca="1" si="0"/>
        <v>MOQUET Alix</v>
      </c>
      <c r="B24" s="1" t="str">
        <f ca="1">CELL("contenu",INDIRECT(ADDRESS(ref!$K$3,ref!E23,1,,CELL("contenu",$AC$2))))</f>
        <v/>
      </c>
      <c r="C24" s="2" t="str">
        <f ca="1">CELL("contenu",INDIRECT(ADDRESS(ref!$K$3,ref!F23,1,,CELL("contenu",$AC$2))))</f>
        <v/>
      </c>
      <c r="D24" s="3" t="str">
        <f ca="1">CELL("contenu",INDIRECT(ADDRESS(ref!$K$3,ref!G23,1,,CELL("contenu",$AC$2))))</f>
        <v/>
      </c>
      <c r="E24" s="4" t="str">
        <f ca="1">CELL("contenu",INDIRECT(ADDRESS(ref!$K$3,ref!H23,1,,CELL("contenu",$AC$2))))</f>
        <v/>
      </c>
      <c r="F24" s="5" t="str">
        <f ca="1">CELL("contenu",INDIRECT(ADDRESS(ref!$K$4,ref!E23,1,,CELL("contenu",$AC$2))))</f>
        <v>A</v>
      </c>
      <c r="G24" s="2" t="str">
        <f ca="1">CELL("contenu",INDIRECT(ADDRESS(ref!$K$4,ref!F23,1,,CELL("contenu",$AC$2))))</f>
        <v/>
      </c>
      <c r="H24" s="3" t="str">
        <f ca="1">CELL("contenu",INDIRECT(ADDRESS(ref!$K$4,ref!G23,1,,CELL("contenu",$AC$2))))</f>
        <v/>
      </c>
      <c r="I24" s="4" t="str">
        <f ca="1">CELL("contenu",INDIRECT(ADDRESS(ref!$K$4,ref!H23,1,,CELL("contenu",$AC$2))))</f>
        <v>A</v>
      </c>
      <c r="J24" s="5" t="str">
        <f ca="1">CELL("contenu",INDIRECT(ADDRESS(ref!$K$5,ref!E23,1,,CELL("contenu",$AC$2))))</f>
        <v>A</v>
      </c>
      <c r="K24" s="2" t="str">
        <f ca="1">CELL("contenu",INDIRECT(ADDRESS(ref!$K$5,ref!F23,1,,CELL("contenu",$AC$2))))</f>
        <v/>
      </c>
      <c r="L24" s="3" t="str">
        <f ca="1">CELL("contenu",INDIRECT(ADDRESS(ref!$K$5,ref!G23,1,,CELL("contenu",$AC$2))))</f>
        <v/>
      </c>
      <c r="M24" s="4" t="str">
        <f ca="1">CELL("contenu",INDIRECT(ADDRESS(ref!$K$5,ref!H23,1,,CELL("contenu",$AC$2))))</f>
        <v>A</v>
      </c>
      <c r="N24" s="5" t="str">
        <f ca="1">CELL("contenu",INDIRECT(ADDRESS(ref!$K$6,ref!E23,1,,CELL("contenu",$AC$2))))</f>
        <v>B</v>
      </c>
      <c r="O24" s="2" t="str">
        <f ca="1">CELL("contenu",INDIRECT(ADDRESS(ref!$K$6,ref!F23,1,,CELL("contenu",$AC$2))))</f>
        <v/>
      </c>
      <c r="P24" s="3" t="str">
        <f ca="1">CELL("contenu",INDIRECT(ADDRESS(ref!$K$6,ref!G23,1,,CELL("contenu",$AC$2))))</f>
        <v/>
      </c>
      <c r="Q24" s="4" t="str">
        <f ca="1">CELL("contenu",INDIRECT(ADDRESS(ref!$K$6,ref!H23,1,,CELL("contenu",$AC$2))))</f>
        <v>B</v>
      </c>
      <c r="R24" s="5" t="str">
        <f ca="1">CELL("contenu",INDIRECT(ADDRESS(ref!$K$7,ref!E23,1,,CELL("contenu",$AC$2))))</f>
        <v>A</v>
      </c>
      <c r="S24" s="2" t="str">
        <f ca="1">CELL("contenu",INDIRECT(ADDRESS(ref!$K$7,ref!F23,1,,CELL("contenu",$AC$2))))</f>
        <v/>
      </c>
      <c r="T24" s="3" t="str">
        <f ca="1">CELL("contenu",INDIRECT(ADDRESS(ref!$K$7,ref!G23,1,,CELL("contenu",$AC$2))))</f>
        <v/>
      </c>
      <c r="U24" s="4" t="str">
        <f ca="1">CELL("contenu",INDIRECT(ADDRESS(ref!$K$7,ref!H23,1,,CELL("contenu",$AC$2))))</f>
        <v>A</v>
      </c>
      <c r="V24" s="28">
        <f ca="1">CELL("contenu",INDIRECT(ADDRESS(ref!$K$8,ref!E23,1,,CELL("contenu",$AC$2))))</f>
        <v>18.333333333333336</v>
      </c>
      <c r="W24" s="29" t="str">
        <f ca="1">CELL("contenu",INDIRECT(ADDRESS(ref!$K$8,ref!F23,1,,CELL("contenu",$AC$2))))</f>
        <v/>
      </c>
      <c r="X24" s="30" t="str">
        <f ca="1">CELL("contenu",INDIRECT(ADDRESS(ref!$K$8,ref!G23,1,,CELL("contenu",$AC$2))))</f>
        <v/>
      </c>
      <c r="Y24" s="6" t="str">
        <f ca="1">CELL("contenu",INDIRECT(ADDRESS(ref!$K$9,ref!H23,1,,CELL("contenu",$AC$2))))</f>
        <v/>
      </c>
      <c r="Z24" s="3" t="str">
        <f ca="1">CELL("contenu",INDIRECT(ADDRESS(ref!$K$10,ref!H23,1,,CELL("contenu",$AC$2))))</f>
        <v>A</v>
      </c>
      <c r="AA24" s="7" t="str">
        <f ca="1">CELL("contenu",INDIRECT(ADDRESS(ref!$K$11,ref!H23,1,,CELL("contenu",$AC$2))))</f>
        <v>B</v>
      </c>
    </row>
    <row r="25" spans="1:27" x14ac:dyDescent="0.25">
      <c r="A25" s="44" t="str">
        <f t="shared" ca="1" si="0"/>
        <v>MOUTAPAM Antoine</v>
      </c>
      <c r="B25" s="1" t="str">
        <f ca="1">CELL("contenu",INDIRECT(ADDRESS(ref!$K$3,ref!E24,1,,CELL("contenu",$AC$2))))</f>
        <v/>
      </c>
      <c r="C25" s="2" t="str">
        <f ca="1">CELL("contenu",INDIRECT(ADDRESS(ref!$K$3,ref!F24,1,,CELL("contenu",$AC$2))))</f>
        <v/>
      </c>
      <c r="D25" s="3" t="str">
        <f ca="1">CELL("contenu",INDIRECT(ADDRESS(ref!$K$3,ref!G24,1,,CELL("contenu",$AC$2))))</f>
        <v/>
      </c>
      <c r="E25" s="4" t="str">
        <f ca="1">CELL("contenu",INDIRECT(ADDRESS(ref!$K$3,ref!H24,1,,CELL("contenu",$AC$2))))</f>
        <v/>
      </c>
      <c r="F25" s="5" t="str">
        <f ca="1">CELL("contenu",INDIRECT(ADDRESS(ref!$K$4,ref!E24,1,,CELL("contenu",$AC$2))))</f>
        <v>B</v>
      </c>
      <c r="G25" s="2" t="str">
        <f ca="1">CELL("contenu",INDIRECT(ADDRESS(ref!$K$4,ref!F24,1,,CELL("contenu",$AC$2))))</f>
        <v/>
      </c>
      <c r="H25" s="3" t="str">
        <f ca="1">CELL("contenu",INDIRECT(ADDRESS(ref!$K$4,ref!G24,1,,CELL("contenu",$AC$2))))</f>
        <v/>
      </c>
      <c r="I25" s="4" t="str">
        <f ca="1">CELL("contenu",INDIRECT(ADDRESS(ref!$K$4,ref!H24,1,,CELL("contenu",$AC$2))))</f>
        <v>B</v>
      </c>
      <c r="J25" s="5" t="str">
        <f ca="1">CELL("contenu",INDIRECT(ADDRESS(ref!$K$5,ref!E24,1,,CELL("contenu",$AC$2))))</f>
        <v>A</v>
      </c>
      <c r="K25" s="2" t="str">
        <f ca="1">CELL("contenu",INDIRECT(ADDRESS(ref!$K$5,ref!F24,1,,CELL("contenu",$AC$2))))</f>
        <v/>
      </c>
      <c r="L25" s="3" t="str">
        <f ca="1">CELL("contenu",INDIRECT(ADDRESS(ref!$K$5,ref!G24,1,,CELL("contenu",$AC$2))))</f>
        <v/>
      </c>
      <c r="M25" s="4" t="str">
        <f ca="1">CELL("contenu",INDIRECT(ADDRESS(ref!$K$5,ref!H24,1,,CELL("contenu",$AC$2))))</f>
        <v>A</v>
      </c>
      <c r="N25" s="5" t="str">
        <f ca="1">CELL("contenu",INDIRECT(ADDRESS(ref!$K$6,ref!E24,1,,CELL("contenu",$AC$2))))</f>
        <v>B</v>
      </c>
      <c r="O25" s="2" t="str">
        <f ca="1">CELL("contenu",INDIRECT(ADDRESS(ref!$K$6,ref!F24,1,,CELL("contenu",$AC$2))))</f>
        <v/>
      </c>
      <c r="P25" s="3" t="str">
        <f ca="1">CELL("contenu",INDIRECT(ADDRESS(ref!$K$6,ref!G24,1,,CELL("contenu",$AC$2))))</f>
        <v/>
      </c>
      <c r="Q25" s="4" t="str">
        <f ca="1">CELL("contenu",INDIRECT(ADDRESS(ref!$K$6,ref!H24,1,,CELL("contenu",$AC$2))))</f>
        <v>B</v>
      </c>
      <c r="R25" s="5" t="str">
        <f ca="1">CELL("contenu",INDIRECT(ADDRESS(ref!$K$7,ref!E24,1,,CELL("contenu",$AC$2))))</f>
        <v>A</v>
      </c>
      <c r="S25" s="2" t="str">
        <f ca="1">CELL("contenu",INDIRECT(ADDRESS(ref!$K$7,ref!F24,1,,CELL("contenu",$AC$2))))</f>
        <v/>
      </c>
      <c r="T25" s="3" t="str">
        <f ca="1">CELL("contenu",INDIRECT(ADDRESS(ref!$K$7,ref!G24,1,,CELL("contenu",$AC$2))))</f>
        <v/>
      </c>
      <c r="U25" s="4" t="str">
        <f ca="1">CELL("contenu",INDIRECT(ADDRESS(ref!$K$7,ref!H24,1,,CELL("contenu",$AC$2))))</f>
        <v>A</v>
      </c>
      <c r="V25" s="28">
        <f ca="1">CELL("contenu",INDIRECT(ADDRESS(ref!$K$8,ref!E24,1,,CELL("contenu",$AC$2))))</f>
        <v>16.666666666666668</v>
      </c>
      <c r="W25" s="29" t="str">
        <f ca="1">CELL("contenu",INDIRECT(ADDRESS(ref!$K$8,ref!F24,1,,CELL("contenu",$AC$2))))</f>
        <v/>
      </c>
      <c r="X25" s="30" t="str">
        <f ca="1">CELL("contenu",INDIRECT(ADDRESS(ref!$K$8,ref!G24,1,,CELL("contenu",$AC$2))))</f>
        <v/>
      </c>
      <c r="Y25" s="6" t="str">
        <f ca="1">CELL("contenu",INDIRECT(ADDRESS(ref!$K$9,ref!H24,1,,CELL("contenu",$AC$2))))</f>
        <v/>
      </c>
      <c r="Z25" s="3" t="str">
        <f ca="1">CELL("contenu",INDIRECT(ADDRESS(ref!$K$10,ref!H24,1,,CELL("contenu",$AC$2))))</f>
        <v>A</v>
      </c>
      <c r="AA25" s="7" t="str">
        <f ca="1">CELL("contenu",INDIRECT(ADDRESS(ref!$K$11,ref!H24,1,,CELL("contenu",$AC$2))))</f>
        <v>B</v>
      </c>
    </row>
    <row r="26" spans="1:27" x14ac:dyDescent="0.25">
      <c r="A26" s="44" t="str">
        <f t="shared" ca="1" si="0"/>
        <v>OLIVE Azelie</v>
      </c>
      <c r="B26" s="1" t="str">
        <f ca="1">CELL("contenu",INDIRECT(ADDRESS(ref!$K$3,ref!E25,1,,CELL("contenu",$AC$2))))</f>
        <v/>
      </c>
      <c r="C26" s="2" t="str">
        <f ca="1">CELL("contenu",INDIRECT(ADDRESS(ref!$K$3,ref!F25,1,,CELL("contenu",$AC$2))))</f>
        <v/>
      </c>
      <c r="D26" s="3" t="str">
        <f ca="1">CELL("contenu",INDIRECT(ADDRESS(ref!$K$3,ref!G25,1,,CELL("contenu",$AC$2))))</f>
        <v/>
      </c>
      <c r="E26" s="4" t="str">
        <f ca="1">CELL("contenu",INDIRECT(ADDRESS(ref!$K$3,ref!H25,1,,CELL("contenu",$AC$2))))</f>
        <v/>
      </c>
      <c r="F26" s="5" t="str">
        <f ca="1">CELL("contenu",INDIRECT(ADDRESS(ref!$K$4,ref!E25,1,,CELL("contenu",$AC$2))))</f>
        <v>B</v>
      </c>
      <c r="G26" s="2" t="str">
        <f ca="1">CELL("contenu",INDIRECT(ADDRESS(ref!$K$4,ref!F25,1,,CELL("contenu",$AC$2))))</f>
        <v/>
      </c>
      <c r="H26" s="3" t="str">
        <f ca="1">CELL("contenu",INDIRECT(ADDRESS(ref!$K$4,ref!G25,1,,CELL("contenu",$AC$2))))</f>
        <v/>
      </c>
      <c r="I26" s="4" t="str">
        <f ca="1">CELL("contenu",INDIRECT(ADDRESS(ref!$K$4,ref!H25,1,,CELL("contenu",$AC$2))))</f>
        <v>B</v>
      </c>
      <c r="J26" s="5" t="str">
        <f ca="1">CELL("contenu",INDIRECT(ADDRESS(ref!$K$5,ref!E25,1,,CELL("contenu",$AC$2))))</f>
        <v>A</v>
      </c>
      <c r="K26" s="2" t="str">
        <f ca="1">CELL("contenu",INDIRECT(ADDRESS(ref!$K$5,ref!F25,1,,CELL("contenu",$AC$2))))</f>
        <v/>
      </c>
      <c r="L26" s="3" t="str">
        <f ca="1">CELL("contenu",INDIRECT(ADDRESS(ref!$K$5,ref!G25,1,,CELL("contenu",$AC$2))))</f>
        <v/>
      </c>
      <c r="M26" s="4" t="str">
        <f ca="1">CELL("contenu",INDIRECT(ADDRESS(ref!$K$5,ref!H25,1,,CELL("contenu",$AC$2))))</f>
        <v>A</v>
      </c>
      <c r="N26" s="5" t="str">
        <f ca="1">CELL("contenu",INDIRECT(ADDRESS(ref!$K$6,ref!E25,1,,CELL("contenu",$AC$2))))</f>
        <v>B</v>
      </c>
      <c r="O26" s="2" t="str">
        <f ca="1">CELL("contenu",INDIRECT(ADDRESS(ref!$K$6,ref!F25,1,,CELL("contenu",$AC$2))))</f>
        <v/>
      </c>
      <c r="P26" s="3" t="str">
        <f ca="1">CELL("contenu",INDIRECT(ADDRESS(ref!$K$6,ref!G25,1,,CELL("contenu",$AC$2))))</f>
        <v/>
      </c>
      <c r="Q26" s="4" t="str">
        <f ca="1">CELL("contenu",INDIRECT(ADDRESS(ref!$K$6,ref!H25,1,,CELL("contenu",$AC$2))))</f>
        <v>B</v>
      </c>
      <c r="R26" s="5" t="str">
        <f ca="1">CELL("contenu",INDIRECT(ADDRESS(ref!$K$7,ref!E25,1,,CELL("contenu",$AC$2))))</f>
        <v>A</v>
      </c>
      <c r="S26" s="2" t="str">
        <f ca="1">CELL("contenu",INDIRECT(ADDRESS(ref!$K$7,ref!F25,1,,CELL("contenu",$AC$2))))</f>
        <v/>
      </c>
      <c r="T26" s="3" t="str">
        <f ca="1">CELL("contenu",INDIRECT(ADDRESS(ref!$K$7,ref!G25,1,,CELL("contenu",$AC$2))))</f>
        <v/>
      </c>
      <c r="U26" s="4" t="str">
        <f ca="1">CELL("contenu",INDIRECT(ADDRESS(ref!$K$7,ref!H25,1,,CELL("contenu",$AC$2))))</f>
        <v>A</v>
      </c>
      <c r="V26" s="28">
        <f ca="1">CELL("contenu",INDIRECT(ADDRESS(ref!$K$8,ref!E25,1,,CELL("contenu",$AC$2))))</f>
        <v>16.666666666666668</v>
      </c>
      <c r="W26" s="29" t="str">
        <f ca="1">CELL("contenu",INDIRECT(ADDRESS(ref!$K$8,ref!F25,1,,CELL("contenu",$AC$2))))</f>
        <v/>
      </c>
      <c r="X26" s="30" t="str">
        <f ca="1">CELL("contenu",INDIRECT(ADDRESS(ref!$K$8,ref!G25,1,,CELL("contenu",$AC$2))))</f>
        <v/>
      </c>
      <c r="Y26" s="6" t="str">
        <f ca="1">CELL("contenu",INDIRECT(ADDRESS(ref!$K$9,ref!H25,1,,CELL("contenu",$AC$2))))</f>
        <v/>
      </c>
      <c r="Z26" s="3" t="str">
        <f ca="1">CELL("contenu",INDIRECT(ADDRESS(ref!$K$10,ref!H25,1,,CELL("contenu",$AC$2))))</f>
        <v>A</v>
      </c>
      <c r="AA26" s="7" t="str">
        <f ca="1">CELL("contenu",INDIRECT(ADDRESS(ref!$K$11,ref!H25,1,,CELL("contenu",$AC$2))))</f>
        <v>B</v>
      </c>
    </row>
    <row r="27" spans="1:27" x14ac:dyDescent="0.25">
      <c r="A27" s="44" t="str">
        <f t="shared" ca="1" si="0"/>
        <v>RAZAVI Gregoire</v>
      </c>
      <c r="B27" s="1" t="str">
        <f ca="1">CELL("contenu",INDIRECT(ADDRESS(ref!$K$3,ref!E26,1,,CELL("contenu",$AC$2))))</f>
        <v/>
      </c>
      <c r="C27" s="2" t="str">
        <f ca="1">CELL("contenu",INDIRECT(ADDRESS(ref!$K$3,ref!F26,1,,CELL("contenu",$AC$2))))</f>
        <v/>
      </c>
      <c r="D27" s="3" t="str">
        <f ca="1">CELL("contenu",INDIRECT(ADDRESS(ref!$K$3,ref!G26,1,,CELL("contenu",$AC$2))))</f>
        <v/>
      </c>
      <c r="E27" s="4" t="str">
        <f ca="1">CELL("contenu",INDIRECT(ADDRESS(ref!$K$3,ref!H26,1,,CELL("contenu",$AC$2))))</f>
        <v/>
      </c>
      <c r="F27" s="5" t="str">
        <f ca="1">CELL("contenu",INDIRECT(ADDRESS(ref!$K$4,ref!E26,1,,CELL("contenu",$AC$2))))</f>
        <v>C</v>
      </c>
      <c r="G27" s="2" t="str">
        <f ca="1">CELL("contenu",INDIRECT(ADDRESS(ref!$K$4,ref!F26,1,,CELL("contenu",$AC$2))))</f>
        <v/>
      </c>
      <c r="H27" s="3" t="str">
        <f ca="1">CELL("contenu",INDIRECT(ADDRESS(ref!$K$4,ref!G26,1,,CELL("contenu",$AC$2))))</f>
        <v/>
      </c>
      <c r="I27" s="4" t="str">
        <f ca="1">CELL("contenu",INDIRECT(ADDRESS(ref!$K$4,ref!H26,1,,CELL("contenu",$AC$2))))</f>
        <v>C</v>
      </c>
      <c r="J27" s="5" t="str">
        <f ca="1">CELL("contenu",INDIRECT(ADDRESS(ref!$K$5,ref!E26,1,,CELL("contenu",$AC$2))))</f>
        <v>A</v>
      </c>
      <c r="K27" s="2" t="str">
        <f ca="1">CELL("contenu",INDIRECT(ADDRESS(ref!$K$5,ref!F26,1,,CELL("contenu",$AC$2))))</f>
        <v/>
      </c>
      <c r="L27" s="3" t="str">
        <f ca="1">CELL("contenu",INDIRECT(ADDRESS(ref!$K$5,ref!G26,1,,CELL("contenu",$AC$2))))</f>
        <v/>
      </c>
      <c r="M27" s="4" t="str">
        <f ca="1">CELL("contenu",INDIRECT(ADDRESS(ref!$K$5,ref!H26,1,,CELL("contenu",$AC$2))))</f>
        <v>A</v>
      </c>
      <c r="N27" s="5" t="str">
        <f ca="1">CELL("contenu",INDIRECT(ADDRESS(ref!$K$6,ref!E26,1,,CELL("contenu",$AC$2))))</f>
        <v>B</v>
      </c>
      <c r="O27" s="2" t="str">
        <f ca="1">CELL("contenu",INDIRECT(ADDRESS(ref!$K$6,ref!F26,1,,CELL("contenu",$AC$2))))</f>
        <v/>
      </c>
      <c r="P27" s="3" t="str">
        <f ca="1">CELL("contenu",INDIRECT(ADDRESS(ref!$K$6,ref!G26,1,,CELL("contenu",$AC$2))))</f>
        <v/>
      </c>
      <c r="Q27" s="4" t="str">
        <f ca="1">CELL("contenu",INDIRECT(ADDRESS(ref!$K$6,ref!H26,1,,CELL("contenu",$AC$2))))</f>
        <v>B</v>
      </c>
      <c r="R27" s="5" t="str">
        <f ca="1">CELL("contenu",INDIRECT(ADDRESS(ref!$K$7,ref!E26,1,,CELL("contenu",$AC$2))))</f>
        <v>A</v>
      </c>
      <c r="S27" s="2" t="str">
        <f ca="1">CELL("contenu",INDIRECT(ADDRESS(ref!$K$7,ref!F26,1,,CELL("contenu",$AC$2))))</f>
        <v/>
      </c>
      <c r="T27" s="3" t="str">
        <f ca="1">CELL("contenu",INDIRECT(ADDRESS(ref!$K$7,ref!G26,1,,CELL("contenu",$AC$2))))</f>
        <v/>
      </c>
      <c r="U27" s="4" t="str">
        <f ca="1">CELL("contenu",INDIRECT(ADDRESS(ref!$K$7,ref!H26,1,,CELL("contenu",$AC$2))))</f>
        <v>A</v>
      </c>
      <c r="V27" s="28">
        <f ca="1">CELL("contenu",INDIRECT(ADDRESS(ref!$K$8,ref!E26,1,,CELL("contenu",$AC$2))))</f>
        <v>15</v>
      </c>
      <c r="W27" s="29" t="str">
        <f ca="1">CELL("contenu",INDIRECT(ADDRESS(ref!$K$8,ref!F26,1,,CELL("contenu",$AC$2))))</f>
        <v/>
      </c>
      <c r="X27" s="30" t="str">
        <f ca="1">CELL("contenu",INDIRECT(ADDRESS(ref!$K$8,ref!G26,1,,CELL("contenu",$AC$2))))</f>
        <v/>
      </c>
      <c r="Y27" s="6" t="str">
        <f ca="1">CELL("contenu",INDIRECT(ADDRESS(ref!$K$9,ref!H26,1,,CELL("contenu",$AC$2))))</f>
        <v/>
      </c>
      <c r="Z27" s="3" t="str">
        <f ca="1">CELL("contenu",INDIRECT(ADDRESS(ref!$K$10,ref!H26,1,,CELL("contenu",$AC$2))))</f>
        <v>A</v>
      </c>
      <c r="AA27" s="7" t="str">
        <f ca="1">CELL("contenu",INDIRECT(ADDRESS(ref!$K$11,ref!H26,1,,CELL("contenu",$AC$2))))</f>
        <v>B</v>
      </c>
    </row>
    <row r="28" spans="1:27" x14ac:dyDescent="0.25">
      <c r="A28" s="44" t="str">
        <f t="shared" ca="1" si="0"/>
        <v>REYES Penelope</v>
      </c>
      <c r="B28" s="1" t="str">
        <f ca="1">CELL("contenu",INDIRECT(ADDRESS(ref!$K$3,ref!E27,1,,CELL("contenu",$AC$2))))</f>
        <v/>
      </c>
      <c r="C28" s="2" t="str">
        <f ca="1">CELL("contenu",INDIRECT(ADDRESS(ref!$K$3,ref!F27,1,,CELL("contenu",$AC$2))))</f>
        <v/>
      </c>
      <c r="D28" s="3" t="str">
        <f ca="1">CELL("contenu",INDIRECT(ADDRESS(ref!$K$3,ref!G27,1,,CELL("contenu",$AC$2))))</f>
        <v/>
      </c>
      <c r="E28" s="4" t="str">
        <f ca="1">CELL("contenu",INDIRECT(ADDRESS(ref!$K$3,ref!H27,1,,CELL("contenu",$AC$2))))</f>
        <v/>
      </c>
      <c r="F28" s="5" t="str">
        <f ca="1">CELL("contenu",INDIRECT(ADDRESS(ref!$K$4,ref!E27,1,,CELL("contenu",$AC$2))))</f>
        <v>D</v>
      </c>
      <c r="G28" s="2" t="str">
        <f ca="1">CELL("contenu",INDIRECT(ADDRESS(ref!$K$4,ref!F27,1,,CELL("contenu",$AC$2))))</f>
        <v/>
      </c>
      <c r="H28" s="3" t="str">
        <f ca="1">CELL("contenu",INDIRECT(ADDRESS(ref!$K$4,ref!G27,1,,CELL("contenu",$AC$2))))</f>
        <v/>
      </c>
      <c r="I28" s="4" t="str">
        <f ca="1">CELL("contenu",INDIRECT(ADDRESS(ref!$K$4,ref!H27,1,,CELL("contenu",$AC$2))))</f>
        <v>D</v>
      </c>
      <c r="J28" s="5" t="str">
        <f ca="1">CELL("contenu",INDIRECT(ADDRESS(ref!$K$5,ref!E27,1,,CELL("contenu",$AC$2))))</f>
        <v>D</v>
      </c>
      <c r="K28" s="2" t="str">
        <f ca="1">CELL("contenu",INDIRECT(ADDRESS(ref!$K$5,ref!F27,1,,CELL("contenu",$AC$2))))</f>
        <v/>
      </c>
      <c r="L28" s="3" t="str">
        <f ca="1">CELL("contenu",INDIRECT(ADDRESS(ref!$K$5,ref!G27,1,,CELL("contenu",$AC$2))))</f>
        <v/>
      </c>
      <c r="M28" s="4" t="str">
        <f ca="1">CELL("contenu",INDIRECT(ADDRESS(ref!$K$5,ref!H27,1,,CELL("contenu",$AC$2))))</f>
        <v>D</v>
      </c>
      <c r="N28" s="5" t="str">
        <f ca="1">CELL("contenu",INDIRECT(ADDRESS(ref!$K$6,ref!E27,1,,CELL("contenu",$AC$2))))</f>
        <v>C</v>
      </c>
      <c r="O28" s="2" t="str">
        <f ca="1">CELL("contenu",INDIRECT(ADDRESS(ref!$K$6,ref!F27,1,,CELL("contenu",$AC$2))))</f>
        <v/>
      </c>
      <c r="P28" s="3" t="str">
        <f ca="1">CELL("contenu",INDIRECT(ADDRESS(ref!$K$6,ref!G27,1,,CELL("contenu",$AC$2))))</f>
        <v/>
      </c>
      <c r="Q28" s="4" t="str">
        <f ca="1">CELL("contenu",INDIRECT(ADDRESS(ref!$K$6,ref!H27,1,,CELL("contenu",$AC$2))))</f>
        <v>C</v>
      </c>
      <c r="R28" s="5" t="str">
        <f ca="1">CELL("contenu",INDIRECT(ADDRESS(ref!$K$7,ref!E27,1,,CELL("contenu",$AC$2))))</f>
        <v>A</v>
      </c>
      <c r="S28" s="2" t="str">
        <f ca="1">CELL("contenu",INDIRECT(ADDRESS(ref!$K$7,ref!F27,1,,CELL("contenu",$AC$2))))</f>
        <v/>
      </c>
      <c r="T28" s="3" t="str">
        <f ca="1">CELL("contenu",INDIRECT(ADDRESS(ref!$K$7,ref!G27,1,,CELL("contenu",$AC$2))))</f>
        <v/>
      </c>
      <c r="U28" s="4" t="str">
        <f ca="1">CELL("contenu",INDIRECT(ADDRESS(ref!$K$7,ref!H27,1,,CELL("contenu",$AC$2))))</f>
        <v>A</v>
      </c>
      <c r="V28" s="28">
        <f ca="1">CELL("contenu",INDIRECT(ADDRESS(ref!$K$8,ref!E27,1,,CELL("contenu",$AC$2))))</f>
        <v>10</v>
      </c>
      <c r="W28" s="29" t="str">
        <f ca="1">CELL("contenu",INDIRECT(ADDRESS(ref!$K$8,ref!F27,1,,CELL("contenu",$AC$2))))</f>
        <v/>
      </c>
      <c r="X28" s="30" t="str">
        <f ca="1">CELL("contenu",INDIRECT(ADDRESS(ref!$K$8,ref!G27,1,,CELL("contenu",$AC$2))))</f>
        <v/>
      </c>
      <c r="Y28" s="6" t="str">
        <f ca="1">CELL("contenu",INDIRECT(ADDRESS(ref!$K$9,ref!H27,1,,CELL("contenu",$AC$2))))</f>
        <v/>
      </c>
      <c r="Z28" s="3" t="str">
        <f ca="1">CELL("contenu",INDIRECT(ADDRESS(ref!$K$10,ref!H27,1,,CELL("contenu",$AC$2))))</f>
        <v>D</v>
      </c>
      <c r="AA28" s="7" t="str">
        <f ca="1">CELL("contenu",INDIRECT(ADDRESS(ref!$K$11,ref!H27,1,,CELL("contenu",$AC$2))))</f>
        <v>C</v>
      </c>
    </row>
    <row r="29" spans="1:27" x14ac:dyDescent="0.25">
      <c r="A29" s="44" t="str">
        <f t="shared" ca="1" si="0"/>
        <v>RHEINART Emilie</v>
      </c>
      <c r="B29" s="1" t="str">
        <f ca="1">CELL("contenu",INDIRECT(ADDRESS(ref!$K$3,ref!E28,1,,CELL("contenu",$AC$2))))</f>
        <v/>
      </c>
      <c r="C29" s="2" t="str">
        <f ca="1">CELL("contenu",INDIRECT(ADDRESS(ref!$K$3,ref!F28,1,,CELL("contenu",$AC$2))))</f>
        <v/>
      </c>
      <c r="D29" s="3" t="str">
        <f ca="1">CELL("contenu",INDIRECT(ADDRESS(ref!$K$3,ref!G28,1,,CELL("contenu",$AC$2))))</f>
        <v/>
      </c>
      <c r="E29" s="4" t="str">
        <f ca="1">CELL("contenu",INDIRECT(ADDRESS(ref!$K$3,ref!H28,1,,CELL("contenu",$AC$2))))</f>
        <v/>
      </c>
      <c r="F29" s="5" t="str">
        <f ca="1">CELL("contenu",INDIRECT(ADDRESS(ref!$K$4,ref!E28,1,,CELL("contenu",$AC$2))))</f>
        <v>B</v>
      </c>
      <c r="G29" s="2" t="str">
        <f ca="1">CELL("contenu",INDIRECT(ADDRESS(ref!$K$4,ref!F28,1,,CELL("contenu",$AC$2))))</f>
        <v/>
      </c>
      <c r="H29" s="3" t="str">
        <f ca="1">CELL("contenu",INDIRECT(ADDRESS(ref!$K$4,ref!G28,1,,CELL("contenu",$AC$2))))</f>
        <v/>
      </c>
      <c r="I29" s="4" t="str">
        <f ca="1">CELL("contenu",INDIRECT(ADDRESS(ref!$K$4,ref!H28,1,,CELL("contenu",$AC$2))))</f>
        <v>B</v>
      </c>
      <c r="J29" s="5" t="str">
        <f ca="1">CELL("contenu",INDIRECT(ADDRESS(ref!$K$5,ref!E28,1,,CELL("contenu",$AC$2))))</f>
        <v>A</v>
      </c>
      <c r="K29" s="2" t="str">
        <f ca="1">CELL("contenu",INDIRECT(ADDRESS(ref!$K$5,ref!F28,1,,CELL("contenu",$AC$2))))</f>
        <v/>
      </c>
      <c r="L29" s="3" t="str">
        <f ca="1">CELL("contenu",INDIRECT(ADDRESS(ref!$K$5,ref!G28,1,,CELL("contenu",$AC$2))))</f>
        <v/>
      </c>
      <c r="M29" s="4" t="str">
        <f ca="1">CELL("contenu",INDIRECT(ADDRESS(ref!$K$5,ref!H28,1,,CELL("contenu",$AC$2))))</f>
        <v>A</v>
      </c>
      <c r="N29" s="5" t="str">
        <f ca="1">CELL("contenu",INDIRECT(ADDRESS(ref!$K$6,ref!E28,1,,CELL("contenu",$AC$2))))</f>
        <v>B</v>
      </c>
      <c r="O29" s="2" t="str">
        <f ca="1">CELL("contenu",INDIRECT(ADDRESS(ref!$K$6,ref!F28,1,,CELL("contenu",$AC$2))))</f>
        <v/>
      </c>
      <c r="P29" s="3" t="str">
        <f ca="1">CELL("contenu",INDIRECT(ADDRESS(ref!$K$6,ref!G28,1,,CELL("contenu",$AC$2))))</f>
        <v/>
      </c>
      <c r="Q29" s="4" t="str">
        <f ca="1">CELL("contenu",INDIRECT(ADDRESS(ref!$K$6,ref!H28,1,,CELL("contenu",$AC$2))))</f>
        <v>B</v>
      </c>
      <c r="R29" s="5" t="str">
        <f ca="1">CELL("contenu",INDIRECT(ADDRESS(ref!$K$7,ref!E28,1,,CELL("contenu",$AC$2))))</f>
        <v>A</v>
      </c>
      <c r="S29" s="2" t="str">
        <f ca="1">CELL("contenu",INDIRECT(ADDRESS(ref!$K$7,ref!F28,1,,CELL("contenu",$AC$2))))</f>
        <v/>
      </c>
      <c r="T29" s="3" t="str">
        <f ca="1">CELL("contenu",INDIRECT(ADDRESS(ref!$K$7,ref!G28,1,,CELL("contenu",$AC$2))))</f>
        <v/>
      </c>
      <c r="U29" s="4" t="str">
        <f ca="1">CELL("contenu",INDIRECT(ADDRESS(ref!$K$7,ref!H28,1,,CELL("contenu",$AC$2))))</f>
        <v>A</v>
      </c>
      <c r="V29" s="28">
        <f ca="1">CELL("contenu",INDIRECT(ADDRESS(ref!$K$8,ref!E28,1,,CELL("contenu",$AC$2))))</f>
        <v>16.666666666666668</v>
      </c>
      <c r="W29" s="29" t="str">
        <f ca="1">CELL("contenu",INDIRECT(ADDRESS(ref!$K$8,ref!F28,1,,CELL("contenu",$AC$2))))</f>
        <v/>
      </c>
      <c r="X29" s="30" t="str">
        <f ca="1">CELL("contenu",INDIRECT(ADDRESS(ref!$K$8,ref!G28,1,,CELL("contenu",$AC$2))))</f>
        <v/>
      </c>
      <c r="Y29" s="6" t="str">
        <f ca="1">CELL("contenu",INDIRECT(ADDRESS(ref!$K$9,ref!H28,1,,CELL("contenu",$AC$2))))</f>
        <v/>
      </c>
      <c r="Z29" s="3" t="str">
        <f ca="1">CELL("contenu",INDIRECT(ADDRESS(ref!$K$10,ref!H28,1,,CELL("contenu",$AC$2))))</f>
        <v>A</v>
      </c>
      <c r="AA29" s="7" t="str">
        <f ca="1">CELL("contenu",INDIRECT(ADDRESS(ref!$K$11,ref!H28,1,,CELL("contenu",$AC$2))))</f>
        <v>B</v>
      </c>
    </row>
    <row r="30" spans="1:27" x14ac:dyDescent="0.25">
      <c r="A30" s="44" t="str">
        <f t="shared" ca="1" si="0"/>
        <v>RIBOULEAU Clemence</v>
      </c>
      <c r="B30" s="1" t="str">
        <f ca="1">CELL("contenu",INDIRECT(ADDRESS(ref!$K$3,ref!E29,1,,CELL("contenu",$AC$2))))</f>
        <v/>
      </c>
      <c r="C30" s="2" t="str">
        <f ca="1">CELL("contenu",INDIRECT(ADDRESS(ref!$K$3,ref!F29,1,,CELL("contenu",$AC$2))))</f>
        <v/>
      </c>
      <c r="D30" s="3" t="str">
        <f ca="1">CELL("contenu",INDIRECT(ADDRESS(ref!$K$3,ref!G29,1,,CELL("contenu",$AC$2))))</f>
        <v/>
      </c>
      <c r="E30" s="4" t="str">
        <f ca="1">CELL("contenu",INDIRECT(ADDRESS(ref!$K$3,ref!H29,1,,CELL("contenu",$AC$2))))</f>
        <v/>
      </c>
      <c r="F30" s="5" t="str">
        <f ca="1">CELL("contenu",INDIRECT(ADDRESS(ref!$K$4,ref!E29,1,,CELL("contenu",$AC$2))))</f>
        <v>C</v>
      </c>
      <c r="G30" s="2" t="str">
        <f ca="1">CELL("contenu",INDIRECT(ADDRESS(ref!$K$4,ref!F29,1,,CELL("contenu",$AC$2))))</f>
        <v/>
      </c>
      <c r="H30" s="3" t="str">
        <f ca="1">CELL("contenu",INDIRECT(ADDRESS(ref!$K$4,ref!G29,1,,CELL("contenu",$AC$2))))</f>
        <v/>
      </c>
      <c r="I30" s="4" t="str">
        <f ca="1">CELL("contenu",INDIRECT(ADDRESS(ref!$K$4,ref!H29,1,,CELL("contenu",$AC$2))))</f>
        <v>C</v>
      </c>
      <c r="J30" s="5" t="str">
        <f ca="1">CELL("contenu",INDIRECT(ADDRESS(ref!$K$5,ref!E29,1,,CELL("contenu",$AC$2))))</f>
        <v>A</v>
      </c>
      <c r="K30" s="2" t="str">
        <f ca="1">CELL("contenu",INDIRECT(ADDRESS(ref!$K$5,ref!F29,1,,CELL("contenu",$AC$2))))</f>
        <v/>
      </c>
      <c r="L30" s="3" t="str">
        <f ca="1">CELL("contenu",INDIRECT(ADDRESS(ref!$K$5,ref!G29,1,,CELL("contenu",$AC$2))))</f>
        <v/>
      </c>
      <c r="M30" s="4" t="str">
        <f ca="1">CELL("contenu",INDIRECT(ADDRESS(ref!$K$5,ref!H29,1,,CELL("contenu",$AC$2))))</f>
        <v>A</v>
      </c>
      <c r="N30" s="5" t="str">
        <f ca="1">CELL("contenu",INDIRECT(ADDRESS(ref!$K$6,ref!E29,1,,CELL("contenu",$AC$2))))</f>
        <v>A</v>
      </c>
      <c r="O30" s="2" t="str">
        <f ca="1">CELL("contenu",INDIRECT(ADDRESS(ref!$K$6,ref!F29,1,,CELL("contenu",$AC$2))))</f>
        <v/>
      </c>
      <c r="P30" s="3" t="str">
        <f ca="1">CELL("contenu",INDIRECT(ADDRESS(ref!$K$6,ref!G29,1,,CELL("contenu",$AC$2))))</f>
        <v/>
      </c>
      <c r="Q30" s="4" t="str">
        <f ca="1">CELL("contenu",INDIRECT(ADDRESS(ref!$K$6,ref!H29,1,,CELL("contenu",$AC$2))))</f>
        <v>A</v>
      </c>
      <c r="R30" s="5" t="str">
        <f ca="1">CELL("contenu",INDIRECT(ADDRESS(ref!$K$7,ref!E29,1,,CELL("contenu",$AC$2))))</f>
        <v>A</v>
      </c>
      <c r="S30" s="2" t="str">
        <f ca="1">CELL("contenu",INDIRECT(ADDRESS(ref!$K$7,ref!F29,1,,CELL("contenu",$AC$2))))</f>
        <v/>
      </c>
      <c r="T30" s="3" t="str">
        <f ca="1">CELL("contenu",INDIRECT(ADDRESS(ref!$K$7,ref!G29,1,,CELL("contenu",$AC$2))))</f>
        <v/>
      </c>
      <c r="U30" s="4" t="str">
        <f ca="1">CELL("contenu",INDIRECT(ADDRESS(ref!$K$7,ref!H29,1,,CELL("contenu",$AC$2))))</f>
        <v>A</v>
      </c>
      <c r="V30" s="28">
        <f ca="1">CELL("contenu",INDIRECT(ADDRESS(ref!$K$8,ref!E29,1,,CELL("contenu",$AC$2))))</f>
        <v>17.5</v>
      </c>
      <c r="W30" s="29" t="str">
        <f ca="1">CELL("contenu",INDIRECT(ADDRESS(ref!$K$8,ref!F29,1,,CELL("contenu",$AC$2))))</f>
        <v/>
      </c>
      <c r="X30" s="30" t="str">
        <f ca="1">CELL("contenu",INDIRECT(ADDRESS(ref!$K$8,ref!G29,1,,CELL("contenu",$AC$2))))</f>
        <v/>
      </c>
      <c r="Y30" s="6" t="str">
        <f ca="1">CELL("contenu",INDIRECT(ADDRESS(ref!$K$9,ref!H29,1,,CELL("contenu",$AC$2))))</f>
        <v/>
      </c>
      <c r="Z30" s="3" t="str">
        <f ca="1">CELL("contenu",INDIRECT(ADDRESS(ref!$K$10,ref!H29,1,,CELL("contenu",$AC$2))))</f>
        <v>A</v>
      </c>
      <c r="AA30" s="7" t="str">
        <f ca="1">CELL("contenu",INDIRECT(ADDRESS(ref!$K$11,ref!H29,1,,CELL("contenu",$AC$2))))</f>
        <v>A</v>
      </c>
    </row>
    <row r="31" spans="1:27" x14ac:dyDescent="0.25">
      <c r="A31" s="44" t="str">
        <f t="shared" ca="1" si="0"/>
        <v>SOLDAT Flaureanne</v>
      </c>
      <c r="B31" s="1" t="str">
        <f ca="1">CELL("contenu",INDIRECT(ADDRESS(ref!$K$3,ref!E30,1,,CELL("contenu",$AC$2))))</f>
        <v/>
      </c>
      <c r="C31" s="2" t="str">
        <f ca="1">CELL("contenu",INDIRECT(ADDRESS(ref!$K$3,ref!F30,1,,CELL("contenu",$AC$2))))</f>
        <v/>
      </c>
      <c r="D31" s="3" t="str">
        <f ca="1">CELL("contenu",INDIRECT(ADDRESS(ref!$K$3,ref!G30,1,,CELL("contenu",$AC$2))))</f>
        <v/>
      </c>
      <c r="E31" s="4" t="str">
        <f ca="1">CELL("contenu",INDIRECT(ADDRESS(ref!$K$3,ref!H30,1,,CELL("contenu",$AC$2))))</f>
        <v/>
      </c>
      <c r="F31" s="5" t="str">
        <f ca="1">CELL("contenu",INDIRECT(ADDRESS(ref!$K$4,ref!E30,1,,CELL("contenu",$AC$2))))</f>
        <v>B</v>
      </c>
      <c r="G31" s="2" t="str">
        <f ca="1">CELL("contenu",INDIRECT(ADDRESS(ref!$K$4,ref!F30,1,,CELL("contenu",$AC$2))))</f>
        <v/>
      </c>
      <c r="H31" s="3" t="str">
        <f ca="1">CELL("contenu",INDIRECT(ADDRESS(ref!$K$4,ref!G30,1,,CELL("contenu",$AC$2))))</f>
        <v/>
      </c>
      <c r="I31" s="4" t="str">
        <f ca="1">CELL("contenu",INDIRECT(ADDRESS(ref!$K$4,ref!H30,1,,CELL("contenu",$AC$2))))</f>
        <v>B</v>
      </c>
      <c r="J31" s="5" t="str">
        <f ca="1">CELL("contenu",INDIRECT(ADDRESS(ref!$K$5,ref!E30,1,,CELL("contenu",$AC$2))))</f>
        <v>A</v>
      </c>
      <c r="K31" s="2" t="str">
        <f ca="1">CELL("contenu",INDIRECT(ADDRESS(ref!$K$5,ref!F30,1,,CELL("contenu",$AC$2))))</f>
        <v/>
      </c>
      <c r="L31" s="3" t="str">
        <f ca="1">CELL("contenu",INDIRECT(ADDRESS(ref!$K$5,ref!G30,1,,CELL("contenu",$AC$2))))</f>
        <v/>
      </c>
      <c r="M31" s="4" t="str">
        <f ca="1">CELL("contenu",INDIRECT(ADDRESS(ref!$K$5,ref!H30,1,,CELL("contenu",$AC$2))))</f>
        <v>A</v>
      </c>
      <c r="N31" s="5" t="str">
        <f ca="1">CELL("contenu",INDIRECT(ADDRESS(ref!$K$6,ref!E30,1,,CELL("contenu",$AC$2))))</f>
        <v>A</v>
      </c>
      <c r="O31" s="2" t="str">
        <f ca="1">CELL("contenu",INDIRECT(ADDRESS(ref!$K$6,ref!F30,1,,CELL("contenu",$AC$2))))</f>
        <v/>
      </c>
      <c r="P31" s="3" t="str">
        <f ca="1">CELL("contenu",INDIRECT(ADDRESS(ref!$K$6,ref!G30,1,,CELL("contenu",$AC$2))))</f>
        <v/>
      </c>
      <c r="Q31" s="4" t="str">
        <f ca="1">CELL("contenu",INDIRECT(ADDRESS(ref!$K$6,ref!H30,1,,CELL("contenu",$AC$2))))</f>
        <v>A</v>
      </c>
      <c r="R31" s="5" t="str">
        <f ca="1">CELL("contenu",INDIRECT(ADDRESS(ref!$K$7,ref!E30,1,,CELL("contenu",$AC$2))))</f>
        <v>A</v>
      </c>
      <c r="S31" s="2" t="str">
        <f ca="1">CELL("contenu",INDIRECT(ADDRESS(ref!$K$7,ref!F30,1,,CELL("contenu",$AC$2))))</f>
        <v/>
      </c>
      <c r="T31" s="3" t="str">
        <f ca="1">CELL("contenu",INDIRECT(ADDRESS(ref!$K$7,ref!G30,1,,CELL("contenu",$AC$2))))</f>
        <v/>
      </c>
      <c r="U31" s="4" t="str">
        <f ca="1">CELL("contenu",INDIRECT(ADDRESS(ref!$K$7,ref!H30,1,,CELL("contenu",$AC$2))))</f>
        <v>A</v>
      </c>
      <c r="V31" s="28">
        <f ca="1">CELL("contenu",INDIRECT(ADDRESS(ref!$K$8,ref!E30,1,,CELL("contenu",$AC$2))))</f>
        <v>19.166666666666664</v>
      </c>
      <c r="W31" s="29" t="str">
        <f ca="1">CELL("contenu",INDIRECT(ADDRESS(ref!$K$8,ref!F30,1,,CELL("contenu",$AC$2))))</f>
        <v/>
      </c>
      <c r="X31" s="30" t="str">
        <f ca="1">CELL("contenu",INDIRECT(ADDRESS(ref!$K$8,ref!G30,1,,CELL("contenu",$AC$2))))</f>
        <v/>
      </c>
      <c r="Y31" s="6" t="str">
        <f ca="1">CELL("contenu",INDIRECT(ADDRESS(ref!$K$9,ref!H30,1,,CELL("contenu",$AC$2))))</f>
        <v/>
      </c>
      <c r="Z31" s="3" t="str">
        <f ca="1">CELL("contenu",INDIRECT(ADDRESS(ref!$K$10,ref!H30,1,,CELL("contenu",$AC$2))))</f>
        <v>A</v>
      </c>
      <c r="AA31" s="7" t="str">
        <f ca="1">CELL("contenu",INDIRECT(ADDRESS(ref!$K$11,ref!H30,1,,CELL("contenu",$AC$2))))</f>
        <v>A</v>
      </c>
    </row>
    <row r="32" spans="1:27" x14ac:dyDescent="0.25">
      <c r="A32" s="44">
        <f t="shared" ca="1" si="0"/>
        <v>0</v>
      </c>
      <c r="B32" s="1" t="str">
        <f ca="1">CELL("contenu",INDIRECT(ADDRESS(ref!$K$3,ref!E31,1,,CELL("contenu",$AC$2))))</f>
        <v/>
      </c>
      <c r="C32" s="2" t="str">
        <f ca="1">CELL("contenu",INDIRECT(ADDRESS(ref!$K$3,ref!F31,1,,CELL("contenu",$AC$2))))</f>
        <v/>
      </c>
      <c r="D32" s="3" t="str">
        <f ca="1">CELL("contenu",INDIRECT(ADDRESS(ref!$K$3,ref!G31,1,,CELL("contenu",$AC$2))))</f>
        <v/>
      </c>
      <c r="E32" s="4" t="str">
        <f ca="1">CELL("contenu",INDIRECT(ADDRESS(ref!$K$3,ref!H31,1,,CELL("contenu",$AC$2))))</f>
        <v/>
      </c>
      <c r="F32" s="5" t="str">
        <f ca="1">CELL("contenu",INDIRECT(ADDRESS(ref!$K$4,ref!E31,1,,CELL("contenu",$AC$2))))</f>
        <v/>
      </c>
      <c r="G32" s="2" t="str">
        <f ca="1">CELL("contenu",INDIRECT(ADDRESS(ref!$K$4,ref!F31,1,,CELL("contenu",$AC$2))))</f>
        <v/>
      </c>
      <c r="H32" s="3" t="str">
        <f ca="1">CELL("contenu",INDIRECT(ADDRESS(ref!$K$4,ref!G31,1,,CELL("contenu",$AC$2))))</f>
        <v/>
      </c>
      <c r="I32" s="4" t="str">
        <f ca="1">CELL("contenu",INDIRECT(ADDRESS(ref!$K$4,ref!H31,1,,CELL("contenu",$AC$2))))</f>
        <v/>
      </c>
      <c r="J32" s="5" t="str">
        <f ca="1">CELL("contenu",INDIRECT(ADDRESS(ref!$K$5,ref!E31,1,,CELL("contenu",$AC$2))))</f>
        <v/>
      </c>
      <c r="K32" s="2" t="str">
        <f ca="1">CELL("contenu",INDIRECT(ADDRESS(ref!$K$5,ref!F31,1,,CELL("contenu",$AC$2))))</f>
        <v/>
      </c>
      <c r="L32" s="3" t="str">
        <f ca="1">CELL("contenu",INDIRECT(ADDRESS(ref!$K$5,ref!G31,1,,CELL("contenu",$AC$2))))</f>
        <v/>
      </c>
      <c r="M32" s="4" t="str">
        <f ca="1">CELL("contenu",INDIRECT(ADDRESS(ref!$K$5,ref!H31,1,,CELL("contenu",$AC$2))))</f>
        <v/>
      </c>
      <c r="N32" s="5" t="str">
        <f ca="1">CELL("contenu",INDIRECT(ADDRESS(ref!$K$6,ref!E31,1,,CELL("contenu",$AC$2))))</f>
        <v/>
      </c>
      <c r="O32" s="2" t="str">
        <f ca="1">CELL("contenu",INDIRECT(ADDRESS(ref!$K$6,ref!F31,1,,CELL("contenu",$AC$2))))</f>
        <v/>
      </c>
      <c r="P32" s="3" t="str">
        <f ca="1">CELL("contenu",INDIRECT(ADDRESS(ref!$K$6,ref!G31,1,,CELL("contenu",$AC$2))))</f>
        <v/>
      </c>
      <c r="Q32" s="4" t="str">
        <f ca="1">CELL("contenu",INDIRECT(ADDRESS(ref!$K$6,ref!H31,1,,CELL("contenu",$AC$2))))</f>
        <v/>
      </c>
      <c r="R32" s="5" t="str">
        <f ca="1">CELL("contenu",INDIRECT(ADDRESS(ref!$K$7,ref!E31,1,,CELL("contenu",$AC$2))))</f>
        <v/>
      </c>
      <c r="S32" s="2" t="str">
        <f ca="1">CELL("contenu",INDIRECT(ADDRESS(ref!$K$7,ref!F31,1,,CELL("contenu",$AC$2))))</f>
        <v/>
      </c>
      <c r="T32" s="3" t="str">
        <f ca="1">CELL("contenu",INDIRECT(ADDRESS(ref!$K$7,ref!G31,1,,CELL("contenu",$AC$2))))</f>
        <v/>
      </c>
      <c r="U32" s="4" t="str">
        <f ca="1">CELL("contenu",INDIRECT(ADDRESS(ref!$K$7,ref!H31,1,,CELL("contenu",$AC$2))))</f>
        <v/>
      </c>
      <c r="V32" s="28" t="str">
        <f ca="1">CELL("contenu",INDIRECT(ADDRESS(ref!$K$8,ref!E31,1,,CELL("contenu",$AC$2))))</f>
        <v/>
      </c>
      <c r="W32" s="29" t="str">
        <f ca="1">CELL("contenu",INDIRECT(ADDRESS(ref!$K$8,ref!F31,1,,CELL("contenu",$AC$2))))</f>
        <v/>
      </c>
      <c r="X32" s="30" t="str">
        <f ca="1">CELL("contenu",INDIRECT(ADDRESS(ref!$K$8,ref!G31,1,,CELL("contenu",$AC$2))))</f>
        <v/>
      </c>
      <c r="Y32" s="6" t="str">
        <f ca="1">CELL("contenu",INDIRECT(ADDRESS(ref!$K$9,ref!H31,1,,CELL("contenu",$AC$2))))</f>
        <v/>
      </c>
      <c r="Z32" s="3" t="str">
        <f ca="1">CELL("contenu",INDIRECT(ADDRESS(ref!$K$10,ref!H31,1,,CELL("contenu",$AC$2))))</f>
        <v/>
      </c>
      <c r="AA32" s="7" t="str">
        <f ca="1">CELL("contenu",INDIRECT(ADDRESS(ref!$K$11,ref!H31,1,,CELL("contenu",$AC$2))))</f>
        <v/>
      </c>
    </row>
    <row r="33" spans="1:27" ht="15.75" thickBot="1" x14ac:dyDescent="0.3">
      <c r="A33" s="44">
        <f t="shared" ca="1" si="0"/>
        <v>0</v>
      </c>
      <c r="B33" s="15" t="str">
        <f ca="1">CELL("contenu",INDIRECT(ADDRESS(ref!$K$3,ref!E32,1,,CELL("contenu",$AC$2))))</f>
        <v/>
      </c>
      <c r="C33" s="8" t="str">
        <f ca="1">CELL("contenu",INDIRECT(ADDRESS(ref!$K$3,ref!F32,1,,CELL("contenu",$AC$2))))</f>
        <v/>
      </c>
      <c r="D33" s="9" t="str">
        <f ca="1">CELL("contenu",INDIRECT(ADDRESS(ref!$K$3,ref!G32,1,,CELL("contenu",$AC$2))))</f>
        <v/>
      </c>
      <c r="E33" s="10" t="str">
        <f ca="1">CELL("contenu",INDIRECT(ADDRESS(ref!$K$3,ref!H32,1,,CELL("contenu",$AC$2))))</f>
        <v/>
      </c>
      <c r="F33" s="11" t="str">
        <f ca="1">CELL("contenu",INDIRECT(ADDRESS(ref!$K$4,ref!E32,1,,CELL("contenu",$AC$2))))</f>
        <v/>
      </c>
      <c r="G33" s="8" t="str">
        <f ca="1">CELL("contenu",INDIRECT(ADDRESS(ref!$K$4,ref!F32,1,,CELL("contenu",$AC$2))))</f>
        <v/>
      </c>
      <c r="H33" s="9" t="str">
        <f ca="1">CELL("contenu",INDIRECT(ADDRESS(ref!$K$4,ref!G32,1,,CELL("contenu",$AC$2))))</f>
        <v/>
      </c>
      <c r="I33" s="10" t="str">
        <f ca="1">CELL("contenu",INDIRECT(ADDRESS(ref!$K$4,ref!H32,1,,CELL("contenu",$AC$2))))</f>
        <v/>
      </c>
      <c r="J33" s="11" t="str">
        <f ca="1">CELL("contenu",INDIRECT(ADDRESS(ref!$K$5,ref!E32,1,,CELL("contenu",$AC$2))))</f>
        <v/>
      </c>
      <c r="K33" s="8" t="str">
        <f ca="1">CELL("contenu",INDIRECT(ADDRESS(ref!$K$5,ref!F32,1,,CELL("contenu",$AC$2))))</f>
        <v/>
      </c>
      <c r="L33" s="9" t="str">
        <f ca="1">CELL("contenu",INDIRECT(ADDRESS(ref!$K$5,ref!G32,1,,CELL("contenu",$AC$2))))</f>
        <v/>
      </c>
      <c r="M33" s="10" t="str">
        <f ca="1">CELL("contenu",INDIRECT(ADDRESS(ref!$K$5,ref!H32,1,,CELL("contenu",$AC$2))))</f>
        <v/>
      </c>
      <c r="N33" s="11" t="str">
        <f ca="1">CELL("contenu",INDIRECT(ADDRESS(ref!$K$6,ref!E32,1,,CELL("contenu",$AC$2))))</f>
        <v/>
      </c>
      <c r="O33" s="8" t="str">
        <f ca="1">CELL("contenu",INDIRECT(ADDRESS(ref!$K$6,ref!F32,1,,CELL("contenu",$AC$2))))</f>
        <v/>
      </c>
      <c r="P33" s="9" t="str">
        <f ca="1">CELL("contenu",INDIRECT(ADDRESS(ref!$K$6,ref!G32,1,,CELL("contenu",$AC$2))))</f>
        <v/>
      </c>
      <c r="Q33" s="10" t="str">
        <f ca="1">CELL("contenu",INDIRECT(ADDRESS(ref!$K$6,ref!H32,1,,CELL("contenu",$AC$2))))</f>
        <v/>
      </c>
      <c r="R33" s="11" t="str">
        <f ca="1">CELL("contenu",INDIRECT(ADDRESS(ref!$K$7,ref!E32,1,,CELL("contenu",$AC$2))))</f>
        <v/>
      </c>
      <c r="S33" s="8" t="str">
        <f ca="1">CELL("contenu",INDIRECT(ADDRESS(ref!$K$7,ref!F32,1,,CELL("contenu",$AC$2))))</f>
        <v/>
      </c>
      <c r="T33" s="9" t="str">
        <f ca="1">CELL("contenu",INDIRECT(ADDRESS(ref!$K$7,ref!G32,1,,CELL("contenu",$AC$2))))</f>
        <v/>
      </c>
      <c r="U33" s="10" t="str">
        <f ca="1">CELL("contenu",INDIRECT(ADDRESS(ref!$K$7,ref!H32,1,,CELL("contenu",$AC$2))))</f>
        <v/>
      </c>
      <c r="V33" s="31" t="str">
        <f ca="1">CELL("contenu",INDIRECT(ADDRESS(ref!$K$8,ref!E32,1,,CELL("contenu",$AC$2))))</f>
        <v/>
      </c>
      <c r="W33" s="32" t="str">
        <f ca="1">CELL("contenu",INDIRECT(ADDRESS(ref!$K$8,ref!F32,1,,CELL("contenu",$AC$2))))</f>
        <v/>
      </c>
      <c r="X33" s="33" t="str">
        <f ca="1">CELL("contenu",INDIRECT(ADDRESS(ref!$K$8,ref!G32,1,,CELL("contenu",$AC$2))))</f>
        <v/>
      </c>
      <c r="Y33" s="12" t="str">
        <f ca="1">CELL("contenu",INDIRECT(ADDRESS(ref!$K$9,ref!H32,1,,CELL("contenu",$AC$2))))</f>
        <v/>
      </c>
      <c r="Z33" s="9" t="str">
        <f ca="1">CELL("contenu",INDIRECT(ADDRESS(ref!$K$10,ref!H32,1,,CELL("contenu",$AC$2))))</f>
        <v/>
      </c>
      <c r="AA33" s="13" t="str">
        <f ca="1">CELL("contenu",INDIRECT(ADDRESS(ref!$K$11,ref!H32,1,,CELL("contenu",$AC$2))))</f>
        <v/>
      </c>
    </row>
  </sheetData>
  <sheetProtection algorithmName="SHA-512" hashValue="yWY1RFnvc7eiekPQo8XsF2oU7INxBd4LvCaC35UbehaKOT5SqN/0dJpvUm3zNUVHhPFZcVCw1ky1T78tStBSng==" saltValue="UC70A50VvEH401tcbl3SZg==" spinCount="100000" sheet="1" selectLockedCells="1" selectUn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8"/>
  <dimension ref="A1:SR25"/>
  <sheetViews>
    <sheetView zoomScale="70" zoomScaleNormal="70" workbookViewId="0">
      <pane xSplit="2" topLeftCell="QC1" activePane="topRight" state="frozen"/>
      <selection activeCell="Y3" sqref="Y3:AA3"/>
      <selection pane="topRight" activeCell="QU16" sqref="QU16"/>
    </sheetView>
  </sheetViews>
  <sheetFormatPr baseColWidth="10" defaultColWidth="5.7109375" defaultRowHeight="15" x14ac:dyDescent="0.25"/>
  <cols>
    <col min="1" max="1" width="17.7109375" style="98" customWidth="1"/>
    <col min="2" max="2" width="13.7109375" style="98" customWidth="1"/>
    <col min="3" max="5" width="4.7109375" style="202" customWidth="1"/>
    <col min="6" max="6" width="4.7109375" style="117" customWidth="1"/>
    <col min="7" max="7" width="8.7109375" style="118" customWidth="1"/>
    <col min="8" max="10" width="4.7109375" style="97" customWidth="1"/>
    <col min="11" max="11" width="4.7109375" style="118" customWidth="1"/>
    <col min="12" max="12" width="8.7109375" style="118" customWidth="1"/>
    <col min="13" max="15" width="4.7109375" style="97" customWidth="1"/>
    <col min="16" max="16" width="4.7109375" style="118" customWidth="1"/>
    <col min="17" max="17" width="8.7109375" style="118" customWidth="1"/>
    <col min="18" max="18" width="4.7109375" style="118" customWidth="1"/>
    <col min="19" max="19" width="8.7109375" style="118" customWidth="1"/>
    <col min="20" max="23" width="4.7109375" style="117" customWidth="1"/>
    <col min="24" max="24" width="8.7109375" style="118" customWidth="1"/>
    <col min="25" max="27" width="4.7109375" style="97" customWidth="1"/>
    <col min="28" max="28" width="4.7109375" style="118" customWidth="1"/>
    <col min="29" max="29" width="8.7109375" style="118" customWidth="1"/>
    <col min="30" max="32" width="4.7109375" style="97" customWidth="1"/>
    <col min="33" max="33" width="4.7109375" style="118" customWidth="1"/>
    <col min="34" max="34" width="8.7109375" style="118" customWidth="1"/>
    <col min="35" max="35" width="4.7109375" style="118" customWidth="1"/>
    <col min="36" max="36" width="8.7109375" style="118" customWidth="1"/>
    <col min="37" max="40" width="4.7109375" style="117" customWidth="1"/>
    <col min="41" max="41" width="8.7109375" style="118" customWidth="1"/>
    <col min="42" max="44" width="4.7109375" style="97" customWidth="1"/>
    <col min="45" max="45" width="4.7109375" style="118" customWidth="1"/>
    <col min="46" max="46" width="8.7109375" style="118" customWidth="1"/>
    <col min="47" max="49" width="4.7109375" style="97" customWidth="1"/>
    <col min="50" max="50" width="4.7109375" style="118" customWidth="1"/>
    <col min="51" max="51" width="8.7109375" style="118" customWidth="1"/>
    <col min="52" max="52" width="4.7109375" style="118" customWidth="1"/>
    <col min="53" max="53" width="8.7109375" style="118" customWidth="1"/>
    <col min="54" max="57" width="4.7109375" style="117" customWidth="1"/>
    <col min="58" max="58" width="8.7109375" style="118" customWidth="1"/>
    <col min="59" max="61" width="4.7109375" style="97" customWidth="1"/>
    <col min="62" max="62" width="4.7109375" style="118" customWidth="1"/>
    <col min="63" max="63" width="8.7109375" style="118" customWidth="1"/>
    <col min="64" max="66" width="4.7109375" style="97" customWidth="1"/>
    <col min="67" max="67" width="4.7109375" style="118" customWidth="1"/>
    <col min="68" max="68" width="8.7109375" style="118" customWidth="1"/>
    <col min="69" max="69" width="4.7109375" style="118" customWidth="1"/>
    <col min="70" max="70" width="8.7109375" style="118" customWidth="1"/>
    <col min="71" max="74" width="4.7109375" style="117" customWidth="1"/>
    <col min="75" max="75" width="8.7109375" style="118" customWidth="1"/>
    <col min="76" max="78" width="4.7109375" style="97" customWidth="1"/>
    <col min="79" max="79" width="4.7109375" style="118" customWidth="1"/>
    <col min="80" max="80" width="8.7109375" style="118" customWidth="1"/>
    <col min="81" max="83" width="4.7109375" style="97" customWidth="1"/>
    <col min="84" max="84" width="4.7109375" style="118" customWidth="1"/>
    <col min="85" max="85" width="8.7109375" style="118" customWidth="1"/>
    <col min="86" max="86" width="4.7109375" style="118" customWidth="1"/>
    <col min="87" max="87" width="8.7109375" style="118" customWidth="1"/>
    <col min="88" max="91" width="4.7109375" style="117" customWidth="1"/>
    <col min="92" max="92" width="8.7109375" style="118" customWidth="1"/>
    <col min="93" max="95" width="4.7109375" style="97" customWidth="1"/>
    <col min="96" max="96" width="4.7109375" style="118" customWidth="1"/>
    <col min="97" max="97" width="8.7109375" style="118" customWidth="1"/>
    <col min="98" max="100" width="4.7109375" style="97" customWidth="1"/>
    <col min="101" max="101" width="4.7109375" style="118" customWidth="1"/>
    <col min="102" max="102" width="8.7109375" style="118" customWidth="1"/>
    <col min="103" max="103" width="4.7109375" style="118" customWidth="1"/>
    <col min="104" max="104" width="8.7109375" style="118" customWidth="1"/>
    <col min="105" max="108" width="4.7109375" style="117" customWidth="1"/>
    <col min="109" max="109" width="8.7109375" style="118" customWidth="1"/>
    <col min="110" max="112" width="4.7109375" style="97" customWidth="1"/>
    <col min="113" max="113" width="4.7109375" style="118" customWidth="1"/>
    <col min="114" max="114" width="8.7109375" style="118" customWidth="1"/>
    <col min="115" max="117" width="4.7109375" style="97" customWidth="1"/>
    <col min="118" max="118" width="4.7109375" style="118" customWidth="1"/>
    <col min="119" max="119" width="8.7109375" style="118" customWidth="1"/>
    <col min="120" max="120" width="4.7109375" style="118" customWidth="1"/>
    <col min="121" max="121" width="8.7109375" style="118" customWidth="1"/>
    <col min="122" max="125" width="4.7109375" style="117" customWidth="1"/>
    <col min="126" max="126" width="8.7109375" style="118" customWidth="1"/>
    <col min="127" max="129" width="4.7109375" style="97" customWidth="1"/>
    <col min="130" max="130" width="4.7109375" style="118" customWidth="1"/>
    <col min="131" max="131" width="8.7109375" style="118" customWidth="1"/>
    <col min="132" max="134" width="4.7109375" style="97" customWidth="1"/>
    <col min="135" max="135" width="4.7109375" style="118" customWidth="1"/>
    <col min="136" max="136" width="8.7109375" style="118" customWidth="1"/>
    <col min="137" max="137" width="4.7109375" style="118" customWidth="1"/>
    <col min="138" max="138" width="8.7109375" style="118" customWidth="1"/>
    <col min="139" max="142" width="4.7109375" style="117" customWidth="1"/>
    <col min="143" max="143" width="8.7109375" style="118" customWidth="1"/>
    <col min="144" max="146" width="4.7109375" style="97" customWidth="1"/>
    <col min="147" max="147" width="4.7109375" style="118" customWidth="1"/>
    <col min="148" max="148" width="8.7109375" style="118" customWidth="1"/>
    <col min="149" max="151" width="4.7109375" style="97" customWidth="1"/>
    <col min="152" max="152" width="4.7109375" style="118" customWidth="1"/>
    <col min="153" max="153" width="8.7109375" style="118" customWidth="1"/>
    <col min="154" max="154" width="4.7109375" style="118" customWidth="1"/>
    <col min="155" max="155" width="8.7109375" style="118" customWidth="1"/>
    <col min="156" max="159" width="4.7109375" style="117" customWidth="1"/>
    <col min="160" max="160" width="8.7109375" style="118" customWidth="1"/>
    <col min="161" max="163" width="4.7109375" style="97" customWidth="1"/>
    <col min="164" max="164" width="4.7109375" style="118" customWidth="1"/>
    <col min="165" max="165" width="8.7109375" style="118" customWidth="1"/>
    <col min="166" max="168" width="4.7109375" style="97" customWidth="1"/>
    <col min="169" max="169" width="4.7109375" style="118" customWidth="1"/>
    <col min="170" max="170" width="8.7109375" style="118" customWidth="1"/>
    <col min="171" max="171" width="4.7109375" style="118" customWidth="1"/>
    <col min="172" max="172" width="8.7109375" style="118" customWidth="1"/>
    <col min="173" max="176" width="4.7109375" style="117" customWidth="1"/>
    <col min="177" max="177" width="8.7109375" style="118" customWidth="1"/>
    <col min="178" max="180" width="4.7109375" style="97" customWidth="1"/>
    <col min="181" max="181" width="4.7109375" style="118" customWidth="1"/>
    <col min="182" max="182" width="8.7109375" style="118" customWidth="1"/>
    <col min="183" max="185" width="4.7109375" style="97" customWidth="1"/>
    <col min="186" max="186" width="4.7109375" style="118" customWidth="1"/>
    <col min="187" max="187" width="8.7109375" style="118" customWidth="1"/>
    <col min="188" max="188" width="4.7109375" style="118" customWidth="1"/>
    <col min="189" max="189" width="8.7109375" style="118" customWidth="1"/>
    <col min="190" max="193" width="4.7109375" style="117" customWidth="1"/>
    <col min="194" max="194" width="8.7109375" style="118" customWidth="1"/>
    <col min="195" max="197" width="4.7109375" style="97" customWidth="1"/>
    <col min="198" max="198" width="4.7109375" style="118" customWidth="1"/>
    <col min="199" max="199" width="8.7109375" style="118" customWidth="1"/>
    <col min="200" max="202" width="4.7109375" style="97" customWidth="1"/>
    <col min="203" max="203" width="4.7109375" style="118" customWidth="1"/>
    <col min="204" max="204" width="8.7109375" style="118" customWidth="1"/>
    <col min="205" max="205" width="4.7109375" style="118" customWidth="1"/>
    <col min="206" max="206" width="8.7109375" style="118" customWidth="1"/>
    <col min="207" max="210" width="4.7109375" style="117" customWidth="1"/>
    <col min="211" max="211" width="8.7109375" style="118" customWidth="1"/>
    <col min="212" max="214" width="4.7109375" style="97" customWidth="1"/>
    <col min="215" max="215" width="4.7109375" style="118" customWidth="1"/>
    <col min="216" max="216" width="8.7109375" style="118" customWidth="1"/>
    <col min="217" max="219" width="4.7109375" style="97" customWidth="1"/>
    <col min="220" max="220" width="4.7109375" style="118" customWidth="1"/>
    <col min="221" max="221" width="8.7109375" style="118" customWidth="1"/>
    <col min="222" max="222" width="4.7109375" style="118" customWidth="1"/>
    <col min="223" max="223" width="8.7109375" style="118" customWidth="1"/>
    <col min="224" max="227" width="4.7109375" style="117" customWidth="1"/>
    <col min="228" max="228" width="8.7109375" style="118" customWidth="1"/>
    <col min="229" max="231" width="4.7109375" style="97" customWidth="1"/>
    <col min="232" max="232" width="4.7109375" style="118" customWidth="1"/>
    <col min="233" max="233" width="8.7109375" style="118" customWidth="1"/>
    <col min="234" max="236" width="4.7109375" style="97" customWidth="1"/>
    <col min="237" max="237" width="4.7109375" style="118" customWidth="1"/>
    <col min="238" max="238" width="8.7109375" style="118" customWidth="1"/>
    <col min="239" max="239" width="4.7109375" style="118" customWidth="1"/>
    <col min="240" max="240" width="8.7109375" style="118" customWidth="1"/>
    <col min="241" max="244" width="4.7109375" style="117" customWidth="1"/>
    <col min="245" max="245" width="8.7109375" style="118" customWidth="1"/>
    <col min="246" max="248" width="4.7109375" style="97" customWidth="1"/>
    <col min="249" max="249" width="4.7109375" style="118" customWidth="1"/>
    <col min="250" max="250" width="8.7109375" style="118" customWidth="1"/>
    <col min="251" max="253" width="4.7109375" style="97" customWidth="1"/>
    <col min="254" max="254" width="4.7109375" style="118" customWidth="1"/>
    <col min="255" max="255" width="8.7109375" style="118" customWidth="1"/>
    <col min="256" max="256" width="4.7109375" style="118" customWidth="1"/>
    <col min="257" max="257" width="8.7109375" style="118" customWidth="1"/>
    <col min="258" max="261" width="4.7109375" style="117" customWidth="1"/>
    <col min="262" max="262" width="8.7109375" style="118" customWidth="1"/>
    <col min="263" max="265" width="4.7109375" style="97" customWidth="1"/>
    <col min="266" max="266" width="4.7109375" style="118" customWidth="1"/>
    <col min="267" max="267" width="8.7109375" style="118" customWidth="1"/>
    <col min="268" max="270" width="4.7109375" style="97" customWidth="1"/>
    <col min="271" max="271" width="4.7109375" style="118" customWidth="1"/>
    <col min="272" max="272" width="8.7109375" style="118" customWidth="1"/>
    <col min="273" max="273" width="4.7109375" style="118" customWidth="1"/>
    <col min="274" max="274" width="8.7109375" style="118" customWidth="1"/>
    <col min="275" max="278" width="4.7109375" style="117" customWidth="1"/>
    <col min="279" max="279" width="8.7109375" style="118" customWidth="1"/>
    <col min="280" max="282" width="4.7109375" style="97" customWidth="1"/>
    <col min="283" max="283" width="4.7109375" style="118" customWidth="1"/>
    <col min="284" max="284" width="8.7109375" style="118" customWidth="1"/>
    <col min="285" max="287" width="4.7109375" style="97" customWidth="1"/>
    <col min="288" max="288" width="4.7109375" style="118" customWidth="1"/>
    <col min="289" max="289" width="8.7109375" style="118" customWidth="1"/>
    <col min="290" max="290" width="4.7109375" style="118" customWidth="1"/>
    <col min="291" max="291" width="8.7109375" style="118" customWidth="1"/>
    <col min="292" max="295" width="4.7109375" style="117" customWidth="1"/>
    <col min="296" max="296" width="8.7109375" style="118" customWidth="1"/>
    <col min="297" max="299" width="4.7109375" style="97" customWidth="1"/>
    <col min="300" max="300" width="4.7109375" style="118" customWidth="1"/>
    <col min="301" max="301" width="8.7109375" style="118" customWidth="1"/>
    <col min="302" max="304" width="4.7109375" style="97" customWidth="1"/>
    <col min="305" max="305" width="4.7109375" style="118" customWidth="1"/>
    <col min="306" max="306" width="8.7109375" style="118" customWidth="1"/>
    <col min="307" max="307" width="4.7109375" style="118" customWidth="1"/>
    <col min="308" max="308" width="8.7109375" style="118" customWidth="1"/>
    <col min="309" max="312" width="4.7109375" style="117" customWidth="1"/>
    <col min="313" max="313" width="8.7109375" style="118" customWidth="1"/>
    <col min="314" max="316" width="4.7109375" style="97" customWidth="1"/>
    <col min="317" max="317" width="4.7109375" style="118" customWidth="1"/>
    <col min="318" max="318" width="8.7109375" style="118" customWidth="1"/>
    <col min="319" max="321" width="4.7109375" style="97" customWidth="1"/>
    <col min="322" max="322" width="4.7109375" style="118" customWidth="1"/>
    <col min="323" max="323" width="8.7109375" style="118" customWidth="1"/>
    <col min="324" max="324" width="4.7109375" style="118" customWidth="1"/>
    <col min="325" max="325" width="8.7109375" style="118" customWidth="1"/>
    <col min="326" max="329" width="4.7109375" style="117" customWidth="1"/>
    <col min="330" max="330" width="8.7109375" style="118" customWidth="1"/>
    <col min="331" max="333" width="4.7109375" style="97" customWidth="1"/>
    <col min="334" max="334" width="4.7109375" style="118" customWidth="1"/>
    <col min="335" max="335" width="8.7109375" style="118" customWidth="1"/>
    <col min="336" max="338" width="4.7109375" style="97" customWidth="1"/>
    <col min="339" max="339" width="4.7109375" style="118" customWidth="1"/>
    <col min="340" max="340" width="8.7109375" style="118" customWidth="1"/>
    <col min="341" max="341" width="4.7109375" style="118" customWidth="1"/>
    <col min="342" max="342" width="8.7109375" style="118" customWidth="1"/>
    <col min="343" max="346" width="4.7109375" style="117" customWidth="1"/>
    <col min="347" max="347" width="8.7109375" style="118" customWidth="1"/>
    <col min="348" max="350" width="4.7109375" style="97" customWidth="1"/>
    <col min="351" max="351" width="4.7109375" style="118" customWidth="1"/>
    <col min="352" max="352" width="8.7109375" style="118" customWidth="1"/>
    <col min="353" max="355" width="4.7109375" style="97" customWidth="1"/>
    <col min="356" max="356" width="4.7109375" style="118" customWidth="1"/>
    <col min="357" max="357" width="8.7109375" style="118" customWidth="1"/>
    <col min="358" max="358" width="4.7109375" style="118" customWidth="1"/>
    <col min="359" max="359" width="8.7109375" style="118" customWidth="1"/>
    <col min="360" max="363" width="4.7109375" style="117" customWidth="1"/>
    <col min="364" max="364" width="8.7109375" style="118" customWidth="1"/>
    <col min="365" max="367" width="4.7109375" style="97" customWidth="1"/>
    <col min="368" max="368" width="4.7109375" style="118" customWidth="1"/>
    <col min="369" max="369" width="8.7109375" style="118" customWidth="1"/>
    <col min="370" max="372" width="4.7109375" style="97" customWidth="1"/>
    <col min="373" max="373" width="4.7109375" style="118" customWidth="1"/>
    <col min="374" max="374" width="8.7109375" style="118" customWidth="1"/>
    <col min="375" max="375" width="4.7109375" style="118" customWidth="1"/>
    <col min="376" max="376" width="8.7109375" style="118" customWidth="1"/>
    <col min="377" max="380" width="4.7109375" style="117" customWidth="1"/>
    <col min="381" max="381" width="8.7109375" style="118" customWidth="1"/>
    <col min="382" max="384" width="4.7109375" style="97" customWidth="1"/>
    <col min="385" max="385" width="4.7109375" style="118" customWidth="1"/>
    <col min="386" max="386" width="8.7109375" style="118" customWidth="1"/>
    <col min="387" max="389" width="4.7109375" style="97" customWidth="1"/>
    <col min="390" max="390" width="4.7109375" style="118" customWidth="1"/>
    <col min="391" max="391" width="8.7109375" style="118" customWidth="1"/>
    <col min="392" max="392" width="4.7109375" style="118" customWidth="1"/>
    <col min="393" max="393" width="8.7109375" style="118" customWidth="1"/>
    <col min="394" max="397" width="4.7109375" style="117" customWidth="1"/>
    <col min="398" max="398" width="8.7109375" style="118" customWidth="1"/>
    <col min="399" max="401" width="4.7109375" style="97" customWidth="1"/>
    <col min="402" max="402" width="4.7109375" style="118" customWidth="1"/>
    <col min="403" max="403" width="8.7109375" style="118" customWidth="1"/>
    <col min="404" max="406" width="4.7109375" style="97" customWidth="1"/>
    <col min="407" max="407" width="4.7109375" style="118" customWidth="1"/>
    <col min="408" max="408" width="8.7109375" style="118" customWidth="1"/>
    <col min="409" max="409" width="4.7109375" style="118" customWidth="1"/>
    <col min="410" max="410" width="8.7109375" style="118" customWidth="1"/>
    <col min="411" max="414" width="4.7109375" style="117" customWidth="1"/>
    <col min="415" max="415" width="8.7109375" style="118" customWidth="1"/>
    <col min="416" max="418" width="4.7109375" style="97" customWidth="1"/>
    <col min="419" max="419" width="4.7109375" style="118" customWidth="1"/>
    <col min="420" max="420" width="8.7109375" style="118" customWidth="1"/>
    <col min="421" max="423" width="4.7109375" style="97" customWidth="1"/>
    <col min="424" max="424" width="4.7109375" style="118" customWidth="1"/>
    <col min="425" max="425" width="8.7109375" style="118" customWidth="1"/>
    <col min="426" max="426" width="4.7109375" style="118" customWidth="1"/>
    <col min="427" max="427" width="8.7109375" style="118" customWidth="1"/>
    <col min="428" max="431" width="4.7109375" style="117" customWidth="1"/>
    <col min="432" max="432" width="8.7109375" style="118" customWidth="1"/>
    <col min="433" max="435" width="4.7109375" style="97" customWidth="1"/>
    <col min="436" max="436" width="4.7109375" style="118" customWidth="1"/>
    <col min="437" max="437" width="8.7109375" style="118" customWidth="1"/>
    <col min="438" max="440" width="4.7109375" style="97" customWidth="1"/>
    <col min="441" max="441" width="4.7109375" style="118" customWidth="1"/>
    <col min="442" max="442" width="8.7109375" style="118" customWidth="1"/>
    <col min="443" max="443" width="4.7109375" style="118" customWidth="1"/>
    <col min="444" max="444" width="8.7109375" style="118" customWidth="1"/>
    <col min="445" max="448" width="4.7109375" style="117" customWidth="1"/>
    <col min="449" max="449" width="8.7109375" style="118" customWidth="1"/>
    <col min="450" max="452" width="4.7109375" style="97" customWidth="1"/>
    <col min="453" max="453" width="4.7109375" style="118" customWidth="1"/>
    <col min="454" max="454" width="8.7109375" style="118" customWidth="1"/>
    <col min="455" max="457" width="4.7109375" style="97" customWidth="1"/>
    <col min="458" max="458" width="4.7109375" style="118" customWidth="1"/>
    <col min="459" max="459" width="8.7109375" style="118" customWidth="1"/>
    <col min="460" max="460" width="4.7109375" style="118" customWidth="1"/>
    <col min="461" max="461" width="8.7109375" style="118" customWidth="1"/>
    <col min="462" max="465" width="4.7109375" style="117" customWidth="1"/>
    <col min="466" max="466" width="8.7109375" style="118" customWidth="1"/>
    <col min="467" max="469" width="4.7109375" style="97" customWidth="1"/>
    <col min="470" max="470" width="4.7109375" style="118" customWidth="1"/>
    <col min="471" max="471" width="8.7109375" style="118" customWidth="1"/>
    <col min="472" max="474" width="4.7109375" style="97" customWidth="1"/>
    <col min="475" max="475" width="4.7109375" style="118" customWidth="1"/>
    <col min="476" max="476" width="8.7109375" style="118" customWidth="1"/>
    <col min="477" max="477" width="4.7109375" style="118" customWidth="1"/>
    <col min="478" max="478" width="8.7109375" style="118" customWidth="1"/>
    <col min="479" max="482" width="4.7109375" style="117" customWidth="1"/>
    <col min="483" max="483" width="8.7109375" style="118" customWidth="1"/>
    <col min="484" max="486" width="4.7109375" style="97" customWidth="1"/>
    <col min="487" max="487" width="4.7109375" style="118" customWidth="1"/>
    <col min="488" max="488" width="8.7109375" style="118" customWidth="1"/>
    <col min="489" max="491" width="4.7109375" style="97" customWidth="1"/>
    <col min="492" max="492" width="4.7109375" style="118" customWidth="1"/>
    <col min="493" max="493" width="8.7109375" style="118" customWidth="1"/>
    <col min="494" max="494" width="4.7109375" style="118" customWidth="1"/>
    <col min="495" max="495" width="8.7109375" style="118" customWidth="1"/>
    <col min="496" max="499" width="4.7109375" style="117" customWidth="1"/>
    <col min="500" max="500" width="8.7109375" style="118" customWidth="1"/>
    <col min="501" max="503" width="4.7109375" style="97" customWidth="1"/>
    <col min="504" max="504" width="4.7109375" style="118" customWidth="1"/>
    <col min="505" max="505" width="8.7109375" style="118" customWidth="1"/>
    <col min="506" max="508" width="4.7109375" style="97" customWidth="1"/>
    <col min="509" max="509" width="4.7109375" style="118" customWidth="1"/>
    <col min="510" max="510" width="8.7109375" style="118" customWidth="1"/>
    <col min="511" max="511" width="4.7109375" style="118" customWidth="1"/>
    <col min="512" max="512" width="8.7109375" style="118" customWidth="1"/>
    <col min="513" max="16384" width="5.7109375" style="98"/>
  </cols>
  <sheetData>
    <row r="1" spans="1:512" ht="18" customHeight="1" thickBot="1" x14ac:dyDescent="0.3">
      <c r="A1" s="246" t="s">
        <v>37</v>
      </c>
      <c r="B1" s="247"/>
      <c r="C1" s="147">
        <v>4</v>
      </c>
      <c r="D1" s="191"/>
      <c r="E1" s="191"/>
      <c r="F1" s="102"/>
      <c r="G1" s="103"/>
      <c r="H1" s="101"/>
      <c r="I1" s="101"/>
      <c r="J1" s="101"/>
      <c r="K1" s="103"/>
      <c r="L1" s="103"/>
      <c r="M1" s="101"/>
      <c r="N1" s="101"/>
      <c r="O1" s="101"/>
      <c r="P1" s="103"/>
      <c r="Q1" s="103"/>
      <c r="R1" s="103"/>
      <c r="S1" s="122"/>
      <c r="T1" s="135">
        <f>C1+1</f>
        <v>5</v>
      </c>
      <c r="U1" s="102"/>
      <c r="V1" s="102"/>
      <c r="W1" s="102"/>
      <c r="X1" s="103"/>
      <c r="Y1" s="101"/>
      <c r="Z1" s="101"/>
      <c r="AA1" s="101"/>
      <c r="AB1" s="103"/>
      <c r="AC1" s="103"/>
      <c r="AD1" s="101"/>
      <c r="AE1" s="101"/>
      <c r="AF1" s="101"/>
      <c r="AG1" s="103"/>
      <c r="AH1" s="103"/>
      <c r="AI1" s="103"/>
      <c r="AJ1" s="103"/>
      <c r="AK1" s="135">
        <f>T1+1</f>
        <v>6</v>
      </c>
      <c r="AL1" s="102"/>
      <c r="AM1" s="102"/>
      <c r="AN1" s="102"/>
      <c r="AO1" s="103"/>
      <c r="AP1" s="101"/>
      <c r="AQ1" s="101"/>
      <c r="AR1" s="101"/>
      <c r="AS1" s="103"/>
      <c r="AT1" s="103"/>
      <c r="AU1" s="101"/>
      <c r="AV1" s="101"/>
      <c r="AW1" s="101"/>
      <c r="AX1" s="103"/>
      <c r="AY1" s="103"/>
      <c r="AZ1" s="103"/>
      <c r="BA1" s="103"/>
      <c r="BB1" s="135">
        <f>AK1+1</f>
        <v>7</v>
      </c>
      <c r="BC1" s="102"/>
      <c r="BD1" s="102"/>
      <c r="BE1" s="102"/>
      <c r="BF1" s="103"/>
      <c r="BG1" s="101"/>
      <c r="BH1" s="101"/>
      <c r="BI1" s="101"/>
      <c r="BJ1" s="103"/>
      <c r="BK1" s="103"/>
      <c r="BL1" s="101"/>
      <c r="BM1" s="101"/>
      <c r="BN1" s="101"/>
      <c r="BO1" s="103"/>
      <c r="BP1" s="103"/>
      <c r="BQ1" s="103"/>
      <c r="BR1" s="103"/>
      <c r="BS1" s="135">
        <f>BB1+1</f>
        <v>8</v>
      </c>
      <c r="BT1" s="102"/>
      <c r="BU1" s="102"/>
      <c r="BV1" s="102"/>
      <c r="BW1" s="103"/>
      <c r="BX1" s="101"/>
      <c r="BY1" s="101"/>
      <c r="BZ1" s="101"/>
      <c r="CA1" s="103"/>
      <c r="CB1" s="103"/>
      <c r="CC1" s="101"/>
      <c r="CD1" s="101"/>
      <c r="CE1" s="101"/>
      <c r="CF1" s="103"/>
      <c r="CG1" s="103"/>
      <c r="CH1" s="103"/>
      <c r="CI1" s="103"/>
      <c r="CJ1" s="135">
        <f>BS1+1</f>
        <v>9</v>
      </c>
      <c r="CK1" s="102"/>
      <c r="CL1" s="102"/>
      <c r="CM1" s="102"/>
      <c r="CN1" s="103"/>
      <c r="CO1" s="101"/>
      <c r="CP1" s="101"/>
      <c r="CQ1" s="101"/>
      <c r="CR1" s="103"/>
      <c r="CS1" s="103"/>
      <c r="CT1" s="101"/>
      <c r="CU1" s="101"/>
      <c r="CV1" s="101"/>
      <c r="CW1" s="103"/>
      <c r="CX1" s="103"/>
      <c r="CY1" s="103"/>
      <c r="CZ1" s="103"/>
      <c r="DA1" s="135">
        <f>CJ1+1</f>
        <v>10</v>
      </c>
      <c r="DB1" s="102"/>
      <c r="DC1" s="102"/>
      <c r="DD1" s="102"/>
      <c r="DE1" s="103"/>
      <c r="DF1" s="101"/>
      <c r="DG1" s="101"/>
      <c r="DH1" s="101"/>
      <c r="DI1" s="103"/>
      <c r="DJ1" s="103"/>
      <c r="DK1" s="101"/>
      <c r="DL1" s="101"/>
      <c r="DM1" s="101"/>
      <c r="DN1" s="103"/>
      <c r="DO1" s="103"/>
      <c r="DP1" s="103"/>
      <c r="DQ1" s="103"/>
      <c r="DR1" s="135">
        <f>DA1+1</f>
        <v>11</v>
      </c>
      <c r="DS1" s="102"/>
      <c r="DT1" s="102"/>
      <c r="DU1" s="102"/>
      <c r="DV1" s="103"/>
      <c r="DW1" s="101"/>
      <c r="DX1" s="101"/>
      <c r="DY1" s="101"/>
      <c r="DZ1" s="103"/>
      <c r="EA1" s="103"/>
      <c r="EB1" s="101"/>
      <c r="EC1" s="101"/>
      <c r="ED1" s="101"/>
      <c r="EE1" s="103"/>
      <c r="EF1" s="103"/>
      <c r="EG1" s="103"/>
      <c r="EH1" s="103"/>
      <c r="EI1" s="135">
        <f>DR1+1</f>
        <v>12</v>
      </c>
      <c r="EJ1" s="102"/>
      <c r="EK1" s="102"/>
      <c r="EL1" s="102"/>
      <c r="EM1" s="103"/>
      <c r="EN1" s="101"/>
      <c r="EO1" s="101"/>
      <c r="EP1" s="101"/>
      <c r="EQ1" s="103"/>
      <c r="ER1" s="103"/>
      <c r="ES1" s="101"/>
      <c r="ET1" s="101"/>
      <c r="EU1" s="101"/>
      <c r="EV1" s="103"/>
      <c r="EW1" s="103"/>
      <c r="EX1" s="103"/>
      <c r="EY1" s="103"/>
      <c r="EZ1" s="135">
        <f>EI1+1</f>
        <v>13</v>
      </c>
      <c r="FA1" s="102"/>
      <c r="FB1" s="102"/>
      <c r="FC1" s="102"/>
      <c r="FD1" s="103"/>
      <c r="FE1" s="101"/>
      <c r="FF1" s="101"/>
      <c r="FG1" s="101"/>
      <c r="FH1" s="103"/>
      <c r="FI1" s="103"/>
      <c r="FJ1" s="101"/>
      <c r="FK1" s="101"/>
      <c r="FL1" s="101"/>
      <c r="FM1" s="103"/>
      <c r="FN1" s="103"/>
      <c r="FO1" s="103"/>
      <c r="FP1" s="103"/>
      <c r="FQ1" s="135">
        <f>EZ1+1</f>
        <v>14</v>
      </c>
      <c r="FR1" s="102"/>
      <c r="FS1" s="102"/>
      <c r="FT1" s="102"/>
      <c r="FU1" s="103"/>
      <c r="FV1" s="101"/>
      <c r="FW1" s="101"/>
      <c r="FX1" s="101"/>
      <c r="FY1" s="103"/>
      <c r="FZ1" s="103"/>
      <c r="GA1" s="101"/>
      <c r="GB1" s="101"/>
      <c r="GC1" s="101"/>
      <c r="GD1" s="103"/>
      <c r="GE1" s="103"/>
      <c r="GF1" s="103"/>
      <c r="GG1" s="103"/>
      <c r="GH1" s="135">
        <f>FQ1+1</f>
        <v>15</v>
      </c>
      <c r="GI1" s="102"/>
      <c r="GJ1" s="102"/>
      <c r="GK1" s="102"/>
      <c r="GL1" s="103"/>
      <c r="GM1" s="101"/>
      <c r="GN1" s="101"/>
      <c r="GO1" s="101"/>
      <c r="GP1" s="103"/>
      <c r="GQ1" s="103"/>
      <c r="GR1" s="101"/>
      <c r="GS1" s="101"/>
      <c r="GT1" s="101"/>
      <c r="GU1" s="103"/>
      <c r="GV1" s="103"/>
      <c r="GW1" s="103"/>
      <c r="GX1" s="103"/>
      <c r="GY1" s="135">
        <f>GH1+1</f>
        <v>16</v>
      </c>
      <c r="GZ1" s="102"/>
      <c r="HA1" s="102"/>
      <c r="HB1" s="102"/>
      <c r="HC1" s="103"/>
      <c r="HD1" s="101"/>
      <c r="HE1" s="101"/>
      <c r="HF1" s="101"/>
      <c r="HG1" s="103"/>
      <c r="HH1" s="103"/>
      <c r="HI1" s="101"/>
      <c r="HJ1" s="101"/>
      <c r="HK1" s="101"/>
      <c r="HL1" s="103"/>
      <c r="HM1" s="103"/>
      <c r="HN1" s="103"/>
      <c r="HO1" s="103"/>
      <c r="HP1" s="135">
        <f>GY1+1</f>
        <v>17</v>
      </c>
      <c r="HQ1" s="102"/>
      <c r="HR1" s="102"/>
      <c r="HS1" s="102"/>
      <c r="HT1" s="103"/>
      <c r="HU1" s="101"/>
      <c r="HV1" s="101"/>
      <c r="HW1" s="101"/>
      <c r="HX1" s="103"/>
      <c r="HY1" s="103"/>
      <c r="HZ1" s="101"/>
      <c r="IA1" s="101"/>
      <c r="IB1" s="101"/>
      <c r="IC1" s="103"/>
      <c r="ID1" s="103"/>
      <c r="IE1" s="103"/>
      <c r="IF1" s="103"/>
      <c r="IG1" s="135">
        <f>HP1+1</f>
        <v>18</v>
      </c>
      <c r="IH1" s="102"/>
      <c r="II1" s="102"/>
      <c r="IJ1" s="102"/>
      <c r="IK1" s="103"/>
      <c r="IL1" s="101"/>
      <c r="IM1" s="101"/>
      <c r="IN1" s="101"/>
      <c r="IO1" s="103"/>
      <c r="IP1" s="103"/>
      <c r="IQ1" s="101"/>
      <c r="IR1" s="101"/>
      <c r="IS1" s="101"/>
      <c r="IT1" s="103"/>
      <c r="IU1" s="103"/>
      <c r="IV1" s="103"/>
      <c r="IW1" s="103"/>
      <c r="IX1" s="135">
        <f>IG1+1</f>
        <v>19</v>
      </c>
      <c r="IY1" s="102"/>
      <c r="IZ1" s="102"/>
      <c r="JA1" s="102"/>
      <c r="JB1" s="103"/>
      <c r="JC1" s="101"/>
      <c r="JD1" s="101"/>
      <c r="JE1" s="101"/>
      <c r="JF1" s="103"/>
      <c r="JG1" s="103"/>
      <c r="JH1" s="101"/>
      <c r="JI1" s="101"/>
      <c r="JJ1" s="101"/>
      <c r="JK1" s="103"/>
      <c r="JL1" s="103"/>
      <c r="JM1" s="103"/>
      <c r="JN1" s="103"/>
      <c r="JO1" s="135">
        <f>IX1+1</f>
        <v>20</v>
      </c>
      <c r="JP1" s="102"/>
      <c r="JQ1" s="102"/>
      <c r="JR1" s="102"/>
      <c r="JS1" s="103"/>
      <c r="JT1" s="101"/>
      <c r="JU1" s="101"/>
      <c r="JV1" s="101"/>
      <c r="JW1" s="103"/>
      <c r="JX1" s="103"/>
      <c r="JY1" s="101"/>
      <c r="JZ1" s="101"/>
      <c r="KA1" s="101"/>
      <c r="KB1" s="103"/>
      <c r="KC1" s="103"/>
      <c r="KD1" s="103"/>
      <c r="KE1" s="103"/>
      <c r="KF1" s="135">
        <f>JO1+1</f>
        <v>21</v>
      </c>
      <c r="KG1" s="102"/>
      <c r="KH1" s="102"/>
      <c r="KI1" s="102"/>
      <c r="KJ1" s="103"/>
      <c r="KK1" s="101"/>
      <c r="KL1" s="101"/>
      <c r="KM1" s="101"/>
      <c r="KN1" s="103"/>
      <c r="KO1" s="103"/>
      <c r="KP1" s="101"/>
      <c r="KQ1" s="101"/>
      <c r="KR1" s="101"/>
      <c r="KS1" s="103"/>
      <c r="KT1" s="103"/>
      <c r="KU1" s="103"/>
      <c r="KV1" s="103"/>
      <c r="KW1" s="135">
        <f>KF1+1</f>
        <v>22</v>
      </c>
      <c r="KX1" s="102"/>
      <c r="KY1" s="102"/>
      <c r="KZ1" s="102"/>
      <c r="LA1" s="103"/>
      <c r="LB1" s="101"/>
      <c r="LC1" s="101"/>
      <c r="LD1" s="101"/>
      <c r="LE1" s="103"/>
      <c r="LF1" s="103"/>
      <c r="LG1" s="101"/>
      <c r="LH1" s="101"/>
      <c r="LI1" s="101"/>
      <c r="LJ1" s="103"/>
      <c r="LK1" s="103"/>
      <c r="LL1" s="103"/>
      <c r="LM1" s="103"/>
      <c r="LN1" s="135">
        <f>KW1+1</f>
        <v>23</v>
      </c>
      <c r="LO1" s="102"/>
      <c r="LP1" s="102"/>
      <c r="LQ1" s="102"/>
      <c r="LR1" s="103"/>
      <c r="LS1" s="101"/>
      <c r="LT1" s="101"/>
      <c r="LU1" s="101"/>
      <c r="LV1" s="103"/>
      <c r="LW1" s="103"/>
      <c r="LX1" s="101"/>
      <c r="LY1" s="101"/>
      <c r="LZ1" s="101"/>
      <c r="MA1" s="103"/>
      <c r="MB1" s="103"/>
      <c r="MC1" s="103"/>
      <c r="MD1" s="103"/>
      <c r="ME1" s="135">
        <f>LN1+1</f>
        <v>24</v>
      </c>
      <c r="MF1" s="102"/>
      <c r="MG1" s="102"/>
      <c r="MH1" s="102"/>
      <c r="MI1" s="103"/>
      <c r="MJ1" s="101"/>
      <c r="MK1" s="101"/>
      <c r="ML1" s="101"/>
      <c r="MM1" s="103"/>
      <c r="MN1" s="103"/>
      <c r="MO1" s="101"/>
      <c r="MP1" s="101"/>
      <c r="MQ1" s="101"/>
      <c r="MR1" s="103"/>
      <c r="MS1" s="103"/>
      <c r="MT1" s="103"/>
      <c r="MU1" s="103"/>
      <c r="MV1" s="135">
        <f>ME1+1</f>
        <v>25</v>
      </c>
      <c r="MW1" s="102"/>
      <c r="MX1" s="102"/>
      <c r="MY1" s="102"/>
      <c r="MZ1" s="103"/>
      <c r="NA1" s="101"/>
      <c r="NB1" s="101"/>
      <c r="NC1" s="101"/>
      <c r="ND1" s="103"/>
      <c r="NE1" s="103"/>
      <c r="NF1" s="101"/>
      <c r="NG1" s="101"/>
      <c r="NH1" s="101"/>
      <c r="NI1" s="103"/>
      <c r="NJ1" s="103"/>
      <c r="NK1" s="103"/>
      <c r="NL1" s="103"/>
      <c r="NM1" s="135">
        <f>MV1+1</f>
        <v>26</v>
      </c>
      <c r="NN1" s="102"/>
      <c r="NO1" s="102"/>
      <c r="NP1" s="102"/>
      <c r="NQ1" s="103"/>
      <c r="NR1" s="101"/>
      <c r="NS1" s="101"/>
      <c r="NT1" s="101"/>
      <c r="NU1" s="103"/>
      <c r="NV1" s="103"/>
      <c r="NW1" s="101"/>
      <c r="NX1" s="101"/>
      <c r="NY1" s="101"/>
      <c r="NZ1" s="103"/>
      <c r="OA1" s="103"/>
      <c r="OB1" s="103"/>
      <c r="OC1" s="103"/>
      <c r="OD1" s="135">
        <f>NM1+1</f>
        <v>27</v>
      </c>
      <c r="OE1" s="102"/>
      <c r="OF1" s="102"/>
      <c r="OG1" s="102"/>
      <c r="OH1" s="103"/>
      <c r="OI1" s="101"/>
      <c r="OJ1" s="101"/>
      <c r="OK1" s="101"/>
      <c r="OL1" s="103"/>
      <c r="OM1" s="103"/>
      <c r="ON1" s="101"/>
      <c r="OO1" s="101"/>
      <c r="OP1" s="101"/>
      <c r="OQ1" s="103"/>
      <c r="OR1" s="103"/>
      <c r="OS1" s="103"/>
      <c r="OT1" s="103"/>
      <c r="OU1" s="135">
        <f>OD1+1</f>
        <v>28</v>
      </c>
      <c r="OV1" s="102"/>
      <c r="OW1" s="102"/>
      <c r="OX1" s="102"/>
      <c r="OY1" s="103"/>
      <c r="OZ1" s="101"/>
      <c r="PA1" s="101"/>
      <c r="PB1" s="101"/>
      <c r="PC1" s="103"/>
      <c r="PD1" s="103"/>
      <c r="PE1" s="101"/>
      <c r="PF1" s="101"/>
      <c r="PG1" s="101"/>
      <c r="PH1" s="103"/>
      <c r="PI1" s="103"/>
      <c r="PJ1" s="103"/>
      <c r="PK1" s="103"/>
      <c r="PL1" s="135">
        <f>OU1+1</f>
        <v>29</v>
      </c>
      <c r="PM1" s="102"/>
      <c r="PN1" s="102"/>
      <c r="PO1" s="102"/>
      <c r="PP1" s="103"/>
      <c r="PQ1" s="101"/>
      <c r="PR1" s="101"/>
      <c r="PS1" s="101"/>
      <c r="PT1" s="103"/>
      <c r="PU1" s="103"/>
      <c r="PV1" s="101"/>
      <c r="PW1" s="101"/>
      <c r="PX1" s="101"/>
      <c r="PY1" s="103"/>
      <c r="PZ1" s="103"/>
      <c r="QA1" s="103"/>
      <c r="QB1" s="103"/>
      <c r="QC1" s="135">
        <f>PL1+1</f>
        <v>30</v>
      </c>
      <c r="QD1" s="102"/>
      <c r="QE1" s="102"/>
      <c r="QF1" s="102"/>
      <c r="QG1" s="103"/>
      <c r="QH1" s="101"/>
      <c r="QI1" s="101"/>
      <c r="QJ1" s="101"/>
      <c r="QK1" s="103"/>
      <c r="QL1" s="103"/>
      <c r="QM1" s="101"/>
      <c r="QN1" s="101"/>
      <c r="QO1" s="101"/>
      <c r="QP1" s="103"/>
      <c r="QQ1" s="103"/>
      <c r="QR1" s="103"/>
      <c r="QS1" s="103"/>
      <c r="QT1" s="135">
        <f>QC1+1</f>
        <v>31</v>
      </c>
      <c r="QU1" s="102"/>
      <c r="QV1" s="102"/>
      <c r="QW1" s="102"/>
      <c r="QX1" s="103"/>
      <c r="QY1" s="101"/>
      <c r="QZ1" s="101"/>
      <c r="RA1" s="101"/>
      <c r="RB1" s="103"/>
      <c r="RC1" s="103"/>
      <c r="RD1" s="101"/>
      <c r="RE1" s="101"/>
      <c r="RF1" s="101"/>
      <c r="RG1" s="103"/>
      <c r="RH1" s="103"/>
      <c r="RI1" s="103"/>
      <c r="RJ1" s="103"/>
      <c r="RK1" s="135">
        <f>QT1+1</f>
        <v>32</v>
      </c>
      <c r="RL1" s="102"/>
      <c r="RM1" s="102"/>
      <c r="RN1" s="102"/>
      <c r="RO1" s="103"/>
      <c r="RP1" s="101"/>
      <c r="RQ1" s="101"/>
      <c r="RR1" s="101"/>
      <c r="RS1" s="103"/>
      <c r="RT1" s="103"/>
      <c r="RU1" s="101"/>
      <c r="RV1" s="101"/>
      <c r="RW1" s="101"/>
      <c r="RX1" s="103"/>
      <c r="RY1" s="103"/>
      <c r="RZ1" s="103"/>
      <c r="SA1" s="103"/>
      <c r="SB1" s="135">
        <f>RK1+1</f>
        <v>33</v>
      </c>
      <c r="SC1" s="102"/>
      <c r="SD1" s="102"/>
      <c r="SE1" s="102"/>
      <c r="SF1" s="103"/>
      <c r="SG1" s="101"/>
      <c r="SH1" s="101"/>
      <c r="SI1" s="101"/>
      <c r="SJ1" s="103"/>
      <c r="SK1" s="103"/>
      <c r="SL1" s="101"/>
      <c r="SM1" s="101"/>
      <c r="SN1" s="101"/>
      <c r="SO1" s="103"/>
      <c r="SP1" s="103"/>
      <c r="SQ1" s="103"/>
      <c r="SR1" s="103"/>
    </row>
    <row r="2" spans="1:512" ht="60" customHeight="1" thickBot="1" x14ac:dyDescent="0.3">
      <c r="A2" s="91" t="s">
        <v>36</v>
      </c>
      <c r="B2" s="92" t="s">
        <v>201</v>
      </c>
      <c r="C2" s="148" t="str">
        <f ca="1">IF(CELL("contenu",INDIRECT(ADDRESS(C1,1,1,1,CELL("contenu",$B$2))))="","----",CELL("contenu",INDIRECT(ADDRESS(C1,1,1,1,CELL("contenu",$B$2)))))</f>
        <v>AFONSO Marco</v>
      </c>
      <c r="D2" s="148"/>
      <c r="E2" s="148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123"/>
      <c r="T2" s="99" t="str">
        <f ca="1">IF(CELL("contenu",INDIRECT(ADDRESS(T1,1,1,1,CELL("contenu",$B$2))))="","----",CELL("contenu",INDIRECT(ADDRESS(T1,1,1,1,CELL("contenu",$B$2)))))</f>
        <v>AUDOUIN Amelie</v>
      </c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123"/>
      <c r="AK2" s="99" t="str">
        <f ca="1">IF(CELL("contenu",INDIRECT(ADDRESS(AK1,1,1,1,CELL("contenu",$B$2))))="","----",CELL("contenu",INDIRECT(ADDRESS(AK1,1,1,1,CELL("contenu",$B$2)))))</f>
        <v>BELLICAUD Martin</v>
      </c>
      <c r="AL2" s="99"/>
      <c r="AM2" s="99"/>
      <c r="AN2" s="99"/>
      <c r="AO2" s="99"/>
      <c r="AP2" s="99"/>
      <c r="AQ2" s="99"/>
      <c r="AR2" s="99"/>
      <c r="AS2" s="99"/>
      <c r="AT2" s="99"/>
      <c r="AU2" s="99"/>
      <c r="AV2" s="99"/>
      <c r="AW2" s="99"/>
      <c r="AX2" s="99"/>
      <c r="AY2" s="99"/>
      <c r="AZ2" s="99"/>
      <c r="BA2" s="123"/>
      <c r="BB2" s="99" t="str">
        <f ca="1">IF(CELL("contenu",INDIRECT(ADDRESS(BB1,1,1,1,CELL("contenu",$B$2))))="","----",CELL("contenu",INDIRECT(ADDRESS(BB1,1,1,1,CELL("contenu",$B$2)))))</f>
        <v>BRARD Ulysse</v>
      </c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99"/>
      <c r="BP2" s="99"/>
      <c r="BQ2" s="99"/>
      <c r="BR2" s="123"/>
      <c r="BS2" s="99" t="str">
        <f ca="1">IF(CELL("contenu",INDIRECT(ADDRESS(BS1,1,1,1,CELL("contenu",$B$2))))="","----",CELL("contenu",INDIRECT(ADDRESS(BS1,1,1,1,CELL("contenu",$B$2)))))</f>
        <v>BRAZILIER Gatien</v>
      </c>
      <c r="BT2" s="99"/>
      <c r="BU2" s="99"/>
      <c r="BV2" s="99"/>
      <c r="BW2" s="99"/>
      <c r="BX2" s="99"/>
      <c r="BY2" s="99"/>
      <c r="BZ2" s="99"/>
      <c r="CA2" s="99"/>
      <c r="CB2" s="99"/>
      <c r="CC2" s="99"/>
      <c r="CD2" s="99"/>
      <c r="CE2" s="99"/>
      <c r="CF2" s="99"/>
      <c r="CG2" s="99"/>
      <c r="CH2" s="99"/>
      <c r="CI2" s="123"/>
      <c r="CJ2" s="99" t="str">
        <f ca="1">IF(CELL("contenu",INDIRECT(ADDRESS(CJ1,1,1,1,CELL("contenu",$B$2))))="","----",CELL("contenu",INDIRECT(ADDRESS(CJ1,1,1,1,CELL("contenu",$B$2)))))</f>
        <v>CURIAL Marie</v>
      </c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99"/>
      <c r="CV2" s="99"/>
      <c r="CW2" s="99"/>
      <c r="CX2" s="99"/>
      <c r="CY2" s="99"/>
      <c r="CZ2" s="123"/>
      <c r="DA2" s="99" t="str">
        <f ca="1">IF(CELL("contenu",INDIRECT(ADDRESS(DA1,1,1,1,CELL("contenu",$B$2))))="","----",CELL("contenu",INDIRECT(ADDRESS(DA1,1,1,1,CELL("contenu",$B$2)))))</f>
        <v>DOULCET Louis</v>
      </c>
      <c r="DB2" s="99"/>
      <c r="DC2" s="99"/>
      <c r="DD2" s="99"/>
      <c r="DE2" s="99"/>
      <c r="DF2" s="99"/>
      <c r="DG2" s="99"/>
      <c r="DH2" s="99"/>
      <c r="DI2" s="99"/>
      <c r="DJ2" s="99"/>
      <c r="DK2" s="99"/>
      <c r="DL2" s="99"/>
      <c r="DM2" s="99"/>
      <c r="DN2" s="99"/>
      <c r="DO2" s="99"/>
      <c r="DP2" s="99"/>
      <c r="DQ2" s="123"/>
      <c r="DR2" s="99" t="str">
        <f ca="1">IF(CELL("contenu",INDIRECT(ADDRESS(DR1,1,1,1,CELL("contenu",$B$2))))="","----",CELL("contenu",INDIRECT(ADDRESS(DR1,1,1,1,CELL("contenu",$B$2)))))</f>
        <v>DUPEYRON Vincent</v>
      </c>
      <c r="DS2" s="99"/>
      <c r="DT2" s="99"/>
      <c r="DU2" s="99"/>
      <c r="DV2" s="99"/>
      <c r="DW2" s="99"/>
      <c r="DX2" s="99"/>
      <c r="DY2" s="99"/>
      <c r="DZ2" s="99"/>
      <c r="EA2" s="99"/>
      <c r="EB2" s="99"/>
      <c r="EC2" s="99"/>
      <c r="ED2" s="99"/>
      <c r="EE2" s="99"/>
      <c r="EF2" s="99"/>
      <c r="EG2" s="99"/>
      <c r="EH2" s="123"/>
      <c r="EI2" s="99" t="str">
        <f ca="1">IF(CELL("contenu",INDIRECT(ADDRESS(EI1,1,1,1,CELL("contenu",$B$2))))="","----",CELL("contenu",INDIRECT(ADDRESS(EI1,1,1,1,CELL("contenu",$B$2)))))</f>
        <v>DURLIN Constance</v>
      </c>
      <c r="EJ2" s="99"/>
      <c r="EK2" s="99"/>
      <c r="EL2" s="99"/>
      <c r="EM2" s="99"/>
      <c r="EN2" s="99"/>
      <c r="EO2" s="99"/>
      <c r="EP2" s="99"/>
      <c r="EQ2" s="99"/>
      <c r="ER2" s="99"/>
      <c r="ES2" s="99"/>
      <c r="ET2" s="99"/>
      <c r="EU2" s="99"/>
      <c r="EV2" s="99"/>
      <c r="EW2" s="99"/>
      <c r="EX2" s="99"/>
      <c r="EY2" s="123"/>
      <c r="EZ2" s="99" t="str">
        <f ca="1">IF(CELL("contenu",INDIRECT(ADDRESS(EZ1,1,1,1,CELL("contenu",$B$2))))="","----",CELL("contenu",INDIRECT(ADDRESS(EZ1,1,1,1,CELL("contenu",$B$2)))))</f>
        <v>DUVERNAY Louis</v>
      </c>
      <c r="FA2" s="99"/>
      <c r="FB2" s="99"/>
      <c r="FC2" s="99"/>
      <c r="FD2" s="99"/>
      <c r="FE2" s="99"/>
      <c r="FF2" s="99"/>
      <c r="FG2" s="99"/>
      <c r="FH2" s="99"/>
      <c r="FI2" s="99"/>
      <c r="FJ2" s="99"/>
      <c r="FK2" s="99"/>
      <c r="FL2" s="99"/>
      <c r="FM2" s="99"/>
      <c r="FN2" s="99"/>
      <c r="FO2" s="99"/>
      <c r="FP2" s="123"/>
      <c r="FQ2" s="99" t="str">
        <f ca="1">IF(CELL("contenu",INDIRECT(ADDRESS(FQ1,1,1,1,CELL("contenu",$B$2))))="","----",CELL("contenu",INDIRECT(ADDRESS(FQ1,1,1,1,CELL("contenu",$B$2)))))</f>
        <v>FAIVRE D'ARCIER Thibaut</v>
      </c>
      <c r="FR2" s="99"/>
      <c r="FS2" s="99"/>
      <c r="FT2" s="99"/>
      <c r="FU2" s="99"/>
      <c r="FV2" s="99"/>
      <c r="FW2" s="99"/>
      <c r="FX2" s="99"/>
      <c r="FY2" s="99"/>
      <c r="FZ2" s="99"/>
      <c r="GA2" s="99"/>
      <c r="GB2" s="99"/>
      <c r="GC2" s="99"/>
      <c r="GD2" s="99"/>
      <c r="GE2" s="99"/>
      <c r="GF2" s="99"/>
      <c r="GG2" s="123"/>
      <c r="GH2" s="99" t="str">
        <f ca="1">IF(CELL("contenu",INDIRECT(ADDRESS(GH1,1,1,1,CELL("contenu",$B$2))))="","----",CELL("contenu",INDIRECT(ADDRESS(GH1,1,1,1,CELL("contenu",$B$2)))))</f>
        <v>GAUDUCHON-REBEYROL Titouan</v>
      </c>
      <c r="GI2" s="99"/>
      <c r="GJ2" s="99"/>
      <c r="GK2" s="99"/>
      <c r="GL2" s="99"/>
      <c r="GM2" s="99"/>
      <c r="GN2" s="99"/>
      <c r="GO2" s="99"/>
      <c r="GP2" s="99"/>
      <c r="GQ2" s="99"/>
      <c r="GR2" s="99"/>
      <c r="GS2" s="99"/>
      <c r="GT2" s="99"/>
      <c r="GU2" s="99"/>
      <c r="GV2" s="99"/>
      <c r="GW2" s="99"/>
      <c r="GX2" s="123"/>
      <c r="GY2" s="99" t="str">
        <f ca="1">IF(CELL("contenu",INDIRECT(ADDRESS(GY1,1,1,1,CELL("contenu",$B$2))))="","----",CELL("contenu",INDIRECT(ADDRESS(GY1,1,1,1,CELL("contenu",$B$2)))))</f>
        <v>GUILLAUD-VALLEE Gaspard</v>
      </c>
      <c r="GZ2" s="99"/>
      <c r="HA2" s="99"/>
      <c r="HB2" s="99"/>
      <c r="HC2" s="99"/>
      <c r="HD2" s="99"/>
      <c r="HE2" s="99"/>
      <c r="HF2" s="99"/>
      <c r="HG2" s="99"/>
      <c r="HH2" s="99"/>
      <c r="HI2" s="99"/>
      <c r="HJ2" s="99"/>
      <c r="HK2" s="99"/>
      <c r="HL2" s="99"/>
      <c r="HM2" s="99"/>
      <c r="HN2" s="99"/>
      <c r="HO2" s="123"/>
      <c r="HP2" s="99" t="str">
        <f ca="1">IF(CELL("contenu",INDIRECT(ADDRESS(HP1,1,1,1,CELL("contenu",$B$2))))="","----",CELL("contenu",INDIRECT(ADDRESS(HP1,1,1,1,CELL("contenu",$B$2)))))</f>
        <v>GUINOISEAU Mathilde</v>
      </c>
      <c r="HQ2" s="99"/>
      <c r="HR2" s="99"/>
      <c r="HS2" s="99"/>
      <c r="HT2" s="99"/>
      <c r="HU2" s="99"/>
      <c r="HV2" s="99"/>
      <c r="HW2" s="99"/>
      <c r="HX2" s="99"/>
      <c r="HY2" s="99"/>
      <c r="HZ2" s="99"/>
      <c r="IA2" s="99"/>
      <c r="IB2" s="99"/>
      <c r="IC2" s="99"/>
      <c r="ID2" s="99"/>
      <c r="IE2" s="99"/>
      <c r="IF2" s="123"/>
      <c r="IG2" s="99" t="str">
        <f ca="1">IF(CELL("contenu",INDIRECT(ADDRESS(IG1,1,1,1,CELL("contenu",$B$2))))="","----",CELL("contenu",INDIRECT(ADDRESS(IG1,1,1,1,CELL("contenu",$B$2)))))</f>
        <v>HALLE Joseph</v>
      </c>
      <c r="IH2" s="99"/>
      <c r="II2" s="99"/>
      <c r="IJ2" s="99"/>
      <c r="IK2" s="99"/>
      <c r="IL2" s="99"/>
      <c r="IM2" s="99"/>
      <c r="IN2" s="99"/>
      <c r="IO2" s="99"/>
      <c r="IP2" s="99"/>
      <c r="IQ2" s="99"/>
      <c r="IR2" s="99"/>
      <c r="IS2" s="99"/>
      <c r="IT2" s="99"/>
      <c r="IU2" s="99"/>
      <c r="IV2" s="99"/>
      <c r="IW2" s="123"/>
      <c r="IX2" s="99" t="str">
        <f ca="1">IF(CELL("contenu",INDIRECT(ADDRESS(IX1,1,1,1,CELL("contenu",$B$2))))="","----",CELL("contenu",INDIRECT(ADDRESS(IX1,1,1,1,CELL("contenu",$B$2)))))</f>
        <v>LAPLANCHE Chiara</v>
      </c>
      <c r="IY2" s="99"/>
      <c r="IZ2" s="99"/>
      <c r="JA2" s="99"/>
      <c r="JB2" s="99"/>
      <c r="JC2" s="99"/>
      <c r="JD2" s="99"/>
      <c r="JE2" s="99"/>
      <c r="JF2" s="99"/>
      <c r="JG2" s="99"/>
      <c r="JH2" s="99"/>
      <c r="JI2" s="99"/>
      <c r="JJ2" s="99"/>
      <c r="JK2" s="99"/>
      <c r="JL2" s="99"/>
      <c r="JM2" s="99"/>
      <c r="JN2" s="123"/>
      <c r="JO2" s="99" t="str">
        <f ca="1">IF(CELL("contenu",INDIRECT(ADDRESS(JO1,1,1,1,CELL("contenu",$B$2))))="","----",CELL("contenu",INDIRECT(ADDRESS(JO1,1,1,1,CELL("contenu",$B$2)))))</f>
        <v>LECCIA Heloise</v>
      </c>
      <c r="JP2" s="99"/>
      <c r="JQ2" s="99"/>
      <c r="JR2" s="99"/>
      <c r="JS2" s="99"/>
      <c r="JT2" s="99"/>
      <c r="JU2" s="99"/>
      <c r="JV2" s="99"/>
      <c r="JW2" s="99"/>
      <c r="JX2" s="99"/>
      <c r="JY2" s="99"/>
      <c r="JZ2" s="99"/>
      <c r="KA2" s="99"/>
      <c r="KB2" s="99"/>
      <c r="KC2" s="99"/>
      <c r="KD2" s="99"/>
      <c r="KE2" s="123"/>
      <c r="KF2" s="99" t="str">
        <f ca="1">IF(CELL("contenu",INDIRECT(ADDRESS(KF1,1,1,1,CELL("contenu",$B$2))))="","----",CELL("contenu",INDIRECT(ADDRESS(KF1,1,1,1,CELL("contenu",$B$2)))))</f>
        <v>LEGENDRE Solal</v>
      </c>
      <c r="KG2" s="99"/>
      <c r="KH2" s="99"/>
      <c r="KI2" s="99"/>
      <c r="KJ2" s="99"/>
      <c r="KK2" s="99"/>
      <c r="KL2" s="99"/>
      <c r="KM2" s="99"/>
      <c r="KN2" s="99"/>
      <c r="KO2" s="99"/>
      <c r="KP2" s="99"/>
      <c r="KQ2" s="99"/>
      <c r="KR2" s="99"/>
      <c r="KS2" s="99"/>
      <c r="KT2" s="99"/>
      <c r="KU2" s="99"/>
      <c r="KV2" s="123"/>
      <c r="KW2" s="99" t="str">
        <f ca="1">IF(CELL("contenu",INDIRECT(ADDRESS(KW1,1,1,1,CELL("contenu",$B$2))))="","----",CELL("contenu",INDIRECT(ADDRESS(KW1,1,1,1,CELL("contenu",$B$2)))))</f>
        <v>LESERRE Julie</v>
      </c>
      <c r="KX2" s="99"/>
      <c r="KY2" s="99"/>
      <c r="KZ2" s="99"/>
      <c r="LA2" s="99"/>
      <c r="LB2" s="99"/>
      <c r="LC2" s="99"/>
      <c r="LD2" s="99"/>
      <c r="LE2" s="99"/>
      <c r="LF2" s="99"/>
      <c r="LG2" s="99"/>
      <c r="LH2" s="99"/>
      <c r="LI2" s="99"/>
      <c r="LJ2" s="99"/>
      <c r="LK2" s="99"/>
      <c r="LL2" s="99"/>
      <c r="LM2" s="123"/>
      <c r="LN2" s="99" t="str">
        <f ca="1">IF(CELL("contenu",INDIRECT(ADDRESS(LN1,1,1,1,CELL("contenu",$B$2))))="","----",CELL("contenu",INDIRECT(ADDRESS(LN1,1,1,1,CELL("contenu",$B$2)))))</f>
        <v>MELNYCK Lise</v>
      </c>
      <c r="LO2" s="99"/>
      <c r="LP2" s="99"/>
      <c r="LQ2" s="99"/>
      <c r="LR2" s="99"/>
      <c r="LS2" s="99"/>
      <c r="LT2" s="99"/>
      <c r="LU2" s="99"/>
      <c r="LV2" s="99"/>
      <c r="LW2" s="99"/>
      <c r="LX2" s="99"/>
      <c r="LY2" s="99"/>
      <c r="LZ2" s="99"/>
      <c r="MA2" s="99"/>
      <c r="MB2" s="99"/>
      <c r="MC2" s="99"/>
      <c r="MD2" s="123"/>
      <c r="ME2" s="99" t="str">
        <f ca="1">IF(CELL("contenu",INDIRECT(ADDRESS(ME1,1,1,1,CELL("contenu",$B$2))))="","----",CELL("contenu",INDIRECT(ADDRESS(ME1,1,1,1,CELL("contenu",$B$2)))))</f>
        <v>MOQUET Alix</v>
      </c>
      <c r="MF2" s="99"/>
      <c r="MG2" s="99"/>
      <c r="MH2" s="99"/>
      <c r="MI2" s="99"/>
      <c r="MJ2" s="99"/>
      <c r="MK2" s="99"/>
      <c r="ML2" s="99"/>
      <c r="MM2" s="99"/>
      <c r="MN2" s="99"/>
      <c r="MO2" s="99"/>
      <c r="MP2" s="99"/>
      <c r="MQ2" s="99"/>
      <c r="MR2" s="99"/>
      <c r="MS2" s="99"/>
      <c r="MT2" s="99"/>
      <c r="MU2" s="123"/>
      <c r="MV2" s="99" t="str">
        <f ca="1">IF(CELL("contenu",INDIRECT(ADDRESS(MV1,1,1,1,CELL("contenu",$B$2))))="","----",CELL("contenu",INDIRECT(ADDRESS(MV1,1,1,1,CELL("contenu",$B$2)))))</f>
        <v>MOUTAPAM Antoine</v>
      </c>
      <c r="MW2" s="99"/>
      <c r="MX2" s="99"/>
      <c r="MY2" s="99"/>
      <c r="MZ2" s="99"/>
      <c r="NA2" s="99"/>
      <c r="NB2" s="99"/>
      <c r="NC2" s="99"/>
      <c r="ND2" s="99"/>
      <c r="NE2" s="99"/>
      <c r="NF2" s="99"/>
      <c r="NG2" s="99"/>
      <c r="NH2" s="99"/>
      <c r="NI2" s="99"/>
      <c r="NJ2" s="99"/>
      <c r="NK2" s="99"/>
      <c r="NL2" s="123"/>
      <c r="NM2" s="99" t="str">
        <f ca="1">IF(CELL("contenu",INDIRECT(ADDRESS(NM1,1,1,1,CELL("contenu",$B$2))))="","----",CELL("contenu",INDIRECT(ADDRESS(NM1,1,1,1,CELL("contenu",$B$2)))))</f>
        <v>OLIVE Azelie</v>
      </c>
      <c r="NN2" s="99"/>
      <c r="NO2" s="99"/>
      <c r="NP2" s="99"/>
      <c r="NQ2" s="99"/>
      <c r="NR2" s="99"/>
      <c r="NS2" s="99"/>
      <c r="NT2" s="99"/>
      <c r="NU2" s="99"/>
      <c r="NV2" s="99"/>
      <c r="NW2" s="99"/>
      <c r="NX2" s="99"/>
      <c r="NY2" s="99"/>
      <c r="NZ2" s="99"/>
      <c r="OA2" s="99"/>
      <c r="OB2" s="99"/>
      <c r="OC2" s="123"/>
      <c r="OD2" s="99" t="str">
        <f ca="1">IF(CELL("contenu",INDIRECT(ADDRESS(OD1,1,1,1,CELL("contenu",$B$2))))="","----",CELL("contenu",INDIRECT(ADDRESS(OD1,1,1,1,CELL("contenu",$B$2)))))</f>
        <v>RAZAVI Gregoire</v>
      </c>
      <c r="OE2" s="99"/>
      <c r="OF2" s="99"/>
      <c r="OG2" s="99"/>
      <c r="OH2" s="99"/>
      <c r="OI2" s="99"/>
      <c r="OJ2" s="99"/>
      <c r="OK2" s="99"/>
      <c r="OL2" s="99"/>
      <c r="OM2" s="99"/>
      <c r="ON2" s="99"/>
      <c r="OO2" s="99"/>
      <c r="OP2" s="99"/>
      <c r="OQ2" s="99"/>
      <c r="OR2" s="99"/>
      <c r="OS2" s="99"/>
      <c r="OT2" s="123"/>
      <c r="OU2" s="99" t="str">
        <f ca="1">IF(CELL("contenu",INDIRECT(ADDRESS(OU1,1,1,1,CELL("contenu",$B$2))))="","----",CELL("contenu",INDIRECT(ADDRESS(OU1,1,1,1,CELL("contenu",$B$2)))))</f>
        <v>REYES Penelope</v>
      </c>
      <c r="OV2" s="99"/>
      <c r="OW2" s="99"/>
      <c r="OX2" s="99"/>
      <c r="OY2" s="99"/>
      <c r="OZ2" s="99"/>
      <c r="PA2" s="99"/>
      <c r="PB2" s="99"/>
      <c r="PC2" s="99"/>
      <c r="PD2" s="99"/>
      <c r="PE2" s="99"/>
      <c r="PF2" s="99"/>
      <c r="PG2" s="99"/>
      <c r="PH2" s="99"/>
      <c r="PI2" s="99"/>
      <c r="PJ2" s="99"/>
      <c r="PK2" s="123"/>
      <c r="PL2" s="99" t="str">
        <f ca="1">IF(CELL("contenu",INDIRECT(ADDRESS(PL1,1,1,1,CELL("contenu",$B$2))))="","----",CELL("contenu",INDIRECT(ADDRESS(PL1,1,1,1,CELL("contenu",$B$2)))))</f>
        <v>RHEINART Emilie</v>
      </c>
      <c r="PM2" s="99"/>
      <c r="PN2" s="99"/>
      <c r="PO2" s="99"/>
      <c r="PP2" s="99"/>
      <c r="PQ2" s="99"/>
      <c r="PR2" s="99"/>
      <c r="PS2" s="99"/>
      <c r="PT2" s="99"/>
      <c r="PU2" s="99"/>
      <c r="PV2" s="99"/>
      <c r="PW2" s="99"/>
      <c r="PX2" s="99"/>
      <c r="PY2" s="99"/>
      <c r="PZ2" s="99"/>
      <c r="QA2" s="99"/>
      <c r="QB2" s="123"/>
      <c r="QC2" s="99" t="str">
        <f ca="1">IF(CELL("contenu",INDIRECT(ADDRESS(QC1,1,1,1,CELL("contenu",$B$2))))="","----",CELL("contenu",INDIRECT(ADDRESS(QC1,1,1,1,CELL("contenu",$B$2)))))</f>
        <v>RIBOULEAU Clemence</v>
      </c>
      <c r="QD2" s="99"/>
      <c r="QE2" s="99"/>
      <c r="QF2" s="99"/>
      <c r="QG2" s="99"/>
      <c r="QH2" s="99"/>
      <c r="QI2" s="99"/>
      <c r="QJ2" s="99"/>
      <c r="QK2" s="99"/>
      <c r="QL2" s="99"/>
      <c r="QM2" s="99"/>
      <c r="QN2" s="99"/>
      <c r="QO2" s="99"/>
      <c r="QP2" s="99"/>
      <c r="QQ2" s="99"/>
      <c r="QR2" s="99"/>
      <c r="QS2" s="123"/>
      <c r="QT2" s="99" t="str">
        <f ca="1">IF(CELL("contenu",INDIRECT(ADDRESS(QT1,1,1,1,CELL("contenu",$B$2))))="","----",CELL("contenu",INDIRECT(ADDRESS(QT1,1,1,1,CELL("contenu",$B$2)))))</f>
        <v>SOLDAT Flaureanne</v>
      </c>
      <c r="QU2" s="99"/>
      <c r="QV2" s="99"/>
      <c r="QW2" s="99"/>
      <c r="QX2" s="99"/>
      <c r="QY2" s="99"/>
      <c r="QZ2" s="99"/>
      <c r="RA2" s="99"/>
      <c r="RB2" s="99"/>
      <c r="RC2" s="99"/>
      <c r="RD2" s="99"/>
      <c r="RE2" s="99"/>
      <c r="RF2" s="99"/>
      <c r="RG2" s="99"/>
      <c r="RH2" s="99"/>
      <c r="RI2" s="99"/>
      <c r="RJ2" s="123"/>
      <c r="RK2" s="99">
        <f ca="1">IF(CELL("contenu",INDIRECT(ADDRESS(RK1,1,1,1,CELL("contenu",$B$2))))="","----",CELL("contenu",INDIRECT(ADDRESS(RK1,1,1,1,CELL("contenu",$B$2)))))</f>
        <v>0</v>
      </c>
      <c r="RL2" s="99"/>
      <c r="RM2" s="99"/>
      <c r="RN2" s="99"/>
      <c r="RO2" s="99"/>
      <c r="RP2" s="99"/>
      <c r="RQ2" s="99"/>
      <c r="RR2" s="99"/>
      <c r="RS2" s="99"/>
      <c r="RT2" s="99"/>
      <c r="RU2" s="99"/>
      <c r="RV2" s="99"/>
      <c r="RW2" s="99"/>
      <c r="RX2" s="99"/>
      <c r="RY2" s="99"/>
      <c r="RZ2" s="99"/>
      <c r="SA2" s="123"/>
      <c r="SB2" s="99">
        <f ca="1">IF(CELL("contenu",INDIRECT(ADDRESS(SB1,1,1,1,CELL("contenu",$B$2))))="","----",CELL("contenu",INDIRECT(ADDRESS(SB1,1,1,1,CELL("contenu",$B$2)))))</f>
        <v>0</v>
      </c>
      <c r="SC2" s="99"/>
      <c r="SD2" s="99"/>
      <c r="SE2" s="99"/>
      <c r="SF2" s="99"/>
      <c r="SG2" s="99"/>
      <c r="SH2" s="99"/>
      <c r="SI2" s="99"/>
      <c r="SJ2" s="99"/>
      <c r="SK2" s="99"/>
      <c r="SL2" s="99"/>
      <c r="SM2" s="99"/>
      <c r="SN2" s="99"/>
      <c r="SO2" s="99"/>
      <c r="SP2" s="99"/>
      <c r="SQ2" s="99"/>
      <c r="SR2" s="123"/>
    </row>
    <row r="3" spans="1:512" ht="60" customHeight="1" thickBot="1" x14ac:dyDescent="0.3">
      <c r="A3" s="93"/>
      <c r="B3" s="94" t="s">
        <v>31</v>
      </c>
      <c r="C3" s="149" t="s">
        <v>208</v>
      </c>
      <c r="D3" s="150"/>
      <c r="E3" s="151"/>
      <c r="F3" s="104" t="s">
        <v>7</v>
      </c>
      <c r="G3" s="105"/>
      <c r="H3" s="73"/>
      <c r="I3" s="75"/>
      <c r="J3" s="74"/>
      <c r="K3" s="119" t="s">
        <v>8</v>
      </c>
      <c r="L3" s="120"/>
      <c r="M3" s="73"/>
      <c r="N3" s="75"/>
      <c r="O3" s="74"/>
      <c r="P3" s="124" t="s">
        <v>9</v>
      </c>
      <c r="Q3" s="125"/>
      <c r="R3" s="126" t="s">
        <v>10</v>
      </c>
      <c r="S3" s="127"/>
      <c r="T3" s="193" t="str">
        <f>IF(C3="","",C3)</f>
        <v>CH1/1</v>
      </c>
      <c r="U3" s="194" t="str">
        <f>IF(D3="","",D3)</f>
        <v/>
      </c>
      <c r="V3" s="195" t="str">
        <f>IF(E3="","",E3)</f>
        <v/>
      </c>
      <c r="W3" s="104" t="s">
        <v>7</v>
      </c>
      <c r="X3" s="105"/>
      <c r="Y3" s="196" t="str">
        <f>IF(H3="","",H3)</f>
        <v/>
      </c>
      <c r="Z3" s="194" t="str">
        <f>IF(I3="","",I3)</f>
        <v/>
      </c>
      <c r="AA3" s="197" t="str">
        <f>IF(J3="","",J3)</f>
        <v/>
      </c>
      <c r="AB3" s="119" t="s">
        <v>8</v>
      </c>
      <c r="AC3" s="120"/>
      <c r="AD3" s="196" t="str">
        <f>IF(M3="","",M3)</f>
        <v/>
      </c>
      <c r="AE3" s="194" t="str">
        <f>IF(N3="","",N3)</f>
        <v/>
      </c>
      <c r="AF3" s="197" t="str">
        <f>IF(O3="","",O3)</f>
        <v/>
      </c>
      <c r="AG3" s="124" t="s">
        <v>9</v>
      </c>
      <c r="AH3" s="125"/>
      <c r="AI3" s="126" t="s">
        <v>10</v>
      </c>
      <c r="AJ3" s="127"/>
      <c r="AK3" s="193" t="str">
        <f>IF(T3="","",T3)</f>
        <v>CH1/1</v>
      </c>
      <c r="AL3" s="194" t="str">
        <f>IF(U3="","",U3)</f>
        <v/>
      </c>
      <c r="AM3" s="195" t="str">
        <f>IF(V3="","",V3)</f>
        <v/>
      </c>
      <c r="AN3" s="104" t="s">
        <v>7</v>
      </c>
      <c r="AO3" s="105"/>
      <c r="AP3" s="196" t="str">
        <f>IF(Y3="","",Y3)</f>
        <v/>
      </c>
      <c r="AQ3" s="194" t="str">
        <f>IF(Z3="","",Z3)</f>
        <v/>
      </c>
      <c r="AR3" s="197" t="str">
        <f>IF(AA3="","",AA3)</f>
        <v/>
      </c>
      <c r="AS3" s="119" t="s">
        <v>8</v>
      </c>
      <c r="AT3" s="120"/>
      <c r="AU3" s="196" t="str">
        <f>IF(AD3="","",AD3)</f>
        <v/>
      </c>
      <c r="AV3" s="194" t="str">
        <f>IF(AE3="","",AE3)</f>
        <v/>
      </c>
      <c r="AW3" s="197" t="str">
        <f>IF(AF3="","",AF3)</f>
        <v/>
      </c>
      <c r="AX3" s="124" t="s">
        <v>9</v>
      </c>
      <c r="AY3" s="125"/>
      <c r="AZ3" s="126" t="s">
        <v>10</v>
      </c>
      <c r="BA3" s="127"/>
      <c r="BB3" s="193" t="str">
        <f>IF(AK3="","",AK3)</f>
        <v>CH1/1</v>
      </c>
      <c r="BC3" s="194" t="str">
        <f>IF(AL3="","",AL3)</f>
        <v/>
      </c>
      <c r="BD3" s="195" t="str">
        <f>IF(AM3="","",AM3)</f>
        <v/>
      </c>
      <c r="BE3" s="104" t="s">
        <v>7</v>
      </c>
      <c r="BF3" s="105"/>
      <c r="BG3" s="196" t="str">
        <f>IF(AP3="","",AP3)</f>
        <v/>
      </c>
      <c r="BH3" s="194" t="str">
        <f>IF(AQ3="","",AQ3)</f>
        <v/>
      </c>
      <c r="BI3" s="197" t="str">
        <f>IF(AR3="","",AR3)</f>
        <v/>
      </c>
      <c r="BJ3" s="119" t="s">
        <v>8</v>
      </c>
      <c r="BK3" s="120"/>
      <c r="BL3" s="196" t="str">
        <f>IF(AU3="","",AU3)</f>
        <v/>
      </c>
      <c r="BM3" s="194" t="str">
        <f>IF(AV3="","",AV3)</f>
        <v/>
      </c>
      <c r="BN3" s="197" t="str">
        <f>IF(AW3="","",AW3)</f>
        <v/>
      </c>
      <c r="BO3" s="124" t="s">
        <v>9</v>
      </c>
      <c r="BP3" s="125"/>
      <c r="BQ3" s="126" t="s">
        <v>10</v>
      </c>
      <c r="BR3" s="127"/>
      <c r="BS3" s="193" t="str">
        <f>IF(BB3="","",BB3)</f>
        <v>CH1/1</v>
      </c>
      <c r="BT3" s="194" t="str">
        <f>IF(BC3="","",BC3)</f>
        <v/>
      </c>
      <c r="BU3" s="195" t="str">
        <f>IF(BD3="","",BD3)</f>
        <v/>
      </c>
      <c r="BV3" s="104" t="s">
        <v>7</v>
      </c>
      <c r="BW3" s="105"/>
      <c r="BX3" s="196" t="str">
        <f>IF(BG3="","",BG3)</f>
        <v/>
      </c>
      <c r="BY3" s="194" t="str">
        <f>IF(BH3="","",BH3)</f>
        <v/>
      </c>
      <c r="BZ3" s="197" t="str">
        <f>IF(BI3="","",BI3)</f>
        <v/>
      </c>
      <c r="CA3" s="119" t="s">
        <v>8</v>
      </c>
      <c r="CB3" s="120"/>
      <c r="CC3" s="196" t="str">
        <f>IF(BL3="","",BL3)</f>
        <v/>
      </c>
      <c r="CD3" s="194" t="str">
        <f>IF(BM3="","",BM3)</f>
        <v/>
      </c>
      <c r="CE3" s="197" t="str">
        <f>IF(BN3="","",BN3)</f>
        <v/>
      </c>
      <c r="CF3" s="124" t="s">
        <v>9</v>
      </c>
      <c r="CG3" s="125"/>
      <c r="CH3" s="126" t="s">
        <v>10</v>
      </c>
      <c r="CI3" s="127"/>
      <c r="CJ3" s="193" t="str">
        <f>IF(BS3="","",BS3)</f>
        <v>CH1/1</v>
      </c>
      <c r="CK3" s="194" t="str">
        <f>IF(BT3="","",BT3)</f>
        <v/>
      </c>
      <c r="CL3" s="195" t="str">
        <f>IF(BU3="","",BU3)</f>
        <v/>
      </c>
      <c r="CM3" s="104" t="s">
        <v>7</v>
      </c>
      <c r="CN3" s="105"/>
      <c r="CO3" s="196" t="str">
        <f>IF(BX3="","",BX3)</f>
        <v/>
      </c>
      <c r="CP3" s="194" t="str">
        <f>IF(BY3="","",BY3)</f>
        <v/>
      </c>
      <c r="CQ3" s="197" t="str">
        <f>IF(BZ3="","",BZ3)</f>
        <v/>
      </c>
      <c r="CR3" s="119" t="s">
        <v>8</v>
      </c>
      <c r="CS3" s="120"/>
      <c r="CT3" s="196" t="str">
        <f>IF(CC3="","",CC3)</f>
        <v/>
      </c>
      <c r="CU3" s="194" t="str">
        <f>IF(CD3="","",CD3)</f>
        <v/>
      </c>
      <c r="CV3" s="197" t="str">
        <f>IF(CE3="","",CE3)</f>
        <v/>
      </c>
      <c r="CW3" s="124" t="s">
        <v>9</v>
      </c>
      <c r="CX3" s="125"/>
      <c r="CY3" s="126" t="s">
        <v>10</v>
      </c>
      <c r="CZ3" s="127"/>
      <c r="DA3" s="193" t="str">
        <f>IF(CJ3="","",CJ3)</f>
        <v>CH1/1</v>
      </c>
      <c r="DB3" s="194" t="str">
        <f>IF(CK3="","",CK3)</f>
        <v/>
      </c>
      <c r="DC3" s="195" t="str">
        <f>IF(CL3="","",CL3)</f>
        <v/>
      </c>
      <c r="DD3" s="104" t="s">
        <v>7</v>
      </c>
      <c r="DE3" s="105"/>
      <c r="DF3" s="196" t="str">
        <f>IF(CO3="","",CO3)</f>
        <v/>
      </c>
      <c r="DG3" s="194" t="str">
        <f>IF(CP3="","",CP3)</f>
        <v/>
      </c>
      <c r="DH3" s="197" t="str">
        <f>IF(CQ3="","",CQ3)</f>
        <v/>
      </c>
      <c r="DI3" s="119" t="s">
        <v>8</v>
      </c>
      <c r="DJ3" s="120"/>
      <c r="DK3" s="196" t="str">
        <f>IF(CT3="","",CT3)</f>
        <v/>
      </c>
      <c r="DL3" s="194" t="str">
        <f>IF(CU3="","",CU3)</f>
        <v/>
      </c>
      <c r="DM3" s="197" t="str">
        <f>IF(CV3="","",CV3)</f>
        <v/>
      </c>
      <c r="DN3" s="124" t="s">
        <v>9</v>
      </c>
      <c r="DO3" s="125"/>
      <c r="DP3" s="126" t="s">
        <v>10</v>
      </c>
      <c r="DQ3" s="127"/>
      <c r="DR3" s="193" t="str">
        <f>IF(DA3="","",DA3)</f>
        <v>CH1/1</v>
      </c>
      <c r="DS3" s="194" t="str">
        <f>IF(DB3="","",DB3)</f>
        <v/>
      </c>
      <c r="DT3" s="195" t="str">
        <f>IF(DC3="","",DC3)</f>
        <v/>
      </c>
      <c r="DU3" s="104" t="s">
        <v>7</v>
      </c>
      <c r="DV3" s="105"/>
      <c r="DW3" s="196" t="str">
        <f>IF(DF3="","",DF3)</f>
        <v/>
      </c>
      <c r="DX3" s="194" t="str">
        <f>IF(DG3="","",DG3)</f>
        <v/>
      </c>
      <c r="DY3" s="197" t="str">
        <f>IF(DH3="","",DH3)</f>
        <v/>
      </c>
      <c r="DZ3" s="119" t="s">
        <v>8</v>
      </c>
      <c r="EA3" s="120"/>
      <c r="EB3" s="196" t="str">
        <f>IF(DK3="","",DK3)</f>
        <v/>
      </c>
      <c r="EC3" s="194" t="str">
        <f>IF(DL3="","",DL3)</f>
        <v/>
      </c>
      <c r="ED3" s="197" t="str">
        <f>IF(DM3="","",DM3)</f>
        <v/>
      </c>
      <c r="EE3" s="124" t="s">
        <v>9</v>
      </c>
      <c r="EF3" s="125"/>
      <c r="EG3" s="126" t="s">
        <v>10</v>
      </c>
      <c r="EH3" s="127"/>
      <c r="EI3" s="193" t="str">
        <f>IF(DR3="","",DR3)</f>
        <v>CH1/1</v>
      </c>
      <c r="EJ3" s="194" t="str">
        <f>IF(DS3="","",DS3)</f>
        <v/>
      </c>
      <c r="EK3" s="195" t="str">
        <f>IF(DT3="","",DT3)</f>
        <v/>
      </c>
      <c r="EL3" s="104" t="s">
        <v>7</v>
      </c>
      <c r="EM3" s="105"/>
      <c r="EN3" s="196" t="str">
        <f>IF(DW3="","",DW3)</f>
        <v/>
      </c>
      <c r="EO3" s="194" t="str">
        <f>IF(DX3="","",DX3)</f>
        <v/>
      </c>
      <c r="EP3" s="197" t="str">
        <f>IF(DY3="","",DY3)</f>
        <v/>
      </c>
      <c r="EQ3" s="119" t="s">
        <v>8</v>
      </c>
      <c r="ER3" s="120"/>
      <c r="ES3" s="196" t="str">
        <f>IF(EB3="","",EB3)</f>
        <v/>
      </c>
      <c r="ET3" s="194" t="str">
        <f>IF(EC3="","",EC3)</f>
        <v/>
      </c>
      <c r="EU3" s="197" t="str">
        <f>IF(ED3="","",ED3)</f>
        <v/>
      </c>
      <c r="EV3" s="124" t="s">
        <v>9</v>
      </c>
      <c r="EW3" s="125"/>
      <c r="EX3" s="126" t="s">
        <v>10</v>
      </c>
      <c r="EY3" s="127"/>
      <c r="EZ3" s="193" t="str">
        <f>IF(EI3="","",EI3)</f>
        <v>CH1/1</v>
      </c>
      <c r="FA3" s="194" t="str">
        <f>IF(EJ3="","",EJ3)</f>
        <v/>
      </c>
      <c r="FB3" s="195" t="str">
        <f>IF(EK3="","",EK3)</f>
        <v/>
      </c>
      <c r="FC3" s="104" t="s">
        <v>7</v>
      </c>
      <c r="FD3" s="105"/>
      <c r="FE3" s="196" t="str">
        <f>IF(EN3="","",EN3)</f>
        <v/>
      </c>
      <c r="FF3" s="194" t="str">
        <f>IF(EO3="","",EO3)</f>
        <v/>
      </c>
      <c r="FG3" s="197" t="str">
        <f>IF(EP3="","",EP3)</f>
        <v/>
      </c>
      <c r="FH3" s="119" t="s">
        <v>8</v>
      </c>
      <c r="FI3" s="120"/>
      <c r="FJ3" s="196" t="str">
        <f>IF(ES3="","",ES3)</f>
        <v/>
      </c>
      <c r="FK3" s="194" t="str">
        <f>IF(ET3="","",ET3)</f>
        <v/>
      </c>
      <c r="FL3" s="197" t="str">
        <f>IF(EU3="","",EU3)</f>
        <v/>
      </c>
      <c r="FM3" s="124" t="s">
        <v>9</v>
      </c>
      <c r="FN3" s="125"/>
      <c r="FO3" s="126" t="s">
        <v>10</v>
      </c>
      <c r="FP3" s="127"/>
      <c r="FQ3" s="193" t="str">
        <f>IF(EZ3="","",EZ3)</f>
        <v>CH1/1</v>
      </c>
      <c r="FR3" s="194" t="str">
        <f>IF(FA3="","",FA3)</f>
        <v/>
      </c>
      <c r="FS3" s="195" t="str">
        <f>IF(FB3="","",FB3)</f>
        <v/>
      </c>
      <c r="FT3" s="104" t="s">
        <v>7</v>
      </c>
      <c r="FU3" s="105"/>
      <c r="FV3" s="196" t="str">
        <f>IF(FE3="","",FE3)</f>
        <v/>
      </c>
      <c r="FW3" s="194" t="str">
        <f>IF(FF3="","",FF3)</f>
        <v/>
      </c>
      <c r="FX3" s="197" t="str">
        <f>IF(FG3="","",FG3)</f>
        <v/>
      </c>
      <c r="FY3" s="119" t="s">
        <v>8</v>
      </c>
      <c r="FZ3" s="120"/>
      <c r="GA3" s="196" t="str">
        <f>IF(FJ3="","",FJ3)</f>
        <v/>
      </c>
      <c r="GB3" s="194" t="str">
        <f>IF(FK3="","",FK3)</f>
        <v/>
      </c>
      <c r="GC3" s="197" t="str">
        <f>IF(FL3="","",FL3)</f>
        <v/>
      </c>
      <c r="GD3" s="124" t="s">
        <v>9</v>
      </c>
      <c r="GE3" s="125"/>
      <c r="GF3" s="126" t="s">
        <v>10</v>
      </c>
      <c r="GG3" s="127"/>
      <c r="GH3" s="193" t="str">
        <f>IF(FQ3="","",FQ3)</f>
        <v>CH1/1</v>
      </c>
      <c r="GI3" s="194" t="str">
        <f>IF(FR3="","",FR3)</f>
        <v/>
      </c>
      <c r="GJ3" s="195" t="str">
        <f>IF(FS3="","",FS3)</f>
        <v/>
      </c>
      <c r="GK3" s="104" t="s">
        <v>7</v>
      </c>
      <c r="GL3" s="105"/>
      <c r="GM3" s="196" t="str">
        <f>IF(FV3="","",FV3)</f>
        <v/>
      </c>
      <c r="GN3" s="194" t="str">
        <f>IF(FW3="","",FW3)</f>
        <v/>
      </c>
      <c r="GO3" s="197" t="str">
        <f>IF(FX3="","",FX3)</f>
        <v/>
      </c>
      <c r="GP3" s="119" t="s">
        <v>8</v>
      </c>
      <c r="GQ3" s="120"/>
      <c r="GR3" s="196" t="str">
        <f>IF(GA3="","",GA3)</f>
        <v/>
      </c>
      <c r="GS3" s="194" t="str">
        <f>IF(GB3="","",GB3)</f>
        <v/>
      </c>
      <c r="GT3" s="197" t="str">
        <f>IF(GC3="","",GC3)</f>
        <v/>
      </c>
      <c r="GU3" s="124" t="s">
        <v>9</v>
      </c>
      <c r="GV3" s="125"/>
      <c r="GW3" s="126" t="s">
        <v>10</v>
      </c>
      <c r="GX3" s="127"/>
      <c r="GY3" s="193" t="str">
        <f>IF(GH3="","",GH3)</f>
        <v>CH1/1</v>
      </c>
      <c r="GZ3" s="194" t="str">
        <f>IF(GI3="","",GI3)</f>
        <v/>
      </c>
      <c r="HA3" s="195" t="str">
        <f>IF(GJ3="","",GJ3)</f>
        <v/>
      </c>
      <c r="HB3" s="104" t="s">
        <v>7</v>
      </c>
      <c r="HC3" s="105"/>
      <c r="HD3" s="196" t="str">
        <f>IF(GM3="","",GM3)</f>
        <v/>
      </c>
      <c r="HE3" s="194" t="str">
        <f>IF(GN3="","",GN3)</f>
        <v/>
      </c>
      <c r="HF3" s="197" t="str">
        <f>IF(GO3="","",GO3)</f>
        <v/>
      </c>
      <c r="HG3" s="119" t="s">
        <v>8</v>
      </c>
      <c r="HH3" s="120"/>
      <c r="HI3" s="196" t="str">
        <f>IF(GR3="","",GR3)</f>
        <v/>
      </c>
      <c r="HJ3" s="194" t="str">
        <f>IF(GS3="","",GS3)</f>
        <v/>
      </c>
      <c r="HK3" s="197" t="str">
        <f>IF(GT3="","",GT3)</f>
        <v/>
      </c>
      <c r="HL3" s="124" t="s">
        <v>9</v>
      </c>
      <c r="HM3" s="125"/>
      <c r="HN3" s="126" t="s">
        <v>10</v>
      </c>
      <c r="HO3" s="127"/>
      <c r="HP3" s="193" t="str">
        <f>IF(GY3="","",GY3)</f>
        <v>CH1/1</v>
      </c>
      <c r="HQ3" s="194" t="str">
        <f>IF(GZ3="","",GZ3)</f>
        <v/>
      </c>
      <c r="HR3" s="195" t="str">
        <f>IF(HA3="","",HA3)</f>
        <v/>
      </c>
      <c r="HS3" s="104" t="s">
        <v>7</v>
      </c>
      <c r="HT3" s="105"/>
      <c r="HU3" s="196" t="str">
        <f>IF(HD3="","",HD3)</f>
        <v/>
      </c>
      <c r="HV3" s="194" t="str">
        <f>IF(HE3="","",HE3)</f>
        <v/>
      </c>
      <c r="HW3" s="197" t="str">
        <f>IF(HF3="","",HF3)</f>
        <v/>
      </c>
      <c r="HX3" s="119" t="s">
        <v>8</v>
      </c>
      <c r="HY3" s="120"/>
      <c r="HZ3" s="196" t="str">
        <f>IF(HI3="","",HI3)</f>
        <v/>
      </c>
      <c r="IA3" s="194" t="str">
        <f>IF(HJ3="","",HJ3)</f>
        <v/>
      </c>
      <c r="IB3" s="197" t="str">
        <f>IF(HK3="","",HK3)</f>
        <v/>
      </c>
      <c r="IC3" s="124" t="s">
        <v>9</v>
      </c>
      <c r="ID3" s="125"/>
      <c r="IE3" s="126" t="s">
        <v>10</v>
      </c>
      <c r="IF3" s="127"/>
      <c r="IG3" s="193" t="str">
        <f>IF(HP3="","",HP3)</f>
        <v>CH1/1</v>
      </c>
      <c r="IH3" s="194" t="str">
        <f>IF(HQ3="","",HQ3)</f>
        <v/>
      </c>
      <c r="II3" s="195" t="str">
        <f>IF(HR3="","",HR3)</f>
        <v/>
      </c>
      <c r="IJ3" s="104" t="s">
        <v>7</v>
      </c>
      <c r="IK3" s="105"/>
      <c r="IL3" s="196" t="str">
        <f>IF(HU3="","",HU3)</f>
        <v/>
      </c>
      <c r="IM3" s="194" t="str">
        <f>IF(HV3="","",HV3)</f>
        <v/>
      </c>
      <c r="IN3" s="197" t="str">
        <f>IF(HW3="","",HW3)</f>
        <v/>
      </c>
      <c r="IO3" s="119" t="s">
        <v>8</v>
      </c>
      <c r="IP3" s="120"/>
      <c r="IQ3" s="196" t="str">
        <f>IF(HZ3="","",HZ3)</f>
        <v/>
      </c>
      <c r="IR3" s="194" t="str">
        <f>IF(IA3="","",IA3)</f>
        <v/>
      </c>
      <c r="IS3" s="197" t="str">
        <f>IF(IB3="","",IB3)</f>
        <v/>
      </c>
      <c r="IT3" s="124" t="s">
        <v>9</v>
      </c>
      <c r="IU3" s="125"/>
      <c r="IV3" s="126" t="s">
        <v>10</v>
      </c>
      <c r="IW3" s="127"/>
      <c r="IX3" s="193" t="str">
        <f>IF(IG3="","",IG3)</f>
        <v>CH1/1</v>
      </c>
      <c r="IY3" s="194" t="str">
        <f>IF(IH3="","",IH3)</f>
        <v/>
      </c>
      <c r="IZ3" s="195" t="str">
        <f>IF(II3="","",II3)</f>
        <v/>
      </c>
      <c r="JA3" s="104" t="s">
        <v>7</v>
      </c>
      <c r="JB3" s="105"/>
      <c r="JC3" s="196" t="str">
        <f>IF(IL3="","",IL3)</f>
        <v/>
      </c>
      <c r="JD3" s="194" t="str">
        <f>IF(IM3="","",IM3)</f>
        <v/>
      </c>
      <c r="JE3" s="197" t="str">
        <f>IF(IN3="","",IN3)</f>
        <v/>
      </c>
      <c r="JF3" s="119" t="s">
        <v>8</v>
      </c>
      <c r="JG3" s="120"/>
      <c r="JH3" s="196" t="str">
        <f>IF(IQ3="","",IQ3)</f>
        <v/>
      </c>
      <c r="JI3" s="194" t="str">
        <f>IF(IR3="","",IR3)</f>
        <v/>
      </c>
      <c r="JJ3" s="197" t="str">
        <f>IF(IS3="","",IS3)</f>
        <v/>
      </c>
      <c r="JK3" s="124" t="s">
        <v>9</v>
      </c>
      <c r="JL3" s="125"/>
      <c r="JM3" s="126" t="s">
        <v>10</v>
      </c>
      <c r="JN3" s="127"/>
      <c r="JO3" s="193" t="str">
        <f>IF(IX3="","",IX3)</f>
        <v>CH1/1</v>
      </c>
      <c r="JP3" s="194" t="str">
        <f>IF(IY3="","",IY3)</f>
        <v/>
      </c>
      <c r="JQ3" s="195" t="str">
        <f>IF(IZ3="","",IZ3)</f>
        <v/>
      </c>
      <c r="JR3" s="104" t="s">
        <v>7</v>
      </c>
      <c r="JS3" s="105"/>
      <c r="JT3" s="196" t="str">
        <f>IF(JC3="","",JC3)</f>
        <v/>
      </c>
      <c r="JU3" s="194" t="str">
        <f>IF(JD3="","",JD3)</f>
        <v/>
      </c>
      <c r="JV3" s="197" t="str">
        <f>IF(JE3="","",JE3)</f>
        <v/>
      </c>
      <c r="JW3" s="119" t="s">
        <v>8</v>
      </c>
      <c r="JX3" s="120"/>
      <c r="JY3" s="196" t="str">
        <f>IF(JH3="","",JH3)</f>
        <v/>
      </c>
      <c r="JZ3" s="194" t="str">
        <f>IF(JI3="","",JI3)</f>
        <v/>
      </c>
      <c r="KA3" s="197" t="str">
        <f>IF(JJ3="","",JJ3)</f>
        <v/>
      </c>
      <c r="KB3" s="124" t="s">
        <v>9</v>
      </c>
      <c r="KC3" s="125"/>
      <c r="KD3" s="126" t="s">
        <v>10</v>
      </c>
      <c r="KE3" s="127"/>
      <c r="KF3" s="193" t="str">
        <f>IF(JO3="","",JO3)</f>
        <v>CH1/1</v>
      </c>
      <c r="KG3" s="194" t="str">
        <f>IF(JP3="","",JP3)</f>
        <v/>
      </c>
      <c r="KH3" s="195" t="str">
        <f>IF(JQ3="","",JQ3)</f>
        <v/>
      </c>
      <c r="KI3" s="104" t="s">
        <v>7</v>
      </c>
      <c r="KJ3" s="105"/>
      <c r="KK3" s="196" t="str">
        <f>IF(JT3="","",JT3)</f>
        <v/>
      </c>
      <c r="KL3" s="194" t="str">
        <f>IF(JU3="","",JU3)</f>
        <v/>
      </c>
      <c r="KM3" s="197" t="str">
        <f>IF(JV3="","",JV3)</f>
        <v/>
      </c>
      <c r="KN3" s="119" t="s">
        <v>8</v>
      </c>
      <c r="KO3" s="120"/>
      <c r="KP3" s="196" t="str">
        <f>IF(JY3="","",JY3)</f>
        <v/>
      </c>
      <c r="KQ3" s="194" t="str">
        <f>IF(JZ3="","",JZ3)</f>
        <v/>
      </c>
      <c r="KR3" s="197" t="str">
        <f>IF(KA3="","",KA3)</f>
        <v/>
      </c>
      <c r="KS3" s="124" t="s">
        <v>9</v>
      </c>
      <c r="KT3" s="125"/>
      <c r="KU3" s="126" t="s">
        <v>10</v>
      </c>
      <c r="KV3" s="127"/>
      <c r="KW3" s="193" t="str">
        <f>IF(KF3="","",KF3)</f>
        <v>CH1/1</v>
      </c>
      <c r="KX3" s="194" t="str">
        <f>IF(KG3="","",KG3)</f>
        <v/>
      </c>
      <c r="KY3" s="195" t="str">
        <f>IF(KH3="","",KH3)</f>
        <v/>
      </c>
      <c r="KZ3" s="104" t="s">
        <v>7</v>
      </c>
      <c r="LA3" s="105"/>
      <c r="LB3" s="196" t="str">
        <f>IF(KK3="","",KK3)</f>
        <v/>
      </c>
      <c r="LC3" s="194" t="str">
        <f>IF(KL3="","",KL3)</f>
        <v/>
      </c>
      <c r="LD3" s="197" t="str">
        <f>IF(KM3="","",KM3)</f>
        <v/>
      </c>
      <c r="LE3" s="119" t="s">
        <v>8</v>
      </c>
      <c r="LF3" s="120"/>
      <c r="LG3" s="196" t="str">
        <f>IF(KP3="","",KP3)</f>
        <v/>
      </c>
      <c r="LH3" s="194" t="str">
        <f>IF(KQ3="","",KQ3)</f>
        <v/>
      </c>
      <c r="LI3" s="197" t="str">
        <f>IF(KR3="","",KR3)</f>
        <v/>
      </c>
      <c r="LJ3" s="124" t="s">
        <v>9</v>
      </c>
      <c r="LK3" s="125"/>
      <c r="LL3" s="126" t="s">
        <v>10</v>
      </c>
      <c r="LM3" s="127"/>
      <c r="LN3" s="193" t="str">
        <f>IF(KW3="","",KW3)</f>
        <v>CH1/1</v>
      </c>
      <c r="LO3" s="194" t="str">
        <f>IF(KX3="","",KX3)</f>
        <v/>
      </c>
      <c r="LP3" s="195" t="str">
        <f>IF(KY3="","",KY3)</f>
        <v/>
      </c>
      <c r="LQ3" s="104" t="s">
        <v>7</v>
      </c>
      <c r="LR3" s="105"/>
      <c r="LS3" s="196" t="str">
        <f>IF(LB3="","",LB3)</f>
        <v/>
      </c>
      <c r="LT3" s="194" t="str">
        <f>IF(LC3="","",LC3)</f>
        <v/>
      </c>
      <c r="LU3" s="197" t="str">
        <f>IF(LD3="","",LD3)</f>
        <v/>
      </c>
      <c r="LV3" s="119" t="s">
        <v>8</v>
      </c>
      <c r="LW3" s="120"/>
      <c r="LX3" s="196" t="str">
        <f>IF(LG3="","",LG3)</f>
        <v/>
      </c>
      <c r="LY3" s="194" t="str">
        <f>IF(LH3="","",LH3)</f>
        <v/>
      </c>
      <c r="LZ3" s="197" t="str">
        <f>IF(LI3="","",LI3)</f>
        <v/>
      </c>
      <c r="MA3" s="124" t="s">
        <v>9</v>
      </c>
      <c r="MB3" s="125"/>
      <c r="MC3" s="126" t="s">
        <v>10</v>
      </c>
      <c r="MD3" s="127"/>
      <c r="ME3" s="193" t="str">
        <f>IF(LN3="","",LN3)</f>
        <v>CH1/1</v>
      </c>
      <c r="MF3" s="194" t="str">
        <f>IF(LO3="","",LO3)</f>
        <v/>
      </c>
      <c r="MG3" s="195" t="str">
        <f>IF(LP3="","",LP3)</f>
        <v/>
      </c>
      <c r="MH3" s="104" t="s">
        <v>7</v>
      </c>
      <c r="MI3" s="105"/>
      <c r="MJ3" s="196" t="str">
        <f>IF(LS3="","",LS3)</f>
        <v/>
      </c>
      <c r="MK3" s="194" t="str">
        <f>IF(LT3="","",LT3)</f>
        <v/>
      </c>
      <c r="ML3" s="197" t="str">
        <f>IF(LU3="","",LU3)</f>
        <v/>
      </c>
      <c r="MM3" s="119" t="s">
        <v>8</v>
      </c>
      <c r="MN3" s="120"/>
      <c r="MO3" s="196" t="str">
        <f>IF(LX3="","",LX3)</f>
        <v/>
      </c>
      <c r="MP3" s="194" t="str">
        <f>IF(LY3="","",LY3)</f>
        <v/>
      </c>
      <c r="MQ3" s="197" t="str">
        <f>IF(LZ3="","",LZ3)</f>
        <v/>
      </c>
      <c r="MR3" s="124" t="s">
        <v>9</v>
      </c>
      <c r="MS3" s="125"/>
      <c r="MT3" s="126" t="s">
        <v>10</v>
      </c>
      <c r="MU3" s="127"/>
      <c r="MV3" s="193" t="str">
        <f>IF(ME3="","",ME3)</f>
        <v>CH1/1</v>
      </c>
      <c r="MW3" s="194" t="str">
        <f>IF(MF3="","",MF3)</f>
        <v/>
      </c>
      <c r="MX3" s="195" t="str">
        <f>IF(MG3="","",MG3)</f>
        <v/>
      </c>
      <c r="MY3" s="104" t="s">
        <v>7</v>
      </c>
      <c r="MZ3" s="105"/>
      <c r="NA3" s="196" t="str">
        <f>IF(MJ3="","",MJ3)</f>
        <v/>
      </c>
      <c r="NB3" s="194" t="str">
        <f>IF(MK3="","",MK3)</f>
        <v/>
      </c>
      <c r="NC3" s="197" t="str">
        <f>IF(ML3="","",ML3)</f>
        <v/>
      </c>
      <c r="ND3" s="119" t="s">
        <v>8</v>
      </c>
      <c r="NE3" s="120"/>
      <c r="NF3" s="196" t="str">
        <f>IF(MO3="","",MO3)</f>
        <v/>
      </c>
      <c r="NG3" s="194" t="str">
        <f>IF(MP3="","",MP3)</f>
        <v/>
      </c>
      <c r="NH3" s="197" t="str">
        <f>IF(MQ3="","",MQ3)</f>
        <v/>
      </c>
      <c r="NI3" s="124" t="s">
        <v>9</v>
      </c>
      <c r="NJ3" s="125"/>
      <c r="NK3" s="126" t="s">
        <v>10</v>
      </c>
      <c r="NL3" s="127"/>
      <c r="NM3" s="193" t="str">
        <f>IF(MV3="","",MV3)</f>
        <v>CH1/1</v>
      </c>
      <c r="NN3" s="194" t="str">
        <f>IF(MW3="","",MW3)</f>
        <v/>
      </c>
      <c r="NO3" s="195" t="str">
        <f>IF(MX3="","",MX3)</f>
        <v/>
      </c>
      <c r="NP3" s="104" t="s">
        <v>7</v>
      </c>
      <c r="NQ3" s="105"/>
      <c r="NR3" s="196" t="str">
        <f>IF(NA3="","",NA3)</f>
        <v/>
      </c>
      <c r="NS3" s="194" t="str">
        <f>IF(NB3="","",NB3)</f>
        <v/>
      </c>
      <c r="NT3" s="197" t="str">
        <f>IF(NC3="","",NC3)</f>
        <v/>
      </c>
      <c r="NU3" s="119" t="s">
        <v>8</v>
      </c>
      <c r="NV3" s="120"/>
      <c r="NW3" s="196" t="str">
        <f>IF(NF3="","",NF3)</f>
        <v/>
      </c>
      <c r="NX3" s="194" t="str">
        <f>IF(NG3="","",NG3)</f>
        <v/>
      </c>
      <c r="NY3" s="197" t="str">
        <f>IF(NH3="","",NH3)</f>
        <v/>
      </c>
      <c r="NZ3" s="124" t="s">
        <v>9</v>
      </c>
      <c r="OA3" s="125"/>
      <c r="OB3" s="126" t="s">
        <v>10</v>
      </c>
      <c r="OC3" s="127"/>
      <c r="OD3" s="193" t="str">
        <f>IF(NM3="","",NM3)</f>
        <v>CH1/1</v>
      </c>
      <c r="OE3" s="194" t="str">
        <f>IF(NN3="","",NN3)</f>
        <v/>
      </c>
      <c r="OF3" s="195" t="str">
        <f>IF(NO3="","",NO3)</f>
        <v/>
      </c>
      <c r="OG3" s="104" t="s">
        <v>7</v>
      </c>
      <c r="OH3" s="105"/>
      <c r="OI3" s="196" t="str">
        <f>IF(NR3="","",NR3)</f>
        <v/>
      </c>
      <c r="OJ3" s="194" t="str">
        <f>IF(NS3="","",NS3)</f>
        <v/>
      </c>
      <c r="OK3" s="197" t="str">
        <f>IF(NT3="","",NT3)</f>
        <v/>
      </c>
      <c r="OL3" s="119" t="s">
        <v>8</v>
      </c>
      <c r="OM3" s="120"/>
      <c r="ON3" s="196" t="str">
        <f>IF(NW3="","",NW3)</f>
        <v/>
      </c>
      <c r="OO3" s="194" t="str">
        <f>IF(NX3="","",NX3)</f>
        <v/>
      </c>
      <c r="OP3" s="197" t="str">
        <f>IF(NY3="","",NY3)</f>
        <v/>
      </c>
      <c r="OQ3" s="124" t="s">
        <v>9</v>
      </c>
      <c r="OR3" s="125"/>
      <c r="OS3" s="126" t="s">
        <v>10</v>
      </c>
      <c r="OT3" s="127"/>
      <c r="OU3" s="193" t="str">
        <f>IF(OD3="","",OD3)</f>
        <v>CH1/1</v>
      </c>
      <c r="OV3" s="194" t="str">
        <f>IF(OE3="","",OE3)</f>
        <v/>
      </c>
      <c r="OW3" s="195" t="str">
        <f>IF(OF3="","",OF3)</f>
        <v/>
      </c>
      <c r="OX3" s="104" t="s">
        <v>7</v>
      </c>
      <c r="OY3" s="105"/>
      <c r="OZ3" s="196" t="str">
        <f>IF(OI3="","",OI3)</f>
        <v/>
      </c>
      <c r="PA3" s="194" t="str">
        <f>IF(OJ3="","",OJ3)</f>
        <v/>
      </c>
      <c r="PB3" s="197" t="str">
        <f>IF(OK3="","",OK3)</f>
        <v/>
      </c>
      <c r="PC3" s="119" t="s">
        <v>8</v>
      </c>
      <c r="PD3" s="120"/>
      <c r="PE3" s="196" t="str">
        <f>IF(ON3="","",ON3)</f>
        <v/>
      </c>
      <c r="PF3" s="194" t="str">
        <f>IF(OO3="","",OO3)</f>
        <v/>
      </c>
      <c r="PG3" s="197" t="str">
        <f>IF(OP3="","",OP3)</f>
        <v/>
      </c>
      <c r="PH3" s="124" t="s">
        <v>9</v>
      </c>
      <c r="PI3" s="125"/>
      <c r="PJ3" s="126" t="s">
        <v>10</v>
      </c>
      <c r="PK3" s="127"/>
      <c r="PL3" s="193" t="str">
        <f>IF(OU3="","",OU3)</f>
        <v>CH1/1</v>
      </c>
      <c r="PM3" s="194" t="str">
        <f>IF(OV3="","",OV3)</f>
        <v/>
      </c>
      <c r="PN3" s="195" t="str">
        <f>IF(OW3="","",OW3)</f>
        <v/>
      </c>
      <c r="PO3" s="104" t="s">
        <v>7</v>
      </c>
      <c r="PP3" s="105"/>
      <c r="PQ3" s="196" t="str">
        <f>IF(OZ3="","",OZ3)</f>
        <v/>
      </c>
      <c r="PR3" s="194" t="str">
        <f>IF(PA3="","",PA3)</f>
        <v/>
      </c>
      <c r="PS3" s="197" t="str">
        <f>IF(PB3="","",PB3)</f>
        <v/>
      </c>
      <c r="PT3" s="119" t="s">
        <v>8</v>
      </c>
      <c r="PU3" s="120"/>
      <c r="PV3" s="196" t="str">
        <f>IF(PE3="","",PE3)</f>
        <v/>
      </c>
      <c r="PW3" s="194" t="str">
        <f>IF(PF3="","",PF3)</f>
        <v/>
      </c>
      <c r="PX3" s="197" t="str">
        <f>IF(PG3="","",PG3)</f>
        <v/>
      </c>
      <c r="PY3" s="124" t="s">
        <v>9</v>
      </c>
      <c r="PZ3" s="125"/>
      <c r="QA3" s="126" t="s">
        <v>10</v>
      </c>
      <c r="QB3" s="127"/>
      <c r="QC3" s="193" t="str">
        <f>IF(PL3="","",PL3)</f>
        <v>CH1/1</v>
      </c>
      <c r="QD3" s="194" t="str">
        <f>IF(PM3="","",PM3)</f>
        <v/>
      </c>
      <c r="QE3" s="195" t="str">
        <f>IF(PN3="","",PN3)</f>
        <v/>
      </c>
      <c r="QF3" s="104" t="s">
        <v>7</v>
      </c>
      <c r="QG3" s="105"/>
      <c r="QH3" s="196" t="str">
        <f>IF(PQ3="","",PQ3)</f>
        <v/>
      </c>
      <c r="QI3" s="194" t="str">
        <f>IF(PR3="","",PR3)</f>
        <v/>
      </c>
      <c r="QJ3" s="197" t="str">
        <f>IF(PS3="","",PS3)</f>
        <v/>
      </c>
      <c r="QK3" s="119" t="s">
        <v>8</v>
      </c>
      <c r="QL3" s="120"/>
      <c r="QM3" s="196" t="str">
        <f>IF(PV3="","",PV3)</f>
        <v/>
      </c>
      <c r="QN3" s="194" t="str">
        <f>IF(PW3="","",PW3)</f>
        <v/>
      </c>
      <c r="QO3" s="197" t="str">
        <f>IF(PX3="","",PX3)</f>
        <v/>
      </c>
      <c r="QP3" s="124" t="s">
        <v>9</v>
      </c>
      <c r="QQ3" s="125"/>
      <c r="QR3" s="126" t="s">
        <v>10</v>
      </c>
      <c r="QS3" s="127"/>
      <c r="QT3" s="193" t="str">
        <f>IF(QC3="","",QC3)</f>
        <v>CH1/1</v>
      </c>
      <c r="QU3" s="194" t="str">
        <f>IF(QD3="","",QD3)</f>
        <v/>
      </c>
      <c r="QV3" s="195" t="str">
        <f>IF(QE3="","",QE3)</f>
        <v/>
      </c>
      <c r="QW3" s="104" t="s">
        <v>7</v>
      </c>
      <c r="QX3" s="105"/>
      <c r="QY3" s="196" t="str">
        <f>IF(QH3="","",QH3)</f>
        <v/>
      </c>
      <c r="QZ3" s="194" t="str">
        <f>IF(QI3="","",QI3)</f>
        <v/>
      </c>
      <c r="RA3" s="197" t="str">
        <f>IF(QJ3="","",QJ3)</f>
        <v/>
      </c>
      <c r="RB3" s="119" t="s">
        <v>8</v>
      </c>
      <c r="RC3" s="120"/>
      <c r="RD3" s="196" t="str">
        <f>IF(QM3="","",QM3)</f>
        <v/>
      </c>
      <c r="RE3" s="194" t="str">
        <f>IF(QN3="","",QN3)</f>
        <v/>
      </c>
      <c r="RF3" s="197" t="str">
        <f>IF(QO3="","",QO3)</f>
        <v/>
      </c>
      <c r="RG3" s="124" t="s">
        <v>9</v>
      </c>
      <c r="RH3" s="125"/>
      <c r="RI3" s="126" t="s">
        <v>10</v>
      </c>
      <c r="RJ3" s="127"/>
      <c r="RK3" s="193" t="str">
        <f>IF(QT3="","",QT3)</f>
        <v>CH1/1</v>
      </c>
      <c r="RL3" s="194" t="str">
        <f>IF(QU3="","",QU3)</f>
        <v/>
      </c>
      <c r="RM3" s="195" t="str">
        <f>IF(QV3="","",QV3)</f>
        <v/>
      </c>
      <c r="RN3" s="104" t="s">
        <v>7</v>
      </c>
      <c r="RO3" s="105"/>
      <c r="RP3" s="196" t="str">
        <f>IF(QY3="","",QY3)</f>
        <v/>
      </c>
      <c r="RQ3" s="194" t="str">
        <f>IF(QZ3="","",QZ3)</f>
        <v/>
      </c>
      <c r="RR3" s="197" t="str">
        <f>IF(RA3="","",RA3)</f>
        <v/>
      </c>
      <c r="RS3" s="119" t="s">
        <v>8</v>
      </c>
      <c r="RT3" s="120"/>
      <c r="RU3" s="196" t="str">
        <f>IF(RD3="","",RD3)</f>
        <v/>
      </c>
      <c r="RV3" s="194" t="str">
        <f>IF(RE3="","",RE3)</f>
        <v/>
      </c>
      <c r="RW3" s="197" t="str">
        <f>IF(RF3="","",RF3)</f>
        <v/>
      </c>
      <c r="RX3" s="124" t="s">
        <v>9</v>
      </c>
      <c r="RY3" s="125"/>
      <c r="RZ3" s="126" t="s">
        <v>10</v>
      </c>
      <c r="SA3" s="127"/>
      <c r="SB3" s="193" t="str">
        <f>IF(RK3="","",RK3)</f>
        <v>CH1/1</v>
      </c>
      <c r="SC3" s="194" t="str">
        <f>IF(RL3="","",RL3)</f>
        <v/>
      </c>
      <c r="SD3" s="195" t="str">
        <f>IF(RM3="","",RM3)</f>
        <v/>
      </c>
      <c r="SE3" s="104" t="s">
        <v>7</v>
      </c>
      <c r="SF3" s="105"/>
      <c r="SG3" s="196" t="str">
        <f>IF(RP3="","",RP3)</f>
        <v/>
      </c>
      <c r="SH3" s="194" t="str">
        <f>IF(RQ3="","",RQ3)</f>
        <v/>
      </c>
      <c r="SI3" s="197" t="str">
        <f>IF(RR3="","",RR3)</f>
        <v/>
      </c>
      <c r="SJ3" s="119" t="s">
        <v>8</v>
      </c>
      <c r="SK3" s="120"/>
      <c r="SL3" s="196" t="str">
        <f>IF(RU3="","",RU3)</f>
        <v/>
      </c>
      <c r="SM3" s="194" t="str">
        <f>IF(RV3="","",RV3)</f>
        <v/>
      </c>
      <c r="SN3" s="197" t="str">
        <f>IF(RW3="","",RW3)</f>
        <v/>
      </c>
      <c r="SO3" s="124" t="s">
        <v>9</v>
      </c>
      <c r="SP3" s="125"/>
      <c r="SQ3" s="126" t="s">
        <v>10</v>
      </c>
      <c r="SR3" s="127"/>
    </row>
    <row r="4" spans="1:512" s="198" customFormat="1" ht="30" customHeight="1" thickBot="1" x14ac:dyDescent="0.3">
      <c r="A4" s="95" t="s">
        <v>11</v>
      </c>
      <c r="B4" s="76">
        <v>2</v>
      </c>
      <c r="C4" s="152"/>
      <c r="D4" s="185"/>
      <c r="E4" s="185"/>
      <c r="F4" s="106" t="str">
        <f>IFERROR((((COUNTIF('Elève (6ème3)'!C5:E6,"A"))*4)+((COUNTIF('Elève (6ème3)'!C5:E6,"B"))*3)+((COUNTIF('Elève (6ème3)'!C5:E6,"C"))*2)+((COUNTIF('Elève (6ème3)'!C5:E6,"D"))*1))/(COUNTA(C5:E6)),"")</f>
        <v/>
      </c>
      <c r="G4" s="107" t="str">
        <f t="shared" ref="G4:G19" si="0">IF(F4="","",IF(F4&gt;3.7,"A",IF(F4&gt;2.8,"B",IF(F4&gt;1.5,"C",IF(F4&gt;0,"D",IF(F4=0,""))))))</f>
        <v/>
      </c>
      <c r="H4" s="204"/>
      <c r="I4" s="186"/>
      <c r="J4" s="205"/>
      <c r="K4" s="106" t="str">
        <f>IFERROR((((COUNTIF('Elève (6ème3)'!H5:J6,"A"))*4)+((COUNTIF('Elève (6ème3)'!H5:J6,"B"))*3)+((COUNTIF('Elève (6ème3)'!H5:J6,"C"))*2)+((COUNTIF('Elève (6ème3)'!H5:J6,"D"))*1))/(COUNTA(H5:J6)),"")</f>
        <v/>
      </c>
      <c r="L4" s="121" t="str">
        <f t="shared" ref="L4:L19" si="1">IF(K4="","",IF(K4&gt;3.7,"A",IF(K4&gt;2.8,"B",IF(K4&gt;1.5,"C",IF(K4&gt;0,"D",IF(K4=0,""))))))</f>
        <v/>
      </c>
      <c r="M4" s="100"/>
      <c r="N4" s="187"/>
      <c r="O4" s="188"/>
      <c r="P4" s="106" t="str">
        <f>IFERROR((((COUNTIF('Elève (6ème3)'!M5:O6,"A"))*4)+((COUNTIF('Elève (6ème3)'!M5:O6,"B"))*3)+((COUNTIF('Elève (6ème3)'!M5:O6,"C"))*2)+((COUNTIF('Elève (6ème3)'!M5:O6,"D"))*1))/(COUNTA(M5:O6)),"")</f>
        <v/>
      </c>
      <c r="Q4" s="128" t="str">
        <f t="shared" ref="Q4:Q19" si="2">IF(P4="","",IF(P4&gt;3.7,"A",IF(P4&gt;2.8,"B",IF(P4&gt;1.5,"C",IF(P4&gt;0,"D",IF(P4=0,""))))))</f>
        <v/>
      </c>
      <c r="R4" s="177" t="str">
        <f>IFERROR((((COUNTIF(C5:E6,"A")+COUNTIF(H5:J6,"A")+COUNTIF(M5:O6,"A"))*4)+((COUNTIF(C5:E6,"B")+COUNTIF(H5:J6,"B")+COUNTIF(M5:O6,"B"))*3)+((COUNTIF(C5:E6,"C")+COUNTIF(H5:J6,"C")+COUNTIF(M5:O6,"C"))*2)+((COUNTIF(C5:E6,"D")+COUNTIF(H5:J6,"D")+COUNTIF(M5:O6,"D"))*1))/(COUNTA(C5:E6)+COUNTA(H5:J6)+COUNTA(M5:O6)),"")</f>
        <v/>
      </c>
      <c r="S4" s="130" t="str">
        <f t="shared" ref="S4:S19" si="3">IF(R4="","",IF(R4&gt;3.7,"A",IF(R4&gt;2.8,"B",IF(R4&gt;1.5,"C",IF(R4&gt;0,"D",IF(R4=0,""))))))</f>
        <v/>
      </c>
      <c r="T4" s="152"/>
      <c r="U4" s="185"/>
      <c r="V4" s="185"/>
      <c r="W4" s="106" t="str">
        <f>IFERROR((((COUNTIF('Elève (6ème3)'!T5:V6,"A"))*4)+((COUNTIF('Elève (6ème3)'!T5:V6,"B"))*3)+((COUNTIF('Elève (6ème3)'!T5:V6,"C"))*2)+((COUNTIF('Elève (6ème3)'!T5:V6,"D"))*1))/(COUNTA(T5:V6)),"")</f>
        <v/>
      </c>
      <c r="X4" s="107" t="str">
        <f t="shared" ref="X4:X19" si="4">IF(W4="","",IF(W4&gt;3.7,"A",IF(W4&gt;2.8,"B",IF(W4&gt;1.5,"C",IF(W4&gt;0,"D",IF(W4=0,""))))))</f>
        <v/>
      </c>
      <c r="Y4" s="204"/>
      <c r="Z4" s="186"/>
      <c r="AA4" s="205"/>
      <c r="AB4" s="106" t="str">
        <f>IFERROR((((COUNTIF('Elève (6ème3)'!Y5:AA6,"A"))*4)+((COUNTIF('Elève (6ème3)'!Y5:AA6,"B"))*3)+((COUNTIF('Elève (6ème3)'!Y5:AA6,"C"))*2)+((COUNTIF('Elève (6ème3)'!Y5:AA6,"D"))*1))/(COUNTA(Y5:AA6)),"")</f>
        <v/>
      </c>
      <c r="AC4" s="121" t="str">
        <f t="shared" ref="AC4:AC19" si="5">IF(AB4="","",IF(AB4&gt;3.7,"A",IF(AB4&gt;2.8,"B",IF(AB4&gt;1.5,"C",IF(AB4&gt;0,"D",IF(AB4=0,""))))))</f>
        <v/>
      </c>
      <c r="AD4" s="100"/>
      <c r="AE4" s="187"/>
      <c r="AF4" s="188"/>
      <c r="AG4" s="106" t="str">
        <f>IFERROR((((COUNTIF('Elève (6ème3)'!AD5:AF6,"A"))*4)+((COUNTIF('Elève (6ème3)'!AD5:AF6,"B"))*3)+((COUNTIF('Elève (6ème3)'!AD5:AF6,"C"))*2)+((COUNTIF('Elève (6ème3)'!AD5:AF6,"D"))*1))/(COUNTA(AD5:AF6)),"")</f>
        <v/>
      </c>
      <c r="AH4" s="128" t="str">
        <f t="shared" ref="AH4:AH19" si="6">IF(AG4="","",IF(AG4&gt;3.7,"A",IF(AG4&gt;2.8,"B",IF(AG4&gt;1.5,"C",IF(AG4&gt;0,"D",IF(AG4=0,""))))))</f>
        <v/>
      </c>
      <c r="AI4" s="177" t="str">
        <f>IFERROR((((COUNTIF(T5:V6,"A")+COUNTIF(Y5:AA6,"A")+COUNTIF(AD5:AF6,"A"))*4)+((COUNTIF(T5:V6,"B")+COUNTIF(Y5:AA6,"B")+COUNTIF(AD5:AF6,"B"))*3)+((COUNTIF(T5:V6,"C")+COUNTIF(Y5:AA6,"C")+COUNTIF(AD5:AF6,"C"))*2)+((COUNTIF(T5:V6,"D")+COUNTIF(Y5:AA6,"D")+COUNTIF(AD5:AF6,"D"))*1))/(COUNTA(T5:V6)+COUNTA(Y5:AA6)+COUNTA(AD5:AF6)),"")</f>
        <v/>
      </c>
      <c r="AJ4" s="130" t="str">
        <f t="shared" ref="AJ4:AJ19" si="7">IF(AI4="","",IF(AI4&gt;3.7,"A",IF(AI4&gt;2.8,"B",IF(AI4&gt;1.5,"C",IF(AI4&gt;0,"D",IF(AI4=0,""))))))</f>
        <v/>
      </c>
      <c r="AK4" s="152"/>
      <c r="AL4" s="185"/>
      <c r="AM4" s="185"/>
      <c r="AN4" s="106" t="str">
        <f>IFERROR((((COUNTIF('Elève (6ème3)'!AK5:AM6,"A"))*4)+((COUNTIF('Elève (6ème3)'!AK5:AM6,"B"))*3)+((COUNTIF('Elève (6ème3)'!AK5:AM6,"C"))*2)+((COUNTIF('Elève (6ème3)'!AK5:AM6,"D"))*1))/(COUNTA(AK5:AM6)),"")</f>
        <v/>
      </c>
      <c r="AO4" s="107" t="str">
        <f t="shared" ref="AO4:AO19" si="8">IF(AN4="","",IF(AN4&gt;3.7,"A",IF(AN4&gt;2.8,"B",IF(AN4&gt;1.5,"C",IF(AN4&gt;0,"D",IF(AN4=0,""))))))</f>
        <v/>
      </c>
      <c r="AP4" s="204"/>
      <c r="AQ4" s="186"/>
      <c r="AR4" s="205"/>
      <c r="AS4" s="106" t="str">
        <f>IFERROR((((COUNTIF('Elève (6ème3)'!AP5:AR6,"A"))*4)+((COUNTIF('Elève (6ème3)'!AP5:AR6,"B"))*3)+((COUNTIF('Elève (6ème3)'!AP5:AR6,"C"))*2)+((COUNTIF('Elève (6ème3)'!AP5:AR6,"D"))*1))/(COUNTA(AP5:AR6)),"")</f>
        <v/>
      </c>
      <c r="AT4" s="121" t="str">
        <f t="shared" ref="AT4:AT19" si="9">IF(AS4="","",IF(AS4&gt;3.7,"A",IF(AS4&gt;2.8,"B",IF(AS4&gt;1.5,"C",IF(AS4&gt;0,"D",IF(AS4=0,""))))))</f>
        <v/>
      </c>
      <c r="AU4" s="100"/>
      <c r="AV4" s="187"/>
      <c r="AW4" s="188"/>
      <c r="AX4" s="106" t="str">
        <f>IFERROR((((COUNTIF('Elève (6ème3)'!AU5:AW6,"A"))*4)+((COUNTIF('Elève (6ème3)'!AU5:AW6,"B"))*3)+((COUNTIF('Elève (6ème3)'!AU5:AW6,"C"))*2)+((COUNTIF('Elève (6ème3)'!AU5:AW6,"D"))*1))/(COUNTA(AU5:AW6)),"")</f>
        <v/>
      </c>
      <c r="AY4" s="128" t="str">
        <f t="shared" ref="AY4:AY19" si="10">IF(AX4="","",IF(AX4&gt;3.7,"A",IF(AX4&gt;2.8,"B",IF(AX4&gt;1.5,"C",IF(AX4&gt;0,"D",IF(AX4=0,""))))))</f>
        <v/>
      </c>
      <c r="AZ4" s="177" t="str">
        <f>IFERROR((((COUNTIF(AK5:AM6,"A")+COUNTIF(AP5:AR6,"A")+COUNTIF(AU5:AW6,"A"))*4)+((COUNTIF(AK5:AM6,"B")+COUNTIF(AP5:AR6,"B")+COUNTIF(AU5:AW6,"B"))*3)+((COUNTIF(AK5:AM6,"C")+COUNTIF(AP5:AR6,"C")+COUNTIF(AU5:AW6,"C"))*2)+((COUNTIF(AK5:AM6,"D")+COUNTIF(AP5:AR6,"D")+COUNTIF(AU5:AW6,"D"))*1))/(COUNTA(AK5:AM6)+COUNTA(AP5:AR6)+COUNTA(AU5:AW6)),"")</f>
        <v/>
      </c>
      <c r="BA4" s="130" t="str">
        <f t="shared" ref="BA4:BA19" si="11">IF(AZ4="","",IF(AZ4&gt;3.7,"A",IF(AZ4&gt;2.8,"B",IF(AZ4&gt;1.5,"C",IF(AZ4&gt;0,"D",IF(AZ4=0,""))))))</f>
        <v/>
      </c>
      <c r="BB4" s="152"/>
      <c r="BC4" s="185"/>
      <c r="BD4" s="185"/>
      <c r="BE4" s="106" t="str">
        <f>IFERROR((((COUNTIF('Elève (6ème3)'!BB5:BD6,"A"))*4)+((COUNTIF('Elève (6ème3)'!BB5:BD6,"B"))*3)+((COUNTIF('Elève (6ème3)'!BB5:BD6,"C"))*2)+((COUNTIF('Elève (6ème3)'!BB5:BD6,"D"))*1))/(COUNTA(BB5:BD6)),"")</f>
        <v/>
      </c>
      <c r="BF4" s="107" t="str">
        <f t="shared" ref="BF4:BF19" si="12">IF(BE4="","",IF(BE4&gt;3.7,"A",IF(BE4&gt;2.8,"B",IF(BE4&gt;1.5,"C",IF(BE4&gt;0,"D",IF(BE4=0,""))))))</f>
        <v/>
      </c>
      <c r="BG4" s="204"/>
      <c r="BH4" s="186"/>
      <c r="BI4" s="205"/>
      <c r="BJ4" s="106" t="str">
        <f>IFERROR((((COUNTIF('Elève (6ème3)'!BG5:BI6,"A"))*4)+((COUNTIF('Elève (6ème3)'!BG5:BI6,"B"))*3)+((COUNTIF('Elève (6ème3)'!BG5:BI6,"C"))*2)+((COUNTIF('Elève (6ème3)'!BG5:BI6,"D"))*1))/(COUNTA(BG5:BI6)),"")</f>
        <v/>
      </c>
      <c r="BK4" s="121" t="str">
        <f t="shared" ref="BK4:BK19" si="13">IF(BJ4="","",IF(BJ4&gt;3.7,"A",IF(BJ4&gt;2.8,"B",IF(BJ4&gt;1.5,"C",IF(BJ4&gt;0,"D",IF(BJ4=0,""))))))</f>
        <v/>
      </c>
      <c r="BL4" s="100"/>
      <c r="BM4" s="187"/>
      <c r="BN4" s="188"/>
      <c r="BO4" s="106" t="str">
        <f>IFERROR((((COUNTIF('Elève (6ème3)'!BL5:BN6,"A"))*4)+((COUNTIF('Elève (6ème3)'!BL5:BN6,"B"))*3)+((COUNTIF('Elève (6ème3)'!BL5:BN6,"C"))*2)+((COUNTIF('Elève (6ème3)'!BL5:BN6,"D"))*1))/(COUNTA(BL5:BN6)),"")</f>
        <v/>
      </c>
      <c r="BP4" s="128" t="str">
        <f t="shared" ref="BP4:BP19" si="14">IF(BO4="","",IF(BO4&gt;3.7,"A",IF(BO4&gt;2.8,"B",IF(BO4&gt;1.5,"C",IF(BO4&gt;0,"D",IF(BO4=0,""))))))</f>
        <v/>
      </c>
      <c r="BQ4" s="177" t="str">
        <f>IFERROR((((COUNTIF(BB5:BD6,"A")+COUNTIF(BG5:BI6,"A")+COUNTIF(BL5:BN6,"A"))*4)+((COUNTIF(BB5:BD6,"B")+COUNTIF(BG5:BI6,"B")+COUNTIF(BL5:BN6,"B"))*3)+((COUNTIF(BB5:BD6,"C")+COUNTIF(BG5:BI6,"C")+COUNTIF(BL5:BN6,"C"))*2)+((COUNTIF(BB5:BD6,"D")+COUNTIF(BG5:BI6,"D")+COUNTIF(BL5:BN6,"D"))*1))/(COUNTA(BB5:BD6)+COUNTA(BG5:BI6)+COUNTA(BL5:BN6)),"")</f>
        <v/>
      </c>
      <c r="BR4" s="130" t="str">
        <f t="shared" ref="BR4:BR19" si="15">IF(BQ4="","",IF(BQ4&gt;3.7,"A",IF(BQ4&gt;2.8,"B",IF(BQ4&gt;1.5,"C",IF(BQ4&gt;0,"D",IF(BQ4=0,""))))))</f>
        <v/>
      </c>
      <c r="BS4" s="152"/>
      <c r="BT4" s="185"/>
      <c r="BU4" s="185"/>
      <c r="BV4" s="106" t="str">
        <f>IFERROR((((COUNTIF('Elève (6ème3)'!BS5:BU6,"A"))*4)+((COUNTIF('Elève (6ème3)'!BS5:BU6,"B"))*3)+((COUNTIF('Elève (6ème3)'!BS5:BU6,"C"))*2)+((COUNTIF('Elève (6ème3)'!BS5:BU6,"D"))*1))/(COUNTA(BS5:BU6)),"")</f>
        <v/>
      </c>
      <c r="BW4" s="107" t="str">
        <f t="shared" ref="BW4:BW19" si="16">IF(BV4="","",IF(BV4&gt;3.7,"A",IF(BV4&gt;2.8,"B",IF(BV4&gt;1.5,"C",IF(BV4&gt;0,"D",IF(BV4=0,""))))))</f>
        <v/>
      </c>
      <c r="BX4" s="204"/>
      <c r="BY4" s="186"/>
      <c r="BZ4" s="205"/>
      <c r="CA4" s="106" t="str">
        <f>IFERROR((((COUNTIF('Elève (6ème3)'!BX5:BZ6,"A"))*4)+((COUNTIF('Elève (6ème3)'!BX5:BZ6,"B"))*3)+((COUNTIF('Elève (6ème3)'!BX5:BZ6,"C"))*2)+((COUNTIF('Elève (6ème3)'!BX5:BZ6,"D"))*1))/(COUNTA(BX5:BZ6)),"")</f>
        <v/>
      </c>
      <c r="CB4" s="121" t="str">
        <f t="shared" ref="CB4:CB19" si="17">IF(CA4="","",IF(CA4&gt;3.7,"A",IF(CA4&gt;2.8,"B",IF(CA4&gt;1.5,"C",IF(CA4&gt;0,"D",IF(CA4=0,""))))))</f>
        <v/>
      </c>
      <c r="CC4" s="100"/>
      <c r="CD4" s="187"/>
      <c r="CE4" s="188"/>
      <c r="CF4" s="106" t="str">
        <f>IFERROR((((COUNTIF('Elève (6ème3)'!CC5:CE6,"A"))*4)+((COUNTIF('Elève (6ème3)'!CC5:CE6,"B"))*3)+((COUNTIF('Elève (6ème3)'!CC5:CE6,"C"))*2)+((COUNTIF('Elève (6ème3)'!CC5:CE6,"D"))*1))/(COUNTA(CC5:CE6)),"")</f>
        <v/>
      </c>
      <c r="CG4" s="128" t="str">
        <f t="shared" ref="CG4:CG19" si="18">IF(CF4="","",IF(CF4&gt;3.7,"A",IF(CF4&gt;2.8,"B",IF(CF4&gt;1.5,"C",IF(CF4&gt;0,"D",IF(CF4=0,""))))))</f>
        <v/>
      </c>
      <c r="CH4" s="177" t="str">
        <f>IFERROR((((COUNTIF(BS5:BU6,"A")+COUNTIF(BX5:BZ6,"A")+COUNTIF(CC5:CE6,"A"))*4)+((COUNTIF(BS5:BU6,"B")+COUNTIF(BX5:BZ6,"B")+COUNTIF(CC5:CE6,"B"))*3)+((COUNTIF(BS5:BU6,"C")+COUNTIF(BX5:BZ6,"C")+COUNTIF(CC5:CE6,"C"))*2)+((COUNTIF(BS5:BU6,"D")+COUNTIF(BX5:BZ6,"D")+COUNTIF(CC5:CE6,"D"))*1))/(COUNTA(BS5:BU6)+COUNTA(BX5:BZ6)+COUNTA(CC5:CE6)),"")</f>
        <v/>
      </c>
      <c r="CI4" s="130" t="str">
        <f t="shared" ref="CI4:CI19" si="19">IF(CH4="","",IF(CH4&gt;3.7,"A",IF(CH4&gt;2.8,"B",IF(CH4&gt;1.5,"C",IF(CH4&gt;0,"D",IF(CH4=0,""))))))</f>
        <v/>
      </c>
      <c r="CJ4" s="152"/>
      <c r="CK4" s="185"/>
      <c r="CL4" s="185"/>
      <c r="CM4" s="106" t="str">
        <f>IFERROR((((COUNTIF('Elève (6ème3)'!CJ5:CL6,"A"))*4)+((COUNTIF('Elève (6ème3)'!CJ5:CL6,"B"))*3)+((COUNTIF('Elève (6ème3)'!CJ5:CL6,"C"))*2)+((COUNTIF('Elève (6ème3)'!CJ5:CL6,"D"))*1))/(COUNTA(CJ5:CL6)),"")</f>
        <v/>
      </c>
      <c r="CN4" s="107" t="str">
        <f t="shared" ref="CN4:CN19" si="20">IF(CM4="","",IF(CM4&gt;3.7,"A",IF(CM4&gt;2.8,"B",IF(CM4&gt;1.5,"C",IF(CM4&gt;0,"D",IF(CM4=0,""))))))</f>
        <v/>
      </c>
      <c r="CO4" s="204"/>
      <c r="CP4" s="186"/>
      <c r="CQ4" s="205"/>
      <c r="CR4" s="106" t="str">
        <f>IFERROR((((COUNTIF('Elève (6ème3)'!CO5:CQ6,"A"))*4)+((COUNTIF('Elève (6ème3)'!CO5:CQ6,"B"))*3)+((COUNTIF('Elève (6ème3)'!CO5:CQ6,"C"))*2)+((COUNTIF('Elève (6ème3)'!CO5:CQ6,"D"))*1))/(COUNTA(CO5:CQ6)),"")</f>
        <v/>
      </c>
      <c r="CS4" s="121" t="str">
        <f t="shared" ref="CS4:CS19" si="21">IF(CR4="","",IF(CR4&gt;3.7,"A",IF(CR4&gt;2.8,"B",IF(CR4&gt;1.5,"C",IF(CR4&gt;0,"D",IF(CR4=0,""))))))</f>
        <v/>
      </c>
      <c r="CT4" s="100"/>
      <c r="CU4" s="187"/>
      <c r="CV4" s="188"/>
      <c r="CW4" s="106" t="str">
        <f>IFERROR((((COUNTIF('Elève (6ème3)'!CT5:CV6,"A"))*4)+((COUNTIF('Elève (6ème3)'!CT5:CV6,"B"))*3)+((COUNTIF('Elève (6ème3)'!CT5:CV6,"C"))*2)+((COUNTIF('Elève (6ème3)'!CT5:CV6,"D"))*1))/(COUNTA(CT5:CV6)),"")</f>
        <v/>
      </c>
      <c r="CX4" s="128" t="str">
        <f t="shared" ref="CX4:CX19" si="22">IF(CW4="","",IF(CW4&gt;3.7,"A",IF(CW4&gt;2.8,"B",IF(CW4&gt;1.5,"C",IF(CW4&gt;0,"D",IF(CW4=0,""))))))</f>
        <v/>
      </c>
      <c r="CY4" s="177" t="str">
        <f>IFERROR((((COUNTIF(CJ5:CL6,"A")+COUNTIF(CO5:CQ6,"A")+COUNTIF(CT5:CV6,"A"))*4)+((COUNTIF(CJ5:CL6,"B")+COUNTIF(CO5:CQ6,"B")+COUNTIF(CT5:CV6,"B"))*3)+((COUNTIF(CJ5:CL6,"C")+COUNTIF(CO5:CQ6,"C")+COUNTIF(CT5:CV6,"C"))*2)+((COUNTIF(CJ5:CL6,"D")+COUNTIF(CO5:CQ6,"D")+COUNTIF(CT5:CV6,"D"))*1))/(COUNTA(CJ5:CL6)+COUNTA(CO5:CQ6)+COUNTA(CT5:CV6)),"")</f>
        <v/>
      </c>
      <c r="CZ4" s="130" t="str">
        <f t="shared" ref="CZ4:CZ19" si="23">IF(CY4="","",IF(CY4&gt;3.7,"A",IF(CY4&gt;2.8,"B",IF(CY4&gt;1.5,"C",IF(CY4&gt;0,"D",IF(CY4=0,""))))))</f>
        <v/>
      </c>
      <c r="DA4" s="152"/>
      <c r="DB4" s="185"/>
      <c r="DC4" s="185"/>
      <c r="DD4" s="106" t="str">
        <f>IFERROR((((COUNTIF('Elève (6ème3)'!DA5:DC6,"A"))*4)+((COUNTIF('Elève (6ème3)'!DA5:DC6,"B"))*3)+((COUNTIF('Elève (6ème3)'!DA5:DC6,"C"))*2)+((COUNTIF('Elève (6ème3)'!DA5:DC6,"D"))*1))/(COUNTA(DA5:DC6)),"")</f>
        <v/>
      </c>
      <c r="DE4" s="107" t="str">
        <f t="shared" ref="DE4:DE19" si="24">IF(DD4="","",IF(DD4&gt;3.7,"A",IF(DD4&gt;2.8,"B",IF(DD4&gt;1.5,"C",IF(DD4&gt;0,"D",IF(DD4=0,""))))))</f>
        <v/>
      </c>
      <c r="DF4" s="204"/>
      <c r="DG4" s="186"/>
      <c r="DH4" s="205"/>
      <c r="DI4" s="106" t="str">
        <f>IFERROR((((COUNTIF('Elève (6ème3)'!DF5:DH6,"A"))*4)+((COUNTIF('Elève (6ème3)'!DF5:DH6,"B"))*3)+((COUNTIF('Elève (6ème3)'!DF5:DH6,"C"))*2)+((COUNTIF('Elève (6ème3)'!DF5:DH6,"D"))*1))/(COUNTA(DF5:DH6)),"")</f>
        <v/>
      </c>
      <c r="DJ4" s="121" t="str">
        <f t="shared" ref="DJ4:DJ19" si="25">IF(DI4="","",IF(DI4&gt;3.7,"A",IF(DI4&gt;2.8,"B",IF(DI4&gt;1.5,"C",IF(DI4&gt;0,"D",IF(DI4=0,""))))))</f>
        <v/>
      </c>
      <c r="DK4" s="100"/>
      <c r="DL4" s="187"/>
      <c r="DM4" s="188"/>
      <c r="DN4" s="106" t="str">
        <f>IFERROR((((COUNTIF('Elève (6ème3)'!DK5:DM6,"A"))*4)+((COUNTIF('Elève (6ème3)'!DK5:DM6,"B"))*3)+((COUNTIF('Elève (6ème3)'!DK5:DM6,"C"))*2)+((COUNTIF('Elève (6ème3)'!DK5:DM6,"D"))*1))/(COUNTA(DK5:DM6)),"")</f>
        <v/>
      </c>
      <c r="DO4" s="128" t="str">
        <f t="shared" ref="DO4:DO19" si="26">IF(DN4="","",IF(DN4&gt;3.7,"A",IF(DN4&gt;2.8,"B",IF(DN4&gt;1.5,"C",IF(DN4&gt;0,"D",IF(DN4=0,""))))))</f>
        <v/>
      </c>
      <c r="DP4" s="177" t="str">
        <f>IFERROR((((COUNTIF(DA5:DC6,"A")+COUNTIF(DF5:DH6,"A")+COUNTIF(DK5:DM6,"A"))*4)+((COUNTIF(DA5:DC6,"B")+COUNTIF(DF5:DH6,"B")+COUNTIF(DK5:DM6,"B"))*3)+((COUNTIF(DA5:DC6,"C")+COUNTIF(DF5:DH6,"C")+COUNTIF(DK5:DM6,"C"))*2)+((COUNTIF(DA5:DC6,"D")+COUNTIF(DF5:DH6,"D")+COUNTIF(DK5:DM6,"D"))*1))/(COUNTA(DA5:DC6)+COUNTA(DF5:DH6)+COUNTA(DK5:DM6)),"")</f>
        <v/>
      </c>
      <c r="DQ4" s="130" t="str">
        <f t="shared" ref="DQ4:DQ19" si="27">IF(DP4="","",IF(DP4&gt;3.7,"A",IF(DP4&gt;2.8,"B",IF(DP4&gt;1.5,"C",IF(DP4&gt;0,"D",IF(DP4=0,""))))))</f>
        <v/>
      </c>
      <c r="DR4" s="152"/>
      <c r="DS4" s="185"/>
      <c r="DT4" s="185"/>
      <c r="DU4" s="106" t="str">
        <f>IFERROR((((COUNTIF('Elève (6ème3)'!DR5:DT6,"A"))*4)+((COUNTIF('Elève (6ème3)'!DR5:DT6,"B"))*3)+((COUNTIF('Elève (6ème3)'!DR5:DT6,"C"))*2)+((COUNTIF('Elève (6ème3)'!DR5:DT6,"D"))*1))/(COUNTA(DR5:DT6)),"")</f>
        <v/>
      </c>
      <c r="DV4" s="107" t="str">
        <f t="shared" ref="DV4:DV19" si="28">IF(DU4="","",IF(DU4&gt;3.7,"A",IF(DU4&gt;2.8,"B",IF(DU4&gt;1.5,"C",IF(DU4&gt;0,"D",IF(DU4=0,""))))))</f>
        <v/>
      </c>
      <c r="DW4" s="204"/>
      <c r="DX4" s="186"/>
      <c r="DY4" s="205"/>
      <c r="DZ4" s="106" t="str">
        <f>IFERROR((((COUNTIF('Elève (6ème3)'!DW5:DY6,"A"))*4)+((COUNTIF('Elève (6ème3)'!DW5:DY6,"B"))*3)+((COUNTIF('Elève (6ème3)'!DW5:DY6,"C"))*2)+((COUNTIF('Elève (6ème3)'!DW5:DY6,"D"))*1))/(COUNTA(DW5:DY6)),"")</f>
        <v/>
      </c>
      <c r="EA4" s="121" t="str">
        <f t="shared" ref="EA4:EA19" si="29">IF(DZ4="","",IF(DZ4&gt;3.7,"A",IF(DZ4&gt;2.8,"B",IF(DZ4&gt;1.5,"C",IF(DZ4&gt;0,"D",IF(DZ4=0,""))))))</f>
        <v/>
      </c>
      <c r="EB4" s="100"/>
      <c r="EC4" s="187"/>
      <c r="ED4" s="188"/>
      <c r="EE4" s="106" t="str">
        <f>IFERROR((((COUNTIF('Elève (6ème3)'!EB5:ED6,"A"))*4)+((COUNTIF('Elève (6ème3)'!EB5:ED6,"B"))*3)+((COUNTIF('Elève (6ème3)'!EB5:ED6,"C"))*2)+((COUNTIF('Elève (6ème3)'!EB5:ED6,"D"))*1))/(COUNTA(EB5:ED6)),"")</f>
        <v/>
      </c>
      <c r="EF4" s="128" t="str">
        <f t="shared" ref="EF4:EF19" si="30">IF(EE4="","",IF(EE4&gt;3.7,"A",IF(EE4&gt;2.8,"B",IF(EE4&gt;1.5,"C",IF(EE4&gt;0,"D",IF(EE4=0,""))))))</f>
        <v/>
      </c>
      <c r="EG4" s="177" t="str">
        <f>IFERROR((((COUNTIF(DR5:DT6,"A")+COUNTIF(DW5:DY6,"A")+COUNTIF(EB5:ED6,"A"))*4)+((COUNTIF(DR5:DT6,"B")+COUNTIF(DW5:DY6,"B")+COUNTIF(EB5:ED6,"B"))*3)+((COUNTIF(DR5:DT6,"C")+COUNTIF(DW5:DY6,"C")+COUNTIF(EB5:ED6,"C"))*2)+((COUNTIF(DR5:DT6,"D")+COUNTIF(DW5:DY6,"D")+COUNTIF(EB5:ED6,"D"))*1))/(COUNTA(DR5:DT6)+COUNTA(DW5:DY6)+COUNTA(EB5:ED6)),"")</f>
        <v/>
      </c>
      <c r="EH4" s="130" t="str">
        <f t="shared" ref="EH4:EH19" si="31">IF(EG4="","",IF(EG4&gt;3.7,"A",IF(EG4&gt;2.8,"B",IF(EG4&gt;1.5,"C",IF(EG4&gt;0,"D",IF(EG4=0,""))))))</f>
        <v/>
      </c>
      <c r="EI4" s="152"/>
      <c r="EJ4" s="185"/>
      <c r="EK4" s="185"/>
      <c r="EL4" s="106" t="str">
        <f>IFERROR((((COUNTIF('Elève (6ème3)'!EI5:EK6,"A"))*4)+((COUNTIF('Elève (6ème3)'!EI5:EK6,"B"))*3)+((COUNTIF('Elève (6ème3)'!EI5:EK6,"C"))*2)+((COUNTIF('Elève (6ème3)'!EI5:EK6,"D"))*1))/(COUNTA(EI5:EK6)),"")</f>
        <v/>
      </c>
      <c r="EM4" s="107" t="str">
        <f t="shared" ref="EM4:EM19" si="32">IF(EL4="","",IF(EL4&gt;3.7,"A",IF(EL4&gt;2.8,"B",IF(EL4&gt;1.5,"C",IF(EL4&gt;0,"D",IF(EL4=0,""))))))</f>
        <v/>
      </c>
      <c r="EN4" s="204"/>
      <c r="EO4" s="186"/>
      <c r="EP4" s="205"/>
      <c r="EQ4" s="106" t="str">
        <f>IFERROR((((COUNTIF('Elève (6ème3)'!EN5:EP6,"A"))*4)+((COUNTIF('Elève (6ème3)'!EN5:EP6,"B"))*3)+((COUNTIF('Elève (6ème3)'!EN5:EP6,"C"))*2)+((COUNTIF('Elève (6ème3)'!EN5:EP6,"D"))*1))/(COUNTA(EN5:EP6)),"")</f>
        <v/>
      </c>
      <c r="ER4" s="121" t="str">
        <f t="shared" ref="ER4:ER19" si="33">IF(EQ4="","",IF(EQ4&gt;3.7,"A",IF(EQ4&gt;2.8,"B",IF(EQ4&gt;1.5,"C",IF(EQ4&gt;0,"D",IF(EQ4=0,""))))))</f>
        <v/>
      </c>
      <c r="ES4" s="100"/>
      <c r="ET4" s="187"/>
      <c r="EU4" s="188"/>
      <c r="EV4" s="106" t="str">
        <f>IFERROR((((COUNTIF('Elève (6ème3)'!ES5:EU6,"A"))*4)+((COUNTIF('Elève (6ème3)'!ES5:EU6,"B"))*3)+((COUNTIF('Elève (6ème3)'!ES5:EU6,"C"))*2)+((COUNTIF('Elève (6ème3)'!ES5:EU6,"D"))*1))/(COUNTA(ES5:EU6)),"")</f>
        <v/>
      </c>
      <c r="EW4" s="128" t="str">
        <f t="shared" ref="EW4:EW19" si="34">IF(EV4="","",IF(EV4&gt;3.7,"A",IF(EV4&gt;2.8,"B",IF(EV4&gt;1.5,"C",IF(EV4&gt;0,"D",IF(EV4=0,""))))))</f>
        <v/>
      </c>
      <c r="EX4" s="177" t="str">
        <f>IFERROR((((COUNTIF(EI5:EK6,"A")+COUNTIF(EN5:EP6,"A")+COUNTIF(ES5:EU6,"A"))*4)+((COUNTIF(EI5:EK6,"B")+COUNTIF(EN5:EP6,"B")+COUNTIF(ES5:EU6,"B"))*3)+((COUNTIF(EI5:EK6,"C")+COUNTIF(EN5:EP6,"C")+COUNTIF(ES5:EU6,"C"))*2)+((COUNTIF(EI5:EK6,"D")+COUNTIF(EN5:EP6,"D")+COUNTIF(ES5:EU6,"D"))*1))/(COUNTA(EI5:EK6)+COUNTA(EN5:EP6)+COUNTA(ES5:EU6)),"")</f>
        <v/>
      </c>
      <c r="EY4" s="130" t="str">
        <f t="shared" ref="EY4:EY19" si="35">IF(EX4="","",IF(EX4&gt;3.7,"A",IF(EX4&gt;2.8,"B",IF(EX4&gt;1.5,"C",IF(EX4&gt;0,"D",IF(EX4=0,""))))))</f>
        <v/>
      </c>
      <c r="EZ4" s="152"/>
      <c r="FA4" s="185"/>
      <c r="FB4" s="185"/>
      <c r="FC4" s="106" t="str">
        <f>IFERROR((((COUNTIF('Elève (6ème3)'!EZ5:FB6,"A"))*4)+((COUNTIF('Elève (6ème3)'!EZ5:FB6,"B"))*3)+((COUNTIF('Elève (6ème3)'!EZ5:FB6,"C"))*2)+((COUNTIF('Elève (6ème3)'!EZ5:FB6,"D"))*1))/(COUNTA(EZ5:FB6)),"")</f>
        <v/>
      </c>
      <c r="FD4" s="107" t="str">
        <f t="shared" ref="FD4:FD19" si="36">IF(FC4="","",IF(FC4&gt;3.7,"A",IF(FC4&gt;2.8,"B",IF(FC4&gt;1.5,"C",IF(FC4&gt;0,"D",IF(FC4=0,""))))))</f>
        <v/>
      </c>
      <c r="FE4" s="204"/>
      <c r="FF4" s="186"/>
      <c r="FG4" s="205"/>
      <c r="FH4" s="106" t="str">
        <f>IFERROR((((COUNTIF('Elève (6ème3)'!FE5:FG6,"A"))*4)+((COUNTIF('Elève (6ème3)'!FE5:FG6,"B"))*3)+((COUNTIF('Elève (6ème3)'!FE5:FG6,"C"))*2)+((COUNTIF('Elève (6ème3)'!FE5:FG6,"D"))*1))/(COUNTA(FE5:FG6)),"")</f>
        <v/>
      </c>
      <c r="FI4" s="121" t="str">
        <f t="shared" ref="FI4:FI19" si="37">IF(FH4="","",IF(FH4&gt;3.7,"A",IF(FH4&gt;2.8,"B",IF(FH4&gt;1.5,"C",IF(FH4&gt;0,"D",IF(FH4=0,""))))))</f>
        <v/>
      </c>
      <c r="FJ4" s="100"/>
      <c r="FK4" s="187"/>
      <c r="FL4" s="188"/>
      <c r="FM4" s="106" t="str">
        <f>IFERROR((((COUNTIF('Elève (6ème3)'!FJ5:FL6,"A"))*4)+((COUNTIF('Elève (6ème3)'!FJ5:FL6,"B"))*3)+((COUNTIF('Elève (6ème3)'!FJ5:FL6,"C"))*2)+((COUNTIF('Elève (6ème3)'!FJ5:FL6,"D"))*1))/(COUNTA(FJ5:FL6)),"")</f>
        <v/>
      </c>
      <c r="FN4" s="128" t="str">
        <f t="shared" ref="FN4:FN19" si="38">IF(FM4="","",IF(FM4&gt;3.7,"A",IF(FM4&gt;2.8,"B",IF(FM4&gt;1.5,"C",IF(FM4&gt;0,"D",IF(FM4=0,""))))))</f>
        <v/>
      </c>
      <c r="FO4" s="177" t="str">
        <f>IFERROR((((COUNTIF(EZ5:FB6,"A")+COUNTIF(FE5:FG6,"A")+COUNTIF(FJ5:FL6,"A"))*4)+((COUNTIF(EZ5:FB6,"B")+COUNTIF(FE5:FG6,"B")+COUNTIF(FJ5:FL6,"B"))*3)+((COUNTIF(EZ5:FB6,"C")+COUNTIF(FE5:FG6,"C")+COUNTIF(FJ5:FL6,"C"))*2)+((COUNTIF(EZ5:FB6,"D")+COUNTIF(FE5:FG6,"D")+COUNTIF(FJ5:FL6,"D"))*1))/(COUNTA(EZ5:FB6)+COUNTA(FE5:FG6)+COUNTA(FJ5:FL6)),"")</f>
        <v/>
      </c>
      <c r="FP4" s="130" t="str">
        <f t="shared" ref="FP4:FP19" si="39">IF(FO4="","",IF(FO4&gt;3.7,"A",IF(FO4&gt;2.8,"B",IF(FO4&gt;1.5,"C",IF(FO4&gt;0,"D",IF(FO4=0,""))))))</f>
        <v/>
      </c>
      <c r="FQ4" s="152"/>
      <c r="FR4" s="185"/>
      <c r="FS4" s="185"/>
      <c r="FT4" s="106" t="str">
        <f>IFERROR((((COUNTIF('Elève (6ème3)'!FQ5:FS6,"A"))*4)+((COUNTIF('Elève (6ème3)'!FQ5:FS6,"B"))*3)+((COUNTIF('Elève (6ème3)'!FQ5:FS6,"C"))*2)+((COUNTIF('Elève (6ème3)'!FQ5:FS6,"D"))*1))/(COUNTA(FQ5:FS6)),"")</f>
        <v/>
      </c>
      <c r="FU4" s="107" t="str">
        <f t="shared" ref="FU4:FU19" si="40">IF(FT4="","",IF(FT4&gt;3.7,"A",IF(FT4&gt;2.8,"B",IF(FT4&gt;1.5,"C",IF(FT4&gt;0,"D",IF(FT4=0,""))))))</f>
        <v/>
      </c>
      <c r="FV4" s="204"/>
      <c r="FW4" s="186"/>
      <c r="FX4" s="205"/>
      <c r="FY4" s="106" t="str">
        <f>IFERROR((((COUNTIF('Elève (6ème3)'!FV5:FX6,"A"))*4)+((COUNTIF('Elève (6ème3)'!FV5:FX6,"B"))*3)+((COUNTIF('Elève (6ème3)'!FV5:FX6,"C"))*2)+((COUNTIF('Elève (6ème3)'!FV5:FX6,"D"))*1))/(COUNTA(FV5:FX6)),"")</f>
        <v/>
      </c>
      <c r="FZ4" s="121" t="str">
        <f t="shared" ref="FZ4:FZ19" si="41">IF(FY4="","",IF(FY4&gt;3.7,"A",IF(FY4&gt;2.8,"B",IF(FY4&gt;1.5,"C",IF(FY4&gt;0,"D",IF(FY4=0,""))))))</f>
        <v/>
      </c>
      <c r="GA4" s="100"/>
      <c r="GB4" s="187"/>
      <c r="GC4" s="188"/>
      <c r="GD4" s="106" t="str">
        <f>IFERROR((((COUNTIF('Elève (6ème3)'!GA5:GC6,"A"))*4)+((COUNTIF('Elève (6ème3)'!GA5:GC6,"B"))*3)+((COUNTIF('Elève (6ème3)'!GA5:GC6,"C"))*2)+((COUNTIF('Elève (6ème3)'!GA5:GC6,"D"))*1))/(COUNTA(GA5:GC6)),"")</f>
        <v/>
      </c>
      <c r="GE4" s="128" t="str">
        <f t="shared" ref="GE4:GE19" si="42">IF(GD4="","",IF(GD4&gt;3.7,"A",IF(GD4&gt;2.8,"B",IF(GD4&gt;1.5,"C",IF(GD4&gt;0,"D",IF(GD4=0,""))))))</f>
        <v/>
      </c>
      <c r="GF4" s="177" t="str">
        <f>IFERROR((((COUNTIF(FQ5:FS6,"A")+COUNTIF(FV5:FX6,"A")+COUNTIF(GA5:GC6,"A"))*4)+((COUNTIF(FQ5:FS6,"B")+COUNTIF(FV5:FX6,"B")+COUNTIF(GA5:GC6,"B"))*3)+((COUNTIF(FQ5:FS6,"C")+COUNTIF(FV5:FX6,"C")+COUNTIF(GA5:GC6,"C"))*2)+((COUNTIF(FQ5:FS6,"D")+COUNTIF(FV5:FX6,"D")+COUNTIF(GA5:GC6,"D"))*1))/(COUNTA(FQ5:FS6)+COUNTA(FV5:FX6)+COUNTA(GA5:GC6)),"")</f>
        <v/>
      </c>
      <c r="GG4" s="130" t="str">
        <f t="shared" ref="GG4:GG19" si="43">IF(GF4="","",IF(GF4&gt;3.7,"A",IF(GF4&gt;2.8,"B",IF(GF4&gt;1.5,"C",IF(GF4&gt;0,"D",IF(GF4=0,""))))))</f>
        <v/>
      </c>
      <c r="GH4" s="152"/>
      <c r="GI4" s="185"/>
      <c r="GJ4" s="185"/>
      <c r="GK4" s="106" t="str">
        <f>IFERROR((((COUNTIF('Elève (6ème3)'!GH5:GJ6,"A"))*4)+((COUNTIF('Elève (6ème3)'!GH5:GJ6,"B"))*3)+((COUNTIF('Elève (6ème3)'!GH5:GJ6,"C"))*2)+((COUNTIF('Elève (6ème3)'!GH5:GJ6,"D"))*1))/(COUNTA(GH5:GJ6)),"")</f>
        <v/>
      </c>
      <c r="GL4" s="107" t="str">
        <f t="shared" ref="GL4:GL19" si="44">IF(GK4="","",IF(GK4&gt;3.7,"A",IF(GK4&gt;2.8,"B",IF(GK4&gt;1.5,"C",IF(GK4&gt;0,"D",IF(GK4=0,""))))))</f>
        <v/>
      </c>
      <c r="GM4" s="204"/>
      <c r="GN4" s="186"/>
      <c r="GO4" s="205"/>
      <c r="GP4" s="106" t="str">
        <f>IFERROR((((COUNTIF('Elève (6ème3)'!GM5:GO6,"A"))*4)+((COUNTIF('Elève (6ème3)'!GM5:GO6,"B"))*3)+((COUNTIF('Elève (6ème3)'!GM5:GO6,"C"))*2)+((COUNTIF('Elève (6ème3)'!GM5:GO6,"D"))*1))/(COUNTA(GM5:GO6)),"")</f>
        <v/>
      </c>
      <c r="GQ4" s="121" t="str">
        <f t="shared" ref="GQ4:GQ19" si="45">IF(GP4="","",IF(GP4&gt;3.7,"A",IF(GP4&gt;2.8,"B",IF(GP4&gt;1.5,"C",IF(GP4&gt;0,"D",IF(GP4=0,""))))))</f>
        <v/>
      </c>
      <c r="GR4" s="100"/>
      <c r="GS4" s="187"/>
      <c r="GT4" s="188"/>
      <c r="GU4" s="106" t="str">
        <f>IFERROR((((COUNTIF('Elève (6ème3)'!GR5:GT6,"A"))*4)+((COUNTIF('Elève (6ème3)'!GR5:GT6,"B"))*3)+((COUNTIF('Elève (6ème3)'!GR5:GT6,"C"))*2)+((COUNTIF('Elève (6ème3)'!GR5:GT6,"D"))*1))/(COUNTA(GR5:GT6)),"")</f>
        <v/>
      </c>
      <c r="GV4" s="128" t="str">
        <f t="shared" ref="GV4:GV19" si="46">IF(GU4="","",IF(GU4&gt;3.7,"A",IF(GU4&gt;2.8,"B",IF(GU4&gt;1.5,"C",IF(GU4&gt;0,"D",IF(GU4=0,""))))))</f>
        <v/>
      </c>
      <c r="GW4" s="177" t="str">
        <f>IFERROR((((COUNTIF(GH5:GJ6,"A")+COUNTIF(GM5:GO6,"A")+COUNTIF(GR5:GT6,"A"))*4)+((COUNTIF(GH5:GJ6,"B")+COUNTIF(GM5:GO6,"B")+COUNTIF(GR5:GT6,"B"))*3)+((COUNTIF(GH5:GJ6,"C")+COUNTIF(GM5:GO6,"C")+COUNTIF(GR5:GT6,"C"))*2)+((COUNTIF(GH5:GJ6,"D")+COUNTIF(GM5:GO6,"D")+COUNTIF(GR5:GT6,"D"))*1))/(COUNTA(GH5:GJ6)+COUNTA(GM5:GO6)+COUNTA(GR5:GT6)),"")</f>
        <v/>
      </c>
      <c r="GX4" s="130" t="str">
        <f t="shared" ref="GX4:GX19" si="47">IF(GW4="","",IF(GW4&gt;3.7,"A",IF(GW4&gt;2.8,"B",IF(GW4&gt;1.5,"C",IF(GW4&gt;0,"D",IF(GW4=0,""))))))</f>
        <v/>
      </c>
      <c r="GY4" s="152"/>
      <c r="GZ4" s="185"/>
      <c r="HA4" s="185"/>
      <c r="HB4" s="106" t="str">
        <f>IFERROR((((COUNTIF('Elève (6ème3)'!GY5:HA6,"A"))*4)+((COUNTIF('Elève (6ème3)'!GY5:HA6,"B"))*3)+((COUNTIF('Elève (6ème3)'!GY5:HA6,"C"))*2)+((COUNTIF('Elève (6ème3)'!GY5:HA6,"D"))*1))/(COUNTA(GY5:HA6)),"")</f>
        <v/>
      </c>
      <c r="HC4" s="107" t="str">
        <f t="shared" ref="HC4:HC19" si="48">IF(HB4="","",IF(HB4&gt;3.7,"A",IF(HB4&gt;2.8,"B",IF(HB4&gt;1.5,"C",IF(HB4&gt;0,"D",IF(HB4=0,""))))))</f>
        <v/>
      </c>
      <c r="HD4" s="204"/>
      <c r="HE4" s="186"/>
      <c r="HF4" s="205"/>
      <c r="HG4" s="106" t="str">
        <f>IFERROR((((COUNTIF('Elève (6ème3)'!HD5:HF6,"A"))*4)+((COUNTIF('Elève (6ème3)'!HD5:HF6,"B"))*3)+((COUNTIF('Elève (6ème3)'!HD5:HF6,"C"))*2)+((COUNTIF('Elève (6ème3)'!HD5:HF6,"D"))*1))/(COUNTA(HD5:HF6)),"")</f>
        <v/>
      </c>
      <c r="HH4" s="121" t="str">
        <f t="shared" ref="HH4:HH19" si="49">IF(HG4="","",IF(HG4&gt;3.7,"A",IF(HG4&gt;2.8,"B",IF(HG4&gt;1.5,"C",IF(HG4&gt;0,"D",IF(HG4=0,""))))))</f>
        <v/>
      </c>
      <c r="HI4" s="100"/>
      <c r="HJ4" s="187"/>
      <c r="HK4" s="188"/>
      <c r="HL4" s="106" t="str">
        <f>IFERROR((((COUNTIF('Elève (6ème3)'!HI5:HK6,"A"))*4)+((COUNTIF('Elève (6ème3)'!HI5:HK6,"B"))*3)+((COUNTIF('Elève (6ème3)'!HI5:HK6,"C"))*2)+((COUNTIF('Elève (6ème3)'!HI5:HK6,"D"))*1))/(COUNTA(HI5:HK6)),"")</f>
        <v/>
      </c>
      <c r="HM4" s="128" t="str">
        <f t="shared" ref="HM4:HM19" si="50">IF(HL4="","",IF(HL4&gt;3.7,"A",IF(HL4&gt;2.8,"B",IF(HL4&gt;1.5,"C",IF(HL4&gt;0,"D",IF(HL4=0,""))))))</f>
        <v/>
      </c>
      <c r="HN4" s="177" t="str">
        <f>IFERROR((((COUNTIF(GY5:HA6,"A")+COUNTIF(HD5:HF6,"A")+COUNTIF(HI5:HK6,"A"))*4)+((COUNTIF(GY5:HA6,"B")+COUNTIF(HD5:HF6,"B")+COUNTIF(HI5:HK6,"B"))*3)+((COUNTIF(GY5:HA6,"C")+COUNTIF(HD5:HF6,"C")+COUNTIF(HI5:HK6,"C"))*2)+((COUNTIF(GY5:HA6,"D")+COUNTIF(HD5:HF6,"D")+COUNTIF(HI5:HK6,"D"))*1))/(COUNTA(GY5:HA6)+COUNTA(HD5:HF6)+COUNTA(HI5:HK6)),"")</f>
        <v/>
      </c>
      <c r="HO4" s="130" t="str">
        <f t="shared" ref="HO4:HO19" si="51">IF(HN4="","",IF(HN4&gt;3.7,"A",IF(HN4&gt;2.8,"B",IF(HN4&gt;1.5,"C",IF(HN4&gt;0,"D",IF(HN4=0,""))))))</f>
        <v/>
      </c>
      <c r="HP4" s="152"/>
      <c r="HQ4" s="185"/>
      <c r="HR4" s="185"/>
      <c r="HS4" s="106" t="str">
        <f>IFERROR((((COUNTIF('Elève (6ème3)'!HP5:HR6,"A"))*4)+((COUNTIF('Elève (6ème3)'!HP5:HR6,"B"))*3)+((COUNTIF('Elève (6ème3)'!HP5:HR6,"C"))*2)+((COUNTIF('Elève (6ème3)'!HP5:HR6,"D"))*1))/(COUNTA(HP5:HR6)),"")</f>
        <v/>
      </c>
      <c r="HT4" s="107" t="str">
        <f t="shared" ref="HT4:HT19" si="52">IF(HS4="","",IF(HS4&gt;3.7,"A",IF(HS4&gt;2.8,"B",IF(HS4&gt;1.5,"C",IF(HS4&gt;0,"D",IF(HS4=0,""))))))</f>
        <v/>
      </c>
      <c r="HU4" s="204"/>
      <c r="HV4" s="186"/>
      <c r="HW4" s="205"/>
      <c r="HX4" s="106" t="str">
        <f>IFERROR((((COUNTIF('Elève (6ème3)'!HU5:HW6,"A"))*4)+((COUNTIF('Elève (6ème3)'!HU5:HW6,"B"))*3)+((COUNTIF('Elève (6ème3)'!HU5:HW6,"C"))*2)+((COUNTIF('Elève (6ème3)'!HU5:HW6,"D"))*1))/(COUNTA(HU5:HW6)),"")</f>
        <v/>
      </c>
      <c r="HY4" s="121" t="str">
        <f t="shared" ref="HY4:HY19" si="53">IF(HX4="","",IF(HX4&gt;3.7,"A",IF(HX4&gt;2.8,"B",IF(HX4&gt;1.5,"C",IF(HX4&gt;0,"D",IF(HX4=0,""))))))</f>
        <v/>
      </c>
      <c r="HZ4" s="100"/>
      <c r="IA4" s="187"/>
      <c r="IB4" s="188"/>
      <c r="IC4" s="106" t="str">
        <f>IFERROR((((COUNTIF('Elève (6ème3)'!HZ5:IB6,"A"))*4)+((COUNTIF('Elève (6ème3)'!HZ5:IB6,"B"))*3)+((COUNTIF('Elève (6ème3)'!HZ5:IB6,"C"))*2)+((COUNTIF('Elève (6ème3)'!HZ5:IB6,"D"))*1))/(COUNTA(HZ5:IB6)),"")</f>
        <v/>
      </c>
      <c r="ID4" s="128" t="str">
        <f t="shared" ref="ID4:ID19" si="54">IF(IC4="","",IF(IC4&gt;3.7,"A",IF(IC4&gt;2.8,"B",IF(IC4&gt;1.5,"C",IF(IC4&gt;0,"D",IF(IC4=0,""))))))</f>
        <v/>
      </c>
      <c r="IE4" s="177" t="str">
        <f>IFERROR((((COUNTIF(HP5:HR6,"A")+COUNTIF(HU5:HW6,"A")+COUNTIF(HZ5:IB6,"A"))*4)+((COUNTIF(HP5:HR6,"B")+COUNTIF(HU5:HW6,"B")+COUNTIF(HZ5:IB6,"B"))*3)+((COUNTIF(HP5:HR6,"C")+COUNTIF(HU5:HW6,"C")+COUNTIF(HZ5:IB6,"C"))*2)+((COUNTIF(HP5:HR6,"D")+COUNTIF(HU5:HW6,"D")+COUNTIF(HZ5:IB6,"D"))*1))/(COUNTA(HP5:HR6)+COUNTA(HU5:HW6)+COUNTA(HZ5:IB6)),"")</f>
        <v/>
      </c>
      <c r="IF4" s="130" t="str">
        <f t="shared" ref="IF4:IF19" si="55">IF(IE4="","",IF(IE4&gt;3.7,"A",IF(IE4&gt;2.8,"B",IF(IE4&gt;1.5,"C",IF(IE4&gt;0,"D",IF(IE4=0,""))))))</f>
        <v/>
      </c>
      <c r="IG4" s="152"/>
      <c r="IH4" s="185"/>
      <c r="II4" s="185"/>
      <c r="IJ4" s="106" t="str">
        <f>IFERROR((((COUNTIF('Elève (6ème3)'!IG5:II6,"A"))*4)+((COUNTIF('Elève (6ème3)'!IG5:II6,"B"))*3)+((COUNTIF('Elève (6ème3)'!IG5:II6,"C"))*2)+((COUNTIF('Elève (6ème3)'!IG5:II6,"D"))*1))/(COUNTA(IG5:II6)),"")</f>
        <v/>
      </c>
      <c r="IK4" s="107" t="str">
        <f t="shared" ref="IK4:IK19" si="56">IF(IJ4="","",IF(IJ4&gt;3.7,"A",IF(IJ4&gt;2.8,"B",IF(IJ4&gt;1.5,"C",IF(IJ4&gt;0,"D",IF(IJ4=0,""))))))</f>
        <v/>
      </c>
      <c r="IL4" s="204"/>
      <c r="IM4" s="186"/>
      <c r="IN4" s="205"/>
      <c r="IO4" s="106" t="str">
        <f>IFERROR((((COUNTIF('Elève (6ème3)'!IL5:IN6,"A"))*4)+((COUNTIF('Elève (6ème3)'!IL5:IN6,"B"))*3)+((COUNTIF('Elève (6ème3)'!IL5:IN6,"C"))*2)+((COUNTIF('Elève (6ème3)'!IL5:IN6,"D"))*1))/(COUNTA(IL5:IN6)),"")</f>
        <v/>
      </c>
      <c r="IP4" s="121" t="str">
        <f t="shared" ref="IP4:IP19" si="57">IF(IO4="","",IF(IO4&gt;3.7,"A",IF(IO4&gt;2.8,"B",IF(IO4&gt;1.5,"C",IF(IO4&gt;0,"D",IF(IO4=0,""))))))</f>
        <v/>
      </c>
      <c r="IQ4" s="100"/>
      <c r="IR4" s="187"/>
      <c r="IS4" s="188"/>
      <c r="IT4" s="106" t="str">
        <f>IFERROR((((COUNTIF('Elève (6ème3)'!IQ5:IS6,"A"))*4)+((COUNTIF('Elève (6ème3)'!IQ5:IS6,"B"))*3)+((COUNTIF('Elève (6ème3)'!IQ5:IS6,"C"))*2)+((COUNTIF('Elève (6ème3)'!IQ5:IS6,"D"))*1))/(COUNTA(IQ5:IS6)),"")</f>
        <v/>
      </c>
      <c r="IU4" s="128" t="str">
        <f t="shared" ref="IU4:IU19" si="58">IF(IT4="","",IF(IT4&gt;3.7,"A",IF(IT4&gt;2.8,"B",IF(IT4&gt;1.5,"C",IF(IT4&gt;0,"D",IF(IT4=0,""))))))</f>
        <v/>
      </c>
      <c r="IV4" s="177" t="str">
        <f>IFERROR((((COUNTIF(IG5:II6,"A")+COUNTIF(IL5:IN6,"A")+COUNTIF(IQ5:IS6,"A"))*4)+((COUNTIF(IG5:II6,"B")+COUNTIF(IL5:IN6,"B")+COUNTIF(IQ5:IS6,"B"))*3)+((COUNTIF(IG5:II6,"C")+COUNTIF(IL5:IN6,"C")+COUNTIF(IQ5:IS6,"C"))*2)+((COUNTIF(IG5:II6,"D")+COUNTIF(IL5:IN6,"D")+COUNTIF(IQ5:IS6,"D"))*1))/(COUNTA(IG5:II6)+COUNTA(IL5:IN6)+COUNTA(IQ5:IS6)),"")</f>
        <v/>
      </c>
      <c r="IW4" s="130" t="str">
        <f t="shared" ref="IW4:IW19" si="59">IF(IV4="","",IF(IV4&gt;3.7,"A",IF(IV4&gt;2.8,"B",IF(IV4&gt;1.5,"C",IF(IV4&gt;0,"D",IF(IV4=0,""))))))</f>
        <v/>
      </c>
      <c r="IX4" s="152"/>
      <c r="IY4" s="185"/>
      <c r="IZ4" s="185"/>
      <c r="JA4" s="106" t="str">
        <f>IFERROR((((COUNTIF('Elève (6ème3)'!IX5:IZ6,"A"))*4)+((COUNTIF('Elève (6ème3)'!IX5:IZ6,"B"))*3)+((COUNTIF('Elève (6ème3)'!IX5:IZ6,"C"))*2)+((COUNTIF('Elève (6ème3)'!IX5:IZ6,"D"))*1))/(COUNTA(IX5:IZ6)),"")</f>
        <v/>
      </c>
      <c r="JB4" s="107" t="str">
        <f t="shared" ref="JB4:JB19" si="60">IF(JA4="","",IF(JA4&gt;3.7,"A",IF(JA4&gt;2.8,"B",IF(JA4&gt;1.5,"C",IF(JA4&gt;0,"D",IF(JA4=0,""))))))</f>
        <v/>
      </c>
      <c r="JC4" s="204"/>
      <c r="JD4" s="186"/>
      <c r="JE4" s="205"/>
      <c r="JF4" s="106" t="str">
        <f>IFERROR((((COUNTIF('Elève (6ème3)'!JC5:JE6,"A"))*4)+((COUNTIF('Elève (6ème3)'!JC5:JE6,"B"))*3)+((COUNTIF('Elève (6ème3)'!JC5:JE6,"C"))*2)+((COUNTIF('Elève (6ème3)'!JC5:JE6,"D"))*1))/(COUNTA(JC5:JE6)),"")</f>
        <v/>
      </c>
      <c r="JG4" s="121" t="str">
        <f t="shared" ref="JG4:JG19" si="61">IF(JF4="","",IF(JF4&gt;3.7,"A",IF(JF4&gt;2.8,"B",IF(JF4&gt;1.5,"C",IF(JF4&gt;0,"D",IF(JF4=0,""))))))</f>
        <v/>
      </c>
      <c r="JH4" s="100"/>
      <c r="JI4" s="187"/>
      <c r="JJ4" s="188"/>
      <c r="JK4" s="106" t="str">
        <f>IFERROR((((COUNTIF('Elève (6ème3)'!JH5:JJ6,"A"))*4)+((COUNTIF('Elève (6ème3)'!JH5:JJ6,"B"))*3)+((COUNTIF('Elève (6ème3)'!JH5:JJ6,"C"))*2)+((COUNTIF('Elève (6ème3)'!JH5:JJ6,"D"))*1))/(COUNTA(JH5:JJ6)),"")</f>
        <v/>
      </c>
      <c r="JL4" s="128" t="str">
        <f t="shared" ref="JL4:JL19" si="62">IF(JK4="","",IF(JK4&gt;3.7,"A",IF(JK4&gt;2.8,"B",IF(JK4&gt;1.5,"C",IF(JK4&gt;0,"D",IF(JK4=0,""))))))</f>
        <v/>
      </c>
      <c r="JM4" s="177" t="str">
        <f>IFERROR((((COUNTIF(IX5:IZ6,"A")+COUNTIF(JC5:JE6,"A")+COUNTIF(JH5:JJ6,"A"))*4)+((COUNTIF(IX5:IZ6,"B")+COUNTIF(JC5:JE6,"B")+COUNTIF(JH5:JJ6,"B"))*3)+((COUNTIF(IX5:IZ6,"C")+COUNTIF(JC5:JE6,"C")+COUNTIF(JH5:JJ6,"C"))*2)+((COUNTIF(IX5:IZ6,"D")+COUNTIF(JC5:JE6,"D")+COUNTIF(JH5:JJ6,"D"))*1))/(COUNTA(IX5:IZ6)+COUNTA(JC5:JE6)+COUNTA(JH5:JJ6)),"")</f>
        <v/>
      </c>
      <c r="JN4" s="130" t="str">
        <f t="shared" ref="JN4:JN19" si="63">IF(JM4="","",IF(JM4&gt;3.7,"A",IF(JM4&gt;2.8,"B",IF(JM4&gt;1.5,"C",IF(JM4&gt;0,"D",IF(JM4=0,""))))))</f>
        <v/>
      </c>
      <c r="JO4" s="152"/>
      <c r="JP4" s="185"/>
      <c r="JQ4" s="185"/>
      <c r="JR4" s="106" t="str">
        <f>IFERROR((((COUNTIF('Elève (6ème3)'!JO5:JQ6,"A"))*4)+((COUNTIF('Elève (6ème3)'!JO5:JQ6,"B"))*3)+((COUNTIF('Elève (6ème3)'!JO5:JQ6,"C"))*2)+((COUNTIF('Elève (6ème3)'!JO5:JQ6,"D"))*1))/(COUNTA(JO5:JQ6)),"")</f>
        <v/>
      </c>
      <c r="JS4" s="107" t="str">
        <f t="shared" ref="JS4:JS19" si="64">IF(JR4="","",IF(JR4&gt;3.7,"A",IF(JR4&gt;2.8,"B",IF(JR4&gt;1.5,"C",IF(JR4&gt;0,"D",IF(JR4=0,""))))))</f>
        <v/>
      </c>
      <c r="JT4" s="204"/>
      <c r="JU4" s="186"/>
      <c r="JV4" s="205"/>
      <c r="JW4" s="106" t="str">
        <f>IFERROR((((COUNTIF('Elève (6ème3)'!JT5:JV6,"A"))*4)+((COUNTIF('Elève (6ème3)'!JT5:JV6,"B"))*3)+((COUNTIF('Elève (6ème3)'!JT5:JV6,"C"))*2)+((COUNTIF('Elève (6ème3)'!JT5:JV6,"D"))*1))/(COUNTA(JT5:JV6)),"")</f>
        <v/>
      </c>
      <c r="JX4" s="121" t="str">
        <f t="shared" ref="JX4:JX19" si="65">IF(JW4="","",IF(JW4&gt;3.7,"A",IF(JW4&gt;2.8,"B",IF(JW4&gt;1.5,"C",IF(JW4&gt;0,"D",IF(JW4=0,""))))))</f>
        <v/>
      </c>
      <c r="JY4" s="100"/>
      <c r="JZ4" s="187"/>
      <c r="KA4" s="188"/>
      <c r="KB4" s="106" t="str">
        <f>IFERROR((((COUNTIF('Elève (6ème3)'!JY5:KA6,"A"))*4)+((COUNTIF('Elève (6ème3)'!JY5:KA6,"B"))*3)+((COUNTIF('Elève (6ème3)'!JY5:KA6,"C"))*2)+((COUNTIF('Elève (6ème3)'!JY5:KA6,"D"))*1))/(COUNTA(JY5:KA6)),"")</f>
        <v/>
      </c>
      <c r="KC4" s="128" t="str">
        <f t="shared" ref="KC4:KC19" si="66">IF(KB4="","",IF(KB4&gt;3.7,"A",IF(KB4&gt;2.8,"B",IF(KB4&gt;1.5,"C",IF(KB4&gt;0,"D",IF(KB4=0,""))))))</f>
        <v/>
      </c>
      <c r="KD4" s="177" t="str">
        <f>IFERROR((((COUNTIF(JO5:JQ6,"A")+COUNTIF(JT5:JV6,"A")+COUNTIF(JY5:KA6,"A"))*4)+((COUNTIF(JO5:JQ6,"B")+COUNTIF(JT5:JV6,"B")+COUNTIF(JY5:KA6,"B"))*3)+((COUNTIF(JO5:JQ6,"C")+COUNTIF(JT5:JV6,"C")+COUNTIF(JY5:KA6,"C"))*2)+((COUNTIF(JO5:JQ6,"D")+COUNTIF(JT5:JV6,"D")+COUNTIF(JY5:KA6,"D"))*1))/(COUNTA(JO5:JQ6)+COUNTA(JT5:JV6)+COUNTA(JY5:KA6)),"")</f>
        <v/>
      </c>
      <c r="KE4" s="130" t="str">
        <f t="shared" ref="KE4:KE19" si="67">IF(KD4="","",IF(KD4&gt;3.7,"A",IF(KD4&gt;2.8,"B",IF(KD4&gt;1.5,"C",IF(KD4&gt;0,"D",IF(KD4=0,""))))))</f>
        <v/>
      </c>
      <c r="KF4" s="152"/>
      <c r="KG4" s="185"/>
      <c r="KH4" s="185"/>
      <c r="KI4" s="106" t="str">
        <f>IFERROR((((COUNTIF('Elève (6ème3)'!KF5:KH6,"A"))*4)+((COUNTIF('Elève (6ème3)'!KF5:KH6,"B"))*3)+((COUNTIF('Elève (6ème3)'!KF5:KH6,"C"))*2)+((COUNTIF('Elève (6ème3)'!KF5:KH6,"D"))*1))/(COUNTA(KF5:KH6)),"")</f>
        <v/>
      </c>
      <c r="KJ4" s="107" t="str">
        <f t="shared" ref="KJ4:KJ19" si="68">IF(KI4="","",IF(KI4&gt;3.7,"A",IF(KI4&gt;2.8,"B",IF(KI4&gt;1.5,"C",IF(KI4&gt;0,"D",IF(KI4=0,""))))))</f>
        <v/>
      </c>
      <c r="KK4" s="204"/>
      <c r="KL4" s="186"/>
      <c r="KM4" s="205"/>
      <c r="KN4" s="106" t="str">
        <f>IFERROR((((COUNTIF('Elève (6ème3)'!KK5:KM6,"A"))*4)+((COUNTIF('Elève (6ème3)'!KK5:KM6,"B"))*3)+((COUNTIF('Elève (6ème3)'!KK5:KM6,"C"))*2)+((COUNTIF('Elève (6ème3)'!KK5:KM6,"D"))*1))/(COUNTA(KK5:KM6)),"")</f>
        <v/>
      </c>
      <c r="KO4" s="121" t="str">
        <f t="shared" ref="KO4:KO19" si="69">IF(KN4="","",IF(KN4&gt;3.7,"A",IF(KN4&gt;2.8,"B",IF(KN4&gt;1.5,"C",IF(KN4&gt;0,"D",IF(KN4=0,""))))))</f>
        <v/>
      </c>
      <c r="KP4" s="100"/>
      <c r="KQ4" s="187"/>
      <c r="KR4" s="188"/>
      <c r="KS4" s="106" t="str">
        <f>IFERROR((((COUNTIF('Elève (6ème3)'!KP5:KR6,"A"))*4)+((COUNTIF('Elève (6ème3)'!KP5:KR6,"B"))*3)+((COUNTIF('Elève (6ème3)'!KP5:KR6,"C"))*2)+((COUNTIF('Elève (6ème3)'!KP5:KR6,"D"))*1))/(COUNTA(KP5:KR6)),"")</f>
        <v/>
      </c>
      <c r="KT4" s="128" t="str">
        <f t="shared" ref="KT4:KT19" si="70">IF(KS4="","",IF(KS4&gt;3.7,"A",IF(KS4&gt;2.8,"B",IF(KS4&gt;1.5,"C",IF(KS4&gt;0,"D",IF(KS4=0,""))))))</f>
        <v/>
      </c>
      <c r="KU4" s="177" t="str">
        <f>IFERROR((((COUNTIF(KF5:KH6,"A")+COUNTIF(KK5:KM6,"A")+COUNTIF(KP5:KR6,"A"))*4)+((COUNTIF(KF5:KH6,"B")+COUNTIF(KK5:KM6,"B")+COUNTIF(KP5:KR6,"B"))*3)+((COUNTIF(KF5:KH6,"C")+COUNTIF(KK5:KM6,"C")+COUNTIF(KP5:KR6,"C"))*2)+((COUNTIF(KF5:KH6,"D")+COUNTIF(KK5:KM6,"D")+COUNTIF(KP5:KR6,"D"))*1))/(COUNTA(KF5:KH6)+COUNTA(KK5:KM6)+COUNTA(KP5:KR6)),"")</f>
        <v/>
      </c>
      <c r="KV4" s="130" t="str">
        <f t="shared" ref="KV4:KV19" si="71">IF(KU4="","",IF(KU4&gt;3.7,"A",IF(KU4&gt;2.8,"B",IF(KU4&gt;1.5,"C",IF(KU4&gt;0,"D",IF(KU4=0,""))))))</f>
        <v/>
      </c>
      <c r="KW4" s="152"/>
      <c r="KX4" s="185"/>
      <c r="KY4" s="185"/>
      <c r="KZ4" s="106" t="str">
        <f>IFERROR((((COUNTIF('Elève (6ème3)'!KW5:KY6,"A"))*4)+((COUNTIF('Elève (6ème3)'!KW5:KY6,"B"))*3)+((COUNTIF('Elève (6ème3)'!KW5:KY6,"C"))*2)+((COUNTIF('Elève (6ème3)'!KW5:KY6,"D"))*1))/(COUNTA(KW5:KY6)),"")</f>
        <v/>
      </c>
      <c r="LA4" s="107" t="str">
        <f t="shared" ref="LA4:LA19" si="72">IF(KZ4="","",IF(KZ4&gt;3.7,"A",IF(KZ4&gt;2.8,"B",IF(KZ4&gt;1.5,"C",IF(KZ4&gt;0,"D",IF(KZ4=0,""))))))</f>
        <v/>
      </c>
      <c r="LB4" s="204"/>
      <c r="LC4" s="186"/>
      <c r="LD4" s="205"/>
      <c r="LE4" s="106" t="str">
        <f>IFERROR((((COUNTIF('Elève (6ème3)'!LB5:LD6,"A"))*4)+((COUNTIF('Elève (6ème3)'!LB5:LD6,"B"))*3)+((COUNTIF('Elève (6ème3)'!LB5:LD6,"C"))*2)+((COUNTIF('Elève (6ème3)'!LB5:LD6,"D"))*1))/(COUNTA(LB5:LD6)),"")</f>
        <v/>
      </c>
      <c r="LF4" s="121" t="str">
        <f t="shared" ref="LF4:LF19" si="73">IF(LE4="","",IF(LE4&gt;3.7,"A",IF(LE4&gt;2.8,"B",IF(LE4&gt;1.5,"C",IF(LE4&gt;0,"D",IF(LE4=0,""))))))</f>
        <v/>
      </c>
      <c r="LG4" s="100"/>
      <c r="LH4" s="187"/>
      <c r="LI4" s="188"/>
      <c r="LJ4" s="106" t="str">
        <f>IFERROR((((COUNTIF('Elève (6ème3)'!LG5:LI6,"A"))*4)+((COUNTIF('Elève (6ème3)'!LG5:LI6,"B"))*3)+((COUNTIF('Elève (6ème3)'!LG5:LI6,"C"))*2)+((COUNTIF('Elève (6ème3)'!LG5:LI6,"D"))*1))/(COUNTA(LG5:LI6)),"")</f>
        <v/>
      </c>
      <c r="LK4" s="128" t="str">
        <f t="shared" ref="LK4:LK19" si="74">IF(LJ4="","",IF(LJ4&gt;3.7,"A",IF(LJ4&gt;2.8,"B",IF(LJ4&gt;1.5,"C",IF(LJ4&gt;0,"D",IF(LJ4=0,""))))))</f>
        <v/>
      </c>
      <c r="LL4" s="177" t="str">
        <f>IFERROR((((COUNTIF(KW5:KY6,"A")+COUNTIF(LB5:LD6,"A")+COUNTIF(LG5:LI6,"A"))*4)+((COUNTIF(KW5:KY6,"B")+COUNTIF(LB5:LD6,"B")+COUNTIF(LG5:LI6,"B"))*3)+((COUNTIF(KW5:KY6,"C")+COUNTIF(LB5:LD6,"C")+COUNTIF(LG5:LI6,"C"))*2)+((COUNTIF(KW5:KY6,"D")+COUNTIF(LB5:LD6,"D")+COUNTIF(LG5:LI6,"D"))*1))/(COUNTA(KW5:KY6)+COUNTA(LB5:LD6)+COUNTA(LG5:LI6)),"")</f>
        <v/>
      </c>
      <c r="LM4" s="130" t="str">
        <f t="shared" ref="LM4:LM19" si="75">IF(LL4="","",IF(LL4&gt;3.7,"A",IF(LL4&gt;2.8,"B",IF(LL4&gt;1.5,"C",IF(LL4&gt;0,"D",IF(LL4=0,""))))))</f>
        <v/>
      </c>
      <c r="LN4" s="152"/>
      <c r="LO4" s="185"/>
      <c r="LP4" s="185"/>
      <c r="LQ4" s="106" t="str">
        <f>IFERROR((((COUNTIF('Elève (6ème3)'!LN5:LP6,"A"))*4)+((COUNTIF('Elève (6ème3)'!LN5:LP6,"B"))*3)+((COUNTIF('Elève (6ème3)'!LN5:LP6,"C"))*2)+((COUNTIF('Elève (6ème3)'!LN5:LP6,"D"))*1))/(COUNTA(LN5:LP6)),"")</f>
        <v/>
      </c>
      <c r="LR4" s="107" t="str">
        <f t="shared" ref="LR4:LR19" si="76">IF(LQ4="","",IF(LQ4&gt;3.7,"A",IF(LQ4&gt;2.8,"B",IF(LQ4&gt;1.5,"C",IF(LQ4&gt;0,"D",IF(LQ4=0,""))))))</f>
        <v/>
      </c>
      <c r="LS4" s="204"/>
      <c r="LT4" s="186"/>
      <c r="LU4" s="205"/>
      <c r="LV4" s="106" t="str">
        <f>IFERROR((((COUNTIF('Elève (6ème3)'!LS5:LU6,"A"))*4)+((COUNTIF('Elève (6ème3)'!LS5:LU6,"B"))*3)+((COUNTIF('Elève (6ème3)'!LS5:LU6,"C"))*2)+((COUNTIF('Elève (6ème3)'!LS5:LU6,"D"))*1))/(COUNTA(LS5:LU6)),"")</f>
        <v/>
      </c>
      <c r="LW4" s="121" t="str">
        <f t="shared" ref="LW4:LW19" si="77">IF(LV4="","",IF(LV4&gt;3.7,"A",IF(LV4&gt;2.8,"B",IF(LV4&gt;1.5,"C",IF(LV4&gt;0,"D",IF(LV4=0,""))))))</f>
        <v/>
      </c>
      <c r="LX4" s="100"/>
      <c r="LY4" s="187"/>
      <c r="LZ4" s="188"/>
      <c r="MA4" s="106" t="str">
        <f>IFERROR((((COUNTIF('Elève (6ème3)'!LX5:LZ6,"A"))*4)+((COUNTIF('Elève (6ème3)'!LX5:LZ6,"B"))*3)+((COUNTIF('Elève (6ème3)'!LX5:LZ6,"C"))*2)+((COUNTIF('Elève (6ème3)'!LX5:LZ6,"D"))*1))/(COUNTA(LX5:LZ6)),"")</f>
        <v/>
      </c>
      <c r="MB4" s="128" t="str">
        <f t="shared" ref="MB4:MB19" si="78">IF(MA4="","",IF(MA4&gt;3.7,"A",IF(MA4&gt;2.8,"B",IF(MA4&gt;1.5,"C",IF(MA4&gt;0,"D",IF(MA4=0,""))))))</f>
        <v/>
      </c>
      <c r="MC4" s="177" t="str">
        <f>IFERROR((((COUNTIF(LN5:LP6,"A")+COUNTIF(LS5:LU6,"A")+COUNTIF(LX5:LZ6,"A"))*4)+((COUNTIF(LN5:LP6,"B")+COUNTIF(LS5:LU6,"B")+COUNTIF(LX5:LZ6,"B"))*3)+((COUNTIF(LN5:LP6,"C")+COUNTIF(LS5:LU6,"C")+COUNTIF(LX5:LZ6,"C"))*2)+((COUNTIF(LN5:LP6,"D")+COUNTIF(LS5:LU6,"D")+COUNTIF(LX5:LZ6,"D"))*1))/(COUNTA(LN5:LP6)+COUNTA(LS5:LU6)+COUNTA(LX5:LZ6)),"")</f>
        <v/>
      </c>
      <c r="MD4" s="130" t="str">
        <f t="shared" ref="MD4:MD19" si="79">IF(MC4="","",IF(MC4&gt;3.7,"A",IF(MC4&gt;2.8,"B",IF(MC4&gt;1.5,"C",IF(MC4&gt;0,"D",IF(MC4=0,""))))))</f>
        <v/>
      </c>
      <c r="ME4" s="152"/>
      <c r="MF4" s="185"/>
      <c r="MG4" s="185"/>
      <c r="MH4" s="106" t="str">
        <f>IFERROR((((COUNTIF('Elève (6ème3)'!ME5:MG6,"A"))*4)+((COUNTIF('Elève (6ème3)'!ME5:MG6,"B"))*3)+((COUNTIF('Elève (6ème3)'!ME5:MG6,"C"))*2)+((COUNTIF('Elève (6ème3)'!ME5:MG6,"D"))*1))/(COUNTA(ME5:MG6)),"")</f>
        <v/>
      </c>
      <c r="MI4" s="107" t="str">
        <f t="shared" ref="MI4:MI19" si="80">IF(MH4="","",IF(MH4&gt;3.7,"A",IF(MH4&gt;2.8,"B",IF(MH4&gt;1.5,"C",IF(MH4&gt;0,"D",IF(MH4=0,""))))))</f>
        <v/>
      </c>
      <c r="MJ4" s="204"/>
      <c r="MK4" s="186"/>
      <c r="ML4" s="205"/>
      <c r="MM4" s="106" t="str">
        <f>IFERROR((((COUNTIF('Elève (6ème3)'!MJ5:ML6,"A"))*4)+((COUNTIF('Elève (6ème3)'!MJ5:ML6,"B"))*3)+((COUNTIF('Elève (6ème3)'!MJ5:ML6,"C"))*2)+((COUNTIF('Elève (6ème3)'!MJ5:ML6,"D"))*1))/(COUNTA(MJ5:ML6)),"")</f>
        <v/>
      </c>
      <c r="MN4" s="121" t="str">
        <f t="shared" ref="MN4:MN19" si="81">IF(MM4="","",IF(MM4&gt;3.7,"A",IF(MM4&gt;2.8,"B",IF(MM4&gt;1.5,"C",IF(MM4&gt;0,"D",IF(MM4=0,""))))))</f>
        <v/>
      </c>
      <c r="MO4" s="100"/>
      <c r="MP4" s="187"/>
      <c r="MQ4" s="188"/>
      <c r="MR4" s="106" t="str">
        <f>IFERROR((((COUNTIF('Elève (6ème3)'!MO5:MQ6,"A"))*4)+((COUNTIF('Elève (6ème3)'!MO5:MQ6,"B"))*3)+((COUNTIF('Elève (6ème3)'!MO5:MQ6,"C"))*2)+((COUNTIF('Elève (6ème3)'!MO5:MQ6,"D"))*1))/(COUNTA(MO5:MQ6)),"")</f>
        <v/>
      </c>
      <c r="MS4" s="128" t="str">
        <f t="shared" ref="MS4:MS19" si="82">IF(MR4="","",IF(MR4&gt;3.7,"A",IF(MR4&gt;2.8,"B",IF(MR4&gt;1.5,"C",IF(MR4&gt;0,"D",IF(MR4=0,""))))))</f>
        <v/>
      </c>
      <c r="MT4" s="177" t="str">
        <f>IFERROR((((COUNTIF(ME5:MG6,"A")+COUNTIF(MJ5:ML6,"A")+COUNTIF(MO5:MQ6,"A"))*4)+((COUNTIF(ME5:MG6,"B")+COUNTIF(MJ5:ML6,"B")+COUNTIF(MO5:MQ6,"B"))*3)+((COUNTIF(ME5:MG6,"C")+COUNTIF(MJ5:ML6,"C")+COUNTIF(MO5:MQ6,"C"))*2)+((COUNTIF(ME5:MG6,"D")+COUNTIF(MJ5:ML6,"D")+COUNTIF(MO5:MQ6,"D"))*1))/(COUNTA(ME5:MG6)+COUNTA(MJ5:ML6)+COUNTA(MO5:MQ6)),"")</f>
        <v/>
      </c>
      <c r="MU4" s="130" t="str">
        <f t="shared" ref="MU4:MU19" si="83">IF(MT4="","",IF(MT4&gt;3.7,"A",IF(MT4&gt;2.8,"B",IF(MT4&gt;1.5,"C",IF(MT4&gt;0,"D",IF(MT4=0,""))))))</f>
        <v/>
      </c>
      <c r="MV4" s="152"/>
      <c r="MW4" s="185"/>
      <c r="MX4" s="185"/>
      <c r="MY4" s="106" t="str">
        <f>IFERROR((((COUNTIF('Elève (6ème3)'!MV5:MX6,"A"))*4)+((COUNTIF('Elève (6ème3)'!MV5:MX6,"B"))*3)+((COUNTIF('Elève (6ème3)'!MV5:MX6,"C"))*2)+((COUNTIF('Elève (6ème3)'!MV5:MX6,"D"))*1))/(COUNTA(MV5:MX6)),"")</f>
        <v/>
      </c>
      <c r="MZ4" s="107" t="str">
        <f t="shared" ref="MZ4:MZ19" si="84">IF(MY4="","",IF(MY4&gt;3.7,"A",IF(MY4&gt;2.8,"B",IF(MY4&gt;1.5,"C",IF(MY4&gt;0,"D",IF(MY4=0,""))))))</f>
        <v/>
      </c>
      <c r="NA4" s="204"/>
      <c r="NB4" s="186"/>
      <c r="NC4" s="205"/>
      <c r="ND4" s="106" t="str">
        <f>IFERROR((((COUNTIF('Elève (6ème3)'!NA5:NC6,"A"))*4)+((COUNTIF('Elève (6ème3)'!NA5:NC6,"B"))*3)+((COUNTIF('Elève (6ème3)'!NA5:NC6,"C"))*2)+((COUNTIF('Elève (6ème3)'!NA5:NC6,"D"))*1))/(COUNTA(NA5:NC6)),"")</f>
        <v/>
      </c>
      <c r="NE4" s="121" t="str">
        <f t="shared" ref="NE4:NE19" si="85">IF(ND4="","",IF(ND4&gt;3.7,"A",IF(ND4&gt;2.8,"B",IF(ND4&gt;1.5,"C",IF(ND4&gt;0,"D",IF(ND4=0,""))))))</f>
        <v/>
      </c>
      <c r="NF4" s="100"/>
      <c r="NG4" s="187"/>
      <c r="NH4" s="188"/>
      <c r="NI4" s="106" t="str">
        <f>IFERROR((((COUNTIF('Elève (6ème3)'!NF5:NH6,"A"))*4)+((COUNTIF('Elève (6ème3)'!NF5:NH6,"B"))*3)+((COUNTIF('Elève (6ème3)'!NF5:NH6,"C"))*2)+((COUNTIF('Elève (6ème3)'!NF5:NH6,"D"))*1))/(COUNTA(NF5:NH6)),"")</f>
        <v/>
      </c>
      <c r="NJ4" s="128" t="str">
        <f t="shared" ref="NJ4:NJ19" si="86">IF(NI4="","",IF(NI4&gt;3.7,"A",IF(NI4&gt;2.8,"B",IF(NI4&gt;1.5,"C",IF(NI4&gt;0,"D",IF(NI4=0,""))))))</f>
        <v/>
      </c>
      <c r="NK4" s="177" t="str">
        <f>IFERROR((((COUNTIF(MV5:MX6,"A")+COUNTIF(NA5:NC6,"A")+COUNTIF(NF5:NH6,"A"))*4)+((COUNTIF(MV5:MX6,"B")+COUNTIF(NA5:NC6,"B")+COUNTIF(NF5:NH6,"B"))*3)+((COUNTIF(MV5:MX6,"C")+COUNTIF(NA5:NC6,"C")+COUNTIF(NF5:NH6,"C"))*2)+((COUNTIF(MV5:MX6,"D")+COUNTIF(NA5:NC6,"D")+COUNTIF(NF5:NH6,"D"))*1))/(COUNTA(MV5:MX6)+COUNTA(NA5:NC6)+COUNTA(NF5:NH6)),"")</f>
        <v/>
      </c>
      <c r="NL4" s="130" t="str">
        <f t="shared" ref="NL4:NL19" si="87">IF(NK4="","",IF(NK4&gt;3.7,"A",IF(NK4&gt;2.8,"B",IF(NK4&gt;1.5,"C",IF(NK4&gt;0,"D",IF(NK4=0,""))))))</f>
        <v/>
      </c>
      <c r="NM4" s="152"/>
      <c r="NN4" s="185"/>
      <c r="NO4" s="185"/>
      <c r="NP4" s="106" t="str">
        <f>IFERROR((((COUNTIF('Elève (6ème3)'!NM5:NO6,"A"))*4)+((COUNTIF('Elève (6ème3)'!NM5:NO6,"B"))*3)+((COUNTIF('Elève (6ème3)'!NM5:NO6,"C"))*2)+((COUNTIF('Elève (6ème3)'!NM5:NO6,"D"))*1))/(COUNTA(NM5:NO6)),"")</f>
        <v/>
      </c>
      <c r="NQ4" s="107" t="str">
        <f t="shared" ref="NQ4:NQ19" si="88">IF(NP4="","",IF(NP4&gt;3.7,"A",IF(NP4&gt;2.8,"B",IF(NP4&gt;1.5,"C",IF(NP4&gt;0,"D",IF(NP4=0,""))))))</f>
        <v/>
      </c>
      <c r="NR4" s="204"/>
      <c r="NS4" s="186"/>
      <c r="NT4" s="205"/>
      <c r="NU4" s="106" t="str">
        <f>IFERROR((((COUNTIF('Elève (6ème3)'!NR5:NT6,"A"))*4)+((COUNTIF('Elève (6ème3)'!NR5:NT6,"B"))*3)+((COUNTIF('Elève (6ème3)'!NR5:NT6,"C"))*2)+((COUNTIF('Elève (6ème3)'!NR5:NT6,"D"))*1))/(COUNTA(NR5:NT6)),"")</f>
        <v/>
      </c>
      <c r="NV4" s="121" t="str">
        <f t="shared" ref="NV4:NV19" si="89">IF(NU4="","",IF(NU4&gt;3.7,"A",IF(NU4&gt;2.8,"B",IF(NU4&gt;1.5,"C",IF(NU4&gt;0,"D",IF(NU4=0,""))))))</f>
        <v/>
      </c>
      <c r="NW4" s="100"/>
      <c r="NX4" s="187"/>
      <c r="NY4" s="188"/>
      <c r="NZ4" s="106" t="str">
        <f>IFERROR((((COUNTIF('Elève (6ème3)'!NW5:NY6,"A"))*4)+((COUNTIF('Elève (6ème3)'!NW5:NY6,"B"))*3)+((COUNTIF('Elève (6ème3)'!NW5:NY6,"C"))*2)+((COUNTIF('Elève (6ème3)'!NW5:NY6,"D"))*1))/(COUNTA(NW5:NY6)),"")</f>
        <v/>
      </c>
      <c r="OA4" s="128" t="str">
        <f t="shared" ref="OA4:OA19" si="90">IF(NZ4="","",IF(NZ4&gt;3.7,"A",IF(NZ4&gt;2.8,"B",IF(NZ4&gt;1.5,"C",IF(NZ4&gt;0,"D",IF(NZ4=0,""))))))</f>
        <v/>
      </c>
      <c r="OB4" s="177" t="str">
        <f>IFERROR((((COUNTIF(NM5:NO6,"A")+COUNTIF(NR5:NT6,"A")+COUNTIF(NW5:NY6,"A"))*4)+((COUNTIF(NM5:NO6,"B")+COUNTIF(NR5:NT6,"B")+COUNTIF(NW5:NY6,"B"))*3)+((COUNTIF(NM5:NO6,"C")+COUNTIF(NR5:NT6,"C")+COUNTIF(NW5:NY6,"C"))*2)+((COUNTIF(NM5:NO6,"D")+COUNTIF(NR5:NT6,"D")+COUNTIF(NW5:NY6,"D"))*1))/(COUNTA(NM5:NO6)+COUNTA(NR5:NT6)+COUNTA(NW5:NY6)),"")</f>
        <v/>
      </c>
      <c r="OC4" s="130" t="str">
        <f t="shared" ref="OC4:OC19" si="91">IF(OB4="","",IF(OB4&gt;3.7,"A",IF(OB4&gt;2.8,"B",IF(OB4&gt;1.5,"C",IF(OB4&gt;0,"D",IF(OB4=0,""))))))</f>
        <v/>
      </c>
      <c r="OD4" s="152"/>
      <c r="OE4" s="185"/>
      <c r="OF4" s="185"/>
      <c r="OG4" s="106" t="str">
        <f>IFERROR((((COUNTIF('Elève (6ème3)'!OD5:OF6,"A"))*4)+((COUNTIF('Elève (6ème3)'!OD5:OF6,"B"))*3)+((COUNTIF('Elève (6ème3)'!OD5:OF6,"C"))*2)+((COUNTIF('Elève (6ème3)'!OD5:OF6,"D"))*1))/(COUNTA(OD5:OF6)),"")</f>
        <v/>
      </c>
      <c r="OH4" s="107" t="str">
        <f t="shared" ref="OH4:OH19" si="92">IF(OG4="","",IF(OG4&gt;3.7,"A",IF(OG4&gt;2.8,"B",IF(OG4&gt;1.5,"C",IF(OG4&gt;0,"D",IF(OG4=0,""))))))</f>
        <v/>
      </c>
      <c r="OI4" s="204"/>
      <c r="OJ4" s="186"/>
      <c r="OK4" s="205"/>
      <c r="OL4" s="106" t="str">
        <f>IFERROR((((COUNTIF('Elève (6ème3)'!OI5:OK6,"A"))*4)+((COUNTIF('Elève (6ème3)'!OI5:OK6,"B"))*3)+((COUNTIF('Elève (6ème3)'!OI5:OK6,"C"))*2)+((COUNTIF('Elève (6ème3)'!OI5:OK6,"D"))*1))/(COUNTA(OI5:OK6)),"")</f>
        <v/>
      </c>
      <c r="OM4" s="121" t="str">
        <f t="shared" ref="OM4:OM19" si="93">IF(OL4="","",IF(OL4&gt;3.7,"A",IF(OL4&gt;2.8,"B",IF(OL4&gt;1.5,"C",IF(OL4&gt;0,"D",IF(OL4=0,""))))))</f>
        <v/>
      </c>
      <c r="ON4" s="100"/>
      <c r="OO4" s="187"/>
      <c r="OP4" s="188"/>
      <c r="OQ4" s="106" t="str">
        <f>IFERROR((((COUNTIF('Elève (6ème3)'!ON5:OP6,"A"))*4)+((COUNTIF('Elève (6ème3)'!ON5:OP6,"B"))*3)+((COUNTIF('Elève (6ème3)'!ON5:OP6,"C"))*2)+((COUNTIF('Elève (6ème3)'!ON5:OP6,"D"))*1))/(COUNTA(ON5:OP6)),"")</f>
        <v/>
      </c>
      <c r="OR4" s="128" t="str">
        <f t="shared" ref="OR4:OR19" si="94">IF(OQ4="","",IF(OQ4&gt;3.7,"A",IF(OQ4&gt;2.8,"B",IF(OQ4&gt;1.5,"C",IF(OQ4&gt;0,"D",IF(OQ4=0,""))))))</f>
        <v/>
      </c>
      <c r="OS4" s="177" t="str">
        <f>IFERROR((((COUNTIF(OD5:OF6,"A")+COUNTIF(OI5:OK6,"A")+COUNTIF(ON5:OP6,"A"))*4)+((COUNTIF(OD5:OF6,"B")+COUNTIF(OI5:OK6,"B")+COUNTIF(ON5:OP6,"B"))*3)+((COUNTIF(OD5:OF6,"C")+COUNTIF(OI5:OK6,"C")+COUNTIF(ON5:OP6,"C"))*2)+((COUNTIF(OD5:OF6,"D")+COUNTIF(OI5:OK6,"D")+COUNTIF(ON5:OP6,"D"))*1))/(COUNTA(OD5:OF6)+COUNTA(OI5:OK6)+COUNTA(ON5:OP6)),"")</f>
        <v/>
      </c>
      <c r="OT4" s="130" t="str">
        <f t="shared" ref="OT4:OT19" si="95">IF(OS4="","",IF(OS4&gt;3.7,"A",IF(OS4&gt;2.8,"B",IF(OS4&gt;1.5,"C",IF(OS4&gt;0,"D",IF(OS4=0,""))))))</f>
        <v/>
      </c>
      <c r="OU4" s="152"/>
      <c r="OV4" s="185"/>
      <c r="OW4" s="185"/>
      <c r="OX4" s="106" t="str">
        <f>IFERROR((((COUNTIF('Elève (6ème3)'!OU5:OW6,"A"))*4)+((COUNTIF('Elève (6ème3)'!OU5:OW6,"B"))*3)+((COUNTIF('Elève (6ème3)'!OU5:OW6,"C"))*2)+((COUNTIF('Elève (6ème3)'!OU5:OW6,"D"))*1))/(COUNTA(OU5:OW6)),"")</f>
        <v/>
      </c>
      <c r="OY4" s="107" t="str">
        <f t="shared" ref="OY4:OY19" si="96">IF(OX4="","",IF(OX4&gt;3.7,"A",IF(OX4&gt;2.8,"B",IF(OX4&gt;1.5,"C",IF(OX4&gt;0,"D",IF(OX4=0,""))))))</f>
        <v/>
      </c>
      <c r="OZ4" s="204"/>
      <c r="PA4" s="186"/>
      <c r="PB4" s="205"/>
      <c r="PC4" s="106" t="str">
        <f>IFERROR((((COUNTIF('Elève (6ème3)'!OZ5:PB6,"A"))*4)+((COUNTIF('Elève (6ème3)'!OZ5:PB6,"B"))*3)+((COUNTIF('Elève (6ème3)'!OZ5:PB6,"C"))*2)+((COUNTIF('Elève (6ème3)'!OZ5:PB6,"D"))*1))/(COUNTA(OZ5:PB6)),"")</f>
        <v/>
      </c>
      <c r="PD4" s="121" t="str">
        <f t="shared" ref="PD4:PD19" si="97">IF(PC4="","",IF(PC4&gt;3.7,"A",IF(PC4&gt;2.8,"B",IF(PC4&gt;1.5,"C",IF(PC4&gt;0,"D",IF(PC4=0,""))))))</f>
        <v/>
      </c>
      <c r="PE4" s="100"/>
      <c r="PF4" s="187"/>
      <c r="PG4" s="188"/>
      <c r="PH4" s="106" t="str">
        <f>IFERROR((((COUNTIF('Elève (6ème3)'!PE5:PG6,"A"))*4)+((COUNTIF('Elève (6ème3)'!PE5:PG6,"B"))*3)+((COUNTIF('Elève (6ème3)'!PE5:PG6,"C"))*2)+((COUNTIF('Elève (6ème3)'!PE5:PG6,"D"))*1))/(COUNTA(PE5:PG6)),"")</f>
        <v/>
      </c>
      <c r="PI4" s="128" t="str">
        <f t="shared" ref="PI4:PI19" si="98">IF(PH4="","",IF(PH4&gt;3.7,"A",IF(PH4&gt;2.8,"B",IF(PH4&gt;1.5,"C",IF(PH4&gt;0,"D",IF(PH4=0,""))))))</f>
        <v/>
      </c>
      <c r="PJ4" s="177" t="str">
        <f>IFERROR((((COUNTIF(OU5:OW6,"A")+COUNTIF(OZ5:PB6,"A")+COUNTIF(PE5:PG6,"A"))*4)+((COUNTIF(OU5:OW6,"B")+COUNTIF(OZ5:PB6,"B")+COUNTIF(PE5:PG6,"B"))*3)+((COUNTIF(OU5:OW6,"C")+COUNTIF(OZ5:PB6,"C")+COUNTIF(PE5:PG6,"C"))*2)+((COUNTIF(OU5:OW6,"D")+COUNTIF(OZ5:PB6,"D")+COUNTIF(PE5:PG6,"D"))*1))/(COUNTA(OU5:OW6)+COUNTA(OZ5:PB6)+COUNTA(PE5:PG6)),"")</f>
        <v/>
      </c>
      <c r="PK4" s="130" t="str">
        <f t="shared" ref="PK4:PK19" si="99">IF(PJ4="","",IF(PJ4&gt;3.7,"A",IF(PJ4&gt;2.8,"B",IF(PJ4&gt;1.5,"C",IF(PJ4&gt;0,"D",IF(PJ4=0,""))))))</f>
        <v/>
      </c>
      <c r="PL4" s="152"/>
      <c r="PM4" s="185"/>
      <c r="PN4" s="185"/>
      <c r="PO4" s="106" t="str">
        <f>IFERROR((((COUNTIF('Elève (6ème3)'!PL5:PN6,"A"))*4)+((COUNTIF('Elève (6ème3)'!PL5:PN6,"B"))*3)+((COUNTIF('Elève (6ème3)'!PL5:PN6,"C"))*2)+((COUNTIF('Elève (6ème3)'!PL5:PN6,"D"))*1))/(COUNTA(PL5:PN6)),"")</f>
        <v/>
      </c>
      <c r="PP4" s="107" t="str">
        <f t="shared" ref="PP4:PP19" si="100">IF(PO4="","",IF(PO4&gt;3.7,"A",IF(PO4&gt;2.8,"B",IF(PO4&gt;1.5,"C",IF(PO4&gt;0,"D",IF(PO4=0,""))))))</f>
        <v/>
      </c>
      <c r="PQ4" s="204"/>
      <c r="PR4" s="186"/>
      <c r="PS4" s="205"/>
      <c r="PT4" s="106" t="str">
        <f>IFERROR((((COUNTIF('Elève (6ème3)'!PQ5:PS6,"A"))*4)+((COUNTIF('Elève (6ème3)'!PQ5:PS6,"B"))*3)+((COUNTIF('Elève (6ème3)'!PQ5:PS6,"C"))*2)+((COUNTIF('Elève (6ème3)'!PQ5:PS6,"D"))*1))/(COUNTA(PQ5:PS6)),"")</f>
        <v/>
      </c>
      <c r="PU4" s="121" t="str">
        <f t="shared" ref="PU4:PU19" si="101">IF(PT4="","",IF(PT4&gt;3.7,"A",IF(PT4&gt;2.8,"B",IF(PT4&gt;1.5,"C",IF(PT4&gt;0,"D",IF(PT4=0,""))))))</f>
        <v/>
      </c>
      <c r="PV4" s="100"/>
      <c r="PW4" s="187"/>
      <c r="PX4" s="188"/>
      <c r="PY4" s="106" t="str">
        <f>IFERROR((((COUNTIF('Elève (6ème3)'!PV5:PX6,"A"))*4)+((COUNTIF('Elève (6ème3)'!PV5:PX6,"B"))*3)+((COUNTIF('Elève (6ème3)'!PV5:PX6,"C"))*2)+((COUNTIF('Elève (6ème3)'!PV5:PX6,"D"))*1))/(COUNTA(PV5:PX6)),"")</f>
        <v/>
      </c>
      <c r="PZ4" s="128" t="str">
        <f t="shared" ref="PZ4:PZ19" si="102">IF(PY4="","",IF(PY4&gt;3.7,"A",IF(PY4&gt;2.8,"B",IF(PY4&gt;1.5,"C",IF(PY4&gt;0,"D",IF(PY4=0,""))))))</f>
        <v/>
      </c>
      <c r="QA4" s="177" t="str">
        <f>IFERROR((((COUNTIF(PL5:PN6,"A")+COUNTIF(PQ5:PS6,"A")+COUNTIF(PV5:PX6,"A"))*4)+((COUNTIF(PL5:PN6,"B")+COUNTIF(PQ5:PS6,"B")+COUNTIF(PV5:PX6,"B"))*3)+((COUNTIF(PL5:PN6,"C")+COUNTIF(PQ5:PS6,"C")+COUNTIF(PV5:PX6,"C"))*2)+((COUNTIF(PL5:PN6,"D")+COUNTIF(PQ5:PS6,"D")+COUNTIF(PV5:PX6,"D"))*1))/(COUNTA(PL5:PN6)+COUNTA(PQ5:PS6)+COUNTA(PV5:PX6)),"")</f>
        <v/>
      </c>
      <c r="QB4" s="130" t="str">
        <f t="shared" ref="QB4:QB19" si="103">IF(QA4="","",IF(QA4&gt;3.7,"A",IF(QA4&gt;2.8,"B",IF(QA4&gt;1.5,"C",IF(QA4&gt;0,"D",IF(QA4=0,""))))))</f>
        <v/>
      </c>
      <c r="QC4" s="152"/>
      <c r="QD4" s="185"/>
      <c r="QE4" s="185"/>
      <c r="QF4" s="106" t="str">
        <f>IFERROR((((COUNTIF('Elève (6ème3)'!QC5:QE6,"A"))*4)+((COUNTIF('Elève (6ème3)'!QC5:QE6,"B"))*3)+((COUNTIF('Elève (6ème3)'!QC5:QE6,"C"))*2)+((COUNTIF('Elève (6ème3)'!QC5:QE6,"D"))*1))/(COUNTA(QC5:QE6)),"")</f>
        <v/>
      </c>
      <c r="QG4" s="107" t="str">
        <f t="shared" ref="QG4:QG19" si="104">IF(QF4="","",IF(QF4&gt;3.7,"A",IF(QF4&gt;2.8,"B",IF(QF4&gt;1.5,"C",IF(QF4&gt;0,"D",IF(QF4=0,""))))))</f>
        <v/>
      </c>
      <c r="QH4" s="204"/>
      <c r="QI4" s="186"/>
      <c r="QJ4" s="205"/>
      <c r="QK4" s="106" t="str">
        <f>IFERROR((((COUNTIF('Elève (6ème3)'!QH5:QJ6,"A"))*4)+((COUNTIF('Elève (6ème3)'!QH5:QJ6,"B"))*3)+((COUNTIF('Elève (6ème3)'!QH5:QJ6,"C"))*2)+((COUNTIF('Elève (6ème3)'!QH5:QJ6,"D"))*1))/(COUNTA(QH5:QJ6)),"")</f>
        <v/>
      </c>
      <c r="QL4" s="121" t="str">
        <f t="shared" ref="QL4:QL19" si="105">IF(QK4="","",IF(QK4&gt;3.7,"A",IF(QK4&gt;2.8,"B",IF(QK4&gt;1.5,"C",IF(QK4&gt;0,"D",IF(QK4=0,""))))))</f>
        <v/>
      </c>
      <c r="QM4" s="100"/>
      <c r="QN4" s="187"/>
      <c r="QO4" s="188"/>
      <c r="QP4" s="106" t="str">
        <f>IFERROR((((COUNTIF('Elève (6ème3)'!QM5:QO6,"A"))*4)+((COUNTIF('Elève (6ème3)'!QM5:QO6,"B"))*3)+((COUNTIF('Elève (6ème3)'!QM5:QO6,"C"))*2)+((COUNTIF('Elève (6ème3)'!QM5:QO6,"D"))*1))/(COUNTA(QM5:QO6)),"")</f>
        <v/>
      </c>
      <c r="QQ4" s="128" t="str">
        <f t="shared" ref="QQ4:QQ19" si="106">IF(QP4="","",IF(QP4&gt;3.7,"A",IF(QP4&gt;2.8,"B",IF(QP4&gt;1.5,"C",IF(QP4&gt;0,"D",IF(QP4=0,""))))))</f>
        <v/>
      </c>
      <c r="QR4" s="177" t="str">
        <f>IFERROR((((COUNTIF(QC5:QE6,"A")+COUNTIF(QH5:QJ6,"A")+COUNTIF(QM5:QO6,"A"))*4)+((COUNTIF(QC5:QE6,"B")+COUNTIF(QH5:QJ6,"B")+COUNTIF(QM5:QO6,"B"))*3)+((COUNTIF(QC5:QE6,"C")+COUNTIF(QH5:QJ6,"C")+COUNTIF(QM5:QO6,"C"))*2)+((COUNTIF(QC5:QE6,"D")+COUNTIF(QH5:QJ6,"D")+COUNTIF(QM5:QO6,"D"))*1))/(COUNTA(QC5:QE6)+COUNTA(QH5:QJ6)+COUNTA(QM5:QO6)),"")</f>
        <v/>
      </c>
      <c r="QS4" s="130" t="str">
        <f t="shared" ref="QS4:QS19" si="107">IF(QR4="","",IF(QR4&gt;3.7,"A",IF(QR4&gt;2.8,"B",IF(QR4&gt;1.5,"C",IF(QR4&gt;0,"D",IF(QR4=0,""))))))</f>
        <v/>
      </c>
      <c r="QT4" s="152"/>
      <c r="QU4" s="185"/>
      <c r="QV4" s="185"/>
      <c r="QW4" s="106" t="str">
        <f>IFERROR((((COUNTIF('Elève (6ème3)'!QT5:QV6,"A"))*4)+((COUNTIF('Elève (6ème3)'!QT5:QV6,"B"))*3)+((COUNTIF('Elève (6ème3)'!QT5:QV6,"C"))*2)+((COUNTIF('Elève (6ème3)'!QT5:QV6,"D"))*1))/(COUNTA(QT5:QV6)),"")</f>
        <v/>
      </c>
      <c r="QX4" s="107" t="str">
        <f t="shared" ref="QX4:QX19" si="108">IF(QW4="","",IF(QW4&gt;3.7,"A",IF(QW4&gt;2.8,"B",IF(QW4&gt;1.5,"C",IF(QW4&gt;0,"D",IF(QW4=0,""))))))</f>
        <v/>
      </c>
      <c r="QY4" s="204"/>
      <c r="QZ4" s="186"/>
      <c r="RA4" s="205"/>
      <c r="RB4" s="106" t="str">
        <f>IFERROR((((COUNTIF('Elève (6ème3)'!QY5:RA6,"A"))*4)+((COUNTIF('Elève (6ème3)'!QY5:RA6,"B"))*3)+((COUNTIF('Elève (6ème3)'!QY5:RA6,"C"))*2)+((COUNTIF('Elève (6ème3)'!QY5:RA6,"D"))*1))/(COUNTA(QY5:RA6)),"")</f>
        <v/>
      </c>
      <c r="RC4" s="121" t="str">
        <f t="shared" ref="RC4:RC19" si="109">IF(RB4="","",IF(RB4&gt;3.7,"A",IF(RB4&gt;2.8,"B",IF(RB4&gt;1.5,"C",IF(RB4&gt;0,"D",IF(RB4=0,""))))))</f>
        <v/>
      </c>
      <c r="RD4" s="100"/>
      <c r="RE4" s="187"/>
      <c r="RF4" s="188"/>
      <c r="RG4" s="106" t="str">
        <f>IFERROR((((COUNTIF('Elève (6ème3)'!RD5:RF6,"A"))*4)+((COUNTIF('Elève (6ème3)'!RD5:RF6,"B"))*3)+((COUNTIF('Elève (6ème3)'!RD5:RF6,"C"))*2)+((COUNTIF('Elève (6ème3)'!RD5:RF6,"D"))*1))/(COUNTA(RD5:RF6)),"")</f>
        <v/>
      </c>
      <c r="RH4" s="128" t="str">
        <f t="shared" ref="RH4:RH19" si="110">IF(RG4="","",IF(RG4&gt;3.7,"A",IF(RG4&gt;2.8,"B",IF(RG4&gt;1.5,"C",IF(RG4&gt;0,"D",IF(RG4=0,""))))))</f>
        <v/>
      </c>
      <c r="RI4" s="177" t="str">
        <f>IFERROR((((COUNTIF(QT5:QV6,"A")+COUNTIF(QY5:RA6,"A")+COUNTIF(RD5:RF6,"A"))*4)+((COUNTIF(QT5:QV6,"B")+COUNTIF(QY5:RA6,"B")+COUNTIF(RD5:RF6,"B"))*3)+((COUNTIF(QT5:QV6,"C")+COUNTIF(QY5:RA6,"C")+COUNTIF(RD5:RF6,"C"))*2)+((COUNTIF(QT5:QV6,"D")+COUNTIF(QY5:RA6,"D")+COUNTIF(RD5:RF6,"D"))*1))/(COUNTA(QT5:QV6)+COUNTA(QY5:RA6)+COUNTA(RD5:RF6)),"")</f>
        <v/>
      </c>
      <c r="RJ4" s="130" t="str">
        <f t="shared" ref="RJ4:RJ19" si="111">IF(RI4="","",IF(RI4&gt;3.7,"A",IF(RI4&gt;2.8,"B",IF(RI4&gt;1.5,"C",IF(RI4&gt;0,"D",IF(RI4=0,""))))))</f>
        <v/>
      </c>
      <c r="RK4" s="152"/>
      <c r="RL4" s="185"/>
      <c r="RM4" s="185"/>
      <c r="RN4" s="106" t="str">
        <f>IFERROR((((COUNTIF('Elève (6ème3)'!RK5:RM6,"A"))*4)+((COUNTIF('Elève (6ème3)'!RK5:RM6,"B"))*3)+((COUNTIF('Elève (6ème3)'!RK5:RM6,"C"))*2)+((COUNTIF('Elève (6ème3)'!RK5:RM6,"D"))*1))/(COUNTA(RK5:RM6)),"")</f>
        <v/>
      </c>
      <c r="RO4" s="107" t="str">
        <f t="shared" ref="RO4:RO19" si="112">IF(RN4="","",IF(RN4&gt;3.7,"A",IF(RN4&gt;2.8,"B",IF(RN4&gt;1.5,"C",IF(RN4&gt;0,"D",IF(RN4=0,""))))))</f>
        <v/>
      </c>
      <c r="RP4" s="204"/>
      <c r="RQ4" s="186"/>
      <c r="RR4" s="205"/>
      <c r="RS4" s="106" t="str">
        <f>IFERROR((((COUNTIF('Elève (6ème3)'!RP5:RR6,"A"))*4)+((COUNTIF('Elève (6ème3)'!RP5:RR6,"B"))*3)+((COUNTIF('Elève (6ème3)'!RP5:RR6,"C"))*2)+((COUNTIF('Elève (6ème3)'!RP5:RR6,"D"))*1))/(COUNTA(RP5:RR6)),"")</f>
        <v/>
      </c>
      <c r="RT4" s="121" t="str">
        <f t="shared" ref="RT4:RT19" si="113">IF(RS4="","",IF(RS4&gt;3.7,"A",IF(RS4&gt;2.8,"B",IF(RS4&gt;1.5,"C",IF(RS4&gt;0,"D",IF(RS4=0,""))))))</f>
        <v/>
      </c>
      <c r="RU4" s="100"/>
      <c r="RV4" s="187"/>
      <c r="RW4" s="188"/>
      <c r="RX4" s="106" t="str">
        <f>IFERROR((((COUNTIF('Elève (6ème3)'!RU5:RW6,"A"))*4)+((COUNTIF('Elève (6ème3)'!RU5:RW6,"B"))*3)+((COUNTIF('Elève (6ème3)'!RU5:RW6,"C"))*2)+((COUNTIF('Elève (6ème3)'!RU5:RW6,"D"))*1))/(COUNTA(RU5:RW6)),"")</f>
        <v/>
      </c>
      <c r="RY4" s="128" t="str">
        <f t="shared" ref="RY4:RY19" si="114">IF(RX4="","",IF(RX4&gt;3.7,"A",IF(RX4&gt;2.8,"B",IF(RX4&gt;1.5,"C",IF(RX4&gt;0,"D",IF(RX4=0,""))))))</f>
        <v/>
      </c>
      <c r="RZ4" s="177" t="str">
        <f>IFERROR((((COUNTIF(RK5:RM6,"A")+COUNTIF(RP5:RR6,"A")+COUNTIF(RU5:RW6,"A"))*4)+((COUNTIF(RK5:RM6,"B")+COUNTIF(RP5:RR6,"B")+COUNTIF(RU5:RW6,"B"))*3)+((COUNTIF(RK5:RM6,"C")+COUNTIF(RP5:RR6,"C")+COUNTIF(RU5:RW6,"C"))*2)+((COUNTIF(RK5:RM6,"D")+COUNTIF(RP5:RR6,"D")+COUNTIF(RU5:RW6,"D"))*1))/(COUNTA(RK5:RM6)+COUNTA(RP5:RR6)+COUNTA(RU5:RW6)),"")</f>
        <v/>
      </c>
      <c r="SA4" s="130" t="str">
        <f t="shared" ref="SA4:SA19" si="115">IF(RZ4="","",IF(RZ4&gt;3.7,"A",IF(RZ4&gt;2.8,"B",IF(RZ4&gt;1.5,"C",IF(RZ4&gt;0,"D",IF(RZ4=0,""))))))</f>
        <v/>
      </c>
      <c r="SB4" s="152"/>
      <c r="SC4" s="185"/>
      <c r="SD4" s="185"/>
      <c r="SE4" s="106" t="str">
        <f>IFERROR((((COUNTIF('Elève (6ème3)'!SB5:SD6,"A"))*4)+((COUNTIF('Elève (6ème3)'!SB5:SD6,"B"))*3)+((COUNTIF('Elève (6ème3)'!SB5:SD6,"C"))*2)+((COUNTIF('Elève (6ème3)'!SB5:SD6,"D"))*1))/(COUNTA(SB5:SD6)),"")</f>
        <v/>
      </c>
      <c r="SF4" s="107" t="str">
        <f t="shared" ref="SF4:SF19" si="116">IF(SE4="","",IF(SE4&gt;3.7,"A",IF(SE4&gt;2.8,"B",IF(SE4&gt;1.5,"C",IF(SE4&gt;0,"D",IF(SE4=0,""))))))</f>
        <v/>
      </c>
      <c r="SG4" s="204"/>
      <c r="SH4" s="186"/>
      <c r="SI4" s="205"/>
      <c r="SJ4" s="106" t="str">
        <f>IFERROR((((COUNTIF('Elève (6ème3)'!SG5:SI6,"A"))*4)+((COUNTIF('Elève (6ème3)'!SG5:SI6,"B"))*3)+((COUNTIF('Elève (6ème3)'!SG5:SI6,"C"))*2)+((COUNTIF('Elève (6ème3)'!SG5:SI6,"D"))*1))/(COUNTA(SG5:SI6)),"")</f>
        <v/>
      </c>
      <c r="SK4" s="121" t="str">
        <f t="shared" ref="SK4:SK19" si="117">IF(SJ4="","",IF(SJ4&gt;3.7,"A",IF(SJ4&gt;2.8,"B",IF(SJ4&gt;1.5,"C",IF(SJ4&gt;0,"D",IF(SJ4=0,""))))))</f>
        <v/>
      </c>
      <c r="SL4" s="100"/>
      <c r="SM4" s="187"/>
      <c r="SN4" s="188"/>
      <c r="SO4" s="106" t="str">
        <f>IFERROR((((COUNTIF('Elève (6ème3)'!SL5:SN6,"A"))*4)+((COUNTIF('Elève (6ème3)'!SL5:SN6,"B"))*3)+((COUNTIF('Elève (6ème3)'!SL5:SN6,"C"))*2)+((COUNTIF('Elève (6ème3)'!SL5:SN6,"D"))*1))/(COUNTA(SL5:SN6)),"")</f>
        <v/>
      </c>
      <c r="SP4" s="128" t="str">
        <f t="shared" ref="SP4:SP19" si="118">IF(SO4="","",IF(SO4&gt;3.7,"A",IF(SO4&gt;2.8,"B",IF(SO4&gt;1.5,"C",IF(SO4&gt;0,"D",IF(SO4=0,""))))))</f>
        <v/>
      </c>
      <c r="SQ4" s="177" t="str">
        <f>IFERROR((((COUNTIF(SB5:SD6,"A")+COUNTIF(SG5:SI6,"A")+COUNTIF(SL5:SN6,"A"))*4)+((COUNTIF(SB5:SD6,"B")+COUNTIF(SG5:SI6,"B")+COUNTIF(SL5:SN6,"B"))*3)+((COUNTIF(SB5:SD6,"C")+COUNTIF(SG5:SI6,"C")+COUNTIF(SL5:SN6,"C"))*2)+((COUNTIF(SB5:SD6,"D")+COUNTIF(SG5:SI6,"D")+COUNTIF(SL5:SN6,"D"))*1))/(COUNTA(SB5:SD6)+COUNTA(SG5:SI6)+COUNTA(SL5:SN6)),"")</f>
        <v/>
      </c>
      <c r="SR4" s="130" t="str">
        <f t="shared" ref="SR4:SR19" si="119">IF(SQ4="","",IF(SQ4&gt;3.7,"A",IF(SQ4&gt;2.8,"B",IF(SQ4&gt;1.5,"C",IF(SQ4&gt;0,"D",IF(SQ4=0,""))))))</f>
        <v/>
      </c>
    </row>
    <row r="5" spans="1:512" s="72" customFormat="1" ht="18" customHeight="1" x14ac:dyDescent="0.25">
      <c r="A5" s="240" t="s">
        <v>12</v>
      </c>
      <c r="B5" s="241"/>
      <c r="C5" s="153"/>
      <c r="D5" s="154"/>
      <c r="E5" s="155"/>
      <c r="F5" s="108" t="str">
        <f>IFERROR((((COUNTIF('Elève (6ème3)'!C5:E5,"A"))*4)+((COUNTIF('Elève (6ème3)'!C5:E5,"B"))*3)+((COUNTIF('Elève (6ème3)'!C5:E5,"C"))*2)+((COUNTIF('Elève (6ème3)'!C5:E5,"D"))*1))/(COUNTA(C5:E5)),"")</f>
        <v/>
      </c>
      <c r="G5" s="109" t="str">
        <f t="shared" si="0"/>
        <v/>
      </c>
      <c r="H5" s="78"/>
      <c r="I5" s="79"/>
      <c r="J5" s="80"/>
      <c r="K5" s="108" t="str">
        <f>IFERROR((((COUNTIF('Elève (6ème3)'!H5:J5,"A"))*4)+((COUNTIF('Elève (6ème3)'!H5:J5,"B"))*3)+((COUNTIF('Elève (6ème3)'!H5:J5,"C"))*2)+((COUNTIF('Elève (6ème3)'!H5:J5,"D"))*1))/(COUNTA(H5:J5)),"")</f>
        <v/>
      </c>
      <c r="L5" s="109" t="str">
        <f t="shared" si="1"/>
        <v/>
      </c>
      <c r="M5" s="78"/>
      <c r="N5" s="79"/>
      <c r="O5" s="80"/>
      <c r="P5" s="108" t="str">
        <f>IFERROR((((COUNTIF('Elève (6ème3)'!M5:O5,"A"))*4)+((COUNTIF('Elève (6ème3)'!M5:O5,"B"))*3)+((COUNTIF('Elève (6ème3)'!M5:O5,"C"))*2)+((COUNTIF('Elève (6ème3)'!M5:O5,"D"))*1))/(COUNTA(M5:O5)),"")</f>
        <v/>
      </c>
      <c r="Q5" s="109" t="str">
        <f t="shared" si="2"/>
        <v/>
      </c>
      <c r="R5" s="178" t="str">
        <f>IF(COUNT(F5,K5,P5)=0,"",SUM(F5,K5,P5)/COUNT(F5,K5,P5))</f>
        <v/>
      </c>
      <c r="S5" s="131" t="str">
        <f t="shared" si="3"/>
        <v/>
      </c>
      <c r="T5" s="153"/>
      <c r="U5" s="154"/>
      <c r="V5" s="155"/>
      <c r="W5" s="108" t="str">
        <f>IFERROR((((COUNTIF('Elève (6ème3)'!T5:V5,"A"))*4)+((COUNTIF('Elève (6ème3)'!T5:V5,"B"))*3)+((COUNTIF('Elève (6ème3)'!T5:V5,"C"))*2)+((COUNTIF('Elève (6ème3)'!T5:V5,"D"))*1))/(COUNTA(T5:V5)),"")</f>
        <v/>
      </c>
      <c r="X5" s="109" t="str">
        <f t="shared" si="4"/>
        <v/>
      </c>
      <c r="Y5" s="78"/>
      <c r="Z5" s="79"/>
      <c r="AA5" s="80"/>
      <c r="AB5" s="108" t="str">
        <f>IFERROR((((COUNTIF('Elève (6ème3)'!Y5:AA5,"A"))*4)+((COUNTIF('Elève (6ème3)'!Y5:AA5,"B"))*3)+((COUNTIF('Elève (6ème3)'!Y5:AA5,"C"))*2)+((COUNTIF('Elève (6ème3)'!Y5:AA5,"D"))*1))/(COUNTA(Y5:AA5)),"")</f>
        <v/>
      </c>
      <c r="AC5" s="109" t="str">
        <f t="shared" si="5"/>
        <v/>
      </c>
      <c r="AD5" s="78"/>
      <c r="AE5" s="79"/>
      <c r="AF5" s="80"/>
      <c r="AG5" s="108" t="str">
        <f>IFERROR((((COUNTIF('Elève (6ème3)'!AD5:AF5,"A"))*4)+((COUNTIF('Elève (6ème3)'!AD5:AF5,"B"))*3)+((COUNTIF('Elève (6ème3)'!AD5:AF5,"C"))*2)+((COUNTIF('Elève (6ème3)'!AD5:AF5,"D"))*1))/(COUNTA(AD5:AF5)),"")</f>
        <v/>
      </c>
      <c r="AH5" s="109" t="str">
        <f t="shared" si="6"/>
        <v/>
      </c>
      <c r="AI5" s="178" t="str">
        <f>IF(COUNT(W5,AB5,AG5)=0,"",SUM(W5,AB5,AG5)/COUNT(W5,AB5,AG5))</f>
        <v/>
      </c>
      <c r="AJ5" s="131" t="str">
        <f t="shared" si="7"/>
        <v/>
      </c>
      <c r="AK5" s="153"/>
      <c r="AL5" s="154"/>
      <c r="AM5" s="155"/>
      <c r="AN5" s="108" t="str">
        <f>IFERROR((((COUNTIF('Elève (6ème3)'!AK5:AM5,"A"))*4)+((COUNTIF('Elève (6ème3)'!AK5:AM5,"B"))*3)+((COUNTIF('Elève (6ème3)'!AK5:AM5,"C"))*2)+((COUNTIF('Elève (6ème3)'!AK5:AM5,"D"))*1))/(COUNTA(AK5:AM5)),"")</f>
        <v/>
      </c>
      <c r="AO5" s="109" t="str">
        <f t="shared" si="8"/>
        <v/>
      </c>
      <c r="AP5" s="78"/>
      <c r="AQ5" s="79"/>
      <c r="AR5" s="80"/>
      <c r="AS5" s="108" t="str">
        <f>IFERROR((((COUNTIF('Elève (6ème3)'!AP5:AR5,"A"))*4)+((COUNTIF('Elève (6ème3)'!AP5:AR5,"B"))*3)+((COUNTIF('Elève (6ème3)'!AP5:AR5,"C"))*2)+((COUNTIF('Elève (6ème3)'!AP5:AR5,"D"))*1))/(COUNTA(AP5:AR5)),"")</f>
        <v/>
      </c>
      <c r="AT5" s="109" t="str">
        <f t="shared" si="9"/>
        <v/>
      </c>
      <c r="AU5" s="78"/>
      <c r="AV5" s="79"/>
      <c r="AW5" s="80"/>
      <c r="AX5" s="108" t="str">
        <f>IFERROR((((COUNTIF('Elève (6ème3)'!AU5:AW5,"A"))*4)+((COUNTIF('Elève (6ème3)'!AU5:AW5,"B"))*3)+((COUNTIF('Elève (6ème3)'!AU5:AW5,"C"))*2)+((COUNTIF('Elève (6ème3)'!AU5:AW5,"D"))*1))/(COUNTA(AU5:AW5)),"")</f>
        <v/>
      </c>
      <c r="AY5" s="109" t="str">
        <f t="shared" si="10"/>
        <v/>
      </c>
      <c r="AZ5" s="178" t="str">
        <f>IF(COUNT(AN5,AS5,AX5)=0,"",SUM(AN5,AS5,AX5)/COUNT(AN5,AS5,AX5))</f>
        <v/>
      </c>
      <c r="BA5" s="131" t="str">
        <f t="shared" si="11"/>
        <v/>
      </c>
      <c r="BB5" s="153"/>
      <c r="BC5" s="154"/>
      <c r="BD5" s="155"/>
      <c r="BE5" s="108" t="str">
        <f>IFERROR((((COUNTIF('Elève (6ème3)'!BB5:BD5,"A"))*4)+((COUNTIF('Elève (6ème3)'!BB5:BD5,"B"))*3)+((COUNTIF('Elève (6ème3)'!BB5:BD5,"C"))*2)+((COUNTIF('Elève (6ème3)'!BB5:BD5,"D"))*1))/(COUNTA(BB5:BD5)),"")</f>
        <v/>
      </c>
      <c r="BF5" s="109" t="str">
        <f t="shared" si="12"/>
        <v/>
      </c>
      <c r="BG5" s="78"/>
      <c r="BH5" s="79"/>
      <c r="BI5" s="80"/>
      <c r="BJ5" s="108" t="str">
        <f>IFERROR((((COUNTIF('Elève (6ème3)'!BG5:BI5,"A"))*4)+((COUNTIF('Elève (6ème3)'!BG5:BI5,"B"))*3)+((COUNTIF('Elève (6ème3)'!BG5:BI5,"C"))*2)+((COUNTIF('Elève (6ème3)'!BG5:BI5,"D"))*1))/(COUNTA(BG5:BI5)),"")</f>
        <v/>
      </c>
      <c r="BK5" s="109" t="str">
        <f t="shared" si="13"/>
        <v/>
      </c>
      <c r="BL5" s="78"/>
      <c r="BM5" s="79"/>
      <c r="BN5" s="80"/>
      <c r="BO5" s="108" t="str">
        <f>IFERROR((((COUNTIF('Elève (6ème3)'!BL5:BN5,"A"))*4)+((COUNTIF('Elève (6ème3)'!BL5:BN5,"B"))*3)+((COUNTIF('Elève (6ème3)'!BL5:BN5,"C"))*2)+((COUNTIF('Elève (6ème3)'!BL5:BN5,"D"))*1))/(COUNTA(BL5:BN5)),"")</f>
        <v/>
      </c>
      <c r="BP5" s="109" t="str">
        <f t="shared" si="14"/>
        <v/>
      </c>
      <c r="BQ5" s="178" t="str">
        <f>IF(COUNT(BE5,BJ5,BO5)=0,"",SUM(BE5,BJ5,BO5)/COUNT(BE5,BJ5,BO5))</f>
        <v/>
      </c>
      <c r="BR5" s="131" t="str">
        <f t="shared" si="15"/>
        <v/>
      </c>
      <c r="BS5" s="153"/>
      <c r="BT5" s="154"/>
      <c r="BU5" s="155"/>
      <c r="BV5" s="108" t="str">
        <f>IFERROR((((COUNTIF('Elève (6ème3)'!BS5:BU5,"A"))*4)+((COUNTIF('Elève (6ème3)'!BS5:BU5,"B"))*3)+((COUNTIF('Elève (6ème3)'!BS5:BU5,"C"))*2)+((COUNTIF('Elève (6ème3)'!BS5:BU5,"D"))*1))/(COUNTA(BS5:BU5)),"")</f>
        <v/>
      </c>
      <c r="BW5" s="109" t="str">
        <f t="shared" si="16"/>
        <v/>
      </c>
      <c r="BX5" s="78"/>
      <c r="BY5" s="79"/>
      <c r="BZ5" s="80"/>
      <c r="CA5" s="108" t="str">
        <f>IFERROR((((COUNTIF('Elève (6ème3)'!BX5:BZ5,"A"))*4)+((COUNTIF('Elève (6ème3)'!BX5:BZ5,"B"))*3)+((COUNTIF('Elève (6ème3)'!BX5:BZ5,"C"))*2)+((COUNTIF('Elève (6ème3)'!BX5:BZ5,"D"))*1))/(COUNTA(BX5:BZ5)),"")</f>
        <v/>
      </c>
      <c r="CB5" s="109" t="str">
        <f t="shared" si="17"/>
        <v/>
      </c>
      <c r="CC5" s="78"/>
      <c r="CD5" s="79"/>
      <c r="CE5" s="80"/>
      <c r="CF5" s="108" t="str">
        <f>IFERROR((((COUNTIF('Elève (6ème3)'!CC5:CE5,"A"))*4)+((COUNTIF('Elève (6ème3)'!CC5:CE5,"B"))*3)+((COUNTIF('Elève (6ème3)'!CC5:CE5,"C"))*2)+((COUNTIF('Elève (6ème3)'!CC5:CE5,"D"))*1))/(COUNTA(CC5:CE5)),"")</f>
        <v/>
      </c>
      <c r="CG5" s="109" t="str">
        <f t="shared" si="18"/>
        <v/>
      </c>
      <c r="CH5" s="178" t="str">
        <f>IF(COUNT(BV5,CA5,CF5)=0,"",SUM(BV5,CA5,CF5)/COUNT(BV5,CA5,CF5))</f>
        <v/>
      </c>
      <c r="CI5" s="131" t="str">
        <f t="shared" si="19"/>
        <v/>
      </c>
      <c r="CJ5" s="153"/>
      <c r="CK5" s="154"/>
      <c r="CL5" s="155"/>
      <c r="CM5" s="108" t="str">
        <f>IFERROR((((COUNTIF('Elève (6ème3)'!CJ5:CL5,"A"))*4)+((COUNTIF('Elève (6ème3)'!CJ5:CL5,"B"))*3)+((COUNTIF('Elève (6ème3)'!CJ5:CL5,"C"))*2)+((COUNTIF('Elève (6ème3)'!CJ5:CL5,"D"))*1))/(COUNTA(CJ5:CL5)),"")</f>
        <v/>
      </c>
      <c r="CN5" s="109" t="str">
        <f t="shared" si="20"/>
        <v/>
      </c>
      <c r="CO5" s="78"/>
      <c r="CP5" s="79"/>
      <c r="CQ5" s="80"/>
      <c r="CR5" s="108" t="str">
        <f>IFERROR((((COUNTIF('Elève (6ème3)'!CO5:CQ5,"A"))*4)+((COUNTIF('Elève (6ème3)'!CO5:CQ5,"B"))*3)+((COUNTIF('Elève (6ème3)'!CO5:CQ5,"C"))*2)+((COUNTIF('Elève (6ème3)'!CO5:CQ5,"D"))*1))/(COUNTA(CO5:CQ5)),"")</f>
        <v/>
      </c>
      <c r="CS5" s="109" t="str">
        <f t="shared" si="21"/>
        <v/>
      </c>
      <c r="CT5" s="78"/>
      <c r="CU5" s="79"/>
      <c r="CV5" s="80"/>
      <c r="CW5" s="108" t="str">
        <f>IFERROR((((COUNTIF('Elève (6ème3)'!CT5:CV5,"A"))*4)+((COUNTIF('Elève (6ème3)'!CT5:CV5,"B"))*3)+((COUNTIF('Elève (6ème3)'!CT5:CV5,"C"))*2)+((COUNTIF('Elève (6ème3)'!CT5:CV5,"D"))*1))/(COUNTA(CT5:CV5)),"")</f>
        <v/>
      </c>
      <c r="CX5" s="109" t="str">
        <f t="shared" si="22"/>
        <v/>
      </c>
      <c r="CY5" s="178" t="str">
        <f>IF(COUNT(CM5,CR5,CW5)=0,"",SUM(CM5,CR5,CW5)/COUNT(CM5,CR5,CW5))</f>
        <v/>
      </c>
      <c r="CZ5" s="131" t="str">
        <f t="shared" si="23"/>
        <v/>
      </c>
      <c r="DA5" s="153"/>
      <c r="DB5" s="154"/>
      <c r="DC5" s="155"/>
      <c r="DD5" s="108" t="str">
        <f>IFERROR((((COUNTIF('Elève (6ème3)'!DA5:DC5,"A"))*4)+((COUNTIF('Elève (6ème3)'!DA5:DC5,"B"))*3)+((COUNTIF('Elève (6ème3)'!DA5:DC5,"C"))*2)+((COUNTIF('Elève (6ème3)'!DA5:DC5,"D"))*1))/(COUNTA(DA5:DC5)),"")</f>
        <v/>
      </c>
      <c r="DE5" s="109" t="str">
        <f t="shared" si="24"/>
        <v/>
      </c>
      <c r="DF5" s="78"/>
      <c r="DG5" s="79"/>
      <c r="DH5" s="80"/>
      <c r="DI5" s="108" t="str">
        <f>IFERROR((((COUNTIF('Elève (6ème3)'!DF5:DH5,"A"))*4)+((COUNTIF('Elève (6ème3)'!DF5:DH5,"B"))*3)+((COUNTIF('Elève (6ème3)'!DF5:DH5,"C"))*2)+((COUNTIF('Elève (6ème3)'!DF5:DH5,"D"))*1))/(COUNTA(DF5:DH5)),"")</f>
        <v/>
      </c>
      <c r="DJ5" s="109" t="str">
        <f t="shared" si="25"/>
        <v/>
      </c>
      <c r="DK5" s="78"/>
      <c r="DL5" s="79"/>
      <c r="DM5" s="80"/>
      <c r="DN5" s="108" t="str">
        <f>IFERROR((((COUNTIF('Elève (6ème3)'!DK5:DM5,"A"))*4)+((COUNTIF('Elève (6ème3)'!DK5:DM5,"B"))*3)+((COUNTIF('Elève (6ème3)'!DK5:DM5,"C"))*2)+((COUNTIF('Elève (6ème3)'!DK5:DM5,"D"))*1))/(COUNTA(DK5:DM5)),"")</f>
        <v/>
      </c>
      <c r="DO5" s="109" t="str">
        <f t="shared" si="26"/>
        <v/>
      </c>
      <c r="DP5" s="178" t="str">
        <f>IF(COUNT(DD5,DI5,DN5)=0,"",SUM(DD5,DI5,DN5)/COUNT(DD5,DI5,DN5))</f>
        <v/>
      </c>
      <c r="DQ5" s="131" t="str">
        <f t="shared" si="27"/>
        <v/>
      </c>
      <c r="DR5" s="153"/>
      <c r="DS5" s="154"/>
      <c r="DT5" s="155"/>
      <c r="DU5" s="108" t="str">
        <f>IFERROR((((COUNTIF('Elève (6ème3)'!DR5:DT5,"A"))*4)+((COUNTIF('Elève (6ème3)'!DR5:DT5,"B"))*3)+((COUNTIF('Elève (6ème3)'!DR5:DT5,"C"))*2)+((COUNTIF('Elève (6ème3)'!DR5:DT5,"D"))*1))/(COUNTA(DR5:DT5)),"")</f>
        <v/>
      </c>
      <c r="DV5" s="109" t="str">
        <f t="shared" si="28"/>
        <v/>
      </c>
      <c r="DW5" s="78"/>
      <c r="DX5" s="79"/>
      <c r="DY5" s="80"/>
      <c r="DZ5" s="108" t="str">
        <f>IFERROR((((COUNTIF('Elève (6ème3)'!DW5:DY5,"A"))*4)+((COUNTIF('Elève (6ème3)'!DW5:DY5,"B"))*3)+((COUNTIF('Elève (6ème3)'!DW5:DY5,"C"))*2)+((COUNTIF('Elève (6ème3)'!DW5:DY5,"D"))*1))/(COUNTA(DW5:DY5)),"")</f>
        <v/>
      </c>
      <c r="EA5" s="109" t="str">
        <f t="shared" si="29"/>
        <v/>
      </c>
      <c r="EB5" s="78"/>
      <c r="EC5" s="79"/>
      <c r="ED5" s="80"/>
      <c r="EE5" s="108" t="str">
        <f>IFERROR((((COUNTIF('Elève (6ème3)'!EB5:ED5,"A"))*4)+((COUNTIF('Elève (6ème3)'!EB5:ED5,"B"))*3)+((COUNTIF('Elève (6ème3)'!EB5:ED5,"C"))*2)+((COUNTIF('Elève (6ème3)'!EB5:ED5,"D"))*1))/(COUNTA(EB5:ED5)),"")</f>
        <v/>
      </c>
      <c r="EF5" s="109" t="str">
        <f t="shared" si="30"/>
        <v/>
      </c>
      <c r="EG5" s="178" t="str">
        <f>IF(COUNT(DU5,DZ5,EE5)=0,"",SUM(DU5,DZ5,EE5)/COUNT(DU5,DZ5,EE5))</f>
        <v/>
      </c>
      <c r="EH5" s="131" t="str">
        <f t="shared" si="31"/>
        <v/>
      </c>
      <c r="EI5" s="153"/>
      <c r="EJ5" s="154"/>
      <c r="EK5" s="155"/>
      <c r="EL5" s="108" t="str">
        <f>IFERROR((((COUNTIF('Elève (6ème3)'!EI5:EK5,"A"))*4)+((COUNTIF('Elève (6ème3)'!EI5:EK5,"B"))*3)+((COUNTIF('Elève (6ème3)'!EI5:EK5,"C"))*2)+((COUNTIF('Elève (6ème3)'!EI5:EK5,"D"))*1))/(COUNTA(EI5:EK5)),"")</f>
        <v/>
      </c>
      <c r="EM5" s="109" t="str">
        <f t="shared" si="32"/>
        <v/>
      </c>
      <c r="EN5" s="78"/>
      <c r="EO5" s="79"/>
      <c r="EP5" s="80"/>
      <c r="EQ5" s="108" t="str">
        <f>IFERROR((((COUNTIF('Elève (6ème3)'!EN5:EP5,"A"))*4)+((COUNTIF('Elève (6ème3)'!EN5:EP5,"B"))*3)+((COUNTIF('Elève (6ème3)'!EN5:EP5,"C"))*2)+((COUNTIF('Elève (6ème3)'!EN5:EP5,"D"))*1))/(COUNTA(EN5:EP5)),"")</f>
        <v/>
      </c>
      <c r="ER5" s="109" t="str">
        <f t="shared" si="33"/>
        <v/>
      </c>
      <c r="ES5" s="78"/>
      <c r="ET5" s="79"/>
      <c r="EU5" s="80"/>
      <c r="EV5" s="108" t="str">
        <f>IFERROR((((COUNTIF('Elève (6ème3)'!ES5:EU5,"A"))*4)+((COUNTIF('Elève (6ème3)'!ES5:EU5,"B"))*3)+((COUNTIF('Elève (6ème3)'!ES5:EU5,"C"))*2)+((COUNTIF('Elève (6ème3)'!ES5:EU5,"D"))*1))/(COUNTA(ES5:EU5)),"")</f>
        <v/>
      </c>
      <c r="EW5" s="109" t="str">
        <f t="shared" si="34"/>
        <v/>
      </c>
      <c r="EX5" s="178" t="str">
        <f>IF(COUNT(EL5,EQ5,EV5)=0,"",SUM(EL5,EQ5,EV5)/COUNT(EL5,EQ5,EV5))</f>
        <v/>
      </c>
      <c r="EY5" s="131" t="str">
        <f t="shared" si="35"/>
        <v/>
      </c>
      <c r="EZ5" s="153"/>
      <c r="FA5" s="154"/>
      <c r="FB5" s="155"/>
      <c r="FC5" s="108" t="str">
        <f>IFERROR((((COUNTIF('Elève (6ème3)'!EZ5:FB5,"A"))*4)+((COUNTIF('Elève (6ème3)'!EZ5:FB5,"B"))*3)+((COUNTIF('Elève (6ème3)'!EZ5:FB5,"C"))*2)+((COUNTIF('Elève (6ème3)'!EZ5:FB5,"D"))*1))/(COUNTA(EZ5:FB5)),"")</f>
        <v/>
      </c>
      <c r="FD5" s="109" t="str">
        <f t="shared" si="36"/>
        <v/>
      </c>
      <c r="FE5" s="78"/>
      <c r="FF5" s="79"/>
      <c r="FG5" s="80"/>
      <c r="FH5" s="108" t="str">
        <f>IFERROR((((COUNTIF('Elève (6ème3)'!FE5:FG5,"A"))*4)+((COUNTIF('Elève (6ème3)'!FE5:FG5,"B"))*3)+((COUNTIF('Elève (6ème3)'!FE5:FG5,"C"))*2)+((COUNTIF('Elève (6ème3)'!FE5:FG5,"D"))*1))/(COUNTA(FE5:FG5)),"")</f>
        <v/>
      </c>
      <c r="FI5" s="109" t="str">
        <f t="shared" si="37"/>
        <v/>
      </c>
      <c r="FJ5" s="78"/>
      <c r="FK5" s="79"/>
      <c r="FL5" s="80"/>
      <c r="FM5" s="108" t="str">
        <f>IFERROR((((COUNTIF('Elève (6ème3)'!FJ5:FL5,"A"))*4)+((COUNTIF('Elève (6ème3)'!FJ5:FL5,"B"))*3)+((COUNTIF('Elève (6ème3)'!FJ5:FL5,"C"))*2)+((COUNTIF('Elève (6ème3)'!FJ5:FL5,"D"))*1))/(COUNTA(FJ5:FL5)),"")</f>
        <v/>
      </c>
      <c r="FN5" s="109" t="str">
        <f t="shared" si="38"/>
        <v/>
      </c>
      <c r="FO5" s="178" t="str">
        <f>IF(COUNT(FC5,FH5,FM5)=0,"",SUM(FC5,FH5,FM5)/COUNT(FC5,FH5,FM5))</f>
        <v/>
      </c>
      <c r="FP5" s="131" t="str">
        <f t="shared" si="39"/>
        <v/>
      </c>
      <c r="FQ5" s="153"/>
      <c r="FR5" s="154"/>
      <c r="FS5" s="155"/>
      <c r="FT5" s="108" t="str">
        <f>IFERROR((((COUNTIF('Elève (6ème3)'!FQ5:FS5,"A"))*4)+((COUNTIF('Elève (6ème3)'!FQ5:FS5,"B"))*3)+((COUNTIF('Elève (6ème3)'!FQ5:FS5,"C"))*2)+((COUNTIF('Elève (6ème3)'!FQ5:FS5,"D"))*1))/(COUNTA(FQ5:FS5)),"")</f>
        <v/>
      </c>
      <c r="FU5" s="109" t="str">
        <f t="shared" si="40"/>
        <v/>
      </c>
      <c r="FV5" s="78"/>
      <c r="FW5" s="79"/>
      <c r="FX5" s="80"/>
      <c r="FY5" s="108" t="str">
        <f>IFERROR((((COUNTIF('Elève (6ème3)'!FV5:FX5,"A"))*4)+((COUNTIF('Elève (6ème3)'!FV5:FX5,"B"))*3)+((COUNTIF('Elève (6ème3)'!FV5:FX5,"C"))*2)+((COUNTIF('Elève (6ème3)'!FV5:FX5,"D"))*1))/(COUNTA(FV5:FX5)),"")</f>
        <v/>
      </c>
      <c r="FZ5" s="109" t="str">
        <f t="shared" si="41"/>
        <v/>
      </c>
      <c r="GA5" s="78"/>
      <c r="GB5" s="79"/>
      <c r="GC5" s="80"/>
      <c r="GD5" s="108" t="str">
        <f>IFERROR((((COUNTIF('Elève (6ème3)'!GA5:GC5,"A"))*4)+((COUNTIF('Elève (6ème3)'!GA5:GC5,"B"))*3)+((COUNTIF('Elève (6ème3)'!GA5:GC5,"C"))*2)+((COUNTIF('Elève (6ème3)'!GA5:GC5,"D"))*1))/(COUNTA(GA5:GC5)),"")</f>
        <v/>
      </c>
      <c r="GE5" s="109" t="str">
        <f t="shared" si="42"/>
        <v/>
      </c>
      <c r="GF5" s="178" t="str">
        <f>IF(COUNT(FT5,FY5,GD5)=0,"",SUM(FT5,FY5,GD5)/COUNT(FT5,FY5,GD5))</f>
        <v/>
      </c>
      <c r="GG5" s="131" t="str">
        <f t="shared" si="43"/>
        <v/>
      </c>
      <c r="GH5" s="153"/>
      <c r="GI5" s="154"/>
      <c r="GJ5" s="155"/>
      <c r="GK5" s="108" t="str">
        <f>IFERROR((((COUNTIF('Elève (6ème3)'!GH5:GJ5,"A"))*4)+((COUNTIF('Elève (6ème3)'!GH5:GJ5,"B"))*3)+((COUNTIF('Elève (6ème3)'!GH5:GJ5,"C"))*2)+((COUNTIF('Elève (6ème3)'!GH5:GJ5,"D"))*1))/(COUNTA(GH5:GJ5)),"")</f>
        <v/>
      </c>
      <c r="GL5" s="109" t="str">
        <f t="shared" si="44"/>
        <v/>
      </c>
      <c r="GM5" s="78"/>
      <c r="GN5" s="79"/>
      <c r="GO5" s="80"/>
      <c r="GP5" s="108" t="str">
        <f>IFERROR((((COUNTIF('Elève (6ème3)'!GM5:GO5,"A"))*4)+((COUNTIF('Elève (6ème3)'!GM5:GO5,"B"))*3)+((COUNTIF('Elève (6ème3)'!GM5:GO5,"C"))*2)+((COUNTIF('Elève (6ème3)'!GM5:GO5,"D"))*1))/(COUNTA(GM5:GO5)),"")</f>
        <v/>
      </c>
      <c r="GQ5" s="109" t="str">
        <f t="shared" si="45"/>
        <v/>
      </c>
      <c r="GR5" s="78"/>
      <c r="GS5" s="79"/>
      <c r="GT5" s="80"/>
      <c r="GU5" s="108" t="str">
        <f>IFERROR((((COUNTIF('Elève (6ème3)'!GR5:GT5,"A"))*4)+((COUNTIF('Elève (6ème3)'!GR5:GT5,"B"))*3)+((COUNTIF('Elève (6ème3)'!GR5:GT5,"C"))*2)+((COUNTIF('Elève (6ème3)'!GR5:GT5,"D"))*1))/(COUNTA(GR5:GT5)),"")</f>
        <v/>
      </c>
      <c r="GV5" s="109" t="str">
        <f t="shared" si="46"/>
        <v/>
      </c>
      <c r="GW5" s="178" t="str">
        <f>IF(COUNT(GK5,GP5,GU5)=0,"",SUM(GK5,GP5,GU5)/COUNT(GK5,GP5,GU5))</f>
        <v/>
      </c>
      <c r="GX5" s="131" t="str">
        <f t="shared" si="47"/>
        <v/>
      </c>
      <c r="GY5" s="153"/>
      <c r="GZ5" s="154"/>
      <c r="HA5" s="155"/>
      <c r="HB5" s="108" t="str">
        <f>IFERROR((((COUNTIF('Elève (6ème3)'!GY5:HA5,"A"))*4)+((COUNTIF('Elève (6ème3)'!GY5:HA5,"B"))*3)+((COUNTIF('Elève (6ème3)'!GY5:HA5,"C"))*2)+((COUNTIF('Elève (6ème3)'!GY5:HA5,"D"))*1))/(COUNTA(GY5:HA5)),"")</f>
        <v/>
      </c>
      <c r="HC5" s="109" t="str">
        <f t="shared" si="48"/>
        <v/>
      </c>
      <c r="HD5" s="78"/>
      <c r="HE5" s="79"/>
      <c r="HF5" s="80"/>
      <c r="HG5" s="108" t="str">
        <f>IFERROR((((COUNTIF('Elève (6ème3)'!HD5:HF5,"A"))*4)+((COUNTIF('Elève (6ème3)'!HD5:HF5,"B"))*3)+((COUNTIF('Elève (6ème3)'!HD5:HF5,"C"))*2)+((COUNTIF('Elève (6ème3)'!HD5:HF5,"D"))*1))/(COUNTA(HD5:HF5)),"")</f>
        <v/>
      </c>
      <c r="HH5" s="109" t="str">
        <f t="shared" si="49"/>
        <v/>
      </c>
      <c r="HI5" s="78"/>
      <c r="HJ5" s="79"/>
      <c r="HK5" s="80"/>
      <c r="HL5" s="108" t="str">
        <f>IFERROR((((COUNTIF('Elève (6ème3)'!HI5:HK5,"A"))*4)+((COUNTIF('Elève (6ème3)'!HI5:HK5,"B"))*3)+((COUNTIF('Elève (6ème3)'!HI5:HK5,"C"))*2)+((COUNTIF('Elève (6ème3)'!HI5:HK5,"D"))*1))/(COUNTA(HI5:HK5)),"")</f>
        <v/>
      </c>
      <c r="HM5" s="109" t="str">
        <f t="shared" si="50"/>
        <v/>
      </c>
      <c r="HN5" s="178" t="str">
        <f>IF(COUNT(HB5,HG5,HL5)=0,"",SUM(HB5,HG5,HL5)/COUNT(HB5,HG5,HL5))</f>
        <v/>
      </c>
      <c r="HO5" s="131" t="str">
        <f t="shared" si="51"/>
        <v/>
      </c>
      <c r="HP5" s="153"/>
      <c r="HQ5" s="154"/>
      <c r="HR5" s="155"/>
      <c r="HS5" s="108" t="str">
        <f>IFERROR((((COUNTIF('Elève (6ème3)'!HP5:HR5,"A"))*4)+((COUNTIF('Elève (6ème3)'!HP5:HR5,"B"))*3)+((COUNTIF('Elève (6ème3)'!HP5:HR5,"C"))*2)+((COUNTIF('Elève (6ème3)'!HP5:HR5,"D"))*1))/(COUNTA(HP5:HR5)),"")</f>
        <v/>
      </c>
      <c r="HT5" s="109" t="str">
        <f t="shared" si="52"/>
        <v/>
      </c>
      <c r="HU5" s="78"/>
      <c r="HV5" s="79"/>
      <c r="HW5" s="80"/>
      <c r="HX5" s="108" t="str">
        <f>IFERROR((((COUNTIF('Elève (6ème3)'!HU5:HW5,"A"))*4)+((COUNTIF('Elève (6ème3)'!HU5:HW5,"B"))*3)+((COUNTIF('Elève (6ème3)'!HU5:HW5,"C"))*2)+((COUNTIF('Elève (6ème3)'!HU5:HW5,"D"))*1))/(COUNTA(HU5:HW5)),"")</f>
        <v/>
      </c>
      <c r="HY5" s="109" t="str">
        <f t="shared" si="53"/>
        <v/>
      </c>
      <c r="HZ5" s="78"/>
      <c r="IA5" s="79"/>
      <c r="IB5" s="80"/>
      <c r="IC5" s="108" t="str">
        <f>IFERROR((((COUNTIF('Elève (6ème3)'!HZ5:IB5,"A"))*4)+((COUNTIF('Elève (6ème3)'!HZ5:IB5,"B"))*3)+((COUNTIF('Elève (6ème3)'!HZ5:IB5,"C"))*2)+((COUNTIF('Elève (6ème3)'!HZ5:IB5,"D"))*1))/(COUNTA(HZ5:IB5)),"")</f>
        <v/>
      </c>
      <c r="ID5" s="109" t="str">
        <f t="shared" si="54"/>
        <v/>
      </c>
      <c r="IE5" s="178" t="str">
        <f>IF(COUNT(HS5,HX5,IC5)=0,"",SUM(HS5,HX5,IC5)/COUNT(HS5,HX5,IC5))</f>
        <v/>
      </c>
      <c r="IF5" s="131" t="str">
        <f t="shared" si="55"/>
        <v/>
      </c>
      <c r="IG5" s="153"/>
      <c r="IH5" s="154"/>
      <c r="II5" s="155"/>
      <c r="IJ5" s="108" t="str">
        <f>IFERROR((((COUNTIF('Elève (6ème3)'!IG5:II5,"A"))*4)+((COUNTIF('Elève (6ème3)'!IG5:II5,"B"))*3)+((COUNTIF('Elève (6ème3)'!IG5:II5,"C"))*2)+((COUNTIF('Elève (6ème3)'!IG5:II5,"D"))*1))/(COUNTA(IG5:II5)),"")</f>
        <v/>
      </c>
      <c r="IK5" s="109" t="str">
        <f t="shared" si="56"/>
        <v/>
      </c>
      <c r="IL5" s="78"/>
      <c r="IM5" s="79"/>
      <c r="IN5" s="80"/>
      <c r="IO5" s="108" t="str">
        <f>IFERROR((((COUNTIF('Elève (6ème3)'!IL5:IN5,"A"))*4)+((COUNTIF('Elève (6ème3)'!IL5:IN5,"B"))*3)+((COUNTIF('Elève (6ème3)'!IL5:IN5,"C"))*2)+((COUNTIF('Elève (6ème3)'!IL5:IN5,"D"))*1))/(COUNTA(IL5:IN5)),"")</f>
        <v/>
      </c>
      <c r="IP5" s="109" t="str">
        <f t="shared" si="57"/>
        <v/>
      </c>
      <c r="IQ5" s="78"/>
      <c r="IR5" s="79"/>
      <c r="IS5" s="80"/>
      <c r="IT5" s="108" t="str">
        <f>IFERROR((((COUNTIF('Elève (6ème3)'!IQ5:IS5,"A"))*4)+((COUNTIF('Elève (6ème3)'!IQ5:IS5,"B"))*3)+((COUNTIF('Elève (6ème3)'!IQ5:IS5,"C"))*2)+((COUNTIF('Elève (6ème3)'!IQ5:IS5,"D"))*1))/(COUNTA(IQ5:IS5)),"")</f>
        <v/>
      </c>
      <c r="IU5" s="109" t="str">
        <f t="shared" si="58"/>
        <v/>
      </c>
      <c r="IV5" s="178" t="str">
        <f>IF(COUNT(IJ5,IO5,IT5)=0,"",SUM(IJ5,IO5,IT5)/COUNT(IJ5,IO5,IT5))</f>
        <v/>
      </c>
      <c r="IW5" s="131" t="str">
        <f t="shared" si="59"/>
        <v/>
      </c>
      <c r="IX5" s="153"/>
      <c r="IY5" s="154"/>
      <c r="IZ5" s="155"/>
      <c r="JA5" s="108" t="str">
        <f>IFERROR((((COUNTIF('Elève (6ème3)'!IX5:IZ5,"A"))*4)+((COUNTIF('Elève (6ème3)'!IX5:IZ5,"B"))*3)+((COUNTIF('Elève (6ème3)'!IX5:IZ5,"C"))*2)+((COUNTIF('Elève (6ème3)'!IX5:IZ5,"D"))*1))/(COUNTA(IX5:IZ5)),"")</f>
        <v/>
      </c>
      <c r="JB5" s="109" t="str">
        <f t="shared" si="60"/>
        <v/>
      </c>
      <c r="JC5" s="78"/>
      <c r="JD5" s="79"/>
      <c r="JE5" s="80"/>
      <c r="JF5" s="108" t="str">
        <f>IFERROR((((COUNTIF('Elève (6ème3)'!JC5:JE5,"A"))*4)+((COUNTIF('Elève (6ème3)'!JC5:JE5,"B"))*3)+((COUNTIF('Elève (6ème3)'!JC5:JE5,"C"))*2)+((COUNTIF('Elève (6ème3)'!JC5:JE5,"D"))*1))/(COUNTA(JC5:JE5)),"")</f>
        <v/>
      </c>
      <c r="JG5" s="109" t="str">
        <f t="shared" si="61"/>
        <v/>
      </c>
      <c r="JH5" s="78"/>
      <c r="JI5" s="79"/>
      <c r="JJ5" s="80"/>
      <c r="JK5" s="108" t="str">
        <f>IFERROR((((COUNTIF('Elève (6ème3)'!JH5:JJ5,"A"))*4)+((COUNTIF('Elève (6ème3)'!JH5:JJ5,"B"))*3)+((COUNTIF('Elève (6ème3)'!JH5:JJ5,"C"))*2)+((COUNTIF('Elève (6ème3)'!JH5:JJ5,"D"))*1))/(COUNTA(JH5:JJ5)),"")</f>
        <v/>
      </c>
      <c r="JL5" s="109" t="str">
        <f t="shared" si="62"/>
        <v/>
      </c>
      <c r="JM5" s="178" t="str">
        <f>IF(COUNT(JA5,JF5,JK5)=0,"",SUM(JA5,JF5,JK5)/COUNT(JA5,JF5,JK5))</f>
        <v/>
      </c>
      <c r="JN5" s="131" t="str">
        <f t="shared" si="63"/>
        <v/>
      </c>
      <c r="JO5" s="153"/>
      <c r="JP5" s="154"/>
      <c r="JQ5" s="155"/>
      <c r="JR5" s="108" t="str">
        <f>IFERROR((((COUNTIF('Elève (6ème3)'!JO5:JQ5,"A"))*4)+((COUNTIF('Elève (6ème3)'!JO5:JQ5,"B"))*3)+((COUNTIF('Elève (6ème3)'!JO5:JQ5,"C"))*2)+((COUNTIF('Elève (6ème3)'!JO5:JQ5,"D"))*1))/(COUNTA(JO5:JQ5)),"")</f>
        <v/>
      </c>
      <c r="JS5" s="109" t="str">
        <f t="shared" si="64"/>
        <v/>
      </c>
      <c r="JT5" s="78"/>
      <c r="JU5" s="79"/>
      <c r="JV5" s="80"/>
      <c r="JW5" s="108" t="str">
        <f>IFERROR((((COUNTIF('Elève (6ème3)'!JT5:JV5,"A"))*4)+((COUNTIF('Elève (6ème3)'!JT5:JV5,"B"))*3)+((COUNTIF('Elève (6ème3)'!JT5:JV5,"C"))*2)+((COUNTIF('Elève (6ème3)'!JT5:JV5,"D"))*1))/(COUNTA(JT5:JV5)),"")</f>
        <v/>
      </c>
      <c r="JX5" s="109" t="str">
        <f t="shared" si="65"/>
        <v/>
      </c>
      <c r="JY5" s="78"/>
      <c r="JZ5" s="79"/>
      <c r="KA5" s="80"/>
      <c r="KB5" s="108" t="str">
        <f>IFERROR((((COUNTIF('Elève (6ème3)'!JY5:KA5,"A"))*4)+((COUNTIF('Elève (6ème3)'!JY5:KA5,"B"))*3)+((COUNTIF('Elève (6ème3)'!JY5:KA5,"C"))*2)+((COUNTIF('Elève (6ème3)'!JY5:KA5,"D"))*1))/(COUNTA(JY5:KA5)),"")</f>
        <v/>
      </c>
      <c r="KC5" s="109" t="str">
        <f t="shared" si="66"/>
        <v/>
      </c>
      <c r="KD5" s="178" t="str">
        <f>IF(COUNT(JR5,JW5,KB5)=0,"",SUM(JR5,JW5,KB5)/COUNT(JR5,JW5,KB5))</f>
        <v/>
      </c>
      <c r="KE5" s="131" t="str">
        <f t="shared" si="67"/>
        <v/>
      </c>
      <c r="KF5" s="153"/>
      <c r="KG5" s="154"/>
      <c r="KH5" s="155"/>
      <c r="KI5" s="108" t="str">
        <f>IFERROR((((COUNTIF('Elève (6ème3)'!KF5:KH5,"A"))*4)+((COUNTIF('Elève (6ème3)'!KF5:KH5,"B"))*3)+((COUNTIF('Elève (6ème3)'!KF5:KH5,"C"))*2)+((COUNTIF('Elève (6ème3)'!KF5:KH5,"D"))*1))/(COUNTA(KF5:KH5)),"")</f>
        <v/>
      </c>
      <c r="KJ5" s="109" t="str">
        <f t="shared" si="68"/>
        <v/>
      </c>
      <c r="KK5" s="78"/>
      <c r="KL5" s="79"/>
      <c r="KM5" s="80"/>
      <c r="KN5" s="108" t="str">
        <f>IFERROR((((COUNTIF('Elève (6ème3)'!KK5:KM5,"A"))*4)+((COUNTIF('Elève (6ème3)'!KK5:KM5,"B"))*3)+((COUNTIF('Elève (6ème3)'!KK5:KM5,"C"))*2)+((COUNTIF('Elève (6ème3)'!KK5:KM5,"D"))*1))/(COUNTA(KK5:KM5)),"")</f>
        <v/>
      </c>
      <c r="KO5" s="109" t="str">
        <f t="shared" si="69"/>
        <v/>
      </c>
      <c r="KP5" s="78"/>
      <c r="KQ5" s="79"/>
      <c r="KR5" s="80"/>
      <c r="KS5" s="108" t="str">
        <f>IFERROR((((COUNTIF('Elève (6ème3)'!KP5:KR5,"A"))*4)+((COUNTIF('Elève (6ème3)'!KP5:KR5,"B"))*3)+((COUNTIF('Elève (6ème3)'!KP5:KR5,"C"))*2)+((COUNTIF('Elève (6ème3)'!KP5:KR5,"D"))*1))/(COUNTA(KP5:KR5)),"")</f>
        <v/>
      </c>
      <c r="KT5" s="109" t="str">
        <f t="shared" si="70"/>
        <v/>
      </c>
      <c r="KU5" s="178" t="str">
        <f>IF(COUNT(KI5,KN5,KS5)=0,"",SUM(KI5,KN5,KS5)/COUNT(KI5,KN5,KS5))</f>
        <v/>
      </c>
      <c r="KV5" s="131" t="str">
        <f t="shared" si="71"/>
        <v/>
      </c>
      <c r="KW5" s="153"/>
      <c r="KX5" s="154"/>
      <c r="KY5" s="155"/>
      <c r="KZ5" s="108" t="str">
        <f>IFERROR((((COUNTIF('Elève (6ème3)'!KW5:KY5,"A"))*4)+((COUNTIF('Elève (6ème3)'!KW5:KY5,"B"))*3)+((COUNTIF('Elève (6ème3)'!KW5:KY5,"C"))*2)+((COUNTIF('Elève (6ème3)'!KW5:KY5,"D"))*1))/(COUNTA(KW5:KY5)),"")</f>
        <v/>
      </c>
      <c r="LA5" s="109" t="str">
        <f t="shared" si="72"/>
        <v/>
      </c>
      <c r="LB5" s="78"/>
      <c r="LC5" s="79"/>
      <c r="LD5" s="80"/>
      <c r="LE5" s="108" t="str">
        <f>IFERROR((((COUNTIF('Elève (6ème3)'!LB5:LD5,"A"))*4)+((COUNTIF('Elève (6ème3)'!LB5:LD5,"B"))*3)+((COUNTIF('Elève (6ème3)'!LB5:LD5,"C"))*2)+((COUNTIF('Elève (6ème3)'!LB5:LD5,"D"))*1))/(COUNTA(LB5:LD5)),"")</f>
        <v/>
      </c>
      <c r="LF5" s="109" t="str">
        <f t="shared" si="73"/>
        <v/>
      </c>
      <c r="LG5" s="78"/>
      <c r="LH5" s="79"/>
      <c r="LI5" s="80"/>
      <c r="LJ5" s="108" t="str">
        <f>IFERROR((((COUNTIF('Elève (6ème3)'!LG5:LI5,"A"))*4)+((COUNTIF('Elève (6ème3)'!LG5:LI5,"B"))*3)+((COUNTIF('Elève (6ème3)'!LG5:LI5,"C"))*2)+((COUNTIF('Elève (6ème3)'!LG5:LI5,"D"))*1))/(COUNTA(LG5:LI5)),"")</f>
        <v/>
      </c>
      <c r="LK5" s="109" t="str">
        <f t="shared" si="74"/>
        <v/>
      </c>
      <c r="LL5" s="178" t="str">
        <f>IF(COUNT(KZ5,LE5,LJ5)=0,"",SUM(KZ5,LE5,LJ5)/COUNT(KZ5,LE5,LJ5))</f>
        <v/>
      </c>
      <c r="LM5" s="131" t="str">
        <f t="shared" si="75"/>
        <v/>
      </c>
      <c r="LN5" s="153"/>
      <c r="LO5" s="154"/>
      <c r="LP5" s="155"/>
      <c r="LQ5" s="108" t="str">
        <f>IFERROR((((COUNTIF('Elève (6ème3)'!LN5:LP5,"A"))*4)+((COUNTIF('Elève (6ème3)'!LN5:LP5,"B"))*3)+((COUNTIF('Elève (6ème3)'!LN5:LP5,"C"))*2)+((COUNTIF('Elève (6ème3)'!LN5:LP5,"D"))*1))/(COUNTA(LN5:LP5)),"")</f>
        <v/>
      </c>
      <c r="LR5" s="109" t="str">
        <f t="shared" si="76"/>
        <v/>
      </c>
      <c r="LS5" s="78"/>
      <c r="LT5" s="79"/>
      <c r="LU5" s="80"/>
      <c r="LV5" s="108" t="str">
        <f>IFERROR((((COUNTIF('Elève (6ème3)'!LS5:LU5,"A"))*4)+((COUNTIF('Elève (6ème3)'!LS5:LU5,"B"))*3)+((COUNTIF('Elève (6ème3)'!LS5:LU5,"C"))*2)+((COUNTIF('Elève (6ème3)'!LS5:LU5,"D"))*1))/(COUNTA(LS5:LU5)),"")</f>
        <v/>
      </c>
      <c r="LW5" s="109" t="str">
        <f t="shared" si="77"/>
        <v/>
      </c>
      <c r="LX5" s="78"/>
      <c r="LY5" s="79"/>
      <c r="LZ5" s="80"/>
      <c r="MA5" s="108" t="str">
        <f>IFERROR((((COUNTIF('Elève (6ème3)'!LX5:LZ5,"A"))*4)+((COUNTIF('Elève (6ème3)'!LX5:LZ5,"B"))*3)+((COUNTIF('Elève (6ème3)'!LX5:LZ5,"C"))*2)+((COUNTIF('Elève (6ème3)'!LX5:LZ5,"D"))*1))/(COUNTA(LX5:LZ5)),"")</f>
        <v/>
      </c>
      <c r="MB5" s="109" t="str">
        <f t="shared" si="78"/>
        <v/>
      </c>
      <c r="MC5" s="178" t="str">
        <f>IF(COUNT(LQ5,LV5,MA5)=0,"",SUM(LQ5,LV5,MA5)/COUNT(LQ5,LV5,MA5))</f>
        <v/>
      </c>
      <c r="MD5" s="131" t="str">
        <f t="shared" si="79"/>
        <v/>
      </c>
      <c r="ME5" s="153"/>
      <c r="MF5" s="154"/>
      <c r="MG5" s="155"/>
      <c r="MH5" s="108" t="str">
        <f>IFERROR((((COUNTIF('Elève (6ème3)'!ME5:MG5,"A"))*4)+((COUNTIF('Elève (6ème3)'!ME5:MG5,"B"))*3)+((COUNTIF('Elève (6ème3)'!ME5:MG5,"C"))*2)+((COUNTIF('Elève (6ème3)'!ME5:MG5,"D"))*1))/(COUNTA(ME5:MG5)),"")</f>
        <v/>
      </c>
      <c r="MI5" s="109" t="str">
        <f t="shared" si="80"/>
        <v/>
      </c>
      <c r="MJ5" s="78"/>
      <c r="MK5" s="79"/>
      <c r="ML5" s="80"/>
      <c r="MM5" s="108" t="str">
        <f>IFERROR((((COUNTIF('Elève (6ème3)'!MJ5:ML5,"A"))*4)+((COUNTIF('Elève (6ème3)'!MJ5:ML5,"B"))*3)+((COUNTIF('Elève (6ème3)'!MJ5:ML5,"C"))*2)+((COUNTIF('Elève (6ème3)'!MJ5:ML5,"D"))*1))/(COUNTA(MJ5:ML5)),"")</f>
        <v/>
      </c>
      <c r="MN5" s="109" t="str">
        <f t="shared" si="81"/>
        <v/>
      </c>
      <c r="MO5" s="78"/>
      <c r="MP5" s="79"/>
      <c r="MQ5" s="80"/>
      <c r="MR5" s="108" t="str">
        <f>IFERROR((((COUNTIF('Elève (6ème3)'!MO5:MQ5,"A"))*4)+((COUNTIF('Elève (6ème3)'!MO5:MQ5,"B"))*3)+((COUNTIF('Elève (6ème3)'!MO5:MQ5,"C"))*2)+((COUNTIF('Elève (6ème3)'!MO5:MQ5,"D"))*1))/(COUNTA(MO5:MQ5)),"")</f>
        <v/>
      </c>
      <c r="MS5" s="109" t="str">
        <f t="shared" si="82"/>
        <v/>
      </c>
      <c r="MT5" s="178" t="str">
        <f>IF(COUNT(MH5,MM5,MR5)=0,"",SUM(MH5,MM5,MR5)/COUNT(MH5,MM5,MR5))</f>
        <v/>
      </c>
      <c r="MU5" s="131" t="str">
        <f t="shared" si="83"/>
        <v/>
      </c>
      <c r="MV5" s="153"/>
      <c r="MW5" s="154"/>
      <c r="MX5" s="155"/>
      <c r="MY5" s="108" t="str">
        <f>IFERROR((((COUNTIF('Elève (6ème3)'!MV5:MX5,"A"))*4)+((COUNTIF('Elève (6ème3)'!MV5:MX5,"B"))*3)+((COUNTIF('Elève (6ème3)'!MV5:MX5,"C"))*2)+((COUNTIF('Elève (6ème3)'!MV5:MX5,"D"))*1))/(COUNTA(MV5:MX5)),"")</f>
        <v/>
      </c>
      <c r="MZ5" s="109" t="str">
        <f t="shared" si="84"/>
        <v/>
      </c>
      <c r="NA5" s="78"/>
      <c r="NB5" s="79"/>
      <c r="NC5" s="80"/>
      <c r="ND5" s="108" t="str">
        <f>IFERROR((((COUNTIF('Elève (6ème3)'!NA5:NC5,"A"))*4)+((COUNTIF('Elève (6ème3)'!NA5:NC5,"B"))*3)+((COUNTIF('Elève (6ème3)'!NA5:NC5,"C"))*2)+((COUNTIF('Elève (6ème3)'!NA5:NC5,"D"))*1))/(COUNTA(NA5:NC5)),"")</f>
        <v/>
      </c>
      <c r="NE5" s="109" t="str">
        <f t="shared" si="85"/>
        <v/>
      </c>
      <c r="NF5" s="78"/>
      <c r="NG5" s="79"/>
      <c r="NH5" s="80"/>
      <c r="NI5" s="108" t="str">
        <f>IFERROR((((COUNTIF('Elève (6ème3)'!NF5:NH5,"A"))*4)+((COUNTIF('Elève (6ème3)'!NF5:NH5,"B"))*3)+((COUNTIF('Elève (6ème3)'!NF5:NH5,"C"))*2)+((COUNTIF('Elève (6ème3)'!NF5:NH5,"D"))*1))/(COUNTA(NF5:NH5)),"")</f>
        <v/>
      </c>
      <c r="NJ5" s="109" t="str">
        <f t="shared" si="86"/>
        <v/>
      </c>
      <c r="NK5" s="178" t="str">
        <f>IF(COUNT(MY5,ND5,NI5)=0,"",SUM(MY5,ND5,NI5)/COUNT(MY5,ND5,NI5))</f>
        <v/>
      </c>
      <c r="NL5" s="131" t="str">
        <f t="shared" si="87"/>
        <v/>
      </c>
      <c r="NM5" s="153"/>
      <c r="NN5" s="154"/>
      <c r="NO5" s="155"/>
      <c r="NP5" s="108" t="str">
        <f>IFERROR((((COUNTIF('Elève (6ème3)'!NM5:NO5,"A"))*4)+((COUNTIF('Elève (6ème3)'!NM5:NO5,"B"))*3)+((COUNTIF('Elève (6ème3)'!NM5:NO5,"C"))*2)+((COUNTIF('Elève (6ème3)'!NM5:NO5,"D"))*1))/(COUNTA(NM5:NO5)),"")</f>
        <v/>
      </c>
      <c r="NQ5" s="109" t="str">
        <f t="shared" si="88"/>
        <v/>
      </c>
      <c r="NR5" s="78"/>
      <c r="NS5" s="79"/>
      <c r="NT5" s="80"/>
      <c r="NU5" s="108" t="str">
        <f>IFERROR((((COUNTIF('Elève (6ème3)'!NR5:NT5,"A"))*4)+((COUNTIF('Elève (6ème3)'!NR5:NT5,"B"))*3)+((COUNTIF('Elève (6ème3)'!NR5:NT5,"C"))*2)+((COUNTIF('Elève (6ème3)'!NR5:NT5,"D"))*1))/(COUNTA(NR5:NT5)),"")</f>
        <v/>
      </c>
      <c r="NV5" s="109" t="str">
        <f t="shared" si="89"/>
        <v/>
      </c>
      <c r="NW5" s="78"/>
      <c r="NX5" s="79"/>
      <c r="NY5" s="80"/>
      <c r="NZ5" s="108" t="str">
        <f>IFERROR((((COUNTIF('Elève (6ème3)'!NW5:NY5,"A"))*4)+((COUNTIF('Elève (6ème3)'!NW5:NY5,"B"))*3)+((COUNTIF('Elève (6ème3)'!NW5:NY5,"C"))*2)+((COUNTIF('Elève (6ème3)'!NW5:NY5,"D"))*1))/(COUNTA(NW5:NY5)),"")</f>
        <v/>
      </c>
      <c r="OA5" s="109" t="str">
        <f t="shared" si="90"/>
        <v/>
      </c>
      <c r="OB5" s="178" t="str">
        <f>IF(COUNT(NP5,NU5,NZ5)=0,"",SUM(NP5,NU5,NZ5)/COUNT(NP5,NU5,NZ5))</f>
        <v/>
      </c>
      <c r="OC5" s="131" t="str">
        <f t="shared" si="91"/>
        <v/>
      </c>
      <c r="OD5" s="153"/>
      <c r="OE5" s="154"/>
      <c r="OF5" s="155"/>
      <c r="OG5" s="108" t="str">
        <f>IFERROR((((COUNTIF('Elève (6ème3)'!OD5:OF5,"A"))*4)+((COUNTIF('Elève (6ème3)'!OD5:OF5,"B"))*3)+((COUNTIF('Elève (6ème3)'!OD5:OF5,"C"))*2)+((COUNTIF('Elève (6ème3)'!OD5:OF5,"D"))*1))/(COUNTA(OD5:OF5)),"")</f>
        <v/>
      </c>
      <c r="OH5" s="109" t="str">
        <f t="shared" si="92"/>
        <v/>
      </c>
      <c r="OI5" s="78"/>
      <c r="OJ5" s="79"/>
      <c r="OK5" s="80"/>
      <c r="OL5" s="108" t="str">
        <f>IFERROR((((COUNTIF('Elève (6ème3)'!OI5:OK5,"A"))*4)+((COUNTIF('Elève (6ème3)'!OI5:OK5,"B"))*3)+((COUNTIF('Elève (6ème3)'!OI5:OK5,"C"))*2)+((COUNTIF('Elève (6ème3)'!OI5:OK5,"D"))*1))/(COUNTA(OI5:OK5)),"")</f>
        <v/>
      </c>
      <c r="OM5" s="109" t="str">
        <f t="shared" si="93"/>
        <v/>
      </c>
      <c r="ON5" s="78"/>
      <c r="OO5" s="79"/>
      <c r="OP5" s="80"/>
      <c r="OQ5" s="108" t="str">
        <f>IFERROR((((COUNTIF('Elève (6ème3)'!ON5:OP5,"A"))*4)+((COUNTIF('Elève (6ème3)'!ON5:OP5,"B"))*3)+((COUNTIF('Elève (6ème3)'!ON5:OP5,"C"))*2)+((COUNTIF('Elève (6ème3)'!ON5:OP5,"D"))*1))/(COUNTA(ON5:OP5)),"")</f>
        <v/>
      </c>
      <c r="OR5" s="109" t="str">
        <f t="shared" si="94"/>
        <v/>
      </c>
      <c r="OS5" s="178" t="str">
        <f>IF(COUNT(OG5,OL5,OQ5)=0,"",SUM(OG5,OL5,OQ5)/COUNT(OG5,OL5,OQ5))</f>
        <v/>
      </c>
      <c r="OT5" s="131" t="str">
        <f t="shared" si="95"/>
        <v/>
      </c>
      <c r="OU5" s="153"/>
      <c r="OV5" s="154"/>
      <c r="OW5" s="155"/>
      <c r="OX5" s="108" t="str">
        <f>IFERROR((((COUNTIF('Elève (6ème3)'!OU5:OW5,"A"))*4)+((COUNTIF('Elève (6ème3)'!OU5:OW5,"B"))*3)+((COUNTIF('Elève (6ème3)'!OU5:OW5,"C"))*2)+((COUNTIF('Elève (6ème3)'!OU5:OW5,"D"))*1))/(COUNTA(OU5:OW5)),"")</f>
        <v/>
      </c>
      <c r="OY5" s="109" t="str">
        <f t="shared" si="96"/>
        <v/>
      </c>
      <c r="OZ5" s="78"/>
      <c r="PA5" s="79"/>
      <c r="PB5" s="80"/>
      <c r="PC5" s="108" t="str">
        <f>IFERROR((((COUNTIF('Elève (6ème3)'!OZ5:PB5,"A"))*4)+((COUNTIF('Elève (6ème3)'!OZ5:PB5,"B"))*3)+((COUNTIF('Elève (6ème3)'!OZ5:PB5,"C"))*2)+((COUNTIF('Elève (6ème3)'!OZ5:PB5,"D"))*1))/(COUNTA(OZ5:PB5)),"")</f>
        <v/>
      </c>
      <c r="PD5" s="109" t="str">
        <f t="shared" si="97"/>
        <v/>
      </c>
      <c r="PE5" s="78"/>
      <c r="PF5" s="79"/>
      <c r="PG5" s="80"/>
      <c r="PH5" s="108" t="str">
        <f>IFERROR((((COUNTIF('Elève (6ème3)'!PE5:PG5,"A"))*4)+((COUNTIF('Elève (6ème3)'!PE5:PG5,"B"))*3)+((COUNTIF('Elève (6ème3)'!PE5:PG5,"C"))*2)+((COUNTIF('Elève (6ème3)'!PE5:PG5,"D"))*1))/(COUNTA(PE5:PG5)),"")</f>
        <v/>
      </c>
      <c r="PI5" s="109" t="str">
        <f t="shared" si="98"/>
        <v/>
      </c>
      <c r="PJ5" s="178" t="str">
        <f>IF(COUNT(OX5,PC5,PH5)=0,"",SUM(OX5,PC5,PH5)/COUNT(OX5,PC5,PH5))</f>
        <v/>
      </c>
      <c r="PK5" s="131" t="str">
        <f t="shared" si="99"/>
        <v/>
      </c>
      <c r="PL5" s="153"/>
      <c r="PM5" s="154"/>
      <c r="PN5" s="155"/>
      <c r="PO5" s="108" t="str">
        <f>IFERROR((((COUNTIF('Elève (6ème3)'!PL5:PN5,"A"))*4)+((COUNTIF('Elève (6ème3)'!PL5:PN5,"B"))*3)+((COUNTIF('Elève (6ème3)'!PL5:PN5,"C"))*2)+((COUNTIF('Elève (6ème3)'!PL5:PN5,"D"))*1))/(COUNTA(PL5:PN5)),"")</f>
        <v/>
      </c>
      <c r="PP5" s="109" t="str">
        <f t="shared" si="100"/>
        <v/>
      </c>
      <c r="PQ5" s="78"/>
      <c r="PR5" s="79"/>
      <c r="PS5" s="80"/>
      <c r="PT5" s="108" t="str">
        <f>IFERROR((((COUNTIF('Elève (6ème3)'!PQ5:PS5,"A"))*4)+((COUNTIF('Elève (6ème3)'!PQ5:PS5,"B"))*3)+((COUNTIF('Elève (6ème3)'!PQ5:PS5,"C"))*2)+((COUNTIF('Elève (6ème3)'!PQ5:PS5,"D"))*1))/(COUNTA(PQ5:PS5)),"")</f>
        <v/>
      </c>
      <c r="PU5" s="109" t="str">
        <f t="shared" si="101"/>
        <v/>
      </c>
      <c r="PV5" s="78"/>
      <c r="PW5" s="79"/>
      <c r="PX5" s="80"/>
      <c r="PY5" s="108" t="str">
        <f>IFERROR((((COUNTIF('Elève (6ème3)'!PV5:PX5,"A"))*4)+((COUNTIF('Elève (6ème3)'!PV5:PX5,"B"))*3)+((COUNTIF('Elève (6ème3)'!PV5:PX5,"C"))*2)+((COUNTIF('Elève (6ème3)'!PV5:PX5,"D"))*1))/(COUNTA(PV5:PX5)),"")</f>
        <v/>
      </c>
      <c r="PZ5" s="109" t="str">
        <f t="shared" si="102"/>
        <v/>
      </c>
      <c r="QA5" s="178" t="str">
        <f>IF(COUNT(PO5,PT5,PY5)=0,"",SUM(PO5,PT5,PY5)/COUNT(PO5,PT5,PY5))</f>
        <v/>
      </c>
      <c r="QB5" s="131" t="str">
        <f t="shared" si="103"/>
        <v/>
      </c>
      <c r="QC5" s="153"/>
      <c r="QD5" s="154"/>
      <c r="QE5" s="155"/>
      <c r="QF5" s="108" t="str">
        <f>IFERROR((((COUNTIF('Elève (6ème3)'!QC5:QE5,"A"))*4)+((COUNTIF('Elève (6ème3)'!QC5:QE5,"B"))*3)+((COUNTIF('Elève (6ème3)'!QC5:QE5,"C"))*2)+((COUNTIF('Elève (6ème3)'!QC5:QE5,"D"))*1))/(COUNTA(QC5:QE5)),"")</f>
        <v/>
      </c>
      <c r="QG5" s="109" t="str">
        <f t="shared" si="104"/>
        <v/>
      </c>
      <c r="QH5" s="78"/>
      <c r="QI5" s="79"/>
      <c r="QJ5" s="80"/>
      <c r="QK5" s="108" t="str">
        <f>IFERROR((((COUNTIF('Elève (6ème3)'!QH5:QJ5,"A"))*4)+((COUNTIF('Elève (6ème3)'!QH5:QJ5,"B"))*3)+((COUNTIF('Elève (6ème3)'!QH5:QJ5,"C"))*2)+((COUNTIF('Elève (6ème3)'!QH5:QJ5,"D"))*1))/(COUNTA(QH5:QJ5)),"")</f>
        <v/>
      </c>
      <c r="QL5" s="109" t="str">
        <f t="shared" si="105"/>
        <v/>
      </c>
      <c r="QM5" s="78"/>
      <c r="QN5" s="79"/>
      <c r="QO5" s="80"/>
      <c r="QP5" s="108" t="str">
        <f>IFERROR((((COUNTIF('Elève (6ème3)'!QM5:QO5,"A"))*4)+((COUNTIF('Elève (6ème3)'!QM5:QO5,"B"))*3)+((COUNTIF('Elève (6ème3)'!QM5:QO5,"C"))*2)+((COUNTIF('Elève (6ème3)'!QM5:QO5,"D"))*1))/(COUNTA(QM5:QO5)),"")</f>
        <v/>
      </c>
      <c r="QQ5" s="109" t="str">
        <f t="shared" si="106"/>
        <v/>
      </c>
      <c r="QR5" s="178" t="str">
        <f>IF(COUNT(QF5,QK5,QP5)=0,"",SUM(QF5,QK5,QP5)/COUNT(QF5,QK5,QP5))</f>
        <v/>
      </c>
      <c r="QS5" s="131" t="str">
        <f t="shared" si="107"/>
        <v/>
      </c>
      <c r="QT5" s="153"/>
      <c r="QU5" s="154"/>
      <c r="QV5" s="155"/>
      <c r="QW5" s="108" t="str">
        <f>IFERROR((((COUNTIF('Elève (6ème3)'!QT5:QV5,"A"))*4)+((COUNTIF('Elève (6ème3)'!QT5:QV5,"B"))*3)+((COUNTIF('Elève (6ème3)'!QT5:QV5,"C"))*2)+((COUNTIF('Elève (6ème3)'!QT5:QV5,"D"))*1))/(COUNTA(QT5:QV5)),"")</f>
        <v/>
      </c>
      <c r="QX5" s="109" t="str">
        <f t="shared" si="108"/>
        <v/>
      </c>
      <c r="QY5" s="78"/>
      <c r="QZ5" s="79"/>
      <c r="RA5" s="80"/>
      <c r="RB5" s="108" t="str">
        <f>IFERROR((((COUNTIF('Elève (6ème3)'!QY5:RA5,"A"))*4)+((COUNTIF('Elève (6ème3)'!QY5:RA5,"B"))*3)+((COUNTIF('Elève (6ème3)'!QY5:RA5,"C"))*2)+((COUNTIF('Elève (6ème3)'!QY5:RA5,"D"))*1))/(COUNTA(QY5:RA5)),"")</f>
        <v/>
      </c>
      <c r="RC5" s="109" t="str">
        <f t="shared" si="109"/>
        <v/>
      </c>
      <c r="RD5" s="78"/>
      <c r="RE5" s="79"/>
      <c r="RF5" s="80"/>
      <c r="RG5" s="108" t="str">
        <f>IFERROR((((COUNTIF('Elève (6ème3)'!RD5:RF5,"A"))*4)+((COUNTIF('Elève (6ème3)'!RD5:RF5,"B"))*3)+((COUNTIF('Elève (6ème3)'!RD5:RF5,"C"))*2)+((COUNTIF('Elève (6ème3)'!RD5:RF5,"D"))*1))/(COUNTA(RD5:RF5)),"")</f>
        <v/>
      </c>
      <c r="RH5" s="109" t="str">
        <f t="shared" si="110"/>
        <v/>
      </c>
      <c r="RI5" s="178" t="str">
        <f>IF(COUNT(QW5,RB5,RG5)=0,"",SUM(QW5,RB5,RG5)/COUNT(QW5,RB5,RG5))</f>
        <v/>
      </c>
      <c r="RJ5" s="131" t="str">
        <f t="shared" si="111"/>
        <v/>
      </c>
      <c r="RK5" s="153"/>
      <c r="RL5" s="154"/>
      <c r="RM5" s="155"/>
      <c r="RN5" s="108" t="str">
        <f>IFERROR((((COUNTIF('Elève (6ème3)'!RK5:RM5,"A"))*4)+((COUNTIF('Elève (6ème3)'!RK5:RM5,"B"))*3)+((COUNTIF('Elève (6ème3)'!RK5:RM5,"C"))*2)+((COUNTIF('Elève (6ème3)'!RK5:RM5,"D"))*1))/(COUNTA(RK5:RM5)),"")</f>
        <v/>
      </c>
      <c r="RO5" s="109" t="str">
        <f t="shared" si="112"/>
        <v/>
      </c>
      <c r="RP5" s="78"/>
      <c r="RQ5" s="79"/>
      <c r="RR5" s="80"/>
      <c r="RS5" s="108" t="str">
        <f>IFERROR((((COUNTIF('Elève (6ème3)'!RP5:RR5,"A"))*4)+((COUNTIF('Elève (6ème3)'!RP5:RR5,"B"))*3)+((COUNTIF('Elève (6ème3)'!RP5:RR5,"C"))*2)+((COUNTIF('Elève (6ème3)'!RP5:RR5,"D"))*1))/(COUNTA(RP5:RR5)),"")</f>
        <v/>
      </c>
      <c r="RT5" s="109" t="str">
        <f t="shared" si="113"/>
        <v/>
      </c>
      <c r="RU5" s="78"/>
      <c r="RV5" s="79"/>
      <c r="RW5" s="80"/>
      <c r="RX5" s="108" t="str">
        <f>IFERROR((((COUNTIF('Elève (6ème3)'!RU5:RW5,"A"))*4)+((COUNTIF('Elève (6ème3)'!RU5:RW5,"B"))*3)+((COUNTIF('Elève (6ème3)'!RU5:RW5,"C"))*2)+((COUNTIF('Elève (6ème3)'!RU5:RW5,"D"))*1))/(COUNTA(RU5:RW5)),"")</f>
        <v/>
      </c>
      <c r="RY5" s="109" t="str">
        <f t="shared" si="114"/>
        <v/>
      </c>
      <c r="RZ5" s="178" t="str">
        <f>IF(COUNT(RN5,RS5,RX5)=0,"",SUM(RN5,RS5,RX5)/COUNT(RN5,RS5,RX5))</f>
        <v/>
      </c>
      <c r="SA5" s="131" t="str">
        <f t="shared" si="115"/>
        <v/>
      </c>
      <c r="SB5" s="153"/>
      <c r="SC5" s="154"/>
      <c r="SD5" s="155"/>
      <c r="SE5" s="108" t="str">
        <f>IFERROR((((COUNTIF('Elève (6ème3)'!SB5:SD5,"A"))*4)+((COUNTIF('Elève (6ème3)'!SB5:SD5,"B"))*3)+((COUNTIF('Elève (6ème3)'!SB5:SD5,"C"))*2)+((COUNTIF('Elève (6ème3)'!SB5:SD5,"D"))*1))/(COUNTA(SB5:SD5)),"")</f>
        <v/>
      </c>
      <c r="SF5" s="109" t="str">
        <f t="shared" si="116"/>
        <v/>
      </c>
      <c r="SG5" s="78"/>
      <c r="SH5" s="79"/>
      <c r="SI5" s="80"/>
      <c r="SJ5" s="108" t="str">
        <f>IFERROR((((COUNTIF('Elève (6ème3)'!SG5:SI5,"A"))*4)+((COUNTIF('Elève (6ème3)'!SG5:SI5,"B"))*3)+((COUNTIF('Elève (6ème3)'!SG5:SI5,"C"))*2)+((COUNTIF('Elève (6ème3)'!SG5:SI5,"D"))*1))/(COUNTA(SG5:SI5)),"")</f>
        <v/>
      </c>
      <c r="SK5" s="109" t="str">
        <f t="shared" si="117"/>
        <v/>
      </c>
      <c r="SL5" s="78"/>
      <c r="SM5" s="79"/>
      <c r="SN5" s="80"/>
      <c r="SO5" s="108" t="str">
        <f>IFERROR((((COUNTIF('Elève (6ème3)'!SL5:SN5,"A"))*4)+((COUNTIF('Elève (6ème3)'!SL5:SN5,"B"))*3)+((COUNTIF('Elève (6ème3)'!SL5:SN5,"C"))*2)+((COUNTIF('Elève (6ème3)'!SL5:SN5,"D"))*1))/(COUNTA(SL5:SN5)),"")</f>
        <v/>
      </c>
      <c r="SP5" s="109" t="str">
        <f t="shared" si="118"/>
        <v/>
      </c>
      <c r="SQ5" s="178" t="str">
        <f>IF(COUNT(SE5,SJ5,SO5)=0,"",SUM(SE5,SJ5,SO5)/COUNT(SE5,SJ5,SO5))</f>
        <v/>
      </c>
      <c r="SR5" s="131" t="str">
        <f t="shared" si="119"/>
        <v/>
      </c>
    </row>
    <row r="6" spans="1:512" s="72" customFormat="1" ht="18" customHeight="1" thickBot="1" x14ac:dyDescent="0.3">
      <c r="A6" s="242" t="s">
        <v>13</v>
      </c>
      <c r="B6" s="243"/>
      <c r="C6" s="156"/>
      <c r="D6" s="157"/>
      <c r="E6" s="158"/>
      <c r="F6" s="110" t="str">
        <f>IFERROR((((COUNTIF('Elève (6ème3)'!C6:E6,"A"))*4)+((COUNTIF('Elève (6ème3)'!C6:E6,"B"))*3)+((COUNTIF('Elève (6ème3)'!C6:E6,"C"))*2)+((COUNTIF('Elève (6ème3)'!C6:E6,"D"))*1))/(COUNTA(C6:E6)),"")</f>
        <v/>
      </c>
      <c r="G6" s="111" t="str">
        <f t="shared" si="0"/>
        <v/>
      </c>
      <c r="H6" s="81"/>
      <c r="I6" s="82"/>
      <c r="J6" s="83"/>
      <c r="K6" s="110" t="str">
        <f>IFERROR((((COUNTIF('Elève (6ème3)'!H6:J6,"A"))*4)+((COUNTIF('Elève (6ème3)'!H6:J6,"B"))*3)+((COUNTIF('Elève (6ème3)'!H6:J6,"C"))*2)+((COUNTIF('Elève (6ème3)'!H6:J6,"D"))*1))/(COUNTA(H6:J6)),"")</f>
        <v/>
      </c>
      <c r="L6" s="111" t="str">
        <f t="shared" si="1"/>
        <v/>
      </c>
      <c r="M6" s="81"/>
      <c r="N6" s="82"/>
      <c r="O6" s="83"/>
      <c r="P6" s="110" t="str">
        <f>IFERROR((((COUNTIF('Elève (6ème3)'!M6:O6,"A"))*4)+((COUNTIF('Elève (6ème3)'!M6:O6,"B"))*3)+((COUNTIF('Elève (6ème3)'!M6:O6,"C"))*2)+((COUNTIF('Elève (6ème3)'!M6:O6,"D"))*1))/(COUNTA(M6:O6)),"")</f>
        <v/>
      </c>
      <c r="Q6" s="111" t="str">
        <f t="shared" si="2"/>
        <v/>
      </c>
      <c r="R6" s="179" t="str">
        <f>IF(COUNT(F6,K6,P6)=0,"",SUM(F6,K6,P6)/COUNT(F6,K6,P6))</f>
        <v/>
      </c>
      <c r="S6" s="132" t="str">
        <f t="shared" si="3"/>
        <v/>
      </c>
      <c r="T6" s="156"/>
      <c r="U6" s="157"/>
      <c r="V6" s="158"/>
      <c r="W6" s="110" t="str">
        <f>IFERROR((((COUNTIF('Elève (6ème3)'!T6:V6,"A"))*4)+((COUNTIF('Elève (6ème3)'!T6:V6,"B"))*3)+((COUNTIF('Elève (6ème3)'!T6:V6,"C"))*2)+((COUNTIF('Elève (6ème3)'!T6:V6,"D"))*1))/(COUNTA(T6:V6)),"")</f>
        <v/>
      </c>
      <c r="X6" s="111" t="str">
        <f t="shared" si="4"/>
        <v/>
      </c>
      <c r="Y6" s="81"/>
      <c r="Z6" s="82"/>
      <c r="AA6" s="83"/>
      <c r="AB6" s="110" t="str">
        <f>IFERROR((((COUNTIF('Elève (6ème3)'!Y6:AA6,"A"))*4)+((COUNTIF('Elève (6ème3)'!Y6:AA6,"B"))*3)+((COUNTIF('Elève (6ème3)'!Y6:AA6,"C"))*2)+((COUNTIF('Elève (6ème3)'!Y6:AA6,"D"))*1))/(COUNTA(Y6:AA6)),"")</f>
        <v/>
      </c>
      <c r="AC6" s="111" t="str">
        <f t="shared" si="5"/>
        <v/>
      </c>
      <c r="AD6" s="81"/>
      <c r="AE6" s="82"/>
      <c r="AF6" s="83"/>
      <c r="AG6" s="110" t="str">
        <f>IFERROR((((COUNTIF('Elève (6ème3)'!AD6:AF6,"A"))*4)+((COUNTIF('Elève (6ème3)'!AD6:AF6,"B"))*3)+((COUNTIF('Elève (6ème3)'!AD6:AF6,"C"))*2)+((COUNTIF('Elève (6ème3)'!AD6:AF6,"D"))*1))/(COUNTA(AD6:AF6)),"")</f>
        <v/>
      </c>
      <c r="AH6" s="111" t="str">
        <f t="shared" si="6"/>
        <v/>
      </c>
      <c r="AI6" s="179" t="str">
        <f>IF(COUNT(W6,AB6,AG6)=0,"",SUM(W6,AB6,AG6)/COUNT(W6,AB6,AG6))</f>
        <v/>
      </c>
      <c r="AJ6" s="132" t="str">
        <f t="shared" si="7"/>
        <v/>
      </c>
      <c r="AK6" s="156"/>
      <c r="AL6" s="157"/>
      <c r="AM6" s="158"/>
      <c r="AN6" s="110" t="str">
        <f>IFERROR((((COUNTIF('Elève (6ème3)'!AK6:AM6,"A"))*4)+((COUNTIF('Elève (6ème3)'!AK6:AM6,"B"))*3)+((COUNTIF('Elève (6ème3)'!AK6:AM6,"C"))*2)+((COUNTIF('Elève (6ème3)'!AK6:AM6,"D"))*1))/(COUNTA(AK6:AM6)),"")</f>
        <v/>
      </c>
      <c r="AO6" s="111" t="str">
        <f t="shared" si="8"/>
        <v/>
      </c>
      <c r="AP6" s="81"/>
      <c r="AQ6" s="82"/>
      <c r="AR6" s="83"/>
      <c r="AS6" s="110" t="str">
        <f>IFERROR((((COUNTIF('Elève (6ème3)'!AP6:AR6,"A"))*4)+((COUNTIF('Elève (6ème3)'!AP6:AR6,"B"))*3)+((COUNTIF('Elève (6ème3)'!AP6:AR6,"C"))*2)+((COUNTIF('Elève (6ème3)'!AP6:AR6,"D"))*1))/(COUNTA(AP6:AR6)),"")</f>
        <v/>
      </c>
      <c r="AT6" s="111" t="str">
        <f t="shared" si="9"/>
        <v/>
      </c>
      <c r="AU6" s="81"/>
      <c r="AV6" s="82"/>
      <c r="AW6" s="83"/>
      <c r="AX6" s="110" t="str">
        <f>IFERROR((((COUNTIF('Elève (6ème3)'!AU6:AW6,"A"))*4)+((COUNTIF('Elève (6ème3)'!AU6:AW6,"B"))*3)+((COUNTIF('Elève (6ème3)'!AU6:AW6,"C"))*2)+((COUNTIF('Elève (6ème3)'!AU6:AW6,"D"))*1))/(COUNTA(AU6:AW6)),"")</f>
        <v/>
      </c>
      <c r="AY6" s="111" t="str">
        <f t="shared" si="10"/>
        <v/>
      </c>
      <c r="AZ6" s="179" t="str">
        <f>IF(COUNT(AN6,AS6,AX6)=0,"",SUM(AN6,AS6,AX6)/COUNT(AN6,AS6,AX6))</f>
        <v/>
      </c>
      <c r="BA6" s="132" t="str">
        <f t="shared" si="11"/>
        <v/>
      </c>
      <c r="BB6" s="156"/>
      <c r="BC6" s="157"/>
      <c r="BD6" s="158"/>
      <c r="BE6" s="110" t="str">
        <f>IFERROR((((COUNTIF('Elève (6ème3)'!BB6:BD6,"A"))*4)+((COUNTIF('Elève (6ème3)'!BB6:BD6,"B"))*3)+((COUNTIF('Elève (6ème3)'!BB6:BD6,"C"))*2)+((COUNTIF('Elève (6ème3)'!BB6:BD6,"D"))*1))/(COUNTA(BB6:BD6)),"")</f>
        <v/>
      </c>
      <c r="BF6" s="111" t="str">
        <f t="shared" si="12"/>
        <v/>
      </c>
      <c r="BG6" s="81"/>
      <c r="BH6" s="82"/>
      <c r="BI6" s="83"/>
      <c r="BJ6" s="110" t="str">
        <f>IFERROR((((COUNTIF('Elève (6ème3)'!BG6:BI6,"A"))*4)+((COUNTIF('Elève (6ème3)'!BG6:BI6,"B"))*3)+((COUNTIF('Elève (6ème3)'!BG6:BI6,"C"))*2)+((COUNTIF('Elève (6ème3)'!BG6:BI6,"D"))*1))/(COUNTA(BG6:BI6)),"")</f>
        <v/>
      </c>
      <c r="BK6" s="111" t="str">
        <f t="shared" si="13"/>
        <v/>
      </c>
      <c r="BL6" s="81"/>
      <c r="BM6" s="82"/>
      <c r="BN6" s="83"/>
      <c r="BO6" s="110" t="str">
        <f>IFERROR((((COUNTIF('Elève (6ème3)'!BL6:BN6,"A"))*4)+((COUNTIF('Elève (6ème3)'!BL6:BN6,"B"))*3)+((COUNTIF('Elève (6ème3)'!BL6:BN6,"C"))*2)+((COUNTIF('Elève (6ème3)'!BL6:BN6,"D"))*1))/(COUNTA(BL6:BN6)),"")</f>
        <v/>
      </c>
      <c r="BP6" s="111" t="str">
        <f t="shared" si="14"/>
        <v/>
      </c>
      <c r="BQ6" s="179" t="str">
        <f>IF(COUNT(BE6,BJ6,BO6)=0,"",SUM(BE6,BJ6,BO6)/COUNT(BE6,BJ6,BO6))</f>
        <v/>
      </c>
      <c r="BR6" s="132" t="str">
        <f t="shared" si="15"/>
        <v/>
      </c>
      <c r="BS6" s="156"/>
      <c r="BT6" s="157"/>
      <c r="BU6" s="158"/>
      <c r="BV6" s="110" t="str">
        <f>IFERROR((((COUNTIF('Elève (6ème3)'!BS6:BU6,"A"))*4)+((COUNTIF('Elève (6ème3)'!BS6:BU6,"B"))*3)+((COUNTIF('Elève (6ème3)'!BS6:BU6,"C"))*2)+((COUNTIF('Elève (6ème3)'!BS6:BU6,"D"))*1))/(COUNTA(BS6:BU6)),"")</f>
        <v/>
      </c>
      <c r="BW6" s="111" t="str">
        <f t="shared" si="16"/>
        <v/>
      </c>
      <c r="BX6" s="81"/>
      <c r="BY6" s="82"/>
      <c r="BZ6" s="83"/>
      <c r="CA6" s="110" t="str">
        <f>IFERROR((((COUNTIF('Elève (6ème3)'!BX6:BZ6,"A"))*4)+((COUNTIF('Elève (6ème3)'!BX6:BZ6,"B"))*3)+((COUNTIF('Elève (6ème3)'!BX6:BZ6,"C"))*2)+((COUNTIF('Elève (6ème3)'!BX6:BZ6,"D"))*1))/(COUNTA(BX6:BZ6)),"")</f>
        <v/>
      </c>
      <c r="CB6" s="111" t="str">
        <f t="shared" si="17"/>
        <v/>
      </c>
      <c r="CC6" s="81"/>
      <c r="CD6" s="82"/>
      <c r="CE6" s="83"/>
      <c r="CF6" s="110" t="str">
        <f>IFERROR((((COUNTIF('Elève (6ème3)'!CC6:CE6,"A"))*4)+((COUNTIF('Elève (6ème3)'!CC6:CE6,"B"))*3)+((COUNTIF('Elève (6ème3)'!CC6:CE6,"C"))*2)+((COUNTIF('Elève (6ème3)'!CC6:CE6,"D"))*1))/(COUNTA(CC6:CE6)),"")</f>
        <v/>
      </c>
      <c r="CG6" s="111" t="str">
        <f t="shared" si="18"/>
        <v/>
      </c>
      <c r="CH6" s="179" t="str">
        <f>IF(COUNT(BV6,CA6,CF6)=0,"",SUM(BV6,CA6,CF6)/COUNT(BV6,CA6,CF6))</f>
        <v/>
      </c>
      <c r="CI6" s="132" t="str">
        <f t="shared" si="19"/>
        <v/>
      </c>
      <c r="CJ6" s="156"/>
      <c r="CK6" s="157"/>
      <c r="CL6" s="158"/>
      <c r="CM6" s="110" t="str">
        <f>IFERROR((((COUNTIF('Elève (6ème3)'!CJ6:CL6,"A"))*4)+((COUNTIF('Elève (6ème3)'!CJ6:CL6,"B"))*3)+((COUNTIF('Elève (6ème3)'!CJ6:CL6,"C"))*2)+((COUNTIF('Elève (6ème3)'!CJ6:CL6,"D"))*1))/(COUNTA(CJ6:CL6)),"")</f>
        <v/>
      </c>
      <c r="CN6" s="111" t="str">
        <f t="shared" si="20"/>
        <v/>
      </c>
      <c r="CO6" s="81"/>
      <c r="CP6" s="82"/>
      <c r="CQ6" s="83"/>
      <c r="CR6" s="110" t="str">
        <f>IFERROR((((COUNTIF('Elève (6ème3)'!CO6:CQ6,"A"))*4)+((COUNTIF('Elève (6ème3)'!CO6:CQ6,"B"))*3)+((COUNTIF('Elève (6ème3)'!CO6:CQ6,"C"))*2)+((COUNTIF('Elève (6ème3)'!CO6:CQ6,"D"))*1))/(COUNTA(CO6:CQ6)),"")</f>
        <v/>
      </c>
      <c r="CS6" s="111" t="str">
        <f t="shared" si="21"/>
        <v/>
      </c>
      <c r="CT6" s="81"/>
      <c r="CU6" s="82"/>
      <c r="CV6" s="83"/>
      <c r="CW6" s="110" t="str">
        <f>IFERROR((((COUNTIF('Elève (6ème3)'!CT6:CV6,"A"))*4)+((COUNTIF('Elève (6ème3)'!CT6:CV6,"B"))*3)+((COUNTIF('Elève (6ème3)'!CT6:CV6,"C"))*2)+((COUNTIF('Elève (6ème3)'!CT6:CV6,"D"))*1))/(COUNTA(CT6:CV6)),"")</f>
        <v/>
      </c>
      <c r="CX6" s="111" t="str">
        <f t="shared" si="22"/>
        <v/>
      </c>
      <c r="CY6" s="179" t="str">
        <f>IF(COUNT(CM6,CR6,CW6)=0,"",SUM(CM6,CR6,CW6)/COUNT(CM6,CR6,CW6))</f>
        <v/>
      </c>
      <c r="CZ6" s="132" t="str">
        <f t="shared" si="23"/>
        <v/>
      </c>
      <c r="DA6" s="156"/>
      <c r="DB6" s="157"/>
      <c r="DC6" s="158"/>
      <c r="DD6" s="110" t="str">
        <f>IFERROR((((COUNTIF('Elève (6ème3)'!DA6:DC6,"A"))*4)+((COUNTIF('Elève (6ème3)'!DA6:DC6,"B"))*3)+((COUNTIF('Elève (6ème3)'!DA6:DC6,"C"))*2)+((COUNTIF('Elève (6ème3)'!DA6:DC6,"D"))*1))/(COUNTA(DA6:DC6)),"")</f>
        <v/>
      </c>
      <c r="DE6" s="111" t="str">
        <f t="shared" si="24"/>
        <v/>
      </c>
      <c r="DF6" s="81"/>
      <c r="DG6" s="82"/>
      <c r="DH6" s="83"/>
      <c r="DI6" s="110" t="str">
        <f>IFERROR((((COUNTIF('Elève (6ème3)'!DF6:DH6,"A"))*4)+((COUNTIF('Elève (6ème3)'!DF6:DH6,"B"))*3)+((COUNTIF('Elève (6ème3)'!DF6:DH6,"C"))*2)+((COUNTIF('Elève (6ème3)'!DF6:DH6,"D"))*1))/(COUNTA(DF6:DH6)),"")</f>
        <v/>
      </c>
      <c r="DJ6" s="111" t="str">
        <f t="shared" si="25"/>
        <v/>
      </c>
      <c r="DK6" s="81"/>
      <c r="DL6" s="82"/>
      <c r="DM6" s="83"/>
      <c r="DN6" s="110" t="str">
        <f>IFERROR((((COUNTIF('Elève (6ème3)'!DK6:DM6,"A"))*4)+((COUNTIF('Elève (6ème3)'!DK6:DM6,"B"))*3)+((COUNTIF('Elève (6ème3)'!DK6:DM6,"C"))*2)+((COUNTIF('Elève (6ème3)'!DK6:DM6,"D"))*1))/(COUNTA(DK6:DM6)),"")</f>
        <v/>
      </c>
      <c r="DO6" s="111" t="str">
        <f t="shared" si="26"/>
        <v/>
      </c>
      <c r="DP6" s="179" t="str">
        <f>IF(COUNT(DD6,DI6,DN6)=0,"",SUM(DD6,DI6,DN6)/COUNT(DD6,DI6,DN6))</f>
        <v/>
      </c>
      <c r="DQ6" s="132" t="str">
        <f t="shared" si="27"/>
        <v/>
      </c>
      <c r="DR6" s="156"/>
      <c r="DS6" s="157"/>
      <c r="DT6" s="158"/>
      <c r="DU6" s="110" t="str">
        <f>IFERROR((((COUNTIF('Elève (6ème3)'!DR6:DT6,"A"))*4)+((COUNTIF('Elève (6ème3)'!DR6:DT6,"B"))*3)+((COUNTIF('Elève (6ème3)'!DR6:DT6,"C"))*2)+((COUNTIF('Elève (6ème3)'!DR6:DT6,"D"))*1))/(COUNTA(DR6:DT6)),"")</f>
        <v/>
      </c>
      <c r="DV6" s="111" t="str">
        <f t="shared" si="28"/>
        <v/>
      </c>
      <c r="DW6" s="81"/>
      <c r="DX6" s="82"/>
      <c r="DY6" s="83"/>
      <c r="DZ6" s="110" t="str">
        <f>IFERROR((((COUNTIF('Elève (6ème3)'!DW6:DY6,"A"))*4)+((COUNTIF('Elève (6ème3)'!DW6:DY6,"B"))*3)+((COUNTIF('Elève (6ème3)'!DW6:DY6,"C"))*2)+((COUNTIF('Elève (6ème3)'!DW6:DY6,"D"))*1))/(COUNTA(DW6:DY6)),"")</f>
        <v/>
      </c>
      <c r="EA6" s="111" t="str">
        <f t="shared" si="29"/>
        <v/>
      </c>
      <c r="EB6" s="81"/>
      <c r="EC6" s="82"/>
      <c r="ED6" s="83"/>
      <c r="EE6" s="110" t="str">
        <f>IFERROR((((COUNTIF('Elève (6ème3)'!EB6:ED6,"A"))*4)+((COUNTIF('Elève (6ème3)'!EB6:ED6,"B"))*3)+((COUNTIF('Elève (6ème3)'!EB6:ED6,"C"))*2)+((COUNTIF('Elève (6ème3)'!EB6:ED6,"D"))*1))/(COUNTA(EB6:ED6)),"")</f>
        <v/>
      </c>
      <c r="EF6" s="111" t="str">
        <f t="shared" si="30"/>
        <v/>
      </c>
      <c r="EG6" s="179" t="str">
        <f>IF(COUNT(DU6,DZ6,EE6)=0,"",SUM(DU6,DZ6,EE6)/COUNT(DU6,DZ6,EE6))</f>
        <v/>
      </c>
      <c r="EH6" s="132" t="str">
        <f t="shared" si="31"/>
        <v/>
      </c>
      <c r="EI6" s="156"/>
      <c r="EJ6" s="157"/>
      <c r="EK6" s="158"/>
      <c r="EL6" s="110" t="str">
        <f>IFERROR((((COUNTIF('Elève (6ème3)'!EI6:EK6,"A"))*4)+((COUNTIF('Elève (6ème3)'!EI6:EK6,"B"))*3)+((COUNTIF('Elève (6ème3)'!EI6:EK6,"C"))*2)+((COUNTIF('Elève (6ème3)'!EI6:EK6,"D"))*1))/(COUNTA(EI6:EK6)),"")</f>
        <v/>
      </c>
      <c r="EM6" s="111" t="str">
        <f t="shared" si="32"/>
        <v/>
      </c>
      <c r="EN6" s="81"/>
      <c r="EO6" s="82"/>
      <c r="EP6" s="83"/>
      <c r="EQ6" s="110" t="str">
        <f>IFERROR((((COUNTIF('Elève (6ème3)'!EN6:EP6,"A"))*4)+((COUNTIF('Elève (6ème3)'!EN6:EP6,"B"))*3)+((COUNTIF('Elève (6ème3)'!EN6:EP6,"C"))*2)+((COUNTIF('Elève (6ème3)'!EN6:EP6,"D"))*1))/(COUNTA(EN6:EP6)),"")</f>
        <v/>
      </c>
      <c r="ER6" s="111" t="str">
        <f t="shared" si="33"/>
        <v/>
      </c>
      <c r="ES6" s="81"/>
      <c r="ET6" s="82"/>
      <c r="EU6" s="83"/>
      <c r="EV6" s="110" t="str">
        <f>IFERROR((((COUNTIF('Elève (6ème3)'!ES6:EU6,"A"))*4)+((COUNTIF('Elève (6ème3)'!ES6:EU6,"B"))*3)+((COUNTIF('Elève (6ème3)'!ES6:EU6,"C"))*2)+((COUNTIF('Elève (6ème3)'!ES6:EU6,"D"))*1))/(COUNTA(ES6:EU6)),"")</f>
        <v/>
      </c>
      <c r="EW6" s="111" t="str">
        <f t="shared" si="34"/>
        <v/>
      </c>
      <c r="EX6" s="179" t="str">
        <f>IF(COUNT(EL6,EQ6,EV6)=0,"",SUM(EL6,EQ6,EV6)/COUNT(EL6,EQ6,EV6))</f>
        <v/>
      </c>
      <c r="EY6" s="132" t="str">
        <f t="shared" si="35"/>
        <v/>
      </c>
      <c r="EZ6" s="156"/>
      <c r="FA6" s="157"/>
      <c r="FB6" s="158"/>
      <c r="FC6" s="110" t="str">
        <f>IFERROR((((COUNTIF('Elève (6ème3)'!EZ6:FB6,"A"))*4)+((COUNTIF('Elève (6ème3)'!EZ6:FB6,"B"))*3)+((COUNTIF('Elève (6ème3)'!EZ6:FB6,"C"))*2)+((COUNTIF('Elève (6ème3)'!EZ6:FB6,"D"))*1))/(COUNTA(EZ6:FB6)),"")</f>
        <v/>
      </c>
      <c r="FD6" s="111" t="str">
        <f t="shared" si="36"/>
        <v/>
      </c>
      <c r="FE6" s="81"/>
      <c r="FF6" s="82"/>
      <c r="FG6" s="83"/>
      <c r="FH6" s="110" t="str">
        <f>IFERROR((((COUNTIF('Elève (6ème3)'!FE6:FG6,"A"))*4)+((COUNTIF('Elève (6ème3)'!FE6:FG6,"B"))*3)+((COUNTIF('Elève (6ème3)'!FE6:FG6,"C"))*2)+((COUNTIF('Elève (6ème3)'!FE6:FG6,"D"))*1))/(COUNTA(FE6:FG6)),"")</f>
        <v/>
      </c>
      <c r="FI6" s="111" t="str">
        <f t="shared" si="37"/>
        <v/>
      </c>
      <c r="FJ6" s="81"/>
      <c r="FK6" s="82"/>
      <c r="FL6" s="83"/>
      <c r="FM6" s="110" t="str">
        <f>IFERROR((((COUNTIF('Elève (6ème3)'!FJ6:FL6,"A"))*4)+((COUNTIF('Elève (6ème3)'!FJ6:FL6,"B"))*3)+((COUNTIF('Elève (6ème3)'!FJ6:FL6,"C"))*2)+((COUNTIF('Elève (6ème3)'!FJ6:FL6,"D"))*1))/(COUNTA(FJ6:FL6)),"")</f>
        <v/>
      </c>
      <c r="FN6" s="111" t="str">
        <f t="shared" si="38"/>
        <v/>
      </c>
      <c r="FO6" s="179" t="str">
        <f>IF(COUNT(FC6,FH6,FM6)=0,"",SUM(FC6,FH6,FM6)/COUNT(FC6,FH6,FM6))</f>
        <v/>
      </c>
      <c r="FP6" s="132" t="str">
        <f t="shared" si="39"/>
        <v/>
      </c>
      <c r="FQ6" s="156"/>
      <c r="FR6" s="157"/>
      <c r="FS6" s="158"/>
      <c r="FT6" s="110" t="str">
        <f>IFERROR((((COUNTIF('Elève (6ème3)'!FQ6:FS6,"A"))*4)+((COUNTIF('Elève (6ème3)'!FQ6:FS6,"B"))*3)+((COUNTIF('Elève (6ème3)'!FQ6:FS6,"C"))*2)+((COUNTIF('Elève (6ème3)'!FQ6:FS6,"D"))*1))/(COUNTA(FQ6:FS6)),"")</f>
        <v/>
      </c>
      <c r="FU6" s="111" t="str">
        <f t="shared" si="40"/>
        <v/>
      </c>
      <c r="FV6" s="81"/>
      <c r="FW6" s="82"/>
      <c r="FX6" s="83"/>
      <c r="FY6" s="110" t="str">
        <f>IFERROR((((COUNTIF('Elève (6ème3)'!FV6:FX6,"A"))*4)+((COUNTIF('Elève (6ème3)'!FV6:FX6,"B"))*3)+((COUNTIF('Elève (6ème3)'!FV6:FX6,"C"))*2)+((COUNTIF('Elève (6ème3)'!FV6:FX6,"D"))*1))/(COUNTA(FV6:FX6)),"")</f>
        <v/>
      </c>
      <c r="FZ6" s="111" t="str">
        <f t="shared" si="41"/>
        <v/>
      </c>
      <c r="GA6" s="81"/>
      <c r="GB6" s="82"/>
      <c r="GC6" s="83"/>
      <c r="GD6" s="110" t="str">
        <f>IFERROR((((COUNTIF('Elève (6ème3)'!GA6:GC6,"A"))*4)+((COUNTIF('Elève (6ème3)'!GA6:GC6,"B"))*3)+((COUNTIF('Elève (6ème3)'!GA6:GC6,"C"))*2)+((COUNTIF('Elève (6ème3)'!GA6:GC6,"D"))*1))/(COUNTA(GA6:GC6)),"")</f>
        <v/>
      </c>
      <c r="GE6" s="111" t="str">
        <f t="shared" si="42"/>
        <v/>
      </c>
      <c r="GF6" s="179" t="str">
        <f>IF(COUNT(FT6,FY6,GD6)=0,"",SUM(FT6,FY6,GD6)/COUNT(FT6,FY6,GD6))</f>
        <v/>
      </c>
      <c r="GG6" s="132" t="str">
        <f t="shared" si="43"/>
        <v/>
      </c>
      <c r="GH6" s="156"/>
      <c r="GI6" s="157"/>
      <c r="GJ6" s="158"/>
      <c r="GK6" s="110" t="str">
        <f>IFERROR((((COUNTIF('Elève (6ème3)'!GH6:GJ6,"A"))*4)+((COUNTIF('Elève (6ème3)'!GH6:GJ6,"B"))*3)+((COUNTIF('Elève (6ème3)'!GH6:GJ6,"C"))*2)+((COUNTIF('Elève (6ème3)'!GH6:GJ6,"D"))*1))/(COUNTA(GH6:GJ6)),"")</f>
        <v/>
      </c>
      <c r="GL6" s="111" t="str">
        <f t="shared" si="44"/>
        <v/>
      </c>
      <c r="GM6" s="81"/>
      <c r="GN6" s="82"/>
      <c r="GO6" s="83"/>
      <c r="GP6" s="110" t="str">
        <f>IFERROR((((COUNTIF('Elève (6ème3)'!GM6:GO6,"A"))*4)+((COUNTIF('Elève (6ème3)'!GM6:GO6,"B"))*3)+((COUNTIF('Elève (6ème3)'!GM6:GO6,"C"))*2)+((COUNTIF('Elève (6ème3)'!GM6:GO6,"D"))*1))/(COUNTA(GM6:GO6)),"")</f>
        <v/>
      </c>
      <c r="GQ6" s="111" t="str">
        <f t="shared" si="45"/>
        <v/>
      </c>
      <c r="GR6" s="81"/>
      <c r="GS6" s="82"/>
      <c r="GT6" s="83"/>
      <c r="GU6" s="110" t="str">
        <f>IFERROR((((COUNTIF('Elève (6ème3)'!GR6:GT6,"A"))*4)+((COUNTIF('Elève (6ème3)'!GR6:GT6,"B"))*3)+((COUNTIF('Elève (6ème3)'!GR6:GT6,"C"))*2)+((COUNTIF('Elève (6ème3)'!GR6:GT6,"D"))*1))/(COUNTA(GR6:GT6)),"")</f>
        <v/>
      </c>
      <c r="GV6" s="111" t="str">
        <f t="shared" si="46"/>
        <v/>
      </c>
      <c r="GW6" s="179" t="str">
        <f>IF(COUNT(GK6,GP6,GU6)=0,"",SUM(GK6,GP6,GU6)/COUNT(GK6,GP6,GU6))</f>
        <v/>
      </c>
      <c r="GX6" s="132" t="str">
        <f t="shared" si="47"/>
        <v/>
      </c>
      <c r="GY6" s="156"/>
      <c r="GZ6" s="157"/>
      <c r="HA6" s="158"/>
      <c r="HB6" s="110" t="str">
        <f>IFERROR((((COUNTIF('Elève (6ème3)'!GY6:HA6,"A"))*4)+((COUNTIF('Elève (6ème3)'!GY6:HA6,"B"))*3)+((COUNTIF('Elève (6ème3)'!GY6:HA6,"C"))*2)+((COUNTIF('Elève (6ème3)'!GY6:HA6,"D"))*1))/(COUNTA(GY6:HA6)),"")</f>
        <v/>
      </c>
      <c r="HC6" s="111" t="str">
        <f t="shared" si="48"/>
        <v/>
      </c>
      <c r="HD6" s="81"/>
      <c r="HE6" s="82"/>
      <c r="HF6" s="83"/>
      <c r="HG6" s="110" t="str">
        <f>IFERROR((((COUNTIF('Elève (6ème3)'!HD6:HF6,"A"))*4)+((COUNTIF('Elève (6ème3)'!HD6:HF6,"B"))*3)+((COUNTIF('Elève (6ème3)'!HD6:HF6,"C"))*2)+((COUNTIF('Elève (6ème3)'!HD6:HF6,"D"))*1))/(COUNTA(HD6:HF6)),"")</f>
        <v/>
      </c>
      <c r="HH6" s="111" t="str">
        <f t="shared" si="49"/>
        <v/>
      </c>
      <c r="HI6" s="81"/>
      <c r="HJ6" s="82"/>
      <c r="HK6" s="83"/>
      <c r="HL6" s="110" t="str">
        <f>IFERROR((((COUNTIF('Elève (6ème3)'!HI6:HK6,"A"))*4)+((COUNTIF('Elève (6ème3)'!HI6:HK6,"B"))*3)+((COUNTIF('Elève (6ème3)'!HI6:HK6,"C"))*2)+((COUNTIF('Elève (6ème3)'!HI6:HK6,"D"))*1))/(COUNTA(HI6:HK6)),"")</f>
        <v/>
      </c>
      <c r="HM6" s="111" t="str">
        <f t="shared" si="50"/>
        <v/>
      </c>
      <c r="HN6" s="179" t="str">
        <f>IF(COUNT(HB6,HG6,HL6)=0,"",SUM(HB6,HG6,HL6)/COUNT(HB6,HG6,HL6))</f>
        <v/>
      </c>
      <c r="HO6" s="132" t="str">
        <f t="shared" si="51"/>
        <v/>
      </c>
      <c r="HP6" s="156"/>
      <c r="HQ6" s="157"/>
      <c r="HR6" s="158"/>
      <c r="HS6" s="110" t="str">
        <f>IFERROR((((COUNTIF('Elève (6ème3)'!HP6:HR6,"A"))*4)+((COUNTIF('Elève (6ème3)'!HP6:HR6,"B"))*3)+((COUNTIF('Elève (6ème3)'!HP6:HR6,"C"))*2)+((COUNTIF('Elève (6ème3)'!HP6:HR6,"D"))*1))/(COUNTA(HP6:HR6)),"")</f>
        <v/>
      </c>
      <c r="HT6" s="111" t="str">
        <f t="shared" si="52"/>
        <v/>
      </c>
      <c r="HU6" s="81"/>
      <c r="HV6" s="82"/>
      <c r="HW6" s="83"/>
      <c r="HX6" s="110" t="str">
        <f>IFERROR((((COUNTIF('Elève (6ème3)'!HU6:HW6,"A"))*4)+((COUNTIF('Elève (6ème3)'!HU6:HW6,"B"))*3)+((COUNTIF('Elève (6ème3)'!HU6:HW6,"C"))*2)+((COUNTIF('Elève (6ème3)'!HU6:HW6,"D"))*1))/(COUNTA(HU6:HW6)),"")</f>
        <v/>
      </c>
      <c r="HY6" s="111" t="str">
        <f t="shared" si="53"/>
        <v/>
      </c>
      <c r="HZ6" s="81"/>
      <c r="IA6" s="82"/>
      <c r="IB6" s="83"/>
      <c r="IC6" s="110" t="str">
        <f>IFERROR((((COUNTIF('Elève (6ème3)'!HZ6:IB6,"A"))*4)+((COUNTIF('Elève (6ème3)'!HZ6:IB6,"B"))*3)+((COUNTIF('Elève (6ème3)'!HZ6:IB6,"C"))*2)+((COUNTIF('Elève (6ème3)'!HZ6:IB6,"D"))*1))/(COUNTA(HZ6:IB6)),"")</f>
        <v/>
      </c>
      <c r="ID6" s="111" t="str">
        <f t="shared" si="54"/>
        <v/>
      </c>
      <c r="IE6" s="179" t="str">
        <f>IF(COUNT(HS6,HX6,IC6)=0,"",SUM(HS6,HX6,IC6)/COUNT(HS6,HX6,IC6))</f>
        <v/>
      </c>
      <c r="IF6" s="132" t="str">
        <f t="shared" si="55"/>
        <v/>
      </c>
      <c r="IG6" s="156"/>
      <c r="IH6" s="157"/>
      <c r="II6" s="158"/>
      <c r="IJ6" s="110" t="str">
        <f>IFERROR((((COUNTIF('Elève (6ème3)'!IG6:II6,"A"))*4)+((COUNTIF('Elève (6ème3)'!IG6:II6,"B"))*3)+((COUNTIF('Elève (6ème3)'!IG6:II6,"C"))*2)+((COUNTIF('Elève (6ème3)'!IG6:II6,"D"))*1))/(COUNTA(IG6:II6)),"")</f>
        <v/>
      </c>
      <c r="IK6" s="111" t="str">
        <f t="shared" si="56"/>
        <v/>
      </c>
      <c r="IL6" s="81"/>
      <c r="IM6" s="82"/>
      <c r="IN6" s="83"/>
      <c r="IO6" s="110" t="str">
        <f>IFERROR((((COUNTIF('Elève (6ème3)'!IL6:IN6,"A"))*4)+((COUNTIF('Elève (6ème3)'!IL6:IN6,"B"))*3)+((COUNTIF('Elève (6ème3)'!IL6:IN6,"C"))*2)+((COUNTIF('Elève (6ème3)'!IL6:IN6,"D"))*1))/(COUNTA(IL6:IN6)),"")</f>
        <v/>
      </c>
      <c r="IP6" s="111" t="str">
        <f t="shared" si="57"/>
        <v/>
      </c>
      <c r="IQ6" s="81"/>
      <c r="IR6" s="82"/>
      <c r="IS6" s="83"/>
      <c r="IT6" s="110" t="str">
        <f>IFERROR((((COUNTIF('Elève (6ème3)'!IQ6:IS6,"A"))*4)+((COUNTIF('Elève (6ème3)'!IQ6:IS6,"B"))*3)+((COUNTIF('Elève (6ème3)'!IQ6:IS6,"C"))*2)+((COUNTIF('Elève (6ème3)'!IQ6:IS6,"D"))*1))/(COUNTA(IQ6:IS6)),"")</f>
        <v/>
      </c>
      <c r="IU6" s="111" t="str">
        <f t="shared" si="58"/>
        <v/>
      </c>
      <c r="IV6" s="179" t="str">
        <f>IF(COUNT(IJ6,IO6,IT6)=0,"",SUM(IJ6,IO6,IT6)/COUNT(IJ6,IO6,IT6))</f>
        <v/>
      </c>
      <c r="IW6" s="132" t="str">
        <f t="shared" si="59"/>
        <v/>
      </c>
      <c r="IX6" s="156"/>
      <c r="IY6" s="157"/>
      <c r="IZ6" s="158"/>
      <c r="JA6" s="110" t="str">
        <f>IFERROR((((COUNTIF('Elève (6ème3)'!IX6:IZ6,"A"))*4)+((COUNTIF('Elève (6ème3)'!IX6:IZ6,"B"))*3)+((COUNTIF('Elève (6ème3)'!IX6:IZ6,"C"))*2)+((COUNTIF('Elève (6ème3)'!IX6:IZ6,"D"))*1))/(COUNTA(IX6:IZ6)),"")</f>
        <v/>
      </c>
      <c r="JB6" s="111" t="str">
        <f t="shared" si="60"/>
        <v/>
      </c>
      <c r="JC6" s="81"/>
      <c r="JD6" s="82"/>
      <c r="JE6" s="83"/>
      <c r="JF6" s="110" t="str">
        <f>IFERROR((((COUNTIF('Elève (6ème3)'!JC6:JE6,"A"))*4)+((COUNTIF('Elève (6ème3)'!JC6:JE6,"B"))*3)+((COUNTIF('Elève (6ème3)'!JC6:JE6,"C"))*2)+((COUNTIF('Elève (6ème3)'!JC6:JE6,"D"))*1))/(COUNTA(JC6:JE6)),"")</f>
        <v/>
      </c>
      <c r="JG6" s="111" t="str">
        <f t="shared" si="61"/>
        <v/>
      </c>
      <c r="JH6" s="81"/>
      <c r="JI6" s="82"/>
      <c r="JJ6" s="83"/>
      <c r="JK6" s="110" t="str">
        <f>IFERROR((((COUNTIF('Elève (6ème3)'!JH6:JJ6,"A"))*4)+((COUNTIF('Elève (6ème3)'!JH6:JJ6,"B"))*3)+((COUNTIF('Elève (6ème3)'!JH6:JJ6,"C"))*2)+((COUNTIF('Elève (6ème3)'!JH6:JJ6,"D"))*1))/(COUNTA(JH6:JJ6)),"")</f>
        <v/>
      </c>
      <c r="JL6" s="111" t="str">
        <f t="shared" si="62"/>
        <v/>
      </c>
      <c r="JM6" s="179" t="str">
        <f>IF(COUNT(JA6,JF6,JK6)=0,"",SUM(JA6,JF6,JK6)/COUNT(JA6,JF6,JK6))</f>
        <v/>
      </c>
      <c r="JN6" s="132" t="str">
        <f t="shared" si="63"/>
        <v/>
      </c>
      <c r="JO6" s="156"/>
      <c r="JP6" s="157"/>
      <c r="JQ6" s="158"/>
      <c r="JR6" s="110" t="str">
        <f>IFERROR((((COUNTIF('Elève (6ème3)'!JO6:JQ6,"A"))*4)+((COUNTIF('Elève (6ème3)'!JO6:JQ6,"B"))*3)+((COUNTIF('Elève (6ème3)'!JO6:JQ6,"C"))*2)+((COUNTIF('Elève (6ème3)'!JO6:JQ6,"D"))*1))/(COUNTA(JO6:JQ6)),"")</f>
        <v/>
      </c>
      <c r="JS6" s="111" t="str">
        <f t="shared" si="64"/>
        <v/>
      </c>
      <c r="JT6" s="81"/>
      <c r="JU6" s="82"/>
      <c r="JV6" s="83"/>
      <c r="JW6" s="110" t="str">
        <f>IFERROR((((COUNTIF('Elève (6ème3)'!JT6:JV6,"A"))*4)+((COUNTIF('Elève (6ème3)'!JT6:JV6,"B"))*3)+((COUNTIF('Elève (6ème3)'!JT6:JV6,"C"))*2)+((COUNTIF('Elève (6ème3)'!JT6:JV6,"D"))*1))/(COUNTA(JT6:JV6)),"")</f>
        <v/>
      </c>
      <c r="JX6" s="111" t="str">
        <f t="shared" si="65"/>
        <v/>
      </c>
      <c r="JY6" s="81"/>
      <c r="JZ6" s="82"/>
      <c r="KA6" s="83"/>
      <c r="KB6" s="110" t="str">
        <f>IFERROR((((COUNTIF('Elève (6ème3)'!JY6:KA6,"A"))*4)+((COUNTIF('Elève (6ème3)'!JY6:KA6,"B"))*3)+((COUNTIF('Elève (6ème3)'!JY6:KA6,"C"))*2)+((COUNTIF('Elève (6ème3)'!JY6:KA6,"D"))*1))/(COUNTA(JY6:KA6)),"")</f>
        <v/>
      </c>
      <c r="KC6" s="111" t="str">
        <f t="shared" si="66"/>
        <v/>
      </c>
      <c r="KD6" s="179" t="str">
        <f>IF(COUNT(JR6,JW6,KB6)=0,"",SUM(JR6,JW6,KB6)/COUNT(JR6,JW6,KB6))</f>
        <v/>
      </c>
      <c r="KE6" s="132" t="str">
        <f t="shared" si="67"/>
        <v/>
      </c>
      <c r="KF6" s="156"/>
      <c r="KG6" s="157"/>
      <c r="KH6" s="158"/>
      <c r="KI6" s="110" t="str">
        <f>IFERROR((((COUNTIF('Elève (6ème3)'!KF6:KH6,"A"))*4)+((COUNTIF('Elève (6ème3)'!KF6:KH6,"B"))*3)+((COUNTIF('Elève (6ème3)'!KF6:KH6,"C"))*2)+((COUNTIF('Elève (6ème3)'!KF6:KH6,"D"))*1))/(COUNTA(KF6:KH6)),"")</f>
        <v/>
      </c>
      <c r="KJ6" s="111" t="str">
        <f t="shared" si="68"/>
        <v/>
      </c>
      <c r="KK6" s="81"/>
      <c r="KL6" s="82"/>
      <c r="KM6" s="83"/>
      <c r="KN6" s="110" t="str">
        <f>IFERROR((((COUNTIF('Elève (6ème3)'!KK6:KM6,"A"))*4)+((COUNTIF('Elève (6ème3)'!KK6:KM6,"B"))*3)+((COUNTIF('Elève (6ème3)'!KK6:KM6,"C"))*2)+((COUNTIF('Elève (6ème3)'!KK6:KM6,"D"))*1))/(COUNTA(KK6:KM6)),"")</f>
        <v/>
      </c>
      <c r="KO6" s="111" t="str">
        <f t="shared" si="69"/>
        <v/>
      </c>
      <c r="KP6" s="81"/>
      <c r="KQ6" s="82"/>
      <c r="KR6" s="83"/>
      <c r="KS6" s="110" t="str">
        <f>IFERROR((((COUNTIF('Elève (6ème3)'!KP6:KR6,"A"))*4)+((COUNTIF('Elève (6ème3)'!KP6:KR6,"B"))*3)+((COUNTIF('Elève (6ème3)'!KP6:KR6,"C"))*2)+((COUNTIF('Elève (6ème3)'!KP6:KR6,"D"))*1))/(COUNTA(KP6:KR6)),"")</f>
        <v/>
      </c>
      <c r="KT6" s="111" t="str">
        <f t="shared" si="70"/>
        <v/>
      </c>
      <c r="KU6" s="179" t="str">
        <f>IF(COUNT(KI6,KN6,KS6)=0,"",SUM(KI6,KN6,KS6)/COUNT(KI6,KN6,KS6))</f>
        <v/>
      </c>
      <c r="KV6" s="132" t="str">
        <f t="shared" si="71"/>
        <v/>
      </c>
      <c r="KW6" s="156"/>
      <c r="KX6" s="157"/>
      <c r="KY6" s="158"/>
      <c r="KZ6" s="110" t="str">
        <f>IFERROR((((COUNTIF('Elève (6ème3)'!KW6:KY6,"A"))*4)+((COUNTIF('Elève (6ème3)'!KW6:KY6,"B"))*3)+((COUNTIF('Elève (6ème3)'!KW6:KY6,"C"))*2)+((COUNTIF('Elève (6ème3)'!KW6:KY6,"D"))*1))/(COUNTA(KW6:KY6)),"")</f>
        <v/>
      </c>
      <c r="LA6" s="111" t="str">
        <f t="shared" si="72"/>
        <v/>
      </c>
      <c r="LB6" s="81"/>
      <c r="LC6" s="82"/>
      <c r="LD6" s="83"/>
      <c r="LE6" s="110" t="str">
        <f>IFERROR((((COUNTIF('Elève (6ème3)'!LB6:LD6,"A"))*4)+((COUNTIF('Elève (6ème3)'!LB6:LD6,"B"))*3)+((COUNTIF('Elève (6ème3)'!LB6:LD6,"C"))*2)+((COUNTIF('Elève (6ème3)'!LB6:LD6,"D"))*1))/(COUNTA(LB6:LD6)),"")</f>
        <v/>
      </c>
      <c r="LF6" s="111" t="str">
        <f t="shared" si="73"/>
        <v/>
      </c>
      <c r="LG6" s="81"/>
      <c r="LH6" s="82"/>
      <c r="LI6" s="83"/>
      <c r="LJ6" s="110" t="str">
        <f>IFERROR((((COUNTIF('Elève (6ème3)'!LG6:LI6,"A"))*4)+((COUNTIF('Elève (6ème3)'!LG6:LI6,"B"))*3)+((COUNTIF('Elève (6ème3)'!LG6:LI6,"C"))*2)+((COUNTIF('Elève (6ème3)'!LG6:LI6,"D"))*1))/(COUNTA(LG6:LI6)),"")</f>
        <v/>
      </c>
      <c r="LK6" s="111" t="str">
        <f t="shared" si="74"/>
        <v/>
      </c>
      <c r="LL6" s="179" t="str">
        <f>IF(COUNT(KZ6,LE6,LJ6)=0,"",SUM(KZ6,LE6,LJ6)/COUNT(KZ6,LE6,LJ6))</f>
        <v/>
      </c>
      <c r="LM6" s="132" t="str">
        <f t="shared" si="75"/>
        <v/>
      </c>
      <c r="LN6" s="156"/>
      <c r="LO6" s="157"/>
      <c r="LP6" s="158"/>
      <c r="LQ6" s="110" t="str">
        <f>IFERROR((((COUNTIF('Elève (6ème3)'!LN6:LP6,"A"))*4)+((COUNTIF('Elève (6ème3)'!LN6:LP6,"B"))*3)+((COUNTIF('Elève (6ème3)'!LN6:LP6,"C"))*2)+((COUNTIF('Elève (6ème3)'!LN6:LP6,"D"))*1))/(COUNTA(LN6:LP6)),"")</f>
        <v/>
      </c>
      <c r="LR6" s="111" t="str">
        <f t="shared" si="76"/>
        <v/>
      </c>
      <c r="LS6" s="81"/>
      <c r="LT6" s="82"/>
      <c r="LU6" s="83"/>
      <c r="LV6" s="110" t="str">
        <f>IFERROR((((COUNTIF('Elève (6ème3)'!LS6:LU6,"A"))*4)+((COUNTIF('Elève (6ème3)'!LS6:LU6,"B"))*3)+((COUNTIF('Elève (6ème3)'!LS6:LU6,"C"))*2)+((COUNTIF('Elève (6ème3)'!LS6:LU6,"D"))*1))/(COUNTA(LS6:LU6)),"")</f>
        <v/>
      </c>
      <c r="LW6" s="111" t="str">
        <f t="shared" si="77"/>
        <v/>
      </c>
      <c r="LX6" s="81"/>
      <c r="LY6" s="82"/>
      <c r="LZ6" s="83"/>
      <c r="MA6" s="110" t="str">
        <f>IFERROR((((COUNTIF('Elève (6ème3)'!LX6:LZ6,"A"))*4)+((COUNTIF('Elève (6ème3)'!LX6:LZ6,"B"))*3)+((COUNTIF('Elève (6ème3)'!LX6:LZ6,"C"))*2)+((COUNTIF('Elève (6ème3)'!LX6:LZ6,"D"))*1))/(COUNTA(LX6:LZ6)),"")</f>
        <v/>
      </c>
      <c r="MB6" s="111" t="str">
        <f t="shared" si="78"/>
        <v/>
      </c>
      <c r="MC6" s="179" t="str">
        <f>IF(COUNT(LQ6,LV6,MA6)=0,"",SUM(LQ6,LV6,MA6)/COUNT(LQ6,LV6,MA6))</f>
        <v/>
      </c>
      <c r="MD6" s="132" t="str">
        <f t="shared" si="79"/>
        <v/>
      </c>
      <c r="ME6" s="156"/>
      <c r="MF6" s="157"/>
      <c r="MG6" s="158"/>
      <c r="MH6" s="110" t="str">
        <f>IFERROR((((COUNTIF('Elève (6ème3)'!ME6:MG6,"A"))*4)+((COUNTIF('Elève (6ème3)'!ME6:MG6,"B"))*3)+((COUNTIF('Elève (6ème3)'!ME6:MG6,"C"))*2)+((COUNTIF('Elève (6ème3)'!ME6:MG6,"D"))*1))/(COUNTA(ME6:MG6)),"")</f>
        <v/>
      </c>
      <c r="MI6" s="111" t="str">
        <f t="shared" si="80"/>
        <v/>
      </c>
      <c r="MJ6" s="81"/>
      <c r="MK6" s="82"/>
      <c r="ML6" s="83"/>
      <c r="MM6" s="110" t="str">
        <f>IFERROR((((COUNTIF('Elève (6ème3)'!MJ6:ML6,"A"))*4)+((COUNTIF('Elève (6ème3)'!MJ6:ML6,"B"))*3)+((COUNTIF('Elève (6ème3)'!MJ6:ML6,"C"))*2)+((COUNTIF('Elève (6ème3)'!MJ6:ML6,"D"))*1))/(COUNTA(MJ6:ML6)),"")</f>
        <v/>
      </c>
      <c r="MN6" s="111" t="str">
        <f t="shared" si="81"/>
        <v/>
      </c>
      <c r="MO6" s="81"/>
      <c r="MP6" s="82"/>
      <c r="MQ6" s="83"/>
      <c r="MR6" s="110" t="str">
        <f>IFERROR((((COUNTIF('Elève (6ème3)'!MO6:MQ6,"A"))*4)+((COUNTIF('Elève (6ème3)'!MO6:MQ6,"B"))*3)+((COUNTIF('Elève (6ème3)'!MO6:MQ6,"C"))*2)+((COUNTIF('Elève (6ème3)'!MO6:MQ6,"D"))*1))/(COUNTA(MO6:MQ6)),"")</f>
        <v/>
      </c>
      <c r="MS6" s="111" t="str">
        <f t="shared" si="82"/>
        <v/>
      </c>
      <c r="MT6" s="179" t="str">
        <f>IF(COUNT(MH6,MM6,MR6)=0,"",SUM(MH6,MM6,MR6)/COUNT(MH6,MM6,MR6))</f>
        <v/>
      </c>
      <c r="MU6" s="132" t="str">
        <f t="shared" si="83"/>
        <v/>
      </c>
      <c r="MV6" s="156"/>
      <c r="MW6" s="157"/>
      <c r="MX6" s="158"/>
      <c r="MY6" s="110" t="str">
        <f>IFERROR((((COUNTIF('Elève (6ème3)'!MV6:MX6,"A"))*4)+((COUNTIF('Elève (6ème3)'!MV6:MX6,"B"))*3)+((COUNTIF('Elève (6ème3)'!MV6:MX6,"C"))*2)+((COUNTIF('Elève (6ème3)'!MV6:MX6,"D"))*1))/(COUNTA(MV6:MX6)),"")</f>
        <v/>
      </c>
      <c r="MZ6" s="111" t="str">
        <f t="shared" si="84"/>
        <v/>
      </c>
      <c r="NA6" s="81"/>
      <c r="NB6" s="82"/>
      <c r="NC6" s="83"/>
      <c r="ND6" s="110" t="str">
        <f>IFERROR((((COUNTIF('Elève (6ème3)'!NA6:NC6,"A"))*4)+((COUNTIF('Elève (6ème3)'!NA6:NC6,"B"))*3)+((COUNTIF('Elève (6ème3)'!NA6:NC6,"C"))*2)+((COUNTIF('Elève (6ème3)'!NA6:NC6,"D"))*1))/(COUNTA(NA6:NC6)),"")</f>
        <v/>
      </c>
      <c r="NE6" s="111" t="str">
        <f t="shared" si="85"/>
        <v/>
      </c>
      <c r="NF6" s="81"/>
      <c r="NG6" s="82"/>
      <c r="NH6" s="83"/>
      <c r="NI6" s="110" t="str">
        <f>IFERROR((((COUNTIF('Elève (6ème3)'!NF6:NH6,"A"))*4)+((COUNTIF('Elève (6ème3)'!NF6:NH6,"B"))*3)+((COUNTIF('Elève (6ème3)'!NF6:NH6,"C"))*2)+((COUNTIF('Elève (6ème3)'!NF6:NH6,"D"))*1))/(COUNTA(NF6:NH6)),"")</f>
        <v/>
      </c>
      <c r="NJ6" s="111" t="str">
        <f t="shared" si="86"/>
        <v/>
      </c>
      <c r="NK6" s="179" t="str">
        <f>IF(COUNT(MY6,ND6,NI6)=0,"",SUM(MY6,ND6,NI6)/COUNT(MY6,ND6,NI6))</f>
        <v/>
      </c>
      <c r="NL6" s="132" t="str">
        <f t="shared" si="87"/>
        <v/>
      </c>
      <c r="NM6" s="156"/>
      <c r="NN6" s="157"/>
      <c r="NO6" s="158"/>
      <c r="NP6" s="110" t="str">
        <f>IFERROR((((COUNTIF('Elève (6ème3)'!NM6:NO6,"A"))*4)+((COUNTIF('Elève (6ème3)'!NM6:NO6,"B"))*3)+((COUNTIF('Elève (6ème3)'!NM6:NO6,"C"))*2)+((COUNTIF('Elève (6ème3)'!NM6:NO6,"D"))*1))/(COUNTA(NM6:NO6)),"")</f>
        <v/>
      </c>
      <c r="NQ6" s="111" t="str">
        <f t="shared" si="88"/>
        <v/>
      </c>
      <c r="NR6" s="81"/>
      <c r="NS6" s="82"/>
      <c r="NT6" s="83"/>
      <c r="NU6" s="110" t="str">
        <f>IFERROR((((COUNTIF('Elève (6ème3)'!NR6:NT6,"A"))*4)+((COUNTIF('Elève (6ème3)'!NR6:NT6,"B"))*3)+((COUNTIF('Elève (6ème3)'!NR6:NT6,"C"))*2)+((COUNTIF('Elève (6ème3)'!NR6:NT6,"D"))*1))/(COUNTA(NR6:NT6)),"")</f>
        <v/>
      </c>
      <c r="NV6" s="111" t="str">
        <f t="shared" si="89"/>
        <v/>
      </c>
      <c r="NW6" s="81"/>
      <c r="NX6" s="82"/>
      <c r="NY6" s="83"/>
      <c r="NZ6" s="110" t="str">
        <f>IFERROR((((COUNTIF('Elève (6ème3)'!NW6:NY6,"A"))*4)+((COUNTIF('Elève (6ème3)'!NW6:NY6,"B"))*3)+((COUNTIF('Elève (6ème3)'!NW6:NY6,"C"))*2)+((COUNTIF('Elève (6ème3)'!NW6:NY6,"D"))*1))/(COUNTA(NW6:NY6)),"")</f>
        <v/>
      </c>
      <c r="OA6" s="111" t="str">
        <f t="shared" si="90"/>
        <v/>
      </c>
      <c r="OB6" s="179" t="str">
        <f>IF(COUNT(NP6,NU6,NZ6)=0,"",SUM(NP6,NU6,NZ6)/COUNT(NP6,NU6,NZ6))</f>
        <v/>
      </c>
      <c r="OC6" s="132" t="str">
        <f t="shared" si="91"/>
        <v/>
      </c>
      <c r="OD6" s="156"/>
      <c r="OE6" s="157"/>
      <c r="OF6" s="158"/>
      <c r="OG6" s="110" t="str">
        <f>IFERROR((((COUNTIF('Elève (6ème3)'!OD6:OF6,"A"))*4)+((COUNTIF('Elève (6ème3)'!OD6:OF6,"B"))*3)+((COUNTIF('Elève (6ème3)'!OD6:OF6,"C"))*2)+((COUNTIF('Elève (6ème3)'!OD6:OF6,"D"))*1))/(COUNTA(OD6:OF6)),"")</f>
        <v/>
      </c>
      <c r="OH6" s="111" t="str">
        <f t="shared" si="92"/>
        <v/>
      </c>
      <c r="OI6" s="81"/>
      <c r="OJ6" s="82"/>
      <c r="OK6" s="83"/>
      <c r="OL6" s="110" t="str">
        <f>IFERROR((((COUNTIF('Elève (6ème3)'!OI6:OK6,"A"))*4)+((COUNTIF('Elève (6ème3)'!OI6:OK6,"B"))*3)+((COUNTIF('Elève (6ème3)'!OI6:OK6,"C"))*2)+((COUNTIF('Elève (6ème3)'!OI6:OK6,"D"))*1))/(COUNTA(OI6:OK6)),"")</f>
        <v/>
      </c>
      <c r="OM6" s="111" t="str">
        <f t="shared" si="93"/>
        <v/>
      </c>
      <c r="ON6" s="81"/>
      <c r="OO6" s="82"/>
      <c r="OP6" s="83"/>
      <c r="OQ6" s="110" t="str">
        <f>IFERROR((((COUNTIF('Elève (6ème3)'!ON6:OP6,"A"))*4)+((COUNTIF('Elève (6ème3)'!ON6:OP6,"B"))*3)+((COUNTIF('Elève (6ème3)'!ON6:OP6,"C"))*2)+((COUNTIF('Elève (6ème3)'!ON6:OP6,"D"))*1))/(COUNTA(ON6:OP6)),"")</f>
        <v/>
      </c>
      <c r="OR6" s="111" t="str">
        <f t="shared" si="94"/>
        <v/>
      </c>
      <c r="OS6" s="179" t="str">
        <f>IF(COUNT(OG6,OL6,OQ6)=0,"",SUM(OG6,OL6,OQ6)/COUNT(OG6,OL6,OQ6))</f>
        <v/>
      </c>
      <c r="OT6" s="132" t="str">
        <f t="shared" si="95"/>
        <v/>
      </c>
      <c r="OU6" s="156"/>
      <c r="OV6" s="157"/>
      <c r="OW6" s="158"/>
      <c r="OX6" s="110" t="str">
        <f>IFERROR((((COUNTIF('Elève (6ème3)'!OU6:OW6,"A"))*4)+((COUNTIF('Elève (6ème3)'!OU6:OW6,"B"))*3)+((COUNTIF('Elève (6ème3)'!OU6:OW6,"C"))*2)+((COUNTIF('Elève (6ème3)'!OU6:OW6,"D"))*1))/(COUNTA(OU6:OW6)),"")</f>
        <v/>
      </c>
      <c r="OY6" s="111" t="str">
        <f t="shared" si="96"/>
        <v/>
      </c>
      <c r="OZ6" s="81"/>
      <c r="PA6" s="82"/>
      <c r="PB6" s="83"/>
      <c r="PC6" s="110" t="str">
        <f>IFERROR((((COUNTIF('Elève (6ème3)'!OZ6:PB6,"A"))*4)+((COUNTIF('Elève (6ème3)'!OZ6:PB6,"B"))*3)+((COUNTIF('Elève (6ème3)'!OZ6:PB6,"C"))*2)+((COUNTIF('Elève (6ème3)'!OZ6:PB6,"D"))*1))/(COUNTA(OZ6:PB6)),"")</f>
        <v/>
      </c>
      <c r="PD6" s="111" t="str">
        <f t="shared" si="97"/>
        <v/>
      </c>
      <c r="PE6" s="81"/>
      <c r="PF6" s="82"/>
      <c r="PG6" s="83"/>
      <c r="PH6" s="110" t="str">
        <f>IFERROR((((COUNTIF('Elève (6ème3)'!PE6:PG6,"A"))*4)+((COUNTIF('Elève (6ème3)'!PE6:PG6,"B"))*3)+((COUNTIF('Elève (6ème3)'!PE6:PG6,"C"))*2)+((COUNTIF('Elève (6ème3)'!PE6:PG6,"D"))*1))/(COUNTA(PE6:PG6)),"")</f>
        <v/>
      </c>
      <c r="PI6" s="111" t="str">
        <f t="shared" si="98"/>
        <v/>
      </c>
      <c r="PJ6" s="179" t="str">
        <f>IF(COUNT(OX6,PC6,PH6)=0,"",SUM(OX6,PC6,PH6)/COUNT(OX6,PC6,PH6))</f>
        <v/>
      </c>
      <c r="PK6" s="132" t="str">
        <f t="shared" si="99"/>
        <v/>
      </c>
      <c r="PL6" s="156"/>
      <c r="PM6" s="157"/>
      <c r="PN6" s="158"/>
      <c r="PO6" s="110" t="str">
        <f>IFERROR((((COUNTIF('Elève (6ème3)'!PL6:PN6,"A"))*4)+((COUNTIF('Elève (6ème3)'!PL6:PN6,"B"))*3)+((COUNTIF('Elève (6ème3)'!PL6:PN6,"C"))*2)+((COUNTIF('Elève (6ème3)'!PL6:PN6,"D"))*1))/(COUNTA(PL6:PN6)),"")</f>
        <v/>
      </c>
      <c r="PP6" s="111" t="str">
        <f t="shared" si="100"/>
        <v/>
      </c>
      <c r="PQ6" s="81"/>
      <c r="PR6" s="82"/>
      <c r="PS6" s="83"/>
      <c r="PT6" s="110" t="str">
        <f>IFERROR((((COUNTIF('Elève (6ème3)'!PQ6:PS6,"A"))*4)+((COUNTIF('Elève (6ème3)'!PQ6:PS6,"B"))*3)+((COUNTIF('Elève (6ème3)'!PQ6:PS6,"C"))*2)+((COUNTIF('Elève (6ème3)'!PQ6:PS6,"D"))*1))/(COUNTA(PQ6:PS6)),"")</f>
        <v/>
      </c>
      <c r="PU6" s="111" t="str">
        <f t="shared" si="101"/>
        <v/>
      </c>
      <c r="PV6" s="81"/>
      <c r="PW6" s="82"/>
      <c r="PX6" s="83"/>
      <c r="PY6" s="110" t="str">
        <f>IFERROR((((COUNTIF('Elève (6ème3)'!PV6:PX6,"A"))*4)+((COUNTIF('Elève (6ème3)'!PV6:PX6,"B"))*3)+((COUNTIF('Elève (6ème3)'!PV6:PX6,"C"))*2)+((COUNTIF('Elève (6ème3)'!PV6:PX6,"D"))*1))/(COUNTA(PV6:PX6)),"")</f>
        <v/>
      </c>
      <c r="PZ6" s="111" t="str">
        <f t="shared" si="102"/>
        <v/>
      </c>
      <c r="QA6" s="179" t="str">
        <f>IF(COUNT(PO6,PT6,PY6)=0,"",SUM(PO6,PT6,PY6)/COUNT(PO6,PT6,PY6))</f>
        <v/>
      </c>
      <c r="QB6" s="132" t="str">
        <f t="shared" si="103"/>
        <v/>
      </c>
      <c r="QC6" s="156"/>
      <c r="QD6" s="157"/>
      <c r="QE6" s="158"/>
      <c r="QF6" s="110" t="str">
        <f>IFERROR((((COUNTIF('Elève (6ème3)'!QC6:QE6,"A"))*4)+((COUNTIF('Elève (6ème3)'!QC6:QE6,"B"))*3)+((COUNTIF('Elève (6ème3)'!QC6:QE6,"C"))*2)+((COUNTIF('Elève (6ème3)'!QC6:QE6,"D"))*1))/(COUNTA(QC6:QE6)),"")</f>
        <v/>
      </c>
      <c r="QG6" s="111" t="str">
        <f t="shared" si="104"/>
        <v/>
      </c>
      <c r="QH6" s="81"/>
      <c r="QI6" s="82"/>
      <c r="QJ6" s="83"/>
      <c r="QK6" s="110" t="str">
        <f>IFERROR((((COUNTIF('Elève (6ème3)'!QH6:QJ6,"A"))*4)+((COUNTIF('Elève (6ème3)'!QH6:QJ6,"B"))*3)+((COUNTIF('Elève (6ème3)'!QH6:QJ6,"C"))*2)+((COUNTIF('Elève (6ème3)'!QH6:QJ6,"D"))*1))/(COUNTA(QH6:QJ6)),"")</f>
        <v/>
      </c>
      <c r="QL6" s="111" t="str">
        <f t="shared" si="105"/>
        <v/>
      </c>
      <c r="QM6" s="81"/>
      <c r="QN6" s="82"/>
      <c r="QO6" s="83"/>
      <c r="QP6" s="110" t="str">
        <f>IFERROR((((COUNTIF('Elève (6ème3)'!QM6:QO6,"A"))*4)+((COUNTIF('Elève (6ème3)'!QM6:QO6,"B"))*3)+((COUNTIF('Elève (6ème3)'!QM6:QO6,"C"))*2)+((COUNTIF('Elève (6ème3)'!QM6:QO6,"D"))*1))/(COUNTA(QM6:QO6)),"")</f>
        <v/>
      </c>
      <c r="QQ6" s="111" t="str">
        <f t="shared" si="106"/>
        <v/>
      </c>
      <c r="QR6" s="179" t="str">
        <f>IF(COUNT(QF6,QK6,QP6)=0,"",SUM(QF6,QK6,QP6)/COUNT(QF6,QK6,QP6))</f>
        <v/>
      </c>
      <c r="QS6" s="132" t="str">
        <f t="shared" si="107"/>
        <v/>
      </c>
      <c r="QT6" s="156"/>
      <c r="QU6" s="157"/>
      <c r="QV6" s="158"/>
      <c r="QW6" s="110" t="str">
        <f>IFERROR((((COUNTIF('Elève (6ème3)'!QT6:QV6,"A"))*4)+((COUNTIF('Elève (6ème3)'!QT6:QV6,"B"))*3)+((COUNTIF('Elève (6ème3)'!QT6:QV6,"C"))*2)+((COUNTIF('Elève (6ème3)'!QT6:QV6,"D"))*1))/(COUNTA(QT6:QV6)),"")</f>
        <v/>
      </c>
      <c r="QX6" s="111" t="str">
        <f t="shared" si="108"/>
        <v/>
      </c>
      <c r="QY6" s="81"/>
      <c r="QZ6" s="82"/>
      <c r="RA6" s="83"/>
      <c r="RB6" s="110" t="str">
        <f>IFERROR((((COUNTIF('Elève (6ème3)'!QY6:RA6,"A"))*4)+((COUNTIF('Elève (6ème3)'!QY6:RA6,"B"))*3)+((COUNTIF('Elève (6ème3)'!QY6:RA6,"C"))*2)+((COUNTIF('Elève (6ème3)'!QY6:RA6,"D"))*1))/(COUNTA(QY6:RA6)),"")</f>
        <v/>
      </c>
      <c r="RC6" s="111" t="str">
        <f t="shared" si="109"/>
        <v/>
      </c>
      <c r="RD6" s="81"/>
      <c r="RE6" s="82"/>
      <c r="RF6" s="83"/>
      <c r="RG6" s="110" t="str">
        <f>IFERROR((((COUNTIF('Elève (6ème3)'!RD6:RF6,"A"))*4)+((COUNTIF('Elève (6ème3)'!RD6:RF6,"B"))*3)+((COUNTIF('Elève (6ème3)'!RD6:RF6,"C"))*2)+((COUNTIF('Elève (6ème3)'!RD6:RF6,"D"))*1))/(COUNTA(RD6:RF6)),"")</f>
        <v/>
      </c>
      <c r="RH6" s="111" t="str">
        <f t="shared" si="110"/>
        <v/>
      </c>
      <c r="RI6" s="179" t="str">
        <f>IF(COUNT(QW6,RB6,RG6)=0,"",SUM(QW6,RB6,RG6)/COUNT(QW6,RB6,RG6))</f>
        <v/>
      </c>
      <c r="RJ6" s="132" t="str">
        <f t="shared" si="111"/>
        <v/>
      </c>
      <c r="RK6" s="156"/>
      <c r="RL6" s="157"/>
      <c r="RM6" s="158"/>
      <c r="RN6" s="110" t="str">
        <f>IFERROR((((COUNTIF('Elève (6ème3)'!RK6:RM6,"A"))*4)+((COUNTIF('Elève (6ème3)'!RK6:RM6,"B"))*3)+((COUNTIF('Elève (6ème3)'!RK6:RM6,"C"))*2)+((COUNTIF('Elève (6ème3)'!RK6:RM6,"D"))*1))/(COUNTA(RK6:RM6)),"")</f>
        <v/>
      </c>
      <c r="RO6" s="111" t="str">
        <f t="shared" si="112"/>
        <v/>
      </c>
      <c r="RP6" s="81"/>
      <c r="RQ6" s="82"/>
      <c r="RR6" s="83"/>
      <c r="RS6" s="110" t="str">
        <f>IFERROR((((COUNTIF('Elève (6ème3)'!RP6:RR6,"A"))*4)+((COUNTIF('Elève (6ème3)'!RP6:RR6,"B"))*3)+((COUNTIF('Elève (6ème3)'!RP6:RR6,"C"))*2)+((COUNTIF('Elève (6ème3)'!RP6:RR6,"D"))*1))/(COUNTA(RP6:RR6)),"")</f>
        <v/>
      </c>
      <c r="RT6" s="111" t="str">
        <f t="shared" si="113"/>
        <v/>
      </c>
      <c r="RU6" s="81"/>
      <c r="RV6" s="82"/>
      <c r="RW6" s="83"/>
      <c r="RX6" s="110" t="str">
        <f>IFERROR((((COUNTIF('Elève (6ème3)'!RU6:RW6,"A"))*4)+((COUNTIF('Elève (6ème3)'!RU6:RW6,"B"))*3)+((COUNTIF('Elève (6ème3)'!RU6:RW6,"C"))*2)+((COUNTIF('Elève (6ème3)'!RU6:RW6,"D"))*1))/(COUNTA(RU6:RW6)),"")</f>
        <v/>
      </c>
      <c r="RY6" s="111" t="str">
        <f t="shared" si="114"/>
        <v/>
      </c>
      <c r="RZ6" s="179" t="str">
        <f>IF(COUNT(RN6,RS6,RX6)=0,"",SUM(RN6,RS6,RX6)/COUNT(RN6,RS6,RX6))</f>
        <v/>
      </c>
      <c r="SA6" s="132" t="str">
        <f t="shared" si="115"/>
        <v/>
      </c>
      <c r="SB6" s="156"/>
      <c r="SC6" s="157"/>
      <c r="SD6" s="158"/>
      <c r="SE6" s="110" t="str">
        <f>IFERROR((((COUNTIF('Elève (6ème3)'!SB6:SD6,"A"))*4)+((COUNTIF('Elève (6ème3)'!SB6:SD6,"B"))*3)+((COUNTIF('Elève (6ème3)'!SB6:SD6,"C"))*2)+((COUNTIF('Elève (6ème3)'!SB6:SD6,"D"))*1))/(COUNTA(SB6:SD6)),"")</f>
        <v/>
      </c>
      <c r="SF6" s="111" t="str">
        <f t="shared" si="116"/>
        <v/>
      </c>
      <c r="SG6" s="81"/>
      <c r="SH6" s="82"/>
      <c r="SI6" s="83"/>
      <c r="SJ6" s="110" t="str">
        <f>IFERROR((((COUNTIF('Elève (6ème3)'!SG6:SI6,"A"))*4)+((COUNTIF('Elève (6ème3)'!SG6:SI6,"B"))*3)+((COUNTIF('Elève (6ème3)'!SG6:SI6,"C"))*2)+((COUNTIF('Elève (6ème3)'!SG6:SI6,"D"))*1))/(COUNTA(SG6:SI6)),"")</f>
        <v/>
      </c>
      <c r="SK6" s="111" t="str">
        <f t="shared" si="117"/>
        <v/>
      </c>
      <c r="SL6" s="81"/>
      <c r="SM6" s="82"/>
      <c r="SN6" s="83"/>
      <c r="SO6" s="110" t="str">
        <f>IFERROR((((COUNTIF('Elève (6ème3)'!SL6:SN6,"A"))*4)+((COUNTIF('Elève (6ème3)'!SL6:SN6,"B"))*3)+((COUNTIF('Elève (6ème3)'!SL6:SN6,"C"))*2)+((COUNTIF('Elève (6ème3)'!SL6:SN6,"D"))*1))/(COUNTA(SL6:SN6)),"")</f>
        <v/>
      </c>
      <c r="SP6" s="111" t="str">
        <f t="shared" si="118"/>
        <v/>
      </c>
      <c r="SQ6" s="179" t="str">
        <f>IF(COUNT(SE6,SJ6,SO6)=0,"",SUM(SE6,SJ6,SO6)/COUNT(SE6,SJ6,SO6))</f>
        <v/>
      </c>
      <c r="SR6" s="132" t="str">
        <f t="shared" si="119"/>
        <v/>
      </c>
    </row>
    <row r="7" spans="1:512" s="87" customFormat="1" ht="17.25" customHeight="1" thickBot="1" x14ac:dyDescent="0.3">
      <c r="A7" s="95" t="s">
        <v>14</v>
      </c>
      <c r="B7" s="76">
        <v>1</v>
      </c>
      <c r="C7" s="162"/>
      <c r="D7" s="189"/>
      <c r="E7" s="189"/>
      <c r="F7" s="106">
        <f>IFERROR((((COUNTIF('Elève (6ème3)'!C8:E11,"A"))*4)+((COUNTIF('Elève (6ème3)'!C8:E11,"B"))*3)+((COUNTIF('Elève (6ème3)'!C8:E11,"C"))*2)+((COUNTIF('Elève (6ème3)'!C8:E11,"D"))*1))/(COUNTA(C8:E11)),"")</f>
        <v>3</v>
      </c>
      <c r="G7" s="107" t="str">
        <f t="shared" si="0"/>
        <v>B</v>
      </c>
      <c r="H7" s="100"/>
      <c r="I7" s="187"/>
      <c r="J7" s="188"/>
      <c r="K7" s="106" t="str">
        <f>IFERROR((((COUNTIF('Elève (6ème3)'!H8:J11,"A"))*4)+((COUNTIF('Elève (6ème3)'!H8:J11,"B"))*3)+((COUNTIF('Elève (6ème3)'!H8:J11,"C"))*2)+((COUNTIF('Elève (6ème3)'!H8:J11,"D"))*1))/(COUNTA(H8:J11)),"")</f>
        <v/>
      </c>
      <c r="L7" s="121" t="str">
        <f t="shared" si="1"/>
        <v/>
      </c>
      <c r="M7" s="100"/>
      <c r="N7" s="187"/>
      <c r="O7" s="188"/>
      <c r="P7" s="106" t="str">
        <f>IFERROR((((COUNTIF('Elève (6ème3)'!M8:O11,"A"))*4)+((COUNTIF('Elève (6ème3)'!M8:O11,"B"))*3)+((COUNTIF('Elève (6ème3)'!M8:O11,"C"))*2)+((COUNTIF('Elève (6ème3)'!M8:O11,"D"))*1))/(COUNTA(M8:O11)),"")</f>
        <v/>
      </c>
      <c r="Q7" s="128" t="str">
        <f t="shared" si="2"/>
        <v/>
      </c>
      <c r="R7" s="177">
        <f>IFERROR((((COUNTIF(C8:E11,"A")+COUNTIF(H8:J11,"A")+COUNTIF(M8:O11,"A"))*4)+((COUNTIF(C8:E11,"B")+COUNTIF(H8:J11,"B")+COUNTIF(M8:O11,"B"))*3)+((COUNTIF(C8:E11,"C")+COUNTIF(H8:J11,"C")+COUNTIF(M8:O11,"C"))*2)+((COUNTIF(C8:E11,"D")+COUNTIF(H8:J11,"D")+COUNTIF(M8:O11,"D"))*1))/(COUNTA(C8:E11)+COUNTA(H8:J11)+COUNTA(M8:O11)),"")</f>
        <v>3</v>
      </c>
      <c r="S7" s="130" t="str">
        <f t="shared" si="3"/>
        <v>B</v>
      </c>
      <c r="T7" s="162"/>
      <c r="U7" s="189"/>
      <c r="V7" s="189"/>
      <c r="W7" s="106">
        <f>IFERROR((((COUNTIF('Elève (6ème3)'!T8:V11,"A"))*4)+((COUNTIF('Elève (6ème3)'!T8:V11,"B"))*3)+((COUNTIF('Elève (6ème3)'!T8:V11,"C"))*2)+((COUNTIF('Elève (6ème3)'!T8:V11,"D"))*1))/(COUNTA(T8:V11)),"")</f>
        <v>3</v>
      </c>
      <c r="X7" s="107" t="str">
        <f t="shared" si="4"/>
        <v>B</v>
      </c>
      <c r="Y7" s="100"/>
      <c r="Z7" s="187"/>
      <c r="AA7" s="188"/>
      <c r="AB7" s="106" t="str">
        <f>IFERROR((((COUNTIF('Elève (6ème3)'!Y8:AA11,"A"))*4)+((COUNTIF('Elève (6ème3)'!Y8:AA11,"B"))*3)+((COUNTIF('Elève (6ème3)'!Y8:AA11,"C"))*2)+((COUNTIF('Elève (6ème3)'!Y8:AA11,"D"))*1))/(COUNTA(Y8:AA11)),"")</f>
        <v/>
      </c>
      <c r="AC7" s="121" t="str">
        <f t="shared" si="5"/>
        <v/>
      </c>
      <c r="AD7" s="100"/>
      <c r="AE7" s="187"/>
      <c r="AF7" s="188"/>
      <c r="AG7" s="106" t="str">
        <f>IFERROR((((COUNTIF('Elève (6ème3)'!AD8:AF11,"A"))*4)+((COUNTIF('Elève (6ème3)'!AD8:AF11,"B"))*3)+((COUNTIF('Elève (6ème3)'!AD8:AF11,"C"))*2)+((COUNTIF('Elève (6ème3)'!AD8:AF11,"D"))*1))/(COUNTA(AD8:AF11)),"")</f>
        <v/>
      </c>
      <c r="AH7" s="128" t="str">
        <f t="shared" si="6"/>
        <v/>
      </c>
      <c r="AI7" s="177">
        <f>IFERROR((((COUNTIF(T8:V11,"A")+COUNTIF(Y8:AA11,"A")+COUNTIF(AD8:AF11,"A"))*4)+((COUNTIF(T8:V11,"B")+COUNTIF(Y8:AA11,"B")+COUNTIF(AD8:AF11,"B"))*3)+((COUNTIF(T8:V11,"C")+COUNTIF(Y8:AA11,"C")+COUNTIF(AD8:AF11,"C"))*2)+((COUNTIF(T8:V11,"D")+COUNTIF(Y8:AA11,"D")+COUNTIF(AD8:AF11,"D"))*1))/(COUNTA(T8:V11)+COUNTA(Y8:AA11)+COUNTA(AD8:AF11)),"")</f>
        <v>3</v>
      </c>
      <c r="AJ7" s="130" t="str">
        <f t="shared" si="7"/>
        <v>B</v>
      </c>
      <c r="AK7" s="162"/>
      <c r="AL7" s="189"/>
      <c r="AM7" s="189"/>
      <c r="AN7" s="106">
        <f>IFERROR((((COUNTIF('Elève (6ème3)'!AK8:AM11,"A"))*4)+((COUNTIF('Elève (6ème3)'!AK8:AM11,"B"))*3)+((COUNTIF('Elève (6ème3)'!AK8:AM11,"C"))*2)+((COUNTIF('Elève (6ème3)'!AK8:AM11,"D"))*1))/(COUNTA(AK8:AM11)),"")</f>
        <v>3.5</v>
      </c>
      <c r="AO7" s="107" t="str">
        <f t="shared" si="8"/>
        <v>B</v>
      </c>
      <c r="AP7" s="100"/>
      <c r="AQ7" s="187"/>
      <c r="AR7" s="188"/>
      <c r="AS7" s="106" t="str">
        <f>IFERROR((((COUNTIF('Elève (6ème3)'!AP8:AR11,"A"))*4)+((COUNTIF('Elève (6ème3)'!AP8:AR11,"B"))*3)+((COUNTIF('Elève (6ème3)'!AP8:AR11,"C"))*2)+((COUNTIF('Elève (6ème3)'!AP8:AR11,"D"))*1))/(COUNTA(AP8:AR11)),"")</f>
        <v/>
      </c>
      <c r="AT7" s="121" t="str">
        <f t="shared" si="9"/>
        <v/>
      </c>
      <c r="AU7" s="100"/>
      <c r="AV7" s="187"/>
      <c r="AW7" s="188"/>
      <c r="AX7" s="106" t="str">
        <f>IFERROR((((COUNTIF('Elève (6ème3)'!AU8:AW11,"A"))*4)+((COUNTIF('Elève (6ème3)'!AU8:AW11,"B"))*3)+((COUNTIF('Elève (6ème3)'!AU8:AW11,"C"))*2)+((COUNTIF('Elève (6ème3)'!AU8:AW11,"D"))*1))/(COUNTA(AU8:AW11)),"")</f>
        <v/>
      </c>
      <c r="AY7" s="128" t="str">
        <f t="shared" si="10"/>
        <v/>
      </c>
      <c r="AZ7" s="177">
        <f>IFERROR((((COUNTIF(AK8:AM11,"A")+COUNTIF(AP8:AR11,"A")+COUNTIF(AU8:AW11,"A"))*4)+((COUNTIF(AK8:AM11,"B")+COUNTIF(AP8:AR11,"B")+COUNTIF(AU8:AW11,"B"))*3)+((COUNTIF(AK8:AM11,"C")+COUNTIF(AP8:AR11,"C")+COUNTIF(AU8:AW11,"C"))*2)+((COUNTIF(AK8:AM11,"D")+COUNTIF(AP8:AR11,"D")+COUNTIF(AU8:AW11,"D"))*1))/(COUNTA(AK8:AM11)+COUNTA(AP8:AR11)+COUNTA(AU8:AW11)),"")</f>
        <v>3.5</v>
      </c>
      <c r="BA7" s="130" t="str">
        <f t="shared" si="11"/>
        <v>B</v>
      </c>
      <c r="BB7" s="162"/>
      <c r="BC7" s="189"/>
      <c r="BD7" s="189"/>
      <c r="BE7" s="106">
        <f>IFERROR((((COUNTIF('Elève (6ème3)'!BB8:BD11,"A"))*4)+((COUNTIF('Elève (6ème3)'!BB8:BD11,"B"))*3)+((COUNTIF('Elève (6ème3)'!BB8:BD11,"C"))*2)+((COUNTIF('Elève (6ème3)'!BB8:BD11,"D"))*1))/(COUNTA(BB8:BD11)),"")</f>
        <v>4</v>
      </c>
      <c r="BF7" s="107" t="str">
        <f t="shared" si="12"/>
        <v>A</v>
      </c>
      <c r="BG7" s="100"/>
      <c r="BH7" s="187"/>
      <c r="BI7" s="188"/>
      <c r="BJ7" s="106" t="str">
        <f>IFERROR((((COUNTIF('Elève (6ème3)'!BG8:BI11,"A"))*4)+((COUNTIF('Elève (6ème3)'!BG8:BI11,"B"))*3)+((COUNTIF('Elève (6ème3)'!BG8:BI11,"C"))*2)+((COUNTIF('Elève (6ème3)'!BG8:BI11,"D"))*1))/(COUNTA(BG8:BI11)),"")</f>
        <v/>
      </c>
      <c r="BK7" s="121" t="str">
        <f t="shared" si="13"/>
        <v/>
      </c>
      <c r="BL7" s="100"/>
      <c r="BM7" s="187"/>
      <c r="BN7" s="188"/>
      <c r="BO7" s="106" t="str">
        <f>IFERROR((((COUNTIF('Elève (6ème3)'!BL8:BN11,"A"))*4)+((COUNTIF('Elève (6ème3)'!BL8:BN11,"B"))*3)+((COUNTIF('Elève (6ème3)'!BL8:BN11,"C"))*2)+((COUNTIF('Elève (6ème3)'!BL8:BN11,"D"))*1))/(COUNTA(BL8:BN11)),"")</f>
        <v/>
      </c>
      <c r="BP7" s="128" t="str">
        <f t="shared" si="14"/>
        <v/>
      </c>
      <c r="BQ7" s="177">
        <f>IFERROR((((COUNTIF(BB8:BD11,"A")+COUNTIF(BG8:BI11,"A")+COUNTIF(BL8:BN11,"A"))*4)+((COUNTIF(BB8:BD11,"B")+COUNTIF(BG8:BI11,"B")+COUNTIF(BL8:BN11,"B"))*3)+((COUNTIF(BB8:BD11,"C")+COUNTIF(BG8:BI11,"C")+COUNTIF(BL8:BN11,"C"))*2)+((COUNTIF(BB8:BD11,"D")+COUNTIF(BG8:BI11,"D")+COUNTIF(BL8:BN11,"D"))*1))/(COUNTA(BB8:BD11)+COUNTA(BG8:BI11)+COUNTA(BL8:BN11)),"")</f>
        <v>4</v>
      </c>
      <c r="BR7" s="130" t="str">
        <f t="shared" si="15"/>
        <v>A</v>
      </c>
      <c r="BS7" s="162"/>
      <c r="BT7" s="189"/>
      <c r="BU7" s="189"/>
      <c r="BV7" s="106">
        <f>IFERROR((((COUNTIF('Elève (6ème3)'!BS8:BU11,"A"))*4)+((COUNTIF('Elève (6ème3)'!BS8:BU11,"B"))*3)+((COUNTIF('Elève (6ème3)'!BS8:BU11,"C"))*2)+((COUNTIF('Elève (6ème3)'!BS8:BU11,"D"))*1))/(COUNTA(BS8:BU11)),"")</f>
        <v>2.5</v>
      </c>
      <c r="BW7" s="107" t="str">
        <f t="shared" si="16"/>
        <v>C</v>
      </c>
      <c r="BX7" s="100"/>
      <c r="BY7" s="187"/>
      <c r="BZ7" s="188"/>
      <c r="CA7" s="106" t="str">
        <f>IFERROR((((COUNTIF('Elève (6ème3)'!BX8:BZ11,"A"))*4)+((COUNTIF('Elève (6ème3)'!BX8:BZ11,"B"))*3)+((COUNTIF('Elève (6ème3)'!BX8:BZ11,"C"))*2)+((COUNTIF('Elève (6ème3)'!BX8:BZ11,"D"))*1))/(COUNTA(BX8:BZ11)),"")</f>
        <v/>
      </c>
      <c r="CB7" s="121" t="str">
        <f t="shared" si="17"/>
        <v/>
      </c>
      <c r="CC7" s="100"/>
      <c r="CD7" s="187"/>
      <c r="CE7" s="188"/>
      <c r="CF7" s="106" t="str">
        <f>IFERROR((((COUNTIF('Elève (6ème3)'!CC8:CE11,"A"))*4)+((COUNTIF('Elève (6ème3)'!CC8:CE11,"B"))*3)+((COUNTIF('Elève (6ème3)'!CC8:CE11,"C"))*2)+((COUNTIF('Elève (6ème3)'!CC8:CE11,"D"))*1))/(COUNTA(CC8:CE11)),"")</f>
        <v/>
      </c>
      <c r="CG7" s="128" t="str">
        <f t="shared" si="18"/>
        <v/>
      </c>
      <c r="CH7" s="177">
        <f>IFERROR((((COUNTIF(BS8:BU11,"A")+COUNTIF(BX8:BZ11,"A")+COUNTIF(CC8:CE11,"A"))*4)+((COUNTIF(BS8:BU11,"B")+COUNTIF(BX8:BZ11,"B")+COUNTIF(CC8:CE11,"B"))*3)+((COUNTIF(BS8:BU11,"C")+COUNTIF(BX8:BZ11,"C")+COUNTIF(CC8:CE11,"C"))*2)+((COUNTIF(BS8:BU11,"D")+COUNTIF(BX8:BZ11,"D")+COUNTIF(CC8:CE11,"D"))*1))/(COUNTA(BS8:BU11)+COUNTA(BX8:BZ11)+COUNTA(CC8:CE11)),"")</f>
        <v>2.5</v>
      </c>
      <c r="CI7" s="130" t="str">
        <f t="shared" si="19"/>
        <v>C</v>
      </c>
      <c r="CJ7" s="162"/>
      <c r="CK7" s="189"/>
      <c r="CL7" s="189"/>
      <c r="CM7" s="106">
        <f>IFERROR((((COUNTIF('Elève (6ème3)'!CJ8:CL11,"A"))*4)+((COUNTIF('Elève (6ème3)'!CJ8:CL11,"B"))*3)+((COUNTIF('Elève (6ème3)'!CJ8:CL11,"C"))*2)+((COUNTIF('Elève (6ème3)'!CJ8:CL11,"D"))*1))/(COUNTA(CJ8:CL11)),"")</f>
        <v>2</v>
      </c>
      <c r="CN7" s="107" t="str">
        <f t="shared" si="20"/>
        <v>C</v>
      </c>
      <c r="CO7" s="100"/>
      <c r="CP7" s="187"/>
      <c r="CQ7" s="188"/>
      <c r="CR7" s="106" t="str">
        <f>IFERROR((((COUNTIF('Elève (6ème3)'!CO8:CQ11,"A"))*4)+((COUNTIF('Elève (6ème3)'!CO8:CQ11,"B"))*3)+((COUNTIF('Elève (6ème3)'!CO8:CQ11,"C"))*2)+((COUNTIF('Elève (6ème3)'!CO8:CQ11,"D"))*1))/(COUNTA(CO8:CQ11)),"")</f>
        <v/>
      </c>
      <c r="CS7" s="121" t="str">
        <f t="shared" si="21"/>
        <v/>
      </c>
      <c r="CT7" s="100"/>
      <c r="CU7" s="187"/>
      <c r="CV7" s="188"/>
      <c r="CW7" s="106" t="str">
        <f>IFERROR((((COUNTIF('Elève (6ème3)'!CT8:CV11,"A"))*4)+((COUNTIF('Elève (6ème3)'!CT8:CV11,"B"))*3)+((COUNTIF('Elève (6ème3)'!CT8:CV11,"C"))*2)+((COUNTIF('Elève (6ème3)'!CT8:CV11,"D"))*1))/(COUNTA(CT8:CV11)),"")</f>
        <v/>
      </c>
      <c r="CX7" s="128" t="str">
        <f t="shared" si="22"/>
        <v/>
      </c>
      <c r="CY7" s="177">
        <f>IFERROR((((COUNTIF(CJ8:CL11,"A")+COUNTIF(CO8:CQ11,"A")+COUNTIF(CT8:CV11,"A"))*4)+((COUNTIF(CJ8:CL11,"B")+COUNTIF(CO8:CQ11,"B")+COUNTIF(CT8:CV11,"B"))*3)+((COUNTIF(CJ8:CL11,"C")+COUNTIF(CO8:CQ11,"C")+COUNTIF(CT8:CV11,"C"))*2)+((COUNTIF(CJ8:CL11,"D")+COUNTIF(CO8:CQ11,"D")+COUNTIF(CT8:CV11,"D"))*1))/(COUNTA(CJ8:CL11)+COUNTA(CO8:CQ11)+COUNTA(CT8:CV11)),"")</f>
        <v>2</v>
      </c>
      <c r="CZ7" s="130" t="str">
        <f t="shared" si="23"/>
        <v>C</v>
      </c>
      <c r="DA7" s="162"/>
      <c r="DB7" s="189"/>
      <c r="DC7" s="189"/>
      <c r="DD7" s="106" t="str">
        <f>IFERROR((((COUNTIF('Elève (6ème3)'!DA8:DC11,"A"))*4)+((COUNTIF('Elève (6ème3)'!DA8:DC11,"B"))*3)+((COUNTIF('Elève (6ème3)'!DA8:DC11,"C"))*2)+((COUNTIF('Elève (6ème3)'!DA8:DC11,"D"))*1))/(COUNTA(DA8:DC11)),"")</f>
        <v/>
      </c>
      <c r="DE7" s="107" t="str">
        <f t="shared" si="24"/>
        <v/>
      </c>
      <c r="DF7" s="100"/>
      <c r="DG7" s="187"/>
      <c r="DH7" s="188"/>
      <c r="DI7" s="106" t="str">
        <f>IFERROR((((COUNTIF('Elève (6ème3)'!DF8:DH11,"A"))*4)+((COUNTIF('Elève (6ème3)'!DF8:DH11,"B"))*3)+((COUNTIF('Elève (6ème3)'!DF8:DH11,"C"))*2)+((COUNTIF('Elève (6ème3)'!DF8:DH11,"D"))*1))/(COUNTA(DF8:DH11)),"")</f>
        <v/>
      </c>
      <c r="DJ7" s="121" t="str">
        <f t="shared" si="25"/>
        <v/>
      </c>
      <c r="DK7" s="100"/>
      <c r="DL7" s="187"/>
      <c r="DM7" s="188"/>
      <c r="DN7" s="106" t="str">
        <f>IFERROR((((COUNTIF('Elève (6ème3)'!DK8:DM11,"A"))*4)+((COUNTIF('Elève (6ème3)'!DK8:DM11,"B"))*3)+((COUNTIF('Elève (6ème3)'!DK8:DM11,"C"))*2)+((COUNTIF('Elève (6ème3)'!DK8:DM11,"D"))*1))/(COUNTA(DK8:DM11)),"")</f>
        <v/>
      </c>
      <c r="DO7" s="128" t="str">
        <f t="shared" si="26"/>
        <v/>
      </c>
      <c r="DP7" s="177" t="str">
        <f>IFERROR((((COUNTIF(DA8:DC11,"A")+COUNTIF(DF8:DH11,"A")+COUNTIF(DK8:DM11,"A"))*4)+((COUNTIF(DA8:DC11,"B")+COUNTIF(DF8:DH11,"B")+COUNTIF(DK8:DM11,"B"))*3)+((COUNTIF(DA8:DC11,"C")+COUNTIF(DF8:DH11,"C")+COUNTIF(DK8:DM11,"C"))*2)+((COUNTIF(DA8:DC11,"D")+COUNTIF(DF8:DH11,"D")+COUNTIF(DK8:DM11,"D"))*1))/(COUNTA(DA8:DC11)+COUNTA(DF8:DH11)+COUNTA(DK8:DM11)),"")</f>
        <v/>
      </c>
      <c r="DQ7" s="130" t="str">
        <f t="shared" si="27"/>
        <v/>
      </c>
      <c r="DR7" s="162"/>
      <c r="DS7" s="189"/>
      <c r="DT7" s="189"/>
      <c r="DU7" s="106">
        <f>IFERROR((((COUNTIF('Elève (6ème3)'!DR8:DT11,"A"))*4)+((COUNTIF('Elève (6ème3)'!DR8:DT11,"B"))*3)+((COUNTIF('Elève (6ème3)'!DR8:DT11,"C"))*2)+((COUNTIF('Elève (6ème3)'!DR8:DT11,"D"))*1))/(COUNTA(DR8:DT11)),"")</f>
        <v>4</v>
      </c>
      <c r="DV7" s="107" t="str">
        <f t="shared" si="28"/>
        <v>A</v>
      </c>
      <c r="DW7" s="100"/>
      <c r="DX7" s="187"/>
      <c r="DY7" s="188"/>
      <c r="DZ7" s="106" t="str">
        <f>IFERROR((((COUNTIF('Elève (6ème3)'!DW8:DY11,"A"))*4)+((COUNTIF('Elève (6ème3)'!DW8:DY11,"B"))*3)+((COUNTIF('Elève (6ème3)'!DW8:DY11,"C"))*2)+((COUNTIF('Elève (6ème3)'!DW8:DY11,"D"))*1))/(COUNTA(DW8:DY11)),"")</f>
        <v/>
      </c>
      <c r="EA7" s="121" t="str">
        <f t="shared" si="29"/>
        <v/>
      </c>
      <c r="EB7" s="100"/>
      <c r="EC7" s="187"/>
      <c r="ED7" s="188"/>
      <c r="EE7" s="106" t="str">
        <f>IFERROR((((COUNTIF('Elève (6ème3)'!EB8:ED11,"A"))*4)+((COUNTIF('Elève (6ème3)'!EB8:ED11,"B"))*3)+((COUNTIF('Elève (6ème3)'!EB8:ED11,"C"))*2)+((COUNTIF('Elève (6ème3)'!EB8:ED11,"D"))*1))/(COUNTA(EB8:ED11)),"")</f>
        <v/>
      </c>
      <c r="EF7" s="128" t="str">
        <f t="shared" si="30"/>
        <v/>
      </c>
      <c r="EG7" s="177">
        <f>IFERROR((((COUNTIF(DR8:DT11,"A")+COUNTIF(DW8:DY11,"A")+COUNTIF(EB8:ED11,"A"))*4)+((COUNTIF(DR8:DT11,"B")+COUNTIF(DW8:DY11,"B")+COUNTIF(EB8:ED11,"B"))*3)+((COUNTIF(DR8:DT11,"C")+COUNTIF(DW8:DY11,"C")+COUNTIF(EB8:ED11,"C"))*2)+((COUNTIF(DR8:DT11,"D")+COUNTIF(DW8:DY11,"D")+COUNTIF(EB8:ED11,"D"))*1))/(COUNTA(DR8:DT11)+COUNTA(DW8:DY11)+COUNTA(EB8:ED11)),"")</f>
        <v>4</v>
      </c>
      <c r="EH7" s="130" t="str">
        <f t="shared" si="31"/>
        <v>A</v>
      </c>
      <c r="EI7" s="162"/>
      <c r="EJ7" s="189"/>
      <c r="EK7" s="189"/>
      <c r="EL7" s="106">
        <f>IFERROR((((COUNTIF('Elève (6ème3)'!EI8:EK11,"A"))*4)+((COUNTIF('Elève (6ème3)'!EI8:EK11,"B"))*3)+((COUNTIF('Elève (6ème3)'!EI8:EK11,"C"))*2)+((COUNTIF('Elève (6ème3)'!EI8:EK11,"D"))*1))/(COUNTA(EI8:EK11)),"")</f>
        <v>3.5</v>
      </c>
      <c r="EM7" s="107" t="str">
        <f t="shared" si="32"/>
        <v>B</v>
      </c>
      <c r="EN7" s="100"/>
      <c r="EO7" s="187"/>
      <c r="EP7" s="188"/>
      <c r="EQ7" s="106" t="str">
        <f>IFERROR((((COUNTIF('Elève (6ème3)'!EN8:EP11,"A"))*4)+((COUNTIF('Elève (6ème3)'!EN8:EP11,"B"))*3)+((COUNTIF('Elève (6ème3)'!EN8:EP11,"C"))*2)+((COUNTIF('Elève (6ème3)'!EN8:EP11,"D"))*1))/(COUNTA(EN8:EP11)),"")</f>
        <v/>
      </c>
      <c r="ER7" s="121" t="str">
        <f t="shared" si="33"/>
        <v/>
      </c>
      <c r="ES7" s="100"/>
      <c r="ET7" s="187"/>
      <c r="EU7" s="188"/>
      <c r="EV7" s="106" t="str">
        <f>IFERROR((((COUNTIF('Elève (6ème3)'!ES8:EU11,"A"))*4)+((COUNTIF('Elève (6ème3)'!ES8:EU11,"B"))*3)+((COUNTIF('Elève (6ème3)'!ES8:EU11,"C"))*2)+((COUNTIF('Elève (6ème3)'!ES8:EU11,"D"))*1))/(COUNTA(ES8:EU11)),"")</f>
        <v/>
      </c>
      <c r="EW7" s="128" t="str">
        <f t="shared" si="34"/>
        <v/>
      </c>
      <c r="EX7" s="177">
        <f>IFERROR((((COUNTIF(EI8:EK11,"A")+COUNTIF(EN8:EP11,"A")+COUNTIF(ES8:EU11,"A"))*4)+((COUNTIF(EI8:EK11,"B")+COUNTIF(EN8:EP11,"B")+COUNTIF(ES8:EU11,"B"))*3)+((COUNTIF(EI8:EK11,"C")+COUNTIF(EN8:EP11,"C")+COUNTIF(ES8:EU11,"C"))*2)+((COUNTIF(EI8:EK11,"D")+COUNTIF(EN8:EP11,"D")+COUNTIF(ES8:EU11,"D"))*1))/(COUNTA(EI8:EK11)+COUNTA(EN8:EP11)+COUNTA(ES8:EU11)),"")</f>
        <v>3.5</v>
      </c>
      <c r="EY7" s="130" t="str">
        <f t="shared" si="35"/>
        <v>B</v>
      </c>
      <c r="EZ7" s="162"/>
      <c r="FA7" s="189"/>
      <c r="FB7" s="189"/>
      <c r="FC7" s="106">
        <f>IFERROR((((COUNTIF('Elève (6ème3)'!EZ8:FB11,"A"))*4)+((COUNTIF('Elève (6ème3)'!EZ8:FB11,"B"))*3)+((COUNTIF('Elève (6ème3)'!EZ8:FB11,"C"))*2)+((COUNTIF('Elève (6ème3)'!EZ8:FB11,"D"))*1))/(COUNTA(EZ8:FB11)),"")</f>
        <v>3.5</v>
      </c>
      <c r="FD7" s="107" t="str">
        <f t="shared" si="36"/>
        <v>B</v>
      </c>
      <c r="FE7" s="100"/>
      <c r="FF7" s="187"/>
      <c r="FG7" s="188"/>
      <c r="FH7" s="106" t="str">
        <f>IFERROR((((COUNTIF('Elève (6ème3)'!FE8:FG11,"A"))*4)+((COUNTIF('Elève (6ème3)'!FE8:FG11,"B"))*3)+((COUNTIF('Elève (6ème3)'!FE8:FG11,"C"))*2)+((COUNTIF('Elève (6ème3)'!FE8:FG11,"D"))*1))/(COUNTA(FE8:FG11)),"")</f>
        <v/>
      </c>
      <c r="FI7" s="121" t="str">
        <f t="shared" si="37"/>
        <v/>
      </c>
      <c r="FJ7" s="100"/>
      <c r="FK7" s="187"/>
      <c r="FL7" s="188"/>
      <c r="FM7" s="106" t="str">
        <f>IFERROR((((COUNTIF('Elève (6ème3)'!FJ8:FL11,"A"))*4)+((COUNTIF('Elève (6ème3)'!FJ8:FL11,"B"))*3)+((COUNTIF('Elève (6ème3)'!FJ8:FL11,"C"))*2)+((COUNTIF('Elève (6ème3)'!FJ8:FL11,"D"))*1))/(COUNTA(FJ8:FL11)),"")</f>
        <v/>
      </c>
      <c r="FN7" s="128" t="str">
        <f t="shared" si="38"/>
        <v/>
      </c>
      <c r="FO7" s="177">
        <f>IFERROR((((COUNTIF(EZ8:FB11,"A")+COUNTIF(FE8:FG11,"A")+COUNTIF(FJ8:FL11,"A"))*4)+((COUNTIF(EZ8:FB11,"B")+COUNTIF(FE8:FG11,"B")+COUNTIF(FJ8:FL11,"B"))*3)+((COUNTIF(EZ8:FB11,"C")+COUNTIF(FE8:FG11,"C")+COUNTIF(FJ8:FL11,"C"))*2)+((COUNTIF(EZ8:FB11,"D")+COUNTIF(FE8:FG11,"D")+COUNTIF(FJ8:FL11,"D"))*1))/(COUNTA(EZ8:FB11)+COUNTA(FE8:FG11)+COUNTA(FJ8:FL11)),"")</f>
        <v>3.5</v>
      </c>
      <c r="FP7" s="130" t="str">
        <f t="shared" si="39"/>
        <v>B</v>
      </c>
      <c r="FQ7" s="162"/>
      <c r="FR7" s="189"/>
      <c r="FS7" s="189"/>
      <c r="FT7" s="106">
        <f>IFERROR((((COUNTIF('Elève (6ème3)'!FQ8:FS11,"A"))*4)+((COUNTIF('Elève (6ème3)'!FQ8:FS11,"B"))*3)+((COUNTIF('Elève (6ème3)'!FQ8:FS11,"C"))*2)+((COUNTIF('Elève (6ème3)'!FQ8:FS11,"D"))*1))/(COUNTA(FQ8:FS11)),"")</f>
        <v>3</v>
      </c>
      <c r="FU7" s="107" t="str">
        <f t="shared" si="40"/>
        <v>B</v>
      </c>
      <c r="FV7" s="100"/>
      <c r="FW7" s="187"/>
      <c r="FX7" s="188"/>
      <c r="FY7" s="106" t="str">
        <f>IFERROR((((COUNTIF('Elève (6ème3)'!FV8:FX11,"A"))*4)+((COUNTIF('Elève (6ème3)'!FV8:FX11,"B"))*3)+((COUNTIF('Elève (6ème3)'!FV8:FX11,"C"))*2)+((COUNTIF('Elève (6ème3)'!FV8:FX11,"D"))*1))/(COUNTA(FV8:FX11)),"")</f>
        <v/>
      </c>
      <c r="FZ7" s="121" t="str">
        <f t="shared" si="41"/>
        <v/>
      </c>
      <c r="GA7" s="100"/>
      <c r="GB7" s="187"/>
      <c r="GC7" s="188"/>
      <c r="GD7" s="106" t="str">
        <f>IFERROR((((COUNTIF('Elève (6ème3)'!GA8:GC11,"A"))*4)+((COUNTIF('Elève (6ème3)'!GA8:GC11,"B"))*3)+((COUNTIF('Elève (6ème3)'!GA8:GC11,"C"))*2)+((COUNTIF('Elève (6ème3)'!GA8:GC11,"D"))*1))/(COUNTA(GA8:GC11)),"")</f>
        <v/>
      </c>
      <c r="GE7" s="128" t="str">
        <f t="shared" si="42"/>
        <v/>
      </c>
      <c r="GF7" s="177">
        <f>IFERROR((((COUNTIF(FQ8:FS11,"A")+COUNTIF(FV8:FX11,"A")+COUNTIF(GA8:GC11,"A"))*4)+((COUNTIF(FQ8:FS11,"B")+COUNTIF(FV8:FX11,"B")+COUNTIF(GA8:GC11,"B"))*3)+((COUNTIF(FQ8:FS11,"C")+COUNTIF(FV8:FX11,"C")+COUNTIF(GA8:GC11,"C"))*2)+((COUNTIF(FQ8:FS11,"D")+COUNTIF(FV8:FX11,"D")+COUNTIF(GA8:GC11,"D"))*1))/(COUNTA(FQ8:FS11)+COUNTA(FV8:FX11)+COUNTA(GA8:GC11)),"")</f>
        <v>3</v>
      </c>
      <c r="GG7" s="130" t="str">
        <f t="shared" si="43"/>
        <v>B</v>
      </c>
      <c r="GH7" s="162"/>
      <c r="GI7" s="189"/>
      <c r="GJ7" s="189"/>
      <c r="GK7" s="106">
        <f>IFERROR((((COUNTIF('Elève (6ème3)'!GH8:GJ11,"A"))*4)+((COUNTIF('Elève (6ème3)'!GH8:GJ11,"B"))*3)+((COUNTIF('Elève (6ème3)'!GH8:GJ11,"C"))*2)+((COUNTIF('Elève (6ème3)'!GH8:GJ11,"D"))*1))/(COUNTA(GH8:GJ11)),"")</f>
        <v>2.5</v>
      </c>
      <c r="GL7" s="107" t="str">
        <f t="shared" si="44"/>
        <v>C</v>
      </c>
      <c r="GM7" s="100"/>
      <c r="GN7" s="187"/>
      <c r="GO7" s="188"/>
      <c r="GP7" s="106" t="str">
        <f>IFERROR((((COUNTIF('Elève (6ème3)'!GM8:GO11,"A"))*4)+((COUNTIF('Elève (6ème3)'!GM8:GO11,"B"))*3)+((COUNTIF('Elève (6ème3)'!GM8:GO11,"C"))*2)+((COUNTIF('Elève (6ème3)'!GM8:GO11,"D"))*1))/(COUNTA(GM8:GO11)),"")</f>
        <v/>
      </c>
      <c r="GQ7" s="121" t="str">
        <f t="shared" si="45"/>
        <v/>
      </c>
      <c r="GR7" s="100"/>
      <c r="GS7" s="187"/>
      <c r="GT7" s="188"/>
      <c r="GU7" s="106" t="str">
        <f>IFERROR((((COUNTIF('Elève (6ème3)'!GR8:GT11,"A"))*4)+((COUNTIF('Elève (6ème3)'!GR8:GT11,"B"))*3)+((COUNTIF('Elève (6ème3)'!GR8:GT11,"C"))*2)+((COUNTIF('Elève (6ème3)'!GR8:GT11,"D"))*1))/(COUNTA(GR8:GT11)),"")</f>
        <v/>
      </c>
      <c r="GV7" s="128" t="str">
        <f t="shared" si="46"/>
        <v/>
      </c>
      <c r="GW7" s="177">
        <f>IFERROR((((COUNTIF(GH8:GJ11,"A")+COUNTIF(GM8:GO11,"A")+COUNTIF(GR8:GT11,"A"))*4)+((COUNTIF(GH8:GJ11,"B")+COUNTIF(GM8:GO11,"B")+COUNTIF(GR8:GT11,"B"))*3)+((COUNTIF(GH8:GJ11,"C")+COUNTIF(GM8:GO11,"C")+COUNTIF(GR8:GT11,"C"))*2)+((COUNTIF(GH8:GJ11,"D")+COUNTIF(GM8:GO11,"D")+COUNTIF(GR8:GT11,"D"))*1))/(COUNTA(GH8:GJ11)+COUNTA(GM8:GO11)+COUNTA(GR8:GT11)),"")</f>
        <v>2.5</v>
      </c>
      <c r="GX7" s="130" t="str">
        <f t="shared" si="47"/>
        <v>C</v>
      </c>
      <c r="GY7" s="162"/>
      <c r="GZ7" s="189"/>
      <c r="HA7" s="189"/>
      <c r="HB7" s="106">
        <f>IFERROR((((COUNTIF('Elève (6ème3)'!GY8:HA11,"A"))*4)+((COUNTIF('Elève (6ème3)'!GY8:HA11,"B"))*3)+((COUNTIF('Elève (6ème3)'!GY8:HA11,"C"))*2)+((COUNTIF('Elève (6ème3)'!GY8:HA11,"D"))*1))/(COUNTA(GY8:HA11)),"")</f>
        <v>3.5</v>
      </c>
      <c r="HC7" s="107" t="str">
        <f t="shared" si="48"/>
        <v>B</v>
      </c>
      <c r="HD7" s="100"/>
      <c r="HE7" s="187"/>
      <c r="HF7" s="188"/>
      <c r="HG7" s="106" t="str">
        <f>IFERROR((((COUNTIF('Elève (6ème3)'!HD8:HF11,"A"))*4)+((COUNTIF('Elève (6ème3)'!HD8:HF11,"B"))*3)+((COUNTIF('Elève (6ème3)'!HD8:HF11,"C"))*2)+((COUNTIF('Elève (6ème3)'!HD8:HF11,"D"))*1))/(COUNTA(HD8:HF11)),"")</f>
        <v/>
      </c>
      <c r="HH7" s="121" t="str">
        <f t="shared" si="49"/>
        <v/>
      </c>
      <c r="HI7" s="100"/>
      <c r="HJ7" s="187"/>
      <c r="HK7" s="188"/>
      <c r="HL7" s="106" t="str">
        <f>IFERROR((((COUNTIF('Elève (6ème3)'!HI8:HK11,"A"))*4)+((COUNTIF('Elève (6ème3)'!HI8:HK11,"B"))*3)+((COUNTIF('Elève (6ème3)'!HI8:HK11,"C"))*2)+((COUNTIF('Elève (6ème3)'!HI8:HK11,"D"))*1))/(COUNTA(HI8:HK11)),"")</f>
        <v/>
      </c>
      <c r="HM7" s="128" t="str">
        <f t="shared" si="50"/>
        <v/>
      </c>
      <c r="HN7" s="177">
        <f>IFERROR((((COUNTIF(GY8:HA11,"A")+COUNTIF(HD8:HF11,"A")+COUNTIF(HI8:HK11,"A"))*4)+((COUNTIF(GY8:HA11,"B")+COUNTIF(HD8:HF11,"B")+COUNTIF(HI8:HK11,"B"))*3)+((COUNTIF(GY8:HA11,"C")+COUNTIF(HD8:HF11,"C")+COUNTIF(HI8:HK11,"C"))*2)+((COUNTIF(GY8:HA11,"D")+COUNTIF(HD8:HF11,"D")+COUNTIF(HI8:HK11,"D"))*1))/(COUNTA(GY8:HA11)+COUNTA(HD8:HF11)+COUNTA(HI8:HK11)),"")</f>
        <v>3.5</v>
      </c>
      <c r="HO7" s="130" t="str">
        <f t="shared" si="51"/>
        <v>B</v>
      </c>
      <c r="HP7" s="162"/>
      <c r="HQ7" s="189"/>
      <c r="HR7" s="189"/>
      <c r="HS7" s="106">
        <f>IFERROR((((COUNTIF('Elève (6ème3)'!HP8:HR11,"A"))*4)+((COUNTIF('Elève (6ème3)'!HP8:HR11,"B"))*3)+((COUNTIF('Elève (6ème3)'!HP8:HR11,"C"))*2)+((COUNTIF('Elève (6ème3)'!HP8:HR11,"D"))*1))/(COUNTA(HP8:HR11)),"")</f>
        <v>3.5</v>
      </c>
      <c r="HT7" s="107" t="str">
        <f t="shared" si="52"/>
        <v>B</v>
      </c>
      <c r="HU7" s="100"/>
      <c r="HV7" s="187"/>
      <c r="HW7" s="188"/>
      <c r="HX7" s="106" t="str">
        <f>IFERROR((((COUNTIF('Elève (6ème3)'!HU8:HW11,"A"))*4)+((COUNTIF('Elève (6ème3)'!HU8:HW11,"B"))*3)+((COUNTIF('Elève (6ème3)'!HU8:HW11,"C"))*2)+((COUNTIF('Elève (6ème3)'!HU8:HW11,"D"))*1))/(COUNTA(HU8:HW11)),"")</f>
        <v/>
      </c>
      <c r="HY7" s="121" t="str">
        <f t="shared" si="53"/>
        <v/>
      </c>
      <c r="HZ7" s="100"/>
      <c r="IA7" s="187"/>
      <c r="IB7" s="188"/>
      <c r="IC7" s="106" t="str">
        <f>IFERROR((((COUNTIF('Elève (6ème3)'!HZ8:IB11,"A"))*4)+((COUNTIF('Elève (6ème3)'!HZ8:IB11,"B"))*3)+((COUNTIF('Elève (6ème3)'!HZ8:IB11,"C"))*2)+((COUNTIF('Elève (6ème3)'!HZ8:IB11,"D"))*1))/(COUNTA(HZ8:IB11)),"")</f>
        <v/>
      </c>
      <c r="ID7" s="128" t="str">
        <f t="shared" si="54"/>
        <v/>
      </c>
      <c r="IE7" s="177">
        <f>IFERROR((((COUNTIF(HP8:HR11,"A")+COUNTIF(HU8:HW11,"A")+COUNTIF(HZ8:IB11,"A"))*4)+((COUNTIF(HP8:HR11,"B")+COUNTIF(HU8:HW11,"B")+COUNTIF(HZ8:IB11,"B"))*3)+((COUNTIF(HP8:HR11,"C")+COUNTIF(HU8:HW11,"C")+COUNTIF(HZ8:IB11,"C"))*2)+((COUNTIF(HP8:HR11,"D")+COUNTIF(HU8:HW11,"D")+COUNTIF(HZ8:IB11,"D"))*1))/(COUNTA(HP8:HR11)+COUNTA(HU8:HW11)+COUNTA(HZ8:IB11)),"")</f>
        <v>3.5</v>
      </c>
      <c r="IF7" s="130" t="str">
        <f t="shared" si="55"/>
        <v>B</v>
      </c>
      <c r="IG7" s="162"/>
      <c r="IH7" s="189"/>
      <c r="II7" s="189"/>
      <c r="IJ7" s="106">
        <f>IFERROR((((COUNTIF('Elève (6ème3)'!IG8:II11,"A"))*4)+((COUNTIF('Elève (6ème3)'!IG8:II11,"B"))*3)+((COUNTIF('Elève (6ème3)'!IG8:II11,"C"))*2)+((COUNTIF('Elève (6ème3)'!IG8:II11,"D"))*1))/(COUNTA(IG8:II11)),"")</f>
        <v>3.5</v>
      </c>
      <c r="IK7" s="107" t="str">
        <f t="shared" si="56"/>
        <v>B</v>
      </c>
      <c r="IL7" s="100"/>
      <c r="IM7" s="187"/>
      <c r="IN7" s="188"/>
      <c r="IO7" s="106" t="str">
        <f>IFERROR((((COUNTIF('Elève (6ème3)'!IL8:IN11,"A"))*4)+((COUNTIF('Elève (6ème3)'!IL8:IN11,"B"))*3)+((COUNTIF('Elève (6ème3)'!IL8:IN11,"C"))*2)+((COUNTIF('Elève (6ème3)'!IL8:IN11,"D"))*1))/(COUNTA(IL8:IN11)),"")</f>
        <v/>
      </c>
      <c r="IP7" s="121" t="str">
        <f t="shared" si="57"/>
        <v/>
      </c>
      <c r="IQ7" s="100"/>
      <c r="IR7" s="187"/>
      <c r="IS7" s="188"/>
      <c r="IT7" s="106" t="str">
        <f>IFERROR((((COUNTIF('Elève (6ème3)'!IQ8:IS11,"A"))*4)+((COUNTIF('Elève (6ème3)'!IQ8:IS11,"B"))*3)+((COUNTIF('Elève (6ème3)'!IQ8:IS11,"C"))*2)+((COUNTIF('Elève (6ème3)'!IQ8:IS11,"D"))*1))/(COUNTA(IQ8:IS11)),"")</f>
        <v/>
      </c>
      <c r="IU7" s="128" t="str">
        <f t="shared" si="58"/>
        <v/>
      </c>
      <c r="IV7" s="177">
        <f>IFERROR((((COUNTIF(IG8:II11,"A")+COUNTIF(IL8:IN11,"A")+COUNTIF(IQ8:IS11,"A"))*4)+((COUNTIF(IG8:II11,"B")+COUNTIF(IL8:IN11,"B")+COUNTIF(IQ8:IS11,"B"))*3)+((COUNTIF(IG8:II11,"C")+COUNTIF(IL8:IN11,"C")+COUNTIF(IQ8:IS11,"C"))*2)+((COUNTIF(IG8:II11,"D")+COUNTIF(IL8:IN11,"D")+COUNTIF(IQ8:IS11,"D"))*1))/(COUNTA(IG8:II11)+COUNTA(IL8:IN11)+COUNTA(IQ8:IS11)),"")</f>
        <v>3.5</v>
      </c>
      <c r="IW7" s="130" t="str">
        <f t="shared" si="59"/>
        <v>B</v>
      </c>
      <c r="IX7" s="162"/>
      <c r="IY7" s="189"/>
      <c r="IZ7" s="189"/>
      <c r="JA7" s="106">
        <f>IFERROR((((COUNTIF('Elève (6ème3)'!IX8:IZ11,"A"))*4)+((COUNTIF('Elève (6ème3)'!IX8:IZ11,"B"))*3)+((COUNTIF('Elève (6ème3)'!IX8:IZ11,"C"))*2)+((COUNTIF('Elève (6ème3)'!IX8:IZ11,"D"))*1))/(COUNTA(IX8:IZ11)),"")</f>
        <v>3.5</v>
      </c>
      <c r="JB7" s="107" t="str">
        <f t="shared" si="60"/>
        <v>B</v>
      </c>
      <c r="JC7" s="100"/>
      <c r="JD7" s="187"/>
      <c r="JE7" s="188"/>
      <c r="JF7" s="106" t="str">
        <f>IFERROR((((COUNTIF('Elève (6ème3)'!JC8:JE11,"A"))*4)+((COUNTIF('Elève (6ème3)'!JC8:JE11,"B"))*3)+((COUNTIF('Elève (6ème3)'!JC8:JE11,"C"))*2)+((COUNTIF('Elève (6ème3)'!JC8:JE11,"D"))*1))/(COUNTA(JC8:JE11)),"")</f>
        <v/>
      </c>
      <c r="JG7" s="121" t="str">
        <f t="shared" si="61"/>
        <v/>
      </c>
      <c r="JH7" s="100"/>
      <c r="JI7" s="187"/>
      <c r="JJ7" s="188"/>
      <c r="JK7" s="106" t="str">
        <f>IFERROR((((COUNTIF('Elève (6ème3)'!JH8:JJ11,"A"))*4)+((COUNTIF('Elève (6ème3)'!JH8:JJ11,"B"))*3)+((COUNTIF('Elève (6ème3)'!JH8:JJ11,"C"))*2)+((COUNTIF('Elève (6ème3)'!JH8:JJ11,"D"))*1))/(COUNTA(JH8:JJ11)),"")</f>
        <v/>
      </c>
      <c r="JL7" s="128" t="str">
        <f t="shared" si="62"/>
        <v/>
      </c>
      <c r="JM7" s="177">
        <f>IFERROR((((COUNTIF(IX8:IZ11,"A")+COUNTIF(JC8:JE11,"A")+COUNTIF(JH8:JJ11,"A"))*4)+((COUNTIF(IX8:IZ11,"B")+COUNTIF(JC8:JE11,"B")+COUNTIF(JH8:JJ11,"B"))*3)+((COUNTIF(IX8:IZ11,"C")+COUNTIF(JC8:JE11,"C")+COUNTIF(JH8:JJ11,"C"))*2)+((COUNTIF(IX8:IZ11,"D")+COUNTIF(JC8:JE11,"D")+COUNTIF(JH8:JJ11,"D"))*1))/(COUNTA(IX8:IZ11)+COUNTA(JC8:JE11)+COUNTA(JH8:JJ11)),"")</f>
        <v>3.5</v>
      </c>
      <c r="JN7" s="130" t="str">
        <f t="shared" si="63"/>
        <v>B</v>
      </c>
      <c r="JO7" s="162"/>
      <c r="JP7" s="189"/>
      <c r="JQ7" s="189"/>
      <c r="JR7" s="106">
        <f>IFERROR((((COUNTIF('Elève (6ème3)'!JO8:JQ11,"A"))*4)+((COUNTIF('Elève (6ème3)'!JO8:JQ11,"B"))*3)+((COUNTIF('Elève (6ème3)'!JO8:JQ11,"C"))*2)+((COUNTIF('Elève (6ème3)'!JO8:JQ11,"D"))*1))/(COUNTA(JO8:JQ11)),"")</f>
        <v>2.5</v>
      </c>
      <c r="JS7" s="107" t="str">
        <f t="shared" si="64"/>
        <v>C</v>
      </c>
      <c r="JT7" s="100"/>
      <c r="JU7" s="187"/>
      <c r="JV7" s="188"/>
      <c r="JW7" s="106" t="str">
        <f>IFERROR((((COUNTIF('Elève (6ème3)'!JT8:JV11,"A"))*4)+((COUNTIF('Elève (6ème3)'!JT8:JV11,"B"))*3)+((COUNTIF('Elève (6ème3)'!JT8:JV11,"C"))*2)+((COUNTIF('Elève (6ème3)'!JT8:JV11,"D"))*1))/(COUNTA(JT8:JV11)),"")</f>
        <v/>
      </c>
      <c r="JX7" s="121" t="str">
        <f t="shared" si="65"/>
        <v/>
      </c>
      <c r="JY7" s="100"/>
      <c r="JZ7" s="187"/>
      <c r="KA7" s="188"/>
      <c r="KB7" s="106" t="str">
        <f>IFERROR((((COUNTIF('Elève (6ème3)'!JY8:KA11,"A"))*4)+((COUNTIF('Elève (6ème3)'!JY8:KA11,"B"))*3)+((COUNTIF('Elève (6ème3)'!JY8:KA11,"C"))*2)+((COUNTIF('Elève (6ème3)'!JY8:KA11,"D"))*1))/(COUNTA(JY8:KA11)),"")</f>
        <v/>
      </c>
      <c r="KC7" s="128" t="str">
        <f t="shared" si="66"/>
        <v/>
      </c>
      <c r="KD7" s="177">
        <f>IFERROR((((COUNTIF(JO8:JQ11,"A")+COUNTIF(JT8:JV11,"A")+COUNTIF(JY8:KA11,"A"))*4)+((COUNTIF(JO8:JQ11,"B")+COUNTIF(JT8:JV11,"B")+COUNTIF(JY8:KA11,"B"))*3)+((COUNTIF(JO8:JQ11,"C")+COUNTIF(JT8:JV11,"C")+COUNTIF(JY8:KA11,"C"))*2)+((COUNTIF(JO8:JQ11,"D")+COUNTIF(JT8:JV11,"D")+COUNTIF(JY8:KA11,"D"))*1))/(COUNTA(JO8:JQ11)+COUNTA(JT8:JV11)+COUNTA(JY8:KA11)),"")</f>
        <v>2.5</v>
      </c>
      <c r="KE7" s="130" t="str">
        <f t="shared" si="67"/>
        <v>C</v>
      </c>
      <c r="KF7" s="162"/>
      <c r="KG7" s="189"/>
      <c r="KH7" s="189"/>
      <c r="KI7" s="106">
        <f>IFERROR((((COUNTIF('Elève (6ème3)'!KF8:KH11,"A"))*4)+((COUNTIF('Elève (6ème3)'!KF8:KH11,"B"))*3)+((COUNTIF('Elève (6ème3)'!KF8:KH11,"C"))*2)+((COUNTIF('Elève (6ème3)'!KF8:KH11,"D"))*1))/(COUNTA(KF8:KH11)),"")</f>
        <v>3</v>
      </c>
      <c r="KJ7" s="107" t="str">
        <f t="shared" si="68"/>
        <v>B</v>
      </c>
      <c r="KK7" s="100"/>
      <c r="KL7" s="187"/>
      <c r="KM7" s="188"/>
      <c r="KN7" s="106" t="str">
        <f>IFERROR((((COUNTIF('Elève (6ème3)'!KK8:KM11,"A"))*4)+((COUNTIF('Elève (6ème3)'!KK8:KM11,"B"))*3)+((COUNTIF('Elève (6ème3)'!KK8:KM11,"C"))*2)+((COUNTIF('Elève (6ème3)'!KK8:KM11,"D"))*1))/(COUNTA(KK8:KM11)),"")</f>
        <v/>
      </c>
      <c r="KO7" s="121" t="str">
        <f t="shared" si="69"/>
        <v/>
      </c>
      <c r="KP7" s="100"/>
      <c r="KQ7" s="187"/>
      <c r="KR7" s="188"/>
      <c r="KS7" s="106" t="str">
        <f>IFERROR((((COUNTIF('Elève (6ème3)'!KP8:KR11,"A"))*4)+((COUNTIF('Elève (6ème3)'!KP8:KR11,"B"))*3)+((COUNTIF('Elève (6ème3)'!KP8:KR11,"C"))*2)+((COUNTIF('Elève (6ème3)'!KP8:KR11,"D"))*1))/(COUNTA(KP8:KR11)),"")</f>
        <v/>
      </c>
      <c r="KT7" s="128" t="str">
        <f t="shared" si="70"/>
        <v/>
      </c>
      <c r="KU7" s="177">
        <f>IFERROR((((COUNTIF(KF8:KH11,"A")+COUNTIF(KK8:KM11,"A")+COUNTIF(KP8:KR11,"A"))*4)+((COUNTIF(KF8:KH11,"B")+COUNTIF(KK8:KM11,"B")+COUNTIF(KP8:KR11,"B"))*3)+((COUNTIF(KF8:KH11,"C")+COUNTIF(KK8:KM11,"C")+COUNTIF(KP8:KR11,"C"))*2)+((COUNTIF(KF8:KH11,"D")+COUNTIF(KK8:KM11,"D")+COUNTIF(KP8:KR11,"D"))*1))/(COUNTA(KF8:KH11)+COUNTA(KK8:KM11)+COUNTA(KP8:KR11)),"")</f>
        <v>3</v>
      </c>
      <c r="KV7" s="130" t="str">
        <f t="shared" si="71"/>
        <v>B</v>
      </c>
      <c r="KW7" s="162"/>
      <c r="KX7" s="189"/>
      <c r="KY7" s="189"/>
      <c r="KZ7" s="106">
        <f>IFERROR((((COUNTIF('Elève (6ème3)'!KW8:KY11,"A"))*4)+((COUNTIF('Elève (6ème3)'!KW8:KY11,"B"))*3)+((COUNTIF('Elève (6ème3)'!KW8:KY11,"C"))*2)+((COUNTIF('Elève (6ème3)'!KW8:KY11,"D"))*1))/(COUNTA(KW8:KY11)),"")</f>
        <v>4</v>
      </c>
      <c r="LA7" s="107" t="str">
        <f t="shared" si="72"/>
        <v>A</v>
      </c>
      <c r="LB7" s="100"/>
      <c r="LC7" s="187"/>
      <c r="LD7" s="188"/>
      <c r="LE7" s="106" t="str">
        <f>IFERROR((((COUNTIF('Elève (6ème3)'!LB8:LD11,"A"))*4)+((COUNTIF('Elève (6ème3)'!LB8:LD11,"B"))*3)+((COUNTIF('Elève (6ème3)'!LB8:LD11,"C"))*2)+((COUNTIF('Elève (6ème3)'!LB8:LD11,"D"))*1))/(COUNTA(LB8:LD11)),"")</f>
        <v/>
      </c>
      <c r="LF7" s="121" t="str">
        <f t="shared" si="73"/>
        <v/>
      </c>
      <c r="LG7" s="100"/>
      <c r="LH7" s="187"/>
      <c r="LI7" s="188"/>
      <c r="LJ7" s="106" t="str">
        <f>IFERROR((((COUNTIF('Elève (6ème3)'!LG8:LI11,"A"))*4)+((COUNTIF('Elève (6ème3)'!LG8:LI11,"B"))*3)+((COUNTIF('Elève (6ème3)'!LG8:LI11,"C"))*2)+((COUNTIF('Elève (6ème3)'!LG8:LI11,"D"))*1))/(COUNTA(LG8:LI11)),"")</f>
        <v/>
      </c>
      <c r="LK7" s="128" t="str">
        <f t="shared" si="74"/>
        <v/>
      </c>
      <c r="LL7" s="177">
        <f>IFERROR((((COUNTIF(KW8:KY11,"A")+COUNTIF(LB8:LD11,"A")+COUNTIF(LG8:LI11,"A"))*4)+((COUNTIF(KW8:KY11,"B")+COUNTIF(LB8:LD11,"B")+COUNTIF(LG8:LI11,"B"))*3)+((COUNTIF(KW8:KY11,"C")+COUNTIF(LB8:LD11,"C")+COUNTIF(LG8:LI11,"C"))*2)+((COUNTIF(KW8:KY11,"D")+COUNTIF(LB8:LD11,"D")+COUNTIF(LG8:LI11,"D"))*1))/(COUNTA(KW8:KY11)+COUNTA(LB8:LD11)+COUNTA(LG8:LI11)),"")</f>
        <v>4</v>
      </c>
      <c r="LM7" s="130" t="str">
        <f t="shared" si="75"/>
        <v>A</v>
      </c>
      <c r="LN7" s="162"/>
      <c r="LO7" s="189"/>
      <c r="LP7" s="189"/>
      <c r="LQ7" s="106">
        <f>IFERROR((((COUNTIF('Elève (6ème3)'!LN8:LP11,"A"))*4)+((COUNTIF('Elève (6ème3)'!LN8:LP11,"B"))*3)+((COUNTIF('Elève (6ème3)'!LN8:LP11,"C"))*2)+((COUNTIF('Elève (6ème3)'!LN8:LP11,"D"))*1))/(COUNTA(LN8:LP11)),"")</f>
        <v>3</v>
      </c>
      <c r="LR7" s="107" t="str">
        <f t="shared" si="76"/>
        <v>B</v>
      </c>
      <c r="LS7" s="100"/>
      <c r="LT7" s="187"/>
      <c r="LU7" s="188"/>
      <c r="LV7" s="106" t="str">
        <f>IFERROR((((COUNTIF('Elève (6ème3)'!LS8:LU11,"A"))*4)+((COUNTIF('Elève (6ème3)'!LS8:LU11,"B"))*3)+((COUNTIF('Elève (6ème3)'!LS8:LU11,"C"))*2)+((COUNTIF('Elève (6ème3)'!LS8:LU11,"D"))*1))/(COUNTA(LS8:LU11)),"")</f>
        <v/>
      </c>
      <c r="LW7" s="121" t="str">
        <f t="shared" si="77"/>
        <v/>
      </c>
      <c r="LX7" s="100"/>
      <c r="LY7" s="187"/>
      <c r="LZ7" s="188"/>
      <c r="MA7" s="106" t="str">
        <f>IFERROR((((COUNTIF('Elève (6ème3)'!LX8:LZ11,"A"))*4)+((COUNTIF('Elève (6ème3)'!LX8:LZ11,"B"))*3)+((COUNTIF('Elève (6ème3)'!LX8:LZ11,"C"))*2)+((COUNTIF('Elève (6ème3)'!LX8:LZ11,"D"))*1))/(COUNTA(LX8:LZ11)),"")</f>
        <v/>
      </c>
      <c r="MB7" s="128" t="str">
        <f t="shared" si="78"/>
        <v/>
      </c>
      <c r="MC7" s="177">
        <f>IFERROR((((COUNTIF(LN8:LP11,"A")+COUNTIF(LS8:LU11,"A")+COUNTIF(LX8:LZ11,"A"))*4)+((COUNTIF(LN8:LP11,"B")+COUNTIF(LS8:LU11,"B")+COUNTIF(LX8:LZ11,"B"))*3)+((COUNTIF(LN8:LP11,"C")+COUNTIF(LS8:LU11,"C")+COUNTIF(LX8:LZ11,"C"))*2)+((COUNTIF(LN8:LP11,"D")+COUNTIF(LS8:LU11,"D")+COUNTIF(LX8:LZ11,"D"))*1))/(COUNTA(LN8:LP11)+COUNTA(LS8:LU11)+COUNTA(LX8:LZ11)),"")</f>
        <v>3</v>
      </c>
      <c r="MD7" s="130" t="str">
        <f t="shared" si="79"/>
        <v>B</v>
      </c>
      <c r="ME7" s="162"/>
      <c r="MF7" s="189"/>
      <c r="MG7" s="189"/>
      <c r="MH7" s="106">
        <f>IFERROR((((COUNTIF('Elève (6ème3)'!ME8:MG11,"A"))*4)+((COUNTIF('Elève (6ème3)'!ME8:MG11,"B"))*3)+((COUNTIF('Elève (6ème3)'!ME8:MG11,"C"))*2)+((COUNTIF('Elève (6ème3)'!ME8:MG11,"D"))*1))/(COUNTA(ME8:MG11)),"")</f>
        <v>4</v>
      </c>
      <c r="MI7" s="107" t="str">
        <f t="shared" si="80"/>
        <v>A</v>
      </c>
      <c r="MJ7" s="100"/>
      <c r="MK7" s="187"/>
      <c r="ML7" s="188"/>
      <c r="MM7" s="106" t="str">
        <f>IFERROR((((COUNTIF('Elève (6ème3)'!MJ8:ML11,"A"))*4)+((COUNTIF('Elève (6ème3)'!MJ8:ML11,"B"))*3)+((COUNTIF('Elève (6ème3)'!MJ8:ML11,"C"))*2)+((COUNTIF('Elève (6ème3)'!MJ8:ML11,"D"))*1))/(COUNTA(MJ8:ML11)),"")</f>
        <v/>
      </c>
      <c r="MN7" s="121" t="str">
        <f t="shared" si="81"/>
        <v/>
      </c>
      <c r="MO7" s="100"/>
      <c r="MP7" s="187"/>
      <c r="MQ7" s="188"/>
      <c r="MR7" s="106" t="str">
        <f>IFERROR((((COUNTIF('Elève (6ème3)'!MO8:MQ11,"A"))*4)+((COUNTIF('Elève (6ème3)'!MO8:MQ11,"B"))*3)+((COUNTIF('Elève (6ème3)'!MO8:MQ11,"C"))*2)+((COUNTIF('Elève (6ème3)'!MO8:MQ11,"D"))*1))/(COUNTA(MO8:MQ11)),"")</f>
        <v/>
      </c>
      <c r="MS7" s="128" t="str">
        <f t="shared" si="82"/>
        <v/>
      </c>
      <c r="MT7" s="177">
        <f>IFERROR((((COUNTIF(ME8:MG11,"A")+COUNTIF(MJ8:ML11,"A")+COUNTIF(MO8:MQ11,"A"))*4)+((COUNTIF(ME8:MG11,"B")+COUNTIF(MJ8:ML11,"B")+COUNTIF(MO8:MQ11,"B"))*3)+((COUNTIF(ME8:MG11,"C")+COUNTIF(MJ8:ML11,"C")+COUNTIF(MO8:MQ11,"C"))*2)+((COUNTIF(ME8:MG11,"D")+COUNTIF(MJ8:ML11,"D")+COUNTIF(MO8:MQ11,"D"))*1))/(COUNTA(ME8:MG11)+COUNTA(MJ8:ML11)+COUNTA(MO8:MQ11)),"")</f>
        <v>4</v>
      </c>
      <c r="MU7" s="130" t="str">
        <f t="shared" si="83"/>
        <v>A</v>
      </c>
      <c r="MV7" s="162"/>
      <c r="MW7" s="189"/>
      <c r="MX7" s="189"/>
      <c r="MY7" s="106">
        <f>IFERROR((((COUNTIF('Elève (6ème3)'!MV8:MX11,"A"))*4)+((COUNTIF('Elève (6ème3)'!MV8:MX11,"B"))*3)+((COUNTIF('Elève (6ème3)'!MV8:MX11,"C"))*2)+((COUNTIF('Elève (6ème3)'!MV8:MX11,"D"))*1))/(COUNTA(MV8:MX11)),"")</f>
        <v>3</v>
      </c>
      <c r="MZ7" s="107" t="str">
        <f t="shared" si="84"/>
        <v>B</v>
      </c>
      <c r="NA7" s="100"/>
      <c r="NB7" s="187"/>
      <c r="NC7" s="188"/>
      <c r="ND7" s="106" t="str">
        <f>IFERROR((((COUNTIF('Elève (6ème3)'!NA8:NC11,"A"))*4)+((COUNTIF('Elève (6ème3)'!NA8:NC11,"B"))*3)+((COUNTIF('Elève (6ème3)'!NA8:NC11,"C"))*2)+((COUNTIF('Elève (6ème3)'!NA8:NC11,"D"))*1))/(COUNTA(NA8:NC11)),"")</f>
        <v/>
      </c>
      <c r="NE7" s="121" t="str">
        <f t="shared" si="85"/>
        <v/>
      </c>
      <c r="NF7" s="100"/>
      <c r="NG7" s="187"/>
      <c r="NH7" s="188"/>
      <c r="NI7" s="106" t="str">
        <f>IFERROR((((COUNTIF('Elève (6ème3)'!NF8:NH11,"A"))*4)+((COUNTIF('Elève (6ème3)'!NF8:NH11,"B"))*3)+((COUNTIF('Elève (6ème3)'!NF8:NH11,"C"))*2)+((COUNTIF('Elève (6ème3)'!NF8:NH11,"D"))*1))/(COUNTA(NF8:NH11)),"")</f>
        <v/>
      </c>
      <c r="NJ7" s="128" t="str">
        <f t="shared" si="86"/>
        <v/>
      </c>
      <c r="NK7" s="177">
        <f>IFERROR((((COUNTIF(MV8:MX11,"A")+COUNTIF(NA8:NC11,"A")+COUNTIF(NF8:NH11,"A"))*4)+((COUNTIF(MV8:MX11,"B")+COUNTIF(NA8:NC11,"B")+COUNTIF(NF8:NH11,"B"))*3)+((COUNTIF(MV8:MX11,"C")+COUNTIF(NA8:NC11,"C")+COUNTIF(NF8:NH11,"C"))*2)+((COUNTIF(MV8:MX11,"D")+COUNTIF(NA8:NC11,"D")+COUNTIF(NF8:NH11,"D"))*1))/(COUNTA(MV8:MX11)+COUNTA(NA8:NC11)+COUNTA(NF8:NH11)),"")</f>
        <v>3</v>
      </c>
      <c r="NL7" s="130" t="str">
        <f t="shared" si="87"/>
        <v>B</v>
      </c>
      <c r="NM7" s="162"/>
      <c r="NN7" s="189"/>
      <c r="NO7" s="189"/>
      <c r="NP7" s="106">
        <f>IFERROR((((COUNTIF('Elève (6ème3)'!NM8:NO11,"A"))*4)+((COUNTIF('Elève (6ème3)'!NM8:NO11,"B"))*3)+((COUNTIF('Elève (6ème3)'!NM8:NO11,"C"))*2)+((COUNTIF('Elève (6ème3)'!NM8:NO11,"D"))*1))/(COUNTA(NM8:NO11)),"")</f>
        <v>3</v>
      </c>
      <c r="NQ7" s="107" t="str">
        <f t="shared" si="88"/>
        <v>B</v>
      </c>
      <c r="NR7" s="100"/>
      <c r="NS7" s="187"/>
      <c r="NT7" s="188"/>
      <c r="NU7" s="106" t="str">
        <f>IFERROR((((COUNTIF('Elève (6ème3)'!NR8:NT11,"A"))*4)+((COUNTIF('Elève (6ème3)'!NR8:NT11,"B"))*3)+((COUNTIF('Elève (6ème3)'!NR8:NT11,"C"))*2)+((COUNTIF('Elève (6ème3)'!NR8:NT11,"D"))*1))/(COUNTA(NR8:NT11)),"")</f>
        <v/>
      </c>
      <c r="NV7" s="121" t="str">
        <f t="shared" si="89"/>
        <v/>
      </c>
      <c r="NW7" s="100"/>
      <c r="NX7" s="187"/>
      <c r="NY7" s="188"/>
      <c r="NZ7" s="106" t="str">
        <f>IFERROR((((COUNTIF('Elève (6ème3)'!NW8:NY11,"A"))*4)+((COUNTIF('Elève (6ème3)'!NW8:NY11,"B"))*3)+((COUNTIF('Elève (6ème3)'!NW8:NY11,"C"))*2)+((COUNTIF('Elève (6ème3)'!NW8:NY11,"D"))*1))/(COUNTA(NW8:NY11)),"")</f>
        <v/>
      </c>
      <c r="OA7" s="128" t="str">
        <f t="shared" si="90"/>
        <v/>
      </c>
      <c r="OB7" s="177">
        <f>IFERROR((((COUNTIF(NM8:NO11,"A")+COUNTIF(NR8:NT11,"A")+COUNTIF(NW8:NY11,"A"))*4)+((COUNTIF(NM8:NO11,"B")+COUNTIF(NR8:NT11,"B")+COUNTIF(NW8:NY11,"B"))*3)+((COUNTIF(NM8:NO11,"C")+COUNTIF(NR8:NT11,"C")+COUNTIF(NW8:NY11,"C"))*2)+((COUNTIF(NM8:NO11,"D")+COUNTIF(NR8:NT11,"D")+COUNTIF(NW8:NY11,"D"))*1))/(COUNTA(NM8:NO11)+COUNTA(NR8:NT11)+COUNTA(NW8:NY11)),"")</f>
        <v>3</v>
      </c>
      <c r="OC7" s="130" t="str">
        <f t="shared" si="91"/>
        <v>B</v>
      </c>
      <c r="OD7" s="162"/>
      <c r="OE7" s="189"/>
      <c r="OF7" s="189"/>
      <c r="OG7" s="106">
        <f>IFERROR((((COUNTIF('Elève (6ème3)'!OD8:OF11,"A"))*4)+((COUNTIF('Elève (6ème3)'!OD8:OF11,"B"))*3)+((COUNTIF('Elève (6ème3)'!OD8:OF11,"C"))*2)+((COUNTIF('Elève (6ème3)'!OD8:OF11,"D"))*1))/(COUNTA(OD8:OF11)),"")</f>
        <v>2</v>
      </c>
      <c r="OH7" s="107" t="str">
        <f t="shared" si="92"/>
        <v>C</v>
      </c>
      <c r="OI7" s="100"/>
      <c r="OJ7" s="187"/>
      <c r="OK7" s="188"/>
      <c r="OL7" s="106" t="str">
        <f>IFERROR((((COUNTIF('Elève (6ème3)'!OI8:OK11,"A"))*4)+((COUNTIF('Elève (6ème3)'!OI8:OK11,"B"))*3)+((COUNTIF('Elève (6ème3)'!OI8:OK11,"C"))*2)+((COUNTIF('Elève (6ème3)'!OI8:OK11,"D"))*1))/(COUNTA(OI8:OK11)),"")</f>
        <v/>
      </c>
      <c r="OM7" s="121" t="str">
        <f t="shared" si="93"/>
        <v/>
      </c>
      <c r="ON7" s="100"/>
      <c r="OO7" s="187"/>
      <c r="OP7" s="188"/>
      <c r="OQ7" s="106" t="str">
        <f>IFERROR((((COUNTIF('Elève (6ème3)'!ON8:OP11,"A"))*4)+((COUNTIF('Elève (6ème3)'!ON8:OP11,"B"))*3)+((COUNTIF('Elève (6ème3)'!ON8:OP11,"C"))*2)+((COUNTIF('Elève (6ème3)'!ON8:OP11,"D"))*1))/(COUNTA(ON8:OP11)),"")</f>
        <v/>
      </c>
      <c r="OR7" s="128" t="str">
        <f t="shared" si="94"/>
        <v/>
      </c>
      <c r="OS7" s="177">
        <f>IFERROR((((COUNTIF(OD8:OF11,"A")+COUNTIF(OI8:OK11,"A")+COUNTIF(ON8:OP11,"A"))*4)+((COUNTIF(OD8:OF11,"B")+COUNTIF(OI8:OK11,"B")+COUNTIF(ON8:OP11,"B"))*3)+((COUNTIF(OD8:OF11,"C")+COUNTIF(OI8:OK11,"C")+COUNTIF(ON8:OP11,"C"))*2)+((COUNTIF(OD8:OF11,"D")+COUNTIF(OI8:OK11,"D")+COUNTIF(ON8:OP11,"D"))*1))/(COUNTA(OD8:OF11)+COUNTA(OI8:OK11)+COUNTA(ON8:OP11)),"")</f>
        <v>2</v>
      </c>
      <c r="OT7" s="130" t="str">
        <f t="shared" si="95"/>
        <v>C</v>
      </c>
      <c r="OU7" s="162"/>
      <c r="OV7" s="189"/>
      <c r="OW7" s="189"/>
      <c r="OX7" s="106">
        <f>IFERROR((((COUNTIF('Elève (6ème3)'!OU8:OW11,"A"))*4)+((COUNTIF('Elève (6ème3)'!OU8:OW11,"B"))*3)+((COUNTIF('Elève (6ème3)'!OU8:OW11,"C"))*2)+((COUNTIF('Elève (6ème3)'!OU8:OW11,"D"))*1))/(COUNTA(OU8:OW11)),"")</f>
        <v>1.5</v>
      </c>
      <c r="OY7" s="107" t="str">
        <f t="shared" si="96"/>
        <v>D</v>
      </c>
      <c r="OZ7" s="100"/>
      <c r="PA7" s="187"/>
      <c r="PB7" s="188"/>
      <c r="PC7" s="106" t="str">
        <f>IFERROR((((COUNTIF('Elève (6ème3)'!OZ8:PB11,"A"))*4)+((COUNTIF('Elève (6ème3)'!OZ8:PB11,"B"))*3)+((COUNTIF('Elève (6ème3)'!OZ8:PB11,"C"))*2)+((COUNTIF('Elève (6ème3)'!OZ8:PB11,"D"))*1))/(COUNTA(OZ8:PB11)),"")</f>
        <v/>
      </c>
      <c r="PD7" s="121" t="str">
        <f t="shared" si="97"/>
        <v/>
      </c>
      <c r="PE7" s="100"/>
      <c r="PF7" s="187"/>
      <c r="PG7" s="188"/>
      <c r="PH7" s="106" t="str">
        <f>IFERROR((((COUNTIF('Elève (6ème3)'!PE8:PG11,"A"))*4)+((COUNTIF('Elève (6ème3)'!PE8:PG11,"B"))*3)+((COUNTIF('Elève (6ème3)'!PE8:PG11,"C"))*2)+((COUNTIF('Elève (6ème3)'!PE8:PG11,"D"))*1))/(COUNTA(PE8:PG11)),"")</f>
        <v/>
      </c>
      <c r="PI7" s="128" t="str">
        <f t="shared" si="98"/>
        <v/>
      </c>
      <c r="PJ7" s="177">
        <f>IFERROR((((COUNTIF(OU8:OW11,"A")+COUNTIF(OZ8:PB11,"A")+COUNTIF(PE8:PG11,"A"))*4)+((COUNTIF(OU8:OW11,"B")+COUNTIF(OZ8:PB11,"B")+COUNTIF(PE8:PG11,"B"))*3)+((COUNTIF(OU8:OW11,"C")+COUNTIF(OZ8:PB11,"C")+COUNTIF(PE8:PG11,"C"))*2)+((COUNTIF(OU8:OW11,"D")+COUNTIF(OZ8:PB11,"D")+COUNTIF(PE8:PG11,"D"))*1))/(COUNTA(OU8:OW11)+COUNTA(OZ8:PB11)+COUNTA(PE8:PG11)),"")</f>
        <v>1.5</v>
      </c>
      <c r="PK7" s="130" t="str">
        <f t="shared" si="99"/>
        <v>D</v>
      </c>
      <c r="PL7" s="162"/>
      <c r="PM7" s="189"/>
      <c r="PN7" s="189"/>
      <c r="PO7" s="106">
        <f>IFERROR((((COUNTIF('Elève (6ème3)'!PL8:PN11,"A"))*4)+((COUNTIF('Elève (6ème3)'!PL8:PN11,"B"))*3)+((COUNTIF('Elève (6ème3)'!PL8:PN11,"C"))*2)+((COUNTIF('Elève (6ème3)'!PL8:PN11,"D"))*1))/(COUNTA(PL8:PN11)),"")</f>
        <v>3</v>
      </c>
      <c r="PP7" s="107" t="str">
        <f t="shared" si="100"/>
        <v>B</v>
      </c>
      <c r="PQ7" s="100"/>
      <c r="PR7" s="187"/>
      <c r="PS7" s="188"/>
      <c r="PT7" s="106" t="str">
        <f>IFERROR((((COUNTIF('Elève (6ème3)'!PQ8:PS11,"A"))*4)+((COUNTIF('Elève (6ème3)'!PQ8:PS11,"B"))*3)+((COUNTIF('Elève (6ème3)'!PQ8:PS11,"C"))*2)+((COUNTIF('Elève (6ème3)'!PQ8:PS11,"D"))*1))/(COUNTA(PQ8:PS11)),"")</f>
        <v/>
      </c>
      <c r="PU7" s="121" t="str">
        <f t="shared" si="101"/>
        <v/>
      </c>
      <c r="PV7" s="100"/>
      <c r="PW7" s="187"/>
      <c r="PX7" s="188"/>
      <c r="PY7" s="106" t="str">
        <f>IFERROR((((COUNTIF('Elève (6ème3)'!PV8:PX11,"A"))*4)+((COUNTIF('Elève (6ème3)'!PV8:PX11,"B"))*3)+((COUNTIF('Elève (6ème3)'!PV8:PX11,"C"))*2)+((COUNTIF('Elève (6ème3)'!PV8:PX11,"D"))*1))/(COUNTA(PV8:PX11)),"")</f>
        <v/>
      </c>
      <c r="PZ7" s="128" t="str">
        <f t="shared" si="102"/>
        <v/>
      </c>
      <c r="QA7" s="177">
        <f>IFERROR((((COUNTIF(PL8:PN11,"A")+COUNTIF(PQ8:PS11,"A")+COUNTIF(PV8:PX11,"A"))*4)+((COUNTIF(PL8:PN11,"B")+COUNTIF(PQ8:PS11,"B")+COUNTIF(PV8:PX11,"B"))*3)+((COUNTIF(PL8:PN11,"C")+COUNTIF(PQ8:PS11,"C")+COUNTIF(PV8:PX11,"C"))*2)+((COUNTIF(PL8:PN11,"D")+COUNTIF(PQ8:PS11,"D")+COUNTIF(PV8:PX11,"D"))*1))/(COUNTA(PL8:PN11)+COUNTA(PQ8:PS11)+COUNTA(PV8:PX11)),"")</f>
        <v>3</v>
      </c>
      <c r="QB7" s="130" t="str">
        <f t="shared" si="103"/>
        <v>B</v>
      </c>
      <c r="QC7" s="162"/>
      <c r="QD7" s="189"/>
      <c r="QE7" s="189"/>
      <c r="QF7" s="106">
        <f>IFERROR((((COUNTIF('Elève (6ème3)'!QC8:QE11,"A"))*4)+((COUNTIF('Elève (6ème3)'!QC8:QE11,"B"))*3)+((COUNTIF('Elève (6ème3)'!QC8:QE11,"C"))*2)+((COUNTIF('Elève (6ème3)'!QC8:QE11,"D"))*1))/(COUNTA(QC8:QE11)),"")</f>
        <v>2.5</v>
      </c>
      <c r="QG7" s="107" t="str">
        <f t="shared" si="104"/>
        <v>C</v>
      </c>
      <c r="QH7" s="100"/>
      <c r="QI7" s="187"/>
      <c r="QJ7" s="188"/>
      <c r="QK7" s="106" t="str">
        <f>IFERROR((((COUNTIF('Elève (6ème3)'!QH8:QJ11,"A"))*4)+((COUNTIF('Elève (6ème3)'!QH8:QJ11,"B"))*3)+((COUNTIF('Elève (6ème3)'!QH8:QJ11,"C"))*2)+((COUNTIF('Elève (6ème3)'!QH8:QJ11,"D"))*1))/(COUNTA(QH8:QJ11)),"")</f>
        <v/>
      </c>
      <c r="QL7" s="121" t="str">
        <f t="shared" si="105"/>
        <v/>
      </c>
      <c r="QM7" s="100"/>
      <c r="QN7" s="187"/>
      <c r="QO7" s="188"/>
      <c r="QP7" s="106" t="str">
        <f>IFERROR((((COUNTIF('Elève (6ème3)'!QM8:QO11,"A"))*4)+((COUNTIF('Elève (6ème3)'!QM8:QO11,"B"))*3)+((COUNTIF('Elève (6ème3)'!QM8:QO11,"C"))*2)+((COUNTIF('Elève (6ème3)'!QM8:QO11,"D"))*1))/(COUNTA(QM8:QO11)),"")</f>
        <v/>
      </c>
      <c r="QQ7" s="128" t="str">
        <f t="shared" si="106"/>
        <v/>
      </c>
      <c r="QR7" s="177">
        <f>IFERROR((((COUNTIF(QC8:QE11,"A")+COUNTIF(QH8:QJ11,"A")+COUNTIF(QM8:QO11,"A"))*4)+((COUNTIF(QC8:QE11,"B")+COUNTIF(QH8:QJ11,"B")+COUNTIF(QM8:QO11,"B"))*3)+((COUNTIF(QC8:QE11,"C")+COUNTIF(QH8:QJ11,"C")+COUNTIF(QM8:QO11,"C"))*2)+((COUNTIF(QC8:QE11,"D")+COUNTIF(QH8:QJ11,"D")+COUNTIF(QM8:QO11,"D"))*1))/(COUNTA(QC8:QE11)+COUNTA(QH8:QJ11)+COUNTA(QM8:QO11)),"")</f>
        <v>2.5</v>
      </c>
      <c r="QS7" s="130" t="str">
        <f t="shared" si="107"/>
        <v>C</v>
      </c>
      <c r="QT7" s="162"/>
      <c r="QU7" s="189"/>
      <c r="QV7" s="189"/>
      <c r="QW7" s="106">
        <f>IFERROR((((COUNTIF('Elève (6ème3)'!QT8:QV11,"A"))*4)+((COUNTIF('Elève (6ème3)'!QT8:QV11,"B"))*3)+((COUNTIF('Elève (6ème3)'!QT8:QV11,"C"))*2)+((COUNTIF('Elève (6ème3)'!QT8:QV11,"D"))*1))/(COUNTA(QT8:QV11)),"")</f>
        <v>3.5</v>
      </c>
      <c r="QX7" s="107" t="str">
        <f t="shared" si="108"/>
        <v>B</v>
      </c>
      <c r="QY7" s="100"/>
      <c r="QZ7" s="187"/>
      <c r="RA7" s="188"/>
      <c r="RB7" s="106" t="str">
        <f>IFERROR((((COUNTIF('Elève (6ème3)'!QY8:RA11,"A"))*4)+((COUNTIF('Elève (6ème3)'!QY8:RA11,"B"))*3)+((COUNTIF('Elève (6ème3)'!QY8:RA11,"C"))*2)+((COUNTIF('Elève (6ème3)'!QY8:RA11,"D"))*1))/(COUNTA(QY8:RA11)),"")</f>
        <v/>
      </c>
      <c r="RC7" s="121" t="str">
        <f t="shared" si="109"/>
        <v/>
      </c>
      <c r="RD7" s="100"/>
      <c r="RE7" s="187"/>
      <c r="RF7" s="188"/>
      <c r="RG7" s="106" t="str">
        <f>IFERROR((((COUNTIF('Elève (6ème3)'!RD8:RF11,"A"))*4)+((COUNTIF('Elève (6ème3)'!RD8:RF11,"B"))*3)+((COUNTIF('Elève (6ème3)'!RD8:RF11,"C"))*2)+((COUNTIF('Elève (6ème3)'!RD8:RF11,"D"))*1))/(COUNTA(RD8:RF11)),"")</f>
        <v/>
      </c>
      <c r="RH7" s="128" t="str">
        <f t="shared" si="110"/>
        <v/>
      </c>
      <c r="RI7" s="177">
        <f>IFERROR((((COUNTIF(QT8:QV11,"A")+COUNTIF(QY8:RA11,"A")+COUNTIF(RD8:RF11,"A"))*4)+((COUNTIF(QT8:QV11,"B")+COUNTIF(QY8:RA11,"B")+COUNTIF(RD8:RF11,"B"))*3)+((COUNTIF(QT8:QV11,"C")+COUNTIF(QY8:RA11,"C")+COUNTIF(RD8:RF11,"C"))*2)+((COUNTIF(QT8:QV11,"D")+COUNTIF(QY8:RA11,"D")+COUNTIF(RD8:RF11,"D"))*1))/(COUNTA(QT8:QV11)+COUNTA(QY8:RA11)+COUNTA(RD8:RF11)),"")</f>
        <v>3.5</v>
      </c>
      <c r="RJ7" s="130" t="str">
        <f t="shared" si="111"/>
        <v>B</v>
      </c>
      <c r="RK7" s="162"/>
      <c r="RL7" s="189"/>
      <c r="RM7" s="189"/>
      <c r="RN7" s="106" t="str">
        <f>IFERROR((((COUNTIF('Elève (6ème3)'!RK8:RM11,"A"))*4)+((COUNTIF('Elève (6ème3)'!RK8:RM11,"B"))*3)+((COUNTIF('Elève (6ème3)'!RK8:RM11,"C"))*2)+((COUNTIF('Elève (6ème3)'!RK8:RM11,"D"))*1))/(COUNTA(RK8:RM11)),"")</f>
        <v/>
      </c>
      <c r="RO7" s="107" t="str">
        <f t="shared" si="112"/>
        <v/>
      </c>
      <c r="RP7" s="100"/>
      <c r="RQ7" s="187"/>
      <c r="RR7" s="188"/>
      <c r="RS7" s="106" t="str">
        <f>IFERROR((((COUNTIF('Elève (6ème3)'!RP8:RR11,"A"))*4)+((COUNTIF('Elève (6ème3)'!RP8:RR11,"B"))*3)+((COUNTIF('Elève (6ème3)'!RP8:RR11,"C"))*2)+((COUNTIF('Elève (6ème3)'!RP8:RR11,"D"))*1))/(COUNTA(RP8:RR11)),"")</f>
        <v/>
      </c>
      <c r="RT7" s="121" t="str">
        <f t="shared" si="113"/>
        <v/>
      </c>
      <c r="RU7" s="100"/>
      <c r="RV7" s="187"/>
      <c r="RW7" s="188"/>
      <c r="RX7" s="106" t="str">
        <f>IFERROR((((COUNTIF('Elève (6ème3)'!RU8:RW11,"A"))*4)+((COUNTIF('Elève (6ème3)'!RU8:RW11,"B"))*3)+((COUNTIF('Elève (6ème3)'!RU8:RW11,"C"))*2)+((COUNTIF('Elève (6ème3)'!RU8:RW11,"D"))*1))/(COUNTA(RU8:RW11)),"")</f>
        <v/>
      </c>
      <c r="RY7" s="128" t="str">
        <f t="shared" si="114"/>
        <v/>
      </c>
      <c r="RZ7" s="177" t="str">
        <f>IFERROR((((COUNTIF(RK8:RM11,"A")+COUNTIF(RP8:RR11,"A")+COUNTIF(RU8:RW11,"A"))*4)+((COUNTIF(RK8:RM11,"B")+COUNTIF(RP8:RR11,"B")+COUNTIF(RU8:RW11,"B"))*3)+((COUNTIF(RK8:RM11,"C")+COUNTIF(RP8:RR11,"C")+COUNTIF(RU8:RW11,"C"))*2)+((COUNTIF(RK8:RM11,"D")+COUNTIF(RP8:RR11,"D")+COUNTIF(RU8:RW11,"D"))*1))/(COUNTA(RK8:RM11)+COUNTA(RP8:RR11)+COUNTA(RU8:RW11)),"")</f>
        <v/>
      </c>
      <c r="SA7" s="130" t="str">
        <f t="shared" si="115"/>
        <v/>
      </c>
      <c r="SB7" s="162"/>
      <c r="SC7" s="189"/>
      <c r="SD7" s="189"/>
      <c r="SE7" s="106" t="str">
        <f>IFERROR((((COUNTIF('Elève (6ème3)'!SB8:SD11,"A"))*4)+((COUNTIF('Elève (6ème3)'!SB8:SD11,"B"))*3)+((COUNTIF('Elève (6ème3)'!SB8:SD11,"C"))*2)+((COUNTIF('Elève (6ème3)'!SB8:SD11,"D"))*1))/(COUNTA(SB8:SD11)),"")</f>
        <v/>
      </c>
      <c r="SF7" s="107" t="str">
        <f t="shared" si="116"/>
        <v/>
      </c>
      <c r="SG7" s="100"/>
      <c r="SH7" s="187"/>
      <c r="SI7" s="188"/>
      <c r="SJ7" s="106" t="str">
        <f>IFERROR((((COUNTIF('Elève (6ème3)'!SG8:SI11,"A"))*4)+((COUNTIF('Elève (6ème3)'!SG8:SI11,"B"))*3)+((COUNTIF('Elève (6ème3)'!SG8:SI11,"C"))*2)+((COUNTIF('Elève (6ème3)'!SG8:SI11,"D"))*1))/(COUNTA(SG8:SI11)),"")</f>
        <v/>
      </c>
      <c r="SK7" s="121" t="str">
        <f t="shared" si="117"/>
        <v/>
      </c>
      <c r="SL7" s="100"/>
      <c r="SM7" s="187"/>
      <c r="SN7" s="188"/>
      <c r="SO7" s="106" t="str">
        <f>IFERROR((((COUNTIF('Elève (6ème3)'!SL8:SN11,"A"))*4)+((COUNTIF('Elève (6ème3)'!SL8:SN11,"B"))*3)+((COUNTIF('Elève (6ème3)'!SL8:SN11,"C"))*2)+((COUNTIF('Elève (6ème3)'!SL8:SN11,"D"))*1))/(COUNTA(SL8:SN11)),"")</f>
        <v/>
      </c>
      <c r="SP7" s="128" t="str">
        <f t="shared" si="118"/>
        <v/>
      </c>
      <c r="SQ7" s="177" t="str">
        <f>IFERROR((((COUNTIF(SB8:SD11,"A")+COUNTIF(SG8:SI11,"A")+COUNTIF(SL8:SN11,"A"))*4)+((COUNTIF(SB8:SD11,"B")+COUNTIF(SG8:SI11,"B")+COUNTIF(SL8:SN11,"B"))*3)+((COUNTIF(SB8:SD11,"C")+COUNTIF(SG8:SI11,"C")+COUNTIF(SL8:SN11,"C"))*2)+((COUNTIF(SB8:SD11,"D")+COUNTIF(SG8:SI11,"D")+COUNTIF(SL8:SN11,"D"))*1))/(COUNTA(SB8:SD11)+COUNTA(SG8:SI11)+COUNTA(SL8:SN11)),"")</f>
        <v/>
      </c>
      <c r="SR7" s="130" t="str">
        <f t="shared" si="119"/>
        <v/>
      </c>
    </row>
    <row r="8" spans="1:512" s="72" customFormat="1" ht="18" customHeight="1" x14ac:dyDescent="0.25">
      <c r="A8" s="240" t="s">
        <v>40</v>
      </c>
      <c r="B8" s="241"/>
      <c r="C8" s="156" t="s">
        <v>25</v>
      </c>
      <c r="D8" s="157"/>
      <c r="E8" s="158"/>
      <c r="F8" s="108">
        <f>IFERROR((((COUNTIF('Elève (6ème3)'!C8:E8,"A"))*4)+((COUNTIF('Elève (6ème3)'!C8:E8,"B"))*3)+((COUNTIF('Elève (6ème3)'!C8:E8,"C"))*2)+((COUNTIF('Elève (6ème3)'!C8:E8,"D"))*1))/(COUNTA(C8:E8)),"")</f>
        <v>3</v>
      </c>
      <c r="G8" s="109" t="str">
        <f t="shared" si="0"/>
        <v>B</v>
      </c>
      <c r="H8" s="81"/>
      <c r="I8" s="82"/>
      <c r="J8" s="83"/>
      <c r="K8" s="108" t="str">
        <f>IFERROR((((COUNTIF('Elève (6ème3)'!H8:J8,"A"))*4)+((COUNTIF('Elève (6ème3)'!H8:J8,"B"))*3)+((COUNTIF('Elève (6ème3)'!H8:J8,"C"))*2)+((COUNTIF('Elève (6ème3)'!H8:J8,"D"))*1))/(COUNTA(H8:J8)),"")</f>
        <v/>
      </c>
      <c r="L8" s="109" t="str">
        <f t="shared" si="1"/>
        <v/>
      </c>
      <c r="M8" s="81"/>
      <c r="N8" s="82"/>
      <c r="O8" s="83"/>
      <c r="P8" s="108" t="str">
        <f>IFERROR((((COUNTIF('Elève (6ème3)'!M8:O8,"A"))*4)+((COUNTIF('Elève (6ème3)'!M8:O8,"B"))*3)+((COUNTIF('Elève (6ème3)'!M8:O8,"C"))*2)+((COUNTIF('Elève (6ème3)'!M8:O8,"D"))*1))/(COUNTA(M8:O8)),"")</f>
        <v/>
      </c>
      <c r="Q8" s="109" t="str">
        <f t="shared" si="2"/>
        <v/>
      </c>
      <c r="R8" s="178">
        <f>IF(COUNT(F8,K8,P8)=0,"",SUM(F8,K8,P8)/COUNT(F8,K8,P8))</f>
        <v>3</v>
      </c>
      <c r="S8" s="131" t="str">
        <f t="shared" si="3"/>
        <v>B</v>
      </c>
      <c r="T8" s="156" t="s">
        <v>25</v>
      </c>
      <c r="U8" s="157"/>
      <c r="V8" s="158"/>
      <c r="W8" s="108">
        <f>IFERROR((((COUNTIF('Elève (6ème3)'!T8:V8,"A"))*4)+((COUNTIF('Elève (6ème3)'!T8:V8,"B"))*3)+((COUNTIF('Elève (6ème3)'!T8:V8,"C"))*2)+((COUNTIF('Elève (6ème3)'!T8:V8,"D"))*1))/(COUNTA(T8:V8)),"")</f>
        <v>3</v>
      </c>
      <c r="X8" s="109" t="str">
        <f t="shared" si="4"/>
        <v>B</v>
      </c>
      <c r="Y8" s="81"/>
      <c r="Z8" s="82"/>
      <c r="AA8" s="83"/>
      <c r="AB8" s="108" t="str">
        <f>IFERROR((((COUNTIF('Elève (6ème3)'!Y8:AA8,"A"))*4)+((COUNTIF('Elève (6ème3)'!Y8:AA8,"B"))*3)+((COUNTIF('Elève (6ème3)'!Y8:AA8,"C"))*2)+((COUNTIF('Elève (6ème3)'!Y8:AA8,"D"))*1))/(COUNTA(Y8:AA8)),"")</f>
        <v/>
      </c>
      <c r="AC8" s="109" t="str">
        <f t="shared" si="5"/>
        <v/>
      </c>
      <c r="AD8" s="81"/>
      <c r="AE8" s="82"/>
      <c r="AF8" s="83"/>
      <c r="AG8" s="108" t="str">
        <f>IFERROR((((COUNTIF('Elève (6ème3)'!AD8:AF8,"A"))*4)+((COUNTIF('Elève (6ème3)'!AD8:AF8,"B"))*3)+((COUNTIF('Elève (6ème3)'!AD8:AF8,"C"))*2)+((COUNTIF('Elève (6ème3)'!AD8:AF8,"D"))*1))/(COUNTA(AD8:AF8)),"")</f>
        <v/>
      </c>
      <c r="AH8" s="109" t="str">
        <f t="shared" si="6"/>
        <v/>
      </c>
      <c r="AI8" s="178">
        <f>IF(COUNT(W8,AB8,AG8)=0,"",SUM(W8,AB8,AG8)/COUNT(W8,AB8,AG8))</f>
        <v>3</v>
      </c>
      <c r="AJ8" s="131" t="str">
        <f t="shared" si="7"/>
        <v>B</v>
      </c>
      <c r="AK8" s="156" t="s">
        <v>24</v>
      </c>
      <c r="AL8" s="157"/>
      <c r="AM8" s="158"/>
      <c r="AN8" s="108">
        <f>IFERROR((((COUNTIF('Elève (6ème3)'!AK8:AM8,"A"))*4)+((COUNTIF('Elève (6ème3)'!AK8:AM8,"B"))*3)+((COUNTIF('Elève (6ème3)'!AK8:AM8,"C"))*2)+((COUNTIF('Elève (6ème3)'!AK8:AM8,"D"))*1))/(COUNTA(AK8:AM8)),"")</f>
        <v>4</v>
      </c>
      <c r="AO8" s="109" t="str">
        <f t="shared" si="8"/>
        <v>A</v>
      </c>
      <c r="AP8" s="81"/>
      <c r="AQ8" s="82"/>
      <c r="AR8" s="83"/>
      <c r="AS8" s="108" t="str">
        <f>IFERROR((((COUNTIF('Elève (6ème3)'!AP8:AR8,"A"))*4)+((COUNTIF('Elève (6ème3)'!AP8:AR8,"B"))*3)+((COUNTIF('Elève (6ème3)'!AP8:AR8,"C"))*2)+((COUNTIF('Elève (6ème3)'!AP8:AR8,"D"))*1))/(COUNTA(AP8:AR8)),"")</f>
        <v/>
      </c>
      <c r="AT8" s="109" t="str">
        <f t="shared" si="9"/>
        <v/>
      </c>
      <c r="AU8" s="81"/>
      <c r="AV8" s="82"/>
      <c r="AW8" s="83"/>
      <c r="AX8" s="108" t="str">
        <f>IFERROR((((COUNTIF('Elève (6ème3)'!AU8:AW8,"A"))*4)+((COUNTIF('Elève (6ème3)'!AU8:AW8,"B"))*3)+((COUNTIF('Elève (6ème3)'!AU8:AW8,"C"))*2)+((COUNTIF('Elève (6ème3)'!AU8:AW8,"D"))*1))/(COUNTA(AU8:AW8)),"")</f>
        <v/>
      </c>
      <c r="AY8" s="109" t="str">
        <f t="shared" si="10"/>
        <v/>
      </c>
      <c r="AZ8" s="178">
        <f>IF(COUNT(AN8,AS8,AX8)=0,"",SUM(AN8,AS8,AX8)/COUNT(AN8,AS8,AX8))</f>
        <v>4</v>
      </c>
      <c r="BA8" s="131" t="str">
        <f t="shared" si="11"/>
        <v>A</v>
      </c>
      <c r="BB8" s="156" t="s">
        <v>24</v>
      </c>
      <c r="BC8" s="157"/>
      <c r="BD8" s="158"/>
      <c r="BE8" s="108">
        <f>IFERROR((((COUNTIF('Elève (6ème3)'!BB8:BD8,"A"))*4)+((COUNTIF('Elève (6ème3)'!BB8:BD8,"B"))*3)+((COUNTIF('Elève (6ème3)'!BB8:BD8,"C"))*2)+((COUNTIF('Elève (6ème3)'!BB8:BD8,"D"))*1))/(COUNTA(BB8:BD8)),"")</f>
        <v>4</v>
      </c>
      <c r="BF8" s="109" t="str">
        <f t="shared" si="12"/>
        <v>A</v>
      </c>
      <c r="BG8" s="81"/>
      <c r="BH8" s="82"/>
      <c r="BI8" s="83"/>
      <c r="BJ8" s="108" t="str">
        <f>IFERROR((((COUNTIF('Elève (6ème3)'!BG8:BI8,"A"))*4)+((COUNTIF('Elève (6ème3)'!BG8:BI8,"B"))*3)+((COUNTIF('Elève (6ème3)'!BG8:BI8,"C"))*2)+((COUNTIF('Elève (6ème3)'!BG8:BI8,"D"))*1))/(COUNTA(BG8:BI8)),"")</f>
        <v/>
      </c>
      <c r="BK8" s="109" t="str">
        <f t="shared" si="13"/>
        <v/>
      </c>
      <c r="BL8" s="81"/>
      <c r="BM8" s="82"/>
      <c r="BN8" s="83"/>
      <c r="BO8" s="108" t="str">
        <f>IFERROR((((COUNTIF('Elève (6ème3)'!BL8:BN8,"A"))*4)+((COUNTIF('Elève (6ème3)'!BL8:BN8,"B"))*3)+((COUNTIF('Elève (6ème3)'!BL8:BN8,"C"))*2)+((COUNTIF('Elève (6ème3)'!BL8:BN8,"D"))*1))/(COUNTA(BL8:BN8)),"")</f>
        <v/>
      </c>
      <c r="BP8" s="109" t="str">
        <f t="shared" si="14"/>
        <v/>
      </c>
      <c r="BQ8" s="178">
        <f>IF(COUNT(BE8,BJ8,BO8)=0,"",SUM(BE8,BJ8,BO8)/COUNT(BE8,BJ8,BO8))</f>
        <v>4</v>
      </c>
      <c r="BR8" s="131" t="str">
        <f t="shared" si="15"/>
        <v>A</v>
      </c>
      <c r="BS8" s="156" t="s">
        <v>25</v>
      </c>
      <c r="BT8" s="157"/>
      <c r="BU8" s="158"/>
      <c r="BV8" s="108">
        <f>IFERROR((((COUNTIF('Elève (6ème3)'!BS8:BU8,"A"))*4)+((COUNTIF('Elève (6ème3)'!BS8:BU8,"B"))*3)+((COUNTIF('Elève (6ème3)'!BS8:BU8,"C"))*2)+((COUNTIF('Elève (6ème3)'!BS8:BU8,"D"))*1))/(COUNTA(BS8:BU8)),"")</f>
        <v>3</v>
      </c>
      <c r="BW8" s="109" t="str">
        <f t="shared" si="16"/>
        <v>B</v>
      </c>
      <c r="BX8" s="81"/>
      <c r="BY8" s="82"/>
      <c r="BZ8" s="83"/>
      <c r="CA8" s="108" t="str">
        <f>IFERROR((((COUNTIF('Elève (6ème3)'!BX8:BZ8,"A"))*4)+((COUNTIF('Elève (6ème3)'!BX8:BZ8,"B"))*3)+((COUNTIF('Elève (6ème3)'!BX8:BZ8,"C"))*2)+((COUNTIF('Elève (6ème3)'!BX8:BZ8,"D"))*1))/(COUNTA(BX8:BZ8)),"")</f>
        <v/>
      </c>
      <c r="CB8" s="109" t="str">
        <f t="shared" si="17"/>
        <v/>
      </c>
      <c r="CC8" s="81"/>
      <c r="CD8" s="82"/>
      <c r="CE8" s="83"/>
      <c r="CF8" s="108" t="str">
        <f>IFERROR((((COUNTIF('Elève (6ème3)'!CC8:CE8,"A"))*4)+((COUNTIF('Elève (6ème3)'!CC8:CE8,"B"))*3)+((COUNTIF('Elève (6ème3)'!CC8:CE8,"C"))*2)+((COUNTIF('Elève (6ème3)'!CC8:CE8,"D"))*1))/(COUNTA(CC8:CE8)),"")</f>
        <v/>
      </c>
      <c r="CG8" s="109" t="str">
        <f t="shared" si="18"/>
        <v/>
      </c>
      <c r="CH8" s="178">
        <f>IF(COUNT(BV8,CA8,CF8)=0,"",SUM(BV8,CA8,CF8)/COUNT(BV8,CA8,CF8))</f>
        <v>3</v>
      </c>
      <c r="CI8" s="131" t="str">
        <f t="shared" si="19"/>
        <v>B</v>
      </c>
      <c r="CJ8" s="156" t="s">
        <v>25</v>
      </c>
      <c r="CK8" s="157"/>
      <c r="CL8" s="158"/>
      <c r="CM8" s="108">
        <f>IFERROR((((COUNTIF('Elève (6ème3)'!CJ8:CL8,"A"))*4)+((COUNTIF('Elève (6ème3)'!CJ8:CL8,"B"))*3)+((COUNTIF('Elève (6ème3)'!CJ8:CL8,"C"))*2)+((COUNTIF('Elève (6ème3)'!CJ8:CL8,"D"))*1))/(COUNTA(CJ8:CL8)),"")</f>
        <v>3</v>
      </c>
      <c r="CN8" s="109" t="str">
        <f t="shared" si="20"/>
        <v>B</v>
      </c>
      <c r="CO8" s="81"/>
      <c r="CP8" s="82"/>
      <c r="CQ8" s="83"/>
      <c r="CR8" s="108" t="str">
        <f>IFERROR((((COUNTIF('Elève (6ème3)'!CO8:CQ8,"A"))*4)+((COUNTIF('Elève (6ème3)'!CO8:CQ8,"B"))*3)+((COUNTIF('Elève (6ème3)'!CO8:CQ8,"C"))*2)+((COUNTIF('Elève (6ème3)'!CO8:CQ8,"D"))*1))/(COUNTA(CO8:CQ8)),"")</f>
        <v/>
      </c>
      <c r="CS8" s="109" t="str">
        <f t="shared" si="21"/>
        <v/>
      </c>
      <c r="CT8" s="81"/>
      <c r="CU8" s="82"/>
      <c r="CV8" s="83"/>
      <c r="CW8" s="108" t="str">
        <f>IFERROR((((COUNTIF('Elève (6ème3)'!CT8:CV8,"A"))*4)+((COUNTIF('Elève (6ème3)'!CT8:CV8,"B"))*3)+((COUNTIF('Elève (6ème3)'!CT8:CV8,"C"))*2)+((COUNTIF('Elève (6ème3)'!CT8:CV8,"D"))*1))/(COUNTA(CT8:CV8)),"")</f>
        <v/>
      </c>
      <c r="CX8" s="109" t="str">
        <f t="shared" si="22"/>
        <v/>
      </c>
      <c r="CY8" s="178">
        <f>IF(COUNT(CM8,CR8,CW8)=0,"",SUM(CM8,CR8,CW8)/COUNT(CM8,CR8,CW8))</f>
        <v>3</v>
      </c>
      <c r="CZ8" s="131" t="str">
        <f t="shared" si="23"/>
        <v>B</v>
      </c>
      <c r="DA8" s="156"/>
      <c r="DB8" s="157"/>
      <c r="DC8" s="158"/>
      <c r="DD8" s="108" t="str">
        <f>IFERROR((((COUNTIF('Elève (6ème3)'!DA8:DC8,"A"))*4)+((COUNTIF('Elève (6ème3)'!DA8:DC8,"B"))*3)+((COUNTIF('Elève (6ème3)'!DA8:DC8,"C"))*2)+((COUNTIF('Elève (6ème3)'!DA8:DC8,"D"))*1))/(COUNTA(DA8:DC8)),"")</f>
        <v/>
      </c>
      <c r="DE8" s="109" t="str">
        <f t="shared" si="24"/>
        <v/>
      </c>
      <c r="DF8" s="81"/>
      <c r="DG8" s="82"/>
      <c r="DH8" s="83"/>
      <c r="DI8" s="108" t="str">
        <f>IFERROR((((COUNTIF('Elève (6ème3)'!DF8:DH8,"A"))*4)+((COUNTIF('Elève (6ème3)'!DF8:DH8,"B"))*3)+((COUNTIF('Elève (6ème3)'!DF8:DH8,"C"))*2)+((COUNTIF('Elève (6ème3)'!DF8:DH8,"D"))*1))/(COUNTA(DF8:DH8)),"")</f>
        <v/>
      </c>
      <c r="DJ8" s="109" t="str">
        <f t="shared" si="25"/>
        <v/>
      </c>
      <c r="DK8" s="81"/>
      <c r="DL8" s="82"/>
      <c r="DM8" s="83"/>
      <c r="DN8" s="108" t="str">
        <f>IFERROR((((COUNTIF('Elève (6ème3)'!DK8:DM8,"A"))*4)+((COUNTIF('Elève (6ème3)'!DK8:DM8,"B"))*3)+((COUNTIF('Elève (6ème3)'!DK8:DM8,"C"))*2)+((COUNTIF('Elève (6ème3)'!DK8:DM8,"D"))*1))/(COUNTA(DK8:DM8)),"")</f>
        <v/>
      </c>
      <c r="DO8" s="109" t="str">
        <f t="shared" si="26"/>
        <v/>
      </c>
      <c r="DP8" s="178" t="str">
        <f>IF(COUNT(DD8,DI8,DN8)=0,"",SUM(DD8,DI8,DN8)/COUNT(DD8,DI8,DN8))</f>
        <v/>
      </c>
      <c r="DQ8" s="131" t="str">
        <f t="shared" si="27"/>
        <v/>
      </c>
      <c r="DR8" s="156" t="s">
        <v>24</v>
      </c>
      <c r="DS8" s="157"/>
      <c r="DT8" s="158"/>
      <c r="DU8" s="108">
        <f>IFERROR((((COUNTIF('Elève (6ème3)'!DR8:DT8,"A"))*4)+((COUNTIF('Elève (6ème3)'!DR8:DT8,"B"))*3)+((COUNTIF('Elève (6ème3)'!DR8:DT8,"C"))*2)+((COUNTIF('Elève (6ème3)'!DR8:DT8,"D"))*1))/(COUNTA(DR8:DT8)),"")</f>
        <v>4</v>
      </c>
      <c r="DV8" s="109" t="str">
        <f t="shared" si="28"/>
        <v>A</v>
      </c>
      <c r="DW8" s="81"/>
      <c r="DX8" s="82"/>
      <c r="DY8" s="83"/>
      <c r="DZ8" s="108" t="str">
        <f>IFERROR((((COUNTIF('Elève (6ème3)'!DW8:DY8,"A"))*4)+((COUNTIF('Elève (6ème3)'!DW8:DY8,"B"))*3)+((COUNTIF('Elève (6ème3)'!DW8:DY8,"C"))*2)+((COUNTIF('Elève (6ème3)'!DW8:DY8,"D"))*1))/(COUNTA(DW8:DY8)),"")</f>
        <v/>
      </c>
      <c r="EA8" s="109" t="str">
        <f t="shared" si="29"/>
        <v/>
      </c>
      <c r="EB8" s="81"/>
      <c r="EC8" s="82"/>
      <c r="ED8" s="83"/>
      <c r="EE8" s="108" t="str">
        <f>IFERROR((((COUNTIF('Elève (6ème3)'!EB8:ED8,"A"))*4)+((COUNTIF('Elève (6ème3)'!EB8:ED8,"B"))*3)+((COUNTIF('Elève (6ème3)'!EB8:ED8,"C"))*2)+((COUNTIF('Elève (6ème3)'!EB8:ED8,"D"))*1))/(COUNTA(EB8:ED8)),"")</f>
        <v/>
      </c>
      <c r="EF8" s="109" t="str">
        <f t="shared" si="30"/>
        <v/>
      </c>
      <c r="EG8" s="178">
        <f>IF(COUNT(DU8,DZ8,EE8)=0,"",SUM(DU8,DZ8,EE8)/COUNT(DU8,DZ8,EE8))</f>
        <v>4</v>
      </c>
      <c r="EH8" s="131" t="str">
        <f t="shared" si="31"/>
        <v>A</v>
      </c>
      <c r="EI8" s="156" t="s">
        <v>24</v>
      </c>
      <c r="EJ8" s="157"/>
      <c r="EK8" s="158"/>
      <c r="EL8" s="108">
        <f>IFERROR((((COUNTIF('Elève (6ème3)'!EI8:EK8,"A"))*4)+((COUNTIF('Elève (6ème3)'!EI8:EK8,"B"))*3)+((COUNTIF('Elève (6ème3)'!EI8:EK8,"C"))*2)+((COUNTIF('Elève (6ème3)'!EI8:EK8,"D"))*1))/(COUNTA(EI8:EK8)),"")</f>
        <v>4</v>
      </c>
      <c r="EM8" s="109" t="str">
        <f t="shared" si="32"/>
        <v>A</v>
      </c>
      <c r="EN8" s="81"/>
      <c r="EO8" s="82"/>
      <c r="EP8" s="83"/>
      <c r="EQ8" s="108" t="str">
        <f>IFERROR((((COUNTIF('Elève (6ème3)'!EN8:EP8,"A"))*4)+((COUNTIF('Elève (6ème3)'!EN8:EP8,"B"))*3)+((COUNTIF('Elève (6ème3)'!EN8:EP8,"C"))*2)+((COUNTIF('Elève (6ème3)'!EN8:EP8,"D"))*1))/(COUNTA(EN8:EP8)),"")</f>
        <v/>
      </c>
      <c r="ER8" s="109" t="str">
        <f t="shared" si="33"/>
        <v/>
      </c>
      <c r="ES8" s="81"/>
      <c r="ET8" s="82"/>
      <c r="EU8" s="83"/>
      <c r="EV8" s="108" t="str">
        <f>IFERROR((((COUNTIF('Elève (6ème3)'!ES8:EU8,"A"))*4)+((COUNTIF('Elève (6ème3)'!ES8:EU8,"B"))*3)+((COUNTIF('Elève (6ème3)'!ES8:EU8,"C"))*2)+((COUNTIF('Elève (6ème3)'!ES8:EU8,"D"))*1))/(COUNTA(ES8:EU8)),"")</f>
        <v/>
      </c>
      <c r="EW8" s="109" t="str">
        <f t="shared" si="34"/>
        <v/>
      </c>
      <c r="EX8" s="178">
        <f>IF(COUNT(EL8,EQ8,EV8)=0,"",SUM(EL8,EQ8,EV8)/COUNT(EL8,EQ8,EV8))</f>
        <v>4</v>
      </c>
      <c r="EY8" s="131" t="str">
        <f t="shared" si="35"/>
        <v>A</v>
      </c>
      <c r="EZ8" s="156" t="s">
        <v>24</v>
      </c>
      <c r="FA8" s="157"/>
      <c r="FB8" s="158"/>
      <c r="FC8" s="108">
        <f>IFERROR((((COUNTIF('Elève (6ème3)'!EZ8:FB8,"A"))*4)+((COUNTIF('Elève (6ème3)'!EZ8:FB8,"B"))*3)+((COUNTIF('Elève (6ème3)'!EZ8:FB8,"C"))*2)+((COUNTIF('Elève (6ème3)'!EZ8:FB8,"D"))*1))/(COUNTA(EZ8:FB8)),"")</f>
        <v>4</v>
      </c>
      <c r="FD8" s="109" t="str">
        <f t="shared" si="36"/>
        <v>A</v>
      </c>
      <c r="FE8" s="81"/>
      <c r="FF8" s="82"/>
      <c r="FG8" s="83"/>
      <c r="FH8" s="108" t="str">
        <f>IFERROR((((COUNTIF('Elève (6ème3)'!FE8:FG8,"A"))*4)+((COUNTIF('Elève (6ème3)'!FE8:FG8,"B"))*3)+((COUNTIF('Elève (6ème3)'!FE8:FG8,"C"))*2)+((COUNTIF('Elève (6ème3)'!FE8:FG8,"D"))*1))/(COUNTA(FE8:FG8)),"")</f>
        <v/>
      </c>
      <c r="FI8" s="109" t="str">
        <f t="shared" si="37"/>
        <v/>
      </c>
      <c r="FJ8" s="81"/>
      <c r="FK8" s="82"/>
      <c r="FL8" s="83"/>
      <c r="FM8" s="108" t="str">
        <f>IFERROR((((COUNTIF('Elève (6ème3)'!FJ8:FL8,"A"))*4)+((COUNTIF('Elève (6ème3)'!FJ8:FL8,"B"))*3)+((COUNTIF('Elève (6ème3)'!FJ8:FL8,"C"))*2)+((COUNTIF('Elève (6ème3)'!FJ8:FL8,"D"))*1))/(COUNTA(FJ8:FL8)),"")</f>
        <v/>
      </c>
      <c r="FN8" s="109" t="str">
        <f t="shared" si="38"/>
        <v/>
      </c>
      <c r="FO8" s="178">
        <f>IF(COUNT(FC8,FH8,FM8)=0,"",SUM(FC8,FH8,FM8)/COUNT(FC8,FH8,FM8))</f>
        <v>4</v>
      </c>
      <c r="FP8" s="131" t="str">
        <f t="shared" si="39"/>
        <v>A</v>
      </c>
      <c r="FQ8" s="156" t="s">
        <v>25</v>
      </c>
      <c r="FR8" s="157"/>
      <c r="FS8" s="158"/>
      <c r="FT8" s="108">
        <f>IFERROR((((COUNTIF('Elève (6ème3)'!FQ8:FS8,"A"))*4)+((COUNTIF('Elève (6ème3)'!FQ8:FS8,"B"))*3)+((COUNTIF('Elève (6ème3)'!FQ8:FS8,"C"))*2)+((COUNTIF('Elève (6ème3)'!FQ8:FS8,"D"))*1))/(COUNTA(FQ8:FS8)),"")</f>
        <v>3</v>
      </c>
      <c r="FU8" s="109" t="str">
        <f t="shared" si="40"/>
        <v>B</v>
      </c>
      <c r="FV8" s="81"/>
      <c r="FW8" s="82"/>
      <c r="FX8" s="83"/>
      <c r="FY8" s="108" t="str">
        <f>IFERROR((((COUNTIF('Elève (6ème3)'!FV8:FX8,"A"))*4)+((COUNTIF('Elève (6ème3)'!FV8:FX8,"B"))*3)+((COUNTIF('Elève (6ème3)'!FV8:FX8,"C"))*2)+((COUNTIF('Elève (6ème3)'!FV8:FX8,"D"))*1))/(COUNTA(FV8:FX8)),"")</f>
        <v/>
      </c>
      <c r="FZ8" s="109" t="str">
        <f t="shared" si="41"/>
        <v/>
      </c>
      <c r="GA8" s="81"/>
      <c r="GB8" s="82"/>
      <c r="GC8" s="83"/>
      <c r="GD8" s="108" t="str">
        <f>IFERROR((((COUNTIF('Elève (6ème3)'!GA8:GC8,"A"))*4)+((COUNTIF('Elève (6ème3)'!GA8:GC8,"B"))*3)+((COUNTIF('Elève (6ème3)'!GA8:GC8,"C"))*2)+((COUNTIF('Elève (6ème3)'!GA8:GC8,"D"))*1))/(COUNTA(GA8:GC8)),"")</f>
        <v/>
      </c>
      <c r="GE8" s="109" t="str">
        <f t="shared" si="42"/>
        <v/>
      </c>
      <c r="GF8" s="178">
        <f>IF(COUNT(FT8,FY8,GD8)=0,"",SUM(FT8,FY8,GD8)/COUNT(FT8,FY8,GD8))</f>
        <v>3</v>
      </c>
      <c r="GG8" s="131" t="str">
        <f t="shared" si="43"/>
        <v>B</v>
      </c>
      <c r="GH8" s="156" t="s">
        <v>26</v>
      </c>
      <c r="GI8" s="157"/>
      <c r="GJ8" s="158"/>
      <c r="GK8" s="108">
        <f>IFERROR((((COUNTIF('Elève (6ème3)'!GH8:GJ8,"A"))*4)+((COUNTIF('Elève (6ème3)'!GH8:GJ8,"B"))*3)+((COUNTIF('Elève (6ème3)'!GH8:GJ8,"C"))*2)+((COUNTIF('Elève (6ème3)'!GH8:GJ8,"D"))*1))/(COUNTA(GH8:GJ8)),"")</f>
        <v>2</v>
      </c>
      <c r="GL8" s="109" t="str">
        <f t="shared" si="44"/>
        <v>C</v>
      </c>
      <c r="GM8" s="81"/>
      <c r="GN8" s="82"/>
      <c r="GO8" s="83"/>
      <c r="GP8" s="108" t="str">
        <f>IFERROR((((COUNTIF('Elève (6ème3)'!GM8:GO8,"A"))*4)+((COUNTIF('Elève (6ème3)'!GM8:GO8,"B"))*3)+((COUNTIF('Elève (6ème3)'!GM8:GO8,"C"))*2)+((COUNTIF('Elève (6ème3)'!GM8:GO8,"D"))*1))/(COUNTA(GM8:GO8)),"")</f>
        <v/>
      </c>
      <c r="GQ8" s="109" t="str">
        <f t="shared" si="45"/>
        <v/>
      </c>
      <c r="GR8" s="81"/>
      <c r="GS8" s="82"/>
      <c r="GT8" s="83"/>
      <c r="GU8" s="108" t="str">
        <f>IFERROR((((COUNTIF('Elève (6ème3)'!GR8:GT8,"A"))*4)+((COUNTIF('Elève (6ème3)'!GR8:GT8,"B"))*3)+((COUNTIF('Elève (6ème3)'!GR8:GT8,"C"))*2)+((COUNTIF('Elève (6ème3)'!GR8:GT8,"D"))*1))/(COUNTA(GR8:GT8)),"")</f>
        <v/>
      </c>
      <c r="GV8" s="109" t="str">
        <f t="shared" si="46"/>
        <v/>
      </c>
      <c r="GW8" s="178">
        <f>IF(COUNT(GK8,GP8,GU8)=0,"",SUM(GK8,GP8,GU8)/COUNT(GK8,GP8,GU8))</f>
        <v>2</v>
      </c>
      <c r="GX8" s="131" t="str">
        <f t="shared" si="47"/>
        <v>C</v>
      </c>
      <c r="GY8" s="156" t="s">
        <v>24</v>
      </c>
      <c r="GZ8" s="157"/>
      <c r="HA8" s="158"/>
      <c r="HB8" s="108">
        <f>IFERROR((((COUNTIF('Elève (6ème3)'!GY8:HA8,"A"))*4)+((COUNTIF('Elève (6ème3)'!GY8:HA8,"B"))*3)+((COUNTIF('Elève (6ème3)'!GY8:HA8,"C"))*2)+((COUNTIF('Elève (6ème3)'!GY8:HA8,"D"))*1))/(COUNTA(GY8:HA8)),"")</f>
        <v>4</v>
      </c>
      <c r="HC8" s="109" t="str">
        <f t="shared" si="48"/>
        <v>A</v>
      </c>
      <c r="HD8" s="81"/>
      <c r="HE8" s="82"/>
      <c r="HF8" s="83"/>
      <c r="HG8" s="108" t="str">
        <f>IFERROR((((COUNTIF('Elève (6ème3)'!HD8:HF8,"A"))*4)+((COUNTIF('Elève (6ème3)'!HD8:HF8,"B"))*3)+((COUNTIF('Elève (6ème3)'!HD8:HF8,"C"))*2)+((COUNTIF('Elève (6ème3)'!HD8:HF8,"D"))*1))/(COUNTA(HD8:HF8)),"")</f>
        <v/>
      </c>
      <c r="HH8" s="109" t="str">
        <f t="shared" si="49"/>
        <v/>
      </c>
      <c r="HI8" s="81"/>
      <c r="HJ8" s="82"/>
      <c r="HK8" s="83"/>
      <c r="HL8" s="108" t="str">
        <f>IFERROR((((COUNTIF('Elève (6ème3)'!HI8:HK8,"A"))*4)+((COUNTIF('Elève (6ème3)'!HI8:HK8,"B"))*3)+((COUNTIF('Elève (6ème3)'!HI8:HK8,"C"))*2)+((COUNTIF('Elève (6ème3)'!HI8:HK8,"D"))*1))/(COUNTA(HI8:HK8)),"")</f>
        <v/>
      </c>
      <c r="HM8" s="109" t="str">
        <f t="shared" si="50"/>
        <v/>
      </c>
      <c r="HN8" s="178">
        <f>IF(COUNT(HB8,HG8,HL8)=0,"",SUM(HB8,HG8,HL8)/COUNT(HB8,HG8,HL8))</f>
        <v>4</v>
      </c>
      <c r="HO8" s="131" t="str">
        <f t="shared" si="51"/>
        <v>A</v>
      </c>
      <c r="HP8" s="156" t="s">
        <v>24</v>
      </c>
      <c r="HQ8" s="157"/>
      <c r="HR8" s="158"/>
      <c r="HS8" s="108">
        <f>IFERROR((((COUNTIF('Elève (6ème3)'!HP8:HR8,"A"))*4)+((COUNTIF('Elève (6ème3)'!HP8:HR8,"B"))*3)+((COUNTIF('Elève (6ème3)'!HP8:HR8,"C"))*2)+((COUNTIF('Elève (6ème3)'!HP8:HR8,"D"))*1))/(COUNTA(HP8:HR8)),"")</f>
        <v>4</v>
      </c>
      <c r="HT8" s="109" t="str">
        <f t="shared" si="52"/>
        <v>A</v>
      </c>
      <c r="HU8" s="81"/>
      <c r="HV8" s="82"/>
      <c r="HW8" s="83"/>
      <c r="HX8" s="108" t="str">
        <f>IFERROR((((COUNTIF('Elève (6ème3)'!HU8:HW8,"A"))*4)+((COUNTIF('Elève (6ème3)'!HU8:HW8,"B"))*3)+((COUNTIF('Elève (6ème3)'!HU8:HW8,"C"))*2)+((COUNTIF('Elève (6ème3)'!HU8:HW8,"D"))*1))/(COUNTA(HU8:HW8)),"")</f>
        <v/>
      </c>
      <c r="HY8" s="109" t="str">
        <f t="shared" si="53"/>
        <v/>
      </c>
      <c r="HZ8" s="81"/>
      <c r="IA8" s="82"/>
      <c r="IB8" s="83"/>
      <c r="IC8" s="108" t="str">
        <f>IFERROR((((COUNTIF('Elève (6ème3)'!HZ8:IB8,"A"))*4)+((COUNTIF('Elève (6ème3)'!HZ8:IB8,"B"))*3)+((COUNTIF('Elève (6ème3)'!HZ8:IB8,"C"))*2)+((COUNTIF('Elève (6ème3)'!HZ8:IB8,"D"))*1))/(COUNTA(HZ8:IB8)),"")</f>
        <v/>
      </c>
      <c r="ID8" s="109" t="str">
        <f t="shared" si="54"/>
        <v/>
      </c>
      <c r="IE8" s="178">
        <f>IF(COUNT(HS8,HX8,IC8)=0,"",SUM(HS8,HX8,IC8)/COUNT(HS8,HX8,IC8))</f>
        <v>4</v>
      </c>
      <c r="IF8" s="131" t="str">
        <f t="shared" si="55"/>
        <v>A</v>
      </c>
      <c r="IG8" s="156" t="s">
        <v>24</v>
      </c>
      <c r="IH8" s="157"/>
      <c r="II8" s="158"/>
      <c r="IJ8" s="108">
        <f>IFERROR((((COUNTIF('Elève (6ème3)'!IG8:II8,"A"))*4)+((COUNTIF('Elève (6ème3)'!IG8:II8,"B"))*3)+((COUNTIF('Elève (6ème3)'!IG8:II8,"C"))*2)+((COUNTIF('Elève (6ème3)'!IG8:II8,"D"))*1))/(COUNTA(IG8:II8)),"")</f>
        <v>4</v>
      </c>
      <c r="IK8" s="109" t="str">
        <f t="shared" si="56"/>
        <v>A</v>
      </c>
      <c r="IL8" s="81"/>
      <c r="IM8" s="82"/>
      <c r="IN8" s="83"/>
      <c r="IO8" s="108" t="str">
        <f>IFERROR((((COUNTIF('Elève (6ème3)'!IL8:IN8,"A"))*4)+((COUNTIF('Elève (6ème3)'!IL8:IN8,"B"))*3)+((COUNTIF('Elève (6ème3)'!IL8:IN8,"C"))*2)+((COUNTIF('Elève (6ème3)'!IL8:IN8,"D"))*1))/(COUNTA(IL8:IN8)),"")</f>
        <v/>
      </c>
      <c r="IP8" s="109" t="str">
        <f t="shared" si="57"/>
        <v/>
      </c>
      <c r="IQ8" s="81"/>
      <c r="IR8" s="82"/>
      <c r="IS8" s="83"/>
      <c r="IT8" s="108" t="str">
        <f>IFERROR((((COUNTIF('Elève (6ème3)'!IQ8:IS8,"A"))*4)+((COUNTIF('Elève (6ème3)'!IQ8:IS8,"B"))*3)+((COUNTIF('Elève (6ème3)'!IQ8:IS8,"C"))*2)+((COUNTIF('Elève (6ème3)'!IQ8:IS8,"D"))*1))/(COUNTA(IQ8:IS8)),"")</f>
        <v/>
      </c>
      <c r="IU8" s="109" t="str">
        <f t="shared" si="58"/>
        <v/>
      </c>
      <c r="IV8" s="178">
        <f>IF(COUNT(IJ8,IO8,IT8)=0,"",SUM(IJ8,IO8,IT8)/COUNT(IJ8,IO8,IT8))</f>
        <v>4</v>
      </c>
      <c r="IW8" s="131" t="str">
        <f t="shared" si="59"/>
        <v>A</v>
      </c>
      <c r="IX8" s="156" t="s">
        <v>24</v>
      </c>
      <c r="IY8" s="157"/>
      <c r="IZ8" s="158"/>
      <c r="JA8" s="108">
        <f>IFERROR((((COUNTIF('Elève (6ème3)'!IX8:IZ8,"A"))*4)+((COUNTIF('Elève (6ème3)'!IX8:IZ8,"B"))*3)+((COUNTIF('Elève (6ème3)'!IX8:IZ8,"C"))*2)+((COUNTIF('Elève (6ème3)'!IX8:IZ8,"D"))*1))/(COUNTA(IX8:IZ8)),"")</f>
        <v>4</v>
      </c>
      <c r="JB8" s="109" t="str">
        <f t="shared" si="60"/>
        <v>A</v>
      </c>
      <c r="JC8" s="81"/>
      <c r="JD8" s="82"/>
      <c r="JE8" s="83"/>
      <c r="JF8" s="108" t="str">
        <f>IFERROR((((COUNTIF('Elève (6ème3)'!JC8:JE8,"A"))*4)+((COUNTIF('Elève (6ème3)'!JC8:JE8,"B"))*3)+((COUNTIF('Elève (6ème3)'!JC8:JE8,"C"))*2)+((COUNTIF('Elève (6ème3)'!JC8:JE8,"D"))*1))/(COUNTA(JC8:JE8)),"")</f>
        <v/>
      </c>
      <c r="JG8" s="109" t="str">
        <f t="shared" si="61"/>
        <v/>
      </c>
      <c r="JH8" s="81"/>
      <c r="JI8" s="82"/>
      <c r="JJ8" s="83"/>
      <c r="JK8" s="108" t="str">
        <f>IFERROR((((COUNTIF('Elève (6ème3)'!JH8:JJ8,"A"))*4)+((COUNTIF('Elève (6ème3)'!JH8:JJ8,"B"))*3)+((COUNTIF('Elève (6ème3)'!JH8:JJ8,"C"))*2)+((COUNTIF('Elève (6ème3)'!JH8:JJ8,"D"))*1))/(COUNTA(JH8:JJ8)),"")</f>
        <v/>
      </c>
      <c r="JL8" s="109" t="str">
        <f t="shared" si="62"/>
        <v/>
      </c>
      <c r="JM8" s="178">
        <f>IF(COUNT(JA8,JF8,JK8)=0,"",SUM(JA8,JF8,JK8)/COUNT(JA8,JF8,JK8))</f>
        <v>4</v>
      </c>
      <c r="JN8" s="131" t="str">
        <f t="shared" si="63"/>
        <v>A</v>
      </c>
      <c r="JO8" s="156" t="s">
        <v>25</v>
      </c>
      <c r="JP8" s="157"/>
      <c r="JQ8" s="158"/>
      <c r="JR8" s="108">
        <f>IFERROR((((COUNTIF('Elève (6ème3)'!JO8:JQ8,"A"))*4)+((COUNTIF('Elève (6ème3)'!JO8:JQ8,"B"))*3)+((COUNTIF('Elève (6ème3)'!JO8:JQ8,"C"))*2)+((COUNTIF('Elève (6ème3)'!JO8:JQ8,"D"))*1))/(COUNTA(JO8:JQ8)),"")</f>
        <v>3</v>
      </c>
      <c r="JS8" s="109" t="str">
        <f t="shared" si="64"/>
        <v>B</v>
      </c>
      <c r="JT8" s="81"/>
      <c r="JU8" s="82"/>
      <c r="JV8" s="83"/>
      <c r="JW8" s="108" t="str">
        <f>IFERROR((((COUNTIF('Elève (6ème3)'!JT8:JV8,"A"))*4)+((COUNTIF('Elève (6ème3)'!JT8:JV8,"B"))*3)+((COUNTIF('Elève (6ème3)'!JT8:JV8,"C"))*2)+((COUNTIF('Elève (6ème3)'!JT8:JV8,"D"))*1))/(COUNTA(JT8:JV8)),"")</f>
        <v/>
      </c>
      <c r="JX8" s="109" t="str">
        <f t="shared" si="65"/>
        <v/>
      </c>
      <c r="JY8" s="81"/>
      <c r="JZ8" s="82"/>
      <c r="KA8" s="83"/>
      <c r="KB8" s="108" t="str">
        <f>IFERROR((((COUNTIF('Elève (6ème3)'!JY8:KA8,"A"))*4)+((COUNTIF('Elève (6ème3)'!JY8:KA8,"B"))*3)+((COUNTIF('Elève (6ème3)'!JY8:KA8,"C"))*2)+((COUNTIF('Elève (6ème3)'!JY8:KA8,"D"))*1))/(COUNTA(JY8:KA8)),"")</f>
        <v/>
      </c>
      <c r="KC8" s="109" t="str">
        <f t="shared" si="66"/>
        <v/>
      </c>
      <c r="KD8" s="178">
        <f>IF(COUNT(JR8,JW8,KB8)=0,"",SUM(JR8,JW8,KB8)/COUNT(JR8,JW8,KB8))</f>
        <v>3</v>
      </c>
      <c r="KE8" s="131" t="str">
        <f t="shared" si="67"/>
        <v>B</v>
      </c>
      <c r="KF8" s="156" t="s">
        <v>25</v>
      </c>
      <c r="KG8" s="157"/>
      <c r="KH8" s="158"/>
      <c r="KI8" s="108">
        <f>IFERROR((((COUNTIF('Elève (6ème3)'!KF8:KH8,"A"))*4)+((COUNTIF('Elève (6ème3)'!KF8:KH8,"B"))*3)+((COUNTIF('Elève (6ème3)'!KF8:KH8,"C"))*2)+((COUNTIF('Elève (6ème3)'!KF8:KH8,"D"))*1))/(COUNTA(KF8:KH8)),"")</f>
        <v>3</v>
      </c>
      <c r="KJ8" s="109" t="str">
        <f t="shared" si="68"/>
        <v>B</v>
      </c>
      <c r="KK8" s="81"/>
      <c r="KL8" s="82"/>
      <c r="KM8" s="83"/>
      <c r="KN8" s="108" t="str">
        <f>IFERROR((((COUNTIF('Elève (6ème3)'!KK8:KM8,"A"))*4)+((COUNTIF('Elève (6ème3)'!KK8:KM8,"B"))*3)+((COUNTIF('Elève (6ème3)'!KK8:KM8,"C"))*2)+((COUNTIF('Elève (6ème3)'!KK8:KM8,"D"))*1))/(COUNTA(KK8:KM8)),"")</f>
        <v/>
      </c>
      <c r="KO8" s="109" t="str">
        <f t="shared" si="69"/>
        <v/>
      </c>
      <c r="KP8" s="81"/>
      <c r="KQ8" s="82"/>
      <c r="KR8" s="83"/>
      <c r="KS8" s="108" t="str">
        <f>IFERROR((((COUNTIF('Elève (6ème3)'!KP8:KR8,"A"))*4)+((COUNTIF('Elève (6ème3)'!KP8:KR8,"B"))*3)+((COUNTIF('Elève (6ème3)'!KP8:KR8,"C"))*2)+((COUNTIF('Elève (6ème3)'!KP8:KR8,"D"))*1))/(COUNTA(KP8:KR8)),"")</f>
        <v/>
      </c>
      <c r="KT8" s="109" t="str">
        <f t="shared" si="70"/>
        <v/>
      </c>
      <c r="KU8" s="178">
        <f>IF(COUNT(KI8,KN8,KS8)=0,"",SUM(KI8,KN8,KS8)/COUNT(KI8,KN8,KS8))</f>
        <v>3</v>
      </c>
      <c r="KV8" s="131" t="str">
        <f t="shared" si="71"/>
        <v>B</v>
      </c>
      <c r="KW8" s="156" t="s">
        <v>24</v>
      </c>
      <c r="KX8" s="157"/>
      <c r="KY8" s="158"/>
      <c r="KZ8" s="108">
        <f>IFERROR((((COUNTIF('Elève (6ème3)'!KW8:KY8,"A"))*4)+((COUNTIF('Elève (6ème3)'!KW8:KY8,"B"))*3)+((COUNTIF('Elève (6ème3)'!KW8:KY8,"C"))*2)+((COUNTIF('Elève (6ème3)'!KW8:KY8,"D"))*1))/(COUNTA(KW8:KY8)),"")</f>
        <v>4</v>
      </c>
      <c r="LA8" s="109" t="str">
        <f t="shared" si="72"/>
        <v>A</v>
      </c>
      <c r="LB8" s="81"/>
      <c r="LC8" s="82"/>
      <c r="LD8" s="83"/>
      <c r="LE8" s="108" t="str">
        <f>IFERROR((((COUNTIF('Elève (6ème3)'!LB8:LD8,"A"))*4)+((COUNTIF('Elève (6ème3)'!LB8:LD8,"B"))*3)+((COUNTIF('Elève (6ème3)'!LB8:LD8,"C"))*2)+((COUNTIF('Elève (6ème3)'!LB8:LD8,"D"))*1))/(COUNTA(LB8:LD8)),"")</f>
        <v/>
      </c>
      <c r="LF8" s="109" t="str">
        <f t="shared" si="73"/>
        <v/>
      </c>
      <c r="LG8" s="81"/>
      <c r="LH8" s="82"/>
      <c r="LI8" s="83"/>
      <c r="LJ8" s="108" t="str">
        <f>IFERROR((((COUNTIF('Elève (6ème3)'!LG8:LI8,"A"))*4)+((COUNTIF('Elève (6ème3)'!LG8:LI8,"B"))*3)+((COUNTIF('Elève (6ème3)'!LG8:LI8,"C"))*2)+((COUNTIF('Elève (6ème3)'!LG8:LI8,"D"))*1))/(COUNTA(LG8:LI8)),"")</f>
        <v/>
      </c>
      <c r="LK8" s="109" t="str">
        <f t="shared" si="74"/>
        <v/>
      </c>
      <c r="LL8" s="178">
        <f>IF(COUNT(KZ8,LE8,LJ8)=0,"",SUM(KZ8,LE8,LJ8)/COUNT(KZ8,LE8,LJ8))</f>
        <v>4</v>
      </c>
      <c r="LM8" s="131" t="str">
        <f t="shared" si="75"/>
        <v>A</v>
      </c>
      <c r="LN8" s="156" t="s">
        <v>25</v>
      </c>
      <c r="LO8" s="157"/>
      <c r="LP8" s="158"/>
      <c r="LQ8" s="108">
        <f>IFERROR((((COUNTIF('Elève (6ème3)'!LN8:LP8,"A"))*4)+((COUNTIF('Elève (6ème3)'!LN8:LP8,"B"))*3)+((COUNTIF('Elève (6ème3)'!LN8:LP8,"C"))*2)+((COUNTIF('Elève (6ème3)'!LN8:LP8,"D"))*1))/(COUNTA(LN8:LP8)),"")</f>
        <v>3</v>
      </c>
      <c r="LR8" s="109" t="str">
        <f t="shared" si="76"/>
        <v>B</v>
      </c>
      <c r="LS8" s="81"/>
      <c r="LT8" s="82"/>
      <c r="LU8" s="83"/>
      <c r="LV8" s="108" t="str">
        <f>IFERROR((((COUNTIF('Elève (6ème3)'!LS8:LU8,"A"))*4)+((COUNTIF('Elève (6ème3)'!LS8:LU8,"B"))*3)+((COUNTIF('Elève (6ème3)'!LS8:LU8,"C"))*2)+((COUNTIF('Elève (6ème3)'!LS8:LU8,"D"))*1))/(COUNTA(LS8:LU8)),"")</f>
        <v/>
      </c>
      <c r="LW8" s="109" t="str">
        <f t="shared" si="77"/>
        <v/>
      </c>
      <c r="LX8" s="81"/>
      <c r="LY8" s="82"/>
      <c r="LZ8" s="83"/>
      <c r="MA8" s="108" t="str">
        <f>IFERROR((((COUNTIF('Elève (6ème3)'!LX8:LZ8,"A"))*4)+((COUNTIF('Elève (6ème3)'!LX8:LZ8,"B"))*3)+((COUNTIF('Elève (6ème3)'!LX8:LZ8,"C"))*2)+((COUNTIF('Elève (6ème3)'!LX8:LZ8,"D"))*1))/(COUNTA(LX8:LZ8)),"")</f>
        <v/>
      </c>
      <c r="MB8" s="109" t="str">
        <f t="shared" si="78"/>
        <v/>
      </c>
      <c r="MC8" s="178">
        <f>IF(COUNT(LQ8,LV8,MA8)=0,"",SUM(LQ8,LV8,MA8)/COUNT(LQ8,LV8,MA8))</f>
        <v>3</v>
      </c>
      <c r="MD8" s="131" t="str">
        <f t="shared" si="79"/>
        <v>B</v>
      </c>
      <c r="ME8" s="156" t="s">
        <v>24</v>
      </c>
      <c r="MF8" s="157"/>
      <c r="MG8" s="158"/>
      <c r="MH8" s="108">
        <f>IFERROR((((COUNTIF('Elève (6ème3)'!ME8:MG8,"A"))*4)+((COUNTIF('Elève (6ème3)'!ME8:MG8,"B"))*3)+((COUNTIF('Elève (6ème3)'!ME8:MG8,"C"))*2)+((COUNTIF('Elève (6ème3)'!ME8:MG8,"D"))*1))/(COUNTA(ME8:MG8)),"")</f>
        <v>4</v>
      </c>
      <c r="MI8" s="109" t="str">
        <f t="shared" si="80"/>
        <v>A</v>
      </c>
      <c r="MJ8" s="81"/>
      <c r="MK8" s="82"/>
      <c r="ML8" s="83"/>
      <c r="MM8" s="108" t="str">
        <f>IFERROR((((COUNTIF('Elève (6ème3)'!MJ8:ML8,"A"))*4)+((COUNTIF('Elève (6ème3)'!MJ8:ML8,"B"))*3)+((COUNTIF('Elève (6ème3)'!MJ8:ML8,"C"))*2)+((COUNTIF('Elève (6ème3)'!MJ8:ML8,"D"))*1))/(COUNTA(MJ8:ML8)),"")</f>
        <v/>
      </c>
      <c r="MN8" s="109" t="str">
        <f t="shared" si="81"/>
        <v/>
      </c>
      <c r="MO8" s="81"/>
      <c r="MP8" s="82"/>
      <c r="MQ8" s="83"/>
      <c r="MR8" s="108" t="str">
        <f>IFERROR((((COUNTIF('Elève (6ème3)'!MO8:MQ8,"A"))*4)+((COUNTIF('Elève (6ème3)'!MO8:MQ8,"B"))*3)+((COUNTIF('Elève (6ème3)'!MO8:MQ8,"C"))*2)+((COUNTIF('Elève (6ème3)'!MO8:MQ8,"D"))*1))/(COUNTA(MO8:MQ8)),"")</f>
        <v/>
      </c>
      <c r="MS8" s="109" t="str">
        <f t="shared" si="82"/>
        <v/>
      </c>
      <c r="MT8" s="178">
        <f>IF(COUNT(MH8,MM8,MR8)=0,"",SUM(MH8,MM8,MR8)/COUNT(MH8,MM8,MR8))</f>
        <v>4</v>
      </c>
      <c r="MU8" s="131" t="str">
        <f t="shared" si="83"/>
        <v>A</v>
      </c>
      <c r="MV8" s="156" t="s">
        <v>24</v>
      </c>
      <c r="MW8" s="157"/>
      <c r="MX8" s="158"/>
      <c r="MY8" s="108">
        <f>IFERROR((((COUNTIF('Elève (6ème3)'!MV8:MX8,"A"))*4)+((COUNTIF('Elève (6ème3)'!MV8:MX8,"B"))*3)+((COUNTIF('Elève (6ème3)'!MV8:MX8,"C"))*2)+((COUNTIF('Elève (6ème3)'!MV8:MX8,"D"))*1))/(COUNTA(MV8:MX8)),"")</f>
        <v>4</v>
      </c>
      <c r="MZ8" s="109" t="str">
        <f t="shared" si="84"/>
        <v>A</v>
      </c>
      <c r="NA8" s="81"/>
      <c r="NB8" s="82"/>
      <c r="NC8" s="83"/>
      <c r="ND8" s="108" t="str">
        <f>IFERROR((((COUNTIF('Elève (6ème3)'!NA8:NC8,"A"))*4)+((COUNTIF('Elève (6ème3)'!NA8:NC8,"B"))*3)+((COUNTIF('Elève (6ème3)'!NA8:NC8,"C"))*2)+((COUNTIF('Elève (6ème3)'!NA8:NC8,"D"))*1))/(COUNTA(NA8:NC8)),"")</f>
        <v/>
      </c>
      <c r="NE8" s="109" t="str">
        <f t="shared" si="85"/>
        <v/>
      </c>
      <c r="NF8" s="81"/>
      <c r="NG8" s="82"/>
      <c r="NH8" s="83"/>
      <c r="NI8" s="108" t="str">
        <f>IFERROR((((COUNTIF('Elève (6ème3)'!NF8:NH8,"A"))*4)+((COUNTIF('Elève (6ème3)'!NF8:NH8,"B"))*3)+((COUNTIF('Elève (6ème3)'!NF8:NH8,"C"))*2)+((COUNTIF('Elève (6ème3)'!NF8:NH8,"D"))*1))/(COUNTA(NF8:NH8)),"")</f>
        <v/>
      </c>
      <c r="NJ8" s="109" t="str">
        <f t="shared" si="86"/>
        <v/>
      </c>
      <c r="NK8" s="178">
        <f>IF(COUNT(MY8,ND8,NI8)=0,"",SUM(MY8,ND8,NI8)/COUNT(MY8,ND8,NI8))</f>
        <v>4</v>
      </c>
      <c r="NL8" s="131" t="str">
        <f t="shared" si="87"/>
        <v>A</v>
      </c>
      <c r="NM8" s="156" t="s">
        <v>25</v>
      </c>
      <c r="NN8" s="157"/>
      <c r="NO8" s="158"/>
      <c r="NP8" s="108">
        <f>IFERROR((((COUNTIF('Elève (6ème3)'!NM8:NO8,"A"))*4)+((COUNTIF('Elève (6ème3)'!NM8:NO8,"B"))*3)+((COUNTIF('Elève (6ème3)'!NM8:NO8,"C"))*2)+((COUNTIF('Elève (6ème3)'!NM8:NO8,"D"))*1))/(COUNTA(NM8:NO8)),"")</f>
        <v>3</v>
      </c>
      <c r="NQ8" s="109" t="str">
        <f t="shared" si="88"/>
        <v>B</v>
      </c>
      <c r="NR8" s="81"/>
      <c r="NS8" s="82"/>
      <c r="NT8" s="83"/>
      <c r="NU8" s="108" t="str">
        <f>IFERROR((((COUNTIF('Elève (6ème3)'!NR8:NT8,"A"))*4)+((COUNTIF('Elève (6ème3)'!NR8:NT8,"B"))*3)+((COUNTIF('Elève (6ème3)'!NR8:NT8,"C"))*2)+((COUNTIF('Elève (6ème3)'!NR8:NT8,"D"))*1))/(COUNTA(NR8:NT8)),"")</f>
        <v/>
      </c>
      <c r="NV8" s="109" t="str">
        <f t="shared" si="89"/>
        <v/>
      </c>
      <c r="NW8" s="81"/>
      <c r="NX8" s="82"/>
      <c r="NY8" s="83"/>
      <c r="NZ8" s="108" t="str">
        <f>IFERROR((((COUNTIF('Elève (6ème3)'!NW8:NY8,"A"))*4)+((COUNTIF('Elève (6ème3)'!NW8:NY8,"B"))*3)+((COUNTIF('Elève (6ème3)'!NW8:NY8,"C"))*2)+((COUNTIF('Elève (6ème3)'!NW8:NY8,"D"))*1))/(COUNTA(NW8:NY8)),"")</f>
        <v/>
      </c>
      <c r="OA8" s="109" t="str">
        <f t="shared" si="90"/>
        <v/>
      </c>
      <c r="OB8" s="178">
        <f>IF(COUNT(NP8,NU8,NZ8)=0,"",SUM(NP8,NU8,NZ8)/COUNT(NP8,NU8,NZ8))</f>
        <v>3</v>
      </c>
      <c r="OC8" s="131" t="str">
        <f t="shared" si="91"/>
        <v>B</v>
      </c>
      <c r="OD8" s="156" t="s">
        <v>25</v>
      </c>
      <c r="OE8" s="157"/>
      <c r="OF8" s="158"/>
      <c r="OG8" s="108">
        <f>IFERROR((((COUNTIF('Elève (6ème3)'!OD8:OF8,"A"))*4)+((COUNTIF('Elève (6ème3)'!OD8:OF8,"B"))*3)+((COUNTIF('Elève (6ème3)'!OD8:OF8,"C"))*2)+((COUNTIF('Elève (6ème3)'!OD8:OF8,"D"))*1))/(COUNTA(OD8:OF8)),"")</f>
        <v>3</v>
      </c>
      <c r="OH8" s="109" t="str">
        <f t="shared" si="92"/>
        <v>B</v>
      </c>
      <c r="OI8" s="81"/>
      <c r="OJ8" s="82"/>
      <c r="OK8" s="83"/>
      <c r="OL8" s="108" t="str">
        <f>IFERROR((((COUNTIF('Elève (6ème3)'!OI8:OK8,"A"))*4)+((COUNTIF('Elève (6ème3)'!OI8:OK8,"B"))*3)+((COUNTIF('Elève (6ème3)'!OI8:OK8,"C"))*2)+((COUNTIF('Elève (6ème3)'!OI8:OK8,"D"))*1))/(COUNTA(OI8:OK8)),"")</f>
        <v/>
      </c>
      <c r="OM8" s="109" t="str">
        <f t="shared" si="93"/>
        <v/>
      </c>
      <c r="ON8" s="81"/>
      <c r="OO8" s="82"/>
      <c r="OP8" s="83"/>
      <c r="OQ8" s="108" t="str">
        <f>IFERROR((((COUNTIF('Elève (6ème3)'!ON8:OP8,"A"))*4)+((COUNTIF('Elève (6ème3)'!ON8:OP8,"B"))*3)+((COUNTIF('Elève (6ème3)'!ON8:OP8,"C"))*2)+((COUNTIF('Elève (6ème3)'!ON8:OP8,"D"))*1))/(COUNTA(ON8:OP8)),"")</f>
        <v/>
      </c>
      <c r="OR8" s="109" t="str">
        <f t="shared" si="94"/>
        <v/>
      </c>
      <c r="OS8" s="178">
        <f>IF(COUNT(OG8,OL8,OQ8)=0,"",SUM(OG8,OL8,OQ8)/COUNT(OG8,OL8,OQ8))</f>
        <v>3</v>
      </c>
      <c r="OT8" s="131" t="str">
        <f t="shared" si="95"/>
        <v>B</v>
      </c>
      <c r="OU8" s="156" t="s">
        <v>26</v>
      </c>
      <c r="OV8" s="157"/>
      <c r="OW8" s="158"/>
      <c r="OX8" s="108">
        <f>IFERROR((((COUNTIF('Elève (6ème3)'!OU8:OW8,"A"))*4)+((COUNTIF('Elève (6ème3)'!OU8:OW8,"B"))*3)+((COUNTIF('Elève (6ème3)'!OU8:OW8,"C"))*2)+((COUNTIF('Elève (6ème3)'!OU8:OW8,"D"))*1))/(COUNTA(OU8:OW8)),"")</f>
        <v>2</v>
      </c>
      <c r="OY8" s="109" t="str">
        <f t="shared" si="96"/>
        <v>C</v>
      </c>
      <c r="OZ8" s="81"/>
      <c r="PA8" s="82"/>
      <c r="PB8" s="83"/>
      <c r="PC8" s="108" t="str">
        <f>IFERROR((((COUNTIF('Elève (6ème3)'!OZ8:PB8,"A"))*4)+((COUNTIF('Elève (6ème3)'!OZ8:PB8,"B"))*3)+((COUNTIF('Elève (6ème3)'!OZ8:PB8,"C"))*2)+((COUNTIF('Elève (6ème3)'!OZ8:PB8,"D"))*1))/(COUNTA(OZ8:PB8)),"")</f>
        <v/>
      </c>
      <c r="PD8" s="109" t="str">
        <f t="shared" si="97"/>
        <v/>
      </c>
      <c r="PE8" s="81"/>
      <c r="PF8" s="82"/>
      <c r="PG8" s="83"/>
      <c r="PH8" s="108" t="str">
        <f>IFERROR((((COUNTIF('Elève (6ème3)'!PE8:PG8,"A"))*4)+((COUNTIF('Elève (6ème3)'!PE8:PG8,"B"))*3)+((COUNTIF('Elève (6ème3)'!PE8:PG8,"C"))*2)+((COUNTIF('Elève (6ème3)'!PE8:PG8,"D"))*1))/(COUNTA(PE8:PG8)),"")</f>
        <v/>
      </c>
      <c r="PI8" s="109" t="str">
        <f t="shared" si="98"/>
        <v/>
      </c>
      <c r="PJ8" s="178">
        <f>IF(COUNT(OX8,PC8,PH8)=0,"",SUM(OX8,PC8,PH8)/COUNT(OX8,PC8,PH8))</f>
        <v>2</v>
      </c>
      <c r="PK8" s="131" t="str">
        <f t="shared" si="99"/>
        <v>C</v>
      </c>
      <c r="PL8" s="156" t="s">
        <v>24</v>
      </c>
      <c r="PM8" s="157"/>
      <c r="PN8" s="158"/>
      <c r="PO8" s="108">
        <f>IFERROR((((COUNTIF('Elève (6ème3)'!PL8:PN8,"A"))*4)+((COUNTIF('Elève (6ème3)'!PL8:PN8,"B"))*3)+((COUNTIF('Elève (6ème3)'!PL8:PN8,"C"))*2)+((COUNTIF('Elève (6ème3)'!PL8:PN8,"D"))*1))/(COUNTA(PL8:PN8)),"")</f>
        <v>4</v>
      </c>
      <c r="PP8" s="109" t="str">
        <f t="shared" si="100"/>
        <v>A</v>
      </c>
      <c r="PQ8" s="81"/>
      <c r="PR8" s="82"/>
      <c r="PS8" s="83"/>
      <c r="PT8" s="108" t="str">
        <f>IFERROR((((COUNTIF('Elève (6ème3)'!PQ8:PS8,"A"))*4)+((COUNTIF('Elève (6ème3)'!PQ8:PS8,"B"))*3)+((COUNTIF('Elève (6ème3)'!PQ8:PS8,"C"))*2)+((COUNTIF('Elève (6ème3)'!PQ8:PS8,"D"))*1))/(COUNTA(PQ8:PS8)),"")</f>
        <v/>
      </c>
      <c r="PU8" s="109" t="str">
        <f t="shared" si="101"/>
        <v/>
      </c>
      <c r="PV8" s="81"/>
      <c r="PW8" s="82"/>
      <c r="PX8" s="83"/>
      <c r="PY8" s="108" t="str">
        <f>IFERROR((((COUNTIF('Elève (6ème3)'!PV8:PX8,"A"))*4)+((COUNTIF('Elève (6ème3)'!PV8:PX8,"B"))*3)+((COUNTIF('Elève (6ème3)'!PV8:PX8,"C"))*2)+((COUNTIF('Elève (6ème3)'!PV8:PX8,"D"))*1))/(COUNTA(PV8:PX8)),"")</f>
        <v/>
      </c>
      <c r="PZ8" s="109" t="str">
        <f t="shared" si="102"/>
        <v/>
      </c>
      <c r="QA8" s="178">
        <f>IF(COUNT(PO8,PT8,PY8)=0,"",SUM(PO8,PT8,PY8)/COUNT(PO8,PT8,PY8))</f>
        <v>4</v>
      </c>
      <c r="QB8" s="131" t="str">
        <f t="shared" si="103"/>
        <v>A</v>
      </c>
      <c r="QC8" s="156" t="s">
        <v>25</v>
      </c>
      <c r="QD8" s="157"/>
      <c r="QE8" s="158"/>
      <c r="QF8" s="108">
        <f>IFERROR((((COUNTIF('Elève (6ème3)'!QC8:QE8,"A"))*4)+((COUNTIF('Elève (6ème3)'!QC8:QE8,"B"))*3)+((COUNTIF('Elève (6ème3)'!QC8:QE8,"C"))*2)+((COUNTIF('Elève (6ème3)'!QC8:QE8,"D"))*1))/(COUNTA(QC8:QE8)),"")</f>
        <v>3</v>
      </c>
      <c r="QG8" s="109" t="str">
        <f t="shared" si="104"/>
        <v>B</v>
      </c>
      <c r="QH8" s="81"/>
      <c r="QI8" s="82"/>
      <c r="QJ8" s="83"/>
      <c r="QK8" s="108" t="str">
        <f>IFERROR((((COUNTIF('Elève (6ème3)'!QH8:QJ8,"A"))*4)+((COUNTIF('Elève (6ème3)'!QH8:QJ8,"B"))*3)+((COUNTIF('Elève (6ème3)'!QH8:QJ8,"C"))*2)+((COUNTIF('Elève (6ème3)'!QH8:QJ8,"D"))*1))/(COUNTA(QH8:QJ8)),"")</f>
        <v/>
      </c>
      <c r="QL8" s="109" t="str">
        <f t="shared" si="105"/>
        <v/>
      </c>
      <c r="QM8" s="81"/>
      <c r="QN8" s="82"/>
      <c r="QO8" s="83"/>
      <c r="QP8" s="108" t="str">
        <f>IFERROR((((COUNTIF('Elève (6ème3)'!QM8:QO8,"A"))*4)+((COUNTIF('Elève (6ème3)'!QM8:QO8,"B"))*3)+((COUNTIF('Elève (6ème3)'!QM8:QO8,"C"))*2)+((COUNTIF('Elève (6ème3)'!QM8:QO8,"D"))*1))/(COUNTA(QM8:QO8)),"")</f>
        <v/>
      </c>
      <c r="QQ8" s="109" t="str">
        <f t="shared" si="106"/>
        <v/>
      </c>
      <c r="QR8" s="178">
        <f>IF(COUNT(QF8,QK8,QP8)=0,"",SUM(QF8,QK8,QP8)/COUNT(QF8,QK8,QP8))</f>
        <v>3</v>
      </c>
      <c r="QS8" s="131" t="str">
        <f t="shared" si="107"/>
        <v>B</v>
      </c>
      <c r="QT8" s="156" t="s">
        <v>24</v>
      </c>
      <c r="QU8" s="157"/>
      <c r="QV8" s="158"/>
      <c r="QW8" s="108">
        <f>IFERROR((((COUNTIF('Elève (6ème3)'!QT8:QV8,"A"))*4)+((COUNTIF('Elève (6ème3)'!QT8:QV8,"B"))*3)+((COUNTIF('Elève (6ème3)'!QT8:QV8,"C"))*2)+((COUNTIF('Elève (6ème3)'!QT8:QV8,"D"))*1))/(COUNTA(QT8:QV8)),"")</f>
        <v>4</v>
      </c>
      <c r="QX8" s="109" t="str">
        <f t="shared" si="108"/>
        <v>A</v>
      </c>
      <c r="QY8" s="81"/>
      <c r="QZ8" s="82"/>
      <c r="RA8" s="83"/>
      <c r="RB8" s="108" t="str">
        <f>IFERROR((((COUNTIF('Elève (6ème3)'!QY8:RA8,"A"))*4)+((COUNTIF('Elève (6ème3)'!QY8:RA8,"B"))*3)+((COUNTIF('Elève (6ème3)'!QY8:RA8,"C"))*2)+((COUNTIF('Elève (6ème3)'!QY8:RA8,"D"))*1))/(COUNTA(QY8:RA8)),"")</f>
        <v/>
      </c>
      <c r="RC8" s="109" t="str">
        <f t="shared" si="109"/>
        <v/>
      </c>
      <c r="RD8" s="81"/>
      <c r="RE8" s="82"/>
      <c r="RF8" s="83"/>
      <c r="RG8" s="108" t="str">
        <f>IFERROR((((COUNTIF('Elève (6ème3)'!RD8:RF8,"A"))*4)+((COUNTIF('Elève (6ème3)'!RD8:RF8,"B"))*3)+((COUNTIF('Elève (6ème3)'!RD8:RF8,"C"))*2)+((COUNTIF('Elève (6ème3)'!RD8:RF8,"D"))*1))/(COUNTA(RD8:RF8)),"")</f>
        <v/>
      </c>
      <c r="RH8" s="109" t="str">
        <f t="shared" si="110"/>
        <v/>
      </c>
      <c r="RI8" s="178">
        <f>IF(COUNT(QW8,RB8,RG8)=0,"",SUM(QW8,RB8,RG8)/COUNT(QW8,RB8,RG8))</f>
        <v>4</v>
      </c>
      <c r="RJ8" s="131" t="str">
        <f t="shared" si="111"/>
        <v>A</v>
      </c>
      <c r="RK8" s="156"/>
      <c r="RL8" s="157"/>
      <c r="RM8" s="158"/>
      <c r="RN8" s="108" t="str">
        <f>IFERROR((((COUNTIF('Elève (6ème3)'!RK8:RM8,"A"))*4)+((COUNTIF('Elève (6ème3)'!RK8:RM8,"B"))*3)+((COUNTIF('Elève (6ème3)'!RK8:RM8,"C"))*2)+((COUNTIF('Elève (6ème3)'!RK8:RM8,"D"))*1))/(COUNTA(RK8:RM8)),"")</f>
        <v/>
      </c>
      <c r="RO8" s="109" t="str">
        <f t="shared" si="112"/>
        <v/>
      </c>
      <c r="RP8" s="81"/>
      <c r="RQ8" s="82"/>
      <c r="RR8" s="83"/>
      <c r="RS8" s="108" t="str">
        <f>IFERROR((((COUNTIF('Elève (6ème3)'!RP8:RR8,"A"))*4)+((COUNTIF('Elève (6ème3)'!RP8:RR8,"B"))*3)+((COUNTIF('Elève (6ème3)'!RP8:RR8,"C"))*2)+((COUNTIF('Elève (6ème3)'!RP8:RR8,"D"))*1))/(COUNTA(RP8:RR8)),"")</f>
        <v/>
      </c>
      <c r="RT8" s="109" t="str">
        <f t="shared" si="113"/>
        <v/>
      </c>
      <c r="RU8" s="81"/>
      <c r="RV8" s="82"/>
      <c r="RW8" s="83"/>
      <c r="RX8" s="108" t="str">
        <f>IFERROR((((COUNTIF('Elève (6ème3)'!RU8:RW8,"A"))*4)+((COUNTIF('Elève (6ème3)'!RU8:RW8,"B"))*3)+((COUNTIF('Elève (6ème3)'!RU8:RW8,"C"))*2)+((COUNTIF('Elève (6ème3)'!RU8:RW8,"D"))*1))/(COUNTA(RU8:RW8)),"")</f>
        <v/>
      </c>
      <c r="RY8" s="109" t="str">
        <f t="shared" si="114"/>
        <v/>
      </c>
      <c r="RZ8" s="178" t="str">
        <f>IF(COUNT(RN8,RS8,RX8)=0,"",SUM(RN8,RS8,RX8)/COUNT(RN8,RS8,RX8))</f>
        <v/>
      </c>
      <c r="SA8" s="131" t="str">
        <f t="shared" si="115"/>
        <v/>
      </c>
      <c r="SB8" s="156"/>
      <c r="SC8" s="157"/>
      <c r="SD8" s="158"/>
      <c r="SE8" s="108" t="str">
        <f>IFERROR((((COUNTIF('Elève (6ème3)'!SB8:SD8,"A"))*4)+((COUNTIF('Elève (6ème3)'!SB8:SD8,"B"))*3)+((COUNTIF('Elève (6ème3)'!SB8:SD8,"C"))*2)+((COUNTIF('Elève (6ème3)'!SB8:SD8,"D"))*1))/(COUNTA(SB8:SD8)),"")</f>
        <v/>
      </c>
      <c r="SF8" s="109" t="str">
        <f t="shared" si="116"/>
        <v/>
      </c>
      <c r="SG8" s="81"/>
      <c r="SH8" s="82"/>
      <c r="SI8" s="83"/>
      <c r="SJ8" s="108" t="str">
        <f>IFERROR((((COUNTIF('Elève (6ème3)'!SG8:SI8,"A"))*4)+((COUNTIF('Elève (6ème3)'!SG8:SI8,"B"))*3)+((COUNTIF('Elève (6ème3)'!SG8:SI8,"C"))*2)+((COUNTIF('Elève (6ème3)'!SG8:SI8,"D"))*1))/(COUNTA(SG8:SI8)),"")</f>
        <v/>
      </c>
      <c r="SK8" s="109" t="str">
        <f t="shared" si="117"/>
        <v/>
      </c>
      <c r="SL8" s="81"/>
      <c r="SM8" s="82"/>
      <c r="SN8" s="83"/>
      <c r="SO8" s="108" t="str">
        <f>IFERROR((((COUNTIF('Elève (6ème3)'!SL8:SN8,"A"))*4)+((COUNTIF('Elève (6ème3)'!SL8:SN8,"B"))*3)+((COUNTIF('Elève (6ème3)'!SL8:SN8,"C"))*2)+((COUNTIF('Elève (6ème3)'!SL8:SN8,"D"))*1))/(COUNTA(SL8:SN8)),"")</f>
        <v/>
      </c>
      <c r="SP8" s="109" t="str">
        <f t="shared" si="118"/>
        <v/>
      </c>
      <c r="SQ8" s="178" t="str">
        <f>IF(COUNT(SE8,SJ8,SO8)=0,"",SUM(SE8,SJ8,SO8)/COUNT(SE8,SJ8,SO8))</f>
        <v/>
      </c>
      <c r="SR8" s="131" t="str">
        <f t="shared" si="119"/>
        <v/>
      </c>
    </row>
    <row r="9" spans="1:512" s="72" customFormat="1" ht="18" customHeight="1" x14ac:dyDescent="0.25">
      <c r="A9" s="242" t="s">
        <v>46</v>
      </c>
      <c r="B9" s="243"/>
      <c r="C9" s="156"/>
      <c r="D9" s="157"/>
      <c r="E9" s="158"/>
      <c r="F9" s="110"/>
      <c r="G9" s="111"/>
      <c r="H9" s="81"/>
      <c r="I9" s="82"/>
      <c r="J9" s="83"/>
      <c r="K9" s="110"/>
      <c r="L9" s="111"/>
      <c r="M9" s="81"/>
      <c r="N9" s="82"/>
      <c r="O9" s="83"/>
      <c r="P9" s="110"/>
      <c r="Q9" s="111"/>
      <c r="R9" s="179"/>
      <c r="S9" s="132"/>
      <c r="T9" s="156"/>
      <c r="U9" s="157"/>
      <c r="V9" s="158"/>
      <c r="W9" s="110"/>
      <c r="X9" s="111"/>
      <c r="Y9" s="81"/>
      <c r="Z9" s="82"/>
      <c r="AA9" s="83"/>
      <c r="AB9" s="110"/>
      <c r="AC9" s="111"/>
      <c r="AD9" s="81"/>
      <c r="AE9" s="82"/>
      <c r="AF9" s="83"/>
      <c r="AG9" s="110"/>
      <c r="AH9" s="111"/>
      <c r="AI9" s="179"/>
      <c r="AJ9" s="132"/>
      <c r="AK9" s="156"/>
      <c r="AL9" s="157"/>
      <c r="AM9" s="158"/>
      <c r="AN9" s="110"/>
      <c r="AO9" s="111"/>
      <c r="AP9" s="81"/>
      <c r="AQ9" s="82"/>
      <c r="AR9" s="83"/>
      <c r="AS9" s="110"/>
      <c r="AT9" s="111"/>
      <c r="AU9" s="81"/>
      <c r="AV9" s="82"/>
      <c r="AW9" s="83"/>
      <c r="AX9" s="110"/>
      <c r="AY9" s="111"/>
      <c r="AZ9" s="179"/>
      <c r="BA9" s="132"/>
      <c r="BB9" s="156"/>
      <c r="BC9" s="157"/>
      <c r="BD9" s="158"/>
      <c r="BE9" s="110"/>
      <c r="BF9" s="111"/>
      <c r="BG9" s="81"/>
      <c r="BH9" s="82"/>
      <c r="BI9" s="83"/>
      <c r="BJ9" s="110"/>
      <c r="BK9" s="111"/>
      <c r="BL9" s="81"/>
      <c r="BM9" s="82"/>
      <c r="BN9" s="83"/>
      <c r="BO9" s="110"/>
      <c r="BP9" s="111"/>
      <c r="BQ9" s="179"/>
      <c r="BR9" s="132"/>
      <c r="BS9" s="156"/>
      <c r="BT9" s="157"/>
      <c r="BU9" s="158"/>
      <c r="BV9" s="110"/>
      <c r="BW9" s="111"/>
      <c r="BX9" s="81"/>
      <c r="BY9" s="82"/>
      <c r="BZ9" s="83"/>
      <c r="CA9" s="110"/>
      <c r="CB9" s="111"/>
      <c r="CC9" s="81"/>
      <c r="CD9" s="82"/>
      <c r="CE9" s="83"/>
      <c r="CF9" s="110"/>
      <c r="CG9" s="111"/>
      <c r="CH9" s="179"/>
      <c r="CI9" s="132"/>
      <c r="CJ9" s="156"/>
      <c r="CK9" s="157"/>
      <c r="CL9" s="158"/>
      <c r="CM9" s="110"/>
      <c r="CN9" s="111"/>
      <c r="CO9" s="81"/>
      <c r="CP9" s="82"/>
      <c r="CQ9" s="83"/>
      <c r="CR9" s="110"/>
      <c r="CS9" s="111"/>
      <c r="CT9" s="81"/>
      <c r="CU9" s="82"/>
      <c r="CV9" s="83"/>
      <c r="CW9" s="110"/>
      <c r="CX9" s="111"/>
      <c r="CY9" s="179"/>
      <c r="CZ9" s="132"/>
      <c r="DA9" s="156"/>
      <c r="DB9" s="157"/>
      <c r="DC9" s="158"/>
      <c r="DD9" s="110"/>
      <c r="DE9" s="111"/>
      <c r="DF9" s="81"/>
      <c r="DG9" s="82"/>
      <c r="DH9" s="83"/>
      <c r="DI9" s="110"/>
      <c r="DJ9" s="111"/>
      <c r="DK9" s="81"/>
      <c r="DL9" s="82"/>
      <c r="DM9" s="83"/>
      <c r="DN9" s="110"/>
      <c r="DO9" s="111"/>
      <c r="DP9" s="179"/>
      <c r="DQ9" s="132"/>
      <c r="DR9" s="156"/>
      <c r="DS9" s="157"/>
      <c r="DT9" s="158"/>
      <c r="DU9" s="110"/>
      <c r="DV9" s="111"/>
      <c r="DW9" s="81"/>
      <c r="DX9" s="82"/>
      <c r="DY9" s="83"/>
      <c r="DZ9" s="110"/>
      <c r="EA9" s="111"/>
      <c r="EB9" s="81"/>
      <c r="EC9" s="82"/>
      <c r="ED9" s="83"/>
      <c r="EE9" s="110"/>
      <c r="EF9" s="111"/>
      <c r="EG9" s="179"/>
      <c r="EH9" s="132"/>
      <c r="EI9" s="156"/>
      <c r="EJ9" s="157"/>
      <c r="EK9" s="158"/>
      <c r="EL9" s="110"/>
      <c r="EM9" s="111"/>
      <c r="EN9" s="81"/>
      <c r="EO9" s="82"/>
      <c r="EP9" s="83"/>
      <c r="EQ9" s="110"/>
      <c r="ER9" s="111"/>
      <c r="ES9" s="81"/>
      <c r="ET9" s="82"/>
      <c r="EU9" s="83"/>
      <c r="EV9" s="110"/>
      <c r="EW9" s="111"/>
      <c r="EX9" s="179"/>
      <c r="EY9" s="132"/>
      <c r="EZ9" s="156"/>
      <c r="FA9" s="157"/>
      <c r="FB9" s="158"/>
      <c r="FC9" s="110"/>
      <c r="FD9" s="111"/>
      <c r="FE9" s="81"/>
      <c r="FF9" s="82"/>
      <c r="FG9" s="83"/>
      <c r="FH9" s="110"/>
      <c r="FI9" s="111"/>
      <c r="FJ9" s="81"/>
      <c r="FK9" s="82"/>
      <c r="FL9" s="83"/>
      <c r="FM9" s="110"/>
      <c r="FN9" s="111"/>
      <c r="FO9" s="179"/>
      <c r="FP9" s="132"/>
      <c r="FQ9" s="156"/>
      <c r="FR9" s="157"/>
      <c r="FS9" s="158"/>
      <c r="FT9" s="110"/>
      <c r="FU9" s="111"/>
      <c r="FV9" s="81"/>
      <c r="FW9" s="82"/>
      <c r="FX9" s="83"/>
      <c r="FY9" s="110"/>
      <c r="FZ9" s="111"/>
      <c r="GA9" s="81"/>
      <c r="GB9" s="82"/>
      <c r="GC9" s="83"/>
      <c r="GD9" s="110"/>
      <c r="GE9" s="111"/>
      <c r="GF9" s="179"/>
      <c r="GG9" s="132"/>
      <c r="GH9" s="156"/>
      <c r="GI9" s="157"/>
      <c r="GJ9" s="158"/>
      <c r="GK9" s="110"/>
      <c r="GL9" s="111"/>
      <c r="GM9" s="81"/>
      <c r="GN9" s="82"/>
      <c r="GO9" s="83"/>
      <c r="GP9" s="110"/>
      <c r="GQ9" s="111"/>
      <c r="GR9" s="81"/>
      <c r="GS9" s="82"/>
      <c r="GT9" s="83"/>
      <c r="GU9" s="110"/>
      <c r="GV9" s="111"/>
      <c r="GW9" s="179"/>
      <c r="GX9" s="132"/>
      <c r="GY9" s="156"/>
      <c r="GZ9" s="157"/>
      <c r="HA9" s="158"/>
      <c r="HB9" s="110"/>
      <c r="HC9" s="111"/>
      <c r="HD9" s="81"/>
      <c r="HE9" s="82"/>
      <c r="HF9" s="83"/>
      <c r="HG9" s="110"/>
      <c r="HH9" s="111"/>
      <c r="HI9" s="81"/>
      <c r="HJ9" s="82"/>
      <c r="HK9" s="83"/>
      <c r="HL9" s="110"/>
      <c r="HM9" s="111"/>
      <c r="HN9" s="179"/>
      <c r="HO9" s="132"/>
      <c r="HP9" s="156"/>
      <c r="HQ9" s="157"/>
      <c r="HR9" s="158"/>
      <c r="HS9" s="110"/>
      <c r="HT9" s="111"/>
      <c r="HU9" s="81"/>
      <c r="HV9" s="82"/>
      <c r="HW9" s="83"/>
      <c r="HX9" s="110"/>
      <c r="HY9" s="111"/>
      <c r="HZ9" s="81"/>
      <c r="IA9" s="82"/>
      <c r="IB9" s="83"/>
      <c r="IC9" s="110"/>
      <c r="ID9" s="111"/>
      <c r="IE9" s="179"/>
      <c r="IF9" s="132"/>
      <c r="IG9" s="156"/>
      <c r="IH9" s="157"/>
      <c r="II9" s="158"/>
      <c r="IJ9" s="110"/>
      <c r="IK9" s="111"/>
      <c r="IL9" s="81"/>
      <c r="IM9" s="82"/>
      <c r="IN9" s="83"/>
      <c r="IO9" s="110"/>
      <c r="IP9" s="111"/>
      <c r="IQ9" s="81"/>
      <c r="IR9" s="82"/>
      <c r="IS9" s="83"/>
      <c r="IT9" s="110"/>
      <c r="IU9" s="111"/>
      <c r="IV9" s="179"/>
      <c r="IW9" s="132"/>
      <c r="IX9" s="156"/>
      <c r="IY9" s="157"/>
      <c r="IZ9" s="158"/>
      <c r="JA9" s="110"/>
      <c r="JB9" s="111"/>
      <c r="JC9" s="81"/>
      <c r="JD9" s="82"/>
      <c r="JE9" s="83"/>
      <c r="JF9" s="110"/>
      <c r="JG9" s="111"/>
      <c r="JH9" s="81"/>
      <c r="JI9" s="82"/>
      <c r="JJ9" s="83"/>
      <c r="JK9" s="110"/>
      <c r="JL9" s="111"/>
      <c r="JM9" s="179"/>
      <c r="JN9" s="132"/>
      <c r="JO9" s="156"/>
      <c r="JP9" s="157"/>
      <c r="JQ9" s="158"/>
      <c r="JR9" s="110"/>
      <c r="JS9" s="111"/>
      <c r="JT9" s="81"/>
      <c r="JU9" s="82"/>
      <c r="JV9" s="83"/>
      <c r="JW9" s="110"/>
      <c r="JX9" s="111"/>
      <c r="JY9" s="81"/>
      <c r="JZ9" s="82"/>
      <c r="KA9" s="83"/>
      <c r="KB9" s="110"/>
      <c r="KC9" s="111"/>
      <c r="KD9" s="179"/>
      <c r="KE9" s="132"/>
      <c r="KF9" s="156"/>
      <c r="KG9" s="157"/>
      <c r="KH9" s="158"/>
      <c r="KI9" s="110"/>
      <c r="KJ9" s="111"/>
      <c r="KK9" s="81"/>
      <c r="KL9" s="82"/>
      <c r="KM9" s="83"/>
      <c r="KN9" s="110"/>
      <c r="KO9" s="111"/>
      <c r="KP9" s="81"/>
      <c r="KQ9" s="82"/>
      <c r="KR9" s="83"/>
      <c r="KS9" s="110"/>
      <c r="KT9" s="111"/>
      <c r="KU9" s="179"/>
      <c r="KV9" s="132"/>
      <c r="KW9" s="156"/>
      <c r="KX9" s="157"/>
      <c r="KY9" s="158"/>
      <c r="KZ9" s="110"/>
      <c r="LA9" s="111"/>
      <c r="LB9" s="81"/>
      <c r="LC9" s="82"/>
      <c r="LD9" s="83"/>
      <c r="LE9" s="110"/>
      <c r="LF9" s="111"/>
      <c r="LG9" s="81"/>
      <c r="LH9" s="82"/>
      <c r="LI9" s="83"/>
      <c r="LJ9" s="110"/>
      <c r="LK9" s="111"/>
      <c r="LL9" s="179"/>
      <c r="LM9" s="132"/>
      <c r="LN9" s="156"/>
      <c r="LO9" s="157"/>
      <c r="LP9" s="158"/>
      <c r="LQ9" s="110"/>
      <c r="LR9" s="111"/>
      <c r="LS9" s="81"/>
      <c r="LT9" s="82"/>
      <c r="LU9" s="83"/>
      <c r="LV9" s="110"/>
      <c r="LW9" s="111"/>
      <c r="LX9" s="81"/>
      <c r="LY9" s="82"/>
      <c r="LZ9" s="83"/>
      <c r="MA9" s="110"/>
      <c r="MB9" s="111"/>
      <c r="MC9" s="179"/>
      <c r="MD9" s="132"/>
      <c r="ME9" s="156"/>
      <c r="MF9" s="157"/>
      <c r="MG9" s="158"/>
      <c r="MH9" s="110"/>
      <c r="MI9" s="111"/>
      <c r="MJ9" s="81"/>
      <c r="MK9" s="82"/>
      <c r="ML9" s="83"/>
      <c r="MM9" s="110"/>
      <c r="MN9" s="111"/>
      <c r="MO9" s="81"/>
      <c r="MP9" s="82"/>
      <c r="MQ9" s="83"/>
      <c r="MR9" s="110"/>
      <c r="MS9" s="111"/>
      <c r="MT9" s="179"/>
      <c r="MU9" s="132"/>
      <c r="MV9" s="156"/>
      <c r="MW9" s="157"/>
      <c r="MX9" s="158"/>
      <c r="MY9" s="110"/>
      <c r="MZ9" s="111"/>
      <c r="NA9" s="81"/>
      <c r="NB9" s="82"/>
      <c r="NC9" s="83"/>
      <c r="ND9" s="110"/>
      <c r="NE9" s="111"/>
      <c r="NF9" s="81"/>
      <c r="NG9" s="82"/>
      <c r="NH9" s="83"/>
      <c r="NI9" s="110"/>
      <c r="NJ9" s="111"/>
      <c r="NK9" s="179"/>
      <c r="NL9" s="132"/>
      <c r="NM9" s="156"/>
      <c r="NN9" s="157"/>
      <c r="NO9" s="158"/>
      <c r="NP9" s="110"/>
      <c r="NQ9" s="111"/>
      <c r="NR9" s="81"/>
      <c r="NS9" s="82"/>
      <c r="NT9" s="83"/>
      <c r="NU9" s="110"/>
      <c r="NV9" s="111"/>
      <c r="NW9" s="81"/>
      <c r="NX9" s="82"/>
      <c r="NY9" s="83"/>
      <c r="NZ9" s="110"/>
      <c r="OA9" s="111"/>
      <c r="OB9" s="179"/>
      <c r="OC9" s="132"/>
      <c r="OD9" s="156"/>
      <c r="OE9" s="157"/>
      <c r="OF9" s="158"/>
      <c r="OG9" s="110"/>
      <c r="OH9" s="111"/>
      <c r="OI9" s="81"/>
      <c r="OJ9" s="82"/>
      <c r="OK9" s="83"/>
      <c r="OL9" s="110"/>
      <c r="OM9" s="111"/>
      <c r="ON9" s="81"/>
      <c r="OO9" s="82"/>
      <c r="OP9" s="83"/>
      <c r="OQ9" s="110"/>
      <c r="OR9" s="111"/>
      <c r="OS9" s="179"/>
      <c r="OT9" s="132"/>
      <c r="OU9" s="156"/>
      <c r="OV9" s="157"/>
      <c r="OW9" s="158"/>
      <c r="OX9" s="110"/>
      <c r="OY9" s="111"/>
      <c r="OZ9" s="81"/>
      <c r="PA9" s="82"/>
      <c r="PB9" s="83"/>
      <c r="PC9" s="110"/>
      <c r="PD9" s="111"/>
      <c r="PE9" s="81"/>
      <c r="PF9" s="82"/>
      <c r="PG9" s="83"/>
      <c r="PH9" s="110"/>
      <c r="PI9" s="111"/>
      <c r="PJ9" s="179"/>
      <c r="PK9" s="132"/>
      <c r="PL9" s="156"/>
      <c r="PM9" s="157"/>
      <c r="PN9" s="158"/>
      <c r="PO9" s="110"/>
      <c r="PP9" s="111"/>
      <c r="PQ9" s="81"/>
      <c r="PR9" s="82"/>
      <c r="PS9" s="83"/>
      <c r="PT9" s="110"/>
      <c r="PU9" s="111"/>
      <c r="PV9" s="81"/>
      <c r="PW9" s="82"/>
      <c r="PX9" s="83"/>
      <c r="PY9" s="110"/>
      <c r="PZ9" s="111"/>
      <c r="QA9" s="179"/>
      <c r="QB9" s="132"/>
      <c r="QC9" s="156"/>
      <c r="QD9" s="157"/>
      <c r="QE9" s="158"/>
      <c r="QF9" s="110"/>
      <c r="QG9" s="111"/>
      <c r="QH9" s="81"/>
      <c r="QI9" s="82"/>
      <c r="QJ9" s="83"/>
      <c r="QK9" s="110"/>
      <c r="QL9" s="111"/>
      <c r="QM9" s="81"/>
      <c r="QN9" s="82"/>
      <c r="QO9" s="83"/>
      <c r="QP9" s="110"/>
      <c r="QQ9" s="111"/>
      <c r="QR9" s="179"/>
      <c r="QS9" s="132"/>
      <c r="QT9" s="156"/>
      <c r="QU9" s="157"/>
      <c r="QV9" s="158"/>
      <c r="QW9" s="110"/>
      <c r="QX9" s="111"/>
      <c r="QY9" s="81"/>
      <c r="QZ9" s="82"/>
      <c r="RA9" s="83"/>
      <c r="RB9" s="110"/>
      <c r="RC9" s="111"/>
      <c r="RD9" s="81"/>
      <c r="RE9" s="82"/>
      <c r="RF9" s="83"/>
      <c r="RG9" s="110"/>
      <c r="RH9" s="111"/>
      <c r="RI9" s="179"/>
      <c r="RJ9" s="132"/>
      <c r="RK9" s="156"/>
      <c r="RL9" s="157"/>
      <c r="RM9" s="158"/>
      <c r="RN9" s="110"/>
      <c r="RO9" s="111"/>
      <c r="RP9" s="81"/>
      <c r="RQ9" s="82"/>
      <c r="RR9" s="83"/>
      <c r="RS9" s="110"/>
      <c r="RT9" s="111"/>
      <c r="RU9" s="81"/>
      <c r="RV9" s="82"/>
      <c r="RW9" s="83"/>
      <c r="RX9" s="110"/>
      <c r="RY9" s="111"/>
      <c r="RZ9" s="179"/>
      <c r="SA9" s="132"/>
      <c r="SB9" s="156"/>
      <c r="SC9" s="157"/>
      <c r="SD9" s="158"/>
      <c r="SE9" s="110"/>
      <c r="SF9" s="111"/>
      <c r="SG9" s="81"/>
      <c r="SH9" s="82"/>
      <c r="SI9" s="83"/>
      <c r="SJ9" s="110"/>
      <c r="SK9" s="111"/>
      <c r="SL9" s="81"/>
      <c r="SM9" s="82"/>
      <c r="SN9" s="83"/>
      <c r="SO9" s="110"/>
      <c r="SP9" s="111"/>
      <c r="SQ9" s="179"/>
      <c r="SR9" s="132"/>
    </row>
    <row r="10" spans="1:512" s="72" customFormat="1" ht="18" customHeight="1" x14ac:dyDescent="0.25">
      <c r="A10" s="250" t="s">
        <v>47</v>
      </c>
      <c r="B10" s="251"/>
      <c r="C10" s="215" t="s">
        <v>25</v>
      </c>
      <c r="D10" s="216"/>
      <c r="E10" s="217"/>
      <c r="F10" s="206"/>
      <c r="G10" s="207"/>
      <c r="H10" s="218"/>
      <c r="I10" s="219"/>
      <c r="J10" s="220"/>
      <c r="K10" s="206"/>
      <c r="L10" s="207"/>
      <c r="M10" s="218"/>
      <c r="N10" s="219"/>
      <c r="O10" s="220"/>
      <c r="P10" s="206"/>
      <c r="Q10" s="207"/>
      <c r="R10" s="208"/>
      <c r="S10" s="209"/>
      <c r="T10" s="215" t="s">
        <v>25</v>
      </c>
      <c r="U10" s="216"/>
      <c r="V10" s="217"/>
      <c r="W10" s="206"/>
      <c r="X10" s="207"/>
      <c r="Y10" s="218"/>
      <c r="Z10" s="219"/>
      <c r="AA10" s="220"/>
      <c r="AB10" s="206"/>
      <c r="AC10" s="207"/>
      <c r="AD10" s="218"/>
      <c r="AE10" s="219"/>
      <c r="AF10" s="220"/>
      <c r="AG10" s="206"/>
      <c r="AH10" s="207"/>
      <c r="AI10" s="208"/>
      <c r="AJ10" s="209"/>
      <c r="AK10" s="215" t="s">
        <v>25</v>
      </c>
      <c r="AL10" s="216"/>
      <c r="AM10" s="217"/>
      <c r="AN10" s="206"/>
      <c r="AO10" s="207"/>
      <c r="AP10" s="218"/>
      <c r="AQ10" s="219"/>
      <c r="AR10" s="220"/>
      <c r="AS10" s="206"/>
      <c r="AT10" s="207"/>
      <c r="AU10" s="218"/>
      <c r="AV10" s="219"/>
      <c r="AW10" s="220"/>
      <c r="AX10" s="206"/>
      <c r="AY10" s="207"/>
      <c r="AZ10" s="208"/>
      <c r="BA10" s="209"/>
      <c r="BB10" s="215" t="s">
        <v>24</v>
      </c>
      <c r="BC10" s="216"/>
      <c r="BD10" s="217"/>
      <c r="BE10" s="206"/>
      <c r="BF10" s="207"/>
      <c r="BG10" s="218"/>
      <c r="BH10" s="219"/>
      <c r="BI10" s="220"/>
      <c r="BJ10" s="206"/>
      <c r="BK10" s="207"/>
      <c r="BL10" s="218"/>
      <c r="BM10" s="219"/>
      <c r="BN10" s="220"/>
      <c r="BO10" s="206"/>
      <c r="BP10" s="207"/>
      <c r="BQ10" s="208"/>
      <c r="BR10" s="209"/>
      <c r="BS10" s="215" t="s">
        <v>26</v>
      </c>
      <c r="BT10" s="216"/>
      <c r="BU10" s="217"/>
      <c r="BV10" s="206"/>
      <c r="BW10" s="207"/>
      <c r="BX10" s="218"/>
      <c r="BY10" s="219"/>
      <c r="BZ10" s="220"/>
      <c r="CA10" s="206"/>
      <c r="CB10" s="207"/>
      <c r="CC10" s="218"/>
      <c r="CD10" s="219"/>
      <c r="CE10" s="220"/>
      <c r="CF10" s="206"/>
      <c r="CG10" s="207"/>
      <c r="CH10" s="208"/>
      <c r="CI10" s="209"/>
      <c r="CJ10" s="215" t="s">
        <v>27</v>
      </c>
      <c r="CK10" s="216"/>
      <c r="CL10" s="217"/>
      <c r="CM10" s="206"/>
      <c r="CN10" s="207"/>
      <c r="CO10" s="218"/>
      <c r="CP10" s="219"/>
      <c r="CQ10" s="220"/>
      <c r="CR10" s="206"/>
      <c r="CS10" s="207"/>
      <c r="CT10" s="218"/>
      <c r="CU10" s="219"/>
      <c r="CV10" s="220"/>
      <c r="CW10" s="206"/>
      <c r="CX10" s="207"/>
      <c r="CY10" s="208"/>
      <c r="CZ10" s="209"/>
      <c r="DA10" s="215"/>
      <c r="DB10" s="216"/>
      <c r="DC10" s="217"/>
      <c r="DD10" s="206"/>
      <c r="DE10" s="207"/>
      <c r="DF10" s="218"/>
      <c r="DG10" s="219"/>
      <c r="DH10" s="220"/>
      <c r="DI10" s="206"/>
      <c r="DJ10" s="207"/>
      <c r="DK10" s="218"/>
      <c r="DL10" s="219"/>
      <c r="DM10" s="220"/>
      <c r="DN10" s="206"/>
      <c r="DO10" s="207"/>
      <c r="DP10" s="208"/>
      <c r="DQ10" s="209"/>
      <c r="DR10" s="215" t="s">
        <v>24</v>
      </c>
      <c r="DS10" s="216"/>
      <c r="DT10" s="217"/>
      <c r="DU10" s="206"/>
      <c r="DV10" s="207"/>
      <c r="DW10" s="218"/>
      <c r="DX10" s="219"/>
      <c r="DY10" s="220"/>
      <c r="DZ10" s="206"/>
      <c r="EA10" s="207"/>
      <c r="EB10" s="218"/>
      <c r="EC10" s="219"/>
      <c r="ED10" s="220"/>
      <c r="EE10" s="206"/>
      <c r="EF10" s="207"/>
      <c r="EG10" s="208"/>
      <c r="EH10" s="209"/>
      <c r="EI10" s="215" t="s">
        <v>25</v>
      </c>
      <c r="EJ10" s="216"/>
      <c r="EK10" s="217"/>
      <c r="EL10" s="206"/>
      <c r="EM10" s="207"/>
      <c r="EN10" s="218"/>
      <c r="EO10" s="219"/>
      <c r="EP10" s="220"/>
      <c r="EQ10" s="206"/>
      <c r="ER10" s="207"/>
      <c r="ES10" s="218"/>
      <c r="ET10" s="219"/>
      <c r="EU10" s="220"/>
      <c r="EV10" s="206"/>
      <c r="EW10" s="207"/>
      <c r="EX10" s="208"/>
      <c r="EY10" s="209"/>
      <c r="EZ10" s="215" t="s">
        <v>25</v>
      </c>
      <c r="FA10" s="216"/>
      <c r="FB10" s="217"/>
      <c r="FC10" s="206"/>
      <c r="FD10" s="207"/>
      <c r="FE10" s="218"/>
      <c r="FF10" s="219"/>
      <c r="FG10" s="220"/>
      <c r="FH10" s="206"/>
      <c r="FI10" s="207"/>
      <c r="FJ10" s="218"/>
      <c r="FK10" s="219"/>
      <c r="FL10" s="220"/>
      <c r="FM10" s="206"/>
      <c r="FN10" s="207"/>
      <c r="FO10" s="208"/>
      <c r="FP10" s="209"/>
      <c r="FQ10" s="215" t="s">
        <v>25</v>
      </c>
      <c r="FR10" s="216"/>
      <c r="FS10" s="217"/>
      <c r="FT10" s="206"/>
      <c r="FU10" s="207"/>
      <c r="FV10" s="218"/>
      <c r="FW10" s="219"/>
      <c r="FX10" s="220"/>
      <c r="FY10" s="206"/>
      <c r="FZ10" s="207"/>
      <c r="GA10" s="218"/>
      <c r="GB10" s="219"/>
      <c r="GC10" s="220"/>
      <c r="GD10" s="206"/>
      <c r="GE10" s="207"/>
      <c r="GF10" s="208"/>
      <c r="GG10" s="209"/>
      <c r="GH10" s="215" t="s">
        <v>25</v>
      </c>
      <c r="GI10" s="216"/>
      <c r="GJ10" s="217"/>
      <c r="GK10" s="206"/>
      <c r="GL10" s="207"/>
      <c r="GM10" s="218"/>
      <c r="GN10" s="219"/>
      <c r="GO10" s="220"/>
      <c r="GP10" s="206"/>
      <c r="GQ10" s="207"/>
      <c r="GR10" s="218"/>
      <c r="GS10" s="219"/>
      <c r="GT10" s="220"/>
      <c r="GU10" s="206"/>
      <c r="GV10" s="207"/>
      <c r="GW10" s="208"/>
      <c r="GX10" s="209"/>
      <c r="GY10" s="215" t="s">
        <v>25</v>
      </c>
      <c r="GZ10" s="216"/>
      <c r="HA10" s="217"/>
      <c r="HB10" s="206"/>
      <c r="HC10" s="207"/>
      <c r="HD10" s="218"/>
      <c r="HE10" s="219"/>
      <c r="HF10" s="220"/>
      <c r="HG10" s="206"/>
      <c r="HH10" s="207"/>
      <c r="HI10" s="218"/>
      <c r="HJ10" s="219"/>
      <c r="HK10" s="220"/>
      <c r="HL10" s="206"/>
      <c r="HM10" s="207"/>
      <c r="HN10" s="208"/>
      <c r="HO10" s="209"/>
      <c r="HP10" s="215" t="s">
        <v>25</v>
      </c>
      <c r="HQ10" s="216"/>
      <c r="HR10" s="217"/>
      <c r="HS10" s="206"/>
      <c r="HT10" s="207"/>
      <c r="HU10" s="218"/>
      <c r="HV10" s="219"/>
      <c r="HW10" s="220"/>
      <c r="HX10" s="206"/>
      <c r="HY10" s="207"/>
      <c r="HZ10" s="218"/>
      <c r="IA10" s="219"/>
      <c r="IB10" s="220"/>
      <c r="IC10" s="206"/>
      <c r="ID10" s="207"/>
      <c r="IE10" s="208"/>
      <c r="IF10" s="209"/>
      <c r="IG10" s="215" t="s">
        <v>25</v>
      </c>
      <c r="IH10" s="216"/>
      <c r="II10" s="217"/>
      <c r="IJ10" s="206"/>
      <c r="IK10" s="207"/>
      <c r="IL10" s="218"/>
      <c r="IM10" s="219"/>
      <c r="IN10" s="220"/>
      <c r="IO10" s="206"/>
      <c r="IP10" s="207"/>
      <c r="IQ10" s="218"/>
      <c r="IR10" s="219"/>
      <c r="IS10" s="220"/>
      <c r="IT10" s="206"/>
      <c r="IU10" s="207"/>
      <c r="IV10" s="208"/>
      <c r="IW10" s="209"/>
      <c r="IX10" s="215" t="s">
        <v>25</v>
      </c>
      <c r="IY10" s="216"/>
      <c r="IZ10" s="217"/>
      <c r="JA10" s="206"/>
      <c r="JB10" s="207"/>
      <c r="JC10" s="218"/>
      <c r="JD10" s="219"/>
      <c r="JE10" s="220"/>
      <c r="JF10" s="206"/>
      <c r="JG10" s="207"/>
      <c r="JH10" s="218"/>
      <c r="JI10" s="219"/>
      <c r="JJ10" s="220"/>
      <c r="JK10" s="206"/>
      <c r="JL10" s="207"/>
      <c r="JM10" s="208"/>
      <c r="JN10" s="209"/>
      <c r="JO10" s="215" t="s">
        <v>26</v>
      </c>
      <c r="JP10" s="216"/>
      <c r="JQ10" s="217"/>
      <c r="JR10" s="206"/>
      <c r="JS10" s="207"/>
      <c r="JT10" s="218"/>
      <c r="JU10" s="219"/>
      <c r="JV10" s="220"/>
      <c r="JW10" s="206"/>
      <c r="JX10" s="207"/>
      <c r="JY10" s="218"/>
      <c r="JZ10" s="219"/>
      <c r="KA10" s="220"/>
      <c r="KB10" s="206"/>
      <c r="KC10" s="207"/>
      <c r="KD10" s="208"/>
      <c r="KE10" s="209"/>
      <c r="KF10" s="215" t="s">
        <v>25</v>
      </c>
      <c r="KG10" s="216"/>
      <c r="KH10" s="217"/>
      <c r="KI10" s="206"/>
      <c r="KJ10" s="207"/>
      <c r="KK10" s="218"/>
      <c r="KL10" s="219"/>
      <c r="KM10" s="220"/>
      <c r="KN10" s="206"/>
      <c r="KO10" s="207"/>
      <c r="KP10" s="218"/>
      <c r="KQ10" s="219"/>
      <c r="KR10" s="220"/>
      <c r="KS10" s="206"/>
      <c r="KT10" s="207"/>
      <c r="KU10" s="208"/>
      <c r="KV10" s="209"/>
      <c r="KW10" s="215" t="s">
        <v>24</v>
      </c>
      <c r="KX10" s="216"/>
      <c r="KY10" s="217"/>
      <c r="KZ10" s="206"/>
      <c r="LA10" s="207"/>
      <c r="LB10" s="218"/>
      <c r="LC10" s="219"/>
      <c r="LD10" s="220"/>
      <c r="LE10" s="206"/>
      <c r="LF10" s="207"/>
      <c r="LG10" s="218"/>
      <c r="LH10" s="219"/>
      <c r="LI10" s="220"/>
      <c r="LJ10" s="206"/>
      <c r="LK10" s="207"/>
      <c r="LL10" s="208"/>
      <c r="LM10" s="209"/>
      <c r="LN10" s="215" t="s">
        <v>25</v>
      </c>
      <c r="LO10" s="216"/>
      <c r="LP10" s="217"/>
      <c r="LQ10" s="206"/>
      <c r="LR10" s="207"/>
      <c r="LS10" s="218"/>
      <c r="LT10" s="219"/>
      <c r="LU10" s="220"/>
      <c r="LV10" s="206"/>
      <c r="LW10" s="207"/>
      <c r="LX10" s="218"/>
      <c r="LY10" s="219"/>
      <c r="LZ10" s="220"/>
      <c r="MA10" s="206"/>
      <c r="MB10" s="207"/>
      <c r="MC10" s="208"/>
      <c r="MD10" s="209"/>
      <c r="ME10" s="215" t="s">
        <v>24</v>
      </c>
      <c r="MF10" s="216"/>
      <c r="MG10" s="217"/>
      <c r="MH10" s="206"/>
      <c r="MI10" s="207"/>
      <c r="MJ10" s="218"/>
      <c r="MK10" s="219"/>
      <c r="ML10" s="220"/>
      <c r="MM10" s="206"/>
      <c r="MN10" s="207"/>
      <c r="MO10" s="218"/>
      <c r="MP10" s="219"/>
      <c r="MQ10" s="220"/>
      <c r="MR10" s="206"/>
      <c r="MS10" s="207"/>
      <c r="MT10" s="208"/>
      <c r="MU10" s="209"/>
      <c r="MV10" s="215" t="s">
        <v>26</v>
      </c>
      <c r="MW10" s="216"/>
      <c r="MX10" s="217"/>
      <c r="MY10" s="206"/>
      <c r="MZ10" s="207"/>
      <c r="NA10" s="218"/>
      <c r="NB10" s="219"/>
      <c r="NC10" s="220"/>
      <c r="ND10" s="206"/>
      <c r="NE10" s="207"/>
      <c r="NF10" s="218"/>
      <c r="NG10" s="219"/>
      <c r="NH10" s="220"/>
      <c r="NI10" s="206"/>
      <c r="NJ10" s="207"/>
      <c r="NK10" s="208"/>
      <c r="NL10" s="209"/>
      <c r="NM10" s="215" t="s">
        <v>25</v>
      </c>
      <c r="NN10" s="216"/>
      <c r="NO10" s="217"/>
      <c r="NP10" s="206"/>
      <c r="NQ10" s="207"/>
      <c r="NR10" s="218"/>
      <c r="NS10" s="219"/>
      <c r="NT10" s="220"/>
      <c r="NU10" s="206"/>
      <c r="NV10" s="207"/>
      <c r="NW10" s="218"/>
      <c r="NX10" s="219"/>
      <c r="NY10" s="220"/>
      <c r="NZ10" s="206"/>
      <c r="OA10" s="207"/>
      <c r="OB10" s="208"/>
      <c r="OC10" s="209"/>
      <c r="OD10" s="215" t="s">
        <v>27</v>
      </c>
      <c r="OE10" s="216"/>
      <c r="OF10" s="217"/>
      <c r="OG10" s="206"/>
      <c r="OH10" s="207"/>
      <c r="OI10" s="218"/>
      <c r="OJ10" s="219"/>
      <c r="OK10" s="220"/>
      <c r="OL10" s="206"/>
      <c r="OM10" s="207"/>
      <c r="ON10" s="218"/>
      <c r="OO10" s="219"/>
      <c r="OP10" s="220"/>
      <c r="OQ10" s="206"/>
      <c r="OR10" s="207"/>
      <c r="OS10" s="208"/>
      <c r="OT10" s="209"/>
      <c r="OU10" s="215" t="s">
        <v>27</v>
      </c>
      <c r="OV10" s="216"/>
      <c r="OW10" s="217"/>
      <c r="OX10" s="206"/>
      <c r="OY10" s="207"/>
      <c r="OZ10" s="218"/>
      <c r="PA10" s="219"/>
      <c r="PB10" s="220"/>
      <c r="PC10" s="206"/>
      <c r="PD10" s="207"/>
      <c r="PE10" s="218"/>
      <c r="PF10" s="219"/>
      <c r="PG10" s="220"/>
      <c r="PH10" s="206"/>
      <c r="PI10" s="207"/>
      <c r="PJ10" s="208"/>
      <c r="PK10" s="209"/>
      <c r="PL10" s="215" t="s">
        <v>26</v>
      </c>
      <c r="PM10" s="216"/>
      <c r="PN10" s="217"/>
      <c r="PO10" s="206"/>
      <c r="PP10" s="207"/>
      <c r="PQ10" s="218"/>
      <c r="PR10" s="219"/>
      <c r="PS10" s="220"/>
      <c r="PT10" s="206"/>
      <c r="PU10" s="207"/>
      <c r="PV10" s="218"/>
      <c r="PW10" s="219"/>
      <c r="PX10" s="220"/>
      <c r="PY10" s="206"/>
      <c r="PZ10" s="207"/>
      <c r="QA10" s="208"/>
      <c r="QB10" s="209"/>
      <c r="QC10" s="215" t="s">
        <v>26</v>
      </c>
      <c r="QD10" s="216"/>
      <c r="QE10" s="217"/>
      <c r="QF10" s="206"/>
      <c r="QG10" s="207"/>
      <c r="QH10" s="218"/>
      <c r="QI10" s="219"/>
      <c r="QJ10" s="220"/>
      <c r="QK10" s="206"/>
      <c r="QL10" s="207"/>
      <c r="QM10" s="218"/>
      <c r="QN10" s="219"/>
      <c r="QO10" s="220"/>
      <c r="QP10" s="206"/>
      <c r="QQ10" s="207"/>
      <c r="QR10" s="208"/>
      <c r="QS10" s="209"/>
      <c r="QT10" s="215" t="s">
        <v>25</v>
      </c>
      <c r="QU10" s="216"/>
      <c r="QV10" s="217"/>
      <c r="QW10" s="206"/>
      <c r="QX10" s="207"/>
      <c r="QY10" s="218"/>
      <c r="QZ10" s="219"/>
      <c r="RA10" s="220"/>
      <c r="RB10" s="206"/>
      <c r="RC10" s="207"/>
      <c r="RD10" s="218"/>
      <c r="RE10" s="219"/>
      <c r="RF10" s="220"/>
      <c r="RG10" s="206"/>
      <c r="RH10" s="207"/>
      <c r="RI10" s="208"/>
      <c r="RJ10" s="209"/>
      <c r="RK10" s="215"/>
      <c r="RL10" s="216"/>
      <c r="RM10" s="217"/>
      <c r="RN10" s="206"/>
      <c r="RO10" s="207"/>
      <c r="RP10" s="218"/>
      <c r="RQ10" s="219"/>
      <c r="RR10" s="220"/>
      <c r="RS10" s="206"/>
      <c r="RT10" s="207"/>
      <c r="RU10" s="218"/>
      <c r="RV10" s="219"/>
      <c r="RW10" s="220"/>
      <c r="RX10" s="206"/>
      <c r="RY10" s="207"/>
      <c r="RZ10" s="208"/>
      <c r="SA10" s="209"/>
      <c r="SB10" s="215"/>
      <c r="SC10" s="216"/>
      <c r="SD10" s="217"/>
      <c r="SE10" s="206"/>
      <c r="SF10" s="207"/>
      <c r="SG10" s="218"/>
      <c r="SH10" s="219"/>
      <c r="SI10" s="220"/>
      <c r="SJ10" s="206"/>
      <c r="SK10" s="207"/>
      <c r="SL10" s="218"/>
      <c r="SM10" s="219"/>
      <c r="SN10" s="220"/>
      <c r="SO10" s="206"/>
      <c r="SP10" s="207"/>
      <c r="SQ10" s="208"/>
      <c r="SR10" s="209"/>
    </row>
    <row r="11" spans="1:512" s="72" customFormat="1" ht="18" customHeight="1" thickBot="1" x14ac:dyDescent="0.3">
      <c r="A11" s="248" t="s">
        <v>48</v>
      </c>
      <c r="B11" s="249"/>
      <c r="C11" s="159"/>
      <c r="D11" s="160"/>
      <c r="E11" s="161"/>
      <c r="F11" s="112" t="str">
        <f>IFERROR((((COUNTIF('Elève (6ème3)'!C11:E11,"A"))*4)+((COUNTIF('Elève (6ème3)'!C11:E11,"B"))*3)+((COUNTIF('Elève (6ème3)'!C11:E11,"C"))*2)+((COUNTIF('Elève (6ème3)'!C11:E11,"D"))*1))/(COUNTA(C11:E11)),"")</f>
        <v/>
      </c>
      <c r="G11" s="113" t="str">
        <f t="shared" si="0"/>
        <v/>
      </c>
      <c r="H11" s="84"/>
      <c r="I11" s="85"/>
      <c r="J11" s="86"/>
      <c r="K11" s="112" t="str">
        <f>IFERROR((((COUNTIF('Elève (6ème3)'!H11:J11,"A"))*4)+((COUNTIF('Elève (6ème3)'!H11:J11,"B"))*3)+((COUNTIF('Elève (6ème3)'!H11:J11,"C"))*2)+((COUNTIF('Elève (6ème3)'!H11:J11,"D"))*1))/(COUNTA(H11:J11)),"")</f>
        <v/>
      </c>
      <c r="L11" s="113" t="str">
        <f t="shared" si="1"/>
        <v/>
      </c>
      <c r="M11" s="84"/>
      <c r="N11" s="85"/>
      <c r="O11" s="86"/>
      <c r="P11" s="112" t="str">
        <f>IFERROR((((COUNTIF('Elève (6ème3)'!M11:O11,"A"))*4)+((COUNTIF('Elève (6ème3)'!M11:O11,"B"))*3)+((COUNTIF('Elève (6ème3)'!M11:O11,"C"))*2)+((COUNTIF('Elève (6ème3)'!M11:O11,"D"))*1))/(COUNTA(M11:O11)),"")</f>
        <v/>
      </c>
      <c r="Q11" s="113" t="str">
        <f t="shared" si="2"/>
        <v/>
      </c>
      <c r="R11" s="180" t="str">
        <f>IF(COUNT(F11,K11,P11)=0,"",SUM(F11,K11,P11)/COUNT(F11,K11,P11))</f>
        <v/>
      </c>
      <c r="S11" s="133" t="str">
        <f t="shared" si="3"/>
        <v/>
      </c>
      <c r="T11" s="159"/>
      <c r="U11" s="160"/>
      <c r="V11" s="161"/>
      <c r="W11" s="112" t="str">
        <f>IFERROR((((COUNTIF('Elève (6ème3)'!T11:V11,"A"))*4)+((COUNTIF('Elève (6ème3)'!T11:V11,"B"))*3)+((COUNTIF('Elève (6ème3)'!T11:V11,"C"))*2)+((COUNTIF('Elève (6ème3)'!T11:V11,"D"))*1))/(COUNTA(T11:V11)),"")</f>
        <v/>
      </c>
      <c r="X11" s="113" t="str">
        <f t="shared" si="4"/>
        <v/>
      </c>
      <c r="Y11" s="84"/>
      <c r="Z11" s="85"/>
      <c r="AA11" s="86"/>
      <c r="AB11" s="112" t="str">
        <f>IFERROR((((COUNTIF('Elève (6ème3)'!Y11:AA11,"A"))*4)+((COUNTIF('Elève (6ème3)'!Y11:AA11,"B"))*3)+((COUNTIF('Elève (6ème3)'!Y11:AA11,"C"))*2)+((COUNTIF('Elève (6ème3)'!Y11:AA11,"D"))*1))/(COUNTA(Y11:AA11)),"")</f>
        <v/>
      </c>
      <c r="AC11" s="113" t="str">
        <f t="shared" si="5"/>
        <v/>
      </c>
      <c r="AD11" s="84"/>
      <c r="AE11" s="85"/>
      <c r="AF11" s="86"/>
      <c r="AG11" s="112" t="str">
        <f>IFERROR((((COUNTIF('Elève (6ème3)'!AD11:AF11,"A"))*4)+((COUNTIF('Elève (6ème3)'!AD11:AF11,"B"))*3)+((COUNTIF('Elève (6ème3)'!AD11:AF11,"C"))*2)+((COUNTIF('Elève (6ème3)'!AD11:AF11,"D"))*1))/(COUNTA(AD11:AF11)),"")</f>
        <v/>
      </c>
      <c r="AH11" s="113" t="str">
        <f t="shared" si="6"/>
        <v/>
      </c>
      <c r="AI11" s="180" t="str">
        <f>IF(COUNT(W11,AB11,AG11)=0,"",SUM(W11,AB11,AG11)/COUNT(W11,AB11,AG11))</f>
        <v/>
      </c>
      <c r="AJ11" s="133" t="str">
        <f t="shared" si="7"/>
        <v/>
      </c>
      <c r="AK11" s="159"/>
      <c r="AL11" s="160"/>
      <c r="AM11" s="161"/>
      <c r="AN11" s="112" t="str">
        <f>IFERROR((((COUNTIF('Elève (6ème3)'!AK11:AM11,"A"))*4)+((COUNTIF('Elève (6ème3)'!AK11:AM11,"B"))*3)+((COUNTIF('Elève (6ème3)'!AK11:AM11,"C"))*2)+((COUNTIF('Elève (6ème3)'!AK11:AM11,"D"))*1))/(COUNTA(AK11:AM11)),"")</f>
        <v/>
      </c>
      <c r="AO11" s="113" t="str">
        <f t="shared" si="8"/>
        <v/>
      </c>
      <c r="AP11" s="84"/>
      <c r="AQ11" s="85"/>
      <c r="AR11" s="86"/>
      <c r="AS11" s="112" t="str">
        <f>IFERROR((((COUNTIF('Elève (6ème3)'!AP11:AR11,"A"))*4)+((COUNTIF('Elève (6ème3)'!AP11:AR11,"B"))*3)+((COUNTIF('Elève (6ème3)'!AP11:AR11,"C"))*2)+((COUNTIF('Elève (6ème3)'!AP11:AR11,"D"))*1))/(COUNTA(AP11:AR11)),"")</f>
        <v/>
      </c>
      <c r="AT11" s="113" t="str">
        <f t="shared" si="9"/>
        <v/>
      </c>
      <c r="AU11" s="84"/>
      <c r="AV11" s="85"/>
      <c r="AW11" s="86"/>
      <c r="AX11" s="112" t="str">
        <f>IFERROR((((COUNTIF('Elève (6ème3)'!AU11:AW11,"A"))*4)+((COUNTIF('Elève (6ème3)'!AU11:AW11,"B"))*3)+((COUNTIF('Elève (6ème3)'!AU11:AW11,"C"))*2)+((COUNTIF('Elève (6ème3)'!AU11:AW11,"D"))*1))/(COUNTA(AU11:AW11)),"")</f>
        <v/>
      </c>
      <c r="AY11" s="113" t="str">
        <f t="shared" si="10"/>
        <v/>
      </c>
      <c r="AZ11" s="180" t="str">
        <f>IF(COUNT(AN11,AS11,AX11)=0,"",SUM(AN11,AS11,AX11)/COUNT(AN11,AS11,AX11))</f>
        <v/>
      </c>
      <c r="BA11" s="133" t="str">
        <f t="shared" si="11"/>
        <v/>
      </c>
      <c r="BB11" s="159"/>
      <c r="BC11" s="160"/>
      <c r="BD11" s="161"/>
      <c r="BE11" s="112" t="str">
        <f>IFERROR((((COUNTIF('Elève (6ème3)'!BB11:BD11,"A"))*4)+((COUNTIF('Elève (6ème3)'!BB11:BD11,"B"))*3)+((COUNTIF('Elève (6ème3)'!BB11:BD11,"C"))*2)+((COUNTIF('Elève (6ème3)'!BB11:BD11,"D"))*1))/(COUNTA(BB11:BD11)),"")</f>
        <v/>
      </c>
      <c r="BF11" s="113" t="str">
        <f t="shared" si="12"/>
        <v/>
      </c>
      <c r="BG11" s="84"/>
      <c r="BH11" s="85"/>
      <c r="BI11" s="86"/>
      <c r="BJ11" s="112" t="str">
        <f>IFERROR((((COUNTIF('Elève (6ème3)'!BG11:BI11,"A"))*4)+((COUNTIF('Elève (6ème3)'!BG11:BI11,"B"))*3)+((COUNTIF('Elève (6ème3)'!BG11:BI11,"C"))*2)+((COUNTIF('Elève (6ème3)'!BG11:BI11,"D"))*1))/(COUNTA(BG11:BI11)),"")</f>
        <v/>
      </c>
      <c r="BK11" s="113" t="str">
        <f t="shared" si="13"/>
        <v/>
      </c>
      <c r="BL11" s="84"/>
      <c r="BM11" s="85"/>
      <c r="BN11" s="86"/>
      <c r="BO11" s="112" t="str">
        <f>IFERROR((((COUNTIF('Elève (6ème3)'!BL11:BN11,"A"))*4)+((COUNTIF('Elève (6ème3)'!BL11:BN11,"B"))*3)+((COUNTIF('Elève (6ème3)'!BL11:BN11,"C"))*2)+((COUNTIF('Elève (6ème3)'!BL11:BN11,"D"))*1))/(COUNTA(BL11:BN11)),"")</f>
        <v/>
      </c>
      <c r="BP11" s="113" t="str">
        <f t="shared" si="14"/>
        <v/>
      </c>
      <c r="BQ11" s="180" t="str">
        <f>IF(COUNT(BE11,BJ11,BO11)=0,"",SUM(BE11,BJ11,BO11)/COUNT(BE11,BJ11,BO11))</f>
        <v/>
      </c>
      <c r="BR11" s="133" t="str">
        <f t="shared" si="15"/>
        <v/>
      </c>
      <c r="BS11" s="159"/>
      <c r="BT11" s="160"/>
      <c r="BU11" s="161"/>
      <c r="BV11" s="112" t="str">
        <f>IFERROR((((COUNTIF('Elève (6ème3)'!BS11:BU11,"A"))*4)+((COUNTIF('Elève (6ème3)'!BS11:BU11,"B"))*3)+((COUNTIF('Elève (6ème3)'!BS11:BU11,"C"))*2)+((COUNTIF('Elève (6ème3)'!BS11:BU11,"D"))*1))/(COUNTA(BS11:BU11)),"")</f>
        <v/>
      </c>
      <c r="BW11" s="113" t="str">
        <f t="shared" si="16"/>
        <v/>
      </c>
      <c r="BX11" s="84"/>
      <c r="BY11" s="85"/>
      <c r="BZ11" s="86"/>
      <c r="CA11" s="112" t="str">
        <f>IFERROR((((COUNTIF('Elève (6ème3)'!BX11:BZ11,"A"))*4)+((COUNTIF('Elève (6ème3)'!BX11:BZ11,"B"))*3)+((COUNTIF('Elève (6ème3)'!BX11:BZ11,"C"))*2)+((COUNTIF('Elève (6ème3)'!BX11:BZ11,"D"))*1))/(COUNTA(BX11:BZ11)),"")</f>
        <v/>
      </c>
      <c r="CB11" s="113" t="str">
        <f t="shared" si="17"/>
        <v/>
      </c>
      <c r="CC11" s="84"/>
      <c r="CD11" s="85"/>
      <c r="CE11" s="86"/>
      <c r="CF11" s="112" t="str">
        <f>IFERROR((((COUNTIF('Elève (6ème3)'!CC11:CE11,"A"))*4)+((COUNTIF('Elève (6ème3)'!CC11:CE11,"B"))*3)+((COUNTIF('Elève (6ème3)'!CC11:CE11,"C"))*2)+((COUNTIF('Elève (6ème3)'!CC11:CE11,"D"))*1))/(COUNTA(CC11:CE11)),"")</f>
        <v/>
      </c>
      <c r="CG11" s="113" t="str">
        <f t="shared" si="18"/>
        <v/>
      </c>
      <c r="CH11" s="180" t="str">
        <f>IF(COUNT(BV11,CA11,CF11)=0,"",SUM(BV11,CA11,CF11)/COUNT(BV11,CA11,CF11))</f>
        <v/>
      </c>
      <c r="CI11" s="133" t="str">
        <f t="shared" si="19"/>
        <v/>
      </c>
      <c r="CJ11" s="159"/>
      <c r="CK11" s="160"/>
      <c r="CL11" s="161"/>
      <c r="CM11" s="112" t="str">
        <f>IFERROR((((COUNTIF('Elève (6ème3)'!CJ11:CL11,"A"))*4)+((COUNTIF('Elève (6ème3)'!CJ11:CL11,"B"))*3)+((COUNTIF('Elève (6ème3)'!CJ11:CL11,"C"))*2)+((COUNTIF('Elève (6ème3)'!CJ11:CL11,"D"))*1))/(COUNTA(CJ11:CL11)),"")</f>
        <v/>
      </c>
      <c r="CN11" s="113" t="str">
        <f t="shared" si="20"/>
        <v/>
      </c>
      <c r="CO11" s="84"/>
      <c r="CP11" s="85"/>
      <c r="CQ11" s="86"/>
      <c r="CR11" s="112" t="str">
        <f>IFERROR((((COUNTIF('Elève (6ème3)'!CO11:CQ11,"A"))*4)+((COUNTIF('Elève (6ème3)'!CO11:CQ11,"B"))*3)+((COUNTIF('Elève (6ème3)'!CO11:CQ11,"C"))*2)+((COUNTIF('Elève (6ème3)'!CO11:CQ11,"D"))*1))/(COUNTA(CO11:CQ11)),"")</f>
        <v/>
      </c>
      <c r="CS11" s="113" t="str">
        <f t="shared" si="21"/>
        <v/>
      </c>
      <c r="CT11" s="84"/>
      <c r="CU11" s="85"/>
      <c r="CV11" s="86"/>
      <c r="CW11" s="112" t="str">
        <f>IFERROR((((COUNTIF('Elève (6ème3)'!CT11:CV11,"A"))*4)+((COUNTIF('Elève (6ème3)'!CT11:CV11,"B"))*3)+((COUNTIF('Elève (6ème3)'!CT11:CV11,"C"))*2)+((COUNTIF('Elève (6ème3)'!CT11:CV11,"D"))*1))/(COUNTA(CT11:CV11)),"")</f>
        <v/>
      </c>
      <c r="CX11" s="113" t="str">
        <f t="shared" si="22"/>
        <v/>
      </c>
      <c r="CY11" s="180" t="str">
        <f>IF(COUNT(CM11,CR11,CW11)=0,"",SUM(CM11,CR11,CW11)/COUNT(CM11,CR11,CW11))</f>
        <v/>
      </c>
      <c r="CZ11" s="133" t="str">
        <f t="shared" si="23"/>
        <v/>
      </c>
      <c r="DA11" s="159"/>
      <c r="DB11" s="160"/>
      <c r="DC11" s="161"/>
      <c r="DD11" s="112" t="str">
        <f>IFERROR((((COUNTIF('Elève (6ème3)'!DA11:DC11,"A"))*4)+((COUNTIF('Elève (6ème3)'!DA11:DC11,"B"))*3)+((COUNTIF('Elève (6ème3)'!DA11:DC11,"C"))*2)+((COUNTIF('Elève (6ème3)'!DA11:DC11,"D"))*1))/(COUNTA(DA11:DC11)),"")</f>
        <v/>
      </c>
      <c r="DE11" s="113" t="str">
        <f t="shared" si="24"/>
        <v/>
      </c>
      <c r="DF11" s="84"/>
      <c r="DG11" s="85"/>
      <c r="DH11" s="86"/>
      <c r="DI11" s="112" t="str">
        <f>IFERROR((((COUNTIF('Elève (6ème3)'!DF11:DH11,"A"))*4)+((COUNTIF('Elève (6ème3)'!DF11:DH11,"B"))*3)+((COUNTIF('Elève (6ème3)'!DF11:DH11,"C"))*2)+((COUNTIF('Elève (6ème3)'!DF11:DH11,"D"))*1))/(COUNTA(DF11:DH11)),"")</f>
        <v/>
      </c>
      <c r="DJ11" s="113" t="str">
        <f t="shared" si="25"/>
        <v/>
      </c>
      <c r="DK11" s="84"/>
      <c r="DL11" s="85"/>
      <c r="DM11" s="86"/>
      <c r="DN11" s="112" t="str">
        <f>IFERROR((((COUNTIF('Elève (6ème3)'!DK11:DM11,"A"))*4)+((COUNTIF('Elève (6ème3)'!DK11:DM11,"B"))*3)+((COUNTIF('Elève (6ème3)'!DK11:DM11,"C"))*2)+((COUNTIF('Elève (6ème3)'!DK11:DM11,"D"))*1))/(COUNTA(DK11:DM11)),"")</f>
        <v/>
      </c>
      <c r="DO11" s="113" t="str">
        <f t="shared" si="26"/>
        <v/>
      </c>
      <c r="DP11" s="180" t="str">
        <f>IF(COUNT(DD11,DI11,DN11)=0,"",SUM(DD11,DI11,DN11)/COUNT(DD11,DI11,DN11))</f>
        <v/>
      </c>
      <c r="DQ11" s="133" t="str">
        <f t="shared" si="27"/>
        <v/>
      </c>
      <c r="DR11" s="159"/>
      <c r="DS11" s="160"/>
      <c r="DT11" s="161"/>
      <c r="DU11" s="112" t="str">
        <f>IFERROR((((COUNTIF('Elève (6ème3)'!DR11:DT11,"A"))*4)+((COUNTIF('Elève (6ème3)'!DR11:DT11,"B"))*3)+((COUNTIF('Elève (6ème3)'!DR11:DT11,"C"))*2)+((COUNTIF('Elève (6ème3)'!DR11:DT11,"D"))*1))/(COUNTA(DR11:DT11)),"")</f>
        <v/>
      </c>
      <c r="DV11" s="113" t="str">
        <f t="shared" si="28"/>
        <v/>
      </c>
      <c r="DW11" s="84"/>
      <c r="DX11" s="85"/>
      <c r="DY11" s="86"/>
      <c r="DZ11" s="112" t="str">
        <f>IFERROR((((COUNTIF('Elève (6ème3)'!DW11:DY11,"A"))*4)+((COUNTIF('Elève (6ème3)'!DW11:DY11,"B"))*3)+((COUNTIF('Elève (6ème3)'!DW11:DY11,"C"))*2)+((COUNTIF('Elève (6ème3)'!DW11:DY11,"D"))*1))/(COUNTA(DW11:DY11)),"")</f>
        <v/>
      </c>
      <c r="EA11" s="113" t="str">
        <f t="shared" si="29"/>
        <v/>
      </c>
      <c r="EB11" s="84"/>
      <c r="EC11" s="85"/>
      <c r="ED11" s="86"/>
      <c r="EE11" s="112" t="str">
        <f>IFERROR((((COUNTIF('Elève (6ème3)'!EB11:ED11,"A"))*4)+((COUNTIF('Elève (6ème3)'!EB11:ED11,"B"))*3)+((COUNTIF('Elève (6ème3)'!EB11:ED11,"C"))*2)+((COUNTIF('Elève (6ème3)'!EB11:ED11,"D"))*1))/(COUNTA(EB11:ED11)),"")</f>
        <v/>
      </c>
      <c r="EF11" s="113" t="str">
        <f t="shared" si="30"/>
        <v/>
      </c>
      <c r="EG11" s="180" t="str">
        <f>IF(COUNT(DU11,DZ11,EE11)=0,"",SUM(DU11,DZ11,EE11)/COUNT(DU11,DZ11,EE11))</f>
        <v/>
      </c>
      <c r="EH11" s="133" t="str">
        <f t="shared" si="31"/>
        <v/>
      </c>
      <c r="EI11" s="159"/>
      <c r="EJ11" s="160"/>
      <c r="EK11" s="161"/>
      <c r="EL11" s="112" t="str">
        <f>IFERROR((((COUNTIF('Elève (6ème3)'!EI11:EK11,"A"))*4)+((COUNTIF('Elève (6ème3)'!EI11:EK11,"B"))*3)+((COUNTIF('Elève (6ème3)'!EI11:EK11,"C"))*2)+((COUNTIF('Elève (6ème3)'!EI11:EK11,"D"))*1))/(COUNTA(EI11:EK11)),"")</f>
        <v/>
      </c>
      <c r="EM11" s="113" t="str">
        <f t="shared" si="32"/>
        <v/>
      </c>
      <c r="EN11" s="84"/>
      <c r="EO11" s="85"/>
      <c r="EP11" s="86"/>
      <c r="EQ11" s="112" t="str">
        <f>IFERROR((((COUNTIF('Elève (6ème3)'!EN11:EP11,"A"))*4)+((COUNTIF('Elève (6ème3)'!EN11:EP11,"B"))*3)+((COUNTIF('Elève (6ème3)'!EN11:EP11,"C"))*2)+((COUNTIF('Elève (6ème3)'!EN11:EP11,"D"))*1))/(COUNTA(EN11:EP11)),"")</f>
        <v/>
      </c>
      <c r="ER11" s="113" t="str">
        <f t="shared" si="33"/>
        <v/>
      </c>
      <c r="ES11" s="84"/>
      <c r="ET11" s="85"/>
      <c r="EU11" s="86"/>
      <c r="EV11" s="112" t="str">
        <f>IFERROR((((COUNTIF('Elève (6ème3)'!ES11:EU11,"A"))*4)+((COUNTIF('Elève (6ème3)'!ES11:EU11,"B"))*3)+((COUNTIF('Elève (6ème3)'!ES11:EU11,"C"))*2)+((COUNTIF('Elève (6ème3)'!ES11:EU11,"D"))*1))/(COUNTA(ES11:EU11)),"")</f>
        <v/>
      </c>
      <c r="EW11" s="113" t="str">
        <f t="shared" si="34"/>
        <v/>
      </c>
      <c r="EX11" s="180" t="str">
        <f>IF(COUNT(EL11,EQ11,EV11)=0,"",SUM(EL11,EQ11,EV11)/COUNT(EL11,EQ11,EV11))</f>
        <v/>
      </c>
      <c r="EY11" s="133" t="str">
        <f t="shared" si="35"/>
        <v/>
      </c>
      <c r="EZ11" s="159"/>
      <c r="FA11" s="160"/>
      <c r="FB11" s="161"/>
      <c r="FC11" s="112" t="str">
        <f>IFERROR((((COUNTIF('Elève (6ème3)'!EZ11:FB11,"A"))*4)+((COUNTIF('Elève (6ème3)'!EZ11:FB11,"B"))*3)+((COUNTIF('Elève (6ème3)'!EZ11:FB11,"C"))*2)+((COUNTIF('Elève (6ème3)'!EZ11:FB11,"D"))*1))/(COUNTA(EZ11:FB11)),"")</f>
        <v/>
      </c>
      <c r="FD11" s="113" t="str">
        <f t="shared" si="36"/>
        <v/>
      </c>
      <c r="FE11" s="84"/>
      <c r="FF11" s="85"/>
      <c r="FG11" s="86"/>
      <c r="FH11" s="112" t="str">
        <f>IFERROR((((COUNTIF('Elève (6ème3)'!FE11:FG11,"A"))*4)+((COUNTIF('Elève (6ème3)'!FE11:FG11,"B"))*3)+((COUNTIF('Elève (6ème3)'!FE11:FG11,"C"))*2)+((COUNTIF('Elève (6ème3)'!FE11:FG11,"D"))*1))/(COUNTA(FE11:FG11)),"")</f>
        <v/>
      </c>
      <c r="FI11" s="113" t="str">
        <f t="shared" si="37"/>
        <v/>
      </c>
      <c r="FJ11" s="84"/>
      <c r="FK11" s="85"/>
      <c r="FL11" s="86"/>
      <c r="FM11" s="112" t="str">
        <f>IFERROR((((COUNTIF('Elève (6ème3)'!FJ11:FL11,"A"))*4)+((COUNTIF('Elève (6ème3)'!FJ11:FL11,"B"))*3)+((COUNTIF('Elève (6ème3)'!FJ11:FL11,"C"))*2)+((COUNTIF('Elève (6ème3)'!FJ11:FL11,"D"))*1))/(COUNTA(FJ11:FL11)),"")</f>
        <v/>
      </c>
      <c r="FN11" s="113" t="str">
        <f t="shared" si="38"/>
        <v/>
      </c>
      <c r="FO11" s="180" t="str">
        <f>IF(COUNT(FC11,FH11,FM11)=0,"",SUM(FC11,FH11,FM11)/COUNT(FC11,FH11,FM11))</f>
        <v/>
      </c>
      <c r="FP11" s="133" t="str">
        <f t="shared" si="39"/>
        <v/>
      </c>
      <c r="FQ11" s="159"/>
      <c r="FR11" s="160"/>
      <c r="FS11" s="161"/>
      <c r="FT11" s="112" t="str">
        <f>IFERROR((((COUNTIF('Elève (6ème3)'!FQ11:FS11,"A"))*4)+((COUNTIF('Elève (6ème3)'!FQ11:FS11,"B"))*3)+((COUNTIF('Elève (6ème3)'!FQ11:FS11,"C"))*2)+((COUNTIF('Elève (6ème3)'!FQ11:FS11,"D"))*1))/(COUNTA(FQ11:FS11)),"")</f>
        <v/>
      </c>
      <c r="FU11" s="113" t="str">
        <f t="shared" si="40"/>
        <v/>
      </c>
      <c r="FV11" s="84"/>
      <c r="FW11" s="85"/>
      <c r="FX11" s="86"/>
      <c r="FY11" s="112" t="str">
        <f>IFERROR((((COUNTIF('Elève (6ème3)'!FV11:FX11,"A"))*4)+((COUNTIF('Elève (6ème3)'!FV11:FX11,"B"))*3)+((COUNTIF('Elève (6ème3)'!FV11:FX11,"C"))*2)+((COUNTIF('Elève (6ème3)'!FV11:FX11,"D"))*1))/(COUNTA(FV11:FX11)),"")</f>
        <v/>
      </c>
      <c r="FZ11" s="113" t="str">
        <f t="shared" si="41"/>
        <v/>
      </c>
      <c r="GA11" s="84"/>
      <c r="GB11" s="85"/>
      <c r="GC11" s="86"/>
      <c r="GD11" s="112" t="str">
        <f>IFERROR((((COUNTIF('Elève (6ème3)'!GA11:GC11,"A"))*4)+((COUNTIF('Elève (6ème3)'!GA11:GC11,"B"))*3)+((COUNTIF('Elève (6ème3)'!GA11:GC11,"C"))*2)+((COUNTIF('Elève (6ème3)'!GA11:GC11,"D"))*1))/(COUNTA(GA11:GC11)),"")</f>
        <v/>
      </c>
      <c r="GE11" s="113" t="str">
        <f t="shared" si="42"/>
        <v/>
      </c>
      <c r="GF11" s="180" t="str">
        <f>IF(COUNT(FT11,FY11,GD11)=0,"",SUM(FT11,FY11,GD11)/COUNT(FT11,FY11,GD11))</f>
        <v/>
      </c>
      <c r="GG11" s="133" t="str">
        <f t="shared" si="43"/>
        <v/>
      </c>
      <c r="GH11" s="159"/>
      <c r="GI11" s="160"/>
      <c r="GJ11" s="161"/>
      <c r="GK11" s="112" t="str">
        <f>IFERROR((((COUNTIF('Elève (6ème3)'!GH11:GJ11,"A"))*4)+((COUNTIF('Elève (6ème3)'!GH11:GJ11,"B"))*3)+((COUNTIF('Elève (6ème3)'!GH11:GJ11,"C"))*2)+((COUNTIF('Elève (6ème3)'!GH11:GJ11,"D"))*1))/(COUNTA(GH11:GJ11)),"")</f>
        <v/>
      </c>
      <c r="GL11" s="113" t="str">
        <f t="shared" si="44"/>
        <v/>
      </c>
      <c r="GM11" s="84"/>
      <c r="GN11" s="85"/>
      <c r="GO11" s="86"/>
      <c r="GP11" s="112" t="str">
        <f>IFERROR((((COUNTIF('Elève (6ème3)'!GM11:GO11,"A"))*4)+((COUNTIF('Elève (6ème3)'!GM11:GO11,"B"))*3)+((COUNTIF('Elève (6ème3)'!GM11:GO11,"C"))*2)+((COUNTIF('Elève (6ème3)'!GM11:GO11,"D"))*1))/(COUNTA(GM11:GO11)),"")</f>
        <v/>
      </c>
      <c r="GQ11" s="113" t="str">
        <f t="shared" si="45"/>
        <v/>
      </c>
      <c r="GR11" s="84"/>
      <c r="GS11" s="85"/>
      <c r="GT11" s="86"/>
      <c r="GU11" s="112" t="str">
        <f>IFERROR((((COUNTIF('Elève (6ème3)'!GR11:GT11,"A"))*4)+((COUNTIF('Elève (6ème3)'!GR11:GT11,"B"))*3)+((COUNTIF('Elève (6ème3)'!GR11:GT11,"C"))*2)+((COUNTIF('Elève (6ème3)'!GR11:GT11,"D"))*1))/(COUNTA(GR11:GT11)),"")</f>
        <v/>
      </c>
      <c r="GV11" s="113" t="str">
        <f t="shared" si="46"/>
        <v/>
      </c>
      <c r="GW11" s="180" t="str">
        <f>IF(COUNT(GK11,GP11,GU11)=0,"",SUM(GK11,GP11,GU11)/COUNT(GK11,GP11,GU11))</f>
        <v/>
      </c>
      <c r="GX11" s="133" t="str">
        <f t="shared" si="47"/>
        <v/>
      </c>
      <c r="GY11" s="159"/>
      <c r="GZ11" s="160"/>
      <c r="HA11" s="161"/>
      <c r="HB11" s="112" t="str">
        <f>IFERROR((((COUNTIF('Elève (6ème3)'!GY11:HA11,"A"))*4)+((COUNTIF('Elève (6ème3)'!GY11:HA11,"B"))*3)+((COUNTIF('Elève (6ème3)'!GY11:HA11,"C"))*2)+((COUNTIF('Elève (6ème3)'!GY11:HA11,"D"))*1))/(COUNTA(GY11:HA11)),"")</f>
        <v/>
      </c>
      <c r="HC11" s="113" t="str">
        <f t="shared" si="48"/>
        <v/>
      </c>
      <c r="HD11" s="84"/>
      <c r="HE11" s="85"/>
      <c r="HF11" s="86"/>
      <c r="HG11" s="112" t="str">
        <f>IFERROR((((COUNTIF('Elève (6ème3)'!HD11:HF11,"A"))*4)+((COUNTIF('Elève (6ème3)'!HD11:HF11,"B"))*3)+((COUNTIF('Elève (6ème3)'!HD11:HF11,"C"))*2)+((COUNTIF('Elève (6ème3)'!HD11:HF11,"D"))*1))/(COUNTA(HD11:HF11)),"")</f>
        <v/>
      </c>
      <c r="HH11" s="113" t="str">
        <f t="shared" si="49"/>
        <v/>
      </c>
      <c r="HI11" s="84"/>
      <c r="HJ11" s="85"/>
      <c r="HK11" s="86"/>
      <c r="HL11" s="112" t="str">
        <f>IFERROR((((COUNTIF('Elève (6ème3)'!HI11:HK11,"A"))*4)+((COUNTIF('Elève (6ème3)'!HI11:HK11,"B"))*3)+((COUNTIF('Elève (6ème3)'!HI11:HK11,"C"))*2)+((COUNTIF('Elève (6ème3)'!HI11:HK11,"D"))*1))/(COUNTA(HI11:HK11)),"")</f>
        <v/>
      </c>
      <c r="HM11" s="113" t="str">
        <f t="shared" si="50"/>
        <v/>
      </c>
      <c r="HN11" s="180" t="str">
        <f>IF(COUNT(HB11,HG11,HL11)=0,"",SUM(HB11,HG11,HL11)/COUNT(HB11,HG11,HL11))</f>
        <v/>
      </c>
      <c r="HO11" s="133" t="str">
        <f t="shared" si="51"/>
        <v/>
      </c>
      <c r="HP11" s="159"/>
      <c r="HQ11" s="160"/>
      <c r="HR11" s="161"/>
      <c r="HS11" s="112" t="str">
        <f>IFERROR((((COUNTIF('Elève (6ème3)'!HP11:HR11,"A"))*4)+((COUNTIF('Elève (6ème3)'!HP11:HR11,"B"))*3)+((COUNTIF('Elève (6ème3)'!HP11:HR11,"C"))*2)+((COUNTIF('Elève (6ème3)'!HP11:HR11,"D"))*1))/(COUNTA(HP11:HR11)),"")</f>
        <v/>
      </c>
      <c r="HT11" s="113" t="str">
        <f t="shared" si="52"/>
        <v/>
      </c>
      <c r="HU11" s="84"/>
      <c r="HV11" s="85"/>
      <c r="HW11" s="86"/>
      <c r="HX11" s="112" t="str">
        <f>IFERROR((((COUNTIF('Elève (6ème3)'!HU11:HW11,"A"))*4)+((COUNTIF('Elève (6ème3)'!HU11:HW11,"B"))*3)+((COUNTIF('Elève (6ème3)'!HU11:HW11,"C"))*2)+((COUNTIF('Elève (6ème3)'!HU11:HW11,"D"))*1))/(COUNTA(HU11:HW11)),"")</f>
        <v/>
      </c>
      <c r="HY11" s="113" t="str">
        <f t="shared" si="53"/>
        <v/>
      </c>
      <c r="HZ11" s="84"/>
      <c r="IA11" s="85"/>
      <c r="IB11" s="86"/>
      <c r="IC11" s="112" t="str">
        <f>IFERROR((((COUNTIF('Elève (6ème3)'!HZ11:IB11,"A"))*4)+((COUNTIF('Elève (6ème3)'!HZ11:IB11,"B"))*3)+((COUNTIF('Elève (6ème3)'!HZ11:IB11,"C"))*2)+((COUNTIF('Elève (6ème3)'!HZ11:IB11,"D"))*1))/(COUNTA(HZ11:IB11)),"")</f>
        <v/>
      </c>
      <c r="ID11" s="113" t="str">
        <f t="shared" si="54"/>
        <v/>
      </c>
      <c r="IE11" s="180" t="str">
        <f>IF(COUNT(HS11,HX11,IC11)=0,"",SUM(HS11,HX11,IC11)/COUNT(HS11,HX11,IC11))</f>
        <v/>
      </c>
      <c r="IF11" s="133" t="str">
        <f t="shared" si="55"/>
        <v/>
      </c>
      <c r="IG11" s="159"/>
      <c r="IH11" s="160"/>
      <c r="II11" s="161"/>
      <c r="IJ11" s="112" t="str">
        <f>IFERROR((((COUNTIF('Elève (6ème3)'!IG11:II11,"A"))*4)+((COUNTIF('Elève (6ème3)'!IG11:II11,"B"))*3)+((COUNTIF('Elève (6ème3)'!IG11:II11,"C"))*2)+((COUNTIF('Elève (6ème3)'!IG11:II11,"D"))*1))/(COUNTA(IG11:II11)),"")</f>
        <v/>
      </c>
      <c r="IK11" s="113" t="str">
        <f t="shared" si="56"/>
        <v/>
      </c>
      <c r="IL11" s="84"/>
      <c r="IM11" s="85"/>
      <c r="IN11" s="86"/>
      <c r="IO11" s="112" t="str">
        <f>IFERROR((((COUNTIF('Elève (6ème3)'!IL11:IN11,"A"))*4)+((COUNTIF('Elève (6ème3)'!IL11:IN11,"B"))*3)+((COUNTIF('Elève (6ème3)'!IL11:IN11,"C"))*2)+((COUNTIF('Elève (6ème3)'!IL11:IN11,"D"))*1))/(COUNTA(IL11:IN11)),"")</f>
        <v/>
      </c>
      <c r="IP11" s="113" t="str">
        <f t="shared" si="57"/>
        <v/>
      </c>
      <c r="IQ11" s="84"/>
      <c r="IR11" s="85"/>
      <c r="IS11" s="86"/>
      <c r="IT11" s="112" t="str">
        <f>IFERROR((((COUNTIF('Elève (6ème3)'!IQ11:IS11,"A"))*4)+((COUNTIF('Elève (6ème3)'!IQ11:IS11,"B"))*3)+((COUNTIF('Elève (6ème3)'!IQ11:IS11,"C"))*2)+((COUNTIF('Elève (6ème3)'!IQ11:IS11,"D"))*1))/(COUNTA(IQ11:IS11)),"")</f>
        <v/>
      </c>
      <c r="IU11" s="113" t="str">
        <f t="shared" si="58"/>
        <v/>
      </c>
      <c r="IV11" s="180" t="str">
        <f>IF(COUNT(IJ11,IO11,IT11)=0,"",SUM(IJ11,IO11,IT11)/COUNT(IJ11,IO11,IT11))</f>
        <v/>
      </c>
      <c r="IW11" s="133" t="str">
        <f t="shared" si="59"/>
        <v/>
      </c>
      <c r="IX11" s="159"/>
      <c r="IY11" s="160"/>
      <c r="IZ11" s="161"/>
      <c r="JA11" s="112" t="str">
        <f>IFERROR((((COUNTIF('Elève (6ème3)'!IX11:IZ11,"A"))*4)+((COUNTIF('Elève (6ème3)'!IX11:IZ11,"B"))*3)+((COUNTIF('Elève (6ème3)'!IX11:IZ11,"C"))*2)+((COUNTIF('Elève (6ème3)'!IX11:IZ11,"D"))*1))/(COUNTA(IX11:IZ11)),"")</f>
        <v/>
      </c>
      <c r="JB11" s="113" t="str">
        <f t="shared" si="60"/>
        <v/>
      </c>
      <c r="JC11" s="84"/>
      <c r="JD11" s="85"/>
      <c r="JE11" s="86"/>
      <c r="JF11" s="112" t="str">
        <f>IFERROR((((COUNTIF('Elève (6ème3)'!JC11:JE11,"A"))*4)+((COUNTIF('Elève (6ème3)'!JC11:JE11,"B"))*3)+((COUNTIF('Elève (6ème3)'!JC11:JE11,"C"))*2)+((COUNTIF('Elève (6ème3)'!JC11:JE11,"D"))*1))/(COUNTA(JC11:JE11)),"")</f>
        <v/>
      </c>
      <c r="JG11" s="113" t="str">
        <f t="shared" si="61"/>
        <v/>
      </c>
      <c r="JH11" s="84"/>
      <c r="JI11" s="85"/>
      <c r="JJ11" s="86"/>
      <c r="JK11" s="112" t="str">
        <f>IFERROR((((COUNTIF('Elève (6ème3)'!JH11:JJ11,"A"))*4)+((COUNTIF('Elève (6ème3)'!JH11:JJ11,"B"))*3)+((COUNTIF('Elève (6ème3)'!JH11:JJ11,"C"))*2)+((COUNTIF('Elève (6ème3)'!JH11:JJ11,"D"))*1))/(COUNTA(JH11:JJ11)),"")</f>
        <v/>
      </c>
      <c r="JL11" s="113" t="str">
        <f t="shared" si="62"/>
        <v/>
      </c>
      <c r="JM11" s="180" t="str">
        <f>IF(COUNT(JA11,JF11,JK11)=0,"",SUM(JA11,JF11,JK11)/COUNT(JA11,JF11,JK11))</f>
        <v/>
      </c>
      <c r="JN11" s="133" t="str">
        <f t="shared" si="63"/>
        <v/>
      </c>
      <c r="JO11" s="159"/>
      <c r="JP11" s="160"/>
      <c r="JQ11" s="161"/>
      <c r="JR11" s="112" t="str">
        <f>IFERROR((((COUNTIF('Elève (6ème3)'!JO11:JQ11,"A"))*4)+((COUNTIF('Elève (6ème3)'!JO11:JQ11,"B"))*3)+((COUNTIF('Elève (6ème3)'!JO11:JQ11,"C"))*2)+((COUNTIF('Elève (6ème3)'!JO11:JQ11,"D"))*1))/(COUNTA(JO11:JQ11)),"")</f>
        <v/>
      </c>
      <c r="JS11" s="113" t="str">
        <f t="shared" si="64"/>
        <v/>
      </c>
      <c r="JT11" s="84"/>
      <c r="JU11" s="85"/>
      <c r="JV11" s="86"/>
      <c r="JW11" s="112" t="str">
        <f>IFERROR((((COUNTIF('Elève (6ème3)'!JT11:JV11,"A"))*4)+((COUNTIF('Elève (6ème3)'!JT11:JV11,"B"))*3)+((COUNTIF('Elève (6ème3)'!JT11:JV11,"C"))*2)+((COUNTIF('Elève (6ème3)'!JT11:JV11,"D"))*1))/(COUNTA(JT11:JV11)),"")</f>
        <v/>
      </c>
      <c r="JX11" s="113" t="str">
        <f t="shared" si="65"/>
        <v/>
      </c>
      <c r="JY11" s="84"/>
      <c r="JZ11" s="85"/>
      <c r="KA11" s="86"/>
      <c r="KB11" s="112" t="str">
        <f>IFERROR((((COUNTIF('Elève (6ème3)'!JY11:KA11,"A"))*4)+((COUNTIF('Elève (6ème3)'!JY11:KA11,"B"))*3)+((COUNTIF('Elève (6ème3)'!JY11:KA11,"C"))*2)+((COUNTIF('Elève (6ème3)'!JY11:KA11,"D"))*1))/(COUNTA(JY11:KA11)),"")</f>
        <v/>
      </c>
      <c r="KC11" s="113" t="str">
        <f t="shared" si="66"/>
        <v/>
      </c>
      <c r="KD11" s="180" t="str">
        <f>IF(COUNT(JR11,JW11,KB11)=0,"",SUM(JR11,JW11,KB11)/COUNT(JR11,JW11,KB11))</f>
        <v/>
      </c>
      <c r="KE11" s="133" t="str">
        <f t="shared" si="67"/>
        <v/>
      </c>
      <c r="KF11" s="159"/>
      <c r="KG11" s="160"/>
      <c r="KH11" s="161"/>
      <c r="KI11" s="112" t="str">
        <f>IFERROR((((COUNTIF('Elève (6ème3)'!KF11:KH11,"A"))*4)+((COUNTIF('Elève (6ème3)'!KF11:KH11,"B"))*3)+((COUNTIF('Elève (6ème3)'!KF11:KH11,"C"))*2)+((COUNTIF('Elève (6ème3)'!KF11:KH11,"D"))*1))/(COUNTA(KF11:KH11)),"")</f>
        <v/>
      </c>
      <c r="KJ11" s="113" t="str">
        <f t="shared" si="68"/>
        <v/>
      </c>
      <c r="KK11" s="84"/>
      <c r="KL11" s="85"/>
      <c r="KM11" s="86"/>
      <c r="KN11" s="112" t="str">
        <f>IFERROR((((COUNTIF('Elève (6ème3)'!KK11:KM11,"A"))*4)+((COUNTIF('Elève (6ème3)'!KK11:KM11,"B"))*3)+((COUNTIF('Elève (6ème3)'!KK11:KM11,"C"))*2)+((COUNTIF('Elève (6ème3)'!KK11:KM11,"D"))*1))/(COUNTA(KK11:KM11)),"")</f>
        <v/>
      </c>
      <c r="KO11" s="113" t="str">
        <f t="shared" si="69"/>
        <v/>
      </c>
      <c r="KP11" s="84"/>
      <c r="KQ11" s="85"/>
      <c r="KR11" s="86"/>
      <c r="KS11" s="112" t="str">
        <f>IFERROR((((COUNTIF('Elève (6ème3)'!KP11:KR11,"A"))*4)+((COUNTIF('Elève (6ème3)'!KP11:KR11,"B"))*3)+((COUNTIF('Elève (6ème3)'!KP11:KR11,"C"))*2)+((COUNTIF('Elève (6ème3)'!KP11:KR11,"D"))*1))/(COUNTA(KP11:KR11)),"")</f>
        <v/>
      </c>
      <c r="KT11" s="113" t="str">
        <f t="shared" si="70"/>
        <v/>
      </c>
      <c r="KU11" s="180" t="str">
        <f>IF(COUNT(KI11,KN11,KS11)=0,"",SUM(KI11,KN11,KS11)/COUNT(KI11,KN11,KS11))</f>
        <v/>
      </c>
      <c r="KV11" s="133" t="str">
        <f t="shared" si="71"/>
        <v/>
      </c>
      <c r="KW11" s="159"/>
      <c r="KX11" s="160"/>
      <c r="KY11" s="161"/>
      <c r="KZ11" s="112" t="str">
        <f>IFERROR((((COUNTIF('Elève (6ème3)'!KW11:KY11,"A"))*4)+((COUNTIF('Elève (6ème3)'!KW11:KY11,"B"))*3)+((COUNTIF('Elève (6ème3)'!KW11:KY11,"C"))*2)+((COUNTIF('Elève (6ème3)'!KW11:KY11,"D"))*1))/(COUNTA(KW11:KY11)),"")</f>
        <v/>
      </c>
      <c r="LA11" s="113" t="str">
        <f t="shared" si="72"/>
        <v/>
      </c>
      <c r="LB11" s="84"/>
      <c r="LC11" s="85"/>
      <c r="LD11" s="86"/>
      <c r="LE11" s="112" t="str">
        <f>IFERROR((((COUNTIF('Elève (6ème3)'!LB11:LD11,"A"))*4)+((COUNTIF('Elève (6ème3)'!LB11:LD11,"B"))*3)+((COUNTIF('Elève (6ème3)'!LB11:LD11,"C"))*2)+((COUNTIF('Elève (6ème3)'!LB11:LD11,"D"))*1))/(COUNTA(LB11:LD11)),"")</f>
        <v/>
      </c>
      <c r="LF11" s="113" t="str">
        <f t="shared" si="73"/>
        <v/>
      </c>
      <c r="LG11" s="84"/>
      <c r="LH11" s="85"/>
      <c r="LI11" s="86"/>
      <c r="LJ11" s="112" t="str">
        <f>IFERROR((((COUNTIF('Elève (6ème3)'!LG11:LI11,"A"))*4)+((COUNTIF('Elève (6ème3)'!LG11:LI11,"B"))*3)+((COUNTIF('Elève (6ème3)'!LG11:LI11,"C"))*2)+((COUNTIF('Elève (6ème3)'!LG11:LI11,"D"))*1))/(COUNTA(LG11:LI11)),"")</f>
        <v/>
      </c>
      <c r="LK11" s="113" t="str">
        <f t="shared" si="74"/>
        <v/>
      </c>
      <c r="LL11" s="180" t="str">
        <f>IF(COUNT(KZ11,LE11,LJ11)=0,"",SUM(KZ11,LE11,LJ11)/COUNT(KZ11,LE11,LJ11))</f>
        <v/>
      </c>
      <c r="LM11" s="133" t="str">
        <f t="shared" si="75"/>
        <v/>
      </c>
      <c r="LN11" s="159"/>
      <c r="LO11" s="160"/>
      <c r="LP11" s="161"/>
      <c r="LQ11" s="112" t="str">
        <f>IFERROR((((COUNTIF('Elève (6ème3)'!LN11:LP11,"A"))*4)+((COUNTIF('Elève (6ème3)'!LN11:LP11,"B"))*3)+((COUNTIF('Elève (6ème3)'!LN11:LP11,"C"))*2)+((COUNTIF('Elève (6ème3)'!LN11:LP11,"D"))*1))/(COUNTA(LN11:LP11)),"")</f>
        <v/>
      </c>
      <c r="LR11" s="113" t="str">
        <f t="shared" si="76"/>
        <v/>
      </c>
      <c r="LS11" s="84"/>
      <c r="LT11" s="85"/>
      <c r="LU11" s="86"/>
      <c r="LV11" s="112" t="str">
        <f>IFERROR((((COUNTIF('Elève (6ème3)'!LS11:LU11,"A"))*4)+((COUNTIF('Elève (6ème3)'!LS11:LU11,"B"))*3)+((COUNTIF('Elève (6ème3)'!LS11:LU11,"C"))*2)+((COUNTIF('Elève (6ème3)'!LS11:LU11,"D"))*1))/(COUNTA(LS11:LU11)),"")</f>
        <v/>
      </c>
      <c r="LW11" s="113" t="str">
        <f t="shared" si="77"/>
        <v/>
      </c>
      <c r="LX11" s="84"/>
      <c r="LY11" s="85"/>
      <c r="LZ11" s="86"/>
      <c r="MA11" s="112" t="str">
        <f>IFERROR((((COUNTIF('Elève (6ème3)'!LX11:LZ11,"A"))*4)+((COUNTIF('Elève (6ème3)'!LX11:LZ11,"B"))*3)+((COUNTIF('Elève (6ème3)'!LX11:LZ11,"C"))*2)+((COUNTIF('Elève (6ème3)'!LX11:LZ11,"D"))*1))/(COUNTA(LX11:LZ11)),"")</f>
        <v/>
      </c>
      <c r="MB11" s="113" t="str">
        <f t="shared" si="78"/>
        <v/>
      </c>
      <c r="MC11" s="180" t="str">
        <f>IF(COUNT(LQ11,LV11,MA11)=0,"",SUM(LQ11,LV11,MA11)/COUNT(LQ11,LV11,MA11))</f>
        <v/>
      </c>
      <c r="MD11" s="133" t="str">
        <f t="shared" si="79"/>
        <v/>
      </c>
      <c r="ME11" s="159"/>
      <c r="MF11" s="160"/>
      <c r="MG11" s="161"/>
      <c r="MH11" s="112" t="str">
        <f>IFERROR((((COUNTIF('Elève (6ème3)'!ME11:MG11,"A"))*4)+((COUNTIF('Elève (6ème3)'!ME11:MG11,"B"))*3)+((COUNTIF('Elève (6ème3)'!ME11:MG11,"C"))*2)+((COUNTIF('Elève (6ème3)'!ME11:MG11,"D"))*1))/(COUNTA(ME11:MG11)),"")</f>
        <v/>
      </c>
      <c r="MI11" s="113" t="str">
        <f t="shared" si="80"/>
        <v/>
      </c>
      <c r="MJ11" s="84"/>
      <c r="MK11" s="85"/>
      <c r="ML11" s="86"/>
      <c r="MM11" s="112" t="str">
        <f>IFERROR((((COUNTIF('Elève (6ème3)'!MJ11:ML11,"A"))*4)+((COUNTIF('Elève (6ème3)'!MJ11:ML11,"B"))*3)+((COUNTIF('Elève (6ème3)'!MJ11:ML11,"C"))*2)+((COUNTIF('Elève (6ème3)'!MJ11:ML11,"D"))*1))/(COUNTA(MJ11:ML11)),"")</f>
        <v/>
      </c>
      <c r="MN11" s="113" t="str">
        <f t="shared" si="81"/>
        <v/>
      </c>
      <c r="MO11" s="84"/>
      <c r="MP11" s="85"/>
      <c r="MQ11" s="86"/>
      <c r="MR11" s="112" t="str">
        <f>IFERROR((((COUNTIF('Elève (6ème3)'!MO11:MQ11,"A"))*4)+((COUNTIF('Elève (6ème3)'!MO11:MQ11,"B"))*3)+((COUNTIF('Elève (6ème3)'!MO11:MQ11,"C"))*2)+((COUNTIF('Elève (6ème3)'!MO11:MQ11,"D"))*1))/(COUNTA(MO11:MQ11)),"")</f>
        <v/>
      </c>
      <c r="MS11" s="113" t="str">
        <f t="shared" si="82"/>
        <v/>
      </c>
      <c r="MT11" s="180" t="str">
        <f>IF(COUNT(MH11,MM11,MR11)=0,"",SUM(MH11,MM11,MR11)/COUNT(MH11,MM11,MR11))</f>
        <v/>
      </c>
      <c r="MU11" s="133" t="str">
        <f t="shared" si="83"/>
        <v/>
      </c>
      <c r="MV11" s="159"/>
      <c r="MW11" s="160"/>
      <c r="MX11" s="161"/>
      <c r="MY11" s="112" t="str">
        <f>IFERROR((((COUNTIF('Elève (6ème3)'!MV11:MX11,"A"))*4)+((COUNTIF('Elève (6ème3)'!MV11:MX11,"B"))*3)+((COUNTIF('Elève (6ème3)'!MV11:MX11,"C"))*2)+((COUNTIF('Elève (6ème3)'!MV11:MX11,"D"))*1))/(COUNTA(MV11:MX11)),"")</f>
        <v/>
      </c>
      <c r="MZ11" s="113" t="str">
        <f t="shared" si="84"/>
        <v/>
      </c>
      <c r="NA11" s="84"/>
      <c r="NB11" s="85"/>
      <c r="NC11" s="86"/>
      <c r="ND11" s="112" t="str">
        <f>IFERROR((((COUNTIF('Elève (6ème3)'!NA11:NC11,"A"))*4)+((COUNTIF('Elève (6ème3)'!NA11:NC11,"B"))*3)+((COUNTIF('Elève (6ème3)'!NA11:NC11,"C"))*2)+((COUNTIF('Elève (6ème3)'!NA11:NC11,"D"))*1))/(COUNTA(NA11:NC11)),"")</f>
        <v/>
      </c>
      <c r="NE11" s="113" t="str">
        <f t="shared" si="85"/>
        <v/>
      </c>
      <c r="NF11" s="84"/>
      <c r="NG11" s="85"/>
      <c r="NH11" s="86"/>
      <c r="NI11" s="112" t="str">
        <f>IFERROR((((COUNTIF('Elève (6ème3)'!NF11:NH11,"A"))*4)+((COUNTIF('Elève (6ème3)'!NF11:NH11,"B"))*3)+((COUNTIF('Elève (6ème3)'!NF11:NH11,"C"))*2)+((COUNTIF('Elève (6ème3)'!NF11:NH11,"D"))*1))/(COUNTA(NF11:NH11)),"")</f>
        <v/>
      </c>
      <c r="NJ11" s="113" t="str">
        <f t="shared" si="86"/>
        <v/>
      </c>
      <c r="NK11" s="180" t="str">
        <f>IF(COUNT(MY11,ND11,NI11)=0,"",SUM(MY11,ND11,NI11)/COUNT(MY11,ND11,NI11))</f>
        <v/>
      </c>
      <c r="NL11" s="133" t="str">
        <f t="shared" si="87"/>
        <v/>
      </c>
      <c r="NM11" s="159"/>
      <c r="NN11" s="160"/>
      <c r="NO11" s="161"/>
      <c r="NP11" s="112" t="str">
        <f>IFERROR((((COUNTIF('Elève (6ème3)'!NM11:NO11,"A"))*4)+((COUNTIF('Elève (6ème3)'!NM11:NO11,"B"))*3)+((COUNTIF('Elève (6ème3)'!NM11:NO11,"C"))*2)+((COUNTIF('Elève (6ème3)'!NM11:NO11,"D"))*1))/(COUNTA(NM11:NO11)),"")</f>
        <v/>
      </c>
      <c r="NQ11" s="113" t="str">
        <f t="shared" si="88"/>
        <v/>
      </c>
      <c r="NR11" s="84"/>
      <c r="NS11" s="85"/>
      <c r="NT11" s="86"/>
      <c r="NU11" s="112" t="str">
        <f>IFERROR((((COUNTIF('Elève (6ème3)'!NR11:NT11,"A"))*4)+((COUNTIF('Elève (6ème3)'!NR11:NT11,"B"))*3)+((COUNTIF('Elève (6ème3)'!NR11:NT11,"C"))*2)+((COUNTIF('Elève (6ème3)'!NR11:NT11,"D"))*1))/(COUNTA(NR11:NT11)),"")</f>
        <v/>
      </c>
      <c r="NV11" s="113" t="str">
        <f t="shared" si="89"/>
        <v/>
      </c>
      <c r="NW11" s="84"/>
      <c r="NX11" s="85"/>
      <c r="NY11" s="86"/>
      <c r="NZ11" s="112" t="str">
        <f>IFERROR((((COUNTIF('Elève (6ème3)'!NW11:NY11,"A"))*4)+((COUNTIF('Elève (6ème3)'!NW11:NY11,"B"))*3)+((COUNTIF('Elève (6ème3)'!NW11:NY11,"C"))*2)+((COUNTIF('Elève (6ème3)'!NW11:NY11,"D"))*1))/(COUNTA(NW11:NY11)),"")</f>
        <v/>
      </c>
      <c r="OA11" s="113" t="str">
        <f t="shared" si="90"/>
        <v/>
      </c>
      <c r="OB11" s="180" t="str">
        <f>IF(COUNT(NP11,NU11,NZ11)=0,"",SUM(NP11,NU11,NZ11)/COUNT(NP11,NU11,NZ11))</f>
        <v/>
      </c>
      <c r="OC11" s="133" t="str">
        <f t="shared" si="91"/>
        <v/>
      </c>
      <c r="OD11" s="159"/>
      <c r="OE11" s="160"/>
      <c r="OF11" s="161"/>
      <c r="OG11" s="112" t="str">
        <f>IFERROR((((COUNTIF('Elève (6ème3)'!OD11:OF11,"A"))*4)+((COUNTIF('Elève (6ème3)'!OD11:OF11,"B"))*3)+((COUNTIF('Elève (6ème3)'!OD11:OF11,"C"))*2)+((COUNTIF('Elève (6ème3)'!OD11:OF11,"D"))*1))/(COUNTA(OD11:OF11)),"")</f>
        <v/>
      </c>
      <c r="OH11" s="113" t="str">
        <f t="shared" si="92"/>
        <v/>
      </c>
      <c r="OI11" s="84"/>
      <c r="OJ11" s="85"/>
      <c r="OK11" s="86"/>
      <c r="OL11" s="112" t="str">
        <f>IFERROR((((COUNTIF('Elève (6ème3)'!OI11:OK11,"A"))*4)+((COUNTIF('Elève (6ème3)'!OI11:OK11,"B"))*3)+((COUNTIF('Elève (6ème3)'!OI11:OK11,"C"))*2)+((COUNTIF('Elève (6ème3)'!OI11:OK11,"D"))*1))/(COUNTA(OI11:OK11)),"")</f>
        <v/>
      </c>
      <c r="OM11" s="113" t="str">
        <f t="shared" si="93"/>
        <v/>
      </c>
      <c r="ON11" s="84"/>
      <c r="OO11" s="85"/>
      <c r="OP11" s="86"/>
      <c r="OQ11" s="112" t="str">
        <f>IFERROR((((COUNTIF('Elève (6ème3)'!ON11:OP11,"A"))*4)+((COUNTIF('Elève (6ème3)'!ON11:OP11,"B"))*3)+((COUNTIF('Elève (6ème3)'!ON11:OP11,"C"))*2)+((COUNTIF('Elève (6ème3)'!ON11:OP11,"D"))*1))/(COUNTA(ON11:OP11)),"")</f>
        <v/>
      </c>
      <c r="OR11" s="113" t="str">
        <f t="shared" si="94"/>
        <v/>
      </c>
      <c r="OS11" s="180" t="str">
        <f>IF(COUNT(OG11,OL11,OQ11)=0,"",SUM(OG11,OL11,OQ11)/COUNT(OG11,OL11,OQ11))</f>
        <v/>
      </c>
      <c r="OT11" s="133" t="str">
        <f t="shared" si="95"/>
        <v/>
      </c>
      <c r="OU11" s="159"/>
      <c r="OV11" s="160"/>
      <c r="OW11" s="161"/>
      <c r="OX11" s="112" t="str">
        <f>IFERROR((((COUNTIF('Elève (6ème3)'!OU11:OW11,"A"))*4)+((COUNTIF('Elève (6ème3)'!OU11:OW11,"B"))*3)+((COUNTIF('Elève (6ème3)'!OU11:OW11,"C"))*2)+((COUNTIF('Elève (6ème3)'!OU11:OW11,"D"))*1))/(COUNTA(OU11:OW11)),"")</f>
        <v/>
      </c>
      <c r="OY11" s="113" t="str">
        <f t="shared" si="96"/>
        <v/>
      </c>
      <c r="OZ11" s="84"/>
      <c r="PA11" s="85"/>
      <c r="PB11" s="86"/>
      <c r="PC11" s="112" t="str">
        <f>IFERROR((((COUNTIF('Elève (6ème3)'!OZ11:PB11,"A"))*4)+((COUNTIF('Elève (6ème3)'!OZ11:PB11,"B"))*3)+((COUNTIF('Elève (6ème3)'!OZ11:PB11,"C"))*2)+((COUNTIF('Elève (6ème3)'!OZ11:PB11,"D"))*1))/(COUNTA(OZ11:PB11)),"")</f>
        <v/>
      </c>
      <c r="PD11" s="113" t="str">
        <f t="shared" si="97"/>
        <v/>
      </c>
      <c r="PE11" s="84"/>
      <c r="PF11" s="85"/>
      <c r="PG11" s="86"/>
      <c r="PH11" s="112" t="str">
        <f>IFERROR((((COUNTIF('Elève (6ème3)'!PE11:PG11,"A"))*4)+((COUNTIF('Elève (6ème3)'!PE11:PG11,"B"))*3)+((COUNTIF('Elève (6ème3)'!PE11:PG11,"C"))*2)+((COUNTIF('Elève (6ème3)'!PE11:PG11,"D"))*1))/(COUNTA(PE11:PG11)),"")</f>
        <v/>
      </c>
      <c r="PI11" s="113" t="str">
        <f t="shared" si="98"/>
        <v/>
      </c>
      <c r="PJ11" s="180" t="str">
        <f>IF(COUNT(OX11,PC11,PH11)=0,"",SUM(OX11,PC11,PH11)/COUNT(OX11,PC11,PH11))</f>
        <v/>
      </c>
      <c r="PK11" s="133" t="str">
        <f t="shared" si="99"/>
        <v/>
      </c>
      <c r="PL11" s="159"/>
      <c r="PM11" s="160"/>
      <c r="PN11" s="161"/>
      <c r="PO11" s="112" t="str">
        <f>IFERROR((((COUNTIF('Elève (6ème3)'!PL11:PN11,"A"))*4)+((COUNTIF('Elève (6ème3)'!PL11:PN11,"B"))*3)+((COUNTIF('Elève (6ème3)'!PL11:PN11,"C"))*2)+((COUNTIF('Elève (6ème3)'!PL11:PN11,"D"))*1))/(COUNTA(PL11:PN11)),"")</f>
        <v/>
      </c>
      <c r="PP11" s="113" t="str">
        <f t="shared" si="100"/>
        <v/>
      </c>
      <c r="PQ11" s="84"/>
      <c r="PR11" s="85"/>
      <c r="PS11" s="86"/>
      <c r="PT11" s="112" t="str">
        <f>IFERROR((((COUNTIF('Elève (6ème3)'!PQ11:PS11,"A"))*4)+((COUNTIF('Elève (6ème3)'!PQ11:PS11,"B"))*3)+((COUNTIF('Elève (6ème3)'!PQ11:PS11,"C"))*2)+((COUNTIF('Elève (6ème3)'!PQ11:PS11,"D"))*1))/(COUNTA(PQ11:PS11)),"")</f>
        <v/>
      </c>
      <c r="PU11" s="113" t="str">
        <f t="shared" si="101"/>
        <v/>
      </c>
      <c r="PV11" s="84"/>
      <c r="PW11" s="85"/>
      <c r="PX11" s="86"/>
      <c r="PY11" s="112" t="str">
        <f>IFERROR((((COUNTIF('Elève (6ème3)'!PV11:PX11,"A"))*4)+((COUNTIF('Elève (6ème3)'!PV11:PX11,"B"))*3)+((COUNTIF('Elève (6ème3)'!PV11:PX11,"C"))*2)+((COUNTIF('Elève (6ème3)'!PV11:PX11,"D"))*1))/(COUNTA(PV11:PX11)),"")</f>
        <v/>
      </c>
      <c r="PZ11" s="113" t="str">
        <f t="shared" si="102"/>
        <v/>
      </c>
      <c r="QA11" s="180" t="str">
        <f>IF(COUNT(PO11,PT11,PY11)=0,"",SUM(PO11,PT11,PY11)/COUNT(PO11,PT11,PY11))</f>
        <v/>
      </c>
      <c r="QB11" s="133" t="str">
        <f t="shared" si="103"/>
        <v/>
      </c>
      <c r="QC11" s="159"/>
      <c r="QD11" s="160"/>
      <c r="QE11" s="161"/>
      <c r="QF11" s="112" t="str">
        <f>IFERROR((((COUNTIF('Elève (6ème3)'!QC11:QE11,"A"))*4)+((COUNTIF('Elève (6ème3)'!QC11:QE11,"B"))*3)+((COUNTIF('Elève (6ème3)'!QC11:QE11,"C"))*2)+((COUNTIF('Elève (6ème3)'!QC11:QE11,"D"))*1))/(COUNTA(QC11:QE11)),"")</f>
        <v/>
      </c>
      <c r="QG11" s="113" t="str">
        <f t="shared" si="104"/>
        <v/>
      </c>
      <c r="QH11" s="84"/>
      <c r="QI11" s="85"/>
      <c r="QJ11" s="86"/>
      <c r="QK11" s="112" t="str">
        <f>IFERROR((((COUNTIF('Elève (6ème3)'!QH11:QJ11,"A"))*4)+((COUNTIF('Elève (6ème3)'!QH11:QJ11,"B"))*3)+((COUNTIF('Elève (6ème3)'!QH11:QJ11,"C"))*2)+((COUNTIF('Elève (6ème3)'!QH11:QJ11,"D"))*1))/(COUNTA(QH11:QJ11)),"")</f>
        <v/>
      </c>
      <c r="QL11" s="113" t="str">
        <f t="shared" si="105"/>
        <v/>
      </c>
      <c r="QM11" s="84"/>
      <c r="QN11" s="85"/>
      <c r="QO11" s="86"/>
      <c r="QP11" s="112" t="str">
        <f>IFERROR((((COUNTIF('Elève (6ème3)'!QM11:QO11,"A"))*4)+((COUNTIF('Elève (6ème3)'!QM11:QO11,"B"))*3)+((COUNTIF('Elève (6ème3)'!QM11:QO11,"C"))*2)+((COUNTIF('Elève (6ème3)'!QM11:QO11,"D"))*1))/(COUNTA(QM11:QO11)),"")</f>
        <v/>
      </c>
      <c r="QQ11" s="113" t="str">
        <f t="shared" si="106"/>
        <v/>
      </c>
      <c r="QR11" s="180" t="str">
        <f>IF(COUNT(QF11,QK11,QP11)=0,"",SUM(QF11,QK11,QP11)/COUNT(QF11,QK11,QP11))</f>
        <v/>
      </c>
      <c r="QS11" s="133" t="str">
        <f t="shared" si="107"/>
        <v/>
      </c>
      <c r="QT11" s="159"/>
      <c r="QU11" s="160"/>
      <c r="QV11" s="161"/>
      <c r="QW11" s="112" t="str">
        <f>IFERROR((((COUNTIF('Elève (6ème3)'!QT11:QV11,"A"))*4)+((COUNTIF('Elève (6ème3)'!QT11:QV11,"B"))*3)+((COUNTIF('Elève (6ème3)'!QT11:QV11,"C"))*2)+((COUNTIF('Elève (6ème3)'!QT11:QV11,"D"))*1))/(COUNTA(QT11:QV11)),"")</f>
        <v/>
      </c>
      <c r="QX11" s="113" t="str">
        <f t="shared" si="108"/>
        <v/>
      </c>
      <c r="QY11" s="84"/>
      <c r="QZ11" s="85"/>
      <c r="RA11" s="86"/>
      <c r="RB11" s="112" t="str">
        <f>IFERROR((((COUNTIF('Elève (6ème3)'!QY11:RA11,"A"))*4)+((COUNTIF('Elève (6ème3)'!QY11:RA11,"B"))*3)+((COUNTIF('Elève (6ème3)'!QY11:RA11,"C"))*2)+((COUNTIF('Elève (6ème3)'!QY11:RA11,"D"))*1))/(COUNTA(QY11:RA11)),"")</f>
        <v/>
      </c>
      <c r="RC11" s="113" t="str">
        <f t="shared" si="109"/>
        <v/>
      </c>
      <c r="RD11" s="84"/>
      <c r="RE11" s="85"/>
      <c r="RF11" s="86"/>
      <c r="RG11" s="112" t="str">
        <f>IFERROR((((COUNTIF('Elève (6ème3)'!RD11:RF11,"A"))*4)+((COUNTIF('Elève (6ème3)'!RD11:RF11,"B"))*3)+((COUNTIF('Elève (6ème3)'!RD11:RF11,"C"))*2)+((COUNTIF('Elève (6ème3)'!RD11:RF11,"D"))*1))/(COUNTA(RD11:RF11)),"")</f>
        <v/>
      </c>
      <c r="RH11" s="113" t="str">
        <f t="shared" si="110"/>
        <v/>
      </c>
      <c r="RI11" s="180" t="str">
        <f>IF(COUNT(QW11,RB11,RG11)=0,"",SUM(QW11,RB11,RG11)/COUNT(QW11,RB11,RG11))</f>
        <v/>
      </c>
      <c r="RJ11" s="133" t="str">
        <f t="shared" si="111"/>
        <v/>
      </c>
      <c r="RK11" s="159"/>
      <c r="RL11" s="160"/>
      <c r="RM11" s="161"/>
      <c r="RN11" s="112" t="str">
        <f>IFERROR((((COUNTIF('Elève (6ème3)'!RK11:RM11,"A"))*4)+((COUNTIF('Elève (6ème3)'!RK11:RM11,"B"))*3)+((COUNTIF('Elève (6ème3)'!RK11:RM11,"C"))*2)+((COUNTIF('Elève (6ème3)'!RK11:RM11,"D"))*1))/(COUNTA(RK11:RM11)),"")</f>
        <v/>
      </c>
      <c r="RO11" s="113" t="str">
        <f t="shared" si="112"/>
        <v/>
      </c>
      <c r="RP11" s="84"/>
      <c r="RQ11" s="85"/>
      <c r="RR11" s="86"/>
      <c r="RS11" s="112" t="str">
        <f>IFERROR((((COUNTIF('Elève (6ème3)'!RP11:RR11,"A"))*4)+((COUNTIF('Elève (6ème3)'!RP11:RR11,"B"))*3)+((COUNTIF('Elève (6ème3)'!RP11:RR11,"C"))*2)+((COUNTIF('Elève (6ème3)'!RP11:RR11,"D"))*1))/(COUNTA(RP11:RR11)),"")</f>
        <v/>
      </c>
      <c r="RT11" s="113" t="str">
        <f t="shared" si="113"/>
        <v/>
      </c>
      <c r="RU11" s="84"/>
      <c r="RV11" s="85"/>
      <c r="RW11" s="86"/>
      <c r="RX11" s="112" t="str">
        <f>IFERROR((((COUNTIF('Elève (6ème3)'!RU11:RW11,"A"))*4)+((COUNTIF('Elève (6ème3)'!RU11:RW11,"B"))*3)+((COUNTIF('Elève (6ème3)'!RU11:RW11,"C"))*2)+((COUNTIF('Elève (6ème3)'!RU11:RW11,"D"))*1))/(COUNTA(RU11:RW11)),"")</f>
        <v/>
      </c>
      <c r="RY11" s="113" t="str">
        <f t="shared" si="114"/>
        <v/>
      </c>
      <c r="RZ11" s="180" t="str">
        <f>IF(COUNT(RN11,RS11,RX11)=0,"",SUM(RN11,RS11,RX11)/COUNT(RN11,RS11,RX11))</f>
        <v/>
      </c>
      <c r="SA11" s="133" t="str">
        <f t="shared" si="115"/>
        <v/>
      </c>
      <c r="SB11" s="159"/>
      <c r="SC11" s="160"/>
      <c r="SD11" s="161"/>
      <c r="SE11" s="112" t="str">
        <f>IFERROR((((COUNTIF('Elève (6ème3)'!SB11:SD11,"A"))*4)+((COUNTIF('Elève (6ème3)'!SB11:SD11,"B"))*3)+((COUNTIF('Elève (6ème3)'!SB11:SD11,"C"))*2)+((COUNTIF('Elève (6ème3)'!SB11:SD11,"D"))*1))/(COUNTA(SB11:SD11)),"")</f>
        <v/>
      </c>
      <c r="SF11" s="113" t="str">
        <f t="shared" si="116"/>
        <v/>
      </c>
      <c r="SG11" s="84"/>
      <c r="SH11" s="85"/>
      <c r="SI11" s="86"/>
      <c r="SJ11" s="112" t="str">
        <f>IFERROR((((COUNTIF('Elève (6ème3)'!SG11:SI11,"A"))*4)+((COUNTIF('Elève (6ème3)'!SG11:SI11,"B"))*3)+((COUNTIF('Elève (6ème3)'!SG11:SI11,"C"))*2)+((COUNTIF('Elève (6ème3)'!SG11:SI11,"D"))*1))/(COUNTA(SG11:SI11)),"")</f>
        <v/>
      </c>
      <c r="SK11" s="113" t="str">
        <f t="shared" si="117"/>
        <v/>
      </c>
      <c r="SL11" s="84"/>
      <c r="SM11" s="85"/>
      <c r="SN11" s="86"/>
      <c r="SO11" s="112" t="str">
        <f>IFERROR((((COUNTIF('Elève (6ème3)'!SL11:SN11,"A"))*4)+((COUNTIF('Elève (6ème3)'!SL11:SN11,"B"))*3)+((COUNTIF('Elève (6ème3)'!SL11:SN11,"C"))*2)+((COUNTIF('Elève (6ème3)'!SL11:SN11,"D"))*1))/(COUNTA(SL11:SN11)),"")</f>
        <v/>
      </c>
      <c r="SP11" s="113" t="str">
        <f t="shared" si="118"/>
        <v/>
      </c>
      <c r="SQ11" s="180" t="str">
        <f>IF(COUNT(SE11,SJ11,SO11)=0,"",SUM(SE11,SJ11,SO11)/COUNT(SE11,SJ11,SO11))</f>
        <v/>
      </c>
      <c r="SR11" s="133" t="str">
        <f t="shared" si="119"/>
        <v/>
      </c>
    </row>
    <row r="12" spans="1:512" s="77" customFormat="1" ht="16.5" customHeight="1" thickBot="1" x14ac:dyDescent="0.3">
      <c r="A12" s="96" t="s">
        <v>15</v>
      </c>
      <c r="B12" s="88">
        <v>1</v>
      </c>
      <c r="C12" s="152"/>
      <c r="D12" s="185"/>
      <c r="E12" s="185"/>
      <c r="F12" s="106">
        <f>IFERROR((((COUNTIF('Elève (6ème3)'!C13:E13,"A"))*4)+((COUNTIF('Elève (6ème3)'!C13:E13,"B"))*3)+((COUNTIF('Elève (6ème3)'!C13:E13,"C"))*2)+((COUNTIF('Elève (6ème3)'!C13:E13,"D"))*1))/(COUNTA(C13:E13)),"")</f>
        <v>2</v>
      </c>
      <c r="G12" s="107" t="str">
        <f t="shared" si="0"/>
        <v>C</v>
      </c>
      <c r="H12" s="204"/>
      <c r="I12" s="186"/>
      <c r="J12" s="205"/>
      <c r="K12" s="106" t="str">
        <f>IFERROR((((COUNTIF('Elève (6ème3)'!H13:J13,"A"))*4)+((COUNTIF('Elève (6ème3)'!H13:J13,"B"))*3)+((COUNTIF('Elève (6ème3)'!H13:J13,"C"))*2)+((COUNTIF('Elève (6ème3)'!H13:J13,"D"))*1))/(COUNTA(H13:J13)),"")</f>
        <v/>
      </c>
      <c r="L12" s="121" t="str">
        <f t="shared" si="1"/>
        <v/>
      </c>
      <c r="M12" s="100"/>
      <c r="N12" s="187"/>
      <c r="O12" s="188"/>
      <c r="P12" s="106" t="str">
        <f>IFERROR((((COUNTIF('Elève (6ème3)'!M13:O13,"A"))*4)+((COUNTIF('Elève (6ème3)'!M13:O13,"B"))*3)+((COUNTIF('Elève (6ème3)'!M13:O13,"C"))*2)+((COUNTIF('Elève (6ème3)'!M13:O13,"D"))*1))/(COUNTA(M13:O13)),"")</f>
        <v/>
      </c>
      <c r="Q12" s="128" t="str">
        <f t="shared" si="2"/>
        <v/>
      </c>
      <c r="R12" s="177">
        <f>IFERROR((((COUNTIF(C13:E13,"A")+COUNTIF(H13:J13,"A")+COUNTIF(M13:O13,"A"))*4)+((COUNTIF(C13:E13,"B")+COUNTIF(H13:J13,"B")+COUNTIF(M13:O13,"B"))*3)+((COUNTIF(C13:E13,"C")+COUNTIF(H13:J13,"C")+COUNTIF(M13:O13,"C"))*2)+((COUNTIF(C13:E13,"D")+COUNTIF(H13:J13,"D")+COUNTIF(M13:O13,"D"))*1))/(COUNTA(C13:E13)+COUNTA(H13:J13)+COUNTA(M13:O13)),"")</f>
        <v>2</v>
      </c>
      <c r="S12" s="130" t="str">
        <f t="shared" si="3"/>
        <v>C</v>
      </c>
      <c r="T12" s="152"/>
      <c r="U12" s="185"/>
      <c r="V12" s="185"/>
      <c r="W12" s="106">
        <f>IFERROR((((COUNTIF('Elève (6ème3)'!T13:V13,"A"))*4)+((COUNTIF('Elève (6ème3)'!T13:V13,"B"))*3)+((COUNTIF('Elève (6ème3)'!T13:V13,"C"))*2)+((COUNTIF('Elève (6ème3)'!T13:V13,"D"))*1))/(COUNTA(T13:V13)),"")</f>
        <v>4</v>
      </c>
      <c r="X12" s="107" t="str">
        <f t="shared" si="4"/>
        <v>A</v>
      </c>
      <c r="Y12" s="204"/>
      <c r="Z12" s="186"/>
      <c r="AA12" s="205"/>
      <c r="AB12" s="106" t="str">
        <f>IFERROR((((COUNTIF('Elève (6ème3)'!Y13:AA13,"A"))*4)+((COUNTIF('Elève (6ème3)'!Y13:AA13,"B"))*3)+((COUNTIF('Elève (6ème3)'!Y13:AA13,"C"))*2)+((COUNTIF('Elève (6ème3)'!Y13:AA13,"D"))*1))/(COUNTA(Y13:AA13)),"")</f>
        <v/>
      </c>
      <c r="AC12" s="121" t="str">
        <f t="shared" si="5"/>
        <v/>
      </c>
      <c r="AD12" s="100"/>
      <c r="AE12" s="187"/>
      <c r="AF12" s="188"/>
      <c r="AG12" s="106" t="str">
        <f>IFERROR((((COUNTIF('Elève (6ème3)'!AD13:AF13,"A"))*4)+((COUNTIF('Elève (6ème3)'!AD13:AF13,"B"))*3)+((COUNTIF('Elève (6ème3)'!AD13:AF13,"C"))*2)+((COUNTIF('Elève (6ème3)'!AD13:AF13,"D"))*1))/(COUNTA(AD13:AF13)),"")</f>
        <v/>
      </c>
      <c r="AH12" s="128" t="str">
        <f t="shared" si="6"/>
        <v/>
      </c>
      <c r="AI12" s="177">
        <f>IFERROR((((COUNTIF(T13:V13,"A")+COUNTIF(Y13:AA13,"A")+COUNTIF(AD13:AF13,"A"))*4)+((COUNTIF(T13:V13,"B")+COUNTIF(Y13:AA13,"B")+COUNTIF(AD13:AF13,"B"))*3)+((COUNTIF(T13:V13,"C")+COUNTIF(Y13:AA13,"C")+COUNTIF(AD13:AF13,"C"))*2)+((COUNTIF(T13:V13,"D")+COUNTIF(Y13:AA13,"D")+COUNTIF(AD13:AF13,"D"))*1))/(COUNTA(T13:V13)+COUNTA(Y13:AA13)+COUNTA(AD13:AF13)),"")</f>
        <v>4</v>
      </c>
      <c r="AJ12" s="130" t="str">
        <f t="shared" si="7"/>
        <v>A</v>
      </c>
      <c r="AK12" s="152"/>
      <c r="AL12" s="185"/>
      <c r="AM12" s="185"/>
      <c r="AN12" s="106">
        <f>IFERROR((((COUNTIF('Elève (6ème3)'!AK13:AM13,"A"))*4)+((COUNTIF('Elève (6ème3)'!AK13:AM13,"B"))*3)+((COUNTIF('Elève (6ème3)'!AK13:AM13,"C"))*2)+((COUNTIF('Elève (6ème3)'!AK13:AM13,"D"))*1))/(COUNTA(AK13:AM13)),"")</f>
        <v>4</v>
      </c>
      <c r="AO12" s="107" t="str">
        <f t="shared" si="8"/>
        <v>A</v>
      </c>
      <c r="AP12" s="204"/>
      <c r="AQ12" s="186"/>
      <c r="AR12" s="205"/>
      <c r="AS12" s="106" t="str">
        <f>IFERROR((((COUNTIF('Elève (6ème3)'!AP13:AR13,"A"))*4)+((COUNTIF('Elève (6ème3)'!AP13:AR13,"B"))*3)+((COUNTIF('Elève (6ème3)'!AP13:AR13,"C"))*2)+((COUNTIF('Elève (6ème3)'!AP13:AR13,"D"))*1))/(COUNTA(AP13:AR13)),"")</f>
        <v/>
      </c>
      <c r="AT12" s="121" t="str">
        <f t="shared" si="9"/>
        <v/>
      </c>
      <c r="AU12" s="100"/>
      <c r="AV12" s="187"/>
      <c r="AW12" s="188"/>
      <c r="AX12" s="106" t="str">
        <f>IFERROR((((COUNTIF('Elève (6ème3)'!AU13:AW13,"A"))*4)+((COUNTIF('Elève (6ème3)'!AU13:AW13,"B"))*3)+((COUNTIF('Elève (6ème3)'!AU13:AW13,"C"))*2)+((COUNTIF('Elève (6ème3)'!AU13:AW13,"D"))*1))/(COUNTA(AU13:AW13)),"")</f>
        <v/>
      </c>
      <c r="AY12" s="128" t="str">
        <f t="shared" si="10"/>
        <v/>
      </c>
      <c r="AZ12" s="177">
        <f>IFERROR((((COUNTIF(AK13:AM13,"A")+COUNTIF(AP13:AR13,"A")+COUNTIF(AU13:AW13,"A"))*4)+((COUNTIF(AK13:AM13,"B")+COUNTIF(AP13:AR13,"B")+COUNTIF(AU13:AW13,"B"))*3)+((COUNTIF(AK13:AM13,"C")+COUNTIF(AP13:AR13,"C")+COUNTIF(AU13:AW13,"C"))*2)+((COUNTIF(AK13:AM13,"D")+COUNTIF(AP13:AR13,"D")+COUNTIF(AU13:AW13,"D"))*1))/(COUNTA(AK13:AM13)+COUNTA(AP13:AR13)+COUNTA(AU13:AW13)),"")</f>
        <v>4</v>
      </c>
      <c r="BA12" s="130" t="str">
        <f t="shared" si="11"/>
        <v>A</v>
      </c>
      <c r="BB12" s="152"/>
      <c r="BC12" s="185"/>
      <c r="BD12" s="185"/>
      <c r="BE12" s="106">
        <f>IFERROR((((COUNTIF('Elève (6ème3)'!BB13:BD13,"A"))*4)+((COUNTIF('Elève (6ème3)'!BB13:BD13,"B"))*3)+((COUNTIF('Elève (6ème3)'!BB13:BD13,"C"))*2)+((COUNTIF('Elève (6ème3)'!BB13:BD13,"D"))*1))/(COUNTA(BB13:BD13)),"")</f>
        <v>4</v>
      </c>
      <c r="BF12" s="107" t="str">
        <f t="shared" si="12"/>
        <v>A</v>
      </c>
      <c r="BG12" s="204"/>
      <c r="BH12" s="186"/>
      <c r="BI12" s="205"/>
      <c r="BJ12" s="106" t="str">
        <f>IFERROR((((COUNTIF('Elève (6ème3)'!BG13:BI13,"A"))*4)+((COUNTIF('Elève (6ème3)'!BG13:BI13,"B"))*3)+((COUNTIF('Elève (6ème3)'!BG13:BI13,"C"))*2)+((COUNTIF('Elève (6ème3)'!BG13:BI13,"D"))*1))/(COUNTA(BG13:BI13)),"")</f>
        <v/>
      </c>
      <c r="BK12" s="121" t="str">
        <f t="shared" si="13"/>
        <v/>
      </c>
      <c r="BL12" s="100"/>
      <c r="BM12" s="187"/>
      <c r="BN12" s="188"/>
      <c r="BO12" s="106" t="str">
        <f>IFERROR((((COUNTIF('Elève (6ème3)'!BL13:BN13,"A"))*4)+((COUNTIF('Elève (6ème3)'!BL13:BN13,"B"))*3)+((COUNTIF('Elève (6ème3)'!BL13:BN13,"C"))*2)+((COUNTIF('Elève (6ème3)'!BL13:BN13,"D"))*1))/(COUNTA(BL13:BN13)),"")</f>
        <v/>
      </c>
      <c r="BP12" s="128" t="str">
        <f t="shared" si="14"/>
        <v/>
      </c>
      <c r="BQ12" s="177">
        <f>IFERROR((((COUNTIF(BB13:BD13,"A")+COUNTIF(BG13:BI13,"A")+COUNTIF(BL13:BN13,"A"))*4)+((COUNTIF(BB13:BD13,"B")+COUNTIF(BG13:BI13,"B")+COUNTIF(BL13:BN13,"B"))*3)+((COUNTIF(BB13:BD13,"C")+COUNTIF(BG13:BI13,"C")+COUNTIF(BL13:BN13,"C"))*2)+((COUNTIF(BB13:BD13,"D")+COUNTIF(BG13:BI13,"D")+COUNTIF(BL13:BN13,"D"))*1))/(COUNTA(BB13:BD13)+COUNTA(BG13:BI13)+COUNTA(BL13:BN13)),"")</f>
        <v>4</v>
      </c>
      <c r="BR12" s="130" t="str">
        <f t="shared" si="15"/>
        <v>A</v>
      </c>
      <c r="BS12" s="152"/>
      <c r="BT12" s="185"/>
      <c r="BU12" s="185"/>
      <c r="BV12" s="106">
        <f>IFERROR((((COUNTIF('Elève (6ème3)'!BS13:BU13,"A"))*4)+((COUNTIF('Elève (6ème3)'!BS13:BU13,"B"))*3)+((COUNTIF('Elève (6ème3)'!BS13:BU13,"C"))*2)+((COUNTIF('Elève (6ème3)'!BS13:BU13,"D"))*1))/(COUNTA(BS13:BU13)),"")</f>
        <v>3</v>
      </c>
      <c r="BW12" s="107" t="str">
        <f t="shared" si="16"/>
        <v>B</v>
      </c>
      <c r="BX12" s="204"/>
      <c r="BY12" s="186"/>
      <c r="BZ12" s="205"/>
      <c r="CA12" s="106" t="str">
        <f>IFERROR((((COUNTIF('Elève (6ème3)'!BX13:BZ13,"A"))*4)+((COUNTIF('Elève (6ème3)'!BX13:BZ13,"B"))*3)+((COUNTIF('Elève (6ème3)'!BX13:BZ13,"C"))*2)+((COUNTIF('Elève (6ème3)'!BX13:BZ13,"D"))*1))/(COUNTA(BX13:BZ13)),"")</f>
        <v/>
      </c>
      <c r="CB12" s="121" t="str">
        <f t="shared" si="17"/>
        <v/>
      </c>
      <c r="CC12" s="100"/>
      <c r="CD12" s="187"/>
      <c r="CE12" s="188"/>
      <c r="CF12" s="106" t="str">
        <f>IFERROR((((COUNTIF('Elève (6ème3)'!CC13:CE13,"A"))*4)+((COUNTIF('Elève (6ème3)'!CC13:CE13,"B"))*3)+((COUNTIF('Elève (6ème3)'!CC13:CE13,"C"))*2)+((COUNTIF('Elève (6ème3)'!CC13:CE13,"D"))*1))/(COUNTA(CC13:CE13)),"")</f>
        <v/>
      </c>
      <c r="CG12" s="128" t="str">
        <f t="shared" si="18"/>
        <v/>
      </c>
      <c r="CH12" s="177">
        <f>IFERROR((((COUNTIF(BS13:BU13,"A")+COUNTIF(BX13:BZ13,"A")+COUNTIF(CC13:CE13,"A"))*4)+((COUNTIF(BS13:BU13,"B")+COUNTIF(BX13:BZ13,"B")+COUNTIF(CC13:CE13,"B"))*3)+((COUNTIF(BS13:BU13,"C")+COUNTIF(BX13:BZ13,"C")+COUNTIF(CC13:CE13,"C"))*2)+((COUNTIF(BS13:BU13,"D")+COUNTIF(BX13:BZ13,"D")+COUNTIF(CC13:CE13,"D"))*1))/(COUNTA(BS13:BU13)+COUNTA(BX13:BZ13)+COUNTA(CC13:CE13)),"")</f>
        <v>3</v>
      </c>
      <c r="CI12" s="130" t="str">
        <f t="shared" si="19"/>
        <v>B</v>
      </c>
      <c r="CJ12" s="152"/>
      <c r="CK12" s="185"/>
      <c r="CL12" s="185"/>
      <c r="CM12" s="106">
        <f>IFERROR((((COUNTIF('Elève (6ème3)'!CJ13:CL13,"A"))*4)+((COUNTIF('Elève (6ème3)'!CJ13:CL13,"B"))*3)+((COUNTIF('Elève (6ème3)'!CJ13:CL13,"C"))*2)+((COUNTIF('Elève (6ème3)'!CJ13:CL13,"D"))*1))/(COUNTA(CJ13:CL13)),"")</f>
        <v>4</v>
      </c>
      <c r="CN12" s="107" t="str">
        <f t="shared" si="20"/>
        <v>A</v>
      </c>
      <c r="CO12" s="204"/>
      <c r="CP12" s="186"/>
      <c r="CQ12" s="205"/>
      <c r="CR12" s="106" t="str">
        <f>IFERROR((((COUNTIF('Elève (6ème3)'!CO13:CQ13,"A"))*4)+((COUNTIF('Elève (6ème3)'!CO13:CQ13,"B"))*3)+((COUNTIF('Elève (6ème3)'!CO13:CQ13,"C"))*2)+((COUNTIF('Elève (6ème3)'!CO13:CQ13,"D"))*1))/(COUNTA(CO13:CQ13)),"")</f>
        <v/>
      </c>
      <c r="CS12" s="121" t="str">
        <f t="shared" si="21"/>
        <v/>
      </c>
      <c r="CT12" s="100"/>
      <c r="CU12" s="187"/>
      <c r="CV12" s="188"/>
      <c r="CW12" s="106" t="str">
        <f>IFERROR((((COUNTIF('Elève (6ème3)'!CT13:CV13,"A"))*4)+((COUNTIF('Elève (6ème3)'!CT13:CV13,"B"))*3)+((COUNTIF('Elève (6ème3)'!CT13:CV13,"C"))*2)+((COUNTIF('Elève (6ème3)'!CT13:CV13,"D"))*1))/(COUNTA(CT13:CV13)),"")</f>
        <v/>
      </c>
      <c r="CX12" s="128" t="str">
        <f t="shared" si="22"/>
        <v/>
      </c>
      <c r="CY12" s="177">
        <f>IFERROR((((COUNTIF(CJ13:CL13,"A")+COUNTIF(CO13:CQ13,"A")+COUNTIF(CT13:CV13,"A"))*4)+((COUNTIF(CJ13:CL13,"B")+COUNTIF(CO13:CQ13,"B")+COUNTIF(CT13:CV13,"B"))*3)+((COUNTIF(CJ13:CL13,"C")+COUNTIF(CO13:CQ13,"C")+COUNTIF(CT13:CV13,"C"))*2)+((COUNTIF(CJ13:CL13,"D")+COUNTIF(CO13:CQ13,"D")+COUNTIF(CT13:CV13,"D"))*1))/(COUNTA(CJ13:CL13)+COUNTA(CO13:CQ13)+COUNTA(CT13:CV13)),"")</f>
        <v>4</v>
      </c>
      <c r="CZ12" s="130" t="str">
        <f t="shared" si="23"/>
        <v>A</v>
      </c>
      <c r="DA12" s="152"/>
      <c r="DB12" s="185"/>
      <c r="DC12" s="185"/>
      <c r="DD12" s="106" t="str">
        <f>IFERROR((((COUNTIF('Elève (6ème3)'!DA13:DC13,"A"))*4)+((COUNTIF('Elève (6ème3)'!DA13:DC13,"B"))*3)+((COUNTIF('Elève (6ème3)'!DA13:DC13,"C"))*2)+((COUNTIF('Elève (6ème3)'!DA13:DC13,"D"))*1))/(COUNTA(DA13:DC13)),"")</f>
        <v/>
      </c>
      <c r="DE12" s="107" t="str">
        <f t="shared" si="24"/>
        <v/>
      </c>
      <c r="DF12" s="204"/>
      <c r="DG12" s="186"/>
      <c r="DH12" s="205"/>
      <c r="DI12" s="106" t="str">
        <f>IFERROR((((COUNTIF('Elève (6ème3)'!DF13:DH13,"A"))*4)+((COUNTIF('Elève (6ème3)'!DF13:DH13,"B"))*3)+((COUNTIF('Elève (6ème3)'!DF13:DH13,"C"))*2)+((COUNTIF('Elève (6ème3)'!DF13:DH13,"D"))*1))/(COUNTA(DF13:DH13)),"")</f>
        <v/>
      </c>
      <c r="DJ12" s="121" t="str">
        <f t="shared" si="25"/>
        <v/>
      </c>
      <c r="DK12" s="100"/>
      <c r="DL12" s="187"/>
      <c r="DM12" s="188"/>
      <c r="DN12" s="106" t="str">
        <f>IFERROR((((COUNTIF('Elève (6ème3)'!DK13:DM13,"A"))*4)+((COUNTIF('Elève (6ème3)'!DK13:DM13,"B"))*3)+((COUNTIF('Elève (6ème3)'!DK13:DM13,"C"))*2)+((COUNTIF('Elève (6ème3)'!DK13:DM13,"D"))*1))/(COUNTA(DK13:DM13)),"")</f>
        <v/>
      </c>
      <c r="DO12" s="128" t="str">
        <f t="shared" si="26"/>
        <v/>
      </c>
      <c r="DP12" s="177" t="str">
        <f>IFERROR((((COUNTIF(DA13:DC13,"A")+COUNTIF(DF13:DH13,"A")+COUNTIF(DK13:DM13,"A"))*4)+((COUNTIF(DA13:DC13,"B")+COUNTIF(DF13:DH13,"B")+COUNTIF(DK13:DM13,"B"))*3)+((COUNTIF(DA13:DC13,"C")+COUNTIF(DF13:DH13,"C")+COUNTIF(DK13:DM13,"C"))*2)+((COUNTIF(DA13:DC13,"D")+COUNTIF(DF13:DH13,"D")+COUNTIF(DK13:DM13,"D"))*1))/(COUNTA(DA13:DC13)+COUNTA(DF13:DH13)+COUNTA(DK13:DM13)),"")</f>
        <v/>
      </c>
      <c r="DQ12" s="130" t="str">
        <f t="shared" si="27"/>
        <v/>
      </c>
      <c r="DR12" s="152"/>
      <c r="DS12" s="185"/>
      <c r="DT12" s="185"/>
      <c r="DU12" s="106">
        <f>IFERROR((((COUNTIF('Elève (6ème3)'!DR13:DT13,"A"))*4)+((COUNTIF('Elève (6ème3)'!DR13:DT13,"B"))*3)+((COUNTIF('Elève (6ème3)'!DR13:DT13,"C"))*2)+((COUNTIF('Elève (6ème3)'!DR13:DT13,"D"))*1))/(COUNTA(DR13:DT13)),"")</f>
        <v>2</v>
      </c>
      <c r="DV12" s="107" t="str">
        <f t="shared" si="28"/>
        <v>C</v>
      </c>
      <c r="DW12" s="204"/>
      <c r="DX12" s="186"/>
      <c r="DY12" s="205"/>
      <c r="DZ12" s="106" t="str">
        <f>IFERROR((((COUNTIF('Elève (6ème3)'!DW13:DY13,"A"))*4)+((COUNTIF('Elève (6ème3)'!DW13:DY13,"B"))*3)+((COUNTIF('Elève (6ème3)'!DW13:DY13,"C"))*2)+((COUNTIF('Elève (6ème3)'!DW13:DY13,"D"))*1))/(COUNTA(DW13:DY13)),"")</f>
        <v/>
      </c>
      <c r="EA12" s="121" t="str">
        <f t="shared" si="29"/>
        <v/>
      </c>
      <c r="EB12" s="100"/>
      <c r="EC12" s="187"/>
      <c r="ED12" s="188"/>
      <c r="EE12" s="106" t="str">
        <f>IFERROR((((COUNTIF('Elève (6ème3)'!EB13:ED13,"A"))*4)+((COUNTIF('Elève (6ème3)'!EB13:ED13,"B"))*3)+((COUNTIF('Elève (6ème3)'!EB13:ED13,"C"))*2)+((COUNTIF('Elève (6ème3)'!EB13:ED13,"D"))*1))/(COUNTA(EB13:ED13)),"")</f>
        <v/>
      </c>
      <c r="EF12" s="128" t="str">
        <f t="shared" si="30"/>
        <v/>
      </c>
      <c r="EG12" s="177">
        <f>IFERROR((((COUNTIF(DR13:DT13,"A")+COUNTIF(DW13:DY13,"A")+COUNTIF(EB13:ED13,"A"))*4)+((COUNTIF(DR13:DT13,"B")+COUNTIF(DW13:DY13,"B")+COUNTIF(EB13:ED13,"B"))*3)+((COUNTIF(DR13:DT13,"C")+COUNTIF(DW13:DY13,"C")+COUNTIF(EB13:ED13,"C"))*2)+((COUNTIF(DR13:DT13,"D")+COUNTIF(DW13:DY13,"D")+COUNTIF(EB13:ED13,"D"))*1))/(COUNTA(DR13:DT13)+COUNTA(DW13:DY13)+COUNTA(EB13:ED13)),"")</f>
        <v>2</v>
      </c>
      <c r="EH12" s="130" t="str">
        <f t="shared" si="31"/>
        <v>C</v>
      </c>
      <c r="EI12" s="152"/>
      <c r="EJ12" s="185"/>
      <c r="EK12" s="185"/>
      <c r="EL12" s="106">
        <f>IFERROR((((COUNTIF('Elève (6ème3)'!EI13:EK13,"A"))*4)+((COUNTIF('Elève (6ème3)'!EI13:EK13,"B"))*3)+((COUNTIF('Elève (6ème3)'!EI13:EK13,"C"))*2)+((COUNTIF('Elève (6ème3)'!EI13:EK13,"D"))*1))/(COUNTA(EI13:EK13)),"")</f>
        <v>4</v>
      </c>
      <c r="EM12" s="107" t="str">
        <f t="shared" si="32"/>
        <v>A</v>
      </c>
      <c r="EN12" s="204"/>
      <c r="EO12" s="186"/>
      <c r="EP12" s="205"/>
      <c r="EQ12" s="106" t="str">
        <f>IFERROR((((COUNTIF('Elève (6ème3)'!EN13:EP13,"A"))*4)+((COUNTIF('Elève (6ème3)'!EN13:EP13,"B"))*3)+((COUNTIF('Elève (6ème3)'!EN13:EP13,"C"))*2)+((COUNTIF('Elève (6ème3)'!EN13:EP13,"D"))*1))/(COUNTA(EN13:EP13)),"")</f>
        <v/>
      </c>
      <c r="ER12" s="121" t="str">
        <f t="shared" si="33"/>
        <v/>
      </c>
      <c r="ES12" s="100"/>
      <c r="ET12" s="187"/>
      <c r="EU12" s="188"/>
      <c r="EV12" s="106" t="str">
        <f>IFERROR((((COUNTIF('Elève (6ème3)'!ES13:EU13,"A"))*4)+((COUNTIF('Elève (6ème3)'!ES13:EU13,"B"))*3)+((COUNTIF('Elève (6ème3)'!ES13:EU13,"C"))*2)+((COUNTIF('Elève (6ème3)'!ES13:EU13,"D"))*1))/(COUNTA(ES13:EU13)),"")</f>
        <v/>
      </c>
      <c r="EW12" s="128" t="str">
        <f t="shared" si="34"/>
        <v/>
      </c>
      <c r="EX12" s="177">
        <f>IFERROR((((COUNTIF(EI13:EK13,"A")+COUNTIF(EN13:EP13,"A")+COUNTIF(ES13:EU13,"A"))*4)+((COUNTIF(EI13:EK13,"B")+COUNTIF(EN13:EP13,"B")+COUNTIF(ES13:EU13,"B"))*3)+((COUNTIF(EI13:EK13,"C")+COUNTIF(EN13:EP13,"C")+COUNTIF(ES13:EU13,"C"))*2)+((COUNTIF(EI13:EK13,"D")+COUNTIF(EN13:EP13,"D")+COUNTIF(ES13:EU13,"D"))*1))/(COUNTA(EI13:EK13)+COUNTA(EN13:EP13)+COUNTA(ES13:EU13)),"")</f>
        <v>4</v>
      </c>
      <c r="EY12" s="130" t="str">
        <f t="shared" si="35"/>
        <v>A</v>
      </c>
      <c r="EZ12" s="152"/>
      <c r="FA12" s="185"/>
      <c r="FB12" s="185"/>
      <c r="FC12" s="106">
        <f>IFERROR((((COUNTIF('Elève (6ème3)'!EZ13:FB13,"A"))*4)+((COUNTIF('Elève (6ème3)'!EZ13:FB13,"B"))*3)+((COUNTIF('Elève (6ème3)'!EZ13:FB13,"C"))*2)+((COUNTIF('Elève (6ème3)'!EZ13:FB13,"D"))*1))/(COUNTA(EZ13:FB13)),"")</f>
        <v>4</v>
      </c>
      <c r="FD12" s="107" t="str">
        <f t="shared" si="36"/>
        <v>A</v>
      </c>
      <c r="FE12" s="204"/>
      <c r="FF12" s="186"/>
      <c r="FG12" s="205"/>
      <c r="FH12" s="106" t="str">
        <f>IFERROR((((COUNTIF('Elève (6ème3)'!FE13:FG13,"A"))*4)+((COUNTIF('Elève (6ème3)'!FE13:FG13,"B"))*3)+((COUNTIF('Elève (6ème3)'!FE13:FG13,"C"))*2)+((COUNTIF('Elève (6ème3)'!FE13:FG13,"D"))*1))/(COUNTA(FE13:FG13)),"")</f>
        <v/>
      </c>
      <c r="FI12" s="121" t="str">
        <f t="shared" si="37"/>
        <v/>
      </c>
      <c r="FJ12" s="100"/>
      <c r="FK12" s="187"/>
      <c r="FL12" s="188"/>
      <c r="FM12" s="106" t="str">
        <f>IFERROR((((COUNTIF('Elève (6ème3)'!FJ13:FL13,"A"))*4)+((COUNTIF('Elève (6ème3)'!FJ13:FL13,"B"))*3)+((COUNTIF('Elève (6ème3)'!FJ13:FL13,"C"))*2)+((COUNTIF('Elève (6ème3)'!FJ13:FL13,"D"))*1))/(COUNTA(FJ13:FL13)),"")</f>
        <v/>
      </c>
      <c r="FN12" s="128" t="str">
        <f t="shared" si="38"/>
        <v/>
      </c>
      <c r="FO12" s="177">
        <f>IFERROR((((COUNTIF(EZ13:FB13,"A")+COUNTIF(FE13:FG13,"A")+COUNTIF(FJ13:FL13,"A"))*4)+((COUNTIF(EZ13:FB13,"B")+COUNTIF(FE13:FG13,"B")+COUNTIF(FJ13:FL13,"B"))*3)+((COUNTIF(EZ13:FB13,"C")+COUNTIF(FE13:FG13,"C")+COUNTIF(FJ13:FL13,"C"))*2)+((COUNTIF(EZ13:FB13,"D")+COUNTIF(FE13:FG13,"D")+COUNTIF(FJ13:FL13,"D"))*1))/(COUNTA(EZ13:FB13)+COUNTA(FE13:FG13)+COUNTA(FJ13:FL13)),"")</f>
        <v>4</v>
      </c>
      <c r="FP12" s="130" t="str">
        <f t="shared" si="39"/>
        <v>A</v>
      </c>
      <c r="FQ12" s="152"/>
      <c r="FR12" s="185"/>
      <c r="FS12" s="185"/>
      <c r="FT12" s="106">
        <f>IFERROR((((COUNTIF('Elève (6ème3)'!FQ13:FS13,"A"))*4)+((COUNTIF('Elève (6ème3)'!FQ13:FS13,"B"))*3)+((COUNTIF('Elève (6ème3)'!FQ13:FS13,"C"))*2)+((COUNTIF('Elève (6ème3)'!FQ13:FS13,"D"))*1))/(COUNTA(FQ13:FS13)),"")</f>
        <v>4</v>
      </c>
      <c r="FU12" s="107" t="str">
        <f t="shared" si="40"/>
        <v>A</v>
      </c>
      <c r="FV12" s="204"/>
      <c r="FW12" s="186"/>
      <c r="FX12" s="205"/>
      <c r="FY12" s="106" t="str">
        <f>IFERROR((((COUNTIF('Elève (6ème3)'!FV13:FX13,"A"))*4)+((COUNTIF('Elève (6ème3)'!FV13:FX13,"B"))*3)+((COUNTIF('Elève (6ème3)'!FV13:FX13,"C"))*2)+((COUNTIF('Elève (6ème3)'!FV13:FX13,"D"))*1))/(COUNTA(FV13:FX13)),"")</f>
        <v/>
      </c>
      <c r="FZ12" s="121" t="str">
        <f t="shared" si="41"/>
        <v/>
      </c>
      <c r="GA12" s="100"/>
      <c r="GB12" s="187"/>
      <c r="GC12" s="188"/>
      <c r="GD12" s="106" t="str">
        <f>IFERROR((((COUNTIF('Elève (6ème3)'!GA13:GC13,"A"))*4)+((COUNTIF('Elève (6ème3)'!GA13:GC13,"B"))*3)+((COUNTIF('Elève (6ème3)'!GA13:GC13,"C"))*2)+((COUNTIF('Elève (6ème3)'!GA13:GC13,"D"))*1))/(COUNTA(GA13:GC13)),"")</f>
        <v/>
      </c>
      <c r="GE12" s="128" t="str">
        <f t="shared" si="42"/>
        <v/>
      </c>
      <c r="GF12" s="177">
        <f>IFERROR((((COUNTIF(FQ13:FS13,"A")+COUNTIF(FV13:FX13,"A")+COUNTIF(GA13:GC13,"A"))*4)+((COUNTIF(FQ13:FS13,"B")+COUNTIF(FV13:FX13,"B")+COUNTIF(GA13:GC13,"B"))*3)+((COUNTIF(FQ13:FS13,"C")+COUNTIF(FV13:FX13,"C")+COUNTIF(GA13:GC13,"C"))*2)+((COUNTIF(FQ13:FS13,"D")+COUNTIF(FV13:FX13,"D")+COUNTIF(GA13:GC13,"D"))*1))/(COUNTA(FQ13:FS13)+COUNTA(FV13:FX13)+COUNTA(GA13:GC13)),"")</f>
        <v>4</v>
      </c>
      <c r="GG12" s="130" t="str">
        <f t="shared" si="43"/>
        <v>A</v>
      </c>
      <c r="GH12" s="152"/>
      <c r="GI12" s="185"/>
      <c r="GJ12" s="185"/>
      <c r="GK12" s="106">
        <f>IFERROR((((COUNTIF('Elève (6ème3)'!GH13:GJ13,"A"))*4)+((COUNTIF('Elève (6ème3)'!GH13:GJ13,"B"))*3)+((COUNTIF('Elève (6ème3)'!GH13:GJ13,"C"))*2)+((COUNTIF('Elève (6ème3)'!GH13:GJ13,"D"))*1))/(COUNTA(GH13:GJ13)),"")</f>
        <v>4</v>
      </c>
      <c r="GL12" s="107" t="str">
        <f t="shared" si="44"/>
        <v>A</v>
      </c>
      <c r="GM12" s="204"/>
      <c r="GN12" s="186"/>
      <c r="GO12" s="205"/>
      <c r="GP12" s="106" t="str">
        <f>IFERROR((((COUNTIF('Elève (6ème3)'!GM13:GO13,"A"))*4)+((COUNTIF('Elève (6ème3)'!GM13:GO13,"B"))*3)+((COUNTIF('Elève (6ème3)'!GM13:GO13,"C"))*2)+((COUNTIF('Elève (6ème3)'!GM13:GO13,"D"))*1))/(COUNTA(GM13:GO13)),"")</f>
        <v/>
      </c>
      <c r="GQ12" s="121" t="str">
        <f t="shared" si="45"/>
        <v/>
      </c>
      <c r="GR12" s="100"/>
      <c r="GS12" s="187"/>
      <c r="GT12" s="188"/>
      <c r="GU12" s="106" t="str">
        <f>IFERROR((((COUNTIF('Elève (6ème3)'!GR13:GT13,"A"))*4)+((COUNTIF('Elève (6ème3)'!GR13:GT13,"B"))*3)+((COUNTIF('Elève (6ème3)'!GR13:GT13,"C"))*2)+((COUNTIF('Elève (6ème3)'!GR13:GT13,"D"))*1))/(COUNTA(GR13:GT13)),"")</f>
        <v/>
      </c>
      <c r="GV12" s="128" t="str">
        <f t="shared" si="46"/>
        <v/>
      </c>
      <c r="GW12" s="177">
        <f>IFERROR((((COUNTIF(GH13:GJ13,"A")+COUNTIF(GM13:GO13,"A")+COUNTIF(GR13:GT13,"A"))*4)+((COUNTIF(GH13:GJ13,"B")+COUNTIF(GM13:GO13,"B")+COUNTIF(GR13:GT13,"B"))*3)+((COUNTIF(GH13:GJ13,"C")+COUNTIF(GM13:GO13,"C")+COUNTIF(GR13:GT13,"C"))*2)+((COUNTIF(GH13:GJ13,"D")+COUNTIF(GM13:GO13,"D")+COUNTIF(GR13:GT13,"D"))*1))/(COUNTA(GH13:GJ13)+COUNTA(GM13:GO13)+COUNTA(GR13:GT13)),"")</f>
        <v>4</v>
      </c>
      <c r="GX12" s="130" t="str">
        <f t="shared" si="47"/>
        <v>A</v>
      </c>
      <c r="GY12" s="152"/>
      <c r="GZ12" s="185"/>
      <c r="HA12" s="185"/>
      <c r="HB12" s="106">
        <f>IFERROR((((COUNTIF('Elève (6ème3)'!GY13:HA13,"A"))*4)+((COUNTIF('Elève (6ème3)'!GY13:HA13,"B"))*3)+((COUNTIF('Elève (6ème3)'!GY13:HA13,"C"))*2)+((COUNTIF('Elève (6ème3)'!GY13:HA13,"D"))*1))/(COUNTA(GY13:HA13)),"")</f>
        <v>4</v>
      </c>
      <c r="HC12" s="107" t="str">
        <f t="shared" si="48"/>
        <v>A</v>
      </c>
      <c r="HD12" s="204"/>
      <c r="HE12" s="186"/>
      <c r="HF12" s="205"/>
      <c r="HG12" s="106" t="str">
        <f>IFERROR((((COUNTIF('Elève (6ème3)'!HD13:HF13,"A"))*4)+((COUNTIF('Elève (6ème3)'!HD13:HF13,"B"))*3)+((COUNTIF('Elève (6ème3)'!HD13:HF13,"C"))*2)+((COUNTIF('Elève (6ème3)'!HD13:HF13,"D"))*1))/(COUNTA(HD13:HF13)),"")</f>
        <v/>
      </c>
      <c r="HH12" s="121" t="str">
        <f t="shared" si="49"/>
        <v/>
      </c>
      <c r="HI12" s="100"/>
      <c r="HJ12" s="187"/>
      <c r="HK12" s="188"/>
      <c r="HL12" s="106" t="str">
        <f>IFERROR((((COUNTIF('Elève (6ème3)'!HI13:HK13,"A"))*4)+((COUNTIF('Elève (6ème3)'!HI13:HK13,"B"))*3)+((COUNTIF('Elève (6ème3)'!HI13:HK13,"C"))*2)+((COUNTIF('Elève (6ème3)'!HI13:HK13,"D"))*1))/(COUNTA(HI13:HK13)),"")</f>
        <v/>
      </c>
      <c r="HM12" s="128" t="str">
        <f t="shared" si="50"/>
        <v/>
      </c>
      <c r="HN12" s="177">
        <f>IFERROR((((COUNTIF(GY13:HA13,"A")+COUNTIF(HD13:HF13,"A")+COUNTIF(HI13:HK13,"A"))*4)+((COUNTIF(GY13:HA13,"B")+COUNTIF(HD13:HF13,"B")+COUNTIF(HI13:HK13,"B"))*3)+((COUNTIF(GY13:HA13,"C")+COUNTIF(HD13:HF13,"C")+COUNTIF(HI13:HK13,"C"))*2)+((COUNTIF(GY13:HA13,"D")+COUNTIF(HD13:HF13,"D")+COUNTIF(HI13:HK13,"D"))*1))/(COUNTA(GY13:HA13)+COUNTA(HD13:HF13)+COUNTA(HI13:HK13)),"")</f>
        <v>4</v>
      </c>
      <c r="HO12" s="130" t="str">
        <f t="shared" si="51"/>
        <v>A</v>
      </c>
      <c r="HP12" s="152"/>
      <c r="HQ12" s="185"/>
      <c r="HR12" s="185"/>
      <c r="HS12" s="106">
        <f>IFERROR((((COUNTIF('Elève (6ème3)'!HP13:HR13,"A"))*4)+((COUNTIF('Elève (6ème3)'!HP13:HR13,"B"))*3)+((COUNTIF('Elève (6ème3)'!HP13:HR13,"C"))*2)+((COUNTIF('Elève (6ème3)'!HP13:HR13,"D"))*1))/(COUNTA(HP13:HR13)),"")</f>
        <v>4</v>
      </c>
      <c r="HT12" s="107" t="str">
        <f t="shared" si="52"/>
        <v>A</v>
      </c>
      <c r="HU12" s="204"/>
      <c r="HV12" s="186"/>
      <c r="HW12" s="205"/>
      <c r="HX12" s="106" t="str">
        <f>IFERROR((((COUNTIF('Elève (6ème3)'!HU13:HW13,"A"))*4)+((COUNTIF('Elève (6ème3)'!HU13:HW13,"B"))*3)+((COUNTIF('Elève (6ème3)'!HU13:HW13,"C"))*2)+((COUNTIF('Elève (6ème3)'!HU13:HW13,"D"))*1))/(COUNTA(HU13:HW13)),"")</f>
        <v/>
      </c>
      <c r="HY12" s="121" t="str">
        <f t="shared" si="53"/>
        <v/>
      </c>
      <c r="HZ12" s="100"/>
      <c r="IA12" s="187"/>
      <c r="IB12" s="188"/>
      <c r="IC12" s="106" t="str">
        <f>IFERROR((((COUNTIF('Elève (6ème3)'!HZ13:IB13,"A"))*4)+((COUNTIF('Elève (6ème3)'!HZ13:IB13,"B"))*3)+((COUNTIF('Elève (6ème3)'!HZ13:IB13,"C"))*2)+((COUNTIF('Elève (6ème3)'!HZ13:IB13,"D"))*1))/(COUNTA(HZ13:IB13)),"")</f>
        <v/>
      </c>
      <c r="ID12" s="128" t="str">
        <f t="shared" si="54"/>
        <v/>
      </c>
      <c r="IE12" s="177">
        <f>IFERROR((((COUNTIF(HP13:HR13,"A")+COUNTIF(HU13:HW13,"A")+COUNTIF(HZ13:IB13,"A"))*4)+((COUNTIF(HP13:HR13,"B")+COUNTIF(HU13:HW13,"B")+COUNTIF(HZ13:IB13,"B"))*3)+((COUNTIF(HP13:HR13,"C")+COUNTIF(HU13:HW13,"C")+COUNTIF(HZ13:IB13,"C"))*2)+((COUNTIF(HP13:HR13,"D")+COUNTIF(HU13:HW13,"D")+COUNTIF(HZ13:IB13,"D"))*1))/(COUNTA(HP13:HR13)+COUNTA(HU13:HW13)+COUNTA(HZ13:IB13)),"")</f>
        <v>4</v>
      </c>
      <c r="IF12" s="130" t="str">
        <f t="shared" si="55"/>
        <v>A</v>
      </c>
      <c r="IG12" s="152"/>
      <c r="IH12" s="185"/>
      <c r="II12" s="185"/>
      <c r="IJ12" s="106">
        <f>IFERROR((((COUNTIF('Elève (6ème3)'!IG13:II13,"A"))*4)+((COUNTIF('Elève (6ème3)'!IG13:II13,"B"))*3)+((COUNTIF('Elève (6ème3)'!IG13:II13,"C"))*2)+((COUNTIF('Elève (6ème3)'!IG13:II13,"D"))*1))/(COUNTA(IG13:II13)),"")</f>
        <v>4</v>
      </c>
      <c r="IK12" s="107" t="str">
        <f t="shared" si="56"/>
        <v>A</v>
      </c>
      <c r="IL12" s="204"/>
      <c r="IM12" s="186"/>
      <c r="IN12" s="205"/>
      <c r="IO12" s="106" t="str">
        <f>IFERROR((((COUNTIF('Elève (6ème3)'!IL13:IN13,"A"))*4)+((COUNTIF('Elève (6ème3)'!IL13:IN13,"B"))*3)+((COUNTIF('Elève (6ème3)'!IL13:IN13,"C"))*2)+((COUNTIF('Elève (6ème3)'!IL13:IN13,"D"))*1))/(COUNTA(IL13:IN13)),"")</f>
        <v/>
      </c>
      <c r="IP12" s="121" t="str">
        <f t="shared" si="57"/>
        <v/>
      </c>
      <c r="IQ12" s="100"/>
      <c r="IR12" s="187"/>
      <c r="IS12" s="188"/>
      <c r="IT12" s="106" t="str">
        <f>IFERROR((((COUNTIF('Elève (6ème3)'!IQ13:IS13,"A"))*4)+((COUNTIF('Elève (6ème3)'!IQ13:IS13,"B"))*3)+((COUNTIF('Elève (6ème3)'!IQ13:IS13,"C"))*2)+((COUNTIF('Elève (6ème3)'!IQ13:IS13,"D"))*1))/(COUNTA(IQ13:IS13)),"")</f>
        <v/>
      </c>
      <c r="IU12" s="128" t="str">
        <f t="shared" si="58"/>
        <v/>
      </c>
      <c r="IV12" s="177">
        <f>IFERROR((((COUNTIF(IG13:II13,"A")+COUNTIF(IL13:IN13,"A")+COUNTIF(IQ13:IS13,"A"))*4)+((COUNTIF(IG13:II13,"B")+COUNTIF(IL13:IN13,"B")+COUNTIF(IQ13:IS13,"B"))*3)+((COUNTIF(IG13:II13,"C")+COUNTIF(IL13:IN13,"C")+COUNTIF(IQ13:IS13,"C"))*2)+((COUNTIF(IG13:II13,"D")+COUNTIF(IL13:IN13,"D")+COUNTIF(IQ13:IS13,"D"))*1))/(COUNTA(IG13:II13)+COUNTA(IL13:IN13)+COUNTA(IQ13:IS13)),"")</f>
        <v>4</v>
      </c>
      <c r="IW12" s="130" t="str">
        <f t="shared" si="59"/>
        <v>A</v>
      </c>
      <c r="IX12" s="152"/>
      <c r="IY12" s="185"/>
      <c r="IZ12" s="185"/>
      <c r="JA12" s="106">
        <f>IFERROR((((COUNTIF('Elève (6ème3)'!IX13:IZ13,"A"))*4)+((COUNTIF('Elève (6ème3)'!IX13:IZ13,"B"))*3)+((COUNTIF('Elève (6ème3)'!IX13:IZ13,"C"))*2)+((COUNTIF('Elève (6ème3)'!IX13:IZ13,"D"))*1))/(COUNTA(IX13:IZ13)),"")</f>
        <v>4</v>
      </c>
      <c r="JB12" s="107" t="str">
        <f t="shared" si="60"/>
        <v>A</v>
      </c>
      <c r="JC12" s="204"/>
      <c r="JD12" s="186"/>
      <c r="JE12" s="205"/>
      <c r="JF12" s="106" t="str">
        <f>IFERROR((((COUNTIF('Elève (6ème3)'!JC13:JE13,"A"))*4)+((COUNTIF('Elève (6ème3)'!JC13:JE13,"B"))*3)+((COUNTIF('Elève (6ème3)'!JC13:JE13,"C"))*2)+((COUNTIF('Elève (6ème3)'!JC13:JE13,"D"))*1))/(COUNTA(JC13:JE13)),"")</f>
        <v/>
      </c>
      <c r="JG12" s="121" t="str">
        <f t="shared" si="61"/>
        <v/>
      </c>
      <c r="JH12" s="100"/>
      <c r="JI12" s="187"/>
      <c r="JJ12" s="188"/>
      <c r="JK12" s="106" t="str">
        <f>IFERROR((((COUNTIF('Elève (6ème3)'!JH13:JJ13,"A"))*4)+((COUNTIF('Elève (6ème3)'!JH13:JJ13,"B"))*3)+((COUNTIF('Elève (6ème3)'!JH13:JJ13,"C"))*2)+((COUNTIF('Elève (6ème3)'!JH13:JJ13,"D"))*1))/(COUNTA(JH13:JJ13)),"")</f>
        <v/>
      </c>
      <c r="JL12" s="128" t="str">
        <f t="shared" si="62"/>
        <v/>
      </c>
      <c r="JM12" s="177">
        <f>IFERROR((((COUNTIF(IX13:IZ13,"A")+COUNTIF(JC13:JE13,"A")+COUNTIF(JH13:JJ13,"A"))*4)+((COUNTIF(IX13:IZ13,"B")+COUNTIF(JC13:JE13,"B")+COUNTIF(JH13:JJ13,"B"))*3)+((COUNTIF(IX13:IZ13,"C")+COUNTIF(JC13:JE13,"C")+COUNTIF(JH13:JJ13,"C"))*2)+((COUNTIF(IX13:IZ13,"D")+COUNTIF(JC13:JE13,"D")+COUNTIF(JH13:JJ13,"D"))*1))/(COUNTA(IX13:IZ13)+COUNTA(JC13:JE13)+COUNTA(JH13:JJ13)),"")</f>
        <v>4</v>
      </c>
      <c r="JN12" s="130" t="str">
        <f t="shared" si="63"/>
        <v>A</v>
      </c>
      <c r="JO12" s="152"/>
      <c r="JP12" s="185"/>
      <c r="JQ12" s="185"/>
      <c r="JR12" s="106">
        <f>IFERROR((((COUNTIF('Elève (6ème3)'!JO13:JQ13,"A"))*4)+((COUNTIF('Elève (6ème3)'!JO13:JQ13,"B"))*3)+((COUNTIF('Elève (6ème3)'!JO13:JQ13,"C"))*2)+((COUNTIF('Elève (6ème3)'!JO13:JQ13,"D"))*1))/(COUNTA(JO13:JQ13)),"")</f>
        <v>2</v>
      </c>
      <c r="JS12" s="107" t="str">
        <f t="shared" si="64"/>
        <v>C</v>
      </c>
      <c r="JT12" s="204"/>
      <c r="JU12" s="186"/>
      <c r="JV12" s="205"/>
      <c r="JW12" s="106" t="str">
        <f>IFERROR((((COUNTIF('Elève (6ème3)'!JT13:JV13,"A"))*4)+((COUNTIF('Elève (6ème3)'!JT13:JV13,"B"))*3)+((COUNTIF('Elève (6ème3)'!JT13:JV13,"C"))*2)+((COUNTIF('Elève (6ème3)'!JT13:JV13,"D"))*1))/(COUNTA(JT13:JV13)),"")</f>
        <v/>
      </c>
      <c r="JX12" s="121" t="str">
        <f t="shared" si="65"/>
        <v/>
      </c>
      <c r="JY12" s="100"/>
      <c r="JZ12" s="187"/>
      <c r="KA12" s="188"/>
      <c r="KB12" s="106" t="str">
        <f>IFERROR((((COUNTIF('Elève (6ème3)'!JY13:KA13,"A"))*4)+((COUNTIF('Elève (6ème3)'!JY13:KA13,"B"))*3)+((COUNTIF('Elève (6ème3)'!JY13:KA13,"C"))*2)+((COUNTIF('Elève (6ème3)'!JY13:KA13,"D"))*1))/(COUNTA(JY13:KA13)),"")</f>
        <v/>
      </c>
      <c r="KC12" s="128" t="str">
        <f t="shared" si="66"/>
        <v/>
      </c>
      <c r="KD12" s="177">
        <f>IFERROR((((COUNTIF(JO13:JQ13,"A")+COUNTIF(JT13:JV13,"A")+COUNTIF(JY13:KA13,"A"))*4)+((COUNTIF(JO13:JQ13,"B")+COUNTIF(JT13:JV13,"B")+COUNTIF(JY13:KA13,"B"))*3)+((COUNTIF(JO13:JQ13,"C")+COUNTIF(JT13:JV13,"C")+COUNTIF(JY13:KA13,"C"))*2)+((COUNTIF(JO13:JQ13,"D")+COUNTIF(JT13:JV13,"D")+COUNTIF(JY13:KA13,"D"))*1))/(COUNTA(JO13:JQ13)+COUNTA(JT13:JV13)+COUNTA(JY13:KA13)),"")</f>
        <v>2</v>
      </c>
      <c r="KE12" s="130" t="str">
        <f t="shared" si="67"/>
        <v>C</v>
      </c>
      <c r="KF12" s="152"/>
      <c r="KG12" s="185"/>
      <c r="KH12" s="185"/>
      <c r="KI12" s="106">
        <f>IFERROR((((COUNTIF('Elève (6ème3)'!KF13:KH13,"A"))*4)+((COUNTIF('Elève (6ème3)'!KF13:KH13,"B"))*3)+((COUNTIF('Elève (6ème3)'!KF13:KH13,"C"))*2)+((COUNTIF('Elève (6ème3)'!KF13:KH13,"D"))*1))/(COUNTA(KF13:KH13)),"")</f>
        <v>4</v>
      </c>
      <c r="KJ12" s="107" t="str">
        <f t="shared" si="68"/>
        <v>A</v>
      </c>
      <c r="KK12" s="204"/>
      <c r="KL12" s="186"/>
      <c r="KM12" s="205"/>
      <c r="KN12" s="106" t="str">
        <f>IFERROR((((COUNTIF('Elève (6ème3)'!KK13:KM13,"A"))*4)+((COUNTIF('Elève (6ème3)'!KK13:KM13,"B"))*3)+((COUNTIF('Elève (6ème3)'!KK13:KM13,"C"))*2)+((COUNTIF('Elève (6ème3)'!KK13:KM13,"D"))*1))/(COUNTA(KK13:KM13)),"")</f>
        <v/>
      </c>
      <c r="KO12" s="121" t="str">
        <f t="shared" si="69"/>
        <v/>
      </c>
      <c r="KP12" s="100"/>
      <c r="KQ12" s="187"/>
      <c r="KR12" s="188"/>
      <c r="KS12" s="106" t="str">
        <f>IFERROR((((COUNTIF('Elève (6ème3)'!KP13:KR13,"A"))*4)+((COUNTIF('Elève (6ème3)'!KP13:KR13,"B"))*3)+((COUNTIF('Elève (6ème3)'!KP13:KR13,"C"))*2)+((COUNTIF('Elève (6ème3)'!KP13:KR13,"D"))*1))/(COUNTA(KP13:KR13)),"")</f>
        <v/>
      </c>
      <c r="KT12" s="128" t="str">
        <f t="shared" si="70"/>
        <v/>
      </c>
      <c r="KU12" s="177">
        <f>IFERROR((((COUNTIF(KF13:KH13,"A")+COUNTIF(KK13:KM13,"A")+COUNTIF(KP13:KR13,"A"))*4)+((COUNTIF(KF13:KH13,"B")+COUNTIF(KK13:KM13,"B")+COUNTIF(KP13:KR13,"B"))*3)+((COUNTIF(KF13:KH13,"C")+COUNTIF(KK13:KM13,"C")+COUNTIF(KP13:KR13,"C"))*2)+((COUNTIF(KF13:KH13,"D")+COUNTIF(KK13:KM13,"D")+COUNTIF(KP13:KR13,"D"))*1))/(COUNTA(KF13:KH13)+COUNTA(KK13:KM13)+COUNTA(KP13:KR13)),"")</f>
        <v>4</v>
      </c>
      <c r="KV12" s="130" t="str">
        <f t="shared" si="71"/>
        <v>A</v>
      </c>
      <c r="KW12" s="152"/>
      <c r="KX12" s="185"/>
      <c r="KY12" s="185"/>
      <c r="KZ12" s="106">
        <f>IFERROR((((COUNTIF('Elève (6ème3)'!KW13:KY13,"A"))*4)+((COUNTIF('Elève (6ème3)'!KW13:KY13,"B"))*3)+((COUNTIF('Elève (6ème3)'!KW13:KY13,"C"))*2)+((COUNTIF('Elève (6ème3)'!KW13:KY13,"D"))*1))/(COUNTA(KW13:KY13)),"")</f>
        <v>4</v>
      </c>
      <c r="LA12" s="107" t="str">
        <f t="shared" si="72"/>
        <v>A</v>
      </c>
      <c r="LB12" s="204"/>
      <c r="LC12" s="186"/>
      <c r="LD12" s="205"/>
      <c r="LE12" s="106" t="str">
        <f>IFERROR((((COUNTIF('Elève (6ème3)'!LB13:LD13,"A"))*4)+((COUNTIF('Elève (6ème3)'!LB13:LD13,"B"))*3)+((COUNTIF('Elève (6ème3)'!LB13:LD13,"C"))*2)+((COUNTIF('Elève (6ème3)'!LB13:LD13,"D"))*1))/(COUNTA(LB13:LD13)),"")</f>
        <v/>
      </c>
      <c r="LF12" s="121" t="str">
        <f t="shared" si="73"/>
        <v/>
      </c>
      <c r="LG12" s="100"/>
      <c r="LH12" s="187"/>
      <c r="LI12" s="188"/>
      <c r="LJ12" s="106" t="str">
        <f>IFERROR((((COUNTIF('Elève (6ème3)'!LG13:LI13,"A"))*4)+((COUNTIF('Elève (6ème3)'!LG13:LI13,"B"))*3)+((COUNTIF('Elève (6ème3)'!LG13:LI13,"C"))*2)+((COUNTIF('Elève (6ème3)'!LG13:LI13,"D"))*1))/(COUNTA(LG13:LI13)),"")</f>
        <v/>
      </c>
      <c r="LK12" s="128" t="str">
        <f t="shared" si="74"/>
        <v/>
      </c>
      <c r="LL12" s="177">
        <f>IFERROR((((COUNTIF(KW13:KY13,"A")+COUNTIF(LB13:LD13,"A")+COUNTIF(LG13:LI13,"A"))*4)+((COUNTIF(KW13:KY13,"B")+COUNTIF(LB13:LD13,"B")+COUNTIF(LG13:LI13,"B"))*3)+((COUNTIF(KW13:KY13,"C")+COUNTIF(LB13:LD13,"C")+COUNTIF(LG13:LI13,"C"))*2)+((COUNTIF(KW13:KY13,"D")+COUNTIF(LB13:LD13,"D")+COUNTIF(LG13:LI13,"D"))*1))/(COUNTA(KW13:KY13)+COUNTA(LB13:LD13)+COUNTA(LG13:LI13)),"")</f>
        <v>4</v>
      </c>
      <c r="LM12" s="130" t="str">
        <f t="shared" si="75"/>
        <v>A</v>
      </c>
      <c r="LN12" s="152"/>
      <c r="LO12" s="185"/>
      <c r="LP12" s="185"/>
      <c r="LQ12" s="106">
        <f>IFERROR((((COUNTIF('Elève (6ème3)'!LN13:LP13,"A"))*4)+((COUNTIF('Elève (6ème3)'!LN13:LP13,"B"))*3)+((COUNTIF('Elève (6ème3)'!LN13:LP13,"C"))*2)+((COUNTIF('Elève (6ème3)'!LN13:LP13,"D"))*1))/(COUNTA(LN13:LP13)),"")</f>
        <v>4</v>
      </c>
      <c r="LR12" s="107" t="str">
        <f t="shared" si="76"/>
        <v>A</v>
      </c>
      <c r="LS12" s="204"/>
      <c r="LT12" s="186"/>
      <c r="LU12" s="205"/>
      <c r="LV12" s="106" t="str">
        <f>IFERROR((((COUNTIF('Elève (6ème3)'!LS13:LU13,"A"))*4)+((COUNTIF('Elève (6ème3)'!LS13:LU13,"B"))*3)+((COUNTIF('Elève (6ème3)'!LS13:LU13,"C"))*2)+((COUNTIF('Elève (6ème3)'!LS13:LU13,"D"))*1))/(COUNTA(LS13:LU13)),"")</f>
        <v/>
      </c>
      <c r="LW12" s="121" t="str">
        <f t="shared" si="77"/>
        <v/>
      </c>
      <c r="LX12" s="100"/>
      <c r="LY12" s="187"/>
      <c r="LZ12" s="188"/>
      <c r="MA12" s="106" t="str">
        <f>IFERROR((((COUNTIF('Elève (6ème3)'!LX13:LZ13,"A"))*4)+((COUNTIF('Elève (6ème3)'!LX13:LZ13,"B"))*3)+((COUNTIF('Elève (6ème3)'!LX13:LZ13,"C"))*2)+((COUNTIF('Elève (6ème3)'!LX13:LZ13,"D"))*1))/(COUNTA(LX13:LZ13)),"")</f>
        <v/>
      </c>
      <c r="MB12" s="128" t="str">
        <f t="shared" si="78"/>
        <v/>
      </c>
      <c r="MC12" s="177">
        <f>IFERROR((((COUNTIF(LN13:LP13,"A")+COUNTIF(LS13:LU13,"A")+COUNTIF(LX13:LZ13,"A"))*4)+((COUNTIF(LN13:LP13,"B")+COUNTIF(LS13:LU13,"B")+COUNTIF(LX13:LZ13,"B"))*3)+((COUNTIF(LN13:LP13,"C")+COUNTIF(LS13:LU13,"C")+COUNTIF(LX13:LZ13,"C"))*2)+((COUNTIF(LN13:LP13,"D")+COUNTIF(LS13:LU13,"D")+COUNTIF(LX13:LZ13,"D"))*1))/(COUNTA(LN13:LP13)+COUNTA(LS13:LU13)+COUNTA(LX13:LZ13)),"")</f>
        <v>4</v>
      </c>
      <c r="MD12" s="130" t="str">
        <f t="shared" si="79"/>
        <v>A</v>
      </c>
      <c r="ME12" s="152"/>
      <c r="MF12" s="185"/>
      <c r="MG12" s="185"/>
      <c r="MH12" s="106">
        <f>IFERROR((((COUNTIF('Elève (6ème3)'!ME13:MG13,"A"))*4)+((COUNTIF('Elève (6ème3)'!ME13:MG13,"B"))*3)+((COUNTIF('Elève (6ème3)'!ME13:MG13,"C"))*2)+((COUNTIF('Elève (6ème3)'!ME13:MG13,"D"))*1))/(COUNTA(ME13:MG13)),"")</f>
        <v>4</v>
      </c>
      <c r="MI12" s="107" t="str">
        <f t="shared" si="80"/>
        <v>A</v>
      </c>
      <c r="MJ12" s="204"/>
      <c r="MK12" s="186"/>
      <c r="ML12" s="205"/>
      <c r="MM12" s="106" t="str">
        <f>IFERROR((((COUNTIF('Elève (6ème3)'!MJ13:ML13,"A"))*4)+((COUNTIF('Elève (6ème3)'!MJ13:ML13,"B"))*3)+((COUNTIF('Elève (6ème3)'!MJ13:ML13,"C"))*2)+((COUNTIF('Elève (6ème3)'!MJ13:ML13,"D"))*1))/(COUNTA(MJ13:ML13)),"")</f>
        <v/>
      </c>
      <c r="MN12" s="121" t="str">
        <f t="shared" si="81"/>
        <v/>
      </c>
      <c r="MO12" s="100"/>
      <c r="MP12" s="187"/>
      <c r="MQ12" s="188"/>
      <c r="MR12" s="106" t="str">
        <f>IFERROR((((COUNTIF('Elève (6ème3)'!MO13:MQ13,"A"))*4)+((COUNTIF('Elève (6ème3)'!MO13:MQ13,"B"))*3)+((COUNTIF('Elève (6ème3)'!MO13:MQ13,"C"))*2)+((COUNTIF('Elève (6ème3)'!MO13:MQ13,"D"))*1))/(COUNTA(MO13:MQ13)),"")</f>
        <v/>
      </c>
      <c r="MS12" s="128" t="str">
        <f t="shared" si="82"/>
        <v/>
      </c>
      <c r="MT12" s="177">
        <f>IFERROR((((COUNTIF(ME13:MG13,"A")+COUNTIF(MJ13:ML13,"A")+COUNTIF(MO13:MQ13,"A"))*4)+((COUNTIF(ME13:MG13,"B")+COUNTIF(MJ13:ML13,"B")+COUNTIF(MO13:MQ13,"B"))*3)+((COUNTIF(ME13:MG13,"C")+COUNTIF(MJ13:ML13,"C")+COUNTIF(MO13:MQ13,"C"))*2)+((COUNTIF(ME13:MG13,"D")+COUNTIF(MJ13:ML13,"D")+COUNTIF(MO13:MQ13,"D"))*1))/(COUNTA(ME13:MG13)+COUNTA(MJ13:ML13)+COUNTA(MO13:MQ13)),"")</f>
        <v>4</v>
      </c>
      <c r="MU12" s="130" t="str">
        <f t="shared" si="83"/>
        <v>A</v>
      </c>
      <c r="MV12" s="152"/>
      <c r="MW12" s="185"/>
      <c r="MX12" s="185"/>
      <c r="MY12" s="106">
        <f>IFERROR((((COUNTIF('Elève (6ème3)'!MV13:MX13,"A"))*4)+((COUNTIF('Elève (6ème3)'!MV13:MX13,"B"))*3)+((COUNTIF('Elève (6ème3)'!MV13:MX13,"C"))*2)+((COUNTIF('Elève (6ème3)'!MV13:MX13,"D"))*1))/(COUNTA(MV13:MX13)),"")</f>
        <v>4</v>
      </c>
      <c r="MZ12" s="107" t="str">
        <f t="shared" si="84"/>
        <v>A</v>
      </c>
      <c r="NA12" s="204"/>
      <c r="NB12" s="186"/>
      <c r="NC12" s="205"/>
      <c r="ND12" s="106" t="str">
        <f>IFERROR((((COUNTIF('Elève (6ème3)'!NA13:NC13,"A"))*4)+((COUNTIF('Elève (6ème3)'!NA13:NC13,"B"))*3)+((COUNTIF('Elève (6ème3)'!NA13:NC13,"C"))*2)+((COUNTIF('Elève (6ème3)'!NA13:NC13,"D"))*1))/(COUNTA(NA13:NC13)),"")</f>
        <v/>
      </c>
      <c r="NE12" s="121" t="str">
        <f t="shared" si="85"/>
        <v/>
      </c>
      <c r="NF12" s="100"/>
      <c r="NG12" s="187"/>
      <c r="NH12" s="188"/>
      <c r="NI12" s="106" t="str">
        <f>IFERROR((((COUNTIF('Elève (6ème3)'!NF13:NH13,"A"))*4)+((COUNTIF('Elève (6ème3)'!NF13:NH13,"B"))*3)+((COUNTIF('Elève (6ème3)'!NF13:NH13,"C"))*2)+((COUNTIF('Elève (6ème3)'!NF13:NH13,"D"))*1))/(COUNTA(NF13:NH13)),"")</f>
        <v/>
      </c>
      <c r="NJ12" s="128" t="str">
        <f t="shared" si="86"/>
        <v/>
      </c>
      <c r="NK12" s="177">
        <f>IFERROR((((COUNTIF(MV13:MX13,"A")+COUNTIF(NA13:NC13,"A")+COUNTIF(NF13:NH13,"A"))*4)+((COUNTIF(MV13:MX13,"B")+COUNTIF(NA13:NC13,"B")+COUNTIF(NF13:NH13,"B"))*3)+((COUNTIF(MV13:MX13,"C")+COUNTIF(NA13:NC13,"C")+COUNTIF(NF13:NH13,"C"))*2)+((COUNTIF(MV13:MX13,"D")+COUNTIF(NA13:NC13,"D")+COUNTIF(NF13:NH13,"D"))*1))/(COUNTA(MV13:MX13)+COUNTA(NA13:NC13)+COUNTA(NF13:NH13)),"")</f>
        <v>4</v>
      </c>
      <c r="NL12" s="130" t="str">
        <f t="shared" si="87"/>
        <v>A</v>
      </c>
      <c r="NM12" s="152"/>
      <c r="NN12" s="185"/>
      <c r="NO12" s="185"/>
      <c r="NP12" s="106">
        <f>IFERROR((((COUNTIF('Elève (6ème3)'!NM13:NO13,"A"))*4)+((COUNTIF('Elève (6ème3)'!NM13:NO13,"B"))*3)+((COUNTIF('Elève (6ème3)'!NM13:NO13,"C"))*2)+((COUNTIF('Elève (6ème3)'!NM13:NO13,"D"))*1))/(COUNTA(NM13:NO13)),"")</f>
        <v>4</v>
      </c>
      <c r="NQ12" s="107" t="str">
        <f t="shared" si="88"/>
        <v>A</v>
      </c>
      <c r="NR12" s="204"/>
      <c r="NS12" s="186"/>
      <c r="NT12" s="205"/>
      <c r="NU12" s="106" t="str">
        <f>IFERROR((((COUNTIF('Elève (6ème3)'!NR13:NT13,"A"))*4)+((COUNTIF('Elève (6ème3)'!NR13:NT13,"B"))*3)+((COUNTIF('Elève (6ème3)'!NR13:NT13,"C"))*2)+((COUNTIF('Elève (6ème3)'!NR13:NT13,"D"))*1))/(COUNTA(NR13:NT13)),"")</f>
        <v/>
      </c>
      <c r="NV12" s="121" t="str">
        <f t="shared" si="89"/>
        <v/>
      </c>
      <c r="NW12" s="100"/>
      <c r="NX12" s="187"/>
      <c r="NY12" s="188"/>
      <c r="NZ12" s="106" t="str">
        <f>IFERROR((((COUNTIF('Elève (6ème3)'!NW13:NY13,"A"))*4)+((COUNTIF('Elève (6ème3)'!NW13:NY13,"B"))*3)+((COUNTIF('Elève (6ème3)'!NW13:NY13,"C"))*2)+((COUNTIF('Elève (6ème3)'!NW13:NY13,"D"))*1))/(COUNTA(NW13:NY13)),"")</f>
        <v/>
      </c>
      <c r="OA12" s="128" t="str">
        <f t="shared" si="90"/>
        <v/>
      </c>
      <c r="OB12" s="177">
        <f>IFERROR((((COUNTIF(NM13:NO13,"A")+COUNTIF(NR13:NT13,"A")+COUNTIF(NW13:NY13,"A"))*4)+((COUNTIF(NM13:NO13,"B")+COUNTIF(NR13:NT13,"B")+COUNTIF(NW13:NY13,"B"))*3)+((COUNTIF(NM13:NO13,"C")+COUNTIF(NR13:NT13,"C")+COUNTIF(NW13:NY13,"C"))*2)+((COUNTIF(NM13:NO13,"D")+COUNTIF(NR13:NT13,"D")+COUNTIF(NW13:NY13,"D"))*1))/(COUNTA(NM13:NO13)+COUNTA(NR13:NT13)+COUNTA(NW13:NY13)),"")</f>
        <v>4</v>
      </c>
      <c r="OC12" s="130" t="str">
        <f t="shared" si="91"/>
        <v>A</v>
      </c>
      <c r="OD12" s="152"/>
      <c r="OE12" s="185"/>
      <c r="OF12" s="185"/>
      <c r="OG12" s="106">
        <f>IFERROR((((COUNTIF('Elève (6ème3)'!OD13:OF13,"A"))*4)+((COUNTIF('Elève (6ème3)'!OD13:OF13,"B"))*3)+((COUNTIF('Elève (6ème3)'!OD13:OF13,"C"))*2)+((COUNTIF('Elève (6ème3)'!OD13:OF13,"D"))*1))/(COUNTA(OD13:OF13)),"")</f>
        <v>4</v>
      </c>
      <c r="OH12" s="107" t="str">
        <f t="shared" si="92"/>
        <v>A</v>
      </c>
      <c r="OI12" s="204"/>
      <c r="OJ12" s="186"/>
      <c r="OK12" s="205"/>
      <c r="OL12" s="106" t="str">
        <f>IFERROR((((COUNTIF('Elève (6ème3)'!OI13:OK13,"A"))*4)+((COUNTIF('Elève (6ème3)'!OI13:OK13,"B"))*3)+((COUNTIF('Elève (6ème3)'!OI13:OK13,"C"))*2)+((COUNTIF('Elève (6ème3)'!OI13:OK13,"D"))*1))/(COUNTA(OI13:OK13)),"")</f>
        <v/>
      </c>
      <c r="OM12" s="121" t="str">
        <f t="shared" si="93"/>
        <v/>
      </c>
      <c r="ON12" s="100"/>
      <c r="OO12" s="187"/>
      <c r="OP12" s="188"/>
      <c r="OQ12" s="106" t="str">
        <f>IFERROR((((COUNTIF('Elève (6ème3)'!ON13:OP13,"A"))*4)+((COUNTIF('Elève (6ème3)'!ON13:OP13,"B"))*3)+((COUNTIF('Elève (6ème3)'!ON13:OP13,"C"))*2)+((COUNTIF('Elève (6ème3)'!ON13:OP13,"D"))*1))/(COUNTA(ON13:OP13)),"")</f>
        <v/>
      </c>
      <c r="OR12" s="128" t="str">
        <f t="shared" si="94"/>
        <v/>
      </c>
      <c r="OS12" s="177">
        <f>IFERROR((((COUNTIF(OD13:OF13,"A")+COUNTIF(OI13:OK13,"A")+COUNTIF(ON13:OP13,"A"))*4)+((COUNTIF(OD13:OF13,"B")+COUNTIF(OI13:OK13,"B")+COUNTIF(ON13:OP13,"B"))*3)+((COUNTIF(OD13:OF13,"C")+COUNTIF(OI13:OK13,"C")+COUNTIF(ON13:OP13,"C"))*2)+((COUNTIF(OD13:OF13,"D")+COUNTIF(OI13:OK13,"D")+COUNTIF(ON13:OP13,"D"))*1))/(COUNTA(OD13:OF13)+COUNTA(OI13:OK13)+COUNTA(ON13:OP13)),"")</f>
        <v>4</v>
      </c>
      <c r="OT12" s="130" t="str">
        <f t="shared" si="95"/>
        <v>A</v>
      </c>
      <c r="OU12" s="152"/>
      <c r="OV12" s="185"/>
      <c r="OW12" s="185"/>
      <c r="OX12" s="106">
        <f>IFERROR((((COUNTIF('Elève (6ème3)'!OU13:OW13,"A"))*4)+((COUNTIF('Elève (6ème3)'!OU13:OW13,"B"))*3)+((COUNTIF('Elève (6ème3)'!OU13:OW13,"C"))*2)+((COUNTIF('Elève (6ème3)'!OU13:OW13,"D"))*1))/(COUNTA(OU13:OW13)),"")</f>
        <v>1</v>
      </c>
      <c r="OY12" s="107" t="str">
        <f t="shared" si="96"/>
        <v>D</v>
      </c>
      <c r="OZ12" s="204"/>
      <c r="PA12" s="186"/>
      <c r="PB12" s="205"/>
      <c r="PC12" s="106" t="str">
        <f>IFERROR((((COUNTIF('Elève (6ème3)'!OZ13:PB13,"A"))*4)+((COUNTIF('Elève (6ème3)'!OZ13:PB13,"B"))*3)+((COUNTIF('Elève (6ème3)'!OZ13:PB13,"C"))*2)+((COUNTIF('Elève (6ème3)'!OZ13:PB13,"D"))*1))/(COUNTA(OZ13:PB13)),"")</f>
        <v/>
      </c>
      <c r="PD12" s="121" t="str">
        <f t="shared" si="97"/>
        <v/>
      </c>
      <c r="PE12" s="100"/>
      <c r="PF12" s="187"/>
      <c r="PG12" s="188"/>
      <c r="PH12" s="106" t="str">
        <f>IFERROR((((COUNTIF('Elève (6ème3)'!PE13:PG13,"A"))*4)+((COUNTIF('Elève (6ème3)'!PE13:PG13,"B"))*3)+((COUNTIF('Elève (6ème3)'!PE13:PG13,"C"))*2)+((COUNTIF('Elève (6ème3)'!PE13:PG13,"D"))*1))/(COUNTA(PE13:PG13)),"")</f>
        <v/>
      </c>
      <c r="PI12" s="128" t="str">
        <f t="shared" si="98"/>
        <v/>
      </c>
      <c r="PJ12" s="177">
        <f>IFERROR((((COUNTIF(OU13:OW13,"A")+COUNTIF(OZ13:PB13,"A")+COUNTIF(PE13:PG13,"A"))*4)+((COUNTIF(OU13:OW13,"B")+COUNTIF(OZ13:PB13,"B")+COUNTIF(PE13:PG13,"B"))*3)+((COUNTIF(OU13:OW13,"C")+COUNTIF(OZ13:PB13,"C")+COUNTIF(PE13:PG13,"C"))*2)+((COUNTIF(OU13:OW13,"D")+COUNTIF(OZ13:PB13,"D")+COUNTIF(PE13:PG13,"D"))*1))/(COUNTA(OU13:OW13)+COUNTA(OZ13:PB13)+COUNTA(PE13:PG13)),"")</f>
        <v>1</v>
      </c>
      <c r="PK12" s="130" t="str">
        <f t="shared" si="99"/>
        <v>D</v>
      </c>
      <c r="PL12" s="152"/>
      <c r="PM12" s="185"/>
      <c r="PN12" s="185"/>
      <c r="PO12" s="106">
        <f>IFERROR((((COUNTIF('Elève (6ème3)'!PL13:PN13,"A"))*4)+((COUNTIF('Elève (6ème3)'!PL13:PN13,"B"))*3)+((COUNTIF('Elève (6ème3)'!PL13:PN13,"C"))*2)+((COUNTIF('Elève (6ème3)'!PL13:PN13,"D"))*1))/(COUNTA(PL13:PN13)),"")</f>
        <v>4</v>
      </c>
      <c r="PP12" s="107" t="str">
        <f t="shared" si="100"/>
        <v>A</v>
      </c>
      <c r="PQ12" s="204"/>
      <c r="PR12" s="186"/>
      <c r="PS12" s="205"/>
      <c r="PT12" s="106" t="str">
        <f>IFERROR((((COUNTIF('Elève (6ème3)'!PQ13:PS13,"A"))*4)+((COUNTIF('Elève (6ème3)'!PQ13:PS13,"B"))*3)+((COUNTIF('Elève (6ème3)'!PQ13:PS13,"C"))*2)+((COUNTIF('Elève (6ème3)'!PQ13:PS13,"D"))*1))/(COUNTA(PQ13:PS13)),"")</f>
        <v/>
      </c>
      <c r="PU12" s="121" t="str">
        <f t="shared" si="101"/>
        <v/>
      </c>
      <c r="PV12" s="100"/>
      <c r="PW12" s="187"/>
      <c r="PX12" s="188"/>
      <c r="PY12" s="106" t="str">
        <f>IFERROR((((COUNTIF('Elève (6ème3)'!PV13:PX13,"A"))*4)+((COUNTIF('Elève (6ème3)'!PV13:PX13,"B"))*3)+((COUNTIF('Elève (6ème3)'!PV13:PX13,"C"))*2)+((COUNTIF('Elève (6ème3)'!PV13:PX13,"D"))*1))/(COUNTA(PV13:PX13)),"")</f>
        <v/>
      </c>
      <c r="PZ12" s="128" t="str">
        <f t="shared" si="102"/>
        <v/>
      </c>
      <c r="QA12" s="177">
        <f>IFERROR((((COUNTIF(PL13:PN13,"A")+COUNTIF(PQ13:PS13,"A")+COUNTIF(PV13:PX13,"A"))*4)+((COUNTIF(PL13:PN13,"B")+COUNTIF(PQ13:PS13,"B")+COUNTIF(PV13:PX13,"B"))*3)+((COUNTIF(PL13:PN13,"C")+COUNTIF(PQ13:PS13,"C")+COUNTIF(PV13:PX13,"C"))*2)+((COUNTIF(PL13:PN13,"D")+COUNTIF(PQ13:PS13,"D")+COUNTIF(PV13:PX13,"D"))*1))/(COUNTA(PL13:PN13)+COUNTA(PQ13:PS13)+COUNTA(PV13:PX13)),"")</f>
        <v>4</v>
      </c>
      <c r="QB12" s="130" t="str">
        <f t="shared" si="103"/>
        <v>A</v>
      </c>
      <c r="QC12" s="152"/>
      <c r="QD12" s="185"/>
      <c r="QE12" s="185"/>
      <c r="QF12" s="106">
        <f>IFERROR((((COUNTIF('Elève (6ème3)'!QC13:QE13,"A"))*4)+((COUNTIF('Elève (6ème3)'!QC13:QE13,"B"))*3)+((COUNTIF('Elève (6ème3)'!QC13:QE13,"C"))*2)+((COUNTIF('Elève (6ème3)'!QC13:QE13,"D"))*1))/(COUNTA(QC13:QE13)),"")</f>
        <v>4</v>
      </c>
      <c r="QG12" s="107" t="str">
        <f t="shared" si="104"/>
        <v>A</v>
      </c>
      <c r="QH12" s="204"/>
      <c r="QI12" s="186"/>
      <c r="QJ12" s="205"/>
      <c r="QK12" s="106" t="str">
        <f>IFERROR((((COUNTIF('Elève (6ème3)'!QH13:QJ13,"A"))*4)+((COUNTIF('Elève (6ème3)'!QH13:QJ13,"B"))*3)+((COUNTIF('Elève (6ème3)'!QH13:QJ13,"C"))*2)+((COUNTIF('Elève (6ème3)'!QH13:QJ13,"D"))*1))/(COUNTA(QH13:QJ13)),"")</f>
        <v/>
      </c>
      <c r="QL12" s="121" t="str">
        <f t="shared" si="105"/>
        <v/>
      </c>
      <c r="QM12" s="100"/>
      <c r="QN12" s="187"/>
      <c r="QO12" s="188"/>
      <c r="QP12" s="106" t="str">
        <f>IFERROR((((COUNTIF('Elève (6ème3)'!QM13:QO13,"A"))*4)+((COUNTIF('Elève (6ème3)'!QM13:QO13,"B"))*3)+((COUNTIF('Elève (6ème3)'!QM13:QO13,"C"))*2)+((COUNTIF('Elève (6ème3)'!QM13:QO13,"D"))*1))/(COUNTA(QM13:QO13)),"")</f>
        <v/>
      </c>
      <c r="QQ12" s="128" t="str">
        <f t="shared" si="106"/>
        <v/>
      </c>
      <c r="QR12" s="177">
        <f>IFERROR((((COUNTIF(QC13:QE13,"A")+COUNTIF(QH13:QJ13,"A")+COUNTIF(QM13:QO13,"A"))*4)+((COUNTIF(QC13:QE13,"B")+COUNTIF(QH13:QJ13,"B")+COUNTIF(QM13:QO13,"B"))*3)+((COUNTIF(QC13:QE13,"C")+COUNTIF(QH13:QJ13,"C")+COUNTIF(QM13:QO13,"C"))*2)+((COUNTIF(QC13:QE13,"D")+COUNTIF(QH13:QJ13,"D")+COUNTIF(QM13:QO13,"D"))*1))/(COUNTA(QC13:QE13)+COUNTA(QH13:QJ13)+COUNTA(QM13:QO13)),"")</f>
        <v>4</v>
      </c>
      <c r="QS12" s="130" t="str">
        <f t="shared" si="107"/>
        <v>A</v>
      </c>
      <c r="QT12" s="152"/>
      <c r="QU12" s="185"/>
      <c r="QV12" s="185"/>
      <c r="QW12" s="106">
        <f>IFERROR((((COUNTIF('Elève (6ème3)'!QT13:QV13,"A"))*4)+((COUNTIF('Elève (6ème3)'!QT13:QV13,"B"))*3)+((COUNTIF('Elève (6ème3)'!QT13:QV13,"C"))*2)+((COUNTIF('Elève (6ème3)'!QT13:QV13,"D"))*1))/(COUNTA(QT13:QV13)),"")</f>
        <v>4</v>
      </c>
      <c r="QX12" s="107" t="str">
        <f t="shared" si="108"/>
        <v>A</v>
      </c>
      <c r="QY12" s="204"/>
      <c r="QZ12" s="186"/>
      <c r="RA12" s="205"/>
      <c r="RB12" s="106" t="str">
        <f>IFERROR((((COUNTIF('Elève (6ème3)'!QY13:RA13,"A"))*4)+((COUNTIF('Elève (6ème3)'!QY13:RA13,"B"))*3)+((COUNTIF('Elève (6ème3)'!QY13:RA13,"C"))*2)+((COUNTIF('Elève (6ème3)'!QY13:RA13,"D"))*1))/(COUNTA(QY13:RA13)),"")</f>
        <v/>
      </c>
      <c r="RC12" s="121" t="str">
        <f t="shared" si="109"/>
        <v/>
      </c>
      <c r="RD12" s="100"/>
      <c r="RE12" s="187"/>
      <c r="RF12" s="188"/>
      <c r="RG12" s="106" t="str">
        <f>IFERROR((((COUNTIF('Elève (6ème3)'!RD13:RF13,"A"))*4)+((COUNTIF('Elève (6ème3)'!RD13:RF13,"B"))*3)+((COUNTIF('Elève (6ème3)'!RD13:RF13,"C"))*2)+((COUNTIF('Elève (6ème3)'!RD13:RF13,"D"))*1))/(COUNTA(RD13:RF13)),"")</f>
        <v/>
      </c>
      <c r="RH12" s="128" t="str">
        <f t="shared" si="110"/>
        <v/>
      </c>
      <c r="RI12" s="177">
        <f>IFERROR((((COUNTIF(QT13:QV13,"A")+COUNTIF(QY13:RA13,"A")+COUNTIF(RD13:RF13,"A"))*4)+((COUNTIF(QT13:QV13,"B")+COUNTIF(QY13:RA13,"B")+COUNTIF(RD13:RF13,"B"))*3)+((COUNTIF(QT13:QV13,"C")+COUNTIF(QY13:RA13,"C")+COUNTIF(RD13:RF13,"C"))*2)+((COUNTIF(QT13:QV13,"D")+COUNTIF(QY13:RA13,"D")+COUNTIF(RD13:RF13,"D"))*1))/(COUNTA(QT13:QV13)+COUNTA(QY13:RA13)+COUNTA(RD13:RF13)),"")</f>
        <v>4</v>
      </c>
      <c r="RJ12" s="130" t="str">
        <f t="shared" si="111"/>
        <v>A</v>
      </c>
      <c r="RK12" s="152"/>
      <c r="RL12" s="185"/>
      <c r="RM12" s="185"/>
      <c r="RN12" s="106" t="str">
        <f>IFERROR((((COUNTIF('Elève (6ème3)'!RK13:RM13,"A"))*4)+((COUNTIF('Elève (6ème3)'!RK13:RM13,"B"))*3)+((COUNTIF('Elève (6ème3)'!RK13:RM13,"C"))*2)+((COUNTIF('Elève (6ème3)'!RK13:RM13,"D"))*1))/(COUNTA(RK13:RM13)),"")</f>
        <v/>
      </c>
      <c r="RO12" s="107" t="str">
        <f t="shared" si="112"/>
        <v/>
      </c>
      <c r="RP12" s="204"/>
      <c r="RQ12" s="186"/>
      <c r="RR12" s="205"/>
      <c r="RS12" s="106" t="str">
        <f>IFERROR((((COUNTIF('Elève (6ème3)'!RP13:RR13,"A"))*4)+((COUNTIF('Elève (6ème3)'!RP13:RR13,"B"))*3)+((COUNTIF('Elève (6ème3)'!RP13:RR13,"C"))*2)+((COUNTIF('Elève (6ème3)'!RP13:RR13,"D"))*1))/(COUNTA(RP13:RR13)),"")</f>
        <v/>
      </c>
      <c r="RT12" s="121" t="str">
        <f t="shared" si="113"/>
        <v/>
      </c>
      <c r="RU12" s="100"/>
      <c r="RV12" s="187"/>
      <c r="RW12" s="188"/>
      <c r="RX12" s="106" t="str">
        <f>IFERROR((((COUNTIF('Elève (6ème3)'!RU13:RW13,"A"))*4)+((COUNTIF('Elève (6ème3)'!RU13:RW13,"B"))*3)+((COUNTIF('Elève (6ème3)'!RU13:RW13,"C"))*2)+((COUNTIF('Elève (6ème3)'!RU13:RW13,"D"))*1))/(COUNTA(RU13:RW13)),"")</f>
        <v/>
      </c>
      <c r="RY12" s="128" t="str">
        <f t="shared" si="114"/>
        <v/>
      </c>
      <c r="RZ12" s="177" t="str">
        <f>IFERROR((((COUNTIF(RK13:RM13,"A")+COUNTIF(RP13:RR13,"A")+COUNTIF(RU13:RW13,"A"))*4)+((COUNTIF(RK13:RM13,"B")+COUNTIF(RP13:RR13,"B")+COUNTIF(RU13:RW13,"B"))*3)+((COUNTIF(RK13:RM13,"C")+COUNTIF(RP13:RR13,"C")+COUNTIF(RU13:RW13,"C"))*2)+((COUNTIF(RK13:RM13,"D")+COUNTIF(RP13:RR13,"D")+COUNTIF(RU13:RW13,"D"))*1))/(COUNTA(RK13:RM13)+COUNTA(RP13:RR13)+COUNTA(RU13:RW13)),"")</f>
        <v/>
      </c>
      <c r="SA12" s="130" t="str">
        <f t="shared" si="115"/>
        <v/>
      </c>
      <c r="SB12" s="152"/>
      <c r="SC12" s="185"/>
      <c r="SD12" s="185"/>
      <c r="SE12" s="106" t="str">
        <f>IFERROR((((COUNTIF('Elève (6ème3)'!SB13:SD13,"A"))*4)+((COUNTIF('Elève (6ème3)'!SB13:SD13,"B"))*3)+((COUNTIF('Elève (6ème3)'!SB13:SD13,"C"))*2)+((COUNTIF('Elève (6ème3)'!SB13:SD13,"D"))*1))/(COUNTA(SB13:SD13)),"")</f>
        <v/>
      </c>
      <c r="SF12" s="107" t="str">
        <f t="shared" si="116"/>
        <v/>
      </c>
      <c r="SG12" s="204"/>
      <c r="SH12" s="186"/>
      <c r="SI12" s="205"/>
      <c r="SJ12" s="106" t="str">
        <f>IFERROR((((COUNTIF('Elève (6ème3)'!SG13:SI13,"A"))*4)+((COUNTIF('Elève (6ème3)'!SG13:SI13,"B"))*3)+((COUNTIF('Elève (6ème3)'!SG13:SI13,"C"))*2)+((COUNTIF('Elève (6ème3)'!SG13:SI13,"D"))*1))/(COUNTA(SG13:SI13)),"")</f>
        <v/>
      </c>
      <c r="SK12" s="121" t="str">
        <f t="shared" si="117"/>
        <v/>
      </c>
      <c r="SL12" s="100"/>
      <c r="SM12" s="187"/>
      <c r="SN12" s="188"/>
      <c r="SO12" s="106" t="str">
        <f>IFERROR((((COUNTIF('Elève (6ème3)'!SL13:SN13,"A"))*4)+((COUNTIF('Elève (6ème3)'!SL13:SN13,"B"))*3)+((COUNTIF('Elève (6ème3)'!SL13:SN13,"C"))*2)+((COUNTIF('Elève (6ème3)'!SL13:SN13,"D"))*1))/(COUNTA(SL13:SN13)),"")</f>
        <v/>
      </c>
      <c r="SP12" s="128" t="str">
        <f t="shared" si="118"/>
        <v/>
      </c>
      <c r="SQ12" s="177" t="str">
        <f>IFERROR((((COUNTIF(SB13:SD13,"A")+COUNTIF(SG13:SI13,"A")+COUNTIF(SL13:SN13,"A"))*4)+((COUNTIF(SB13:SD13,"B")+COUNTIF(SG13:SI13,"B")+COUNTIF(SL13:SN13,"B"))*3)+((COUNTIF(SB13:SD13,"C")+COUNTIF(SG13:SI13,"C")+COUNTIF(SL13:SN13,"C"))*2)+((COUNTIF(SB13:SD13,"D")+COUNTIF(SG13:SI13,"D")+COUNTIF(SL13:SN13,"D"))*1))/(COUNTA(SB13:SD13)+COUNTA(SG13:SI13)+COUNTA(SL13:SN13)),"")</f>
        <v/>
      </c>
      <c r="SR12" s="130" t="str">
        <f t="shared" si="119"/>
        <v/>
      </c>
    </row>
    <row r="13" spans="1:512" s="72" customFormat="1" ht="18" customHeight="1" thickBot="1" x14ac:dyDescent="0.3">
      <c r="A13" s="240" t="s">
        <v>16</v>
      </c>
      <c r="B13" s="241"/>
      <c r="C13" s="156"/>
      <c r="D13" s="157" t="s">
        <v>26</v>
      </c>
      <c r="E13" s="158"/>
      <c r="F13" s="108">
        <f>IFERROR((((COUNTIF('Elève (6ème3)'!C13:E13,"A"))*4)+((COUNTIF('Elève (6ème3)'!C13:E13,"B"))*3)+((COUNTIF('Elève (6ème3)'!C13:E13,"C"))*2)+((COUNTIF('Elève (6ème3)'!C13:E13,"D"))*1))/(COUNTA(C13:E13)),"")</f>
        <v>2</v>
      </c>
      <c r="G13" s="109" t="str">
        <f t="shared" si="0"/>
        <v>C</v>
      </c>
      <c r="H13" s="81"/>
      <c r="I13" s="82"/>
      <c r="J13" s="83"/>
      <c r="K13" s="108" t="str">
        <f>IFERROR((((COUNTIF('Elève (6ème3)'!H13:J13,"A"))*4)+((COUNTIF('Elève (6ème3)'!H13:J13,"B"))*3)+((COUNTIF('Elève (6ème3)'!H13:J13,"C"))*2)+((COUNTIF('Elève (6ème3)'!H13:J13,"D"))*1))/(COUNTA(H13:J13)),"")</f>
        <v/>
      </c>
      <c r="L13" s="109" t="str">
        <f t="shared" si="1"/>
        <v/>
      </c>
      <c r="M13" s="81"/>
      <c r="N13" s="82"/>
      <c r="O13" s="83"/>
      <c r="P13" s="108" t="str">
        <f>IFERROR((((COUNTIF('Elève (6ème3)'!M13:O13,"A"))*4)+((COUNTIF('Elève (6ème3)'!M13:O13,"B"))*3)+((COUNTIF('Elève (6ème3)'!M13:O13,"C"))*2)+((COUNTIF('Elève (6ème3)'!M13:O13,"D"))*1))/(COUNTA(M13:O13)),"")</f>
        <v/>
      </c>
      <c r="Q13" s="139" t="str">
        <f t="shared" si="2"/>
        <v/>
      </c>
      <c r="R13" s="178">
        <f>IF(COUNT(F13,K13,P13)=0,"",SUM(F13,K13,P13)/COUNT(F13,K13,P13))</f>
        <v>2</v>
      </c>
      <c r="S13" s="131" t="str">
        <f t="shared" si="3"/>
        <v>C</v>
      </c>
      <c r="T13" s="156"/>
      <c r="U13" s="157" t="s">
        <v>24</v>
      </c>
      <c r="V13" s="158"/>
      <c r="W13" s="108">
        <f>IFERROR((((COUNTIF('Elève (6ème3)'!T13:V13,"A"))*4)+((COUNTIF('Elève (6ème3)'!T13:V13,"B"))*3)+((COUNTIF('Elève (6ème3)'!T13:V13,"C"))*2)+((COUNTIF('Elève (6ème3)'!T13:V13,"D"))*1))/(COUNTA(T13:V13)),"")</f>
        <v>4</v>
      </c>
      <c r="X13" s="109" t="str">
        <f t="shared" si="4"/>
        <v>A</v>
      </c>
      <c r="Y13" s="81"/>
      <c r="Z13" s="82"/>
      <c r="AA13" s="83"/>
      <c r="AB13" s="108" t="str">
        <f>IFERROR((((COUNTIF('Elève (6ème3)'!Y13:AA13,"A"))*4)+((COUNTIF('Elève (6ème3)'!Y13:AA13,"B"))*3)+((COUNTIF('Elève (6ème3)'!Y13:AA13,"C"))*2)+((COUNTIF('Elève (6ème3)'!Y13:AA13,"D"))*1))/(COUNTA(Y13:AA13)),"")</f>
        <v/>
      </c>
      <c r="AC13" s="109" t="str">
        <f t="shared" si="5"/>
        <v/>
      </c>
      <c r="AD13" s="81"/>
      <c r="AE13" s="82"/>
      <c r="AF13" s="83"/>
      <c r="AG13" s="108" t="str">
        <f>IFERROR((((COUNTIF('Elève (6ème3)'!AD13:AF13,"A"))*4)+((COUNTIF('Elève (6ème3)'!AD13:AF13,"B"))*3)+((COUNTIF('Elève (6ème3)'!AD13:AF13,"C"))*2)+((COUNTIF('Elève (6ème3)'!AD13:AF13,"D"))*1))/(COUNTA(AD13:AF13)),"")</f>
        <v/>
      </c>
      <c r="AH13" s="139" t="str">
        <f t="shared" si="6"/>
        <v/>
      </c>
      <c r="AI13" s="178">
        <f>IF(COUNT(W13,AB13,AG13)=0,"",SUM(W13,AB13,AG13)/COUNT(W13,AB13,AG13))</f>
        <v>4</v>
      </c>
      <c r="AJ13" s="131" t="str">
        <f t="shared" si="7"/>
        <v>A</v>
      </c>
      <c r="AK13" s="156"/>
      <c r="AL13" s="157" t="s">
        <v>24</v>
      </c>
      <c r="AM13" s="158"/>
      <c r="AN13" s="108">
        <f>IFERROR((((COUNTIF('Elève (6ème3)'!AK13:AM13,"A"))*4)+((COUNTIF('Elève (6ème3)'!AK13:AM13,"B"))*3)+((COUNTIF('Elève (6ème3)'!AK13:AM13,"C"))*2)+((COUNTIF('Elève (6ème3)'!AK13:AM13,"D"))*1))/(COUNTA(AK13:AM13)),"")</f>
        <v>4</v>
      </c>
      <c r="AO13" s="109" t="str">
        <f t="shared" si="8"/>
        <v>A</v>
      </c>
      <c r="AP13" s="81"/>
      <c r="AQ13" s="82"/>
      <c r="AR13" s="83"/>
      <c r="AS13" s="108" t="str">
        <f>IFERROR((((COUNTIF('Elève (6ème3)'!AP13:AR13,"A"))*4)+((COUNTIF('Elève (6ème3)'!AP13:AR13,"B"))*3)+((COUNTIF('Elève (6ème3)'!AP13:AR13,"C"))*2)+((COUNTIF('Elève (6ème3)'!AP13:AR13,"D"))*1))/(COUNTA(AP13:AR13)),"")</f>
        <v/>
      </c>
      <c r="AT13" s="109" t="str">
        <f t="shared" si="9"/>
        <v/>
      </c>
      <c r="AU13" s="81"/>
      <c r="AV13" s="82"/>
      <c r="AW13" s="83"/>
      <c r="AX13" s="108" t="str">
        <f>IFERROR((((COUNTIF('Elève (6ème3)'!AU13:AW13,"A"))*4)+((COUNTIF('Elève (6ème3)'!AU13:AW13,"B"))*3)+((COUNTIF('Elève (6ème3)'!AU13:AW13,"C"))*2)+((COUNTIF('Elève (6ème3)'!AU13:AW13,"D"))*1))/(COUNTA(AU13:AW13)),"")</f>
        <v/>
      </c>
      <c r="AY13" s="139" t="str">
        <f t="shared" si="10"/>
        <v/>
      </c>
      <c r="AZ13" s="178">
        <f>IF(COUNT(AN13,AS13,AX13)=0,"",SUM(AN13,AS13,AX13)/COUNT(AN13,AS13,AX13))</f>
        <v>4</v>
      </c>
      <c r="BA13" s="131" t="str">
        <f t="shared" si="11"/>
        <v>A</v>
      </c>
      <c r="BB13" s="156"/>
      <c r="BC13" s="157" t="s">
        <v>24</v>
      </c>
      <c r="BD13" s="158"/>
      <c r="BE13" s="108">
        <f>IFERROR((((COUNTIF('Elève (6ème3)'!BB13:BD13,"A"))*4)+((COUNTIF('Elève (6ème3)'!BB13:BD13,"B"))*3)+((COUNTIF('Elève (6ème3)'!BB13:BD13,"C"))*2)+((COUNTIF('Elève (6ème3)'!BB13:BD13,"D"))*1))/(COUNTA(BB13:BD13)),"")</f>
        <v>4</v>
      </c>
      <c r="BF13" s="109" t="str">
        <f t="shared" si="12"/>
        <v>A</v>
      </c>
      <c r="BG13" s="81"/>
      <c r="BH13" s="82"/>
      <c r="BI13" s="83"/>
      <c r="BJ13" s="108" t="str">
        <f>IFERROR((((COUNTIF('Elève (6ème3)'!BG13:BI13,"A"))*4)+((COUNTIF('Elève (6ème3)'!BG13:BI13,"B"))*3)+((COUNTIF('Elève (6ème3)'!BG13:BI13,"C"))*2)+((COUNTIF('Elève (6ème3)'!BG13:BI13,"D"))*1))/(COUNTA(BG13:BI13)),"")</f>
        <v/>
      </c>
      <c r="BK13" s="109" t="str">
        <f t="shared" si="13"/>
        <v/>
      </c>
      <c r="BL13" s="81"/>
      <c r="BM13" s="82"/>
      <c r="BN13" s="83"/>
      <c r="BO13" s="108" t="str">
        <f>IFERROR((((COUNTIF('Elève (6ème3)'!BL13:BN13,"A"))*4)+((COUNTIF('Elève (6ème3)'!BL13:BN13,"B"))*3)+((COUNTIF('Elève (6ème3)'!BL13:BN13,"C"))*2)+((COUNTIF('Elève (6ème3)'!BL13:BN13,"D"))*1))/(COUNTA(BL13:BN13)),"")</f>
        <v/>
      </c>
      <c r="BP13" s="139" t="str">
        <f t="shared" si="14"/>
        <v/>
      </c>
      <c r="BQ13" s="178">
        <f>IF(COUNT(BE13,BJ13,BO13)=0,"",SUM(BE13,BJ13,BO13)/COUNT(BE13,BJ13,BO13))</f>
        <v>4</v>
      </c>
      <c r="BR13" s="131" t="str">
        <f t="shared" si="15"/>
        <v>A</v>
      </c>
      <c r="BS13" s="156"/>
      <c r="BT13" s="157" t="s">
        <v>25</v>
      </c>
      <c r="BU13" s="158"/>
      <c r="BV13" s="108">
        <f>IFERROR((((COUNTIF('Elève (6ème3)'!BS13:BU13,"A"))*4)+((COUNTIF('Elève (6ème3)'!BS13:BU13,"B"))*3)+((COUNTIF('Elève (6ème3)'!BS13:BU13,"C"))*2)+((COUNTIF('Elève (6ème3)'!BS13:BU13,"D"))*1))/(COUNTA(BS13:BU13)),"")</f>
        <v>3</v>
      </c>
      <c r="BW13" s="109" t="str">
        <f t="shared" si="16"/>
        <v>B</v>
      </c>
      <c r="BX13" s="81"/>
      <c r="BY13" s="82"/>
      <c r="BZ13" s="83"/>
      <c r="CA13" s="108" t="str">
        <f>IFERROR((((COUNTIF('Elève (6ème3)'!BX13:BZ13,"A"))*4)+((COUNTIF('Elève (6ème3)'!BX13:BZ13,"B"))*3)+((COUNTIF('Elève (6ème3)'!BX13:BZ13,"C"))*2)+((COUNTIF('Elève (6ème3)'!BX13:BZ13,"D"))*1))/(COUNTA(BX13:BZ13)),"")</f>
        <v/>
      </c>
      <c r="CB13" s="109" t="str">
        <f t="shared" si="17"/>
        <v/>
      </c>
      <c r="CC13" s="81"/>
      <c r="CD13" s="82"/>
      <c r="CE13" s="83"/>
      <c r="CF13" s="108" t="str">
        <f>IFERROR((((COUNTIF('Elève (6ème3)'!CC13:CE13,"A"))*4)+((COUNTIF('Elève (6ème3)'!CC13:CE13,"B"))*3)+((COUNTIF('Elève (6ème3)'!CC13:CE13,"C"))*2)+((COUNTIF('Elève (6ème3)'!CC13:CE13,"D"))*1))/(COUNTA(CC13:CE13)),"")</f>
        <v/>
      </c>
      <c r="CG13" s="139" t="str">
        <f t="shared" si="18"/>
        <v/>
      </c>
      <c r="CH13" s="178">
        <f>IF(COUNT(BV13,CA13,CF13)=0,"",SUM(BV13,CA13,CF13)/COUNT(BV13,CA13,CF13))</f>
        <v>3</v>
      </c>
      <c r="CI13" s="131" t="str">
        <f t="shared" si="19"/>
        <v>B</v>
      </c>
      <c r="CJ13" s="156"/>
      <c r="CK13" s="157" t="s">
        <v>24</v>
      </c>
      <c r="CL13" s="158"/>
      <c r="CM13" s="108">
        <f>IFERROR((((COUNTIF('Elève (6ème3)'!CJ13:CL13,"A"))*4)+((COUNTIF('Elève (6ème3)'!CJ13:CL13,"B"))*3)+((COUNTIF('Elève (6ème3)'!CJ13:CL13,"C"))*2)+((COUNTIF('Elève (6ème3)'!CJ13:CL13,"D"))*1))/(COUNTA(CJ13:CL13)),"")</f>
        <v>4</v>
      </c>
      <c r="CN13" s="109" t="str">
        <f t="shared" si="20"/>
        <v>A</v>
      </c>
      <c r="CO13" s="81"/>
      <c r="CP13" s="82"/>
      <c r="CQ13" s="83"/>
      <c r="CR13" s="108" t="str">
        <f>IFERROR((((COUNTIF('Elève (6ème3)'!CO13:CQ13,"A"))*4)+((COUNTIF('Elève (6ème3)'!CO13:CQ13,"B"))*3)+((COUNTIF('Elève (6ème3)'!CO13:CQ13,"C"))*2)+((COUNTIF('Elève (6ème3)'!CO13:CQ13,"D"))*1))/(COUNTA(CO13:CQ13)),"")</f>
        <v/>
      </c>
      <c r="CS13" s="109" t="str">
        <f t="shared" si="21"/>
        <v/>
      </c>
      <c r="CT13" s="81"/>
      <c r="CU13" s="82"/>
      <c r="CV13" s="83"/>
      <c r="CW13" s="108" t="str">
        <f>IFERROR((((COUNTIF('Elève (6ème3)'!CT13:CV13,"A"))*4)+((COUNTIF('Elève (6ème3)'!CT13:CV13,"B"))*3)+((COUNTIF('Elève (6ème3)'!CT13:CV13,"C"))*2)+((COUNTIF('Elève (6ème3)'!CT13:CV13,"D"))*1))/(COUNTA(CT13:CV13)),"")</f>
        <v/>
      </c>
      <c r="CX13" s="139" t="str">
        <f t="shared" si="22"/>
        <v/>
      </c>
      <c r="CY13" s="178">
        <f>IF(COUNT(CM13,CR13,CW13)=0,"",SUM(CM13,CR13,CW13)/COUNT(CM13,CR13,CW13))</f>
        <v>4</v>
      </c>
      <c r="CZ13" s="131" t="str">
        <f t="shared" si="23"/>
        <v>A</v>
      </c>
      <c r="DA13" s="156"/>
      <c r="DB13" s="157"/>
      <c r="DC13" s="158"/>
      <c r="DD13" s="108" t="str">
        <f>IFERROR((((COUNTIF('Elève (6ème3)'!DA13:DC13,"A"))*4)+((COUNTIF('Elève (6ème3)'!DA13:DC13,"B"))*3)+((COUNTIF('Elève (6ème3)'!DA13:DC13,"C"))*2)+((COUNTIF('Elève (6ème3)'!DA13:DC13,"D"))*1))/(COUNTA(DA13:DC13)),"")</f>
        <v/>
      </c>
      <c r="DE13" s="109" t="str">
        <f t="shared" si="24"/>
        <v/>
      </c>
      <c r="DF13" s="81"/>
      <c r="DG13" s="82"/>
      <c r="DH13" s="83"/>
      <c r="DI13" s="108" t="str">
        <f>IFERROR((((COUNTIF('Elève (6ème3)'!DF13:DH13,"A"))*4)+((COUNTIF('Elève (6ème3)'!DF13:DH13,"B"))*3)+((COUNTIF('Elève (6ème3)'!DF13:DH13,"C"))*2)+((COUNTIF('Elève (6ème3)'!DF13:DH13,"D"))*1))/(COUNTA(DF13:DH13)),"")</f>
        <v/>
      </c>
      <c r="DJ13" s="109" t="str">
        <f t="shared" si="25"/>
        <v/>
      </c>
      <c r="DK13" s="81"/>
      <c r="DL13" s="82"/>
      <c r="DM13" s="83"/>
      <c r="DN13" s="108" t="str">
        <f>IFERROR((((COUNTIF('Elève (6ème3)'!DK13:DM13,"A"))*4)+((COUNTIF('Elève (6ème3)'!DK13:DM13,"B"))*3)+((COUNTIF('Elève (6ème3)'!DK13:DM13,"C"))*2)+((COUNTIF('Elève (6ème3)'!DK13:DM13,"D"))*1))/(COUNTA(DK13:DM13)),"")</f>
        <v/>
      </c>
      <c r="DO13" s="139" t="str">
        <f t="shared" si="26"/>
        <v/>
      </c>
      <c r="DP13" s="178" t="str">
        <f>IF(COUNT(DD13,DI13,DN13)=0,"",SUM(DD13,DI13,DN13)/COUNT(DD13,DI13,DN13))</f>
        <v/>
      </c>
      <c r="DQ13" s="131" t="str">
        <f t="shared" si="27"/>
        <v/>
      </c>
      <c r="DR13" s="156"/>
      <c r="DS13" s="157" t="s">
        <v>26</v>
      </c>
      <c r="DT13" s="158"/>
      <c r="DU13" s="108">
        <f>IFERROR((((COUNTIF('Elève (6ème3)'!DR13:DT13,"A"))*4)+((COUNTIF('Elève (6ème3)'!DR13:DT13,"B"))*3)+((COUNTIF('Elève (6ème3)'!DR13:DT13,"C"))*2)+((COUNTIF('Elève (6ème3)'!DR13:DT13,"D"))*1))/(COUNTA(DR13:DT13)),"")</f>
        <v>2</v>
      </c>
      <c r="DV13" s="109" t="str">
        <f t="shared" si="28"/>
        <v>C</v>
      </c>
      <c r="DW13" s="81"/>
      <c r="DX13" s="82"/>
      <c r="DY13" s="83"/>
      <c r="DZ13" s="108" t="str">
        <f>IFERROR((((COUNTIF('Elève (6ème3)'!DW13:DY13,"A"))*4)+((COUNTIF('Elève (6ème3)'!DW13:DY13,"B"))*3)+((COUNTIF('Elève (6ème3)'!DW13:DY13,"C"))*2)+((COUNTIF('Elève (6ème3)'!DW13:DY13,"D"))*1))/(COUNTA(DW13:DY13)),"")</f>
        <v/>
      </c>
      <c r="EA13" s="109" t="str">
        <f t="shared" si="29"/>
        <v/>
      </c>
      <c r="EB13" s="81"/>
      <c r="EC13" s="82"/>
      <c r="ED13" s="83"/>
      <c r="EE13" s="108" t="str">
        <f>IFERROR((((COUNTIF('Elève (6ème3)'!EB13:ED13,"A"))*4)+((COUNTIF('Elève (6ème3)'!EB13:ED13,"B"))*3)+((COUNTIF('Elève (6ème3)'!EB13:ED13,"C"))*2)+((COUNTIF('Elève (6ème3)'!EB13:ED13,"D"))*1))/(COUNTA(EB13:ED13)),"")</f>
        <v/>
      </c>
      <c r="EF13" s="139" t="str">
        <f t="shared" si="30"/>
        <v/>
      </c>
      <c r="EG13" s="178">
        <f>IF(COUNT(DU13,DZ13,EE13)=0,"",SUM(DU13,DZ13,EE13)/COUNT(DU13,DZ13,EE13))</f>
        <v>2</v>
      </c>
      <c r="EH13" s="131" t="str">
        <f t="shared" si="31"/>
        <v>C</v>
      </c>
      <c r="EI13" s="156"/>
      <c r="EJ13" s="157" t="s">
        <v>24</v>
      </c>
      <c r="EK13" s="158"/>
      <c r="EL13" s="108">
        <f>IFERROR((((COUNTIF('Elève (6ème3)'!EI13:EK13,"A"))*4)+((COUNTIF('Elève (6ème3)'!EI13:EK13,"B"))*3)+((COUNTIF('Elève (6ème3)'!EI13:EK13,"C"))*2)+((COUNTIF('Elève (6ème3)'!EI13:EK13,"D"))*1))/(COUNTA(EI13:EK13)),"")</f>
        <v>4</v>
      </c>
      <c r="EM13" s="109" t="str">
        <f t="shared" si="32"/>
        <v>A</v>
      </c>
      <c r="EN13" s="81"/>
      <c r="EO13" s="82"/>
      <c r="EP13" s="83"/>
      <c r="EQ13" s="108" t="str">
        <f>IFERROR((((COUNTIF('Elève (6ème3)'!EN13:EP13,"A"))*4)+((COUNTIF('Elève (6ème3)'!EN13:EP13,"B"))*3)+((COUNTIF('Elève (6ème3)'!EN13:EP13,"C"))*2)+((COUNTIF('Elève (6ème3)'!EN13:EP13,"D"))*1))/(COUNTA(EN13:EP13)),"")</f>
        <v/>
      </c>
      <c r="ER13" s="109" t="str">
        <f t="shared" si="33"/>
        <v/>
      </c>
      <c r="ES13" s="81"/>
      <c r="ET13" s="82"/>
      <c r="EU13" s="83"/>
      <c r="EV13" s="108" t="str">
        <f>IFERROR((((COUNTIF('Elève (6ème3)'!ES13:EU13,"A"))*4)+((COUNTIF('Elève (6ème3)'!ES13:EU13,"B"))*3)+((COUNTIF('Elève (6ème3)'!ES13:EU13,"C"))*2)+((COUNTIF('Elève (6ème3)'!ES13:EU13,"D"))*1))/(COUNTA(ES13:EU13)),"")</f>
        <v/>
      </c>
      <c r="EW13" s="139" t="str">
        <f t="shared" si="34"/>
        <v/>
      </c>
      <c r="EX13" s="178">
        <f>IF(COUNT(EL13,EQ13,EV13)=0,"",SUM(EL13,EQ13,EV13)/COUNT(EL13,EQ13,EV13))</f>
        <v>4</v>
      </c>
      <c r="EY13" s="131" t="str">
        <f t="shared" si="35"/>
        <v>A</v>
      </c>
      <c r="EZ13" s="156"/>
      <c r="FA13" s="157" t="s">
        <v>24</v>
      </c>
      <c r="FB13" s="158"/>
      <c r="FC13" s="108">
        <f>IFERROR((((COUNTIF('Elève (6ème3)'!EZ13:FB13,"A"))*4)+((COUNTIF('Elève (6ème3)'!EZ13:FB13,"B"))*3)+((COUNTIF('Elève (6ème3)'!EZ13:FB13,"C"))*2)+((COUNTIF('Elève (6ème3)'!EZ13:FB13,"D"))*1))/(COUNTA(EZ13:FB13)),"")</f>
        <v>4</v>
      </c>
      <c r="FD13" s="109" t="str">
        <f t="shared" si="36"/>
        <v>A</v>
      </c>
      <c r="FE13" s="81"/>
      <c r="FF13" s="82"/>
      <c r="FG13" s="83"/>
      <c r="FH13" s="108" t="str">
        <f>IFERROR((((COUNTIF('Elève (6ème3)'!FE13:FG13,"A"))*4)+((COUNTIF('Elève (6ème3)'!FE13:FG13,"B"))*3)+((COUNTIF('Elève (6ème3)'!FE13:FG13,"C"))*2)+((COUNTIF('Elève (6ème3)'!FE13:FG13,"D"))*1))/(COUNTA(FE13:FG13)),"")</f>
        <v/>
      </c>
      <c r="FI13" s="109" t="str">
        <f t="shared" si="37"/>
        <v/>
      </c>
      <c r="FJ13" s="81"/>
      <c r="FK13" s="82"/>
      <c r="FL13" s="83"/>
      <c r="FM13" s="108" t="str">
        <f>IFERROR((((COUNTIF('Elève (6ème3)'!FJ13:FL13,"A"))*4)+((COUNTIF('Elève (6ème3)'!FJ13:FL13,"B"))*3)+((COUNTIF('Elève (6ème3)'!FJ13:FL13,"C"))*2)+((COUNTIF('Elève (6ème3)'!FJ13:FL13,"D"))*1))/(COUNTA(FJ13:FL13)),"")</f>
        <v/>
      </c>
      <c r="FN13" s="139" t="str">
        <f t="shared" si="38"/>
        <v/>
      </c>
      <c r="FO13" s="178">
        <f>IF(COUNT(FC13,FH13,FM13)=0,"",SUM(FC13,FH13,FM13)/COUNT(FC13,FH13,FM13))</f>
        <v>4</v>
      </c>
      <c r="FP13" s="131" t="str">
        <f t="shared" si="39"/>
        <v>A</v>
      </c>
      <c r="FQ13" s="156"/>
      <c r="FR13" s="157" t="s">
        <v>24</v>
      </c>
      <c r="FS13" s="158"/>
      <c r="FT13" s="108">
        <f>IFERROR((((COUNTIF('Elève (6ème3)'!FQ13:FS13,"A"))*4)+((COUNTIF('Elève (6ème3)'!FQ13:FS13,"B"))*3)+((COUNTIF('Elève (6ème3)'!FQ13:FS13,"C"))*2)+((COUNTIF('Elève (6ème3)'!FQ13:FS13,"D"))*1))/(COUNTA(FQ13:FS13)),"")</f>
        <v>4</v>
      </c>
      <c r="FU13" s="109" t="str">
        <f t="shared" si="40"/>
        <v>A</v>
      </c>
      <c r="FV13" s="81"/>
      <c r="FW13" s="82"/>
      <c r="FX13" s="83"/>
      <c r="FY13" s="108" t="str">
        <f>IFERROR((((COUNTIF('Elève (6ème3)'!FV13:FX13,"A"))*4)+((COUNTIF('Elève (6ème3)'!FV13:FX13,"B"))*3)+((COUNTIF('Elève (6ème3)'!FV13:FX13,"C"))*2)+((COUNTIF('Elève (6ème3)'!FV13:FX13,"D"))*1))/(COUNTA(FV13:FX13)),"")</f>
        <v/>
      </c>
      <c r="FZ13" s="109" t="str">
        <f t="shared" si="41"/>
        <v/>
      </c>
      <c r="GA13" s="81"/>
      <c r="GB13" s="82"/>
      <c r="GC13" s="83"/>
      <c r="GD13" s="108" t="str">
        <f>IFERROR((((COUNTIF('Elève (6ème3)'!GA13:GC13,"A"))*4)+((COUNTIF('Elève (6ème3)'!GA13:GC13,"B"))*3)+((COUNTIF('Elève (6ème3)'!GA13:GC13,"C"))*2)+((COUNTIF('Elève (6ème3)'!GA13:GC13,"D"))*1))/(COUNTA(GA13:GC13)),"")</f>
        <v/>
      </c>
      <c r="GE13" s="139" t="str">
        <f t="shared" si="42"/>
        <v/>
      </c>
      <c r="GF13" s="178">
        <f>IF(COUNT(FT13,FY13,GD13)=0,"",SUM(FT13,FY13,GD13)/COUNT(FT13,FY13,GD13))</f>
        <v>4</v>
      </c>
      <c r="GG13" s="131" t="str">
        <f t="shared" si="43"/>
        <v>A</v>
      </c>
      <c r="GH13" s="156"/>
      <c r="GI13" s="157" t="s">
        <v>24</v>
      </c>
      <c r="GJ13" s="158"/>
      <c r="GK13" s="108">
        <f>IFERROR((((COUNTIF('Elève (6ème3)'!GH13:GJ13,"A"))*4)+((COUNTIF('Elève (6ème3)'!GH13:GJ13,"B"))*3)+((COUNTIF('Elève (6ème3)'!GH13:GJ13,"C"))*2)+((COUNTIF('Elève (6ème3)'!GH13:GJ13,"D"))*1))/(COUNTA(GH13:GJ13)),"")</f>
        <v>4</v>
      </c>
      <c r="GL13" s="109" t="str">
        <f t="shared" si="44"/>
        <v>A</v>
      </c>
      <c r="GM13" s="81"/>
      <c r="GN13" s="82"/>
      <c r="GO13" s="83"/>
      <c r="GP13" s="108" t="str">
        <f>IFERROR((((COUNTIF('Elève (6ème3)'!GM13:GO13,"A"))*4)+((COUNTIF('Elève (6ème3)'!GM13:GO13,"B"))*3)+((COUNTIF('Elève (6ème3)'!GM13:GO13,"C"))*2)+((COUNTIF('Elève (6ème3)'!GM13:GO13,"D"))*1))/(COUNTA(GM13:GO13)),"")</f>
        <v/>
      </c>
      <c r="GQ13" s="109" t="str">
        <f t="shared" si="45"/>
        <v/>
      </c>
      <c r="GR13" s="81"/>
      <c r="GS13" s="82"/>
      <c r="GT13" s="83"/>
      <c r="GU13" s="108" t="str">
        <f>IFERROR((((COUNTIF('Elève (6ème3)'!GR13:GT13,"A"))*4)+((COUNTIF('Elève (6ème3)'!GR13:GT13,"B"))*3)+((COUNTIF('Elève (6ème3)'!GR13:GT13,"C"))*2)+((COUNTIF('Elève (6ème3)'!GR13:GT13,"D"))*1))/(COUNTA(GR13:GT13)),"")</f>
        <v/>
      </c>
      <c r="GV13" s="139" t="str">
        <f t="shared" si="46"/>
        <v/>
      </c>
      <c r="GW13" s="178">
        <f>IF(COUNT(GK13,GP13,GU13)=0,"",SUM(GK13,GP13,GU13)/COUNT(GK13,GP13,GU13))</f>
        <v>4</v>
      </c>
      <c r="GX13" s="131" t="str">
        <f t="shared" si="47"/>
        <v>A</v>
      </c>
      <c r="GY13" s="156"/>
      <c r="GZ13" s="157" t="s">
        <v>24</v>
      </c>
      <c r="HA13" s="158"/>
      <c r="HB13" s="108">
        <f>IFERROR((((COUNTIF('Elève (6ème3)'!GY13:HA13,"A"))*4)+((COUNTIF('Elève (6ème3)'!GY13:HA13,"B"))*3)+((COUNTIF('Elève (6ème3)'!GY13:HA13,"C"))*2)+((COUNTIF('Elève (6ème3)'!GY13:HA13,"D"))*1))/(COUNTA(GY13:HA13)),"")</f>
        <v>4</v>
      </c>
      <c r="HC13" s="109" t="str">
        <f t="shared" si="48"/>
        <v>A</v>
      </c>
      <c r="HD13" s="81"/>
      <c r="HE13" s="82"/>
      <c r="HF13" s="83"/>
      <c r="HG13" s="108" t="str">
        <f>IFERROR((((COUNTIF('Elève (6ème3)'!HD13:HF13,"A"))*4)+((COUNTIF('Elève (6ème3)'!HD13:HF13,"B"))*3)+((COUNTIF('Elève (6ème3)'!HD13:HF13,"C"))*2)+((COUNTIF('Elève (6ème3)'!HD13:HF13,"D"))*1))/(COUNTA(HD13:HF13)),"")</f>
        <v/>
      </c>
      <c r="HH13" s="109" t="str">
        <f t="shared" si="49"/>
        <v/>
      </c>
      <c r="HI13" s="81"/>
      <c r="HJ13" s="82"/>
      <c r="HK13" s="83"/>
      <c r="HL13" s="108" t="str">
        <f>IFERROR((((COUNTIF('Elève (6ème3)'!HI13:HK13,"A"))*4)+((COUNTIF('Elève (6ème3)'!HI13:HK13,"B"))*3)+((COUNTIF('Elève (6ème3)'!HI13:HK13,"C"))*2)+((COUNTIF('Elève (6ème3)'!HI13:HK13,"D"))*1))/(COUNTA(HI13:HK13)),"")</f>
        <v/>
      </c>
      <c r="HM13" s="139" t="str">
        <f t="shared" si="50"/>
        <v/>
      </c>
      <c r="HN13" s="178">
        <f>IF(COUNT(HB13,HG13,HL13)=0,"",SUM(HB13,HG13,HL13)/COUNT(HB13,HG13,HL13))</f>
        <v>4</v>
      </c>
      <c r="HO13" s="131" t="str">
        <f t="shared" si="51"/>
        <v>A</v>
      </c>
      <c r="HP13" s="156"/>
      <c r="HQ13" s="157" t="s">
        <v>24</v>
      </c>
      <c r="HR13" s="158"/>
      <c r="HS13" s="108">
        <f>IFERROR((((COUNTIF('Elève (6ème3)'!HP13:HR13,"A"))*4)+((COUNTIF('Elève (6ème3)'!HP13:HR13,"B"))*3)+((COUNTIF('Elève (6ème3)'!HP13:HR13,"C"))*2)+((COUNTIF('Elève (6ème3)'!HP13:HR13,"D"))*1))/(COUNTA(HP13:HR13)),"")</f>
        <v>4</v>
      </c>
      <c r="HT13" s="109" t="str">
        <f t="shared" si="52"/>
        <v>A</v>
      </c>
      <c r="HU13" s="81"/>
      <c r="HV13" s="82"/>
      <c r="HW13" s="83"/>
      <c r="HX13" s="108" t="str">
        <f>IFERROR((((COUNTIF('Elève (6ème3)'!HU13:HW13,"A"))*4)+((COUNTIF('Elève (6ème3)'!HU13:HW13,"B"))*3)+((COUNTIF('Elève (6ème3)'!HU13:HW13,"C"))*2)+((COUNTIF('Elève (6ème3)'!HU13:HW13,"D"))*1))/(COUNTA(HU13:HW13)),"")</f>
        <v/>
      </c>
      <c r="HY13" s="109" t="str">
        <f t="shared" si="53"/>
        <v/>
      </c>
      <c r="HZ13" s="81"/>
      <c r="IA13" s="82"/>
      <c r="IB13" s="83"/>
      <c r="IC13" s="108" t="str">
        <f>IFERROR((((COUNTIF('Elève (6ème3)'!HZ13:IB13,"A"))*4)+((COUNTIF('Elève (6ème3)'!HZ13:IB13,"B"))*3)+((COUNTIF('Elève (6ème3)'!HZ13:IB13,"C"))*2)+((COUNTIF('Elève (6ème3)'!HZ13:IB13,"D"))*1))/(COUNTA(HZ13:IB13)),"")</f>
        <v/>
      </c>
      <c r="ID13" s="139" t="str">
        <f t="shared" si="54"/>
        <v/>
      </c>
      <c r="IE13" s="178">
        <f>IF(COUNT(HS13,HX13,IC13)=0,"",SUM(HS13,HX13,IC13)/COUNT(HS13,HX13,IC13))</f>
        <v>4</v>
      </c>
      <c r="IF13" s="131" t="str">
        <f t="shared" si="55"/>
        <v>A</v>
      </c>
      <c r="IG13" s="156"/>
      <c r="IH13" s="157" t="s">
        <v>24</v>
      </c>
      <c r="II13" s="158"/>
      <c r="IJ13" s="108">
        <f>IFERROR((((COUNTIF('Elève (6ème3)'!IG13:II13,"A"))*4)+((COUNTIF('Elève (6ème3)'!IG13:II13,"B"))*3)+((COUNTIF('Elève (6ème3)'!IG13:II13,"C"))*2)+((COUNTIF('Elève (6ème3)'!IG13:II13,"D"))*1))/(COUNTA(IG13:II13)),"")</f>
        <v>4</v>
      </c>
      <c r="IK13" s="109" t="str">
        <f t="shared" si="56"/>
        <v>A</v>
      </c>
      <c r="IL13" s="81"/>
      <c r="IM13" s="82"/>
      <c r="IN13" s="83"/>
      <c r="IO13" s="108" t="str">
        <f>IFERROR((((COUNTIF('Elève (6ème3)'!IL13:IN13,"A"))*4)+((COUNTIF('Elève (6ème3)'!IL13:IN13,"B"))*3)+((COUNTIF('Elève (6ème3)'!IL13:IN13,"C"))*2)+((COUNTIF('Elève (6ème3)'!IL13:IN13,"D"))*1))/(COUNTA(IL13:IN13)),"")</f>
        <v/>
      </c>
      <c r="IP13" s="109" t="str">
        <f t="shared" si="57"/>
        <v/>
      </c>
      <c r="IQ13" s="81"/>
      <c r="IR13" s="82"/>
      <c r="IS13" s="83"/>
      <c r="IT13" s="108" t="str">
        <f>IFERROR((((COUNTIF('Elève (6ème3)'!IQ13:IS13,"A"))*4)+((COUNTIF('Elève (6ème3)'!IQ13:IS13,"B"))*3)+((COUNTIF('Elève (6ème3)'!IQ13:IS13,"C"))*2)+((COUNTIF('Elève (6ème3)'!IQ13:IS13,"D"))*1))/(COUNTA(IQ13:IS13)),"")</f>
        <v/>
      </c>
      <c r="IU13" s="139" t="str">
        <f t="shared" si="58"/>
        <v/>
      </c>
      <c r="IV13" s="178">
        <f>IF(COUNT(IJ13,IO13,IT13)=0,"",SUM(IJ13,IO13,IT13)/COUNT(IJ13,IO13,IT13))</f>
        <v>4</v>
      </c>
      <c r="IW13" s="131" t="str">
        <f t="shared" si="59"/>
        <v>A</v>
      </c>
      <c r="IX13" s="156"/>
      <c r="IY13" s="157" t="s">
        <v>24</v>
      </c>
      <c r="IZ13" s="158"/>
      <c r="JA13" s="108">
        <f>IFERROR((((COUNTIF('Elève (6ème3)'!IX13:IZ13,"A"))*4)+((COUNTIF('Elève (6ème3)'!IX13:IZ13,"B"))*3)+((COUNTIF('Elève (6ème3)'!IX13:IZ13,"C"))*2)+((COUNTIF('Elève (6ème3)'!IX13:IZ13,"D"))*1))/(COUNTA(IX13:IZ13)),"")</f>
        <v>4</v>
      </c>
      <c r="JB13" s="109" t="str">
        <f t="shared" si="60"/>
        <v>A</v>
      </c>
      <c r="JC13" s="81"/>
      <c r="JD13" s="82"/>
      <c r="JE13" s="83"/>
      <c r="JF13" s="108" t="str">
        <f>IFERROR((((COUNTIF('Elève (6ème3)'!JC13:JE13,"A"))*4)+((COUNTIF('Elève (6ème3)'!JC13:JE13,"B"))*3)+((COUNTIF('Elève (6ème3)'!JC13:JE13,"C"))*2)+((COUNTIF('Elève (6ème3)'!JC13:JE13,"D"))*1))/(COUNTA(JC13:JE13)),"")</f>
        <v/>
      </c>
      <c r="JG13" s="109" t="str">
        <f t="shared" si="61"/>
        <v/>
      </c>
      <c r="JH13" s="81"/>
      <c r="JI13" s="82"/>
      <c r="JJ13" s="83"/>
      <c r="JK13" s="108" t="str">
        <f>IFERROR((((COUNTIF('Elève (6ème3)'!JH13:JJ13,"A"))*4)+((COUNTIF('Elève (6ème3)'!JH13:JJ13,"B"))*3)+((COUNTIF('Elève (6ème3)'!JH13:JJ13,"C"))*2)+((COUNTIF('Elève (6ème3)'!JH13:JJ13,"D"))*1))/(COUNTA(JH13:JJ13)),"")</f>
        <v/>
      </c>
      <c r="JL13" s="139" t="str">
        <f t="shared" si="62"/>
        <v/>
      </c>
      <c r="JM13" s="178">
        <f>IF(COUNT(JA13,JF13,JK13)=0,"",SUM(JA13,JF13,JK13)/COUNT(JA13,JF13,JK13))</f>
        <v>4</v>
      </c>
      <c r="JN13" s="131" t="str">
        <f t="shared" si="63"/>
        <v>A</v>
      </c>
      <c r="JO13" s="156"/>
      <c r="JP13" s="157" t="s">
        <v>210</v>
      </c>
      <c r="JQ13" s="158"/>
      <c r="JR13" s="108">
        <f>IFERROR((((COUNTIF('Elève (6ème3)'!JO13:JQ13,"A"))*4)+((COUNTIF('Elève (6ème3)'!JO13:JQ13,"B"))*3)+((COUNTIF('Elève (6ème3)'!JO13:JQ13,"C"))*2)+((COUNTIF('Elève (6ème3)'!JO13:JQ13,"D"))*1))/(COUNTA(JO13:JQ13)),"")</f>
        <v>2</v>
      </c>
      <c r="JS13" s="109" t="str">
        <f t="shared" si="64"/>
        <v>C</v>
      </c>
      <c r="JT13" s="81"/>
      <c r="JU13" s="82"/>
      <c r="JV13" s="83"/>
      <c r="JW13" s="108" t="str">
        <f>IFERROR((((COUNTIF('Elève (6ème3)'!JT13:JV13,"A"))*4)+((COUNTIF('Elève (6ème3)'!JT13:JV13,"B"))*3)+((COUNTIF('Elève (6ème3)'!JT13:JV13,"C"))*2)+((COUNTIF('Elève (6ème3)'!JT13:JV13,"D"))*1))/(COUNTA(JT13:JV13)),"")</f>
        <v/>
      </c>
      <c r="JX13" s="109" t="str">
        <f t="shared" si="65"/>
        <v/>
      </c>
      <c r="JY13" s="81"/>
      <c r="JZ13" s="82"/>
      <c r="KA13" s="83"/>
      <c r="KB13" s="108" t="str">
        <f>IFERROR((((COUNTIF('Elève (6ème3)'!JY13:KA13,"A"))*4)+((COUNTIF('Elève (6ème3)'!JY13:KA13,"B"))*3)+((COUNTIF('Elève (6ème3)'!JY13:KA13,"C"))*2)+((COUNTIF('Elève (6ème3)'!JY13:KA13,"D"))*1))/(COUNTA(JY13:KA13)),"")</f>
        <v/>
      </c>
      <c r="KC13" s="139" t="str">
        <f t="shared" si="66"/>
        <v/>
      </c>
      <c r="KD13" s="178">
        <f>IF(COUNT(JR13,JW13,KB13)=0,"",SUM(JR13,JW13,KB13)/COUNT(JR13,JW13,KB13))</f>
        <v>2</v>
      </c>
      <c r="KE13" s="131" t="str">
        <f t="shared" si="67"/>
        <v>C</v>
      </c>
      <c r="KF13" s="156"/>
      <c r="KG13" s="157" t="s">
        <v>24</v>
      </c>
      <c r="KH13" s="158"/>
      <c r="KI13" s="108">
        <f>IFERROR((((COUNTIF('Elève (6ème3)'!KF13:KH13,"A"))*4)+((COUNTIF('Elève (6ème3)'!KF13:KH13,"B"))*3)+((COUNTIF('Elève (6ème3)'!KF13:KH13,"C"))*2)+((COUNTIF('Elève (6ème3)'!KF13:KH13,"D"))*1))/(COUNTA(KF13:KH13)),"")</f>
        <v>4</v>
      </c>
      <c r="KJ13" s="109" t="str">
        <f t="shared" si="68"/>
        <v>A</v>
      </c>
      <c r="KK13" s="81"/>
      <c r="KL13" s="82"/>
      <c r="KM13" s="83"/>
      <c r="KN13" s="108" t="str">
        <f>IFERROR((((COUNTIF('Elève (6ème3)'!KK13:KM13,"A"))*4)+((COUNTIF('Elève (6ème3)'!KK13:KM13,"B"))*3)+((COUNTIF('Elève (6ème3)'!KK13:KM13,"C"))*2)+((COUNTIF('Elève (6ème3)'!KK13:KM13,"D"))*1))/(COUNTA(KK13:KM13)),"")</f>
        <v/>
      </c>
      <c r="KO13" s="109" t="str">
        <f t="shared" si="69"/>
        <v/>
      </c>
      <c r="KP13" s="81"/>
      <c r="KQ13" s="82"/>
      <c r="KR13" s="83"/>
      <c r="KS13" s="108" t="str">
        <f>IFERROR((((COUNTIF('Elève (6ème3)'!KP13:KR13,"A"))*4)+((COUNTIF('Elève (6ème3)'!KP13:KR13,"B"))*3)+((COUNTIF('Elève (6ème3)'!KP13:KR13,"C"))*2)+((COUNTIF('Elève (6ème3)'!KP13:KR13,"D"))*1))/(COUNTA(KP13:KR13)),"")</f>
        <v/>
      </c>
      <c r="KT13" s="139" t="str">
        <f t="shared" si="70"/>
        <v/>
      </c>
      <c r="KU13" s="178">
        <f>IF(COUNT(KI13,KN13,KS13)=0,"",SUM(KI13,KN13,KS13)/COUNT(KI13,KN13,KS13))</f>
        <v>4</v>
      </c>
      <c r="KV13" s="131" t="str">
        <f t="shared" si="71"/>
        <v>A</v>
      </c>
      <c r="KW13" s="156"/>
      <c r="KX13" s="157" t="s">
        <v>24</v>
      </c>
      <c r="KY13" s="158"/>
      <c r="KZ13" s="108">
        <f>IFERROR((((COUNTIF('Elève (6ème3)'!KW13:KY13,"A"))*4)+((COUNTIF('Elève (6ème3)'!KW13:KY13,"B"))*3)+((COUNTIF('Elève (6ème3)'!KW13:KY13,"C"))*2)+((COUNTIF('Elève (6ème3)'!KW13:KY13,"D"))*1))/(COUNTA(KW13:KY13)),"")</f>
        <v>4</v>
      </c>
      <c r="LA13" s="109" t="str">
        <f t="shared" si="72"/>
        <v>A</v>
      </c>
      <c r="LB13" s="81"/>
      <c r="LC13" s="82"/>
      <c r="LD13" s="83"/>
      <c r="LE13" s="108" t="str">
        <f>IFERROR((((COUNTIF('Elève (6ème3)'!LB13:LD13,"A"))*4)+((COUNTIF('Elève (6ème3)'!LB13:LD13,"B"))*3)+((COUNTIF('Elève (6ème3)'!LB13:LD13,"C"))*2)+((COUNTIF('Elève (6ème3)'!LB13:LD13,"D"))*1))/(COUNTA(LB13:LD13)),"")</f>
        <v/>
      </c>
      <c r="LF13" s="109" t="str">
        <f t="shared" si="73"/>
        <v/>
      </c>
      <c r="LG13" s="81"/>
      <c r="LH13" s="82"/>
      <c r="LI13" s="83"/>
      <c r="LJ13" s="108" t="str">
        <f>IFERROR((((COUNTIF('Elève (6ème3)'!LG13:LI13,"A"))*4)+((COUNTIF('Elève (6ème3)'!LG13:LI13,"B"))*3)+((COUNTIF('Elève (6ème3)'!LG13:LI13,"C"))*2)+((COUNTIF('Elève (6ème3)'!LG13:LI13,"D"))*1))/(COUNTA(LG13:LI13)),"")</f>
        <v/>
      </c>
      <c r="LK13" s="139" t="str">
        <f t="shared" si="74"/>
        <v/>
      </c>
      <c r="LL13" s="178">
        <f>IF(COUNT(KZ13,LE13,LJ13)=0,"",SUM(KZ13,LE13,LJ13)/COUNT(KZ13,LE13,LJ13))</f>
        <v>4</v>
      </c>
      <c r="LM13" s="131" t="str">
        <f t="shared" si="75"/>
        <v>A</v>
      </c>
      <c r="LN13" s="156"/>
      <c r="LO13" s="157" t="s">
        <v>24</v>
      </c>
      <c r="LP13" s="158"/>
      <c r="LQ13" s="108">
        <f>IFERROR((((COUNTIF('Elève (6ème3)'!LN13:LP13,"A"))*4)+((COUNTIF('Elève (6ème3)'!LN13:LP13,"B"))*3)+((COUNTIF('Elève (6ème3)'!LN13:LP13,"C"))*2)+((COUNTIF('Elève (6ème3)'!LN13:LP13,"D"))*1))/(COUNTA(LN13:LP13)),"")</f>
        <v>4</v>
      </c>
      <c r="LR13" s="109" t="str">
        <f t="shared" si="76"/>
        <v>A</v>
      </c>
      <c r="LS13" s="81"/>
      <c r="LT13" s="82"/>
      <c r="LU13" s="83"/>
      <c r="LV13" s="108" t="str">
        <f>IFERROR((((COUNTIF('Elève (6ème3)'!LS13:LU13,"A"))*4)+((COUNTIF('Elève (6ème3)'!LS13:LU13,"B"))*3)+((COUNTIF('Elève (6ème3)'!LS13:LU13,"C"))*2)+((COUNTIF('Elève (6ème3)'!LS13:LU13,"D"))*1))/(COUNTA(LS13:LU13)),"")</f>
        <v/>
      </c>
      <c r="LW13" s="109" t="str">
        <f t="shared" si="77"/>
        <v/>
      </c>
      <c r="LX13" s="81"/>
      <c r="LY13" s="82"/>
      <c r="LZ13" s="83"/>
      <c r="MA13" s="108" t="str">
        <f>IFERROR((((COUNTIF('Elève (6ème3)'!LX13:LZ13,"A"))*4)+((COUNTIF('Elève (6ème3)'!LX13:LZ13,"B"))*3)+((COUNTIF('Elève (6ème3)'!LX13:LZ13,"C"))*2)+((COUNTIF('Elève (6ème3)'!LX13:LZ13,"D"))*1))/(COUNTA(LX13:LZ13)),"")</f>
        <v/>
      </c>
      <c r="MB13" s="139" t="str">
        <f t="shared" si="78"/>
        <v/>
      </c>
      <c r="MC13" s="178">
        <f>IF(COUNT(LQ13,LV13,MA13)=0,"",SUM(LQ13,LV13,MA13)/COUNT(LQ13,LV13,MA13))</f>
        <v>4</v>
      </c>
      <c r="MD13" s="131" t="str">
        <f t="shared" si="79"/>
        <v>A</v>
      </c>
      <c r="ME13" s="156"/>
      <c r="MF13" s="157" t="s">
        <v>24</v>
      </c>
      <c r="MG13" s="158"/>
      <c r="MH13" s="108">
        <f>IFERROR((((COUNTIF('Elève (6ème3)'!ME13:MG13,"A"))*4)+((COUNTIF('Elève (6ème3)'!ME13:MG13,"B"))*3)+((COUNTIF('Elève (6ème3)'!ME13:MG13,"C"))*2)+((COUNTIF('Elève (6ème3)'!ME13:MG13,"D"))*1))/(COUNTA(ME13:MG13)),"")</f>
        <v>4</v>
      </c>
      <c r="MI13" s="109" t="str">
        <f t="shared" si="80"/>
        <v>A</v>
      </c>
      <c r="MJ13" s="81"/>
      <c r="MK13" s="82"/>
      <c r="ML13" s="83"/>
      <c r="MM13" s="108" t="str">
        <f>IFERROR((((COUNTIF('Elève (6ème3)'!MJ13:ML13,"A"))*4)+((COUNTIF('Elève (6ème3)'!MJ13:ML13,"B"))*3)+((COUNTIF('Elève (6ème3)'!MJ13:ML13,"C"))*2)+((COUNTIF('Elève (6ème3)'!MJ13:ML13,"D"))*1))/(COUNTA(MJ13:ML13)),"")</f>
        <v/>
      </c>
      <c r="MN13" s="109" t="str">
        <f t="shared" si="81"/>
        <v/>
      </c>
      <c r="MO13" s="81"/>
      <c r="MP13" s="82"/>
      <c r="MQ13" s="83"/>
      <c r="MR13" s="108" t="str">
        <f>IFERROR((((COUNTIF('Elève (6ème3)'!MO13:MQ13,"A"))*4)+((COUNTIF('Elève (6ème3)'!MO13:MQ13,"B"))*3)+((COUNTIF('Elève (6ème3)'!MO13:MQ13,"C"))*2)+((COUNTIF('Elève (6ème3)'!MO13:MQ13,"D"))*1))/(COUNTA(MO13:MQ13)),"")</f>
        <v/>
      </c>
      <c r="MS13" s="139" t="str">
        <f t="shared" si="82"/>
        <v/>
      </c>
      <c r="MT13" s="178">
        <f>IF(COUNT(MH13,MM13,MR13)=0,"",SUM(MH13,MM13,MR13)/COUNT(MH13,MM13,MR13))</f>
        <v>4</v>
      </c>
      <c r="MU13" s="131" t="str">
        <f t="shared" si="83"/>
        <v>A</v>
      </c>
      <c r="MV13" s="156"/>
      <c r="MW13" s="157" t="s">
        <v>24</v>
      </c>
      <c r="MX13" s="158"/>
      <c r="MY13" s="108">
        <f>IFERROR((((COUNTIF('Elève (6ème3)'!MV13:MX13,"A"))*4)+((COUNTIF('Elève (6ème3)'!MV13:MX13,"B"))*3)+((COUNTIF('Elève (6ème3)'!MV13:MX13,"C"))*2)+((COUNTIF('Elève (6ème3)'!MV13:MX13,"D"))*1))/(COUNTA(MV13:MX13)),"")</f>
        <v>4</v>
      </c>
      <c r="MZ13" s="109" t="str">
        <f t="shared" si="84"/>
        <v>A</v>
      </c>
      <c r="NA13" s="81"/>
      <c r="NB13" s="82"/>
      <c r="NC13" s="83"/>
      <c r="ND13" s="108" t="str">
        <f>IFERROR((((COUNTIF('Elève (6ème3)'!NA13:NC13,"A"))*4)+((COUNTIF('Elève (6ème3)'!NA13:NC13,"B"))*3)+((COUNTIF('Elève (6ème3)'!NA13:NC13,"C"))*2)+((COUNTIF('Elève (6ème3)'!NA13:NC13,"D"))*1))/(COUNTA(NA13:NC13)),"")</f>
        <v/>
      </c>
      <c r="NE13" s="109" t="str">
        <f t="shared" si="85"/>
        <v/>
      </c>
      <c r="NF13" s="81"/>
      <c r="NG13" s="82"/>
      <c r="NH13" s="83"/>
      <c r="NI13" s="108" t="str">
        <f>IFERROR((((COUNTIF('Elève (6ème3)'!NF13:NH13,"A"))*4)+((COUNTIF('Elève (6ème3)'!NF13:NH13,"B"))*3)+((COUNTIF('Elève (6ème3)'!NF13:NH13,"C"))*2)+((COUNTIF('Elève (6ème3)'!NF13:NH13,"D"))*1))/(COUNTA(NF13:NH13)),"")</f>
        <v/>
      </c>
      <c r="NJ13" s="139" t="str">
        <f t="shared" si="86"/>
        <v/>
      </c>
      <c r="NK13" s="178">
        <f>IF(COUNT(MY13,ND13,NI13)=0,"",SUM(MY13,ND13,NI13)/COUNT(MY13,ND13,NI13))</f>
        <v>4</v>
      </c>
      <c r="NL13" s="131" t="str">
        <f t="shared" si="87"/>
        <v>A</v>
      </c>
      <c r="NM13" s="156"/>
      <c r="NN13" s="157" t="s">
        <v>24</v>
      </c>
      <c r="NO13" s="158"/>
      <c r="NP13" s="108">
        <f>IFERROR((((COUNTIF('Elève (6ème3)'!NM13:NO13,"A"))*4)+((COUNTIF('Elève (6ème3)'!NM13:NO13,"B"))*3)+((COUNTIF('Elève (6ème3)'!NM13:NO13,"C"))*2)+((COUNTIF('Elève (6ème3)'!NM13:NO13,"D"))*1))/(COUNTA(NM13:NO13)),"")</f>
        <v>4</v>
      </c>
      <c r="NQ13" s="109" t="str">
        <f t="shared" si="88"/>
        <v>A</v>
      </c>
      <c r="NR13" s="81"/>
      <c r="NS13" s="82"/>
      <c r="NT13" s="83"/>
      <c r="NU13" s="108" t="str">
        <f>IFERROR((((COUNTIF('Elève (6ème3)'!NR13:NT13,"A"))*4)+((COUNTIF('Elève (6ème3)'!NR13:NT13,"B"))*3)+((COUNTIF('Elève (6ème3)'!NR13:NT13,"C"))*2)+((COUNTIF('Elève (6ème3)'!NR13:NT13,"D"))*1))/(COUNTA(NR13:NT13)),"")</f>
        <v/>
      </c>
      <c r="NV13" s="109" t="str">
        <f t="shared" si="89"/>
        <v/>
      </c>
      <c r="NW13" s="81"/>
      <c r="NX13" s="82"/>
      <c r="NY13" s="83"/>
      <c r="NZ13" s="108" t="str">
        <f>IFERROR((((COUNTIF('Elève (6ème3)'!NW13:NY13,"A"))*4)+((COUNTIF('Elève (6ème3)'!NW13:NY13,"B"))*3)+((COUNTIF('Elève (6ème3)'!NW13:NY13,"C"))*2)+((COUNTIF('Elève (6ème3)'!NW13:NY13,"D"))*1))/(COUNTA(NW13:NY13)),"")</f>
        <v/>
      </c>
      <c r="OA13" s="139" t="str">
        <f t="shared" si="90"/>
        <v/>
      </c>
      <c r="OB13" s="178">
        <f>IF(COUNT(NP13,NU13,NZ13)=0,"",SUM(NP13,NU13,NZ13)/COUNT(NP13,NU13,NZ13))</f>
        <v>4</v>
      </c>
      <c r="OC13" s="131" t="str">
        <f t="shared" si="91"/>
        <v>A</v>
      </c>
      <c r="OD13" s="156"/>
      <c r="OE13" s="157" t="s">
        <v>24</v>
      </c>
      <c r="OF13" s="158"/>
      <c r="OG13" s="108">
        <f>IFERROR((((COUNTIF('Elève (6ème3)'!OD13:OF13,"A"))*4)+((COUNTIF('Elève (6ème3)'!OD13:OF13,"B"))*3)+((COUNTIF('Elève (6ème3)'!OD13:OF13,"C"))*2)+((COUNTIF('Elève (6ème3)'!OD13:OF13,"D"))*1))/(COUNTA(OD13:OF13)),"")</f>
        <v>4</v>
      </c>
      <c r="OH13" s="109" t="str">
        <f t="shared" si="92"/>
        <v>A</v>
      </c>
      <c r="OI13" s="81"/>
      <c r="OJ13" s="82"/>
      <c r="OK13" s="83"/>
      <c r="OL13" s="108" t="str">
        <f>IFERROR((((COUNTIF('Elève (6ème3)'!OI13:OK13,"A"))*4)+((COUNTIF('Elève (6ème3)'!OI13:OK13,"B"))*3)+((COUNTIF('Elève (6ème3)'!OI13:OK13,"C"))*2)+((COUNTIF('Elève (6ème3)'!OI13:OK13,"D"))*1))/(COUNTA(OI13:OK13)),"")</f>
        <v/>
      </c>
      <c r="OM13" s="109" t="str">
        <f t="shared" si="93"/>
        <v/>
      </c>
      <c r="ON13" s="81"/>
      <c r="OO13" s="82"/>
      <c r="OP13" s="83"/>
      <c r="OQ13" s="108" t="str">
        <f>IFERROR((((COUNTIF('Elève (6ème3)'!ON13:OP13,"A"))*4)+((COUNTIF('Elève (6ème3)'!ON13:OP13,"B"))*3)+((COUNTIF('Elève (6ème3)'!ON13:OP13,"C"))*2)+((COUNTIF('Elève (6ème3)'!ON13:OP13,"D"))*1))/(COUNTA(ON13:OP13)),"")</f>
        <v/>
      </c>
      <c r="OR13" s="139" t="str">
        <f t="shared" si="94"/>
        <v/>
      </c>
      <c r="OS13" s="178">
        <f>IF(COUNT(OG13,OL13,OQ13)=0,"",SUM(OG13,OL13,OQ13)/COUNT(OG13,OL13,OQ13))</f>
        <v>4</v>
      </c>
      <c r="OT13" s="131" t="str">
        <f t="shared" si="95"/>
        <v>A</v>
      </c>
      <c r="OU13" s="156"/>
      <c r="OV13" s="157" t="s">
        <v>27</v>
      </c>
      <c r="OW13" s="158"/>
      <c r="OX13" s="108">
        <f>IFERROR((((COUNTIF('Elève (6ème3)'!OU13:OW13,"A"))*4)+((COUNTIF('Elève (6ème3)'!OU13:OW13,"B"))*3)+((COUNTIF('Elève (6ème3)'!OU13:OW13,"C"))*2)+((COUNTIF('Elève (6ème3)'!OU13:OW13,"D"))*1))/(COUNTA(OU13:OW13)),"")</f>
        <v>1</v>
      </c>
      <c r="OY13" s="109" t="str">
        <f t="shared" si="96"/>
        <v>D</v>
      </c>
      <c r="OZ13" s="81"/>
      <c r="PA13" s="82"/>
      <c r="PB13" s="83"/>
      <c r="PC13" s="108" t="str">
        <f>IFERROR((((COUNTIF('Elève (6ème3)'!OZ13:PB13,"A"))*4)+((COUNTIF('Elève (6ème3)'!OZ13:PB13,"B"))*3)+((COUNTIF('Elève (6ème3)'!OZ13:PB13,"C"))*2)+((COUNTIF('Elève (6ème3)'!OZ13:PB13,"D"))*1))/(COUNTA(OZ13:PB13)),"")</f>
        <v/>
      </c>
      <c r="PD13" s="109" t="str">
        <f t="shared" si="97"/>
        <v/>
      </c>
      <c r="PE13" s="81"/>
      <c r="PF13" s="82"/>
      <c r="PG13" s="83"/>
      <c r="PH13" s="108" t="str">
        <f>IFERROR((((COUNTIF('Elève (6ème3)'!PE13:PG13,"A"))*4)+((COUNTIF('Elève (6ème3)'!PE13:PG13,"B"))*3)+((COUNTIF('Elève (6ème3)'!PE13:PG13,"C"))*2)+((COUNTIF('Elève (6ème3)'!PE13:PG13,"D"))*1))/(COUNTA(PE13:PG13)),"")</f>
        <v/>
      </c>
      <c r="PI13" s="139" t="str">
        <f t="shared" si="98"/>
        <v/>
      </c>
      <c r="PJ13" s="178">
        <f>IF(COUNT(OX13,PC13,PH13)=0,"",SUM(OX13,PC13,PH13)/COUNT(OX13,PC13,PH13))</f>
        <v>1</v>
      </c>
      <c r="PK13" s="131" t="str">
        <f t="shared" si="99"/>
        <v>D</v>
      </c>
      <c r="PL13" s="156"/>
      <c r="PM13" s="157" t="s">
        <v>24</v>
      </c>
      <c r="PN13" s="158"/>
      <c r="PO13" s="108">
        <f>IFERROR((((COUNTIF('Elève (6ème3)'!PL13:PN13,"A"))*4)+((COUNTIF('Elève (6ème3)'!PL13:PN13,"B"))*3)+((COUNTIF('Elève (6ème3)'!PL13:PN13,"C"))*2)+((COUNTIF('Elève (6ème3)'!PL13:PN13,"D"))*1))/(COUNTA(PL13:PN13)),"")</f>
        <v>4</v>
      </c>
      <c r="PP13" s="109" t="str">
        <f t="shared" si="100"/>
        <v>A</v>
      </c>
      <c r="PQ13" s="81"/>
      <c r="PR13" s="82"/>
      <c r="PS13" s="83"/>
      <c r="PT13" s="108" t="str">
        <f>IFERROR((((COUNTIF('Elève (6ème3)'!PQ13:PS13,"A"))*4)+((COUNTIF('Elève (6ème3)'!PQ13:PS13,"B"))*3)+((COUNTIF('Elève (6ème3)'!PQ13:PS13,"C"))*2)+((COUNTIF('Elève (6ème3)'!PQ13:PS13,"D"))*1))/(COUNTA(PQ13:PS13)),"")</f>
        <v/>
      </c>
      <c r="PU13" s="109" t="str">
        <f t="shared" si="101"/>
        <v/>
      </c>
      <c r="PV13" s="81"/>
      <c r="PW13" s="82"/>
      <c r="PX13" s="83"/>
      <c r="PY13" s="108" t="str">
        <f>IFERROR((((COUNTIF('Elève (6ème3)'!PV13:PX13,"A"))*4)+((COUNTIF('Elève (6ème3)'!PV13:PX13,"B"))*3)+((COUNTIF('Elève (6ème3)'!PV13:PX13,"C"))*2)+((COUNTIF('Elève (6ème3)'!PV13:PX13,"D"))*1))/(COUNTA(PV13:PX13)),"")</f>
        <v/>
      </c>
      <c r="PZ13" s="139" t="str">
        <f t="shared" si="102"/>
        <v/>
      </c>
      <c r="QA13" s="178">
        <f>IF(COUNT(PO13,PT13,PY13)=0,"",SUM(PO13,PT13,PY13)/COUNT(PO13,PT13,PY13))</f>
        <v>4</v>
      </c>
      <c r="QB13" s="131" t="str">
        <f t="shared" si="103"/>
        <v>A</v>
      </c>
      <c r="QC13" s="156"/>
      <c r="QD13" s="157" t="s">
        <v>24</v>
      </c>
      <c r="QE13" s="158"/>
      <c r="QF13" s="108">
        <f>IFERROR((((COUNTIF('Elève (6ème3)'!QC13:QE13,"A"))*4)+((COUNTIF('Elève (6ème3)'!QC13:QE13,"B"))*3)+((COUNTIF('Elève (6ème3)'!QC13:QE13,"C"))*2)+((COUNTIF('Elève (6ème3)'!QC13:QE13,"D"))*1))/(COUNTA(QC13:QE13)),"")</f>
        <v>4</v>
      </c>
      <c r="QG13" s="109" t="str">
        <f t="shared" si="104"/>
        <v>A</v>
      </c>
      <c r="QH13" s="81"/>
      <c r="QI13" s="82"/>
      <c r="QJ13" s="83"/>
      <c r="QK13" s="108" t="str">
        <f>IFERROR((((COUNTIF('Elève (6ème3)'!QH13:QJ13,"A"))*4)+((COUNTIF('Elève (6ème3)'!QH13:QJ13,"B"))*3)+((COUNTIF('Elève (6ème3)'!QH13:QJ13,"C"))*2)+((COUNTIF('Elève (6ème3)'!QH13:QJ13,"D"))*1))/(COUNTA(QH13:QJ13)),"")</f>
        <v/>
      </c>
      <c r="QL13" s="109" t="str">
        <f t="shared" si="105"/>
        <v/>
      </c>
      <c r="QM13" s="81"/>
      <c r="QN13" s="82"/>
      <c r="QO13" s="83"/>
      <c r="QP13" s="108" t="str">
        <f>IFERROR((((COUNTIF('Elève (6ème3)'!QM13:QO13,"A"))*4)+((COUNTIF('Elève (6ème3)'!QM13:QO13,"B"))*3)+((COUNTIF('Elève (6ème3)'!QM13:QO13,"C"))*2)+((COUNTIF('Elève (6ème3)'!QM13:QO13,"D"))*1))/(COUNTA(QM13:QO13)),"")</f>
        <v/>
      </c>
      <c r="QQ13" s="139" t="str">
        <f t="shared" si="106"/>
        <v/>
      </c>
      <c r="QR13" s="178">
        <f>IF(COUNT(QF13,QK13,QP13)=0,"",SUM(QF13,QK13,QP13)/COUNT(QF13,QK13,QP13))</f>
        <v>4</v>
      </c>
      <c r="QS13" s="131" t="str">
        <f t="shared" si="107"/>
        <v>A</v>
      </c>
      <c r="QT13" s="156"/>
      <c r="QU13" s="157" t="s">
        <v>24</v>
      </c>
      <c r="QV13" s="158"/>
      <c r="QW13" s="108">
        <f>IFERROR((((COUNTIF('Elève (6ème3)'!QT13:QV13,"A"))*4)+((COUNTIF('Elève (6ème3)'!QT13:QV13,"B"))*3)+((COUNTIF('Elève (6ème3)'!QT13:QV13,"C"))*2)+((COUNTIF('Elève (6ème3)'!QT13:QV13,"D"))*1))/(COUNTA(QT13:QV13)),"")</f>
        <v>4</v>
      </c>
      <c r="QX13" s="109" t="str">
        <f t="shared" si="108"/>
        <v>A</v>
      </c>
      <c r="QY13" s="81"/>
      <c r="QZ13" s="82"/>
      <c r="RA13" s="83"/>
      <c r="RB13" s="108" t="str">
        <f>IFERROR((((COUNTIF('Elève (6ème3)'!QY13:RA13,"A"))*4)+((COUNTIF('Elève (6ème3)'!QY13:RA13,"B"))*3)+((COUNTIF('Elève (6ème3)'!QY13:RA13,"C"))*2)+((COUNTIF('Elève (6ème3)'!QY13:RA13,"D"))*1))/(COUNTA(QY13:RA13)),"")</f>
        <v/>
      </c>
      <c r="RC13" s="109" t="str">
        <f t="shared" si="109"/>
        <v/>
      </c>
      <c r="RD13" s="81"/>
      <c r="RE13" s="82"/>
      <c r="RF13" s="83"/>
      <c r="RG13" s="108" t="str">
        <f>IFERROR((((COUNTIF('Elève (6ème3)'!RD13:RF13,"A"))*4)+((COUNTIF('Elève (6ème3)'!RD13:RF13,"B"))*3)+((COUNTIF('Elève (6ème3)'!RD13:RF13,"C"))*2)+((COUNTIF('Elève (6ème3)'!RD13:RF13,"D"))*1))/(COUNTA(RD13:RF13)),"")</f>
        <v/>
      </c>
      <c r="RH13" s="139" t="str">
        <f t="shared" si="110"/>
        <v/>
      </c>
      <c r="RI13" s="178">
        <f>IF(COUNT(QW13,RB13,RG13)=0,"",SUM(QW13,RB13,RG13)/COUNT(QW13,RB13,RG13))</f>
        <v>4</v>
      </c>
      <c r="RJ13" s="131" t="str">
        <f t="shared" si="111"/>
        <v>A</v>
      </c>
      <c r="RK13" s="156"/>
      <c r="RL13" s="157"/>
      <c r="RM13" s="158"/>
      <c r="RN13" s="108" t="str">
        <f>IFERROR((((COUNTIF('Elève (6ème3)'!RK13:RM13,"A"))*4)+((COUNTIF('Elève (6ème3)'!RK13:RM13,"B"))*3)+((COUNTIF('Elève (6ème3)'!RK13:RM13,"C"))*2)+((COUNTIF('Elève (6ème3)'!RK13:RM13,"D"))*1))/(COUNTA(RK13:RM13)),"")</f>
        <v/>
      </c>
      <c r="RO13" s="109" t="str">
        <f t="shared" si="112"/>
        <v/>
      </c>
      <c r="RP13" s="81"/>
      <c r="RQ13" s="82"/>
      <c r="RR13" s="83"/>
      <c r="RS13" s="108" t="str">
        <f>IFERROR((((COUNTIF('Elève (6ème3)'!RP13:RR13,"A"))*4)+((COUNTIF('Elève (6ème3)'!RP13:RR13,"B"))*3)+((COUNTIF('Elève (6ème3)'!RP13:RR13,"C"))*2)+((COUNTIF('Elève (6ème3)'!RP13:RR13,"D"))*1))/(COUNTA(RP13:RR13)),"")</f>
        <v/>
      </c>
      <c r="RT13" s="109" t="str">
        <f t="shared" si="113"/>
        <v/>
      </c>
      <c r="RU13" s="81"/>
      <c r="RV13" s="82"/>
      <c r="RW13" s="83"/>
      <c r="RX13" s="108" t="str">
        <f>IFERROR((((COUNTIF('Elève (6ème3)'!RU13:RW13,"A"))*4)+((COUNTIF('Elève (6ème3)'!RU13:RW13,"B"))*3)+((COUNTIF('Elève (6ème3)'!RU13:RW13,"C"))*2)+((COUNTIF('Elève (6ème3)'!RU13:RW13,"D"))*1))/(COUNTA(RU13:RW13)),"")</f>
        <v/>
      </c>
      <c r="RY13" s="139" t="str">
        <f t="shared" si="114"/>
        <v/>
      </c>
      <c r="RZ13" s="178" t="str">
        <f>IF(COUNT(RN13,RS13,RX13)=0,"",SUM(RN13,RS13,RX13)/COUNT(RN13,RS13,RX13))</f>
        <v/>
      </c>
      <c r="SA13" s="131" t="str">
        <f t="shared" si="115"/>
        <v/>
      </c>
      <c r="SB13" s="156"/>
      <c r="SC13" s="157"/>
      <c r="SD13" s="158"/>
      <c r="SE13" s="108" t="str">
        <f>IFERROR((((COUNTIF('Elève (6ème3)'!SB13:SD13,"A"))*4)+((COUNTIF('Elève (6ème3)'!SB13:SD13,"B"))*3)+((COUNTIF('Elève (6ème3)'!SB13:SD13,"C"))*2)+((COUNTIF('Elève (6ème3)'!SB13:SD13,"D"))*1))/(COUNTA(SB13:SD13)),"")</f>
        <v/>
      </c>
      <c r="SF13" s="109" t="str">
        <f t="shared" si="116"/>
        <v/>
      </c>
      <c r="SG13" s="81"/>
      <c r="SH13" s="82"/>
      <c r="SI13" s="83"/>
      <c r="SJ13" s="108" t="str">
        <f>IFERROR((((COUNTIF('Elève (6ème3)'!SG13:SI13,"A"))*4)+((COUNTIF('Elève (6ème3)'!SG13:SI13,"B"))*3)+((COUNTIF('Elève (6ème3)'!SG13:SI13,"C"))*2)+((COUNTIF('Elève (6ème3)'!SG13:SI13,"D"))*1))/(COUNTA(SG13:SI13)),"")</f>
        <v/>
      </c>
      <c r="SK13" s="109" t="str">
        <f t="shared" si="117"/>
        <v/>
      </c>
      <c r="SL13" s="81"/>
      <c r="SM13" s="82"/>
      <c r="SN13" s="83"/>
      <c r="SO13" s="108" t="str">
        <f>IFERROR((((COUNTIF('Elève (6ème3)'!SL13:SN13,"A"))*4)+((COUNTIF('Elève (6ème3)'!SL13:SN13,"B"))*3)+((COUNTIF('Elève (6ème3)'!SL13:SN13,"C"))*2)+((COUNTIF('Elève (6ème3)'!SL13:SN13,"D"))*1))/(COUNTA(SL13:SN13)),"")</f>
        <v/>
      </c>
      <c r="SP13" s="139" t="str">
        <f t="shared" si="118"/>
        <v/>
      </c>
      <c r="SQ13" s="178" t="str">
        <f>IF(COUNT(SE13,SJ13,SO13)=0,"",SUM(SE13,SJ13,SO13)/COUNT(SE13,SJ13,SO13))</f>
        <v/>
      </c>
      <c r="SR13" s="131" t="str">
        <f t="shared" si="119"/>
        <v/>
      </c>
    </row>
    <row r="14" spans="1:512" s="77" customFormat="1" ht="16.5" customHeight="1" thickBot="1" x14ac:dyDescent="0.3">
      <c r="A14" s="96" t="s">
        <v>17</v>
      </c>
      <c r="B14" s="88">
        <v>2</v>
      </c>
      <c r="C14" s="152"/>
      <c r="D14" s="185"/>
      <c r="E14" s="185"/>
      <c r="F14" s="106">
        <f>IFERROR((((COUNTIF('Elève (6ème3)'!C15:E17,"A"))*4)+((COUNTIF('Elève (6ème3)'!C15:E17,"B"))*3)+((COUNTIF('Elève (6ème3)'!C15:E17,"C"))*2)+((COUNTIF('Elève (6ème3)'!C15:E17,"D"))*1))/(COUNTA(C15:E17)),"")</f>
        <v>1</v>
      </c>
      <c r="G14" s="107" t="str">
        <f t="shared" si="0"/>
        <v>D</v>
      </c>
      <c r="H14" s="204"/>
      <c r="I14" s="186"/>
      <c r="J14" s="205"/>
      <c r="K14" s="106" t="str">
        <f>IFERROR((((COUNTIF('Elève (6ème3)'!H15:J17,"A"))*4)+((COUNTIF('Elève (6ème3)'!H15:J17,"B"))*3)+((COUNTIF('Elève (6ème3)'!H15:J17,"C"))*2)+((COUNTIF('Elève (6ème3)'!H15:J17,"D"))*1))/(COUNTA(H15:J17)),"")</f>
        <v/>
      </c>
      <c r="L14" s="121" t="str">
        <f t="shared" si="1"/>
        <v/>
      </c>
      <c r="M14" s="100"/>
      <c r="N14" s="187"/>
      <c r="O14" s="188"/>
      <c r="P14" s="106" t="str">
        <f>IFERROR((((COUNTIF('Elève (6ème3)'!M15:O17,"A"))*4)+((COUNTIF('Elève (6ème3)'!M15:O17,"B"))*3)+((COUNTIF('Elève (6ème3)'!M15:O17,"C"))*2)+((COUNTIF('Elève (6ème3)'!M15:O17,"D"))*1))/(COUNTA(M15:O17)),"")</f>
        <v/>
      </c>
      <c r="Q14" s="128" t="str">
        <f t="shared" si="2"/>
        <v/>
      </c>
      <c r="R14" s="177">
        <f>IFERROR((((COUNTIF(C15:E17,"A")+COUNTIF(H15:J17,"A")+COUNTIF(M15:O17,"A"))*4)+((COUNTIF(C15:E17,"B")+COUNTIF(H15:J17,"B")+COUNTIF(M15:O17,"B"))*3)+((COUNTIF(C15:E17,"C")+COUNTIF(H15:J17,"C")+COUNTIF(M15:O17,"C"))*2)+((COUNTIF(C15:E17,"D")+COUNTIF(H15:J17,"D")+COUNTIF(M15:O17,"D"))*1))/(COUNTA(C15:E17)+COUNTA(H15:J17)+COUNTA(M15:O17)),"")</f>
        <v>1</v>
      </c>
      <c r="S14" s="130" t="str">
        <f t="shared" si="3"/>
        <v>D</v>
      </c>
      <c r="T14" s="152"/>
      <c r="U14" s="185"/>
      <c r="V14" s="185"/>
      <c r="W14" s="106">
        <f>IFERROR((((COUNTIF('Elève (6ème3)'!T15:V17,"A"))*4)+((COUNTIF('Elève (6ème3)'!T15:V17,"B"))*3)+((COUNTIF('Elève (6ème3)'!T15:V17,"C"))*2)+((COUNTIF('Elève (6ème3)'!T15:V17,"D"))*1))/(COUNTA(T15:V17)),"")</f>
        <v>3</v>
      </c>
      <c r="X14" s="107" t="str">
        <f t="shared" si="4"/>
        <v>B</v>
      </c>
      <c r="Y14" s="204"/>
      <c r="Z14" s="186"/>
      <c r="AA14" s="205"/>
      <c r="AB14" s="106" t="str">
        <f>IFERROR((((COUNTIF('Elève (6ème3)'!Y15:AA17,"A"))*4)+((COUNTIF('Elève (6ème3)'!Y15:AA17,"B"))*3)+((COUNTIF('Elève (6ème3)'!Y15:AA17,"C"))*2)+((COUNTIF('Elève (6ème3)'!Y15:AA17,"D"))*1))/(COUNTA(Y15:AA17)),"")</f>
        <v/>
      </c>
      <c r="AC14" s="121" t="str">
        <f t="shared" si="5"/>
        <v/>
      </c>
      <c r="AD14" s="100"/>
      <c r="AE14" s="187"/>
      <c r="AF14" s="188"/>
      <c r="AG14" s="106" t="str">
        <f>IFERROR((((COUNTIF('Elève (6ème3)'!AD15:AF17,"A"))*4)+((COUNTIF('Elève (6ème3)'!AD15:AF17,"B"))*3)+((COUNTIF('Elève (6ème3)'!AD15:AF17,"C"))*2)+((COUNTIF('Elève (6ème3)'!AD15:AF17,"D"))*1))/(COUNTA(AD15:AF17)),"")</f>
        <v/>
      </c>
      <c r="AH14" s="128" t="str">
        <f t="shared" si="6"/>
        <v/>
      </c>
      <c r="AI14" s="177">
        <f>IFERROR((((COUNTIF(T15:V17,"A")+COUNTIF(Y15:AA17,"A")+COUNTIF(AD15:AF17,"A"))*4)+((COUNTIF(T15:V17,"B")+COUNTIF(Y15:AA17,"B")+COUNTIF(AD15:AF17,"B"))*3)+((COUNTIF(T15:V17,"C")+COUNTIF(Y15:AA17,"C")+COUNTIF(AD15:AF17,"C"))*2)+((COUNTIF(T15:V17,"D")+COUNTIF(Y15:AA17,"D")+COUNTIF(AD15:AF17,"D"))*1))/(COUNTA(T15:V17)+COUNTA(Y15:AA17)+COUNTA(AD15:AF17)),"")</f>
        <v>3</v>
      </c>
      <c r="AJ14" s="130" t="str">
        <f t="shared" si="7"/>
        <v>B</v>
      </c>
      <c r="AK14" s="152"/>
      <c r="AL14" s="185"/>
      <c r="AM14" s="185"/>
      <c r="AN14" s="106">
        <f>IFERROR((((COUNTIF('Elève (6ème3)'!AK15:AM17,"A"))*4)+((COUNTIF('Elève (6ème3)'!AK15:AM17,"B"))*3)+((COUNTIF('Elève (6ème3)'!AK15:AM17,"C"))*2)+((COUNTIF('Elève (6ème3)'!AK15:AM17,"D"))*1))/(COUNTA(AK15:AM17)),"")</f>
        <v>3</v>
      </c>
      <c r="AO14" s="107" t="str">
        <f t="shared" si="8"/>
        <v>B</v>
      </c>
      <c r="AP14" s="204"/>
      <c r="AQ14" s="186"/>
      <c r="AR14" s="205"/>
      <c r="AS14" s="106" t="str">
        <f>IFERROR((((COUNTIF('Elève (6ème3)'!AP15:AR17,"A"))*4)+((COUNTIF('Elève (6ème3)'!AP15:AR17,"B"))*3)+((COUNTIF('Elève (6ème3)'!AP15:AR17,"C"))*2)+((COUNTIF('Elève (6ème3)'!AP15:AR17,"D"))*1))/(COUNTA(AP15:AR17)),"")</f>
        <v/>
      </c>
      <c r="AT14" s="121" t="str">
        <f t="shared" si="9"/>
        <v/>
      </c>
      <c r="AU14" s="100"/>
      <c r="AV14" s="187"/>
      <c r="AW14" s="188"/>
      <c r="AX14" s="106" t="str">
        <f>IFERROR((((COUNTIF('Elève (6ème3)'!AU15:AW17,"A"))*4)+((COUNTIF('Elève (6ème3)'!AU15:AW17,"B"))*3)+((COUNTIF('Elève (6ème3)'!AU15:AW17,"C"))*2)+((COUNTIF('Elève (6ème3)'!AU15:AW17,"D"))*1))/(COUNTA(AU15:AW17)),"")</f>
        <v/>
      </c>
      <c r="AY14" s="128" t="str">
        <f t="shared" si="10"/>
        <v/>
      </c>
      <c r="AZ14" s="177">
        <f>IFERROR((((COUNTIF(AK15:AM17,"A")+COUNTIF(AP15:AR17,"A")+COUNTIF(AU15:AW17,"A"))*4)+((COUNTIF(AK15:AM17,"B")+COUNTIF(AP15:AR17,"B")+COUNTIF(AU15:AW17,"B"))*3)+((COUNTIF(AK15:AM17,"C")+COUNTIF(AP15:AR17,"C")+COUNTIF(AU15:AW17,"C"))*2)+((COUNTIF(AK15:AM17,"D")+COUNTIF(AP15:AR17,"D")+COUNTIF(AU15:AW17,"D"))*1))/(COUNTA(AK15:AM17)+COUNTA(AP15:AR17)+COUNTA(AU15:AW17)),"")</f>
        <v>3</v>
      </c>
      <c r="BA14" s="130" t="str">
        <f t="shared" si="11"/>
        <v>B</v>
      </c>
      <c r="BB14" s="152"/>
      <c r="BC14" s="185"/>
      <c r="BD14" s="185"/>
      <c r="BE14" s="106">
        <f>IFERROR((((COUNTIF('Elève (6ème3)'!BB15:BD17,"A"))*4)+((COUNTIF('Elève (6ème3)'!BB15:BD17,"B"))*3)+((COUNTIF('Elève (6ème3)'!BB15:BD17,"C"))*2)+((COUNTIF('Elève (6ème3)'!BB15:BD17,"D"))*1))/(COUNTA(BB15:BD17)),"")</f>
        <v>4</v>
      </c>
      <c r="BF14" s="107" t="str">
        <f t="shared" si="12"/>
        <v>A</v>
      </c>
      <c r="BG14" s="204"/>
      <c r="BH14" s="186"/>
      <c r="BI14" s="205"/>
      <c r="BJ14" s="106" t="str">
        <f>IFERROR((((COUNTIF('Elève (6ème3)'!BG15:BI17,"A"))*4)+((COUNTIF('Elève (6ème3)'!BG15:BI17,"B"))*3)+((COUNTIF('Elève (6ème3)'!BG15:BI17,"C"))*2)+((COUNTIF('Elève (6ème3)'!BG15:BI17,"D"))*1))/(COUNTA(BG15:BI17)),"")</f>
        <v/>
      </c>
      <c r="BK14" s="121" t="str">
        <f t="shared" si="13"/>
        <v/>
      </c>
      <c r="BL14" s="100"/>
      <c r="BM14" s="187"/>
      <c r="BN14" s="188"/>
      <c r="BO14" s="106" t="str">
        <f>IFERROR((((COUNTIF('Elève (6ème3)'!BL15:BN17,"A"))*4)+((COUNTIF('Elève (6ème3)'!BL15:BN17,"B"))*3)+((COUNTIF('Elève (6ème3)'!BL15:BN17,"C"))*2)+((COUNTIF('Elève (6ème3)'!BL15:BN17,"D"))*1))/(COUNTA(BL15:BN17)),"")</f>
        <v/>
      </c>
      <c r="BP14" s="128" t="str">
        <f t="shared" si="14"/>
        <v/>
      </c>
      <c r="BQ14" s="177">
        <f>IFERROR((((COUNTIF(BB15:BD17,"A")+COUNTIF(BG15:BI17,"A")+COUNTIF(BL15:BN17,"A"))*4)+((COUNTIF(BB15:BD17,"B")+COUNTIF(BG15:BI17,"B")+COUNTIF(BL15:BN17,"B"))*3)+((COUNTIF(BB15:BD17,"C")+COUNTIF(BG15:BI17,"C")+COUNTIF(BL15:BN17,"C"))*2)+((COUNTIF(BB15:BD17,"D")+COUNTIF(BG15:BI17,"D")+COUNTIF(BL15:BN17,"D"))*1))/(COUNTA(BB15:BD17)+COUNTA(BG15:BI17)+COUNTA(BL15:BN17)),"")</f>
        <v>4</v>
      </c>
      <c r="BR14" s="130" t="str">
        <f t="shared" si="15"/>
        <v>A</v>
      </c>
      <c r="BS14" s="152"/>
      <c r="BT14" s="185"/>
      <c r="BU14" s="185"/>
      <c r="BV14" s="106">
        <f>IFERROR((((COUNTIF('Elève (6ème3)'!BS15:BU17,"A"))*4)+((COUNTIF('Elève (6ème3)'!BS15:BU17,"B"))*3)+((COUNTIF('Elève (6ème3)'!BS15:BU17,"C"))*2)+((COUNTIF('Elève (6ème3)'!BS15:BU17,"D"))*1))/(COUNTA(BS15:BU17)),"")</f>
        <v>3</v>
      </c>
      <c r="BW14" s="107" t="str">
        <f t="shared" si="16"/>
        <v>B</v>
      </c>
      <c r="BX14" s="204"/>
      <c r="BY14" s="186"/>
      <c r="BZ14" s="205"/>
      <c r="CA14" s="106" t="str">
        <f>IFERROR((((COUNTIF('Elève (6ème3)'!BX15:BZ17,"A"))*4)+((COUNTIF('Elève (6ème3)'!BX15:BZ17,"B"))*3)+((COUNTIF('Elève (6ème3)'!BX15:BZ17,"C"))*2)+((COUNTIF('Elève (6ème3)'!BX15:BZ17,"D"))*1))/(COUNTA(BX15:BZ17)),"")</f>
        <v/>
      </c>
      <c r="CB14" s="121" t="str">
        <f t="shared" si="17"/>
        <v/>
      </c>
      <c r="CC14" s="100"/>
      <c r="CD14" s="187"/>
      <c r="CE14" s="188"/>
      <c r="CF14" s="106" t="str">
        <f>IFERROR((((COUNTIF('Elève (6ème3)'!CC15:CE17,"A"))*4)+((COUNTIF('Elève (6ème3)'!CC15:CE17,"B"))*3)+((COUNTIF('Elève (6ème3)'!CC15:CE17,"C"))*2)+((COUNTIF('Elève (6ème3)'!CC15:CE17,"D"))*1))/(COUNTA(CC15:CE17)),"")</f>
        <v/>
      </c>
      <c r="CG14" s="128" t="str">
        <f t="shared" si="18"/>
        <v/>
      </c>
      <c r="CH14" s="177">
        <f>IFERROR((((COUNTIF(BS15:BU17,"A")+COUNTIF(BX15:BZ17,"A")+COUNTIF(CC15:CE17,"A"))*4)+((COUNTIF(BS15:BU17,"B")+COUNTIF(BX15:BZ17,"B")+COUNTIF(CC15:CE17,"B"))*3)+((COUNTIF(BS15:BU17,"C")+COUNTIF(BX15:BZ17,"C")+COUNTIF(CC15:CE17,"C"))*2)+((COUNTIF(BS15:BU17,"D")+COUNTIF(BX15:BZ17,"D")+COUNTIF(CC15:CE17,"D"))*1))/(COUNTA(BS15:BU17)+COUNTA(BX15:BZ17)+COUNTA(CC15:CE17)),"")</f>
        <v>3</v>
      </c>
      <c r="CI14" s="130" t="str">
        <f t="shared" si="19"/>
        <v>B</v>
      </c>
      <c r="CJ14" s="152"/>
      <c r="CK14" s="185"/>
      <c r="CL14" s="185"/>
      <c r="CM14" s="106">
        <f>IFERROR((((COUNTIF('Elève (6ème3)'!CJ15:CL17,"A"))*4)+((COUNTIF('Elève (6ème3)'!CJ15:CL17,"B"))*3)+((COUNTIF('Elève (6ème3)'!CJ15:CL17,"C"))*2)+((COUNTIF('Elève (6ème3)'!CJ15:CL17,"D"))*1))/(COUNTA(CJ15:CL17)),"")</f>
        <v>3</v>
      </c>
      <c r="CN14" s="107" t="str">
        <f t="shared" si="20"/>
        <v>B</v>
      </c>
      <c r="CO14" s="204"/>
      <c r="CP14" s="186"/>
      <c r="CQ14" s="205"/>
      <c r="CR14" s="106" t="str">
        <f>IFERROR((((COUNTIF('Elève (6ème3)'!CO15:CQ17,"A"))*4)+((COUNTIF('Elève (6ème3)'!CO15:CQ17,"B"))*3)+((COUNTIF('Elève (6ème3)'!CO15:CQ17,"C"))*2)+((COUNTIF('Elève (6ème3)'!CO15:CQ17,"D"))*1))/(COUNTA(CO15:CQ17)),"")</f>
        <v/>
      </c>
      <c r="CS14" s="121" t="str">
        <f t="shared" si="21"/>
        <v/>
      </c>
      <c r="CT14" s="100"/>
      <c r="CU14" s="187"/>
      <c r="CV14" s="188"/>
      <c r="CW14" s="106" t="str">
        <f>IFERROR((((COUNTIF('Elève (6ème3)'!CT15:CV17,"A"))*4)+((COUNTIF('Elève (6ème3)'!CT15:CV17,"B"))*3)+((COUNTIF('Elève (6ème3)'!CT15:CV17,"C"))*2)+((COUNTIF('Elève (6ème3)'!CT15:CV17,"D"))*1))/(COUNTA(CT15:CV17)),"")</f>
        <v/>
      </c>
      <c r="CX14" s="128" t="str">
        <f t="shared" si="22"/>
        <v/>
      </c>
      <c r="CY14" s="177">
        <f>IFERROR((((COUNTIF(CJ15:CL17,"A")+COUNTIF(CO15:CQ17,"A")+COUNTIF(CT15:CV17,"A"))*4)+((COUNTIF(CJ15:CL17,"B")+COUNTIF(CO15:CQ17,"B")+COUNTIF(CT15:CV17,"B"))*3)+((COUNTIF(CJ15:CL17,"C")+COUNTIF(CO15:CQ17,"C")+COUNTIF(CT15:CV17,"C"))*2)+((COUNTIF(CJ15:CL17,"D")+COUNTIF(CO15:CQ17,"D")+COUNTIF(CT15:CV17,"D"))*1))/(COUNTA(CJ15:CL17)+COUNTA(CO15:CQ17)+COUNTA(CT15:CV17)),"")</f>
        <v>3</v>
      </c>
      <c r="CZ14" s="130" t="str">
        <f t="shared" si="23"/>
        <v>B</v>
      </c>
      <c r="DA14" s="152"/>
      <c r="DB14" s="185"/>
      <c r="DC14" s="185"/>
      <c r="DD14" s="106" t="str">
        <f>IFERROR((((COUNTIF('Elève (6ème3)'!DA15:DC17,"A"))*4)+((COUNTIF('Elève (6ème3)'!DA15:DC17,"B"))*3)+((COUNTIF('Elève (6ème3)'!DA15:DC17,"C"))*2)+((COUNTIF('Elève (6ème3)'!DA15:DC17,"D"))*1))/(COUNTA(DA15:DC17)),"")</f>
        <v/>
      </c>
      <c r="DE14" s="107" t="str">
        <f t="shared" si="24"/>
        <v/>
      </c>
      <c r="DF14" s="204"/>
      <c r="DG14" s="186"/>
      <c r="DH14" s="205"/>
      <c r="DI14" s="106" t="str">
        <f>IFERROR((((COUNTIF('Elève (6ème3)'!DF15:DH17,"A"))*4)+((COUNTIF('Elève (6ème3)'!DF15:DH17,"B"))*3)+((COUNTIF('Elève (6ème3)'!DF15:DH17,"C"))*2)+((COUNTIF('Elève (6ème3)'!DF15:DH17,"D"))*1))/(COUNTA(DF15:DH17)),"")</f>
        <v/>
      </c>
      <c r="DJ14" s="121" t="str">
        <f t="shared" si="25"/>
        <v/>
      </c>
      <c r="DK14" s="100"/>
      <c r="DL14" s="187"/>
      <c r="DM14" s="188"/>
      <c r="DN14" s="106" t="str">
        <f>IFERROR((((COUNTIF('Elève (6ème3)'!DK15:DM17,"A"))*4)+((COUNTIF('Elève (6ème3)'!DK15:DM17,"B"))*3)+((COUNTIF('Elève (6ème3)'!DK15:DM17,"C"))*2)+((COUNTIF('Elève (6ème3)'!DK15:DM17,"D"))*1))/(COUNTA(DK15:DM17)),"")</f>
        <v/>
      </c>
      <c r="DO14" s="128" t="str">
        <f t="shared" si="26"/>
        <v/>
      </c>
      <c r="DP14" s="177" t="str">
        <f>IFERROR((((COUNTIF(DA15:DC17,"A")+COUNTIF(DF15:DH17,"A")+COUNTIF(DK15:DM17,"A"))*4)+((COUNTIF(DA15:DC17,"B")+COUNTIF(DF15:DH17,"B")+COUNTIF(DK15:DM17,"B"))*3)+((COUNTIF(DA15:DC17,"C")+COUNTIF(DF15:DH17,"C")+COUNTIF(DK15:DM17,"C"))*2)+((COUNTIF(DA15:DC17,"D")+COUNTIF(DF15:DH17,"D")+COUNTIF(DK15:DM17,"D"))*1))/(COUNTA(DA15:DC17)+COUNTA(DF15:DH17)+COUNTA(DK15:DM17)),"")</f>
        <v/>
      </c>
      <c r="DQ14" s="130" t="str">
        <f t="shared" si="27"/>
        <v/>
      </c>
      <c r="DR14" s="152"/>
      <c r="DS14" s="185"/>
      <c r="DT14" s="185"/>
      <c r="DU14" s="106">
        <f>IFERROR((((COUNTIF('Elève (6ème3)'!DR15:DT17,"A"))*4)+((COUNTIF('Elève (6ème3)'!DR15:DT17,"B"))*3)+((COUNTIF('Elève (6ème3)'!DR15:DT17,"C"))*2)+((COUNTIF('Elève (6ème3)'!DR15:DT17,"D"))*1))/(COUNTA(DR15:DT17)),"")</f>
        <v>3</v>
      </c>
      <c r="DV14" s="107" t="str">
        <f t="shared" si="28"/>
        <v>B</v>
      </c>
      <c r="DW14" s="204"/>
      <c r="DX14" s="186"/>
      <c r="DY14" s="205"/>
      <c r="DZ14" s="106" t="str">
        <f>IFERROR((((COUNTIF('Elève (6ème3)'!DW15:DY17,"A"))*4)+((COUNTIF('Elève (6ème3)'!DW15:DY17,"B"))*3)+((COUNTIF('Elève (6ème3)'!DW15:DY17,"C"))*2)+((COUNTIF('Elève (6ème3)'!DW15:DY17,"D"))*1))/(COUNTA(DW15:DY17)),"")</f>
        <v/>
      </c>
      <c r="EA14" s="121" t="str">
        <f t="shared" si="29"/>
        <v/>
      </c>
      <c r="EB14" s="100"/>
      <c r="EC14" s="187"/>
      <c r="ED14" s="188"/>
      <c r="EE14" s="106" t="str">
        <f>IFERROR((((COUNTIF('Elève (6ème3)'!EB15:ED17,"A"))*4)+((COUNTIF('Elève (6ème3)'!EB15:ED17,"B"))*3)+((COUNTIF('Elève (6ème3)'!EB15:ED17,"C"))*2)+((COUNTIF('Elève (6ème3)'!EB15:ED17,"D"))*1))/(COUNTA(EB15:ED17)),"")</f>
        <v/>
      </c>
      <c r="EF14" s="128" t="str">
        <f t="shared" si="30"/>
        <v/>
      </c>
      <c r="EG14" s="177">
        <f>IFERROR((((COUNTIF(DR15:DT17,"A")+COUNTIF(DW15:DY17,"A")+COUNTIF(EB15:ED17,"A"))*4)+((COUNTIF(DR15:DT17,"B")+COUNTIF(DW15:DY17,"B")+COUNTIF(EB15:ED17,"B"))*3)+((COUNTIF(DR15:DT17,"C")+COUNTIF(DW15:DY17,"C")+COUNTIF(EB15:ED17,"C"))*2)+((COUNTIF(DR15:DT17,"D")+COUNTIF(DW15:DY17,"D")+COUNTIF(EB15:ED17,"D"))*1))/(COUNTA(DR15:DT17)+COUNTA(DW15:DY17)+COUNTA(EB15:ED17)),"")</f>
        <v>3</v>
      </c>
      <c r="EH14" s="130" t="str">
        <f t="shared" si="31"/>
        <v>B</v>
      </c>
      <c r="EI14" s="152"/>
      <c r="EJ14" s="185"/>
      <c r="EK14" s="185"/>
      <c r="EL14" s="106">
        <f>IFERROR((((COUNTIF('Elève (6ème3)'!EI15:EK17,"A"))*4)+((COUNTIF('Elève (6ème3)'!EI15:EK17,"B"))*3)+((COUNTIF('Elève (6ème3)'!EI15:EK17,"C"))*2)+((COUNTIF('Elève (6ème3)'!EI15:EK17,"D"))*1))/(COUNTA(EI15:EK17)),"")</f>
        <v>2</v>
      </c>
      <c r="EM14" s="107" t="str">
        <f t="shared" si="32"/>
        <v>C</v>
      </c>
      <c r="EN14" s="204"/>
      <c r="EO14" s="186"/>
      <c r="EP14" s="205"/>
      <c r="EQ14" s="106" t="str">
        <f>IFERROR((((COUNTIF('Elève (6ème3)'!EN15:EP17,"A"))*4)+((COUNTIF('Elève (6ème3)'!EN15:EP17,"B"))*3)+((COUNTIF('Elève (6ème3)'!EN15:EP17,"C"))*2)+((COUNTIF('Elève (6ème3)'!EN15:EP17,"D"))*1))/(COUNTA(EN15:EP17)),"")</f>
        <v/>
      </c>
      <c r="ER14" s="121" t="str">
        <f t="shared" si="33"/>
        <v/>
      </c>
      <c r="ES14" s="100"/>
      <c r="ET14" s="187"/>
      <c r="EU14" s="188"/>
      <c r="EV14" s="106" t="str">
        <f>IFERROR((((COUNTIF('Elève (6ème3)'!ES15:EU17,"A"))*4)+((COUNTIF('Elève (6ème3)'!ES15:EU17,"B"))*3)+((COUNTIF('Elève (6ème3)'!ES15:EU17,"C"))*2)+((COUNTIF('Elève (6ème3)'!ES15:EU17,"D"))*1))/(COUNTA(ES15:EU17)),"")</f>
        <v/>
      </c>
      <c r="EW14" s="128" t="str">
        <f t="shared" si="34"/>
        <v/>
      </c>
      <c r="EX14" s="177">
        <f>IFERROR((((COUNTIF(EI15:EK17,"A")+COUNTIF(EN15:EP17,"A")+COUNTIF(ES15:EU17,"A"))*4)+((COUNTIF(EI15:EK17,"B")+COUNTIF(EN15:EP17,"B")+COUNTIF(ES15:EU17,"B"))*3)+((COUNTIF(EI15:EK17,"C")+COUNTIF(EN15:EP17,"C")+COUNTIF(ES15:EU17,"C"))*2)+((COUNTIF(EI15:EK17,"D")+COUNTIF(EN15:EP17,"D")+COUNTIF(ES15:EU17,"D"))*1))/(COUNTA(EI15:EK17)+COUNTA(EN15:EP17)+COUNTA(ES15:EU17)),"")</f>
        <v>2</v>
      </c>
      <c r="EY14" s="130" t="str">
        <f t="shared" si="35"/>
        <v>C</v>
      </c>
      <c r="EZ14" s="152"/>
      <c r="FA14" s="185"/>
      <c r="FB14" s="185"/>
      <c r="FC14" s="106">
        <f>IFERROR((((COUNTIF('Elève (6ème3)'!EZ15:FB17,"A"))*4)+((COUNTIF('Elève (6ème3)'!EZ15:FB17,"B"))*3)+((COUNTIF('Elève (6ème3)'!EZ15:FB17,"C"))*2)+((COUNTIF('Elève (6ème3)'!EZ15:FB17,"D"))*1))/(COUNTA(EZ15:FB17)),"")</f>
        <v>2</v>
      </c>
      <c r="FD14" s="107" t="str">
        <f t="shared" si="36"/>
        <v>C</v>
      </c>
      <c r="FE14" s="204"/>
      <c r="FF14" s="186"/>
      <c r="FG14" s="205"/>
      <c r="FH14" s="106" t="str">
        <f>IFERROR((((COUNTIF('Elève (6ème3)'!FE15:FG17,"A"))*4)+((COUNTIF('Elève (6ème3)'!FE15:FG17,"B"))*3)+((COUNTIF('Elève (6ème3)'!FE15:FG17,"C"))*2)+((COUNTIF('Elève (6ème3)'!FE15:FG17,"D"))*1))/(COUNTA(FE15:FG17)),"")</f>
        <v/>
      </c>
      <c r="FI14" s="121" t="str">
        <f t="shared" si="37"/>
        <v/>
      </c>
      <c r="FJ14" s="100"/>
      <c r="FK14" s="187"/>
      <c r="FL14" s="188"/>
      <c r="FM14" s="106" t="str">
        <f>IFERROR((((COUNTIF('Elève (6ème3)'!FJ15:FL17,"A"))*4)+((COUNTIF('Elève (6ème3)'!FJ15:FL17,"B"))*3)+((COUNTIF('Elève (6ème3)'!FJ15:FL17,"C"))*2)+((COUNTIF('Elève (6ème3)'!FJ15:FL17,"D"))*1))/(COUNTA(FJ15:FL17)),"")</f>
        <v/>
      </c>
      <c r="FN14" s="128" t="str">
        <f t="shared" si="38"/>
        <v/>
      </c>
      <c r="FO14" s="177">
        <f>IFERROR((((COUNTIF(EZ15:FB17,"A")+COUNTIF(FE15:FG17,"A")+COUNTIF(FJ15:FL17,"A"))*4)+((COUNTIF(EZ15:FB17,"B")+COUNTIF(FE15:FG17,"B")+COUNTIF(FJ15:FL17,"B"))*3)+((COUNTIF(EZ15:FB17,"C")+COUNTIF(FE15:FG17,"C")+COUNTIF(FJ15:FL17,"C"))*2)+((COUNTIF(EZ15:FB17,"D")+COUNTIF(FE15:FG17,"D")+COUNTIF(FJ15:FL17,"D"))*1))/(COUNTA(EZ15:FB17)+COUNTA(FE15:FG17)+COUNTA(FJ15:FL17)),"")</f>
        <v>2</v>
      </c>
      <c r="FP14" s="130" t="str">
        <f t="shared" si="39"/>
        <v>C</v>
      </c>
      <c r="FQ14" s="152"/>
      <c r="FR14" s="185"/>
      <c r="FS14" s="185"/>
      <c r="FT14" s="106">
        <f>IFERROR((((COUNTIF('Elève (6ème3)'!FQ15:FS17,"A"))*4)+((COUNTIF('Elève (6ème3)'!FQ15:FS17,"B"))*3)+((COUNTIF('Elève (6ème3)'!FQ15:FS17,"C"))*2)+((COUNTIF('Elève (6ème3)'!FQ15:FS17,"D"))*1))/(COUNTA(FQ15:FS17)),"")</f>
        <v>4</v>
      </c>
      <c r="FU14" s="107" t="str">
        <f t="shared" si="40"/>
        <v>A</v>
      </c>
      <c r="FV14" s="204"/>
      <c r="FW14" s="186"/>
      <c r="FX14" s="205"/>
      <c r="FY14" s="106" t="str">
        <f>IFERROR((((COUNTIF('Elève (6ème3)'!FV15:FX17,"A"))*4)+((COUNTIF('Elève (6ème3)'!FV15:FX17,"B"))*3)+((COUNTIF('Elève (6ème3)'!FV15:FX17,"C"))*2)+((COUNTIF('Elève (6ème3)'!FV15:FX17,"D"))*1))/(COUNTA(FV15:FX17)),"")</f>
        <v/>
      </c>
      <c r="FZ14" s="121" t="str">
        <f t="shared" si="41"/>
        <v/>
      </c>
      <c r="GA14" s="100"/>
      <c r="GB14" s="187"/>
      <c r="GC14" s="188"/>
      <c r="GD14" s="106" t="str">
        <f>IFERROR((((COUNTIF('Elève (6ème3)'!GA15:GC17,"A"))*4)+((COUNTIF('Elève (6ème3)'!GA15:GC17,"B"))*3)+((COUNTIF('Elève (6ème3)'!GA15:GC17,"C"))*2)+((COUNTIF('Elève (6ème3)'!GA15:GC17,"D"))*1))/(COUNTA(GA15:GC17)),"")</f>
        <v/>
      </c>
      <c r="GE14" s="128" t="str">
        <f t="shared" si="42"/>
        <v/>
      </c>
      <c r="GF14" s="177">
        <f>IFERROR((((COUNTIF(FQ15:FS17,"A")+COUNTIF(FV15:FX17,"A")+COUNTIF(GA15:GC17,"A"))*4)+((COUNTIF(FQ15:FS17,"B")+COUNTIF(FV15:FX17,"B")+COUNTIF(GA15:GC17,"B"))*3)+((COUNTIF(FQ15:FS17,"C")+COUNTIF(FV15:FX17,"C")+COUNTIF(GA15:GC17,"C"))*2)+((COUNTIF(FQ15:FS17,"D")+COUNTIF(FV15:FX17,"D")+COUNTIF(GA15:GC17,"D"))*1))/(COUNTA(FQ15:FS17)+COUNTA(FV15:FX17)+COUNTA(GA15:GC17)),"")</f>
        <v>4</v>
      </c>
      <c r="GG14" s="130" t="str">
        <f t="shared" si="43"/>
        <v>A</v>
      </c>
      <c r="GH14" s="152"/>
      <c r="GI14" s="185"/>
      <c r="GJ14" s="185"/>
      <c r="GK14" s="106">
        <f>IFERROR((((COUNTIF('Elève (6ème3)'!GH15:GJ17,"A"))*4)+((COUNTIF('Elève (6ème3)'!GH15:GJ17,"B"))*3)+((COUNTIF('Elève (6ème3)'!GH15:GJ17,"C"))*2)+((COUNTIF('Elève (6ème3)'!GH15:GJ17,"D"))*1))/(COUNTA(GH15:GJ17)),"")</f>
        <v>3</v>
      </c>
      <c r="GL14" s="107" t="str">
        <f t="shared" si="44"/>
        <v>B</v>
      </c>
      <c r="GM14" s="204"/>
      <c r="GN14" s="186"/>
      <c r="GO14" s="205"/>
      <c r="GP14" s="106" t="str">
        <f>IFERROR((((COUNTIF('Elève (6ème3)'!GM15:GO17,"A"))*4)+((COUNTIF('Elève (6ème3)'!GM15:GO17,"B"))*3)+((COUNTIF('Elève (6ème3)'!GM15:GO17,"C"))*2)+((COUNTIF('Elève (6ème3)'!GM15:GO17,"D"))*1))/(COUNTA(GM15:GO17)),"")</f>
        <v/>
      </c>
      <c r="GQ14" s="121" t="str">
        <f t="shared" si="45"/>
        <v/>
      </c>
      <c r="GR14" s="100"/>
      <c r="GS14" s="187"/>
      <c r="GT14" s="188"/>
      <c r="GU14" s="106" t="str">
        <f>IFERROR((((COUNTIF('Elève (6ème3)'!GR15:GT17,"A"))*4)+((COUNTIF('Elève (6ème3)'!GR15:GT17,"B"))*3)+((COUNTIF('Elève (6ème3)'!GR15:GT17,"C"))*2)+((COUNTIF('Elève (6ème3)'!GR15:GT17,"D"))*1))/(COUNTA(GR15:GT17)),"")</f>
        <v/>
      </c>
      <c r="GV14" s="128" t="str">
        <f t="shared" si="46"/>
        <v/>
      </c>
      <c r="GW14" s="177">
        <f>IFERROR((((COUNTIF(GH15:GJ17,"A")+COUNTIF(GM15:GO17,"A")+COUNTIF(GR15:GT17,"A"))*4)+((COUNTIF(GH15:GJ17,"B")+COUNTIF(GM15:GO17,"B")+COUNTIF(GR15:GT17,"B"))*3)+((COUNTIF(GH15:GJ17,"C")+COUNTIF(GM15:GO17,"C")+COUNTIF(GR15:GT17,"C"))*2)+((COUNTIF(GH15:GJ17,"D")+COUNTIF(GM15:GO17,"D")+COUNTIF(GR15:GT17,"D"))*1))/(COUNTA(GH15:GJ17)+COUNTA(GM15:GO17)+COUNTA(GR15:GT17)),"")</f>
        <v>3</v>
      </c>
      <c r="GX14" s="130" t="str">
        <f t="shared" si="47"/>
        <v>B</v>
      </c>
      <c r="GY14" s="152"/>
      <c r="GZ14" s="185"/>
      <c r="HA14" s="185"/>
      <c r="HB14" s="106">
        <f>IFERROR((((COUNTIF('Elève (6ème3)'!GY15:HA17,"A"))*4)+((COUNTIF('Elève (6ème3)'!GY15:HA17,"B"))*3)+((COUNTIF('Elève (6ème3)'!GY15:HA17,"C"))*2)+((COUNTIF('Elève (6ème3)'!GY15:HA17,"D"))*1))/(COUNTA(GY15:HA17)),"")</f>
        <v>3</v>
      </c>
      <c r="HC14" s="107" t="str">
        <f t="shared" si="48"/>
        <v>B</v>
      </c>
      <c r="HD14" s="204"/>
      <c r="HE14" s="186"/>
      <c r="HF14" s="205"/>
      <c r="HG14" s="106" t="str">
        <f>IFERROR((((COUNTIF('Elève (6ème3)'!HD15:HF17,"A"))*4)+((COUNTIF('Elève (6ème3)'!HD15:HF17,"B"))*3)+((COUNTIF('Elève (6ème3)'!HD15:HF17,"C"))*2)+((COUNTIF('Elève (6ème3)'!HD15:HF17,"D"))*1))/(COUNTA(HD15:HF17)),"")</f>
        <v/>
      </c>
      <c r="HH14" s="121" t="str">
        <f t="shared" si="49"/>
        <v/>
      </c>
      <c r="HI14" s="100"/>
      <c r="HJ14" s="187"/>
      <c r="HK14" s="188"/>
      <c r="HL14" s="106" t="str">
        <f>IFERROR((((COUNTIF('Elève (6ème3)'!HI15:HK17,"A"))*4)+((COUNTIF('Elève (6ème3)'!HI15:HK17,"B"))*3)+((COUNTIF('Elève (6ème3)'!HI15:HK17,"C"))*2)+((COUNTIF('Elève (6ème3)'!HI15:HK17,"D"))*1))/(COUNTA(HI15:HK17)),"")</f>
        <v/>
      </c>
      <c r="HM14" s="128" t="str">
        <f t="shared" si="50"/>
        <v/>
      </c>
      <c r="HN14" s="177">
        <f>IFERROR((((COUNTIF(GY15:HA17,"A")+COUNTIF(HD15:HF17,"A")+COUNTIF(HI15:HK17,"A"))*4)+((COUNTIF(GY15:HA17,"B")+COUNTIF(HD15:HF17,"B")+COUNTIF(HI15:HK17,"B"))*3)+((COUNTIF(GY15:HA17,"C")+COUNTIF(HD15:HF17,"C")+COUNTIF(HI15:HK17,"C"))*2)+((COUNTIF(GY15:HA17,"D")+COUNTIF(HD15:HF17,"D")+COUNTIF(HI15:HK17,"D"))*1))/(COUNTA(GY15:HA17)+COUNTA(HD15:HF17)+COUNTA(HI15:HK17)),"")</f>
        <v>3</v>
      </c>
      <c r="HO14" s="130" t="str">
        <f t="shared" si="51"/>
        <v>B</v>
      </c>
      <c r="HP14" s="152"/>
      <c r="HQ14" s="185"/>
      <c r="HR14" s="185"/>
      <c r="HS14" s="106">
        <f>IFERROR((((COUNTIF('Elève (6ème3)'!HP15:HR17,"A"))*4)+((COUNTIF('Elève (6ème3)'!HP15:HR17,"B"))*3)+((COUNTIF('Elève (6ème3)'!HP15:HR17,"C"))*2)+((COUNTIF('Elève (6ème3)'!HP15:HR17,"D"))*1))/(COUNTA(HP15:HR17)),"")</f>
        <v>3</v>
      </c>
      <c r="HT14" s="107" t="str">
        <f t="shared" si="52"/>
        <v>B</v>
      </c>
      <c r="HU14" s="204"/>
      <c r="HV14" s="186"/>
      <c r="HW14" s="205"/>
      <c r="HX14" s="106" t="str">
        <f>IFERROR((((COUNTIF('Elève (6ème3)'!HU15:HW17,"A"))*4)+((COUNTIF('Elève (6ème3)'!HU15:HW17,"B"))*3)+((COUNTIF('Elève (6ème3)'!HU15:HW17,"C"))*2)+((COUNTIF('Elève (6ème3)'!HU15:HW17,"D"))*1))/(COUNTA(HU15:HW17)),"")</f>
        <v/>
      </c>
      <c r="HY14" s="121" t="str">
        <f t="shared" si="53"/>
        <v/>
      </c>
      <c r="HZ14" s="100"/>
      <c r="IA14" s="187"/>
      <c r="IB14" s="188"/>
      <c r="IC14" s="106" t="str">
        <f>IFERROR((((COUNTIF('Elève (6ème3)'!HZ15:IB17,"A"))*4)+((COUNTIF('Elève (6ème3)'!HZ15:IB17,"B"))*3)+((COUNTIF('Elève (6ème3)'!HZ15:IB17,"C"))*2)+((COUNTIF('Elève (6ème3)'!HZ15:IB17,"D"))*1))/(COUNTA(HZ15:IB17)),"")</f>
        <v/>
      </c>
      <c r="ID14" s="128" t="str">
        <f t="shared" si="54"/>
        <v/>
      </c>
      <c r="IE14" s="177">
        <f>IFERROR((((COUNTIF(HP15:HR17,"A")+COUNTIF(HU15:HW17,"A")+COUNTIF(HZ15:IB17,"A"))*4)+((COUNTIF(HP15:HR17,"B")+COUNTIF(HU15:HW17,"B")+COUNTIF(HZ15:IB17,"B"))*3)+((COUNTIF(HP15:HR17,"C")+COUNTIF(HU15:HW17,"C")+COUNTIF(HZ15:IB17,"C"))*2)+((COUNTIF(HP15:HR17,"D")+COUNTIF(HU15:HW17,"D")+COUNTIF(HZ15:IB17,"D"))*1))/(COUNTA(HP15:HR17)+COUNTA(HU15:HW17)+COUNTA(HZ15:IB17)),"")</f>
        <v>3</v>
      </c>
      <c r="IF14" s="130" t="str">
        <f t="shared" si="55"/>
        <v>B</v>
      </c>
      <c r="IG14" s="152"/>
      <c r="IH14" s="185"/>
      <c r="II14" s="185"/>
      <c r="IJ14" s="106">
        <f>IFERROR((((COUNTIF('Elève (6ème3)'!IG15:II17,"A"))*4)+((COUNTIF('Elève (6ème3)'!IG15:II17,"B"))*3)+((COUNTIF('Elève (6ème3)'!IG15:II17,"C"))*2)+((COUNTIF('Elève (6ème3)'!IG15:II17,"D"))*1))/(COUNTA(IG15:II17)),"")</f>
        <v>2</v>
      </c>
      <c r="IK14" s="107" t="str">
        <f t="shared" si="56"/>
        <v>C</v>
      </c>
      <c r="IL14" s="204"/>
      <c r="IM14" s="186"/>
      <c r="IN14" s="205"/>
      <c r="IO14" s="106" t="str">
        <f>IFERROR((((COUNTIF('Elève (6ème3)'!IL15:IN17,"A"))*4)+((COUNTIF('Elève (6ème3)'!IL15:IN17,"B"))*3)+((COUNTIF('Elève (6ème3)'!IL15:IN17,"C"))*2)+((COUNTIF('Elève (6ème3)'!IL15:IN17,"D"))*1))/(COUNTA(IL15:IN17)),"")</f>
        <v/>
      </c>
      <c r="IP14" s="121" t="str">
        <f t="shared" si="57"/>
        <v/>
      </c>
      <c r="IQ14" s="100"/>
      <c r="IR14" s="187"/>
      <c r="IS14" s="188"/>
      <c r="IT14" s="106" t="str">
        <f>IFERROR((((COUNTIF('Elève (6ème3)'!IQ15:IS17,"A"))*4)+((COUNTIF('Elève (6ème3)'!IQ15:IS17,"B"))*3)+((COUNTIF('Elève (6ème3)'!IQ15:IS17,"C"))*2)+((COUNTIF('Elève (6ème3)'!IQ15:IS17,"D"))*1))/(COUNTA(IQ15:IS17)),"")</f>
        <v/>
      </c>
      <c r="IU14" s="128" t="str">
        <f t="shared" si="58"/>
        <v/>
      </c>
      <c r="IV14" s="177">
        <f>IFERROR((((COUNTIF(IG15:II17,"A")+COUNTIF(IL15:IN17,"A")+COUNTIF(IQ15:IS17,"A"))*4)+((COUNTIF(IG15:II17,"B")+COUNTIF(IL15:IN17,"B")+COUNTIF(IQ15:IS17,"B"))*3)+((COUNTIF(IG15:II17,"C")+COUNTIF(IL15:IN17,"C")+COUNTIF(IQ15:IS17,"C"))*2)+((COUNTIF(IG15:II17,"D")+COUNTIF(IL15:IN17,"D")+COUNTIF(IQ15:IS17,"D"))*1))/(COUNTA(IG15:II17)+COUNTA(IL15:IN17)+COUNTA(IQ15:IS17)),"")</f>
        <v>2</v>
      </c>
      <c r="IW14" s="130" t="str">
        <f t="shared" si="59"/>
        <v>C</v>
      </c>
      <c r="IX14" s="152"/>
      <c r="IY14" s="185"/>
      <c r="IZ14" s="185"/>
      <c r="JA14" s="106">
        <f>IFERROR((((COUNTIF('Elève (6ème3)'!IX15:IZ17,"A"))*4)+((COUNTIF('Elève (6ème3)'!IX15:IZ17,"B"))*3)+((COUNTIF('Elève (6ème3)'!IX15:IZ17,"C"))*2)+((COUNTIF('Elève (6ème3)'!IX15:IZ17,"D"))*1))/(COUNTA(IX15:IZ17)),"")</f>
        <v>3</v>
      </c>
      <c r="JB14" s="107" t="str">
        <f t="shared" si="60"/>
        <v>B</v>
      </c>
      <c r="JC14" s="204"/>
      <c r="JD14" s="186"/>
      <c r="JE14" s="205"/>
      <c r="JF14" s="106" t="str">
        <f>IFERROR((((COUNTIF('Elève (6ème3)'!JC15:JE17,"A"))*4)+((COUNTIF('Elève (6ème3)'!JC15:JE17,"B"))*3)+((COUNTIF('Elève (6ème3)'!JC15:JE17,"C"))*2)+((COUNTIF('Elève (6ème3)'!JC15:JE17,"D"))*1))/(COUNTA(JC15:JE17)),"")</f>
        <v/>
      </c>
      <c r="JG14" s="121" t="str">
        <f t="shared" si="61"/>
        <v/>
      </c>
      <c r="JH14" s="100"/>
      <c r="JI14" s="187"/>
      <c r="JJ14" s="188"/>
      <c r="JK14" s="106" t="str">
        <f>IFERROR((((COUNTIF('Elève (6ème3)'!JH15:JJ17,"A"))*4)+((COUNTIF('Elève (6ème3)'!JH15:JJ17,"B"))*3)+((COUNTIF('Elève (6ème3)'!JH15:JJ17,"C"))*2)+((COUNTIF('Elève (6ème3)'!JH15:JJ17,"D"))*1))/(COUNTA(JH15:JJ17)),"")</f>
        <v/>
      </c>
      <c r="JL14" s="128" t="str">
        <f t="shared" si="62"/>
        <v/>
      </c>
      <c r="JM14" s="177">
        <f>IFERROR((((COUNTIF(IX15:IZ17,"A")+COUNTIF(JC15:JE17,"A")+COUNTIF(JH15:JJ17,"A"))*4)+((COUNTIF(IX15:IZ17,"B")+COUNTIF(JC15:JE17,"B")+COUNTIF(JH15:JJ17,"B"))*3)+((COUNTIF(IX15:IZ17,"C")+COUNTIF(JC15:JE17,"C")+COUNTIF(JH15:JJ17,"C"))*2)+((COUNTIF(IX15:IZ17,"D")+COUNTIF(JC15:JE17,"D")+COUNTIF(JH15:JJ17,"D"))*1))/(COUNTA(IX15:IZ17)+COUNTA(JC15:JE17)+COUNTA(JH15:JJ17)),"")</f>
        <v>3</v>
      </c>
      <c r="JN14" s="130" t="str">
        <f t="shared" si="63"/>
        <v>B</v>
      </c>
      <c r="JO14" s="152"/>
      <c r="JP14" s="185"/>
      <c r="JQ14" s="185"/>
      <c r="JR14" s="106">
        <f>IFERROR((((COUNTIF('Elève (6ème3)'!JO15:JQ17,"A"))*4)+((COUNTIF('Elève (6ème3)'!JO15:JQ17,"B"))*3)+((COUNTIF('Elève (6ème3)'!JO15:JQ17,"C"))*2)+((COUNTIF('Elève (6ème3)'!JO15:JQ17,"D"))*1))/(COUNTA(JO15:JQ17)),"")</f>
        <v>2</v>
      </c>
      <c r="JS14" s="107" t="str">
        <f t="shared" si="64"/>
        <v>C</v>
      </c>
      <c r="JT14" s="204"/>
      <c r="JU14" s="186"/>
      <c r="JV14" s="205"/>
      <c r="JW14" s="106" t="str">
        <f>IFERROR((((COUNTIF('Elève (6ème3)'!JT15:JV17,"A"))*4)+((COUNTIF('Elève (6ème3)'!JT15:JV17,"B"))*3)+((COUNTIF('Elève (6ème3)'!JT15:JV17,"C"))*2)+((COUNTIF('Elève (6ème3)'!JT15:JV17,"D"))*1))/(COUNTA(JT15:JV17)),"")</f>
        <v/>
      </c>
      <c r="JX14" s="121" t="str">
        <f t="shared" si="65"/>
        <v/>
      </c>
      <c r="JY14" s="100"/>
      <c r="JZ14" s="187"/>
      <c r="KA14" s="188"/>
      <c r="KB14" s="106" t="str">
        <f>IFERROR((((COUNTIF('Elève (6ème3)'!JY15:KA17,"A"))*4)+((COUNTIF('Elève (6ème3)'!JY15:KA17,"B"))*3)+((COUNTIF('Elève (6ème3)'!JY15:KA17,"C"))*2)+((COUNTIF('Elève (6ème3)'!JY15:KA17,"D"))*1))/(COUNTA(JY15:KA17)),"")</f>
        <v/>
      </c>
      <c r="KC14" s="128" t="str">
        <f t="shared" si="66"/>
        <v/>
      </c>
      <c r="KD14" s="177">
        <f>IFERROR((((COUNTIF(JO15:JQ17,"A")+COUNTIF(JT15:JV17,"A")+COUNTIF(JY15:KA17,"A"))*4)+((COUNTIF(JO15:JQ17,"B")+COUNTIF(JT15:JV17,"B")+COUNTIF(JY15:KA17,"B"))*3)+((COUNTIF(JO15:JQ17,"C")+COUNTIF(JT15:JV17,"C")+COUNTIF(JY15:KA17,"C"))*2)+((COUNTIF(JO15:JQ17,"D")+COUNTIF(JT15:JV17,"D")+COUNTIF(JY15:KA17,"D"))*1))/(COUNTA(JO15:JQ17)+COUNTA(JT15:JV17)+COUNTA(JY15:KA17)),"")</f>
        <v>2</v>
      </c>
      <c r="KE14" s="130" t="str">
        <f t="shared" si="67"/>
        <v>C</v>
      </c>
      <c r="KF14" s="152"/>
      <c r="KG14" s="185"/>
      <c r="KH14" s="185"/>
      <c r="KI14" s="106">
        <f>IFERROR((((COUNTIF('Elève (6ème3)'!KF15:KH17,"A"))*4)+((COUNTIF('Elève (6ème3)'!KF15:KH17,"B"))*3)+((COUNTIF('Elève (6ème3)'!KF15:KH17,"C"))*2)+((COUNTIF('Elève (6ème3)'!KF15:KH17,"D"))*1))/(COUNTA(KF15:KH17)),"")</f>
        <v>3</v>
      </c>
      <c r="KJ14" s="107" t="str">
        <f t="shared" si="68"/>
        <v>B</v>
      </c>
      <c r="KK14" s="204"/>
      <c r="KL14" s="186"/>
      <c r="KM14" s="205"/>
      <c r="KN14" s="106" t="str">
        <f>IFERROR((((COUNTIF('Elève (6ème3)'!KK15:KM17,"A"))*4)+((COUNTIF('Elève (6ème3)'!KK15:KM17,"B"))*3)+((COUNTIF('Elève (6ème3)'!KK15:KM17,"C"))*2)+((COUNTIF('Elève (6ème3)'!KK15:KM17,"D"))*1))/(COUNTA(KK15:KM17)),"")</f>
        <v/>
      </c>
      <c r="KO14" s="121" t="str">
        <f t="shared" si="69"/>
        <v/>
      </c>
      <c r="KP14" s="100"/>
      <c r="KQ14" s="187"/>
      <c r="KR14" s="188"/>
      <c r="KS14" s="106" t="str">
        <f>IFERROR((((COUNTIF('Elève (6ème3)'!KP15:KR17,"A"))*4)+((COUNTIF('Elève (6ème3)'!KP15:KR17,"B"))*3)+((COUNTIF('Elève (6ème3)'!KP15:KR17,"C"))*2)+((COUNTIF('Elève (6ème3)'!KP15:KR17,"D"))*1))/(COUNTA(KP15:KR17)),"")</f>
        <v/>
      </c>
      <c r="KT14" s="128" t="str">
        <f t="shared" si="70"/>
        <v/>
      </c>
      <c r="KU14" s="177">
        <f>IFERROR((((COUNTIF(KF15:KH17,"A")+COUNTIF(KK15:KM17,"A")+COUNTIF(KP15:KR17,"A"))*4)+((COUNTIF(KF15:KH17,"B")+COUNTIF(KK15:KM17,"B")+COUNTIF(KP15:KR17,"B"))*3)+((COUNTIF(KF15:KH17,"C")+COUNTIF(KK15:KM17,"C")+COUNTIF(KP15:KR17,"C"))*2)+((COUNTIF(KF15:KH17,"D")+COUNTIF(KK15:KM17,"D")+COUNTIF(KP15:KR17,"D"))*1))/(COUNTA(KF15:KH17)+COUNTA(KK15:KM17)+COUNTA(KP15:KR17)),"")</f>
        <v>3</v>
      </c>
      <c r="KV14" s="130" t="str">
        <f t="shared" si="71"/>
        <v>B</v>
      </c>
      <c r="KW14" s="152"/>
      <c r="KX14" s="185"/>
      <c r="KY14" s="185"/>
      <c r="KZ14" s="106">
        <f>IFERROR((((COUNTIF('Elève (6ème3)'!KW15:KY17,"A"))*4)+((COUNTIF('Elève (6ème3)'!KW15:KY17,"B"))*3)+((COUNTIF('Elève (6ème3)'!KW15:KY17,"C"))*2)+((COUNTIF('Elève (6ème3)'!KW15:KY17,"D"))*1))/(COUNTA(KW15:KY17)),"")</f>
        <v>4</v>
      </c>
      <c r="LA14" s="107" t="str">
        <f t="shared" si="72"/>
        <v>A</v>
      </c>
      <c r="LB14" s="204"/>
      <c r="LC14" s="186"/>
      <c r="LD14" s="205"/>
      <c r="LE14" s="106" t="str">
        <f>IFERROR((((COUNTIF('Elève (6ème3)'!LB15:LD17,"A"))*4)+((COUNTIF('Elève (6ème3)'!LB15:LD17,"B"))*3)+((COUNTIF('Elève (6ème3)'!LB15:LD17,"C"))*2)+((COUNTIF('Elève (6ème3)'!LB15:LD17,"D"))*1))/(COUNTA(LB15:LD17)),"")</f>
        <v/>
      </c>
      <c r="LF14" s="121" t="str">
        <f t="shared" si="73"/>
        <v/>
      </c>
      <c r="LG14" s="100"/>
      <c r="LH14" s="187"/>
      <c r="LI14" s="188"/>
      <c r="LJ14" s="106" t="str">
        <f>IFERROR((((COUNTIF('Elève (6ème3)'!LG15:LI17,"A"))*4)+((COUNTIF('Elève (6ème3)'!LG15:LI17,"B"))*3)+((COUNTIF('Elève (6ème3)'!LG15:LI17,"C"))*2)+((COUNTIF('Elève (6ème3)'!LG15:LI17,"D"))*1))/(COUNTA(LG15:LI17)),"")</f>
        <v/>
      </c>
      <c r="LK14" s="128" t="str">
        <f t="shared" si="74"/>
        <v/>
      </c>
      <c r="LL14" s="177">
        <f>IFERROR((((COUNTIF(KW15:KY17,"A")+COUNTIF(LB15:LD17,"A")+COUNTIF(LG15:LI17,"A"))*4)+((COUNTIF(KW15:KY17,"B")+COUNTIF(LB15:LD17,"B")+COUNTIF(LG15:LI17,"B"))*3)+((COUNTIF(KW15:KY17,"C")+COUNTIF(LB15:LD17,"C")+COUNTIF(LG15:LI17,"C"))*2)+((COUNTIF(KW15:KY17,"D")+COUNTIF(LB15:LD17,"D")+COUNTIF(LG15:LI17,"D"))*1))/(COUNTA(KW15:KY17)+COUNTA(LB15:LD17)+COUNTA(LG15:LI17)),"")</f>
        <v>4</v>
      </c>
      <c r="LM14" s="130" t="str">
        <f t="shared" si="75"/>
        <v>A</v>
      </c>
      <c r="LN14" s="152"/>
      <c r="LO14" s="185"/>
      <c r="LP14" s="185"/>
      <c r="LQ14" s="106">
        <f>IFERROR((((COUNTIF('Elève (6ème3)'!LN15:LP17,"A"))*4)+((COUNTIF('Elève (6ème3)'!LN15:LP17,"B"))*3)+((COUNTIF('Elève (6ème3)'!LN15:LP17,"C"))*2)+((COUNTIF('Elève (6ème3)'!LN15:LP17,"D"))*1))/(COUNTA(LN15:LP17)),"")</f>
        <v>3</v>
      </c>
      <c r="LR14" s="107" t="str">
        <f t="shared" si="76"/>
        <v>B</v>
      </c>
      <c r="LS14" s="204"/>
      <c r="LT14" s="186"/>
      <c r="LU14" s="205"/>
      <c r="LV14" s="106" t="str">
        <f>IFERROR((((COUNTIF('Elève (6ème3)'!LS15:LU17,"A"))*4)+((COUNTIF('Elève (6ème3)'!LS15:LU17,"B"))*3)+((COUNTIF('Elève (6ème3)'!LS15:LU17,"C"))*2)+((COUNTIF('Elève (6ème3)'!LS15:LU17,"D"))*1))/(COUNTA(LS15:LU17)),"")</f>
        <v/>
      </c>
      <c r="LW14" s="121" t="str">
        <f t="shared" si="77"/>
        <v/>
      </c>
      <c r="LX14" s="100"/>
      <c r="LY14" s="187"/>
      <c r="LZ14" s="188"/>
      <c r="MA14" s="106" t="str">
        <f>IFERROR((((COUNTIF('Elève (6ème3)'!LX15:LZ17,"A"))*4)+((COUNTIF('Elève (6ème3)'!LX15:LZ17,"B"))*3)+((COUNTIF('Elève (6ème3)'!LX15:LZ17,"C"))*2)+((COUNTIF('Elève (6ème3)'!LX15:LZ17,"D"))*1))/(COUNTA(LX15:LZ17)),"")</f>
        <v/>
      </c>
      <c r="MB14" s="128" t="str">
        <f t="shared" si="78"/>
        <v/>
      </c>
      <c r="MC14" s="177">
        <f>IFERROR((((COUNTIF(LN15:LP17,"A")+COUNTIF(LS15:LU17,"A")+COUNTIF(LX15:LZ17,"A"))*4)+((COUNTIF(LN15:LP17,"B")+COUNTIF(LS15:LU17,"B")+COUNTIF(LX15:LZ17,"B"))*3)+((COUNTIF(LN15:LP17,"C")+COUNTIF(LS15:LU17,"C")+COUNTIF(LX15:LZ17,"C"))*2)+((COUNTIF(LN15:LP17,"D")+COUNTIF(LS15:LU17,"D")+COUNTIF(LX15:LZ17,"D"))*1))/(COUNTA(LN15:LP17)+COUNTA(LS15:LU17)+COUNTA(LX15:LZ17)),"")</f>
        <v>3</v>
      </c>
      <c r="MD14" s="130" t="str">
        <f t="shared" si="79"/>
        <v>B</v>
      </c>
      <c r="ME14" s="152"/>
      <c r="MF14" s="185"/>
      <c r="MG14" s="185"/>
      <c r="MH14" s="106">
        <f>IFERROR((((COUNTIF('Elève (6ème3)'!ME15:MG17,"A"))*4)+((COUNTIF('Elève (6ème3)'!ME15:MG17,"B"))*3)+((COUNTIF('Elève (6ème3)'!ME15:MG17,"C"))*2)+((COUNTIF('Elève (6ème3)'!ME15:MG17,"D"))*1))/(COUNTA(ME15:MG17)),"")</f>
        <v>3</v>
      </c>
      <c r="MI14" s="107" t="str">
        <f t="shared" si="80"/>
        <v>B</v>
      </c>
      <c r="MJ14" s="204"/>
      <c r="MK14" s="186"/>
      <c r="ML14" s="205"/>
      <c r="MM14" s="106" t="str">
        <f>IFERROR((((COUNTIF('Elève (6ème3)'!MJ15:ML17,"A"))*4)+((COUNTIF('Elève (6ème3)'!MJ15:ML17,"B"))*3)+((COUNTIF('Elève (6ème3)'!MJ15:ML17,"C"))*2)+((COUNTIF('Elève (6ème3)'!MJ15:ML17,"D"))*1))/(COUNTA(MJ15:ML17)),"")</f>
        <v/>
      </c>
      <c r="MN14" s="121" t="str">
        <f t="shared" si="81"/>
        <v/>
      </c>
      <c r="MO14" s="100"/>
      <c r="MP14" s="187"/>
      <c r="MQ14" s="188"/>
      <c r="MR14" s="106" t="str">
        <f>IFERROR((((COUNTIF('Elève (6ème3)'!MO15:MQ17,"A"))*4)+((COUNTIF('Elève (6ème3)'!MO15:MQ17,"B"))*3)+((COUNTIF('Elève (6ème3)'!MO15:MQ17,"C"))*2)+((COUNTIF('Elève (6ème3)'!MO15:MQ17,"D"))*1))/(COUNTA(MO15:MQ17)),"")</f>
        <v/>
      </c>
      <c r="MS14" s="128" t="str">
        <f t="shared" si="82"/>
        <v/>
      </c>
      <c r="MT14" s="177">
        <f>IFERROR((((COUNTIF(ME15:MG17,"A")+COUNTIF(MJ15:ML17,"A")+COUNTIF(MO15:MQ17,"A"))*4)+((COUNTIF(ME15:MG17,"B")+COUNTIF(MJ15:ML17,"B")+COUNTIF(MO15:MQ17,"B"))*3)+((COUNTIF(ME15:MG17,"C")+COUNTIF(MJ15:ML17,"C")+COUNTIF(MO15:MQ17,"C"))*2)+((COUNTIF(ME15:MG17,"D")+COUNTIF(MJ15:ML17,"D")+COUNTIF(MO15:MQ17,"D"))*1))/(COUNTA(ME15:MG17)+COUNTA(MJ15:ML17)+COUNTA(MO15:MQ17)),"")</f>
        <v>3</v>
      </c>
      <c r="MU14" s="130" t="str">
        <f t="shared" si="83"/>
        <v>B</v>
      </c>
      <c r="MV14" s="152"/>
      <c r="MW14" s="185"/>
      <c r="MX14" s="185"/>
      <c r="MY14" s="106">
        <f>IFERROR((((COUNTIF('Elève (6ème3)'!MV15:MX17,"A"))*4)+((COUNTIF('Elève (6ème3)'!MV15:MX17,"B"))*3)+((COUNTIF('Elève (6ème3)'!MV15:MX17,"C"))*2)+((COUNTIF('Elève (6ème3)'!MV15:MX17,"D"))*1))/(COUNTA(MV15:MX17)),"")</f>
        <v>3</v>
      </c>
      <c r="MZ14" s="107" t="str">
        <f t="shared" si="84"/>
        <v>B</v>
      </c>
      <c r="NA14" s="204"/>
      <c r="NB14" s="186"/>
      <c r="NC14" s="205"/>
      <c r="ND14" s="106" t="str">
        <f>IFERROR((((COUNTIF('Elève (6ème3)'!NA15:NC17,"A"))*4)+((COUNTIF('Elève (6ème3)'!NA15:NC17,"B"))*3)+((COUNTIF('Elève (6ème3)'!NA15:NC17,"C"))*2)+((COUNTIF('Elève (6ème3)'!NA15:NC17,"D"))*1))/(COUNTA(NA15:NC17)),"")</f>
        <v/>
      </c>
      <c r="NE14" s="121" t="str">
        <f t="shared" si="85"/>
        <v/>
      </c>
      <c r="NF14" s="100"/>
      <c r="NG14" s="187"/>
      <c r="NH14" s="188"/>
      <c r="NI14" s="106" t="str">
        <f>IFERROR((((COUNTIF('Elève (6ème3)'!NF15:NH17,"A"))*4)+((COUNTIF('Elève (6ème3)'!NF15:NH17,"B"))*3)+((COUNTIF('Elève (6ème3)'!NF15:NH17,"C"))*2)+((COUNTIF('Elève (6ème3)'!NF15:NH17,"D"))*1))/(COUNTA(NF15:NH17)),"")</f>
        <v/>
      </c>
      <c r="NJ14" s="128" t="str">
        <f t="shared" si="86"/>
        <v/>
      </c>
      <c r="NK14" s="177">
        <f>IFERROR((((COUNTIF(MV15:MX17,"A")+COUNTIF(NA15:NC17,"A")+COUNTIF(NF15:NH17,"A"))*4)+((COUNTIF(MV15:MX17,"B")+COUNTIF(NA15:NC17,"B")+COUNTIF(NF15:NH17,"B"))*3)+((COUNTIF(MV15:MX17,"C")+COUNTIF(NA15:NC17,"C")+COUNTIF(NF15:NH17,"C"))*2)+((COUNTIF(MV15:MX17,"D")+COUNTIF(NA15:NC17,"D")+COUNTIF(NF15:NH17,"D"))*1))/(COUNTA(MV15:MX17)+COUNTA(NA15:NC17)+COUNTA(NF15:NH17)),"")</f>
        <v>3</v>
      </c>
      <c r="NL14" s="130" t="str">
        <f t="shared" si="87"/>
        <v>B</v>
      </c>
      <c r="NM14" s="152"/>
      <c r="NN14" s="185"/>
      <c r="NO14" s="185"/>
      <c r="NP14" s="106">
        <f>IFERROR((((COUNTIF('Elève (6ème3)'!NM15:NO17,"A"))*4)+((COUNTIF('Elève (6ème3)'!NM15:NO17,"B"))*3)+((COUNTIF('Elève (6ème3)'!NM15:NO17,"C"))*2)+((COUNTIF('Elève (6ème3)'!NM15:NO17,"D"))*1))/(COUNTA(NM15:NO17)),"")</f>
        <v>3</v>
      </c>
      <c r="NQ14" s="107" t="str">
        <f t="shared" si="88"/>
        <v>B</v>
      </c>
      <c r="NR14" s="204"/>
      <c r="NS14" s="186"/>
      <c r="NT14" s="205"/>
      <c r="NU14" s="106" t="str">
        <f>IFERROR((((COUNTIF('Elève (6ème3)'!NR15:NT17,"A"))*4)+((COUNTIF('Elève (6ème3)'!NR15:NT17,"B"))*3)+((COUNTIF('Elève (6ème3)'!NR15:NT17,"C"))*2)+((COUNTIF('Elève (6ème3)'!NR15:NT17,"D"))*1))/(COUNTA(NR15:NT17)),"")</f>
        <v/>
      </c>
      <c r="NV14" s="121" t="str">
        <f t="shared" si="89"/>
        <v/>
      </c>
      <c r="NW14" s="100"/>
      <c r="NX14" s="187"/>
      <c r="NY14" s="188"/>
      <c r="NZ14" s="106" t="str">
        <f>IFERROR((((COUNTIF('Elève (6ème3)'!NW15:NY17,"A"))*4)+((COUNTIF('Elève (6ème3)'!NW15:NY17,"B"))*3)+((COUNTIF('Elève (6ème3)'!NW15:NY17,"C"))*2)+((COUNTIF('Elève (6ème3)'!NW15:NY17,"D"))*1))/(COUNTA(NW15:NY17)),"")</f>
        <v/>
      </c>
      <c r="OA14" s="128" t="str">
        <f t="shared" si="90"/>
        <v/>
      </c>
      <c r="OB14" s="177">
        <f>IFERROR((((COUNTIF(NM15:NO17,"A")+COUNTIF(NR15:NT17,"A")+COUNTIF(NW15:NY17,"A"))*4)+((COUNTIF(NM15:NO17,"B")+COUNTIF(NR15:NT17,"B")+COUNTIF(NW15:NY17,"B"))*3)+((COUNTIF(NM15:NO17,"C")+COUNTIF(NR15:NT17,"C")+COUNTIF(NW15:NY17,"C"))*2)+((COUNTIF(NM15:NO17,"D")+COUNTIF(NR15:NT17,"D")+COUNTIF(NW15:NY17,"D"))*1))/(COUNTA(NM15:NO17)+COUNTA(NR15:NT17)+COUNTA(NW15:NY17)),"")</f>
        <v>3</v>
      </c>
      <c r="OC14" s="130" t="str">
        <f t="shared" si="91"/>
        <v>B</v>
      </c>
      <c r="OD14" s="152"/>
      <c r="OE14" s="185"/>
      <c r="OF14" s="185"/>
      <c r="OG14" s="106">
        <f>IFERROR((((COUNTIF('Elève (6ème3)'!OD15:OF17,"A"))*4)+((COUNTIF('Elève (6ème3)'!OD15:OF17,"B"))*3)+((COUNTIF('Elève (6ème3)'!OD15:OF17,"C"))*2)+((COUNTIF('Elève (6ème3)'!OD15:OF17,"D"))*1))/(COUNTA(OD15:OF17)),"")</f>
        <v>3</v>
      </c>
      <c r="OH14" s="107" t="str">
        <f t="shared" si="92"/>
        <v>B</v>
      </c>
      <c r="OI14" s="204"/>
      <c r="OJ14" s="186"/>
      <c r="OK14" s="205"/>
      <c r="OL14" s="106" t="str">
        <f>IFERROR((((COUNTIF('Elève (6ème3)'!OI15:OK17,"A"))*4)+((COUNTIF('Elève (6ème3)'!OI15:OK17,"B"))*3)+((COUNTIF('Elève (6ème3)'!OI15:OK17,"C"))*2)+((COUNTIF('Elève (6ème3)'!OI15:OK17,"D"))*1))/(COUNTA(OI15:OK17)),"")</f>
        <v/>
      </c>
      <c r="OM14" s="121" t="str">
        <f t="shared" si="93"/>
        <v/>
      </c>
      <c r="ON14" s="100"/>
      <c r="OO14" s="187"/>
      <c r="OP14" s="188"/>
      <c r="OQ14" s="106" t="str">
        <f>IFERROR((((COUNTIF('Elève (6ème3)'!ON15:OP17,"A"))*4)+((COUNTIF('Elève (6ème3)'!ON15:OP17,"B"))*3)+((COUNTIF('Elève (6ème3)'!ON15:OP17,"C"))*2)+((COUNTIF('Elève (6ème3)'!ON15:OP17,"D"))*1))/(COUNTA(ON15:OP17)),"")</f>
        <v/>
      </c>
      <c r="OR14" s="128" t="str">
        <f t="shared" si="94"/>
        <v/>
      </c>
      <c r="OS14" s="177">
        <f>IFERROR((((COUNTIF(OD15:OF17,"A")+COUNTIF(OI15:OK17,"A")+COUNTIF(ON15:OP17,"A"))*4)+((COUNTIF(OD15:OF17,"B")+COUNTIF(OI15:OK17,"B")+COUNTIF(ON15:OP17,"B"))*3)+((COUNTIF(OD15:OF17,"C")+COUNTIF(OI15:OK17,"C")+COUNTIF(ON15:OP17,"C"))*2)+((COUNTIF(OD15:OF17,"D")+COUNTIF(OI15:OK17,"D")+COUNTIF(ON15:OP17,"D"))*1))/(COUNTA(OD15:OF17)+COUNTA(OI15:OK17)+COUNTA(ON15:OP17)),"")</f>
        <v>3</v>
      </c>
      <c r="OT14" s="130" t="str">
        <f t="shared" si="95"/>
        <v>B</v>
      </c>
      <c r="OU14" s="152"/>
      <c r="OV14" s="185"/>
      <c r="OW14" s="185"/>
      <c r="OX14" s="106">
        <f>IFERROR((((COUNTIF('Elève (6ème3)'!OU15:OW17,"A"))*4)+((COUNTIF('Elève (6ème3)'!OU15:OW17,"B"))*3)+((COUNTIF('Elève (6ème3)'!OU15:OW17,"C"))*2)+((COUNTIF('Elève (6ème3)'!OU15:OW17,"D"))*1))/(COUNTA(OU15:OW17)),"")</f>
        <v>2</v>
      </c>
      <c r="OY14" s="107" t="str">
        <f t="shared" si="96"/>
        <v>C</v>
      </c>
      <c r="OZ14" s="204"/>
      <c r="PA14" s="186"/>
      <c r="PB14" s="205"/>
      <c r="PC14" s="106" t="str">
        <f>IFERROR((((COUNTIF('Elève (6ème3)'!OZ15:PB17,"A"))*4)+((COUNTIF('Elève (6ème3)'!OZ15:PB17,"B"))*3)+((COUNTIF('Elève (6ème3)'!OZ15:PB17,"C"))*2)+((COUNTIF('Elève (6ème3)'!OZ15:PB17,"D"))*1))/(COUNTA(OZ15:PB17)),"")</f>
        <v/>
      </c>
      <c r="PD14" s="121" t="str">
        <f t="shared" si="97"/>
        <v/>
      </c>
      <c r="PE14" s="100"/>
      <c r="PF14" s="187"/>
      <c r="PG14" s="188"/>
      <c r="PH14" s="106" t="str">
        <f>IFERROR((((COUNTIF('Elève (6ème3)'!PE15:PG17,"A"))*4)+((COUNTIF('Elève (6ème3)'!PE15:PG17,"B"))*3)+((COUNTIF('Elève (6ème3)'!PE15:PG17,"C"))*2)+((COUNTIF('Elève (6ème3)'!PE15:PG17,"D"))*1))/(COUNTA(PE15:PG17)),"")</f>
        <v/>
      </c>
      <c r="PI14" s="128" t="str">
        <f t="shared" si="98"/>
        <v/>
      </c>
      <c r="PJ14" s="177">
        <f>IFERROR((((COUNTIF(OU15:OW17,"A")+COUNTIF(OZ15:PB17,"A")+COUNTIF(PE15:PG17,"A"))*4)+((COUNTIF(OU15:OW17,"B")+COUNTIF(OZ15:PB17,"B")+COUNTIF(PE15:PG17,"B"))*3)+((COUNTIF(OU15:OW17,"C")+COUNTIF(OZ15:PB17,"C")+COUNTIF(PE15:PG17,"C"))*2)+((COUNTIF(OU15:OW17,"D")+COUNTIF(OZ15:PB17,"D")+COUNTIF(PE15:PG17,"D"))*1))/(COUNTA(OU15:OW17)+COUNTA(OZ15:PB17)+COUNTA(PE15:PG17)),"")</f>
        <v>2</v>
      </c>
      <c r="PK14" s="130" t="str">
        <f t="shared" si="99"/>
        <v>C</v>
      </c>
      <c r="PL14" s="152"/>
      <c r="PM14" s="185"/>
      <c r="PN14" s="185"/>
      <c r="PO14" s="106">
        <f>IFERROR((((COUNTIF('Elève (6ème3)'!PL15:PN17,"A"))*4)+((COUNTIF('Elève (6ème3)'!PL15:PN17,"B"))*3)+((COUNTIF('Elève (6ème3)'!PL15:PN17,"C"))*2)+((COUNTIF('Elève (6ème3)'!PL15:PN17,"D"))*1))/(COUNTA(PL15:PN17)),"")</f>
        <v>3</v>
      </c>
      <c r="PP14" s="107" t="str">
        <f t="shared" si="100"/>
        <v>B</v>
      </c>
      <c r="PQ14" s="204"/>
      <c r="PR14" s="186"/>
      <c r="PS14" s="205"/>
      <c r="PT14" s="106" t="str">
        <f>IFERROR((((COUNTIF('Elève (6ème3)'!PQ15:PS17,"A"))*4)+((COUNTIF('Elève (6ème3)'!PQ15:PS17,"B"))*3)+((COUNTIF('Elève (6ème3)'!PQ15:PS17,"C"))*2)+((COUNTIF('Elève (6ème3)'!PQ15:PS17,"D"))*1))/(COUNTA(PQ15:PS17)),"")</f>
        <v/>
      </c>
      <c r="PU14" s="121" t="str">
        <f t="shared" si="101"/>
        <v/>
      </c>
      <c r="PV14" s="100"/>
      <c r="PW14" s="187"/>
      <c r="PX14" s="188"/>
      <c r="PY14" s="106" t="str">
        <f>IFERROR((((COUNTIF('Elève (6ème3)'!PV15:PX17,"A"))*4)+((COUNTIF('Elève (6ème3)'!PV15:PX17,"B"))*3)+((COUNTIF('Elève (6ème3)'!PV15:PX17,"C"))*2)+((COUNTIF('Elève (6ème3)'!PV15:PX17,"D"))*1))/(COUNTA(PV15:PX17)),"")</f>
        <v/>
      </c>
      <c r="PZ14" s="128" t="str">
        <f t="shared" si="102"/>
        <v/>
      </c>
      <c r="QA14" s="177">
        <f>IFERROR((((COUNTIF(PL15:PN17,"A")+COUNTIF(PQ15:PS17,"A")+COUNTIF(PV15:PX17,"A"))*4)+((COUNTIF(PL15:PN17,"B")+COUNTIF(PQ15:PS17,"B")+COUNTIF(PV15:PX17,"B"))*3)+((COUNTIF(PL15:PN17,"C")+COUNTIF(PQ15:PS17,"C")+COUNTIF(PV15:PX17,"C"))*2)+((COUNTIF(PL15:PN17,"D")+COUNTIF(PQ15:PS17,"D")+COUNTIF(PV15:PX17,"D"))*1))/(COUNTA(PL15:PN17)+COUNTA(PQ15:PS17)+COUNTA(PV15:PX17)),"")</f>
        <v>3</v>
      </c>
      <c r="QB14" s="130" t="str">
        <f t="shared" si="103"/>
        <v>B</v>
      </c>
      <c r="QC14" s="152"/>
      <c r="QD14" s="185"/>
      <c r="QE14" s="185"/>
      <c r="QF14" s="106">
        <f>IFERROR((((COUNTIF('Elève (6ème3)'!QC15:QE17,"A"))*4)+((COUNTIF('Elève (6ème3)'!QC15:QE17,"B"))*3)+((COUNTIF('Elève (6ème3)'!QC15:QE17,"C"))*2)+((COUNTIF('Elève (6ème3)'!QC15:QE17,"D"))*1))/(COUNTA(QC15:QE17)),"")</f>
        <v>4</v>
      </c>
      <c r="QG14" s="107" t="str">
        <f t="shared" si="104"/>
        <v>A</v>
      </c>
      <c r="QH14" s="204"/>
      <c r="QI14" s="186"/>
      <c r="QJ14" s="205"/>
      <c r="QK14" s="106" t="str">
        <f>IFERROR((((COUNTIF('Elève (6ème3)'!QH15:QJ17,"A"))*4)+((COUNTIF('Elève (6ème3)'!QH15:QJ17,"B"))*3)+((COUNTIF('Elève (6ème3)'!QH15:QJ17,"C"))*2)+((COUNTIF('Elève (6ème3)'!QH15:QJ17,"D"))*1))/(COUNTA(QH15:QJ17)),"")</f>
        <v/>
      </c>
      <c r="QL14" s="121" t="str">
        <f t="shared" si="105"/>
        <v/>
      </c>
      <c r="QM14" s="100"/>
      <c r="QN14" s="187"/>
      <c r="QO14" s="188"/>
      <c r="QP14" s="106" t="str">
        <f>IFERROR((((COUNTIF('Elève (6ème3)'!QM15:QO17,"A"))*4)+((COUNTIF('Elève (6ème3)'!QM15:QO17,"B"))*3)+((COUNTIF('Elève (6ème3)'!QM15:QO17,"C"))*2)+((COUNTIF('Elève (6ème3)'!QM15:QO17,"D"))*1))/(COUNTA(QM15:QO17)),"")</f>
        <v/>
      </c>
      <c r="QQ14" s="128" t="str">
        <f t="shared" si="106"/>
        <v/>
      </c>
      <c r="QR14" s="177">
        <f>IFERROR((((COUNTIF(QC15:QE17,"A")+COUNTIF(QH15:QJ17,"A")+COUNTIF(QM15:QO17,"A"))*4)+((COUNTIF(QC15:QE17,"B")+COUNTIF(QH15:QJ17,"B")+COUNTIF(QM15:QO17,"B"))*3)+((COUNTIF(QC15:QE17,"C")+COUNTIF(QH15:QJ17,"C")+COUNTIF(QM15:QO17,"C"))*2)+((COUNTIF(QC15:QE17,"D")+COUNTIF(QH15:QJ17,"D")+COUNTIF(QM15:QO17,"D"))*1))/(COUNTA(QC15:QE17)+COUNTA(QH15:QJ17)+COUNTA(QM15:QO17)),"")</f>
        <v>4</v>
      </c>
      <c r="QS14" s="130" t="str">
        <f t="shared" si="107"/>
        <v>A</v>
      </c>
      <c r="QT14" s="152"/>
      <c r="QU14" s="185"/>
      <c r="QV14" s="185"/>
      <c r="QW14" s="106">
        <f>IFERROR((((COUNTIF('Elève (6ème3)'!QT15:QV17,"A"))*4)+((COUNTIF('Elève (6ème3)'!QT15:QV17,"B"))*3)+((COUNTIF('Elève (6ème3)'!QT15:QV17,"C"))*2)+((COUNTIF('Elève (6ème3)'!QT15:QV17,"D"))*1))/(COUNTA(QT15:QV17)),"")</f>
        <v>4</v>
      </c>
      <c r="QX14" s="107" t="str">
        <f t="shared" si="108"/>
        <v>A</v>
      </c>
      <c r="QY14" s="204"/>
      <c r="QZ14" s="186"/>
      <c r="RA14" s="205"/>
      <c r="RB14" s="106" t="str">
        <f>IFERROR((((COUNTIF('Elève (6ème3)'!QY15:RA17,"A"))*4)+((COUNTIF('Elève (6ème3)'!QY15:RA17,"B"))*3)+((COUNTIF('Elève (6ème3)'!QY15:RA17,"C"))*2)+((COUNTIF('Elève (6ème3)'!QY15:RA17,"D"))*1))/(COUNTA(QY15:RA17)),"")</f>
        <v/>
      </c>
      <c r="RC14" s="121" t="str">
        <f t="shared" si="109"/>
        <v/>
      </c>
      <c r="RD14" s="100"/>
      <c r="RE14" s="187"/>
      <c r="RF14" s="188"/>
      <c r="RG14" s="106" t="str">
        <f>IFERROR((((COUNTIF('Elève (6ème3)'!RD15:RF17,"A"))*4)+((COUNTIF('Elève (6ème3)'!RD15:RF17,"B"))*3)+((COUNTIF('Elève (6ème3)'!RD15:RF17,"C"))*2)+((COUNTIF('Elève (6ème3)'!RD15:RF17,"D"))*1))/(COUNTA(RD15:RF17)),"")</f>
        <v/>
      </c>
      <c r="RH14" s="128" t="str">
        <f t="shared" si="110"/>
        <v/>
      </c>
      <c r="RI14" s="177">
        <f>IFERROR((((COUNTIF(QT15:QV17,"A")+COUNTIF(QY15:RA17,"A")+COUNTIF(RD15:RF17,"A"))*4)+((COUNTIF(QT15:QV17,"B")+COUNTIF(QY15:RA17,"B")+COUNTIF(RD15:RF17,"B"))*3)+((COUNTIF(QT15:QV17,"C")+COUNTIF(QY15:RA17,"C")+COUNTIF(RD15:RF17,"C"))*2)+((COUNTIF(QT15:QV17,"D")+COUNTIF(QY15:RA17,"D")+COUNTIF(RD15:RF17,"D"))*1))/(COUNTA(QT15:QV17)+COUNTA(QY15:RA17)+COUNTA(RD15:RF17)),"")</f>
        <v>4</v>
      </c>
      <c r="RJ14" s="130" t="str">
        <f t="shared" si="111"/>
        <v>A</v>
      </c>
      <c r="RK14" s="152"/>
      <c r="RL14" s="185"/>
      <c r="RM14" s="185"/>
      <c r="RN14" s="106" t="str">
        <f>IFERROR((((COUNTIF('Elève (6ème3)'!RK15:RM17,"A"))*4)+((COUNTIF('Elève (6ème3)'!RK15:RM17,"B"))*3)+((COUNTIF('Elève (6ème3)'!RK15:RM17,"C"))*2)+((COUNTIF('Elève (6ème3)'!RK15:RM17,"D"))*1))/(COUNTA(RK15:RM17)),"")</f>
        <v/>
      </c>
      <c r="RO14" s="107" t="str">
        <f t="shared" si="112"/>
        <v/>
      </c>
      <c r="RP14" s="204"/>
      <c r="RQ14" s="186"/>
      <c r="RR14" s="205"/>
      <c r="RS14" s="106" t="str">
        <f>IFERROR((((COUNTIF('Elève (6ème3)'!RP15:RR17,"A"))*4)+((COUNTIF('Elève (6ème3)'!RP15:RR17,"B"))*3)+((COUNTIF('Elève (6ème3)'!RP15:RR17,"C"))*2)+((COUNTIF('Elève (6ème3)'!RP15:RR17,"D"))*1))/(COUNTA(RP15:RR17)),"")</f>
        <v/>
      </c>
      <c r="RT14" s="121" t="str">
        <f t="shared" si="113"/>
        <v/>
      </c>
      <c r="RU14" s="100"/>
      <c r="RV14" s="187"/>
      <c r="RW14" s="188"/>
      <c r="RX14" s="106" t="str">
        <f>IFERROR((((COUNTIF('Elève (6ème3)'!RU15:RW17,"A"))*4)+((COUNTIF('Elève (6ème3)'!RU15:RW17,"B"))*3)+((COUNTIF('Elève (6ème3)'!RU15:RW17,"C"))*2)+((COUNTIF('Elève (6ème3)'!RU15:RW17,"D"))*1))/(COUNTA(RU15:RW17)),"")</f>
        <v/>
      </c>
      <c r="RY14" s="128" t="str">
        <f t="shared" si="114"/>
        <v/>
      </c>
      <c r="RZ14" s="177" t="str">
        <f>IFERROR((((COUNTIF(RK15:RM17,"A")+COUNTIF(RP15:RR17,"A")+COUNTIF(RU15:RW17,"A"))*4)+((COUNTIF(RK15:RM17,"B")+COUNTIF(RP15:RR17,"B")+COUNTIF(RU15:RW17,"B"))*3)+((COUNTIF(RK15:RM17,"C")+COUNTIF(RP15:RR17,"C")+COUNTIF(RU15:RW17,"C"))*2)+((COUNTIF(RK15:RM17,"D")+COUNTIF(RP15:RR17,"D")+COUNTIF(RU15:RW17,"D"))*1))/(COUNTA(RK15:RM17)+COUNTA(RP15:RR17)+COUNTA(RU15:RW17)),"")</f>
        <v/>
      </c>
      <c r="SA14" s="130" t="str">
        <f t="shared" si="115"/>
        <v/>
      </c>
      <c r="SB14" s="152"/>
      <c r="SC14" s="185"/>
      <c r="SD14" s="185"/>
      <c r="SE14" s="106" t="str">
        <f>IFERROR((((COUNTIF('Elève (6ème3)'!SB15:SD17,"A"))*4)+((COUNTIF('Elève (6ème3)'!SB15:SD17,"B"))*3)+((COUNTIF('Elève (6ème3)'!SB15:SD17,"C"))*2)+((COUNTIF('Elève (6ème3)'!SB15:SD17,"D"))*1))/(COUNTA(SB15:SD17)),"")</f>
        <v/>
      </c>
      <c r="SF14" s="107" t="str">
        <f t="shared" si="116"/>
        <v/>
      </c>
      <c r="SG14" s="204"/>
      <c r="SH14" s="186"/>
      <c r="SI14" s="205"/>
      <c r="SJ14" s="106" t="str">
        <f>IFERROR((((COUNTIF('Elève (6ème3)'!SG15:SI17,"A"))*4)+((COUNTIF('Elève (6ème3)'!SG15:SI17,"B"))*3)+((COUNTIF('Elève (6ème3)'!SG15:SI17,"C"))*2)+((COUNTIF('Elève (6ème3)'!SG15:SI17,"D"))*1))/(COUNTA(SG15:SI17)),"")</f>
        <v/>
      </c>
      <c r="SK14" s="121" t="str">
        <f t="shared" si="117"/>
        <v/>
      </c>
      <c r="SL14" s="100"/>
      <c r="SM14" s="187"/>
      <c r="SN14" s="188"/>
      <c r="SO14" s="106" t="str">
        <f>IFERROR((((COUNTIF('Elève (6ème3)'!SL15:SN17,"A"))*4)+((COUNTIF('Elève (6ème3)'!SL15:SN17,"B"))*3)+((COUNTIF('Elève (6ème3)'!SL15:SN17,"C"))*2)+((COUNTIF('Elève (6ème3)'!SL15:SN17,"D"))*1))/(COUNTA(SL15:SN17)),"")</f>
        <v/>
      </c>
      <c r="SP14" s="128" t="str">
        <f t="shared" si="118"/>
        <v/>
      </c>
      <c r="SQ14" s="177" t="str">
        <f>IFERROR((((COUNTIF(SB15:SD17,"A")+COUNTIF(SG15:SI17,"A")+COUNTIF(SL15:SN17,"A"))*4)+((COUNTIF(SB15:SD17,"B")+COUNTIF(SG15:SI17,"B")+COUNTIF(SL15:SN17,"B"))*3)+((COUNTIF(SB15:SD17,"C")+COUNTIF(SG15:SI17,"C")+COUNTIF(SL15:SN17,"C"))*2)+((COUNTIF(SB15:SD17,"D")+COUNTIF(SG15:SI17,"D")+COUNTIF(SL15:SN17,"D"))*1))/(COUNTA(SB15:SD17)+COUNTA(SG15:SI17)+COUNTA(SL15:SN17)),"")</f>
        <v/>
      </c>
      <c r="SR14" s="130" t="str">
        <f t="shared" si="119"/>
        <v/>
      </c>
    </row>
    <row r="15" spans="1:512" s="72" customFormat="1" ht="18" customHeight="1" x14ac:dyDescent="0.25">
      <c r="A15" s="240" t="s">
        <v>18</v>
      </c>
      <c r="B15" s="241"/>
      <c r="C15" s="156"/>
      <c r="D15" s="157" t="s">
        <v>27</v>
      </c>
      <c r="E15" s="158"/>
      <c r="F15" s="108">
        <f>IFERROR((((COUNTIF('Elève (6ème3)'!C15:E15,"A"))*4)+((COUNTIF('Elève (6ème3)'!C15:E15,"B"))*3)+((COUNTIF('Elève (6ème3)'!C15:E15,"C"))*2)+((COUNTIF('Elève (6ème3)'!C15:E15,"D"))*1))/(COUNTA(C15:E15)),"")</f>
        <v>1</v>
      </c>
      <c r="G15" s="109" t="str">
        <f t="shared" si="0"/>
        <v>D</v>
      </c>
      <c r="H15" s="81"/>
      <c r="I15" s="82"/>
      <c r="J15" s="83"/>
      <c r="K15" s="108" t="str">
        <f>IFERROR((((COUNTIF('Elève (6ème3)'!H15:J15,"A"))*4)+((COUNTIF('Elève (6ème3)'!H15:J15,"B"))*3)+((COUNTIF('Elève (6ème3)'!H15:J15,"C"))*2)+((COUNTIF('Elève (6ème3)'!H15:J15,"D"))*1))/(COUNTA(H15:J15)),"")</f>
        <v/>
      </c>
      <c r="L15" s="109" t="str">
        <f t="shared" si="1"/>
        <v/>
      </c>
      <c r="M15" s="81"/>
      <c r="N15" s="82"/>
      <c r="O15" s="83"/>
      <c r="P15" s="108" t="str">
        <f>IFERROR((((COUNTIF('Elève (6ème3)'!M15:O15,"A"))*4)+((COUNTIF('Elève (6ème3)'!M15:O15,"B"))*3)+((COUNTIF('Elève (6ème3)'!M15:O15,"C"))*2)+((COUNTIF('Elève (6ème3)'!M15:O15,"D"))*1))/(COUNTA(M15:O15)),"")</f>
        <v/>
      </c>
      <c r="Q15" s="109" t="str">
        <f t="shared" si="2"/>
        <v/>
      </c>
      <c r="R15" s="178">
        <f>IF(COUNT(F15,K15,P15)=0,"",SUM(F15,K15,P15)/COUNT(F15,K15,P15))</f>
        <v>1</v>
      </c>
      <c r="S15" s="134" t="str">
        <f t="shared" si="3"/>
        <v>D</v>
      </c>
      <c r="T15" s="156"/>
      <c r="U15" s="157" t="s">
        <v>25</v>
      </c>
      <c r="V15" s="158"/>
      <c r="W15" s="108">
        <f>IFERROR((((COUNTIF('Elève (6ème3)'!T15:V15,"A"))*4)+((COUNTIF('Elève (6ème3)'!T15:V15,"B"))*3)+((COUNTIF('Elève (6ème3)'!T15:V15,"C"))*2)+((COUNTIF('Elève (6ème3)'!T15:V15,"D"))*1))/(COUNTA(T15:V15)),"")</f>
        <v>3</v>
      </c>
      <c r="X15" s="109" t="str">
        <f t="shared" si="4"/>
        <v>B</v>
      </c>
      <c r="Y15" s="81"/>
      <c r="Z15" s="82"/>
      <c r="AA15" s="83"/>
      <c r="AB15" s="108" t="str">
        <f>IFERROR((((COUNTIF('Elève (6ème3)'!Y15:AA15,"A"))*4)+((COUNTIF('Elève (6ème3)'!Y15:AA15,"B"))*3)+((COUNTIF('Elève (6ème3)'!Y15:AA15,"C"))*2)+((COUNTIF('Elève (6ème3)'!Y15:AA15,"D"))*1))/(COUNTA(Y15:AA15)),"")</f>
        <v/>
      </c>
      <c r="AC15" s="109" t="str">
        <f t="shared" si="5"/>
        <v/>
      </c>
      <c r="AD15" s="81"/>
      <c r="AE15" s="82"/>
      <c r="AF15" s="83"/>
      <c r="AG15" s="108" t="str">
        <f>IFERROR((((COUNTIF('Elève (6ème3)'!AD15:AF15,"A"))*4)+((COUNTIF('Elève (6ème3)'!AD15:AF15,"B"))*3)+((COUNTIF('Elève (6ème3)'!AD15:AF15,"C"))*2)+((COUNTIF('Elève (6ème3)'!AD15:AF15,"D"))*1))/(COUNTA(AD15:AF15)),"")</f>
        <v/>
      </c>
      <c r="AH15" s="109" t="str">
        <f t="shared" si="6"/>
        <v/>
      </c>
      <c r="AI15" s="178">
        <f>IF(COUNT(W15,AB15,AG15)=0,"",SUM(W15,AB15,AG15)/COUNT(W15,AB15,AG15))</f>
        <v>3</v>
      </c>
      <c r="AJ15" s="134" t="str">
        <f t="shared" si="7"/>
        <v>B</v>
      </c>
      <c r="AK15" s="156"/>
      <c r="AL15" s="157" t="s">
        <v>25</v>
      </c>
      <c r="AM15" s="158"/>
      <c r="AN15" s="108">
        <f>IFERROR((((COUNTIF('Elève (6ème3)'!AK15:AM15,"A"))*4)+((COUNTIF('Elève (6ème3)'!AK15:AM15,"B"))*3)+((COUNTIF('Elève (6ème3)'!AK15:AM15,"C"))*2)+((COUNTIF('Elève (6ème3)'!AK15:AM15,"D"))*1))/(COUNTA(AK15:AM15)),"")</f>
        <v>3</v>
      </c>
      <c r="AO15" s="109" t="str">
        <f t="shared" si="8"/>
        <v>B</v>
      </c>
      <c r="AP15" s="81"/>
      <c r="AQ15" s="82"/>
      <c r="AR15" s="83"/>
      <c r="AS15" s="108" t="str">
        <f>IFERROR((((COUNTIF('Elève (6ème3)'!AP15:AR15,"A"))*4)+((COUNTIF('Elève (6ème3)'!AP15:AR15,"B"))*3)+((COUNTIF('Elève (6ème3)'!AP15:AR15,"C"))*2)+((COUNTIF('Elève (6ème3)'!AP15:AR15,"D"))*1))/(COUNTA(AP15:AR15)),"")</f>
        <v/>
      </c>
      <c r="AT15" s="109" t="str">
        <f t="shared" si="9"/>
        <v/>
      </c>
      <c r="AU15" s="81"/>
      <c r="AV15" s="82"/>
      <c r="AW15" s="83"/>
      <c r="AX15" s="108" t="str">
        <f>IFERROR((((COUNTIF('Elève (6ème3)'!AU15:AW15,"A"))*4)+((COUNTIF('Elève (6ème3)'!AU15:AW15,"B"))*3)+((COUNTIF('Elève (6ème3)'!AU15:AW15,"C"))*2)+((COUNTIF('Elève (6ème3)'!AU15:AW15,"D"))*1))/(COUNTA(AU15:AW15)),"")</f>
        <v/>
      </c>
      <c r="AY15" s="109" t="str">
        <f t="shared" si="10"/>
        <v/>
      </c>
      <c r="AZ15" s="178">
        <f>IF(COUNT(AN15,AS15,AX15)=0,"",SUM(AN15,AS15,AX15)/COUNT(AN15,AS15,AX15))</f>
        <v>3</v>
      </c>
      <c r="BA15" s="134" t="str">
        <f t="shared" si="11"/>
        <v>B</v>
      </c>
      <c r="BB15" s="156"/>
      <c r="BC15" s="157" t="s">
        <v>24</v>
      </c>
      <c r="BD15" s="158"/>
      <c r="BE15" s="108">
        <f>IFERROR((((COUNTIF('Elève (6ème3)'!BB15:BD15,"A"))*4)+((COUNTIF('Elève (6ème3)'!BB15:BD15,"B"))*3)+((COUNTIF('Elève (6ème3)'!BB15:BD15,"C"))*2)+((COUNTIF('Elève (6ème3)'!BB15:BD15,"D"))*1))/(COUNTA(BB15:BD15)),"")</f>
        <v>4</v>
      </c>
      <c r="BF15" s="109" t="str">
        <f t="shared" si="12"/>
        <v>A</v>
      </c>
      <c r="BG15" s="81"/>
      <c r="BH15" s="82"/>
      <c r="BI15" s="83"/>
      <c r="BJ15" s="108" t="str">
        <f>IFERROR((((COUNTIF('Elève (6ème3)'!BG15:BI15,"A"))*4)+((COUNTIF('Elève (6ème3)'!BG15:BI15,"B"))*3)+((COUNTIF('Elève (6ème3)'!BG15:BI15,"C"))*2)+((COUNTIF('Elève (6ème3)'!BG15:BI15,"D"))*1))/(COUNTA(BG15:BI15)),"")</f>
        <v/>
      </c>
      <c r="BK15" s="109" t="str">
        <f t="shared" si="13"/>
        <v/>
      </c>
      <c r="BL15" s="81"/>
      <c r="BM15" s="82"/>
      <c r="BN15" s="83"/>
      <c r="BO15" s="108" t="str">
        <f>IFERROR((((COUNTIF('Elève (6ème3)'!BL15:BN15,"A"))*4)+((COUNTIF('Elève (6ème3)'!BL15:BN15,"B"))*3)+((COUNTIF('Elève (6ème3)'!BL15:BN15,"C"))*2)+((COUNTIF('Elève (6ème3)'!BL15:BN15,"D"))*1))/(COUNTA(BL15:BN15)),"")</f>
        <v/>
      </c>
      <c r="BP15" s="109" t="str">
        <f t="shared" si="14"/>
        <v/>
      </c>
      <c r="BQ15" s="178">
        <f>IF(COUNT(BE15,BJ15,BO15)=0,"",SUM(BE15,BJ15,BO15)/COUNT(BE15,BJ15,BO15))</f>
        <v>4</v>
      </c>
      <c r="BR15" s="134" t="str">
        <f t="shared" si="15"/>
        <v>A</v>
      </c>
      <c r="BS15" s="156"/>
      <c r="BT15" s="157" t="s">
        <v>25</v>
      </c>
      <c r="BU15" s="158"/>
      <c r="BV15" s="108">
        <f>IFERROR((((COUNTIF('Elève (6ème3)'!BS15:BU15,"A"))*4)+((COUNTIF('Elève (6ème3)'!BS15:BU15,"B"))*3)+((COUNTIF('Elève (6ème3)'!BS15:BU15,"C"))*2)+((COUNTIF('Elève (6ème3)'!BS15:BU15,"D"))*1))/(COUNTA(BS15:BU15)),"")</f>
        <v>3</v>
      </c>
      <c r="BW15" s="109" t="str">
        <f t="shared" si="16"/>
        <v>B</v>
      </c>
      <c r="BX15" s="81"/>
      <c r="BY15" s="82"/>
      <c r="BZ15" s="83"/>
      <c r="CA15" s="108" t="str">
        <f>IFERROR((((COUNTIF('Elève (6ème3)'!BX15:BZ15,"A"))*4)+((COUNTIF('Elève (6ème3)'!BX15:BZ15,"B"))*3)+((COUNTIF('Elève (6ème3)'!BX15:BZ15,"C"))*2)+((COUNTIF('Elève (6ème3)'!BX15:BZ15,"D"))*1))/(COUNTA(BX15:BZ15)),"")</f>
        <v/>
      </c>
      <c r="CB15" s="109" t="str">
        <f t="shared" si="17"/>
        <v/>
      </c>
      <c r="CC15" s="81"/>
      <c r="CD15" s="82"/>
      <c r="CE15" s="83"/>
      <c r="CF15" s="108" t="str">
        <f>IFERROR((((COUNTIF('Elève (6ème3)'!CC15:CE15,"A"))*4)+((COUNTIF('Elève (6ème3)'!CC15:CE15,"B"))*3)+((COUNTIF('Elève (6ème3)'!CC15:CE15,"C"))*2)+((COUNTIF('Elève (6ème3)'!CC15:CE15,"D"))*1))/(COUNTA(CC15:CE15)),"")</f>
        <v/>
      </c>
      <c r="CG15" s="109" t="str">
        <f t="shared" si="18"/>
        <v/>
      </c>
      <c r="CH15" s="178">
        <f>IF(COUNT(BV15,CA15,CF15)=0,"",SUM(BV15,CA15,CF15)/COUNT(BV15,CA15,CF15))</f>
        <v>3</v>
      </c>
      <c r="CI15" s="134" t="str">
        <f t="shared" si="19"/>
        <v>B</v>
      </c>
      <c r="CJ15" s="156"/>
      <c r="CK15" s="157" t="s">
        <v>25</v>
      </c>
      <c r="CL15" s="158"/>
      <c r="CM15" s="108">
        <f>IFERROR((((COUNTIF('Elève (6ème3)'!CJ15:CL15,"A"))*4)+((COUNTIF('Elève (6ème3)'!CJ15:CL15,"B"))*3)+((COUNTIF('Elève (6ème3)'!CJ15:CL15,"C"))*2)+((COUNTIF('Elève (6ème3)'!CJ15:CL15,"D"))*1))/(COUNTA(CJ15:CL15)),"")</f>
        <v>3</v>
      </c>
      <c r="CN15" s="109" t="str">
        <f t="shared" si="20"/>
        <v>B</v>
      </c>
      <c r="CO15" s="81"/>
      <c r="CP15" s="82"/>
      <c r="CQ15" s="83"/>
      <c r="CR15" s="108" t="str">
        <f>IFERROR((((COUNTIF('Elève (6ème3)'!CO15:CQ15,"A"))*4)+((COUNTIF('Elève (6ème3)'!CO15:CQ15,"B"))*3)+((COUNTIF('Elève (6ème3)'!CO15:CQ15,"C"))*2)+((COUNTIF('Elève (6ème3)'!CO15:CQ15,"D"))*1))/(COUNTA(CO15:CQ15)),"")</f>
        <v/>
      </c>
      <c r="CS15" s="109" t="str">
        <f t="shared" si="21"/>
        <v/>
      </c>
      <c r="CT15" s="81"/>
      <c r="CU15" s="82"/>
      <c r="CV15" s="83"/>
      <c r="CW15" s="108" t="str">
        <f>IFERROR((((COUNTIF('Elève (6ème3)'!CT15:CV15,"A"))*4)+((COUNTIF('Elève (6ème3)'!CT15:CV15,"B"))*3)+((COUNTIF('Elève (6ème3)'!CT15:CV15,"C"))*2)+((COUNTIF('Elève (6ème3)'!CT15:CV15,"D"))*1))/(COUNTA(CT15:CV15)),"")</f>
        <v/>
      </c>
      <c r="CX15" s="109" t="str">
        <f t="shared" si="22"/>
        <v/>
      </c>
      <c r="CY15" s="178">
        <f>IF(COUNT(CM15,CR15,CW15)=0,"",SUM(CM15,CR15,CW15)/COUNT(CM15,CR15,CW15))</f>
        <v>3</v>
      </c>
      <c r="CZ15" s="134" t="str">
        <f t="shared" si="23"/>
        <v>B</v>
      </c>
      <c r="DA15" s="156"/>
      <c r="DB15" s="157"/>
      <c r="DC15" s="158"/>
      <c r="DD15" s="108" t="str">
        <f>IFERROR((((COUNTIF('Elève (6ème3)'!DA15:DC15,"A"))*4)+((COUNTIF('Elève (6ème3)'!DA15:DC15,"B"))*3)+((COUNTIF('Elève (6ème3)'!DA15:DC15,"C"))*2)+((COUNTIF('Elève (6ème3)'!DA15:DC15,"D"))*1))/(COUNTA(DA15:DC15)),"")</f>
        <v/>
      </c>
      <c r="DE15" s="109" t="str">
        <f t="shared" si="24"/>
        <v/>
      </c>
      <c r="DF15" s="81"/>
      <c r="DG15" s="82"/>
      <c r="DH15" s="83"/>
      <c r="DI15" s="108" t="str">
        <f>IFERROR((((COUNTIF('Elève (6ème3)'!DF15:DH15,"A"))*4)+((COUNTIF('Elève (6ème3)'!DF15:DH15,"B"))*3)+((COUNTIF('Elève (6ème3)'!DF15:DH15,"C"))*2)+((COUNTIF('Elève (6ème3)'!DF15:DH15,"D"))*1))/(COUNTA(DF15:DH15)),"")</f>
        <v/>
      </c>
      <c r="DJ15" s="109" t="str">
        <f t="shared" si="25"/>
        <v/>
      </c>
      <c r="DK15" s="81"/>
      <c r="DL15" s="82"/>
      <c r="DM15" s="83"/>
      <c r="DN15" s="108" t="str">
        <f>IFERROR((((COUNTIF('Elève (6ème3)'!DK15:DM15,"A"))*4)+((COUNTIF('Elève (6ème3)'!DK15:DM15,"B"))*3)+((COUNTIF('Elève (6ème3)'!DK15:DM15,"C"))*2)+((COUNTIF('Elève (6ème3)'!DK15:DM15,"D"))*1))/(COUNTA(DK15:DM15)),"")</f>
        <v/>
      </c>
      <c r="DO15" s="109" t="str">
        <f t="shared" si="26"/>
        <v/>
      </c>
      <c r="DP15" s="178" t="str">
        <f>IF(COUNT(DD15,DI15,DN15)=0,"",SUM(DD15,DI15,DN15)/COUNT(DD15,DI15,DN15))</f>
        <v/>
      </c>
      <c r="DQ15" s="134" t="str">
        <f t="shared" si="27"/>
        <v/>
      </c>
      <c r="DR15" s="156"/>
      <c r="DS15" s="157" t="s">
        <v>25</v>
      </c>
      <c r="DT15" s="158"/>
      <c r="DU15" s="108">
        <f>IFERROR((((COUNTIF('Elève (6ème3)'!DR15:DT15,"A"))*4)+((COUNTIF('Elève (6ème3)'!DR15:DT15,"B"))*3)+((COUNTIF('Elève (6ème3)'!DR15:DT15,"C"))*2)+((COUNTIF('Elève (6ème3)'!DR15:DT15,"D"))*1))/(COUNTA(DR15:DT15)),"")</f>
        <v>3</v>
      </c>
      <c r="DV15" s="109" t="str">
        <f t="shared" si="28"/>
        <v>B</v>
      </c>
      <c r="DW15" s="81"/>
      <c r="DX15" s="82"/>
      <c r="DY15" s="83"/>
      <c r="DZ15" s="108" t="str">
        <f>IFERROR((((COUNTIF('Elève (6ème3)'!DW15:DY15,"A"))*4)+((COUNTIF('Elève (6ème3)'!DW15:DY15,"B"))*3)+((COUNTIF('Elève (6ème3)'!DW15:DY15,"C"))*2)+((COUNTIF('Elève (6ème3)'!DW15:DY15,"D"))*1))/(COUNTA(DW15:DY15)),"")</f>
        <v/>
      </c>
      <c r="EA15" s="109" t="str">
        <f t="shared" si="29"/>
        <v/>
      </c>
      <c r="EB15" s="81"/>
      <c r="EC15" s="82"/>
      <c r="ED15" s="83"/>
      <c r="EE15" s="108" t="str">
        <f>IFERROR((((COUNTIF('Elève (6ème3)'!EB15:ED15,"A"))*4)+((COUNTIF('Elève (6ème3)'!EB15:ED15,"B"))*3)+((COUNTIF('Elève (6ème3)'!EB15:ED15,"C"))*2)+((COUNTIF('Elève (6ème3)'!EB15:ED15,"D"))*1))/(COUNTA(EB15:ED15)),"")</f>
        <v/>
      </c>
      <c r="EF15" s="109" t="str">
        <f t="shared" si="30"/>
        <v/>
      </c>
      <c r="EG15" s="178">
        <f>IF(COUNT(DU15,DZ15,EE15)=0,"",SUM(DU15,DZ15,EE15)/COUNT(DU15,DZ15,EE15))</f>
        <v>3</v>
      </c>
      <c r="EH15" s="134" t="str">
        <f t="shared" si="31"/>
        <v>B</v>
      </c>
      <c r="EI15" s="156"/>
      <c r="EJ15" s="157" t="s">
        <v>26</v>
      </c>
      <c r="EK15" s="158"/>
      <c r="EL15" s="108">
        <f>IFERROR((((COUNTIF('Elève (6ème3)'!EI15:EK15,"A"))*4)+((COUNTIF('Elève (6ème3)'!EI15:EK15,"B"))*3)+((COUNTIF('Elève (6ème3)'!EI15:EK15,"C"))*2)+((COUNTIF('Elève (6ème3)'!EI15:EK15,"D"))*1))/(COUNTA(EI15:EK15)),"")</f>
        <v>2</v>
      </c>
      <c r="EM15" s="109" t="str">
        <f t="shared" si="32"/>
        <v>C</v>
      </c>
      <c r="EN15" s="81"/>
      <c r="EO15" s="82"/>
      <c r="EP15" s="83"/>
      <c r="EQ15" s="108" t="str">
        <f>IFERROR((((COUNTIF('Elève (6ème3)'!EN15:EP15,"A"))*4)+((COUNTIF('Elève (6ème3)'!EN15:EP15,"B"))*3)+((COUNTIF('Elève (6ème3)'!EN15:EP15,"C"))*2)+((COUNTIF('Elève (6ème3)'!EN15:EP15,"D"))*1))/(COUNTA(EN15:EP15)),"")</f>
        <v/>
      </c>
      <c r="ER15" s="109" t="str">
        <f t="shared" si="33"/>
        <v/>
      </c>
      <c r="ES15" s="81"/>
      <c r="ET15" s="82"/>
      <c r="EU15" s="83"/>
      <c r="EV15" s="108" t="str">
        <f>IFERROR((((COUNTIF('Elève (6ème3)'!ES15:EU15,"A"))*4)+((COUNTIF('Elève (6ème3)'!ES15:EU15,"B"))*3)+((COUNTIF('Elève (6ème3)'!ES15:EU15,"C"))*2)+((COUNTIF('Elève (6ème3)'!ES15:EU15,"D"))*1))/(COUNTA(ES15:EU15)),"")</f>
        <v/>
      </c>
      <c r="EW15" s="109" t="str">
        <f t="shared" si="34"/>
        <v/>
      </c>
      <c r="EX15" s="178">
        <f>IF(COUNT(EL15,EQ15,EV15)=0,"",SUM(EL15,EQ15,EV15)/COUNT(EL15,EQ15,EV15))</f>
        <v>2</v>
      </c>
      <c r="EY15" s="134" t="str">
        <f t="shared" si="35"/>
        <v>C</v>
      </c>
      <c r="EZ15" s="156"/>
      <c r="FA15" s="157" t="s">
        <v>26</v>
      </c>
      <c r="FB15" s="158"/>
      <c r="FC15" s="108">
        <f>IFERROR((((COUNTIF('Elève (6ème3)'!EZ15:FB15,"A"))*4)+((COUNTIF('Elève (6ème3)'!EZ15:FB15,"B"))*3)+((COUNTIF('Elève (6ème3)'!EZ15:FB15,"C"))*2)+((COUNTIF('Elève (6ème3)'!EZ15:FB15,"D"))*1))/(COUNTA(EZ15:FB15)),"")</f>
        <v>2</v>
      </c>
      <c r="FD15" s="109" t="str">
        <f t="shared" si="36"/>
        <v>C</v>
      </c>
      <c r="FE15" s="81"/>
      <c r="FF15" s="82"/>
      <c r="FG15" s="83"/>
      <c r="FH15" s="108" t="str">
        <f>IFERROR((((COUNTIF('Elève (6ème3)'!FE15:FG15,"A"))*4)+((COUNTIF('Elève (6ème3)'!FE15:FG15,"B"))*3)+((COUNTIF('Elève (6ème3)'!FE15:FG15,"C"))*2)+((COUNTIF('Elève (6ème3)'!FE15:FG15,"D"))*1))/(COUNTA(FE15:FG15)),"")</f>
        <v/>
      </c>
      <c r="FI15" s="109" t="str">
        <f t="shared" si="37"/>
        <v/>
      </c>
      <c r="FJ15" s="81"/>
      <c r="FK15" s="82"/>
      <c r="FL15" s="83"/>
      <c r="FM15" s="108" t="str">
        <f>IFERROR((((COUNTIF('Elève (6ème3)'!FJ15:FL15,"A"))*4)+((COUNTIF('Elève (6ème3)'!FJ15:FL15,"B"))*3)+((COUNTIF('Elève (6ème3)'!FJ15:FL15,"C"))*2)+((COUNTIF('Elève (6ème3)'!FJ15:FL15,"D"))*1))/(COUNTA(FJ15:FL15)),"")</f>
        <v/>
      </c>
      <c r="FN15" s="109" t="str">
        <f t="shared" si="38"/>
        <v/>
      </c>
      <c r="FO15" s="178">
        <f>IF(COUNT(FC15,FH15,FM15)=0,"",SUM(FC15,FH15,FM15)/COUNT(FC15,FH15,FM15))</f>
        <v>2</v>
      </c>
      <c r="FP15" s="134" t="str">
        <f t="shared" si="39"/>
        <v>C</v>
      </c>
      <c r="FQ15" s="156"/>
      <c r="FR15" s="157" t="s">
        <v>24</v>
      </c>
      <c r="FS15" s="158"/>
      <c r="FT15" s="108">
        <f>IFERROR((((COUNTIF('Elève (6ème3)'!FQ15:FS15,"A"))*4)+((COUNTIF('Elève (6ème3)'!FQ15:FS15,"B"))*3)+((COUNTIF('Elève (6ème3)'!FQ15:FS15,"C"))*2)+((COUNTIF('Elève (6ème3)'!FQ15:FS15,"D"))*1))/(COUNTA(FQ15:FS15)),"")</f>
        <v>4</v>
      </c>
      <c r="FU15" s="109" t="str">
        <f t="shared" si="40"/>
        <v>A</v>
      </c>
      <c r="FV15" s="81"/>
      <c r="FW15" s="82"/>
      <c r="FX15" s="83"/>
      <c r="FY15" s="108" t="str">
        <f>IFERROR((((COUNTIF('Elève (6ème3)'!FV15:FX15,"A"))*4)+((COUNTIF('Elève (6ème3)'!FV15:FX15,"B"))*3)+((COUNTIF('Elève (6ème3)'!FV15:FX15,"C"))*2)+((COUNTIF('Elève (6ème3)'!FV15:FX15,"D"))*1))/(COUNTA(FV15:FX15)),"")</f>
        <v/>
      </c>
      <c r="FZ15" s="109" t="str">
        <f t="shared" si="41"/>
        <v/>
      </c>
      <c r="GA15" s="81"/>
      <c r="GB15" s="82"/>
      <c r="GC15" s="83"/>
      <c r="GD15" s="108" t="str">
        <f>IFERROR((((COUNTIF('Elève (6ème3)'!GA15:GC15,"A"))*4)+((COUNTIF('Elève (6ème3)'!GA15:GC15,"B"))*3)+((COUNTIF('Elève (6ème3)'!GA15:GC15,"C"))*2)+((COUNTIF('Elève (6ème3)'!GA15:GC15,"D"))*1))/(COUNTA(GA15:GC15)),"")</f>
        <v/>
      </c>
      <c r="GE15" s="109" t="str">
        <f t="shared" si="42"/>
        <v/>
      </c>
      <c r="GF15" s="178">
        <f>IF(COUNT(FT15,FY15,GD15)=0,"",SUM(FT15,FY15,GD15)/COUNT(FT15,FY15,GD15))</f>
        <v>4</v>
      </c>
      <c r="GG15" s="134" t="str">
        <f t="shared" si="43"/>
        <v>A</v>
      </c>
      <c r="GH15" s="156"/>
      <c r="GI15" s="157" t="s">
        <v>25</v>
      </c>
      <c r="GJ15" s="158"/>
      <c r="GK15" s="108">
        <f>IFERROR((((COUNTIF('Elève (6ème3)'!GH15:GJ15,"A"))*4)+((COUNTIF('Elève (6ème3)'!GH15:GJ15,"B"))*3)+((COUNTIF('Elève (6ème3)'!GH15:GJ15,"C"))*2)+((COUNTIF('Elève (6ème3)'!GH15:GJ15,"D"))*1))/(COUNTA(GH15:GJ15)),"")</f>
        <v>3</v>
      </c>
      <c r="GL15" s="109" t="str">
        <f t="shared" si="44"/>
        <v>B</v>
      </c>
      <c r="GM15" s="81"/>
      <c r="GN15" s="82"/>
      <c r="GO15" s="83"/>
      <c r="GP15" s="108" t="str">
        <f>IFERROR((((COUNTIF('Elève (6ème3)'!GM15:GO15,"A"))*4)+((COUNTIF('Elève (6ème3)'!GM15:GO15,"B"))*3)+((COUNTIF('Elève (6ème3)'!GM15:GO15,"C"))*2)+((COUNTIF('Elève (6ème3)'!GM15:GO15,"D"))*1))/(COUNTA(GM15:GO15)),"")</f>
        <v/>
      </c>
      <c r="GQ15" s="109" t="str">
        <f t="shared" si="45"/>
        <v/>
      </c>
      <c r="GR15" s="81"/>
      <c r="GS15" s="82"/>
      <c r="GT15" s="83"/>
      <c r="GU15" s="108" t="str">
        <f>IFERROR((((COUNTIF('Elève (6ème3)'!GR15:GT15,"A"))*4)+((COUNTIF('Elève (6ème3)'!GR15:GT15,"B"))*3)+((COUNTIF('Elève (6ème3)'!GR15:GT15,"C"))*2)+((COUNTIF('Elève (6ème3)'!GR15:GT15,"D"))*1))/(COUNTA(GR15:GT15)),"")</f>
        <v/>
      </c>
      <c r="GV15" s="109" t="str">
        <f t="shared" si="46"/>
        <v/>
      </c>
      <c r="GW15" s="178">
        <f>IF(COUNT(GK15,GP15,GU15)=0,"",SUM(GK15,GP15,GU15)/COUNT(GK15,GP15,GU15))</f>
        <v>3</v>
      </c>
      <c r="GX15" s="134" t="str">
        <f t="shared" si="47"/>
        <v>B</v>
      </c>
      <c r="GY15" s="156"/>
      <c r="GZ15" s="157" t="s">
        <v>25</v>
      </c>
      <c r="HA15" s="158"/>
      <c r="HB15" s="108">
        <f>IFERROR((((COUNTIF('Elève (6ème3)'!GY15:HA15,"A"))*4)+((COUNTIF('Elève (6ème3)'!GY15:HA15,"B"))*3)+((COUNTIF('Elève (6ème3)'!GY15:HA15,"C"))*2)+((COUNTIF('Elève (6ème3)'!GY15:HA15,"D"))*1))/(COUNTA(GY15:HA15)),"")</f>
        <v>3</v>
      </c>
      <c r="HC15" s="109" t="str">
        <f t="shared" si="48"/>
        <v>B</v>
      </c>
      <c r="HD15" s="81"/>
      <c r="HE15" s="82"/>
      <c r="HF15" s="83"/>
      <c r="HG15" s="108" t="str">
        <f>IFERROR((((COUNTIF('Elève (6ème3)'!HD15:HF15,"A"))*4)+((COUNTIF('Elève (6ème3)'!HD15:HF15,"B"))*3)+((COUNTIF('Elève (6ème3)'!HD15:HF15,"C"))*2)+((COUNTIF('Elève (6ème3)'!HD15:HF15,"D"))*1))/(COUNTA(HD15:HF15)),"")</f>
        <v/>
      </c>
      <c r="HH15" s="109" t="str">
        <f t="shared" si="49"/>
        <v/>
      </c>
      <c r="HI15" s="81"/>
      <c r="HJ15" s="82"/>
      <c r="HK15" s="83"/>
      <c r="HL15" s="108" t="str">
        <f>IFERROR((((COUNTIF('Elève (6ème3)'!HI15:HK15,"A"))*4)+((COUNTIF('Elève (6ème3)'!HI15:HK15,"B"))*3)+((COUNTIF('Elève (6ème3)'!HI15:HK15,"C"))*2)+((COUNTIF('Elève (6ème3)'!HI15:HK15,"D"))*1))/(COUNTA(HI15:HK15)),"")</f>
        <v/>
      </c>
      <c r="HM15" s="109" t="str">
        <f t="shared" si="50"/>
        <v/>
      </c>
      <c r="HN15" s="178">
        <f>IF(COUNT(HB15,HG15,HL15)=0,"",SUM(HB15,HG15,HL15)/COUNT(HB15,HG15,HL15))</f>
        <v>3</v>
      </c>
      <c r="HO15" s="134" t="str">
        <f t="shared" si="51"/>
        <v>B</v>
      </c>
      <c r="HP15" s="156"/>
      <c r="HQ15" s="157" t="s">
        <v>25</v>
      </c>
      <c r="HR15" s="158"/>
      <c r="HS15" s="108">
        <f>IFERROR((((COUNTIF('Elève (6ème3)'!HP15:HR15,"A"))*4)+((COUNTIF('Elève (6ème3)'!HP15:HR15,"B"))*3)+((COUNTIF('Elève (6ème3)'!HP15:HR15,"C"))*2)+((COUNTIF('Elève (6ème3)'!HP15:HR15,"D"))*1))/(COUNTA(HP15:HR15)),"")</f>
        <v>3</v>
      </c>
      <c r="HT15" s="109" t="str">
        <f t="shared" si="52"/>
        <v>B</v>
      </c>
      <c r="HU15" s="81"/>
      <c r="HV15" s="82"/>
      <c r="HW15" s="83"/>
      <c r="HX15" s="108" t="str">
        <f>IFERROR((((COUNTIF('Elève (6ème3)'!HU15:HW15,"A"))*4)+((COUNTIF('Elève (6ème3)'!HU15:HW15,"B"))*3)+((COUNTIF('Elève (6ème3)'!HU15:HW15,"C"))*2)+((COUNTIF('Elève (6ème3)'!HU15:HW15,"D"))*1))/(COUNTA(HU15:HW15)),"")</f>
        <v/>
      </c>
      <c r="HY15" s="109" t="str">
        <f t="shared" si="53"/>
        <v/>
      </c>
      <c r="HZ15" s="81"/>
      <c r="IA15" s="82"/>
      <c r="IB15" s="83"/>
      <c r="IC15" s="108" t="str">
        <f>IFERROR((((COUNTIF('Elève (6ème3)'!HZ15:IB15,"A"))*4)+((COUNTIF('Elève (6ème3)'!HZ15:IB15,"B"))*3)+((COUNTIF('Elève (6ème3)'!HZ15:IB15,"C"))*2)+((COUNTIF('Elève (6ème3)'!HZ15:IB15,"D"))*1))/(COUNTA(HZ15:IB15)),"")</f>
        <v/>
      </c>
      <c r="ID15" s="109" t="str">
        <f t="shared" si="54"/>
        <v/>
      </c>
      <c r="IE15" s="178">
        <f>IF(COUNT(HS15,HX15,IC15)=0,"",SUM(HS15,HX15,IC15)/COUNT(HS15,HX15,IC15))</f>
        <v>3</v>
      </c>
      <c r="IF15" s="134" t="str">
        <f t="shared" si="55"/>
        <v>B</v>
      </c>
      <c r="IG15" s="156"/>
      <c r="IH15" s="157" t="s">
        <v>26</v>
      </c>
      <c r="II15" s="158"/>
      <c r="IJ15" s="108">
        <f>IFERROR((((COUNTIF('Elève (6ème3)'!IG15:II15,"A"))*4)+((COUNTIF('Elève (6ème3)'!IG15:II15,"B"))*3)+((COUNTIF('Elève (6ème3)'!IG15:II15,"C"))*2)+((COUNTIF('Elève (6ème3)'!IG15:II15,"D"))*1))/(COUNTA(IG15:II15)),"")</f>
        <v>2</v>
      </c>
      <c r="IK15" s="109" t="str">
        <f t="shared" si="56"/>
        <v>C</v>
      </c>
      <c r="IL15" s="81"/>
      <c r="IM15" s="82"/>
      <c r="IN15" s="83"/>
      <c r="IO15" s="108" t="str">
        <f>IFERROR((((COUNTIF('Elève (6ème3)'!IL15:IN15,"A"))*4)+((COUNTIF('Elève (6ème3)'!IL15:IN15,"B"))*3)+((COUNTIF('Elève (6ème3)'!IL15:IN15,"C"))*2)+((COUNTIF('Elève (6ème3)'!IL15:IN15,"D"))*1))/(COUNTA(IL15:IN15)),"")</f>
        <v/>
      </c>
      <c r="IP15" s="109" t="str">
        <f t="shared" si="57"/>
        <v/>
      </c>
      <c r="IQ15" s="81"/>
      <c r="IR15" s="82"/>
      <c r="IS15" s="83"/>
      <c r="IT15" s="108" t="str">
        <f>IFERROR((((COUNTIF('Elève (6ème3)'!IQ15:IS15,"A"))*4)+((COUNTIF('Elève (6ème3)'!IQ15:IS15,"B"))*3)+((COUNTIF('Elève (6ème3)'!IQ15:IS15,"C"))*2)+((COUNTIF('Elève (6ème3)'!IQ15:IS15,"D"))*1))/(COUNTA(IQ15:IS15)),"")</f>
        <v/>
      </c>
      <c r="IU15" s="109" t="str">
        <f t="shared" si="58"/>
        <v/>
      </c>
      <c r="IV15" s="178">
        <f>IF(COUNT(IJ15,IO15,IT15)=0,"",SUM(IJ15,IO15,IT15)/COUNT(IJ15,IO15,IT15))</f>
        <v>2</v>
      </c>
      <c r="IW15" s="134" t="str">
        <f t="shared" si="59"/>
        <v>C</v>
      </c>
      <c r="IX15" s="156"/>
      <c r="IY15" s="157" t="s">
        <v>25</v>
      </c>
      <c r="IZ15" s="158"/>
      <c r="JA15" s="108">
        <f>IFERROR((((COUNTIF('Elève (6ème3)'!IX15:IZ15,"A"))*4)+((COUNTIF('Elève (6ème3)'!IX15:IZ15,"B"))*3)+((COUNTIF('Elève (6ème3)'!IX15:IZ15,"C"))*2)+((COUNTIF('Elève (6ème3)'!IX15:IZ15,"D"))*1))/(COUNTA(IX15:IZ15)),"")</f>
        <v>3</v>
      </c>
      <c r="JB15" s="109" t="str">
        <f t="shared" si="60"/>
        <v>B</v>
      </c>
      <c r="JC15" s="81"/>
      <c r="JD15" s="82"/>
      <c r="JE15" s="83"/>
      <c r="JF15" s="108" t="str">
        <f>IFERROR((((COUNTIF('Elève (6ème3)'!JC15:JE15,"A"))*4)+((COUNTIF('Elève (6ème3)'!JC15:JE15,"B"))*3)+((COUNTIF('Elève (6ème3)'!JC15:JE15,"C"))*2)+((COUNTIF('Elève (6ème3)'!JC15:JE15,"D"))*1))/(COUNTA(JC15:JE15)),"")</f>
        <v/>
      </c>
      <c r="JG15" s="109" t="str">
        <f t="shared" si="61"/>
        <v/>
      </c>
      <c r="JH15" s="81"/>
      <c r="JI15" s="82"/>
      <c r="JJ15" s="83"/>
      <c r="JK15" s="108" t="str">
        <f>IFERROR((((COUNTIF('Elève (6ème3)'!JH15:JJ15,"A"))*4)+((COUNTIF('Elève (6ème3)'!JH15:JJ15,"B"))*3)+((COUNTIF('Elève (6ème3)'!JH15:JJ15,"C"))*2)+((COUNTIF('Elève (6ème3)'!JH15:JJ15,"D"))*1))/(COUNTA(JH15:JJ15)),"")</f>
        <v/>
      </c>
      <c r="JL15" s="109" t="str">
        <f t="shared" si="62"/>
        <v/>
      </c>
      <c r="JM15" s="178">
        <f>IF(COUNT(JA15,JF15,JK15)=0,"",SUM(JA15,JF15,JK15)/COUNT(JA15,JF15,JK15))</f>
        <v>3</v>
      </c>
      <c r="JN15" s="134" t="str">
        <f t="shared" si="63"/>
        <v>B</v>
      </c>
      <c r="JO15" s="156"/>
      <c r="JP15" s="157" t="s">
        <v>210</v>
      </c>
      <c r="JQ15" s="158"/>
      <c r="JR15" s="108">
        <f>IFERROR((((COUNTIF('Elève (6ème3)'!JO15:JQ15,"A"))*4)+((COUNTIF('Elève (6ème3)'!JO15:JQ15,"B"))*3)+((COUNTIF('Elève (6ème3)'!JO15:JQ15,"C"))*2)+((COUNTIF('Elève (6ème3)'!JO15:JQ15,"D"))*1))/(COUNTA(JO15:JQ15)),"")</f>
        <v>2</v>
      </c>
      <c r="JS15" s="109" t="str">
        <f t="shared" si="64"/>
        <v>C</v>
      </c>
      <c r="JT15" s="81"/>
      <c r="JU15" s="82"/>
      <c r="JV15" s="83"/>
      <c r="JW15" s="108" t="str">
        <f>IFERROR((((COUNTIF('Elève (6ème3)'!JT15:JV15,"A"))*4)+((COUNTIF('Elève (6ème3)'!JT15:JV15,"B"))*3)+((COUNTIF('Elève (6ème3)'!JT15:JV15,"C"))*2)+((COUNTIF('Elève (6ème3)'!JT15:JV15,"D"))*1))/(COUNTA(JT15:JV15)),"")</f>
        <v/>
      </c>
      <c r="JX15" s="109" t="str">
        <f t="shared" si="65"/>
        <v/>
      </c>
      <c r="JY15" s="81"/>
      <c r="JZ15" s="82"/>
      <c r="KA15" s="83"/>
      <c r="KB15" s="108" t="str">
        <f>IFERROR((((COUNTIF('Elève (6ème3)'!JY15:KA15,"A"))*4)+((COUNTIF('Elève (6ème3)'!JY15:KA15,"B"))*3)+((COUNTIF('Elève (6ème3)'!JY15:KA15,"C"))*2)+((COUNTIF('Elève (6ème3)'!JY15:KA15,"D"))*1))/(COUNTA(JY15:KA15)),"")</f>
        <v/>
      </c>
      <c r="KC15" s="109" t="str">
        <f t="shared" si="66"/>
        <v/>
      </c>
      <c r="KD15" s="178">
        <f>IF(COUNT(JR15,JW15,KB15)=0,"",SUM(JR15,JW15,KB15)/COUNT(JR15,JW15,KB15))</f>
        <v>2</v>
      </c>
      <c r="KE15" s="134" t="str">
        <f t="shared" si="67"/>
        <v>C</v>
      </c>
      <c r="KF15" s="156"/>
      <c r="KG15" s="157" t="s">
        <v>25</v>
      </c>
      <c r="KH15" s="158"/>
      <c r="KI15" s="108">
        <f>IFERROR((((COUNTIF('Elève (6ème3)'!KF15:KH15,"A"))*4)+((COUNTIF('Elève (6ème3)'!KF15:KH15,"B"))*3)+((COUNTIF('Elève (6ème3)'!KF15:KH15,"C"))*2)+((COUNTIF('Elève (6ème3)'!KF15:KH15,"D"))*1))/(COUNTA(KF15:KH15)),"")</f>
        <v>3</v>
      </c>
      <c r="KJ15" s="109" t="str">
        <f t="shared" si="68"/>
        <v>B</v>
      </c>
      <c r="KK15" s="81"/>
      <c r="KL15" s="82"/>
      <c r="KM15" s="83"/>
      <c r="KN15" s="108" t="str">
        <f>IFERROR((((COUNTIF('Elève (6ème3)'!KK15:KM15,"A"))*4)+((COUNTIF('Elève (6ème3)'!KK15:KM15,"B"))*3)+((COUNTIF('Elève (6ème3)'!KK15:KM15,"C"))*2)+((COUNTIF('Elève (6ème3)'!KK15:KM15,"D"))*1))/(COUNTA(KK15:KM15)),"")</f>
        <v/>
      </c>
      <c r="KO15" s="109" t="str">
        <f t="shared" si="69"/>
        <v/>
      </c>
      <c r="KP15" s="81"/>
      <c r="KQ15" s="82"/>
      <c r="KR15" s="83"/>
      <c r="KS15" s="108" t="str">
        <f>IFERROR((((COUNTIF('Elève (6ème3)'!KP15:KR15,"A"))*4)+((COUNTIF('Elève (6ème3)'!KP15:KR15,"B"))*3)+((COUNTIF('Elève (6ème3)'!KP15:KR15,"C"))*2)+((COUNTIF('Elève (6ème3)'!KP15:KR15,"D"))*1))/(COUNTA(KP15:KR15)),"")</f>
        <v/>
      </c>
      <c r="KT15" s="109" t="str">
        <f t="shared" si="70"/>
        <v/>
      </c>
      <c r="KU15" s="178">
        <f>IF(COUNT(KI15,KN15,KS15)=0,"",SUM(KI15,KN15,KS15)/COUNT(KI15,KN15,KS15))</f>
        <v>3</v>
      </c>
      <c r="KV15" s="134" t="str">
        <f t="shared" si="71"/>
        <v>B</v>
      </c>
      <c r="KW15" s="156"/>
      <c r="KX15" s="157" t="s">
        <v>24</v>
      </c>
      <c r="KY15" s="158"/>
      <c r="KZ15" s="108">
        <f>IFERROR((((COUNTIF('Elève (6ème3)'!KW15:KY15,"A"))*4)+((COUNTIF('Elève (6ème3)'!KW15:KY15,"B"))*3)+((COUNTIF('Elève (6ème3)'!KW15:KY15,"C"))*2)+((COUNTIF('Elève (6ème3)'!KW15:KY15,"D"))*1))/(COUNTA(KW15:KY15)),"")</f>
        <v>4</v>
      </c>
      <c r="LA15" s="109" t="str">
        <f t="shared" si="72"/>
        <v>A</v>
      </c>
      <c r="LB15" s="81"/>
      <c r="LC15" s="82"/>
      <c r="LD15" s="83"/>
      <c r="LE15" s="108" t="str">
        <f>IFERROR((((COUNTIF('Elève (6ème3)'!LB15:LD15,"A"))*4)+((COUNTIF('Elève (6ème3)'!LB15:LD15,"B"))*3)+((COUNTIF('Elève (6ème3)'!LB15:LD15,"C"))*2)+((COUNTIF('Elève (6ème3)'!LB15:LD15,"D"))*1))/(COUNTA(LB15:LD15)),"")</f>
        <v/>
      </c>
      <c r="LF15" s="109" t="str">
        <f t="shared" si="73"/>
        <v/>
      </c>
      <c r="LG15" s="81"/>
      <c r="LH15" s="82"/>
      <c r="LI15" s="83"/>
      <c r="LJ15" s="108" t="str">
        <f>IFERROR((((COUNTIF('Elève (6ème3)'!LG15:LI15,"A"))*4)+((COUNTIF('Elève (6ème3)'!LG15:LI15,"B"))*3)+((COUNTIF('Elève (6ème3)'!LG15:LI15,"C"))*2)+((COUNTIF('Elève (6ème3)'!LG15:LI15,"D"))*1))/(COUNTA(LG15:LI15)),"")</f>
        <v/>
      </c>
      <c r="LK15" s="109" t="str">
        <f t="shared" si="74"/>
        <v/>
      </c>
      <c r="LL15" s="178">
        <f>IF(COUNT(KZ15,LE15,LJ15)=0,"",SUM(KZ15,LE15,LJ15)/COUNT(KZ15,LE15,LJ15))</f>
        <v>4</v>
      </c>
      <c r="LM15" s="134" t="str">
        <f t="shared" si="75"/>
        <v>A</v>
      </c>
      <c r="LN15" s="156"/>
      <c r="LO15" s="157" t="s">
        <v>25</v>
      </c>
      <c r="LP15" s="158"/>
      <c r="LQ15" s="108">
        <f>IFERROR((((COUNTIF('Elève (6ème3)'!LN15:LP15,"A"))*4)+((COUNTIF('Elève (6ème3)'!LN15:LP15,"B"))*3)+((COUNTIF('Elève (6ème3)'!LN15:LP15,"C"))*2)+((COUNTIF('Elève (6ème3)'!LN15:LP15,"D"))*1))/(COUNTA(LN15:LP15)),"")</f>
        <v>3</v>
      </c>
      <c r="LR15" s="109" t="str">
        <f t="shared" si="76"/>
        <v>B</v>
      </c>
      <c r="LS15" s="81"/>
      <c r="LT15" s="82"/>
      <c r="LU15" s="83"/>
      <c r="LV15" s="108" t="str">
        <f>IFERROR((((COUNTIF('Elève (6ème3)'!LS15:LU15,"A"))*4)+((COUNTIF('Elève (6ème3)'!LS15:LU15,"B"))*3)+((COUNTIF('Elève (6ème3)'!LS15:LU15,"C"))*2)+((COUNTIF('Elève (6ème3)'!LS15:LU15,"D"))*1))/(COUNTA(LS15:LU15)),"")</f>
        <v/>
      </c>
      <c r="LW15" s="109" t="str">
        <f t="shared" si="77"/>
        <v/>
      </c>
      <c r="LX15" s="81"/>
      <c r="LY15" s="82"/>
      <c r="LZ15" s="83"/>
      <c r="MA15" s="108" t="str">
        <f>IFERROR((((COUNTIF('Elève (6ème3)'!LX15:LZ15,"A"))*4)+((COUNTIF('Elève (6ème3)'!LX15:LZ15,"B"))*3)+((COUNTIF('Elève (6ème3)'!LX15:LZ15,"C"))*2)+((COUNTIF('Elève (6ème3)'!LX15:LZ15,"D"))*1))/(COUNTA(LX15:LZ15)),"")</f>
        <v/>
      </c>
      <c r="MB15" s="109" t="str">
        <f t="shared" si="78"/>
        <v/>
      </c>
      <c r="MC15" s="178">
        <f>IF(COUNT(LQ15,LV15,MA15)=0,"",SUM(LQ15,LV15,MA15)/COUNT(LQ15,LV15,MA15))</f>
        <v>3</v>
      </c>
      <c r="MD15" s="134" t="str">
        <f t="shared" si="79"/>
        <v>B</v>
      </c>
      <c r="ME15" s="156"/>
      <c r="MF15" s="157" t="s">
        <v>25</v>
      </c>
      <c r="MG15" s="158"/>
      <c r="MH15" s="108">
        <f>IFERROR((((COUNTIF('Elève (6ème3)'!ME15:MG15,"A"))*4)+((COUNTIF('Elève (6ème3)'!ME15:MG15,"B"))*3)+((COUNTIF('Elève (6ème3)'!ME15:MG15,"C"))*2)+((COUNTIF('Elève (6ème3)'!ME15:MG15,"D"))*1))/(COUNTA(ME15:MG15)),"")</f>
        <v>3</v>
      </c>
      <c r="MI15" s="109" t="str">
        <f t="shared" si="80"/>
        <v>B</v>
      </c>
      <c r="MJ15" s="81"/>
      <c r="MK15" s="82"/>
      <c r="ML15" s="83"/>
      <c r="MM15" s="108" t="str">
        <f>IFERROR((((COUNTIF('Elève (6ème3)'!MJ15:ML15,"A"))*4)+((COUNTIF('Elève (6ème3)'!MJ15:ML15,"B"))*3)+((COUNTIF('Elève (6ème3)'!MJ15:ML15,"C"))*2)+((COUNTIF('Elève (6ème3)'!MJ15:ML15,"D"))*1))/(COUNTA(MJ15:ML15)),"")</f>
        <v/>
      </c>
      <c r="MN15" s="109" t="str">
        <f t="shared" si="81"/>
        <v/>
      </c>
      <c r="MO15" s="81"/>
      <c r="MP15" s="82"/>
      <c r="MQ15" s="83"/>
      <c r="MR15" s="108" t="str">
        <f>IFERROR((((COUNTIF('Elève (6ème3)'!MO15:MQ15,"A"))*4)+((COUNTIF('Elève (6ème3)'!MO15:MQ15,"B"))*3)+((COUNTIF('Elève (6ème3)'!MO15:MQ15,"C"))*2)+((COUNTIF('Elève (6ème3)'!MO15:MQ15,"D"))*1))/(COUNTA(MO15:MQ15)),"")</f>
        <v/>
      </c>
      <c r="MS15" s="109" t="str">
        <f t="shared" si="82"/>
        <v/>
      </c>
      <c r="MT15" s="178">
        <f>IF(COUNT(MH15,MM15,MR15)=0,"",SUM(MH15,MM15,MR15)/COUNT(MH15,MM15,MR15))</f>
        <v>3</v>
      </c>
      <c r="MU15" s="134" t="str">
        <f t="shared" si="83"/>
        <v>B</v>
      </c>
      <c r="MV15" s="156"/>
      <c r="MW15" s="157" t="s">
        <v>25</v>
      </c>
      <c r="MX15" s="158"/>
      <c r="MY15" s="108">
        <f>IFERROR((((COUNTIF('Elève (6ème3)'!MV15:MX15,"A"))*4)+((COUNTIF('Elève (6ème3)'!MV15:MX15,"B"))*3)+((COUNTIF('Elève (6ème3)'!MV15:MX15,"C"))*2)+((COUNTIF('Elève (6ème3)'!MV15:MX15,"D"))*1))/(COUNTA(MV15:MX15)),"")</f>
        <v>3</v>
      </c>
      <c r="MZ15" s="109" t="str">
        <f t="shared" si="84"/>
        <v>B</v>
      </c>
      <c r="NA15" s="81"/>
      <c r="NB15" s="82"/>
      <c r="NC15" s="83"/>
      <c r="ND15" s="108" t="str">
        <f>IFERROR((((COUNTIF('Elève (6ème3)'!NA15:NC15,"A"))*4)+((COUNTIF('Elève (6ème3)'!NA15:NC15,"B"))*3)+((COUNTIF('Elève (6ème3)'!NA15:NC15,"C"))*2)+((COUNTIF('Elève (6ème3)'!NA15:NC15,"D"))*1))/(COUNTA(NA15:NC15)),"")</f>
        <v/>
      </c>
      <c r="NE15" s="109" t="str">
        <f t="shared" si="85"/>
        <v/>
      </c>
      <c r="NF15" s="81"/>
      <c r="NG15" s="82"/>
      <c r="NH15" s="83"/>
      <c r="NI15" s="108" t="str">
        <f>IFERROR((((COUNTIF('Elève (6ème3)'!NF15:NH15,"A"))*4)+((COUNTIF('Elève (6ème3)'!NF15:NH15,"B"))*3)+((COUNTIF('Elève (6ème3)'!NF15:NH15,"C"))*2)+((COUNTIF('Elève (6ème3)'!NF15:NH15,"D"))*1))/(COUNTA(NF15:NH15)),"")</f>
        <v/>
      </c>
      <c r="NJ15" s="109" t="str">
        <f t="shared" si="86"/>
        <v/>
      </c>
      <c r="NK15" s="178">
        <f>IF(COUNT(MY15,ND15,NI15)=0,"",SUM(MY15,ND15,NI15)/COUNT(MY15,ND15,NI15))</f>
        <v>3</v>
      </c>
      <c r="NL15" s="134" t="str">
        <f t="shared" si="87"/>
        <v>B</v>
      </c>
      <c r="NM15" s="156"/>
      <c r="NN15" s="157" t="s">
        <v>25</v>
      </c>
      <c r="NO15" s="158"/>
      <c r="NP15" s="108">
        <f>IFERROR((((COUNTIF('Elève (6ème3)'!NM15:NO15,"A"))*4)+((COUNTIF('Elève (6ème3)'!NM15:NO15,"B"))*3)+((COUNTIF('Elève (6ème3)'!NM15:NO15,"C"))*2)+((COUNTIF('Elève (6ème3)'!NM15:NO15,"D"))*1))/(COUNTA(NM15:NO15)),"")</f>
        <v>3</v>
      </c>
      <c r="NQ15" s="109" t="str">
        <f t="shared" si="88"/>
        <v>B</v>
      </c>
      <c r="NR15" s="81"/>
      <c r="NS15" s="82"/>
      <c r="NT15" s="83"/>
      <c r="NU15" s="108" t="str">
        <f>IFERROR((((COUNTIF('Elève (6ème3)'!NR15:NT15,"A"))*4)+((COUNTIF('Elève (6ème3)'!NR15:NT15,"B"))*3)+((COUNTIF('Elève (6ème3)'!NR15:NT15,"C"))*2)+((COUNTIF('Elève (6ème3)'!NR15:NT15,"D"))*1))/(COUNTA(NR15:NT15)),"")</f>
        <v/>
      </c>
      <c r="NV15" s="109" t="str">
        <f t="shared" si="89"/>
        <v/>
      </c>
      <c r="NW15" s="81"/>
      <c r="NX15" s="82"/>
      <c r="NY15" s="83"/>
      <c r="NZ15" s="108" t="str">
        <f>IFERROR((((COUNTIF('Elève (6ème3)'!NW15:NY15,"A"))*4)+((COUNTIF('Elève (6ème3)'!NW15:NY15,"B"))*3)+((COUNTIF('Elève (6ème3)'!NW15:NY15,"C"))*2)+((COUNTIF('Elève (6ème3)'!NW15:NY15,"D"))*1))/(COUNTA(NW15:NY15)),"")</f>
        <v/>
      </c>
      <c r="OA15" s="109" t="str">
        <f t="shared" si="90"/>
        <v/>
      </c>
      <c r="OB15" s="178">
        <f>IF(COUNT(NP15,NU15,NZ15)=0,"",SUM(NP15,NU15,NZ15)/COUNT(NP15,NU15,NZ15))</f>
        <v>3</v>
      </c>
      <c r="OC15" s="134" t="str">
        <f t="shared" si="91"/>
        <v>B</v>
      </c>
      <c r="OD15" s="156"/>
      <c r="OE15" s="157" t="s">
        <v>25</v>
      </c>
      <c r="OF15" s="158"/>
      <c r="OG15" s="108">
        <f>IFERROR((((COUNTIF('Elève (6ème3)'!OD15:OF15,"A"))*4)+((COUNTIF('Elève (6ème3)'!OD15:OF15,"B"))*3)+((COUNTIF('Elève (6ème3)'!OD15:OF15,"C"))*2)+((COUNTIF('Elève (6ème3)'!OD15:OF15,"D"))*1))/(COUNTA(OD15:OF15)),"")</f>
        <v>3</v>
      </c>
      <c r="OH15" s="109" t="str">
        <f t="shared" si="92"/>
        <v>B</v>
      </c>
      <c r="OI15" s="81"/>
      <c r="OJ15" s="82"/>
      <c r="OK15" s="83"/>
      <c r="OL15" s="108" t="str">
        <f>IFERROR((((COUNTIF('Elève (6ème3)'!OI15:OK15,"A"))*4)+((COUNTIF('Elève (6ème3)'!OI15:OK15,"B"))*3)+((COUNTIF('Elève (6ème3)'!OI15:OK15,"C"))*2)+((COUNTIF('Elève (6ème3)'!OI15:OK15,"D"))*1))/(COUNTA(OI15:OK15)),"")</f>
        <v/>
      </c>
      <c r="OM15" s="109" t="str">
        <f t="shared" si="93"/>
        <v/>
      </c>
      <c r="ON15" s="81"/>
      <c r="OO15" s="82"/>
      <c r="OP15" s="83"/>
      <c r="OQ15" s="108" t="str">
        <f>IFERROR((((COUNTIF('Elève (6ème3)'!ON15:OP15,"A"))*4)+((COUNTIF('Elève (6ème3)'!ON15:OP15,"B"))*3)+((COUNTIF('Elève (6ème3)'!ON15:OP15,"C"))*2)+((COUNTIF('Elève (6ème3)'!ON15:OP15,"D"))*1))/(COUNTA(ON15:OP15)),"")</f>
        <v/>
      </c>
      <c r="OR15" s="109" t="str">
        <f t="shared" si="94"/>
        <v/>
      </c>
      <c r="OS15" s="178">
        <f>IF(COUNT(OG15,OL15,OQ15)=0,"",SUM(OG15,OL15,OQ15)/COUNT(OG15,OL15,OQ15))</f>
        <v>3</v>
      </c>
      <c r="OT15" s="134" t="str">
        <f t="shared" si="95"/>
        <v>B</v>
      </c>
      <c r="OU15" s="156"/>
      <c r="OV15" s="157" t="s">
        <v>26</v>
      </c>
      <c r="OW15" s="158"/>
      <c r="OX15" s="108">
        <f>IFERROR((((COUNTIF('Elève (6ème3)'!OU15:OW15,"A"))*4)+((COUNTIF('Elève (6ème3)'!OU15:OW15,"B"))*3)+((COUNTIF('Elève (6ème3)'!OU15:OW15,"C"))*2)+((COUNTIF('Elève (6ème3)'!OU15:OW15,"D"))*1))/(COUNTA(OU15:OW15)),"")</f>
        <v>2</v>
      </c>
      <c r="OY15" s="109" t="str">
        <f t="shared" si="96"/>
        <v>C</v>
      </c>
      <c r="OZ15" s="81"/>
      <c r="PA15" s="82"/>
      <c r="PB15" s="83"/>
      <c r="PC15" s="108" t="str">
        <f>IFERROR((((COUNTIF('Elève (6ème3)'!OZ15:PB15,"A"))*4)+((COUNTIF('Elève (6ème3)'!OZ15:PB15,"B"))*3)+((COUNTIF('Elève (6ème3)'!OZ15:PB15,"C"))*2)+((COUNTIF('Elève (6ème3)'!OZ15:PB15,"D"))*1))/(COUNTA(OZ15:PB15)),"")</f>
        <v/>
      </c>
      <c r="PD15" s="109" t="str">
        <f t="shared" si="97"/>
        <v/>
      </c>
      <c r="PE15" s="81"/>
      <c r="PF15" s="82"/>
      <c r="PG15" s="83"/>
      <c r="PH15" s="108" t="str">
        <f>IFERROR((((COUNTIF('Elève (6ème3)'!PE15:PG15,"A"))*4)+((COUNTIF('Elève (6ème3)'!PE15:PG15,"B"))*3)+((COUNTIF('Elève (6ème3)'!PE15:PG15,"C"))*2)+((COUNTIF('Elève (6ème3)'!PE15:PG15,"D"))*1))/(COUNTA(PE15:PG15)),"")</f>
        <v/>
      </c>
      <c r="PI15" s="109" t="str">
        <f t="shared" si="98"/>
        <v/>
      </c>
      <c r="PJ15" s="178">
        <f>IF(COUNT(OX15,PC15,PH15)=0,"",SUM(OX15,PC15,PH15)/COUNT(OX15,PC15,PH15))</f>
        <v>2</v>
      </c>
      <c r="PK15" s="134" t="str">
        <f t="shared" si="99"/>
        <v>C</v>
      </c>
      <c r="PL15" s="156"/>
      <c r="PM15" s="157" t="s">
        <v>25</v>
      </c>
      <c r="PN15" s="158"/>
      <c r="PO15" s="108">
        <f>IFERROR((((COUNTIF('Elève (6ème3)'!PL15:PN15,"A"))*4)+((COUNTIF('Elève (6ème3)'!PL15:PN15,"B"))*3)+((COUNTIF('Elève (6ème3)'!PL15:PN15,"C"))*2)+((COUNTIF('Elève (6ème3)'!PL15:PN15,"D"))*1))/(COUNTA(PL15:PN15)),"")</f>
        <v>3</v>
      </c>
      <c r="PP15" s="109" t="str">
        <f t="shared" si="100"/>
        <v>B</v>
      </c>
      <c r="PQ15" s="81"/>
      <c r="PR15" s="82"/>
      <c r="PS15" s="83"/>
      <c r="PT15" s="108" t="str">
        <f>IFERROR((((COUNTIF('Elève (6ème3)'!PQ15:PS15,"A"))*4)+((COUNTIF('Elève (6ème3)'!PQ15:PS15,"B"))*3)+((COUNTIF('Elève (6ème3)'!PQ15:PS15,"C"))*2)+((COUNTIF('Elève (6ème3)'!PQ15:PS15,"D"))*1))/(COUNTA(PQ15:PS15)),"")</f>
        <v/>
      </c>
      <c r="PU15" s="109" t="str">
        <f t="shared" si="101"/>
        <v/>
      </c>
      <c r="PV15" s="81"/>
      <c r="PW15" s="82"/>
      <c r="PX15" s="83"/>
      <c r="PY15" s="108" t="str">
        <f>IFERROR((((COUNTIF('Elève (6ème3)'!PV15:PX15,"A"))*4)+((COUNTIF('Elève (6ème3)'!PV15:PX15,"B"))*3)+((COUNTIF('Elève (6ème3)'!PV15:PX15,"C"))*2)+((COUNTIF('Elève (6ème3)'!PV15:PX15,"D"))*1))/(COUNTA(PV15:PX15)),"")</f>
        <v/>
      </c>
      <c r="PZ15" s="109" t="str">
        <f t="shared" si="102"/>
        <v/>
      </c>
      <c r="QA15" s="178">
        <f>IF(COUNT(PO15,PT15,PY15)=0,"",SUM(PO15,PT15,PY15)/COUNT(PO15,PT15,PY15))</f>
        <v>3</v>
      </c>
      <c r="QB15" s="134" t="str">
        <f t="shared" si="103"/>
        <v>B</v>
      </c>
      <c r="QC15" s="156"/>
      <c r="QD15" s="157" t="s">
        <v>24</v>
      </c>
      <c r="QE15" s="158"/>
      <c r="QF15" s="108">
        <f>IFERROR((((COUNTIF('Elève (6ème3)'!QC15:QE15,"A"))*4)+((COUNTIF('Elève (6ème3)'!QC15:QE15,"B"))*3)+((COUNTIF('Elève (6ème3)'!QC15:QE15,"C"))*2)+((COUNTIF('Elève (6ème3)'!QC15:QE15,"D"))*1))/(COUNTA(QC15:QE15)),"")</f>
        <v>4</v>
      </c>
      <c r="QG15" s="109" t="str">
        <f t="shared" si="104"/>
        <v>A</v>
      </c>
      <c r="QH15" s="81"/>
      <c r="QI15" s="82"/>
      <c r="QJ15" s="83"/>
      <c r="QK15" s="108" t="str">
        <f>IFERROR((((COUNTIF('Elève (6ème3)'!QH15:QJ15,"A"))*4)+((COUNTIF('Elève (6ème3)'!QH15:QJ15,"B"))*3)+((COUNTIF('Elève (6ème3)'!QH15:QJ15,"C"))*2)+((COUNTIF('Elève (6ème3)'!QH15:QJ15,"D"))*1))/(COUNTA(QH15:QJ15)),"")</f>
        <v/>
      </c>
      <c r="QL15" s="109" t="str">
        <f t="shared" si="105"/>
        <v/>
      </c>
      <c r="QM15" s="81"/>
      <c r="QN15" s="82"/>
      <c r="QO15" s="83"/>
      <c r="QP15" s="108" t="str">
        <f>IFERROR((((COUNTIF('Elève (6ème3)'!QM15:QO15,"A"))*4)+((COUNTIF('Elève (6ème3)'!QM15:QO15,"B"))*3)+((COUNTIF('Elève (6ème3)'!QM15:QO15,"C"))*2)+((COUNTIF('Elève (6ème3)'!QM15:QO15,"D"))*1))/(COUNTA(QM15:QO15)),"")</f>
        <v/>
      </c>
      <c r="QQ15" s="109" t="str">
        <f t="shared" si="106"/>
        <v/>
      </c>
      <c r="QR15" s="178">
        <f>IF(COUNT(QF15,QK15,QP15)=0,"",SUM(QF15,QK15,QP15)/COUNT(QF15,QK15,QP15))</f>
        <v>4</v>
      </c>
      <c r="QS15" s="134" t="str">
        <f t="shared" si="107"/>
        <v>A</v>
      </c>
      <c r="QT15" s="156"/>
      <c r="QU15" s="157" t="s">
        <v>24</v>
      </c>
      <c r="QV15" s="158"/>
      <c r="QW15" s="108">
        <f>IFERROR((((COUNTIF('Elève (6ème3)'!QT15:QV15,"A"))*4)+((COUNTIF('Elève (6ème3)'!QT15:QV15,"B"))*3)+((COUNTIF('Elève (6ème3)'!QT15:QV15,"C"))*2)+((COUNTIF('Elève (6ème3)'!QT15:QV15,"D"))*1))/(COUNTA(QT15:QV15)),"")</f>
        <v>4</v>
      </c>
      <c r="QX15" s="109" t="str">
        <f t="shared" si="108"/>
        <v>A</v>
      </c>
      <c r="QY15" s="81"/>
      <c r="QZ15" s="82"/>
      <c r="RA15" s="83"/>
      <c r="RB15" s="108" t="str">
        <f>IFERROR((((COUNTIF('Elève (6ème3)'!QY15:RA15,"A"))*4)+((COUNTIF('Elève (6ème3)'!QY15:RA15,"B"))*3)+((COUNTIF('Elève (6ème3)'!QY15:RA15,"C"))*2)+((COUNTIF('Elève (6ème3)'!QY15:RA15,"D"))*1))/(COUNTA(QY15:RA15)),"")</f>
        <v/>
      </c>
      <c r="RC15" s="109" t="str">
        <f t="shared" si="109"/>
        <v/>
      </c>
      <c r="RD15" s="81"/>
      <c r="RE15" s="82"/>
      <c r="RF15" s="83"/>
      <c r="RG15" s="108" t="str">
        <f>IFERROR((((COUNTIF('Elève (6ème3)'!RD15:RF15,"A"))*4)+((COUNTIF('Elève (6ème3)'!RD15:RF15,"B"))*3)+((COUNTIF('Elève (6ème3)'!RD15:RF15,"C"))*2)+((COUNTIF('Elève (6ème3)'!RD15:RF15,"D"))*1))/(COUNTA(RD15:RF15)),"")</f>
        <v/>
      </c>
      <c r="RH15" s="109" t="str">
        <f t="shared" si="110"/>
        <v/>
      </c>
      <c r="RI15" s="178">
        <f>IF(COUNT(QW15,RB15,RG15)=0,"",SUM(QW15,RB15,RG15)/COUNT(QW15,RB15,RG15))</f>
        <v>4</v>
      </c>
      <c r="RJ15" s="134" t="str">
        <f t="shared" si="111"/>
        <v>A</v>
      </c>
      <c r="RK15" s="156"/>
      <c r="RL15" s="157"/>
      <c r="RM15" s="158"/>
      <c r="RN15" s="108" t="str">
        <f>IFERROR((((COUNTIF('Elève (6ème3)'!RK15:RM15,"A"))*4)+((COUNTIF('Elève (6ème3)'!RK15:RM15,"B"))*3)+((COUNTIF('Elève (6ème3)'!RK15:RM15,"C"))*2)+((COUNTIF('Elève (6ème3)'!RK15:RM15,"D"))*1))/(COUNTA(RK15:RM15)),"")</f>
        <v/>
      </c>
      <c r="RO15" s="109" t="str">
        <f t="shared" si="112"/>
        <v/>
      </c>
      <c r="RP15" s="81"/>
      <c r="RQ15" s="82"/>
      <c r="RR15" s="83"/>
      <c r="RS15" s="108" t="str">
        <f>IFERROR((((COUNTIF('Elève (6ème3)'!RP15:RR15,"A"))*4)+((COUNTIF('Elève (6ème3)'!RP15:RR15,"B"))*3)+((COUNTIF('Elève (6ème3)'!RP15:RR15,"C"))*2)+((COUNTIF('Elève (6ème3)'!RP15:RR15,"D"))*1))/(COUNTA(RP15:RR15)),"")</f>
        <v/>
      </c>
      <c r="RT15" s="109" t="str">
        <f t="shared" si="113"/>
        <v/>
      </c>
      <c r="RU15" s="81"/>
      <c r="RV15" s="82"/>
      <c r="RW15" s="83"/>
      <c r="RX15" s="108" t="str">
        <f>IFERROR((((COUNTIF('Elève (6ème3)'!RU15:RW15,"A"))*4)+((COUNTIF('Elève (6ème3)'!RU15:RW15,"B"))*3)+((COUNTIF('Elève (6ème3)'!RU15:RW15,"C"))*2)+((COUNTIF('Elève (6ème3)'!RU15:RW15,"D"))*1))/(COUNTA(RU15:RW15)),"")</f>
        <v/>
      </c>
      <c r="RY15" s="109" t="str">
        <f t="shared" si="114"/>
        <v/>
      </c>
      <c r="RZ15" s="178" t="str">
        <f>IF(COUNT(RN15,RS15,RX15)=0,"",SUM(RN15,RS15,RX15)/COUNT(RN15,RS15,RX15))</f>
        <v/>
      </c>
      <c r="SA15" s="134" t="str">
        <f t="shared" si="115"/>
        <v/>
      </c>
      <c r="SB15" s="156"/>
      <c r="SC15" s="157"/>
      <c r="SD15" s="158"/>
      <c r="SE15" s="108" t="str">
        <f>IFERROR((((COUNTIF('Elève (6ème3)'!SB15:SD15,"A"))*4)+((COUNTIF('Elève (6ème3)'!SB15:SD15,"B"))*3)+((COUNTIF('Elève (6ème3)'!SB15:SD15,"C"))*2)+((COUNTIF('Elève (6ème3)'!SB15:SD15,"D"))*1))/(COUNTA(SB15:SD15)),"")</f>
        <v/>
      </c>
      <c r="SF15" s="109" t="str">
        <f t="shared" si="116"/>
        <v/>
      </c>
      <c r="SG15" s="81"/>
      <c r="SH15" s="82"/>
      <c r="SI15" s="83"/>
      <c r="SJ15" s="108" t="str">
        <f>IFERROR((((COUNTIF('Elève (6ème3)'!SG15:SI15,"A"))*4)+((COUNTIF('Elève (6ème3)'!SG15:SI15,"B"))*3)+((COUNTIF('Elève (6ème3)'!SG15:SI15,"C"))*2)+((COUNTIF('Elève (6ème3)'!SG15:SI15,"D"))*1))/(COUNTA(SG15:SI15)),"")</f>
        <v/>
      </c>
      <c r="SK15" s="109" t="str">
        <f t="shared" si="117"/>
        <v/>
      </c>
      <c r="SL15" s="81"/>
      <c r="SM15" s="82"/>
      <c r="SN15" s="83"/>
      <c r="SO15" s="108" t="str">
        <f>IFERROR((((COUNTIF('Elève (6ème3)'!SL15:SN15,"A"))*4)+((COUNTIF('Elève (6ème3)'!SL15:SN15,"B"))*3)+((COUNTIF('Elève (6ème3)'!SL15:SN15,"C"))*2)+((COUNTIF('Elève (6ème3)'!SL15:SN15,"D"))*1))/(COUNTA(SL15:SN15)),"")</f>
        <v/>
      </c>
      <c r="SP15" s="109" t="str">
        <f t="shared" si="118"/>
        <v/>
      </c>
      <c r="SQ15" s="178" t="str">
        <f>IF(COUNT(SE15,SJ15,SO15)=0,"",SUM(SE15,SJ15,SO15)/COUNT(SE15,SJ15,SO15))</f>
        <v/>
      </c>
      <c r="SR15" s="134" t="str">
        <f t="shared" si="119"/>
        <v/>
      </c>
    </row>
    <row r="16" spans="1:512" s="72" customFormat="1" ht="18" customHeight="1" x14ac:dyDescent="0.25">
      <c r="A16" s="242" t="s">
        <v>19</v>
      </c>
      <c r="B16" s="243"/>
      <c r="C16" s="156"/>
      <c r="D16" s="157"/>
      <c r="E16" s="158"/>
      <c r="F16" s="110" t="str">
        <f>IFERROR((((COUNTIF('Elève (6ème3)'!C16:E16,"A"))*4)+((COUNTIF('Elève (6ème3)'!C16:E16,"B"))*3)+((COUNTIF('Elève (6ème3)'!C16:E16,"C"))*2)+((COUNTIF('Elève (6ème3)'!C16:E16,"D"))*1))/(COUNTA(C16:E16)),"")</f>
        <v/>
      </c>
      <c r="G16" s="111" t="str">
        <f t="shared" si="0"/>
        <v/>
      </c>
      <c r="H16" s="81"/>
      <c r="I16" s="82"/>
      <c r="J16" s="83"/>
      <c r="K16" s="110" t="str">
        <f>IFERROR((((COUNTIF('Elève (6ème3)'!H16:J16,"A"))*4)+((COUNTIF('Elève (6ème3)'!H16:J16,"B"))*3)+((COUNTIF('Elève (6ème3)'!H16:J16,"C"))*2)+((COUNTIF('Elève (6ème3)'!H16:J16,"D"))*1))/(COUNTA(H16:J16)),"")</f>
        <v/>
      </c>
      <c r="L16" s="111" t="str">
        <f t="shared" si="1"/>
        <v/>
      </c>
      <c r="M16" s="81"/>
      <c r="N16" s="82"/>
      <c r="O16" s="83"/>
      <c r="P16" s="110" t="str">
        <f>IFERROR((((COUNTIF('Elève (6ème3)'!M16:O16,"A"))*4)+((COUNTIF('Elève (6ème3)'!M16:O16,"B"))*3)+((COUNTIF('Elève (6ème3)'!M16:O16,"C"))*2)+((COUNTIF('Elève (6ème3)'!M16:O16,"D"))*1))/(COUNTA(M16:O16)),"")</f>
        <v/>
      </c>
      <c r="Q16" s="111" t="str">
        <f t="shared" si="2"/>
        <v/>
      </c>
      <c r="R16" s="179" t="str">
        <f>IF(COUNT(F16,K16,P16)=0,"",SUM(F16,K16,P16)/COUNT(F16,K16,P16))</f>
        <v/>
      </c>
      <c r="S16" s="132" t="str">
        <f t="shared" si="3"/>
        <v/>
      </c>
      <c r="T16" s="156"/>
      <c r="U16" s="157"/>
      <c r="V16" s="158"/>
      <c r="W16" s="110" t="str">
        <f>IFERROR((((COUNTIF('Elève (6ème3)'!T16:V16,"A"))*4)+((COUNTIF('Elève (6ème3)'!T16:V16,"B"))*3)+((COUNTIF('Elève (6ème3)'!T16:V16,"C"))*2)+((COUNTIF('Elève (6ème3)'!T16:V16,"D"))*1))/(COUNTA(T16:V16)),"")</f>
        <v/>
      </c>
      <c r="X16" s="111" t="str">
        <f t="shared" si="4"/>
        <v/>
      </c>
      <c r="Y16" s="81"/>
      <c r="Z16" s="82"/>
      <c r="AA16" s="83"/>
      <c r="AB16" s="110" t="str">
        <f>IFERROR((((COUNTIF('Elève (6ème3)'!Y16:AA16,"A"))*4)+((COUNTIF('Elève (6ème3)'!Y16:AA16,"B"))*3)+((COUNTIF('Elève (6ème3)'!Y16:AA16,"C"))*2)+((COUNTIF('Elève (6ème3)'!Y16:AA16,"D"))*1))/(COUNTA(Y16:AA16)),"")</f>
        <v/>
      </c>
      <c r="AC16" s="111" t="str">
        <f t="shared" si="5"/>
        <v/>
      </c>
      <c r="AD16" s="81"/>
      <c r="AE16" s="82"/>
      <c r="AF16" s="83"/>
      <c r="AG16" s="110" t="str">
        <f>IFERROR((((COUNTIF('Elève (6ème3)'!AD16:AF16,"A"))*4)+((COUNTIF('Elève (6ème3)'!AD16:AF16,"B"))*3)+((COUNTIF('Elève (6ème3)'!AD16:AF16,"C"))*2)+((COUNTIF('Elève (6ème3)'!AD16:AF16,"D"))*1))/(COUNTA(AD16:AF16)),"")</f>
        <v/>
      </c>
      <c r="AH16" s="111" t="str">
        <f t="shared" si="6"/>
        <v/>
      </c>
      <c r="AI16" s="179" t="str">
        <f>IF(COUNT(W16,AB16,AG16)=0,"",SUM(W16,AB16,AG16)/COUNT(W16,AB16,AG16))</f>
        <v/>
      </c>
      <c r="AJ16" s="132" t="str">
        <f t="shared" si="7"/>
        <v/>
      </c>
      <c r="AK16" s="156"/>
      <c r="AL16" s="157"/>
      <c r="AM16" s="158"/>
      <c r="AN16" s="110" t="str">
        <f>IFERROR((((COUNTIF('Elève (6ème3)'!AK16:AM16,"A"))*4)+((COUNTIF('Elève (6ème3)'!AK16:AM16,"B"))*3)+((COUNTIF('Elève (6ème3)'!AK16:AM16,"C"))*2)+((COUNTIF('Elève (6ème3)'!AK16:AM16,"D"))*1))/(COUNTA(AK16:AM16)),"")</f>
        <v/>
      </c>
      <c r="AO16" s="111" t="str">
        <f t="shared" si="8"/>
        <v/>
      </c>
      <c r="AP16" s="81"/>
      <c r="AQ16" s="82"/>
      <c r="AR16" s="83"/>
      <c r="AS16" s="110" t="str">
        <f>IFERROR((((COUNTIF('Elève (6ème3)'!AP16:AR16,"A"))*4)+((COUNTIF('Elève (6ème3)'!AP16:AR16,"B"))*3)+((COUNTIF('Elève (6ème3)'!AP16:AR16,"C"))*2)+((COUNTIF('Elève (6ème3)'!AP16:AR16,"D"))*1))/(COUNTA(AP16:AR16)),"")</f>
        <v/>
      </c>
      <c r="AT16" s="111" t="str">
        <f t="shared" si="9"/>
        <v/>
      </c>
      <c r="AU16" s="81"/>
      <c r="AV16" s="82"/>
      <c r="AW16" s="83"/>
      <c r="AX16" s="110" t="str">
        <f>IFERROR((((COUNTIF('Elève (6ème3)'!AU16:AW16,"A"))*4)+((COUNTIF('Elève (6ème3)'!AU16:AW16,"B"))*3)+((COUNTIF('Elève (6ème3)'!AU16:AW16,"C"))*2)+((COUNTIF('Elève (6ème3)'!AU16:AW16,"D"))*1))/(COUNTA(AU16:AW16)),"")</f>
        <v/>
      </c>
      <c r="AY16" s="111" t="str">
        <f t="shared" si="10"/>
        <v/>
      </c>
      <c r="AZ16" s="179" t="str">
        <f>IF(COUNT(AN16,AS16,AX16)=0,"",SUM(AN16,AS16,AX16)/COUNT(AN16,AS16,AX16))</f>
        <v/>
      </c>
      <c r="BA16" s="132" t="str">
        <f t="shared" si="11"/>
        <v/>
      </c>
      <c r="BB16" s="156"/>
      <c r="BC16" s="157"/>
      <c r="BD16" s="158"/>
      <c r="BE16" s="110" t="str">
        <f>IFERROR((((COUNTIF('Elève (6ème3)'!BB16:BD16,"A"))*4)+((COUNTIF('Elève (6ème3)'!BB16:BD16,"B"))*3)+((COUNTIF('Elève (6ème3)'!BB16:BD16,"C"))*2)+((COUNTIF('Elève (6ème3)'!BB16:BD16,"D"))*1))/(COUNTA(BB16:BD16)),"")</f>
        <v/>
      </c>
      <c r="BF16" s="111" t="str">
        <f t="shared" si="12"/>
        <v/>
      </c>
      <c r="BG16" s="81"/>
      <c r="BH16" s="82"/>
      <c r="BI16" s="83"/>
      <c r="BJ16" s="110" t="str">
        <f>IFERROR((((COUNTIF('Elève (6ème3)'!BG16:BI16,"A"))*4)+((COUNTIF('Elève (6ème3)'!BG16:BI16,"B"))*3)+((COUNTIF('Elève (6ème3)'!BG16:BI16,"C"))*2)+((COUNTIF('Elève (6ème3)'!BG16:BI16,"D"))*1))/(COUNTA(BG16:BI16)),"")</f>
        <v/>
      </c>
      <c r="BK16" s="111" t="str">
        <f t="shared" si="13"/>
        <v/>
      </c>
      <c r="BL16" s="81"/>
      <c r="BM16" s="82"/>
      <c r="BN16" s="83"/>
      <c r="BO16" s="110" t="str">
        <f>IFERROR((((COUNTIF('Elève (6ème3)'!BL16:BN16,"A"))*4)+((COUNTIF('Elève (6ème3)'!BL16:BN16,"B"))*3)+((COUNTIF('Elève (6ème3)'!BL16:BN16,"C"))*2)+((COUNTIF('Elève (6ème3)'!BL16:BN16,"D"))*1))/(COUNTA(BL16:BN16)),"")</f>
        <v/>
      </c>
      <c r="BP16" s="111" t="str">
        <f t="shared" si="14"/>
        <v/>
      </c>
      <c r="BQ16" s="179" t="str">
        <f>IF(COUNT(BE16,BJ16,BO16)=0,"",SUM(BE16,BJ16,BO16)/COUNT(BE16,BJ16,BO16))</f>
        <v/>
      </c>
      <c r="BR16" s="132" t="str">
        <f t="shared" si="15"/>
        <v/>
      </c>
      <c r="BS16" s="156"/>
      <c r="BT16" s="157"/>
      <c r="BU16" s="158"/>
      <c r="BV16" s="110" t="str">
        <f>IFERROR((((COUNTIF('Elève (6ème3)'!BS16:BU16,"A"))*4)+((COUNTIF('Elève (6ème3)'!BS16:BU16,"B"))*3)+((COUNTIF('Elève (6ème3)'!BS16:BU16,"C"))*2)+((COUNTIF('Elève (6ème3)'!BS16:BU16,"D"))*1))/(COUNTA(BS16:BU16)),"")</f>
        <v/>
      </c>
      <c r="BW16" s="111" t="str">
        <f t="shared" si="16"/>
        <v/>
      </c>
      <c r="BX16" s="81"/>
      <c r="BY16" s="82"/>
      <c r="BZ16" s="83"/>
      <c r="CA16" s="110" t="str">
        <f>IFERROR((((COUNTIF('Elève (6ème3)'!BX16:BZ16,"A"))*4)+((COUNTIF('Elève (6ème3)'!BX16:BZ16,"B"))*3)+((COUNTIF('Elève (6ème3)'!BX16:BZ16,"C"))*2)+((COUNTIF('Elève (6ème3)'!BX16:BZ16,"D"))*1))/(COUNTA(BX16:BZ16)),"")</f>
        <v/>
      </c>
      <c r="CB16" s="111" t="str">
        <f t="shared" si="17"/>
        <v/>
      </c>
      <c r="CC16" s="81"/>
      <c r="CD16" s="82"/>
      <c r="CE16" s="83"/>
      <c r="CF16" s="110" t="str">
        <f>IFERROR((((COUNTIF('Elève (6ème3)'!CC16:CE16,"A"))*4)+((COUNTIF('Elève (6ème3)'!CC16:CE16,"B"))*3)+((COUNTIF('Elève (6ème3)'!CC16:CE16,"C"))*2)+((COUNTIF('Elève (6ème3)'!CC16:CE16,"D"))*1))/(COUNTA(CC16:CE16)),"")</f>
        <v/>
      </c>
      <c r="CG16" s="111" t="str">
        <f t="shared" si="18"/>
        <v/>
      </c>
      <c r="CH16" s="179" t="str">
        <f>IF(COUNT(BV16,CA16,CF16)=0,"",SUM(BV16,CA16,CF16)/COUNT(BV16,CA16,CF16))</f>
        <v/>
      </c>
      <c r="CI16" s="132" t="str">
        <f t="shared" si="19"/>
        <v/>
      </c>
      <c r="CJ16" s="156"/>
      <c r="CK16" s="157"/>
      <c r="CL16" s="158"/>
      <c r="CM16" s="110" t="str">
        <f>IFERROR((((COUNTIF('Elève (6ème3)'!CJ16:CL16,"A"))*4)+((COUNTIF('Elève (6ème3)'!CJ16:CL16,"B"))*3)+((COUNTIF('Elève (6ème3)'!CJ16:CL16,"C"))*2)+((COUNTIF('Elève (6ème3)'!CJ16:CL16,"D"))*1))/(COUNTA(CJ16:CL16)),"")</f>
        <v/>
      </c>
      <c r="CN16" s="111" t="str">
        <f t="shared" si="20"/>
        <v/>
      </c>
      <c r="CO16" s="81"/>
      <c r="CP16" s="82"/>
      <c r="CQ16" s="83"/>
      <c r="CR16" s="110" t="str">
        <f>IFERROR((((COUNTIF('Elève (6ème3)'!CO16:CQ16,"A"))*4)+((COUNTIF('Elève (6ème3)'!CO16:CQ16,"B"))*3)+((COUNTIF('Elève (6ème3)'!CO16:CQ16,"C"))*2)+((COUNTIF('Elève (6ème3)'!CO16:CQ16,"D"))*1))/(COUNTA(CO16:CQ16)),"")</f>
        <v/>
      </c>
      <c r="CS16" s="111" t="str">
        <f t="shared" si="21"/>
        <v/>
      </c>
      <c r="CT16" s="81"/>
      <c r="CU16" s="82"/>
      <c r="CV16" s="83"/>
      <c r="CW16" s="110" t="str">
        <f>IFERROR((((COUNTIF('Elève (6ème3)'!CT16:CV16,"A"))*4)+((COUNTIF('Elève (6ème3)'!CT16:CV16,"B"))*3)+((COUNTIF('Elève (6ème3)'!CT16:CV16,"C"))*2)+((COUNTIF('Elève (6ème3)'!CT16:CV16,"D"))*1))/(COUNTA(CT16:CV16)),"")</f>
        <v/>
      </c>
      <c r="CX16" s="111" t="str">
        <f t="shared" si="22"/>
        <v/>
      </c>
      <c r="CY16" s="179" t="str">
        <f>IF(COUNT(CM16,CR16,CW16)=0,"",SUM(CM16,CR16,CW16)/COUNT(CM16,CR16,CW16))</f>
        <v/>
      </c>
      <c r="CZ16" s="132" t="str">
        <f t="shared" si="23"/>
        <v/>
      </c>
      <c r="DA16" s="156"/>
      <c r="DB16" s="157"/>
      <c r="DC16" s="158"/>
      <c r="DD16" s="110" t="str">
        <f>IFERROR((((COUNTIF('Elève (6ème3)'!DA16:DC16,"A"))*4)+((COUNTIF('Elève (6ème3)'!DA16:DC16,"B"))*3)+((COUNTIF('Elève (6ème3)'!DA16:DC16,"C"))*2)+((COUNTIF('Elève (6ème3)'!DA16:DC16,"D"))*1))/(COUNTA(DA16:DC16)),"")</f>
        <v/>
      </c>
      <c r="DE16" s="111" t="str">
        <f t="shared" si="24"/>
        <v/>
      </c>
      <c r="DF16" s="81"/>
      <c r="DG16" s="82"/>
      <c r="DH16" s="83"/>
      <c r="DI16" s="110" t="str">
        <f>IFERROR((((COUNTIF('Elève (6ème3)'!DF16:DH16,"A"))*4)+((COUNTIF('Elève (6ème3)'!DF16:DH16,"B"))*3)+((COUNTIF('Elève (6ème3)'!DF16:DH16,"C"))*2)+((COUNTIF('Elève (6ème3)'!DF16:DH16,"D"))*1))/(COUNTA(DF16:DH16)),"")</f>
        <v/>
      </c>
      <c r="DJ16" s="111" t="str">
        <f t="shared" si="25"/>
        <v/>
      </c>
      <c r="DK16" s="81"/>
      <c r="DL16" s="82"/>
      <c r="DM16" s="83"/>
      <c r="DN16" s="110" t="str">
        <f>IFERROR((((COUNTIF('Elève (6ème3)'!DK16:DM16,"A"))*4)+((COUNTIF('Elève (6ème3)'!DK16:DM16,"B"))*3)+((COUNTIF('Elève (6ème3)'!DK16:DM16,"C"))*2)+((COUNTIF('Elève (6ème3)'!DK16:DM16,"D"))*1))/(COUNTA(DK16:DM16)),"")</f>
        <v/>
      </c>
      <c r="DO16" s="111" t="str">
        <f t="shared" si="26"/>
        <v/>
      </c>
      <c r="DP16" s="179" t="str">
        <f>IF(COUNT(DD16,DI16,DN16)=0,"",SUM(DD16,DI16,DN16)/COUNT(DD16,DI16,DN16))</f>
        <v/>
      </c>
      <c r="DQ16" s="132" t="str">
        <f t="shared" si="27"/>
        <v/>
      </c>
      <c r="DR16" s="156"/>
      <c r="DS16" s="157"/>
      <c r="DT16" s="158"/>
      <c r="DU16" s="110" t="str">
        <f>IFERROR((((COUNTIF('Elève (6ème3)'!DR16:DT16,"A"))*4)+((COUNTIF('Elève (6ème3)'!DR16:DT16,"B"))*3)+((COUNTIF('Elève (6ème3)'!DR16:DT16,"C"))*2)+((COUNTIF('Elève (6ème3)'!DR16:DT16,"D"))*1))/(COUNTA(DR16:DT16)),"")</f>
        <v/>
      </c>
      <c r="DV16" s="111" t="str">
        <f t="shared" si="28"/>
        <v/>
      </c>
      <c r="DW16" s="81"/>
      <c r="DX16" s="82"/>
      <c r="DY16" s="83"/>
      <c r="DZ16" s="110" t="str">
        <f>IFERROR((((COUNTIF('Elève (6ème3)'!DW16:DY16,"A"))*4)+((COUNTIF('Elève (6ème3)'!DW16:DY16,"B"))*3)+((COUNTIF('Elève (6ème3)'!DW16:DY16,"C"))*2)+((COUNTIF('Elève (6ème3)'!DW16:DY16,"D"))*1))/(COUNTA(DW16:DY16)),"")</f>
        <v/>
      </c>
      <c r="EA16" s="111" t="str">
        <f t="shared" si="29"/>
        <v/>
      </c>
      <c r="EB16" s="81"/>
      <c r="EC16" s="82"/>
      <c r="ED16" s="83"/>
      <c r="EE16" s="110" t="str">
        <f>IFERROR((((COUNTIF('Elève (6ème3)'!EB16:ED16,"A"))*4)+((COUNTIF('Elève (6ème3)'!EB16:ED16,"B"))*3)+((COUNTIF('Elève (6ème3)'!EB16:ED16,"C"))*2)+((COUNTIF('Elève (6ème3)'!EB16:ED16,"D"))*1))/(COUNTA(EB16:ED16)),"")</f>
        <v/>
      </c>
      <c r="EF16" s="111" t="str">
        <f t="shared" si="30"/>
        <v/>
      </c>
      <c r="EG16" s="179" t="str">
        <f>IF(COUNT(DU16,DZ16,EE16)=0,"",SUM(DU16,DZ16,EE16)/COUNT(DU16,DZ16,EE16))</f>
        <v/>
      </c>
      <c r="EH16" s="132" t="str">
        <f t="shared" si="31"/>
        <v/>
      </c>
      <c r="EI16" s="156"/>
      <c r="EJ16" s="157"/>
      <c r="EK16" s="158"/>
      <c r="EL16" s="110" t="str">
        <f>IFERROR((((COUNTIF('Elève (6ème3)'!EI16:EK16,"A"))*4)+((COUNTIF('Elève (6ème3)'!EI16:EK16,"B"))*3)+((COUNTIF('Elève (6ème3)'!EI16:EK16,"C"))*2)+((COUNTIF('Elève (6ème3)'!EI16:EK16,"D"))*1))/(COUNTA(EI16:EK16)),"")</f>
        <v/>
      </c>
      <c r="EM16" s="111" t="str">
        <f t="shared" si="32"/>
        <v/>
      </c>
      <c r="EN16" s="81"/>
      <c r="EO16" s="82"/>
      <c r="EP16" s="83"/>
      <c r="EQ16" s="110" t="str">
        <f>IFERROR((((COUNTIF('Elève (6ème3)'!EN16:EP16,"A"))*4)+((COUNTIF('Elève (6ème3)'!EN16:EP16,"B"))*3)+((COUNTIF('Elève (6ème3)'!EN16:EP16,"C"))*2)+((COUNTIF('Elève (6ème3)'!EN16:EP16,"D"))*1))/(COUNTA(EN16:EP16)),"")</f>
        <v/>
      </c>
      <c r="ER16" s="111" t="str">
        <f t="shared" si="33"/>
        <v/>
      </c>
      <c r="ES16" s="81"/>
      <c r="ET16" s="82"/>
      <c r="EU16" s="83"/>
      <c r="EV16" s="110" t="str">
        <f>IFERROR((((COUNTIF('Elève (6ème3)'!ES16:EU16,"A"))*4)+((COUNTIF('Elève (6ème3)'!ES16:EU16,"B"))*3)+((COUNTIF('Elève (6ème3)'!ES16:EU16,"C"))*2)+((COUNTIF('Elève (6ème3)'!ES16:EU16,"D"))*1))/(COUNTA(ES16:EU16)),"")</f>
        <v/>
      </c>
      <c r="EW16" s="111" t="str">
        <f t="shared" si="34"/>
        <v/>
      </c>
      <c r="EX16" s="179" t="str">
        <f>IF(COUNT(EL16,EQ16,EV16)=0,"",SUM(EL16,EQ16,EV16)/COUNT(EL16,EQ16,EV16))</f>
        <v/>
      </c>
      <c r="EY16" s="132" t="str">
        <f t="shared" si="35"/>
        <v/>
      </c>
      <c r="EZ16" s="156"/>
      <c r="FA16" s="157"/>
      <c r="FB16" s="158"/>
      <c r="FC16" s="110" t="str">
        <f>IFERROR((((COUNTIF('Elève (6ème3)'!EZ16:FB16,"A"))*4)+((COUNTIF('Elève (6ème3)'!EZ16:FB16,"B"))*3)+((COUNTIF('Elève (6ème3)'!EZ16:FB16,"C"))*2)+((COUNTIF('Elève (6ème3)'!EZ16:FB16,"D"))*1))/(COUNTA(EZ16:FB16)),"")</f>
        <v/>
      </c>
      <c r="FD16" s="111" t="str">
        <f t="shared" si="36"/>
        <v/>
      </c>
      <c r="FE16" s="81"/>
      <c r="FF16" s="82"/>
      <c r="FG16" s="83"/>
      <c r="FH16" s="110" t="str">
        <f>IFERROR((((COUNTIF('Elève (6ème3)'!FE16:FG16,"A"))*4)+((COUNTIF('Elève (6ème3)'!FE16:FG16,"B"))*3)+((COUNTIF('Elève (6ème3)'!FE16:FG16,"C"))*2)+((COUNTIF('Elève (6ème3)'!FE16:FG16,"D"))*1))/(COUNTA(FE16:FG16)),"")</f>
        <v/>
      </c>
      <c r="FI16" s="111" t="str">
        <f t="shared" si="37"/>
        <v/>
      </c>
      <c r="FJ16" s="81"/>
      <c r="FK16" s="82"/>
      <c r="FL16" s="83"/>
      <c r="FM16" s="110" t="str">
        <f>IFERROR((((COUNTIF('Elève (6ème3)'!FJ16:FL16,"A"))*4)+((COUNTIF('Elève (6ème3)'!FJ16:FL16,"B"))*3)+((COUNTIF('Elève (6ème3)'!FJ16:FL16,"C"))*2)+((COUNTIF('Elève (6ème3)'!FJ16:FL16,"D"))*1))/(COUNTA(FJ16:FL16)),"")</f>
        <v/>
      </c>
      <c r="FN16" s="111" t="str">
        <f t="shared" si="38"/>
        <v/>
      </c>
      <c r="FO16" s="179" t="str">
        <f>IF(COUNT(FC16,FH16,FM16)=0,"",SUM(FC16,FH16,FM16)/COUNT(FC16,FH16,FM16))</f>
        <v/>
      </c>
      <c r="FP16" s="132" t="str">
        <f t="shared" si="39"/>
        <v/>
      </c>
      <c r="FQ16" s="156"/>
      <c r="FR16" s="157"/>
      <c r="FS16" s="158"/>
      <c r="FT16" s="110" t="str">
        <f>IFERROR((((COUNTIF('Elève (6ème3)'!FQ16:FS16,"A"))*4)+((COUNTIF('Elève (6ème3)'!FQ16:FS16,"B"))*3)+((COUNTIF('Elève (6ème3)'!FQ16:FS16,"C"))*2)+((COUNTIF('Elève (6ème3)'!FQ16:FS16,"D"))*1))/(COUNTA(FQ16:FS16)),"")</f>
        <v/>
      </c>
      <c r="FU16" s="111" t="str">
        <f t="shared" si="40"/>
        <v/>
      </c>
      <c r="FV16" s="81"/>
      <c r="FW16" s="82"/>
      <c r="FX16" s="83"/>
      <c r="FY16" s="110" t="str">
        <f>IFERROR((((COUNTIF('Elève (6ème3)'!FV16:FX16,"A"))*4)+((COUNTIF('Elève (6ème3)'!FV16:FX16,"B"))*3)+((COUNTIF('Elève (6ème3)'!FV16:FX16,"C"))*2)+((COUNTIF('Elève (6ème3)'!FV16:FX16,"D"))*1))/(COUNTA(FV16:FX16)),"")</f>
        <v/>
      </c>
      <c r="FZ16" s="111" t="str">
        <f t="shared" si="41"/>
        <v/>
      </c>
      <c r="GA16" s="81"/>
      <c r="GB16" s="82"/>
      <c r="GC16" s="83"/>
      <c r="GD16" s="110" t="str">
        <f>IFERROR((((COUNTIF('Elève (6ème3)'!GA16:GC16,"A"))*4)+((COUNTIF('Elève (6ème3)'!GA16:GC16,"B"))*3)+((COUNTIF('Elève (6ème3)'!GA16:GC16,"C"))*2)+((COUNTIF('Elève (6ème3)'!GA16:GC16,"D"))*1))/(COUNTA(GA16:GC16)),"")</f>
        <v/>
      </c>
      <c r="GE16" s="111" t="str">
        <f t="shared" si="42"/>
        <v/>
      </c>
      <c r="GF16" s="179" t="str">
        <f>IF(COUNT(FT16,FY16,GD16)=0,"",SUM(FT16,FY16,GD16)/COUNT(FT16,FY16,GD16))</f>
        <v/>
      </c>
      <c r="GG16" s="132" t="str">
        <f t="shared" si="43"/>
        <v/>
      </c>
      <c r="GH16" s="156"/>
      <c r="GI16" s="157"/>
      <c r="GJ16" s="158"/>
      <c r="GK16" s="110" t="str">
        <f>IFERROR((((COUNTIF('Elève (6ème3)'!GH16:GJ16,"A"))*4)+((COUNTIF('Elève (6ème3)'!GH16:GJ16,"B"))*3)+((COUNTIF('Elève (6ème3)'!GH16:GJ16,"C"))*2)+((COUNTIF('Elève (6ème3)'!GH16:GJ16,"D"))*1))/(COUNTA(GH16:GJ16)),"")</f>
        <v/>
      </c>
      <c r="GL16" s="111" t="str">
        <f t="shared" si="44"/>
        <v/>
      </c>
      <c r="GM16" s="81"/>
      <c r="GN16" s="82"/>
      <c r="GO16" s="83"/>
      <c r="GP16" s="110" t="str">
        <f>IFERROR((((COUNTIF('Elève (6ème3)'!GM16:GO16,"A"))*4)+((COUNTIF('Elève (6ème3)'!GM16:GO16,"B"))*3)+((COUNTIF('Elève (6ème3)'!GM16:GO16,"C"))*2)+((COUNTIF('Elève (6ème3)'!GM16:GO16,"D"))*1))/(COUNTA(GM16:GO16)),"")</f>
        <v/>
      </c>
      <c r="GQ16" s="111" t="str">
        <f t="shared" si="45"/>
        <v/>
      </c>
      <c r="GR16" s="81"/>
      <c r="GS16" s="82"/>
      <c r="GT16" s="83"/>
      <c r="GU16" s="110" t="str">
        <f>IFERROR((((COUNTIF('Elève (6ème3)'!GR16:GT16,"A"))*4)+((COUNTIF('Elève (6ème3)'!GR16:GT16,"B"))*3)+((COUNTIF('Elève (6ème3)'!GR16:GT16,"C"))*2)+((COUNTIF('Elève (6ème3)'!GR16:GT16,"D"))*1))/(COUNTA(GR16:GT16)),"")</f>
        <v/>
      </c>
      <c r="GV16" s="111" t="str">
        <f t="shared" si="46"/>
        <v/>
      </c>
      <c r="GW16" s="179" t="str">
        <f>IF(COUNT(GK16,GP16,GU16)=0,"",SUM(GK16,GP16,GU16)/COUNT(GK16,GP16,GU16))</f>
        <v/>
      </c>
      <c r="GX16" s="132" t="str">
        <f t="shared" si="47"/>
        <v/>
      </c>
      <c r="GY16" s="156"/>
      <c r="GZ16" s="157"/>
      <c r="HA16" s="158"/>
      <c r="HB16" s="110" t="str">
        <f>IFERROR((((COUNTIF('Elève (6ème3)'!GY16:HA16,"A"))*4)+((COUNTIF('Elève (6ème3)'!GY16:HA16,"B"))*3)+((COUNTIF('Elève (6ème3)'!GY16:HA16,"C"))*2)+((COUNTIF('Elève (6ème3)'!GY16:HA16,"D"))*1))/(COUNTA(GY16:HA16)),"")</f>
        <v/>
      </c>
      <c r="HC16" s="111" t="str">
        <f t="shared" si="48"/>
        <v/>
      </c>
      <c r="HD16" s="81"/>
      <c r="HE16" s="82"/>
      <c r="HF16" s="83"/>
      <c r="HG16" s="110" t="str">
        <f>IFERROR((((COUNTIF('Elève (6ème3)'!HD16:HF16,"A"))*4)+((COUNTIF('Elève (6ème3)'!HD16:HF16,"B"))*3)+((COUNTIF('Elève (6ème3)'!HD16:HF16,"C"))*2)+((COUNTIF('Elève (6ème3)'!HD16:HF16,"D"))*1))/(COUNTA(HD16:HF16)),"")</f>
        <v/>
      </c>
      <c r="HH16" s="111" t="str">
        <f t="shared" si="49"/>
        <v/>
      </c>
      <c r="HI16" s="81"/>
      <c r="HJ16" s="82"/>
      <c r="HK16" s="83"/>
      <c r="HL16" s="110" t="str">
        <f>IFERROR((((COUNTIF('Elève (6ème3)'!HI16:HK16,"A"))*4)+((COUNTIF('Elève (6ème3)'!HI16:HK16,"B"))*3)+((COUNTIF('Elève (6ème3)'!HI16:HK16,"C"))*2)+((COUNTIF('Elève (6ème3)'!HI16:HK16,"D"))*1))/(COUNTA(HI16:HK16)),"")</f>
        <v/>
      </c>
      <c r="HM16" s="111" t="str">
        <f t="shared" si="50"/>
        <v/>
      </c>
      <c r="HN16" s="179" t="str">
        <f>IF(COUNT(HB16,HG16,HL16)=0,"",SUM(HB16,HG16,HL16)/COUNT(HB16,HG16,HL16))</f>
        <v/>
      </c>
      <c r="HO16" s="132" t="str">
        <f t="shared" si="51"/>
        <v/>
      </c>
      <c r="HP16" s="156"/>
      <c r="HQ16" s="157"/>
      <c r="HR16" s="158"/>
      <c r="HS16" s="110" t="str">
        <f>IFERROR((((COUNTIF('Elève (6ème3)'!HP16:HR16,"A"))*4)+((COUNTIF('Elève (6ème3)'!HP16:HR16,"B"))*3)+((COUNTIF('Elève (6ème3)'!HP16:HR16,"C"))*2)+((COUNTIF('Elève (6ème3)'!HP16:HR16,"D"))*1))/(COUNTA(HP16:HR16)),"")</f>
        <v/>
      </c>
      <c r="HT16" s="111" t="str">
        <f t="shared" si="52"/>
        <v/>
      </c>
      <c r="HU16" s="81"/>
      <c r="HV16" s="82"/>
      <c r="HW16" s="83"/>
      <c r="HX16" s="110" t="str">
        <f>IFERROR((((COUNTIF('Elève (6ème3)'!HU16:HW16,"A"))*4)+((COUNTIF('Elève (6ème3)'!HU16:HW16,"B"))*3)+((COUNTIF('Elève (6ème3)'!HU16:HW16,"C"))*2)+((COUNTIF('Elève (6ème3)'!HU16:HW16,"D"))*1))/(COUNTA(HU16:HW16)),"")</f>
        <v/>
      </c>
      <c r="HY16" s="111" t="str">
        <f t="shared" si="53"/>
        <v/>
      </c>
      <c r="HZ16" s="81"/>
      <c r="IA16" s="82"/>
      <c r="IB16" s="83"/>
      <c r="IC16" s="110" t="str">
        <f>IFERROR((((COUNTIF('Elève (6ème3)'!HZ16:IB16,"A"))*4)+((COUNTIF('Elève (6ème3)'!HZ16:IB16,"B"))*3)+((COUNTIF('Elève (6ème3)'!HZ16:IB16,"C"))*2)+((COUNTIF('Elève (6ème3)'!HZ16:IB16,"D"))*1))/(COUNTA(HZ16:IB16)),"")</f>
        <v/>
      </c>
      <c r="ID16" s="111" t="str">
        <f t="shared" si="54"/>
        <v/>
      </c>
      <c r="IE16" s="179" t="str">
        <f>IF(COUNT(HS16,HX16,IC16)=0,"",SUM(HS16,HX16,IC16)/COUNT(HS16,HX16,IC16))</f>
        <v/>
      </c>
      <c r="IF16" s="132" t="str">
        <f t="shared" si="55"/>
        <v/>
      </c>
      <c r="IG16" s="156"/>
      <c r="IH16" s="157"/>
      <c r="II16" s="158"/>
      <c r="IJ16" s="110" t="str">
        <f>IFERROR((((COUNTIF('Elève (6ème3)'!IG16:II16,"A"))*4)+((COUNTIF('Elève (6ème3)'!IG16:II16,"B"))*3)+((COUNTIF('Elève (6ème3)'!IG16:II16,"C"))*2)+((COUNTIF('Elève (6ème3)'!IG16:II16,"D"))*1))/(COUNTA(IG16:II16)),"")</f>
        <v/>
      </c>
      <c r="IK16" s="111" t="str">
        <f t="shared" si="56"/>
        <v/>
      </c>
      <c r="IL16" s="81"/>
      <c r="IM16" s="82"/>
      <c r="IN16" s="83"/>
      <c r="IO16" s="110" t="str">
        <f>IFERROR((((COUNTIF('Elève (6ème3)'!IL16:IN16,"A"))*4)+((COUNTIF('Elève (6ème3)'!IL16:IN16,"B"))*3)+((COUNTIF('Elève (6ème3)'!IL16:IN16,"C"))*2)+((COUNTIF('Elève (6ème3)'!IL16:IN16,"D"))*1))/(COUNTA(IL16:IN16)),"")</f>
        <v/>
      </c>
      <c r="IP16" s="111" t="str">
        <f t="shared" si="57"/>
        <v/>
      </c>
      <c r="IQ16" s="81"/>
      <c r="IR16" s="82"/>
      <c r="IS16" s="83"/>
      <c r="IT16" s="110" t="str">
        <f>IFERROR((((COUNTIF('Elève (6ème3)'!IQ16:IS16,"A"))*4)+((COUNTIF('Elève (6ème3)'!IQ16:IS16,"B"))*3)+((COUNTIF('Elève (6ème3)'!IQ16:IS16,"C"))*2)+((COUNTIF('Elève (6ème3)'!IQ16:IS16,"D"))*1))/(COUNTA(IQ16:IS16)),"")</f>
        <v/>
      </c>
      <c r="IU16" s="111" t="str">
        <f t="shared" si="58"/>
        <v/>
      </c>
      <c r="IV16" s="179" t="str">
        <f>IF(COUNT(IJ16,IO16,IT16)=0,"",SUM(IJ16,IO16,IT16)/COUNT(IJ16,IO16,IT16))</f>
        <v/>
      </c>
      <c r="IW16" s="132" t="str">
        <f t="shared" si="59"/>
        <v/>
      </c>
      <c r="IX16" s="156"/>
      <c r="IY16" s="157"/>
      <c r="IZ16" s="158"/>
      <c r="JA16" s="110" t="str">
        <f>IFERROR((((COUNTIF('Elève (6ème3)'!IX16:IZ16,"A"))*4)+((COUNTIF('Elève (6ème3)'!IX16:IZ16,"B"))*3)+((COUNTIF('Elève (6ème3)'!IX16:IZ16,"C"))*2)+((COUNTIF('Elève (6ème3)'!IX16:IZ16,"D"))*1))/(COUNTA(IX16:IZ16)),"")</f>
        <v/>
      </c>
      <c r="JB16" s="111" t="str">
        <f t="shared" si="60"/>
        <v/>
      </c>
      <c r="JC16" s="81"/>
      <c r="JD16" s="82"/>
      <c r="JE16" s="83"/>
      <c r="JF16" s="110" t="str">
        <f>IFERROR((((COUNTIF('Elève (6ème3)'!JC16:JE16,"A"))*4)+((COUNTIF('Elève (6ème3)'!JC16:JE16,"B"))*3)+((COUNTIF('Elève (6ème3)'!JC16:JE16,"C"))*2)+((COUNTIF('Elève (6ème3)'!JC16:JE16,"D"))*1))/(COUNTA(JC16:JE16)),"")</f>
        <v/>
      </c>
      <c r="JG16" s="111" t="str">
        <f t="shared" si="61"/>
        <v/>
      </c>
      <c r="JH16" s="81"/>
      <c r="JI16" s="82"/>
      <c r="JJ16" s="83"/>
      <c r="JK16" s="110" t="str">
        <f>IFERROR((((COUNTIF('Elève (6ème3)'!JH16:JJ16,"A"))*4)+((COUNTIF('Elève (6ème3)'!JH16:JJ16,"B"))*3)+((COUNTIF('Elève (6ème3)'!JH16:JJ16,"C"))*2)+((COUNTIF('Elève (6ème3)'!JH16:JJ16,"D"))*1))/(COUNTA(JH16:JJ16)),"")</f>
        <v/>
      </c>
      <c r="JL16" s="111" t="str">
        <f t="shared" si="62"/>
        <v/>
      </c>
      <c r="JM16" s="179" t="str">
        <f>IF(COUNT(JA16,JF16,JK16)=0,"",SUM(JA16,JF16,JK16)/COUNT(JA16,JF16,JK16))</f>
        <v/>
      </c>
      <c r="JN16" s="132" t="str">
        <f t="shared" si="63"/>
        <v/>
      </c>
      <c r="JO16" s="156"/>
      <c r="JP16" s="157"/>
      <c r="JQ16" s="158"/>
      <c r="JR16" s="110" t="str">
        <f>IFERROR((((COUNTIF('Elève (6ème3)'!JO16:JQ16,"A"))*4)+((COUNTIF('Elève (6ème3)'!JO16:JQ16,"B"))*3)+((COUNTIF('Elève (6ème3)'!JO16:JQ16,"C"))*2)+((COUNTIF('Elève (6ème3)'!JO16:JQ16,"D"))*1))/(COUNTA(JO16:JQ16)),"")</f>
        <v/>
      </c>
      <c r="JS16" s="111" t="str">
        <f t="shared" si="64"/>
        <v/>
      </c>
      <c r="JT16" s="81"/>
      <c r="JU16" s="82"/>
      <c r="JV16" s="83"/>
      <c r="JW16" s="110" t="str">
        <f>IFERROR((((COUNTIF('Elève (6ème3)'!JT16:JV16,"A"))*4)+((COUNTIF('Elève (6ème3)'!JT16:JV16,"B"))*3)+((COUNTIF('Elève (6ème3)'!JT16:JV16,"C"))*2)+((COUNTIF('Elève (6ème3)'!JT16:JV16,"D"))*1))/(COUNTA(JT16:JV16)),"")</f>
        <v/>
      </c>
      <c r="JX16" s="111" t="str">
        <f t="shared" si="65"/>
        <v/>
      </c>
      <c r="JY16" s="81"/>
      <c r="JZ16" s="82"/>
      <c r="KA16" s="83"/>
      <c r="KB16" s="110" t="str">
        <f>IFERROR((((COUNTIF('Elève (6ème3)'!JY16:KA16,"A"))*4)+((COUNTIF('Elève (6ème3)'!JY16:KA16,"B"))*3)+((COUNTIF('Elève (6ème3)'!JY16:KA16,"C"))*2)+((COUNTIF('Elève (6ème3)'!JY16:KA16,"D"))*1))/(COUNTA(JY16:KA16)),"")</f>
        <v/>
      </c>
      <c r="KC16" s="111" t="str">
        <f t="shared" si="66"/>
        <v/>
      </c>
      <c r="KD16" s="179" t="str">
        <f>IF(COUNT(JR16,JW16,KB16)=0,"",SUM(JR16,JW16,KB16)/COUNT(JR16,JW16,KB16))</f>
        <v/>
      </c>
      <c r="KE16" s="132" t="str">
        <f t="shared" si="67"/>
        <v/>
      </c>
      <c r="KF16" s="156"/>
      <c r="KG16" s="157"/>
      <c r="KH16" s="158"/>
      <c r="KI16" s="110" t="str">
        <f>IFERROR((((COUNTIF('Elève (6ème3)'!KF16:KH16,"A"))*4)+((COUNTIF('Elève (6ème3)'!KF16:KH16,"B"))*3)+((COUNTIF('Elève (6ème3)'!KF16:KH16,"C"))*2)+((COUNTIF('Elève (6ème3)'!KF16:KH16,"D"))*1))/(COUNTA(KF16:KH16)),"")</f>
        <v/>
      </c>
      <c r="KJ16" s="111" t="str">
        <f t="shared" si="68"/>
        <v/>
      </c>
      <c r="KK16" s="81"/>
      <c r="KL16" s="82"/>
      <c r="KM16" s="83"/>
      <c r="KN16" s="110" t="str">
        <f>IFERROR((((COUNTIF('Elève (6ème3)'!KK16:KM16,"A"))*4)+((COUNTIF('Elève (6ème3)'!KK16:KM16,"B"))*3)+((COUNTIF('Elève (6ème3)'!KK16:KM16,"C"))*2)+((COUNTIF('Elève (6ème3)'!KK16:KM16,"D"))*1))/(COUNTA(KK16:KM16)),"")</f>
        <v/>
      </c>
      <c r="KO16" s="111" t="str">
        <f t="shared" si="69"/>
        <v/>
      </c>
      <c r="KP16" s="81"/>
      <c r="KQ16" s="82"/>
      <c r="KR16" s="83"/>
      <c r="KS16" s="110" t="str">
        <f>IFERROR((((COUNTIF('Elève (6ème3)'!KP16:KR16,"A"))*4)+((COUNTIF('Elève (6ème3)'!KP16:KR16,"B"))*3)+((COUNTIF('Elève (6ème3)'!KP16:KR16,"C"))*2)+((COUNTIF('Elève (6ème3)'!KP16:KR16,"D"))*1))/(COUNTA(KP16:KR16)),"")</f>
        <v/>
      </c>
      <c r="KT16" s="111" t="str">
        <f t="shared" si="70"/>
        <v/>
      </c>
      <c r="KU16" s="179" t="str">
        <f>IF(COUNT(KI16,KN16,KS16)=0,"",SUM(KI16,KN16,KS16)/COUNT(KI16,KN16,KS16))</f>
        <v/>
      </c>
      <c r="KV16" s="132" t="str">
        <f t="shared" si="71"/>
        <v/>
      </c>
      <c r="KW16" s="156"/>
      <c r="KX16" s="157"/>
      <c r="KY16" s="158"/>
      <c r="KZ16" s="110" t="str">
        <f>IFERROR((((COUNTIF('Elève (6ème3)'!KW16:KY16,"A"))*4)+((COUNTIF('Elève (6ème3)'!KW16:KY16,"B"))*3)+((COUNTIF('Elève (6ème3)'!KW16:KY16,"C"))*2)+((COUNTIF('Elève (6ème3)'!KW16:KY16,"D"))*1))/(COUNTA(KW16:KY16)),"")</f>
        <v/>
      </c>
      <c r="LA16" s="111" t="str">
        <f t="shared" si="72"/>
        <v/>
      </c>
      <c r="LB16" s="81"/>
      <c r="LC16" s="82"/>
      <c r="LD16" s="83"/>
      <c r="LE16" s="110" t="str">
        <f>IFERROR((((COUNTIF('Elève (6ème3)'!LB16:LD16,"A"))*4)+((COUNTIF('Elève (6ème3)'!LB16:LD16,"B"))*3)+((COUNTIF('Elève (6ème3)'!LB16:LD16,"C"))*2)+((COUNTIF('Elève (6ème3)'!LB16:LD16,"D"))*1))/(COUNTA(LB16:LD16)),"")</f>
        <v/>
      </c>
      <c r="LF16" s="111" t="str">
        <f t="shared" si="73"/>
        <v/>
      </c>
      <c r="LG16" s="81"/>
      <c r="LH16" s="82"/>
      <c r="LI16" s="83"/>
      <c r="LJ16" s="110" t="str">
        <f>IFERROR((((COUNTIF('Elève (6ème3)'!LG16:LI16,"A"))*4)+((COUNTIF('Elève (6ème3)'!LG16:LI16,"B"))*3)+((COUNTIF('Elève (6ème3)'!LG16:LI16,"C"))*2)+((COUNTIF('Elève (6ème3)'!LG16:LI16,"D"))*1))/(COUNTA(LG16:LI16)),"")</f>
        <v/>
      </c>
      <c r="LK16" s="111" t="str">
        <f t="shared" si="74"/>
        <v/>
      </c>
      <c r="LL16" s="179" t="str">
        <f>IF(COUNT(KZ16,LE16,LJ16)=0,"",SUM(KZ16,LE16,LJ16)/COUNT(KZ16,LE16,LJ16))</f>
        <v/>
      </c>
      <c r="LM16" s="132" t="str">
        <f t="shared" si="75"/>
        <v/>
      </c>
      <c r="LN16" s="156"/>
      <c r="LO16" s="157"/>
      <c r="LP16" s="158"/>
      <c r="LQ16" s="110" t="str">
        <f>IFERROR((((COUNTIF('Elève (6ème3)'!LN16:LP16,"A"))*4)+((COUNTIF('Elève (6ème3)'!LN16:LP16,"B"))*3)+((COUNTIF('Elève (6ème3)'!LN16:LP16,"C"))*2)+((COUNTIF('Elève (6ème3)'!LN16:LP16,"D"))*1))/(COUNTA(LN16:LP16)),"")</f>
        <v/>
      </c>
      <c r="LR16" s="111" t="str">
        <f t="shared" si="76"/>
        <v/>
      </c>
      <c r="LS16" s="81"/>
      <c r="LT16" s="82"/>
      <c r="LU16" s="83"/>
      <c r="LV16" s="110" t="str">
        <f>IFERROR((((COUNTIF('Elève (6ème3)'!LS16:LU16,"A"))*4)+((COUNTIF('Elève (6ème3)'!LS16:LU16,"B"))*3)+((COUNTIF('Elève (6ème3)'!LS16:LU16,"C"))*2)+((COUNTIF('Elève (6ème3)'!LS16:LU16,"D"))*1))/(COUNTA(LS16:LU16)),"")</f>
        <v/>
      </c>
      <c r="LW16" s="111" t="str">
        <f t="shared" si="77"/>
        <v/>
      </c>
      <c r="LX16" s="81"/>
      <c r="LY16" s="82"/>
      <c r="LZ16" s="83"/>
      <c r="MA16" s="110" t="str">
        <f>IFERROR((((COUNTIF('Elève (6ème3)'!LX16:LZ16,"A"))*4)+((COUNTIF('Elève (6ème3)'!LX16:LZ16,"B"))*3)+((COUNTIF('Elève (6ème3)'!LX16:LZ16,"C"))*2)+((COUNTIF('Elève (6ème3)'!LX16:LZ16,"D"))*1))/(COUNTA(LX16:LZ16)),"")</f>
        <v/>
      </c>
      <c r="MB16" s="111" t="str">
        <f t="shared" si="78"/>
        <v/>
      </c>
      <c r="MC16" s="179" t="str">
        <f>IF(COUNT(LQ16,LV16,MA16)=0,"",SUM(LQ16,LV16,MA16)/COUNT(LQ16,LV16,MA16))</f>
        <v/>
      </c>
      <c r="MD16" s="132" t="str">
        <f t="shared" si="79"/>
        <v/>
      </c>
      <c r="ME16" s="156"/>
      <c r="MF16" s="157"/>
      <c r="MG16" s="158"/>
      <c r="MH16" s="110" t="str">
        <f>IFERROR((((COUNTIF('Elève (6ème3)'!ME16:MG16,"A"))*4)+((COUNTIF('Elève (6ème3)'!ME16:MG16,"B"))*3)+((COUNTIF('Elève (6ème3)'!ME16:MG16,"C"))*2)+((COUNTIF('Elève (6ème3)'!ME16:MG16,"D"))*1))/(COUNTA(ME16:MG16)),"")</f>
        <v/>
      </c>
      <c r="MI16" s="111" t="str">
        <f t="shared" si="80"/>
        <v/>
      </c>
      <c r="MJ16" s="81"/>
      <c r="MK16" s="82"/>
      <c r="ML16" s="83"/>
      <c r="MM16" s="110" t="str">
        <f>IFERROR((((COUNTIF('Elève (6ème3)'!MJ16:ML16,"A"))*4)+((COUNTIF('Elève (6ème3)'!MJ16:ML16,"B"))*3)+((COUNTIF('Elève (6ème3)'!MJ16:ML16,"C"))*2)+((COUNTIF('Elève (6ème3)'!MJ16:ML16,"D"))*1))/(COUNTA(MJ16:ML16)),"")</f>
        <v/>
      </c>
      <c r="MN16" s="111" t="str">
        <f t="shared" si="81"/>
        <v/>
      </c>
      <c r="MO16" s="81"/>
      <c r="MP16" s="82"/>
      <c r="MQ16" s="83"/>
      <c r="MR16" s="110" t="str">
        <f>IFERROR((((COUNTIF('Elève (6ème3)'!MO16:MQ16,"A"))*4)+((COUNTIF('Elève (6ème3)'!MO16:MQ16,"B"))*3)+((COUNTIF('Elève (6ème3)'!MO16:MQ16,"C"))*2)+((COUNTIF('Elève (6ème3)'!MO16:MQ16,"D"))*1))/(COUNTA(MO16:MQ16)),"")</f>
        <v/>
      </c>
      <c r="MS16" s="111" t="str">
        <f t="shared" si="82"/>
        <v/>
      </c>
      <c r="MT16" s="179" t="str">
        <f>IF(COUNT(MH16,MM16,MR16)=0,"",SUM(MH16,MM16,MR16)/COUNT(MH16,MM16,MR16))</f>
        <v/>
      </c>
      <c r="MU16" s="132" t="str">
        <f t="shared" si="83"/>
        <v/>
      </c>
      <c r="MV16" s="156"/>
      <c r="MW16" s="157"/>
      <c r="MX16" s="158"/>
      <c r="MY16" s="110" t="str">
        <f>IFERROR((((COUNTIF('Elève (6ème3)'!MV16:MX16,"A"))*4)+((COUNTIF('Elève (6ème3)'!MV16:MX16,"B"))*3)+((COUNTIF('Elève (6ème3)'!MV16:MX16,"C"))*2)+((COUNTIF('Elève (6ème3)'!MV16:MX16,"D"))*1))/(COUNTA(MV16:MX16)),"")</f>
        <v/>
      </c>
      <c r="MZ16" s="111" t="str">
        <f t="shared" si="84"/>
        <v/>
      </c>
      <c r="NA16" s="81"/>
      <c r="NB16" s="82"/>
      <c r="NC16" s="83"/>
      <c r="ND16" s="110" t="str">
        <f>IFERROR((((COUNTIF('Elève (6ème3)'!NA16:NC16,"A"))*4)+((COUNTIF('Elève (6ème3)'!NA16:NC16,"B"))*3)+((COUNTIF('Elève (6ème3)'!NA16:NC16,"C"))*2)+((COUNTIF('Elève (6ème3)'!NA16:NC16,"D"))*1))/(COUNTA(NA16:NC16)),"")</f>
        <v/>
      </c>
      <c r="NE16" s="111" t="str">
        <f t="shared" si="85"/>
        <v/>
      </c>
      <c r="NF16" s="81"/>
      <c r="NG16" s="82"/>
      <c r="NH16" s="83"/>
      <c r="NI16" s="110" t="str">
        <f>IFERROR((((COUNTIF('Elève (6ème3)'!NF16:NH16,"A"))*4)+((COUNTIF('Elève (6ème3)'!NF16:NH16,"B"))*3)+((COUNTIF('Elève (6ème3)'!NF16:NH16,"C"))*2)+((COUNTIF('Elève (6ème3)'!NF16:NH16,"D"))*1))/(COUNTA(NF16:NH16)),"")</f>
        <v/>
      </c>
      <c r="NJ16" s="111" t="str">
        <f t="shared" si="86"/>
        <v/>
      </c>
      <c r="NK16" s="179" t="str">
        <f>IF(COUNT(MY16,ND16,NI16)=0,"",SUM(MY16,ND16,NI16)/COUNT(MY16,ND16,NI16))</f>
        <v/>
      </c>
      <c r="NL16" s="132" t="str">
        <f t="shared" si="87"/>
        <v/>
      </c>
      <c r="NM16" s="156"/>
      <c r="NN16" s="157"/>
      <c r="NO16" s="158"/>
      <c r="NP16" s="110" t="str">
        <f>IFERROR((((COUNTIF('Elève (6ème3)'!NM16:NO16,"A"))*4)+((COUNTIF('Elève (6ème3)'!NM16:NO16,"B"))*3)+((COUNTIF('Elève (6ème3)'!NM16:NO16,"C"))*2)+((COUNTIF('Elève (6ème3)'!NM16:NO16,"D"))*1))/(COUNTA(NM16:NO16)),"")</f>
        <v/>
      </c>
      <c r="NQ16" s="111" t="str">
        <f t="shared" si="88"/>
        <v/>
      </c>
      <c r="NR16" s="81"/>
      <c r="NS16" s="82"/>
      <c r="NT16" s="83"/>
      <c r="NU16" s="110" t="str">
        <f>IFERROR((((COUNTIF('Elève (6ème3)'!NR16:NT16,"A"))*4)+((COUNTIF('Elève (6ème3)'!NR16:NT16,"B"))*3)+((COUNTIF('Elève (6ème3)'!NR16:NT16,"C"))*2)+((COUNTIF('Elève (6ème3)'!NR16:NT16,"D"))*1))/(COUNTA(NR16:NT16)),"")</f>
        <v/>
      </c>
      <c r="NV16" s="111" t="str">
        <f t="shared" si="89"/>
        <v/>
      </c>
      <c r="NW16" s="81"/>
      <c r="NX16" s="82"/>
      <c r="NY16" s="83"/>
      <c r="NZ16" s="110" t="str">
        <f>IFERROR((((COUNTIF('Elève (6ème3)'!NW16:NY16,"A"))*4)+((COUNTIF('Elève (6ème3)'!NW16:NY16,"B"))*3)+((COUNTIF('Elève (6ème3)'!NW16:NY16,"C"))*2)+((COUNTIF('Elève (6ème3)'!NW16:NY16,"D"))*1))/(COUNTA(NW16:NY16)),"")</f>
        <v/>
      </c>
      <c r="OA16" s="111" t="str">
        <f t="shared" si="90"/>
        <v/>
      </c>
      <c r="OB16" s="179" t="str">
        <f>IF(COUNT(NP16,NU16,NZ16)=0,"",SUM(NP16,NU16,NZ16)/COUNT(NP16,NU16,NZ16))</f>
        <v/>
      </c>
      <c r="OC16" s="132" t="str">
        <f t="shared" si="91"/>
        <v/>
      </c>
      <c r="OD16" s="156"/>
      <c r="OE16" s="157"/>
      <c r="OF16" s="158"/>
      <c r="OG16" s="110" t="str">
        <f>IFERROR((((COUNTIF('Elève (6ème3)'!OD16:OF16,"A"))*4)+((COUNTIF('Elève (6ème3)'!OD16:OF16,"B"))*3)+((COUNTIF('Elève (6ème3)'!OD16:OF16,"C"))*2)+((COUNTIF('Elève (6ème3)'!OD16:OF16,"D"))*1))/(COUNTA(OD16:OF16)),"")</f>
        <v/>
      </c>
      <c r="OH16" s="111" t="str">
        <f t="shared" si="92"/>
        <v/>
      </c>
      <c r="OI16" s="81"/>
      <c r="OJ16" s="82"/>
      <c r="OK16" s="83"/>
      <c r="OL16" s="110" t="str">
        <f>IFERROR((((COUNTIF('Elève (6ème3)'!OI16:OK16,"A"))*4)+((COUNTIF('Elève (6ème3)'!OI16:OK16,"B"))*3)+((COUNTIF('Elève (6ème3)'!OI16:OK16,"C"))*2)+((COUNTIF('Elève (6ème3)'!OI16:OK16,"D"))*1))/(COUNTA(OI16:OK16)),"")</f>
        <v/>
      </c>
      <c r="OM16" s="111" t="str">
        <f t="shared" si="93"/>
        <v/>
      </c>
      <c r="ON16" s="81"/>
      <c r="OO16" s="82"/>
      <c r="OP16" s="83"/>
      <c r="OQ16" s="110" t="str">
        <f>IFERROR((((COUNTIF('Elève (6ème3)'!ON16:OP16,"A"))*4)+((COUNTIF('Elève (6ème3)'!ON16:OP16,"B"))*3)+((COUNTIF('Elève (6ème3)'!ON16:OP16,"C"))*2)+((COUNTIF('Elève (6ème3)'!ON16:OP16,"D"))*1))/(COUNTA(ON16:OP16)),"")</f>
        <v/>
      </c>
      <c r="OR16" s="111" t="str">
        <f t="shared" si="94"/>
        <v/>
      </c>
      <c r="OS16" s="179" t="str">
        <f>IF(COUNT(OG16,OL16,OQ16)=0,"",SUM(OG16,OL16,OQ16)/COUNT(OG16,OL16,OQ16))</f>
        <v/>
      </c>
      <c r="OT16" s="132" t="str">
        <f t="shared" si="95"/>
        <v/>
      </c>
      <c r="OU16" s="156"/>
      <c r="OV16" s="157"/>
      <c r="OW16" s="158"/>
      <c r="OX16" s="110" t="str">
        <f>IFERROR((((COUNTIF('Elève (6ème3)'!OU16:OW16,"A"))*4)+((COUNTIF('Elève (6ème3)'!OU16:OW16,"B"))*3)+((COUNTIF('Elève (6ème3)'!OU16:OW16,"C"))*2)+((COUNTIF('Elève (6ème3)'!OU16:OW16,"D"))*1))/(COUNTA(OU16:OW16)),"")</f>
        <v/>
      </c>
      <c r="OY16" s="111" t="str">
        <f t="shared" si="96"/>
        <v/>
      </c>
      <c r="OZ16" s="81"/>
      <c r="PA16" s="82"/>
      <c r="PB16" s="83"/>
      <c r="PC16" s="110" t="str">
        <f>IFERROR((((COUNTIF('Elève (6ème3)'!OZ16:PB16,"A"))*4)+((COUNTIF('Elève (6ème3)'!OZ16:PB16,"B"))*3)+((COUNTIF('Elève (6ème3)'!OZ16:PB16,"C"))*2)+((COUNTIF('Elève (6ème3)'!OZ16:PB16,"D"))*1))/(COUNTA(OZ16:PB16)),"")</f>
        <v/>
      </c>
      <c r="PD16" s="111" t="str">
        <f t="shared" si="97"/>
        <v/>
      </c>
      <c r="PE16" s="81"/>
      <c r="PF16" s="82"/>
      <c r="PG16" s="83"/>
      <c r="PH16" s="110" t="str">
        <f>IFERROR((((COUNTIF('Elève (6ème3)'!PE16:PG16,"A"))*4)+((COUNTIF('Elève (6ème3)'!PE16:PG16,"B"))*3)+((COUNTIF('Elève (6ème3)'!PE16:PG16,"C"))*2)+((COUNTIF('Elève (6ème3)'!PE16:PG16,"D"))*1))/(COUNTA(PE16:PG16)),"")</f>
        <v/>
      </c>
      <c r="PI16" s="111" t="str">
        <f t="shared" si="98"/>
        <v/>
      </c>
      <c r="PJ16" s="179" t="str">
        <f>IF(COUNT(OX16,PC16,PH16)=0,"",SUM(OX16,PC16,PH16)/COUNT(OX16,PC16,PH16))</f>
        <v/>
      </c>
      <c r="PK16" s="132" t="str">
        <f t="shared" si="99"/>
        <v/>
      </c>
      <c r="PL16" s="156"/>
      <c r="PM16" s="157"/>
      <c r="PN16" s="158"/>
      <c r="PO16" s="110" t="str">
        <f>IFERROR((((COUNTIF('Elève (6ème3)'!PL16:PN16,"A"))*4)+((COUNTIF('Elève (6ème3)'!PL16:PN16,"B"))*3)+((COUNTIF('Elève (6ème3)'!PL16:PN16,"C"))*2)+((COUNTIF('Elève (6ème3)'!PL16:PN16,"D"))*1))/(COUNTA(PL16:PN16)),"")</f>
        <v/>
      </c>
      <c r="PP16" s="111" t="str">
        <f t="shared" si="100"/>
        <v/>
      </c>
      <c r="PQ16" s="81"/>
      <c r="PR16" s="82"/>
      <c r="PS16" s="83"/>
      <c r="PT16" s="110" t="str">
        <f>IFERROR((((COUNTIF('Elève (6ème3)'!PQ16:PS16,"A"))*4)+((COUNTIF('Elève (6ème3)'!PQ16:PS16,"B"))*3)+((COUNTIF('Elève (6ème3)'!PQ16:PS16,"C"))*2)+((COUNTIF('Elève (6ème3)'!PQ16:PS16,"D"))*1))/(COUNTA(PQ16:PS16)),"")</f>
        <v/>
      </c>
      <c r="PU16" s="111" t="str">
        <f t="shared" si="101"/>
        <v/>
      </c>
      <c r="PV16" s="81"/>
      <c r="PW16" s="82"/>
      <c r="PX16" s="83"/>
      <c r="PY16" s="110" t="str">
        <f>IFERROR((((COUNTIF('Elève (6ème3)'!PV16:PX16,"A"))*4)+((COUNTIF('Elève (6ème3)'!PV16:PX16,"B"))*3)+((COUNTIF('Elève (6ème3)'!PV16:PX16,"C"))*2)+((COUNTIF('Elève (6ème3)'!PV16:PX16,"D"))*1))/(COUNTA(PV16:PX16)),"")</f>
        <v/>
      </c>
      <c r="PZ16" s="111" t="str">
        <f t="shared" si="102"/>
        <v/>
      </c>
      <c r="QA16" s="179" t="str">
        <f>IF(COUNT(PO16,PT16,PY16)=0,"",SUM(PO16,PT16,PY16)/COUNT(PO16,PT16,PY16))</f>
        <v/>
      </c>
      <c r="QB16" s="132" t="str">
        <f t="shared" si="103"/>
        <v/>
      </c>
      <c r="QC16" s="156"/>
      <c r="QD16" s="157"/>
      <c r="QE16" s="158"/>
      <c r="QF16" s="110" t="str">
        <f>IFERROR((((COUNTIF('Elève (6ème3)'!QC16:QE16,"A"))*4)+((COUNTIF('Elève (6ème3)'!QC16:QE16,"B"))*3)+((COUNTIF('Elève (6ème3)'!QC16:QE16,"C"))*2)+((COUNTIF('Elève (6ème3)'!QC16:QE16,"D"))*1))/(COUNTA(QC16:QE16)),"")</f>
        <v/>
      </c>
      <c r="QG16" s="111" t="str">
        <f t="shared" si="104"/>
        <v/>
      </c>
      <c r="QH16" s="81"/>
      <c r="QI16" s="82"/>
      <c r="QJ16" s="83"/>
      <c r="QK16" s="110" t="str">
        <f>IFERROR((((COUNTIF('Elève (6ème3)'!QH16:QJ16,"A"))*4)+((COUNTIF('Elève (6ème3)'!QH16:QJ16,"B"))*3)+((COUNTIF('Elève (6ème3)'!QH16:QJ16,"C"))*2)+((COUNTIF('Elève (6ème3)'!QH16:QJ16,"D"))*1))/(COUNTA(QH16:QJ16)),"")</f>
        <v/>
      </c>
      <c r="QL16" s="111" t="str">
        <f t="shared" si="105"/>
        <v/>
      </c>
      <c r="QM16" s="81"/>
      <c r="QN16" s="82"/>
      <c r="QO16" s="83"/>
      <c r="QP16" s="110" t="str">
        <f>IFERROR((((COUNTIF('Elève (6ème3)'!QM16:QO16,"A"))*4)+((COUNTIF('Elève (6ème3)'!QM16:QO16,"B"))*3)+((COUNTIF('Elève (6ème3)'!QM16:QO16,"C"))*2)+((COUNTIF('Elève (6ème3)'!QM16:QO16,"D"))*1))/(COUNTA(QM16:QO16)),"")</f>
        <v/>
      </c>
      <c r="QQ16" s="111" t="str">
        <f t="shared" si="106"/>
        <v/>
      </c>
      <c r="QR16" s="179" t="str">
        <f>IF(COUNT(QF16,QK16,QP16)=0,"",SUM(QF16,QK16,QP16)/COUNT(QF16,QK16,QP16))</f>
        <v/>
      </c>
      <c r="QS16" s="132" t="str">
        <f t="shared" si="107"/>
        <v/>
      </c>
      <c r="QT16" s="156"/>
      <c r="QU16" s="157"/>
      <c r="QV16" s="158"/>
      <c r="QW16" s="110" t="str">
        <f>IFERROR((((COUNTIF('Elève (6ème3)'!QT16:QV16,"A"))*4)+((COUNTIF('Elève (6ème3)'!QT16:QV16,"B"))*3)+((COUNTIF('Elève (6ème3)'!QT16:QV16,"C"))*2)+((COUNTIF('Elève (6ème3)'!QT16:QV16,"D"))*1))/(COUNTA(QT16:QV16)),"")</f>
        <v/>
      </c>
      <c r="QX16" s="111" t="str">
        <f t="shared" si="108"/>
        <v/>
      </c>
      <c r="QY16" s="81"/>
      <c r="QZ16" s="82"/>
      <c r="RA16" s="83"/>
      <c r="RB16" s="110" t="str">
        <f>IFERROR((((COUNTIF('Elève (6ème3)'!QY16:RA16,"A"))*4)+((COUNTIF('Elève (6ème3)'!QY16:RA16,"B"))*3)+((COUNTIF('Elève (6ème3)'!QY16:RA16,"C"))*2)+((COUNTIF('Elève (6ème3)'!QY16:RA16,"D"))*1))/(COUNTA(QY16:RA16)),"")</f>
        <v/>
      </c>
      <c r="RC16" s="111" t="str">
        <f t="shared" si="109"/>
        <v/>
      </c>
      <c r="RD16" s="81"/>
      <c r="RE16" s="82"/>
      <c r="RF16" s="83"/>
      <c r="RG16" s="110" t="str">
        <f>IFERROR((((COUNTIF('Elève (6ème3)'!RD16:RF16,"A"))*4)+((COUNTIF('Elève (6ème3)'!RD16:RF16,"B"))*3)+((COUNTIF('Elève (6ème3)'!RD16:RF16,"C"))*2)+((COUNTIF('Elève (6ème3)'!RD16:RF16,"D"))*1))/(COUNTA(RD16:RF16)),"")</f>
        <v/>
      </c>
      <c r="RH16" s="111" t="str">
        <f t="shared" si="110"/>
        <v/>
      </c>
      <c r="RI16" s="179" t="str">
        <f>IF(COUNT(QW16,RB16,RG16)=0,"",SUM(QW16,RB16,RG16)/COUNT(QW16,RB16,RG16))</f>
        <v/>
      </c>
      <c r="RJ16" s="132" t="str">
        <f t="shared" si="111"/>
        <v/>
      </c>
      <c r="RK16" s="156"/>
      <c r="RL16" s="157"/>
      <c r="RM16" s="158"/>
      <c r="RN16" s="110" t="str">
        <f>IFERROR((((COUNTIF('Elève (6ème3)'!RK16:RM16,"A"))*4)+((COUNTIF('Elève (6ème3)'!RK16:RM16,"B"))*3)+((COUNTIF('Elève (6ème3)'!RK16:RM16,"C"))*2)+((COUNTIF('Elève (6ème3)'!RK16:RM16,"D"))*1))/(COUNTA(RK16:RM16)),"")</f>
        <v/>
      </c>
      <c r="RO16" s="111" t="str">
        <f t="shared" si="112"/>
        <v/>
      </c>
      <c r="RP16" s="81"/>
      <c r="RQ16" s="82"/>
      <c r="RR16" s="83"/>
      <c r="RS16" s="110" t="str">
        <f>IFERROR((((COUNTIF('Elève (6ème3)'!RP16:RR16,"A"))*4)+((COUNTIF('Elève (6ème3)'!RP16:RR16,"B"))*3)+((COUNTIF('Elève (6ème3)'!RP16:RR16,"C"))*2)+((COUNTIF('Elève (6ème3)'!RP16:RR16,"D"))*1))/(COUNTA(RP16:RR16)),"")</f>
        <v/>
      </c>
      <c r="RT16" s="111" t="str">
        <f t="shared" si="113"/>
        <v/>
      </c>
      <c r="RU16" s="81"/>
      <c r="RV16" s="82"/>
      <c r="RW16" s="83"/>
      <c r="RX16" s="110" t="str">
        <f>IFERROR((((COUNTIF('Elève (6ème3)'!RU16:RW16,"A"))*4)+((COUNTIF('Elève (6ème3)'!RU16:RW16,"B"))*3)+((COUNTIF('Elève (6ème3)'!RU16:RW16,"C"))*2)+((COUNTIF('Elève (6ème3)'!RU16:RW16,"D"))*1))/(COUNTA(RU16:RW16)),"")</f>
        <v/>
      </c>
      <c r="RY16" s="111" t="str">
        <f t="shared" si="114"/>
        <v/>
      </c>
      <c r="RZ16" s="179" t="str">
        <f>IF(COUNT(RN16,RS16,RX16)=0,"",SUM(RN16,RS16,RX16)/COUNT(RN16,RS16,RX16))</f>
        <v/>
      </c>
      <c r="SA16" s="132" t="str">
        <f t="shared" si="115"/>
        <v/>
      </c>
      <c r="SB16" s="156"/>
      <c r="SC16" s="157"/>
      <c r="SD16" s="158"/>
      <c r="SE16" s="110" t="str">
        <f>IFERROR((((COUNTIF('Elève (6ème3)'!SB16:SD16,"A"))*4)+((COUNTIF('Elève (6ème3)'!SB16:SD16,"B"))*3)+((COUNTIF('Elève (6ème3)'!SB16:SD16,"C"))*2)+((COUNTIF('Elève (6ème3)'!SB16:SD16,"D"))*1))/(COUNTA(SB16:SD16)),"")</f>
        <v/>
      </c>
      <c r="SF16" s="111" t="str">
        <f t="shared" si="116"/>
        <v/>
      </c>
      <c r="SG16" s="81"/>
      <c r="SH16" s="82"/>
      <c r="SI16" s="83"/>
      <c r="SJ16" s="110" t="str">
        <f>IFERROR((((COUNTIF('Elève (6ème3)'!SG16:SI16,"A"))*4)+((COUNTIF('Elève (6ème3)'!SG16:SI16,"B"))*3)+((COUNTIF('Elève (6ème3)'!SG16:SI16,"C"))*2)+((COUNTIF('Elève (6ème3)'!SG16:SI16,"D"))*1))/(COUNTA(SG16:SI16)),"")</f>
        <v/>
      </c>
      <c r="SK16" s="111" t="str">
        <f t="shared" si="117"/>
        <v/>
      </c>
      <c r="SL16" s="81"/>
      <c r="SM16" s="82"/>
      <c r="SN16" s="83"/>
      <c r="SO16" s="110" t="str">
        <f>IFERROR((((COUNTIF('Elève (6ème3)'!SL16:SN16,"A"))*4)+((COUNTIF('Elève (6ème3)'!SL16:SN16,"B"))*3)+((COUNTIF('Elève (6ème3)'!SL16:SN16,"C"))*2)+((COUNTIF('Elève (6ème3)'!SL16:SN16,"D"))*1))/(COUNTA(SL16:SN16)),"")</f>
        <v/>
      </c>
      <c r="SP16" s="111" t="str">
        <f t="shared" si="118"/>
        <v/>
      </c>
      <c r="SQ16" s="179" t="str">
        <f>IF(COUNT(SE16,SJ16,SO16)=0,"",SUM(SE16,SJ16,SO16)/COUNT(SE16,SJ16,SO16))</f>
        <v/>
      </c>
      <c r="SR16" s="132" t="str">
        <f t="shared" si="119"/>
        <v/>
      </c>
    </row>
    <row r="17" spans="1:512" s="72" customFormat="1" ht="18" customHeight="1" thickBot="1" x14ac:dyDescent="0.3">
      <c r="A17" s="244" t="s">
        <v>20</v>
      </c>
      <c r="B17" s="245"/>
      <c r="C17" s="159"/>
      <c r="D17" s="160"/>
      <c r="E17" s="161"/>
      <c r="F17" s="136" t="str">
        <f>IFERROR((((COUNTIF('Elève (6ème3)'!C17:E17,"A"))*4)+((COUNTIF('Elève (6ème3)'!C17:E17,"B"))*3)+((COUNTIF('Elève (6ème3)'!C17:E17,"C"))*2)+((COUNTIF('Elève (6ème3)'!C17:E17,"D"))*1))/(COUNTA(C17:E17)),"")</f>
        <v/>
      </c>
      <c r="G17" s="137" t="str">
        <f t="shared" si="0"/>
        <v/>
      </c>
      <c r="H17" s="84"/>
      <c r="I17" s="85"/>
      <c r="J17" s="86"/>
      <c r="K17" s="136" t="str">
        <f>IFERROR((((COUNTIF('Elève (6ème3)'!H17:J17,"A"))*4)+((COUNTIF('Elève (6ème3)'!H17:J17,"B"))*3)+((COUNTIF('Elève (6ème3)'!H17:J17,"C"))*2)+((COUNTIF('Elève (6ème3)'!H17:J17,"D"))*1))/(COUNTA(H17:J17)),"")</f>
        <v/>
      </c>
      <c r="L17" s="137" t="str">
        <f t="shared" si="1"/>
        <v/>
      </c>
      <c r="M17" s="84"/>
      <c r="N17" s="85"/>
      <c r="O17" s="86"/>
      <c r="P17" s="136" t="str">
        <f>IFERROR((((COUNTIF('Elève (6ème3)'!M17:O17,"A"))*4)+((COUNTIF('Elève (6ème3)'!M17:O17,"B"))*3)+((COUNTIF('Elève (6ème3)'!M17:O17,"C"))*2)+((COUNTIF('Elève (6ème3)'!M17:O17,"D"))*1))/(COUNTA(M17:O17)),"")</f>
        <v/>
      </c>
      <c r="Q17" s="137" t="str">
        <f t="shared" si="2"/>
        <v/>
      </c>
      <c r="R17" s="180" t="str">
        <f>IF(COUNT(F17,K17,P17)=0,"",SUM(F17,K17,P17)/COUNT(F17,K17,P17))</f>
        <v/>
      </c>
      <c r="S17" s="133" t="str">
        <f t="shared" si="3"/>
        <v/>
      </c>
      <c r="T17" s="159"/>
      <c r="U17" s="160"/>
      <c r="V17" s="161"/>
      <c r="W17" s="136" t="str">
        <f>IFERROR((((COUNTIF('Elève (6ème3)'!T17:V17,"A"))*4)+((COUNTIF('Elève (6ème3)'!T17:V17,"B"))*3)+((COUNTIF('Elève (6ème3)'!T17:V17,"C"))*2)+((COUNTIF('Elève (6ème3)'!T17:V17,"D"))*1))/(COUNTA(T17:V17)),"")</f>
        <v/>
      </c>
      <c r="X17" s="137" t="str">
        <f t="shared" si="4"/>
        <v/>
      </c>
      <c r="Y17" s="84"/>
      <c r="Z17" s="85"/>
      <c r="AA17" s="86"/>
      <c r="AB17" s="136" t="str">
        <f>IFERROR((((COUNTIF('Elève (6ème3)'!Y17:AA17,"A"))*4)+((COUNTIF('Elève (6ème3)'!Y17:AA17,"B"))*3)+((COUNTIF('Elève (6ème3)'!Y17:AA17,"C"))*2)+((COUNTIF('Elève (6ème3)'!Y17:AA17,"D"))*1))/(COUNTA(Y17:AA17)),"")</f>
        <v/>
      </c>
      <c r="AC17" s="137" t="str">
        <f t="shared" si="5"/>
        <v/>
      </c>
      <c r="AD17" s="84"/>
      <c r="AE17" s="85"/>
      <c r="AF17" s="86"/>
      <c r="AG17" s="136" t="str">
        <f>IFERROR((((COUNTIF('Elève (6ème3)'!AD17:AF17,"A"))*4)+((COUNTIF('Elève (6ème3)'!AD17:AF17,"B"))*3)+((COUNTIF('Elève (6ème3)'!AD17:AF17,"C"))*2)+((COUNTIF('Elève (6ème3)'!AD17:AF17,"D"))*1))/(COUNTA(AD17:AF17)),"")</f>
        <v/>
      </c>
      <c r="AH17" s="137" t="str">
        <f t="shared" si="6"/>
        <v/>
      </c>
      <c r="AI17" s="180" t="str">
        <f>IF(COUNT(W17,AB17,AG17)=0,"",SUM(W17,AB17,AG17)/COUNT(W17,AB17,AG17))</f>
        <v/>
      </c>
      <c r="AJ17" s="133" t="str">
        <f t="shared" si="7"/>
        <v/>
      </c>
      <c r="AK17" s="159"/>
      <c r="AL17" s="160"/>
      <c r="AM17" s="161"/>
      <c r="AN17" s="136" t="str">
        <f>IFERROR((((COUNTIF('Elève (6ème3)'!AK17:AM17,"A"))*4)+((COUNTIF('Elève (6ème3)'!AK17:AM17,"B"))*3)+((COUNTIF('Elève (6ème3)'!AK17:AM17,"C"))*2)+((COUNTIF('Elève (6ème3)'!AK17:AM17,"D"))*1))/(COUNTA(AK17:AM17)),"")</f>
        <v/>
      </c>
      <c r="AO17" s="137" t="str">
        <f t="shared" si="8"/>
        <v/>
      </c>
      <c r="AP17" s="84"/>
      <c r="AQ17" s="85"/>
      <c r="AR17" s="86"/>
      <c r="AS17" s="136" t="str">
        <f>IFERROR((((COUNTIF('Elève (6ème3)'!AP17:AR17,"A"))*4)+((COUNTIF('Elève (6ème3)'!AP17:AR17,"B"))*3)+((COUNTIF('Elève (6ème3)'!AP17:AR17,"C"))*2)+((COUNTIF('Elève (6ème3)'!AP17:AR17,"D"))*1))/(COUNTA(AP17:AR17)),"")</f>
        <v/>
      </c>
      <c r="AT17" s="137" t="str">
        <f t="shared" si="9"/>
        <v/>
      </c>
      <c r="AU17" s="84"/>
      <c r="AV17" s="85"/>
      <c r="AW17" s="86"/>
      <c r="AX17" s="136" t="str">
        <f>IFERROR((((COUNTIF('Elève (6ème3)'!AU17:AW17,"A"))*4)+((COUNTIF('Elève (6ème3)'!AU17:AW17,"B"))*3)+((COUNTIF('Elève (6ème3)'!AU17:AW17,"C"))*2)+((COUNTIF('Elève (6ème3)'!AU17:AW17,"D"))*1))/(COUNTA(AU17:AW17)),"")</f>
        <v/>
      </c>
      <c r="AY17" s="137" t="str">
        <f t="shared" si="10"/>
        <v/>
      </c>
      <c r="AZ17" s="180" t="str">
        <f>IF(COUNT(AN17,AS17,AX17)=0,"",SUM(AN17,AS17,AX17)/COUNT(AN17,AS17,AX17))</f>
        <v/>
      </c>
      <c r="BA17" s="133" t="str">
        <f t="shared" si="11"/>
        <v/>
      </c>
      <c r="BB17" s="159"/>
      <c r="BC17" s="160"/>
      <c r="BD17" s="161"/>
      <c r="BE17" s="136" t="str">
        <f>IFERROR((((COUNTIF('Elève (6ème3)'!BB17:BD17,"A"))*4)+((COUNTIF('Elève (6ème3)'!BB17:BD17,"B"))*3)+((COUNTIF('Elève (6ème3)'!BB17:BD17,"C"))*2)+((COUNTIF('Elève (6ème3)'!BB17:BD17,"D"))*1))/(COUNTA(BB17:BD17)),"")</f>
        <v/>
      </c>
      <c r="BF17" s="137" t="str">
        <f t="shared" si="12"/>
        <v/>
      </c>
      <c r="BG17" s="84"/>
      <c r="BH17" s="85"/>
      <c r="BI17" s="86"/>
      <c r="BJ17" s="136" t="str">
        <f>IFERROR((((COUNTIF('Elève (6ème3)'!BG17:BI17,"A"))*4)+((COUNTIF('Elève (6ème3)'!BG17:BI17,"B"))*3)+((COUNTIF('Elève (6ème3)'!BG17:BI17,"C"))*2)+((COUNTIF('Elève (6ème3)'!BG17:BI17,"D"))*1))/(COUNTA(BG17:BI17)),"")</f>
        <v/>
      </c>
      <c r="BK17" s="137" t="str">
        <f t="shared" si="13"/>
        <v/>
      </c>
      <c r="BL17" s="84"/>
      <c r="BM17" s="85"/>
      <c r="BN17" s="86"/>
      <c r="BO17" s="136" t="str">
        <f>IFERROR((((COUNTIF('Elève (6ème3)'!BL17:BN17,"A"))*4)+((COUNTIF('Elève (6ème3)'!BL17:BN17,"B"))*3)+((COUNTIF('Elève (6ème3)'!BL17:BN17,"C"))*2)+((COUNTIF('Elève (6ème3)'!BL17:BN17,"D"))*1))/(COUNTA(BL17:BN17)),"")</f>
        <v/>
      </c>
      <c r="BP17" s="137" t="str">
        <f t="shared" si="14"/>
        <v/>
      </c>
      <c r="BQ17" s="180" t="str">
        <f>IF(COUNT(BE17,BJ17,BO17)=0,"",SUM(BE17,BJ17,BO17)/COUNT(BE17,BJ17,BO17))</f>
        <v/>
      </c>
      <c r="BR17" s="133" t="str">
        <f t="shared" si="15"/>
        <v/>
      </c>
      <c r="BS17" s="159"/>
      <c r="BT17" s="160"/>
      <c r="BU17" s="161"/>
      <c r="BV17" s="136" t="str">
        <f>IFERROR((((COUNTIF('Elève (6ème3)'!BS17:BU17,"A"))*4)+((COUNTIF('Elève (6ème3)'!BS17:BU17,"B"))*3)+((COUNTIF('Elève (6ème3)'!BS17:BU17,"C"))*2)+((COUNTIF('Elève (6ème3)'!BS17:BU17,"D"))*1))/(COUNTA(BS17:BU17)),"")</f>
        <v/>
      </c>
      <c r="BW17" s="137" t="str">
        <f t="shared" si="16"/>
        <v/>
      </c>
      <c r="BX17" s="84"/>
      <c r="BY17" s="85"/>
      <c r="BZ17" s="86"/>
      <c r="CA17" s="136" t="str">
        <f>IFERROR((((COUNTIF('Elève (6ème3)'!BX17:BZ17,"A"))*4)+((COUNTIF('Elève (6ème3)'!BX17:BZ17,"B"))*3)+((COUNTIF('Elève (6ème3)'!BX17:BZ17,"C"))*2)+((COUNTIF('Elève (6ème3)'!BX17:BZ17,"D"))*1))/(COUNTA(BX17:BZ17)),"")</f>
        <v/>
      </c>
      <c r="CB17" s="137" t="str">
        <f t="shared" si="17"/>
        <v/>
      </c>
      <c r="CC17" s="84"/>
      <c r="CD17" s="85"/>
      <c r="CE17" s="86"/>
      <c r="CF17" s="136" t="str">
        <f>IFERROR((((COUNTIF('Elève (6ème3)'!CC17:CE17,"A"))*4)+((COUNTIF('Elève (6ème3)'!CC17:CE17,"B"))*3)+((COUNTIF('Elève (6ème3)'!CC17:CE17,"C"))*2)+((COUNTIF('Elève (6ème3)'!CC17:CE17,"D"))*1))/(COUNTA(CC17:CE17)),"")</f>
        <v/>
      </c>
      <c r="CG17" s="137" t="str">
        <f t="shared" si="18"/>
        <v/>
      </c>
      <c r="CH17" s="180" t="str">
        <f>IF(COUNT(BV17,CA17,CF17)=0,"",SUM(BV17,CA17,CF17)/COUNT(BV17,CA17,CF17))</f>
        <v/>
      </c>
      <c r="CI17" s="133" t="str">
        <f t="shared" si="19"/>
        <v/>
      </c>
      <c r="CJ17" s="159"/>
      <c r="CK17" s="160"/>
      <c r="CL17" s="161"/>
      <c r="CM17" s="136" t="str">
        <f>IFERROR((((COUNTIF('Elève (6ème3)'!CJ17:CL17,"A"))*4)+((COUNTIF('Elève (6ème3)'!CJ17:CL17,"B"))*3)+((COUNTIF('Elève (6ème3)'!CJ17:CL17,"C"))*2)+((COUNTIF('Elève (6ème3)'!CJ17:CL17,"D"))*1))/(COUNTA(CJ17:CL17)),"")</f>
        <v/>
      </c>
      <c r="CN17" s="137" t="str">
        <f t="shared" si="20"/>
        <v/>
      </c>
      <c r="CO17" s="84"/>
      <c r="CP17" s="85"/>
      <c r="CQ17" s="86"/>
      <c r="CR17" s="136" t="str">
        <f>IFERROR((((COUNTIF('Elève (6ème3)'!CO17:CQ17,"A"))*4)+((COUNTIF('Elève (6ème3)'!CO17:CQ17,"B"))*3)+((COUNTIF('Elève (6ème3)'!CO17:CQ17,"C"))*2)+((COUNTIF('Elève (6ème3)'!CO17:CQ17,"D"))*1))/(COUNTA(CO17:CQ17)),"")</f>
        <v/>
      </c>
      <c r="CS17" s="137" t="str">
        <f t="shared" si="21"/>
        <v/>
      </c>
      <c r="CT17" s="84"/>
      <c r="CU17" s="85"/>
      <c r="CV17" s="86"/>
      <c r="CW17" s="136" t="str">
        <f>IFERROR((((COUNTIF('Elève (6ème3)'!CT17:CV17,"A"))*4)+((COUNTIF('Elève (6ème3)'!CT17:CV17,"B"))*3)+((COUNTIF('Elève (6ème3)'!CT17:CV17,"C"))*2)+((COUNTIF('Elève (6ème3)'!CT17:CV17,"D"))*1))/(COUNTA(CT17:CV17)),"")</f>
        <v/>
      </c>
      <c r="CX17" s="137" t="str">
        <f t="shared" si="22"/>
        <v/>
      </c>
      <c r="CY17" s="180" t="str">
        <f>IF(COUNT(CM17,CR17,CW17)=0,"",SUM(CM17,CR17,CW17)/COUNT(CM17,CR17,CW17))</f>
        <v/>
      </c>
      <c r="CZ17" s="133" t="str">
        <f t="shared" si="23"/>
        <v/>
      </c>
      <c r="DA17" s="159"/>
      <c r="DB17" s="160"/>
      <c r="DC17" s="161"/>
      <c r="DD17" s="136" t="str">
        <f>IFERROR((((COUNTIF('Elève (6ème3)'!DA17:DC17,"A"))*4)+((COUNTIF('Elève (6ème3)'!DA17:DC17,"B"))*3)+((COUNTIF('Elève (6ème3)'!DA17:DC17,"C"))*2)+((COUNTIF('Elève (6ème3)'!DA17:DC17,"D"))*1))/(COUNTA(DA17:DC17)),"")</f>
        <v/>
      </c>
      <c r="DE17" s="137" t="str">
        <f t="shared" si="24"/>
        <v/>
      </c>
      <c r="DF17" s="84"/>
      <c r="DG17" s="85"/>
      <c r="DH17" s="86"/>
      <c r="DI17" s="136" t="str">
        <f>IFERROR((((COUNTIF('Elève (6ème3)'!DF17:DH17,"A"))*4)+((COUNTIF('Elève (6ème3)'!DF17:DH17,"B"))*3)+((COUNTIF('Elève (6ème3)'!DF17:DH17,"C"))*2)+((COUNTIF('Elève (6ème3)'!DF17:DH17,"D"))*1))/(COUNTA(DF17:DH17)),"")</f>
        <v/>
      </c>
      <c r="DJ17" s="137" t="str">
        <f t="shared" si="25"/>
        <v/>
      </c>
      <c r="DK17" s="84"/>
      <c r="DL17" s="85"/>
      <c r="DM17" s="86"/>
      <c r="DN17" s="136" t="str">
        <f>IFERROR((((COUNTIF('Elève (6ème3)'!DK17:DM17,"A"))*4)+((COUNTIF('Elève (6ème3)'!DK17:DM17,"B"))*3)+((COUNTIF('Elève (6ème3)'!DK17:DM17,"C"))*2)+((COUNTIF('Elève (6ème3)'!DK17:DM17,"D"))*1))/(COUNTA(DK17:DM17)),"")</f>
        <v/>
      </c>
      <c r="DO17" s="137" t="str">
        <f t="shared" si="26"/>
        <v/>
      </c>
      <c r="DP17" s="180" t="str">
        <f>IF(COUNT(DD17,DI17,DN17)=0,"",SUM(DD17,DI17,DN17)/COUNT(DD17,DI17,DN17))</f>
        <v/>
      </c>
      <c r="DQ17" s="133" t="str">
        <f t="shared" si="27"/>
        <v/>
      </c>
      <c r="DR17" s="159"/>
      <c r="DS17" s="160"/>
      <c r="DT17" s="161"/>
      <c r="DU17" s="136" t="str">
        <f>IFERROR((((COUNTIF('Elève (6ème3)'!DR17:DT17,"A"))*4)+((COUNTIF('Elève (6ème3)'!DR17:DT17,"B"))*3)+((COUNTIF('Elève (6ème3)'!DR17:DT17,"C"))*2)+((COUNTIF('Elève (6ème3)'!DR17:DT17,"D"))*1))/(COUNTA(DR17:DT17)),"")</f>
        <v/>
      </c>
      <c r="DV17" s="137" t="str">
        <f t="shared" si="28"/>
        <v/>
      </c>
      <c r="DW17" s="84"/>
      <c r="DX17" s="85"/>
      <c r="DY17" s="86"/>
      <c r="DZ17" s="136" t="str">
        <f>IFERROR((((COUNTIF('Elève (6ème3)'!DW17:DY17,"A"))*4)+((COUNTIF('Elève (6ème3)'!DW17:DY17,"B"))*3)+((COUNTIF('Elève (6ème3)'!DW17:DY17,"C"))*2)+((COUNTIF('Elève (6ème3)'!DW17:DY17,"D"))*1))/(COUNTA(DW17:DY17)),"")</f>
        <v/>
      </c>
      <c r="EA17" s="137" t="str">
        <f t="shared" si="29"/>
        <v/>
      </c>
      <c r="EB17" s="84"/>
      <c r="EC17" s="85"/>
      <c r="ED17" s="86"/>
      <c r="EE17" s="136" t="str">
        <f>IFERROR((((COUNTIF('Elève (6ème3)'!EB17:ED17,"A"))*4)+((COUNTIF('Elève (6ème3)'!EB17:ED17,"B"))*3)+((COUNTIF('Elève (6ème3)'!EB17:ED17,"C"))*2)+((COUNTIF('Elève (6ème3)'!EB17:ED17,"D"))*1))/(COUNTA(EB17:ED17)),"")</f>
        <v/>
      </c>
      <c r="EF17" s="137" t="str">
        <f t="shared" si="30"/>
        <v/>
      </c>
      <c r="EG17" s="180" t="str">
        <f>IF(COUNT(DU17,DZ17,EE17)=0,"",SUM(DU17,DZ17,EE17)/COUNT(DU17,DZ17,EE17))</f>
        <v/>
      </c>
      <c r="EH17" s="133" t="str">
        <f t="shared" si="31"/>
        <v/>
      </c>
      <c r="EI17" s="159"/>
      <c r="EJ17" s="160"/>
      <c r="EK17" s="161"/>
      <c r="EL17" s="136" t="str">
        <f>IFERROR((((COUNTIF('Elève (6ème3)'!EI17:EK17,"A"))*4)+((COUNTIF('Elève (6ème3)'!EI17:EK17,"B"))*3)+((COUNTIF('Elève (6ème3)'!EI17:EK17,"C"))*2)+((COUNTIF('Elève (6ème3)'!EI17:EK17,"D"))*1))/(COUNTA(EI17:EK17)),"")</f>
        <v/>
      </c>
      <c r="EM17" s="137" t="str">
        <f t="shared" si="32"/>
        <v/>
      </c>
      <c r="EN17" s="84"/>
      <c r="EO17" s="85"/>
      <c r="EP17" s="86"/>
      <c r="EQ17" s="136" t="str">
        <f>IFERROR((((COUNTIF('Elève (6ème3)'!EN17:EP17,"A"))*4)+((COUNTIF('Elève (6ème3)'!EN17:EP17,"B"))*3)+((COUNTIF('Elève (6ème3)'!EN17:EP17,"C"))*2)+((COUNTIF('Elève (6ème3)'!EN17:EP17,"D"))*1))/(COUNTA(EN17:EP17)),"")</f>
        <v/>
      </c>
      <c r="ER17" s="137" t="str">
        <f t="shared" si="33"/>
        <v/>
      </c>
      <c r="ES17" s="84"/>
      <c r="ET17" s="85"/>
      <c r="EU17" s="86"/>
      <c r="EV17" s="136" t="str">
        <f>IFERROR((((COUNTIF('Elève (6ème3)'!ES17:EU17,"A"))*4)+((COUNTIF('Elève (6ème3)'!ES17:EU17,"B"))*3)+((COUNTIF('Elève (6ème3)'!ES17:EU17,"C"))*2)+((COUNTIF('Elève (6ème3)'!ES17:EU17,"D"))*1))/(COUNTA(ES17:EU17)),"")</f>
        <v/>
      </c>
      <c r="EW17" s="137" t="str">
        <f t="shared" si="34"/>
        <v/>
      </c>
      <c r="EX17" s="180" t="str">
        <f>IF(COUNT(EL17,EQ17,EV17)=0,"",SUM(EL17,EQ17,EV17)/COUNT(EL17,EQ17,EV17))</f>
        <v/>
      </c>
      <c r="EY17" s="133" t="str">
        <f t="shared" si="35"/>
        <v/>
      </c>
      <c r="EZ17" s="159"/>
      <c r="FA17" s="160"/>
      <c r="FB17" s="161"/>
      <c r="FC17" s="136" t="str">
        <f>IFERROR((((COUNTIF('Elève (6ème3)'!EZ17:FB17,"A"))*4)+((COUNTIF('Elève (6ème3)'!EZ17:FB17,"B"))*3)+((COUNTIF('Elève (6ème3)'!EZ17:FB17,"C"))*2)+((COUNTIF('Elève (6ème3)'!EZ17:FB17,"D"))*1))/(COUNTA(EZ17:FB17)),"")</f>
        <v/>
      </c>
      <c r="FD17" s="137" t="str">
        <f t="shared" si="36"/>
        <v/>
      </c>
      <c r="FE17" s="84"/>
      <c r="FF17" s="85"/>
      <c r="FG17" s="86"/>
      <c r="FH17" s="136" t="str">
        <f>IFERROR((((COUNTIF('Elève (6ème3)'!FE17:FG17,"A"))*4)+((COUNTIF('Elève (6ème3)'!FE17:FG17,"B"))*3)+((COUNTIF('Elève (6ème3)'!FE17:FG17,"C"))*2)+((COUNTIF('Elève (6ème3)'!FE17:FG17,"D"))*1))/(COUNTA(FE17:FG17)),"")</f>
        <v/>
      </c>
      <c r="FI17" s="137" t="str">
        <f t="shared" si="37"/>
        <v/>
      </c>
      <c r="FJ17" s="84"/>
      <c r="FK17" s="85"/>
      <c r="FL17" s="86"/>
      <c r="FM17" s="136" t="str">
        <f>IFERROR((((COUNTIF('Elève (6ème3)'!FJ17:FL17,"A"))*4)+((COUNTIF('Elève (6ème3)'!FJ17:FL17,"B"))*3)+((COUNTIF('Elève (6ème3)'!FJ17:FL17,"C"))*2)+((COUNTIF('Elève (6ème3)'!FJ17:FL17,"D"))*1))/(COUNTA(FJ17:FL17)),"")</f>
        <v/>
      </c>
      <c r="FN17" s="137" t="str">
        <f t="shared" si="38"/>
        <v/>
      </c>
      <c r="FO17" s="180" t="str">
        <f>IF(COUNT(FC17,FH17,FM17)=0,"",SUM(FC17,FH17,FM17)/COUNT(FC17,FH17,FM17))</f>
        <v/>
      </c>
      <c r="FP17" s="133" t="str">
        <f t="shared" si="39"/>
        <v/>
      </c>
      <c r="FQ17" s="159"/>
      <c r="FR17" s="160"/>
      <c r="FS17" s="161"/>
      <c r="FT17" s="136" t="str">
        <f>IFERROR((((COUNTIF('Elève (6ème3)'!FQ17:FS17,"A"))*4)+((COUNTIF('Elève (6ème3)'!FQ17:FS17,"B"))*3)+((COUNTIF('Elève (6ème3)'!FQ17:FS17,"C"))*2)+((COUNTIF('Elève (6ème3)'!FQ17:FS17,"D"))*1))/(COUNTA(FQ17:FS17)),"")</f>
        <v/>
      </c>
      <c r="FU17" s="137" t="str">
        <f t="shared" si="40"/>
        <v/>
      </c>
      <c r="FV17" s="84"/>
      <c r="FW17" s="85"/>
      <c r="FX17" s="86"/>
      <c r="FY17" s="136" t="str">
        <f>IFERROR((((COUNTIF('Elève (6ème3)'!FV17:FX17,"A"))*4)+((COUNTIF('Elève (6ème3)'!FV17:FX17,"B"))*3)+((COUNTIF('Elève (6ème3)'!FV17:FX17,"C"))*2)+((COUNTIF('Elève (6ème3)'!FV17:FX17,"D"))*1))/(COUNTA(FV17:FX17)),"")</f>
        <v/>
      </c>
      <c r="FZ17" s="137" t="str">
        <f t="shared" si="41"/>
        <v/>
      </c>
      <c r="GA17" s="84"/>
      <c r="GB17" s="85"/>
      <c r="GC17" s="86"/>
      <c r="GD17" s="136" t="str">
        <f>IFERROR((((COUNTIF('Elève (6ème3)'!GA17:GC17,"A"))*4)+((COUNTIF('Elève (6ème3)'!GA17:GC17,"B"))*3)+((COUNTIF('Elève (6ème3)'!GA17:GC17,"C"))*2)+((COUNTIF('Elève (6ème3)'!GA17:GC17,"D"))*1))/(COUNTA(GA17:GC17)),"")</f>
        <v/>
      </c>
      <c r="GE17" s="137" t="str">
        <f t="shared" si="42"/>
        <v/>
      </c>
      <c r="GF17" s="180" t="str">
        <f>IF(COUNT(FT17,FY17,GD17)=0,"",SUM(FT17,FY17,GD17)/COUNT(FT17,FY17,GD17))</f>
        <v/>
      </c>
      <c r="GG17" s="133" t="str">
        <f t="shared" si="43"/>
        <v/>
      </c>
      <c r="GH17" s="159"/>
      <c r="GI17" s="160"/>
      <c r="GJ17" s="161"/>
      <c r="GK17" s="136" t="str">
        <f>IFERROR((((COUNTIF('Elève (6ème3)'!GH17:GJ17,"A"))*4)+((COUNTIF('Elève (6ème3)'!GH17:GJ17,"B"))*3)+((COUNTIF('Elève (6ème3)'!GH17:GJ17,"C"))*2)+((COUNTIF('Elève (6ème3)'!GH17:GJ17,"D"))*1))/(COUNTA(GH17:GJ17)),"")</f>
        <v/>
      </c>
      <c r="GL17" s="137" t="str">
        <f t="shared" si="44"/>
        <v/>
      </c>
      <c r="GM17" s="84"/>
      <c r="GN17" s="85"/>
      <c r="GO17" s="86"/>
      <c r="GP17" s="136" t="str">
        <f>IFERROR((((COUNTIF('Elève (6ème3)'!GM17:GO17,"A"))*4)+((COUNTIF('Elève (6ème3)'!GM17:GO17,"B"))*3)+((COUNTIF('Elève (6ème3)'!GM17:GO17,"C"))*2)+((COUNTIF('Elève (6ème3)'!GM17:GO17,"D"))*1))/(COUNTA(GM17:GO17)),"")</f>
        <v/>
      </c>
      <c r="GQ17" s="137" t="str">
        <f t="shared" si="45"/>
        <v/>
      </c>
      <c r="GR17" s="84"/>
      <c r="GS17" s="85"/>
      <c r="GT17" s="86"/>
      <c r="GU17" s="136" t="str">
        <f>IFERROR((((COUNTIF('Elève (6ème3)'!GR17:GT17,"A"))*4)+((COUNTIF('Elève (6ème3)'!GR17:GT17,"B"))*3)+((COUNTIF('Elève (6ème3)'!GR17:GT17,"C"))*2)+((COUNTIF('Elève (6ème3)'!GR17:GT17,"D"))*1))/(COUNTA(GR17:GT17)),"")</f>
        <v/>
      </c>
      <c r="GV17" s="137" t="str">
        <f t="shared" si="46"/>
        <v/>
      </c>
      <c r="GW17" s="180" t="str">
        <f>IF(COUNT(GK17,GP17,GU17)=0,"",SUM(GK17,GP17,GU17)/COUNT(GK17,GP17,GU17))</f>
        <v/>
      </c>
      <c r="GX17" s="133" t="str">
        <f t="shared" si="47"/>
        <v/>
      </c>
      <c r="GY17" s="159"/>
      <c r="GZ17" s="160"/>
      <c r="HA17" s="161"/>
      <c r="HB17" s="136" t="str">
        <f>IFERROR((((COUNTIF('Elève (6ème3)'!GY17:HA17,"A"))*4)+((COUNTIF('Elève (6ème3)'!GY17:HA17,"B"))*3)+((COUNTIF('Elève (6ème3)'!GY17:HA17,"C"))*2)+((COUNTIF('Elève (6ème3)'!GY17:HA17,"D"))*1))/(COUNTA(GY17:HA17)),"")</f>
        <v/>
      </c>
      <c r="HC17" s="137" t="str">
        <f t="shared" si="48"/>
        <v/>
      </c>
      <c r="HD17" s="84"/>
      <c r="HE17" s="85"/>
      <c r="HF17" s="86"/>
      <c r="HG17" s="136" t="str">
        <f>IFERROR((((COUNTIF('Elève (6ème3)'!HD17:HF17,"A"))*4)+((COUNTIF('Elève (6ème3)'!HD17:HF17,"B"))*3)+((COUNTIF('Elève (6ème3)'!HD17:HF17,"C"))*2)+((COUNTIF('Elève (6ème3)'!HD17:HF17,"D"))*1))/(COUNTA(HD17:HF17)),"")</f>
        <v/>
      </c>
      <c r="HH17" s="137" t="str">
        <f t="shared" si="49"/>
        <v/>
      </c>
      <c r="HI17" s="84"/>
      <c r="HJ17" s="85"/>
      <c r="HK17" s="86"/>
      <c r="HL17" s="136" t="str">
        <f>IFERROR((((COUNTIF('Elève (6ème3)'!HI17:HK17,"A"))*4)+((COUNTIF('Elève (6ème3)'!HI17:HK17,"B"))*3)+((COUNTIF('Elève (6ème3)'!HI17:HK17,"C"))*2)+((COUNTIF('Elève (6ème3)'!HI17:HK17,"D"))*1))/(COUNTA(HI17:HK17)),"")</f>
        <v/>
      </c>
      <c r="HM17" s="137" t="str">
        <f t="shared" si="50"/>
        <v/>
      </c>
      <c r="HN17" s="180" t="str">
        <f>IF(COUNT(HB17,HG17,HL17)=0,"",SUM(HB17,HG17,HL17)/COUNT(HB17,HG17,HL17))</f>
        <v/>
      </c>
      <c r="HO17" s="133" t="str">
        <f t="shared" si="51"/>
        <v/>
      </c>
      <c r="HP17" s="159"/>
      <c r="HQ17" s="160"/>
      <c r="HR17" s="161"/>
      <c r="HS17" s="136" t="str">
        <f>IFERROR((((COUNTIF('Elève (6ème3)'!HP17:HR17,"A"))*4)+((COUNTIF('Elève (6ème3)'!HP17:HR17,"B"))*3)+((COUNTIF('Elève (6ème3)'!HP17:HR17,"C"))*2)+((COUNTIF('Elève (6ème3)'!HP17:HR17,"D"))*1))/(COUNTA(HP17:HR17)),"")</f>
        <v/>
      </c>
      <c r="HT17" s="137" t="str">
        <f t="shared" si="52"/>
        <v/>
      </c>
      <c r="HU17" s="84"/>
      <c r="HV17" s="85"/>
      <c r="HW17" s="86"/>
      <c r="HX17" s="136" t="str">
        <f>IFERROR((((COUNTIF('Elève (6ème3)'!HU17:HW17,"A"))*4)+((COUNTIF('Elève (6ème3)'!HU17:HW17,"B"))*3)+((COUNTIF('Elève (6ème3)'!HU17:HW17,"C"))*2)+((COUNTIF('Elève (6ème3)'!HU17:HW17,"D"))*1))/(COUNTA(HU17:HW17)),"")</f>
        <v/>
      </c>
      <c r="HY17" s="137" t="str">
        <f t="shared" si="53"/>
        <v/>
      </c>
      <c r="HZ17" s="84"/>
      <c r="IA17" s="85"/>
      <c r="IB17" s="86"/>
      <c r="IC17" s="136" t="str">
        <f>IFERROR((((COUNTIF('Elève (6ème3)'!HZ17:IB17,"A"))*4)+((COUNTIF('Elève (6ème3)'!HZ17:IB17,"B"))*3)+((COUNTIF('Elève (6ème3)'!HZ17:IB17,"C"))*2)+((COUNTIF('Elève (6ème3)'!HZ17:IB17,"D"))*1))/(COUNTA(HZ17:IB17)),"")</f>
        <v/>
      </c>
      <c r="ID17" s="137" t="str">
        <f t="shared" si="54"/>
        <v/>
      </c>
      <c r="IE17" s="180" t="str">
        <f>IF(COUNT(HS17,HX17,IC17)=0,"",SUM(HS17,HX17,IC17)/COUNT(HS17,HX17,IC17))</f>
        <v/>
      </c>
      <c r="IF17" s="133" t="str">
        <f t="shared" si="55"/>
        <v/>
      </c>
      <c r="IG17" s="159"/>
      <c r="IH17" s="160"/>
      <c r="II17" s="161"/>
      <c r="IJ17" s="136" t="str">
        <f>IFERROR((((COUNTIF('Elève (6ème3)'!IG17:II17,"A"))*4)+((COUNTIF('Elève (6ème3)'!IG17:II17,"B"))*3)+((COUNTIF('Elève (6ème3)'!IG17:II17,"C"))*2)+((COUNTIF('Elève (6ème3)'!IG17:II17,"D"))*1))/(COUNTA(IG17:II17)),"")</f>
        <v/>
      </c>
      <c r="IK17" s="137" t="str">
        <f t="shared" si="56"/>
        <v/>
      </c>
      <c r="IL17" s="84"/>
      <c r="IM17" s="85"/>
      <c r="IN17" s="86"/>
      <c r="IO17" s="136" t="str">
        <f>IFERROR((((COUNTIF('Elève (6ème3)'!IL17:IN17,"A"))*4)+((COUNTIF('Elève (6ème3)'!IL17:IN17,"B"))*3)+((COUNTIF('Elève (6ème3)'!IL17:IN17,"C"))*2)+((COUNTIF('Elève (6ème3)'!IL17:IN17,"D"))*1))/(COUNTA(IL17:IN17)),"")</f>
        <v/>
      </c>
      <c r="IP17" s="137" t="str">
        <f t="shared" si="57"/>
        <v/>
      </c>
      <c r="IQ17" s="84"/>
      <c r="IR17" s="85"/>
      <c r="IS17" s="86"/>
      <c r="IT17" s="136" t="str">
        <f>IFERROR((((COUNTIF('Elève (6ème3)'!IQ17:IS17,"A"))*4)+((COUNTIF('Elève (6ème3)'!IQ17:IS17,"B"))*3)+((COUNTIF('Elève (6ème3)'!IQ17:IS17,"C"))*2)+((COUNTIF('Elève (6ème3)'!IQ17:IS17,"D"))*1))/(COUNTA(IQ17:IS17)),"")</f>
        <v/>
      </c>
      <c r="IU17" s="137" t="str">
        <f t="shared" si="58"/>
        <v/>
      </c>
      <c r="IV17" s="180" t="str">
        <f>IF(COUNT(IJ17,IO17,IT17)=0,"",SUM(IJ17,IO17,IT17)/COUNT(IJ17,IO17,IT17))</f>
        <v/>
      </c>
      <c r="IW17" s="133" t="str">
        <f t="shared" si="59"/>
        <v/>
      </c>
      <c r="IX17" s="159"/>
      <c r="IY17" s="160"/>
      <c r="IZ17" s="161"/>
      <c r="JA17" s="136" t="str">
        <f>IFERROR((((COUNTIF('Elève (6ème3)'!IX17:IZ17,"A"))*4)+((COUNTIF('Elève (6ème3)'!IX17:IZ17,"B"))*3)+((COUNTIF('Elève (6ème3)'!IX17:IZ17,"C"))*2)+((COUNTIF('Elève (6ème3)'!IX17:IZ17,"D"))*1))/(COUNTA(IX17:IZ17)),"")</f>
        <v/>
      </c>
      <c r="JB17" s="137" t="str">
        <f t="shared" si="60"/>
        <v/>
      </c>
      <c r="JC17" s="84"/>
      <c r="JD17" s="85"/>
      <c r="JE17" s="86"/>
      <c r="JF17" s="136" t="str">
        <f>IFERROR((((COUNTIF('Elève (6ème3)'!JC17:JE17,"A"))*4)+((COUNTIF('Elève (6ème3)'!JC17:JE17,"B"))*3)+((COUNTIF('Elève (6ème3)'!JC17:JE17,"C"))*2)+((COUNTIF('Elève (6ème3)'!JC17:JE17,"D"))*1))/(COUNTA(JC17:JE17)),"")</f>
        <v/>
      </c>
      <c r="JG17" s="137" t="str">
        <f t="shared" si="61"/>
        <v/>
      </c>
      <c r="JH17" s="84"/>
      <c r="JI17" s="85"/>
      <c r="JJ17" s="86"/>
      <c r="JK17" s="136" t="str">
        <f>IFERROR((((COUNTIF('Elève (6ème3)'!JH17:JJ17,"A"))*4)+((COUNTIF('Elève (6ème3)'!JH17:JJ17,"B"))*3)+((COUNTIF('Elève (6ème3)'!JH17:JJ17,"C"))*2)+((COUNTIF('Elève (6ème3)'!JH17:JJ17,"D"))*1))/(COUNTA(JH17:JJ17)),"")</f>
        <v/>
      </c>
      <c r="JL17" s="137" t="str">
        <f t="shared" si="62"/>
        <v/>
      </c>
      <c r="JM17" s="180" t="str">
        <f>IF(COUNT(JA17,JF17,JK17)=0,"",SUM(JA17,JF17,JK17)/COUNT(JA17,JF17,JK17))</f>
        <v/>
      </c>
      <c r="JN17" s="133" t="str">
        <f t="shared" si="63"/>
        <v/>
      </c>
      <c r="JO17" s="159"/>
      <c r="JP17" s="160"/>
      <c r="JQ17" s="161"/>
      <c r="JR17" s="136" t="str">
        <f>IFERROR((((COUNTIF('Elève (6ème3)'!JO17:JQ17,"A"))*4)+((COUNTIF('Elève (6ème3)'!JO17:JQ17,"B"))*3)+((COUNTIF('Elève (6ème3)'!JO17:JQ17,"C"))*2)+((COUNTIF('Elève (6ème3)'!JO17:JQ17,"D"))*1))/(COUNTA(JO17:JQ17)),"")</f>
        <v/>
      </c>
      <c r="JS17" s="137" t="str">
        <f t="shared" si="64"/>
        <v/>
      </c>
      <c r="JT17" s="84"/>
      <c r="JU17" s="85"/>
      <c r="JV17" s="86"/>
      <c r="JW17" s="136" t="str">
        <f>IFERROR((((COUNTIF('Elève (6ème3)'!JT17:JV17,"A"))*4)+((COUNTIF('Elève (6ème3)'!JT17:JV17,"B"))*3)+((COUNTIF('Elève (6ème3)'!JT17:JV17,"C"))*2)+((COUNTIF('Elève (6ème3)'!JT17:JV17,"D"))*1))/(COUNTA(JT17:JV17)),"")</f>
        <v/>
      </c>
      <c r="JX17" s="137" t="str">
        <f t="shared" si="65"/>
        <v/>
      </c>
      <c r="JY17" s="84"/>
      <c r="JZ17" s="85"/>
      <c r="KA17" s="86"/>
      <c r="KB17" s="136" t="str">
        <f>IFERROR((((COUNTIF('Elève (6ème3)'!JY17:KA17,"A"))*4)+((COUNTIF('Elève (6ème3)'!JY17:KA17,"B"))*3)+((COUNTIF('Elève (6ème3)'!JY17:KA17,"C"))*2)+((COUNTIF('Elève (6ème3)'!JY17:KA17,"D"))*1))/(COUNTA(JY17:KA17)),"")</f>
        <v/>
      </c>
      <c r="KC17" s="137" t="str">
        <f t="shared" si="66"/>
        <v/>
      </c>
      <c r="KD17" s="180" t="str">
        <f>IF(COUNT(JR17,JW17,KB17)=0,"",SUM(JR17,JW17,KB17)/COUNT(JR17,JW17,KB17))</f>
        <v/>
      </c>
      <c r="KE17" s="133" t="str">
        <f t="shared" si="67"/>
        <v/>
      </c>
      <c r="KF17" s="159"/>
      <c r="KG17" s="160"/>
      <c r="KH17" s="161"/>
      <c r="KI17" s="136" t="str">
        <f>IFERROR((((COUNTIF('Elève (6ème3)'!KF17:KH17,"A"))*4)+((COUNTIF('Elève (6ème3)'!KF17:KH17,"B"))*3)+((COUNTIF('Elève (6ème3)'!KF17:KH17,"C"))*2)+((COUNTIF('Elève (6ème3)'!KF17:KH17,"D"))*1))/(COUNTA(KF17:KH17)),"")</f>
        <v/>
      </c>
      <c r="KJ17" s="137" t="str">
        <f t="shared" si="68"/>
        <v/>
      </c>
      <c r="KK17" s="84"/>
      <c r="KL17" s="85"/>
      <c r="KM17" s="86"/>
      <c r="KN17" s="136" t="str">
        <f>IFERROR((((COUNTIF('Elève (6ème3)'!KK17:KM17,"A"))*4)+((COUNTIF('Elève (6ème3)'!KK17:KM17,"B"))*3)+((COUNTIF('Elève (6ème3)'!KK17:KM17,"C"))*2)+((COUNTIF('Elève (6ème3)'!KK17:KM17,"D"))*1))/(COUNTA(KK17:KM17)),"")</f>
        <v/>
      </c>
      <c r="KO17" s="137" t="str">
        <f t="shared" si="69"/>
        <v/>
      </c>
      <c r="KP17" s="84"/>
      <c r="KQ17" s="85"/>
      <c r="KR17" s="86"/>
      <c r="KS17" s="136" t="str">
        <f>IFERROR((((COUNTIF('Elève (6ème3)'!KP17:KR17,"A"))*4)+((COUNTIF('Elève (6ème3)'!KP17:KR17,"B"))*3)+((COUNTIF('Elève (6ème3)'!KP17:KR17,"C"))*2)+((COUNTIF('Elève (6ème3)'!KP17:KR17,"D"))*1))/(COUNTA(KP17:KR17)),"")</f>
        <v/>
      </c>
      <c r="KT17" s="137" t="str">
        <f t="shared" si="70"/>
        <v/>
      </c>
      <c r="KU17" s="180" t="str">
        <f>IF(COUNT(KI17,KN17,KS17)=0,"",SUM(KI17,KN17,KS17)/COUNT(KI17,KN17,KS17))</f>
        <v/>
      </c>
      <c r="KV17" s="133" t="str">
        <f t="shared" si="71"/>
        <v/>
      </c>
      <c r="KW17" s="159"/>
      <c r="KX17" s="160"/>
      <c r="KY17" s="161"/>
      <c r="KZ17" s="136" t="str">
        <f>IFERROR((((COUNTIF('Elève (6ème3)'!KW17:KY17,"A"))*4)+((COUNTIF('Elève (6ème3)'!KW17:KY17,"B"))*3)+((COUNTIF('Elève (6ème3)'!KW17:KY17,"C"))*2)+((COUNTIF('Elève (6ème3)'!KW17:KY17,"D"))*1))/(COUNTA(KW17:KY17)),"")</f>
        <v/>
      </c>
      <c r="LA17" s="137" t="str">
        <f t="shared" si="72"/>
        <v/>
      </c>
      <c r="LB17" s="84"/>
      <c r="LC17" s="85"/>
      <c r="LD17" s="86"/>
      <c r="LE17" s="136" t="str">
        <f>IFERROR((((COUNTIF('Elève (6ème3)'!LB17:LD17,"A"))*4)+((COUNTIF('Elève (6ème3)'!LB17:LD17,"B"))*3)+((COUNTIF('Elève (6ème3)'!LB17:LD17,"C"))*2)+((COUNTIF('Elève (6ème3)'!LB17:LD17,"D"))*1))/(COUNTA(LB17:LD17)),"")</f>
        <v/>
      </c>
      <c r="LF17" s="137" t="str">
        <f t="shared" si="73"/>
        <v/>
      </c>
      <c r="LG17" s="84"/>
      <c r="LH17" s="85"/>
      <c r="LI17" s="86"/>
      <c r="LJ17" s="136" t="str">
        <f>IFERROR((((COUNTIF('Elève (6ème3)'!LG17:LI17,"A"))*4)+((COUNTIF('Elève (6ème3)'!LG17:LI17,"B"))*3)+((COUNTIF('Elève (6ème3)'!LG17:LI17,"C"))*2)+((COUNTIF('Elève (6ème3)'!LG17:LI17,"D"))*1))/(COUNTA(LG17:LI17)),"")</f>
        <v/>
      </c>
      <c r="LK17" s="137" t="str">
        <f t="shared" si="74"/>
        <v/>
      </c>
      <c r="LL17" s="180" t="str">
        <f>IF(COUNT(KZ17,LE17,LJ17)=0,"",SUM(KZ17,LE17,LJ17)/COUNT(KZ17,LE17,LJ17))</f>
        <v/>
      </c>
      <c r="LM17" s="133" t="str">
        <f t="shared" si="75"/>
        <v/>
      </c>
      <c r="LN17" s="159"/>
      <c r="LO17" s="160"/>
      <c r="LP17" s="161"/>
      <c r="LQ17" s="136" t="str">
        <f>IFERROR((((COUNTIF('Elève (6ème3)'!LN17:LP17,"A"))*4)+((COUNTIF('Elève (6ème3)'!LN17:LP17,"B"))*3)+((COUNTIF('Elève (6ème3)'!LN17:LP17,"C"))*2)+((COUNTIF('Elève (6ème3)'!LN17:LP17,"D"))*1))/(COUNTA(LN17:LP17)),"")</f>
        <v/>
      </c>
      <c r="LR17" s="137" t="str">
        <f t="shared" si="76"/>
        <v/>
      </c>
      <c r="LS17" s="84"/>
      <c r="LT17" s="85"/>
      <c r="LU17" s="86"/>
      <c r="LV17" s="136" t="str">
        <f>IFERROR((((COUNTIF('Elève (6ème3)'!LS17:LU17,"A"))*4)+((COUNTIF('Elève (6ème3)'!LS17:LU17,"B"))*3)+((COUNTIF('Elève (6ème3)'!LS17:LU17,"C"))*2)+((COUNTIF('Elève (6ème3)'!LS17:LU17,"D"))*1))/(COUNTA(LS17:LU17)),"")</f>
        <v/>
      </c>
      <c r="LW17" s="137" t="str">
        <f t="shared" si="77"/>
        <v/>
      </c>
      <c r="LX17" s="84"/>
      <c r="LY17" s="85"/>
      <c r="LZ17" s="86"/>
      <c r="MA17" s="136" t="str">
        <f>IFERROR((((COUNTIF('Elève (6ème3)'!LX17:LZ17,"A"))*4)+((COUNTIF('Elève (6ème3)'!LX17:LZ17,"B"))*3)+((COUNTIF('Elève (6ème3)'!LX17:LZ17,"C"))*2)+((COUNTIF('Elève (6ème3)'!LX17:LZ17,"D"))*1))/(COUNTA(LX17:LZ17)),"")</f>
        <v/>
      </c>
      <c r="MB17" s="137" t="str">
        <f t="shared" si="78"/>
        <v/>
      </c>
      <c r="MC17" s="180" t="str">
        <f>IF(COUNT(LQ17,LV17,MA17)=0,"",SUM(LQ17,LV17,MA17)/COUNT(LQ17,LV17,MA17))</f>
        <v/>
      </c>
      <c r="MD17" s="133" t="str">
        <f t="shared" si="79"/>
        <v/>
      </c>
      <c r="ME17" s="159"/>
      <c r="MF17" s="160"/>
      <c r="MG17" s="161"/>
      <c r="MH17" s="136" t="str">
        <f>IFERROR((((COUNTIF('Elève (6ème3)'!ME17:MG17,"A"))*4)+((COUNTIF('Elève (6ème3)'!ME17:MG17,"B"))*3)+((COUNTIF('Elève (6ème3)'!ME17:MG17,"C"))*2)+((COUNTIF('Elève (6ème3)'!ME17:MG17,"D"))*1))/(COUNTA(ME17:MG17)),"")</f>
        <v/>
      </c>
      <c r="MI17" s="137" t="str">
        <f t="shared" si="80"/>
        <v/>
      </c>
      <c r="MJ17" s="84"/>
      <c r="MK17" s="85"/>
      <c r="ML17" s="86"/>
      <c r="MM17" s="136" t="str">
        <f>IFERROR((((COUNTIF('Elève (6ème3)'!MJ17:ML17,"A"))*4)+((COUNTIF('Elève (6ème3)'!MJ17:ML17,"B"))*3)+((COUNTIF('Elève (6ème3)'!MJ17:ML17,"C"))*2)+((COUNTIF('Elève (6ème3)'!MJ17:ML17,"D"))*1))/(COUNTA(MJ17:ML17)),"")</f>
        <v/>
      </c>
      <c r="MN17" s="137" t="str">
        <f t="shared" si="81"/>
        <v/>
      </c>
      <c r="MO17" s="84"/>
      <c r="MP17" s="85"/>
      <c r="MQ17" s="86"/>
      <c r="MR17" s="136" t="str">
        <f>IFERROR((((COUNTIF('Elève (6ème3)'!MO17:MQ17,"A"))*4)+((COUNTIF('Elève (6ème3)'!MO17:MQ17,"B"))*3)+((COUNTIF('Elève (6ème3)'!MO17:MQ17,"C"))*2)+((COUNTIF('Elève (6ème3)'!MO17:MQ17,"D"))*1))/(COUNTA(MO17:MQ17)),"")</f>
        <v/>
      </c>
      <c r="MS17" s="137" t="str">
        <f t="shared" si="82"/>
        <v/>
      </c>
      <c r="MT17" s="180" t="str">
        <f>IF(COUNT(MH17,MM17,MR17)=0,"",SUM(MH17,MM17,MR17)/COUNT(MH17,MM17,MR17))</f>
        <v/>
      </c>
      <c r="MU17" s="133" t="str">
        <f t="shared" si="83"/>
        <v/>
      </c>
      <c r="MV17" s="159"/>
      <c r="MW17" s="160"/>
      <c r="MX17" s="161"/>
      <c r="MY17" s="136" t="str">
        <f>IFERROR((((COUNTIF('Elève (6ème3)'!MV17:MX17,"A"))*4)+((COUNTIF('Elève (6ème3)'!MV17:MX17,"B"))*3)+((COUNTIF('Elève (6ème3)'!MV17:MX17,"C"))*2)+((COUNTIF('Elève (6ème3)'!MV17:MX17,"D"))*1))/(COUNTA(MV17:MX17)),"")</f>
        <v/>
      </c>
      <c r="MZ17" s="137" t="str">
        <f t="shared" si="84"/>
        <v/>
      </c>
      <c r="NA17" s="84"/>
      <c r="NB17" s="85"/>
      <c r="NC17" s="86"/>
      <c r="ND17" s="136" t="str">
        <f>IFERROR((((COUNTIF('Elève (6ème3)'!NA17:NC17,"A"))*4)+((COUNTIF('Elève (6ème3)'!NA17:NC17,"B"))*3)+((COUNTIF('Elève (6ème3)'!NA17:NC17,"C"))*2)+((COUNTIF('Elève (6ème3)'!NA17:NC17,"D"))*1))/(COUNTA(NA17:NC17)),"")</f>
        <v/>
      </c>
      <c r="NE17" s="137" t="str">
        <f t="shared" si="85"/>
        <v/>
      </c>
      <c r="NF17" s="84"/>
      <c r="NG17" s="85"/>
      <c r="NH17" s="86"/>
      <c r="NI17" s="136" t="str">
        <f>IFERROR((((COUNTIF('Elève (6ème3)'!NF17:NH17,"A"))*4)+((COUNTIF('Elève (6ème3)'!NF17:NH17,"B"))*3)+((COUNTIF('Elève (6ème3)'!NF17:NH17,"C"))*2)+((COUNTIF('Elève (6ème3)'!NF17:NH17,"D"))*1))/(COUNTA(NF17:NH17)),"")</f>
        <v/>
      </c>
      <c r="NJ17" s="137" t="str">
        <f t="shared" si="86"/>
        <v/>
      </c>
      <c r="NK17" s="180" t="str">
        <f>IF(COUNT(MY17,ND17,NI17)=0,"",SUM(MY17,ND17,NI17)/COUNT(MY17,ND17,NI17))</f>
        <v/>
      </c>
      <c r="NL17" s="133" t="str">
        <f t="shared" si="87"/>
        <v/>
      </c>
      <c r="NM17" s="159"/>
      <c r="NN17" s="160"/>
      <c r="NO17" s="161"/>
      <c r="NP17" s="136" t="str">
        <f>IFERROR((((COUNTIF('Elève (6ème3)'!NM17:NO17,"A"))*4)+((COUNTIF('Elève (6ème3)'!NM17:NO17,"B"))*3)+((COUNTIF('Elève (6ème3)'!NM17:NO17,"C"))*2)+((COUNTIF('Elève (6ème3)'!NM17:NO17,"D"))*1))/(COUNTA(NM17:NO17)),"")</f>
        <v/>
      </c>
      <c r="NQ17" s="137" t="str">
        <f t="shared" si="88"/>
        <v/>
      </c>
      <c r="NR17" s="84"/>
      <c r="NS17" s="85"/>
      <c r="NT17" s="86"/>
      <c r="NU17" s="136" t="str">
        <f>IFERROR((((COUNTIF('Elève (6ème3)'!NR17:NT17,"A"))*4)+((COUNTIF('Elève (6ème3)'!NR17:NT17,"B"))*3)+((COUNTIF('Elève (6ème3)'!NR17:NT17,"C"))*2)+((COUNTIF('Elève (6ème3)'!NR17:NT17,"D"))*1))/(COUNTA(NR17:NT17)),"")</f>
        <v/>
      </c>
      <c r="NV17" s="137" t="str">
        <f t="shared" si="89"/>
        <v/>
      </c>
      <c r="NW17" s="84"/>
      <c r="NX17" s="85"/>
      <c r="NY17" s="86"/>
      <c r="NZ17" s="136" t="str">
        <f>IFERROR((((COUNTIF('Elève (6ème3)'!NW17:NY17,"A"))*4)+((COUNTIF('Elève (6ème3)'!NW17:NY17,"B"))*3)+((COUNTIF('Elève (6ème3)'!NW17:NY17,"C"))*2)+((COUNTIF('Elève (6ème3)'!NW17:NY17,"D"))*1))/(COUNTA(NW17:NY17)),"")</f>
        <v/>
      </c>
      <c r="OA17" s="137" t="str">
        <f t="shared" si="90"/>
        <v/>
      </c>
      <c r="OB17" s="180" t="str">
        <f>IF(COUNT(NP17,NU17,NZ17)=0,"",SUM(NP17,NU17,NZ17)/COUNT(NP17,NU17,NZ17))</f>
        <v/>
      </c>
      <c r="OC17" s="133" t="str">
        <f t="shared" si="91"/>
        <v/>
      </c>
      <c r="OD17" s="159"/>
      <c r="OE17" s="160"/>
      <c r="OF17" s="161"/>
      <c r="OG17" s="136" t="str">
        <f>IFERROR((((COUNTIF('Elève (6ème3)'!OD17:OF17,"A"))*4)+((COUNTIF('Elève (6ème3)'!OD17:OF17,"B"))*3)+((COUNTIF('Elève (6ème3)'!OD17:OF17,"C"))*2)+((COUNTIF('Elève (6ème3)'!OD17:OF17,"D"))*1))/(COUNTA(OD17:OF17)),"")</f>
        <v/>
      </c>
      <c r="OH17" s="137" t="str">
        <f t="shared" si="92"/>
        <v/>
      </c>
      <c r="OI17" s="84"/>
      <c r="OJ17" s="85"/>
      <c r="OK17" s="86"/>
      <c r="OL17" s="136" t="str">
        <f>IFERROR((((COUNTIF('Elève (6ème3)'!OI17:OK17,"A"))*4)+((COUNTIF('Elève (6ème3)'!OI17:OK17,"B"))*3)+((COUNTIF('Elève (6ème3)'!OI17:OK17,"C"))*2)+((COUNTIF('Elève (6ème3)'!OI17:OK17,"D"))*1))/(COUNTA(OI17:OK17)),"")</f>
        <v/>
      </c>
      <c r="OM17" s="137" t="str">
        <f t="shared" si="93"/>
        <v/>
      </c>
      <c r="ON17" s="84"/>
      <c r="OO17" s="85"/>
      <c r="OP17" s="86"/>
      <c r="OQ17" s="136" t="str">
        <f>IFERROR((((COUNTIF('Elève (6ème3)'!ON17:OP17,"A"))*4)+((COUNTIF('Elève (6ème3)'!ON17:OP17,"B"))*3)+((COUNTIF('Elève (6ème3)'!ON17:OP17,"C"))*2)+((COUNTIF('Elève (6ème3)'!ON17:OP17,"D"))*1))/(COUNTA(ON17:OP17)),"")</f>
        <v/>
      </c>
      <c r="OR17" s="137" t="str">
        <f t="shared" si="94"/>
        <v/>
      </c>
      <c r="OS17" s="180" t="str">
        <f>IF(COUNT(OG17,OL17,OQ17)=0,"",SUM(OG17,OL17,OQ17)/COUNT(OG17,OL17,OQ17))</f>
        <v/>
      </c>
      <c r="OT17" s="133" t="str">
        <f t="shared" si="95"/>
        <v/>
      </c>
      <c r="OU17" s="159"/>
      <c r="OV17" s="160"/>
      <c r="OW17" s="161"/>
      <c r="OX17" s="136" t="str">
        <f>IFERROR((((COUNTIF('Elève (6ème3)'!OU17:OW17,"A"))*4)+((COUNTIF('Elève (6ème3)'!OU17:OW17,"B"))*3)+((COUNTIF('Elève (6ème3)'!OU17:OW17,"C"))*2)+((COUNTIF('Elève (6ème3)'!OU17:OW17,"D"))*1))/(COUNTA(OU17:OW17)),"")</f>
        <v/>
      </c>
      <c r="OY17" s="137" t="str">
        <f t="shared" si="96"/>
        <v/>
      </c>
      <c r="OZ17" s="84"/>
      <c r="PA17" s="85"/>
      <c r="PB17" s="86"/>
      <c r="PC17" s="136" t="str">
        <f>IFERROR((((COUNTIF('Elève (6ème3)'!OZ17:PB17,"A"))*4)+((COUNTIF('Elève (6ème3)'!OZ17:PB17,"B"))*3)+((COUNTIF('Elève (6ème3)'!OZ17:PB17,"C"))*2)+((COUNTIF('Elève (6ème3)'!OZ17:PB17,"D"))*1))/(COUNTA(OZ17:PB17)),"")</f>
        <v/>
      </c>
      <c r="PD17" s="137" t="str">
        <f t="shared" si="97"/>
        <v/>
      </c>
      <c r="PE17" s="84"/>
      <c r="PF17" s="85"/>
      <c r="PG17" s="86"/>
      <c r="PH17" s="136" t="str">
        <f>IFERROR((((COUNTIF('Elève (6ème3)'!PE17:PG17,"A"))*4)+((COUNTIF('Elève (6ème3)'!PE17:PG17,"B"))*3)+((COUNTIF('Elève (6ème3)'!PE17:PG17,"C"))*2)+((COUNTIF('Elève (6ème3)'!PE17:PG17,"D"))*1))/(COUNTA(PE17:PG17)),"")</f>
        <v/>
      </c>
      <c r="PI17" s="137" t="str">
        <f t="shared" si="98"/>
        <v/>
      </c>
      <c r="PJ17" s="180" t="str">
        <f>IF(COUNT(OX17,PC17,PH17)=0,"",SUM(OX17,PC17,PH17)/COUNT(OX17,PC17,PH17))</f>
        <v/>
      </c>
      <c r="PK17" s="133" t="str">
        <f t="shared" si="99"/>
        <v/>
      </c>
      <c r="PL17" s="159"/>
      <c r="PM17" s="160"/>
      <c r="PN17" s="161"/>
      <c r="PO17" s="136" t="str">
        <f>IFERROR((((COUNTIF('Elève (6ème3)'!PL17:PN17,"A"))*4)+((COUNTIF('Elève (6ème3)'!PL17:PN17,"B"))*3)+((COUNTIF('Elève (6ème3)'!PL17:PN17,"C"))*2)+((COUNTIF('Elève (6ème3)'!PL17:PN17,"D"))*1))/(COUNTA(PL17:PN17)),"")</f>
        <v/>
      </c>
      <c r="PP17" s="137" t="str">
        <f t="shared" si="100"/>
        <v/>
      </c>
      <c r="PQ17" s="84"/>
      <c r="PR17" s="85"/>
      <c r="PS17" s="86"/>
      <c r="PT17" s="136" t="str">
        <f>IFERROR((((COUNTIF('Elève (6ème3)'!PQ17:PS17,"A"))*4)+((COUNTIF('Elève (6ème3)'!PQ17:PS17,"B"))*3)+((COUNTIF('Elève (6ème3)'!PQ17:PS17,"C"))*2)+((COUNTIF('Elève (6ème3)'!PQ17:PS17,"D"))*1))/(COUNTA(PQ17:PS17)),"")</f>
        <v/>
      </c>
      <c r="PU17" s="137" t="str">
        <f t="shared" si="101"/>
        <v/>
      </c>
      <c r="PV17" s="84"/>
      <c r="PW17" s="85"/>
      <c r="PX17" s="86"/>
      <c r="PY17" s="136" t="str">
        <f>IFERROR((((COUNTIF('Elève (6ème3)'!PV17:PX17,"A"))*4)+((COUNTIF('Elève (6ème3)'!PV17:PX17,"B"))*3)+((COUNTIF('Elève (6ème3)'!PV17:PX17,"C"))*2)+((COUNTIF('Elève (6ème3)'!PV17:PX17,"D"))*1))/(COUNTA(PV17:PX17)),"")</f>
        <v/>
      </c>
      <c r="PZ17" s="137" t="str">
        <f t="shared" si="102"/>
        <v/>
      </c>
      <c r="QA17" s="180" t="str">
        <f>IF(COUNT(PO17,PT17,PY17)=0,"",SUM(PO17,PT17,PY17)/COUNT(PO17,PT17,PY17))</f>
        <v/>
      </c>
      <c r="QB17" s="133" t="str">
        <f t="shared" si="103"/>
        <v/>
      </c>
      <c r="QC17" s="159"/>
      <c r="QD17" s="160"/>
      <c r="QE17" s="161"/>
      <c r="QF17" s="136" t="str">
        <f>IFERROR((((COUNTIF('Elève (6ème3)'!QC17:QE17,"A"))*4)+((COUNTIF('Elève (6ème3)'!QC17:QE17,"B"))*3)+((COUNTIF('Elève (6ème3)'!QC17:QE17,"C"))*2)+((COUNTIF('Elève (6ème3)'!QC17:QE17,"D"))*1))/(COUNTA(QC17:QE17)),"")</f>
        <v/>
      </c>
      <c r="QG17" s="137" t="str">
        <f t="shared" si="104"/>
        <v/>
      </c>
      <c r="QH17" s="84"/>
      <c r="QI17" s="85"/>
      <c r="QJ17" s="86"/>
      <c r="QK17" s="136" t="str">
        <f>IFERROR((((COUNTIF('Elève (6ème3)'!QH17:QJ17,"A"))*4)+((COUNTIF('Elève (6ème3)'!QH17:QJ17,"B"))*3)+((COUNTIF('Elève (6ème3)'!QH17:QJ17,"C"))*2)+((COUNTIF('Elève (6ème3)'!QH17:QJ17,"D"))*1))/(COUNTA(QH17:QJ17)),"")</f>
        <v/>
      </c>
      <c r="QL17" s="137" t="str">
        <f t="shared" si="105"/>
        <v/>
      </c>
      <c r="QM17" s="84"/>
      <c r="QN17" s="85"/>
      <c r="QO17" s="86"/>
      <c r="QP17" s="136" t="str">
        <f>IFERROR((((COUNTIF('Elève (6ème3)'!QM17:QO17,"A"))*4)+((COUNTIF('Elève (6ème3)'!QM17:QO17,"B"))*3)+((COUNTIF('Elève (6ème3)'!QM17:QO17,"C"))*2)+((COUNTIF('Elève (6ème3)'!QM17:QO17,"D"))*1))/(COUNTA(QM17:QO17)),"")</f>
        <v/>
      </c>
      <c r="QQ17" s="137" t="str">
        <f t="shared" si="106"/>
        <v/>
      </c>
      <c r="QR17" s="180" t="str">
        <f>IF(COUNT(QF17,QK17,QP17)=0,"",SUM(QF17,QK17,QP17)/COUNT(QF17,QK17,QP17))</f>
        <v/>
      </c>
      <c r="QS17" s="133" t="str">
        <f t="shared" si="107"/>
        <v/>
      </c>
      <c r="QT17" s="159"/>
      <c r="QU17" s="160"/>
      <c r="QV17" s="161"/>
      <c r="QW17" s="136" t="str">
        <f>IFERROR((((COUNTIF('Elève (6ème3)'!QT17:QV17,"A"))*4)+((COUNTIF('Elève (6ème3)'!QT17:QV17,"B"))*3)+((COUNTIF('Elève (6ème3)'!QT17:QV17,"C"))*2)+((COUNTIF('Elève (6ème3)'!QT17:QV17,"D"))*1))/(COUNTA(QT17:QV17)),"")</f>
        <v/>
      </c>
      <c r="QX17" s="137" t="str">
        <f t="shared" si="108"/>
        <v/>
      </c>
      <c r="QY17" s="84"/>
      <c r="QZ17" s="85"/>
      <c r="RA17" s="86"/>
      <c r="RB17" s="136" t="str">
        <f>IFERROR((((COUNTIF('Elève (6ème3)'!QY17:RA17,"A"))*4)+((COUNTIF('Elève (6ème3)'!QY17:RA17,"B"))*3)+((COUNTIF('Elève (6ème3)'!QY17:RA17,"C"))*2)+((COUNTIF('Elève (6ème3)'!QY17:RA17,"D"))*1))/(COUNTA(QY17:RA17)),"")</f>
        <v/>
      </c>
      <c r="RC17" s="137" t="str">
        <f t="shared" si="109"/>
        <v/>
      </c>
      <c r="RD17" s="84"/>
      <c r="RE17" s="85"/>
      <c r="RF17" s="86"/>
      <c r="RG17" s="136" t="str">
        <f>IFERROR((((COUNTIF('Elève (6ème3)'!RD17:RF17,"A"))*4)+((COUNTIF('Elève (6ème3)'!RD17:RF17,"B"))*3)+((COUNTIF('Elève (6ème3)'!RD17:RF17,"C"))*2)+((COUNTIF('Elève (6ème3)'!RD17:RF17,"D"))*1))/(COUNTA(RD17:RF17)),"")</f>
        <v/>
      </c>
      <c r="RH17" s="137" t="str">
        <f t="shared" si="110"/>
        <v/>
      </c>
      <c r="RI17" s="180" t="str">
        <f>IF(COUNT(QW17,RB17,RG17)=0,"",SUM(QW17,RB17,RG17)/COUNT(QW17,RB17,RG17))</f>
        <v/>
      </c>
      <c r="RJ17" s="133" t="str">
        <f t="shared" si="111"/>
        <v/>
      </c>
      <c r="RK17" s="159"/>
      <c r="RL17" s="160"/>
      <c r="RM17" s="161"/>
      <c r="RN17" s="136" t="str">
        <f>IFERROR((((COUNTIF('Elève (6ème3)'!RK17:RM17,"A"))*4)+((COUNTIF('Elève (6ème3)'!RK17:RM17,"B"))*3)+((COUNTIF('Elève (6ème3)'!RK17:RM17,"C"))*2)+((COUNTIF('Elève (6ème3)'!RK17:RM17,"D"))*1))/(COUNTA(RK17:RM17)),"")</f>
        <v/>
      </c>
      <c r="RO17" s="137" t="str">
        <f t="shared" si="112"/>
        <v/>
      </c>
      <c r="RP17" s="84"/>
      <c r="RQ17" s="85"/>
      <c r="RR17" s="86"/>
      <c r="RS17" s="136" t="str">
        <f>IFERROR((((COUNTIF('Elève (6ème3)'!RP17:RR17,"A"))*4)+((COUNTIF('Elève (6ème3)'!RP17:RR17,"B"))*3)+((COUNTIF('Elève (6ème3)'!RP17:RR17,"C"))*2)+((COUNTIF('Elève (6ème3)'!RP17:RR17,"D"))*1))/(COUNTA(RP17:RR17)),"")</f>
        <v/>
      </c>
      <c r="RT17" s="137" t="str">
        <f t="shared" si="113"/>
        <v/>
      </c>
      <c r="RU17" s="84"/>
      <c r="RV17" s="85"/>
      <c r="RW17" s="86"/>
      <c r="RX17" s="136" t="str">
        <f>IFERROR((((COUNTIF('Elève (6ème3)'!RU17:RW17,"A"))*4)+((COUNTIF('Elève (6ème3)'!RU17:RW17,"B"))*3)+((COUNTIF('Elève (6ème3)'!RU17:RW17,"C"))*2)+((COUNTIF('Elève (6ème3)'!RU17:RW17,"D"))*1))/(COUNTA(RU17:RW17)),"")</f>
        <v/>
      </c>
      <c r="RY17" s="137" t="str">
        <f t="shared" si="114"/>
        <v/>
      </c>
      <c r="RZ17" s="180" t="str">
        <f>IF(COUNT(RN17,RS17,RX17)=0,"",SUM(RN17,RS17,RX17)/COUNT(RN17,RS17,RX17))</f>
        <v/>
      </c>
      <c r="SA17" s="133" t="str">
        <f t="shared" si="115"/>
        <v/>
      </c>
      <c r="SB17" s="159"/>
      <c r="SC17" s="160"/>
      <c r="SD17" s="161"/>
      <c r="SE17" s="136" t="str">
        <f>IFERROR((((COUNTIF('Elève (6ème3)'!SB17:SD17,"A"))*4)+((COUNTIF('Elève (6ème3)'!SB17:SD17,"B"))*3)+((COUNTIF('Elève (6ème3)'!SB17:SD17,"C"))*2)+((COUNTIF('Elève (6ème3)'!SB17:SD17,"D"))*1))/(COUNTA(SB17:SD17)),"")</f>
        <v/>
      </c>
      <c r="SF17" s="137" t="str">
        <f t="shared" si="116"/>
        <v/>
      </c>
      <c r="SG17" s="84"/>
      <c r="SH17" s="85"/>
      <c r="SI17" s="86"/>
      <c r="SJ17" s="136" t="str">
        <f>IFERROR((((COUNTIF('Elève (6ème3)'!SG17:SI17,"A"))*4)+((COUNTIF('Elève (6ème3)'!SG17:SI17,"B"))*3)+((COUNTIF('Elève (6ème3)'!SG17:SI17,"C"))*2)+((COUNTIF('Elève (6ème3)'!SG17:SI17,"D"))*1))/(COUNTA(SG17:SI17)),"")</f>
        <v/>
      </c>
      <c r="SK17" s="137" t="str">
        <f t="shared" si="117"/>
        <v/>
      </c>
      <c r="SL17" s="84"/>
      <c r="SM17" s="85"/>
      <c r="SN17" s="86"/>
      <c r="SO17" s="136" t="str">
        <f>IFERROR((((COUNTIF('Elève (6ème3)'!SL17:SN17,"A"))*4)+((COUNTIF('Elève (6ème3)'!SL17:SN17,"B"))*3)+((COUNTIF('Elève (6ème3)'!SL17:SN17,"C"))*2)+((COUNTIF('Elève (6ème3)'!SL17:SN17,"D"))*1))/(COUNTA(SL17:SN17)),"")</f>
        <v/>
      </c>
      <c r="SP17" s="137" t="str">
        <f t="shared" si="118"/>
        <v/>
      </c>
      <c r="SQ17" s="180" t="str">
        <f>IF(COUNT(SE17,SJ17,SO17)=0,"",SUM(SE17,SJ17,SO17)/COUNT(SE17,SJ17,SO17))</f>
        <v/>
      </c>
      <c r="SR17" s="133" t="str">
        <f t="shared" si="119"/>
        <v/>
      </c>
    </row>
    <row r="18" spans="1:512" s="77" customFormat="1" ht="16.5" customHeight="1" thickBot="1" x14ac:dyDescent="0.3">
      <c r="A18" s="96" t="s">
        <v>21</v>
      </c>
      <c r="B18" s="88">
        <v>1</v>
      </c>
      <c r="C18" s="152"/>
      <c r="D18" s="190"/>
      <c r="E18" s="185"/>
      <c r="F18" s="129">
        <f>IFERROR((((COUNTIF('Elève (6ème3)'!C19:E19,"A"))*4)+((COUNTIF('Elève (6ème3)'!C19:E19,"B"))*3)+((COUNTIF('Elève (6ème3)'!C19:E19,"C"))*2)+((COUNTIF('Elève (6ème3)'!C19:E19,"D"))*1))/(COUNTA(C19:E19)),"")</f>
        <v>4</v>
      </c>
      <c r="G18" s="107" t="str">
        <f t="shared" si="0"/>
        <v>A</v>
      </c>
      <c r="H18" s="204"/>
      <c r="I18" s="186"/>
      <c r="J18" s="205"/>
      <c r="K18" s="129" t="str">
        <f>IFERROR((((COUNTIF('Elève (6ème3)'!H19:J19,"A"))*4)+((COUNTIF('Elève (6ème3)'!H19:J19,"B"))*3)+((COUNTIF('Elève (6ème3)'!H19:J19,"C"))*2)+((COUNTIF('Elève (6ème3)'!H19:J19,"D"))*1))/(COUNTA(H19:J19)),"")</f>
        <v/>
      </c>
      <c r="L18" s="121" t="str">
        <f t="shared" si="1"/>
        <v/>
      </c>
      <c r="M18" s="100"/>
      <c r="N18" s="187"/>
      <c r="O18" s="188"/>
      <c r="P18" s="129" t="str">
        <f>IFERROR((((COUNTIF('Elève (6ème3)'!M19:O19,"A"))*4)+((COUNTIF('Elève (6ème3)'!M19:O19,"B"))*3)+((COUNTIF('Elève (6ème3)'!M19:O19,"C"))*2)+((COUNTIF('Elève (6ème3)'!M19:O19,"D"))*1))/(COUNTA(M19:O19)),"")</f>
        <v/>
      </c>
      <c r="Q18" s="128" t="str">
        <f t="shared" si="2"/>
        <v/>
      </c>
      <c r="R18" s="177">
        <f>IFERROR((((COUNTIF(C19:E19,"A")+COUNTIF(H19:J19,"A")+COUNTIF(M19:O19,"A"))*4)+((COUNTIF(C19:E19,"B")+COUNTIF(H19:J19,"B")+COUNTIF(M19:O19,"B"))*3)+((COUNTIF(C19:E19,"C")+COUNTIF(H19:J19,"C")+COUNTIF(M19:O19,"C"))*2)+((COUNTIF(C19:E19,"D")+COUNTIF(H19:J19,"D")+COUNTIF(M19:O19,"D"))*1))/(COUNTA(C19:E19)+COUNTA(H19:J19)+COUNTA(M19:O19)),"")</f>
        <v>4</v>
      </c>
      <c r="S18" s="130" t="str">
        <f t="shared" si="3"/>
        <v>A</v>
      </c>
      <c r="T18" s="152"/>
      <c r="U18" s="190"/>
      <c r="V18" s="185"/>
      <c r="W18" s="129">
        <f>IFERROR((((COUNTIF('Elève (6ème3)'!T19:V19,"A"))*4)+((COUNTIF('Elève (6ème3)'!T19:V19,"B"))*3)+((COUNTIF('Elève (6ème3)'!T19:V19,"C"))*2)+((COUNTIF('Elève (6ème3)'!T19:V19,"D"))*1))/(COUNTA(T19:V19)),"")</f>
        <v>4</v>
      </c>
      <c r="X18" s="107" t="str">
        <f t="shared" si="4"/>
        <v>A</v>
      </c>
      <c r="Y18" s="204"/>
      <c r="Z18" s="186"/>
      <c r="AA18" s="205"/>
      <c r="AB18" s="129" t="str">
        <f>IFERROR((((COUNTIF('Elève (6ème3)'!Y19:AA19,"A"))*4)+((COUNTIF('Elève (6ème3)'!Y19:AA19,"B"))*3)+((COUNTIF('Elève (6ème3)'!Y19:AA19,"C"))*2)+((COUNTIF('Elève (6ème3)'!Y19:AA19,"D"))*1))/(COUNTA(Y19:AA19)),"")</f>
        <v/>
      </c>
      <c r="AC18" s="121" t="str">
        <f t="shared" si="5"/>
        <v/>
      </c>
      <c r="AD18" s="100"/>
      <c r="AE18" s="187"/>
      <c r="AF18" s="188"/>
      <c r="AG18" s="129" t="str">
        <f>IFERROR((((COUNTIF('Elève (6ème3)'!AD19:AF19,"A"))*4)+((COUNTIF('Elève (6ème3)'!AD19:AF19,"B"))*3)+((COUNTIF('Elève (6ème3)'!AD19:AF19,"C"))*2)+((COUNTIF('Elève (6ème3)'!AD19:AF19,"D"))*1))/(COUNTA(AD19:AF19)),"")</f>
        <v/>
      </c>
      <c r="AH18" s="128" t="str">
        <f t="shared" si="6"/>
        <v/>
      </c>
      <c r="AI18" s="177">
        <f>IFERROR((((COUNTIF(T19:V19,"A")+COUNTIF(Y19:AA19,"A")+COUNTIF(AD19:AF19,"A"))*4)+((COUNTIF(T19:V19,"B")+COUNTIF(Y19:AA19,"B")+COUNTIF(AD19:AF19,"B"))*3)+((COUNTIF(T19:V19,"C")+COUNTIF(Y19:AA19,"C")+COUNTIF(AD19:AF19,"C"))*2)+((COUNTIF(T19:V19,"D")+COUNTIF(Y19:AA19,"D")+COUNTIF(AD19:AF19,"D"))*1))/(COUNTA(T19:V19)+COUNTA(Y19:AA19)+COUNTA(AD19:AF19)),"")</f>
        <v>4</v>
      </c>
      <c r="AJ18" s="130" t="str">
        <f t="shared" si="7"/>
        <v>A</v>
      </c>
      <c r="AK18" s="152"/>
      <c r="AL18" s="190"/>
      <c r="AM18" s="185"/>
      <c r="AN18" s="129">
        <f>IFERROR((((COUNTIF('Elève (6ème3)'!AK19:AM19,"A"))*4)+((COUNTIF('Elève (6ème3)'!AK19:AM19,"B"))*3)+((COUNTIF('Elève (6ème3)'!AK19:AM19,"C"))*2)+((COUNTIF('Elève (6ème3)'!AK19:AM19,"D"))*1))/(COUNTA(AK19:AM19)),"")</f>
        <v>4</v>
      </c>
      <c r="AO18" s="107" t="str">
        <f t="shared" si="8"/>
        <v>A</v>
      </c>
      <c r="AP18" s="204"/>
      <c r="AQ18" s="186"/>
      <c r="AR18" s="205"/>
      <c r="AS18" s="129" t="str">
        <f>IFERROR((((COUNTIF('Elève (6ème3)'!AP19:AR19,"A"))*4)+((COUNTIF('Elève (6ème3)'!AP19:AR19,"B"))*3)+((COUNTIF('Elève (6ème3)'!AP19:AR19,"C"))*2)+((COUNTIF('Elève (6ème3)'!AP19:AR19,"D"))*1))/(COUNTA(AP19:AR19)),"")</f>
        <v/>
      </c>
      <c r="AT18" s="121" t="str">
        <f t="shared" si="9"/>
        <v/>
      </c>
      <c r="AU18" s="100"/>
      <c r="AV18" s="187"/>
      <c r="AW18" s="188"/>
      <c r="AX18" s="129" t="str">
        <f>IFERROR((((COUNTIF('Elève (6ème3)'!AU19:AW19,"A"))*4)+((COUNTIF('Elève (6ème3)'!AU19:AW19,"B"))*3)+((COUNTIF('Elève (6ème3)'!AU19:AW19,"C"))*2)+((COUNTIF('Elève (6ème3)'!AU19:AW19,"D"))*1))/(COUNTA(AU19:AW19)),"")</f>
        <v/>
      </c>
      <c r="AY18" s="128" t="str">
        <f t="shared" si="10"/>
        <v/>
      </c>
      <c r="AZ18" s="177">
        <f>IFERROR((((COUNTIF(AK19:AM19,"A")+COUNTIF(AP19:AR19,"A")+COUNTIF(AU19:AW19,"A"))*4)+((COUNTIF(AK19:AM19,"B")+COUNTIF(AP19:AR19,"B")+COUNTIF(AU19:AW19,"B"))*3)+((COUNTIF(AK19:AM19,"C")+COUNTIF(AP19:AR19,"C")+COUNTIF(AU19:AW19,"C"))*2)+((COUNTIF(AK19:AM19,"D")+COUNTIF(AP19:AR19,"D")+COUNTIF(AU19:AW19,"D"))*1))/(COUNTA(AK19:AM19)+COUNTA(AP19:AR19)+COUNTA(AU19:AW19)),"")</f>
        <v>4</v>
      </c>
      <c r="BA18" s="130" t="str">
        <f t="shared" si="11"/>
        <v>A</v>
      </c>
      <c r="BB18" s="152"/>
      <c r="BC18" s="190"/>
      <c r="BD18" s="185"/>
      <c r="BE18" s="129">
        <f>IFERROR((((COUNTIF('Elève (6ème3)'!BB19:BD19,"A"))*4)+((COUNTIF('Elève (6ème3)'!BB19:BD19,"B"))*3)+((COUNTIF('Elève (6ème3)'!BB19:BD19,"C"))*2)+((COUNTIF('Elève (6ème3)'!BB19:BD19,"D"))*1))/(COUNTA(BB19:BD19)),"")</f>
        <v>4</v>
      </c>
      <c r="BF18" s="107" t="str">
        <f t="shared" si="12"/>
        <v>A</v>
      </c>
      <c r="BG18" s="204"/>
      <c r="BH18" s="186"/>
      <c r="BI18" s="205"/>
      <c r="BJ18" s="129" t="str">
        <f>IFERROR((((COUNTIF('Elève (6ème3)'!BG19:BI19,"A"))*4)+((COUNTIF('Elève (6ème3)'!BG19:BI19,"B"))*3)+((COUNTIF('Elève (6ème3)'!BG19:BI19,"C"))*2)+((COUNTIF('Elève (6ème3)'!BG19:BI19,"D"))*1))/(COUNTA(BG19:BI19)),"")</f>
        <v/>
      </c>
      <c r="BK18" s="121" t="str">
        <f t="shared" si="13"/>
        <v/>
      </c>
      <c r="BL18" s="100"/>
      <c r="BM18" s="187"/>
      <c r="BN18" s="188"/>
      <c r="BO18" s="129" t="str">
        <f>IFERROR((((COUNTIF('Elève (6ème3)'!BL19:BN19,"A"))*4)+((COUNTIF('Elève (6ème3)'!BL19:BN19,"B"))*3)+((COUNTIF('Elève (6ème3)'!BL19:BN19,"C"))*2)+((COUNTIF('Elève (6ème3)'!BL19:BN19,"D"))*1))/(COUNTA(BL19:BN19)),"")</f>
        <v/>
      </c>
      <c r="BP18" s="128" t="str">
        <f t="shared" si="14"/>
        <v/>
      </c>
      <c r="BQ18" s="177">
        <f>IFERROR((((COUNTIF(BB19:BD19,"A")+COUNTIF(BG19:BI19,"A")+COUNTIF(BL19:BN19,"A"))*4)+((COUNTIF(BB19:BD19,"B")+COUNTIF(BG19:BI19,"B")+COUNTIF(BL19:BN19,"B"))*3)+((COUNTIF(BB19:BD19,"C")+COUNTIF(BG19:BI19,"C")+COUNTIF(BL19:BN19,"C"))*2)+((COUNTIF(BB19:BD19,"D")+COUNTIF(BG19:BI19,"D")+COUNTIF(BL19:BN19,"D"))*1))/(COUNTA(BB19:BD19)+COUNTA(BG19:BI19)+COUNTA(BL19:BN19)),"")</f>
        <v>4</v>
      </c>
      <c r="BR18" s="130" t="str">
        <f t="shared" si="15"/>
        <v>A</v>
      </c>
      <c r="BS18" s="152"/>
      <c r="BT18" s="190"/>
      <c r="BU18" s="185"/>
      <c r="BV18" s="129">
        <f>IFERROR((((COUNTIF('Elève (6ème3)'!BS19:BU19,"A"))*4)+((COUNTIF('Elève (6ème3)'!BS19:BU19,"B"))*3)+((COUNTIF('Elève (6ème3)'!BS19:BU19,"C"))*2)+((COUNTIF('Elève (6ème3)'!BS19:BU19,"D"))*1))/(COUNTA(BS19:BU19)),"")</f>
        <v>4</v>
      </c>
      <c r="BW18" s="107" t="str">
        <f t="shared" si="16"/>
        <v>A</v>
      </c>
      <c r="BX18" s="204"/>
      <c r="BY18" s="186"/>
      <c r="BZ18" s="205"/>
      <c r="CA18" s="129" t="str">
        <f>IFERROR((((COUNTIF('Elève (6ème3)'!BX19:BZ19,"A"))*4)+((COUNTIF('Elève (6ème3)'!BX19:BZ19,"B"))*3)+((COUNTIF('Elève (6ème3)'!BX19:BZ19,"C"))*2)+((COUNTIF('Elève (6ème3)'!BX19:BZ19,"D"))*1))/(COUNTA(BX19:BZ19)),"")</f>
        <v/>
      </c>
      <c r="CB18" s="121" t="str">
        <f t="shared" si="17"/>
        <v/>
      </c>
      <c r="CC18" s="100"/>
      <c r="CD18" s="187"/>
      <c r="CE18" s="188"/>
      <c r="CF18" s="129" t="str">
        <f>IFERROR((((COUNTIF('Elève (6ème3)'!CC19:CE19,"A"))*4)+((COUNTIF('Elève (6ème3)'!CC19:CE19,"B"))*3)+((COUNTIF('Elève (6ème3)'!CC19:CE19,"C"))*2)+((COUNTIF('Elève (6ème3)'!CC19:CE19,"D"))*1))/(COUNTA(CC19:CE19)),"")</f>
        <v/>
      </c>
      <c r="CG18" s="128" t="str">
        <f t="shared" si="18"/>
        <v/>
      </c>
      <c r="CH18" s="177">
        <f>IFERROR((((COUNTIF(BS19:BU19,"A")+COUNTIF(BX19:BZ19,"A")+COUNTIF(CC19:CE19,"A"))*4)+((COUNTIF(BS19:BU19,"B")+COUNTIF(BX19:BZ19,"B")+COUNTIF(CC19:CE19,"B"))*3)+((COUNTIF(BS19:BU19,"C")+COUNTIF(BX19:BZ19,"C")+COUNTIF(CC19:CE19,"C"))*2)+((COUNTIF(BS19:BU19,"D")+COUNTIF(BX19:BZ19,"D")+COUNTIF(CC19:CE19,"D"))*1))/(COUNTA(BS19:BU19)+COUNTA(BX19:BZ19)+COUNTA(CC19:CE19)),"")</f>
        <v>4</v>
      </c>
      <c r="CI18" s="130" t="str">
        <f t="shared" si="19"/>
        <v>A</v>
      </c>
      <c r="CJ18" s="152"/>
      <c r="CK18" s="190"/>
      <c r="CL18" s="185"/>
      <c r="CM18" s="129">
        <f>IFERROR((((COUNTIF('Elève (6ème3)'!CJ19:CL19,"A"))*4)+((COUNTIF('Elève (6ème3)'!CJ19:CL19,"B"))*3)+((COUNTIF('Elève (6ème3)'!CJ19:CL19,"C"))*2)+((COUNTIF('Elève (6ème3)'!CJ19:CL19,"D"))*1))/(COUNTA(CJ19:CL19)),"")</f>
        <v>4</v>
      </c>
      <c r="CN18" s="107" t="str">
        <f t="shared" si="20"/>
        <v>A</v>
      </c>
      <c r="CO18" s="204"/>
      <c r="CP18" s="186"/>
      <c r="CQ18" s="205"/>
      <c r="CR18" s="129" t="str">
        <f>IFERROR((((COUNTIF('Elève (6ème3)'!CO19:CQ19,"A"))*4)+((COUNTIF('Elève (6ème3)'!CO19:CQ19,"B"))*3)+((COUNTIF('Elève (6ème3)'!CO19:CQ19,"C"))*2)+((COUNTIF('Elève (6ème3)'!CO19:CQ19,"D"))*1))/(COUNTA(CO19:CQ19)),"")</f>
        <v/>
      </c>
      <c r="CS18" s="121" t="str">
        <f t="shared" si="21"/>
        <v/>
      </c>
      <c r="CT18" s="100"/>
      <c r="CU18" s="187"/>
      <c r="CV18" s="188"/>
      <c r="CW18" s="129" t="str">
        <f>IFERROR((((COUNTIF('Elève (6ème3)'!CT19:CV19,"A"))*4)+((COUNTIF('Elève (6ème3)'!CT19:CV19,"B"))*3)+((COUNTIF('Elève (6ème3)'!CT19:CV19,"C"))*2)+((COUNTIF('Elève (6ème3)'!CT19:CV19,"D"))*1))/(COUNTA(CT19:CV19)),"")</f>
        <v/>
      </c>
      <c r="CX18" s="128" t="str">
        <f t="shared" si="22"/>
        <v/>
      </c>
      <c r="CY18" s="177">
        <f>IFERROR((((COUNTIF(CJ19:CL19,"A")+COUNTIF(CO19:CQ19,"A")+COUNTIF(CT19:CV19,"A"))*4)+((COUNTIF(CJ19:CL19,"B")+COUNTIF(CO19:CQ19,"B")+COUNTIF(CT19:CV19,"B"))*3)+((COUNTIF(CJ19:CL19,"C")+COUNTIF(CO19:CQ19,"C")+COUNTIF(CT19:CV19,"C"))*2)+((COUNTIF(CJ19:CL19,"D")+COUNTIF(CO19:CQ19,"D")+COUNTIF(CT19:CV19,"D"))*1))/(COUNTA(CJ19:CL19)+COUNTA(CO19:CQ19)+COUNTA(CT19:CV19)),"")</f>
        <v>4</v>
      </c>
      <c r="CZ18" s="130" t="str">
        <f t="shared" si="23"/>
        <v>A</v>
      </c>
      <c r="DA18" s="152"/>
      <c r="DB18" s="190"/>
      <c r="DC18" s="185"/>
      <c r="DD18" s="129" t="str">
        <f>IFERROR((((COUNTIF('Elève (6ème3)'!DA19:DC19,"A"))*4)+((COUNTIF('Elève (6ème3)'!DA19:DC19,"B"))*3)+((COUNTIF('Elève (6ème3)'!DA19:DC19,"C"))*2)+((COUNTIF('Elève (6ème3)'!DA19:DC19,"D"))*1))/(COUNTA(DA19:DC19)),"")</f>
        <v/>
      </c>
      <c r="DE18" s="107" t="str">
        <f t="shared" si="24"/>
        <v/>
      </c>
      <c r="DF18" s="204"/>
      <c r="DG18" s="186"/>
      <c r="DH18" s="205"/>
      <c r="DI18" s="129" t="str">
        <f>IFERROR((((COUNTIF('Elève (6ème3)'!DF19:DH19,"A"))*4)+((COUNTIF('Elève (6ème3)'!DF19:DH19,"B"))*3)+((COUNTIF('Elève (6ème3)'!DF19:DH19,"C"))*2)+((COUNTIF('Elève (6ème3)'!DF19:DH19,"D"))*1))/(COUNTA(DF19:DH19)),"")</f>
        <v/>
      </c>
      <c r="DJ18" s="121" t="str">
        <f t="shared" si="25"/>
        <v/>
      </c>
      <c r="DK18" s="100"/>
      <c r="DL18" s="187"/>
      <c r="DM18" s="188"/>
      <c r="DN18" s="129" t="str">
        <f>IFERROR((((COUNTIF('Elève (6ème3)'!DK19:DM19,"A"))*4)+((COUNTIF('Elève (6ème3)'!DK19:DM19,"B"))*3)+((COUNTIF('Elève (6ème3)'!DK19:DM19,"C"))*2)+((COUNTIF('Elève (6ème3)'!DK19:DM19,"D"))*1))/(COUNTA(DK19:DM19)),"")</f>
        <v/>
      </c>
      <c r="DO18" s="128" t="str">
        <f t="shared" si="26"/>
        <v/>
      </c>
      <c r="DP18" s="177" t="str">
        <f>IFERROR((((COUNTIF(DA19:DC19,"A")+COUNTIF(DF19:DH19,"A")+COUNTIF(DK19:DM19,"A"))*4)+((COUNTIF(DA19:DC19,"B")+COUNTIF(DF19:DH19,"B")+COUNTIF(DK19:DM19,"B"))*3)+((COUNTIF(DA19:DC19,"C")+COUNTIF(DF19:DH19,"C")+COUNTIF(DK19:DM19,"C"))*2)+((COUNTIF(DA19:DC19,"D")+COUNTIF(DF19:DH19,"D")+COUNTIF(DK19:DM19,"D"))*1))/(COUNTA(DA19:DC19)+COUNTA(DF19:DH19)+COUNTA(DK19:DM19)),"")</f>
        <v/>
      </c>
      <c r="DQ18" s="130" t="str">
        <f t="shared" si="27"/>
        <v/>
      </c>
      <c r="DR18" s="152"/>
      <c r="DS18" s="190"/>
      <c r="DT18" s="185"/>
      <c r="DU18" s="129">
        <f>IFERROR((((COUNTIF('Elève (6ème3)'!DR19:DT19,"A"))*4)+((COUNTIF('Elève (6ème3)'!DR19:DT19,"B"))*3)+((COUNTIF('Elève (6ème3)'!DR19:DT19,"C"))*2)+((COUNTIF('Elève (6ème3)'!DR19:DT19,"D"))*1))/(COUNTA(DR19:DT19)),"")</f>
        <v>4</v>
      </c>
      <c r="DV18" s="107" t="str">
        <f t="shared" si="28"/>
        <v>A</v>
      </c>
      <c r="DW18" s="204"/>
      <c r="DX18" s="186"/>
      <c r="DY18" s="205"/>
      <c r="DZ18" s="129" t="str">
        <f>IFERROR((((COUNTIF('Elève (6ème3)'!DW19:DY19,"A"))*4)+((COUNTIF('Elève (6ème3)'!DW19:DY19,"B"))*3)+((COUNTIF('Elève (6ème3)'!DW19:DY19,"C"))*2)+((COUNTIF('Elève (6ème3)'!DW19:DY19,"D"))*1))/(COUNTA(DW19:DY19)),"")</f>
        <v/>
      </c>
      <c r="EA18" s="121" t="str">
        <f t="shared" si="29"/>
        <v/>
      </c>
      <c r="EB18" s="100"/>
      <c r="EC18" s="187"/>
      <c r="ED18" s="188"/>
      <c r="EE18" s="129" t="str">
        <f>IFERROR((((COUNTIF('Elève (6ème3)'!EB19:ED19,"A"))*4)+((COUNTIF('Elève (6ème3)'!EB19:ED19,"B"))*3)+((COUNTIF('Elève (6ème3)'!EB19:ED19,"C"))*2)+((COUNTIF('Elève (6ème3)'!EB19:ED19,"D"))*1))/(COUNTA(EB19:ED19)),"")</f>
        <v/>
      </c>
      <c r="EF18" s="128" t="str">
        <f t="shared" si="30"/>
        <v/>
      </c>
      <c r="EG18" s="177">
        <f>IFERROR((((COUNTIF(DR19:DT19,"A")+COUNTIF(DW19:DY19,"A")+COUNTIF(EB19:ED19,"A"))*4)+((COUNTIF(DR19:DT19,"B")+COUNTIF(DW19:DY19,"B")+COUNTIF(EB19:ED19,"B"))*3)+((COUNTIF(DR19:DT19,"C")+COUNTIF(DW19:DY19,"C")+COUNTIF(EB19:ED19,"C"))*2)+((COUNTIF(DR19:DT19,"D")+COUNTIF(DW19:DY19,"D")+COUNTIF(EB19:ED19,"D"))*1))/(COUNTA(DR19:DT19)+COUNTA(DW19:DY19)+COUNTA(EB19:ED19)),"")</f>
        <v>4</v>
      </c>
      <c r="EH18" s="130" t="str">
        <f t="shared" si="31"/>
        <v>A</v>
      </c>
      <c r="EI18" s="152"/>
      <c r="EJ18" s="190"/>
      <c r="EK18" s="185"/>
      <c r="EL18" s="129">
        <f>IFERROR((((COUNTIF('Elève (6ème3)'!EI19:EK19,"A"))*4)+((COUNTIF('Elève (6ème3)'!EI19:EK19,"B"))*3)+((COUNTIF('Elève (6ème3)'!EI19:EK19,"C"))*2)+((COUNTIF('Elève (6ème3)'!EI19:EK19,"D"))*1))/(COUNTA(EI19:EK19)),"")</f>
        <v>4</v>
      </c>
      <c r="EM18" s="107" t="str">
        <f t="shared" si="32"/>
        <v>A</v>
      </c>
      <c r="EN18" s="204"/>
      <c r="EO18" s="186"/>
      <c r="EP18" s="205"/>
      <c r="EQ18" s="129" t="str">
        <f>IFERROR((((COUNTIF('Elève (6ème3)'!EN19:EP19,"A"))*4)+((COUNTIF('Elève (6ème3)'!EN19:EP19,"B"))*3)+((COUNTIF('Elève (6ème3)'!EN19:EP19,"C"))*2)+((COUNTIF('Elève (6ème3)'!EN19:EP19,"D"))*1))/(COUNTA(EN19:EP19)),"")</f>
        <v/>
      </c>
      <c r="ER18" s="121" t="str">
        <f t="shared" si="33"/>
        <v/>
      </c>
      <c r="ES18" s="100"/>
      <c r="ET18" s="187"/>
      <c r="EU18" s="188"/>
      <c r="EV18" s="129" t="str">
        <f>IFERROR((((COUNTIF('Elève (6ème3)'!ES19:EU19,"A"))*4)+((COUNTIF('Elève (6ème3)'!ES19:EU19,"B"))*3)+((COUNTIF('Elève (6ème3)'!ES19:EU19,"C"))*2)+((COUNTIF('Elève (6ème3)'!ES19:EU19,"D"))*1))/(COUNTA(ES19:EU19)),"")</f>
        <v/>
      </c>
      <c r="EW18" s="128" t="str">
        <f t="shared" si="34"/>
        <v/>
      </c>
      <c r="EX18" s="177">
        <f>IFERROR((((COUNTIF(EI19:EK19,"A")+COUNTIF(EN19:EP19,"A")+COUNTIF(ES19:EU19,"A"))*4)+((COUNTIF(EI19:EK19,"B")+COUNTIF(EN19:EP19,"B")+COUNTIF(ES19:EU19,"B"))*3)+((COUNTIF(EI19:EK19,"C")+COUNTIF(EN19:EP19,"C")+COUNTIF(ES19:EU19,"C"))*2)+((COUNTIF(EI19:EK19,"D")+COUNTIF(EN19:EP19,"D")+COUNTIF(ES19:EU19,"D"))*1))/(COUNTA(EI19:EK19)+COUNTA(EN19:EP19)+COUNTA(ES19:EU19)),"")</f>
        <v>4</v>
      </c>
      <c r="EY18" s="130" t="str">
        <f t="shared" si="35"/>
        <v>A</v>
      </c>
      <c r="EZ18" s="152"/>
      <c r="FA18" s="190"/>
      <c r="FB18" s="185"/>
      <c r="FC18" s="129">
        <f>IFERROR((((COUNTIF('Elève (6ème3)'!EZ19:FB19,"A"))*4)+((COUNTIF('Elève (6ème3)'!EZ19:FB19,"B"))*3)+((COUNTIF('Elève (6ème3)'!EZ19:FB19,"C"))*2)+((COUNTIF('Elève (6ème3)'!EZ19:FB19,"D"))*1))/(COUNTA(EZ19:FB19)),"")</f>
        <v>4</v>
      </c>
      <c r="FD18" s="107" t="str">
        <f t="shared" si="36"/>
        <v>A</v>
      </c>
      <c r="FE18" s="204"/>
      <c r="FF18" s="186"/>
      <c r="FG18" s="205"/>
      <c r="FH18" s="129" t="str">
        <f>IFERROR((((COUNTIF('Elève (6ème3)'!FE19:FG19,"A"))*4)+((COUNTIF('Elève (6ème3)'!FE19:FG19,"B"))*3)+((COUNTIF('Elève (6ème3)'!FE19:FG19,"C"))*2)+((COUNTIF('Elève (6ème3)'!FE19:FG19,"D"))*1))/(COUNTA(FE19:FG19)),"")</f>
        <v/>
      </c>
      <c r="FI18" s="121" t="str">
        <f t="shared" si="37"/>
        <v/>
      </c>
      <c r="FJ18" s="100"/>
      <c r="FK18" s="187"/>
      <c r="FL18" s="188"/>
      <c r="FM18" s="129" t="str">
        <f>IFERROR((((COUNTIF('Elève (6ème3)'!FJ19:FL19,"A"))*4)+((COUNTIF('Elève (6ème3)'!FJ19:FL19,"B"))*3)+((COUNTIF('Elève (6ème3)'!FJ19:FL19,"C"))*2)+((COUNTIF('Elève (6ème3)'!FJ19:FL19,"D"))*1))/(COUNTA(FJ19:FL19)),"")</f>
        <v/>
      </c>
      <c r="FN18" s="128" t="str">
        <f t="shared" si="38"/>
        <v/>
      </c>
      <c r="FO18" s="177">
        <f>IFERROR((((COUNTIF(EZ19:FB19,"A")+COUNTIF(FE19:FG19,"A")+COUNTIF(FJ19:FL19,"A"))*4)+((COUNTIF(EZ19:FB19,"B")+COUNTIF(FE19:FG19,"B")+COUNTIF(FJ19:FL19,"B"))*3)+((COUNTIF(EZ19:FB19,"C")+COUNTIF(FE19:FG19,"C")+COUNTIF(FJ19:FL19,"C"))*2)+((COUNTIF(EZ19:FB19,"D")+COUNTIF(FE19:FG19,"D")+COUNTIF(FJ19:FL19,"D"))*1))/(COUNTA(EZ19:FB19)+COUNTA(FE19:FG19)+COUNTA(FJ19:FL19)),"")</f>
        <v>4</v>
      </c>
      <c r="FP18" s="130" t="str">
        <f t="shared" si="39"/>
        <v>A</v>
      </c>
      <c r="FQ18" s="152"/>
      <c r="FR18" s="190"/>
      <c r="FS18" s="185"/>
      <c r="FT18" s="129">
        <f>IFERROR((((COUNTIF('Elève (6ème3)'!FQ19:FS19,"A"))*4)+((COUNTIF('Elève (6ème3)'!FQ19:FS19,"B"))*3)+((COUNTIF('Elève (6ème3)'!FQ19:FS19,"C"))*2)+((COUNTIF('Elève (6ème3)'!FQ19:FS19,"D"))*1))/(COUNTA(FQ19:FS19)),"")</f>
        <v>4</v>
      </c>
      <c r="FU18" s="107" t="str">
        <f t="shared" si="40"/>
        <v>A</v>
      </c>
      <c r="FV18" s="204"/>
      <c r="FW18" s="186"/>
      <c r="FX18" s="205"/>
      <c r="FY18" s="129" t="str">
        <f>IFERROR((((COUNTIF('Elève (6ème3)'!FV19:FX19,"A"))*4)+((COUNTIF('Elève (6ème3)'!FV19:FX19,"B"))*3)+((COUNTIF('Elève (6ème3)'!FV19:FX19,"C"))*2)+((COUNTIF('Elève (6ème3)'!FV19:FX19,"D"))*1))/(COUNTA(FV19:FX19)),"")</f>
        <v/>
      </c>
      <c r="FZ18" s="121" t="str">
        <f t="shared" si="41"/>
        <v/>
      </c>
      <c r="GA18" s="100"/>
      <c r="GB18" s="187"/>
      <c r="GC18" s="188"/>
      <c r="GD18" s="129" t="str">
        <f>IFERROR((((COUNTIF('Elève (6ème3)'!GA19:GC19,"A"))*4)+((COUNTIF('Elève (6ème3)'!GA19:GC19,"B"))*3)+((COUNTIF('Elève (6ème3)'!GA19:GC19,"C"))*2)+((COUNTIF('Elève (6ème3)'!GA19:GC19,"D"))*1))/(COUNTA(GA19:GC19)),"")</f>
        <v/>
      </c>
      <c r="GE18" s="128" t="str">
        <f t="shared" si="42"/>
        <v/>
      </c>
      <c r="GF18" s="177">
        <f>IFERROR((((COUNTIF(FQ19:FS19,"A")+COUNTIF(FV19:FX19,"A")+COUNTIF(GA19:GC19,"A"))*4)+((COUNTIF(FQ19:FS19,"B")+COUNTIF(FV19:FX19,"B")+COUNTIF(GA19:GC19,"B"))*3)+((COUNTIF(FQ19:FS19,"C")+COUNTIF(FV19:FX19,"C")+COUNTIF(GA19:GC19,"C"))*2)+((COUNTIF(FQ19:FS19,"D")+COUNTIF(FV19:FX19,"D")+COUNTIF(GA19:GC19,"D"))*1))/(COUNTA(FQ19:FS19)+COUNTA(FV19:FX19)+COUNTA(GA19:GC19)),"")</f>
        <v>4</v>
      </c>
      <c r="GG18" s="130" t="str">
        <f t="shared" si="43"/>
        <v>A</v>
      </c>
      <c r="GH18" s="152"/>
      <c r="GI18" s="190"/>
      <c r="GJ18" s="185"/>
      <c r="GK18" s="129">
        <f>IFERROR((((COUNTIF('Elève (6ème3)'!GH19:GJ19,"A"))*4)+((COUNTIF('Elève (6ème3)'!GH19:GJ19,"B"))*3)+((COUNTIF('Elève (6ème3)'!GH19:GJ19,"C"))*2)+((COUNTIF('Elève (6ème3)'!GH19:GJ19,"D"))*1))/(COUNTA(GH19:GJ19)),"")</f>
        <v>3</v>
      </c>
      <c r="GL18" s="107" t="str">
        <f t="shared" si="44"/>
        <v>B</v>
      </c>
      <c r="GM18" s="204"/>
      <c r="GN18" s="186"/>
      <c r="GO18" s="205"/>
      <c r="GP18" s="129" t="str">
        <f>IFERROR((((COUNTIF('Elève (6ème3)'!GM19:GO19,"A"))*4)+((COUNTIF('Elève (6ème3)'!GM19:GO19,"B"))*3)+((COUNTIF('Elève (6ème3)'!GM19:GO19,"C"))*2)+((COUNTIF('Elève (6ème3)'!GM19:GO19,"D"))*1))/(COUNTA(GM19:GO19)),"")</f>
        <v/>
      </c>
      <c r="GQ18" s="121" t="str">
        <f t="shared" si="45"/>
        <v/>
      </c>
      <c r="GR18" s="100"/>
      <c r="GS18" s="187"/>
      <c r="GT18" s="188"/>
      <c r="GU18" s="129" t="str">
        <f>IFERROR((((COUNTIF('Elève (6ème3)'!GR19:GT19,"A"))*4)+((COUNTIF('Elève (6ème3)'!GR19:GT19,"B"))*3)+((COUNTIF('Elève (6ème3)'!GR19:GT19,"C"))*2)+((COUNTIF('Elève (6ème3)'!GR19:GT19,"D"))*1))/(COUNTA(GR19:GT19)),"")</f>
        <v/>
      </c>
      <c r="GV18" s="128" t="str">
        <f t="shared" si="46"/>
        <v/>
      </c>
      <c r="GW18" s="177">
        <f>IFERROR((((COUNTIF(GH19:GJ19,"A")+COUNTIF(GM19:GO19,"A")+COUNTIF(GR19:GT19,"A"))*4)+((COUNTIF(GH19:GJ19,"B")+COUNTIF(GM19:GO19,"B")+COUNTIF(GR19:GT19,"B"))*3)+((COUNTIF(GH19:GJ19,"C")+COUNTIF(GM19:GO19,"C")+COUNTIF(GR19:GT19,"C"))*2)+((COUNTIF(GH19:GJ19,"D")+COUNTIF(GM19:GO19,"D")+COUNTIF(GR19:GT19,"D"))*1))/(COUNTA(GH19:GJ19)+COUNTA(GM19:GO19)+COUNTA(GR19:GT19)),"")</f>
        <v>3</v>
      </c>
      <c r="GX18" s="130" t="str">
        <f t="shared" si="47"/>
        <v>B</v>
      </c>
      <c r="GY18" s="152"/>
      <c r="GZ18" s="190"/>
      <c r="HA18" s="185"/>
      <c r="HB18" s="129">
        <f>IFERROR((((COUNTIF('Elève (6ème3)'!GY19:HA19,"A"))*4)+((COUNTIF('Elève (6ème3)'!GY19:HA19,"B"))*3)+((COUNTIF('Elève (6ème3)'!GY19:HA19,"C"))*2)+((COUNTIF('Elève (6ème3)'!GY19:HA19,"D"))*1))/(COUNTA(GY19:HA19)),"")</f>
        <v>4</v>
      </c>
      <c r="HC18" s="107" t="str">
        <f t="shared" si="48"/>
        <v>A</v>
      </c>
      <c r="HD18" s="204"/>
      <c r="HE18" s="186"/>
      <c r="HF18" s="205"/>
      <c r="HG18" s="129" t="str">
        <f>IFERROR((((COUNTIF('Elève (6ème3)'!HD19:HF19,"A"))*4)+((COUNTIF('Elève (6ème3)'!HD19:HF19,"B"))*3)+((COUNTIF('Elève (6ème3)'!HD19:HF19,"C"))*2)+((COUNTIF('Elève (6ème3)'!HD19:HF19,"D"))*1))/(COUNTA(HD19:HF19)),"")</f>
        <v/>
      </c>
      <c r="HH18" s="121" t="str">
        <f t="shared" si="49"/>
        <v/>
      </c>
      <c r="HI18" s="100"/>
      <c r="HJ18" s="187"/>
      <c r="HK18" s="188"/>
      <c r="HL18" s="129" t="str">
        <f>IFERROR((((COUNTIF('Elève (6ème3)'!HI19:HK19,"A"))*4)+((COUNTIF('Elève (6ème3)'!HI19:HK19,"B"))*3)+((COUNTIF('Elève (6ème3)'!HI19:HK19,"C"))*2)+((COUNTIF('Elève (6ème3)'!HI19:HK19,"D"))*1))/(COUNTA(HI19:HK19)),"")</f>
        <v/>
      </c>
      <c r="HM18" s="128" t="str">
        <f t="shared" si="50"/>
        <v/>
      </c>
      <c r="HN18" s="177">
        <f>IFERROR((((COUNTIF(GY19:HA19,"A")+COUNTIF(HD19:HF19,"A")+COUNTIF(HI19:HK19,"A"))*4)+((COUNTIF(GY19:HA19,"B")+COUNTIF(HD19:HF19,"B")+COUNTIF(HI19:HK19,"B"))*3)+((COUNTIF(GY19:HA19,"C")+COUNTIF(HD19:HF19,"C")+COUNTIF(HI19:HK19,"C"))*2)+((COUNTIF(GY19:HA19,"D")+COUNTIF(HD19:HF19,"D")+COUNTIF(HI19:HK19,"D"))*1))/(COUNTA(GY19:HA19)+COUNTA(HD19:HF19)+COUNTA(HI19:HK19)),"")</f>
        <v>4</v>
      </c>
      <c r="HO18" s="130" t="str">
        <f t="shared" si="51"/>
        <v>A</v>
      </c>
      <c r="HP18" s="152"/>
      <c r="HQ18" s="190"/>
      <c r="HR18" s="185"/>
      <c r="HS18" s="129">
        <f>IFERROR((((COUNTIF('Elève (6ème3)'!HP19:HR19,"A"))*4)+((COUNTIF('Elève (6ème3)'!HP19:HR19,"B"))*3)+((COUNTIF('Elève (6ème3)'!HP19:HR19,"C"))*2)+((COUNTIF('Elève (6ème3)'!HP19:HR19,"D"))*1))/(COUNTA(HP19:HR19)),"")</f>
        <v>4</v>
      </c>
      <c r="HT18" s="107" t="str">
        <f t="shared" si="52"/>
        <v>A</v>
      </c>
      <c r="HU18" s="204"/>
      <c r="HV18" s="186"/>
      <c r="HW18" s="205"/>
      <c r="HX18" s="129" t="str">
        <f>IFERROR((((COUNTIF('Elève (6ème3)'!HU19:HW19,"A"))*4)+((COUNTIF('Elève (6ème3)'!HU19:HW19,"B"))*3)+((COUNTIF('Elève (6ème3)'!HU19:HW19,"C"))*2)+((COUNTIF('Elève (6ème3)'!HU19:HW19,"D"))*1))/(COUNTA(HU19:HW19)),"")</f>
        <v/>
      </c>
      <c r="HY18" s="121" t="str">
        <f t="shared" si="53"/>
        <v/>
      </c>
      <c r="HZ18" s="100"/>
      <c r="IA18" s="187"/>
      <c r="IB18" s="188"/>
      <c r="IC18" s="129" t="str">
        <f>IFERROR((((COUNTIF('Elève (6ème3)'!HZ19:IB19,"A"))*4)+((COUNTIF('Elève (6ème3)'!HZ19:IB19,"B"))*3)+((COUNTIF('Elève (6ème3)'!HZ19:IB19,"C"))*2)+((COUNTIF('Elève (6ème3)'!HZ19:IB19,"D"))*1))/(COUNTA(HZ19:IB19)),"")</f>
        <v/>
      </c>
      <c r="ID18" s="128" t="str">
        <f t="shared" si="54"/>
        <v/>
      </c>
      <c r="IE18" s="177">
        <f>IFERROR((((COUNTIF(HP19:HR19,"A")+COUNTIF(HU19:HW19,"A")+COUNTIF(HZ19:IB19,"A"))*4)+((COUNTIF(HP19:HR19,"B")+COUNTIF(HU19:HW19,"B")+COUNTIF(HZ19:IB19,"B"))*3)+((COUNTIF(HP19:HR19,"C")+COUNTIF(HU19:HW19,"C")+COUNTIF(HZ19:IB19,"C"))*2)+((COUNTIF(HP19:HR19,"D")+COUNTIF(HU19:HW19,"D")+COUNTIF(HZ19:IB19,"D"))*1))/(COUNTA(HP19:HR19)+COUNTA(HU19:HW19)+COUNTA(HZ19:IB19)),"")</f>
        <v>4</v>
      </c>
      <c r="IF18" s="130" t="str">
        <f t="shared" si="55"/>
        <v>A</v>
      </c>
      <c r="IG18" s="152"/>
      <c r="IH18" s="190"/>
      <c r="II18" s="185"/>
      <c r="IJ18" s="129">
        <f>IFERROR((((COUNTIF('Elève (6ème3)'!IG19:II19,"A"))*4)+((COUNTIF('Elève (6ème3)'!IG19:II19,"B"))*3)+((COUNTIF('Elève (6ème3)'!IG19:II19,"C"))*2)+((COUNTIF('Elève (6ème3)'!IG19:II19,"D"))*1))/(COUNTA(IG19:II19)),"")</f>
        <v>4</v>
      </c>
      <c r="IK18" s="107" t="str">
        <f t="shared" si="56"/>
        <v>A</v>
      </c>
      <c r="IL18" s="204"/>
      <c r="IM18" s="186"/>
      <c r="IN18" s="205"/>
      <c r="IO18" s="129" t="str">
        <f>IFERROR((((COUNTIF('Elève (6ème3)'!IL19:IN19,"A"))*4)+((COUNTIF('Elève (6ème3)'!IL19:IN19,"B"))*3)+((COUNTIF('Elève (6ème3)'!IL19:IN19,"C"))*2)+((COUNTIF('Elève (6ème3)'!IL19:IN19,"D"))*1))/(COUNTA(IL19:IN19)),"")</f>
        <v/>
      </c>
      <c r="IP18" s="121" t="str">
        <f t="shared" si="57"/>
        <v/>
      </c>
      <c r="IQ18" s="100"/>
      <c r="IR18" s="187"/>
      <c r="IS18" s="188"/>
      <c r="IT18" s="129" t="str">
        <f>IFERROR((((COUNTIF('Elève (6ème3)'!IQ19:IS19,"A"))*4)+((COUNTIF('Elève (6ème3)'!IQ19:IS19,"B"))*3)+((COUNTIF('Elève (6ème3)'!IQ19:IS19,"C"))*2)+((COUNTIF('Elève (6ème3)'!IQ19:IS19,"D"))*1))/(COUNTA(IQ19:IS19)),"")</f>
        <v/>
      </c>
      <c r="IU18" s="128" t="str">
        <f t="shared" si="58"/>
        <v/>
      </c>
      <c r="IV18" s="177">
        <f>IFERROR((((COUNTIF(IG19:II19,"A")+COUNTIF(IL19:IN19,"A")+COUNTIF(IQ19:IS19,"A"))*4)+((COUNTIF(IG19:II19,"B")+COUNTIF(IL19:IN19,"B")+COUNTIF(IQ19:IS19,"B"))*3)+((COUNTIF(IG19:II19,"C")+COUNTIF(IL19:IN19,"C")+COUNTIF(IQ19:IS19,"C"))*2)+((COUNTIF(IG19:II19,"D")+COUNTIF(IL19:IN19,"D")+COUNTIF(IQ19:IS19,"D"))*1))/(COUNTA(IG19:II19)+COUNTA(IL19:IN19)+COUNTA(IQ19:IS19)),"")</f>
        <v>4</v>
      </c>
      <c r="IW18" s="130" t="str">
        <f t="shared" si="59"/>
        <v>A</v>
      </c>
      <c r="IX18" s="152"/>
      <c r="IY18" s="190"/>
      <c r="IZ18" s="185"/>
      <c r="JA18" s="129">
        <f>IFERROR((((COUNTIF('Elève (6ème3)'!IX19:IZ19,"A"))*4)+((COUNTIF('Elève (6ème3)'!IX19:IZ19,"B"))*3)+((COUNTIF('Elève (6ème3)'!IX19:IZ19,"C"))*2)+((COUNTIF('Elève (6ème3)'!IX19:IZ19,"D"))*1))/(COUNTA(IX19:IZ19)),"")</f>
        <v>4</v>
      </c>
      <c r="JB18" s="107" t="str">
        <f t="shared" si="60"/>
        <v>A</v>
      </c>
      <c r="JC18" s="204"/>
      <c r="JD18" s="186"/>
      <c r="JE18" s="205"/>
      <c r="JF18" s="129" t="str">
        <f>IFERROR((((COUNTIF('Elève (6ème3)'!JC19:JE19,"A"))*4)+((COUNTIF('Elève (6ème3)'!JC19:JE19,"B"))*3)+((COUNTIF('Elève (6ème3)'!JC19:JE19,"C"))*2)+((COUNTIF('Elève (6ème3)'!JC19:JE19,"D"))*1))/(COUNTA(JC19:JE19)),"")</f>
        <v/>
      </c>
      <c r="JG18" s="121" t="str">
        <f t="shared" si="61"/>
        <v/>
      </c>
      <c r="JH18" s="100"/>
      <c r="JI18" s="187"/>
      <c r="JJ18" s="188"/>
      <c r="JK18" s="129" t="str">
        <f>IFERROR((((COUNTIF('Elève (6ème3)'!JH19:JJ19,"A"))*4)+((COUNTIF('Elève (6ème3)'!JH19:JJ19,"B"))*3)+((COUNTIF('Elève (6ème3)'!JH19:JJ19,"C"))*2)+((COUNTIF('Elève (6ème3)'!JH19:JJ19,"D"))*1))/(COUNTA(JH19:JJ19)),"")</f>
        <v/>
      </c>
      <c r="JL18" s="128" t="str">
        <f t="shared" si="62"/>
        <v/>
      </c>
      <c r="JM18" s="177">
        <f>IFERROR((((COUNTIF(IX19:IZ19,"A")+COUNTIF(JC19:JE19,"A")+COUNTIF(JH19:JJ19,"A"))*4)+((COUNTIF(IX19:IZ19,"B")+COUNTIF(JC19:JE19,"B")+COUNTIF(JH19:JJ19,"B"))*3)+((COUNTIF(IX19:IZ19,"C")+COUNTIF(JC19:JE19,"C")+COUNTIF(JH19:JJ19,"C"))*2)+((COUNTIF(IX19:IZ19,"D")+COUNTIF(JC19:JE19,"D")+COUNTIF(JH19:JJ19,"D"))*1))/(COUNTA(IX19:IZ19)+COUNTA(JC19:JE19)+COUNTA(JH19:JJ19)),"")</f>
        <v>4</v>
      </c>
      <c r="JN18" s="130" t="str">
        <f t="shared" si="63"/>
        <v>A</v>
      </c>
      <c r="JO18" s="152"/>
      <c r="JP18" s="190"/>
      <c r="JQ18" s="185"/>
      <c r="JR18" s="129">
        <f>IFERROR((((COUNTIF('Elève (6ème3)'!JO19:JQ19,"A"))*4)+((COUNTIF('Elève (6ème3)'!JO19:JQ19,"B"))*3)+((COUNTIF('Elève (6ème3)'!JO19:JQ19,"C"))*2)+((COUNTIF('Elève (6ème3)'!JO19:JQ19,"D"))*1))/(COUNTA(JO19:JQ19)),"")</f>
        <v>3</v>
      </c>
      <c r="JS18" s="107" t="str">
        <f t="shared" si="64"/>
        <v>B</v>
      </c>
      <c r="JT18" s="204"/>
      <c r="JU18" s="186"/>
      <c r="JV18" s="205"/>
      <c r="JW18" s="129" t="str">
        <f>IFERROR((((COUNTIF('Elève (6ème3)'!JT19:JV19,"A"))*4)+((COUNTIF('Elève (6ème3)'!JT19:JV19,"B"))*3)+((COUNTIF('Elève (6ème3)'!JT19:JV19,"C"))*2)+((COUNTIF('Elève (6ème3)'!JT19:JV19,"D"))*1))/(COUNTA(JT19:JV19)),"")</f>
        <v/>
      </c>
      <c r="JX18" s="121" t="str">
        <f t="shared" si="65"/>
        <v/>
      </c>
      <c r="JY18" s="100"/>
      <c r="JZ18" s="187"/>
      <c r="KA18" s="188"/>
      <c r="KB18" s="129" t="str">
        <f>IFERROR((((COUNTIF('Elève (6ème3)'!JY19:KA19,"A"))*4)+((COUNTIF('Elève (6ème3)'!JY19:KA19,"B"))*3)+((COUNTIF('Elève (6ème3)'!JY19:KA19,"C"))*2)+((COUNTIF('Elève (6ème3)'!JY19:KA19,"D"))*1))/(COUNTA(JY19:KA19)),"")</f>
        <v/>
      </c>
      <c r="KC18" s="128" t="str">
        <f t="shared" si="66"/>
        <v/>
      </c>
      <c r="KD18" s="177">
        <f>IFERROR((((COUNTIF(JO19:JQ19,"A")+COUNTIF(JT19:JV19,"A")+COUNTIF(JY19:KA19,"A"))*4)+((COUNTIF(JO19:JQ19,"B")+COUNTIF(JT19:JV19,"B")+COUNTIF(JY19:KA19,"B"))*3)+((COUNTIF(JO19:JQ19,"C")+COUNTIF(JT19:JV19,"C")+COUNTIF(JY19:KA19,"C"))*2)+((COUNTIF(JO19:JQ19,"D")+COUNTIF(JT19:JV19,"D")+COUNTIF(JY19:KA19,"D"))*1))/(COUNTA(JO19:JQ19)+COUNTA(JT19:JV19)+COUNTA(JY19:KA19)),"")</f>
        <v>3</v>
      </c>
      <c r="KE18" s="130" t="str">
        <f t="shared" si="67"/>
        <v>B</v>
      </c>
      <c r="KF18" s="152"/>
      <c r="KG18" s="190"/>
      <c r="KH18" s="185"/>
      <c r="KI18" s="129">
        <f>IFERROR((((COUNTIF('Elève (6ème3)'!KF19:KH19,"A"))*4)+((COUNTIF('Elève (6ème3)'!KF19:KH19,"B"))*3)+((COUNTIF('Elève (6ème3)'!KF19:KH19,"C"))*2)+((COUNTIF('Elève (6ème3)'!KF19:KH19,"D"))*1))/(COUNTA(KF19:KH19)),"")</f>
        <v>4</v>
      </c>
      <c r="KJ18" s="107" t="str">
        <f t="shared" si="68"/>
        <v>A</v>
      </c>
      <c r="KK18" s="204"/>
      <c r="KL18" s="186"/>
      <c r="KM18" s="205"/>
      <c r="KN18" s="129" t="str">
        <f>IFERROR((((COUNTIF('Elève (6ème3)'!KK19:KM19,"A"))*4)+((COUNTIF('Elève (6ème3)'!KK19:KM19,"B"))*3)+((COUNTIF('Elève (6ème3)'!KK19:KM19,"C"))*2)+((COUNTIF('Elève (6ème3)'!KK19:KM19,"D"))*1))/(COUNTA(KK19:KM19)),"")</f>
        <v/>
      </c>
      <c r="KO18" s="121" t="str">
        <f t="shared" si="69"/>
        <v/>
      </c>
      <c r="KP18" s="100"/>
      <c r="KQ18" s="187"/>
      <c r="KR18" s="188"/>
      <c r="KS18" s="129" t="str">
        <f>IFERROR((((COUNTIF('Elève (6ème3)'!KP19:KR19,"A"))*4)+((COUNTIF('Elève (6ème3)'!KP19:KR19,"B"))*3)+((COUNTIF('Elève (6ème3)'!KP19:KR19,"C"))*2)+((COUNTIF('Elève (6ème3)'!KP19:KR19,"D"))*1))/(COUNTA(KP19:KR19)),"")</f>
        <v/>
      </c>
      <c r="KT18" s="128" t="str">
        <f t="shared" si="70"/>
        <v/>
      </c>
      <c r="KU18" s="177">
        <f>IFERROR((((COUNTIF(KF19:KH19,"A")+COUNTIF(KK19:KM19,"A")+COUNTIF(KP19:KR19,"A"))*4)+((COUNTIF(KF19:KH19,"B")+COUNTIF(KK19:KM19,"B")+COUNTIF(KP19:KR19,"B"))*3)+((COUNTIF(KF19:KH19,"C")+COUNTIF(KK19:KM19,"C")+COUNTIF(KP19:KR19,"C"))*2)+((COUNTIF(KF19:KH19,"D")+COUNTIF(KK19:KM19,"D")+COUNTIF(KP19:KR19,"D"))*1))/(COUNTA(KF19:KH19)+COUNTA(KK19:KM19)+COUNTA(KP19:KR19)),"")</f>
        <v>4</v>
      </c>
      <c r="KV18" s="130" t="str">
        <f t="shared" si="71"/>
        <v>A</v>
      </c>
      <c r="KW18" s="152"/>
      <c r="KX18" s="190"/>
      <c r="KY18" s="185"/>
      <c r="KZ18" s="129">
        <f>IFERROR((((COUNTIF('Elève (6ème3)'!KW19:KY19,"A"))*4)+((COUNTIF('Elève (6ème3)'!KW19:KY19,"B"))*3)+((COUNTIF('Elève (6ème3)'!KW19:KY19,"C"))*2)+((COUNTIF('Elève (6ème3)'!KW19:KY19,"D"))*1))/(COUNTA(KW19:KY19)),"")</f>
        <v>4</v>
      </c>
      <c r="LA18" s="107" t="str">
        <f t="shared" si="72"/>
        <v>A</v>
      </c>
      <c r="LB18" s="204"/>
      <c r="LC18" s="186"/>
      <c r="LD18" s="205"/>
      <c r="LE18" s="129" t="str">
        <f>IFERROR((((COUNTIF('Elève (6ème3)'!LB19:LD19,"A"))*4)+((COUNTIF('Elève (6ème3)'!LB19:LD19,"B"))*3)+((COUNTIF('Elève (6ème3)'!LB19:LD19,"C"))*2)+((COUNTIF('Elève (6ème3)'!LB19:LD19,"D"))*1))/(COUNTA(LB19:LD19)),"")</f>
        <v/>
      </c>
      <c r="LF18" s="121" t="str">
        <f t="shared" si="73"/>
        <v/>
      </c>
      <c r="LG18" s="100"/>
      <c r="LH18" s="187"/>
      <c r="LI18" s="188"/>
      <c r="LJ18" s="129" t="str">
        <f>IFERROR((((COUNTIF('Elève (6ème3)'!LG19:LI19,"A"))*4)+((COUNTIF('Elève (6ème3)'!LG19:LI19,"B"))*3)+((COUNTIF('Elève (6ème3)'!LG19:LI19,"C"))*2)+((COUNTIF('Elève (6ème3)'!LG19:LI19,"D"))*1))/(COUNTA(LG19:LI19)),"")</f>
        <v/>
      </c>
      <c r="LK18" s="128" t="str">
        <f t="shared" si="74"/>
        <v/>
      </c>
      <c r="LL18" s="177">
        <f>IFERROR((((COUNTIF(KW19:KY19,"A")+COUNTIF(LB19:LD19,"A")+COUNTIF(LG19:LI19,"A"))*4)+((COUNTIF(KW19:KY19,"B")+COUNTIF(LB19:LD19,"B")+COUNTIF(LG19:LI19,"B"))*3)+((COUNTIF(KW19:KY19,"C")+COUNTIF(LB19:LD19,"C")+COUNTIF(LG19:LI19,"C"))*2)+((COUNTIF(KW19:KY19,"D")+COUNTIF(LB19:LD19,"D")+COUNTIF(LG19:LI19,"D"))*1))/(COUNTA(KW19:KY19)+COUNTA(LB19:LD19)+COUNTA(LG19:LI19)),"")</f>
        <v>4</v>
      </c>
      <c r="LM18" s="130" t="str">
        <f t="shared" si="75"/>
        <v>A</v>
      </c>
      <c r="LN18" s="152"/>
      <c r="LO18" s="190"/>
      <c r="LP18" s="185"/>
      <c r="LQ18" s="129">
        <f>IFERROR((((COUNTIF('Elève (6ème3)'!LN19:LP19,"A"))*4)+((COUNTIF('Elève (6ème3)'!LN19:LP19,"B"))*3)+((COUNTIF('Elève (6ème3)'!LN19:LP19,"C"))*2)+((COUNTIF('Elève (6ème3)'!LN19:LP19,"D"))*1))/(COUNTA(LN19:LP19)),"")</f>
        <v>4</v>
      </c>
      <c r="LR18" s="107" t="str">
        <f t="shared" si="76"/>
        <v>A</v>
      </c>
      <c r="LS18" s="204"/>
      <c r="LT18" s="186"/>
      <c r="LU18" s="205"/>
      <c r="LV18" s="129" t="str">
        <f>IFERROR((((COUNTIF('Elève (6ème3)'!LS19:LU19,"A"))*4)+((COUNTIF('Elève (6ème3)'!LS19:LU19,"B"))*3)+((COUNTIF('Elève (6ème3)'!LS19:LU19,"C"))*2)+((COUNTIF('Elève (6ème3)'!LS19:LU19,"D"))*1))/(COUNTA(LS19:LU19)),"")</f>
        <v/>
      </c>
      <c r="LW18" s="121" t="str">
        <f t="shared" si="77"/>
        <v/>
      </c>
      <c r="LX18" s="100"/>
      <c r="LY18" s="187"/>
      <c r="LZ18" s="188"/>
      <c r="MA18" s="129" t="str">
        <f>IFERROR((((COUNTIF('Elève (6ème3)'!LX19:LZ19,"A"))*4)+((COUNTIF('Elève (6ème3)'!LX19:LZ19,"B"))*3)+((COUNTIF('Elève (6ème3)'!LX19:LZ19,"C"))*2)+((COUNTIF('Elève (6ème3)'!LX19:LZ19,"D"))*1))/(COUNTA(LX19:LZ19)),"")</f>
        <v/>
      </c>
      <c r="MB18" s="128" t="str">
        <f t="shared" si="78"/>
        <v/>
      </c>
      <c r="MC18" s="177">
        <f>IFERROR((((COUNTIF(LN19:LP19,"A")+COUNTIF(LS19:LU19,"A")+COUNTIF(LX19:LZ19,"A"))*4)+((COUNTIF(LN19:LP19,"B")+COUNTIF(LS19:LU19,"B")+COUNTIF(LX19:LZ19,"B"))*3)+((COUNTIF(LN19:LP19,"C")+COUNTIF(LS19:LU19,"C")+COUNTIF(LX19:LZ19,"C"))*2)+((COUNTIF(LN19:LP19,"D")+COUNTIF(LS19:LU19,"D")+COUNTIF(LX19:LZ19,"D"))*1))/(COUNTA(LN19:LP19)+COUNTA(LS19:LU19)+COUNTA(LX19:LZ19)),"")</f>
        <v>4</v>
      </c>
      <c r="MD18" s="130" t="str">
        <f t="shared" si="79"/>
        <v>A</v>
      </c>
      <c r="ME18" s="152"/>
      <c r="MF18" s="190"/>
      <c r="MG18" s="185"/>
      <c r="MH18" s="129">
        <f>IFERROR((((COUNTIF('Elève (6ème3)'!ME19:MG19,"A"))*4)+((COUNTIF('Elève (6ème3)'!ME19:MG19,"B"))*3)+((COUNTIF('Elève (6ème3)'!ME19:MG19,"C"))*2)+((COUNTIF('Elève (6ème3)'!ME19:MG19,"D"))*1))/(COUNTA(ME19:MG19)),"")</f>
        <v>4</v>
      </c>
      <c r="MI18" s="107" t="str">
        <f t="shared" si="80"/>
        <v>A</v>
      </c>
      <c r="MJ18" s="204"/>
      <c r="MK18" s="186"/>
      <c r="ML18" s="205"/>
      <c r="MM18" s="129" t="str">
        <f>IFERROR((((COUNTIF('Elève (6ème3)'!MJ19:ML19,"A"))*4)+((COUNTIF('Elève (6ème3)'!MJ19:ML19,"B"))*3)+((COUNTIF('Elève (6ème3)'!MJ19:ML19,"C"))*2)+((COUNTIF('Elève (6ème3)'!MJ19:ML19,"D"))*1))/(COUNTA(MJ19:ML19)),"")</f>
        <v/>
      </c>
      <c r="MN18" s="121" t="str">
        <f t="shared" si="81"/>
        <v/>
      </c>
      <c r="MO18" s="100"/>
      <c r="MP18" s="187"/>
      <c r="MQ18" s="188"/>
      <c r="MR18" s="129" t="str">
        <f>IFERROR((((COUNTIF('Elève (6ème3)'!MO19:MQ19,"A"))*4)+((COUNTIF('Elève (6ème3)'!MO19:MQ19,"B"))*3)+((COUNTIF('Elève (6ème3)'!MO19:MQ19,"C"))*2)+((COUNTIF('Elève (6ème3)'!MO19:MQ19,"D"))*1))/(COUNTA(MO19:MQ19)),"")</f>
        <v/>
      </c>
      <c r="MS18" s="128" t="str">
        <f t="shared" si="82"/>
        <v/>
      </c>
      <c r="MT18" s="177">
        <f>IFERROR((((COUNTIF(ME19:MG19,"A")+COUNTIF(MJ19:ML19,"A")+COUNTIF(MO19:MQ19,"A"))*4)+((COUNTIF(ME19:MG19,"B")+COUNTIF(MJ19:ML19,"B")+COUNTIF(MO19:MQ19,"B"))*3)+((COUNTIF(ME19:MG19,"C")+COUNTIF(MJ19:ML19,"C")+COUNTIF(MO19:MQ19,"C"))*2)+((COUNTIF(ME19:MG19,"D")+COUNTIF(MJ19:ML19,"D")+COUNTIF(MO19:MQ19,"D"))*1))/(COUNTA(ME19:MG19)+COUNTA(MJ19:ML19)+COUNTA(MO19:MQ19)),"")</f>
        <v>4</v>
      </c>
      <c r="MU18" s="130" t="str">
        <f t="shared" si="83"/>
        <v>A</v>
      </c>
      <c r="MV18" s="152"/>
      <c r="MW18" s="190"/>
      <c r="MX18" s="185"/>
      <c r="MY18" s="129">
        <f>IFERROR((((COUNTIF('Elève (6ème3)'!MV19:MX19,"A"))*4)+((COUNTIF('Elève (6ème3)'!MV19:MX19,"B"))*3)+((COUNTIF('Elève (6ème3)'!MV19:MX19,"C"))*2)+((COUNTIF('Elève (6ème3)'!MV19:MX19,"D"))*1))/(COUNTA(MV19:MX19)),"")</f>
        <v>4</v>
      </c>
      <c r="MZ18" s="107" t="str">
        <f t="shared" si="84"/>
        <v>A</v>
      </c>
      <c r="NA18" s="204"/>
      <c r="NB18" s="186"/>
      <c r="NC18" s="205"/>
      <c r="ND18" s="129" t="str">
        <f>IFERROR((((COUNTIF('Elève (6ème3)'!NA19:NC19,"A"))*4)+((COUNTIF('Elève (6ème3)'!NA19:NC19,"B"))*3)+((COUNTIF('Elève (6ème3)'!NA19:NC19,"C"))*2)+((COUNTIF('Elève (6ème3)'!NA19:NC19,"D"))*1))/(COUNTA(NA19:NC19)),"")</f>
        <v/>
      </c>
      <c r="NE18" s="121" t="str">
        <f t="shared" si="85"/>
        <v/>
      </c>
      <c r="NF18" s="100"/>
      <c r="NG18" s="187"/>
      <c r="NH18" s="188"/>
      <c r="NI18" s="129" t="str">
        <f>IFERROR((((COUNTIF('Elève (6ème3)'!NF19:NH19,"A"))*4)+((COUNTIF('Elève (6ème3)'!NF19:NH19,"B"))*3)+((COUNTIF('Elève (6ème3)'!NF19:NH19,"C"))*2)+((COUNTIF('Elève (6ème3)'!NF19:NH19,"D"))*1))/(COUNTA(NF19:NH19)),"")</f>
        <v/>
      </c>
      <c r="NJ18" s="128" t="str">
        <f t="shared" si="86"/>
        <v/>
      </c>
      <c r="NK18" s="177">
        <f>IFERROR((((COUNTIF(MV19:MX19,"A")+COUNTIF(NA19:NC19,"A")+COUNTIF(NF19:NH19,"A"))*4)+((COUNTIF(MV19:MX19,"B")+COUNTIF(NA19:NC19,"B")+COUNTIF(NF19:NH19,"B"))*3)+((COUNTIF(MV19:MX19,"C")+COUNTIF(NA19:NC19,"C")+COUNTIF(NF19:NH19,"C"))*2)+((COUNTIF(MV19:MX19,"D")+COUNTIF(NA19:NC19,"D")+COUNTIF(NF19:NH19,"D"))*1))/(COUNTA(MV19:MX19)+COUNTA(NA19:NC19)+COUNTA(NF19:NH19)),"")</f>
        <v>4</v>
      </c>
      <c r="NL18" s="130" t="str">
        <f t="shared" si="87"/>
        <v>A</v>
      </c>
      <c r="NM18" s="152"/>
      <c r="NN18" s="190"/>
      <c r="NO18" s="185"/>
      <c r="NP18" s="129">
        <f>IFERROR((((COUNTIF('Elève (6ème3)'!NM19:NO19,"A"))*4)+((COUNTIF('Elève (6ème3)'!NM19:NO19,"B"))*3)+((COUNTIF('Elève (6ème3)'!NM19:NO19,"C"))*2)+((COUNTIF('Elève (6ème3)'!NM19:NO19,"D"))*1))/(COUNTA(NM19:NO19)),"")</f>
        <v>4</v>
      </c>
      <c r="NQ18" s="107" t="str">
        <f t="shared" si="88"/>
        <v>A</v>
      </c>
      <c r="NR18" s="204"/>
      <c r="NS18" s="186"/>
      <c r="NT18" s="205"/>
      <c r="NU18" s="129" t="str">
        <f>IFERROR((((COUNTIF('Elève (6ème3)'!NR19:NT19,"A"))*4)+((COUNTIF('Elève (6ème3)'!NR19:NT19,"B"))*3)+((COUNTIF('Elève (6ème3)'!NR19:NT19,"C"))*2)+((COUNTIF('Elève (6ème3)'!NR19:NT19,"D"))*1))/(COUNTA(NR19:NT19)),"")</f>
        <v/>
      </c>
      <c r="NV18" s="121" t="str">
        <f t="shared" si="89"/>
        <v/>
      </c>
      <c r="NW18" s="100"/>
      <c r="NX18" s="187"/>
      <c r="NY18" s="188"/>
      <c r="NZ18" s="129" t="str">
        <f>IFERROR((((COUNTIF('Elève (6ème3)'!NW19:NY19,"A"))*4)+((COUNTIF('Elève (6ème3)'!NW19:NY19,"B"))*3)+((COUNTIF('Elève (6ème3)'!NW19:NY19,"C"))*2)+((COUNTIF('Elève (6ème3)'!NW19:NY19,"D"))*1))/(COUNTA(NW19:NY19)),"")</f>
        <v/>
      </c>
      <c r="OA18" s="128" t="str">
        <f t="shared" si="90"/>
        <v/>
      </c>
      <c r="OB18" s="177">
        <f>IFERROR((((COUNTIF(NM19:NO19,"A")+COUNTIF(NR19:NT19,"A")+COUNTIF(NW19:NY19,"A"))*4)+((COUNTIF(NM19:NO19,"B")+COUNTIF(NR19:NT19,"B")+COUNTIF(NW19:NY19,"B"))*3)+((COUNTIF(NM19:NO19,"C")+COUNTIF(NR19:NT19,"C")+COUNTIF(NW19:NY19,"C"))*2)+((COUNTIF(NM19:NO19,"D")+COUNTIF(NR19:NT19,"D")+COUNTIF(NW19:NY19,"D"))*1))/(COUNTA(NM19:NO19)+COUNTA(NR19:NT19)+COUNTA(NW19:NY19)),"")</f>
        <v>4</v>
      </c>
      <c r="OC18" s="130" t="str">
        <f t="shared" si="91"/>
        <v>A</v>
      </c>
      <c r="OD18" s="152"/>
      <c r="OE18" s="190"/>
      <c r="OF18" s="185"/>
      <c r="OG18" s="129">
        <f>IFERROR((((COUNTIF('Elève (6ème3)'!OD19:OF19,"A"))*4)+((COUNTIF('Elève (6ème3)'!OD19:OF19,"B"))*3)+((COUNTIF('Elève (6ème3)'!OD19:OF19,"C"))*2)+((COUNTIF('Elève (6ème3)'!OD19:OF19,"D"))*1))/(COUNTA(OD19:OF19)),"")</f>
        <v>4</v>
      </c>
      <c r="OH18" s="107" t="str">
        <f t="shared" si="92"/>
        <v>A</v>
      </c>
      <c r="OI18" s="204"/>
      <c r="OJ18" s="186"/>
      <c r="OK18" s="205"/>
      <c r="OL18" s="129" t="str">
        <f>IFERROR((((COUNTIF('Elève (6ème3)'!OI19:OK19,"A"))*4)+((COUNTIF('Elève (6ème3)'!OI19:OK19,"B"))*3)+((COUNTIF('Elève (6ème3)'!OI19:OK19,"C"))*2)+((COUNTIF('Elève (6ème3)'!OI19:OK19,"D"))*1))/(COUNTA(OI19:OK19)),"")</f>
        <v/>
      </c>
      <c r="OM18" s="121" t="str">
        <f t="shared" si="93"/>
        <v/>
      </c>
      <c r="ON18" s="100"/>
      <c r="OO18" s="187"/>
      <c r="OP18" s="188"/>
      <c r="OQ18" s="129" t="str">
        <f>IFERROR((((COUNTIF('Elève (6ème3)'!ON19:OP19,"A"))*4)+((COUNTIF('Elève (6ème3)'!ON19:OP19,"B"))*3)+((COUNTIF('Elève (6ème3)'!ON19:OP19,"C"))*2)+((COUNTIF('Elève (6ème3)'!ON19:OP19,"D"))*1))/(COUNTA(ON19:OP19)),"")</f>
        <v/>
      </c>
      <c r="OR18" s="128" t="str">
        <f t="shared" si="94"/>
        <v/>
      </c>
      <c r="OS18" s="177">
        <f>IFERROR((((COUNTIF(OD19:OF19,"A")+COUNTIF(OI19:OK19,"A")+COUNTIF(ON19:OP19,"A"))*4)+((COUNTIF(OD19:OF19,"B")+COUNTIF(OI19:OK19,"B")+COUNTIF(ON19:OP19,"B"))*3)+((COUNTIF(OD19:OF19,"C")+COUNTIF(OI19:OK19,"C")+COUNTIF(ON19:OP19,"C"))*2)+((COUNTIF(OD19:OF19,"D")+COUNTIF(OI19:OK19,"D")+COUNTIF(ON19:OP19,"D"))*1))/(COUNTA(OD19:OF19)+COUNTA(OI19:OK19)+COUNTA(ON19:OP19)),"")</f>
        <v>4</v>
      </c>
      <c r="OT18" s="130" t="str">
        <f t="shared" si="95"/>
        <v>A</v>
      </c>
      <c r="OU18" s="152"/>
      <c r="OV18" s="190"/>
      <c r="OW18" s="185"/>
      <c r="OX18" s="129">
        <f>IFERROR((((COUNTIF('Elève (6ème3)'!OU19:OW19,"A"))*4)+((COUNTIF('Elève (6ème3)'!OU19:OW19,"B"))*3)+((COUNTIF('Elève (6ème3)'!OU19:OW19,"C"))*2)+((COUNTIF('Elève (6ème3)'!OU19:OW19,"D"))*1))/(COUNTA(OU19:OW19)),"")</f>
        <v>4</v>
      </c>
      <c r="OY18" s="107" t="str">
        <f t="shared" si="96"/>
        <v>A</v>
      </c>
      <c r="OZ18" s="204"/>
      <c r="PA18" s="186"/>
      <c r="PB18" s="205"/>
      <c r="PC18" s="129" t="str">
        <f>IFERROR((((COUNTIF('Elève (6ème3)'!OZ19:PB19,"A"))*4)+((COUNTIF('Elève (6ème3)'!OZ19:PB19,"B"))*3)+((COUNTIF('Elève (6ème3)'!OZ19:PB19,"C"))*2)+((COUNTIF('Elève (6ème3)'!OZ19:PB19,"D"))*1))/(COUNTA(OZ19:PB19)),"")</f>
        <v/>
      </c>
      <c r="PD18" s="121" t="str">
        <f t="shared" si="97"/>
        <v/>
      </c>
      <c r="PE18" s="100"/>
      <c r="PF18" s="187"/>
      <c r="PG18" s="188"/>
      <c r="PH18" s="129" t="str">
        <f>IFERROR((((COUNTIF('Elève (6ème3)'!PE19:PG19,"A"))*4)+((COUNTIF('Elève (6ème3)'!PE19:PG19,"B"))*3)+((COUNTIF('Elève (6ème3)'!PE19:PG19,"C"))*2)+((COUNTIF('Elève (6ème3)'!PE19:PG19,"D"))*1))/(COUNTA(PE19:PG19)),"")</f>
        <v/>
      </c>
      <c r="PI18" s="128" t="str">
        <f t="shared" si="98"/>
        <v/>
      </c>
      <c r="PJ18" s="177">
        <f>IFERROR((((COUNTIF(OU19:OW19,"A")+COUNTIF(OZ19:PB19,"A")+COUNTIF(PE19:PG19,"A"))*4)+((COUNTIF(OU19:OW19,"B")+COUNTIF(OZ19:PB19,"B")+COUNTIF(PE19:PG19,"B"))*3)+((COUNTIF(OU19:OW19,"C")+COUNTIF(OZ19:PB19,"C")+COUNTIF(PE19:PG19,"C"))*2)+((COUNTIF(OU19:OW19,"D")+COUNTIF(OZ19:PB19,"D")+COUNTIF(PE19:PG19,"D"))*1))/(COUNTA(OU19:OW19)+COUNTA(OZ19:PB19)+COUNTA(PE19:PG19)),"")</f>
        <v>4</v>
      </c>
      <c r="PK18" s="130" t="str">
        <f t="shared" si="99"/>
        <v>A</v>
      </c>
      <c r="PL18" s="152"/>
      <c r="PM18" s="190"/>
      <c r="PN18" s="185"/>
      <c r="PO18" s="129">
        <f>IFERROR((((COUNTIF('Elève (6ème3)'!PL19:PN19,"A"))*4)+((COUNTIF('Elève (6ème3)'!PL19:PN19,"B"))*3)+((COUNTIF('Elève (6ème3)'!PL19:PN19,"C"))*2)+((COUNTIF('Elève (6ème3)'!PL19:PN19,"D"))*1))/(COUNTA(PL19:PN19)),"")</f>
        <v>4</v>
      </c>
      <c r="PP18" s="107" t="str">
        <f t="shared" si="100"/>
        <v>A</v>
      </c>
      <c r="PQ18" s="204"/>
      <c r="PR18" s="186"/>
      <c r="PS18" s="205"/>
      <c r="PT18" s="129" t="str">
        <f>IFERROR((((COUNTIF('Elève (6ème3)'!PQ19:PS19,"A"))*4)+((COUNTIF('Elève (6ème3)'!PQ19:PS19,"B"))*3)+((COUNTIF('Elève (6ème3)'!PQ19:PS19,"C"))*2)+((COUNTIF('Elève (6ème3)'!PQ19:PS19,"D"))*1))/(COUNTA(PQ19:PS19)),"")</f>
        <v/>
      </c>
      <c r="PU18" s="121" t="str">
        <f t="shared" si="101"/>
        <v/>
      </c>
      <c r="PV18" s="100"/>
      <c r="PW18" s="187"/>
      <c r="PX18" s="188"/>
      <c r="PY18" s="129" t="str">
        <f>IFERROR((((COUNTIF('Elève (6ème3)'!PV19:PX19,"A"))*4)+((COUNTIF('Elève (6ème3)'!PV19:PX19,"B"))*3)+((COUNTIF('Elève (6ème3)'!PV19:PX19,"C"))*2)+((COUNTIF('Elève (6ème3)'!PV19:PX19,"D"))*1))/(COUNTA(PV19:PX19)),"")</f>
        <v/>
      </c>
      <c r="PZ18" s="128" t="str">
        <f t="shared" si="102"/>
        <v/>
      </c>
      <c r="QA18" s="177">
        <f>IFERROR((((COUNTIF(PL19:PN19,"A")+COUNTIF(PQ19:PS19,"A")+COUNTIF(PV19:PX19,"A"))*4)+((COUNTIF(PL19:PN19,"B")+COUNTIF(PQ19:PS19,"B")+COUNTIF(PV19:PX19,"B"))*3)+((COUNTIF(PL19:PN19,"C")+COUNTIF(PQ19:PS19,"C")+COUNTIF(PV19:PX19,"C"))*2)+((COUNTIF(PL19:PN19,"D")+COUNTIF(PQ19:PS19,"D")+COUNTIF(PV19:PX19,"D"))*1))/(COUNTA(PL19:PN19)+COUNTA(PQ19:PS19)+COUNTA(PV19:PX19)),"")</f>
        <v>4</v>
      </c>
      <c r="QB18" s="130" t="str">
        <f t="shared" si="103"/>
        <v>A</v>
      </c>
      <c r="QC18" s="152"/>
      <c r="QD18" s="190"/>
      <c r="QE18" s="185"/>
      <c r="QF18" s="129">
        <f>IFERROR((((COUNTIF('Elève (6ème3)'!QC19:QE19,"A"))*4)+((COUNTIF('Elève (6ème3)'!QC19:QE19,"B"))*3)+((COUNTIF('Elève (6ème3)'!QC19:QE19,"C"))*2)+((COUNTIF('Elève (6ème3)'!QC19:QE19,"D"))*1))/(COUNTA(QC19:QE19)),"")</f>
        <v>4</v>
      </c>
      <c r="QG18" s="107" t="str">
        <f t="shared" si="104"/>
        <v>A</v>
      </c>
      <c r="QH18" s="204"/>
      <c r="QI18" s="186"/>
      <c r="QJ18" s="205"/>
      <c r="QK18" s="129" t="str">
        <f>IFERROR((((COUNTIF('Elève (6ème3)'!QH19:QJ19,"A"))*4)+((COUNTIF('Elève (6ème3)'!QH19:QJ19,"B"))*3)+((COUNTIF('Elève (6ème3)'!QH19:QJ19,"C"))*2)+((COUNTIF('Elève (6ème3)'!QH19:QJ19,"D"))*1))/(COUNTA(QH19:QJ19)),"")</f>
        <v/>
      </c>
      <c r="QL18" s="121" t="str">
        <f t="shared" si="105"/>
        <v/>
      </c>
      <c r="QM18" s="100"/>
      <c r="QN18" s="187"/>
      <c r="QO18" s="188"/>
      <c r="QP18" s="129" t="str">
        <f>IFERROR((((COUNTIF('Elève (6ème3)'!QM19:QO19,"A"))*4)+((COUNTIF('Elève (6ème3)'!QM19:QO19,"B"))*3)+((COUNTIF('Elève (6ème3)'!QM19:QO19,"C"))*2)+((COUNTIF('Elève (6ème3)'!QM19:QO19,"D"))*1))/(COUNTA(QM19:QO19)),"")</f>
        <v/>
      </c>
      <c r="QQ18" s="128" t="str">
        <f t="shared" si="106"/>
        <v/>
      </c>
      <c r="QR18" s="177">
        <f>IFERROR((((COUNTIF(QC19:QE19,"A")+COUNTIF(QH19:QJ19,"A")+COUNTIF(QM19:QO19,"A"))*4)+((COUNTIF(QC19:QE19,"B")+COUNTIF(QH19:QJ19,"B")+COUNTIF(QM19:QO19,"B"))*3)+((COUNTIF(QC19:QE19,"C")+COUNTIF(QH19:QJ19,"C")+COUNTIF(QM19:QO19,"C"))*2)+((COUNTIF(QC19:QE19,"D")+COUNTIF(QH19:QJ19,"D")+COUNTIF(QM19:QO19,"D"))*1))/(COUNTA(QC19:QE19)+COUNTA(QH19:QJ19)+COUNTA(QM19:QO19)),"")</f>
        <v>4</v>
      </c>
      <c r="QS18" s="130" t="str">
        <f t="shared" si="107"/>
        <v>A</v>
      </c>
      <c r="QT18" s="152"/>
      <c r="QU18" s="190"/>
      <c r="QV18" s="185"/>
      <c r="QW18" s="129">
        <f>IFERROR((((COUNTIF('Elève (6ème3)'!QT19:QV19,"A"))*4)+((COUNTIF('Elève (6ème3)'!QT19:QV19,"B"))*3)+((COUNTIF('Elève (6ème3)'!QT19:QV19,"C"))*2)+((COUNTIF('Elève (6ème3)'!QT19:QV19,"D"))*1))/(COUNTA(QT19:QV19)),"")</f>
        <v>4</v>
      </c>
      <c r="QX18" s="107" t="str">
        <f t="shared" si="108"/>
        <v>A</v>
      </c>
      <c r="QY18" s="204"/>
      <c r="QZ18" s="186"/>
      <c r="RA18" s="205"/>
      <c r="RB18" s="129" t="str">
        <f>IFERROR((((COUNTIF('Elève (6ème3)'!QY19:RA19,"A"))*4)+((COUNTIF('Elève (6ème3)'!QY19:RA19,"B"))*3)+((COUNTIF('Elève (6ème3)'!QY19:RA19,"C"))*2)+((COUNTIF('Elève (6ème3)'!QY19:RA19,"D"))*1))/(COUNTA(QY19:RA19)),"")</f>
        <v/>
      </c>
      <c r="RC18" s="121" t="str">
        <f t="shared" si="109"/>
        <v/>
      </c>
      <c r="RD18" s="100"/>
      <c r="RE18" s="187"/>
      <c r="RF18" s="188"/>
      <c r="RG18" s="129" t="str">
        <f>IFERROR((((COUNTIF('Elève (6ème3)'!RD19:RF19,"A"))*4)+((COUNTIF('Elève (6ème3)'!RD19:RF19,"B"))*3)+((COUNTIF('Elève (6ème3)'!RD19:RF19,"C"))*2)+((COUNTIF('Elève (6ème3)'!RD19:RF19,"D"))*1))/(COUNTA(RD19:RF19)),"")</f>
        <v/>
      </c>
      <c r="RH18" s="128" t="str">
        <f t="shared" si="110"/>
        <v/>
      </c>
      <c r="RI18" s="177">
        <f>IFERROR((((COUNTIF(QT19:QV19,"A")+COUNTIF(QY19:RA19,"A")+COUNTIF(RD19:RF19,"A"))*4)+((COUNTIF(QT19:QV19,"B")+COUNTIF(QY19:RA19,"B")+COUNTIF(RD19:RF19,"B"))*3)+((COUNTIF(QT19:QV19,"C")+COUNTIF(QY19:RA19,"C")+COUNTIF(RD19:RF19,"C"))*2)+((COUNTIF(QT19:QV19,"D")+COUNTIF(QY19:RA19,"D")+COUNTIF(RD19:RF19,"D"))*1))/(COUNTA(QT19:QV19)+COUNTA(QY19:RA19)+COUNTA(RD19:RF19)),"")</f>
        <v>4</v>
      </c>
      <c r="RJ18" s="130" t="str">
        <f t="shared" si="111"/>
        <v>A</v>
      </c>
      <c r="RK18" s="152"/>
      <c r="RL18" s="190"/>
      <c r="RM18" s="185"/>
      <c r="RN18" s="129" t="str">
        <f>IFERROR((((COUNTIF('Elève (6ème3)'!RK19:RM19,"A"))*4)+((COUNTIF('Elève (6ème3)'!RK19:RM19,"B"))*3)+((COUNTIF('Elève (6ème3)'!RK19:RM19,"C"))*2)+((COUNTIF('Elève (6ème3)'!RK19:RM19,"D"))*1))/(COUNTA(RK19:RM19)),"")</f>
        <v/>
      </c>
      <c r="RO18" s="107" t="str">
        <f t="shared" si="112"/>
        <v/>
      </c>
      <c r="RP18" s="204"/>
      <c r="RQ18" s="186"/>
      <c r="RR18" s="205"/>
      <c r="RS18" s="129" t="str">
        <f>IFERROR((((COUNTIF('Elève (6ème3)'!RP19:RR19,"A"))*4)+((COUNTIF('Elève (6ème3)'!RP19:RR19,"B"))*3)+((COUNTIF('Elève (6ème3)'!RP19:RR19,"C"))*2)+((COUNTIF('Elève (6ème3)'!RP19:RR19,"D"))*1))/(COUNTA(RP19:RR19)),"")</f>
        <v/>
      </c>
      <c r="RT18" s="121" t="str">
        <f t="shared" si="113"/>
        <v/>
      </c>
      <c r="RU18" s="100"/>
      <c r="RV18" s="187"/>
      <c r="RW18" s="188"/>
      <c r="RX18" s="129" t="str">
        <f>IFERROR((((COUNTIF('Elève (6ème3)'!RU19:RW19,"A"))*4)+((COUNTIF('Elève (6ème3)'!RU19:RW19,"B"))*3)+((COUNTIF('Elève (6ème3)'!RU19:RW19,"C"))*2)+((COUNTIF('Elève (6ème3)'!RU19:RW19,"D"))*1))/(COUNTA(RU19:RW19)),"")</f>
        <v/>
      </c>
      <c r="RY18" s="128" t="str">
        <f t="shared" si="114"/>
        <v/>
      </c>
      <c r="RZ18" s="177" t="str">
        <f>IFERROR((((COUNTIF(RK19:RM19,"A")+COUNTIF(RP19:RR19,"A")+COUNTIF(RU19:RW19,"A"))*4)+((COUNTIF(RK19:RM19,"B")+COUNTIF(RP19:RR19,"B")+COUNTIF(RU19:RW19,"B"))*3)+((COUNTIF(RK19:RM19,"C")+COUNTIF(RP19:RR19,"C")+COUNTIF(RU19:RW19,"C"))*2)+((COUNTIF(RK19:RM19,"D")+COUNTIF(RP19:RR19,"D")+COUNTIF(RU19:RW19,"D"))*1))/(COUNTA(RK19:RM19)+COUNTA(RP19:RR19)+COUNTA(RU19:RW19)),"")</f>
        <v/>
      </c>
      <c r="SA18" s="130" t="str">
        <f t="shared" si="115"/>
        <v/>
      </c>
      <c r="SB18" s="152"/>
      <c r="SC18" s="190"/>
      <c r="SD18" s="185"/>
      <c r="SE18" s="129" t="str">
        <f>IFERROR((((COUNTIF('Elève (6ème3)'!SB19:SD19,"A"))*4)+((COUNTIF('Elève (6ème3)'!SB19:SD19,"B"))*3)+((COUNTIF('Elève (6ème3)'!SB19:SD19,"C"))*2)+((COUNTIF('Elève (6ème3)'!SB19:SD19,"D"))*1))/(COUNTA(SB19:SD19)),"")</f>
        <v/>
      </c>
      <c r="SF18" s="107" t="str">
        <f t="shared" si="116"/>
        <v/>
      </c>
      <c r="SG18" s="204"/>
      <c r="SH18" s="186"/>
      <c r="SI18" s="205"/>
      <c r="SJ18" s="129" t="str">
        <f>IFERROR((((COUNTIF('Elève (6ème3)'!SG19:SI19,"A"))*4)+((COUNTIF('Elève (6ème3)'!SG19:SI19,"B"))*3)+((COUNTIF('Elève (6ème3)'!SG19:SI19,"C"))*2)+((COUNTIF('Elève (6ème3)'!SG19:SI19,"D"))*1))/(COUNTA(SG19:SI19)),"")</f>
        <v/>
      </c>
      <c r="SK18" s="121" t="str">
        <f t="shared" si="117"/>
        <v/>
      </c>
      <c r="SL18" s="100"/>
      <c r="SM18" s="187"/>
      <c r="SN18" s="188"/>
      <c r="SO18" s="129" t="str">
        <f>IFERROR((((COUNTIF('Elève (6ème3)'!SL19:SN19,"A"))*4)+((COUNTIF('Elève (6ème3)'!SL19:SN19,"B"))*3)+((COUNTIF('Elève (6ème3)'!SL19:SN19,"C"))*2)+((COUNTIF('Elève (6ème3)'!SL19:SN19,"D"))*1))/(COUNTA(SL19:SN19)),"")</f>
        <v/>
      </c>
      <c r="SP18" s="128" t="str">
        <f t="shared" si="118"/>
        <v/>
      </c>
      <c r="SQ18" s="177" t="str">
        <f>IFERROR((((COUNTIF(SB19:SD19,"A")+COUNTIF(SG19:SI19,"A")+COUNTIF(SL19:SN19,"A"))*4)+((COUNTIF(SB19:SD19,"B")+COUNTIF(SG19:SI19,"B")+COUNTIF(SL19:SN19,"B"))*3)+((COUNTIF(SB19:SD19,"C")+COUNTIF(SG19:SI19,"C")+COUNTIF(SL19:SN19,"C"))*2)+((COUNTIF(SB19:SD19,"D")+COUNTIF(SG19:SI19,"D")+COUNTIF(SL19:SN19,"D"))*1))/(COUNTA(SB19:SD19)+COUNTA(SG19:SI19)+COUNTA(SL19:SN19)),"")</f>
        <v/>
      </c>
      <c r="SR18" s="130" t="str">
        <f t="shared" si="119"/>
        <v/>
      </c>
    </row>
    <row r="19" spans="1:512" s="72" customFormat="1" ht="18" customHeight="1" thickBot="1" x14ac:dyDescent="0.3">
      <c r="A19" s="236" t="s">
        <v>22</v>
      </c>
      <c r="B19" s="237"/>
      <c r="C19" s="164" t="s">
        <v>24</v>
      </c>
      <c r="D19" s="165"/>
      <c r="E19" s="163"/>
      <c r="F19" s="114">
        <f>IFERROR((((COUNTIF('Elève (6ème3)'!C19:E19,"A"))*4)+((COUNTIF('Elève (6ème3)'!C19:E19,"B"))*3)+((COUNTIF('Elève (6ème3)'!C19:E19,"C"))*2)+((COUNTIF('Elève (6ème3)'!C19:E19,"D"))*1))/(COUNTA(C19:E19)),"")</f>
        <v>4</v>
      </c>
      <c r="G19" s="115" t="str">
        <f t="shared" si="0"/>
        <v>A</v>
      </c>
      <c r="H19" s="166"/>
      <c r="I19" s="90"/>
      <c r="J19" s="138"/>
      <c r="K19" s="114" t="str">
        <f>IFERROR((((COUNTIF('Elève (6ème3)'!H19:J19,"A"))*4)+((COUNTIF('Elève (6ème3)'!H19:J19,"B"))*3)+((COUNTIF('Elève (6ème3)'!H19:J19,"C"))*2)+((COUNTIF('Elève (6ème3)'!H19:J19,"D"))*1))/(COUNTA(H19:J19)),"")</f>
        <v/>
      </c>
      <c r="L19" s="115" t="str">
        <f t="shared" si="1"/>
        <v/>
      </c>
      <c r="M19" s="89"/>
      <c r="N19" s="90"/>
      <c r="O19" s="138"/>
      <c r="P19" s="114" t="str">
        <f>IFERROR((((COUNTIF('Elève (6ème3)'!M19:O19,"A"))*4)+((COUNTIF('Elève (6ème3)'!M19:O19,"B"))*3)+((COUNTIF('Elève (6ème3)'!M19:O19,"C"))*2)+((COUNTIF('Elève (6ème3)'!M19:O19,"D"))*1))/(COUNTA(M19:O19)),"")</f>
        <v/>
      </c>
      <c r="Q19" s="115" t="str">
        <f t="shared" si="2"/>
        <v/>
      </c>
      <c r="R19" s="181">
        <f>IF(COUNT(F19,K19,P19)=0,"",SUM(F19,K19,P19)/COUNT(F19,K19,P19))</f>
        <v>4</v>
      </c>
      <c r="S19" s="140" t="str">
        <f t="shared" si="3"/>
        <v>A</v>
      </c>
      <c r="T19" s="164" t="s">
        <v>24</v>
      </c>
      <c r="U19" s="165"/>
      <c r="V19" s="163"/>
      <c r="W19" s="114">
        <f>IFERROR((((COUNTIF('Elève (6ème3)'!T19:V19,"A"))*4)+((COUNTIF('Elève (6ème3)'!T19:V19,"B"))*3)+((COUNTIF('Elève (6ème3)'!T19:V19,"C"))*2)+((COUNTIF('Elève (6ème3)'!T19:V19,"D"))*1))/(COUNTA(T19:V19)),"")</f>
        <v>4</v>
      </c>
      <c r="X19" s="115" t="str">
        <f t="shared" si="4"/>
        <v>A</v>
      </c>
      <c r="Y19" s="166"/>
      <c r="Z19" s="90"/>
      <c r="AA19" s="138"/>
      <c r="AB19" s="114" t="str">
        <f>IFERROR((((COUNTIF('Elève (6ème3)'!Y19:AA19,"A"))*4)+((COUNTIF('Elève (6ème3)'!Y19:AA19,"B"))*3)+((COUNTIF('Elève (6ème3)'!Y19:AA19,"C"))*2)+((COUNTIF('Elève (6ème3)'!Y19:AA19,"D"))*1))/(COUNTA(Y19:AA19)),"")</f>
        <v/>
      </c>
      <c r="AC19" s="115" t="str">
        <f t="shared" si="5"/>
        <v/>
      </c>
      <c r="AD19" s="89"/>
      <c r="AE19" s="90"/>
      <c r="AF19" s="138"/>
      <c r="AG19" s="114" t="str">
        <f>IFERROR((((COUNTIF('Elève (6ème3)'!AD19:AF19,"A"))*4)+((COUNTIF('Elève (6ème3)'!AD19:AF19,"B"))*3)+((COUNTIF('Elève (6ème3)'!AD19:AF19,"C"))*2)+((COUNTIF('Elève (6ème3)'!AD19:AF19,"D"))*1))/(COUNTA(AD19:AF19)),"")</f>
        <v/>
      </c>
      <c r="AH19" s="115" t="str">
        <f t="shared" si="6"/>
        <v/>
      </c>
      <c r="AI19" s="181">
        <f>IF(COUNT(W19,AB19,AG19)=0,"",SUM(W19,AB19,AG19)/COUNT(W19,AB19,AG19))</f>
        <v>4</v>
      </c>
      <c r="AJ19" s="140" t="str">
        <f t="shared" si="7"/>
        <v>A</v>
      </c>
      <c r="AK19" s="164" t="s">
        <v>24</v>
      </c>
      <c r="AL19" s="165"/>
      <c r="AM19" s="163"/>
      <c r="AN19" s="114">
        <f>IFERROR((((COUNTIF('Elève (6ème3)'!AK19:AM19,"A"))*4)+((COUNTIF('Elève (6ème3)'!AK19:AM19,"B"))*3)+((COUNTIF('Elève (6ème3)'!AK19:AM19,"C"))*2)+((COUNTIF('Elève (6ème3)'!AK19:AM19,"D"))*1))/(COUNTA(AK19:AM19)),"")</f>
        <v>4</v>
      </c>
      <c r="AO19" s="115" t="str">
        <f t="shared" si="8"/>
        <v>A</v>
      </c>
      <c r="AP19" s="166"/>
      <c r="AQ19" s="90"/>
      <c r="AR19" s="138"/>
      <c r="AS19" s="114" t="str">
        <f>IFERROR((((COUNTIF('Elève (6ème3)'!AP19:AR19,"A"))*4)+((COUNTIF('Elève (6ème3)'!AP19:AR19,"B"))*3)+((COUNTIF('Elève (6ème3)'!AP19:AR19,"C"))*2)+((COUNTIF('Elève (6ème3)'!AP19:AR19,"D"))*1))/(COUNTA(AP19:AR19)),"")</f>
        <v/>
      </c>
      <c r="AT19" s="115" t="str">
        <f t="shared" si="9"/>
        <v/>
      </c>
      <c r="AU19" s="89"/>
      <c r="AV19" s="90"/>
      <c r="AW19" s="138"/>
      <c r="AX19" s="114" t="str">
        <f>IFERROR((((COUNTIF('Elève (6ème3)'!AU19:AW19,"A"))*4)+((COUNTIF('Elève (6ème3)'!AU19:AW19,"B"))*3)+((COUNTIF('Elève (6ème3)'!AU19:AW19,"C"))*2)+((COUNTIF('Elève (6ème3)'!AU19:AW19,"D"))*1))/(COUNTA(AU19:AW19)),"")</f>
        <v/>
      </c>
      <c r="AY19" s="115" t="str">
        <f t="shared" si="10"/>
        <v/>
      </c>
      <c r="AZ19" s="181">
        <f>IF(COUNT(AN19,AS19,AX19)=0,"",SUM(AN19,AS19,AX19)/COUNT(AN19,AS19,AX19))</f>
        <v>4</v>
      </c>
      <c r="BA19" s="140" t="str">
        <f t="shared" si="11"/>
        <v>A</v>
      </c>
      <c r="BB19" s="164" t="s">
        <v>24</v>
      </c>
      <c r="BC19" s="165"/>
      <c r="BD19" s="163"/>
      <c r="BE19" s="114">
        <f>IFERROR((((COUNTIF('Elève (6ème3)'!BB19:BD19,"A"))*4)+((COUNTIF('Elève (6ème3)'!BB19:BD19,"B"))*3)+((COUNTIF('Elève (6ème3)'!BB19:BD19,"C"))*2)+((COUNTIF('Elève (6ème3)'!BB19:BD19,"D"))*1))/(COUNTA(BB19:BD19)),"")</f>
        <v>4</v>
      </c>
      <c r="BF19" s="115" t="str">
        <f t="shared" si="12"/>
        <v>A</v>
      </c>
      <c r="BG19" s="166"/>
      <c r="BH19" s="90"/>
      <c r="BI19" s="138"/>
      <c r="BJ19" s="114" t="str">
        <f>IFERROR((((COUNTIF('Elève (6ème3)'!BG19:BI19,"A"))*4)+((COUNTIF('Elève (6ème3)'!BG19:BI19,"B"))*3)+((COUNTIF('Elève (6ème3)'!BG19:BI19,"C"))*2)+((COUNTIF('Elève (6ème3)'!BG19:BI19,"D"))*1))/(COUNTA(BG19:BI19)),"")</f>
        <v/>
      </c>
      <c r="BK19" s="115" t="str">
        <f t="shared" si="13"/>
        <v/>
      </c>
      <c r="BL19" s="89"/>
      <c r="BM19" s="90"/>
      <c r="BN19" s="138"/>
      <c r="BO19" s="114" t="str">
        <f>IFERROR((((COUNTIF('Elève (6ème3)'!BL19:BN19,"A"))*4)+((COUNTIF('Elève (6ème3)'!BL19:BN19,"B"))*3)+((COUNTIF('Elève (6ème3)'!BL19:BN19,"C"))*2)+((COUNTIF('Elève (6ème3)'!BL19:BN19,"D"))*1))/(COUNTA(BL19:BN19)),"")</f>
        <v/>
      </c>
      <c r="BP19" s="115" t="str">
        <f t="shared" si="14"/>
        <v/>
      </c>
      <c r="BQ19" s="181">
        <f>IF(COUNT(BE19,BJ19,BO19)=0,"",SUM(BE19,BJ19,BO19)/COUNT(BE19,BJ19,BO19))</f>
        <v>4</v>
      </c>
      <c r="BR19" s="140" t="str">
        <f t="shared" si="15"/>
        <v>A</v>
      </c>
      <c r="BS19" s="164" t="s">
        <v>24</v>
      </c>
      <c r="BT19" s="165"/>
      <c r="BU19" s="163"/>
      <c r="BV19" s="114">
        <f>IFERROR((((COUNTIF('Elève (6ème3)'!BS19:BU19,"A"))*4)+((COUNTIF('Elève (6ème3)'!BS19:BU19,"B"))*3)+((COUNTIF('Elève (6ème3)'!BS19:BU19,"C"))*2)+((COUNTIF('Elève (6ème3)'!BS19:BU19,"D"))*1))/(COUNTA(BS19:BU19)),"")</f>
        <v>4</v>
      </c>
      <c r="BW19" s="115" t="str">
        <f t="shared" si="16"/>
        <v>A</v>
      </c>
      <c r="BX19" s="166"/>
      <c r="BY19" s="90"/>
      <c r="BZ19" s="138"/>
      <c r="CA19" s="114" t="str">
        <f>IFERROR((((COUNTIF('Elève (6ème3)'!BX19:BZ19,"A"))*4)+((COUNTIF('Elève (6ème3)'!BX19:BZ19,"B"))*3)+((COUNTIF('Elève (6ème3)'!BX19:BZ19,"C"))*2)+((COUNTIF('Elève (6ème3)'!BX19:BZ19,"D"))*1))/(COUNTA(BX19:BZ19)),"")</f>
        <v/>
      </c>
      <c r="CB19" s="115" t="str">
        <f t="shared" si="17"/>
        <v/>
      </c>
      <c r="CC19" s="89"/>
      <c r="CD19" s="90"/>
      <c r="CE19" s="138"/>
      <c r="CF19" s="114" t="str">
        <f>IFERROR((((COUNTIF('Elève (6ème3)'!CC19:CE19,"A"))*4)+((COUNTIF('Elève (6ème3)'!CC19:CE19,"B"))*3)+((COUNTIF('Elève (6ème3)'!CC19:CE19,"C"))*2)+((COUNTIF('Elève (6ème3)'!CC19:CE19,"D"))*1))/(COUNTA(CC19:CE19)),"")</f>
        <v/>
      </c>
      <c r="CG19" s="115" t="str">
        <f t="shared" si="18"/>
        <v/>
      </c>
      <c r="CH19" s="181">
        <f>IF(COUNT(BV19,CA19,CF19)=0,"",SUM(BV19,CA19,CF19)/COUNT(BV19,CA19,CF19))</f>
        <v>4</v>
      </c>
      <c r="CI19" s="140" t="str">
        <f t="shared" si="19"/>
        <v>A</v>
      </c>
      <c r="CJ19" s="164" t="s">
        <v>24</v>
      </c>
      <c r="CK19" s="165"/>
      <c r="CL19" s="163"/>
      <c r="CM19" s="114">
        <f>IFERROR((((COUNTIF('Elève (6ème3)'!CJ19:CL19,"A"))*4)+((COUNTIF('Elève (6ème3)'!CJ19:CL19,"B"))*3)+((COUNTIF('Elève (6ème3)'!CJ19:CL19,"C"))*2)+((COUNTIF('Elève (6ème3)'!CJ19:CL19,"D"))*1))/(COUNTA(CJ19:CL19)),"")</f>
        <v>4</v>
      </c>
      <c r="CN19" s="115" t="str">
        <f t="shared" si="20"/>
        <v>A</v>
      </c>
      <c r="CO19" s="166"/>
      <c r="CP19" s="90"/>
      <c r="CQ19" s="138"/>
      <c r="CR19" s="114" t="str">
        <f>IFERROR((((COUNTIF('Elève (6ème3)'!CO19:CQ19,"A"))*4)+((COUNTIF('Elève (6ème3)'!CO19:CQ19,"B"))*3)+((COUNTIF('Elève (6ème3)'!CO19:CQ19,"C"))*2)+((COUNTIF('Elève (6ème3)'!CO19:CQ19,"D"))*1))/(COUNTA(CO19:CQ19)),"")</f>
        <v/>
      </c>
      <c r="CS19" s="115" t="str">
        <f t="shared" si="21"/>
        <v/>
      </c>
      <c r="CT19" s="89"/>
      <c r="CU19" s="90"/>
      <c r="CV19" s="138"/>
      <c r="CW19" s="114" t="str">
        <f>IFERROR((((COUNTIF('Elève (6ème3)'!CT19:CV19,"A"))*4)+((COUNTIF('Elève (6ème3)'!CT19:CV19,"B"))*3)+((COUNTIF('Elève (6ème3)'!CT19:CV19,"C"))*2)+((COUNTIF('Elève (6ème3)'!CT19:CV19,"D"))*1))/(COUNTA(CT19:CV19)),"")</f>
        <v/>
      </c>
      <c r="CX19" s="115" t="str">
        <f t="shared" si="22"/>
        <v/>
      </c>
      <c r="CY19" s="181">
        <f>IF(COUNT(CM19,CR19,CW19)=0,"",SUM(CM19,CR19,CW19)/COUNT(CM19,CR19,CW19))</f>
        <v>4</v>
      </c>
      <c r="CZ19" s="140" t="str">
        <f t="shared" si="23"/>
        <v>A</v>
      </c>
      <c r="DA19" s="164"/>
      <c r="DB19" s="165"/>
      <c r="DC19" s="163"/>
      <c r="DD19" s="114" t="str">
        <f>IFERROR((((COUNTIF('Elève (6ème3)'!DA19:DC19,"A"))*4)+((COUNTIF('Elève (6ème3)'!DA19:DC19,"B"))*3)+((COUNTIF('Elève (6ème3)'!DA19:DC19,"C"))*2)+((COUNTIF('Elève (6ème3)'!DA19:DC19,"D"))*1))/(COUNTA(DA19:DC19)),"")</f>
        <v/>
      </c>
      <c r="DE19" s="115" t="str">
        <f t="shared" si="24"/>
        <v/>
      </c>
      <c r="DF19" s="166"/>
      <c r="DG19" s="90"/>
      <c r="DH19" s="138"/>
      <c r="DI19" s="114" t="str">
        <f>IFERROR((((COUNTIF('Elève (6ème3)'!DF19:DH19,"A"))*4)+((COUNTIF('Elève (6ème3)'!DF19:DH19,"B"))*3)+((COUNTIF('Elève (6ème3)'!DF19:DH19,"C"))*2)+((COUNTIF('Elève (6ème3)'!DF19:DH19,"D"))*1))/(COUNTA(DF19:DH19)),"")</f>
        <v/>
      </c>
      <c r="DJ19" s="115" t="str">
        <f t="shared" si="25"/>
        <v/>
      </c>
      <c r="DK19" s="89"/>
      <c r="DL19" s="90"/>
      <c r="DM19" s="138"/>
      <c r="DN19" s="114" t="str">
        <f>IFERROR((((COUNTIF('Elève (6ème3)'!DK19:DM19,"A"))*4)+((COUNTIF('Elève (6ème3)'!DK19:DM19,"B"))*3)+((COUNTIF('Elève (6ème3)'!DK19:DM19,"C"))*2)+((COUNTIF('Elève (6ème3)'!DK19:DM19,"D"))*1))/(COUNTA(DK19:DM19)),"")</f>
        <v/>
      </c>
      <c r="DO19" s="115" t="str">
        <f t="shared" si="26"/>
        <v/>
      </c>
      <c r="DP19" s="181" t="str">
        <f>IF(COUNT(DD19,DI19,DN19)=0,"",SUM(DD19,DI19,DN19)/COUNT(DD19,DI19,DN19))</f>
        <v/>
      </c>
      <c r="DQ19" s="140" t="str">
        <f t="shared" si="27"/>
        <v/>
      </c>
      <c r="DR19" s="164" t="s">
        <v>24</v>
      </c>
      <c r="DS19" s="165"/>
      <c r="DT19" s="163"/>
      <c r="DU19" s="114">
        <f>IFERROR((((COUNTIF('Elève (6ème3)'!DR19:DT19,"A"))*4)+((COUNTIF('Elève (6ème3)'!DR19:DT19,"B"))*3)+((COUNTIF('Elève (6ème3)'!DR19:DT19,"C"))*2)+((COUNTIF('Elève (6ème3)'!DR19:DT19,"D"))*1))/(COUNTA(DR19:DT19)),"")</f>
        <v>4</v>
      </c>
      <c r="DV19" s="115" t="str">
        <f t="shared" si="28"/>
        <v>A</v>
      </c>
      <c r="DW19" s="166"/>
      <c r="DX19" s="90"/>
      <c r="DY19" s="138"/>
      <c r="DZ19" s="114" t="str">
        <f>IFERROR((((COUNTIF('Elève (6ème3)'!DW19:DY19,"A"))*4)+((COUNTIF('Elève (6ème3)'!DW19:DY19,"B"))*3)+((COUNTIF('Elève (6ème3)'!DW19:DY19,"C"))*2)+((COUNTIF('Elève (6ème3)'!DW19:DY19,"D"))*1))/(COUNTA(DW19:DY19)),"")</f>
        <v/>
      </c>
      <c r="EA19" s="115" t="str">
        <f t="shared" si="29"/>
        <v/>
      </c>
      <c r="EB19" s="89"/>
      <c r="EC19" s="90"/>
      <c r="ED19" s="138"/>
      <c r="EE19" s="114" t="str">
        <f>IFERROR((((COUNTIF('Elève (6ème3)'!EB19:ED19,"A"))*4)+((COUNTIF('Elève (6ème3)'!EB19:ED19,"B"))*3)+((COUNTIF('Elève (6ème3)'!EB19:ED19,"C"))*2)+((COUNTIF('Elève (6ème3)'!EB19:ED19,"D"))*1))/(COUNTA(EB19:ED19)),"")</f>
        <v/>
      </c>
      <c r="EF19" s="115" t="str">
        <f t="shared" si="30"/>
        <v/>
      </c>
      <c r="EG19" s="181">
        <f>IF(COUNT(DU19,DZ19,EE19)=0,"",SUM(DU19,DZ19,EE19)/COUNT(DU19,DZ19,EE19))</f>
        <v>4</v>
      </c>
      <c r="EH19" s="140" t="str">
        <f t="shared" si="31"/>
        <v>A</v>
      </c>
      <c r="EI19" s="164" t="s">
        <v>24</v>
      </c>
      <c r="EJ19" s="165"/>
      <c r="EK19" s="163"/>
      <c r="EL19" s="114">
        <f>IFERROR((((COUNTIF('Elève (6ème3)'!EI19:EK19,"A"))*4)+((COUNTIF('Elève (6ème3)'!EI19:EK19,"B"))*3)+((COUNTIF('Elève (6ème3)'!EI19:EK19,"C"))*2)+((COUNTIF('Elève (6ème3)'!EI19:EK19,"D"))*1))/(COUNTA(EI19:EK19)),"")</f>
        <v>4</v>
      </c>
      <c r="EM19" s="115" t="str">
        <f t="shared" si="32"/>
        <v>A</v>
      </c>
      <c r="EN19" s="166"/>
      <c r="EO19" s="90"/>
      <c r="EP19" s="138"/>
      <c r="EQ19" s="114" t="str">
        <f>IFERROR((((COUNTIF('Elève (6ème3)'!EN19:EP19,"A"))*4)+((COUNTIF('Elève (6ème3)'!EN19:EP19,"B"))*3)+((COUNTIF('Elève (6ème3)'!EN19:EP19,"C"))*2)+((COUNTIF('Elève (6ème3)'!EN19:EP19,"D"))*1))/(COUNTA(EN19:EP19)),"")</f>
        <v/>
      </c>
      <c r="ER19" s="115" t="str">
        <f t="shared" si="33"/>
        <v/>
      </c>
      <c r="ES19" s="89"/>
      <c r="ET19" s="90"/>
      <c r="EU19" s="138"/>
      <c r="EV19" s="114" t="str">
        <f>IFERROR((((COUNTIF('Elève (6ème3)'!ES19:EU19,"A"))*4)+((COUNTIF('Elève (6ème3)'!ES19:EU19,"B"))*3)+((COUNTIF('Elève (6ème3)'!ES19:EU19,"C"))*2)+((COUNTIF('Elève (6ème3)'!ES19:EU19,"D"))*1))/(COUNTA(ES19:EU19)),"")</f>
        <v/>
      </c>
      <c r="EW19" s="115" t="str">
        <f t="shared" si="34"/>
        <v/>
      </c>
      <c r="EX19" s="181">
        <f>IF(COUNT(EL19,EQ19,EV19)=0,"",SUM(EL19,EQ19,EV19)/COUNT(EL19,EQ19,EV19))</f>
        <v>4</v>
      </c>
      <c r="EY19" s="140" t="str">
        <f t="shared" si="35"/>
        <v>A</v>
      </c>
      <c r="EZ19" s="164" t="s">
        <v>24</v>
      </c>
      <c r="FA19" s="165"/>
      <c r="FB19" s="163"/>
      <c r="FC19" s="114">
        <f>IFERROR((((COUNTIF('Elève (6ème3)'!EZ19:FB19,"A"))*4)+((COUNTIF('Elève (6ème3)'!EZ19:FB19,"B"))*3)+((COUNTIF('Elève (6ème3)'!EZ19:FB19,"C"))*2)+((COUNTIF('Elève (6ème3)'!EZ19:FB19,"D"))*1))/(COUNTA(EZ19:FB19)),"")</f>
        <v>4</v>
      </c>
      <c r="FD19" s="115" t="str">
        <f t="shared" si="36"/>
        <v>A</v>
      </c>
      <c r="FE19" s="166"/>
      <c r="FF19" s="90"/>
      <c r="FG19" s="138"/>
      <c r="FH19" s="114" t="str">
        <f>IFERROR((((COUNTIF('Elève (6ème3)'!FE19:FG19,"A"))*4)+((COUNTIF('Elève (6ème3)'!FE19:FG19,"B"))*3)+((COUNTIF('Elève (6ème3)'!FE19:FG19,"C"))*2)+((COUNTIF('Elève (6ème3)'!FE19:FG19,"D"))*1))/(COUNTA(FE19:FG19)),"")</f>
        <v/>
      </c>
      <c r="FI19" s="115" t="str">
        <f t="shared" si="37"/>
        <v/>
      </c>
      <c r="FJ19" s="89"/>
      <c r="FK19" s="90"/>
      <c r="FL19" s="138"/>
      <c r="FM19" s="114" t="str">
        <f>IFERROR((((COUNTIF('Elève (6ème3)'!FJ19:FL19,"A"))*4)+((COUNTIF('Elève (6ème3)'!FJ19:FL19,"B"))*3)+((COUNTIF('Elève (6ème3)'!FJ19:FL19,"C"))*2)+((COUNTIF('Elève (6ème3)'!FJ19:FL19,"D"))*1))/(COUNTA(FJ19:FL19)),"")</f>
        <v/>
      </c>
      <c r="FN19" s="115" t="str">
        <f t="shared" si="38"/>
        <v/>
      </c>
      <c r="FO19" s="181">
        <f>IF(COUNT(FC19,FH19,FM19)=0,"",SUM(FC19,FH19,FM19)/COUNT(FC19,FH19,FM19))</f>
        <v>4</v>
      </c>
      <c r="FP19" s="140" t="str">
        <f t="shared" si="39"/>
        <v>A</v>
      </c>
      <c r="FQ19" s="164" t="s">
        <v>24</v>
      </c>
      <c r="FR19" s="165"/>
      <c r="FS19" s="163"/>
      <c r="FT19" s="114">
        <f>IFERROR((((COUNTIF('Elève (6ème3)'!FQ19:FS19,"A"))*4)+((COUNTIF('Elève (6ème3)'!FQ19:FS19,"B"))*3)+((COUNTIF('Elève (6ème3)'!FQ19:FS19,"C"))*2)+((COUNTIF('Elève (6ème3)'!FQ19:FS19,"D"))*1))/(COUNTA(FQ19:FS19)),"")</f>
        <v>4</v>
      </c>
      <c r="FU19" s="115" t="str">
        <f t="shared" si="40"/>
        <v>A</v>
      </c>
      <c r="FV19" s="166"/>
      <c r="FW19" s="90"/>
      <c r="FX19" s="138"/>
      <c r="FY19" s="114" t="str">
        <f>IFERROR((((COUNTIF('Elève (6ème3)'!FV19:FX19,"A"))*4)+((COUNTIF('Elève (6ème3)'!FV19:FX19,"B"))*3)+((COUNTIF('Elève (6ème3)'!FV19:FX19,"C"))*2)+((COUNTIF('Elève (6ème3)'!FV19:FX19,"D"))*1))/(COUNTA(FV19:FX19)),"")</f>
        <v/>
      </c>
      <c r="FZ19" s="115" t="str">
        <f t="shared" si="41"/>
        <v/>
      </c>
      <c r="GA19" s="89"/>
      <c r="GB19" s="90"/>
      <c r="GC19" s="138"/>
      <c r="GD19" s="114" t="str">
        <f>IFERROR((((COUNTIF('Elève (6ème3)'!GA19:GC19,"A"))*4)+((COUNTIF('Elève (6ème3)'!GA19:GC19,"B"))*3)+((COUNTIF('Elève (6ème3)'!GA19:GC19,"C"))*2)+((COUNTIF('Elève (6ème3)'!GA19:GC19,"D"))*1))/(COUNTA(GA19:GC19)),"")</f>
        <v/>
      </c>
      <c r="GE19" s="115" t="str">
        <f t="shared" si="42"/>
        <v/>
      </c>
      <c r="GF19" s="181">
        <f>IF(COUNT(FT19,FY19,GD19)=0,"",SUM(FT19,FY19,GD19)/COUNT(FT19,FY19,GD19))</f>
        <v>4</v>
      </c>
      <c r="GG19" s="140" t="str">
        <f t="shared" si="43"/>
        <v>A</v>
      </c>
      <c r="GH19" s="164" t="s">
        <v>25</v>
      </c>
      <c r="GI19" s="165"/>
      <c r="GJ19" s="163"/>
      <c r="GK19" s="114">
        <f>IFERROR((((COUNTIF('Elève (6ème3)'!GH19:GJ19,"A"))*4)+((COUNTIF('Elève (6ème3)'!GH19:GJ19,"B"))*3)+((COUNTIF('Elève (6ème3)'!GH19:GJ19,"C"))*2)+((COUNTIF('Elève (6ème3)'!GH19:GJ19,"D"))*1))/(COUNTA(GH19:GJ19)),"")</f>
        <v>3</v>
      </c>
      <c r="GL19" s="115" t="str">
        <f t="shared" si="44"/>
        <v>B</v>
      </c>
      <c r="GM19" s="166"/>
      <c r="GN19" s="90"/>
      <c r="GO19" s="138"/>
      <c r="GP19" s="114" t="str">
        <f>IFERROR((((COUNTIF('Elève (6ème3)'!GM19:GO19,"A"))*4)+((COUNTIF('Elève (6ème3)'!GM19:GO19,"B"))*3)+((COUNTIF('Elève (6ème3)'!GM19:GO19,"C"))*2)+((COUNTIF('Elève (6ème3)'!GM19:GO19,"D"))*1))/(COUNTA(GM19:GO19)),"")</f>
        <v/>
      </c>
      <c r="GQ19" s="115" t="str">
        <f t="shared" si="45"/>
        <v/>
      </c>
      <c r="GR19" s="89"/>
      <c r="GS19" s="90"/>
      <c r="GT19" s="138"/>
      <c r="GU19" s="114" t="str">
        <f>IFERROR((((COUNTIF('Elève (6ème3)'!GR19:GT19,"A"))*4)+((COUNTIF('Elève (6ème3)'!GR19:GT19,"B"))*3)+((COUNTIF('Elève (6ème3)'!GR19:GT19,"C"))*2)+((COUNTIF('Elève (6ème3)'!GR19:GT19,"D"))*1))/(COUNTA(GR19:GT19)),"")</f>
        <v/>
      </c>
      <c r="GV19" s="115" t="str">
        <f t="shared" si="46"/>
        <v/>
      </c>
      <c r="GW19" s="181">
        <f>IF(COUNT(GK19,GP19,GU19)=0,"",SUM(GK19,GP19,GU19)/COUNT(GK19,GP19,GU19))</f>
        <v>3</v>
      </c>
      <c r="GX19" s="140" t="str">
        <f t="shared" si="47"/>
        <v>B</v>
      </c>
      <c r="GY19" s="164" t="s">
        <v>24</v>
      </c>
      <c r="GZ19" s="165"/>
      <c r="HA19" s="163"/>
      <c r="HB19" s="114">
        <f>IFERROR((((COUNTIF('Elève (6ème3)'!GY19:HA19,"A"))*4)+((COUNTIF('Elève (6ème3)'!GY19:HA19,"B"))*3)+((COUNTIF('Elève (6ème3)'!GY19:HA19,"C"))*2)+((COUNTIF('Elève (6ème3)'!GY19:HA19,"D"))*1))/(COUNTA(GY19:HA19)),"")</f>
        <v>4</v>
      </c>
      <c r="HC19" s="115" t="str">
        <f t="shared" si="48"/>
        <v>A</v>
      </c>
      <c r="HD19" s="166"/>
      <c r="HE19" s="90"/>
      <c r="HF19" s="138"/>
      <c r="HG19" s="114" t="str">
        <f>IFERROR((((COUNTIF('Elève (6ème3)'!HD19:HF19,"A"))*4)+((COUNTIF('Elève (6ème3)'!HD19:HF19,"B"))*3)+((COUNTIF('Elève (6ème3)'!HD19:HF19,"C"))*2)+((COUNTIF('Elève (6ème3)'!HD19:HF19,"D"))*1))/(COUNTA(HD19:HF19)),"")</f>
        <v/>
      </c>
      <c r="HH19" s="115" t="str">
        <f t="shared" si="49"/>
        <v/>
      </c>
      <c r="HI19" s="89"/>
      <c r="HJ19" s="90"/>
      <c r="HK19" s="138"/>
      <c r="HL19" s="114" t="str">
        <f>IFERROR((((COUNTIF('Elève (6ème3)'!HI19:HK19,"A"))*4)+((COUNTIF('Elève (6ème3)'!HI19:HK19,"B"))*3)+((COUNTIF('Elève (6ème3)'!HI19:HK19,"C"))*2)+((COUNTIF('Elève (6ème3)'!HI19:HK19,"D"))*1))/(COUNTA(HI19:HK19)),"")</f>
        <v/>
      </c>
      <c r="HM19" s="115" t="str">
        <f t="shared" si="50"/>
        <v/>
      </c>
      <c r="HN19" s="181">
        <f>IF(COUNT(HB19,HG19,HL19)=0,"",SUM(HB19,HG19,HL19)/COUNT(HB19,HG19,HL19))</f>
        <v>4</v>
      </c>
      <c r="HO19" s="140" t="str">
        <f t="shared" si="51"/>
        <v>A</v>
      </c>
      <c r="HP19" s="164" t="s">
        <v>24</v>
      </c>
      <c r="HQ19" s="165"/>
      <c r="HR19" s="163"/>
      <c r="HS19" s="114">
        <f>IFERROR((((COUNTIF('Elève (6ème3)'!HP19:HR19,"A"))*4)+((COUNTIF('Elève (6ème3)'!HP19:HR19,"B"))*3)+((COUNTIF('Elève (6ème3)'!HP19:HR19,"C"))*2)+((COUNTIF('Elève (6ème3)'!HP19:HR19,"D"))*1))/(COUNTA(HP19:HR19)),"")</f>
        <v>4</v>
      </c>
      <c r="HT19" s="115" t="str">
        <f t="shared" si="52"/>
        <v>A</v>
      </c>
      <c r="HU19" s="166"/>
      <c r="HV19" s="90"/>
      <c r="HW19" s="138"/>
      <c r="HX19" s="114" t="str">
        <f>IFERROR((((COUNTIF('Elève (6ème3)'!HU19:HW19,"A"))*4)+((COUNTIF('Elève (6ème3)'!HU19:HW19,"B"))*3)+((COUNTIF('Elève (6ème3)'!HU19:HW19,"C"))*2)+((COUNTIF('Elève (6ème3)'!HU19:HW19,"D"))*1))/(COUNTA(HU19:HW19)),"")</f>
        <v/>
      </c>
      <c r="HY19" s="115" t="str">
        <f t="shared" si="53"/>
        <v/>
      </c>
      <c r="HZ19" s="89"/>
      <c r="IA19" s="90"/>
      <c r="IB19" s="138"/>
      <c r="IC19" s="114" t="str">
        <f>IFERROR((((COUNTIF('Elève (6ème3)'!HZ19:IB19,"A"))*4)+((COUNTIF('Elève (6ème3)'!HZ19:IB19,"B"))*3)+((COUNTIF('Elève (6ème3)'!HZ19:IB19,"C"))*2)+((COUNTIF('Elève (6ème3)'!HZ19:IB19,"D"))*1))/(COUNTA(HZ19:IB19)),"")</f>
        <v/>
      </c>
      <c r="ID19" s="115" t="str">
        <f t="shared" si="54"/>
        <v/>
      </c>
      <c r="IE19" s="181">
        <f>IF(COUNT(HS19,HX19,IC19)=0,"",SUM(HS19,HX19,IC19)/COUNT(HS19,HX19,IC19))</f>
        <v>4</v>
      </c>
      <c r="IF19" s="140" t="str">
        <f t="shared" si="55"/>
        <v>A</v>
      </c>
      <c r="IG19" s="164" t="s">
        <v>24</v>
      </c>
      <c r="IH19" s="165"/>
      <c r="II19" s="163"/>
      <c r="IJ19" s="114">
        <f>IFERROR((((COUNTIF('Elève (6ème3)'!IG19:II19,"A"))*4)+((COUNTIF('Elève (6ème3)'!IG19:II19,"B"))*3)+((COUNTIF('Elève (6ème3)'!IG19:II19,"C"))*2)+((COUNTIF('Elève (6ème3)'!IG19:II19,"D"))*1))/(COUNTA(IG19:II19)),"")</f>
        <v>4</v>
      </c>
      <c r="IK19" s="115" t="str">
        <f t="shared" si="56"/>
        <v>A</v>
      </c>
      <c r="IL19" s="166"/>
      <c r="IM19" s="90"/>
      <c r="IN19" s="138"/>
      <c r="IO19" s="114" t="str">
        <f>IFERROR((((COUNTIF('Elève (6ème3)'!IL19:IN19,"A"))*4)+((COUNTIF('Elève (6ème3)'!IL19:IN19,"B"))*3)+((COUNTIF('Elève (6ème3)'!IL19:IN19,"C"))*2)+((COUNTIF('Elève (6ème3)'!IL19:IN19,"D"))*1))/(COUNTA(IL19:IN19)),"")</f>
        <v/>
      </c>
      <c r="IP19" s="115" t="str">
        <f t="shared" si="57"/>
        <v/>
      </c>
      <c r="IQ19" s="89"/>
      <c r="IR19" s="90"/>
      <c r="IS19" s="138"/>
      <c r="IT19" s="114" t="str">
        <f>IFERROR((((COUNTIF('Elève (6ème3)'!IQ19:IS19,"A"))*4)+((COUNTIF('Elève (6ème3)'!IQ19:IS19,"B"))*3)+((COUNTIF('Elève (6ème3)'!IQ19:IS19,"C"))*2)+((COUNTIF('Elève (6ème3)'!IQ19:IS19,"D"))*1))/(COUNTA(IQ19:IS19)),"")</f>
        <v/>
      </c>
      <c r="IU19" s="115" t="str">
        <f t="shared" si="58"/>
        <v/>
      </c>
      <c r="IV19" s="181">
        <f>IF(COUNT(IJ19,IO19,IT19)=0,"",SUM(IJ19,IO19,IT19)/COUNT(IJ19,IO19,IT19))</f>
        <v>4</v>
      </c>
      <c r="IW19" s="140" t="str">
        <f t="shared" si="59"/>
        <v>A</v>
      </c>
      <c r="IX19" s="164" t="s">
        <v>24</v>
      </c>
      <c r="IY19" s="165"/>
      <c r="IZ19" s="163"/>
      <c r="JA19" s="114">
        <f>IFERROR((((COUNTIF('Elève (6ème3)'!IX19:IZ19,"A"))*4)+((COUNTIF('Elève (6ème3)'!IX19:IZ19,"B"))*3)+((COUNTIF('Elève (6ème3)'!IX19:IZ19,"C"))*2)+((COUNTIF('Elève (6ème3)'!IX19:IZ19,"D"))*1))/(COUNTA(IX19:IZ19)),"")</f>
        <v>4</v>
      </c>
      <c r="JB19" s="115" t="str">
        <f t="shared" si="60"/>
        <v>A</v>
      </c>
      <c r="JC19" s="166"/>
      <c r="JD19" s="90"/>
      <c r="JE19" s="138"/>
      <c r="JF19" s="114" t="str">
        <f>IFERROR((((COUNTIF('Elève (6ème3)'!JC19:JE19,"A"))*4)+((COUNTIF('Elève (6ème3)'!JC19:JE19,"B"))*3)+((COUNTIF('Elève (6ème3)'!JC19:JE19,"C"))*2)+((COUNTIF('Elève (6ème3)'!JC19:JE19,"D"))*1))/(COUNTA(JC19:JE19)),"")</f>
        <v/>
      </c>
      <c r="JG19" s="115" t="str">
        <f t="shared" si="61"/>
        <v/>
      </c>
      <c r="JH19" s="89"/>
      <c r="JI19" s="90"/>
      <c r="JJ19" s="138"/>
      <c r="JK19" s="114" t="str">
        <f>IFERROR((((COUNTIF('Elève (6ème3)'!JH19:JJ19,"A"))*4)+((COUNTIF('Elève (6ème3)'!JH19:JJ19,"B"))*3)+((COUNTIF('Elève (6ème3)'!JH19:JJ19,"C"))*2)+((COUNTIF('Elève (6ème3)'!JH19:JJ19,"D"))*1))/(COUNTA(JH19:JJ19)),"")</f>
        <v/>
      </c>
      <c r="JL19" s="115" t="str">
        <f t="shared" si="62"/>
        <v/>
      </c>
      <c r="JM19" s="181">
        <f>IF(COUNT(JA19,JF19,JK19)=0,"",SUM(JA19,JF19,JK19)/COUNT(JA19,JF19,JK19))</f>
        <v>4</v>
      </c>
      <c r="JN19" s="140" t="str">
        <f t="shared" si="63"/>
        <v>A</v>
      </c>
      <c r="JO19" s="164" t="s">
        <v>25</v>
      </c>
      <c r="JP19" s="165"/>
      <c r="JQ19" s="163"/>
      <c r="JR19" s="114">
        <f>IFERROR((((COUNTIF('Elève (6ème3)'!JO19:JQ19,"A"))*4)+((COUNTIF('Elève (6ème3)'!JO19:JQ19,"B"))*3)+((COUNTIF('Elève (6ème3)'!JO19:JQ19,"C"))*2)+((COUNTIF('Elève (6ème3)'!JO19:JQ19,"D"))*1))/(COUNTA(JO19:JQ19)),"")</f>
        <v>3</v>
      </c>
      <c r="JS19" s="115" t="str">
        <f t="shared" si="64"/>
        <v>B</v>
      </c>
      <c r="JT19" s="166"/>
      <c r="JU19" s="90"/>
      <c r="JV19" s="138"/>
      <c r="JW19" s="114" t="str">
        <f>IFERROR((((COUNTIF('Elève (6ème3)'!JT19:JV19,"A"))*4)+((COUNTIF('Elève (6ème3)'!JT19:JV19,"B"))*3)+((COUNTIF('Elève (6ème3)'!JT19:JV19,"C"))*2)+((COUNTIF('Elève (6ème3)'!JT19:JV19,"D"))*1))/(COUNTA(JT19:JV19)),"")</f>
        <v/>
      </c>
      <c r="JX19" s="115" t="str">
        <f t="shared" si="65"/>
        <v/>
      </c>
      <c r="JY19" s="89"/>
      <c r="JZ19" s="90"/>
      <c r="KA19" s="138"/>
      <c r="KB19" s="114" t="str">
        <f>IFERROR((((COUNTIF('Elève (6ème3)'!JY19:KA19,"A"))*4)+((COUNTIF('Elève (6ème3)'!JY19:KA19,"B"))*3)+((COUNTIF('Elève (6ème3)'!JY19:KA19,"C"))*2)+((COUNTIF('Elève (6ème3)'!JY19:KA19,"D"))*1))/(COUNTA(JY19:KA19)),"")</f>
        <v/>
      </c>
      <c r="KC19" s="115" t="str">
        <f t="shared" si="66"/>
        <v/>
      </c>
      <c r="KD19" s="181">
        <f>IF(COUNT(JR19,JW19,KB19)=0,"",SUM(JR19,JW19,KB19)/COUNT(JR19,JW19,KB19))</f>
        <v>3</v>
      </c>
      <c r="KE19" s="140" t="str">
        <f t="shared" si="67"/>
        <v>B</v>
      </c>
      <c r="KF19" s="164" t="s">
        <v>24</v>
      </c>
      <c r="KG19" s="165"/>
      <c r="KH19" s="163"/>
      <c r="KI19" s="114">
        <f>IFERROR((((COUNTIF('Elève (6ème3)'!KF19:KH19,"A"))*4)+((COUNTIF('Elève (6ème3)'!KF19:KH19,"B"))*3)+((COUNTIF('Elève (6ème3)'!KF19:KH19,"C"))*2)+((COUNTIF('Elève (6ème3)'!KF19:KH19,"D"))*1))/(COUNTA(KF19:KH19)),"")</f>
        <v>4</v>
      </c>
      <c r="KJ19" s="115" t="str">
        <f t="shared" si="68"/>
        <v>A</v>
      </c>
      <c r="KK19" s="166"/>
      <c r="KL19" s="90"/>
      <c r="KM19" s="138"/>
      <c r="KN19" s="114" t="str">
        <f>IFERROR((((COUNTIF('Elève (6ème3)'!KK19:KM19,"A"))*4)+((COUNTIF('Elève (6ème3)'!KK19:KM19,"B"))*3)+((COUNTIF('Elève (6ème3)'!KK19:KM19,"C"))*2)+((COUNTIF('Elève (6ème3)'!KK19:KM19,"D"))*1))/(COUNTA(KK19:KM19)),"")</f>
        <v/>
      </c>
      <c r="KO19" s="115" t="str">
        <f t="shared" si="69"/>
        <v/>
      </c>
      <c r="KP19" s="89"/>
      <c r="KQ19" s="90"/>
      <c r="KR19" s="138"/>
      <c r="KS19" s="114" t="str">
        <f>IFERROR((((COUNTIF('Elève (6ème3)'!KP19:KR19,"A"))*4)+((COUNTIF('Elève (6ème3)'!KP19:KR19,"B"))*3)+((COUNTIF('Elève (6ème3)'!KP19:KR19,"C"))*2)+((COUNTIF('Elève (6ème3)'!KP19:KR19,"D"))*1))/(COUNTA(KP19:KR19)),"")</f>
        <v/>
      </c>
      <c r="KT19" s="115" t="str">
        <f t="shared" si="70"/>
        <v/>
      </c>
      <c r="KU19" s="181">
        <f>IF(COUNT(KI19,KN19,KS19)=0,"",SUM(KI19,KN19,KS19)/COUNT(KI19,KN19,KS19))</f>
        <v>4</v>
      </c>
      <c r="KV19" s="140" t="str">
        <f t="shared" si="71"/>
        <v>A</v>
      </c>
      <c r="KW19" s="164" t="s">
        <v>24</v>
      </c>
      <c r="KX19" s="165"/>
      <c r="KY19" s="163"/>
      <c r="KZ19" s="114">
        <f>IFERROR((((COUNTIF('Elève (6ème3)'!KW19:KY19,"A"))*4)+((COUNTIF('Elève (6ème3)'!KW19:KY19,"B"))*3)+((COUNTIF('Elève (6ème3)'!KW19:KY19,"C"))*2)+((COUNTIF('Elève (6ème3)'!KW19:KY19,"D"))*1))/(COUNTA(KW19:KY19)),"")</f>
        <v>4</v>
      </c>
      <c r="LA19" s="115" t="str">
        <f t="shared" si="72"/>
        <v>A</v>
      </c>
      <c r="LB19" s="166"/>
      <c r="LC19" s="90"/>
      <c r="LD19" s="138"/>
      <c r="LE19" s="114" t="str">
        <f>IFERROR((((COUNTIF('Elève (6ème3)'!LB19:LD19,"A"))*4)+((COUNTIF('Elève (6ème3)'!LB19:LD19,"B"))*3)+((COUNTIF('Elève (6ème3)'!LB19:LD19,"C"))*2)+((COUNTIF('Elève (6ème3)'!LB19:LD19,"D"))*1))/(COUNTA(LB19:LD19)),"")</f>
        <v/>
      </c>
      <c r="LF19" s="115" t="str">
        <f t="shared" si="73"/>
        <v/>
      </c>
      <c r="LG19" s="89"/>
      <c r="LH19" s="90"/>
      <c r="LI19" s="138"/>
      <c r="LJ19" s="114" t="str">
        <f>IFERROR((((COUNTIF('Elève (6ème3)'!LG19:LI19,"A"))*4)+((COUNTIF('Elève (6ème3)'!LG19:LI19,"B"))*3)+((COUNTIF('Elève (6ème3)'!LG19:LI19,"C"))*2)+((COUNTIF('Elève (6ème3)'!LG19:LI19,"D"))*1))/(COUNTA(LG19:LI19)),"")</f>
        <v/>
      </c>
      <c r="LK19" s="115" t="str">
        <f t="shared" si="74"/>
        <v/>
      </c>
      <c r="LL19" s="181">
        <f>IF(COUNT(KZ19,LE19,LJ19)=0,"",SUM(KZ19,LE19,LJ19)/COUNT(KZ19,LE19,LJ19))</f>
        <v>4</v>
      </c>
      <c r="LM19" s="140" t="str">
        <f t="shared" si="75"/>
        <v>A</v>
      </c>
      <c r="LN19" s="164" t="s">
        <v>24</v>
      </c>
      <c r="LO19" s="165"/>
      <c r="LP19" s="163"/>
      <c r="LQ19" s="114">
        <f>IFERROR((((COUNTIF('Elève (6ème3)'!LN19:LP19,"A"))*4)+((COUNTIF('Elève (6ème3)'!LN19:LP19,"B"))*3)+((COUNTIF('Elève (6ème3)'!LN19:LP19,"C"))*2)+((COUNTIF('Elève (6ème3)'!LN19:LP19,"D"))*1))/(COUNTA(LN19:LP19)),"")</f>
        <v>4</v>
      </c>
      <c r="LR19" s="115" t="str">
        <f t="shared" si="76"/>
        <v>A</v>
      </c>
      <c r="LS19" s="166"/>
      <c r="LT19" s="90"/>
      <c r="LU19" s="138"/>
      <c r="LV19" s="114" t="str">
        <f>IFERROR((((COUNTIF('Elève (6ème3)'!LS19:LU19,"A"))*4)+((COUNTIF('Elève (6ème3)'!LS19:LU19,"B"))*3)+((COUNTIF('Elève (6ème3)'!LS19:LU19,"C"))*2)+((COUNTIF('Elève (6ème3)'!LS19:LU19,"D"))*1))/(COUNTA(LS19:LU19)),"")</f>
        <v/>
      </c>
      <c r="LW19" s="115" t="str">
        <f t="shared" si="77"/>
        <v/>
      </c>
      <c r="LX19" s="89"/>
      <c r="LY19" s="90"/>
      <c r="LZ19" s="138"/>
      <c r="MA19" s="114" t="str">
        <f>IFERROR((((COUNTIF('Elève (6ème3)'!LX19:LZ19,"A"))*4)+((COUNTIF('Elève (6ème3)'!LX19:LZ19,"B"))*3)+((COUNTIF('Elève (6ème3)'!LX19:LZ19,"C"))*2)+((COUNTIF('Elève (6ème3)'!LX19:LZ19,"D"))*1))/(COUNTA(LX19:LZ19)),"")</f>
        <v/>
      </c>
      <c r="MB19" s="115" t="str">
        <f t="shared" si="78"/>
        <v/>
      </c>
      <c r="MC19" s="181">
        <f>IF(COUNT(LQ19,LV19,MA19)=0,"",SUM(LQ19,LV19,MA19)/COUNT(LQ19,LV19,MA19))</f>
        <v>4</v>
      </c>
      <c r="MD19" s="140" t="str">
        <f t="shared" si="79"/>
        <v>A</v>
      </c>
      <c r="ME19" s="164" t="s">
        <v>24</v>
      </c>
      <c r="MF19" s="165"/>
      <c r="MG19" s="163"/>
      <c r="MH19" s="114">
        <f>IFERROR((((COUNTIF('Elève (6ème3)'!ME19:MG19,"A"))*4)+((COUNTIF('Elève (6ème3)'!ME19:MG19,"B"))*3)+((COUNTIF('Elève (6ème3)'!ME19:MG19,"C"))*2)+((COUNTIF('Elève (6ème3)'!ME19:MG19,"D"))*1))/(COUNTA(ME19:MG19)),"")</f>
        <v>4</v>
      </c>
      <c r="MI19" s="115" t="str">
        <f t="shared" si="80"/>
        <v>A</v>
      </c>
      <c r="MJ19" s="166"/>
      <c r="MK19" s="90"/>
      <c r="ML19" s="138"/>
      <c r="MM19" s="114" t="str">
        <f>IFERROR((((COUNTIF('Elève (6ème3)'!MJ19:ML19,"A"))*4)+((COUNTIF('Elève (6ème3)'!MJ19:ML19,"B"))*3)+((COUNTIF('Elève (6ème3)'!MJ19:ML19,"C"))*2)+((COUNTIF('Elève (6ème3)'!MJ19:ML19,"D"))*1))/(COUNTA(MJ19:ML19)),"")</f>
        <v/>
      </c>
      <c r="MN19" s="115" t="str">
        <f t="shared" si="81"/>
        <v/>
      </c>
      <c r="MO19" s="89"/>
      <c r="MP19" s="90"/>
      <c r="MQ19" s="138"/>
      <c r="MR19" s="114" t="str">
        <f>IFERROR((((COUNTIF('Elève (6ème3)'!MO19:MQ19,"A"))*4)+((COUNTIF('Elève (6ème3)'!MO19:MQ19,"B"))*3)+((COUNTIF('Elève (6ème3)'!MO19:MQ19,"C"))*2)+((COUNTIF('Elève (6ème3)'!MO19:MQ19,"D"))*1))/(COUNTA(MO19:MQ19)),"")</f>
        <v/>
      </c>
      <c r="MS19" s="115" t="str">
        <f t="shared" si="82"/>
        <v/>
      </c>
      <c r="MT19" s="181">
        <f>IF(COUNT(MH19,MM19,MR19)=0,"",SUM(MH19,MM19,MR19)/COUNT(MH19,MM19,MR19))</f>
        <v>4</v>
      </c>
      <c r="MU19" s="140" t="str">
        <f t="shared" si="83"/>
        <v>A</v>
      </c>
      <c r="MV19" s="164" t="s">
        <v>24</v>
      </c>
      <c r="MW19" s="165"/>
      <c r="MX19" s="163"/>
      <c r="MY19" s="114">
        <f>IFERROR((((COUNTIF('Elève (6ème3)'!MV19:MX19,"A"))*4)+((COUNTIF('Elève (6ème3)'!MV19:MX19,"B"))*3)+((COUNTIF('Elève (6ème3)'!MV19:MX19,"C"))*2)+((COUNTIF('Elève (6ème3)'!MV19:MX19,"D"))*1))/(COUNTA(MV19:MX19)),"")</f>
        <v>4</v>
      </c>
      <c r="MZ19" s="115" t="str">
        <f t="shared" si="84"/>
        <v>A</v>
      </c>
      <c r="NA19" s="166"/>
      <c r="NB19" s="90"/>
      <c r="NC19" s="138"/>
      <c r="ND19" s="114" t="str">
        <f>IFERROR((((COUNTIF('Elève (6ème3)'!NA19:NC19,"A"))*4)+((COUNTIF('Elève (6ème3)'!NA19:NC19,"B"))*3)+((COUNTIF('Elève (6ème3)'!NA19:NC19,"C"))*2)+((COUNTIF('Elève (6ème3)'!NA19:NC19,"D"))*1))/(COUNTA(NA19:NC19)),"")</f>
        <v/>
      </c>
      <c r="NE19" s="115" t="str">
        <f t="shared" si="85"/>
        <v/>
      </c>
      <c r="NF19" s="89"/>
      <c r="NG19" s="90"/>
      <c r="NH19" s="138"/>
      <c r="NI19" s="114" t="str">
        <f>IFERROR((((COUNTIF('Elève (6ème3)'!NF19:NH19,"A"))*4)+((COUNTIF('Elève (6ème3)'!NF19:NH19,"B"))*3)+((COUNTIF('Elève (6ème3)'!NF19:NH19,"C"))*2)+((COUNTIF('Elève (6ème3)'!NF19:NH19,"D"))*1))/(COUNTA(NF19:NH19)),"")</f>
        <v/>
      </c>
      <c r="NJ19" s="115" t="str">
        <f t="shared" si="86"/>
        <v/>
      </c>
      <c r="NK19" s="181">
        <f>IF(COUNT(MY19,ND19,NI19)=0,"",SUM(MY19,ND19,NI19)/COUNT(MY19,ND19,NI19))</f>
        <v>4</v>
      </c>
      <c r="NL19" s="140" t="str">
        <f t="shared" si="87"/>
        <v>A</v>
      </c>
      <c r="NM19" s="164" t="s">
        <v>24</v>
      </c>
      <c r="NN19" s="165"/>
      <c r="NO19" s="163"/>
      <c r="NP19" s="114">
        <f>IFERROR((((COUNTIF('Elève (6ème3)'!NM19:NO19,"A"))*4)+((COUNTIF('Elève (6ème3)'!NM19:NO19,"B"))*3)+((COUNTIF('Elève (6ème3)'!NM19:NO19,"C"))*2)+((COUNTIF('Elève (6ème3)'!NM19:NO19,"D"))*1))/(COUNTA(NM19:NO19)),"")</f>
        <v>4</v>
      </c>
      <c r="NQ19" s="115" t="str">
        <f t="shared" si="88"/>
        <v>A</v>
      </c>
      <c r="NR19" s="166"/>
      <c r="NS19" s="90"/>
      <c r="NT19" s="138"/>
      <c r="NU19" s="114" t="str">
        <f>IFERROR((((COUNTIF('Elève (6ème3)'!NR19:NT19,"A"))*4)+((COUNTIF('Elève (6ème3)'!NR19:NT19,"B"))*3)+((COUNTIF('Elève (6ème3)'!NR19:NT19,"C"))*2)+((COUNTIF('Elève (6ème3)'!NR19:NT19,"D"))*1))/(COUNTA(NR19:NT19)),"")</f>
        <v/>
      </c>
      <c r="NV19" s="115" t="str">
        <f t="shared" si="89"/>
        <v/>
      </c>
      <c r="NW19" s="89"/>
      <c r="NX19" s="90"/>
      <c r="NY19" s="138"/>
      <c r="NZ19" s="114" t="str">
        <f>IFERROR((((COUNTIF('Elève (6ème3)'!NW19:NY19,"A"))*4)+((COUNTIF('Elève (6ème3)'!NW19:NY19,"B"))*3)+((COUNTIF('Elève (6ème3)'!NW19:NY19,"C"))*2)+((COUNTIF('Elève (6ème3)'!NW19:NY19,"D"))*1))/(COUNTA(NW19:NY19)),"")</f>
        <v/>
      </c>
      <c r="OA19" s="115" t="str">
        <f t="shared" si="90"/>
        <v/>
      </c>
      <c r="OB19" s="181">
        <f>IF(COUNT(NP19,NU19,NZ19)=0,"",SUM(NP19,NU19,NZ19)/COUNT(NP19,NU19,NZ19))</f>
        <v>4</v>
      </c>
      <c r="OC19" s="140" t="str">
        <f t="shared" si="91"/>
        <v>A</v>
      </c>
      <c r="OD19" s="164" t="s">
        <v>24</v>
      </c>
      <c r="OE19" s="165"/>
      <c r="OF19" s="163"/>
      <c r="OG19" s="114">
        <f>IFERROR((((COUNTIF('Elève (6ème3)'!OD19:OF19,"A"))*4)+((COUNTIF('Elève (6ème3)'!OD19:OF19,"B"))*3)+((COUNTIF('Elève (6ème3)'!OD19:OF19,"C"))*2)+((COUNTIF('Elève (6ème3)'!OD19:OF19,"D"))*1))/(COUNTA(OD19:OF19)),"")</f>
        <v>4</v>
      </c>
      <c r="OH19" s="115" t="str">
        <f t="shared" si="92"/>
        <v>A</v>
      </c>
      <c r="OI19" s="166"/>
      <c r="OJ19" s="90"/>
      <c r="OK19" s="138"/>
      <c r="OL19" s="114" t="str">
        <f>IFERROR((((COUNTIF('Elève (6ème3)'!OI19:OK19,"A"))*4)+((COUNTIF('Elève (6ème3)'!OI19:OK19,"B"))*3)+((COUNTIF('Elève (6ème3)'!OI19:OK19,"C"))*2)+((COUNTIF('Elève (6ème3)'!OI19:OK19,"D"))*1))/(COUNTA(OI19:OK19)),"")</f>
        <v/>
      </c>
      <c r="OM19" s="115" t="str">
        <f t="shared" si="93"/>
        <v/>
      </c>
      <c r="ON19" s="89"/>
      <c r="OO19" s="90"/>
      <c r="OP19" s="138"/>
      <c r="OQ19" s="114" t="str">
        <f>IFERROR((((COUNTIF('Elève (6ème3)'!ON19:OP19,"A"))*4)+((COUNTIF('Elève (6ème3)'!ON19:OP19,"B"))*3)+((COUNTIF('Elève (6ème3)'!ON19:OP19,"C"))*2)+((COUNTIF('Elève (6ème3)'!ON19:OP19,"D"))*1))/(COUNTA(ON19:OP19)),"")</f>
        <v/>
      </c>
      <c r="OR19" s="115" t="str">
        <f t="shared" si="94"/>
        <v/>
      </c>
      <c r="OS19" s="181">
        <f>IF(COUNT(OG19,OL19,OQ19)=0,"",SUM(OG19,OL19,OQ19)/COUNT(OG19,OL19,OQ19))</f>
        <v>4</v>
      </c>
      <c r="OT19" s="140" t="str">
        <f t="shared" si="95"/>
        <v>A</v>
      </c>
      <c r="OU19" s="164" t="s">
        <v>24</v>
      </c>
      <c r="OV19" s="165"/>
      <c r="OW19" s="163"/>
      <c r="OX19" s="114">
        <f>IFERROR((((COUNTIF('Elève (6ème3)'!OU19:OW19,"A"))*4)+((COUNTIF('Elève (6ème3)'!OU19:OW19,"B"))*3)+((COUNTIF('Elève (6ème3)'!OU19:OW19,"C"))*2)+((COUNTIF('Elève (6ème3)'!OU19:OW19,"D"))*1))/(COUNTA(OU19:OW19)),"")</f>
        <v>4</v>
      </c>
      <c r="OY19" s="115" t="str">
        <f t="shared" si="96"/>
        <v>A</v>
      </c>
      <c r="OZ19" s="166"/>
      <c r="PA19" s="90"/>
      <c r="PB19" s="138"/>
      <c r="PC19" s="114" t="str">
        <f>IFERROR((((COUNTIF('Elève (6ème3)'!OZ19:PB19,"A"))*4)+((COUNTIF('Elève (6ème3)'!OZ19:PB19,"B"))*3)+((COUNTIF('Elève (6ème3)'!OZ19:PB19,"C"))*2)+((COUNTIF('Elève (6ème3)'!OZ19:PB19,"D"))*1))/(COUNTA(OZ19:PB19)),"")</f>
        <v/>
      </c>
      <c r="PD19" s="115" t="str">
        <f t="shared" si="97"/>
        <v/>
      </c>
      <c r="PE19" s="89"/>
      <c r="PF19" s="90"/>
      <c r="PG19" s="138"/>
      <c r="PH19" s="114" t="str">
        <f>IFERROR((((COUNTIF('Elève (6ème3)'!PE19:PG19,"A"))*4)+((COUNTIF('Elève (6ème3)'!PE19:PG19,"B"))*3)+((COUNTIF('Elève (6ème3)'!PE19:PG19,"C"))*2)+((COUNTIF('Elève (6ème3)'!PE19:PG19,"D"))*1))/(COUNTA(PE19:PG19)),"")</f>
        <v/>
      </c>
      <c r="PI19" s="115" t="str">
        <f t="shared" si="98"/>
        <v/>
      </c>
      <c r="PJ19" s="181">
        <f>IF(COUNT(OX19,PC19,PH19)=0,"",SUM(OX19,PC19,PH19)/COUNT(OX19,PC19,PH19))</f>
        <v>4</v>
      </c>
      <c r="PK19" s="140" t="str">
        <f t="shared" si="99"/>
        <v>A</v>
      </c>
      <c r="PL19" s="164" t="s">
        <v>24</v>
      </c>
      <c r="PM19" s="165"/>
      <c r="PN19" s="163"/>
      <c r="PO19" s="114">
        <f>IFERROR((((COUNTIF('Elève (6ème3)'!PL19:PN19,"A"))*4)+((COUNTIF('Elève (6ème3)'!PL19:PN19,"B"))*3)+((COUNTIF('Elève (6ème3)'!PL19:PN19,"C"))*2)+((COUNTIF('Elève (6ème3)'!PL19:PN19,"D"))*1))/(COUNTA(PL19:PN19)),"")</f>
        <v>4</v>
      </c>
      <c r="PP19" s="115" t="str">
        <f t="shared" si="100"/>
        <v>A</v>
      </c>
      <c r="PQ19" s="166"/>
      <c r="PR19" s="90"/>
      <c r="PS19" s="138"/>
      <c r="PT19" s="114" t="str">
        <f>IFERROR((((COUNTIF('Elève (6ème3)'!PQ19:PS19,"A"))*4)+((COUNTIF('Elève (6ème3)'!PQ19:PS19,"B"))*3)+((COUNTIF('Elève (6ème3)'!PQ19:PS19,"C"))*2)+((COUNTIF('Elève (6ème3)'!PQ19:PS19,"D"))*1))/(COUNTA(PQ19:PS19)),"")</f>
        <v/>
      </c>
      <c r="PU19" s="115" t="str">
        <f t="shared" si="101"/>
        <v/>
      </c>
      <c r="PV19" s="89"/>
      <c r="PW19" s="90"/>
      <c r="PX19" s="138"/>
      <c r="PY19" s="114" t="str">
        <f>IFERROR((((COUNTIF('Elève (6ème3)'!PV19:PX19,"A"))*4)+((COUNTIF('Elève (6ème3)'!PV19:PX19,"B"))*3)+((COUNTIF('Elève (6ème3)'!PV19:PX19,"C"))*2)+((COUNTIF('Elève (6ème3)'!PV19:PX19,"D"))*1))/(COUNTA(PV19:PX19)),"")</f>
        <v/>
      </c>
      <c r="PZ19" s="115" t="str">
        <f t="shared" si="102"/>
        <v/>
      </c>
      <c r="QA19" s="181">
        <f>IF(COUNT(PO19,PT19,PY19)=0,"",SUM(PO19,PT19,PY19)/COUNT(PO19,PT19,PY19))</f>
        <v>4</v>
      </c>
      <c r="QB19" s="140" t="str">
        <f t="shared" si="103"/>
        <v>A</v>
      </c>
      <c r="QC19" s="164" t="s">
        <v>24</v>
      </c>
      <c r="QD19" s="165"/>
      <c r="QE19" s="163"/>
      <c r="QF19" s="114">
        <f>IFERROR((((COUNTIF('Elève (6ème3)'!QC19:QE19,"A"))*4)+((COUNTIF('Elève (6ème3)'!QC19:QE19,"B"))*3)+((COUNTIF('Elève (6ème3)'!QC19:QE19,"C"))*2)+((COUNTIF('Elève (6ème3)'!QC19:QE19,"D"))*1))/(COUNTA(QC19:QE19)),"")</f>
        <v>4</v>
      </c>
      <c r="QG19" s="115" t="str">
        <f t="shared" si="104"/>
        <v>A</v>
      </c>
      <c r="QH19" s="166"/>
      <c r="QI19" s="90"/>
      <c r="QJ19" s="138"/>
      <c r="QK19" s="114" t="str">
        <f>IFERROR((((COUNTIF('Elève (6ème3)'!QH19:QJ19,"A"))*4)+((COUNTIF('Elève (6ème3)'!QH19:QJ19,"B"))*3)+((COUNTIF('Elève (6ème3)'!QH19:QJ19,"C"))*2)+((COUNTIF('Elève (6ème3)'!QH19:QJ19,"D"))*1))/(COUNTA(QH19:QJ19)),"")</f>
        <v/>
      </c>
      <c r="QL19" s="115" t="str">
        <f t="shared" si="105"/>
        <v/>
      </c>
      <c r="QM19" s="89"/>
      <c r="QN19" s="90"/>
      <c r="QO19" s="138"/>
      <c r="QP19" s="114" t="str">
        <f>IFERROR((((COUNTIF('Elève (6ème3)'!QM19:QO19,"A"))*4)+((COUNTIF('Elève (6ème3)'!QM19:QO19,"B"))*3)+((COUNTIF('Elève (6ème3)'!QM19:QO19,"C"))*2)+((COUNTIF('Elève (6ème3)'!QM19:QO19,"D"))*1))/(COUNTA(QM19:QO19)),"")</f>
        <v/>
      </c>
      <c r="QQ19" s="115" t="str">
        <f t="shared" si="106"/>
        <v/>
      </c>
      <c r="QR19" s="181">
        <f>IF(COUNT(QF19,QK19,QP19)=0,"",SUM(QF19,QK19,QP19)/COUNT(QF19,QK19,QP19))</f>
        <v>4</v>
      </c>
      <c r="QS19" s="140" t="str">
        <f t="shared" si="107"/>
        <v>A</v>
      </c>
      <c r="QT19" s="164" t="s">
        <v>24</v>
      </c>
      <c r="QU19" s="165"/>
      <c r="QV19" s="163"/>
      <c r="QW19" s="114">
        <f>IFERROR((((COUNTIF('Elève (6ème3)'!QT19:QV19,"A"))*4)+((COUNTIF('Elève (6ème3)'!QT19:QV19,"B"))*3)+((COUNTIF('Elève (6ème3)'!QT19:QV19,"C"))*2)+((COUNTIF('Elève (6ème3)'!QT19:QV19,"D"))*1))/(COUNTA(QT19:QV19)),"")</f>
        <v>4</v>
      </c>
      <c r="QX19" s="115" t="str">
        <f t="shared" si="108"/>
        <v>A</v>
      </c>
      <c r="QY19" s="166"/>
      <c r="QZ19" s="90"/>
      <c r="RA19" s="138"/>
      <c r="RB19" s="114" t="str">
        <f>IFERROR((((COUNTIF('Elève (6ème3)'!QY19:RA19,"A"))*4)+((COUNTIF('Elève (6ème3)'!QY19:RA19,"B"))*3)+((COUNTIF('Elève (6ème3)'!QY19:RA19,"C"))*2)+((COUNTIF('Elève (6ème3)'!QY19:RA19,"D"))*1))/(COUNTA(QY19:RA19)),"")</f>
        <v/>
      </c>
      <c r="RC19" s="115" t="str">
        <f t="shared" si="109"/>
        <v/>
      </c>
      <c r="RD19" s="89"/>
      <c r="RE19" s="90"/>
      <c r="RF19" s="138"/>
      <c r="RG19" s="114" t="str">
        <f>IFERROR((((COUNTIF('Elève (6ème3)'!RD19:RF19,"A"))*4)+((COUNTIF('Elève (6ème3)'!RD19:RF19,"B"))*3)+((COUNTIF('Elève (6ème3)'!RD19:RF19,"C"))*2)+((COUNTIF('Elève (6ème3)'!RD19:RF19,"D"))*1))/(COUNTA(RD19:RF19)),"")</f>
        <v/>
      </c>
      <c r="RH19" s="115" t="str">
        <f t="shared" si="110"/>
        <v/>
      </c>
      <c r="RI19" s="181">
        <f>IF(COUNT(QW19,RB19,RG19)=0,"",SUM(QW19,RB19,RG19)/COUNT(QW19,RB19,RG19))</f>
        <v>4</v>
      </c>
      <c r="RJ19" s="140" t="str">
        <f t="shared" si="111"/>
        <v>A</v>
      </c>
      <c r="RK19" s="164"/>
      <c r="RL19" s="165"/>
      <c r="RM19" s="163"/>
      <c r="RN19" s="114" t="str">
        <f>IFERROR((((COUNTIF('Elève (6ème3)'!RK19:RM19,"A"))*4)+((COUNTIF('Elève (6ème3)'!RK19:RM19,"B"))*3)+((COUNTIF('Elève (6ème3)'!RK19:RM19,"C"))*2)+((COUNTIF('Elève (6ème3)'!RK19:RM19,"D"))*1))/(COUNTA(RK19:RM19)),"")</f>
        <v/>
      </c>
      <c r="RO19" s="115" t="str">
        <f t="shared" si="112"/>
        <v/>
      </c>
      <c r="RP19" s="166"/>
      <c r="RQ19" s="90"/>
      <c r="RR19" s="138"/>
      <c r="RS19" s="114" t="str">
        <f>IFERROR((((COUNTIF('Elève (6ème3)'!RP19:RR19,"A"))*4)+((COUNTIF('Elève (6ème3)'!RP19:RR19,"B"))*3)+((COUNTIF('Elève (6ème3)'!RP19:RR19,"C"))*2)+((COUNTIF('Elève (6ème3)'!RP19:RR19,"D"))*1))/(COUNTA(RP19:RR19)),"")</f>
        <v/>
      </c>
      <c r="RT19" s="115" t="str">
        <f t="shared" si="113"/>
        <v/>
      </c>
      <c r="RU19" s="89"/>
      <c r="RV19" s="90"/>
      <c r="RW19" s="138"/>
      <c r="RX19" s="114" t="str">
        <f>IFERROR((((COUNTIF('Elève (6ème3)'!RU19:RW19,"A"))*4)+((COUNTIF('Elève (6ème3)'!RU19:RW19,"B"))*3)+((COUNTIF('Elève (6ème3)'!RU19:RW19,"C"))*2)+((COUNTIF('Elève (6ème3)'!RU19:RW19,"D"))*1))/(COUNTA(RU19:RW19)),"")</f>
        <v/>
      </c>
      <c r="RY19" s="115" t="str">
        <f t="shared" si="114"/>
        <v/>
      </c>
      <c r="RZ19" s="181" t="str">
        <f>IF(COUNT(RN19,RS19,RX19)=0,"",SUM(RN19,RS19,RX19)/COUNT(RN19,RS19,RX19))</f>
        <v/>
      </c>
      <c r="SA19" s="140" t="str">
        <f t="shared" si="115"/>
        <v/>
      </c>
      <c r="SB19" s="164"/>
      <c r="SC19" s="165"/>
      <c r="SD19" s="163"/>
      <c r="SE19" s="114" t="str">
        <f>IFERROR((((COUNTIF('Elève (6ème3)'!SB19:SD19,"A"))*4)+((COUNTIF('Elève (6ème3)'!SB19:SD19,"B"))*3)+((COUNTIF('Elève (6ème3)'!SB19:SD19,"C"))*2)+((COUNTIF('Elève (6ème3)'!SB19:SD19,"D"))*1))/(COUNTA(SB19:SD19)),"")</f>
        <v/>
      </c>
      <c r="SF19" s="115" t="str">
        <f t="shared" si="116"/>
        <v/>
      </c>
      <c r="SG19" s="166"/>
      <c r="SH19" s="90"/>
      <c r="SI19" s="138"/>
      <c r="SJ19" s="114" t="str">
        <f>IFERROR((((COUNTIF('Elève (6ème3)'!SG19:SI19,"A"))*4)+((COUNTIF('Elève (6ème3)'!SG19:SI19,"B"))*3)+((COUNTIF('Elève (6ème3)'!SG19:SI19,"C"))*2)+((COUNTIF('Elève (6ème3)'!SG19:SI19,"D"))*1))/(COUNTA(SG19:SI19)),"")</f>
        <v/>
      </c>
      <c r="SK19" s="115" t="str">
        <f t="shared" si="117"/>
        <v/>
      </c>
      <c r="SL19" s="89"/>
      <c r="SM19" s="90"/>
      <c r="SN19" s="138"/>
      <c r="SO19" s="114" t="str">
        <f>IFERROR((((COUNTIF('Elève (6ème3)'!SL19:SN19,"A"))*4)+((COUNTIF('Elève (6ème3)'!SL19:SN19,"B"))*3)+((COUNTIF('Elève (6ème3)'!SL19:SN19,"C"))*2)+((COUNTIF('Elève (6ème3)'!SL19:SN19,"D"))*1))/(COUNTA(SL19:SN19)),"")</f>
        <v/>
      </c>
      <c r="SP19" s="115" t="str">
        <f t="shared" si="118"/>
        <v/>
      </c>
      <c r="SQ19" s="181" t="str">
        <f>IF(COUNT(SE19,SJ19,SO19)=0,"",SUM(SE19,SJ19,SO19)/COUNT(SE19,SJ19,SO19))</f>
        <v/>
      </c>
      <c r="SR19" s="140" t="str">
        <f t="shared" si="119"/>
        <v/>
      </c>
    </row>
    <row r="20" spans="1:512" s="72" customFormat="1" ht="17.25" thickBot="1" x14ac:dyDescent="0.3">
      <c r="A20" s="238" t="s">
        <v>23</v>
      </c>
      <c r="B20" s="239"/>
      <c r="C20" s="167">
        <f ca="1">IF(COUNTA(C5:C19)=0,"",5*SUM(IFERROR((((COUNTIF(C5:C6,"A"))*4)+((COUNTIF(C5:C6,"B"))*3)+((COUNTIF(C5:C6,"C"))*2)+((COUNTIF(C5:C6,"D"))*1))*CELL("contenu",$B$4),0),IFERROR((((COUNTIF(C8:C11,"A"))*4)+((COUNTIF(C8:C11,"B"))*3)+((COUNTIF(C8:C11,"C"))*2)+((COUNTIF(C8:C11,"D"))*1))*CELL("contenu",$B$7),0),IFERROR((((COUNTIF(C13:C13,"A"))*4)+((COUNTIF(C13:C13,"B"))*3)+((COUNTIF(C13:C13,"C"))*2)+((COUNTIF(C13:C13,"D"))*1))*CELL("contenu",$B$12),0),IFERROR((((COUNTIF(C15:C17,"A"))*4)+((COUNTIF(C15:C17,"B"))*3)+((COUNTIF(C15:C17,"C"))*2)+((COUNTIF(C15:C17,"D"))*1))*CELL("contenu",$B$14),0),IFERROR((((COUNTIF(C19:C19,"A"))*4)+((COUNTIF(C19:C19,"B"))*3)+((COUNTIF(C19:C19,"C"))*2)+((COUNTIF(C19:C19,"D"))*1))*CELL("contenu",$B$18),0))/IF(SUM(COUNTA(C5:C6)*CELL("contenu",$B$4),COUNTA(C8:C11)*CELL("contenu",$B$7),COUNTA(C13:C13)*CELL("contenu",$B$12),COUNTA(C15:C17)*CELL("contenu",$B$14),COUNTA(C19:C19)*CELL("contenu",$B$18))=0,1,SUM(COUNTA(C5:C6)*CELL("contenu",$B$4),COUNTA(C8:C11)*CELL("contenu",$B$7),COUNTA(C13:C13)*CELL("contenu",$B$12),COUNTA(C15:C17)*CELL("contenu",$B$14),COUNTA(C19:C19)*CELL("contenu",$B$18))))</f>
        <v>16.666666666666668</v>
      </c>
      <c r="D20" s="168">
        <f ca="1">IF(COUNTA(D5:D19)=0,"",5*SUM(IFERROR((((COUNTIF(D5:D6,"A"))*4)+((COUNTIF(D5:D6,"B"))*3)+((COUNTIF(D5:D6,"C"))*2)+((COUNTIF(D5:D6,"D"))*1))*CELL("contenu",$B$4),0),IFERROR((((COUNTIF(D8:D11,"A"))*4)+((COUNTIF(D8:D11,"B"))*3)+((COUNTIF(D8:D11,"C"))*2)+((COUNTIF(D8:D11,"D"))*1))*CELL("contenu",$B$7),0),IFERROR((((COUNTIF(D13:D13,"A"))*4)+((COUNTIF(D13:D13,"B"))*3)+((COUNTIF(D13:D13,"C"))*2)+((COUNTIF(D13:D13,"D"))*1))*CELL("contenu",$B$12),0),IFERROR((((COUNTIF(D15:D17,"A"))*4)+((COUNTIF(D15:D17,"B"))*3)+((COUNTIF(D15:D17,"C"))*2)+((COUNTIF(D15:D17,"D"))*1))*CELL("contenu",$B$14),0),IFERROR((((COUNTIF(D19:D19,"A"))*4)+((COUNTIF(D19:D19,"B"))*3)+((COUNTIF(D19:D19,"C"))*2)+((COUNTIF(D19:D19,"D"))*1))*CELL("contenu",$B$18),0))/IF(SUM(COUNTA(D5:D6)*CELL("contenu",$B$4),COUNTA(D8:D11)*CELL("contenu",$B$7),COUNTA(D13:D13)*CELL("contenu",$B$12),COUNTA(D15:D17)*CELL("contenu",$B$14),COUNTA(D19:D19)*CELL("contenu",$B$18))=0,1,SUM(COUNTA(D5:D6)*CELL("contenu",$B$4),COUNTA(D8:D11)*CELL("contenu",$B$7),COUNTA(D13:D13)*CELL("contenu",$B$12),COUNTA(D15:D17)*CELL("contenu",$B$14),COUNTA(D19:D19)*CELL("contenu",$B$18))))</f>
        <v>6.666666666666667</v>
      </c>
      <c r="E20" s="169" t="str">
        <f ca="1">IF(COUNTA(E5:E19)=0,"",5*SUM(IFERROR((((COUNTIF(E5:E6,"A"))*4)+((COUNTIF(E5:E6,"B"))*3)+((COUNTIF(E5:E6,"C"))*2)+((COUNTIF(E5:E6,"D"))*1))*CELL("contenu",$B$4),0),IFERROR((((COUNTIF(E8:E11,"A"))*4)+((COUNTIF(E8:E11,"B"))*3)+((COUNTIF(E8:E11,"C"))*2)+((COUNTIF(E8:E11,"D"))*1))*CELL("contenu",$B$7),0),IFERROR((((COUNTIF(E13:E13,"A"))*4)+((COUNTIF(E13:E13,"B"))*3)+((COUNTIF(E13:E13,"C"))*2)+((COUNTIF(E13:E13,"D"))*1))*CELL("contenu",$B$12),0),IFERROR((((COUNTIF(E15:E17,"A"))*4)+((COUNTIF(E15:E17,"B"))*3)+((COUNTIF(E15:E17,"C"))*2)+((COUNTIF(E15:E17,"D"))*1))*CELL("contenu",$B$14),0),IFERROR((((COUNTIF(E19:E19,"A"))*4)+((COUNTIF(E19:E19,"B"))*3)+((COUNTIF(E19:E19,"C"))*2)+((COUNTIF(E19:E19,"D"))*1))*CELL("contenu",$B$18),0))/IF(SUM(COUNTA(E5:E6)*CELL("contenu",$B$4),COUNTA(E8:E11)*CELL("contenu",$B$7),COUNTA(E13:E13)*CELL("contenu",$B$12),COUNTA(E15:E17)*CELL("contenu",$B$14),COUNTA(E19:E19)*CELL("contenu",$B$18))=0,1,SUM(COUNTA(E5:E6)*CELL("contenu",$B$4),COUNTA(E8:E11)*CELL("contenu",$B$7),COUNTA(E13:E13)*CELL("contenu",$B$12),COUNTA(E15:E17)*CELL("contenu",$B$14),COUNTA(E19:E19)*CELL("contenu",$B$18))))</f>
        <v/>
      </c>
      <c r="F20" s="116"/>
      <c r="G20" s="192">
        <f ca="1">IF(COUNTA(C20:E20)-COUNTBLANK(C20:E20)=0,"",SUM(C20:E20)/(COUNTA(C20:E20)-COUNTBLANK(C20:E20)))</f>
        <v>11.666666666666668</v>
      </c>
      <c r="H20" s="182" t="str">
        <f ca="1">IF(COUNTA(H5:H19)=0,"",5*SUM(IFERROR((((COUNTIF(H5:H6,"A"))*4)+((COUNTIF(H5:H6,"B"))*3)+((COUNTIF(H5:H6,"C"))*2)+((COUNTIF(H5:H6,"D"))*1))*CELL("contenu",$B$4),0),IFERROR((((COUNTIF(H8:H11,"A"))*4)+((COUNTIF(H8:H11,"B"))*3)+((COUNTIF(H8:H11,"C"))*2)+((COUNTIF(H8:H11,"D"))*1))*CELL("contenu",$B$7),0),IFERROR((((COUNTIF(H13:H13,"A"))*4)+((COUNTIF(H13:H13,"B"))*3)+((COUNTIF(H13:H13,"C"))*2)+((COUNTIF(H13:H13,"D"))*1))*CELL("contenu",$B$12),0),IFERROR((((COUNTIF(H15:H17,"A"))*4)+((COUNTIF(H15:H17,"B"))*3)+((COUNTIF(H15:H17,"C"))*2)+((COUNTIF(H15:H17,"D"))*1))*CELL("contenu",$B$14),0),IFERROR((((COUNTIF(H19:H19,"A"))*4)+((COUNTIF(H19:H19,"B"))*3)+((COUNTIF(H19:H19,"C"))*2)+((COUNTIF(H19:H19,"D"))*1))*CELL("contenu",$B$18),0))/IF(SUM(COUNTA(H5:H6)*CELL("contenu",$B$4),COUNTA(H8:H11)*CELL("contenu",$B$7),COUNTA(H13:H13)*CELL("contenu",$B$12),COUNTA(H15:H17)*CELL("contenu",$B$14),COUNTA(H19:H19)*CELL("contenu",$B$18))=0,1,SUM(COUNTA(H5:H6)*CELL("contenu",$B$4),COUNTA(H8:H11)*CELL("contenu",$B$7),COUNTA(H13:H13)*CELL("contenu",$B$12),COUNTA(H15:H17)*CELL("contenu",$B$14),COUNTA(H19:H19)*CELL("contenu",$B$18))))</f>
        <v/>
      </c>
      <c r="I20" s="183" t="str">
        <f ca="1">IF(COUNTA(I5:I19)=0,"",5*SUM(IFERROR((((COUNTIF(I5:I6,"A"))*4)+((COUNTIF(I5:I6,"B"))*3)+((COUNTIF(I5:I6,"C"))*2)+((COUNTIF(I5:I6,"D"))*1))*CELL("contenu",$B$4),0),IFERROR((((COUNTIF(I8:I11,"A"))*4)+((COUNTIF(I8:I11,"B"))*3)+((COUNTIF(I8:I11,"C"))*2)+((COUNTIF(I8:I11,"D"))*1))*CELL("contenu",$B$7),0),IFERROR((((COUNTIF(I13:I13,"A"))*4)+((COUNTIF(I13:I13,"B"))*3)+((COUNTIF(I13:I13,"C"))*2)+((COUNTIF(I13:I13,"D"))*1))*CELL("contenu",$B$12),0),IFERROR((((COUNTIF(I15:I17,"A"))*4)+((COUNTIF(I15:I17,"B"))*3)+((COUNTIF(I15:I17,"C"))*2)+((COUNTIF(I15:I17,"D"))*1))*CELL("contenu",$B$14),0),IFERROR((((COUNTIF(I19:I19,"A"))*4)+((COUNTIF(I19:I19,"B"))*3)+((COUNTIF(I19:I19,"C"))*2)+((COUNTIF(I19:I19,"D"))*1))*CELL("contenu",$B$18),0))/IF(SUM(COUNTA(I5:I6)*CELL("contenu",$B$4),COUNTA(I8:I11)*CELL("contenu",$B$7),COUNTA(I13:I13)*CELL("contenu",$B$12),COUNTA(I15:I17)*CELL("contenu",$B$14),COUNTA(I19:I19)*CELL("contenu",$B$18))=0,1,SUM(COUNTA(I5:I6)*CELL("contenu",$B$4),COUNTA(I8:I11)*CELL("contenu",$B$7),COUNTA(I13:I13)*CELL("contenu",$B$12),COUNTA(I15:I17)*CELL("contenu",$B$14),COUNTA(I19:I19)*CELL("contenu",$B$18))))</f>
        <v/>
      </c>
      <c r="J20" s="184" t="str">
        <f ca="1">IF(COUNTA(J5:J19)=0,"",5*SUM(IFERROR((((COUNTIF(J5:J6,"A"))*4)+((COUNTIF(J5:J6,"B"))*3)+((COUNTIF(J5:J6,"C"))*2)+((COUNTIF(J5:J6,"D"))*1))*CELL("contenu",$B$4),0),IFERROR((((COUNTIF(J8:J11,"A"))*4)+((COUNTIF(J8:J11,"B"))*3)+((COUNTIF(J8:J11,"C"))*2)+((COUNTIF(J8:J11,"D"))*1))*CELL("contenu",$B$7),0),IFERROR((((COUNTIF(J13:J13,"A"))*4)+((COUNTIF(J13:J13,"B"))*3)+((COUNTIF(J13:J13,"C"))*2)+((COUNTIF(J13:J13,"D"))*1))*CELL("contenu",$B$12),0),IFERROR((((COUNTIF(J15:J17,"A"))*4)+((COUNTIF(J15:J17,"B"))*3)+((COUNTIF(J15:J17,"C"))*2)+((COUNTIF(J15:J17,"D"))*1))*CELL("contenu",$B$14),0),IFERROR((((COUNTIF(J19:J19,"A"))*4)+((COUNTIF(J19:J19,"B"))*3)+((COUNTIF(J19:J19,"C"))*2)+((COUNTIF(J19:J19,"D"))*1))*CELL("contenu",$B$18),0))/IF(SUM(COUNTA(J5:J6)*CELL("contenu",$B$4),COUNTA(J8:J11)*CELL("contenu",$B$7),COUNTA(J13:J13)*CELL("contenu",$B$12),COUNTA(J15:J17)*CELL("contenu",$B$14),COUNTA(J19:J19)*CELL("contenu",$B$18))=0,1,SUM(COUNTA(J5:J6)*CELL("contenu",$B$4),COUNTA(J8:J11)*CELL("contenu",$B$7),COUNTA(J13:J13)*CELL("contenu",$B$12),COUNTA(J15:J17)*CELL("contenu",$B$14),COUNTA(J19:J19)*CELL("contenu",$B$18))))</f>
        <v/>
      </c>
      <c r="K20" s="176"/>
      <c r="L20" s="175" t="str">
        <f ca="1">IF(COUNTA(H20:J20)-COUNTBLANK(H20:J20)=0,"",SUM(H20:J20)/(COUNTA(H20:J20)-COUNTBLANK(H20:J20)))</f>
        <v/>
      </c>
      <c r="M20" s="182" t="str">
        <f ca="1">IF(COUNTA(M5:M19)=0,"",5*SUM(IFERROR((((COUNTIF(M5:M6,"A"))*4)+((COUNTIF(M5:M6,"B"))*3)+((COUNTIF(M5:M6,"C"))*2)+((COUNTIF(M5:M6,"D"))*1))*CELL("contenu",$B$4),0),IFERROR((((COUNTIF(M8:M11,"A"))*4)+((COUNTIF(M8:M11,"B"))*3)+((COUNTIF(M8:M11,"C"))*2)+((COUNTIF(M8:M11,"D"))*1))*CELL("contenu",$B$7),0),IFERROR((((COUNTIF(M13:M13,"A"))*4)+((COUNTIF(M13:M13,"B"))*3)+((COUNTIF(M13:M13,"C"))*2)+((COUNTIF(M13:M13,"D"))*1))*CELL("contenu",$B$12),0),IFERROR((((COUNTIF(M15:M17,"A"))*4)+((COUNTIF(M15:M17,"B"))*3)+((COUNTIF(M15:M17,"C"))*2)+((COUNTIF(M15:M17,"D"))*1))*CELL("contenu",$B$14),0),IFERROR((((COUNTIF(M19:M19,"A"))*4)+((COUNTIF(M19:M19,"B"))*3)+((COUNTIF(M19:M19,"C"))*2)+((COUNTIF(M19:M19,"D"))*1))*CELL("contenu",$B$18),0))/IF(SUM(COUNTA(M5:M6)*CELL("contenu",$B$4),COUNTA(M8:M11)*CELL("contenu",$B$7),COUNTA(M13:M13)*CELL("contenu",$B$12),COUNTA(M15:M17)*CELL("contenu",$B$14),COUNTA(M19:M19)*CELL("contenu",$B$18))=0,1,SUM(COUNTA(M5:M6)*CELL("contenu",$B$4),COUNTA(M8:M11)*CELL("contenu",$B$7),COUNTA(M13:M13)*CELL("contenu",$B$12),COUNTA(M15:M17)*CELL("contenu",$B$14),COUNTA(M19:M19)*CELL("contenu",$B$18))))</f>
        <v/>
      </c>
      <c r="N20" s="183" t="str">
        <f ca="1">IF(COUNTA(N5:N19)=0,"",5*SUM(IFERROR((((COUNTIF(N5:N6,"A"))*4)+((COUNTIF(N5:N6,"B"))*3)+((COUNTIF(N5:N6,"C"))*2)+((COUNTIF(N5:N6,"D"))*1))*CELL("contenu",$B$4),0),IFERROR((((COUNTIF(N8:N11,"A"))*4)+((COUNTIF(N8:N11,"B"))*3)+((COUNTIF(N8:N11,"C"))*2)+((COUNTIF(N8:N11,"D"))*1))*CELL("contenu",$B$7),0),IFERROR((((COUNTIF(N13:N13,"A"))*4)+((COUNTIF(N13:N13,"B"))*3)+((COUNTIF(N13:N13,"C"))*2)+((COUNTIF(N13:N13,"D"))*1))*CELL("contenu",$B$12),0),IFERROR((((COUNTIF(N15:N17,"A"))*4)+((COUNTIF(N15:N17,"B"))*3)+((COUNTIF(N15:N17,"C"))*2)+((COUNTIF(N15:N17,"D"))*1))*CELL("contenu",$B$14),0),IFERROR((((COUNTIF(N19:N19,"A"))*4)+((COUNTIF(N19:N19,"B"))*3)+((COUNTIF(N19:N19,"C"))*2)+((COUNTIF(N19:N19,"D"))*1))*CELL("contenu",$B$18),0))/IF(SUM(COUNTA(N5:N6)*CELL("contenu",$B$4),COUNTA(N8:N11)*CELL("contenu",$B$7),COUNTA(N13:N13)*CELL("contenu",$B$12),COUNTA(N15:N17)*CELL("contenu",$B$14),COUNTA(N19:N19)*CELL("contenu",$B$18))=0,1,SUM(COUNTA(N5:N6)*CELL("contenu",$B$4),COUNTA(N8:N11)*CELL("contenu",$B$7),COUNTA(N13:N13)*CELL("contenu",$B$12),COUNTA(N15:N17)*CELL("contenu",$B$14),COUNTA(N19:N19)*CELL("contenu",$B$18))))</f>
        <v/>
      </c>
      <c r="O20" s="184" t="str">
        <f ca="1">IF(COUNTA(O5:O19)=0,"",5*SUM(IFERROR((((COUNTIF(O5:O6,"A"))*4)+((COUNTIF(O5:O6,"B"))*3)+((COUNTIF(O5:O6,"C"))*2)+((COUNTIF(O5:O6,"D"))*1))*CELL("contenu",$B$4),0),IFERROR((((COUNTIF(O8:O11,"A"))*4)+((COUNTIF(O8:O11,"B"))*3)+((COUNTIF(O8:O11,"C"))*2)+((COUNTIF(O8:O11,"D"))*1))*CELL("contenu",$B$7),0),IFERROR((((COUNTIF(O13:O13,"A"))*4)+((COUNTIF(O13:O13,"B"))*3)+((COUNTIF(O13:O13,"C"))*2)+((COUNTIF(O13:O13,"D"))*1))*CELL("contenu",$B$12),0),IFERROR((((COUNTIF(O15:O17,"A"))*4)+((COUNTIF(O15:O17,"B"))*3)+((COUNTIF(O15:O17,"C"))*2)+((COUNTIF(O15:O17,"D"))*1))*CELL("contenu",$B$14),0),IFERROR((((COUNTIF(O19:O19,"A"))*4)+((COUNTIF(O19:O19,"B"))*3)+((COUNTIF(O19:O19,"C"))*2)+((COUNTIF(O19:O19,"D"))*1))*CELL("contenu",$B$18),0))/IF(SUM(COUNTA(O5:O6)*CELL("contenu",$B$4),COUNTA(O8:O11)*CELL("contenu",$B$7),COUNTA(O13:O13)*CELL("contenu",$B$12),COUNTA(O15:O17)*CELL("contenu",$B$14),COUNTA(O19:O19)*CELL("contenu",$B$18))=0,1,SUM(COUNTA(O5:O6)*CELL("contenu",$B$4),COUNTA(O8:O11)*CELL("contenu",$B$7),COUNTA(O13:O13)*CELL("contenu",$B$12),COUNTA(O15:O17)*CELL("contenu",$B$14),COUNTA(O19:O19)*CELL("contenu",$B$18))))</f>
        <v/>
      </c>
      <c r="P20" s="176"/>
      <c r="Q20" s="174" t="str">
        <f ca="1">IF(COUNTA(M20:O20)-COUNTBLANK(M20:O20)=0,"",SUM(M20:O20)/(COUNTA(M20:O20)-COUNTBLANK(M20:O20)))</f>
        <v/>
      </c>
      <c r="R20" s="103"/>
      <c r="S20" s="141"/>
      <c r="T20" s="167">
        <f ca="1">IF(COUNTA(T5:T19)=0,"",5*SUM(IFERROR((((COUNTIF(T5:T6,"A"))*4)+((COUNTIF(T5:T6,"B"))*3)+((COUNTIF(T5:T6,"C"))*2)+((COUNTIF(T5:T6,"D"))*1))*CELL("contenu",$B$4),0),IFERROR((((COUNTIF(T8:T11,"A"))*4)+((COUNTIF(T8:T11,"B"))*3)+((COUNTIF(T8:T11,"C"))*2)+((COUNTIF(T8:T11,"D"))*1))*CELL("contenu",$B$7),0),IFERROR((((COUNTIF(T13:T13,"A"))*4)+((COUNTIF(T13:T13,"B"))*3)+((COUNTIF(T13:T13,"C"))*2)+((COUNTIF(T13:T13,"D"))*1))*CELL("contenu",$B$12),0),IFERROR((((COUNTIF(T15:T17,"A"))*4)+((COUNTIF(T15:T17,"B"))*3)+((COUNTIF(T15:T17,"C"))*2)+((COUNTIF(T15:T17,"D"))*1))*CELL("contenu",$B$14),0),IFERROR((((COUNTIF(T19:T19,"A"))*4)+((COUNTIF(T19:T19,"B"))*3)+((COUNTIF(T19:T19,"C"))*2)+((COUNTIF(T19:T19,"D"))*1))*CELL("contenu",$B$18),0))/IF(SUM(COUNTA(T5:T6)*CELL("contenu",$B$4),COUNTA(T8:T11)*CELL("contenu",$B$7),COUNTA(T13:T13)*CELL("contenu",$B$12),COUNTA(T15:T17)*CELL("contenu",$B$14),COUNTA(T19:T19)*CELL("contenu",$B$18))=0,1,SUM(COUNTA(T5:T6)*CELL("contenu",$B$4),COUNTA(T8:T11)*CELL("contenu",$B$7),COUNTA(T13:T13)*CELL("contenu",$B$12),COUNTA(T15:T17)*CELL("contenu",$B$14),COUNTA(T19:T19)*CELL("contenu",$B$18))))</f>
        <v>16.666666666666668</v>
      </c>
      <c r="U20" s="168">
        <f ca="1">IF(COUNTA(U5:U19)=0,"",5*SUM(IFERROR((((COUNTIF(U5:U6,"A"))*4)+((COUNTIF(U5:U6,"B"))*3)+((COUNTIF(U5:U6,"C"))*2)+((COUNTIF(U5:U6,"D"))*1))*CELL("contenu",$B$4),0),IFERROR((((COUNTIF(U8:U11,"A"))*4)+((COUNTIF(U8:U11,"B"))*3)+((COUNTIF(U8:U11,"C"))*2)+((COUNTIF(U8:U11,"D"))*1))*CELL("contenu",$B$7),0),IFERROR((((COUNTIF(U13:U13,"A"))*4)+((COUNTIF(U13:U13,"B"))*3)+((COUNTIF(U13:U13,"C"))*2)+((COUNTIF(U13:U13,"D"))*1))*CELL("contenu",$B$12),0),IFERROR((((COUNTIF(U15:U17,"A"))*4)+((COUNTIF(U15:U17,"B"))*3)+((COUNTIF(U15:U17,"C"))*2)+((COUNTIF(U15:U17,"D"))*1))*CELL("contenu",$B$14),0),IFERROR((((COUNTIF(U19:U19,"A"))*4)+((COUNTIF(U19:U19,"B"))*3)+((COUNTIF(U19:U19,"C"))*2)+((COUNTIF(U19:U19,"D"))*1))*CELL("contenu",$B$18),0))/IF(SUM(COUNTA(U5:U6)*CELL("contenu",$B$4),COUNTA(U8:U11)*CELL("contenu",$B$7),COUNTA(U13:U13)*CELL("contenu",$B$12),COUNTA(U15:U17)*CELL("contenu",$B$14),COUNTA(U19:U19)*CELL("contenu",$B$18))=0,1,SUM(COUNTA(U5:U6)*CELL("contenu",$B$4),COUNTA(U8:U11)*CELL("contenu",$B$7),COUNTA(U13:U13)*CELL("contenu",$B$12),COUNTA(U15:U17)*CELL("contenu",$B$14),COUNTA(U19:U19)*CELL("contenu",$B$18))))</f>
        <v>16.666666666666668</v>
      </c>
      <c r="V20" s="169" t="str">
        <f ca="1">IF(COUNTA(V5:V19)=0,"",5*SUM(IFERROR((((COUNTIF(V5:V6,"A"))*4)+((COUNTIF(V5:V6,"B"))*3)+((COUNTIF(V5:V6,"C"))*2)+((COUNTIF(V5:V6,"D"))*1))*CELL("contenu",$B$4),0),IFERROR((((COUNTIF(V8:V11,"A"))*4)+((COUNTIF(V8:V11,"B"))*3)+((COUNTIF(V8:V11,"C"))*2)+((COUNTIF(V8:V11,"D"))*1))*CELL("contenu",$B$7),0),IFERROR((((COUNTIF(V13:V13,"A"))*4)+((COUNTIF(V13:V13,"B"))*3)+((COUNTIF(V13:V13,"C"))*2)+((COUNTIF(V13:V13,"D"))*1))*CELL("contenu",$B$12),0),IFERROR((((COUNTIF(V15:V17,"A"))*4)+((COUNTIF(V15:V17,"B"))*3)+((COUNTIF(V15:V17,"C"))*2)+((COUNTIF(V15:V17,"D"))*1))*CELL("contenu",$B$14),0),IFERROR((((COUNTIF(V19:V19,"A"))*4)+((COUNTIF(V19:V19,"B"))*3)+((COUNTIF(V19:V19,"C"))*2)+((COUNTIF(V19:V19,"D"))*1))*CELL("contenu",$B$18),0))/IF(SUM(COUNTA(V5:V6)*CELL("contenu",$B$4),COUNTA(V8:V11)*CELL("contenu",$B$7),COUNTA(V13:V13)*CELL("contenu",$B$12),COUNTA(V15:V17)*CELL("contenu",$B$14),COUNTA(V19:V19)*CELL("contenu",$B$18))=0,1,SUM(COUNTA(V5:V6)*CELL("contenu",$B$4),COUNTA(V8:V11)*CELL("contenu",$B$7),COUNTA(V13:V13)*CELL("contenu",$B$12),COUNTA(V15:V17)*CELL("contenu",$B$14),COUNTA(V19:V19)*CELL("contenu",$B$18))))</f>
        <v/>
      </c>
      <c r="W20" s="116"/>
      <c r="X20" s="192">
        <f ca="1">IF(COUNTA(T20:V20)-COUNTBLANK(T20:V20)=0,"",SUM(T20:V20)/(COUNTA(T20:V20)-COUNTBLANK(T20:V20)))</f>
        <v>16.666666666666668</v>
      </c>
      <c r="Y20" s="182" t="str">
        <f ca="1">IF(COUNTA(Y5:Y19)=0,"",5*SUM(IFERROR((((COUNTIF(Y5:Y6,"A"))*4)+((COUNTIF(Y5:Y6,"B"))*3)+((COUNTIF(Y5:Y6,"C"))*2)+((COUNTIF(Y5:Y6,"D"))*1))*CELL("contenu",$B$4),0),IFERROR((((COUNTIF(Y8:Y11,"A"))*4)+((COUNTIF(Y8:Y11,"B"))*3)+((COUNTIF(Y8:Y11,"C"))*2)+((COUNTIF(Y8:Y11,"D"))*1))*CELL("contenu",$B$7),0),IFERROR((((COUNTIF(Y13:Y13,"A"))*4)+((COUNTIF(Y13:Y13,"B"))*3)+((COUNTIF(Y13:Y13,"C"))*2)+((COUNTIF(Y13:Y13,"D"))*1))*CELL("contenu",$B$12),0),IFERROR((((COUNTIF(Y15:Y17,"A"))*4)+((COUNTIF(Y15:Y17,"B"))*3)+((COUNTIF(Y15:Y17,"C"))*2)+((COUNTIF(Y15:Y17,"D"))*1))*CELL("contenu",$B$14),0),IFERROR((((COUNTIF(Y19:Y19,"A"))*4)+((COUNTIF(Y19:Y19,"B"))*3)+((COUNTIF(Y19:Y19,"C"))*2)+((COUNTIF(Y19:Y19,"D"))*1))*CELL("contenu",$B$18),0))/IF(SUM(COUNTA(Y5:Y6)*CELL("contenu",$B$4),COUNTA(Y8:Y11)*CELL("contenu",$B$7),COUNTA(Y13:Y13)*CELL("contenu",$B$12),COUNTA(Y15:Y17)*CELL("contenu",$B$14),COUNTA(Y19:Y19)*CELL("contenu",$B$18))=0,1,SUM(COUNTA(Y5:Y6)*CELL("contenu",$B$4),COUNTA(Y8:Y11)*CELL("contenu",$B$7),COUNTA(Y13:Y13)*CELL("contenu",$B$12),COUNTA(Y15:Y17)*CELL("contenu",$B$14),COUNTA(Y19:Y19)*CELL("contenu",$B$18))))</f>
        <v/>
      </c>
      <c r="Z20" s="183" t="str">
        <f ca="1">IF(COUNTA(Z5:Z19)=0,"",5*SUM(IFERROR((((COUNTIF(Z5:Z6,"A"))*4)+((COUNTIF(Z5:Z6,"B"))*3)+((COUNTIF(Z5:Z6,"C"))*2)+((COUNTIF(Z5:Z6,"D"))*1))*CELL("contenu",$B$4),0),IFERROR((((COUNTIF(Z8:Z11,"A"))*4)+((COUNTIF(Z8:Z11,"B"))*3)+((COUNTIF(Z8:Z11,"C"))*2)+((COUNTIF(Z8:Z11,"D"))*1))*CELL("contenu",$B$7),0),IFERROR((((COUNTIF(Z13:Z13,"A"))*4)+((COUNTIF(Z13:Z13,"B"))*3)+((COUNTIF(Z13:Z13,"C"))*2)+((COUNTIF(Z13:Z13,"D"))*1))*CELL("contenu",$B$12),0),IFERROR((((COUNTIF(Z15:Z17,"A"))*4)+((COUNTIF(Z15:Z17,"B"))*3)+((COUNTIF(Z15:Z17,"C"))*2)+((COUNTIF(Z15:Z17,"D"))*1))*CELL("contenu",$B$14),0),IFERROR((((COUNTIF(Z19:Z19,"A"))*4)+((COUNTIF(Z19:Z19,"B"))*3)+((COUNTIF(Z19:Z19,"C"))*2)+((COUNTIF(Z19:Z19,"D"))*1))*CELL("contenu",$B$18),0))/IF(SUM(COUNTA(Z5:Z6)*CELL("contenu",$B$4),COUNTA(Z8:Z11)*CELL("contenu",$B$7),COUNTA(Z13:Z13)*CELL("contenu",$B$12),COUNTA(Z15:Z17)*CELL("contenu",$B$14),COUNTA(Z19:Z19)*CELL("contenu",$B$18))=0,1,SUM(COUNTA(Z5:Z6)*CELL("contenu",$B$4),COUNTA(Z8:Z11)*CELL("contenu",$B$7),COUNTA(Z13:Z13)*CELL("contenu",$B$12),COUNTA(Z15:Z17)*CELL("contenu",$B$14),COUNTA(Z19:Z19)*CELL("contenu",$B$18))))</f>
        <v/>
      </c>
      <c r="AA20" s="184" t="str">
        <f ca="1">IF(COUNTA(AA5:AA19)=0,"",5*SUM(IFERROR((((COUNTIF(AA5:AA6,"A"))*4)+((COUNTIF(AA5:AA6,"B"))*3)+((COUNTIF(AA5:AA6,"C"))*2)+((COUNTIF(AA5:AA6,"D"))*1))*CELL("contenu",$B$4),0),IFERROR((((COUNTIF(AA8:AA11,"A"))*4)+((COUNTIF(AA8:AA11,"B"))*3)+((COUNTIF(AA8:AA11,"C"))*2)+((COUNTIF(AA8:AA11,"D"))*1))*CELL("contenu",$B$7),0),IFERROR((((COUNTIF(AA13:AA13,"A"))*4)+((COUNTIF(AA13:AA13,"B"))*3)+((COUNTIF(AA13:AA13,"C"))*2)+((COUNTIF(AA13:AA13,"D"))*1))*CELL("contenu",$B$12),0),IFERROR((((COUNTIF(AA15:AA17,"A"))*4)+((COUNTIF(AA15:AA17,"B"))*3)+((COUNTIF(AA15:AA17,"C"))*2)+((COUNTIF(AA15:AA17,"D"))*1))*CELL("contenu",$B$14),0),IFERROR((((COUNTIF(AA19:AA19,"A"))*4)+((COUNTIF(AA19:AA19,"B"))*3)+((COUNTIF(AA19:AA19,"C"))*2)+((COUNTIF(AA19:AA19,"D"))*1))*CELL("contenu",$B$18),0))/IF(SUM(COUNTA(AA5:AA6)*CELL("contenu",$B$4),COUNTA(AA8:AA11)*CELL("contenu",$B$7),COUNTA(AA13:AA13)*CELL("contenu",$B$12),COUNTA(AA15:AA17)*CELL("contenu",$B$14),COUNTA(AA19:AA19)*CELL("contenu",$B$18))=0,1,SUM(COUNTA(AA5:AA6)*CELL("contenu",$B$4),COUNTA(AA8:AA11)*CELL("contenu",$B$7),COUNTA(AA13:AA13)*CELL("contenu",$B$12),COUNTA(AA15:AA17)*CELL("contenu",$B$14),COUNTA(AA19:AA19)*CELL("contenu",$B$18))))</f>
        <v/>
      </c>
      <c r="AB20" s="176"/>
      <c r="AC20" s="175" t="str">
        <f ca="1">IF(COUNTA(Y20:AA20)-COUNTBLANK(Y20:AA20)=0,"",SUM(Y20:AA20)/(COUNTA(Y20:AA20)-COUNTBLANK(Y20:AA20)))</f>
        <v/>
      </c>
      <c r="AD20" s="182" t="str">
        <f ca="1">IF(COUNTA(AD5:AD19)=0,"",5*SUM(IFERROR((((COUNTIF(AD5:AD6,"A"))*4)+((COUNTIF(AD5:AD6,"B"))*3)+((COUNTIF(AD5:AD6,"C"))*2)+((COUNTIF(AD5:AD6,"D"))*1))*CELL("contenu",$B$4),0),IFERROR((((COUNTIF(AD8:AD11,"A"))*4)+((COUNTIF(AD8:AD11,"B"))*3)+((COUNTIF(AD8:AD11,"C"))*2)+((COUNTIF(AD8:AD11,"D"))*1))*CELL("contenu",$B$7),0),IFERROR((((COUNTIF(AD13:AD13,"A"))*4)+((COUNTIF(AD13:AD13,"B"))*3)+((COUNTIF(AD13:AD13,"C"))*2)+((COUNTIF(AD13:AD13,"D"))*1))*CELL("contenu",$B$12),0),IFERROR((((COUNTIF(AD15:AD17,"A"))*4)+((COUNTIF(AD15:AD17,"B"))*3)+((COUNTIF(AD15:AD17,"C"))*2)+((COUNTIF(AD15:AD17,"D"))*1))*CELL("contenu",$B$14),0),IFERROR((((COUNTIF(AD19:AD19,"A"))*4)+((COUNTIF(AD19:AD19,"B"))*3)+((COUNTIF(AD19:AD19,"C"))*2)+((COUNTIF(AD19:AD19,"D"))*1))*CELL("contenu",$B$18),0))/IF(SUM(COUNTA(AD5:AD6)*CELL("contenu",$B$4),COUNTA(AD8:AD11)*CELL("contenu",$B$7),COUNTA(AD13:AD13)*CELL("contenu",$B$12),COUNTA(AD15:AD17)*CELL("contenu",$B$14),COUNTA(AD19:AD19)*CELL("contenu",$B$18))=0,1,SUM(COUNTA(AD5:AD6)*CELL("contenu",$B$4),COUNTA(AD8:AD11)*CELL("contenu",$B$7),COUNTA(AD13:AD13)*CELL("contenu",$B$12),COUNTA(AD15:AD17)*CELL("contenu",$B$14),COUNTA(AD19:AD19)*CELL("contenu",$B$18))))</f>
        <v/>
      </c>
      <c r="AE20" s="183" t="str">
        <f ca="1">IF(COUNTA(AE5:AE19)=0,"",5*SUM(IFERROR((((COUNTIF(AE5:AE6,"A"))*4)+((COUNTIF(AE5:AE6,"B"))*3)+((COUNTIF(AE5:AE6,"C"))*2)+((COUNTIF(AE5:AE6,"D"))*1))*CELL("contenu",$B$4),0),IFERROR((((COUNTIF(AE8:AE11,"A"))*4)+((COUNTIF(AE8:AE11,"B"))*3)+((COUNTIF(AE8:AE11,"C"))*2)+((COUNTIF(AE8:AE11,"D"))*1))*CELL("contenu",$B$7),0),IFERROR((((COUNTIF(AE13:AE13,"A"))*4)+((COUNTIF(AE13:AE13,"B"))*3)+((COUNTIF(AE13:AE13,"C"))*2)+((COUNTIF(AE13:AE13,"D"))*1))*CELL("contenu",$B$12),0),IFERROR((((COUNTIF(AE15:AE17,"A"))*4)+((COUNTIF(AE15:AE17,"B"))*3)+((COUNTIF(AE15:AE17,"C"))*2)+((COUNTIF(AE15:AE17,"D"))*1))*CELL("contenu",$B$14),0),IFERROR((((COUNTIF(AE19:AE19,"A"))*4)+((COUNTIF(AE19:AE19,"B"))*3)+((COUNTIF(AE19:AE19,"C"))*2)+((COUNTIF(AE19:AE19,"D"))*1))*CELL("contenu",$B$18),0))/IF(SUM(COUNTA(AE5:AE6)*CELL("contenu",$B$4),COUNTA(AE8:AE11)*CELL("contenu",$B$7),COUNTA(AE13:AE13)*CELL("contenu",$B$12),COUNTA(AE15:AE17)*CELL("contenu",$B$14),COUNTA(AE19:AE19)*CELL("contenu",$B$18))=0,1,SUM(COUNTA(AE5:AE6)*CELL("contenu",$B$4),COUNTA(AE8:AE11)*CELL("contenu",$B$7),COUNTA(AE13:AE13)*CELL("contenu",$B$12),COUNTA(AE15:AE17)*CELL("contenu",$B$14),COUNTA(AE19:AE19)*CELL("contenu",$B$18))))</f>
        <v/>
      </c>
      <c r="AF20" s="184" t="str">
        <f ca="1">IF(COUNTA(AF5:AF19)=0,"",5*SUM(IFERROR((((COUNTIF(AF5:AF6,"A"))*4)+((COUNTIF(AF5:AF6,"B"))*3)+((COUNTIF(AF5:AF6,"C"))*2)+((COUNTIF(AF5:AF6,"D"))*1))*CELL("contenu",$B$4),0),IFERROR((((COUNTIF(AF8:AF11,"A"))*4)+((COUNTIF(AF8:AF11,"B"))*3)+((COUNTIF(AF8:AF11,"C"))*2)+((COUNTIF(AF8:AF11,"D"))*1))*CELL("contenu",$B$7),0),IFERROR((((COUNTIF(AF13:AF13,"A"))*4)+((COUNTIF(AF13:AF13,"B"))*3)+((COUNTIF(AF13:AF13,"C"))*2)+((COUNTIF(AF13:AF13,"D"))*1))*CELL("contenu",$B$12),0),IFERROR((((COUNTIF(AF15:AF17,"A"))*4)+((COUNTIF(AF15:AF17,"B"))*3)+((COUNTIF(AF15:AF17,"C"))*2)+((COUNTIF(AF15:AF17,"D"))*1))*CELL("contenu",$B$14),0),IFERROR((((COUNTIF(AF19:AF19,"A"))*4)+((COUNTIF(AF19:AF19,"B"))*3)+((COUNTIF(AF19:AF19,"C"))*2)+((COUNTIF(AF19:AF19,"D"))*1))*CELL("contenu",$B$18),0))/IF(SUM(COUNTA(AF5:AF6)*CELL("contenu",$B$4),COUNTA(AF8:AF11)*CELL("contenu",$B$7),COUNTA(AF13:AF13)*CELL("contenu",$B$12),COUNTA(AF15:AF17)*CELL("contenu",$B$14),COUNTA(AF19:AF19)*CELL("contenu",$B$18))=0,1,SUM(COUNTA(AF5:AF6)*CELL("contenu",$B$4),COUNTA(AF8:AF11)*CELL("contenu",$B$7),COUNTA(AF13:AF13)*CELL("contenu",$B$12),COUNTA(AF15:AF17)*CELL("contenu",$B$14),COUNTA(AF19:AF19)*CELL("contenu",$B$18))))</f>
        <v/>
      </c>
      <c r="AG20" s="176"/>
      <c r="AH20" s="174" t="str">
        <f ca="1">IF(COUNTA(AD20:AF20)-COUNTBLANK(AD20:AF20)=0,"",SUM(AD20:AF20)/(COUNTA(AD20:AF20)-COUNTBLANK(AD20:AF20)))</f>
        <v/>
      </c>
      <c r="AI20" s="103"/>
      <c r="AJ20" s="141"/>
      <c r="AK20" s="167">
        <f ca="1">IF(COUNTA(AK5:AK19)=0,"",5*SUM(IFERROR((((COUNTIF(AK5:AK6,"A"))*4)+((COUNTIF(AK5:AK6,"B"))*3)+((COUNTIF(AK5:AK6,"C"))*2)+((COUNTIF(AK5:AK6,"D"))*1))*CELL("contenu",$B$4),0),IFERROR((((COUNTIF(AK8:AK11,"A"))*4)+((COUNTIF(AK8:AK11,"B"))*3)+((COUNTIF(AK8:AK11,"C"))*2)+((COUNTIF(AK8:AK11,"D"))*1))*CELL("contenu",$B$7),0),IFERROR((((COUNTIF(AK13:AK13,"A"))*4)+((COUNTIF(AK13:AK13,"B"))*3)+((COUNTIF(AK13:AK13,"C"))*2)+((COUNTIF(AK13:AK13,"D"))*1))*CELL("contenu",$B$12),0),IFERROR((((COUNTIF(AK15:AK17,"A"))*4)+((COUNTIF(AK15:AK17,"B"))*3)+((COUNTIF(AK15:AK17,"C"))*2)+((COUNTIF(AK15:AK17,"D"))*1))*CELL("contenu",$B$14),0),IFERROR((((COUNTIF(AK19:AK19,"A"))*4)+((COUNTIF(AK19:AK19,"B"))*3)+((COUNTIF(AK19:AK19,"C"))*2)+((COUNTIF(AK19:AK19,"D"))*1))*CELL("contenu",$B$18),0))/IF(SUM(COUNTA(AK5:AK6)*CELL("contenu",$B$4),COUNTA(AK8:AK11)*CELL("contenu",$B$7),COUNTA(AK13:AK13)*CELL("contenu",$B$12),COUNTA(AK15:AK17)*CELL("contenu",$B$14),COUNTA(AK19:AK19)*CELL("contenu",$B$18))=0,1,SUM(COUNTA(AK5:AK6)*CELL("contenu",$B$4),COUNTA(AK8:AK11)*CELL("contenu",$B$7),COUNTA(AK13:AK13)*CELL("contenu",$B$12),COUNTA(AK15:AK17)*CELL("contenu",$B$14),COUNTA(AK19:AK19)*CELL("contenu",$B$18))))</f>
        <v>18.333333333333332</v>
      </c>
      <c r="AL20" s="168">
        <f ca="1">IF(COUNTA(AL5:AL19)=0,"",5*SUM(IFERROR((((COUNTIF(AL5:AL6,"A"))*4)+((COUNTIF(AL5:AL6,"B"))*3)+((COUNTIF(AL5:AL6,"C"))*2)+((COUNTIF(AL5:AL6,"D"))*1))*CELL("contenu",$B$4),0),IFERROR((((COUNTIF(AL8:AL11,"A"))*4)+((COUNTIF(AL8:AL11,"B"))*3)+((COUNTIF(AL8:AL11,"C"))*2)+((COUNTIF(AL8:AL11,"D"))*1))*CELL("contenu",$B$7),0),IFERROR((((COUNTIF(AL13:AL13,"A"))*4)+((COUNTIF(AL13:AL13,"B"))*3)+((COUNTIF(AL13:AL13,"C"))*2)+((COUNTIF(AL13:AL13,"D"))*1))*CELL("contenu",$B$12),0),IFERROR((((COUNTIF(AL15:AL17,"A"))*4)+((COUNTIF(AL15:AL17,"B"))*3)+((COUNTIF(AL15:AL17,"C"))*2)+((COUNTIF(AL15:AL17,"D"))*1))*CELL("contenu",$B$14),0),IFERROR((((COUNTIF(AL19:AL19,"A"))*4)+((COUNTIF(AL19:AL19,"B"))*3)+((COUNTIF(AL19:AL19,"C"))*2)+((COUNTIF(AL19:AL19,"D"))*1))*CELL("contenu",$B$18),0))/IF(SUM(COUNTA(AL5:AL6)*CELL("contenu",$B$4),COUNTA(AL8:AL11)*CELL("contenu",$B$7),COUNTA(AL13:AL13)*CELL("contenu",$B$12),COUNTA(AL15:AL17)*CELL("contenu",$B$14),COUNTA(AL19:AL19)*CELL("contenu",$B$18))=0,1,SUM(COUNTA(AL5:AL6)*CELL("contenu",$B$4),COUNTA(AL8:AL11)*CELL("contenu",$B$7),COUNTA(AL13:AL13)*CELL("contenu",$B$12),COUNTA(AL15:AL17)*CELL("contenu",$B$14),COUNTA(AL19:AL19)*CELL("contenu",$B$18))))</f>
        <v>16.666666666666668</v>
      </c>
      <c r="AM20" s="169" t="str">
        <f ca="1">IF(COUNTA(AM5:AM19)=0,"",5*SUM(IFERROR((((COUNTIF(AM5:AM6,"A"))*4)+((COUNTIF(AM5:AM6,"B"))*3)+((COUNTIF(AM5:AM6,"C"))*2)+((COUNTIF(AM5:AM6,"D"))*1))*CELL("contenu",$B$4),0),IFERROR((((COUNTIF(AM8:AM11,"A"))*4)+((COUNTIF(AM8:AM11,"B"))*3)+((COUNTIF(AM8:AM11,"C"))*2)+((COUNTIF(AM8:AM11,"D"))*1))*CELL("contenu",$B$7),0),IFERROR((((COUNTIF(AM13:AM13,"A"))*4)+((COUNTIF(AM13:AM13,"B"))*3)+((COUNTIF(AM13:AM13,"C"))*2)+((COUNTIF(AM13:AM13,"D"))*1))*CELL("contenu",$B$12),0),IFERROR((((COUNTIF(AM15:AM17,"A"))*4)+((COUNTIF(AM15:AM17,"B"))*3)+((COUNTIF(AM15:AM17,"C"))*2)+((COUNTIF(AM15:AM17,"D"))*1))*CELL("contenu",$B$14),0),IFERROR((((COUNTIF(AM19:AM19,"A"))*4)+((COUNTIF(AM19:AM19,"B"))*3)+((COUNTIF(AM19:AM19,"C"))*2)+((COUNTIF(AM19:AM19,"D"))*1))*CELL("contenu",$B$18),0))/IF(SUM(COUNTA(AM5:AM6)*CELL("contenu",$B$4),COUNTA(AM8:AM11)*CELL("contenu",$B$7),COUNTA(AM13:AM13)*CELL("contenu",$B$12),COUNTA(AM15:AM17)*CELL("contenu",$B$14),COUNTA(AM19:AM19)*CELL("contenu",$B$18))=0,1,SUM(COUNTA(AM5:AM6)*CELL("contenu",$B$4),COUNTA(AM8:AM11)*CELL("contenu",$B$7),COUNTA(AM13:AM13)*CELL("contenu",$B$12),COUNTA(AM15:AM17)*CELL("contenu",$B$14),COUNTA(AM19:AM19)*CELL("contenu",$B$18))))</f>
        <v/>
      </c>
      <c r="AN20" s="116"/>
      <c r="AO20" s="192">
        <f ca="1">IF(COUNTA(AK20:AM20)-COUNTBLANK(AK20:AM20)=0,"",SUM(AK20:AM20)/(COUNTA(AK20:AM20)-COUNTBLANK(AK20:AM20)))</f>
        <v>17.5</v>
      </c>
      <c r="AP20" s="182" t="str">
        <f ca="1">IF(COUNTA(AP5:AP19)=0,"",5*SUM(IFERROR((((COUNTIF(AP5:AP6,"A"))*4)+((COUNTIF(AP5:AP6,"B"))*3)+((COUNTIF(AP5:AP6,"C"))*2)+((COUNTIF(AP5:AP6,"D"))*1))*CELL("contenu",$B$4),0),IFERROR((((COUNTIF(AP8:AP11,"A"))*4)+((COUNTIF(AP8:AP11,"B"))*3)+((COUNTIF(AP8:AP11,"C"))*2)+((COUNTIF(AP8:AP11,"D"))*1))*CELL("contenu",$B$7),0),IFERROR((((COUNTIF(AP13:AP13,"A"))*4)+((COUNTIF(AP13:AP13,"B"))*3)+((COUNTIF(AP13:AP13,"C"))*2)+((COUNTIF(AP13:AP13,"D"))*1))*CELL("contenu",$B$12),0),IFERROR((((COUNTIF(AP15:AP17,"A"))*4)+((COUNTIF(AP15:AP17,"B"))*3)+((COUNTIF(AP15:AP17,"C"))*2)+((COUNTIF(AP15:AP17,"D"))*1))*CELL("contenu",$B$14),0),IFERROR((((COUNTIF(AP19:AP19,"A"))*4)+((COUNTIF(AP19:AP19,"B"))*3)+((COUNTIF(AP19:AP19,"C"))*2)+((COUNTIF(AP19:AP19,"D"))*1))*CELL("contenu",$B$18),0))/IF(SUM(COUNTA(AP5:AP6)*CELL("contenu",$B$4),COUNTA(AP8:AP11)*CELL("contenu",$B$7),COUNTA(AP13:AP13)*CELL("contenu",$B$12),COUNTA(AP15:AP17)*CELL("contenu",$B$14),COUNTA(AP19:AP19)*CELL("contenu",$B$18))=0,1,SUM(COUNTA(AP5:AP6)*CELL("contenu",$B$4),COUNTA(AP8:AP11)*CELL("contenu",$B$7),COUNTA(AP13:AP13)*CELL("contenu",$B$12),COUNTA(AP15:AP17)*CELL("contenu",$B$14),COUNTA(AP19:AP19)*CELL("contenu",$B$18))))</f>
        <v/>
      </c>
      <c r="AQ20" s="183" t="str">
        <f ca="1">IF(COUNTA(AQ5:AQ19)=0,"",5*SUM(IFERROR((((COUNTIF(AQ5:AQ6,"A"))*4)+((COUNTIF(AQ5:AQ6,"B"))*3)+((COUNTIF(AQ5:AQ6,"C"))*2)+((COUNTIF(AQ5:AQ6,"D"))*1))*CELL("contenu",$B$4),0),IFERROR((((COUNTIF(AQ8:AQ11,"A"))*4)+((COUNTIF(AQ8:AQ11,"B"))*3)+((COUNTIF(AQ8:AQ11,"C"))*2)+((COUNTIF(AQ8:AQ11,"D"))*1))*CELL("contenu",$B$7),0),IFERROR((((COUNTIF(AQ13:AQ13,"A"))*4)+((COUNTIF(AQ13:AQ13,"B"))*3)+((COUNTIF(AQ13:AQ13,"C"))*2)+((COUNTIF(AQ13:AQ13,"D"))*1))*CELL("contenu",$B$12),0),IFERROR((((COUNTIF(AQ15:AQ17,"A"))*4)+((COUNTIF(AQ15:AQ17,"B"))*3)+((COUNTIF(AQ15:AQ17,"C"))*2)+((COUNTIF(AQ15:AQ17,"D"))*1))*CELL("contenu",$B$14),0),IFERROR((((COUNTIF(AQ19:AQ19,"A"))*4)+((COUNTIF(AQ19:AQ19,"B"))*3)+((COUNTIF(AQ19:AQ19,"C"))*2)+((COUNTIF(AQ19:AQ19,"D"))*1))*CELL("contenu",$B$18),0))/IF(SUM(COUNTA(AQ5:AQ6)*CELL("contenu",$B$4),COUNTA(AQ8:AQ11)*CELL("contenu",$B$7),COUNTA(AQ13:AQ13)*CELL("contenu",$B$12),COUNTA(AQ15:AQ17)*CELL("contenu",$B$14),COUNTA(AQ19:AQ19)*CELL("contenu",$B$18))=0,1,SUM(COUNTA(AQ5:AQ6)*CELL("contenu",$B$4),COUNTA(AQ8:AQ11)*CELL("contenu",$B$7),COUNTA(AQ13:AQ13)*CELL("contenu",$B$12),COUNTA(AQ15:AQ17)*CELL("contenu",$B$14),COUNTA(AQ19:AQ19)*CELL("contenu",$B$18))))</f>
        <v/>
      </c>
      <c r="AR20" s="184" t="str">
        <f ca="1">IF(COUNTA(AR5:AR19)=0,"",5*SUM(IFERROR((((COUNTIF(AR5:AR6,"A"))*4)+((COUNTIF(AR5:AR6,"B"))*3)+((COUNTIF(AR5:AR6,"C"))*2)+((COUNTIF(AR5:AR6,"D"))*1))*CELL("contenu",$B$4),0),IFERROR((((COUNTIF(AR8:AR11,"A"))*4)+((COUNTIF(AR8:AR11,"B"))*3)+((COUNTIF(AR8:AR11,"C"))*2)+((COUNTIF(AR8:AR11,"D"))*1))*CELL("contenu",$B$7),0),IFERROR((((COUNTIF(AR13:AR13,"A"))*4)+((COUNTIF(AR13:AR13,"B"))*3)+((COUNTIF(AR13:AR13,"C"))*2)+((COUNTIF(AR13:AR13,"D"))*1))*CELL("contenu",$B$12),0),IFERROR((((COUNTIF(AR15:AR17,"A"))*4)+((COUNTIF(AR15:AR17,"B"))*3)+((COUNTIF(AR15:AR17,"C"))*2)+((COUNTIF(AR15:AR17,"D"))*1))*CELL("contenu",$B$14),0),IFERROR((((COUNTIF(AR19:AR19,"A"))*4)+((COUNTIF(AR19:AR19,"B"))*3)+((COUNTIF(AR19:AR19,"C"))*2)+((COUNTIF(AR19:AR19,"D"))*1))*CELL("contenu",$B$18),0))/IF(SUM(COUNTA(AR5:AR6)*CELL("contenu",$B$4),COUNTA(AR8:AR11)*CELL("contenu",$B$7),COUNTA(AR13:AR13)*CELL("contenu",$B$12),COUNTA(AR15:AR17)*CELL("contenu",$B$14),COUNTA(AR19:AR19)*CELL("contenu",$B$18))=0,1,SUM(COUNTA(AR5:AR6)*CELL("contenu",$B$4),COUNTA(AR8:AR11)*CELL("contenu",$B$7),COUNTA(AR13:AR13)*CELL("contenu",$B$12),COUNTA(AR15:AR17)*CELL("contenu",$B$14),COUNTA(AR19:AR19)*CELL("contenu",$B$18))))</f>
        <v/>
      </c>
      <c r="AS20" s="176"/>
      <c r="AT20" s="175" t="str">
        <f ca="1">IF(COUNTA(AP20:AR20)-COUNTBLANK(AP20:AR20)=0,"",SUM(AP20:AR20)/(COUNTA(AP20:AR20)-COUNTBLANK(AP20:AR20)))</f>
        <v/>
      </c>
      <c r="AU20" s="182" t="str">
        <f ca="1">IF(COUNTA(AU5:AU19)=0,"",5*SUM(IFERROR((((COUNTIF(AU5:AU6,"A"))*4)+((COUNTIF(AU5:AU6,"B"))*3)+((COUNTIF(AU5:AU6,"C"))*2)+((COUNTIF(AU5:AU6,"D"))*1))*CELL("contenu",$B$4),0),IFERROR((((COUNTIF(AU8:AU11,"A"))*4)+((COUNTIF(AU8:AU11,"B"))*3)+((COUNTIF(AU8:AU11,"C"))*2)+((COUNTIF(AU8:AU11,"D"))*1))*CELL("contenu",$B$7),0),IFERROR((((COUNTIF(AU13:AU13,"A"))*4)+((COUNTIF(AU13:AU13,"B"))*3)+((COUNTIF(AU13:AU13,"C"))*2)+((COUNTIF(AU13:AU13,"D"))*1))*CELL("contenu",$B$12),0),IFERROR((((COUNTIF(AU15:AU17,"A"))*4)+((COUNTIF(AU15:AU17,"B"))*3)+((COUNTIF(AU15:AU17,"C"))*2)+((COUNTIF(AU15:AU17,"D"))*1))*CELL("contenu",$B$14),0),IFERROR((((COUNTIF(AU19:AU19,"A"))*4)+((COUNTIF(AU19:AU19,"B"))*3)+((COUNTIF(AU19:AU19,"C"))*2)+((COUNTIF(AU19:AU19,"D"))*1))*CELL("contenu",$B$18),0))/IF(SUM(COUNTA(AU5:AU6)*CELL("contenu",$B$4),COUNTA(AU8:AU11)*CELL("contenu",$B$7),COUNTA(AU13:AU13)*CELL("contenu",$B$12),COUNTA(AU15:AU17)*CELL("contenu",$B$14),COUNTA(AU19:AU19)*CELL("contenu",$B$18))=0,1,SUM(COUNTA(AU5:AU6)*CELL("contenu",$B$4),COUNTA(AU8:AU11)*CELL("contenu",$B$7),COUNTA(AU13:AU13)*CELL("contenu",$B$12),COUNTA(AU15:AU17)*CELL("contenu",$B$14),COUNTA(AU19:AU19)*CELL("contenu",$B$18))))</f>
        <v/>
      </c>
      <c r="AV20" s="183" t="str">
        <f ca="1">IF(COUNTA(AV5:AV19)=0,"",5*SUM(IFERROR((((COUNTIF(AV5:AV6,"A"))*4)+((COUNTIF(AV5:AV6,"B"))*3)+((COUNTIF(AV5:AV6,"C"))*2)+((COUNTIF(AV5:AV6,"D"))*1))*CELL("contenu",$B$4),0),IFERROR((((COUNTIF(AV8:AV11,"A"))*4)+((COUNTIF(AV8:AV11,"B"))*3)+((COUNTIF(AV8:AV11,"C"))*2)+((COUNTIF(AV8:AV11,"D"))*1))*CELL("contenu",$B$7),0),IFERROR((((COUNTIF(AV13:AV13,"A"))*4)+((COUNTIF(AV13:AV13,"B"))*3)+((COUNTIF(AV13:AV13,"C"))*2)+((COUNTIF(AV13:AV13,"D"))*1))*CELL("contenu",$B$12),0),IFERROR((((COUNTIF(AV15:AV17,"A"))*4)+((COUNTIF(AV15:AV17,"B"))*3)+((COUNTIF(AV15:AV17,"C"))*2)+((COUNTIF(AV15:AV17,"D"))*1))*CELL("contenu",$B$14),0),IFERROR((((COUNTIF(AV19:AV19,"A"))*4)+((COUNTIF(AV19:AV19,"B"))*3)+((COUNTIF(AV19:AV19,"C"))*2)+((COUNTIF(AV19:AV19,"D"))*1))*CELL("contenu",$B$18),0))/IF(SUM(COUNTA(AV5:AV6)*CELL("contenu",$B$4),COUNTA(AV8:AV11)*CELL("contenu",$B$7),COUNTA(AV13:AV13)*CELL("contenu",$B$12),COUNTA(AV15:AV17)*CELL("contenu",$B$14),COUNTA(AV19:AV19)*CELL("contenu",$B$18))=0,1,SUM(COUNTA(AV5:AV6)*CELL("contenu",$B$4),COUNTA(AV8:AV11)*CELL("contenu",$B$7),COUNTA(AV13:AV13)*CELL("contenu",$B$12),COUNTA(AV15:AV17)*CELL("contenu",$B$14),COUNTA(AV19:AV19)*CELL("contenu",$B$18))))</f>
        <v/>
      </c>
      <c r="AW20" s="184" t="str">
        <f ca="1">IF(COUNTA(AW5:AW19)=0,"",5*SUM(IFERROR((((COUNTIF(AW5:AW6,"A"))*4)+((COUNTIF(AW5:AW6,"B"))*3)+((COUNTIF(AW5:AW6,"C"))*2)+((COUNTIF(AW5:AW6,"D"))*1))*CELL("contenu",$B$4),0),IFERROR((((COUNTIF(AW8:AW11,"A"))*4)+((COUNTIF(AW8:AW11,"B"))*3)+((COUNTIF(AW8:AW11,"C"))*2)+((COUNTIF(AW8:AW11,"D"))*1))*CELL("contenu",$B$7),0),IFERROR((((COUNTIF(AW13:AW13,"A"))*4)+((COUNTIF(AW13:AW13,"B"))*3)+((COUNTIF(AW13:AW13,"C"))*2)+((COUNTIF(AW13:AW13,"D"))*1))*CELL("contenu",$B$12),0),IFERROR((((COUNTIF(AW15:AW17,"A"))*4)+((COUNTIF(AW15:AW17,"B"))*3)+((COUNTIF(AW15:AW17,"C"))*2)+((COUNTIF(AW15:AW17,"D"))*1))*CELL("contenu",$B$14),0),IFERROR((((COUNTIF(AW19:AW19,"A"))*4)+((COUNTIF(AW19:AW19,"B"))*3)+((COUNTIF(AW19:AW19,"C"))*2)+((COUNTIF(AW19:AW19,"D"))*1))*CELL("contenu",$B$18),0))/IF(SUM(COUNTA(AW5:AW6)*CELL("contenu",$B$4),COUNTA(AW8:AW11)*CELL("contenu",$B$7),COUNTA(AW13:AW13)*CELL("contenu",$B$12),COUNTA(AW15:AW17)*CELL("contenu",$B$14),COUNTA(AW19:AW19)*CELL("contenu",$B$18))=0,1,SUM(COUNTA(AW5:AW6)*CELL("contenu",$B$4),COUNTA(AW8:AW11)*CELL("contenu",$B$7),COUNTA(AW13:AW13)*CELL("contenu",$B$12),COUNTA(AW15:AW17)*CELL("contenu",$B$14),COUNTA(AW19:AW19)*CELL("contenu",$B$18))))</f>
        <v/>
      </c>
      <c r="AX20" s="176"/>
      <c r="AY20" s="174" t="str">
        <f ca="1">IF(COUNTA(AU20:AW20)-COUNTBLANK(AU20:AW20)=0,"",SUM(AU20:AW20)/(COUNTA(AU20:AW20)-COUNTBLANK(AU20:AW20)))</f>
        <v/>
      </c>
      <c r="AZ20" s="103"/>
      <c r="BA20" s="141"/>
      <c r="BB20" s="167">
        <f ca="1">IF(COUNTA(BB5:BB19)=0,"",5*SUM(IFERROR((((COUNTIF(BB5:BB6,"A"))*4)+((COUNTIF(BB5:BB6,"B"))*3)+((COUNTIF(BB5:BB6,"C"))*2)+((COUNTIF(BB5:BB6,"D"))*1))*CELL("contenu",$B$4),0),IFERROR((((COUNTIF(BB8:BB11,"A"))*4)+((COUNTIF(BB8:BB11,"B"))*3)+((COUNTIF(BB8:BB11,"C"))*2)+((COUNTIF(BB8:BB11,"D"))*1))*CELL("contenu",$B$7),0),IFERROR((((COUNTIF(BB13:BB13,"A"))*4)+((COUNTIF(BB13:BB13,"B"))*3)+((COUNTIF(BB13:BB13,"C"))*2)+((COUNTIF(BB13:BB13,"D"))*1))*CELL("contenu",$B$12),0),IFERROR((((COUNTIF(BB15:BB17,"A"))*4)+((COUNTIF(BB15:BB17,"B"))*3)+((COUNTIF(BB15:BB17,"C"))*2)+((COUNTIF(BB15:BB17,"D"))*1))*CELL("contenu",$B$14),0),IFERROR((((COUNTIF(BB19:BB19,"A"))*4)+((COUNTIF(BB19:BB19,"B"))*3)+((COUNTIF(BB19:BB19,"C"))*2)+((COUNTIF(BB19:BB19,"D"))*1))*CELL("contenu",$B$18),0))/IF(SUM(COUNTA(BB5:BB6)*CELL("contenu",$B$4),COUNTA(BB8:BB11)*CELL("contenu",$B$7),COUNTA(BB13:BB13)*CELL("contenu",$B$12),COUNTA(BB15:BB17)*CELL("contenu",$B$14),COUNTA(BB19:BB19)*CELL("contenu",$B$18))=0,1,SUM(COUNTA(BB5:BB6)*CELL("contenu",$B$4),COUNTA(BB8:BB11)*CELL("contenu",$B$7),COUNTA(BB13:BB13)*CELL("contenu",$B$12),COUNTA(BB15:BB17)*CELL("contenu",$B$14),COUNTA(BB19:BB19)*CELL("contenu",$B$18))))</f>
        <v>20</v>
      </c>
      <c r="BC20" s="168">
        <f ca="1">IF(COUNTA(BC5:BC19)=0,"",5*SUM(IFERROR((((COUNTIF(BC5:BC6,"A"))*4)+((COUNTIF(BC5:BC6,"B"))*3)+((COUNTIF(BC5:BC6,"C"))*2)+((COUNTIF(BC5:BC6,"D"))*1))*CELL("contenu",$B$4),0),IFERROR((((COUNTIF(BC8:BC11,"A"))*4)+((COUNTIF(BC8:BC11,"B"))*3)+((COUNTIF(BC8:BC11,"C"))*2)+((COUNTIF(BC8:BC11,"D"))*1))*CELL("contenu",$B$7),0),IFERROR((((COUNTIF(BC13:BC13,"A"))*4)+((COUNTIF(BC13:BC13,"B"))*3)+((COUNTIF(BC13:BC13,"C"))*2)+((COUNTIF(BC13:BC13,"D"))*1))*CELL("contenu",$B$12),0),IFERROR((((COUNTIF(BC15:BC17,"A"))*4)+((COUNTIF(BC15:BC17,"B"))*3)+((COUNTIF(BC15:BC17,"C"))*2)+((COUNTIF(BC15:BC17,"D"))*1))*CELL("contenu",$B$14),0),IFERROR((((COUNTIF(BC19:BC19,"A"))*4)+((COUNTIF(BC19:BC19,"B"))*3)+((COUNTIF(BC19:BC19,"C"))*2)+((COUNTIF(BC19:BC19,"D"))*1))*CELL("contenu",$B$18),0))/IF(SUM(COUNTA(BC5:BC6)*CELL("contenu",$B$4),COUNTA(BC8:BC11)*CELL("contenu",$B$7),COUNTA(BC13:BC13)*CELL("contenu",$B$12),COUNTA(BC15:BC17)*CELL("contenu",$B$14),COUNTA(BC19:BC19)*CELL("contenu",$B$18))=0,1,SUM(COUNTA(BC5:BC6)*CELL("contenu",$B$4),COUNTA(BC8:BC11)*CELL("contenu",$B$7),COUNTA(BC13:BC13)*CELL("contenu",$B$12),COUNTA(BC15:BC17)*CELL("contenu",$B$14),COUNTA(BC19:BC19)*CELL("contenu",$B$18))))</f>
        <v>20</v>
      </c>
      <c r="BD20" s="169" t="str">
        <f ca="1">IF(COUNTA(BD5:BD19)=0,"",5*SUM(IFERROR((((COUNTIF(BD5:BD6,"A"))*4)+((COUNTIF(BD5:BD6,"B"))*3)+((COUNTIF(BD5:BD6,"C"))*2)+((COUNTIF(BD5:BD6,"D"))*1))*CELL("contenu",$B$4),0),IFERROR((((COUNTIF(BD8:BD11,"A"))*4)+((COUNTIF(BD8:BD11,"B"))*3)+((COUNTIF(BD8:BD11,"C"))*2)+((COUNTIF(BD8:BD11,"D"))*1))*CELL("contenu",$B$7),0),IFERROR((((COUNTIF(BD13:BD13,"A"))*4)+((COUNTIF(BD13:BD13,"B"))*3)+((COUNTIF(BD13:BD13,"C"))*2)+((COUNTIF(BD13:BD13,"D"))*1))*CELL("contenu",$B$12),0),IFERROR((((COUNTIF(BD15:BD17,"A"))*4)+((COUNTIF(BD15:BD17,"B"))*3)+((COUNTIF(BD15:BD17,"C"))*2)+((COUNTIF(BD15:BD17,"D"))*1))*CELL("contenu",$B$14),0),IFERROR((((COUNTIF(BD19:BD19,"A"))*4)+((COUNTIF(BD19:BD19,"B"))*3)+((COUNTIF(BD19:BD19,"C"))*2)+((COUNTIF(BD19:BD19,"D"))*1))*CELL("contenu",$B$18),0))/IF(SUM(COUNTA(BD5:BD6)*CELL("contenu",$B$4),COUNTA(BD8:BD11)*CELL("contenu",$B$7),COUNTA(BD13:BD13)*CELL("contenu",$B$12),COUNTA(BD15:BD17)*CELL("contenu",$B$14),COUNTA(BD19:BD19)*CELL("contenu",$B$18))=0,1,SUM(COUNTA(BD5:BD6)*CELL("contenu",$B$4),COUNTA(BD8:BD11)*CELL("contenu",$B$7),COUNTA(BD13:BD13)*CELL("contenu",$B$12),COUNTA(BD15:BD17)*CELL("contenu",$B$14),COUNTA(BD19:BD19)*CELL("contenu",$B$18))))</f>
        <v/>
      </c>
      <c r="BE20" s="116"/>
      <c r="BF20" s="192">
        <f ca="1">IF(COUNTA(BB20:BD20)-COUNTBLANK(BB20:BD20)=0,"",SUM(BB20:BD20)/(COUNTA(BB20:BD20)-COUNTBLANK(BB20:BD20)))</f>
        <v>20</v>
      </c>
      <c r="BG20" s="182" t="str">
        <f ca="1">IF(COUNTA(BG5:BG19)=0,"",5*SUM(IFERROR((((COUNTIF(BG5:BG6,"A"))*4)+((COUNTIF(BG5:BG6,"B"))*3)+((COUNTIF(BG5:BG6,"C"))*2)+((COUNTIF(BG5:BG6,"D"))*1))*CELL("contenu",$B$4),0),IFERROR((((COUNTIF(BG8:BG11,"A"))*4)+((COUNTIF(BG8:BG11,"B"))*3)+((COUNTIF(BG8:BG11,"C"))*2)+((COUNTIF(BG8:BG11,"D"))*1))*CELL("contenu",$B$7),0),IFERROR((((COUNTIF(BG13:BG13,"A"))*4)+((COUNTIF(BG13:BG13,"B"))*3)+((COUNTIF(BG13:BG13,"C"))*2)+((COUNTIF(BG13:BG13,"D"))*1))*CELL("contenu",$B$12),0),IFERROR((((COUNTIF(BG15:BG17,"A"))*4)+((COUNTIF(BG15:BG17,"B"))*3)+((COUNTIF(BG15:BG17,"C"))*2)+((COUNTIF(BG15:BG17,"D"))*1))*CELL("contenu",$B$14),0),IFERROR((((COUNTIF(BG19:BG19,"A"))*4)+((COUNTIF(BG19:BG19,"B"))*3)+((COUNTIF(BG19:BG19,"C"))*2)+((COUNTIF(BG19:BG19,"D"))*1))*CELL("contenu",$B$18),0))/IF(SUM(COUNTA(BG5:BG6)*CELL("contenu",$B$4),COUNTA(BG8:BG11)*CELL("contenu",$B$7),COUNTA(BG13:BG13)*CELL("contenu",$B$12),COUNTA(BG15:BG17)*CELL("contenu",$B$14),COUNTA(BG19:BG19)*CELL("contenu",$B$18))=0,1,SUM(COUNTA(BG5:BG6)*CELL("contenu",$B$4),COUNTA(BG8:BG11)*CELL("contenu",$B$7),COUNTA(BG13:BG13)*CELL("contenu",$B$12),COUNTA(BG15:BG17)*CELL("contenu",$B$14),COUNTA(BG19:BG19)*CELL("contenu",$B$18))))</f>
        <v/>
      </c>
      <c r="BH20" s="183" t="str">
        <f ca="1">IF(COUNTA(BH5:BH19)=0,"",5*SUM(IFERROR((((COUNTIF(BH5:BH6,"A"))*4)+((COUNTIF(BH5:BH6,"B"))*3)+((COUNTIF(BH5:BH6,"C"))*2)+((COUNTIF(BH5:BH6,"D"))*1))*CELL("contenu",$B$4),0),IFERROR((((COUNTIF(BH8:BH11,"A"))*4)+((COUNTIF(BH8:BH11,"B"))*3)+((COUNTIF(BH8:BH11,"C"))*2)+((COUNTIF(BH8:BH11,"D"))*1))*CELL("contenu",$B$7),0),IFERROR((((COUNTIF(BH13:BH13,"A"))*4)+((COUNTIF(BH13:BH13,"B"))*3)+((COUNTIF(BH13:BH13,"C"))*2)+((COUNTIF(BH13:BH13,"D"))*1))*CELL("contenu",$B$12),0),IFERROR((((COUNTIF(BH15:BH17,"A"))*4)+((COUNTIF(BH15:BH17,"B"))*3)+((COUNTIF(BH15:BH17,"C"))*2)+((COUNTIF(BH15:BH17,"D"))*1))*CELL("contenu",$B$14),0),IFERROR((((COUNTIF(BH19:BH19,"A"))*4)+((COUNTIF(BH19:BH19,"B"))*3)+((COUNTIF(BH19:BH19,"C"))*2)+((COUNTIF(BH19:BH19,"D"))*1))*CELL("contenu",$B$18),0))/IF(SUM(COUNTA(BH5:BH6)*CELL("contenu",$B$4),COUNTA(BH8:BH11)*CELL("contenu",$B$7),COUNTA(BH13:BH13)*CELL("contenu",$B$12),COUNTA(BH15:BH17)*CELL("contenu",$B$14),COUNTA(BH19:BH19)*CELL("contenu",$B$18))=0,1,SUM(COUNTA(BH5:BH6)*CELL("contenu",$B$4),COUNTA(BH8:BH11)*CELL("contenu",$B$7),COUNTA(BH13:BH13)*CELL("contenu",$B$12),COUNTA(BH15:BH17)*CELL("contenu",$B$14),COUNTA(BH19:BH19)*CELL("contenu",$B$18))))</f>
        <v/>
      </c>
      <c r="BI20" s="184" t="str">
        <f ca="1">IF(COUNTA(BI5:BI19)=0,"",5*SUM(IFERROR((((COUNTIF(BI5:BI6,"A"))*4)+((COUNTIF(BI5:BI6,"B"))*3)+((COUNTIF(BI5:BI6,"C"))*2)+((COUNTIF(BI5:BI6,"D"))*1))*CELL("contenu",$B$4),0),IFERROR((((COUNTIF(BI8:BI11,"A"))*4)+((COUNTIF(BI8:BI11,"B"))*3)+((COUNTIF(BI8:BI11,"C"))*2)+((COUNTIF(BI8:BI11,"D"))*1))*CELL("contenu",$B$7),0),IFERROR((((COUNTIF(BI13:BI13,"A"))*4)+((COUNTIF(BI13:BI13,"B"))*3)+((COUNTIF(BI13:BI13,"C"))*2)+((COUNTIF(BI13:BI13,"D"))*1))*CELL("contenu",$B$12),0),IFERROR((((COUNTIF(BI15:BI17,"A"))*4)+((COUNTIF(BI15:BI17,"B"))*3)+((COUNTIF(BI15:BI17,"C"))*2)+((COUNTIF(BI15:BI17,"D"))*1))*CELL("contenu",$B$14),0),IFERROR((((COUNTIF(BI19:BI19,"A"))*4)+((COUNTIF(BI19:BI19,"B"))*3)+((COUNTIF(BI19:BI19,"C"))*2)+((COUNTIF(BI19:BI19,"D"))*1))*CELL("contenu",$B$18),0))/IF(SUM(COUNTA(BI5:BI6)*CELL("contenu",$B$4),COUNTA(BI8:BI11)*CELL("contenu",$B$7),COUNTA(BI13:BI13)*CELL("contenu",$B$12),COUNTA(BI15:BI17)*CELL("contenu",$B$14),COUNTA(BI19:BI19)*CELL("contenu",$B$18))=0,1,SUM(COUNTA(BI5:BI6)*CELL("contenu",$B$4),COUNTA(BI8:BI11)*CELL("contenu",$B$7),COUNTA(BI13:BI13)*CELL("contenu",$B$12),COUNTA(BI15:BI17)*CELL("contenu",$B$14),COUNTA(BI19:BI19)*CELL("contenu",$B$18))))</f>
        <v/>
      </c>
      <c r="BJ20" s="176"/>
      <c r="BK20" s="175" t="str">
        <f ca="1">IF(COUNTA(BG20:BI20)-COUNTBLANK(BG20:BI20)=0,"",SUM(BG20:BI20)/(COUNTA(BG20:BI20)-COUNTBLANK(BG20:BI20)))</f>
        <v/>
      </c>
      <c r="BL20" s="182" t="str">
        <f ca="1">IF(COUNTA(BL5:BL19)=0,"",5*SUM(IFERROR((((COUNTIF(BL5:BL6,"A"))*4)+((COUNTIF(BL5:BL6,"B"))*3)+((COUNTIF(BL5:BL6,"C"))*2)+((COUNTIF(BL5:BL6,"D"))*1))*CELL("contenu",$B$4),0),IFERROR((((COUNTIF(BL8:BL11,"A"))*4)+((COUNTIF(BL8:BL11,"B"))*3)+((COUNTIF(BL8:BL11,"C"))*2)+((COUNTIF(BL8:BL11,"D"))*1))*CELL("contenu",$B$7),0),IFERROR((((COUNTIF(BL13:BL13,"A"))*4)+((COUNTIF(BL13:BL13,"B"))*3)+((COUNTIF(BL13:BL13,"C"))*2)+((COUNTIF(BL13:BL13,"D"))*1))*CELL("contenu",$B$12),0),IFERROR((((COUNTIF(BL15:BL17,"A"))*4)+((COUNTIF(BL15:BL17,"B"))*3)+((COUNTIF(BL15:BL17,"C"))*2)+((COUNTIF(BL15:BL17,"D"))*1))*CELL("contenu",$B$14),0),IFERROR((((COUNTIF(BL19:BL19,"A"))*4)+((COUNTIF(BL19:BL19,"B"))*3)+((COUNTIF(BL19:BL19,"C"))*2)+((COUNTIF(BL19:BL19,"D"))*1))*CELL("contenu",$B$18),0))/IF(SUM(COUNTA(BL5:BL6)*CELL("contenu",$B$4),COUNTA(BL8:BL11)*CELL("contenu",$B$7),COUNTA(BL13:BL13)*CELL("contenu",$B$12),COUNTA(BL15:BL17)*CELL("contenu",$B$14),COUNTA(BL19:BL19)*CELL("contenu",$B$18))=0,1,SUM(COUNTA(BL5:BL6)*CELL("contenu",$B$4),COUNTA(BL8:BL11)*CELL("contenu",$B$7),COUNTA(BL13:BL13)*CELL("contenu",$B$12),COUNTA(BL15:BL17)*CELL("contenu",$B$14),COUNTA(BL19:BL19)*CELL("contenu",$B$18))))</f>
        <v/>
      </c>
      <c r="BM20" s="183" t="str">
        <f ca="1">IF(COUNTA(BM5:BM19)=0,"",5*SUM(IFERROR((((COUNTIF(BM5:BM6,"A"))*4)+((COUNTIF(BM5:BM6,"B"))*3)+((COUNTIF(BM5:BM6,"C"))*2)+((COUNTIF(BM5:BM6,"D"))*1))*CELL("contenu",$B$4),0),IFERROR((((COUNTIF(BM8:BM11,"A"))*4)+((COUNTIF(BM8:BM11,"B"))*3)+((COUNTIF(BM8:BM11,"C"))*2)+((COUNTIF(BM8:BM11,"D"))*1))*CELL("contenu",$B$7),0),IFERROR((((COUNTIF(BM13:BM13,"A"))*4)+((COUNTIF(BM13:BM13,"B"))*3)+((COUNTIF(BM13:BM13,"C"))*2)+((COUNTIF(BM13:BM13,"D"))*1))*CELL("contenu",$B$12),0),IFERROR((((COUNTIF(BM15:BM17,"A"))*4)+((COUNTIF(BM15:BM17,"B"))*3)+((COUNTIF(BM15:BM17,"C"))*2)+((COUNTIF(BM15:BM17,"D"))*1))*CELL("contenu",$B$14),0),IFERROR((((COUNTIF(BM19:BM19,"A"))*4)+((COUNTIF(BM19:BM19,"B"))*3)+((COUNTIF(BM19:BM19,"C"))*2)+((COUNTIF(BM19:BM19,"D"))*1))*CELL("contenu",$B$18),0))/IF(SUM(COUNTA(BM5:BM6)*CELL("contenu",$B$4),COUNTA(BM8:BM11)*CELL("contenu",$B$7),COUNTA(BM13:BM13)*CELL("contenu",$B$12),COUNTA(BM15:BM17)*CELL("contenu",$B$14),COUNTA(BM19:BM19)*CELL("contenu",$B$18))=0,1,SUM(COUNTA(BM5:BM6)*CELL("contenu",$B$4),COUNTA(BM8:BM11)*CELL("contenu",$B$7),COUNTA(BM13:BM13)*CELL("contenu",$B$12),COUNTA(BM15:BM17)*CELL("contenu",$B$14),COUNTA(BM19:BM19)*CELL("contenu",$B$18))))</f>
        <v/>
      </c>
      <c r="BN20" s="184" t="str">
        <f ca="1">IF(COUNTA(BN5:BN19)=0,"",5*SUM(IFERROR((((COUNTIF(BN5:BN6,"A"))*4)+((COUNTIF(BN5:BN6,"B"))*3)+((COUNTIF(BN5:BN6,"C"))*2)+((COUNTIF(BN5:BN6,"D"))*1))*CELL("contenu",$B$4),0),IFERROR((((COUNTIF(BN8:BN11,"A"))*4)+((COUNTIF(BN8:BN11,"B"))*3)+((COUNTIF(BN8:BN11,"C"))*2)+((COUNTIF(BN8:BN11,"D"))*1))*CELL("contenu",$B$7),0),IFERROR((((COUNTIF(BN13:BN13,"A"))*4)+((COUNTIF(BN13:BN13,"B"))*3)+((COUNTIF(BN13:BN13,"C"))*2)+((COUNTIF(BN13:BN13,"D"))*1))*CELL("contenu",$B$12),0),IFERROR((((COUNTIF(BN15:BN17,"A"))*4)+((COUNTIF(BN15:BN17,"B"))*3)+((COUNTIF(BN15:BN17,"C"))*2)+((COUNTIF(BN15:BN17,"D"))*1))*CELL("contenu",$B$14),0),IFERROR((((COUNTIF(BN19:BN19,"A"))*4)+((COUNTIF(BN19:BN19,"B"))*3)+((COUNTIF(BN19:BN19,"C"))*2)+((COUNTIF(BN19:BN19,"D"))*1))*CELL("contenu",$B$18),0))/IF(SUM(COUNTA(BN5:BN6)*CELL("contenu",$B$4),COUNTA(BN8:BN11)*CELL("contenu",$B$7),COUNTA(BN13:BN13)*CELL("contenu",$B$12),COUNTA(BN15:BN17)*CELL("contenu",$B$14),COUNTA(BN19:BN19)*CELL("contenu",$B$18))=0,1,SUM(COUNTA(BN5:BN6)*CELL("contenu",$B$4),COUNTA(BN8:BN11)*CELL("contenu",$B$7),COUNTA(BN13:BN13)*CELL("contenu",$B$12),COUNTA(BN15:BN17)*CELL("contenu",$B$14),COUNTA(BN19:BN19)*CELL("contenu",$B$18))))</f>
        <v/>
      </c>
      <c r="BO20" s="176"/>
      <c r="BP20" s="174" t="str">
        <f ca="1">IF(COUNTA(BL20:BN20)-COUNTBLANK(BL20:BN20)=0,"",SUM(BL20:BN20)/(COUNTA(BL20:BN20)-COUNTBLANK(BL20:BN20)))</f>
        <v/>
      </c>
      <c r="BQ20" s="103"/>
      <c r="BR20" s="141"/>
      <c r="BS20" s="167">
        <f ca="1">IF(COUNTA(BS5:BS19)=0,"",5*SUM(IFERROR((((COUNTIF(BS5:BS6,"A"))*4)+((COUNTIF(BS5:BS6,"B"))*3)+((COUNTIF(BS5:BS6,"C"))*2)+((COUNTIF(BS5:BS6,"D"))*1))*CELL("contenu",$B$4),0),IFERROR((((COUNTIF(BS8:BS11,"A"))*4)+((COUNTIF(BS8:BS11,"B"))*3)+((COUNTIF(BS8:BS11,"C"))*2)+((COUNTIF(BS8:BS11,"D"))*1))*CELL("contenu",$B$7),0),IFERROR((((COUNTIF(BS13:BS13,"A"))*4)+((COUNTIF(BS13:BS13,"B"))*3)+((COUNTIF(BS13:BS13,"C"))*2)+((COUNTIF(BS13:BS13,"D"))*1))*CELL("contenu",$B$12),0),IFERROR((((COUNTIF(BS15:BS17,"A"))*4)+((COUNTIF(BS15:BS17,"B"))*3)+((COUNTIF(BS15:BS17,"C"))*2)+((COUNTIF(BS15:BS17,"D"))*1))*CELL("contenu",$B$14),0),IFERROR((((COUNTIF(BS19:BS19,"A"))*4)+((COUNTIF(BS19:BS19,"B"))*3)+((COUNTIF(BS19:BS19,"C"))*2)+((COUNTIF(BS19:BS19,"D"))*1))*CELL("contenu",$B$18),0))/IF(SUM(COUNTA(BS5:BS6)*CELL("contenu",$B$4),COUNTA(BS8:BS11)*CELL("contenu",$B$7),COUNTA(BS13:BS13)*CELL("contenu",$B$12),COUNTA(BS15:BS17)*CELL("contenu",$B$14),COUNTA(BS19:BS19)*CELL("contenu",$B$18))=0,1,SUM(COUNTA(BS5:BS6)*CELL("contenu",$B$4),COUNTA(BS8:BS11)*CELL("contenu",$B$7),COUNTA(BS13:BS13)*CELL("contenu",$B$12),COUNTA(BS15:BS17)*CELL("contenu",$B$14),COUNTA(BS19:BS19)*CELL("contenu",$B$18))))</f>
        <v>15</v>
      </c>
      <c r="BT20" s="168">
        <f ca="1">IF(COUNTA(BT5:BT19)=0,"",5*SUM(IFERROR((((COUNTIF(BT5:BT6,"A"))*4)+((COUNTIF(BT5:BT6,"B"))*3)+((COUNTIF(BT5:BT6,"C"))*2)+((COUNTIF(BT5:BT6,"D"))*1))*CELL("contenu",$B$4),0),IFERROR((((COUNTIF(BT8:BT11,"A"))*4)+((COUNTIF(BT8:BT11,"B"))*3)+((COUNTIF(BT8:BT11,"C"))*2)+((COUNTIF(BT8:BT11,"D"))*1))*CELL("contenu",$B$7),0),IFERROR((((COUNTIF(BT13:BT13,"A"))*4)+((COUNTIF(BT13:BT13,"B"))*3)+((COUNTIF(BT13:BT13,"C"))*2)+((COUNTIF(BT13:BT13,"D"))*1))*CELL("contenu",$B$12),0),IFERROR((((COUNTIF(BT15:BT17,"A"))*4)+((COUNTIF(BT15:BT17,"B"))*3)+((COUNTIF(BT15:BT17,"C"))*2)+((COUNTIF(BT15:BT17,"D"))*1))*CELL("contenu",$B$14),0),IFERROR((((COUNTIF(BT19:BT19,"A"))*4)+((COUNTIF(BT19:BT19,"B"))*3)+((COUNTIF(BT19:BT19,"C"))*2)+((COUNTIF(BT19:BT19,"D"))*1))*CELL("contenu",$B$18),0))/IF(SUM(COUNTA(BT5:BT6)*CELL("contenu",$B$4),COUNTA(BT8:BT11)*CELL("contenu",$B$7),COUNTA(BT13:BT13)*CELL("contenu",$B$12),COUNTA(BT15:BT17)*CELL("contenu",$B$14),COUNTA(BT19:BT19)*CELL("contenu",$B$18))=0,1,SUM(COUNTA(BT5:BT6)*CELL("contenu",$B$4),COUNTA(BT8:BT11)*CELL("contenu",$B$7),COUNTA(BT13:BT13)*CELL("contenu",$B$12),COUNTA(BT15:BT17)*CELL("contenu",$B$14),COUNTA(BT19:BT19)*CELL("contenu",$B$18))))</f>
        <v>15</v>
      </c>
      <c r="BU20" s="169" t="str">
        <f ca="1">IF(COUNTA(BU5:BU19)=0,"",5*SUM(IFERROR((((COUNTIF(BU5:BU6,"A"))*4)+((COUNTIF(BU5:BU6,"B"))*3)+((COUNTIF(BU5:BU6,"C"))*2)+((COUNTIF(BU5:BU6,"D"))*1))*CELL("contenu",$B$4),0),IFERROR((((COUNTIF(BU8:BU11,"A"))*4)+((COUNTIF(BU8:BU11,"B"))*3)+((COUNTIF(BU8:BU11,"C"))*2)+((COUNTIF(BU8:BU11,"D"))*1))*CELL("contenu",$B$7),0),IFERROR((((COUNTIF(BU13:BU13,"A"))*4)+((COUNTIF(BU13:BU13,"B"))*3)+((COUNTIF(BU13:BU13,"C"))*2)+((COUNTIF(BU13:BU13,"D"))*1))*CELL("contenu",$B$12),0),IFERROR((((COUNTIF(BU15:BU17,"A"))*4)+((COUNTIF(BU15:BU17,"B"))*3)+((COUNTIF(BU15:BU17,"C"))*2)+((COUNTIF(BU15:BU17,"D"))*1))*CELL("contenu",$B$14),0),IFERROR((((COUNTIF(BU19:BU19,"A"))*4)+((COUNTIF(BU19:BU19,"B"))*3)+((COUNTIF(BU19:BU19,"C"))*2)+((COUNTIF(BU19:BU19,"D"))*1))*CELL("contenu",$B$18),0))/IF(SUM(COUNTA(BU5:BU6)*CELL("contenu",$B$4),COUNTA(BU8:BU11)*CELL("contenu",$B$7),COUNTA(BU13:BU13)*CELL("contenu",$B$12),COUNTA(BU15:BU17)*CELL("contenu",$B$14),COUNTA(BU19:BU19)*CELL("contenu",$B$18))=0,1,SUM(COUNTA(BU5:BU6)*CELL("contenu",$B$4),COUNTA(BU8:BU11)*CELL("contenu",$B$7),COUNTA(BU13:BU13)*CELL("contenu",$B$12),COUNTA(BU15:BU17)*CELL("contenu",$B$14),COUNTA(BU19:BU19)*CELL("contenu",$B$18))))</f>
        <v/>
      </c>
      <c r="BV20" s="116"/>
      <c r="BW20" s="192">
        <f ca="1">IF(COUNTA(BS20:BU20)-COUNTBLANK(BS20:BU20)=0,"",SUM(BS20:BU20)/(COUNTA(BS20:BU20)-COUNTBLANK(BS20:BU20)))</f>
        <v>15</v>
      </c>
      <c r="BX20" s="182" t="str">
        <f ca="1">IF(COUNTA(BX5:BX19)=0,"",5*SUM(IFERROR((((COUNTIF(BX5:BX6,"A"))*4)+((COUNTIF(BX5:BX6,"B"))*3)+((COUNTIF(BX5:BX6,"C"))*2)+((COUNTIF(BX5:BX6,"D"))*1))*CELL("contenu",$B$4),0),IFERROR((((COUNTIF(BX8:BX11,"A"))*4)+((COUNTIF(BX8:BX11,"B"))*3)+((COUNTIF(BX8:BX11,"C"))*2)+((COUNTIF(BX8:BX11,"D"))*1))*CELL("contenu",$B$7),0),IFERROR((((COUNTIF(BX13:BX13,"A"))*4)+((COUNTIF(BX13:BX13,"B"))*3)+((COUNTIF(BX13:BX13,"C"))*2)+((COUNTIF(BX13:BX13,"D"))*1))*CELL("contenu",$B$12),0),IFERROR((((COUNTIF(BX15:BX17,"A"))*4)+((COUNTIF(BX15:BX17,"B"))*3)+((COUNTIF(BX15:BX17,"C"))*2)+((COUNTIF(BX15:BX17,"D"))*1))*CELL("contenu",$B$14),0),IFERROR((((COUNTIF(BX19:BX19,"A"))*4)+((COUNTIF(BX19:BX19,"B"))*3)+((COUNTIF(BX19:BX19,"C"))*2)+((COUNTIF(BX19:BX19,"D"))*1))*CELL("contenu",$B$18),0))/IF(SUM(COUNTA(BX5:BX6)*CELL("contenu",$B$4),COUNTA(BX8:BX11)*CELL("contenu",$B$7),COUNTA(BX13:BX13)*CELL("contenu",$B$12),COUNTA(BX15:BX17)*CELL("contenu",$B$14),COUNTA(BX19:BX19)*CELL("contenu",$B$18))=0,1,SUM(COUNTA(BX5:BX6)*CELL("contenu",$B$4),COUNTA(BX8:BX11)*CELL("contenu",$B$7),COUNTA(BX13:BX13)*CELL("contenu",$B$12),COUNTA(BX15:BX17)*CELL("contenu",$B$14),COUNTA(BX19:BX19)*CELL("contenu",$B$18))))</f>
        <v/>
      </c>
      <c r="BY20" s="183" t="str">
        <f ca="1">IF(COUNTA(BY5:BY19)=0,"",5*SUM(IFERROR((((COUNTIF(BY5:BY6,"A"))*4)+((COUNTIF(BY5:BY6,"B"))*3)+((COUNTIF(BY5:BY6,"C"))*2)+((COUNTIF(BY5:BY6,"D"))*1))*CELL("contenu",$B$4),0),IFERROR((((COUNTIF(BY8:BY11,"A"))*4)+((COUNTIF(BY8:BY11,"B"))*3)+((COUNTIF(BY8:BY11,"C"))*2)+((COUNTIF(BY8:BY11,"D"))*1))*CELL("contenu",$B$7),0),IFERROR((((COUNTIF(BY13:BY13,"A"))*4)+((COUNTIF(BY13:BY13,"B"))*3)+((COUNTIF(BY13:BY13,"C"))*2)+((COUNTIF(BY13:BY13,"D"))*1))*CELL("contenu",$B$12),0),IFERROR((((COUNTIF(BY15:BY17,"A"))*4)+((COUNTIF(BY15:BY17,"B"))*3)+((COUNTIF(BY15:BY17,"C"))*2)+((COUNTIF(BY15:BY17,"D"))*1))*CELL("contenu",$B$14),0),IFERROR((((COUNTIF(BY19:BY19,"A"))*4)+((COUNTIF(BY19:BY19,"B"))*3)+((COUNTIF(BY19:BY19,"C"))*2)+((COUNTIF(BY19:BY19,"D"))*1))*CELL("contenu",$B$18),0))/IF(SUM(COUNTA(BY5:BY6)*CELL("contenu",$B$4),COUNTA(BY8:BY11)*CELL("contenu",$B$7),COUNTA(BY13:BY13)*CELL("contenu",$B$12),COUNTA(BY15:BY17)*CELL("contenu",$B$14),COUNTA(BY19:BY19)*CELL("contenu",$B$18))=0,1,SUM(COUNTA(BY5:BY6)*CELL("contenu",$B$4),COUNTA(BY8:BY11)*CELL("contenu",$B$7),COUNTA(BY13:BY13)*CELL("contenu",$B$12),COUNTA(BY15:BY17)*CELL("contenu",$B$14),COUNTA(BY19:BY19)*CELL("contenu",$B$18))))</f>
        <v/>
      </c>
      <c r="BZ20" s="184" t="str">
        <f ca="1">IF(COUNTA(BZ5:BZ19)=0,"",5*SUM(IFERROR((((COUNTIF(BZ5:BZ6,"A"))*4)+((COUNTIF(BZ5:BZ6,"B"))*3)+((COUNTIF(BZ5:BZ6,"C"))*2)+((COUNTIF(BZ5:BZ6,"D"))*1))*CELL("contenu",$B$4),0),IFERROR((((COUNTIF(BZ8:BZ11,"A"))*4)+((COUNTIF(BZ8:BZ11,"B"))*3)+((COUNTIF(BZ8:BZ11,"C"))*2)+((COUNTIF(BZ8:BZ11,"D"))*1))*CELL("contenu",$B$7),0),IFERROR((((COUNTIF(BZ13:BZ13,"A"))*4)+((COUNTIF(BZ13:BZ13,"B"))*3)+((COUNTIF(BZ13:BZ13,"C"))*2)+((COUNTIF(BZ13:BZ13,"D"))*1))*CELL("contenu",$B$12),0),IFERROR((((COUNTIF(BZ15:BZ17,"A"))*4)+((COUNTIF(BZ15:BZ17,"B"))*3)+((COUNTIF(BZ15:BZ17,"C"))*2)+((COUNTIF(BZ15:BZ17,"D"))*1))*CELL("contenu",$B$14),0),IFERROR((((COUNTIF(BZ19:BZ19,"A"))*4)+((COUNTIF(BZ19:BZ19,"B"))*3)+((COUNTIF(BZ19:BZ19,"C"))*2)+((COUNTIF(BZ19:BZ19,"D"))*1))*CELL("contenu",$B$18),0))/IF(SUM(COUNTA(BZ5:BZ6)*CELL("contenu",$B$4),COUNTA(BZ8:BZ11)*CELL("contenu",$B$7),COUNTA(BZ13:BZ13)*CELL("contenu",$B$12),COUNTA(BZ15:BZ17)*CELL("contenu",$B$14),COUNTA(BZ19:BZ19)*CELL("contenu",$B$18))=0,1,SUM(COUNTA(BZ5:BZ6)*CELL("contenu",$B$4),COUNTA(BZ8:BZ11)*CELL("contenu",$B$7),COUNTA(BZ13:BZ13)*CELL("contenu",$B$12),COUNTA(BZ15:BZ17)*CELL("contenu",$B$14),COUNTA(BZ19:BZ19)*CELL("contenu",$B$18))))</f>
        <v/>
      </c>
      <c r="CA20" s="176"/>
      <c r="CB20" s="175" t="str">
        <f ca="1">IF(COUNTA(BX20:BZ20)-COUNTBLANK(BX20:BZ20)=0,"",SUM(BX20:BZ20)/(COUNTA(BX20:BZ20)-COUNTBLANK(BX20:BZ20)))</f>
        <v/>
      </c>
      <c r="CC20" s="182" t="str">
        <f ca="1">IF(COUNTA(CC5:CC19)=0,"",5*SUM(IFERROR((((COUNTIF(CC5:CC6,"A"))*4)+((COUNTIF(CC5:CC6,"B"))*3)+((COUNTIF(CC5:CC6,"C"))*2)+((COUNTIF(CC5:CC6,"D"))*1))*CELL("contenu",$B$4),0),IFERROR((((COUNTIF(CC8:CC11,"A"))*4)+((COUNTIF(CC8:CC11,"B"))*3)+((COUNTIF(CC8:CC11,"C"))*2)+((COUNTIF(CC8:CC11,"D"))*1))*CELL("contenu",$B$7),0),IFERROR((((COUNTIF(CC13:CC13,"A"))*4)+((COUNTIF(CC13:CC13,"B"))*3)+((COUNTIF(CC13:CC13,"C"))*2)+((COUNTIF(CC13:CC13,"D"))*1))*CELL("contenu",$B$12),0),IFERROR((((COUNTIF(CC15:CC17,"A"))*4)+((COUNTIF(CC15:CC17,"B"))*3)+((COUNTIF(CC15:CC17,"C"))*2)+((COUNTIF(CC15:CC17,"D"))*1))*CELL("contenu",$B$14),0),IFERROR((((COUNTIF(CC19:CC19,"A"))*4)+((COUNTIF(CC19:CC19,"B"))*3)+((COUNTIF(CC19:CC19,"C"))*2)+((COUNTIF(CC19:CC19,"D"))*1))*CELL("contenu",$B$18),0))/IF(SUM(COUNTA(CC5:CC6)*CELL("contenu",$B$4),COUNTA(CC8:CC11)*CELL("contenu",$B$7),COUNTA(CC13:CC13)*CELL("contenu",$B$12),COUNTA(CC15:CC17)*CELL("contenu",$B$14),COUNTA(CC19:CC19)*CELL("contenu",$B$18))=0,1,SUM(COUNTA(CC5:CC6)*CELL("contenu",$B$4),COUNTA(CC8:CC11)*CELL("contenu",$B$7),COUNTA(CC13:CC13)*CELL("contenu",$B$12),COUNTA(CC15:CC17)*CELL("contenu",$B$14),COUNTA(CC19:CC19)*CELL("contenu",$B$18))))</f>
        <v/>
      </c>
      <c r="CD20" s="183" t="str">
        <f ca="1">IF(COUNTA(CD5:CD19)=0,"",5*SUM(IFERROR((((COUNTIF(CD5:CD6,"A"))*4)+((COUNTIF(CD5:CD6,"B"))*3)+((COUNTIF(CD5:CD6,"C"))*2)+((COUNTIF(CD5:CD6,"D"))*1))*CELL("contenu",$B$4),0),IFERROR((((COUNTIF(CD8:CD11,"A"))*4)+((COUNTIF(CD8:CD11,"B"))*3)+((COUNTIF(CD8:CD11,"C"))*2)+((COUNTIF(CD8:CD11,"D"))*1))*CELL("contenu",$B$7),0),IFERROR((((COUNTIF(CD13:CD13,"A"))*4)+((COUNTIF(CD13:CD13,"B"))*3)+((COUNTIF(CD13:CD13,"C"))*2)+((COUNTIF(CD13:CD13,"D"))*1))*CELL("contenu",$B$12),0),IFERROR((((COUNTIF(CD15:CD17,"A"))*4)+((COUNTIF(CD15:CD17,"B"))*3)+((COUNTIF(CD15:CD17,"C"))*2)+((COUNTIF(CD15:CD17,"D"))*1))*CELL("contenu",$B$14),0),IFERROR((((COUNTIF(CD19:CD19,"A"))*4)+((COUNTIF(CD19:CD19,"B"))*3)+((COUNTIF(CD19:CD19,"C"))*2)+((COUNTIF(CD19:CD19,"D"))*1))*CELL("contenu",$B$18),0))/IF(SUM(COUNTA(CD5:CD6)*CELL("contenu",$B$4),COUNTA(CD8:CD11)*CELL("contenu",$B$7),COUNTA(CD13:CD13)*CELL("contenu",$B$12),COUNTA(CD15:CD17)*CELL("contenu",$B$14),COUNTA(CD19:CD19)*CELL("contenu",$B$18))=0,1,SUM(COUNTA(CD5:CD6)*CELL("contenu",$B$4),COUNTA(CD8:CD11)*CELL("contenu",$B$7),COUNTA(CD13:CD13)*CELL("contenu",$B$12),COUNTA(CD15:CD17)*CELL("contenu",$B$14),COUNTA(CD19:CD19)*CELL("contenu",$B$18))))</f>
        <v/>
      </c>
      <c r="CE20" s="184" t="str">
        <f ca="1">IF(COUNTA(CE5:CE19)=0,"",5*SUM(IFERROR((((COUNTIF(CE5:CE6,"A"))*4)+((COUNTIF(CE5:CE6,"B"))*3)+((COUNTIF(CE5:CE6,"C"))*2)+((COUNTIF(CE5:CE6,"D"))*1))*CELL("contenu",$B$4),0),IFERROR((((COUNTIF(CE8:CE11,"A"))*4)+((COUNTIF(CE8:CE11,"B"))*3)+((COUNTIF(CE8:CE11,"C"))*2)+((COUNTIF(CE8:CE11,"D"))*1))*CELL("contenu",$B$7),0),IFERROR((((COUNTIF(CE13:CE13,"A"))*4)+((COUNTIF(CE13:CE13,"B"))*3)+((COUNTIF(CE13:CE13,"C"))*2)+((COUNTIF(CE13:CE13,"D"))*1))*CELL("contenu",$B$12),0),IFERROR((((COUNTIF(CE15:CE17,"A"))*4)+((COUNTIF(CE15:CE17,"B"))*3)+((COUNTIF(CE15:CE17,"C"))*2)+((COUNTIF(CE15:CE17,"D"))*1))*CELL("contenu",$B$14),0),IFERROR((((COUNTIF(CE19:CE19,"A"))*4)+((COUNTIF(CE19:CE19,"B"))*3)+((COUNTIF(CE19:CE19,"C"))*2)+((COUNTIF(CE19:CE19,"D"))*1))*CELL("contenu",$B$18),0))/IF(SUM(COUNTA(CE5:CE6)*CELL("contenu",$B$4),COUNTA(CE8:CE11)*CELL("contenu",$B$7),COUNTA(CE13:CE13)*CELL("contenu",$B$12),COUNTA(CE15:CE17)*CELL("contenu",$B$14),COUNTA(CE19:CE19)*CELL("contenu",$B$18))=0,1,SUM(COUNTA(CE5:CE6)*CELL("contenu",$B$4),COUNTA(CE8:CE11)*CELL("contenu",$B$7),COUNTA(CE13:CE13)*CELL("contenu",$B$12),COUNTA(CE15:CE17)*CELL("contenu",$B$14),COUNTA(CE19:CE19)*CELL("contenu",$B$18))))</f>
        <v/>
      </c>
      <c r="CF20" s="176"/>
      <c r="CG20" s="174" t="str">
        <f ca="1">IF(COUNTA(CC20:CE20)-COUNTBLANK(CC20:CE20)=0,"",SUM(CC20:CE20)/(COUNTA(CC20:CE20)-COUNTBLANK(CC20:CE20)))</f>
        <v/>
      </c>
      <c r="CH20" s="103"/>
      <c r="CI20" s="141"/>
      <c r="CJ20" s="167">
        <f ca="1">IF(COUNTA(CJ5:CJ19)=0,"",5*SUM(IFERROR((((COUNTIF(CJ5:CJ6,"A"))*4)+((COUNTIF(CJ5:CJ6,"B"))*3)+((COUNTIF(CJ5:CJ6,"C"))*2)+((COUNTIF(CJ5:CJ6,"D"))*1))*CELL("contenu",$B$4),0),IFERROR((((COUNTIF(CJ8:CJ11,"A"))*4)+((COUNTIF(CJ8:CJ11,"B"))*3)+((COUNTIF(CJ8:CJ11,"C"))*2)+((COUNTIF(CJ8:CJ11,"D"))*1))*CELL("contenu",$B$7),0),IFERROR((((COUNTIF(CJ13:CJ13,"A"))*4)+((COUNTIF(CJ13:CJ13,"B"))*3)+((COUNTIF(CJ13:CJ13,"C"))*2)+((COUNTIF(CJ13:CJ13,"D"))*1))*CELL("contenu",$B$12),0),IFERROR((((COUNTIF(CJ15:CJ17,"A"))*4)+((COUNTIF(CJ15:CJ17,"B"))*3)+((COUNTIF(CJ15:CJ17,"C"))*2)+((COUNTIF(CJ15:CJ17,"D"))*1))*CELL("contenu",$B$14),0),IFERROR((((COUNTIF(CJ19:CJ19,"A"))*4)+((COUNTIF(CJ19:CJ19,"B"))*3)+((COUNTIF(CJ19:CJ19,"C"))*2)+((COUNTIF(CJ19:CJ19,"D"))*1))*CELL("contenu",$B$18),0))/IF(SUM(COUNTA(CJ5:CJ6)*CELL("contenu",$B$4),COUNTA(CJ8:CJ11)*CELL("contenu",$B$7),COUNTA(CJ13:CJ13)*CELL("contenu",$B$12),COUNTA(CJ15:CJ17)*CELL("contenu",$B$14),COUNTA(CJ19:CJ19)*CELL("contenu",$B$18))=0,1,SUM(COUNTA(CJ5:CJ6)*CELL("contenu",$B$4),COUNTA(CJ8:CJ11)*CELL("contenu",$B$7),COUNTA(CJ13:CJ13)*CELL("contenu",$B$12),COUNTA(CJ15:CJ17)*CELL("contenu",$B$14),COUNTA(CJ19:CJ19)*CELL("contenu",$B$18))))</f>
        <v>13.333333333333334</v>
      </c>
      <c r="CK20" s="168">
        <f ca="1">IF(COUNTA(CK5:CK19)=0,"",5*SUM(IFERROR((((COUNTIF(CK5:CK6,"A"))*4)+((COUNTIF(CK5:CK6,"B"))*3)+((COUNTIF(CK5:CK6,"C"))*2)+((COUNTIF(CK5:CK6,"D"))*1))*CELL("contenu",$B$4),0),IFERROR((((COUNTIF(CK8:CK11,"A"))*4)+((COUNTIF(CK8:CK11,"B"))*3)+((COUNTIF(CK8:CK11,"C"))*2)+((COUNTIF(CK8:CK11,"D"))*1))*CELL("contenu",$B$7),0),IFERROR((((COUNTIF(CK13:CK13,"A"))*4)+((COUNTIF(CK13:CK13,"B"))*3)+((COUNTIF(CK13:CK13,"C"))*2)+((COUNTIF(CK13:CK13,"D"))*1))*CELL("contenu",$B$12),0),IFERROR((((COUNTIF(CK15:CK17,"A"))*4)+((COUNTIF(CK15:CK17,"B"))*3)+((COUNTIF(CK15:CK17,"C"))*2)+((COUNTIF(CK15:CK17,"D"))*1))*CELL("contenu",$B$14),0),IFERROR((((COUNTIF(CK19:CK19,"A"))*4)+((COUNTIF(CK19:CK19,"B"))*3)+((COUNTIF(CK19:CK19,"C"))*2)+((COUNTIF(CK19:CK19,"D"))*1))*CELL("contenu",$B$18),0))/IF(SUM(COUNTA(CK5:CK6)*CELL("contenu",$B$4),COUNTA(CK8:CK11)*CELL("contenu",$B$7),COUNTA(CK13:CK13)*CELL("contenu",$B$12),COUNTA(CK15:CK17)*CELL("contenu",$B$14),COUNTA(CK19:CK19)*CELL("contenu",$B$18))=0,1,SUM(COUNTA(CK5:CK6)*CELL("contenu",$B$4),COUNTA(CK8:CK11)*CELL("contenu",$B$7),COUNTA(CK13:CK13)*CELL("contenu",$B$12),COUNTA(CK15:CK17)*CELL("contenu",$B$14),COUNTA(CK19:CK19)*CELL("contenu",$B$18))))</f>
        <v>16.666666666666668</v>
      </c>
      <c r="CL20" s="169" t="str">
        <f ca="1">IF(COUNTA(CL5:CL19)=0,"",5*SUM(IFERROR((((COUNTIF(CL5:CL6,"A"))*4)+((COUNTIF(CL5:CL6,"B"))*3)+((COUNTIF(CL5:CL6,"C"))*2)+((COUNTIF(CL5:CL6,"D"))*1))*CELL("contenu",$B$4),0),IFERROR((((COUNTIF(CL8:CL11,"A"))*4)+((COUNTIF(CL8:CL11,"B"))*3)+((COUNTIF(CL8:CL11,"C"))*2)+((COUNTIF(CL8:CL11,"D"))*1))*CELL("contenu",$B$7),0),IFERROR((((COUNTIF(CL13:CL13,"A"))*4)+((COUNTIF(CL13:CL13,"B"))*3)+((COUNTIF(CL13:CL13,"C"))*2)+((COUNTIF(CL13:CL13,"D"))*1))*CELL("contenu",$B$12),0),IFERROR((((COUNTIF(CL15:CL17,"A"))*4)+((COUNTIF(CL15:CL17,"B"))*3)+((COUNTIF(CL15:CL17,"C"))*2)+((COUNTIF(CL15:CL17,"D"))*1))*CELL("contenu",$B$14),0),IFERROR((((COUNTIF(CL19:CL19,"A"))*4)+((COUNTIF(CL19:CL19,"B"))*3)+((COUNTIF(CL19:CL19,"C"))*2)+((COUNTIF(CL19:CL19,"D"))*1))*CELL("contenu",$B$18),0))/IF(SUM(COUNTA(CL5:CL6)*CELL("contenu",$B$4),COUNTA(CL8:CL11)*CELL("contenu",$B$7),COUNTA(CL13:CL13)*CELL("contenu",$B$12),COUNTA(CL15:CL17)*CELL("contenu",$B$14),COUNTA(CL19:CL19)*CELL("contenu",$B$18))=0,1,SUM(COUNTA(CL5:CL6)*CELL("contenu",$B$4),COUNTA(CL8:CL11)*CELL("contenu",$B$7),COUNTA(CL13:CL13)*CELL("contenu",$B$12),COUNTA(CL15:CL17)*CELL("contenu",$B$14),COUNTA(CL19:CL19)*CELL("contenu",$B$18))))</f>
        <v/>
      </c>
      <c r="CM20" s="116"/>
      <c r="CN20" s="192">
        <f ca="1">IF(COUNTA(CJ20:CL20)-COUNTBLANK(CJ20:CL20)=0,"",SUM(CJ20:CL20)/(COUNTA(CJ20:CL20)-COUNTBLANK(CJ20:CL20)))</f>
        <v>15</v>
      </c>
      <c r="CO20" s="182" t="str">
        <f ca="1">IF(COUNTA(CO5:CO19)=0,"",5*SUM(IFERROR((((COUNTIF(CO5:CO6,"A"))*4)+((COUNTIF(CO5:CO6,"B"))*3)+((COUNTIF(CO5:CO6,"C"))*2)+((COUNTIF(CO5:CO6,"D"))*1))*CELL("contenu",$B$4),0),IFERROR((((COUNTIF(CO8:CO11,"A"))*4)+((COUNTIF(CO8:CO11,"B"))*3)+((COUNTIF(CO8:CO11,"C"))*2)+((COUNTIF(CO8:CO11,"D"))*1))*CELL("contenu",$B$7),0),IFERROR((((COUNTIF(CO13:CO13,"A"))*4)+((COUNTIF(CO13:CO13,"B"))*3)+((COUNTIF(CO13:CO13,"C"))*2)+((COUNTIF(CO13:CO13,"D"))*1))*CELL("contenu",$B$12),0),IFERROR((((COUNTIF(CO15:CO17,"A"))*4)+((COUNTIF(CO15:CO17,"B"))*3)+((COUNTIF(CO15:CO17,"C"))*2)+((COUNTIF(CO15:CO17,"D"))*1))*CELL("contenu",$B$14),0),IFERROR((((COUNTIF(CO19:CO19,"A"))*4)+((COUNTIF(CO19:CO19,"B"))*3)+((COUNTIF(CO19:CO19,"C"))*2)+((COUNTIF(CO19:CO19,"D"))*1))*CELL("contenu",$B$18),0))/IF(SUM(COUNTA(CO5:CO6)*CELL("contenu",$B$4),COUNTA(CO8:CO11)*CELL("contenu",$B$7),COUNTA(CO13:CO13)*CELL("contenu",$B$12),COUNTA(CO15:CO17)*CELL("contenu",$B$14),COUNTA(CO19:CO19)*CELL("contenu",$B$18))=0,1,SUM(COUNTA(CO5:CO6)*CELL("contenu",$B$4),COUNTA(CO8:CO11)*CELL("contenu",$B$7),COUNTA(CO13:CO13)*CELL("contenu",$B$12),COUNTA(CO15:CO17)*CELL("contenu",$B$14),COUNTA(CO19:CO19)*CELL("contenu",$B$18))))</f>
        <v/>
      </c>
      <c r="CP20" s="183" t="str">
        <f ca="1">IF(COUNTA(CP5:CP19)=0,"",5*SUM(IFERROR((((COUNTIF(CP5:CP6,"A"))*4)+((COUNTIF(CP5:CP6,"B"))*3)+((COUNTIF(CP5:CP6,"C"))*2)+((COUNTIF(CP5:CP6,"D"))*1))*CELL("contenu",$B$4),0),IFERROR((((COUNTIF(CP8:CP11,"A"))*4)+((COUNTIF(CP8:CP11,"B"))*3)+((COUNTIF(CP8:CP11,"C"))*2)+((COUNTIF(CP8:CP11,"D"))*1))*CELL("contenu",$B$7),0),IFERROR((((COUNTIF(CP13:CP13,"A"))*4)+((COUNTIF(CP13:CP13,"B"))*3)+((COUNTIF(CP13:CP13,"C"))*2)+((COUNTIF(CP13:CP13,"D"))*1))*CELL("contenu",$B$12),0),IFERROR((((COUNTIF(CP15:CP17,"A"))*4)+((COUNTIF(CP15:CP17,"B"))*3)+((COUNTIF(CP15:CP17,"C"))*2)+((COUNTIF(CP15:CP17,"D"))*1))*CELL("contenu",$B$14),0),IFERROR((((COUNTIF(CP19:CP19,"A"))*4)+((COUNTIF(CP19:CP19,"B"))*3)+((COUNTIF(CP19:CP19,"C"))*2)+((COUNTIF(CP19:CP19,"D"))*1))*CELL("contenu",$B$18),0))/IF(SUM(COUNTA(CP5:CP6)*CELL("contenu",$B$4),COUNTA(CP8:CP11)*CELL("contenu",$B$7),COUNTA(CP13:CP13)*CELL("contenu",$B$12),COUNTA(CP15:CP17)*CELL("contenu",$B$14),COUNTA(CP19:CP19)*CELL("contenu",$B$18))=0,1,SUM(COUNTA(CP5:CP6)*CELL("contenu",$B$4),COUNTA(CP8:CP11)*CELL("contenu",$B$7),COUNTA(CP13:CP13)*CELL("contenu",$B$12),COUNTA(CP15:CP17)*CELL("contenu",$B$14),COUNTA(CP19:CP19)*CELL("contenu",$B$18))))</f>
        <v/>
      </c>
      <c r="CQ20" s="184" t="str">
        <f ca="1">IF(COUNTA(CQ5:CQ19)=0,"",5*SUM(IFERROR((((COUNTIF(CQ5:CQ6,"A"))*4)+((COUNTIF(CQ5:CQ6,"B"))*3)+((COUNTIF(CQ5:CQ6,"C"))*2)+((COUNTIF(CQ5:CQ6,"D"))*1))*CELL("contenu",$B$4),0),IFERROR((((COUNTIF(CQ8:CQ11,"A"))*4)+((COUNTIF(CQ8:CQ11,"B"))*3)+((COUNTIF(CQ8:CQ11,"C"))*2)+((COUNTIF(CQ8:CQ11,"D"))*1))*CELL("contenu",$B$7),0),IFERROR((((COUNTIF(CQ13:CQ13,"A"))*4)+((COUNTIF(CQ13:CQ13,"B"))*3)+((COUNTIF(CQ13:CQ13,"C"))*2)+((COUNTIF(CQ13:CQ13,"D"))*1))*CELL("contenu",$B$12),0),IFERROR((((COUNTIF(CQ15:CQ17,"A"))*4)+((COUNTIF(CQ15:CQ17,"B"))*3)+((COUNTIF(CQ15:CQ17,"C"))*2)+((COUNTIF(CQ15:CQ17,"D"))*1))*CELL("contenu",$B$14),0),IFERROR((((COUNTIF(CQ19:CQ19,"A"))*4)+((COUNTIF(CQ19:CQ19,"B"))*3)+((COUNTIF(CQ19:CQ19,"C"))*2)+((COUNTIF(CQ19:CQ19,"D"))*1))*CELL("contenu",$B$18),0))/IF(SUM(COUNTA(CQ5:CQ6)*CELL("contenu",$B$4),COUNTA(CQ8:CQ11)*CELL("contenu",$B$7),COUNTA(CQ13:CQ13)*CELL("contenu",$B$12),COUNTA(CQ15:CQ17)*CELL("contenu",$B$14),COUNTA(CQ19:CQ19)*CELL("contenu",$B$18))=0,1,SUM(COUNTA(CQ5:CQ6)*CELL("contenu",$B$4),COUNTA(CQ8:CQ11)*CELL("contenu",$B$7),COUNTA(CQ13:CQ13)*CELL("contenu",$B$12),COUNTA(CQ15:CQ17)*CELL("contenu",$B$14),COUNTA(CQ19:CQ19)*CELL("contenu",$B$18))))</f>
        <v/>
      </c>
      <c r="CR20" s="176"/>
      <c r="CS20" s="175" t="str">
        <f ca="1">IF(COUNTA(CO20:CQ20)-COUNTBLANK(CO20:CQ20)=0,"",SUM(CO20:CQ20)/(COUNTA(CO20:CQ20)-COUNTBLANK(CO20:CQ20)))</f>
        <v/>
      </c>
      <c r="CT20" s="182" t="str">
        <f ca="1">IF(COUNTA(CT5:CT19)=0,"",5*SUM(IFERROR((((COUNTIF(CT5:CT6,"A"))*4)+((COUNTIF(CT5:CT6,"B"))*3)+((COUNTIF(CT5:CT6,"C"))*2)+((COUNTIF(CT5:CT6,"D"))*1))*CELL("contenu",$B$4),0),IFERROR((((COUNTIF(CT8:CT11,"A"))*4)+((COUNTIF(CT8:CT11,"B"))*3)+((COUNTIF(CT8:CT11,"C"))*2)+((COUNTIF(CT8:CT11,"D"))*1))*CELL("contenu",$B$7),0),IFERROR((((COUNTIF(CT13:CT13,"A"))*4)+((COUNTIF(CT13:CT13,"B"))*3)+((COUNTIF(CT13:CT13,"C"))*2)+((COUNTIF(CT13:CT13,"D"))*1))*CELL("contenu",$B$12),0),IFERROR((((COUNTIF(CT15:CT17,"A"))*4)+((COUNTIF(CT15:CT17,"B"))*3)+((COUNTIF(CT15:CT17,"C"))*2)+((COUNTIF(CT15:CT17,"D"))*1))*CELL("contenu",$B$14),0),IFERROR((((COUNTIF(CT19:CT19,"A"))*4)+((COUNTIF(CT19:CT19,"B"))*3)+((COUNTIF(CT19:CT19,"C"))*2)+((COUNTIF(CT19:CT19,"D"))*1))*CELL("contenu",$B$18),0))/IF(SUM(COUNTA(CT5:CT6)*CELL("contenu",$B$4),COUNTA(CT8:CT11)*CELL("contenu",$B$7),COUNTA(CT13:CT13)*CELL("contenu",$B$12),COUNTA(CT15:CT17)*CELL("contenu",$B$14),COUNTA(CT19:CT19)*CELL("contenu",$B$18))=0,1,SUM(COUNTA(CT5:CT6)*CELL("contenu",$B$4),COUNTA(CT8:CT11)*CELL("contenu",$B$7),COUNTA(CT13:CT13)*CELL("contenu",$B$12),COUNTA(CT15:CT17)*CELL("contenu",$B$14),COUNTA(CT19:CT19)*CELL("contenu",$B$18))))</f>
        <v/>
      </c>
      <c r="CU20" s="183" t="str">
        <f ca="1">IF(COUNTA(CU5:CU19)=0,"",5*SUM(IFERROR((((COUNTIF(CU5:CU6,"A"))*4)+((COUNTIF(CU5:CU6,"B"))*3)+((COUNTIF(CU5:CU6,"C"))*2)+((COUNTIF(CU5:CU6,"D"))*1))*CELL("contenu",$B$4),0),IFERROR((((COUNTIF(CU8:CU11,"A"))*4)+((COUNTIF(CU8:CU11,"B"))*3)+((COUNTIF(CU8:CU11,"C"))*2)+((COUNTIF(CU8:CU11,"D"))*1))*CELL("contenu",$B$7),0),IFERROR((((COUNTIF(CU13:CU13,"A"))*4)+((COUNTIF(CU13:CU13,"B"))*3)+((COUNTIF(CU13:CU13,"C"))*2)+((COUNTIF(CU13:CU13,"D"))*1))*CELL("contenu",$B$12),0),IFERROR((((COUNTIF(CU15:CU17,"A"))*4)+((COUNTIF(CU15:CU17,"B"))*3)+((COUNTIF(CU15:CU17,"C"))*2)+((COUNTIF(CU15:CU17,"D"))*1))*CELL("contenu",$B$14),0),IFERROR((((COUNTIF(CU19:CU19,"A"))*4)+((COUNTIF(CU19:CU19,"B"))*3)+((COUNTIF(CU19:CU19,"C"))*2)+((COUNTIF(CU19:CU19,"D"))*1))*CELL("contenu",$B$18),0))/IF(SUM(COUNTA(CU5:CU6)*CELL("contenu",$B$4),COUNTA(CU8:CU11)*CELL("contenu",$B$7),COUNTA(CU13:CU13)*CELL("contenu",$B$12),COUNTA(CU15:CU17)*CELL("contenu",$B$14),COUNTA(CU19:CU19)*CELL("contenu",$B$18))=0,1,SUM(COUNTA(CU5:CU6)*CELL("contenu",$B$4),COUNTA(CU8:CU11)*CELL("contenu",$B$7),COUNTA(CU13:CU13)*CELL("contenu",$B$12),COUNTA(CU15:CU17)*CELL("contenu",$B$14),COUNTA(CU19:CU19)*CELL("contenu",$B$18))))</f>
        <v/>
      </c>
      <c r="CV20" s="184" t="str">
        <f ca="1">IF(COUNTA(CV5:CV19)=0,"",5*SUM(IFERROR((((COUNTIF(CV5:CV6,"A"))*4)+((COUNTIF(CV5:CV6,"B"))*3)+((COUNTIF(CV5:CV6,"C"))*2)+((COUNTIF(CV5:CV6,"D"))*1))*CELL("contenu",$B$4),0),IFERROR((((COUNTIF(CV8:CV11,"A"))*4)+((COUNTIF(CV8:CV11,"B"))*3)+((COUNTIF(CV8:CV11,"C"))*2)+((COUNTIF(CV8:CV11,"D"))*1))*CELL("contenu",$B$7),0),IFERROR((((COUNTIF(CV13:CV13,"A"))*4)+((COUNTIF(CV13:CV13,"B"))*3)+((COUNTIF(CV13:CV13,"C"))*2)+((COUNTIF(CV13:CV13,"D"))*1))*CELL("contenu",$B$12),0),IFERROR((((COUNTIF(CV15:CV17,"A"))*4)+((COUNTIF(CV15:CV17,"B"))*3)+((COUNTIF(CV15:CV17,"C"))*2)+((COUNTIF(CV15:CV17,"D"))*1))*CELL("contenu",$B$14),0),IFERROR((((COUNTIF(CV19:CV19,"A"))*4)+((COUNTIF(CV19:CV19,"B"))*3)+((COUNTIF(CV19:CV19,"C"))*2)+((COUNTIF(CV19:CV19,"D"))*1))*CELL("contenu",$B$18),0))/IF(SUM(COUNTA(CV5:CV6)*CELL("contenu",$B$4),COUNTA(CV8:CV11)*CELL("contenu",$B$7),COUNTA(CV13:CV13)*CELL("contenu",$B$12),COUNTA(CV15:CV17)*CELL("contenu",$B$14),COUNTA(CV19:CV19)*CELL("contenu",$B$18))=0,1,SUM(COUNTA(CV5:CV6)*CELL("contenu",$B$4),COUNTA(CV8:CV11)*CELL("contenu",$B$7),COUNTA(CV13:CV13)*CELL("contenu",$B$12),COUNTA(CV15:CV17)*CELL("contenu",$B$14),COUNTA(CV19:CV19)*CELL("contenu",$B$18))))</f>
        <v/>
      </c>
      <c r="CW20" s="176"/>
      <c r="CX20" s="174" t="str">
        <f ca="1">IF(COUNTA(CT20:CV20)-COUNTBLANK(CT20:CV20)=0,"",SUM(CT20:CV20)/(COUNTA(CT20:CV20)-COUNTBLANK(CT20:CV20)))</f>
        <v/>
      </c>
      <c r="CY20" s="103"/>
      <c r="CZ20" s="141"/>
      <c r="DA20" s="167" t="str">
        <f ca="1">IF(COUNTA(DA5:DA19)=0,"",5*SUM(IFERROR((((COUNTIF(DA5:DA6,"A"))*4)+((COUNTIF(DA5:DA6,"B"))*3)+((COUNTIF(DA5:DA6,"C"))*2)+((COUNTIF(DA5:DA6,"D"))*1))*CELL("contenu",$B$4),0),IFERROR((((COUNTIF(DA8:DA11,"A"))*4)+((COUNTIF(DA8:DA11,"B"))*3)+((COUNTIF(DA8:DA11,"C"))*2)+((COUNTIF(DA8:DA11,"D"))*1))*CELL("contenu",$B$7),0),IFERROR((((COUNTIF(DA13:DA13,"A"))*4)+((COUNTIF(DA13:DA13,"B"))*3)+((COUNTIF(DA13:DA13,"C"))*2)+((COUNTIF(DA13:DA13,"D"))*1))*CELL("contenu",$B$12),0),IFERROR((((COUNTIF(DA15:DA17,"A"))*4)+((COUNTIF(DA15:DA17,"B"))*3)+((COUNTIF(DA15:DA17,"C"))*2)+((COUNTIF(DA15:DA17,"D"))*1))*CELL("contenu",$B$14),0),IFERROR((((COUNTIF(DA19:DA19,"A"))*4)+((COUNTIF(DA19:DA19,"B"))*3)+((COUNTIF(DA19:DA19,"C"))*2)+((COUNTIF(DA19:DA19,"D"))*1))*CELL("contenu",$B$18),0))/IF(SUM(COUNTA(DA5:DA6)*CELL("contenu",$B$4),COUNTA(DA8:DA11)*CELL("contenu",$B$7),COUNTA(DA13:DA13)*CELL("contenu",$B$12),COUNTA(DA15:DA17)*CELL("contenu",$B$14),COUNTA(DA19:DA19)*CELL("contenu",$B$18))=0,1,SUM(COUNTA(DA5:DA6)*CELL("contenu",$B$4),COUNTA(DA8:DA11)*CELL("contenu",$B$7),COUNTA(DA13:DA13)*CELL("contenu",$B$12),COUNTA(DA15:DA17)*CELL("contenu",$B$14),COUNTA(DA19:DA19)*CELL("contenu",$B$18))))</f>
        <v/>
      </c>
      <c r="DB20" s="168" t="str">
        <f ca="1">IF(COUNTA(DB5:DB19)=0,"",5*SUM(IFERROR((((COUNTIF(DB5:DB6,"A"))*4)+((COUNTIF(DB5:DB6,"B"))*3)+((COUNTIF(DB5:DB6,"C"))*2)+((COUNTIF(DB5:DB6,"D"))*1))*CELL("contenu",$B$4),0),IFERROR((((COUNTIF(DB8:DB11,"A"))*4)+((COUNTIF(DB8:DB11,"B"))*3)+((COUNTIF(DB8:DB11,"C"))*2)+((COUNTIF(DB8:DB11,"D"))*1))*CELL("contenu",$B$7),0),IFERROR((((COUNTIF(DB13:DB13,"A"))*4)+((COUNTIF(DB13:DB13,"B"))*3)+((COUNTIF(DB13:DB13,"C"))*2)+((COUNTIF(DB13:DB13,"D"))*1))*CELL("contenu",$B$12),0),IFERROR((((COUNTIF(DB15:DB17,"A"))*4)+((COUNTIF(DB15:DB17,"B"))*3)+((COUNTIF(DB15:DB17,"C"))*2)+((COUNTIF(DB15:DB17,"D"))*1))*CELL("contenu",$B$14),0),IFERROR((((COUNTIF(DB19:DB19,"A"))*4)+((COUNTIF(DB19:DB19,"B"))*3)+((COUNTIF(DB19:DB19,"C"))*2)+((COUNTIF(DB19:DB19,"D"))*1))*CELL("contenu",$B$18),0))/IF(SUM(COUNTA(DB5:DB6)*CELL("contenu",$B$4),COUNTA(DB8:DB11)*CELL("contenu",$B$7),COUNTA(DB13:DB13)*CELL("contenu",$B$12),COUNTA(DB15:DB17)*CELL("contenu",$B$14),COUNTA(DB19:DB19)*CELL("contenu",$B$18))=0,1,SUM(COUNTA(DB5:DB6)*CELL("contenu",$B$4),COUNTA(DB8:DB11)*CELL("contenu",$B$7),COUNTA(DB13:DB13)*CELL("contenu",$B$12),COUNTA(DB15:DB17)*CELL("contenu",$B$14),COUNTA(DB19:DB19)*CELL("contenu",$B$18))))</f>
        <v/>
      </c>
      <c r="DC20" s="169" t="str">
        <f ca="1">IF(COUNTA(DC5:DC19)=0,"",5*SUM(IFERROR((((COUNTIF(DC5:DC6,"A"))*4)+((COUNTIF(DC5:DC6,"B"))*3)+((COUNTIF(DC5:DC6,"C"))*2)+((COUNTIF(DC5:DC6,"D"))*1))*CELL("contenu",$B$4),0),IFERROR((((COUNTIF(DC8:DC11,"A"))*4)+((COUNTIF(DC8:DC11,"B"))*3)+((COUNTIF(DC8:DC11,"C"))*2)+((COUNTIF(DC8:DC11,"D"))*1))*CELL("contenu",$B$7),0),IFERROR((((COUNTIF(DC13:DC13,"A"))*4)+((COUNTIF(DC13:DC13,"B"))*3)+((COUNTIF(DC13:DC13,"C"))*2)+((COUNTIF(DC13:DC13,"D"))*1))*CELL("contenu",$B$12),0),IFERROR((((COUNTIF(DC15:DC17,"A"))*4)+((COUNTIF(DC15:DC17,"B"))*3)+((COUNTIF(DC15:DC17,"C"))*2)+((COUNTIF(DC15:DC17,"D"))*1))*CELL("contenu",$B$14),0),IFERROR((((COUNTIF(DC19:DC19,"A"))*4)+((COUNTIF(DC19:DC19,"B"))*3)+((COUNTIF(DC19:DC19,"C"))*2)+((COUNTIF(DC19:DC19,"D"))*1))*CELL("contenu",$B$18),0))/IF(SUM(COUNTA(DC5:DC6)*CELL("contenu",$B$4),COUNTA(DC8:DC11)*CELL("contenu",$B$7),COUNTA(DC13:DC13)*CELL("contenu",$B$12),COUNTA(DC15:DC17)*CELL("contenu",$B$14),COUNTA(DC19:DC19)*CELL("contenu",$B$18))=0,1,SUM(COUNTA(DC5:DC6)*CELL("contenu",$B$4),COUNTA(DC8:DC11)*CELL("contenu",$B$7),COUNTA(DC13:DC13)*CELL("contenu",$B$12),COUNTA(DC15:DC17)*CELL("contenu",$B$14),COUNTA(DC19:DC19)*CELL("contenu",$B$18))))</f>
        <v/>
      </c>
      <c r="DD20" s="116"/>
      <c r="DE20" s="192" t="str">
        <f ca="1">IF(COUNTA(DA20:DC20)-COUNTBLANK(DA20:DC20)=0,"",SUM(DA20:DC20)/(COUNTA(DA20:DC20)-COUNTBLANK(DA20:DC20)))</f>
        <v/>
      </c>
      <c r="DF20" s="182" t="str">
        <f ca="1">IF(COUNTA(DF5:DF19)=0,"",5*SUM(IFERROR((((COUNTIF(DF5:DF6,"A"))*4)+((COUNTIF(DF5:DF6,"B"))*3)+((COUNTIF(DF5:DF6,"C"))*2)+((COUNTIF(DF5:DF6,"D"))*1))*CELL("contenu",$B$4),0),IFERROR((((COUNTIF(DF8:DF11,"A"))*4)+((COUNTIF(DF8:DF11,"B"))*3)+((COUNTIF(DF8:DF11,"C"))*2)+((COUNTIF(DF8:DF11,"D"))*1))*CELL("contenu",$B$7),0),IFERROR((((COUNTIF(DF13:DF13,"A"))*4)+((COUNTIF(DF13:DF13,"B"))*3)+((COUNTIF(DF13:DF13,"C"))*2)+((COUNTIF(DF13:DF13,"D"))*1))*CELL("contenu",$B$12),0),IFERROR((((COUNTIF(DF15:DF17,"A"))*4)+((COUNTIF(DF15:DF17,"B"))*3)+((COUNTIF(DF15:DF17,"C"))*2)+((COUNTIF(DF15:DF17,"D"))*1))*CELL("contenu",$B$14),0),IFERROR((((COUNTIF(DF19:DF19,"A"))*4)+((COUNTIF(DF19:DF19,"B"))*3)+((COUNTIF(DF19:DF19,"C"))*2)+((COUNTIF(DF19:DF19,"D"))*1))*CELL("contenu",$B$18),0))/IF(SUM(COUNTA(DF5:DF6)*CELL("contenu",$B$4),COUNTA(DF8:DF11)*CELL("contenu",$B$7),COUNTA(DF13:DF13)*CELL("contenu",$B$12),COUNTA(DF15:DF17)*CELL("contenu",$B$14),COUNTA(DF19:DF19)*CELL("contenu",$B$18))=0,1,SUM(COUNTA(DF5:DF6)*CELL("contenu",$B$4),COUNTA(DF8:DF11)*CELL("contenu",$B$7),COUNTA(DF13:DF13)*CELL("contenu",$B$12),COUNTA(DF15:DF17)*CELL("contenu",$B$14),COUNTA(DF19:DF19)*CELL("contenu",$B$18))))</f>
        <v/>
      </c>
      <c r="DG20" s="183" t="str">
        <f ca="1">IF(COUNTA(DG5:DG19)=0,"",5*SUM(IFERROR((((COUNTIF(DG5:DG6,"A"))*4)+((COUNTIF(DG5:DG6,"B"))*3)+((COUNTIF(DG5:DG6,"C"))*2)+((COUNTIF(DG5:DG6,"D"))*1))*CELL("contenu",$B$4),0),IFERROR((((COUNTIF(DG8:DG11,"A"))*4)+((COUNTIF(DG8:DG11,"B"))*3)+((COUNTIF(DG8:DG11,"C"))*2)+((COUNTIF(DG8:DG11,"D"))*1))*CELL("contenu",$B$7),0),IFERROR((((COUNTIF(DG13:DG13,"A"))*4)+((COUNTIF(DG13:DG13,"B"))*3)+((COUNTIF(DG13:DG13,"C"))*2)+((COUNTIF(DG13:DG13,"D"))*1))*CELL("contenu",$B$12),0),IFERROR((((COUNTIF(DG15:DG17,"A"))*4)+((COUNTIF(DG15:DG17,"B"))*3)+((COUNTIF(DG15:DG17,"C"))*2)+((COUNTIF(DG15:DG17,"D"))*1))*CELL("contenu",$B$14),0),IFERROR((((COUNTIF(DG19:DG19,"A"))*4)+((COUNTIF(DG19:DG19,"B"))*3)+((COUNTIF(DG19:DG19,"C"))*2)+((COUNTIF(DG19:DG19,"D"))*1))*CELL("contenu",$B$18),0))/IF(SUM(COUNTA(DG5:DG6)*CELL("contenu",$B$4),COUNTA(DG8:DG11)*CELL("contenu",$B$7),COUNTA(DG13:DG13)*CELL("contenu",$B$12),COUNTA(DG15:DG17)*CELL("contenu",$B$14),COUNTA(DG19:DG19)*CELL("contenu",$B$18))=0,1,SUM(COUNTA(DG5:DG6)*CELL("contenu",$B$4),COUNTA(DG8:DG11)*CELL("contenu",$B$7),COUNTA(DG13:DG13)*CELL("contenu",$B$12),COUNTA(DG15:DG17)*CELL("contenu",$B$14),COUNTA(DG19:DG19)*CELL("contenu",$B$18))))</f>
        <v/>
      </c>
      <c r="DH20" s="184" t="str">
        <f ca="1">IF(COUNTA(DH5:DH19)=0,"",5*SUM(IFERROR((((COUNTIF(DH5:DH6,"A"))*4)+((COUNTIF(DH5:DH6,"B"))*3)+((COUNTIF(DH5:DH6,"C"))*2)+((COUNTIF(DH5:DH6,"D"))*1))*CELL("contenu",$B$4),0),IFERROR((((COUNTIF(DH8:DH11,"A"))*4)+((COUNTIF(DH8:DH11,"B"))*3)+((COUNTIF(DH8:DH11,"C"))*2)+((COUNTIF(DH8:DH11,"D"))*1))*CELL("contenu",$B$7),0),IFERROR((((COUNTIF(DH13:DH13,"A"))*4)+((COUNTIF(DH13:DH13,"B"))*3)+((COUNTIF(DH13:DH13,"C"))*2)+((COUNTIF(DH13:DH13,"D"))*1))*CELL("contenu",$B$12),0),IFERROR((((COUNTIF(DH15:DH17,"A"))*4)+((COUNTIF(DH15:DH17,"B"))*3)+((COUNTIF(DH15:DH17,"C"))*2)+((COUNTIF(DH15:DH17,"D"))*1))*CELL("contenu",$B$14),0),IFERROR((((COUNTIF(DH19:DH19,"A"))*4)+((COUNTIF(DH19:DH19,"B"))*3)+((COUNTIF(DH19:DH19,"C"))*2)+((COUNTIF(DH19:DH19,"D"))*1))*CELL("contenu",$B$18),0))/IF(SUM(COUNTA(DH5:DH6)*CELL("contenu",$B$4),COUNTA(DH8:DH11)*CELL("contenu",$B$7),COUNTA(DH13:DH13)*CELL("contenu",$B$12),COUNTA(DH15:DH17)*CELL("contenu",$B$14),COUNTA(DH19:DH19)*CELL("contenu",$B$18))=0,1,SUM(COUNTA(DH5:DH6)*CELL("contenu",$B$4),COUNTA(DH8:DH11)*CELL("contenu",$B$7),COUNTA(DH13:DH13)*CELL("contenu",$B$12),COUNTA(DH15:DH17)*CELL("contenu",$B$14),COUNTA(DH19:DH19)*CELL("contenu",$B$18))))</f>
        <v/>
      </c>
      <c r="DI20" s="176"/>
      <c r="DJ20" s="175" t="str">
        <f ca="1">IF(COUNTA(DF20:DH20)-COUNTBLANK(DF20:DH20)=0,"",SUM(DF20:DH20)/(COUNTA(DF20:DH20)-COUNTBLANK(DF20:DH20)))</f>
        <v/>
      </c>
      <c r="DK20" s="182" t="str">
        <f ca="1">IF(COUNTA(DK5:DK19)=0,"",5*SUM(IFERROR((((COUNTIF(DK5:DK6,"A"))*4)+((COUNTIF(DK5:DK6,"B"))*3)+((COUNTIF(DK5:DK6,"C"))*2)+((COUNTIF(DK5:DK6,"D"))*1))*CELL("contenu",$B$4),0),IFERROR((((COUNTIF(DK8:DK11,"A"))*4)+((COUNTIF(DK8:DK11,"B"))*3)+((COUNTIF(DK8:DK11,"C"))*2)+((COUNTIF(DK8:DK11,"D"))*1))*CELL("contenu",$B$7),0),IFERROR((((COUNTIF(DK13:DK13,"A"))*4)+((COUNTIF(DK13:DK13,"B"))*3)+((COUNTIF(DK13:DK13,"C"))*2)+((COUNTIF(DK13:DK13,"D"))*1))*CELL("contenu",$B$12),0),IFERROR((((COUNTIF(DK15:DK17,"A"))*4)+((COUNTIF(DK15:DK17,"B"))*3)+((COUNTIF(DK15:DK17,"C"))*2)+((COUNTIF(DK15:DK17,"D"))*1))*CELL("contenu",$B$14),0),IFERROR((((COUNTIF(DK19:DK19,"A"))*4)+((COUNTIF(DK19:DK19,"B"))*3)+((COUNTIF(DK19:DK19,"C"))*2)+((COUNTIF(DK19:DK19,"D"))*1))*CELL("contenu",$B$18),0))/IF(SUM(COUNTA(DK5:DK6)*CELL("contenu",$B$4),COUNTA(DK8:DK11)*CELL("contenu",$B$7),COUNTA(DK13:DK13)*CELL("contenu",$B$12),COUNTA(DK15:DK17)*CELL("contenu",$B$14),COUNTA(DK19:DK19)*CELL("contenu",$B$18))=0,1,SUM(COUNTA(DK5:DK6)*CELL("contenu",$B$4),COUNTA(DK8:DK11)*CELL("contenu",$B$7),COUNTA(DK13:DK13)*CELL("contenu",$B$12),COUNTA(DK15:DK17)*CELL("contenu",$B$14),COUNTA(DK19:DK19)*CELL("contenu",$B$18))))</f>
        <v/>
      </c>
      <c r="DL20" s="183" t="str">
        <f ca="1">IF(COUNTA(DL5:DL19)=0,"",5*SUM(IFERROR((((COUNTIF(DL5:DL6,"A"))*4)+((COUNTIF(DL5:DL6,"B"))*3)+((COUNTIF(DL5:DL6,"C"))*2)+((COUNTIF(DL5:DL6,"D"))*1))*CELL("contenu",$B$4),0),IFERROR((((COUNTIF(DL8:DL11,"A"))*4)+((COUNTIF(DL8:DL11,"B"))*3)+((COUNTIF(DL8:DL11,"C"))*2)+((COUNTIF(DL8:DL11,"D"))*1))*CELL("contenu",$B$7),0),IFERROR((((COUNTIF(DL13:DL13,"A"))*4)+((COUNTIF(DL13:DL13,"B"))*3)+((COUNTIF(DL13:DL13,"C"))*2)+((COUNTIF(DL13:DL13,"D"))*1))*CELL("contenu",$B$12),0),IFERROR((((COUNTIF(DL15:DL17,"A"))*4)+((COUNTIF(DL15:DL17,"B"))*3)+((COUNTIF(DL15:DL17,"C"))*2)+((COUNTIF(DL15:DL17,"D"))*1))*CELL("contenu",$B$14),0),IFERROR((((COUNTIF(DL19:DL19,"A"))*4)+((COUNTIF(DL19:DL19,"B"))*3)+((COUNTIF(DL19:DL19,"C"))*2)+((COUNTIF(DL19:DL19,"D"))*1))*CELL("contenu",$B$18),0))/IF(SUM(COUNTA(DL5:DL6)*CELL("contenu",$B$4),COUNTA(DL8:DL11)*CELL("contenu",$B$7),COUNTA(DL13:DL13)*CELL("contenu",$B$12),COUNTA(DL15:DL17)*CELL("contenu",$B$14),COUNTA(DL19:DL19)*CELL("contenu",$B$18))=0,1,SUM(COUNTA(DL5:DL6)*CELL("contenu",$B$4),COUNTA(DL8:DL11)*CELL("contenu",$B$7),COUNTA(DL13:DL13)*CELL("contenu",$B$12),COUNTA(DL15:DL17)*CELL("contenu",$B$14),COUNTA(DL19:DL19)*CELL("contenu",$B$18))))</f>
        <v/>
      </c>
      <c r="DM20" s="184" t="str">
        <f ca="1">IF(COUNTA(DM5:DM19)=0,"",5*SUM(IFERROR((((COUNTIF(DM5:DM6,"A"))*4)+((COUNTIF(DM5:DM6,"B"))*3)+((COUNTIF(DM5:DM6,"C"))*2)+((COUNTIF(DM5:DM6,"D"))*1))*CELL("contenu",$B$4),0),IFERROR((((COUNTIF(DM8:DM11,"A"))*4)+((COUNTIF(DM8:DM11,"B"))*3)+((COUNTIF(DM8:DM11,"C"))*2)+((COUNTIF(DM8:DM11,"D"))*1))*CELL("contenu",$B$7),0),IFERROR((((COUNTIF(DM13:DM13,"A"))*4)+((COUNTIF(DM13:DM13,"B"))*3)+((COUNTIF(DM13:DM13,"C"))*2)+((COUNTIF(DM13:DM13,"D"))*1))*CELL("contenu",$B$12),0),IFERROR((((COUNTIF(DM15:DM17,"A"))*4)+((COUNTIF(DM15:DM17,"B"))*3)+((COUNTIF(DM15:DM17,"C"))*2)+((COUNTIF(DM15:DM17,"D"))*1))*CELL("contenu",$B$14),0),IFERROR((((COUNTIF(DM19:DM19,"A"))*4)+((COUNTIF(DM19:DM19,"B"))*3)+((COUNTIF(DM19:DM19,"C"))*2)+((COUNTIF(DM19:DM19,"D"))*1))*CELL("contenu",$B$18),0))/IF(SUM(COUNTA(DM5:DM6)*CELL("contenu",$B$4),COUNTA(DM8:DM11)*CELL("contenu",$B$7),COUNTA(DM13:DM13)*CELL("contenu",$B$12),COUNTA(DM15:DM17)*CELL("contenu",$B$14),COUNTA(DM19:DM19)*CELL("contenu",$B$18))=0,1,SUM(COUNTA(DM5:DM6)*CELL("contenu",$B$4),COUNTA(DM8:DM11)*CELL("contenu",$B$7),COUNTA(DM13:DM13)*CELL("contenu",$B$12),COUNTA(DM15:DM17)*CELL("contenu",$B$14),COUNTA(DM19:DM19)*CELL("contenu",$B$18))))</f>
        <v/>
      </c>
      <c r="DN20" s="176"/>
      <c r="DO20" s="174" t="str">
        <f ca="1">IF(COUNTA(DK20:DM20)-COUNTBLANK(DK20:DM20)=0,"",SUM(DK20:DM20)/(COUNTA(DK20:DM20)-COUNTBLANK(DK20:DM20)))</f>
        <v/>
      </c>
      <c r="DP20" s="103"/>
      <c r="DQ20" s="141"/>
      <c r="DR20" s="167">
        <f ca="1">IF(COUNTA(DR5:DR19)=0,"",5*SUM(IFERROR((((COUNTIF(DR5:DR6,"A"))*4)+((COUNTIF(DR5:DR6,"B"))*3)+((COUNTIF(DR5:DR6,"C"))*2)+((COUNTIF(DR5:DR6,"D"))*1))*CELL("contenu",$B$4),0),IFERROR((((COUNTIF(DR8:DR11,"A"))*4)+((COUNTIF(DR8:DR11,"B"))*3)+((COUNTIF(DR8:DR11,"C"))*2)+((COUNTIF(DR8:DR11,"D"))*1))*CELL("contenu",$B$7),0),IFERROR((((COUNTIF(DR13:DR13,"A"))*4)+((COUNTIF(DR13:DR13,"B"))*3)+((COUNTIF(DR13:DR13,"C"))*2)+((COUNTIF(DR13:DR13,"D"))*1))*CELL("contenu",$B$12),0),IFERROR((((COUNTIF(DR15:DR17,"A"))*4)+((COUNTIF(DR15:DR17,"B"))*3)+((COUNTIF(DR15:DR17,"C"))*2)+((COUNTIF(DR15:DR17,"D"))*1))*CELL("contenu",$B$14),0),IFERROR((((COUNTIF(DR19:DR19,"A"))*4)+((COUNTIF(DR19:DR19,"B"))*3)+((COUNTIF(DR19:DR19,"C"))*2)+((COUNTIF(DR19:DR19,"D"))*1))*CELL("contenu",$B$18),0))/IF(SUM(COUNTA(DR5:DR6)*CELL("contenu",$B$4),COUNTA(DR8:DR11)*CELL("contenu",$B$7),COUNTA(DR13:DR13)*CELL("contenu",$B$12),COUNTA(DR15:DR17)*CELL("contenu",$B$14),COUNTA(DR19:DR19)*CELL("contenu",$B$18))=0,1,SUM(COUNTA(DR5:DR6)*CELL("contenu",$B$4),COUNTA(DR8:DR11)*CELL("contenu",$B$7),COUNTA(DR13:DR13)*CELL("contenu",$B$12),COUNTA(DR15:DR17)*CELL("contenu",$B$14),COUNTA(DR19:DR19)*CELL("contenu",$B$18))))</f>
        <v>20</v>
      </c>
      <c r="DS20" s="168">
        <f ca="1">IF(COUNTA(DS5:DS19)=0,"",5*SUM(IFERROR((((COUNTIF(DS5:DS6,"A"))*4)+((COUNTIF(DS5:DS6,"B"))*3)+((COUNTIF(DS5:DS6,"C"))*2)+((COUNTIF(DS5:DS6,"D"))*1))*CELL("contenu",$B$4),0),IFERROR((((COUNTIF(DS8:DS11,"A"))*4)+((COUNTIF(DS8:DS11,"B"))*3)+((COUNTIF(DS8:DS11,"C"))*2)+((COUNTIF(DS8:DS11,"D"))*1))*CELL("contenu",$B$7),0),IFERROR((((COUNTIF(DS13:DS13,"A"))*4)+((COUNTIF(DS13:DS13,"B"))*3)+((COUNTIF(DS13:DS13,"C"))*2)+((COUNTIF(DS13:DS13,"D"))*1))*CELL("contenu",$B$12),0),IFERROR((((COUNTIF(DS15:DS17,"A"))*4)+((COUNTIF(DS15:DS17,"B"))*3)+((COUNTIF(DS15:DS17,"C"))*2)+((COUNTIF(DS15:DS17,"D"))*1))*CELL("contenu",$B$14),0),IFERROR((((COUNTIF(DS19:DS19,"A"))*4)+((COUNTIF(DS19:DS19,"B"))*3)+((COUNTIF(DS19:DS19,"C"))*2)+((COUNTIF(DS19:DS19,"D"))*1))*CELL("contenu",$B$18),0))/IF(SUM(COUNTA(DS5:DS6)*CELL("contenu",$B$4),COUNTA(DS8:DS11)*CELL("contenu",$B$7),COUNTA(DS13:DS13)*CELL("contenu",$B$12),COUNTA(DS15:DS17)*CELL("contenu",$B$14),COUNTA(DS19:DS19)*CELL("contenu",$B$18))=0,1,SUM(COUNTA(DS5:DS6)*CELL("contenu",$B$4),COUNTA(DS8:DS11)*CELL("contenu",$B$7),COUNTA(DS13:DS13)*CELL("contenu",$B$12),COUNTA(DS15:DS17)*CELL("contenu",$B$14),COUNTA(DS19:DS19)*CELL("contenu",$B$18))))</f>
        <v>13.333333333333334</v>
      </c>
      <c r="DT20" s="169" t="str">
        <f ca="1">IF(COUNTA(DT5:DT19)=0,"",5*SUM(IFERROR((((COUNTIF(DT5:DT6,"A"))*4)+((COUNTIF(DT5:DT6,"B"))*3)+((COUNTIF(DT5:DT6,"C"))*2)+((COUNTIF(DT5:DT6,"D"))*1))*CELL("contenu",$B$4),0),IFERROR((((COUNTIF(DT8:DT11,"A"))*4)+((COUNTIF(DT8:DT11,"B"))*3)+((COUNTIF(DT8:DT11,"C"))*2)+((COUNTIF(DT8:DT11,"D"))*1))*CELL("contenu",$B$7),0),IFERROR((((COUNTIF(DT13:DT13,"A"))*4)+((COUNTIF(DT13:DT13,"B"))*3)+((COUNTIF(DT13:DT13,"C"))*2)+((COUNTIF(DT13:DT13,"D"))*1))*CELL("contenu",$B$12),0),IFERROR((((COUNTIF(DT15:DT17,"A"))*4)+((COUNTIF(DT15:DT17,"B"))*3)+((COUNTIF(DT15:DT17,"C"))*2)+((COUNTIF(DT15:DT17,"D"))*1))*CELL("contenu",$B$14),0),IFERROR((((COUNTIF(DT19:DT19,"A"))*4)+((COUNTIF(DT19:DT19,"B"))*3)+((COUNTIF(DT19:DT19,"C"))*2)+((COUNTIF(DT19:DT19,"D"))*1))*CELL("contenu",$B$18),0))/IF(SUM(COUNTA(DT5:DT6)*CELL("contenu",$B$4),COUNTA(DT8:DT11)*CELL("contenu",$B$7),COUNTA(DT13:DT13)*CELL("contenu",$B$12),COUNTA(DT15:DT17)*CELL("contenu",$B$14),COUNTA(DT19:DT19)*CELL("contenu",$B$18))=0,1,SUM(COUNTA(DT5:DT6)*CELL("contenu",$B$4),COUNTA(DT8:DT11)*CELL("contenu",$B$7),COUNTA(DT13:DT13)*CELL("contenu",$B$12),COUNTA(DT15:DT17)*CELL("contenu",$B$14),COUNTA(DT19:DT19)*CELL("contenu",$B$18))))</f>
        <v/>
      </c>
      <c r="DU20" s="116"/>
      <c r="DV20" s="192">
        <f ca="1">IF(COUNTA(DR20:DT20)-COUNTBLANK(DR20:DT20)=0,"",SUM(DR20:DT20)/(COUNTA(DR20:DT20)-COUNTBLANK(DR20:DT20)))</f>
        <v>16.666666666666668</v>
      </c>
      <c r="DW20" s="182" t="str">
        <f ca="1">IF(COUNTA(DW5:DW19)=0,"",5*SUM(IFERROR((((COUNTIF(DW5:DW6,"A"))*4)+((COUNTIF(DW5:DW6,"B"))*3)+((COUNTIF(DW5:DW6,"C"))*2)+((COUNTIF(DW5:DW6,"D"))*1))*CELL("contenu",$B$4),0),IFERROR((((COUNTIF(DW8:DW11,"A"))*4)+((COUNTIF(DW8:DW11,"B"))*3)+((COUNTIF(DW8:DW11,"C"))*2)+((COUNTIF(DW8:DW11,"D"))*1))*CELL("contenu",$B$7),0),IFERROR((((COUNTIF(DW13:DW13,"A"))*4)+((COUNTIF(DW13:DW13,"B"))*3)+((COUNTIF(DW13:DW13,"C"))*2)+((COUNTIF(DW13:DW13,"D"))*1))*CELL("contenu",$B$12),0),IFERROR((((COUNTIF(DW15:DW17,"A"))*4)+((COUNTIF(DW15:DW17,"B"))*3)+((COUNTIF(DW15:DW17,"C"))*2)+((COUNTIF(DW15:DW17,"D"))*1))*CELL("contenu",$B$14),0),IFERROR((((COUNTIF(DW19:DW19,"A"))*4)+((COUNTIF(DW19:DW19,"B"))*3)+((COUNTIF(DW19:DW19,"C"))*2)+((COUNTIF(DW19:DW19,"D"))*1))*CELL("contenu",$B$18),0))/IF(SUM(COUNTA(DW5:DW6)*CELL("contenu",$B$4),COUNTA(DW8:DW11)*CELL("contenu",$B$7),COUNTA(DW13:DW13)*CELL("contenu",$B$12),COUNTA(DW15:DW17)*CELL("contenu",$B$14),COUNTA(DW19:DW19)*CELL("contenu",$B$18))=0,1,SUM(COUNTA(DW5:DW6)*CELL("contenu",$B$4),COUNTA(DW8:DW11)*CELL("contenu",$B$7),COUNTA(DW13:DW13)*CELL("contenu",$B$12),COUNTA(DW15:DW17)*CELL("contenu",$B$14),COUNTA(DW19:DW19)*CELL("contenu",$B$18))))</f>
        <v/>
      </c>
      <c r="DX20" s="183" t="str">
        <f ca="1">IF(COUNTA(DX5:DX19)=0,"",5*SUM(IFERROR((((COUNTIF(DX5:DX6,"A"))*4)+((COUNTIF(DX5:DX6,"B"))*3)+((COUNTIF(DX5:DX6,"C"))*2)+((COUNTIF(DX5:DX6,"D"))*1))*CELL("contenu",$B$4),0),IFERROR((((COUNTIF(DX8:DX11,"A"))*4)+((COUNTIF(DX8:DX11,"B"))*3)+((COUNTIF(DX8:DX11,"C"))*2)+((COUNTIF(DX8:DX11,"D"))*1))*CELL("contenu",$B$7),0),IFERROR((((COUNTIF(DX13:DX13,"A"))*4)+((COUNTIF(DX13:DX13,"B"))*3)+((COUNTIF(DX13:DX13,"C"))*2)+((COUNTIF(DX13:DX13,"D"))*1))*CELL("contenu",$B$12),0),IFERROR((((COUNTIF(DX15:DX17,"A"))*4)+((COUNTIF(DX15:DX17,"B"))*3)+((COUNTIF(DX15:DX17,"C"))*2)+((COUNTIF(DX15:DX17,"D"))*1))*CELL("contenu",$B$14),0),IFERROR((((COUNTIF(DX19:DX19,"A"))*4)+((COUNTIF(DX19:DX19,"B"))*3)+((COUNTIF(DX19:DX19,"C"))*2)+((COUNTIF(DX19:DX19,"D"))*1))*CELL("contenu",$B$18),0))/IF(SUM(COUNTA(DX5:DX6)*CELL("contenu",$B$4),COUNTA(DX8:DX11)*CELL("contenu",$B$7),COUNTA(DX13:DX13)*CELL("contenu",$B$12),COUNTA(DX15:DX17)*CELL("contenu",$B$14),COUNTA(DX19:DX19)*CELL("contenu",$B$18))=0,1,SUM(COUNTA(DX5:DX6)*CELL("contenu",$B$4),COUNTA(DX8:DX11)*CELL("contenu",$B$7),COUNTA(DX13:DX13)*CELL("contenu",$B$12),COUNTA(DX15:DX17)*CELL("contenu",$B$14),COUNTA(DX19:DX19)*CELL("contenu",$B$18))))</f>
        <v/>
      </c>
      <c r="DY20" s="184" t="str">
        <f ca="1">IF(COUNTA(DY5:DY19)=0,"",5*SUM(IFERROR((((COUNTIF(DY5:DY6,"A"))*4)+((COUNTIF(DY5:DY6,"B"))*3)+((COUNTIF(DY5:DY6,"C"))*2)+((COUNTIF(DY5:DY6,"D"))*1))*CELL("contenu",$B$4),0),IFERROR((((COUNTIF(DY8:DY11,"A"))*4)+((COUNTIF(DY8:DY11,"B"))*3)+((COUNTIF(DY8:DY11,"C"))*2)+((COUNTIF(DY8:DY11,"D"))*1))*CELL("contenu",$B$7),0),IFERROR((((COUNTIF(DY13:DY13,"A"))*4)+((COUNTIF(DY13:DY13,"B"))*3)+((COUNTIF(DY13:DY13,"C"))*2)+((COUNTIF(DY13:DY13,"D"))*1))*CELL("contenu",$B$12),0),IFERROR((((COUNTIF(DY15:DY17,"A"))*4)+((COUNTIF(DY15:DY17,"B"))*3)+((COUNTIF(DY15:DY17,"C"))*2)+((COUNTIF(DY15:DY17,"D"))*1))*CELL("contenu",$B$14),0),IFERROR((((COUNTIF(DY19:DY19,"A"))*4)+((COUNTIF(DY19:DY19,"B"))*3)+((COUNTIF(DY19:DY19,"C"))*2)+((COUNTIF(DY19:DY19,"D"))*1))*CELL("contenu",$B$18),0))/IF(SUM(COUNTA(DY5:DY6)*CELL("contenu",$B$4),COUNTA(DY8:DY11)*CELL("contenu",$B$7),COUNTA(DY13:DY13)*CELL("contenu",$B$12),COUNTA(DY15:DY17)*CELL("contenu",$B$14),COUNTA(DY19:DY19)*CELL("contenu",$B$18))=0,1,SUM(COUNTA(DY5:DY6)*CELL("contenu",$B$4),COUNTA(DY8:DY11)*CELL("contenu",$B$7),COUNTA(DY13:DY13)*CELL("contenu",$B$12),COUNTA(DY15:DY17)*CELL("contenu",$B$14),COUNTA(DY19:DY19)*CELL("contenu",$B$18))))</f>
        <v/>
      </c>
      <c r="DZ20" s="176"/>
      <c r="EA20" s="175" t="str">
        <f ca="1">IF(COUNTA(DW20:DY20)-COUNTBLANK(DW20:DY20)=0,"",SUM(DW20:DY20)/(COUNTA(DW20:DY20)-COUNTBLANK(DW20:DY20)))</f>
        <v/>
      </c>
      <c r="EB20" s="182" t="str">
        <f ca="1">IF(COUNTA(EB5:EB19)=0,"",5*SUM(IFERROR((((COUNTIF(EB5:EB6,"A"))*4)+((COUNTIF(EB5:EB6,"B"))*3)+((COUNTIF(EB5:EB6,"C"))*2)+((COUNTIF(EB5:EB6,"D"))*1))*CELL("contenu",$B$4),0),IFERROR((((COUNTIF(EB8:EB11,"A"))*4)+((COUNTIF(EB8:EB11,"B"))*3)+((COUNTIF(EB8:EB11,"C"))*2)+((COUNTIF(EB8:EB11,"D"))*1))*CELL("contenu",$B$7),0),IFERROR((((COUNTIF(EB13:EB13,"A"))*4)+((COUNTIF(EB13:EB13,"B"))*3)+((COUNTIF(EB13:EB13,"C"))*2)+((COUNTIF(EB13:EB13,"D"))*1))*CELL("contenu",$B$12),0),IFERROR((((COUNTIF(EB15:EB17,"A"))*4)+((COUNTIF(EB15:EB17,"B"))*3)+((COUNTIF(EB15:EB17,"C"))*2)+((COUNTIF(EB15:EB17,"D"))*1))*CELL("contenu",$B$14),0),IFERROR((((COUNTIF(EB19:EB19,"A"))*4)+((COUNTIF(EB19:EB19,"B"))*3)+((COUNTIF(EB19:EB19,"C"))*2)+((COUNTIF(EB19:EB19,"D"))*1))*CELL("contenu",$B$18),0))/IF(SUM(COUNTA(EB5:EB6)*CELL("contenu",$B$4),COUNTA(EB8:EB11)*CELL("contenu",$B$7),COUNTA(EB13:EB13)*CELL("contenu",$B$12),COUNTA(EB15:EB17)*CELL("contenu",$B$14),COUNTA(EB19:EB19)*CELL("contenu",$B$18))=0,1,SUM(COUNTA(EB5:EB6)*CELL("contenu",$B$4),COUNTA(EB8:EB11)*CELL("contenu",$B$7),COUNTA(EB13:EB13)*CELL("contenu",$B$12),COUNTA(EB15:EB17)*CELL("contenu",$B$14),COUNTA(EB19:EB19)*CELL("contenu",$B$18))))</f>
        <v/>
      </c>
      <c r="EC20" s="183" t="str">
        <f ca="1">IF(COUNTA(EC5:EC19)=0,"",5*SUM(IFERROR((((COUNTIF(EC5:EC6,"A"))*4)+((COUNTIF(EC5:EC6,"B"))*3)+((COUNTIF(EC5:EC6,"C"))*2)+((COUNTIF(EC5:EC6,"D"))*1))*CELL("contenu",$B$4),0),IFERROR((((COUNTIF(EC8:EC11,"A"))*4)+((COUNTIF(EC8:EC11,"B"))*3)+((COUNTIF(EC8:EC11,"C"))*2)+((COUNTIF(EC8:EC11,"D"))*1))*CELL("contenu",$B$7),0),IFERROR((((COUNTIF(EC13:EC13,"A"))*4)+((COUNTIF(EC13:EC13,"B"))*3)+((COUNTIF(EC13:EC13,"C"))*2)+((COUNTIF(EC13:EC13,"D"))*1))*CELL("contenu",$B$12),0),IFERROR((((COUNTIF(EC15:EC17,"A"))*4)+((COUNTIF(EC15:EC17,"B"))*3)+((COUNTIF(EC15:EC17,"C"))*2)+((COUNTIF(EC15:EC17,"D"))*1))*CELL("contenu",$B$14),0),IFERROR((((COUNTIF(EC19:EC19,"A"))*4)+((COUNTIF(EC19:EC19,"B"))*3)+((COUNTIF(EC19:EC19,"C"))*2)+((COUNTIF(EC19:EC19,"D"))*1))*CELL("contenu",$B$18),0))/IF(SUM(COUNTA(EC5:EC6)*CELL("contenu",$B$4),COUNTA(EC8:EC11)*CELL("contenu",$B$7),COUNTA(EC13:EC13)*CELL("contenu",$B$12),COUNTA(EC15:EC17)*CELL("contenu",$B$14),COUNTA(EC19:EC19)*CELL("contenu",$B$18))=0,1,SUM(COUNTA(EC5:EC6)*CELL("contenu",$B$4),COUNTA(EC8:EC11)*CELL("contenu",$B$7),COUNTA(EC13:EC13)*CELL("contenu",$B$12),COUNTA(EC15:EC17)*CELL("contenu",$B$14),COUNTA(EC19:EC19)*CELL("contenu",$B$18))))</f>
        <v/>
      </c>
      <c r="ED20" s="184" t="str">
        <f ca="1">IF(COUNTA(ED5:ED19)=0,"",5*SUM(IFERROR((((COUNTIF(ED5:ED6,"A"))*4)+((COUNTIF(ED5:ED6,"B"))*3)+((COUNTIF(ED5:ED6,"C"))*2)+((COUNTIF(ED5:ED6,"D"))*1))*CELL("contenu",$B$4),0),IFERROR((((COUNTIF(ED8:ED11,"A"))*4)+((COUNTIF(ED8:ED11,"B"))*3)+((COUNTIF(ED8:ED11,"C"))*2)+((COUNTIF(ED8:ED11,"D"))*1))*CELL("contenu",$B$7),0),IFERROR((((COUNTIF(ED13:ED13,"A"))*4)+((COUNTIF(ED13:ED13,"B"))*3)+((COUNTIF(ED13:ED13,"C"))*2)+((COUNTIF(ED13:ED13,"D"))*1))*CELL("contenu",$B$12),0),IFERROR((((COUNTIF(ED15:ED17,"A"))*4)+((COUNTIF(ED15:ED17,"B"))*3)+((COUNTIF(ED15:ED17,"C"))*2)+((COUNTIF(ED15:ED17,"D"))*1))*CELL("contenu",$B$14),0),IFERROR((((COUNTIF(ED19:ED19,"A"))*4)+((COUNTIF(ED19:ED19,"B"))*3)+((COUNTIF(ED19:ED19,"C"))*2)+((COUNTIF(ED19:ED19,"D"))*1))*CELL("contenu",$B$18),0))/IF(SUM(COUNTA(ED5:ED6)*CELL("contenu",$B$4),COUNTA(ED8:ED11)*CELL("contenu",$B$7),COUNTA(ED13:ED13)*CELL("contenu",$B$12),COUNTA(ED15:ED17)*CELL("contenu",$B$14),COUNTA(ED19:ED19)*CELL("contenu",$B$18))=0,1,SUM(COUNTA(ED5:ED6)*CELL("contenu",$B$4),COUNTA(ED8:ED11)*CELL("contenu",$B$7),COUNTA(ED13:ED13)*CELL("contenu",$B$12),COUNTA(ED15:ED17)*CELL("contenu",$B$14),COUNTA(ED19:ED19)*CELL("contenu",$B$18))))</f>
        <v/>
      </c>
      <c r="EE20" s="176"/>
      <c r="EF20" s="174" t="str">
        <f ca="1">IF(COUNTA(EB20:ED20)-COUNTBLANK(EB20:ED20)=0,"",SUM(EB20:ED20)/(COUNTA(EB20:ED20)-COUNTBLANK(EB20:ED20)))</f>
        <v/>
      </c>
      <c r="EG20" s="103"/>
      <c r="EH20" s="141"/>
      <c r="EI20" s="167">
        <f ca="1">IF(COUNTA(EI5:EI19)=0,"",5*SUM(IFERROR((((COUNTIF(EI5:EI6,"A"))*4)+((COUNTIF(EI5:EI6,"B"))*3)+((COUNTIF(EI5:EI6,"C"))*2)+((COUNTIF(EI5:EI6,"D"))*1))*CELL("contenu",$B$4),0),IFERROR((((COUNTIF(EI8:EI11,"A"))*4)+((COUNTIF(EI8:EI11,"B"))*3)+((COUNTIF(EI8:EI11,"C"))*2)+((COUNTIF(EI8:EI11,"D"))*1))*CELL("contenu",$B$7),0),IFERROR((((COUNTIF(EI13:EI13,"A"))*4)+((COUNTIF(EI13:EI13,"B"))*3)+((COUNTIF(EI13:EI13,"C"))*2)+((COUNTIF(EI13:EI13,"D"))*1))*CELL("contenu",$B$12),0),IFERROR((((COUNTIF(EI15:EI17,"A"))*4)+((COUNTIF(EI15:EI17,"B"))*3)+((COUNTIF(EI15:EI17,"C"))*2)+((COUNTIF(EI15:EI17,"D"))*1))*CELL("contenu",$B$14),0),IFERROR((((COUNTIF(EI19:EI19,"A"))*4)+((COUNTIF(EI19:EI19,"B"))*3)+((COUNTIF(EI19:EI19,"C"))*2)+((COUNTIF(EI19:EI19,"D"))*1))*CELL("contenu",$B$18),0))/IF(SUM(COUNTA(EI5:EI6)*CELL("contenu",$B$4),COUNTA(EI8:EI11)*CELL("contenu",$B$7),COUNTA(EI13:EI13)*CELL("contenu",$B$12),COUNTA(EI15:EI17)*CELL("contenu",$B$14),COUNTA(EI19:EI19)*CELL("contenu",$B$18))=0,1,SUM(COUNTA(EI5:EI6)*CELL("contenu",$B$4),COUNTA(EI8:EI11)*CELL("contenu",$B$7),COUNTA(EI13:EI13)*CELL("contenu",$B$12),COUNTA(EI15:EI17)*CELL("contenu",$B$14),COUNTA(EI19:EI19)*CELL("contenu",$B$18))))</f>
        <v>18.333333333333332</v>
      </c>
      <c r="EJ20" s="168">
        <f ca="1">IF(COUNTA(EJ5:EJ19)=0,"",5*SUM(IFERROR((((COUNTIF(EJ5:EJ6,"A"))*4)+((COUNTIF(EJ5:EJ6,"B"))*3)+((COUNTIF(EJ5:EJ6,"C"))*2)+((COUNTIF(EJ5:EJ6,"D"))*1))*CELL("contenu",$B$4),0),IFERROR((((COUNTIF(EJ8:EJ11,"A"))*4)+((COUNTIF(EJ8:EJ11,"B"))*3)+((COUNTIF(EJ8:EJ11,"C"))*2)+((COUNTIF(EJ8:EJ11,"D"))*1))*CELL("contenu",$B$7),0),IFERROR((((COUNTIF(EJ13:EJ13,"A"))*4)+((COUNTIF(EJ13:EJ13,"B"))*3)+((COUNTIF(EJ13:EJ13,"C"))*2)+((COUNTIF(EJ13:EJ13,"D"))*1))*CELL("contenu",$B$12),0),IFERROR((((COUNTIF(EJ15:EJ17,"A"))*4)+((COUNTIF(EJ15:EJ17,"B"))*3)+((COUNTIF(EJ15:EJ17,"C"))*2)+((COUNTIF(EJ15:EJ17,"D"))*1))*CELL("contenu",$B$14),0),IFERROR((((COUNTIF(EJ19:EJ19,"A"))*4)+((COUNTIF(EJ19:EJ19,"B"))*3)+((COUNTIF(EJ19:EJ19,"C"))*2)+((COUNTIF(EJ19:EJ19,"D"))*1))*CELL("contenu",$B$18),0))/IF(SUM(COUNTA(EJ5:EJ6)*CELL("contenu",$B$4),COUNTA(EJ8:EJ11)*CELL("contenu",$B$7),COUNTA(EJ13:EJ13)*CELL("contenu",$B$12),COUNTA(EJ15:EJ17)*CELL("contenu",$B$14),COUNTA(EJ19:EJ19)*CELL("contenu",$B$18))=0,1,SUM(COUNTA(EJ5:EJ6)*CELL("contenu",$B$4),COUNTA(EJ8:EJ11)*CELL("contenu",$B$7),COUNTA(EJ13:EJ13)*CELL("contenu",$B$12),COUNTA(EJ15:EJ17)*CELL("contenu",$B$14),COUNTA(EJ19:EJ19)*CELL("contenu",$B$18))))</f>
        <v>13.333333333333334</v>
      </c>
      <c r="EK20" s="169" t="str">
        <f ca="1">IF(COUNTA(EK5:EK19)=0,"",5*SUM(IFERROR((((COUNTIF(EK5:EK6,"A"))*4)+((COUNTIF(EK5:EK6,"B"))*3)+((COUNTIF(EK5:EK6,"C"))*2)+((COUNTIF(EK5:EK6,"D"))*1))*CELL("contenu",$B$4),0),IFERROR((((COUNTIF(EK8:EK11,"A"))*4)+((COUNTIF(EK8:EK11,"B"))*3)+((COUNTIF(EK8:EK11,"C"))*2)+((COUNTIF(EK8:EK11,"D"))*1))*CELL("contenu",$B$7),0),IFERROR((((COUNTIF(EK13:EK13,"A"))*4)+((COUNTIF(EK13:EK13,"B"))*3)+((COUNTIF(EK13:EK13,"C"))*2)+((COUNTIF(EK13:EK13,"D"))*1))*CELL("contenu",$B$12),0),IFERROR((((COUNTIF(EK15:EK17,"A"))*4)+((COUNTIF(EK15:EK17,"B"))*3)+((COUNTIF(EK15:EK17,"C"))*2)+((COUNTIF(EK15:EK17,"D"))*1))*CELL("contenu",$B$14),0),IFERROR((((COUNTIF(EK19:EK19,"A"))*4)+((COUNTIF(EK19:EK19,"B"))*3)+((COUNTIF(EK19:EK19,"C"))*2)+((COUNTIF(EK19:EK19,"D"))*1))*CELL("contenu",$B$18),0))/IF(SUM(COUNTA(EK5:EK6)*CELL("contenu",$B$4),COUNTA(EK8:EK11)*CELL("contenu",$B$7),COUNTA(EK13:EK13)*CELL("contenu",$B$12),COUNTA(EK15:EK17)*CELL("contenu",$B$14),COUNTA(EK19:EK19)*CELL("contenu",$B$18))=0,1,SUM(COUNTA(EK5:EK6)*CELL("contenu",$B$4),COUNTA(EK8:EK11)*CELL("contenu",$B$7),COUNTA(EK13:EK13)*CELL("contenu",$B$12),COUNTA(EK15:EK17)*CELL("contenu",$B$14),COUNTA(EK19:EK19)*CELL("contenu",$B$18))))</f>
        <v/>
      </c>
      <c r="EL20" s="116"/>
      <c r="EM20" s="192">
        <f ca="1">IF(COUNTA(EI20:EK20)-COUNTBLANK(EI20:EK20)=0,"",SUM(EI20:EK20)/(COUNTA(EI20:EK20)-COUNTBLANK(EI20:EK20)))</f>
        <v>15.833333333333332</v>
      </c>
      <c r="EN20" s="182" t="str">
        <f ca="1">IF(COUNTA(EN5:EN19)=0,"",5*SUM(IFERROR((((COUNTIF(EN5:EN6,"A"))*4)+((COUNTIF(EN5:EN6,"B"))*3)+((COUNTIF(EN5:EN6,"C"))*2)+((COUNTIF(EN5:EN6,"D"))*1))*CELL("contenu",$B$4),0),IFERROR((((COUNTIF(EN8:EN11,"A"))*4)+((COUNTIF(EN8:EN11,"B"))*3)+((COUNTIF(EN8:EN11,"C"))*2)+((COUNTIF(EN8:EN11,"D"))*1))*CELL("contenu",$B$7),0),IFERROR((((COUNTIF(EN13:EN13,"A"))*4)+((COUNTIF(EN13:EN13,"B"))*3)+((COUNTIF(EN13:EN13,"C"))*2)+((COUNTIF(EN13:EN13,"D"))*1))*CELL("contenu",$B$12),0),IFERROR((((COUNTIF(EN15:EN17,"A"))*4)+((COUNTIF(EN15:EN17,"B"))*3)+((COUNTIF(EN15:EN17,"C"))*2)+((COUNTIF(EN15:EN17,"D"))*1))*CELL("contenu",$B$14),0),IFERROR((((COUNTIF(EN19:EN19,"A"))*4)+((COUNTIF(EN19:EN19,"B"))*3)+((COUNTIF(EN19:EN19,"C"))*2)+((COUNTIF(EN19:EN19,"D"))*1))*CELL("contenu",$B$18),0))/IF(SUM(COUNTA(EN5:EN6)*CELL("contenu",$B$4),COUNTA(EN8:EN11)*CELL("contenu",$B$7),COUNTA(EN13:EN13)*CELL("contenu",$B$12),COUNTA(EN15:EN17)*CELL("contenu",$B$14),COUNTA(EN19:EN19)*CELL("contenu",$B$18))=0,1,SUM(COUNTA(EN5:EN6)*CELL("contenu",$B$4),COUNTA(EN8:EN11)*CELL("contenu",$B$7),COUNTA(EN13:EN13)*CELL("contenu",$B$12),COUNTA(EN15:EN17)*CELL("contenu",$B$14),COUNTA(EN19:EN19)*CELL("contenu",$B$18))))</f>
        <v/>
      </c>
      <c r="EO20" s="183" t="str">
        <f ca="1">IF(COUNTA(EO5:EO19)=0,"",5*SUM(IFERROR((((COUNTIF(EO5:EO6,"A"))*4)+((COUNTIF(EO5:EO6,"B"))*3)+((COUNTIF(EO5:EO6,"C"))*2)+((COUNTIF(EO5:EO6,"D"))*1))*CELL("contenu",$B$4),0),IFERROR((((COUNTIF(EO8:EO11,"A"))*4)+((COUNTIF(EO8:EO11,"B"))*3)+((COUNTIF(EO8:EO11,"C"))*2)+((COUNTIF(EO8:EO11,"D"))*1))*CELL("contenu",$B$7),0),IFERROR((((COUNTIF(EO13:EO13,"A"))*4)+((COUNTIF(EO13:EO13,"B"))*3)+((COUNTIF(EO13:EO13,"C"))*2)+((COUNTIF(EO13:EO13,"D"))*1))*CELL("contenu",$B$12),0),IFERROR((((COUNTIF(EO15:EO17,"A"))*4)+((COUNTIF(EO15:EO17,"B"))*3)+((COUNTIF(EO15:EO17,"C"))*2)+((COUNTIF(EO15:EO17,"D"))*1))*CELL("contenu",$B$14),0),IFERROR((((COUNTIF(EO19:EO19,"A"))*4)+((COUNTIF(EO19:EO19,"B"))*3)+((COUNTIF(EO19:EO19,"C"))*2)+((COUNTIF(EO19:EO19,"D"))*1))*CELL("contenu",$B$18),0))/IF(SUM(COUNTA(EO5:EO6)*CELL("contenu",$B$4),COUNTA(EO8:EO11)*CELL("contenu",$B$7),COUNTA(EO13:EO13)*CELL("contenu",$B$12),COUNTA(EO15:EO17)*CELL("contenu",$B$14),COUNTA(EO19:EO19)*CELL("contenu",$B$18))=0,1,SUM(COUNTA(EO5:EO6)*CELL("contenu",$B$4),COUNTA(EO8:EO11)*CELL("contenu",$B$7),COUNTA(EO13:EO13)*CELL("contenu",$B$12),COUNTA(EO15:EO17)*CELL("contenu",$B$14),COUNTA(EO19:EO19)*CELL("contenu",$B$18))))</f>
        <v/>
      </c>
      <c r="EP20" s="184" t="str">
        <f ca="1">IF(COUNTA(EP5:EP19)=0,"",5*SUM(IFERROR((((COUNTIF(EP5:EP6,"A"))*4)+((COUNTIF(EP5:EP6,"B"))*3)+((COUNTIF(EP5:EP6,"C"))*2)+((COUNTIF(EP5:EP6,"D"))*1))*CELL("contenu",$B$4),0),IFERROR((((COUNTIF(EP8:EP11,"A"))*4)+((COUNTIF(EP8:EP11,"B"))*3)+((COUNTIF(EP8:EP11,"C"))*2)+((COUNTIF(EP8:EP11,"D"))*1))*CELL("contenu",$B$7),0),IFERROR((((COUNTIF(EP13:EP13,"A"))*4)+((COUNTIF(EP13:EP13,"B"))*3)+((COUNTIF(EP13:EP13,"C"))*2)+((COUNTIF(EP13:EP13,"D"))*1))*CELL("contenu",$B$12),0),IFERROR((((COUNTIF(EP15:EP17,"A"))*4)+((COUNTIF(EP15:EP17,"B"))*3)+((COUNTIF(EP15:EP17,"C"))*2)+((COUNTIF(EP15:EP17,"D"))*1))*CELL("contenu",$B$14),0),IFERROR((((COUNTIF(EP19:EP19,"A"))*4)+((COUNTIF(EP19:EP19,"B"))*3)+((COUNTIF(EP19:EP19,"C"))*2)+((COUNTIF(EP19:EP19,"D"))*1))*CELL("contenu",$B$18),0))/IF(SUM(COUNTA(EP5:EP6)*CELL("contenu",$B$4),COUNTA(EP8:EP11)*CELL("contenu",$B$7),COUNTA(EP13:EP13)*CELL("contenu",$B$12),COUNTA(EP15:EP17)*CELL("contenu",$B$14),COUNTA(EP19:EP19)*CELL("contenu",$B$18))=0,1,SUM(COUNTA(EP5:EP6)*CELL("contenu",$B$4),COUNTA(EP8:EP11)*CELL("contenu",$B$7),COUNTA(EP13:EP13)*CELL("contenu",$B$12),COUNTA(EP15:EP17)*CELL("contenu",$B$14),COUNTA(EP19:EP19)*CELL("contenu",$B$18))))</f>
        <v/>
      </c>
      <c r="EQ20" s="176"/>
      <c r="ER20" s="175" t="str">
        <f ca="1">IF(COUNTA(EN20:EP20)-COUNTBLANK(EN20:EP20)=0,"",SUM(EN20:EP20)/(COUNTA(EN20:EP20)-COUNTBLANK(EN20:EP20)))</f>
        <v/>
      </c>
      <c r="ES20" s="182" t="str">
        <f ca="1">IF(COUNTA(ES5:ES19)=0,"",5*SUM(IFERROR((((COUNTIF(ES5:ES6,"A"))*4)+((COUNTIF(ES5:ES6,"B"))*3)+((COUNTIF(ES5:ES6,"C"))*2)+((COUNTIF(ES5:ES6,"D"))*1))*CELL("contenu",$B$4),0),IFERROR((((COUNTIF(ES8:ES11,"A"))*4)+((COUNTIF(ES8:ES11,"B"))*3)+((COUNTIF(ES8:ES11,"C"))*2)+((COUNTIF(ES8:ES11,"D"))*1))*CELL("contenu",$B$7),0),IFERROR((((COUNTIF(ES13:ES13,"A"))*4)+((COUNTIF(ES13:ES13,"B"))*3)+((COUNTIF(ES13:ES13,"C"))*2)+((COUNTIF(ES13:ES13,"D"))*1))*CELL("contenu",$B$12),0),IFERROR((((COUNTIF(ES15:ES17,"A"))*4)+((COUNTIF(ES15:ES17,"B"))*3)+((COUNTIF(ES15:ES17,"C"))*2)+((COUNTIF(ES15:ES17,"D"))*1))*CELL("contenu",$B$14),0),IFERROR((((COUNTIF(ES19:ES19,"A"))*4)+((COUNTIF(ES19:ES19,"B"))*3)+((COUNTIF(ES19:ES19,"C"))*2)+((COUNTIF(ES19:ES19,"D"))*1))*CELL("contenu",$B$18),0))/IF(SUM(COUNTA(ES5:ES6)*CELL("contenu",$B$4),COUNTA(ES8:ES11)*CELL("contenu",$B$7),COUNTA(ES13:ES13)*CELL("contenu",$B$12),COUNTA(ES15:ES17)*CELL("contenu",$B$14),COUNTA(ES19:ES19)*CELL("contenu",$B$18))=0,1,SUM(COUNTA(ES5:ES6)*CELL("contenu",$B$4),COUNTA(ES8:ES11)*CELL("contenu",$B$7),COUNTA(ES13:ES13)*CELL("contenu",$B$12),COUNTA(ES15:ES17)*CELL("contenu",$B$14),COUNTA(ES19:ES19)*CELL("contenu",$B$18))))</f>
        <v/>
      </c>
      <c r="ET20" s="183" t="str">
        <f ca="1">IF(COUNTA(ET5:ET19)=0,"",5*SUM(IFERROR((((COUNTIF(ET5:ET6,"A"))*4)+((COUNTIF(ET5:ET6,"B"))*3)+((COUNTIF(ET5:ET6,"C"))*2)+((COUNTIF(ET5:ET6,"D"))*1))*CELL("contenu",$B$4),0),IFERROR((((COUNTIF(ET8:ET11,"A"))*4)+((COUNTIF(ET8:ET11,"B"))*3)+((COUNTIF(ET8:ET11,"C"))*2)+((COUNTIF(ET8:ET11,"D"))*1))*CELL("contenu",$B$7),0),IFERROR((((COUNTIF(ET13:ET13,"A"))*4)+((COUNTIF(ET13:ET13,"B"))*3)+((COUNTIF(ET13:ET13,"C"))*2)+((COUNTIF(ET13:ET13,"D"))*1))*CELL("contenu",$B$12),0),IFERROR((((COUNTIF(ET15:ET17,"A"))*4)+((COUNTIF(ET15:ET17,"B"))*3)+((COUNTIF(ET15:ET17,"C"))*2)+((COUNTIF(ET15:ET17,"D"))*1))*CELL("contenu",$B$14),0),IFERROR((((COUNTIF(ET19:ET19,"A"))*4)+((COUNTIF(ET19:ET19,"B"))*3)+((COUNTIF(ET19:ET19,"C"))*2)+((COUNTIF(ET19:ET19,"D"))*1))*CELL("contenu",$B$18),0))/IF(SUM(COUNTA(ET5:ET6)*CELL("contenu",$B$4),COUNTA(ET8:ET11)*CELL("contenu",$B$7),COUNTA(ET13:ET13)*CELL("contenu",$B$12),COUNTA(ET15:ET17)*CELL("contenu",$B$14),COUNTA(ET19:ET19)*CELL("contenu",$B$18))=0,1,SUM(COUNTA(ET5:ET6)*CELL("contenu",$B$4),COUNTA(ET8:ET11)*CELL("contenu",$B$7),COUNTA(ET13:ET13)*CELL("contenu",$B$12),COUNTA(ET15:ET17)*CELL("contenu",$B$14),COUNTA(ET19:ET19)*CELL("contenu",$B$18))))</f>
        <v/>
      </c>
      <c r="EU20" s="184" t="str">
        <f ca="1">IF(COUNTA(EU5:EU19)=0,"",5*SUM(IFERROR((((COUNTIF(EU5:EU6,"A"))*4)+((COUNTIF(EU5:EU6,"B"))*3)+((COUNTIF(EU5:EU6,"C"))*2)+((COUNTIF(EU5:EU6,"D"))*1))*CELL("contenu",$B$4),0),IFERROR((((COUNTIF(EU8:EU11,"A"))*4)+((COUNTIF(EU8:EU11,"B"))*3)+((COUNTIF(EU8:EU11,"C"))*2)+((COUNTIF(EU8:EU11,"D"))*1))*CELL("contenu",$B$7),0),IFERROR((((COUNTIF(EU13:EU13,"A"))*4)+((COUNTIF(EU13:EU13,"B"))*3)+((COUNTIF(EU13:EU13,"C"))*2)+((COUNTIF(EU13:EU13,"D"))*1))*CELL("contenu",$B$12),0),IFERROR((((COUNTIF(EU15:EU17,"A"))*4)+((COUNTIF(EU15:EU17,"B"))*3)+((COUNTIF(EU15:EU17,"C"))*2)+((COUNTIF(EU15:EU17,"D"))*1))*CELL("contenu",$B$14),0),IFERROR((((COUNTIF(EU19:EU19,"A"))*4)+((COUNTIF(EU19:EU19,"B"))*3)+((COUNTIF(EU19:EU19,"C"))*2)+((COUNTIF(EU19:EU19,"D"))*1))*CELL("contenu",$B$18),0))/IF(SUM(COUNTA(EU5:EU6)*CELL("contenu",$B$4),COUNTA(EU8:EU11)*CELL("contenu",$B$7),COUNTA(EU13:EU13)*CELL("contenu",$B$12),COUNTA(EU15:EU17)*CELL("contenu",$B$14),COUNTA(EU19:EU19)*CELL("contenu",$B$18))=0,1,SUM(COUNTA(EU5:EU6)*CELL("contenu",$B$4),COUNTA(EU8:EU11)*CELL("contenu",$B$7),COUNTA(EU13:EU13)*CELL("contenu",$B$12),COUNTA(EU15:EU17)*CELL("contenu",$B$14),COUNTA(EU19:EU19)*CELL("contenu",$B$18))))</f>
        <v/>
      </c>
      <c r="EV20" s="176"/>
      <c r="EW20" s="174" t="str">
        <f ca="1">IF(COUNTA(ES20:EU20)-COUNTBLANK(ES20:EU20)=0,"",SUM(ES20:EU20)/(COUNTA(ES20:EU20)-COUNTBLANK(ES20:EU20)))</f>
        <v/>
      </c>
      <c r="EX20" s="103"/>
      <c r="EY20" s="141"/>
      <c r="EZ20" s="167">
        <f ca="1">IF(COUNTA(EZ5:EZ19)=0,"",5*SUM(IFERROR((((COUNTIF(EZ5:EZ6,"A"))*4)+((COUNTIF(EZ5:EZ6,"B"))*3)+((COUNTIF(EZ5:EZ6,"C"))*2)+((COUNTIF(EZ5:EZ6,"D"))*1))*CELL("contenu",$B$4),0),IFERROR((((COUNTIF(EZ8:EZ11,"A"))*4)+((COUNTIF(EZ8:EZ11,"B"))*3)+((COUNTIF(EZ8:EZ11,"C"))*2)+((COUNTIF(EZ8:EZ11,"D"))*1))*CELL("contenu",$B$7),0),IFERROR((((COUNTIF(EZ13:EZ13,"A"))*4)+((COUNTIF(EZ13:EZ13,"B"))*3)+((COUNTIF(EZ13:EZ13,"C"))*2)+((COUNTIF(EZ13:EZ13,"D"))*1))*CELL("contenu",$B$12),0),IFERROR((((COUNTIF(EZ15:EZ17,"A"))*4)+((COUNTIF(EZ15:EZ17,"B"))*3)+((COUNTIF(EZ15:EZ17,"C"))*2)+((COUNTIF(EZ15:EZ17,"D"))*1))*CELL("contenu",$B$14),0),IFERROR((((COUNTIF(EZ19:EZ19,"A"))*4)+((COUNTIF(EZ19:EZ19,"B"))*3)+((COUNTIF(EZ19:EZ19,"C"))*2)+((COUNTIF(EZ19:EZ19,"D"))*1))*CELL("contenu",$B$18),0))/IF(SUM(COUNTA(EZ5:EZ6)*CELL("contenu",$B$4),COUNTA(EZ8:EZ11)*CELL("contenu",$B$7),COUNTA(EZ13:EZ13)*CELL("contenu",$B$12),COUNTA(EZ15:EZ17)*CELL("contenu",$B$14),COUNTA(EZ19:EZ19)*CELL("contenu",$B$18))=0,1,SUM(COUNTA(EZ5:EZ6)*CELL("contenu",$B$4),COUNTA(EZ8:EZ11)*CELL("contenu",$B$7),COUNTA(EZ13:EZ13)*CELL("contenu",$B$12),COUNTA(EZ15:EZ17)*CELL("contenu",$B$14),COUNTA(EZ19:EZ19)*CELL("contenu",$B$18))))</f>
        <v>18.333333333333332</v>
      </c>
      <c r="FA20" s="168">
        <f ca="1">IF(COUNTA(FA5:FA19)=0,"",5*SUM(IFERROR((((COUNTIF(FA5:FA6,"A"))*4)+((COUNTIF(FA5:FA6,"B"))*3)+((COUNTIF(FA5:FA6,"C"))*2)+((COUNTIF(FA5:FA6,"D"))*1))*CELL("contenu",$B$4),0),IFERROR((((COUNTIF(FA8:FA11,"A"))*4)+((COUNTIF(FA8:FA11,"B"))*3)+((COUNTIF(FA8:FA11,"C"))*2)+((COUNTIF(FA8:FA11,"D"))*1))*CELL("contenu",$B$7),0),IFERROR((((COUNTIF(FA13:FA13,"A"))*4)+((COUNTIF(FA13:FA13,"B"))*3)+((COUNTIF(FA13:FA13,"C"))*2)+((COUNTIF(FA13:FA13,"D"))*1))*CELL("contenu",$B$12),0),IFERROR((((COUNTIF(FA15:FA17,"A"))*4)+((COUNTIF(FA15:FA17,"B"))*3)+((COUNTIF(FA15:FA17,"C"))*2)+((COUNTIF(FA15:FA17,"D"))*1))*CELL("contenu",$B$14),0),IFERROR((((COUNTIF(FA19:FA19,"A"))*4)+((COUNTIF(FA19:FA19,"B"))*3)+((COUNTIF(FA19:FA19,"C"))*2)+((COUNTIF(FA19:FA19,"D"))*1))*CELL("contenu",$B$18),0))/IF(SUM(COUNTA(FA5:FA6)*CELL("contenu",$B$4),COUNTA(FA8:FA11)*CELL("contenu",$B$7),COUNTA(FA13:FA13)*CELL("contenu",$B$12),COUNTA(FA15:FA17)*CELL("contenu",$B$14),COUNTA(FA19:FA19)*CELL("contenu",$B$18))=0,1,SUM(COUNTA(FA5:FA6)*CELL("contenu",$B$4),COUNTA(FA8:FA11)*CELL("contenu",$B$7),COUNTA(FA13:FA13)*CELL("contenu",$B$12),COUNTA(FA15:FA17)*CELL("contenu",$B$14),COUNTA(FA19:FA19)*CELL("contenu",$B$18))))</f>
        <v>13.333333333333334</v>
      </c>
      <c r="FB20" s="169" t="str">
        <f ca="1">IF(COUNTA(FB5:FB19)=0,"",5*SUM(IFERROR((((COUNTIF(FB5:FB6,"A"))*4)+((COUNTIF(FB5:FB6,"B"))*3)+((COUNTIF(FB5:FB6,"C"))*2)+((COUNTIF(FB5:FB6,"D"))*1))*CELL("contenu",$B$4),0),IFERROR((((COUNTIF(FB8:FB11,"A"))*4)+((COUNTIF(FB8:FB11,"B"))*3)+((COUNTIF(FB8:FB11,"C"))*2)+((COUNTIF(FB8:FB11,"D"))*1))*CELL("contenu",$B$7),0),IFERROR((((COUNTIF(FB13:FB13,"A"))*4)+((COUNTIF(FB13:FB13,"B"))*3)+((COUNTIF(FB13:FB13,"C"))*2)+((COUNTIF(FB13:FB13,"D"))*1))*CELL("contenu",$B$12),0),IFERROR((((COUNTIF(FB15:FB17,"A"))*4)+((COUNTIF(FB15:FB17,"B"))*3)+((COUNTIF(FB15:FB17,"C"))*2)+((COUNTIF(FB15:FB17,"D"))*1))*CELL("contenu",$B$14),0),IFERROR((((COUNTIF(FB19:FB19,"A"))*4)+((COUNTIF(FB19:FB19,"B"))*3)+((COUNTIF(FB19:FB19,"C"))*2)+((COUNTIF(FB19:FB19,"D"))*1))*CELL("contenu",$B$18),0))/IF(SUM(COUNTA(FB5:FB6)*CELL("contenu",$B$4),COUNTA(FB8:FB11)*CELL("contenu",$B$7),COUNTA(FB13:FB13)*CELL("contenu",$B$12),COUNTA(FB15:FB17)*CELL("contenu",$B$14),COUNTA(FB19:FB19)*CELL("contenu",$B$18))=0,1,SUM(COUNTA(FB5:FB6)*CELL("contenu",$B$4),COUNTA(FB8:FB11)*CELL("contenu",$B$7),COUNTA(FB13:FB13)*CELL("contenu",$B$12),COUNTA(FB15:FB17)*CELL("contenu",$B$14),COUNTA(FB19:FB19)*CELL("contenu",$B$18))))</f>
        <v/>
      </c>
      <c r="FC20" s="116"/>
      <c r="FD20" s="192">
        <f ca="1">IF(COUNTA(EZ20:FB20)-COUNTBLANK(EZ20:FB20)=0,"",SUM(EZ20:FB20)/(COUNTA(EZ20:FB20)-COUNTBLANK(EZ20:FB20)))</f>
        <v>15.833333333333332</v>
      </c>
      <c r="FE20" s="182" t="str">
        <f ca="1">IF(COUNTA(FE5:FE19)=0,"",5*SUM(IFERROR((((COUNTIF(FE5:FE6,"A"))*4)+((COUNTIF(FE5:FE6,"B"))*3)+((COUNTIF(FE5:FE6,"C"))*2)+((COUNTIF(FE5:FE6,"D"))*1))*CELL("contenu",$B$4),0),IFERROR((((COUNTIF(FE8:FE11,"A"))*4)+((COUNTIF(FE8:FE11,"B"))*3)+((COUNTIF(FE8:FE11,"C"))*2)+((COUNTIF(FE8:FE11,"D"))*1))*CELL("contenu",$B$7),0),IFERROR((((COUNTIF(FE13:FE13,"A"))*4)+((COUNTIF(FE13:FE13,"B"))*3)+((COUNTIF(FE13:FE13,"C"))*2)+((COUNTIF(FE13:FE13,"D"))*1))*CELL("contenu",$B$12),0),IFERROR((((COUNTIF(FE15:FE17,"A"))*4)+((COUNTIF(FE15:FE17,"B"))*3)+((COUNTIF(FE15:FE17,"C"))*2)+((COUNTIF(FE15:FE17,"D"))*1))*CELL("contenu",$B$14),0),IFERROR((((COUNTIF(FE19:FE19,"A"))*4)+((COUNTIF(FE19:FE19,"B"))*3)+((COUNTIF(FE19:FE19,"C"))*2)+((COUNTIF(FE19:FE19,"D"))*1))*CELL("contenu",$B$18),0))/IF(SUM(COUNTA(FE5:FE6)*CELL("contenu",$B$4),COUNTA(FE8:FE11)*CELL("contenu",$B$7),COUNTA(FE13:FE13)*CELL("contenu",$B$12),COUNTA(FE15:FE17)*CELL("contenu",$B$14),COUNTA(FE19:FE19)*CELL("contenu",$B$18))=0,1,SUM(COUNTA(FE5:FE6)*CELL("contenu",$B$4),COUNTA(FE8:FE11)*CELL("contenu",$B$7),COUNTA(FE13:FE13)*CELL("contenu",$B$12),COUNTA(FE15:FE17)*CELL("contenu",$B$14),COUNTA(FE19:FE19)*CELL("contenu",$B$18))))</f>
        <v/>
      </c>
      <c r="FF20" s="183" t="str">
        <f ca="1">IF(COUNTA(FF5:FF19)=0,"",5*SUM(IFERROR((((COUNTIF(FF5:FF6,"A"))*4)+((COUNTIF(FF5:FF6,"B"))*3)+((COUNTIF(FF5:FF6,"C"))*2)+((COUNTIF(FF5:FF6,"D"))*1))*CELL("contenu",$B$4),0),IFERROR((((COUNTIF(FF8:FF11,"A"))*4)+((COUNTIF(FF8:FF11,"B"))*3)+((COUNTIF(FF8:FF11,"C"))*2)+((COUNTIF(FF8:FF11,"D"))*1))*CELL("contenu",$B$7),0),IFERROR((((COUNTIF(FF13:FF13,"A"))*4)+((COUNTIF(FF13:FF13,"B"))*3)+((COUNTIF(FF13:FF13,"C"))*2)+((COUNTIF(FF13:FF13,"D"))*1))*CELL("contenu",$B$12),0),IFERROR((((COUNTIF(FF15:FF17,"A"))*4)+((COUNTIF(FF15:FF17,"B"))*3)+((COUNTIF(FF15:FF17,"C"))*2)+((COUNTIF(FF15:FF17,"D"))*1))*CELL("contenu",$B$14),0),IFERROR((((COUNTIF(FF19:FF19,"A"))*4)+((COUNTIF(FF19:FF19,"B"))*3)+((COUNTIF(FF19:FF19,"C"))*2)+((COUNTIF(FF19:FF19,"D"))*1))*CELL("contenu",$B$18),0))/IF(SUM(COUNTA(FF5:FF6)*CELL("contenu",$B$4),COUNTA(FF8:FF11)*CELL("contenu",$B$7),COUNTA(FF13:FF13)*CELL("contenu",$B$12),COUNTA(FF15:FF17)*CELL("contenu",$B$14),COUNTA(FF19:FF19)*CELL("contenu",$B$18))=0,1,SUM(COUNTA(FF5:FF6)*CELL("contenu",$B$4),COUNTA(FF8:FF11)*CELL("contenu",$B$7),COUNTA(FF13:FF13)*CELL("contenu",$B$12),COUNTA(FF15:FF17)*CELL("contenu",$B$14),COUNTA(FF19:FF19)*CELL("contenu",$B$18))))</f>
        <v/>
      </c>
      <c r="FG20" s="184" t="str">
        <f ca="1">IF(COUNTA(FG5:FG19)=0,"",5*SUM(IFERROR((((COUNTIF(FG5:FG6,"A"))*4)+((COUNTIF(FG5:FG6,"B"))*3)+((COUNTIF(FG5:FG6,"C"))*2)+((COUNTIF(FG5:FG6,"D"))*1))*CELL("contenu",$B$4),0),IFERROR((((COUNTIF(FG8:FG11,"A"))*4)+((COUNTIF(FG8:FG11,"B"))*3)+((COUNTIF(FG8:FG11,"C"))*2)+((COUNTIF(FG8:FG11,"D"))*1))*CELL("contenu",$B$7),0),IFERROR((((COUNTIF(FG13:FG13,"A"))*4)+((COUNTIF(FG13:FG13,"B"))*3)+((COUNTIF(FG13:FG13,"C"))*2)+((COUNTIF(FG13:FG13,"D"))*1))*CELL("contenu",$B$12),0),IFERROR((((COUNTIF(FG15:FG17,"A"))*4)+((COUNTIF(FG15:FG17,"B"))*3)+((COUNTIF(FG15:FG17,"C"))*2)+((COUNTIF(FG15:FG17,"D"))*1))*CELL("contenu",$B$14),0),IFERROR((((COUNTIF(FG19:FG19,"A"))*4)+((COUNTIF(FG19:FG19,"B"))*3)+((COUNTIF(FG19:FG19,"C"))*2)+((COUNTIF(FG19:FG19,"D"))*1))*CELL("contenu",$B$18),0))/IF(SUM(COUNTA(FG5:FG6)*CELL("contenu",$B$4),COUNTA(FG8:FG11)*CELL("contenu",$B$7),COUNTA(FG13:FG13)*CELL("contenu",$B$12),COUNTA(FG15:FG17)*CELL("contenu",$B$14),COUNTA(FG19:FG19)*CELL("contenu",$B$18))=0,1,SUM(COUNTA(FG5:FG6)*CELL("contenu",$B$4),COUNTA(FG8:FG11)*CELL("contenu",$B$7),COUNTA(FG13:FG13)*CELL("contenu",$B$12),COUNTA(FG15:FG17)*CELL("contenu",$B$14),COUNTA(FG19:FG19)*CELL("contenu",$B$18))))</f>
        <v/>
      </c>
      <c r="FH20" s="176"/>
      <c r="FI20" s="175" t="str">
        <f ca="1">IF(COUNTA(FE20:FG20)-COUNTBLANK(FE20:FG20)=0,"",SUM(FE20:FG20)/(COUNTA(FE20:FG20)-COUNTBLANK(FE20:FG20)))</f>
        <v/>
      </c>
      <c r="FJ20" s="182" t="str">
        <f ca="1">IF(COUNTA(FJ5:FJ19)=0,"",5*SUM(IFERROR((((COUNTIF(FJ5:FJ6,"A"))*4)+((COUNTIF(FJ5:FJ6,"B"))*3)+((COUNTIF(FJ5:FJ6,"C"))*2)+((COUNTIF(FJ5:FJ6,"D"))*1))*CELL("contenu",$B$4),0),IFERROR((((COUNTIF(FJ8:FJ11,"A"))*4)+((COUNTIF(FJ8:FJ11,"B"))*3)+((COUNTIF(FJ8:FJ11,"C"))*2)+((COUNTIF(FJ8:FJ11,"D"))*1))*CELL("contenu",$B$7),0),IFERROR((((COUNTIF(FJ13:FJ13,"A"))*4)+((COUNTIF(FJ13:FJ13,"B"))*3)+((COUNTIF(FJ13:FJ13,"C"))*2)+((COUNTIF(FJ13:FJ13,"D"))*1))*CELL("contenu",$B$12),0),IFERROR((((COUNTIF(FJ15:FJ17,"A"))*4)+((COUNTIF(FJ15:FJ17,"B"))*3)+((COUNTIF(FJ15:FJ17,"C"))*2)+((COUNTIF(FJ15:FJ17,"D"))*1))*CELL("contenu",$B$14),0),IFERROR((((COUNTIF(FJ19:FJ19,"A"))*4)+((COUNTIF(FJ19:FJ19,"B"))*3)+((COUNTIF(FJ19:FJ19,"C"))*2)+((COUNTIF(FJ19:FJ19,"D"))*1))*CELL("contenu",$B$18),0))/IF(SUM(COUNTA(FJ5:FJ6)*CELL("contenu",$B$4),COUNTA(FJ8:FJ11)*CELL("contenu",$B$7),COUNTA(FJ13:FJ13)*CELL("contenu",$B$12),COUNTA(FJ15:FJ17)*CELL("contenu",$B$14),COUNTA(FJ19:FJ19)*CELL("contenu",$B$18))=0,1,SUM(COUNTA(FJ5:FJ6)*CELL("contenu",$B$4),COUNTA(FJ8:FJ11)*CELL("contenu",$B$7),COUNTA(FJ13:FJ13)*CELL("contenu",$B$12),COUNTA(FJ15:FJ17)*CELL("contenu",$B$14),COUNTA(FJ19:FJ19)*CELL("contenu",$B$18))))</f>
        <v/>
      </c>
      <c r="FK20" s="183" t="str">
        <f ca="1">IF(COUNTA(FK5:FK19)=0,"",5*SUM(IFERROR((((COUNTIF(FK5:FK6,"A"))*4)+((COUNTIF(FK5:FK6,"B"))*3)+((COUNTIF(FK5:FK6,"C"))*2)+((COUNTIF(FK5:FK6,"D"))*1))*CELL("contenu",$B$4),0),IFERROR((((COUNTIF(FK8:FK11,"A"))*4)+((COUNTIF(FK8:FK11,"B"))*3)+((COUNTIF(FK8:FK11,"C"))*2)+((COUNTIF(FK8:FK11,"D"))*1))*CELL("contenu",$B$7),0),IFERROR((((COUNTIF(FK13:FK13,"A"))*4)+((COUNTIF(FK13:FK13,"B"))*3)+((COUNTIF(FK13:FK13,"C"))*2)+((COUNTIF(FK13:FK13,"D"))*1))*CELL("contenu",$B$12),0),IFERROR((((COUNTIF(FK15:FK17,"A"))*4)+((COUNTIF(FK15:FK17,"B"))*3)+((COUNTIF(FK15:FK17,"C"))*2)+((COUNTIF(FK15:FK17,"D"))*1))*CELL("contenu",$B$14),0),IFERROR((((COUNTIF(FK19:FK19,"A"))*4)+((COUNTIF(FK19:FK19,"B"))*3)+((COUNTIF(FK19:FK19,"C"))*2)+((COUNTIF(FK19:FK19,"D"))*1))*CELL("contenu",$B$18),0))/IF(SUM(COUNTA(FK5:FK6)*CELL("contenu",$B$4),COUNTA(FK8:FK11)*CELL("contenu",$B$7),COUNTA(FK13:FK13)*CELL("contenu",$B$12),COUNTA(FK15:FK17)*CELL("contenu",$B$14),COUNTA(FK19:FK19)*CELL("contenu",$B$18))=0,1,SUM(COUNTA(FK5:FK6)*CELL("contenu",$B$4),COUNTA(FK8:FK11)*CELL("contenu",$B$7),COUNTA(FK13:FK13)*CELL("contenu",$B$12),COUNTA(FK15:FK17)*CELL("contenu",$B$14),COUNTA(FK19:FK19)*CELL("contenu",$B$18))))</f>
        <v/>
      </c>
      <c r="FL20" s="184" t="str">
        <f ca="1">IF(COUNTA(FL5:FL19)=0,"",5*SUM(IFERROR((((COUNTIF(FL5:FL6,"A"))*4)+((COUNTIF(FL5:FL6,"B"))*3)+((COUNTIF(FL5:FL6,"C"))*2)+((COUNTIF(FL5:FL6,"D"))*1))*CELL("contenu",$B$4),0),IFERROR((((COUNTIF(FL8:FL11,"A"))*4)+((COUNTIF(FL8:FL11,"B"))*3)+((COUNTIF(FL8:FL11,"C"))*2)+((COUNTIF(FL8:FL11,"D"))*1))*CELL("contenu",$B$7),0),IFERROR((((COUNTIF(FL13:FL13,"A"))*4)+((COUNTIF(FL13:FL13,"B"))*3)+((COUNTIF(FL13:FL13,"C"))*2)+((COUNTIF(FL13:FL13,"D"))*1))*CELL("contenu",$B$12),0),IFERROR((((COUNTIF(FL15:FL17,"A"))*4)+((COUNTIF(FL15:FL17,"B"))*3)+((COUNTIF(FL15:FL17,"C"))*2)+((COUNTIF(FL15:FL17,"D"))*1))*CELL("contenu",$B$14),0),IFERROR((((COUNTIF(FL19:FL19,"A"))*4)+((COUNTIF(FL19:FL19,"B"))*3)+((COUNTIF(FL19:FL19,"C"))*2)+((COUNTIF(FL19:FL19,"D"))*1))*CELL("contenu",$B$18),0))/IF(SUM(COUNTA(FL5:FL6)*CELL("contenu",$B$4),COUNTA(FL8:FL11)*CELL("contenu",$B$7),COUNTA(FL13:FL13)*CELL("contenu",$B$12),COUNTA(FL15:FL17)*CELL("contenu",$B$14),COUNTA(FL19:FL19)*CELL("contenu",$B$18))=0,1,SUM(COUNTA(FL5:FL6)*CELL("contenu",$B$4),COUNTA(FL8:FL11)*CELL("contenu",$B$7),COUNTA(FL13:FL13)*CELL("contenu",$B$12),COUNTA(FL15:FL17)*CELL("contenu",$B$14),COUNTA(FL19:FL19)*CELL("contenu",$B$18))))</f>
        <v/>
      </c>
      <c r="FM20" s="176"/>
      <c r="FN20" s="174" t="str">
        <f ca="1">IF(COUNTA(FJ20:FL20)-COUNTBLANK(FJ20:FL20)=0,"",SUM(FJ20:FL20)/(COUNTA(FJ20:FL20)-COUNTBLANK(FJ20:FL20)))</f>
        <v/>
      </c>
      <c r="FO20" s="103"/>
      <c r="FP20" s="141"/>
      <c r="FQ20" s="167">
        <f ca="1">IF(COUNTA(FQ5:FQ19)=0,"",5*SUM(IFERROR((((COUNTIF(FQ5:FQ6,"A"))*4)+((COUNTIF(FQ5:FQ6,"B"))*3)+((COUNTIF(FQ5:FQ6,"C"))*2)+((COUNTIF(FQ5:FQ6,"D"))*1))*CELL("contenu",$B$4),0),IFERROR((((COUNTIF(FQ8:FQ11,"A"))*4)+((COUNTIF(FQ8:FQ11,"B"))*3)+((COUNTIF(FQ8:FQ11,"C"))*2)+((COUNTIF(FQ8:FQ11,"D"))*1))*CELL("contenu",$B$7),0),IFERROR((((COUNTIF(FQ13:FQ13,"A"))*4)+((COUNTIF(FQ13:FQ13,"B"))*3)+((COUNTIF(FQ13:FQ13,"C"))*2)+((COUNTIF(FQ13:FQ13,"D"))*1))*CELL("contenu",$B$12),0),IFERROR((((COUNTIF(FQ15:FQ17,"A"))*4)+((COUNTIF(FQ15:FQ17,"B"))*3)+((COUNTIF(FQ15:FQ17,"C"))*2)+((COUNTIF(FQ15:FQ17,"D"))*1))*CELL("contenu",$B$14),0),IFERROR((((COUNTIF(FQ19:FQ19,"A"))*4)+((COUNTIF(FQ19:FQ19,"B"))*3)+((COUNTIF(FQ19:FQ19,"C"))*2)+((COUNTIF(FQ19:FQ19,"D"))*1))*CELL("contenu",$B$18),0))/IF(SUM(COUNTA(FQ5:FQ6)*CELL("contenu",$B$4),COUNTA(FQ8:FQ11)*CELL("contenu",$B$7),COUNTA(FQ13:FQ13)*CELL("contenu",$B$12),COUNTA(FQ15:FQ17)*CELL("contenu",$B$14),COUNTA(FQ19:FQ19)*CELL("contenu",$B$18))=0,1,SUM(COUNTA(FQ5:FQ6)*CELL("contenu",$B$4),COUNTA(FQ8:FQ11)*CELL("contenu",$B$7),COUNTA(FQ13:FQ13)*CELL("contenu",$B$12),COUNTA(FQ15:FQ17)*CELL("contenu",$B$14),COUNTA(FQ19:FQ19)*CELL("contenu",$B$18))))</f>
        <v>16.666666666666668</v>
      </c>
      <c r="FR20" s="168">
        <f ca="1">IF(COUNTA(FR5:FR19)=0,"",5*SUM(IFERROR((((COUNTIF(FR5:FR6,"A"))*4)+((COUNTIF(FR5:FR6,"B"))*3)+((COUNTIF(FR5:FR6,"C"))*2)+((COUNTIF(FR5:FR6,"D"))*1))*CELL("contenu",$B$4),0),IFERROR((((COUNTIF(FR8:FR11,"A"))*4)+((COUNTIF(FR8:FR11,"B"))*3)+((COUNTIF(FR8:FR11,"C"))*2)+((COUNTIF(FR8:FR11,"D"))*1))*CELL("contenu",$B$7),0),IFERROR((((COUNTIF(FR13:FR13,"A"))*4)+((COUNTIF(FR13:FR13,"B"))*3)+((COUNTIF(FR13:FR13,"C"))*2)+((COUNTIF(FR13:FR13,"D"))*1))*CELL("contenu",$B$12),0),IFERROR((((COUNTIF(FR15:FR17,"A"))*4)+((COUNTIF(FR15:FR17,"B"))*3)+((COUNTIF(FR15:FR17,"C"))*2)+((COUNTIF(FR15:FR17,"D"))*1))*CELL("contenu",$B$14),0),IFERROR((((COUNTIF(FR19:FR19,"A"))*4)+((COUNTIF(FR19:FR19,"B"))*3)+((COUNTIF(FR19:FR19,"C"))*2)+((COUNTIF(FR19:FR19,"D"))*1))*CELL("contenu",$B$18),0))/IF(SUM(COUNTA(FR5:FR6)*CELL("contenu",$B$4),COUNTA(FR8:FR11)*CELL("contenu",$B$7),COUNTA(FR13:FR13)*CELL("contenu",$B$12),COUNTA(FR15:FR17)*CELL("contenu",$B$14),COUNTA(FR19:FR19)*CELL("contenu",$B$18))=0,1,SUM(COUNTA(FR5:FR6)*CELL("contenu",$B$4),COUNTA(FR8:FR11)*CELL("contenu",$B$7),COUNTA(FR13:FR13)*CELL("contenu",$B$12),COUNTA(FR15:FR17)*CELL("contenu",$B$14),COUNTA(FR19:FR19)*CELL("contenu",$B$18))))</f>
        <v>20</v>
      </c>
      <c r="FS20" s="169" t="str">
        <f ca="1">IF(COUNTA(FS5:FS19)=0,"",5*SUM(IFERROR((((COUNTIF(FS5:FS6,"A"))*4)+((COUNTIF(FS5:FS6,"B"))*3)+((COUNTIF(FS5:FS6,"C"))*2)+((COUNTIF(FS5:FS6,"D"))*1))*CELL("contenu",$B$4),0),IFERROR((((COUNTIF(FS8:FS11,"A"))*4)+((COUNTIF(FS8:FS11,"B"))*3)+((COUNTIF(FS8:FS11,"C"))*2)+((COUNTIF(FS8:FS11,"D"))*1))*CELL("contenu",$B$7),0),IFERROR((((COUNTIF(FS13:FS13,"A"))*4)+((COUNTIF(FS13:FS13,"B"))*3)+((COUNTIF(FS13:FS13,"C"))*2)+((COUNTIF(FS13:FS13,"D"))*1))*CELL("contenu",$B$12),0),IFERROR((((COUNTIF(FS15:FS17,"A"))*4)+((COUNTIF(FS15:FS17,"B"))*3)+((COUNTIF(FS15:FS17,"C"))*2)+((COUNTIF(FS15:FS17,"D"))*1))*CELL("contenu",$B$14),0),IFERROR((((COUNTIF(FS19:FS19,"A"))*4)+((COUNTIF(FS19:FS19,"B"))*3)+((COUNTIF(FS19:FS19,"C"))*2)+((COUNTIF(FS19:FS19,"D"))*1))*CELL("contenu",$B$18),0))/IF(SUM(COUNTA(FS5:FS6)*CELL("contenu",$B$4),COUNTA(FS8:FS11)*CELL("contenu",$B$7),COUNTA(FS13:FS13)*CELL("contenu",$B$12),COUNTA(FS15:FS17)*CELL("contenu",$B$14),COUNTA(FS19:FS19)*CELL("contenu",$B$18))=0,1,SUM(COUNTA(FS5:FS6)*CELL("contenu",$B$4),COUNTA(FS8:FS11)*CELL("contenu",$B$7),COUNTA(FS13:FS13)*CELL("contenu",$B$12),COUNTA(FS15:FS17)*CELL("contenu",$B$14),COUNTA(FS19:FS19)*CELL("contenu",$B$18))))</f>
        <v/>
      </c>
      <c r="FT20" s="116"/>
      <c r="FU20" s="192">
        <f ca="1">IF(COUNTA(FQ20:FS20)-COUNTBLANK(FQ20:FS20)=0,"",SUM(FQ20:FS20)/(COUNTA(FQ20:FS20)-COUNTBLANK(FQ20:FS20)))</f>
        <v>18.333333333333336</v>
      </c>
      <c r="FV20" s="182" t="str">
        <f ca="1">IF(COUNTA(FV5:FV19)=0,"",5*SUM(IFERROR((((COUNTIF(FV5:FV6,"A"))*4)+((COUNTIF(FV5:FV6,"B"))*3)+((COUNTIF(FV5:FV6,"C"))*2)+((COUNTIF(FV5:FV6,"D"))*1))*CELL("contenu",$B$4),0),IFERROR((((COUNTIF(FV8:FV11,"A"))*4)+((COUNTIF(FV8:FV11,"B"))*3)+((COUNTIF(FV8:FV11,"C"))*2)+((COUNTIF(FV8:FV11,"D"))*1))*CELL("contenu",$B$7),0),IFERROR((((COUNTIF(FV13:FV13,"A"))*4)+((COUNTIF(FV13:FV13,"B"))*3)+((COUNTIF(FV13:FV13,"C"))*2)+((COUNTIF(FV13:FV13,"D"))*1))*CELL("contenu",$B$12),0),IFERROR((((COUNTIF(FV15:FV17,"A"))*4)+((COUNTIF(FV15:FV17,"B"))*3)+((COUNTIF(FV15:FV17,"C"))*2)+((COUNTIF(FV15:FV17,"D"))*1))*CELL("contenu",$B$14),0),IFERROR((((COUNTIF(FV19:FV19,"A"))*4)+((COUNTIF(FV19:FV19,"B"))*3)+((COUNTIF(FV19:FV19,"C"))*2)+((COUNTIF(FV19:FV19,"D"))*1))*CELL("contenu",$B$18),0))/IF(SUM(COUNTA(FV5:FV6)*CELL("contenu",$B$4),COUNTA(FV8:FV11)*CELL("contenu",$B$7),COUNTA(FV13:FV13)*CELL("contenu",$B$12),COUNTA(FV15:FV17)*CELL("contenu",$B$14),COUNTA(FV19:FV19)*CELL("contenu",$B$18))=0,1,SUM(COUNTA(FV5:FV6)*CELL("contenu",$B$4),COUNTA(FV8:FV11)*CELL("contenu",$B$7),COUNTA(FV13:FV13)*CELL("contenu",$B$12),COUNTA(FV15:FV17)*CELL("contenu",$B$14),COUNTA(FV19:FV19)*CELL("contenu",$B$18))))</f>
        <v/>
      </c>
      <c r="FW20" s="183" t="str">
        <f ca="1">IF(COUNTA(FW5:FW19)=0,"",5*SUM(IFERROR((((COUNTIF(FW5:FW6,"A"))*4)+((COUNTIF(FW5:FW6,"B"))*3)+((COUNTIF(FW5:FW6,"C"))*2)+((COUNTIF(FW5:FW6,"D"))*1))*CELL("contenu",$B$4),0),IFERROR((((COUNTIF(FW8:FW11,"A"))*4)+((COUNTIF(FW8:FW11,"B"))*3)+((COUNTIF(FW8:FW11,"C"))*2)+((COUNTIF(FW8:FW11,"D"))*1))*CELL("contenu",$B$7),0),IFERROR((((COUNTIF(FW13:FW13,"A"))*4)+((COUNTIF(FW13:FW13,"B"))*3)+((COUNTIF(FW13:FW13,"C"))*2)+((COUNTIF(FW13:FW13,"D"))*1))*CELL("contenu",$B$12),0),IFERROR((((COUNTIF(FW15:FW17,"A"))*4)+((COUNTIF(FW15:FW17,"B"))*3)+((COUNTIF(FW15:FW17,"C"))*2)+((COUNTIF(FW15:FW17,"D"))*1))*CELL("contenu",$B$14),0),IFERROR((((COUNTIF(FW19:FW19,"A"))*4)+((COUNTIF(FW19:FW19,"B"))*3)+((COUNTIF(FW19:FW19,"C"))*2)+((COUNTIF(FW19:FW19,"D"))*1))*CELL("contenu",$B$18),0))/IF(SUM(COUNTA(FW5:FW6)*CELL("contenu",$B$4),COUNTA(FW8:FW11)*CELL("contenu",$B$7),COUNTA(FW13:FW13)*CELL("contenu",$B$12),COUNTA(FW15:FW17)*CELL("contenu",$B$14),COUNTA(FW19:FW19)*CELL("contenu",$B$18))=0,1,SUM(COUNTA(FW5:FW6)*CELL("contenu",$B$4),COUNTA(FW8:FW11)*CELL("contenu",$B$7),COUNTA(FW13:FW13)*CELL("contenu",$B$12),COUNTA(FW15:FW17)*CELL("contenu",$B$14),COUNTA(FW19:FW19)*CELL("contenu",$B$18))))</f>
        <v/>
      </c>
      <c r="FX20" s="184" t="str">
        <f ca="1">IF(COUNTA(FX5:FX19)=0,"",5*SUM(IFERROR((((COUNTIF(FX5:FX6,"A"))*4)+((COUNTIF(FX5:FX6,"B"))*3)+((COUNTIF(FX5:FX6,"C"))*2)+((COUNTIF(FX5:FX6,"D"))*1))*CELL("contenu",$B$4),0),IFERROR((((COUNTIF(FX8:FX11,"A"))*4)+((COUNTIF(FX8:FX11,"B"))*3)+((COUNTIF(FX8:FX11,"C"))*2)+((COUNTIF(FX8:FX11,"D"))*1))*CELL("contenu",$B$7),0),IFERROR((((COUNTIF(FX13:FX13,"A"))*4)+((COUNTIF(FX13:FX13,"B"))*3)+((COUNTIF(FX13:FX13,"C"))*2)+((COUNTIF(FX13:FX13,"D"))*1))*CELL("contenu",$B$12),0),IFERROR((((COUNTIF(FX15:FX17,"A"))*4)+((COUNTIF(FX15:FX17,"B"))*3)+((COUNTIF(FX15:FX17,"C"))*2)+((COUNTIF(FX15:FX17,"D"))*1))*CELL("contenu",$B$14),0),IFERROR((((COUNTIF(FX19:FX19,"A"))*4)+((COUNTIF(FX19:FX19,"B"))*3)+((COUNTIF(FX19:FX19,"C"))*2)+((COUNTIF(FX19:FX19,"D"))*1))*CELL("contenu",$B$18),0))/IF(SUM(COUNTA(FX5:FX6)*CELL("contenu",$B$4),COUNTA(FX8:FX11)*CELL("contenu",$B$7),COUNTA(FX13:FX13)*CELL("contenu",$B$12),COUNTA(FX15:FX17)*CELL("contenu",$B$14),COUNTA(FX19:FX19)*CELL("contenu",$B$18))=0,1,SUM(COUNTA(FX5:FX6)*CELL("contenu",$B$4),COUNTA(FX8:FX11)*CELL("contenu",$B$7),COUNTA(FX13:FX13)*CELL("contenu",$B$12),COUNTA(FX15:FX17)*CELL("contenu",$B$14),COUNTA(FX19:FX19)*CELL("contenu",$B$18))))</f>
        <v/>
      </c>
      <c r="FY20" s="176"/>
      <c r="FZ20" s="175" t="str">
        <f ca="1">IF(COUNTA(FV20:FX20)-COUNTBLANK(FV20:FX20)=0,"",SUM(FV20:FX20)/(COUNTA(FV20:FX20)-COUNTBLANK(FV20:FX20)))</f>
        <v/>
      </c>
      <c r="GA20" s="182" t="str">
        <f ca="1">IF(COUNTA(GA5:GA19)=0,"",5*SUM(IFERROR((((COUNTIF(GA5:GA6,"A"))*4)+((COUNTIF(GA5:GA6,"B"))*3)+((COUNTIF(GA5:GA6,"C"))*2)+((COUNTIF(GA5:GA6,"D"))*1))*CELL("contenu",$B$4),0),IFERROR((((COUNTIF(GA8:GA11,"A"))*4)+((COUNTIF(GA8:GA11,"B"))*3)+((COUNTIF(GA8:GA11,"C"))*2)+((COUNTIF(GA8:GA11,"D"))*1))*CELL("contenu",$B$7),0),IFERROR((((COUNTIF(GA13:GA13,"A"))*4)+((COUNTIF(GA13:GA13,"B"))*3)+((COUNTIF(GA13:GA13,"C"))*2)+((COUNTIF(GA13:GA13,"D"))*1))*CELL("contenu",$B$12),0),IFERROR((((COUNTIF(GA15:GA17,"A"))*4)+((COUNTIF(GA15:GA17,"B"))*3)+((COUNTIF(GA15:GA17,"C"))*2)+((COUNTIF(GA15:GA17,"D"))*1))*CELL("contenu",$B$14),0),IFERROR((((COUNTIF(GA19:GA19,"A"))*4)+((COUNTIF(GA19:GA19,"B"))*3)+((COUNTIF(GA19:GA19,"C"))*2)+((COUNTIF(GA19:GA19,"D"))*1))*CELL("contenu",$B$18),0))/IF(SUM(COUNTA(GA5:GA6)*CELL("contenu",$B$4),COUNTA(GA8:GA11)*CELL("contenu",$B$7),COUNTA(GA13:GA13)*CELL("contenu",$B$12),COUNTA(GA15:GA17)*CELL("contenu",$B$14),COUNTA(GA19:GA19)*CELL("contenu",$B$18))=0,1,SUM(COUNTA(GA5:GA6)*CELL("contenu",$B$4),COUNTA(GA8:GA11)*CELL("contenu",$B$7),COUNTA(GA13:GA13)*CELL("contenu",$B$12),COUNTA(GA15:GA17)*CELL("contenu",$B$14),COUNTA(GA19:GA19)*CELL("contenu",$B$18))))</f>
        <v/>
      </c>
      <c r="GB20" s="183" t="str">
        <f ca="1">IF(COUNTA(GB5:GB19)=0,"",5*SUM(IFERROR((((COUNTIF(GB5:GB6,"A"))*4)+((COUNTIF(GB5:GB6,"B"))*3)+((COUNTIF(GB5:GB6,"C"))*2)+((COUNTIF(GB5:GB6,"D"))*1))*CELL("contenu",$B$4),0),IFERROR((((COUNTIF(GB8:GB11,"A"))*4)+((COUNTIF(GB8:GB11,"B"))*3)+((COUNTIF(GB8:GB11,"C"))*2)+((COUNTIF(GB8:GB11,"D"))*1))*CELL("contenu",$B$7),0),IFERROR((((COUNTIF(GB13:GB13,"A"))*4)+((COUNTIF(GB13:GB13,"B"))*3)+((COUNTIF(GB13:GB13,"C"))*2)+((COUNTIF(GB13:GB13,"D"))*1))*CELL("contenu",$B$12),0),IFERROR((((COUNTIF(GB15:GB17,"A"))*4)+((COUNTIF(GB15:GB17,"B"))*3)+((COUNTIF(GB15:GB17,"C"))*2)+((COUNTIF(GB15:GB17,"D"))*1))*CELL("contenu",$B$14),0),IFERROR((((COUNTIF(GB19:GB19,"A"))*4)+((COUNTIF(GB19:GB19,"B"))*3)+((COUNTIF(GB19:GB19,"C"))*2)+((COUNTIF(GB19:GB19,"D"))*1))*CELL("contenu",$B$18),0))/IF(SUM(COUNTA(GB5:GB6)*CELL("contenu",$B$4),COUNTA(GB8:GB11)*CELL("contenu",$B$7),COUNTA(GB13:GB13)*CELL("contenu",$B$12),COUNTA(GB15:GB17)*CELL("contenu",$B$14),COUNTA(GB19:GB19)*CELL("contenu",$B$18))=0,1,SUM(COUNTA(GB5:GB6)*CELL("contenu",$B$4),COUNTA(GB8:GB11)*CELL("contenu",$B$7),COUNTA(GB13:GB13)*CELL("contenu",$B$12),COUNTA(GB15:GB17)*CELL("contenu",$B$14),COUNTA(GB19:GB19)*CELL("contenu",$B$18))))</f>
        <v/>
      </c>
      <c r="GC20" s="184" t="str">
        <f ca="1">IF(COUNTA(GC5:GC19)=0,"",5*SUM(IFERROR((((COUNTIF(GC5:GC6,"A"))*4)+((COUNTIF(GC5:GC6,"B"))*3)+((COUNTIF(GC5:GC6,"C"))*2)+((COUNTIF(GC5:GC6,"D"))*1))*CELL("contenu",$B$4),0),IFERROR((((COUNTIF(GC8:GC11,"A"))*4)+((COUNTIF(GC8:GC11,"B"))*3)+((COUNTIF(GC8:GC11,"C"))*2)+((COUNTIF(GC8:GC11,"D"))*1))*CELL("contenu",$B$7),0),IFERROR((((COUNTIF(GC13:GC13,"A"))*4)+((COUNTIF(GC13:GC13,"B"))*3)+((COUNTIF(GC13:GC13,"C"))*2)+((COUNTIF(GC13:GC13,"D"))*1))*CELL("contenu",$B$12),0),IFERROR((((COUNTIF(GC15:GC17,"A"))*4)+((COUNTIF(GC15:GC17,"B"))*3)+((COUNTIF(GC15:GC17,"C"))*2)+((COUNTIF(GC15:GC17,"D"))*1))*CELL("contenu",$B$14),0),IFERROR((((COUNTIF(GC19:GC19,"A"))*4)+((COUNTIF(GC19:GC19,"B"))*3)+((COUNTIF(GC19:GC19,"C"))*2)+((COUNTIF(GC19:GC19,"D"))*1))*CELL("contenu",$B$18),0))/IF(SUM(COUNTA(GC5:GC6)*CELL("contenu",$B$4),COUNTA(GC8:GC11)*CELL("contenu",$B$7),COUNTA(GC13:GC13)*CELL("contenu",$B$12),COUNTA(GC15:GC17)*CELL("contenu",$B$14),COUNTA(GC19:GC19)*CELL("contenu",$B$18))=0,1,SUM(COUNTA(GC5:GC6)*CELL("contenu",$B$4),COUNTA(GC8:GC11)*CELL("contenu",$B$7),COUNTA(GC13:GC13)*CELL("contenu",$B$12),COUNTA(GC15:GC17)*CELL("contenu",$B$14),COUNTA(GC19:GC19)*CELL("contenu",$B$18))))</f>
        <v/>
      </c>
      <c r="GD20" s="176"/>
      <c r="GE20" s="174" t="str">
        <f ca="1">IF(COUNTA(GA20:GC20)-COUNTBLANK(GA20:GC20)=0,"",SUM(GA20:GC20)/(COUNTA(GA20:GC20)-COUNTBLANK(GA20:GC20)))</f>
        <v/>
      </c>
      <c r="GF20" s="103"/>
      <c r="GG20" s="141"/>
      <c r="GH20" s="167">
        <f ca="1">IF(COUNTA(GH5:GH19)=0,"",5*SUM(IFERROR((((COUNTIF(GH5:GH6,"A"))*4)+((COUNTIF(GH5:GH6,"B"))*3)+((COUNTIF(GH5:GH6,"C"))*2)+((COUNTIF(GH5:GH6,"D"))*1))*CELL("contenu",$B$4),0),IFERROR((((COUNTIF(GH8:GH11,"A"))*4)+((COUNTIF(GH8:GH11,"B"))*3)+((COUNTIF(GH8:GH11,"C"))*2)+((COUNTIF(GH8:GH11,"D"))*1))*CELL("contenu",$B$7),0),IFERROR((((COUNTIF(GH13:GH13,"A"))*4)+((COUNTIF(GH13:GH13,"B"))*3)+((COUNTIF(GH13:GH13,"C"))*2)+((COUNTIF(GH13:GH13,"D"))*1))*CELL("contenu",$B$12),0),IFERROR((((COUNTIF(GH15:GH17,"A"))*4)+((COUNTIF(GH15:GH17,"B"))*3)+((COUNTIF(GH15:GH17,"C"))*2)+((COUNTIF(GH15:GH17,"D"))*1))*CELL("contenu",$B$14),0),IFERROR((((COUNTIF(GH19:GH19,"A"))*4)+((COUNTIF(GH19:GH19,"B"))*3)+((COUNTIF(GH19:GH19,"C"))*2)+((COUNTIF(GH19:GH19,"D"))*1))*CELL("contenu",$B$18),0))/IF(SUM(COUNTA(GH5:GH6)*CELL("contenu",$B$4),COUNTA(GH8:GH11)*CELL("contenu",$B$7),COUNTA(GH13:GH13)*CELL("contenu",$B$12),COUNTA(GH15:GH17)*CELL("contenu",$B$14),COUNTA(GH19:GH19)*CELL("contenu",$B$18))=0,1,SUM(COUNTA(GH5:GH6)*CELL("contenu",$B$4),COUNTA(GH8:GH11)*CELL("contenu",$B$7),COUNTA(GH13:GH13)*CELL("contenu",$B$12),COUNTA(GH15:GH17)*CELL("contenu",$B$14),COUNTA(GH19:GH19)*CELL("contenu",$B$18))))</f>
        <v>13.333333333333334</v>
      </c>
      <c r="GI20" s="168">
        <f ca="1">IF(COUNTA(GI5:GI19)=0,"",5*SUM(IFERROR((((COUNTIF(GI5:GI6,"A"))*4)+((COUNTIF(GI5:GI6,"B"))*3)+((COUNTIF(GI5:GI6,"C"))*2)+((COUNTIF(GI5:GI6,"D"))*1))*CELL("contenu",$B$4),0),IFERROR((((COUNTIF(GI8:GI11,"A"))*4)+((COUNTIF(GI8:GI11,"B"))*3)+((COUNTIF(GI8:GI11,"C"))*2)+((COUNTIF(GI8:GI11,"D"))*1))*CELL("contenu",$B$7),0),IFERROR((((COUNTIF(GI13:GI13,"A"))*4)+((COUNTIF(GI13:GI13,"B"))*3)+((COUNTIF(GI13:GI13,"C"))*2)+((COUNTIF(GI13:GI13,"D"))*1))*CELL("contenu",$B$12),0),IFERROR((((COUNTIF(GI15:GI17,"A"))*4)+((COUNTIF(GI15:GI17,"B"))*3)+((COUNTIF(GI15:GI17,"C"))*2)+((COUNTIF(GI15:GI17,"D"))*1))*CELL("contenu",$B$14),0),IFERROR((((COUNTIF(GI19:GI19,"A"))*4)+((COUNTIF(GI19:GI19,"B"))*3)+((COUNTIF(GI19:GI19,"C"))*2)+((COUNTIF(GI19:GI19,"D"))*1))*CELL("contenu",$B$18),0))/IF(SUM(COUNTA(GI5:GI6)*CELL("contenu",$B$4),COUNTA(GI8:GI11)*CELL("contenu",$B$7),COUNTA(GI13:GI13)*CELL("contenu",$B$12),COUNTA(GI15:GI17)*CELL("contenu",$B$14),COUNTA(GI19:GI19)*CELL("contenu",$B$18))=0,1,SUM(COUNTA(GI5:GI6)*CELL("contenu",$B$4),COUNTA(GI8:GI11)*CELL("contenu",$B$7),COUNTA(GI13:GI13)*CELL("contenu",$B$12),COUNTA(GI15:GI17)*CELL("contenu",$B$14),COUNTA(GI19:GI19)*CELL("contenu",$B$18))))</f>
        <v>16.666666666666668</v>
      </c>
      <c r="GJ20" s="169" t="str">
        <f ca="1">IF(COUNTA(GJ5:GJ19)=0,"",5*SUM(IFERROR((((COUNTIF(GJ5:GJ6,"A"))*4)+((COUNTIF(GJ5:GJ6,"B"))*3)+((COUNTIF(GJ5:GJ6,"C"))*2)+((COUNTIF(GJ5:GJ6,"D"))*1))*CELL("contenu",$B$4),0),IFERROR((((COUNTIF(GJ8:GJ11,"A"))*4)+((COUNTIF(GJ8:GJ11,"B"))*3)+((COUNTIF(GJ8:GJ11,"C"))*2)+((COUNTIF(GJ8:GJ11,"D"))*1))*CELL("contenu",$B$7),0),IFERROR((((COUNTIF(GJ13:GJ13,"A"))*4)+((COUNTIF(GJ13:GJ13,"B"))*3)+((COUNTIF(GJ13:GJ13,"C"))*2)+((COUNTIF(GJ13:GJ13,"D"))*1))*CELL("contenu",$B$12),0),IFERROR((((COUNTIF(GJ15:GJ17,"A"))*4)+((COUNTIF(GJ15:GJ17,"B"))*3)+((COUNTIF(GJ15:GJ17,"C"))*2)+((COUNTIF(GJ15:GJ17,"D"))*1))*CELL("contenu",$B$14),0),IFERROR((((COUNTIF(GJ19:GJ19,"A"))*4)+((COUNTIF(GJ19:GJ19,"B"))*3)+((COUNTIF(GJ19:GJ19,"C"))*2)+((COUNTIF(GJ19:GJ19,"D"))*1))*CELL("contenu",$B$18),0))/IF(SUM(COUNTA(GJ5:GJ6)*CELL("contenu",$B$4),COUNTA(GJ8:GJ11)*CELL("contenu",$B$7),COUNTA(GJ13:GJ13)*CELL("contenu",$B$12),COUNTA(GJ15:GJ17)*CELL("contenu",$B$14),COUNTA(GJ19:GJ19)*CELL("contenu",$B$18))=0,1,SUM(COUNTA(GJ5:GJ6)*CELL("contenu",$B$4),COUNTA(GJ8:GJ11)*CELL("contenu",$B$7),COUNTA(GJ13:GJ13)*CELL("contenu",$B$12),COUNTA(GJ15:GJ17)*CELL("contenu",$B$14),COUNTA(GJ19:GJ19)*CELL("contenu",$B$18))))</f>
        <v/>
      </c>
      <c r="GK20" s="116"/>
      <c r="GL20" s="192">
        <f ca="1">IF(COUNTA(GH20:GJ20)-COUNTBLANK(GH20:GJ20)=0,"",SUM(GH20:GJ20)/(COUNTA(GH20:GJ20)-COUNTBLANK(GH20:GJ20)))</f>
        <v>15</v>
      </c>
      <c r="GM20" s="182" t="str">
        <f ca="1">IF(COUNTA(GM5:GM19)=0,"",5*SUM(IFERROR((((COUNTIF(GM5:GM6,"A"))*4)+((COUNTIF(GM5:GM6,"B"))*3)+((COUNTIF(GM5:GM6,"C"))*2)+((COUNTIF(GM5:GM6,"D"))*1))*CELL("contenu",$B$4),0),IFERROR((((COUNTIF(GM8:GM11,"A"))*4)+((COUNTIF(GM8:GM11,"B"))*3)+((COUNTIF(GM8:GM11,"C"))*2)+((COUNTIF(GM8:GM11,"D"))*1))*CELL("contenu",$B$7),0),IFERROR((((COUNTIF(GM13:GM13,"A"))*4)+((COUNTIF(GM13:GM13,"B"))*3)+((COUNTIF(GM13:GM13,"C"))*2)+((COUNTIF(GM13:GM13,"D"))*1))*CELL("contenu",$B$12),0),IFERROR((((COUNTIF(GM15:GM17,"A"))*4)+((COUNTIF(GM15:GM17,"B"))*3)+((COUNTIF(GM15:GM17,"C"))*2)+((COUNTIF(GM15:GM17,"D"))*1))*CELL("contenu",$B$14),0),IFERROR((((COUNTIF(GM19:GM19,"A"))*4)+((COUNTIF(GM19:GM19,"B"))*3)+((COUNTIF(GM19:GM19,"C"))*2)+((COUNTIF(GM19:GM19,"D"))*1))*CELL("contenu",$B$18),0))/IF(SUM(COUNTA(GM5:GM6)*CELL("contenu",$B$4),COUNTA(GM8:GM11)*CELL("contenu",$B$7),COUNTA(GM13:GM13)*CELL("contenu",$B$12),COUNTA(GM15:GM17)*CELL("contenu",$B$14),COUNTA(GM19:GM19)*CELL("contenu",$B$18))=0,1,SUM(COUNTA(GM5:GM6)*CELL("contenu",$B$4),COUNTA(GM8:GM11)*CELL("contenu",$B$7),COUNTA(GM13:GM13)*CELL("contenu",$B$12),COUNTA(GM15:GM17)*CELL("contenu",$B$14),COUNTA(GM19:GM19)*CELL("contenu",$B$18))))</f>
        <v/>
      </c>
      <c r="GN20" s="183" t="str">
        <f ca="1">IF(COUNTA(GN5:GN19)=0,"",5*SUM(IFERROR((((COUNTIF(GN5:GN6,"A"))*4)+((COUNTIF(GN5:GN6,"B"))*3)+((COUNTIF(GN5:GN6,"C"))*2)+((COUNTIF(GN5:GN6,"D"))*1))*CELL("contenu",$B$4),0),IFERROR((((COUNTIF(GN8:GN11,"A"))*4)+((COUNTIF(GN8:GN11,"B"))*3)+((COUNTIF(GN8:GN11,"C"))*2)+((COUNTIF(GN8:GN11,"D"))*1))*CELL("contenu",$B$7),0),IFERROR((((COUNTIF(GN13:GN13,"A"))*4)+((COUNTIF(GN13:GN13,"B"))*3)+((COUNTIF(GN13:GN13,"C"))*2)+((COUNTIF(GN13:GN13,"D"))*1))*CELL("contenu",$B$12),0),IFERROR((((COUNTIF(GN15:GN17,"A"))*4)+((COUNTIF(GN15:GN17,"B"))*3)+((COUNTIF(GN15:GN17,"C"))*2)+((COUNTIF(GN15:GN17,"D"))*1))*CELL("contenu",$B$14),0),IFERROR((((COUNTIF(GN19:GN19,"A"))*4)+((COUNTIF(GN19:GN19,"B"))*3)+((COUNTIF(GN19:GN19,"C"))*2)+((COUNTIF(GN19:GN19,"D"))*1))*CELL("contenu",$B$18),0))/IF(SUM(COUNTA(GN5:GN6)*CELL("contenu",$B$4),COUNTA(GN8:GN11)*CELL("contenu",$B$7),COUNTA(GN13:GN13)*CELL("contenu",$B$12),COUNTA(GN15:GN17)*CELL("contenu",$B$14),COUNTA(GN19:GN19)*CELL("contenu",$B$18))=0,1,SUM(COUNTA(GN5:GN6)*CELL("contenu",$B$4),COUNTA(GN8:GN11)*CELL("contenu",$B$7),COUNTA(GN13:GN13)*CELL("contenu",$B$12),COUNTA(GN15:GN17)*CELL("contenu",$B$14),COUNTA(GN19:GN19)*CELL("contenu",$B$18))))</f>
        <v/>
      </c>
      <c r="GO20" s="184" t="str">
        <f ca="1">IF(COUNTA(GO5:GO19)=0,"",5*SUM(IFERROR((((COUNTIF(GO5:GO6,"A"))*4)+((COUNTIF(GO5:GO6,"B"))*3)+((COUNTIF(GO5:GO6,"C"))*2)+((COUNTIF(GO5:GO6,"D"))*1))*CELL("contenu",$B$4),0),IFERROR((((COUNTIF(GO8:GO11,"A"))*4)+((COUNTIF(GO8:GO11,"B"))*3)+((COUNTIF(GO8:GO11,"C"))*2)+((COUNTIF(GO8:GO11,"D"))*1))*CELL("contenu",$B$7),0),IFERROR((((COUNTIF(GO13:GO13,"A"))*4)+((COUNTIF(GO13:GO13,"B"))*3)+((COUNTIF(GO13:GO13,"C"))*2)+((COUNTIF(GO13:GO13,"D"))*1))*CELL("contenu",$B$12),0),IFERROR((((COUNTIF(GO15:GO17,"A"))*4)+((COUNTIF(GO15:GO17,"B"))*3)+((COUNTIF(GO15:GO17,"C"))*2)+((COUNTIF(GO15:GO17,"D"))*1))*CELL("contenu",$B$14),0),IFERROR((((COUNTIF(GO19:GO19,"A"))*4)+((COUNTIF(GO19:GO19,"B"))*3)+((COUNTIF(GO19:GO19,"C"))*2)+((COUNTIF(GO19:GO19,"D"))*1))*CELL("contenu",$B$18),0))/IF(SUM(COUNTA(GO5:GO6)*CELL("contenu",$B$4),COUNTA(GO8:GO11)*CELL("contenu",$B$7),COUNTA(GO13:GO13)*CELL("contenu",$B$12),COUNTA(GO15:GO17)*CELL("contenu",$B$14),COUNTA(GO19:GO19)*CELL("contenu",$B$18))=0,1,SUM(COUNTA(GO5:GO6)*CELL("contenu",$B$4),COUNTA(GO8:GO11)*CELL("contenu",$B$7),COUNTA(GO13:GO13)*CELL("contenu",$B$12),COUNTA(GO15:GO17)*CELL("contenu",$B$14),COUNTA(GO19:GO19)*CELL("contenu",$B$18))))</f>
        <v/>
      </c>
      <c r="GP20" s="176"/>
      <c r="GQ20" s="175" t="str">
        <f ca="1">IF(COUNTA(GM20:GO20)-COUNTBLANK(GM20:GO20)=0,"",SUM(GM20:GO20)/(COUNTA(GM20:GO20)-COUNTBLANK(GM20:GO20)))</f>
        <v/>
      </c>
      <c r="GR20" s="182" t="str">
        <f ca="1">IF(COUNTA(GR5:GR19)=0,"",5*SUM(IFERROR((((COUNTIF(GR5:GR6,"A"))*4)+((COUNTIF(GR5:GR6,"B"))*3)+((COUNTIF(GR5:GR6,"C"))*2)+((COUNTIF(GR5:GR6,"D"))*1))*CELL("contenu",$B$4),0),IFERROR((((COUNTIF(GR8:GR11,"A"))*4)+((COUNTIF(GR8:GR11,"B"))*3)+((COUNTIF(GR8:GR11,"C"))*2)+((COUNTIF(GR8:GR11,"D"))*1))*CELL("contenu",$B$7),0),IFERROR((((COUNTIF(GR13:GR13,"A"))*4)+((COUNTIF(GR13:GR13,"B"))*3)+((COUNTIF(GR13:GR13,"C"))*2)+((COUNTIF(GR13:GR13,"D"))*1))*CELL("contenu",$B$12),0),IFERROR((((COUNTIF(GR15:GR17,"A"))*4)+((COUNTIF(GR15:GR17,"B"))*3)+((COUNTIF(GR15:GR17,"C"))*2)+((COUNTIF(GR15:GR17,"D"))*1))*CELL("contenu",$B$14),0),IFERROR((((COUNTIF(GR19:GR19,"A"))*4)+((COUNTIF(GR19:GR19,"B"))*3)+((COUNTIF(GR19:GR19,"C"))*2)+((COUNTIF(GR19:GR19,"D"))*1))*CELL("contenu",$B$18),0))/IF(SUM(COUNTA(GR5:GR6)*CELL("contenu",$B$4),COUNTA(GR8:GR11)*CELL("contenu",$B$7),COUNTA(GR13:GR13)*CELL("contenu",$B$12),COUNTA(GR15:GR17)*CELL("contenu",$B$14),COUNTA(GR19:GR19)*CELL("contenu",$B$18))=0,1,SUM(COUNTA(GR5:GR6)*CELL("contenu",$B$4),COUNTA(GR8:GR11)*CELL("contenu",$B$7),COUNTA(GR13:GR13)*CELL("contenu",$B$12),COUNTA(GR15:GR17)*CELL("contenu",$B$14),COUNTA(GR19:GR19)*CELL("contenu",$B$18))))</f>
        <v/>
      </c>
      <c r="GS20" s="183" t="str">
        <f ca="1">IF(COUNTA(GS5:GS19)=0,"",5*SUM(IFERROR((((COUNTIF(GS5:GS6,"A"))*4)+((COUNTIF(GS5:GS6,"B"))*3)+((COUNTIF(GS5:GS6,"C"))*2)+((COUNTIF(GS5:GS6,"D"))*1))*CELL("contenu",$B$4),0),IFERROR((((COUNTIF(GS8:GS11,"A"))*4)+((COUNTIF(GS8:GS11,"B"))*3)+((COUNTIF(GS8:GS11,"C"))*2)+((COUNTIF(GS8:GS11,"D"))*1))*CELL("contenu",$B$7),0),IFERROR((((COUNTIF(GS13:GS13,"A"))*4)+((COUNTIF(GS13:GS13,"B"))*3)+((COUNTIF(GS13:GS13,"C"))*2)+((COUNTIF(GS13:GS13,"D"))*1))*CELL("contenu",$B$12),0),IFERROR((((COUNTIF(GS15:GS17,"A"))*4)+((COUNTIF(GS15:GS17,"B"))*3)+((COUNTIF(GS15:GS17,"C"))*2)+((COUNTIF(GS15:GS17,"D"))*1))*CELL("contenu",$B$14),0),IFERROR((((COUNTIF(GS19:GS19,"A"))*4)+((COUNTIF(GS19:GS19,"B"))*3)+((COUNTIF(GS19:GS19,"C"))*2)+((COUNTIF(GS19:GS19,"D"))*1))*CELL("contenu",$B$18),0))/IF(SUM(COUNTA(GS5:GS6)*CELL("contenu",$B$4),COUNTA(GS8:GS11)*CELL("contenu",$B$7),COUNTA(GS13:GS13)*CELL("contenu",$B$12),COUNTA(GS15:GS17)*CELL("contenu",$B$14),COUNTA(GS19:GS19)*CELL("contenu",$B$18))=0,1,SUM(COUNTA(GS5:GS6)*CELL("contenu",$B$4),COUNTA(GS8:GS11)*CELL("contenu",$B$7),COUNTA(GS13:GS13)*CELL("contenu",$B$12),COUNTA(GS15:GS17)*CELL("contenu",$B$14),COUNTA(GS19:GS19)*CELL("contenu",$B$18))))</f>
        <v/>
      </c>
      <c r="GT20" s="184" t="str">
        <f ca="1">IF(COUNTA(GT5:GT19)=0,"",5*SUM(IFERROR((((COUNTIF(GT5:GT6,"A"))*4)+((COUNTIF(GT5:GT6,"B"))*3)+((COUNTIF(GT5:GT6,"C"))*2)+((COUNTIF(GT5:GT6,"D"))*1))*CELL("contenu",$B$4),0),IFERROR((((COUNTIF(GT8:GT11,"A"))*4)+((COUNTIF(GT8:GT11,"B"))*3)+((COUNTIF(GT8:GT11,"C"))*2)+((COUNTIF(GT8:GT11,"D"))*1))*CELL("contenu",$B$7),0),IFERROR((((COUNTIF(GT13:GT13,"A"))*4)+((COUNTIF(GT13:GT13,"B"))*3)+((COUNTIF(GT13:GT13,"C"))*2)+((COUNTIF(GT13:GT13,"D"))*1))*CELL("contenu",$B$12),0),IFERROR((((COUNTIF(GT15:GT17,"A"))*4)+((COUNTIF(GT15:GT17,"B"))*3)+((COUNTIF(GT15:GT17,"C"))*2)+((COUNTIF(GT15:GT17,"D"))*1))*CELL("contenu",$B$14),0),IFERROR((((COUNTIF(GT19:GT19,"A"))*4)+((COUNTIF(GT19:GT19,"B"))*3)+((COUNTIF(GT19:GT19,"C"))*2)+((COUNTIF(GT19:GT19,"D"))*1))*CELL("contenu",$B$18),0))/IF(SUM(COUNTA(GT5:GT6)*CELL("contenu",$B$4),COUNTA(GT8:GT11)*CELL("contenu",$B$7),COUNTA(GT13:GT13)*CELL("contenu",$B$12),COUNTA(GT15:GT17)*CELL("contenu",$B$14),COUNTA(GT19:GT19)*CELL("contenu",$B$18))=0,1,SUM(COUNTA(GT5:GT6)*CELL("contenu",$B$4),COUNTA(GT8:GT11)*CELL("contenu",$B$7),COUNTA(GT13:GT13)*CELL("contenu",$B$12),COUNTA(GT15:GT17)*CELL("contenu",$B$14),COUNTA(GT19:GT19)*CELL("contenu",$B$18))))</f>
        <v/>
      </c>
      <c r="GU20" s="176"/>
      <c r="GV20" s="174" t="str">
        <f ca="1">IF(COUNTA(GR20:GT20)-COUNTBLANK(GR20:GT20)=0,"",SUM(GR20:GT20)/(COUNTA(GR20:GT20)-COUNTBLANK(GR20:GT20)))</f>
        <v/>
      </c>
      <c r="GW20" s="103"/>
      <c r="GX20" s="141"/>
      <c r="GY20" s="167">
        <f ca="1">IF(COUNTA(GY5:GY19)=0,"",5*SUM(IFERROR((((COUNTIF(GY5:GY6,"A"))*4)+((COUNTIF(GY5:GY6,"B"))*3)+((COUNTIF(GY5:GY6,"C"))*2)+((COUNTIF(GY5:GY6,"D"))*1))*CELL("contenu",$B$4),0),IFERROR((((COUNTIF(GY8:GY11,"A"))*4)+((COUNTIF(GY8:GY11,"B"))*3)+((COUNTIF(GY8:GY11,"C"))*2)+((COUNTIF(GY8:GY11,"D"))*1))*CELL("contenu",$B$7),0),IFERROR((((COUNTIF(GY13:GY13,"A"))*4)+((COUNTIF(GY13:GY13,"B"))*3)+((COUNTIF(GY13:GY13,"C"))*2)+((COUNTIF(GY13:GY13,"D"))*1))*CELL("contenu",$B$12),0),IFERROR((((COUNTIF(GY15:GY17,"A"))*4)+((COUNTIF(GY15:GY17,"B"))*3)+((COUNTIF(GY15:GY17,"C"))*2)+((COUNTIF(GY15:GY17,"D"))*1))*CELL("contenu",$B$14),0),IFERROR((((COUNTIF(GY19:GY19,"A"))*4)+((COUNTIF(GY19:GY19,"B"))*3)+((COUNTIF(GY19:GY19,"C"))*2)+((COUNTIF(GY19:GY19,"D"))*1))*CELL("contenu",$B$18),0))/IF(SUM(COUNTA(GY5:GY6)*CELL("contenu",$B$4),COUNTA(GY8:GY11)*CELL("contenu",$B$7),COUNTA(GY13:GY13)*CELL("contenu",$B$12),COUNTA(GY15:GY17)*CELL("contenu",$B$14),COUNTA(GY19:GY19)*CELL("contenu",$B$18))=0,1,SUM(COUNTA(GY5:GY6)*CELL("contenu",$B$4),COUNTA(GY8:GY11)*CELL("contenu",$B$7),COUNTA(GY13:GY13)*CELL("contenu",$B$12),COUNTA(GY15:GY17)*CELL("contenu",$B$14),COUNTA(GY19:GY19)*CELL("contenu",$B$18))))</f>
        <v>18.333333333333332</v>
      </c>
      <c r="GZ20" s="168">
        <f ca="1">IF(COUNTA(GZ5:GZ19)=0,"",5*SUM(IFERROR((((COUNTIF(GZ5:GZ6,"A"))*4)+((COUNTIF(GZ5:GZ6,"B"))*3)+((COUNTIF(GZ5:GZ6,"C"))*2)+((COUNTIF(GZ5:GZ6,"D"))*1))*CELL("contenu",$B$4),0),IFERROR((((COUNTIF(GZ8:GZ11,"A"))*4)+((COUNTIF(GZ8:GZ11,"B"))*3)+((COUNTIF(GZ8:GZ11,"C"))*2)+((COUNTIF(GZ8:GZ11,"D"))*1))*CELL("contenu",$B$7),0),IFERROR((((COUNTIF(GZ13:GZ13,"A"))*4)+((COUNTIF(GZ13:GZ13,"B"))*3)+((COUNTIF(GZ13:GZ13,"C"))*2)+((COUNTIF(GZ13:GZ13,"D"))*1))*CELL("contenu",$B$12),0),IFERROR((((COUNTIF(GZ15:GZ17,"A"))*4)+((COUNTIF(GZ15:GZ17,"B"))*3)+((COUNTIF(GZ15:GZ17,"C"))*2)+((COUNTIF(GZ15:GZ17,"D"))*1))*CELL("contenu",$B$14),0),IFERROR((((COUNTIF(GZ19:GZ19,"A"))*4)+((COUNTIF(GZ19:GZ19,"B"))*3)+((COUNTIF(GZ19:GZ19,"C"))*2)+((COUNTIF(GZ19:GZ19,"D"))*1))*CELL("contenu",$B$18),0))/IF(SUM(COUNTA(GZ5:GZ6)*CELL("contenu",$B$4),COUNTA(GZ8:GZ11)*CELL("contenu",$B$7),COUNTA(GZ13:GZ13)*CELL("contenu",$B$12),COUNTA(GZ15:GZ17)*CELL("contenu",$B$14),COUNTA(GZ19:GZ19)*CELL("contenu",$B$18))=0,1,SUM(COUNTA(GZ5:GZ6)*CELL("contenu",$B$4),COUNTA(GZ8:GZ11)*CELL("contenu",$B$7),COUNTA(GZ13:GZ13)*CELL("contenu",$B$12),COUNTA(GZ15:GZ17)*CELL("contenu",$B$14),COUNTA(GZ19:GZ19)*CELL("contenu",$B$18))))</f>
        <v>16.666666666666668</v>
      </c>
      <c r="HA20" s="169" t="str">
        <f ca="1">IF(COUNTA(HA5:HA19)=0,"",5*SUM(IFERROR((((COUNTIF(HA5:HA6,"A"))*4)+((COUNTIF(HA5:HA6,"B"))*3)+((COUNTIF(HA5:HA6,"C"))*2)+((COUNTIF(HA5:HA6,"D"))*1))*CELL("contenu",$B$4),0),IFERROR((((COUNTIF(HA8:HA11,"A"))*4)+((COUNTIF(HA8:HA11,"B"))*3)+((COUNTIF(HA8:HA11,"C"))*2)+((COUNTIF(HA8:HA11,"D"))*1))*CELL("contenu",$B$7),0),IFERROR((((COUNTIF(HA13:HA13,"A"))*4)+((COUNTIF(HA13:HA13,"B"))*3)+((COUNTIF(HA13:HA13,"C"))*2)+((COUNTIF(HA13:HA13,"D"))*1))*CELL("contenu",$B$12),0),IFERROR((((COUNTIF(HA15:HA17,"A"))*4)+((COUNTIF(HA15:HA17,"B"))*3)+((COUNTIF(HA15:HA17,"C"))*2)+((COUNTIF(HA15:HA17,"D"))*1))*CELL("contenu",$B$14),0),IFERROR((((COUNTIF(HA19:HA19,"A"))*4)+((COUNTIF(HA19:HA19,"B"))*3)+((COUNTIF(HA19:HA19,"C"))*2)+((COUNTIF(HA19:HA19,"D"))*1))*CELL("contenu",$B$18),0))/IF(SUM(COUNTA(HA5:HA6)*CELL("contenu",$B$4),COUNTA(HA8:HA11)*CELL("contenu",$B$7),COUNTA(HA13:HA13)*CELL("contenu",$B$12),COUNTA(HA15:HA17)*CELL("contenu",$B$14),COUNTA(HA19:HA19)*CELL("contenu",$B$18))=0,1,SUM(COUNTA(HA5:HA6)*CELL("contenu",$B$4),COUNTA(HA8:HA11)*CELL("contenu",$B$7),COUNTA(HA13:HA13)*CELL("contenu",$B$12),COUNTA(HA15:HA17)*CELL("contenu",$B$14),COUNTA(HA19:HA19)*CELL("contenu",$B$18))))</f>
        <v/>
      </c>
      <c r="HB20" s="116"/>
      <c r="HC20" s="192">
        <f ca="1">IF(COUNTA(GY20:HA20)-COUNTBLANK(GY20:HA20)=0,"",SUM(GY20:HA20)/(COUNTA(GY20:HA20)-COUNTBLANK(GY20:HA20)))</f>
        <v>17.5</v>
      </c>
      <c r="HD20" s="182" t="str">
        <f ca="1">IF(COUNTA(HD5:HD19)=0,"",5*SUM(IFERROR((((COUNTIF(HD5:HD6,"A"))*4)+((COUNTIF(HD5:HD6,"B"))*3)+((COUNTIF(HD5:HD6,"C"))*2)+((COUNTIF(HD5:HD6,"D"))*1))*CELL("contenu",$B$4),0),IFERROR((((COUNTIF(HD8:HD11,"A"))*4)+((COUNTIF(HD8:HD11,"B"))*3)+((COUNTIF(HD8:HD11,"C"))*2)+((COUNTIF(HD8:HD11,"D"))*1))*CELL("contenu",$B$7),0),IFERROR((((COUNTIF(HD13:HD13,"A"))*4)+((COUNTIF(HD13:HD13,"B"))*3)+((COUNTIF(HD13:HD13,"C"))*2)+((COUNTIF(HD13:HD13,"D"))*1))*CELL("contenu",$B$12),0),IFERROR((((COUNTIF(HD15:HD17,"A"))*4)+((COUNTIF(HD15:HD17,"B"))*3)+((COUNTIF(HD15:HD17,"C"))*2)+((COUNTIF(HD15:HD17,"D"))*1))*CELL("contenu",$B$14),0),IFERROR((((COUNTIF(HD19:HD19,"A"))*4)+((COUNTIF(HD19:HD19,"B"))*3)+((COUNTIF(HD19:HD19,"C"))*2)+((COUNTIF(HD19:HD19,"D"))*1))*CELL("contenu",$B$18),0))/IF(SUM(COUNTA(HD5:HD6)*CELL("contenu",$B$4),COUNTA(HD8:HD11)*CELL("contenu",$B$7),COUNTA(HD13:HD13)*CELL("contenu",$B$12),COUNTA(HD15:HD17)*CELL("contenu",$B$14),COUNTA(HD19:HD19)*CELL("contenu",$B$18))=0,1,SUM(COUNTA(HD5:HD6)*CELL("contenu",$B$4),COUNTA(HD8:HD11)*CELL("contenu",$B$7),COUNTA(HD13:HD13)*CELL("contenu",$B$12),COUNTA(HD15:HD17)*CELL("contenu",$B$14),COUNTA(HD19:HD19)*CELL("contenu",$B$18))))</f>
        <v/>
      </c>
      <c r="HE20" s="183" t="str">
        <f ca="1">IF(COUNTA(HE5:HE19)=0,"",5*SUM(IFERROR((((COUNTIF(HE5:HE6,"A"))*4)+((COUNTIF(HE5:HE6,"B"))*3)+((COUNTIF(HE5:HE6,"C"))*2)+((COUNTIF(HE5:HE6,"D"))*1))*CELL("contenu",$B$4),0),IFERROR((((COUNTIF(HE8:HE11,"A"))*4)+((COUNTIF(HE8:HE11,"B"))*3)+((COUNTIF(HE8:HE11,"C"))*2)+((COUNTIF(HE8:HE11,"D"))*1))*CELL("contenu",$B$7),0),IFERROR((((COUNTIF(HE13:HE13,"A"))*4)+((COUNTIF(HE13:HE13,"B"))*3)+((COUNTIF(HE13:HE13,"C"))*2)+((COUNTIF(HE13:HE13,"D"))*1))*CELL("contenu",$B$12),0),IFERROR((((COUNTIF(HE15:HE17,"A"))*4)+((COUNTIF(HE15:HE17,"B"))*3)+((COUNTIF(HE15:HE17,"C"))*2)+((COUNTIF(HE15:HE17,"D"))*1))*CELL("contenu",$B$14),0),IFERROR((((COUNTIF(HE19:HE19,"A"))*4)+((COUNTIF(HE19:HE19,"B"))*3)+((COUNTIF(HE19:HE19,"C"))*2)+((COUNTIF(HE19:HE19,"D"))*1))*CELL("contenu",$B$18),0))/IF(SUM(COUNTA(HE5:HE6)*CELL("contenu",$B$4),COUNTA(HE8:HE11)*CELL("contenu",$B$7),COUNTA(HE13:HE13)*CELL("contenu",$B$12),COUNTA(HE15:HE17)*CELL("contenu",$B$14),COUNTA(HE19:HE19)*CELL("contenu",$B$18))=0,1,SUM(COUNTA(HE5:HE6)*CELL("contenu",$B$4),COUNTA(HE8:HE11)*CELL("contenu",$B$7),COUNTA(HE13:HE13)*CELL("contenu",$B$12),COUNTA(HE15:HE17)*CELL("contenu",$B$14),COUNTA(HE19:HE19)*CELL("contenu",$B$18))))</f>
        <v/>
      </c>
      <c r="HF20" s="184" t="str">
        <f ca="1">IF(COUNTA(HF5:HF19)=0,"",5*SUM(IFERROR((((COUNTIF(HF5:HF6,"A"))*4)+((COUNTIF(HF5:HF6,"B"))*3)+((COUNTIF(HF5:HF6,"C"))*2)+((COUNTIF(HF5:HF6,"D"))*1))*CELL("contenu",$B$4),0),IFERROR((((COUNTIF(HF8:HF11,"A"))*4)+((COUNTIF(HF8:HF11,"B"))*3)+((COUNTIF(HF8:HF11,"C"))*2)+((COUNTIF(HF8:HF11,"D"))*1))*CELL("contenu",$B$7),0),IFERROR((((COUNTIF(HF13:HF13,"A"))*4)+((COUNTIF(HF13:HF13,"B"))*3)+((COUNTIF(HF13:HF13,"C"))*2)+((COUNTIF(HF13:HF13,"D"))*1))*CELL("contenu",$B$12),0),IFERROR((((COUNTIF(HF15:HF17,"A"))*4)+((COUNTIF(HF15:HF17,"B"))*3)+((COUNTIF(HF15:HF17,"C"))*2)+((COUNTIF(HF15:HF17,"D"))*1))*CELL("contenu",$B$14),0),IFERROR((((COUNTIF(HF19:HF19,"A"))*4)+((COUNTIF(HF19:HF19,"B"))*3)+((COUNTIF(HF19:HF19,"C"))*2)+((COUNTIF(HF19:HF19,"D"))*1))*CELL("contenu",$B$18),0))/IF(SUM(COUNTA(HF5:HF6)*CELL("contenu",$B$4),COUNTA(HF8:HF11)*CELL("contenu",$B$7),COUNTA(HF13:HF13)*CELL("contenu",$B$12),COUNTA(HF15:HF17)*CELL("contenu",$B$14),COUNTA(HF19:HF19)*CELL("contenu",$B$18))=0,1,SUM(COUNTA(HF5:HF6)*CELL("contenu",$B$4),COUNTA(HF8:HF11)*CELL("contenu",$B$7),COUNTA(HF13:HF13)*CELL("contenu",$B$12),COUNTA(HF15:HF17)*CELL("contenu",$B$14),COUNTA(HF19:HF19)*CELL("contenu",$B$18))))</f>
        <v/>
      </c>
      <c r="HG20" s="176"/>
      <c r="HH20" s="175" t="str">
        <f ca="1">IF(COUNTA(HD20:HF20)-COUNTBLANK(HD20:HF20)=0,"",SUM(HD20:HF20)/(COUNTA(HD20:HF20)-COUNTBLANK(HD20:HF20)))</f>
        <v/>
      </c>
      <c r="HI20" s="182" t="str">
        <f ca="1">IF(COUNTA(HI5:HI19)=0,"",5*SUM(IFERROR((((COUNTIF(HI5:HI6,"A"))*4)+((COUNTIF(HI5:HI6,"B"))*3)+((COUNTIF(HI5:HI6,"C"))*2)+((COUNTIF(HI5:HI6,"D"))*1))*CELL("contenu",$B$4),0),IFERROR((((COUNTIF(HI8:HI11,"A"))*4)+((COUNTIF(HI8:HI11,"B"))*3)+((COUNTIF(HI8:HI11,"C"))*2)+((COUNTIF(HI8:HI11,"D"))*1))*CELL("contenu",$B$7),0),IFERROR((((COUNTIF(HI13:HI13,"A"))*4)+((COUNTIF(HI13:HI13,"B"))*3)+((COUNTIF(HI13:HI13,"C"))*2)+((COUNTIF(HI13:HI13,"D"))*1))*CELL("contenu",$B$12),0),IFERROR((((COUNTIF(HI15:HI17,"A"))*4)+((COUNTIF(HI15:HI17,"B"))*3)+((COUNTIF(HI15:HI17,"C"))*2)+((COUNTIF(HI15:HI17,"D"))*1))*CELL("contenu",$B$14),0),IFERROR((((COUNTIF(HI19:HI19,"A"))*4)+((COUNTIF(HI19:HI19,"B"))*3)+((COUNTIF(HI19:HI19,"C"))*2)+((COUNTIF(HI19:HI19,"D"))*1))*CELL("contenu",$B$18),0))/IF(SUM(COUNTA(HI5:HI6)*CELL("contenu",$B$4),COUNTA(HI8:HI11)*CELL("contenu",$B$7),COUNTA(HI13:HI13)*CELL("contenu",$B$12),COUNTA(HI15:HI17)*CELL("contenu",$B$14),COUNTA(HI19:HI19)*CELL("contenu",$B$18))=0,1,SUM(COUNTA(HI5:HI6)*CELL("contenu",$B$4),COUNTA(HI8:HI11)*CELL("contenu",$B$7),COUNTA(HI13:HI13)*CELL("contenu",$B$12),COUNTA(HI15:HI17)*CELL("contenu",$B$14),COUNTA(HI19:HI19)*CELL("contenu",$B$18))))</f>
        <v/>
      </c>
      <c r="HJ20" s="183" t="str">
        <f ca="1">IF(COUNTA(HJ5:HJ19)=0,"",5*SUM(IFERROR((((COUNTIF(HJ5:HJ6,"A"))*4)+((COUNTIF(HJ5:HJ6,"B"))*3)+((COUNTIF(HJ5:HJ6,"C"))*2)+((COUNTIF(HJ5:HJ6,"D"))*1))*CELL("contenu",$B$4),0),IFERROR((((COUNTIF(HJ8:HJ11,"A"))*4)+((COUNTIF(HJ8:HJ11,"B"))*3)+((COUNTIF(HJ8:HJ11,"C"))*2)+((COUNTIF(HJ8:HJ11,"D"))*1))*CELL("contenu",$B$7),0),IFERROR((((COUNTIF(HJ13:HJ13,"A"))*4)+((COUNTIF(HJ13:HJ13,"B"))*3)+((COUNTIF(HJ13:HJ13,"C"))*2)+((COUNTIF(HJ13:HJ13,"D"))*1))*CELL("contenu",$B$12),0),IFERROR((((COUNTIF(HJ15:HJ17,"A"))*4)+((COUNTIF(HJ15:HJ17,"B"))*3)+((COUNTIF(HJ15:HJ17,"C"))*2)+((COUNTIF(HJ15:HJ17,"D"))*1))*CELL("contenu",$B$14),0),IFERROR((((COUNTIF(HJ19:HJ19,"A"))*4)+((COUNTIF(HJ19:HJ19,"B"))*3)+((COUNTIF(HJ19:HJ19,"C"))*2)+((COUNTIF(HJ19:HJ19,"D"))*1))*CELL("contenu",$B$18),0))/IF(SUM(COUNTA(HJ5:HJ6)*CELL("contenu",$B$4),COUNTA(HJ8:HJ11)*CELL("contenu",$B$7),COUNTA(HJ13:HJ13)*CELL("contenu",$B$12),COUNTA(HJ15:HJ17)*CELL("contenu",$B$14),COUNTA(HJ19:HJ19)*CELL("contenu",$B$18))=0,1,SUM(COUNTA(HJ5:HJ6)*CELL("contenu",$B$4),COUNTA(HJ8:HJ11)*CELL("contenu",$B$7),COUNTA(HJ13:HJ13)*CELL("contenu",$B$12),COUNTA(HJ15:HJ17)*CELL("contenu",$B$14),COUNTA(HJ19:HJ19)*CELL("contenu",$B$18))))</f>
        <v/>
      </c>
      <c r="HK20" s="184" t="str">
        <f ca="1">IF(COUNTA(HK5:HK19)=0,"",5*SUM(IFERROR((((COUNTIF(HK5:HK6,"A"))*4)+((COUNTIF(HK5:HK6,"B"))*3)+((COUNTIF(HK5:HK6,"C"))*2)+((COUNTIF(HK5:HK6,"D"))*1))*CELL("contenu",$B$4),0),IFERROR((((COUNTIF(HK8:HK11,"A"))*4)+((COUNTIF(HK8:HK11,"B"))*3)+((COUNTIF(HK8:HK11,"C"))*2)+((COUNTIF(HK8:HK11,"D"))*1))*CELL("contenu",$B$7),0),IFERROR((((COUNTIF(HK13:HK13,"A"))*4)+((COUNTIF(HK13:HK13,"B"))*3)+((COUNTIF(HK13:HK13,"C"))*2)+((COUNTIF(HK13:HK13,"D"))*1))*CELL("contenu",$B$12),0),IFERROR((((COUNTIF(HK15:HK17,"A"))*4)+((COUNTIF(HK15:HK17,"B"))*3)+((COUNTIF(HK15:HK17,"C"))*2)+((COUNTIF(HK15:HK17,"D"))*1))*CELL("contenu",$B$14),0),IFERROR((((COUNTIF(HK19:HK19,"A"))*4)+((COUNTIF(HK19:HK19,"B"))*3)+((COUNTIF(HK19:HK19,"C"))*2)+((COUNTIF(HK19:HK19,"D"))*1))*CELL("contenu",$B$18),0))/IF(SUM(COUNTA(HK5:HK6)*CELL("contenu",$B$4),COUNTA(HK8:HK11)*CELL("contenu",$B$7),COUNTA(HK13:HK13)*CELL("contenu",$B$12),COUNTA(HK15:HK17)*CELL("contenu",$B$14),COUNTA(HK19:HK19)*CELL("contenu",$B$18))=0,1,SUM(COUNTA(HK5:HK6)*CELL("contenu",$B$4),COUNTA(HK8:HK11)*CELL("contenu",$B$7),COUNTA(HK13:HK13)*CELL("contenu",$B$12),COUNTA(HK15:HK17)*CELL("contenu",$B$14),COUNTA(HK19:HK19)*CELL("contenu",$B$18))))</f>
        <v/>
      </c>
      <c r="HL20" s="176"/>
      <c r="HM20" s="174" t="str">
        <f ca="1">IF(COUNTA(HI20:HK20)-COUNTBLANK(HI20:HK20)=0,"",SUM(HI20:HK20)/(COUNTA(HI20:HK20)-COUNTBLANK(HI20:HK20)))</f>
        <v/>
      </c>
      <c r="HN20" s="103"/>
      <c r="HO20" s="141"/>
      <c r="HP20" s="167">
        <f ca="1">IF(COUNTA(HP5:HP19)=0,"",5*SUM(IFERROR((((COUNTIF(HP5:HP6,"A"))*4)+((COUNTIF(HP5:HP6,"B"))*3)+((COUNTIF(HP5:HP6,"C"))*2)+((COUNTIF(HP5:HP6,"D"))*1))*CELL("contenu",$B$4),0),IFERROR((((COUNTIF(HP8:HP11,"A"))*4)+((COUNTIF(HP8:HP11,"B"))*3)+((COUNTIF(HP8:HP11,"C"))*2)+((COUNTIF(HP8:HP11,"D"))*1))*CELL("contenu",$B$7),0),IFERROR((((COUNTIF(HP13:HP13,"A"))*4)+((COUNTIF(HP13:HP13,"B"))*3)+((COUNTIF(HP13:HP13,"C"))*2)+((COUNTIF(HP13:HP13,"D"))*1))*CELL("contenu",$B$12),0),IFERROR((((COUNTIF(HP15:HP17,"A"))*4)+((COUNTIF(HP15:HP17,"B"))*3)+((COUNTIF(HP15:HP17,"C"))*2)+((COUNTIF(HP15:HP17,"D"))*1))*CELL("contenu",$B$14),0),IFERROR((((COUNTIF(HP19:HP19,"A"))*4)+((COUNTIF(HP19:HP19,"B"))*3)+((COUNTIF(HP19:HP19,"C"))*2)+((COUNTIF(HP19:HP19,"D"))*1))*CELL("contenu",$B$18),0))/IF(SUM(COUNTA(HP5:HP6)*CELL("contenu",$B$4),COUNTA(HP8:HP11)*CELL("contenu",$B$7),COUNTA(HP13:HP13)*CELL("contenu",$B$12),COUNTA(HP15:HP17)*CELL("contenu",$B$14),COUNTA(HP19:HP19)*CELL("contenu",$B$18))=0,1,SUM(COUNTA(HP5:HP6)*CELL("contenu",$B$4),COUNTA(HP8:HP11)*CELL("contenu",$B$7),COUNTA(HP13:HP13)*CELL("contenu",$B$12),COUNTA(HP15:HP17)*CELL("contenu",$B$14),COUNTA(HP19:HP19)*CELL("contenu",$B$18))))</f>
        <v>18.333333333333332</v>
      </c>
      <c r="HQ20" s="168">
        <f ca="1">IF(COUNTA(HQ5:HQ19)=0,"",5*SUM(IFERROR((((COUNTIF(HQ5:HQ6,"A"))*4)+((COUNTIF(HQ5:HQ6,"B"))*3)+((COUNTIF(HQ5:HQ6,"C"))*2)+((COUNTIF(HQ5:HQ6,"D"))*1))*CELL("contenu",$B$4),0),IFERROR((((COUNTIF(HQ8:HQ11,"A"))*4)+((COUNTIF(HQ8:HQ11,"B"))*3)+((COUNTIF(HQ8:HQ11,"C"))*2)+((COUNTIF(HQ8:HQ11,"D"))*1))*CELL("contenu",$B$7),0),IFERROR((((COUNTIF(HQ13:HQ13,"A"))*4)+((COUNTIF(HQ13:HQ13,"B"))*3)+((COUNTIF(HQ13:HQ13,"C"))*2)+((COUNTIF(HQ13:HQ13,"D"))*1))*CELL("contenu",$B$12),0),IFERROR((((COUNTIF(HQ15:HQ17,"A"))*4)+((COUNTIF(HQ15:HQ17,"B"))*3)+((COUNTIF(HQ15:HQ17,"C"))*2)+((COUNTIF(HQ15:HQ17,"D"))*1))*CELL("contenu",$B$14),0),IFERROR((((COUNTIF(HQ19:HQ19,"A"))*4)+((COUNTIF(HQ19:HQ19,"B"))*3)+((COUNTIF(HQ19:HQ19,"C"))*2)+((COUNTIF(HQ19:HQ19,"D"))*1))*CELL("contenu",$B$18),0))/IF(SUM(COUNTA(HQ5:HQ6)*CELL("contenu",$B$4),COUNTA(HQ8:HQ11)*CELL("contenu",$B$7),COUNTA(HQ13:HQ13)*CELL("contenu",$B$12),COUNTA(HQ15:HQ17)*CELL("contenu",$B$14),COUNTA(HQ19:HQ19)*CELL("contenu",$B$18))=0,1,SUM(COUNTA(HQ5:HQ6)*CELL("contenu",$B$4),COUNTA(HQ8:HQ11)*CELL("contenu",$B$7),COUNTA(HQ13:HQ13)*CELL("contenu",$B$12),COUNTA(HQ15:HQ17)*CELL("contenu",$B$14),COUNTA(HQ19:HQ19)*CELL("contenu",$B$18))))</f>
        <v>16.666666666666668</v>
      </c>
      <c r="HR20" s="169" t="str">
        <f ca="1">IF(COUNTA(HR5:HR19)=0,"",5*SUM(IFERROR((((COUNTIF(HR5:HR6,"A"))*4)+((COUNTIF(HR5:HR6,"B"))*3)+((COUNTIF(HR5:HR6,"C"))*2)+((COUNTIF(HR5:HR6,"D"))*1))*CELL("contenu",$B$4),0),IFERROR((((COUNTIF(HR8:HR11,"A"))*4)+((COUNTIF(HR8:HR11,"B"))*3)+((COUNTIF(HR8:HR11,"C"))*2)+((COUNTIF(HR8:HR11,"D"))*1))*CELL("contenu",$B$7),0),IFERROR((((COUNTIF(HR13:HR13,"A"))*4)+((COUNTIF(HR13:HR13,"B"))*3)+((COUNTIF(HR13:HR13,"C"))*2)+((COUNTIF(HR13:HR13,"D"))*1))*CELL("contenu",$B$12),0),IFERROR((((COUNTIF(HR15:HR17,"A"))*4)+((COUNTIF(HR15:HR17,"B"))*3)+((COUNTIF(HR15:HR17,"C"))*2)+((COUNTIF(HR15:HR17,"D"))*1))*CELL("contenu",$B$14),0),IFERROR((((COUNTIF(HR19:HR19,"A"))*4)+((COUNTIF(HR19:HR19,"B"))*3)+((COUNTIF(HR19:HR19,"C"))*2)+((COUNTIF(HR19:HR19,"D"))*1))*CELL("contenu",$B$18),0))/IF(SUM(COUNTA(HR5:HR6)*CELL("contenu",$B$4),COUNTA(HR8:HR11)*CELL("contenu",$B$7),COUNTA(HR13:HR13)*CELL("contenu",$B$12),COUNTA(HR15:HR17)*CELL("contenu",$B$14),COUNTA(HR19:HR19)*CELL("contenu",$B$18))=0,1,SUM(COUNTA(HR5:HR6)*CELL("contenu",$B$4),COUNTA(HR8:HR11)*CELL("contenu",$B$7),COUNTA(HR13:HR13)*CELL("contenu",$B$12),COUNTA(HR15:HR17)*CELL("contenu",$B$14),COUNTA(HR19:HR19)*CELL("contenu",$B$18))))</f>
        <v/>
      </c>
      <c r="HS20" s="116"/>
      <c r="HT20" s="192">
        <f ca="1">IF(COUNTA(HP20:HR20)-COUNTBLANK(HP20:HR20)=0,"",SUM(HP20:HR20)/(COUNTA(HP20:HR20)-COUNTBLANK(HP20:HR20)))</f>
        <v>17.5</v>
      </c>
      <c r="HU20" s="182" t="str">
        <f ca="1">IF(COUNTA(HU5:HU19)=0,"",5*SUM(IFERROR((((COUNTIF(HU5:HU6,"A"))*4)+((COUNTIF(HU5:HU6,"B"))*3)+((COUNTIF(HU5:HU6,"C"))*2)+((COUNTIF(HU5:HU6,"D"))*1))*CELL("contenu",$B$4),0),IFERROR((((COUNTIF(HU8:HU11,"A"))*4)+((COUNTIF(HU8:HU11,"B"))*3)+((COUNTIF(HU8:HU11,"C"))*2)+((COUNTIF(HU8:HU11,"D"))*1))*CELL("contenu",$B$7),0),IFERROR((((COUNTIF(HU13:HU13,"A"))*4)+((COUNTIF(HU13:HU13,"B"))*3)+((COUNTIF(HU13:HU13,"C"))*2)+((COUNTIF(HU13:HU13,"D"))*1))*CELL("contenu",$B$12),0),IFERROR((((COUNTIF(HU15:HU17,"A"))*4)+((COUNTIF(HU15:HU17,"B"))*3)+((COUNTIF(HU15:HU17,"C"))*2)+((COUNTIF(HU15:HU17,"D"))*1))*CELL("contenu",$B$14),0),IFERROR((((COUNTIF(HU19:HU19,"A"))*4)+((COUNTIF(HU19:HU19,"B"))*3)+((COUNTIF(HU19:HU19,"C"))*2)+((COUNTIF(HU19:HU19,"D"))*1))*CELL("contenu",$B$18),0))/IF(SUM(COUNTA(HU5:HU6)*CELL("contenu",$B$4),COUNTA(HU8:HU11)*CELL("contenu",$B$7),COUNTA(HU13:HU13)*CELL("contenu",$B$12),COUNTA(HU15:HU17)*CELL("contenu",$B$14),COUNTA(HU19:HU19)*CELL("contenu",$B$18))=0,1,SUM(COUNTA(HU5:HU6)*CELL("contenu",$B$4),COUNTA(HU8:HU11)*CELL("contenu",$B$7),COUNTA(HU13:HU13)*CELL("contenu",$B$12),COUNTA(HU15:HU17)*CELL("contenu",$B$14),COUNTA(HU19:HU19)*CELL("contenu",$B$18))))</f>
        <v/>
      </c>
      <c r="HV20" s="183" t="str">
        <f ca="1">IF(COUNTA(HV5:HV19)=0,"",5*SUM(IFERROR((((COUNTIF(HV5:HV6,"A"))*4)+((COUNTIF(HV5:HV6,"B"))*3)+((COUNTIF(HV5:HV6,"C"))*2)+((COUNTIF(HV5:HV6,"D"))*1))*CELL("contenu",$B$4),0),IFERROR((((COUNTIF(HV8:HV11,"A"))*4)+((COUNTIF(HV8:HV11,"B"))*3)+((COUNTIF(HV8:HV11,"C"))*2)+((COUNTIF(HV8:HV11,"D"))*1))*CELL("contenu",$B$7),0),IFERROR((((COUNTIF(HV13:HV13,"A"))*4)+((COUNTIF(HV13:HV13,"B"))*3)+((COUNTIF(HV13:HV13,"C"))*2)+((COUNTIF(HV13:HV13,"D"))*1))*CELL("contenu",$B$12),0),IFERROR((((COUNTIF(HV15:HV17,"A"))*4)+((COUNTIF(HV15:HV17,"B"))*3)+((COUNTIF(HV15:HV17,"C"))*2)+((COUNTIF(HV15:HV17,"D"))*1))*CELL("contenu",$B$14),0),IFERROR((((COUNTIF(HV19:HV19,"A"))*4)+((COUNTIF(HV19:HV19,"B"))*3)+((COUNTIF(HV19:HV19,"C"))*2)+((COUNTIF(HV19:HV19,"D"))*1))*CELL("contenu",$B$18),0))/IF(SUM(COUNTA(HV5:HV6)*CELL("contenu",$B$4),COUNTA(HV8:HV11)*CELL("contenu",$B$7),COUNTA(HV13:HV13)*CELL("contenu",$B$12),COUNTA(HV15:HV17)*CELL("contenu",$B$14),COUNTA(HV19:HV19)*CELL("contenu",$B$18))=0,1,SUM(COUNTA(HV5:HV6)*CELL("contenu",$B$4),COUNTA(HV8:HV11)*CELL("contenu",$B$7),COUNTA(HV13:HV13)*CELL("contenu",$B$12),COUNTA(HV15:HV17)*CELL("contenu",$B$14),COUNTA(HV19:HV19)*CELL("contenu",$B$18))))</f>
        <v/>
      </c>
      <c r="HW20" s="184" t="str">
        <f ca="1">IF(COUNTA(HW5:HW19)=0,"",5*SUM(IFERROR((((COUNTIF(HW5:HW6,"A"))*4)+((COUNTIF(HW5:HW6,"B"))*3)+((COUNTIF(HW5:HW6,"C"))*2)+((COUNTIF(HW5:HW6,"D"))*1))*CELL("contenu",$B$4),0),IFERROR((((COUNTIF(HW8:HW11,"A"))*4)+((COUNTIF(HW8:HW11,"B"))*3)+((COUNTIF(HW8:HW11,"C"))*2)+((COUNTIF(HW8:HW11,"D"))*1))*CELL("contenu",$B$7),0),IFERROR((((COUNTIF(HW13:HW13,"A"))*4)+((COUNTIF(HW13:HW13,"B"))*3)+((COUNTIF(HW13:HW13,"C"))*2)+((COUNTIF(HW13:HW13,"D"))*1))*CELL("contenu",$B$12),0),IFERROR((((COUNTIF(HW15:HW17,"A"))*4)+((COUNTIF(HW15:HW17,"B"))*3)+((COUNTIF(HW15:HW17,"C"))*2)+((COUNTIF(HW15:HW17,"D"))*1))*CELL("contenu",$B$14),0),IFERROR((((COUNTIF(HW19:HW19,"A"))*4)+((COUNTIF(HW19:HW19,"B"))*3)+((COUNTIF(HW19:HW19,"C"))*2)+((COUNTIF(HW19:HW19,"D"))*1))*CELL("contenu",$B$18),0))/IF(SUM(COUNTA(HW5:HW6)*CELL("contenu",$B$4),COUNTA(HW8:HW11)*CELL("contenu",$B$7),COUNTA(HW13:HW13)*CELL("contenu",$B$12),COUNTA(HW15:HW17)*CELL("contenu",$B$14),COUNTA(HW19:HW19)*CELL("contenu",$B$18))=0,1,SUM(COUNTA(HW5:HW6)*CELL("contenu",$B$4),COUNTA(HW8:HW11)*CELL("contenu",$B$7),COUNTA(HW13:HW13)*CELL("contenu",$B$12),COUNTA(HW15:HW17)*CELL("contenu",$B$14),COUNTA(HW19:HW19)*CELL("contenu",$B$18))))</f>
        <v/>
      </c>
      <c r="HX20" s="176"/>
      <c r="HY20" s="175" t="str">
        <f ca="1">IF(COUNTA(HU20:HW20)-COUNTBLANK(HU20:HW20)=0,"",SUM(HU20:HW20)/(COUNTA(HU20:HW20)-COUNTBLANK(HU20:HW20)))</f>
        <v/>
      </c>
      <c r="HZ20" s="182" t="str">
        <f ca="1">IF(COUNTA(HZ5:HZ19)=0,"",5*SUM(IFERROR((((COUNTIF(HZ5:HZ6,"A"))*4)+((COUNTIF(HZ5:HZ6,"B"))*3)+((COUNTIF(HZ5:HZ6,"C"))*2)+((COUNTIF(HZ5:HZ6,"D"))*1))*CELL("contenu",$B$4),0),IFERROR((((COUNTIF(HZ8:HZ11,"A"))*4)+((COUNTIF(HZ8:HZ11,"B"))*3)+((COUNTIF(HZ8:HZ11,"C"))*2)+((COUNTIF(HZ8:HZ11,"D"))*1))*CELL("contenu",$B$7),0),IFERROR((((COUNTIF(HZ13:HZ13,"A"))*4)+((COUNTIF(HZ13:HZ13,"B"))*3)+((COUNTIF(HZ13:HZ13,"C"))*2)+((COUNTIF(HZ13:HZ13,"D"))*1))*CELL("contenu",$B$12),0),IFERROR((((COUNTIF(HZ15:HZ17,"A"))*4)+((COUNTIF(HZ15:HZ17,"B"))*3)+((COUNTIF(HZ15:HZ17,"C"))*2)+((COUNTIF(HZ15:HZ17,"D"))*1))*CELL("contenu",$B$14),0),IFERROR((((COUNTIF(HZ19:HZ19,"A"))*4)+((COUNTIF(HZ19:HZ19,"B"))*3)+((COUNTIF(HZ19:HZ19,"C"))*2)+((COUNTIF(HZ19:HZ19,"D"))*1))*CELL("contenu",$B$18),0))/IF(SUM(COUNTA(HZ5:HZ6)*CELL("contenu",$B$4),COUNTA(HZ8:HZ11)*CELL("contenu",$B$7),COUNTA(HZ13:HZ13)*CELL("contenu",$B$12),COUNTA(HZ15:HZ17)*CELL("contenu",$B$14),COUNTA(HZ19:HZ19)*CELL("contenu",$B$18))=0,1,SUM(COUNTA(HZ5:HZ6)*CELL("contenu",$B$4),COUNTA(HZ8:HZ11)*CELL("contenu",$B$7),COUNTA(HZ13:HZ13)*CELL("contenu",$B$12),COUNTA(HZ15:HZ17)*CELL("contenu",$B$14),COUNTA(HZ19:HZ19)*CELL("contenu",$B$18))))</f>
        <v/>
      </c>
      <c r="IA20" s="183" t="str">
        <f ca="1">IF(COUNTA(IA5:IA19)=0,"",5*SUM(IFERROR((((COUNTIF(IA5:IA6,"A"))*4)+((COUNTIF(IA5:IA6,"B"))*3)+((COUNTIF(IA5:IA6,"C"))*2)+((COUNTIF(IA5:IA6,"D"))*1))*CELL("contenu",$B$4),0),IFERROR((((COUNTIF(IA8:IA11,"A"))*4)+((COUNTIF(IA8:IA11,"B"))*3)+((COUNTIF(IA8:IA11,"C"))*2)+((COUNTIF(IA8:IA11,"D"))*1))*CELL("contenu",$B$7),0),IFERROR((((COUNTIF(IA13:IA13,"A"))*4)+((COUNTIF(IA13:IA13,"B"))*3)+((COUNTIF(IA13:IA13,"C"))*2)+((COUNTIF(IA13:IA13,"D"))*1))*CELL("contenu",$B$12),0),IFERROR((((COUNTIF(IA15:IA17,"A"))*4)+((COUNTIF(IA15:IA17,"B"))*3)+((COUNTIF(IA15:IA17,"C"))*2)+((COUNTIF(IA15:IA17,"D"))*1))*CELL("contenu",$B$14),0),IFERROR((((COUNTIF(IA19:IA19,"A"))*4)+((COUNTIF(IA19:IA19,"B"))*3)+((COUNTIF(IA19:IA19,"C"))*2)+((COUNTIF(IA19:IA19,"D"))*1))*CELL("contenu",$B$18),0))/IF(SUM(COUNTA(IA5:IA6)*CELL("contenu",$B$4),COUNTA(IA8:IA11)*CELL("contenu",$B$7),COUNTA(IA13:IA13)*CELL("contenu",$B$12),COUNTA(IA15:IA17)*CELL("contenu",$B$14),COUNTA(IA19:IA19)*CELL("contenu",$B$18))=0,1,SUM(COUNTA(IA5:IA6)*CELL("contenu",$B$4),COUNTA(IA8:IA11)*CELL("contenu",$B$7),COUNTA(IA13:IA13)*CELL("contenu",$B$12),COUNTA(IA15:IA17)*CELL("contenu",$B$14),COUNTA(IA19:IA19)*CELL("contenu",$B$18))))</f>
        <v/>
      </c>
      <c r="IB20" s="184" t="str">
        <f ca="1">IF(COUNTA(IB5:IB19)=0,"",5*SUM(IFERROR((((COUNTIF(IB5:IB6,"A"))*4)+((COUNTIF(IB5:IB6,"B"))*3)+((COUNTIF(IB5:IB6,"C"))*2)+((COUNTIF(IB5:IB6,"D"))*1))*CELL("contenu",$B$4),0),IFERROR((((COUNTIF(IB8:IB11,"A"))*4)+((COUNTIF(IB8:IB11,"B"))*3)+((COUNTIF(IB8:IB11,"C"))*2)+((COUNTIF(IB8:IB11,"D"))*1))*CELL("contenu",$B$7),0),IFERROR((((COUNTIF(IB13:IB13,"A"))*4)+((COUNTIF(IB13:IB13,"B"))*3)+((COUNTIF(IB13:IB13,"C"))*2)+((COUNTIF(IB13:IB13,"D"))*1))*CELL("contenu",$B$12),0),IFERROR((((COUNTIF(IB15:IB17,"A"))*4)+((COUNTIF(IB15:IB17,"B"))*3)+((COUNTIF(IB15:IB17,"C"))*2)+((COUNTIF(IB15:IB17,"D"))*1))*CELL("contenu",$B$14),0),IFERROR((((COUNTIF(IB19:IB19,"A"))*4)+((COUNTIF(IB19:IB19,"B"))*3)+((COUNTIF(IB19:IB19,"C"))*2)+((COUNTIF(IB19:IB19,"D"))*1))*CELL("contenu",$B$18),0))/IF(SUM(COUNTA(IB5:IB6)*CELL("contenu",$B$4),COUNTA(IB8:IB11)*CELL("contenu",$B$7),COUNTA(IB13:IB13)*CELL("contenu",$B$12),COUNTA(IB15:IB17)*CELL("contenu",$B$14),COUNTA(IB19:IB19)*CELL("contenu",$B$18))=0,1,SUM(COUNTA(IB5:IB6)*CELL("contenu",$B$4),COUNTA(IB8:IB11)*CELL("contenu",$B$7),COUNTA(IB13:IB13)*CELL("contenu",$B$12),COUNTA(IB15:IB17)*CELL("contenu",$B$14),COUNTA(IB19:IB19)*CELL("contenu",$B$18))))</f>
        <v/>
      </c>
      <c r="IC20" s="176"/>
      <c r="ID20" s="174" t="str">
        <f ca="1">IF(COUNTA(HZ20:IB20)-COUNTBLANK(HZ20:IB20)=0,"",SUM(HZ20:IB20)/(COUNTA(HZ20:IB20)-COUNTBLANK(HZ20:IB20)))</f>
        <v/>
      </c>
      <c r="IE20" s="103"/>
      <c r="IF20" s="141"/>
      <c r="IG20" s="167">
        <f ca="1">IF(COUNTA(IG5:IG19)=0,"",5*SUM(IFERROR((((COUNTIF(IG5:IG6,"A"))*4)+((COUNTIF(IG5:IG6,"B"))*3)+((COUNTIF(IG5:IG6,"C"))*2)+((COUNTIF(IG5:IG6,"D"))*1))*CELL("contenu",$B$4),0),IFERROR((((COUNTIF(IG8:IG11,"A"))*4)+((COUNTIF(IG8:IG11,"B"))*3)+((COUNTIF(IG8:IG11,"C"))*2)+((COUNTIF(IG8:IG11,"D"))*1))*CELL("contenu",$B$7),0),IFERROR((((COUNTIF(IG13:IG13,"A"))*4)+((COUNTIF(IG13:IG13,"B"))*3)+((COUNTIF(IG13:IG13,"C"))*2)+((COUNTIF(IG13:IG13,"D"))*1))*CELL("contenu",$B$12),0),IFERROR((((COUNTIF(IG15:IG17,"A"))*4)+((COUNTIF(IG15:IG17,"B"))*3)+((COUNTIF(IG15:IG17,"C"))*2)+((COUNTIF(IG15:IG17,"D"))*1))*CELL("contenu",$B$14),0),IFERROR((((COUNTIF(IG19:IG19,"A"))*4)+((COUNTIF(IG19:IG19,"B"))*3)+((COUNTIF(IG19:IG19,"C"))*2)+((COUNTIF(IG19:IG19,"D"))*1))*CELL("contenu",$B$18),0))/IF(SUM(COUNTA(IG5:IG6)*CELL("contenu",$B$4),COUNTA(IG8:IG11)*CELL("contenu",$B$7),COUNTA(IG13:IG13)*CELL("contenu",$B$12),COUNTA(IG15:IG17)*CELL("contenu",$B$14),COUNTA(IG19:IG19)*CELL("contenu",$B$18))=0,1,SUM(COUNTA(IG5:IG6)*CELL("contenu",$B$4),COUNTA(IG8:IG11)*CELL("contenu",$B$7),COUNTA(IG13:IG13)*CELL("contenu",$B$12),COUNTA(IG15:IG17)*CELL("contenu",$B$14),COUNTA(IG19:IG19)*CELL("contenu",$B$18))))</f>
        <v>18.333333333333332</v>
      </c>
      <c r="IH20" s="168">
        <f ca="1">IF(COUNTA(IH5:IH19)=0,"",5*SUM(IFERROR((((COUNTIF(IH5:IH6,"A"))*4)+((COUNTIF(IH5:IH6,"B"))*3)+((COUNTIF(IH5:IH6,"C"))*2)+((COUNTIF(IH5:IH6,"D"))*1))*CELL("contenu",$B$4),0),IFERROR((((COUNTIF(IH8:IH11,"A"))*4)+((COUNTIF(IH8:IH11,"B"))*3)+((COUNTIF(IH8:IH11,"C"))*2)+((COUNTIF(IH8:IH11,"D"))*1))*CELL("contenu",$B$7),0),IFERROR((((COUNTIF(IH13:IH13,"A"))*4)+((COUNTIF(IH13:IH13,"B"))*3)+((COUNTIF(IH13:IH13,"C"))*2)+((COUNTIF(IH13:IH13,"D"))*1))*CELL("contenu",$B$12),0),IFERROR((((COUNTIF(IH15:IH17,"A"))*4)+((COUNTIF(IH15:IH17,"B"))*3)+((COUNTIF(IH15:IH17,"C"))*2)+((COUNTIF(IH15:IH17,"D"))*1))*CELL("contenu",$B$14),0),IFERROR((((COUNTIF(IH19:IH19,"A"))*4)+((COUNTIF(IH19:IH19,"B"))*3)+((COUNTIF(IH19:IH19,"C"))*2)+((COUNTIF(IH19:IH19,"D"))*1))*CELL("contenu",$B$18),0))/IF(SUM(COUNTA(IH5:IH6)*CELL("contenu",$B$4),COUNTA(IH8:IH11)*CELL("contenu",$B$7),COUNTA(IH13:IH13)*CELL("contenu",$B$12),COUNTA(IH15:IH17)*CELL("contenu",$B$14),COUNTA(IH19:IH19)*CELL("contenu",$B$18))=0,1,SUM(COUNTA(IH5:IH6)*CELL("contenu",$B$4),COUNTA(IH8:IH11)*CELL("contenu",$B$7),COUNTA(IH13:IH13)*CELL("contenu",$B$12),COUNTA(IH15:IH17)*CELL("contenu",$B$14),COUNTA(IH19:IH19)*CELL("contenu",$B$18))))</f>
        <v>13.333333333333334</v>
      </c>
      <c r="II20" s="169" t="str">
        <f ca="1">IF(COUNTA(II5:II19)=0,"",5*SUM(IFERROR((((COUNTIF(II5:II6,"A"))*4)+((COUNTIF(II5:II6,"B"))*3)+((COUNTIF(II5:II6,"C"))*2)+((COUNTIF(II5:II6,"D"))*1))*CELL("contenu",$B$4),0),IFERROR((((COUNTIF(II8:II11,"A"))*4)+((COUNTIF(II8:II11,"B"))*3)+((COUNTIF(II8:II11,"C"))*2)+((COUNTIF(II8:II11,"D"))*1))*CELL("contenu",$B$7),0),IFERROR((((COUNTIF(II13:II13,"A"))*4)+((COUNTIF(II13:II13,"B"))*3)+((COUNTIF(II13:II13,"C"))*2)+((COUNTIF(II13:II13,"D"))*1))*CELL("contenu",$B$12),0),IFERROR((((COUNTIF(II15:II17,"A"))*4)+((COUNTIF(II15:II17,"B"))*3)+((COUNTIF(II15:II17,"C"))*2)+((COUNTIF(II15:II17,"D"))*1))*CELL("contenu",$B$14),0),IFERROR((((COUNTIF(II19:II19,"A"))*4)+((COUNTIF(II19:II19,"B"))*3)+((COUNTIF(II19:II19,"C"))*2)+((COUNTIF(II19:II19,"D"))*1))*CELL("contenu",$B$18),0))/IF(SUM(COUNTA(II5:II6)*CELL("contenu",$B$4),COUNTA(II8:II11)*CELL("contenu",$B$7),COUNTA(II13:II13)*CELL("contenu",$B$12),COUNTA(II15:II17)*CELL("contenu",$B$14),COUNTA(II19:II19)*CELL("contenu",$B$18))=0,1,SUM(COUNTA(II5:II6)*CELL("contenu",$B$4),COUNTA(II8:II11)*CELL("contenu",$B$7),COUNTA(II13:II13)*CELL("contenu",$B$12),COUNTA(II15:II17)*CELL("contenu",$B$14),COUNTA(II19:II19)*CELL("contenu",$B$18))))</f>
        <v/>
      </c>
      <c r="IJ20" s="116"/>
      <c r="IK20" s="192">
        <f ca="1">IF(COUNTA(IG20:II20)-COUNTBLANK(IG20:II20)=0,"",SUM(IG20:II20)/(COUNTA(IG20:II20)-COUNTBLANK(IG20:II20)))</f>
        <v>15.833333333333332</v>
      </c>
      <c r="IL20" s="182" t="str">
        <f ca="1">IF(COUNTA(IL5:IL19)=0,"",5*SUM(IFERROR((((COUNTIF(IL5:IL6,"A"))*4)+((COUNTIF(IL5:IL6,"B"))*3)+((COUNTIF(IL5:IL6,"C"))*2)+((COUNTIF(IL5:IL6,"D"))*1))*CELL("contenu",$B$4),0),IFERROR((((COUNTIF(IL8:IL11,"A"))*4)+((COUNTIF(IL8:IL11,"B"))*3)+((COUNTIF(IL8:IL11,"C"))*2)+((COUNTIF(IL8:IL11,"D"))*1))*CELL("contenu",$B$7),0),IFERROR((((COUNTIF(IL13:IL13,"A"))*4)+((COUNTIF(IL13:IL13,"B"))*3)+((COUNTIF(IL13:IL13,"C"))*2)+((COUNTIF(IL13:IL13,"D"))*1))*CELL("contenu",$B$12),0),IFERROR((((COUNTIF(IL15:IL17,"A"))*4)+((COUNTIF(IL15:IL17,"B"))*3)+((COUNTIF(IL15:IL17,"C"))*2)+((COUNTIF(IL15:IL17,"D"))*1))*CELL("contenu",$B$14),0),IFERROR((((COUNTIF(IL19:IL19,"A"))*4)+((COUNTIF(IL19:IL19,"B"))*3)+((COUNTIF(IL19:IL19,"C"))*2)+((COUNTIF(IL19:IL19,"D"))*1))*CELL("contenu",$B$18),0))/IF(SUM(COUNTA(IL5:IL6)*CELL("contenu",$B$4),COUNTA(IL8:IL11)*CELL("contenu",$B$7),COUNTA(IL13:IL13)*CELL("contenu",$B$12),COUNTA(IL15:IL17)*CELL("contenu",$B$14),COUNTA(IL19:IL19)*CELL("contenu",$B$18))=0,1,SUM(COUNTA(IL5:IL6)*CELL("contenu",$B$4),COUNTA(IL8:IL11)*CELL("contenu",$B$7),COUNTA(IL13:IL13)*CELL("contenu",$B$12),COUNTA(IL15:IL17)*CELL("contenu",$B$14),COUNTA(IL19:IL19)*CELL("contenu",$B$18))))</f>
        <v/>
      </c>
      <c r="IM20" s="183" t="str">
        <f ca="1">IF(COUNTA(IM5:IM19)=0,"",5*SUM(IFERROR((((COUNTIF(IM5:IM6,"A"))*4)+((COUNTIF(IM5:IM6,"B"))*3)+((COUNTIF(IM5:IM6,"C"))*2)+((COUNTIF(IM5:IM6,"D"))*1))*CELL("contenu",$B$4),0),IFERROR((((COUNTIF(IM8:IM11,"A"))*4)+((COUNTIF(IM8:IM11,"B"))*3)+((COUNTIF(IM8:IM11,"C"))*2)+((COUNTIF(IM8:IM11,"D"))*1))*CELL("contenu",$B$7),0),IFERROR((((COUNTIF(IM13:IM13,"A"))*4)+((COUNTIF(IM13:IM13,"B"))*3)+((COUNTIF(IM13:IM13,"C"))*2)+((COUNTIF(IM13:IM13,"D"))*1))*CELL("contenu",$B$12),0),IFERROR((((COUNTIF(IM15:IM17,"A"))*4)+((COUNTIF(IM15:IM17,"B"))*3)+((COUNTIF(IM15:IM17,"C"))*2)+((COUNTIF(IM15:IM17,"D"))*1))*CELL("contenu",$B$14),0),IFERROR((((COUNTIF(IM19:IM19,"A"))*4)+((COUNTIF(IM19:IM19,"B"))*3)+((COUNTIF(IM19:IM19,"C"))*2)+((COUNTIF(IM19:IM19,"D"))*1))*CELL("contenu",$B$18),0))/IF(SUM(COUNTA(IM5:IM6)*CELL("contenu",$B$4),COUNTA(IM8:IM11)*CELL("contenu",$B$7),COUNTA(IM13:IM13)*CELL("contenu",$B$12),COUNTA(IM15:IM17)*CELL("contenu",$B$14),COUNTA(IM19:IM19)*CELL("contenu",$B$18))=0,1,SUM(COUNTA(IM5:IM6)*CELL("contenu",$B$4),COUNTA(IM8:IM11)*CELL("contenu",$B$7),COUNTA(IM13:IM13)*CELL("contenu",$B$12),COUNTA(IM15:IM17)*CELL("contenu",$B$14),COUNTA(IM19:IM19)*CELL("contenu",$B$18))))</f>
        <v/>
      </c>
      <c r="IN20" s="184" t="str">
        <f ca="1">IF(COUNTA(IN5:IN19)=0,"",5*SUM(IFERROR((((COUNTIF(IN5:IN6,"A"))*4)+((COUNTIF(IN5:IN6,"B"))*3)+((COUNTIF(IN5:IN6,"C"))*2)+((COUNTIF(IN5:IN6,"D"))*1))*CELL("contenu",$B$4),0),IFERROR((((COUNTIF(IN8:IN11,"A"))*4)+((COUNTIF(IN8:IN11,"B"))*3)+((COUNTIF(IN8:IN11,"C"))*2)+((COUNTIF(IN8:IN11,"D"))*1))*CELL("contenu",$B$7),0),IFERROR((((COUNTIF(IN13:IN13,"A"))*4)+((COUNTIF(IN13:IN13,"B"))*3)+((COUNTIF(IN13:IN13,"C"))*2)+((COUNTIF(IN13:IN13,"D"))*1))*CELL("contenu",$B$12),0),IFERROR((((COUNTIF(IN15:IN17,"A"))*4)+((COUNTIF(IN15:IN17,"B"))*3)+((COUNTIF(IN15:IN17,"C"))*2)+((COUNTIF(IN15:IN17,"D"))*1))*CELL("contenu",$B$14),0),IFERROR((((COUNTIF(IN19:IN19,"A"))*4)+((COUNTIF(IN19:IN19,"B"))*3)+((COUNTIF(IN19:IN19,"C"))*2)+((COUNTIF(IN19:IN19,"D"))*1))*CELL("contenu",$B$18),0))/IF(SUM(COUNTA(IN5:IN6)*CELL("contenu",$B$4),COUNTA(IN8:IN11)*CELL("contenu",$B$7),COUNTA(IN13:IN13)*CELL("contenu",$B$12),COUNTA(IN15:IN17)*CELL("contenu",$B$14),COUNTA(IN19:IN19)*CELL("contenu",$B$18))=0,1,SUM(COUNTA(IN5:IN6)*CELL("contenu",$B$4),COUNTA(IN8:IN11)*CELL("contenu",$B$7),COUNTA(IN13:IN13)*CELL("contenu",$B$12),COUNTA(IN15:IN17)*CELL("contenu",$B$14),COUNTA(IN19:IN19)*CELL("contenu",$B$18))))</f>
        <v/>
      </c>
      <c r="IO20" s="176"/>
      <c r="IP20" s="175" t="str">
        <f ca="1">IF(COUNTA(IL20:IN20)-COUNTBLANK(IL20:IN20)=0,"",SUM(IL20:IN20)/(COUNTA(IL20:IN20)-COUNTBLANK(IL20:IN20)))</f>
        <v/>
      </c>
      <c r="IQ20" s="182" t="str">
        <f ca="1">IF(COUNTA(IQ5:IQ19)=0,"",5*SUM(IFERROR((((COUNTIF(IQ5:IQ6,"A"))*4)+((COUNTIF(IQ5:IQ6,"B"))*3)+((COUNTIF(IQ5:IQ6,"C"))*2)+((COUNTIF(IQ5:IQ6,"D"))*1))*CELL("contenu",$B$4),0),IFERROR((((COUNTIF(IQ8:IQ11,"A"))*4)+((COUNTIF(IQ8:IQ11,"B"))*3)+((COUNTIF(IQ8:IQ11,"C"))*2)+((COUNTIF(IQ8:IQ11,"D"))*1))*CELL("contenu",$B$7),0),IFERROR((((COUNTIF(IQ13:IQ13,"A"))*4)+((COUNTIF(IQ13:IQ13,"B"))*3)+((COUNTIF(IQ13:IQ13,"C"))*2)+((COUNTIF(IQ13:IQ13,"D"))*1))*CELL("contenu",$B$12),0),IFERROR((((COUNTIF(IQ15:IQ17,"A"))*4)+((COUNTIF(IQ15:IQ17,"B"))*3)+((COUNTIF(IQ15:IQ17,"C"))*2)+((COUNTIF(IQ15:IQ17,"D"))*1))*CELL("contenu",$B$14),0),IFERROR((((COUNTIF(IQ19:IQ19,"A"))*4)+((COUNTIF(IQ19:IQ19,"B"))*3)+((COUNTIF(IQ19:IQ19,"C"))*2)+((COUNTIF(IQ19:IQ19,"D"))*1))*CELL("contenu",$B$18),0))/IF(SUM(COUNTA(IQ5:IQ6)*CELL("contenu",$B$4),COUNTA(IQ8:IQ11)*CELL("contenu",$B$7),COUNTA(IQ13:IQ13)*CELL("contenu",$B$12),COUNTA(IQ15:IQ17)*CELL("contenu",$B$14),COUNTA(IQ19:IQ19)*CELL("contenu",$B$18))=0,1,SUM(COUNTA(IQ5:IQ6)*CELL("contenu",$B$4),COUNTA(IQ8:IQ11)*CELL("contenu",$B$7),COUNTA(IQ13:IQ13)*CELL("contenu",$B$12),COUNTA(IQ15:IQ17)*CELL("contenu",$B$14),COUNTA(IQ19:IQ19)*CELL("contenu",$B$18))))</f>
        <v/>
      </c>
      <c r="IR20" s="183" t="str">
        <f ca="1">IF(COUNTA(IR5:IR19)=0,"",5*SUM(IFERROR((((COUNTIF(IR5:IR6,"A"))*4)+((COUNTIF(IR5:IR6,"B"))*3)+((COUNTIF(IR5:IR6,"C"))*2)+((COUNTIF(IR5:IR6,"D"))*1))*CELL("contenu",$B$4),0),IFERROR((((COUNTIF(IR8:IR11,"A"))*4)+((COUNTIF(IR8:IR11,"B"))*3)+((COUNTIF(IR8:IR11,"C"))*2)+((COUNTIF(IR8:IR11,"D"))*1))*CELL("contenu",$B$7),0),IFERROR((((COUNTIF(IR13:IR13,"A"))*4)+((COUNTIF(IR13:IR13,"B"))*3)+((COUNTIF(IR13:IR13,"C"))*2)+((COUNTIF(IR13:IR13,"D"))*1))*CELL("contenu",$B$12),0),IFERROR((((COUNTIF(IR15:IR17,"A"))*4)+((COUNTIF(IR15:IR17,"B"))*3)+((COUNTIF(IR15:IR17,"C"))*2)+((COUNTIF(IR15:IR17,"D"))*1))*CELL("contenu",$B$14),0),IFERROR((((COUNTIF(IR19:IR19,"A"))*4)+((COUNTIF(IR19:IR19,"B"))*3)+((COUNTIF(IR19:IR19,"C"))*2)+((COUNTIF(IR19:IR19,"D"))*1))*CELL("contenu",$B$18),0))/IF(SUM(COUNTA(IR5:IR6)*CELL("contenu",$B$4),COUNTA(IR8:IR11)*CELL("contenu",$B$7),COUNTA(IR13:IR13)*CELL("contenu",$B$12),COUNTA(IR15:IR17)*CELL("contenu",$B$14),COUNTA(IR19:IR19)*CELL("contenu",$B$18))=0,1,SUM(COUNTA(IR5:IR6)*CELL("contenu",$B$4),COUNTA(IR8:IR11)*CELL("contenu",$B$7),COUNTA(IR13:IR13)*CELL("contenu",$B$12),COUNTA(IR15:IR17)*CELL("contenu",$B$14),COUNTA(IR19:IR19)*CELL("contenu",$B$18))))</f>
        <v/>
      </c>
      <c r="IS20" s="184" t="str">
        <f ca="1">IF(COUNTA(IS5:IS19)=0,"",5*SUM(IFERROR((((COUNTIF(IS5:IS6,"A"))*4)+((COUNTIF(IS5:IS6,"B"))*3)+((COUNTIF(IS5:IS6,"C"))*2)+((COUNTIF(IS5:IS6,"D"))*1))*CELL("contenu",$B$4),0),IFERROR((((COUNTIF(IS8:IS11,"A"))*4)+((COUNTIF(IS8:IS11,"B"))*3)+((COUNTIF(IS8:IS11,"C"))*2)+((COUNTIF(IS8:IS11,"D"))*1))*CELL("contenu",$B$7),0),IFERROR((((COUNTIF(IS13:IS13,"A"))*4)+((COUNTIF(IS13:IS13,"B"))*3)+((COUNTIF(IS13:IS13,"C"))*2)+((COUNTIF(IS13:IS13,"D"))*1))*CELL("contenu",$B$12),0),IFERROR((((COUNTIF(IS15:IS17,"A"))*4)+((COUNTIF(IS15:IS17,"B"))*3)+((COUNTIF(IS15:IS17,"C"))*2)+((COUNTIF(IS15:IS17,"D"))*1))*CELL("contenu",$B$14),0),IFERROR((((COUNTIF(IS19:IS19,"A"))*4)+((COUNTIF(IS19:IS19,"B"))*3)+((COUNTIF(IS19:IS19,"C"))*2)+((COUNTIF(IS19:IS19,"D"))*1))*CELL("contenu",$B$18),0))/IF(SUM(COUNTA(IS5:IS6)*CELL("contenu",$B$4),COUNTA(IS8:IS11)*CELL("contenu",$B$7),COUNTA(IS13:IS13)*CELL("contenu",$B$12),COUNTA(IS15:IS17)*CELL("contenu",$B$14),COUNTA(IS19:IS19)*CELL("contenu",$B$18))=0,1,SUM(COUNTA(IS5:IS6)*CELL("contenu",$B$4),COUNTA(IS8:IS11)*CELL("contenu",$B$7),COUNTA(IS13:IS13)*CELL("contenu",$B$12),COUNTA(IS15:IS17)*CELL("contenu",$B$14),COUNTA(IS19:IS19)*CELL("contenu",$B$18))))</f>
        <v/>
      </c>
      <c r="IT20" s="176"/>
      <c r="IU20" s="174" t="str">
        <f ca="1">IF(COUNTA(IQ20:IS20)-COUNTBLANK(IQ20:IS20)=0,"",SUM(IQ20:IS20)/(COUNTA(IQ20:IS20)-COUNTBLANK(IQ20:IS20)))</f>
        <v/>
      </c>
      <c r="IV20" s="103"/>
      <c r="IW20" s="141"/>
      <c r="IX20" s="167">
        <f ca="1">IF(COUNTA(IX5:IX19)=0,"",5*SUM(IFERROR((((COUNTIF(IX5:IX6,"A"))*4)+((COUNTIF(IX5:IX6,"B"))*3)+((COUNTIF(IX5:IX6,"C"))*2)+((COUNTIF(IX5:IX6,"D"))*1))*CELL("contenu",$B$4),0),IFERROR((((COUNTIF(IX8:IX11,"A"))*4)+((COUNTIF(IX8:IX11,"B"))*3)+((COUNTIF(IX8:IX11,"C"))*2)+((COUNTIF(IX8:IX11,"D"))*1))*CELL("contenu",$B$7),0),IFERROR((((COUNTIF(IX13:IX13,"A"))*4)+((COUNTIF(IX13:IX13,"B"))*3)+((COUNTIF(IX13:IX13,"C"))*2)+((COUNTIF(IX13:IX13,"D"))*1))*CELL("contenu",$B$12),0),IFERROR((((COUNTIF(IX15:IX17,"A"))*4)+((COUNTIF(IX15:IX17,"B"))*3)+((COUNTIF(IX15:IX17,"C"))*2)+((COUNTIF(IX15:IX17,"D"))*1))*CELL("contenu",$B$14),0),IFERROR((((COUNTIF(IX19:IX19,"A"))*4)+((COUNTIF(IX19:IX19,"B"))*3)+((COUNTIF(IX19:IX19,"C"))*2)+((COUNTIF(IX19:IX19,"D"))*1))*CELL("contenu",$B$18),0))/IF(SUM(COUNTA(IX5:IX6)*CELL("contenu",$B$4),COUNTA(IX8:IX11)*CELL("contenu",$B$7),COUNTA(IX13:IX13)*CELL("contenu",$B$12),COUNTA(IX15:IX17)*CELL("contenu",$B$14),COUNTA(IX19:IX19)*CELL("contenu",$B$18))=0,1,SUM(COUNTA(IX5:IX6)*CELL("contenu",$B$4),COUNTA(IX8:IX11)*CELL("contenu",$B$7),COUNTA(IX13:IX13)*CELL("contenu",$B$12),COUNTA(IX15:IX17)*CELL("contenu",$B$14),COUNTA(IX19:IX19)*CELL("contenu",$B$18))))</f>
        <v>18.333333333333332</v>
      </c>
      <c r="IY20" s="168">
        <f ca="1">IF(COUNTA(IY5:IY19)=0,"",5*SUM(IFERROR((((COUNTIF(IY5:IY6,"A"))*4)+((COUNTIF(IY5:IY6,"B"))*3)+((COUNTIF(IY5:IY6,"C"))*2)+((COUNTIF(IY5:IY6,"D"))*1))*CELL("contenu",$B$4),0),IFERROR((((COUNTIF(IY8:IY11,"A"))*4)+((COUNTIF(IY8:IY11,"B"))*3)+((COUNTIF(IY8:IY11,"C"))*2)+((COUNTIF(IY8:IY11,"D"))*1))*CELL("contenu",$B$7),0),IFERROR((((COUNTIF(IY13:IY13,"A"))*4)+((COUNTIF(IY13:IY13,"B"))*3)+((COUNTIF(IY13:IY13,"C"))*2)+((COUNTIF(IY13:IY13,"D"))*1))*CELL("contenu",$B$12),0),IFERROR((((COUNTIF(IY15:IY17,"A"))*4)+((COUNTIF(IY15:IY17,"B"))*3)+((COUNTIF(IY15:IY17,"C"))*2)+((COUNTIF(IY15:IY17,"D"))*1))*CELL("contenu",$B$14),0),IFERROR((((COUNTIF(IY19:IY19,"A"))*4)+((COUNTIF(IY19:IY19,"B"))*3)+((COUNTIF(IY19:IY19,"C"))*2)+((COUNTIF(IY19:IY19,"D"))*1))*CELL("contenu",$B$18),0))/IF(SUM(COUNTA(IY5:IY6)*CELL("contenu",$B$4),COUNTA(IY8:IY11)*CELL("contenu",$B$7),COUNTA(IY13:IY13)*CELL("contenu",$B$12),COUNTA(IY15:IY17)*CELL("contenu",$B$14),COUNTA(IY19:IY19)*CELL("contenu",$B$18))=0,1,SUM(COUNTA(IY5:IY6)*CELL("contenu",$B$4),COUNTA(IY8:IY11)*CELL("contenu",$B$7),COUNTA(IY13:IY13)*CELL("contenu",$B$12),COUNTA(IY15:IY17)*CELL("contenu",$B$14),COUNTA(IY19:IY19)*CELL("contenu",$B$18))))</f>
        <v>16.666666666666668</v>
      </c>
      <c r="IZ20" s="169" t="str">
        <f ca="1">IF(COUNTA(IZ5:IZ19)=0,"",5*SUM(IFERROR((((COUNTIF(IZ5:IZ6,"A"))*4)+((COUNTIF(IZ5:IZ6,"B"))*3)+((COUNTIF(IZ5:IZ6,"C"))*2)+((COUNTIF(IZ5:IZ6,"D"))*1))*CELL("contenu",$B$4),0),IFERROR((((COUNTIF(IZ8:IZ11,"A"))*4)+((COUNTIF(IZ8:IZ11,"B"))*3)+((COUNTIF(IZ8:IZ11,"C"))*2)+((COUNTIF(IZ8:IZ11,"D"))*1))*CELL("contenu",$B$7),0),IFERROR((((COUNTIF(IZ13:IZ13,"A"))*4)+((COUNTIF(IZ13:IZ13,"B"))*3)+((COUNTIF(IZ13:IZ13,"C"))*2)+((COUNTIF(IZ13:IZ13,"D"))*1))*CELL("contenu",$B$12),0),IFERROR((((COUNTIF(IZ15:IZ17,"A"))*4)+((COUNTIF(IZ15:IZ17,"B"))*3)+((COUNTIF(IZ15:IZ17,"C"))*2)+((COUNTIF(IZ15:IZ17,"D"))*1))*CELL("contenu",$B$14),0),IFERROR((((COUNTIF(IZ19:IZ19,"A"))*4)+((COUNTIF(IZ19:IZ19,"B"))*3)+((COUNTIF(IZ19:IZ19,"C"))*2)+((COUNTIF(IZ19:IZ19,"D"))*1))*CELL("contenu",$B$18),0))/IF(SUM(COUNTA(IZ5:IZ6)*CELL("contenu",$B$4),COUNTA(IZ8:IZ11)*CELL("contenu",$B$7),COUNTA(IZ13:IZ13)*CELL("contenu",$B$12),COUNTA(IZ15:IZ17)*CELL("contenu",$B$14),COUNTA(IZ19:IZ19)*CELL("contenu",$B$18))=0,1,SUM(COUNTA(IZ5:IZ6)*CELL("contenu",$B$4),COUNTA(IZ8:IZ11)*CELL("contenu",$B$7),COUNTA(IZ13:IZ13)*CELL("contenu",$B$12),COUNTA(IZ15:IZ17)*CELL("contenu",$B$14),COUNTA(IZ19:IZ19)*CELL("contenu",$B$18))))</f>
        <v/>
      </c>
      <c r="JA20" s="116"/>
      <c r="JB20" s="192">
        <f ca="1">IF(COUNTA(IX20:IZ20)-COUNTBLANK(IX20:IZ20)=0,"",SUM(IX20:IZ20)/(COUNTA(IX20:IZ20)-COUNTBLANK(IX20:IZ20)))</f>
        <v>17.5</v>
      </c>
      <c r="JC20" s="182" t="str">
        <f ca="1">IF(COUNTA(JC5:JC19)=0,"",5*SUM(IFERROR((((COUNTIF(JC5:JC6,"A"))*4)+((COUNTIF(JC5:JC6,"B"))*3)+((COUNTIF(JC5:JC6,"C"))*2)+((COUNTIF(JC5:JC6,"D"))*1))*CELL("contenu",$B$4),0),IFERROR((((COUNTIF(JC8:JC11,"A"))*4)+((COUNTIF(JC8:JC11,"B"))*3)+((COUNTIF(JC8:JC11,"C"))*2)+((COUNTIF(JC8:JC11,"D"))*1))*CELL("contenu",$B$7),0),IFERROR((((COUNTIF(JC13:JC13,"A"))*4)+((COUNTIF(JC13:JC13,"B"))*3)+((COUNTIF(JC13:JC13,"C"))*2)+((COUNTIF(JC13:JC13,"D"))*1))*CELL("contenu",$B$12),0),IFERROR((((COUNTIF(JC15:JC17,"A"))*4)+((COUNTIF(JC15:JC17,"B"))*3)+((COUNTIF(JC15:JC17,"C"))*2)+((COUNTIF(JC15:JC17,"D"))*1))*CELL("contenu",$B$14),0),IFERROR((((COUNTIF(JC19:JC19,"A"))*4)+((COUNTIF(JC19:JC19,"B"))*3)+((COUNTIF(JC19:JC19,"C"))*2)+((COUNTIF(JC19:JC19,"D"))*1))*CELL("contenu",$B$18),0))/IF(SUM(COUNTA(JC5:JC6)*CELL("contenu",$B$4),COUNTA(JC8:JC11)*CELL("contenu",$B$7),COUNTA(JC13:JC13)*CELL("contenu",$B$12),COUNTA(JC15:JC17)*CELL("contenu",$B$14),COUNTA(JC19:JC19)*CELL("contenu",$B$18))=0,1,SUM(COUNTA(JC5:JC6)*CELL("contenu",$B$4),COUNTA(JC8:JC11)*CELL("contenu",$B$7),COUNTA(JC13:JC13)*CELL("contenu",$B$12),COUNTA(JC15:JC17)*CELL("contenu",$B$14),COUNTA(JC19:JC19)*CELL("contenu",$B$18))))</f>
        <v/>
      </c>
      <c r="JD20" s="183" t="str">
        <f ca="1">IF(COUNTA(JD5:JD19)=0,"",5*SUM(IFERROR((((COUNTIF(JD5:JD6,"A"))*4)+((COUNTIF(JD5:JD6,"B"))*3)+((COUNTIF(JD5:JD6,"C"))*2)+((COUNTIF(JD5:JD6,"D"))*1))*CELL("contenu",$B$4),0),IFERROR((((COUNTIF(JD8:JD11,"A"))*4)+((COUNTIF(JD8:JD11,"B"))*3)+((COUNTIF(JD8:JD11,"C"))*2)+((COUNTIF(JD8:JD11,"D"))*1))*CELL("contenu",$B$7),0),IFERROR((((COUNTIF(JD13:JD13,"A"))*4)+((COUNTIF(JD13:JD13,"B"))*3)+((COUNTIF(JD13:JD13,"C"))*2)+((COUNTIF(JD13:JD13,"D"))*1))*CELL("contenu",$B$12),0),IFERROR((((COUNTIF(JD15:JD17,"A"))*4)+((COUNTIF(JD15:JD17,"B"))*3)+((COUNTIF(JD15:JD17,"C"))*2)+((COUNTIF(JD15:JD17,"D"))*1))*CELL("contenu",$B$14),0),IFERROR((((COUNTIF(JD19:JD19,"A"))*4)+((COUNTIF(JD19:JD19,"B"))*3)+((COUNTIF(JD19:JD19,"C"))*2)+((COUNTIF(JD19:JD19,"D"))*1))*CELL("contenu",$B$18),0))/IF(SUM(COUNTA(JD5:JD6)*CELL("contenu",$B$4),COUNTA(JD8:JD11)*CELL("contenu",$B$7),COUNTA(JD13:JD13)*CELL("contenu",$B$12),COUNTA(JD15:JD17)*CELL("contenu",$B$14),COUNTA(JD19:JD19)*CELL("contenu",$B$18))=0,1,SUM(COUNTA(JD5:JD6)*CELL("contenu",$B$4),COUNTA(JD8:JD11)*CELL("contenu",$B$7),COUNTA(JD13:JD13)*CELL("contenu",$B$12),COUNTA(JD15:JD17)*CELL("contenu",$B$14),COUNTA(JD19:JD19)*CELL("contenu",$B$18))))</f>
        <v/>
      </c>
      <c r="JE20" s="184" t="str">
        <f ca="1">IF(COUNTA(JE5:JE19)=0,"",5*SUM(IFERROR((((COUNTIF(JE5:JE6,"A"))*4)+((COUNTIF(JE5:JE6,"B"))*3)+((COUNTIF(JE5:JE6,"C"))*2)+((COUNTIF(JE5:JE6,"D"))*1))*CELL("contenu",$B$4),0),IFERROR((((COUNTIF(JE8:JE11,"A"))*4)+((COUNTIF(JE8:JE11,"B"))*3)+((COUNTIF(JE8:JE11,"C"))*2)+((COUNTIF(JE8:JE11,"D"))*1))*CELL("contenu",$B$7),0),IFERROR((((COUNTIF(JE13:JE13,"A"))*4)+((COUNTIF(JE13:JE13,"B"))*3)+((COUNTIF(JE13:JE13,"C"))*2)+((COUNTIF(JE13:JE13,"D"))*1))*CELL("contenu",$B$12),0),IFERROR((((COUNTIF(JE15:JE17,"A"))*4)+((COUNTIF(JE15:JE17,"B"))*3)+((COUNTIF(JE15:JE17,"C"))*2)+((COUNTIF(JE15:JE17,"D"))*1))*CELL("contenu",$B$14),0),IFERROR((((COUNTIF(JE19:JE19,"A"))*4)+((COUNTIF(JE19:JE19,"B"))*3)+((COUNTIF(JE19:JE19,"C"))*2)+((COUNTIF(JE19:JE19,"D"))*1))*CELL("contenu",$B$18),0))/IF(SUM(COUNTA(JE5:JE6)*CELL("contenu",$B$4),COUNTA(JE8:JE11)*CELL("contenu",$B$7),COUNTA(JE13:JE13)*CELL("contenu",$B$12),COUNTA(JE15:JE17)*CELL("contenu",$B$14),COUNTA(JE19:JE19)*CELL("contenu",$B$18))=0,1,SUM(COUNTA(JE5:JE6)*CELL("contenu",$B$4),COUNTA(JE8:JE11)*CELL("contenu",$B$7),COUNTA(JE13:JE13)*CELL("contenu",$B$12),COUNTA(JE15:JE17)*CELL("contenu",$B$14),COUNTA(JE19:JE19)*CELL("contenu",$B$18))))</f>
        <v/>
      </c>
      <c r="JF20" s="176"/>
      <c r="JG20" s="175" t="str">
        <f ca="1">IF(COUNTA(JC20:JE20)-COUNTBLANK(JC20:JE20)=0,"",SUM(JC20:JE20)/(COUNTA(JC20:JE20)-COUNTBLANK(JC20:JE20)))</f>
        <v/>
      </c>
      <c r="JH20" s="182" t="str">
        <f ca="1">IF(COUNTA(JH5:JH19)=0,"",5*SUM(IFERROR((((COUNTIF(JH5:JH6,"A"))*4)+((COUNTIF(JH5:JH6,"B"))*3)+((COUNTIF(JH5:JH6,"C"))*2)+((COUNTIF(JH5:JH6,"D"))*1))*CELL("contenu",$B$4),0),IFERROR((((COUNTIF(JH8:JH11,"A"))*4)+((COUNTIF(JH8:JH11,"B"))*3)+((COUNTIF(JH8:JH11,"C"))*2)+((COUNTIF(JH8:JH11,"D"))*1))*CELL("contenu",$B$7),0),IFERROR((((COUNTIF(JH13:JH13,"A"))*4)+((COUNTIF(JH13:JH13,"B"))*3)+((COUNTIF(JH13:JH13,"C"))*2)+((COUNTIF(JH13:JH13,"D"))*1))*CELL("contenu",$B$12),0),IFERROR((((COUNTIF(JH15:JH17,"A"))*4)+((COUNTIF(JH15:JH17,"B"))*3)+((COUNTIF(JH15:JH17,"C"))*2)+((COUNTIF(JH15:JH17,"D"))*1))*CELL("contenu",$B$14),0),IFERROR((((COUNTIF(JH19:JH19,"A"))*4)+((COUNTIF(JH19:JH19,"B"))*3)+((COUNTIF(JH19:JH19,"C"))*2)+((COUNTIF(JH19:JH19,"D"))*1))*CELL("contenu",$B$18),0))/IF(SUM(COUNTA(JH5:JH6)*CELL("contenu",$B$4),COUNTA(JH8:JH11)*CELL("contenu",$B$7),COUNTA(JH13:JH13)*CELL("contenu",$B$12),COUNTA(JH15:JH17)*CELL("contenu",$B$14),COUNTA(JH19:JH19)*CELL("contenu",$B$18))=0,1,SUM(COUNTA(JH5:JH6)*CELL("contenu",$B$4),COUNTA(JH8:JH11)*CELL("contenu",$B$7),COUNTA(JH13:JH13)*CELL("contenu",$B$12),COUNTA(JH15:JH17)*CELL("contenu",$B$14),COUNTA(JH19:JH19)*CELL("contenu",$B$18))))</f>
        <v/>
      </c>
      <c r="JI20" s="183" t="str">
        <f ca="1">IF(COUNTA(JI5:JI19)=0,"",5*SUM(IFERROR((((COUNTIF(JI5:JI6,"A"))*4)+((COUNTIF(JI5:JI6,"B"))*3)+((COUNTIF(JI5:JI6,"C"))*2)+((COUNTIF(JI5:JI6,"D"))*1))*CELL("contenu",$B$4),0),IFERROR((((COUNTIF(JI8:JI11,"A"))*4)+((COUNTIF(JI8:JI11,"B"))*3)+((COUNTIF(JI8:JI11,"C"))*2)+((COUNTIF(JI8:JI11,"D"))*1))*CELL("contenu",$B$7),0),IFERROR((((COUNTIF(JI13:JI13,"A"))*4)+((COUNTIF(JI13:JI13,"B"))*3)+((COUNTIF(JI13:JI13,"C"))*2)+((COUNTIF(JI13:JI13,"D"))*1))*CELL("contenu",$B$12),0),IFERROR((((COUNTIF(JI15:JI17,"A"))*4)+((COUNTIF(JI15:JI17,"B"))*3)+((COUNTIF(JI15:JI17,"C"))*2)+((COUNTIF(JI15:JI17,"D"))*1))*CELL("contenu",$B$14),0),IFERROR((((COUNTIF(JI19:JI19,"A"))*4)+((COUNTIF(JI19:JI19,"B"))*3)+((COUNTIF(JI19:JI19,"C"))*2)+((COUNTIF(JI19:JI19,"D"))*1))*CELL("contenu",$B$18),0))/IF(SUM(COUNTA(JI5:JI6)*CELL("contenu",$B$4),COUNTA(JI8:JI11)*CELL("contenu",$B$7),COUNTA(JI13:JI13)*CELL("contenu",$B$12),COUNTA(JI15:JI17)*CELL("contenu",$B$14),COUNTA(JI19:JI19)*CELL("contenu",$B$18))=0,1,SUM(COUNTA(JI5:JI6)*CELL("contenu",$B$4),COUNTA(JI8:JI11)*CELL("contenu",$B$7),COUNTA(JI13:JI13)*CELL("contenu",$B$12),COUNTA(JI15:JI17)*CELL("contenu",$B$14),COUNTA(JI19:JI19)*CELL("contenu",$B$18))))</f>
        <v/>
      </c>
      <c r="JJ20" s="184" t="str">
        <f ca="1">IF(COUNTA(JJ5:JJ19)=0,"",5*SUM(IFERROR((((COUNTIF(JJ5:JJ6,"A"))*4)+((COUNTIF(JJ5:JJ6,"B"))*3)+((COUNTIF(JJ5:JJ6,"C"))*2)+((COUNTIF(JJ5:JJ6,"D"))*1))*CELL("contenu",$B$4),0),IFERROR((((COUNTIF(JJ8:JJ11,"A"))*4)+((COUNTIF(JJ8:JJ11,"B"))*3)+((COUNTIF(JJ8:JJ11,"C"))*2)+((COUNTIF(JJ8:JJ11,"D"))*1))*CELL("contenu",$B$7),0),IFERROR((((COUNTIF(JJ13:JJ13,"A"))*4)+((COUNTIF(JJ13:JJ13,"B"))*3)+((COUNTIF(JJ13:JJ13,"C"))*2)+((COUNTIF(JJ13:JJ13,"D"))*1))*CELL("contenu",$B$12),0),IFERROR((((COUNTIF(JJ15:JJ17,"A"))*4)+((COUNTIF(JJ15:JJ17,"B"))*3)+((COUNTIF(JJ15:JJ17,"C"))*2)+((COUNTIF(JJ15:JJ17,"D"))*1))*CELL("contenu",$B$14),0),IFERROR((((COUNTIF(JJ19:JJ19,"A"))*4)+((COUNTIF(JJ19:JJ19,"B"))*3)+((COUNTIF(JJ19:JJ19,"C"))*2)+((COUNTIF(JJ19:JJ19,"D"))*1))*CELL("contenu",$B$18),0))/IF(SUM(COUNTA(JJ5:JJ6)*CELL("contenu",$B$4),COUNTA(JJ8:JJ11)*CELL("contenu",$B$7),COUNTA(JJ13:JJ13)*CELL("contenu",$B$12),COUNTA(JJ15:JJ17)*CELL("contenu",$B$14),COUNTA(JJ19:JJ19)*CELL("contenu",$B$18))=0,1,SUM(COUNTA(JJ5:JJ6)*CELL("contenu",$B$4),COUNTA(JJ8:JJ11)*CELL("contenu",$B$7),COUNTA(JJ13:JJ13)*CELL("contenu",$B$12),COUNTA(JJ15:JJ17)*CELL("contenu",$B$14),COUNTA(JJ19:JJ19)*CELL("contenu",$B$18))))</f>
        <v/>
      </c>
      <c r="JK20" s="176"/>
      <c r="JL20" s="174" t="str">
        <f ca="1">IF(COUNTA(JH20:JJ20)-COUNTBLANK(JH20:JJ20)=0,"",SUM(JH20:JJ20)/(COUNTA(JH20:JJ20)-COUNTBLANK(JH20:JJ20)))</f>
        <v/>
      </c>
      <c r="JM20" s="103"/>
      <c r="JN20" s="141"/>
      <c r="JO20" s="167">
        <f ca="1">IF(COUNTA(JO5:JO19)=0,"",5*SUM(IFERROR((((COUNTIF(JO5:JO6,"A"))*4)+((COUNTIF(JO5:JO6,"B"))*3)+((COUNTIF(JO5:JO6,"C"))*2)+((COUNTIF(JO5:JO6,"D"))*1))*CELL("contenu",$B$4),0),IFERROR((((COUNTIF(JO8:JO11,"A"))*4)+((COUNTIF(JO8:JO11,"B"))*3)+((COUNTIF(JO8:JO11,"C"))*2)+((COUNTIF(JO8:JO11,"D"))*1))*CELL("contenu",$B$7),0),IFERROR((((COUNTIF(JO13:JO13,"A"))*4)+((COUNTIF(JO13:JO13,"B"))*3)+((COUNTIF(JO13:JO13,"C"))*2)+((COUNTIF(JO13:JO13,"D"))*1))*CELL("contenu",$B$12),0),IFERROR((((COUNTIF(JO15:JO17,"A"))*4)+((COUNTIF(JO15:JO17,"B"))*3)+((COUNTIF(JO15:JO17,"C"))*2)+((COUNTIF(JO15:JO17,"D"))*1))*CELL("contenu",$B$14),0),IFERROR((((COUNTIF(JO19:JO19,"A"))*4)+((COUNTIF(JO19:JO19,"B"))*3)+((COUNTIF(JO19:JO19,"C"))*2)+((COUNTIF(JO19:JO19,"D"))*1))*CELL("contenu",$B$18),0))/IF(SUM(COUNTA(JO5:JO6)*CELL("contenu",$B$4),COUNTA(JO8:JO11)*CELL("contenu",$B$7),COUNTA(JO13:JO13)*CELL("contenu",$B$12),COUNTA(JO15:JO17)*CELL("contenu",$B$14),COUNTA(JO19:JO19)*CELL("contenu",$B$18))=0,1,SUM(COUNTA(JO5:JO6)*CELL("contenu",$B$4),COUNTA(JO8:JO11)*CELL("contenu",$B$7),COUNTA(JO13:JO13)*CELL("contenu",$B$12),COUNTA(JO15:JO17)*CELL("contenu",$B$14),COUNTA(JO19:JO19)*CELL("contenu",$B$18))))</f>
        <v>13.333333333333334</v>
      </c>
      <c r="JP20" s="168">
        <f ca="1">IF(COUNTA(JP5:JP19)=0,"",5*SUM(IFERROR((((COUNTIF(JP5:JP6,"A"))*4)+((COUNTIF(JP5:JP6,"B"))*3)+((COUNTIF(JP5:JP6,"C"))*2)+((COUNTIF(JP5:JP6,"D"))*1))*CELL("contenu",$B$4),0),IFERROR((((COUNTIF(JP8:JP11,"A"))*4)+((COUNTIF(JP8:JP11,"B"))*3)+((COUNTIF(JP8:JP11,"C"))*2)+((COUNTIF(JP8:JP11,"D"))*1))*CELL("contenu",$B$7),0),IFERROR((((COUNTIF(JP13:JP13,"A"))*4)+((COUNTIF(JP13:JP13,"B"))*3)+((COUNTIF(JP13:JP13,"C"))*2)+((COUNTIF(JP13:JP13,"D"))*1))*CELL("contenu",$B$12),0),IFERROR((((COUNTIF(JP15:JP17,"A"))*4)+((COUNTIF(JP15:JP17,"B"))*3)+((COUNTIF(JP15:JP17,"C"))*2)+((COUNTIF(JP15:JP17,"D"))*1))*CELL("contenu",$B$14),0),IFERROR((((COUNTIF(JP19:JP19,"A"))*4)+((COUNTIF(JP19:JP19,"B"))*3)+((COUNTIF(JP19:JP19,"C"))*2)+((COUNTIF(JP19:JP19,"D"))*1))*CELL("contenu",$B$18),0))/IF(SUM(COUNTA(JP5:JP6)*CELL("contenu",$B$4),COUNTA(JP8:JP11)*CELL("contenu",$B$7),COUNTA(JP13:JP13)*CELL("contenu",$B$12),COUNTA(JP15:JP17)*CELL("contenu",$B$14),COUNTA(JP19:JP19)*CELL("contenu",$B$18))=0,1,SUM(COUNTA(JP5:JP6)*CELL("contenu",$B$4),COUNTA(JP8:JP11)*CELL("contenu",$B$7),COUNTA(JP13:JP13)*CELL("contenu",$B$12),COUNTA(JP15:JP17)*CELL("contenu",$B$14),COUNTA(JP19:JP19)*CELL("contenu",$B$18))))</f>
        <v>10</v>
      </c>
      <c r="JQ20" s="169" t="str">
        <f ca="1">IF(COUNTA(JQ5:JQ19)=0,"",5*SUM(IFERROR((((COUNTIF(JQ5:JQ6,"A"))*4)+((COUNTIF(JQ5:JQ6,"B"))*3)+((COUNTIF(JQ5:JQ6,"C"))*2)+((COUNTIF(JQ5:JQ6,"D"))*1))*CELL("contenu",$B$4),0),IFERROR((((COUNTIF(JQ8:JQ11,"A"))*4)+((COUNTIF(JQ8:JQ11,"B"))*3)+((COUNTIF(JQ8:JQ11,"C"))*2)+((COUNTIF(JQ8:JQ11,"D"))*1))*CELL("contenu",$B$7),0),IFERROR((((COUNTIF(JQ13:JQ13,"A"))*4)+((COUNTIF(JQ13:JQ13,"B"))*3)+((COUNTIF(JQ13:JQ13,"C"))*2)+((COUNTIF(JQ13:JQ13,"D"))*1))*CELL("contenu",$B$12),0),IFERROR((((COUNTIF(JQ15:JQ17,"A"))*4)+((COUNTIF(JQ15:JQ17,"B"))*3)+((COUNTIF(JQ15:JQ17,"C"))*2)+((COUNTIF(JQ15:JQ17,"D"))*1))*CELL("contenu",$B$14),0),IFERROR((((COUNTIF(JQ19:JQ19,"A"))*4)+((COUNTIF(JQ19:JQ19,"B"))*3)+((COUNTIF(JQ19:JQ19,"C"))*2)+((COUNTIF(JQ19:JQ19,"D"))*1))*CELL("contenu",$B$18),0))/IF(SUM(COUNTA(JQ5:JQ6)*CELL("contenu",$B$4),COUNTA(JQ8:JQ11)*CELL("contenu",$B$7),COUNTA(JQ13:JQ13)*CELL("contenu",$B$12),COUNTA(JQ15:JQ17)*CELL("contenu",$B$14),COUNTA(JQ19:JQ19)*CELL("contenu",$B$18))=0,1,SUM(COUNTA(JQ5:JQ6)*CELL("contenu",$B$4),COUNTA(JQ8:JQ11)*CELL("contenu",$B$7),COUNTA(JQ13:JQ13)*CELL("contenu",$B$12),COUNTA(JQ15:JQ17)*CELL("contenu",$B$14),COUNTA(JQ19:JQ19)*CELL("contenu",$B$18))))</f>
        <v/>
      </c>
      <c r="JR20" s="116"/>
      <c r="JS20" s="192">
        <f ca="1">IF(COUNTA(JO20:JQ20)-COUNTBLANK(JO20:JQ20)=0,"",SUM(JO20:JQ20)/(COUNTA(JO20:JQ20)-COUNTBLANK(JO20:JQ20)))</f>
        <v>11.666666666666668</v>
      </c>
      <c r="JT20" s="182" t="str">
        <f ca="1">IF(COUNTA(JT5:JT19)=0,"",5*SUM(IFERROR((((COUNTIF(JT5:JT6,"A"))*4)+((COUNTIF(JT5:JT6,"B"))*3)+((COUNTIF(JT5:JT6,"C"))*2)+((COUNTIF(JT5:JT6,"D"))*1))*CELL("contenu",$B$4),0),IFERROR((((COUNTIF(JT8:JT11,"A"))*4)+((COUNTIF(JT8:JT11,"B"))*3)+((COUNTIF(JT8:JT11,"C"))*2)+((COUNTIF(JT8:JT11,"D"))*1))*CELL("contenu",$B$7),0),IFERROR((((COUNTIF(JT13:JT13,"A"))*4)+((COUNTIF(JT13:JT13,"B"))*3)+((COUNTIF(JT13:JT13,"C"))*2)+((COUNTIF(JT13:JT13,"D"))*1))*CELL("contenu",$B$12),0),IFERROR((((COUNTIF(JT15:JT17,"A"))*4)+((COUNTIF(JT15:JT17,"B"))*3)+((COUNTIF(JT15:JT17,"C"))*2)+((COUNTIF(JT15:JT17,"D"))*1))*CELL("contenu",$B$14),0),IFERROR((((COUNTIF(JT19:JT19,"A"))*4)+((COUNTIF(JT19:JT19,"B"))*3)+((COUNTIF(JT19:JT19,"C"))*2)+((COUNTIF(JT19:JT19,"D"))*1))*CELL("contenu",$B$18),0))/IF(SUM(COUNTA(JT5:JT6)*CELL("contenu",$B$4),COUNTA(JT8:JT11)*CELL("contenu",$B$7),COUNTA(JT13:JT13)*CELL("contenu",$B$12),COUNTA(JT15:JT17)*CELL("contenu",$B$14),COUNTA(JT19:JT19)*CELL("contenu",$B$18))=0,1,SUM(COUNTA(JT5:JT6)*CELL("contenu",$B$4),COUNTA(JT8:JT11)*CELL("contenu",$B$7),COUNTA(JT13:JT13)*CELL("contenu",$B$12),COUNTA(JT15:JT17)*CELL("contenu",$B$14),COUNTA(JT19:JT19)*CELL("contenu",$B$18))))</f>
        <v/>
      </c>
      <c r="JU20" s="183" t="str">
        <f ca="1">IF(COUNTA(JU5:JU19)=0,"",5*SUM(IFERROR((((COUNTIF(JU5:JU6,"A"))*4)+((COUNTIF(JU5:JU6,"B"))*3)+((COUNTIF(JU5:JU6,"C"))*2)+((COUNTIF(JU5:JU6,"D"))*1))*CELL("contenu",$B$4),0),IFERROR((((COUNTIF(JU8:JU11,"A"))*4)+((COUNTIF(JU8:JU11,"B"))*3)+((COUNTIF(JU8:JU11,"C"))*2)+((COUNTIF(JU8:JU11,"D"))*1))*CELL("contenu",$B$7),0),IFERROR((((COUNTIF(JU13:JU13,"A"))*4)+((COUNTIF(JU13:JU13,"B"))*3)+((COUNTIF(JU13:JU13,"C"))*2)+((COUNTIF(JU13:JU13,"D"))*1))*CELL("contenu",$B$12),0),IFERROR((((COUNTIF(JU15:JU17,"A"))*4)+((COUNTIF(JU15:JU17,"B"))*3)+((COUNTIF(JU15:JU17,"C"))*2)+((COUNTIF(JU15:JU17,"D"))*1))*CELL("contenu",$B$14),0),IFERROR((((COUNTIF(JU19:JU19,"A"))*4)+((COUNTIF(JU19:JU19,"B"))*3)+((COUNTIF(JU19:JU19,"C"))*2)+((COUNTIF(JU19:JU19,"D"))*1))*CELL("contenu",$B$18),0))/IF(SUM(COUNTA(JU5:JU6)*CELL("contenu",$B$4),COUNTA(JU8:JU11)*CELL("contenu",$B$7),COUNTA(JU13:JU13)*CELL("contenu",$B$12),COUNTA(JU15:JU17)*CELL("contenu",$B$14),COUNTA(JU19:JU19)*CELL("contenu",$B$18))=0,1,SUM(COUNTA(JU5:JU6)*CELL("contenu",$B$4),COUNTA(JU8:JU11)*CELL("contenu",$B$7),COUNTA(JU13:JU13)*CELL("contenu",$B$12),COUNTA(JU15:JU17)*CELL("contenu",$B$14),COUNTA(JU19:JU19)*CELL("contenu",$B$18))))</f>
        <v/>
      </c>
      <c r="JV20" s="184" t="str">
        <f ca="1">IF(COUNTA(JV5:JV19)=0,"",5*SUM(IFERROR((((COUNTIF(JV5:JV6,"A"))*4)+((COUNTIF(JV5:JV6,"B"))*3)+((COUNTIF(JV5:JV6,"C"))*2)+((COUNTIF(JV5:JV6,"D"))*1))*CELL("contenu",$B$4),0),IFERROR((((COUNTIF(JV8:JV11,"A"))*4)+((COUNTIF(JV8:JV11,"B"))*3)+((COUNTIF(JV8:JV11,"C"))*2)+((COUNTIF(JV8:JV11,"D"))*1))*CELL("contenu",$B$7),0),IFERROR((((COUNTIF(JV13:JV13,"A"))*4)+((COUNTIF(JV13:JV13,"B"))*3)+((COUNTIF(JV13:JV13,"C"))*2)+((COUNTIF(JV13:JV13,"D"))*1))*CELL("contenu",$B$12),0),IFERROR((((COUNTIF(JV15:JV17,"A"))*4)+((COUNTIF(JV15:JV17,"B"))*3)+((COUNTIF(JV15:JV17,"C"))*2)+((COUNTIF(JV15:JV17,"D"))*1))*CELL("contenu",$B$14),0),IFERROR((((COUNTIF(JV19:JV19,"A"))*4)+((COUNTIF(JV19:JV19,"B"))*3)+((COUNTIF(JV19:JV19,"C"))*2)+((COUNTIF(JV19:JV19,"D"))*1))*CELL("contenu",$B$18),0))/IF(SUM(COUNTA(JV5:JV6)*CELL("contenu",$B$4),COUNTA(JV8:JV11)*CELL("contenu",$B$7),COUNTA(JV13:JV13)*CELL("contenu",$B$12),COUNTA(JV15:JV17)*CELL("contenu",$B$14),COUNTA(JV19:JV19)*CELL("contenu",$B$18))=0,1,SUM(COUNTA(JV5:JV6)*CELL("contenu",$B$4),COUNTA(JV8:JV11)*CELL("contenu",$B$7),COUNTA(JV13:JV13)*CELL("contenu",$B$12),COUNTA(JV15:JV17)*CELL("contenu",$B$14),COUNTA(JV19:JV19)*CELL("contenu",$B$18))))</f>
        <v/>
      </c>
      <c r="JW20" s="176"/>
      <c r="JX20" s="175" t="str">
        <f ca="1">IF(COUNTA(JT20:JV20)-COUNTBLANK(JT20:JV20)=0,"",SUM(JT20:JV20)/(COUNTA(JT20:JV20)-COUNTBLANK(JT20:JV20)))</f>
        <v/>
      </c>
      <c r="JY20" s="182" t="str">
        <f ca="1">IF(COUNTA(JY5:JY19)=0,"",5*SUM(IFERROR((((COUNTIF(JY5:JY6,"A"))*4)+((COUNTIF(JY5:JY6,"B"))*3)+((COUNTIF(JY5:JY6,"C"))*2)+((COUNTIF(JY5:JY6,"D"))*1))*CELL("contenu",$B$4),0),IFERROR((((COUNTIF(JY8:JY11,"A"))*4)+((COUNTIF(JY8:JY11,"B"))*3)+((COUNTIF(JY8:JY11,"C"))*2)+((COUNTIF(JY8:JY11,"D"))*1))*CELL("contenu",$B$7),0),IFERROR((((COUNTIF(JY13:JY13,"A"))*4)+((COUNTIF(JY13:JY13,"B"))*3)+((COUNTIF(JY13:JY13,"C"))*2)+((COUNTIF(JY13:JY13,"D"))*1))*CELL("contenu",$B$12),0),IFERROR((((COUNTIF(JY15:JY17,"A"))*4)+((COUNTIF(JY15:JY17,"B"))*3)+((COUNTIF(JY15:JY17,"C"))*2)+((COUNTIF(JY15:JY17,"D"))*1))*CELL("contenu",$B$14),0),IFERROR((((COUNTIF(JY19:JY19,"A"))*4)+((COUNTIF(JY19:JY19,"B"))*3)+((COUNTIF(JY19:JY19,"C"))*2)+((COUNTIF(JY19:JY19,"D"))*1))*CELL("contenu",$B$18),0))/IF(SUM(COUNTA(JY5:JY6)*CELL("contenu",$B$4),COUNTA(JY8:JY11)*CELL("contenu",$B$7),COUNTA(JY13:JY13)*CELL("contenu",$B$12),COUNTA(JY15:JY17)*CELL("contenu",$B$14),COUNTA(JY19:JY19)*CELL("contenu",$B$18))=0,1,SUM(COUNTA(JY5:JY6)*CELL("contenu",$B$4),COUNTA(JY8:JY11)*CELL("contenu",$B$7),COUNTA(JY13:JY13)*CELL("contenu",$B$12),COUNTA(JY15:JY17)*CELL("contenu",$B$14),COUNTA(JY19:JY19)*CELL("contenu",$B$18))))</f>
        <v/>
      </c>
      <c r="JZ20" s="183" t="str">
        <f ca="1">IF(COUNTA(JZ5:JZ19)=0,"",5*SUM(IFERROR((((COUNTIF(JZ5:JZ6,"A"))*4)+((COUNTIF(JZ5:JZ6,"B"))*3)+((COUNTIF(JZ5:JZ6,"C"))*2)+((COUNTIF(JZ5:JZ6,"D"))*1))*CELL("contenu",$B$4),0),IFERROR((((COUNTIF(JZ8:JZ11,"A"))*4)+((COUNTIF(JZ8:JZ11,"B"))*3)+((COUNTIF(JZ8:JZ11,"C"))*2)+((COUNTIF(JZ8:JZ11,"D"))*1))*CELL("contenu",$B$7),0),IFERROR((((COUNTIF(JZ13:JZ13,"A"))*4)+((COUNTIF(JZ13:JZ13,"B"))*3)+((COUNTIF(JZ13:JZ13,"C"))*2)+((COUNTIF(JZ13:JZ13,"D"))*1))*CELL("contenu",$B$12),0),IFERROR((((COUNTIF(JZ15:JZ17,"A"))*4)+((COUNTIF(JZ15:JZ17,"B"))*3)+((COUNTIF(JZ15:JZ17,"C"))*2)+((COUNTIF(JZ15:JZ17,"D"))*1))*CELL("contenu",$B$14),0),IFERROR((((COUNTIF(JZ19:JZ19,"A"))*4)+((COUNTIF(JZ19:JZ19,"B"))*3)+((COUNTIF(JZ19:JZ19,"C"))*2)+((COUNTIF(JZ19:JZ19,"D"))*1))*CELL("contenu",$B$18),0))/IF(SUM(COUNTA(JZ5:JZ6)*CELL("contenu",$B$4),COUNTA(JZ8:JZ11)*CELL("contenu",$B$7),COUNTA(JZ13:JZ13)*CELL("contenu",$B$12),COUNTA(JZ15:JZ17)*CELL("contenu",$B$14),COUNTA(JZ19:JZ19)*CELL("contenu",$B$18))=0,1,SUM(COUNTA(JZ5:JZ6)*CELL("contenu",$B$4),COUNTA(JZ8:JZ11)*CELL("contenu",$B$7),COUNTA(JZ13:JZ13)*CELL("contenu",$B$12),COUNTA(JZ15:JZ17)*CELL("contenu",$B$14),COUNTA(JZ19:JZ19)*CELL("contenu",$B$18))))</f>
        <v/>
      </c>
      <c r="KA20" s="184" t="str">
        <f ca="1">IF(COUNTA(KA5:KA19)=0,"",5*SUM(IFERROR((((COUNTIF(KA5:KA6,"A"))*4)+((COUNTIF(KA5:KA6,"B"))*3)+((COUNTIF(KA5:KA6,"C"))*2)+((COUNTIF(KA5:KA6,"D"))*1))*CELL("contenu",$B$4),0),IFERROR((((COUNTIF(KA8:KA11,"A"))*4)+((COUNTIF(KA8:KA11,"B"))*3)+((COUNTIF(KA8:KA11,"C"))*2)+((COUNTIF(KA8:KA11,"D"))*1))*CELL("contenu",$B$7),0),IFERROR((((COUNTIF(KA13:KA13,"A"))*4)+((COUNTIF(KA13:KA13,"B"))*3)+((COUNTIF(KA13:KA13,"C"))*2)+((COUNTIF(KA13:KA13,"D"))*1))*CELL("contenu",$B$12),0),IFERROR((((COUNTIF(KA15:KA17,"A"))*4)+((COUNTIF(KA15:KA17,"B"))*3)+((COUNTIF(KA15:KA17,"C"))*2)+((COUNTIF(KA15:KA17,"D"))*1))*CELL("contenu",$B$14),0),IFERROR((((COUNTIF(KA19:KA19,"A"))*4)+((COUNTIF(KA19:KA19,"B"))*3)+((COUNTIF(KA19:KA19,"C"))*2)+((COUNTIF(KA19:KA19,"D"))*1))*CELL("contenu",$B$18),0))/IF(SUM(COUNTA(KA5:KA6)*CELL("contenu",$B$4),COUNTA(KA8:KA11)*CELL("contenu",$B$7),COUNTA(KA13:KA13)*CELL("contenu",$B$12),COUNTA(KA15:KA17)*CELL("contenu",$B$14),COUNTA(KA19:KA19)*CELL("contenu",$B$18))=0,1,SUM(COUNTA(KA5:KA6)*CELL("contenu",$B$4),COUNTA(KA8:KA11)*CELL("contenu",$B$7),COUNTA(KA13:KA13)*CELL("contenu",$B$12),COUNTA(KA15:KA17)*CELL("contenu",$B$14),COUNTA(KA19:KA19)*CELL("contenu",$B$18))))</f>
        <v/>
      </c>
      <c r="KB20" s="176"/>
      <c r="KC20" s="174" t="str">
        <f ca="1">IF(COUNTA(JY20:KA20)-COUNTBLANK(JY20:KA20)=0,"",SUM(JY20:KA20)/(COUNTA(JY20:KA20)-COUNTBLANK(JY20:KA20)))</f>
        <v/>
      </c>
      <c r="KD20" s="103"/>
      <c r="KE20" s="141"/>
      <c r="KF20" s="167">
        <f ca="1">IF(COUNTA(KF5:KF19)=0,"",5*SUM(IFERROR((((COUNTIF(KF5:KF6,"A"))*4)+((COUNTIF(KF5:KF6,"B"))*3)+((COUNTIF(KF5:KF6,"C"))*2)+((COUNTIF(KF5:KF6,"D"))*1))*CELL("contenu",$B$4),0),IFERROR((((COUNTIF(KF8:KF11,"A"))*4)+((COUNTIF(KF8:KF11,"B"))*3)+((COUNTIF(KF8:KF11,"C"))*2)+((COUNTIF(KF8:KF11,"D"))*1))*CELL("contenu",$B$7),0),IFERROR((((COUNTIF(KF13:KF13,"A"))*4)+((COUNTIF(KF13:KF13,"B"))*3)+((COUNTIF(KF13:KF13,"C"))*2)+((COUNTIF(KF13:KF13,"D"))*1))*CELL("contenu",$B$12),0),IFERROR((((COUNTIF(KF15:KF17,"A"))*4)+((COUNTIF(KF15:KF17,"B"))*3)+((COUNTIF(KF15:KF17,"C"))*2)+((COUNTIF(KF15:KF17,"D"))*1))*CELL("contenu",$B$14),0),IFERROR((((COUNTIF(KF19:KF19,"A"))*4)+((COUNTIF(KF19:KF19,"B"))*3)+((COUNTIF(KF19:KF19,"C"))*2)+((COUNTIF(KF19:KF19,"D"))*1))*CELL("contenu",$B$18),0))/IF(SUM(COUNTA(KF5:KF6)*CELL("contenu",$B$4),COUNTA(KF8:KF11)*CELL("contenu",$B$7),COUNTA(KF13:KF13)*CELL("contenu",$B$12),COUNTA(KF15:KF17)*CELL("contenu",$B$14),COUNTA(KF19:KF19)*CELL("contenu",$B$18))=0,1,SUM(COUNTA(KF5:KF6)*CELL("contenu",$B$4),COUNTA(KF8:KF11)*CELL("contenu",$B$7),COUNTA(KF13:KF13)*CELL("contenu",$B$12),COUNTA(KF15:KF17)*CELL("contenu",$B$14),COUNTA(KF19:KF19)*CELL("contenu",$B$18))))</f>
        <v>16.666666666666668</v>
      </c>
      <c r="KG20" s="168">
        <f ca="1">IF(COUNTA(KG5:KG19)=0,"",5*SUM(IFERROR((((COUNTIF(KG5:KG6,"A"))*4)+((COUNTIF(KG5:KG6,"B"))*3)+((COUNTIF(KG5:KG6,"C"))*2)+((COUNTIF(KG5:KG6,"D"))*1))*CELL("contenu",$B$4),0),IFERROR((((COUNTIF(KG8:KG11,"A"))*4)+((COUNTIF(KG8:KG11,"B"))*3)+((COUNTIF(KG8:KG11,"C"))*2)+((COUNTIF(KG8:KG11,"D"))*1))*CELL("contenu",$B$7),0),IFERROR((((COUNTIF(KG13:KG13,"A"))*4)+((COUNTIF(KG13:KG13,"B"))*3)+((COUNTIF(KG13:KG13,"C"))*2)+((COUNTIF(KG13:KG13,"D"))*1))*CELL("contenu",$B$12),0),IFERROR((((COUNTIF(KG15:KG17,"A"))*4)+((COUNTIF(KG15:KG17,"B"))*3)+((COUNTIF(KG15:KG17,"C"))*2)+((COUNTIF(KG15:KG17,"D"))*1))*CELL("contenu",$B$14),0),IFERROR((((COUNTIF(KG19:KG19,"A"))*4)+((COUNTIF(KG19:KG19,"B"))*3)+((COUNTIF(KG19:KG19,"C"))*2)+((COUNTIF(KG19:KG19,"D"))*1))*CELL("contenu",$B$18),0))/IF(SUM(COUNTA(KG5:KG6)*CELL("contenu",$B$4),COUNTA(KG8:KG11)*CELL("contenu",$B$7),COUNTA(KG13:KG13)*CELL("contenu",$B$12),COUNTA(KG15:KG17)*CELL("contenu",$B$14),COUNTA(KG19:KG19)*CELL("contenu",$B$18))=0,1,SUM(COUNTA(KG5:KG6)*CELL("contenu",$B$4),COUNTA(KG8:KG11)*CELL("contenu",$B$7),COUNTA(KG13:KG13)*CELL("contenu",$B$12),COUNTA(KG15:KG17)*CELL("contenu",$B$14),COUNTA(KG19:KG19)*CELL("contenu",$B$18))))</f>
        <v>16.666666666666668</v>
      </c>
      <c r="KH20" s="169" t="str">
        <f ca="1">IF(COUNTA(KH5:KH19)=0,"",5*SUM(IFERROR((((COUNTIF(KH5:KH6,"A"))*4)+((COUNTIF(KH5:KH6,"B"))*3)+((COUNTIF(KH5:KH6,"C"))*2)+((COUNTIF(KH5:KH6,"D"))*1))*CELL("contenu",$B$4),0),IFERROR((((COUNTIF(KH8:KH11,"A"))*4)+((COUNTIF(KH8:KH11,"B"))*3)+((COUNTIF(KH8:KH11,"C"))*2)+((COUNTIF(KH8:KH11,"D"))*1))*CELL("contenu",$B$7),0),IFERROR((((COUNTIF(KH13:KH13,"A"))*4)+((COUNTIF(KH13:KH13,"B"))*3)+((COUNTIF(KH13:KH13,"C"))*2)+((COUNTIF(KH13:KH13,"D"))*1))*CELL("contenu",$B$12),0),IFERROR((((COUNTIF(KH15:KH17,"A"))*4)+((COUNTIF(KH15:KH17,"B"))*3)+((COUNTIF(KH15:KH17,"C"))*2)+((COUNTIF(KH15:KH17,"D"))*1))*CELL("contenu",$B$14),0),IFERROR((((COUNTIF(KH19:KH19,"A"))*4)+((COUNTIF(KH19:KH19,"B"))*3)+((COUNTIF(KH19:KH19,"C"))*2)+((COUNTIF(KH19:KH19,"D"))*1))*CELL("contenu",$B$18),0))/IF(SUM(COUNTA(KH5:KH6)*CELL("contenu",$B$4),COUNTA(KH8:KH11)*CELL("contenu",$B$7),COUNTA(KH13:KH13)*CELL("contenu",$B$12),COUNTA(KH15:KH17)*CELL("contenu",$B$14),COUNTA(KH19:KH19)*CELL("contenu",$B$18))=0,1,SUM(COUNTA(KH5:KH6)*CELL("contenu",$B$4),COUNTA(KH8:KH11)*CELL("contenu",$B$7),COUNTA(KH13:KH13)*CELL("contenu",$B$12),COUNTA(KH15:KH17)*CELL("contenu",$B$14),COUNTA(KH19:KH19)*CELL("contenu",$B$18))))</f>
        <v/>
      </c>
      <c r="KI20" s="116"/>
      <c r="KJ20" s="192">
        <f ca="1">IF(COUNTA(KF20:KH20)-COUNTBLANK(KF20:KH20)=0,"",SUM(KF20:KH20)/(COUNTA(KF20:KH20)-COUNTBLANK(KF20:KH20)))</f>
        <v>16.666666666666668</v>
      </c>
      <c r="KK20" s="182" t="str">
        <f ca="1">IF(COUNTA(KK5:KK19)=0,"",5*SUM(IFERROR((((COUNTIF(KK5:KK6,"A"))*4)+((COUNTIF(KK5:KK6,"B"))*3)+((COUNTIF(KK5:KK6,"C"))*2)+((COUNTIF(KK5:KK6,"D"))*1))*CELL("contenu",$B$4),0),IFERROR((((COUNTIF(KK8:KK11,"A"))*4)+((COUNTIF(KK8:KK11,"B"))*3)+((COUNTIF(KK8:KK11,"C"))*2)+((COUNTIF(KK8:KK11,"D"))*1))*CELL("contenu",$B$7),0),IFERROR((((COUNTIF(KK13:KK13,"A"))*4)+((COUNTIF(KK13:KK13,"B"))*3)+((COUNTIF(KK13:KK13,"C"))*2)+((COUNTIF(KK13:KK13,"D"))*1))*CELL("contenu",$B$12),0),IFERROR((((COUNTIF(KK15:KK17,"A"))*4)+((COUNTIF(KK15:KK17,"B"))*3)+((COUNTIF(KK15:KK17,"C"))*2)+((COUNTIF(KK15:KK17,"D"))*1))*CELL("contenu",$B$14),0),IFERROR((((COUNTIF(KK19:KK19,"A"))*4)+((COUNTIF(KK19:KK19,"B"))*3)+((COUNTIF(KK19:KK19,"C"))*2)+((COUNTIF(KK19:KK19,"D"))*1))*CELL("contenu",$B$18),0))/IF(SUM(COUNTA(KK5:KK6)*CELL("contenu",$B$4),COUNTA(KK8:KK11)*CELL("contenu",$B$7),COUNTA(KK13:KK13)*CELL("contenu",$B$12),COUNTA(KK15:KK17)*CELL("contenu",$B$14),COUNTA(KK19:KK19)*CELL("contenu",$B$18))=0,1,SUM(COUNTA(KK5:KK6)*CELL("contenu",$B$4),COUNTA(KK8:KK11)*CELL("contenu",$B$7),COUNTA(KK13:KK13)*CELL("contenu",$B$12),COUNTA(KK15:KK17)*CELL("contenu",$B$14),COUNTA(KK19:KK19)*CELL("contenu",$B$18))))</f>
        <v/>
      </c>
      <c r="KL20" s="183" t="str">
        <f ca="1">IF(COUNTA(KL5:KL19)=0,"",5*SUM(IFERROR((((COUNTIF(KL5:KL6,"A"))*4)+((COUNTIF(KL5:KL6,"B"))*3)+((COUNTIF(KL5:KL6,"C"))*2)+((COUNTIF(KL5:KL6,"D"))*1))*CELL("contenu",$B$4),0),IFERROR((((COUNTIF(KL8:KL11,"A"))*4)+((COUNTIF(KL8:KL11,"B"))*3)+((COUNTIF(KL8:KL11,"C"))*2)+((COUNTIF(KL8:KL11,"D"))*1))*CELL("contenu",$B$7),0),IFERROR((((COUNTIF(KL13:KL13,"A"))*4)+((COUNTIF(KL13:KL13,"B"))*3)+((COUNTIF(KL13:KL13,"C"))*2)+((COUNTIF(KL13:KL13,"D"))*1))*CELL("contenu",$B$12),0),IFERROR((((COUNTIF(KL15:KL17,"A"))*4)+((COUNTIF(KL15:KL17,"B"))*3)+((COUNTIF(KL15:KL17,"C"))*2)+((COUNTIF(KL15:KL17,"D"))*1))*CELL("contenu",$B$14),0),IFERROR((((COUNTIF(KL19:KL19,"A"))*4)+((COUNTIF(KL19:KL19,"B"))*3)+((COUNTIF(KL19:KL19,"C"))*2)+((COUNTIF(KL19:KL19,"D"))*1))*CELL("contenu",$B$18),0))/IF(SUM(COUNTA(KL5:KL6)*CELL("contenu",$B$4),COUNTA(KL8:KL11)*CELL("contenu",$B$7),COUNTA(KL13:KL13)*CELL("contenu",$B$12),COUNTA(KL15:KL17)*CELL("contenu",$B$14),COUNTA(KL19:KL19)*CELL("contenu",$B$18))=0,1,SUM(COUNTA(KL5:KL6)*CELL("contenu",$B$4),COUNTA(KL8:KL11)*CELL("contenu",$B$7),COUNTA(KL13:KL13)*CELL("contenu",$B$12),COUNTA(KL15:KL17)*CELL("contenu",$B$14),COUNTA(KL19:KL19)*CELL("contenu",$B$18))))</f>
        <v/>
      </c>
      <c r="KM20" s="184" t="str">
        <f ca="1">IF(COUNTA(KM5:KM19)=0,"",5*SUM(IFERROR((((COUNTIF(KM5:KM6,"A"))*4)+((COUNTIF(KM5:KM6,"B"))*3)+((COUNTIF(KM5:KM6,"C"))*2)+((COUNTIF(KM5:KM6,"D"))*1))*CELL("contenu",$B$4),0),IFERROR((((COUNTIF(KM8:KM11,"A"))*4)+((COUNTIF(KM8:KM11,"B"))*3)+((COUNTIF(KM8:KM11,"C"))*2)+((COUNTIF(KM8:KM11,"D"))*1))*CELL("contenu",$B$7),0),IFERROR((((COUNTIF(KM13:KM13,"A"))*4)+((COUNTIF(KM13:KM13,"B"))*3)+((COUNTIF(KM13:KM13,"C"))*2)+((COUNTIF(KM13:KM13,"D"))*1))*CELL("contenu",$B$12),0),IFERROR((((COUNTIF(KM15:KM17,"A"))*4)+((COUNTIF(KM15:KM17,"B"))*3)+((COUNTIF(KM15:KM17,"C"))*2)+((COUNTIF(KM15:KM17,"D"))*1))*CELL("contenu",$B$14),0),IFERROR((((COUNTIF(KM19:KM19,"A"))*4)+((COUNTIF(KM19:KM19,"B"))*3)+((COUNTIF(KM19:KM19,"C"))*2)+((COUNTIF(KM19:KM19,"D"))*1))*CELL("contenu",$B$18),0))/IF(SUM(COUNTA(KM5:KM6)*CELL("contenu",$B$4),COUNTA(KM8:KM11)*CELL("contenu",$B$7),COUNTA(KM13:KM13)*CELL("contenu",$B$12),COUNTA(KM15:KM17)*CELL("contenu",$B$14),COUNTA(KM19:KM19)*CELL("contenu",$B$18))=0,1,SUM(COUNTA(KM5:KM6)*CELL("contenu",$B$4),COUNTA(KM8:KM11)*CELL("contenu",$B$7),COUNTA(KM13:KM13)*CELL("contenu",$B$12),COUNTA(KM15:KM17)*CELL("contenu",$B$14),COUNTA(KM19:KM19)*CELL("contenu",$B$18))))</f>
        <v/>
      </c>
      <c r="KN20" s="176"/>
      <c r="KO20" s="175" t="str">
        <f ca="1">IF(COUNTA(KK20:KM20)-COUNTBLANK(KK20:KM20)=0,"",SUM(KK20:KM20)/(COUNTA(KK20:KM20)-COUNTBLANK(KK20:KM20)))</f>
        <v/>
      </c>
      <c r="KP20" s="182" t="str">
        <f ca="1">IF(COUNTA(KP5:KP19)=0,"",5*SUM(IFERROR((((COUNTIF(KP5:KP6,"A"))*4)+((COUNTIF(KP5:KP6,"B"))*3)+((COUNTIF(KP5:KP6,"C"))*2)+((COUNTIF(KP5:KP6,"D"))*1))*CELL("contenu",$B$4),0),IFERROR((((COUNTIF(KP8:KP11,"A"))*4)+((COUNTIF(KP8:KP11,"B"))*3)+((COUNTIF(KP8:KP11,"C"))*2)+((COUNTIF(KP8:KP11,"D"))*1))*CELL("contenu",$B$7),0),IFERROR((((COUNTIF(KP13:KP13,"A"))*4)+((COUNTIF(KP13:KP13,"B"))*3)+((COUNTIF(KP13:KP13,"C"))*2)+((COUNTIF(KP13:KP13,"D"))*1))*CELL("contenu",$B$12),0),IFERROR((((COUNTIF(KP15:KP17,"A"))*4)+((COUNTIF(KP15:KP17,"B"))*3)+((COUNTIF(KP15:KP17,"C"))*2)+((COUNTIF(KP15:KP17,"D"))*1))*CELL("contenu",$B$14),0),IFERROR((((COUNTIF(KP19:KP19,"A"))*4)+((COUNTIF(KP19:KP19,"B"))*3)+((COUNTIF(KP19:KP19,"C"))*2)+((COUNTIF(KP19:KP19,"D"))*1))*CELL("contenu",$B$18),0))/IF(SUM(COUNTA(KP5:KP6)*CELL("contenu",$B$4),COUNTA(KP8:KP11)*CELL("contenu",$B$7),COUNTA(KP13:KP13)*CELL("contenu",$B$12),COUNTA(KP15:KP17)*CELL("contenu",$B$14),COUNTA(KP19:KP19)*CELL("contenu",$B$18))=0,1,SUM(COUNTA(KP5:KP6)*CELL("contenu",$B$4),COUNTA(KP8:KP11)*CELL("contenu",$B$7),COUNTA(KP13:KP13)*CELL("contenu",$B$12),COUNTA(KP15:KP17)*CELL("contenu",$B$14),COUNTA(KP19:KP19)*CELL("contenu",$B$18))))</f>
        <v/>
      </c>
      <c r="KQ20" s="183" t="str">
        <f ca="1">IF(COUNTA(KQ5:KQ19)=0,"",5*SUM(IFERROR((((COUNTIF(KQ5:KQ6,"A"))*4)+((COUNTIF(KQ5:KQ6,"B"))*3)+((COUNTIF(KQ5:KQ6,"C"))*2)+((COUNTIF(KQ5:KQ6,"D"))*1))*CELL("contenu",$B$4),0),IFERROR((((COUNTIF(KQ8:KQ11,"A"))*4)+((COUNTIF(KQ8:KQ11,"B"))*3)+((COUNTIF(KQ8:KQ11,"C"))*2)+((COUNTIF(KQ8:KQ11,"D"))*1))*CELL("contenu",$B$7),0),IFERROR((((COUNTIF(KQ13:KQ13,"A"))*4)+((COUNTIF(KQ13:KQ13,"B"))*3)+((COUNTIF(KQ13:KQ13,"C"))*2)+((COUNTIF(KQ13:KQ13,"D"))*1))*CELL("contenu",$B$12),0),IFERROR((((COUNTIF(KQ15:KQ17,"A"))*4)+((COUNTIF(KQ15:KQ17,"B"))*3)+((COUNTIF(KQ15:KQ17,"C"))*2)+((COUNTIF(KQ15:KQ17,"D"))*1))*CELL("contenu",$B$14),0),IFERROR((((COUNTIF(KQ19:KQ19,"A"))*4)+((COUNTIF(KQ19:KQ19,"B"))*3)+((COUNTIF(KQ19:KQ19,"C"))*2)+((COUNTIF(KQ19:KQ19,"D"))*1))*CELL("contenu",$B$18),0))/IF(SUM(COUNTA(KQ5:KQ6)*CELL("contenu",$B$4),COUNTA(KQ8:KQ11)*CELL("contenu",$B$7),COUNTA(KQ13:KQ13)*CELL("contenu",$B$12),COUNTA(KQ15:KQ17)*CELL("contenu",$B$14),COUNTA(KQ19:KQ19)*CELL("contenu",$B$18))=0,1,SUM(COUNTA(KQ5:KQ6)*CELL("contenu",$B$4),COUNTA(KQ8:KQ11)*CELL("contenu",$B$7),COUNTA(KQ13:KQ13)*CELL("contenu",$B$12),COUNTA(KQ15:KQ17)*CELL("contenu",$B$14),COUNTA(KQ19:KQ19)*CELL("contenu",$B$18))))</f>
        <v/>
      </c>
      <c r="KR20" s="184" t="str">
        <f ca="1">IF(COUNTA(KR5:KR19)=0,"",5*SUM(IFERROR((((COUNTIF(KR5:KR6,"A"))*4)+((COUNTIF(KR5:KR6,"B"))*3)+((COUNTIF(KR5:KR6,"C"))*2)+((COUNTIF(KR5:KR6,"D"))*1))*CELL("contenu",$B$4),0),IFERROR((((COUNTIF(KR8:KR11,"A"))*4)+((COUNTIF(KR8:KR11,"B"))*3)+((COUNTIF(KR8:KR11,"C"))*2)+((COUNTIF(KR8:KR11,"D"))*1))*CELL("contenu",$B$7),0),IFERROR((((COUNTIF(KR13:KR13,"A"))*4)+((COUNTIF(KR13:KR13,"B"))*3)+((COUNTIF(KR13:KR13,"C"))*2)+((COUNTIF(KR13:KR13,"D"))*1))*CELL("contenu",$B$12),0),IFERROR((((COUNTIF(KR15:KR17,"A"))*4)+((COUNTIF(KR15:KR17,"B"))*3)+((COUNTIF(KR15:KR17,"C"))*2)+((COUNTIF(KR15:KR17,"D"))*1))*CELL("contenu",$B$14),0),IFERROR((((COUNTIF(KR19:KR19,"A"))*4)+((COUNTIF(KR19:KR19,"B"))*3)+((COUNTIF(KR19:KR19,"C"))*2)+((COUNTIF(KR19:KR19,"D"))*1))*CELL("contenu",$B$18),0))/IF(SUM(COUNTA(KR5:KR6)*CELL("contenu",$B$4),COUNTA(KR8:KR11)*CELL("contenu",$B$7),COUNTA(KR13:KR13)*CELL("contenu",$B$12),COUNTA(KR15:KR17)*CELL("contenu",$B$14),COUNTA(KR19:KR19)*CELL("contenu",$B$18))=0,1,SUM(COUNTA(KR5:KR6)*CELL("contenu",$B$4),COUNTA(KR8:KR11)*CELL("contenu",$B$7),COUNTA(KR13:KR13)*CELL("contenu",$B$12),COUNTA(KR15:KR17)*CELL("contenu",$B$14),COUNTA(KR19:KR19)*CELL("contenu",$B$18))))</f>
        <v/>
      </c>
      <c r="KS20" s="176"/>
      <c r="KT20" s="174" t="str">
        <f ca="1">IF(COUNTA(KP20:KR20)-COUNTBLANK(KP20:KR20)=0,"",SUM(KP20:KR20)/(COUNTA(KP20:KR20)-COUNTBLANK(KP20:KR20)))</f>
        <v/>
      </c>
      <c r="KU20" s="103"/>
      <c r="KV20" s="141"/>
      <c r="KW20" s="167">
        <f ca="1">IF(COUNTA(KW5:KW19)=0,"",5*SUM(IFERROR((((COUNTIF(KW5:KW6,"A"))*4)+((COUNTIF(KW5:KW6,"B"))*3)+((COUNTIF(KW5:KW6,"C"))*2)+((COUNTIF(KW5:KW6,"D"))*1))*CELL("contenu",$B$4),0),IFERROR((((COUNTIF(KW8:KW11,"A"))*4)+((COUNTIF(KW8:KW11,"B"))*3)+((COUNTIF(KW8:KW11,"C"))*2)+((COUNTIF(KW8:KW11,"D"))*1))*CELL("contenu",$B$7),0),IFERROR((((COUNTIF(KW13:KW13,"A"))*4)+((COUNTIF(KW13:KW13,"B"))*3)+((COUNTIF(KW13:KW13,"C"))*2)+((COUNTIF(KW13:KW13,"D"))*1))*CELL("contenu",$B$12),0),IFERROR((((COUNTIF(KW15:KW17,"A"))*4)+((COUNTIF(KW15:KW17,"B"))*3)+((COUNTIF(KW15:KW17,"C"))*2)+((COUNTIF(KW15:KW17,"D"))*1))*CELL("contenu",$B$14),0),IFERROR((((COUNTIF(KW19:KW19,"A"))*4)+((COUNTIF(KW19:KW19,"B"))*3)+((COUNTIF(KW19:KW19,"C"))*2)+((COUNTIF(KW19:KW19,"D"))*1))*CELL("contenu",$B$18),0))/IF(SUM(COUNTA(KW5:KW6)*CELL("contenu",$B$4),COUNTA(KW8:KW11)*CELL("contenu",$B$7),COUNTA(KW13:KW13)*CELL("contenu",$B$12),COUNTA(KW15:KW17)*CELL("contenu",$B$14),COUNTA(KW19:KW19)*CELL("contenu",$B$18))=0,1,SUM(COUNTA(KW5:KW6)*CELL("contenu",$B$4),COUNTA(KW8:KW11)*CELL("contenu",$B$7),COUNTA(KW13:KW13)*CELL("contenu",$B$12),COUNTA(KW15:KW17)*CELL("contenu",$B$14),COUNTA(KW19:KW19)*CELL("contenu",$B$18))))</f>
        <v>20</v>
      </c>
      <c r="KX20" s="168">
        <f ca="1">IF(COUNTA(KX5:KX19)=0,"",5*SUM(IFERROR((((COUNTIF(KX5:KX6,"A"))*4)+((COUNTIF(KX5:KX6,"B"))*3)+((COUNTIF(KX5:KX6,"C"))*2)+((COUNTIF(KX5:KX6,"D"))*1))*CELL("contenu",$B$4),0),IFERROR((((COUNTIF(KX8:KX11,"A"))*4)+((COUNTIF(KX8:KX11,"B"))*3)+((COUNTIF(KX8:KX11,"C"))*2)+((COUNTIF(KX8:KX11,"D"))*1))*CELL("contenu",$B$7),0),IFERROR((((COUNTIF(KX13:KX13,"A"))*4)+((COUNTIF(KX13:KX13,"B"))*3)+((COUNTIF(KX13:KX13,"C"))*2)+((COUNTIF(KX13:KX13,"D"))*1))*CELL("contenu",$B$12),0),IFERROR((((COUNTIF(KX15:KX17,"A"))*4)+((COUNTIF(KX15:KX17,"B"))*3)+((COUNTIF(KX15:KX17,"C"))*2)+((COUNTIF(KX15:KX17,"D"))*1))*CELL("contenu",$B$14),0),IFERROR((((COUNTIF(KX19:KX19,"A"))*4)+((COUNTIF(KX19:KX19,"B"))*3)+((COUNTIF(KX19:KX19,"C"))*2)+((COUNTIF(KX19:KX19,"D"))*1))*CELL("contenu",$B$18),0))/IF(SUM(COUNTA(KX5:KX6)*CELL("contenu",$B$4),COUNTA(KX8:KX11)*CELL("contenu",$B$7),COUNTA(KX13:KX13)*CELL("contenu",$B$12),COUNTA(KX15:KX17)*CELL("contenu",$B$14),COUNTA(KX19:KX19)*CELL("contenu",$B$18))=0,1,SUM(COUNTA(KX5:KX6)*CELL("contenu",$B$4),COUNTA(KX8:KX11)*CELL("contenu",$B$7),COUNTA(KX13:KX13)*CELL("contenu",$B$12),COUNTA(KX15:KX17)*CELL("contenu",$B$14),COUNTA(KX19:KX19)*CELL("contenu",$B$18))))</f>
        <v>20</v>
      </c>
      <c r="KY20" s="169" t="str">
        <f ca="1">IF(COUNTA(KY5:KY19)=0,"",5*SUM(IFERROR((((COUNTIF(KY5:KY6,"A"))*4)+((COUNTIF(KY5:KY6,"B"))*3)+((COUNTIF(KY5:KY6,"C"))*2)+((COUNTIF(KY5:KY6,"D"))*1))*CELL("contenu",$B$4),0),IFERROR((((COUNTIF(KY8:KY11,"A"))*4)+((COUNTIF(KY8:KY11,"B"))*3)+((COUNTIF(KY8:KY11,"C"))*2)+((COUNTIF(KY8:KY11,"D"))*1))*CELL("contenu",$B$7),0),IFERROR((((COUNTIF(KY13:KY13,"A"))*4)+((COUNTIF(KY13:KY13,"B"))*3)+((COUNTIF(KY13:KY13,"C"))*2)+((COUNTIF(KY13:KY13,"D"))*1))*CELL("contenu",$B$12),0),IFERROR((((COUNTIF(KY15:KY17,"A"))*4)+((COUNTIF(KY15:KY17,"B"))*3)+((COUNTIF(KY15:KY17,"C"))*2)+((COUNTIF(KY15:KY17,"D"))*1))*CELL("contenu",$B$14),0),IFERROR((((COUNTIF(KY19:KY19,"A"))*4)+((COUNTIF(KY19:KY19,"B"))*3)+((COUNTIF(KY19:KY19,"C"))*2)+((COUNTIF(KY19:KY19,"D"))*1))*CELL("contenu",$B$18),0))/IF(SUM(COUNTA(KY5:KY6)*CELL("contenu",$B$4),COUNTA(KY8:KY11)*CELL("contenu",$B$7),COUNTA(KY13:KY13)*CELL("contenu",$B$12),COUNTA(KY15:KY17)*CELL("contenu",$B$14),COUNTA(KY19:KY19)*CELL("contenu",$B$18))=0,1,SUM(COUNTA(KY5:KY6)*CELL("contenu",$B$4),COUNTA(KY8:KY11)*CELL("contenu",$B$7),COUNTA(KY13:KY13)*CELL("contenu",$B$12),COUNTA(KY15:KY17)*CELL("contenu",$B$14),COUNTA(KY19:KY19)*CELL("contenu",$B$18))))</f>
        <v/>
      </c>
      <c r="KZ20" s="116"/>
      <c r="LA20" s="192">
        <f ca="1">IF(COUNTA(KW20:KY20)-COUNTBLANK(KW20:KY20)=0,"",SUM(KW20:KY20)/(COUNTA(KW20:KY20)-COUNTBLANK(KW20:KY20)))</f>
        <v>20</v>
      </c>
      <c r="LB20" s="182" t="str">
        <f ca="1">IF(COUNTA(LB5:LB19)=0,"",5*SUM(IFERROR((((COUNTIF(LB5:LB6,"A"))*4)+((COUNTIF(LB5:LB6,"B"))*3)+((COUNTIF(LB5:LB6,"C"))*2)+((COUNTIF(LB5:LB6,"D"))*1))*CELL("contenu",$B$4),0),IFERROR((((COUNTIF(LB8:LB11,"A"))*4)+((COUNTIF(LB8:LB11,"B"))*3)+((COUNTIF(LB8:LB11,"C"))*2)+((COUNTIF(LB8:LB11,"D"))*1))*CELL("contenu",$B$7),0),IFERROR((((COUNTIF(LB13:LB13,"A"))*4)+((COUNTIF(LB13:LB13,"B"))*3)+((COUNTIF(LB13:LB13,"C"))*2)+((COUNTIF(LB13:LB13,"D"))*1))*CELL("contenu",$B$12),0),IFERROR((((COUNTIF(LB15:LB17,"A"))*4)+((COUNTIF(LB15:LB17,"B"))*3)+((COUNTIF(LB15:LB17,"C"))*2)+((COUNTIF(LB15:LB17,"D"))*1))*CELL("contenu",$B$14),0),IFERROR((((COUNTIF(LB19:LB19,"A"))*4)+((COUNTIF(LB19:LB19,"B"))*3)+((COUNTIF(LB19:LB19,"C"))*2)+((COUNTIF(LB19:LB19,"D"))*1))*CELL("contenu",$B$18),0))/IF(SUM(COUNTA(LB5:LB6)*CELL("contenu",$B$4),COUNTA(LB8:LB11)*CELL("contenu",$B$7),COUNTA(LB13:LB13)*CELL("contenu",$B$12),COUNTA(LB15:LB17)*CELL("contenu",$B$14),COUNTA(LB19:LB19)*CELL("contenu",$B$18))=0,1,SUM(COUNTA(LB5:LB6)*CELL("contenu",$B$4),COUNTA(LB8:LB11)*CELL("contenu",$B$7),COUNTA(LB13:LB13)*CELL("contenu",$B$12),COUNTA(LB15:LB17)*CELL("contenu",$B$14),COUNTA(LB19:LB19)*CELL("contenu",$B$18))))</f>
        <v/>
      </c>
      <c r="LC20" s="183" t="str">
        <f ca="1">IF(COUNTA(LC5:LC19)=0,"",5*SUM(IFERROR((((COUNTIF(LC5:LC6,"A"))*4)+((COUNTIF(LC5:LC6,"B"))*3)+((COUNTIF(LC5:LC6,"C"))*2)+((COUNTIF(LC5:LC6,"D"))*1))*CELL("contenu",$B$4),0),IFERROR((((COUNTIF(LC8:LC11,"A"))*4)+((COUNTIF(LC8:LC11,"B"))*3)+((COUNTIF(LC8:LC11,"C"))*2)+((COUNTIF(LC8:LC11,"D"))*1))*CELL("contenu",$B$7),0),IFERROR((((COUNTIF(LC13:LC13,"A"))*4)+((COUNTIF(LC13:LC13,"B"))*3)+((COUNTIF(LC13:LC13,"C"))*2)+((COUNTIF(LC13:LC13,"D"))*1))*CELL("contenu",$B$12),0),IFERROR((((COUNTIF(LC15:LC17,"A"))*4)+((COUNTIF(LC15:LC17,"B"))*3)+((COUNTIF(LC15:LC17,"C"))*2)+((COUNTIF(LC15:LC17,"D"))*1))*CELL("contenu",$B$14),0),IFERROR((((COUNTIF(LC19:LC19,"A"))*4)+((COUNTIF(LC19:LC19,"B"))*3)+((COUNTIF(LC19:LC19,"C"))*2)+((COUNTIF(LC19:LC19,"D"))*1))*CELL("contenu",$B$18),0))/IF(SUM(COUNTA(LC5:LC6)*CELL("contenu",$B$4),COUNTA(LC8:LC11)*CELL("contenu",$B$7),COUNTA(LC13:LC13)*CELL("contenu",$B$12),COUNTA(LC15:LC17)*CELL("contenu",$B$14),COUNTA(LC19:LC19)*CELL("contenu",$B$18))=0,1,SUM(COUNTA(LC5:LC6)*CELL("contenu",$B$4),COUNTA(LC8:LC11)*CELL("contenu",$B$7),COUNTA(LC13:LC13)*CELL("contenu",$B$12),COUNTA(LC15:LC17)*CELL("contenu",$B$14),COUNTA(LC19:LC19)*CELL("contenu",$B$18))))</f>
        <v/>
      </c>
      <c r="LD20" s="184" t="str">
        <f ca="1">IF(COUNTA(LD5:LD19)=0,"",5*SUM(IFERROR((((COUNTIF(LD5:LD6,"A"))*4)+((COUNTIF(LD5:LD6,"B"))*3)+((COUNTIF(LD5:LD6,"C"))*2)+((COUNTIF(LD5:LD6,"D"))*1))*CELL("contenu",$B$4),0),IFERROR((((COUNTIF(LD8:LD11,"A"))*4)+((COUNTIF(LD8:LD11,"B"))*3)+((COUNTIF(LD8:LD11,"C"))*2)+((COUNTIF(LD8:LD11,"D"))*1))*CELL("contenu",$B$7),0),IFERROR((((COUNTIF(LD13:LD13,"A"))*4)+((COUNTIF(LD13:LD13,"B"))*3)+((COUNTIF(LD13:LD13,"C"))*2)+((COUNTIF(LD13:LD13,"D"))*1))*CELL("contenu",$B$12),0),IFERROR((((COUNTIF(LD15:LD17,"A"))*4)+((COUNTIF(LD15:LD17,"B"))*3)+((COUNTIF(LD15:LD17,"C"))*2)+((COUNTIF(LD15:LD17,"D"))*1))*CELL("contenu",$B$14),0),IFERROR((((COUNTIF(LD19:LD19,"A"))*4)+((COUNTIF(LD19:LD19,"B"))*3)+((COUNTIF(LD19:LD19,"C"))*2)+((COUNTIF(LD19:LD19,"D"))*1))*CELL("contenu",$B$18),0))/IF(SUM(COUNTA(LD5:LD6)*CELL("contenu",$B$4),COUNTA(LD8:LD11)*CELL("contenu",$B$7),COUNTA(LD13:LD13)*CELL("contenu",$B$12),COUNTA(LD15:LD17)*CELL("contenu",$B$14),COUNTA(LD19:LD19)*CELL("contenu",$B$18))=0,1,SUM(COUNTA(LD5:LD6)*CELL("contenu",$B$4),COUNTA(LD8:LD11)*CELL("contenu",$B$7),COUNTA(LD13:LD13)*CELL("contenu",$B$12),COUNTA(LD15:LD17)*CELL("contenu",$B$14),COUNTA(LD19:LD19)*CELL("contenu",$B$18))))</f>
        <v/>
      </c>
      <c r="LE20" s="176"/>
      <c r="LF20" s="175" t="str">
        <f ca="1">IF(COUNTA(LB20:LD20)-COUNTBLANK(LB20:LD20)=0,"",SUM(LB20:LD20)/(COUNTA(LB20:LD20)-COUNTBLANK(LB20:LD20)))</f>
        <v/>
      </c>
      <c r="LG20" s="182" t="str">
        <f ca="1">IF(COUNTA(LG5:LG19)=0,"",5*SUM(IFERROR((((COUNTIF(LG5:LG6,"A"))*4)+((COUNTIF(LG5:LG6,"B"))*3)+((COUNTIF(LG5:LG6,"C"))*2)+((COUNTIF(LG5:LG6,"D"))*1))*CELL("contenu",$B$4),0),IFERROR((((COUNTIF(LG8:LG11,"A"))*4)+((COUNTIF(LG8:LG11,"B"))*3)+((COUNTIF(LG8:LG11,"C"))*2)+((COUNTIF(LG8:LG11,"D"))*1))*CELL("contenu",$B$7),0),IFERROR((((COUNTIF(LG13:LG13,"A"))*4)+((COUNTIF(LG13:LG13,"B"))*3)+((COUNTIF(LG13:LG13,"C"))*2)+((COUNTIF(LG13:LG13,"D"))*1))*CELL("contenu",$B$12),0),IFERROR((((COUNTIF(LG15:LG17,"A"))*4)+((COUNTIF(LG15:LG17,"B"))*3)+((COUNTIF(LG15:LG17,"C"))*2)+((COUNTIF(LG15:LG17,"D"))*1))*CELL("contenu",$B$14),0),IFERROR((((COUNTIF(LG19:LG19,"A"))*4)+((COUNTIF(LG19:LG19,"B"))*3)+((COUNTIF(LG19:LG19,"C"))*2)+((COUNTIF(LG19:LG19,"D"))*1))*CELL("contenu",$B$18),0))/IF(SUM(COUNTA(LG5:LG6)*CELL("contenu",$B$4),COUNTA(LG8:LG11)*CELL("contenu",$B$7),COUNTA(LG13:LG13)*CELL("contenu",$B$12),COUNTA(LG15:LG17)*CELL("contenu",$B$14),COUNTA(LG19:LG19)*CELL("contenu",$B$18))=0,1,SUM(COUNTA(LG5:LG6)*CELL("contenu",$B$4),COUNTA(LG8:LG11)*CELL("contenu",$B$7),COUNTA(LG13:LG13)*CELL("contenu",$B$12),COUNTA(LG15:LG17)*CELL("contenu",$B$14),COUNTA(LG19:LG19)*CELL("contenu",$B$18))))</f>
        <v/>
      </c>
      <c r="LH20" s="183" t="str">
        <f ca="1">IF(COUNTA(LH5:LH19)=0,"",5*SUM(IFERROR((((COUNTIF(LH5:LH6,"A"))*4)+((COUNTIF(LH5:LH6,"B"))*3)+((COUNTIF(LH5:LH6,"C"))*2)+((COUNTIF(LH5:LH6,"D"))*1))*CELL("contenu",$B$4),0),IFERROR((((COUNTIF(LH8:LH11,"A"))*4)+((COUNTIF(LH8:LH11,"B"))*3)+((COUNTIF(LH8:LH11,"C"))*2)+((COUNTIF(LH8:LH11,"D"))*1))*CELL("contenu",$B$7),0),IFERROR((((COUNTIF(LH13:LH13,"A"))*4)+((COUNTIF(LH13:LH13,"B"))*3)+((COUNTIF(LH13:LH13,"C"))*2)+((COUNTIF(LH13:LH13,"D"))*1))*CELL("contenu",$B$12),0),IFERROR((((COUNTIF(LH15:LH17,"A"))*4)+((COUNTIF(LH15:LH17,"B"))*3)+((COUNTIF(LH15:LH17,"C"))*2)+((COUNTIF(LH15:LH17,"D"))*1))*CELL("contenu",$B$14),0),IFERROR((((COUNTIF(LH19:LH19,"A"))*4)+((COUNTIF(LH19:LH19,"B"))*3)+((COUNTIF(LH19:LH19,"C"))*2)+((COUNTIF(LH19:LH19,"D"))*1))*CELL("contenu",$B$18),0))/IF(SUM(COUNTA(LH5:LH6)*CELL("contenu",$B$4),COUNTA(LH8:LH11)*CELL("contenu",$B$7),COUNTA(LH13:LH13)*CELL("contenu",$B$12),COUNTA(LH15:LH17)*CELL("contenu",$B$14),COUNTA(LH19:LH19)*CELL("contenu",$B$18))=0,1,SUM(COUNTA(LH5:LH6)*CELL("contenu",$B$4),COUNTA(LH8:LH11)*CELL("contenu",$B$7),COUNTA(LH13:LH13)*CELL("contenu",$B$12),COUNTA(LH15:LH17)*CELL("contenu",$B$14),COUNTA(LH19:LH19)*CELL("contenu",$B$18))))</f>
        <v/>
      </c>
      <c r="LI20" s="184" t="str">
        <f ca="1">IF(COUNTA(LI5:LI19)=0,"",5*SUM(IFERROR((((COUNTIF(LI5:LI6,"A"))*4)+((COUNTIF(LI5:LI6,"B"))*3)+((COUNTIF(LI5:LI6,"C"))*2)+((COUNTIF(LI5:LI6,"D"))*1))*CELL("contenu",$B$4),0),IFERROR((((COUNTIF(LI8:LI11,"A"))*4)+((COUNTIF(LI8:LI11,"B"))*3)+((COUNTIF(LI8:LI11,"C"))*2)+((COUNTIF(LI8:LI11,"D"))*1))*CELL("contenu",$B$7),0),IFERROR((((COUNTIF(LI13:LI13,"A"))*4)+((COUNTIF(LI13:LI13,"B"))*3)+((COUNTIF(LI13:LI13,"C"))*2)+((COUNTIF(LI13:LI13,"D"))*1))*CELL("contenu",$B$12),0),IFERROR((((COUNTIF(LI15:LI17,"A"))*4)+((COUNTIF(LI15:LI17,"B"))*3)+((COUNTIF(LI15:LI17,"C"))*2)+((COUNTIF(LI15:LI17,"D"))*1))*CELL("contenu",$B$14),0),IFERROR((((COUNTIF(LI19:LI19,"A"))*4)+((COUNTIF(LI19:LI19,"B"))*3)+((COUNTIF(LI19:LI19,"C"))*2)+((COUNTIF(LI19:LI19,"D"))*1))*CELL("contenu",$B$18),0))/IF(SUM(COUNTA(LI5:LI6)*CELL("contenu",$B$4),COUNTA(LI8:LI11)*CELL("contenu",$B$7),COUNTA(LI13:LI13)*CELL("contenu",$B$12),COUNTA(LI15:LI17)*CELL("contenu",$B$14),COUNTA(LI19:LI19)*CELL("contenu",$B$18))=0,1,SUM(COUNTA(LI5:LI6)*CELL("contenu",$B$4),COUNTA(LI8:LI11)*CELL("contenu",$B$7),COUNTA(LI13:LI13)*CELL("contenu",$B$12),COUNTA(LI15:LI17)*CELL("contenu",$B$14),COUNTA(LI19:LI19)*CELL("contenu",$B$18))))</f>
        <v/>
      </c>
      <c r="LJ20" s="176"/>
      <c r="LK20" s="174" t="str">
        <f ca="1">IF(COUNTA(LG20:LI20)-COUNTBLANK(LG20:LI20)=0,"",SUM(LG20:LI20)/(COUNTA(LG20:LI20)-COUNTBLANK(LG20:LI20)))</f>
        <v/>
      </c>
      <c r="LL20" s="103"/>
      <c r="LM20" s="141"/>
      <c r="LN20" s="167">
        <f ca="1">IF(COUNTA(LN5:LN19)=0,"",5*SUM(IFERROR((((COUNTIF(LN5:LN6,"A"))*4)+((COUNTIF(LN5:LN6,"B"))*3)+((COUNTIF(LN5:LN6,"C"))*2)+((COUNTIF(LN5:LN6,"D"))*1))*CELL("contenu",$B$4),0),IFERROR((((COUNTIF(LN8:LN11,"A"))*4)+((COUNTIF(LN8:LN11,"B"))*3)+((COUNTIF(LN8:LN11,"C"))*2)+((COUNTIF(LN8:LN11,"D"))*1))*CELL("contenu",$B$7),0),IFERROR((((COUNTIF(LN13:LN13,"A"))*4)+((COUNTIF(LN13:LN13,"B"))*3)+((COUNTIF(LN13:LN13,"C"))*2)+((COUNTIF(LN13:LN13,"D"))*1))*CELL("contenu",$B$12),0),IFERROR((((COUNTIF(LN15:LN17,"A"))*4)+((COUNTIF(LN15:LN17,"B"))*3)+((COUNTIF(LN15:LN17,"C"))*2)+((COUNTIF(LN15:LN17,"D"))*1))*CELL("contenu",$B$14),0),IFERROR((((COUNTIF(LN19:LN19,"A"))*4)+((COUNTIF(LN19:LN19,"B"))*3)+((COUNTIF(LN19:LN19,"C"))*2)+((COUNTIF(LN19:LN19,"D"))*1))*CELL("contenu",$B$18),0))/IF(SUM(COUNTA(LN5:LN6)*CELL("contenu",$B$4),COUNTA(LN8:LN11)*CELL("contenu",$B$7),COUNTA(LN13:LN13)*CELL("contenu",$B$12),COUNTA(LN15:LN17)*CELL("contenu",$B$14),COUNTA(LN19:LN19)*CELL("contenu",$B$18))=0,1,SUM(COUNTA(LN5:LN6)*CELL("contenu",$B$4),COUNTA(LN8:LN11)*CELL("contenu",$B$7),COUNTA(LN13:LN13)*CELL("contenu",$B$12),COUNTA(LN15:LN17)*CELL("contenu",$B$14),COUNTA(LN19:LN19)*CELL("contenu",$B$18))))</f>
        <v>16.666666666666668</v>
      </c>
      <c r="LO20" s="168">
        <f ca="1">IF(COUNTA(LO5:LO19)=0,"",5*SUM(IFERROR((((COUNTIF(LO5:LO6,"A"))*4)+((COUNTIF(LO5:LO6,"B"))*3)+((COUNTIF(LO5:LO6,"C"))*2)+((COUNTIF(LO5:LO6,"D"))*1))*CELL("contenu",$B$4),0),IFERROR((((COUNTIF(LO8:LO11,"A"))*4)+((COUNTIF(LO8:LO11,"B"))*3)+((COUNTIF(LO8:LO11,"C"))*2)+((COUNTIF(LO8:LO11,"D"))*1))*CELL("contenu",$B$7),0),IFERROR((((COUNTIF(LO13:LO13,"A"))*4)+((COUNTIF(LO13:LO13,"B"))*3)+((COUNTIF(LO13:LO13,"C"))*2)+((COUNTIF(LO13:LO13,"D"))*1))*CELL("contenu",$B$12),0),IFERROR((((COUNTIF(LO15:LO17,"A"))*4)+((COUNTIF(LO15:LO17,"B"))*3)+((COUNTIF(LO15:LO17,"C"))*2)+((COUNTIF(LO15:LO17,"D"))*1))*CELL("contenu",$B$14),0),IFERROR((((COUNTIF(LO19:LO19,"A"))*4)+((COUNTIF(LO19:LO19,"B"))*3)+((COUNTIF(LO19:LO19,"C"))*2)+((COUNTIF(LO19:LO19,"D"))*1))*CELL("contenu",$B$18),0))/IF(SUM(COUNTA(LO5:LO6)*CELL("contenu",$B$4),COUNTA(LO8:LO11)*CELL("contenu",$B$7),COUNTA(LO13:LO13)*CELL("contenu",$B$12),COUNTA(LO15:LO17)*CELL("contenu",$B$14),COUNTA(LO19:LO19)*CELL("contenu",$B$18))=0,1,SUM(COUNTA(LO5:LO6)*CELL("contenu",$B$4),COUNTA(LO8:LO11)*CELL("contenu",$B$7),COUNTA(LO13:LO13)*CELL("contenu",$B$12),COUNTA(LO15:LO17)*CELL("contenu",$B$14),COUNTA(LO19:LO19)*CELL("contenu",$B$18))))</f>
        <v>16.666666666666668</v>
      </c>
      <c r="LP20" s="169" t="str">
        <f ca="1">IF(COUNTA(LP5:LP19)=0,"",5*SUM(IFERROR((((COUNTIF(LP5:LP6,"A"))*4)+((COUNTIF(LP5:LP6,"B"))*3)+((COUNTIF(LP5:LP6,"C"))*2)+((COUNTIF(LP5:LP6,"D"))*1))*CELL("contenu",$B$4),0),IFERROR((((COUNTIF(LP8:LP11,"A"))*4)+((COUNTIF(LP8:LP11,"B"))*3)+((COUNTIF(LP8:LP11,"C"))*2)+((COUNTIF(LP8:LP11,"D"))*1))*CELL("contenu",$B$7),0),IFERROR((((COUNTIF(LP13:LP13,"A"))*4)+((COUNTIF(LP13:LP13,"B"))*3)+((COUNTIF(LP13:LP13,"C"))*2)+((COUNTIF(LP13:LP13,"D"))*1))*CELL("contenu",$B$12),0),IFERROR((((COUNTIF(LP15:LP17,"A"))*4)+((COUNTIF(LP15:LP17,"B"))*3)+((COUNTIF(LP15:LP17,"C"))*2)+((COUNTIF(LP15:LP17,"D"))*1))*CELL("contenu",$B$14),0),IFERROR((((COUNTIF(LP19:LP19,"A"))*4)+((COUNTIF(LP19:LP19,"B"))*3)+((COUNTIF(LP19:LP19,"C"))*2)+((COUNTIF(LP19:LP19,"D"))*1))*CELL("contenu",$B$18),0))/IF(SUM(COUNTA(LP5:LP6)*CELL("contenu",$B$4),COUNTA(LP8:LP11)*CELL("contenu",$B$7),COUNTA(LP13:LP13)*CELL("contenu",$B$12),COUNTA(LP15:LP17)*CELL("contenu",$B$14),COUNTA(LP19:LP19)*CELL("contenu",$B$18))=0,1,SUM(COUNTA(LP5:LP6)*CELL("contenu",$B$4),COUNTA(LP8:LP11)*CELL("contenu",$B$7),COUNTA(LP13:LP13)*CELL("contenu",$B$12),COUNTA(LP15:LP17)*CELL("contenu",$B$14),COUNTA(LP19:LP19)*CELL("contenu",$B$18))))</f>
        <v/>
      </c>
      <c r="LQ20" s="116"/>
      <c r="LR20" s="192">
        <f ca="1">IF(COUNTA(LN20:LP20)-COUNTBLANK(LN20:LP20)=0,"",SUM(LN20:LP20)/(COUNTA(LN20:LP20)-COUNTBLANK(LN20:LP20)))</f>
        <v>16.666666666666668</v>
      </c>
      <c r="LS20" s="182" t="str">
        <f ca="1">IF(COUNTA(LS5:LS19)=0,"",5*SUM(IFERROR((((COUNTIF(LS5:LS6,"A"))*4)+((COUNTIF(LS5:LS6,"B"))*3)+((COUNTIF(LS5:LS6,"C"))*2)+((COUNTIF(LS5:LS6,"D"))*1))*CELL("contenu",$B$4),0),IFERROR((((COUNTIF(LS8:LS11,"A"))*4)+((COUNTIF(LS8:LS11,"B"))*3)+((COUNTIF(LS8:LS11,"C"))*2)+((COUNTIF(LS8:LS11,"D"))*1))*CELL("contenu",$B$7),0),IFERROR((((COUNTIF(LS13:LS13,"A"))*4)+((COUNTIF(LS13:LS13,"B"))*3)+((COUNTIF(LS13:LS13,"C"))*2)+((COUNTIF(LS13:LS13,"D"))*1))*CELL("contenu",$B$12),0),IFERROR((((COUNTIF(LS15:LS17,"A"))*4)+((COUNTIF(LS15:LS17,"B"))*3)+((COUNTIF(LS15:LS17,"C"))*2)+((COUNTIF(LS15:LS17,"D"))*1))*CELL("contenu",$B$14),0),IFERROR((((COUNTIF(LS19:LS19,"A"))*4)+((COUNTIF(LS19:LS19,"B"))*3)+((COUNTIF(LS19:LS19,"C"))*2)+((COUNTIF(LS19:LS19,"D"))*1))*CELL("contenu",$B$18),0))/IF(SUM(COUNTA(LS5:LS6)*CELL("contenu",$B$4),COUNTA(LS8:LS11)*CELL("contenu",$B$7),COUNTA(LS13:LS13)*CELL("contenu",$B$12),COUNTA(LS15:LS17)*CELL("contenu",$B$14),COUNTA(LS19:LS19)*CELL("contenu",$B$18))=0,1,SUM(COUNTA(LS5:LS6)*CELL("contenu",$B$4),COUNTA(LS8:LS11)*CELL("contenu",$B$7),COUNTA(LS13:LS13)*CELL("contenu",$B$12),COUNTA(LS15:LS17)*CELL("contenu",$B$14),COUNTA(LS19:LS19)*CELL("contenu",$B$18))))</f>
        <v/>
      </c>
      <c r="LT20" s="183" t="str">
        <f ca="1">IF(COUNTA(LT5:LT19)=0,"",5*SUM(IFERROR((((COUNTIF(LT5:LT6,"A"))*4)+((COUNTIF(LT5:LT6,"B"))*3)+((COUNTIF(LT5:LT6,"C"))*2)+((COUNTIF(LT5:LT6,"D"))*1))*CELL("contenu",$B$4),0),IFERROR((((COUNTIF(LT8:LT11,"A"))*4)+((COUNTIF(LT8:LT11,"B"))*3)+((COUNTIF(LT8:LT11,"C"))*2)+((COUNTIF(LT8:LT11,"D"))*1))*CELL("contenu",$B$7),0),IFERROR((((COUNTIF(LT13:LT13,"A"))*4)+((COUNTIF(LT13:LT13,"B"))*3)+((COUNTIF(LT13:LT13,"C"))*2)+((COUNTIF(LT13:LT13,"D"))*1))*CELL("contenu",$B$12),0),IFERROR((((COUNTIF(LT15:LT17,"A"))*4)+((COUNTIF(LT15:LT17,"B"))*3)+((COUNTIF(LT15:LT17,"C"))*2)+((COUNTIF(LT15:LT17,"D"))*1))*CELL("contenu",$B$14),0),IFERROR((((COUNTIF(LT19:LT19,"A"))*4)+((COUNTIF(LT19:LT19,"B"))*3)+((COUNTIF(LT19:LT19,"C"))*2)+((COUNTIF(LT19:LT19,"D"))*1))*CELL("contenu",$B$18),0))/IF(SUM(COUNTA(LT5:LT6)*CELL("contenu",$B$4),COUNTA(LT8:LT11)*CELL("contenu",$B$7),COUNTA(LT13:LT13)*CELL("contenu",$B$12),COUNTA(LT15:LT17)*CELL("contenu",$B$14),COUNTA(LT19:LT19)*CELL("contenu",$B$18))=0,1,SUM(COUNTA(LT5:LT6)*CELL("contenu",$B$4),COUNTA(LT8:LT11)*CELL("contenu",$B$7),COUNTA(LT13:LT13)*CELL("contenu",$B$12),COUNTA(LT15:LT17)*CELL("contenu",$B$14),COUNTA(LT19:LT19)*CELL("contenu",$B$18))))</f>
        <v/>
      </c>
      <c r="LU20" s="184" t="str">
        <f ca="1">IF(COUNTA(LU5:LU19)=0,"",5*SUM(IFERROR((((COUNTIF(LU5:LU6,"A"))*4)+((COUNTIF(LU5:LU6,"B"))*3)+((COUNTIF(LU5:LU6,"C"))*2)+((COUNTIF(LU5:LU6,"D"))*1))*CELL("contenu",$B$4),0),IFERROR((((COUNTIF(LU8:LU11,"A"))*4)+((COUNTIF(LU8:LU11,"B"))*3)+((COUNTIF(LU8:LU11,"C"))*2)+((COUNTIF(LU8:LU11,"D"))*1))*CELL("contenu",$B$7),0),IFERROR((((COUNTIF(LU13:LU13,"A"))*4)+((COUNTIF(LU13:LU13,"B"))*3)+((COUNTIF(LU13:LU13,"C"))*2)+((COUNTIF(LU13:LU13,"D"))*1))*CELL("contenu",$B$12),0),IFERROR((((COUNTIF(LU15:LU17,"A"))*4)+((COUNTIF(LU15:LU17,"B"))*3)+((COUNTIF(LU15:LU17,"C"))*2)+((COUNTIF(LU15:LU17,"D"))*1))*CELL("contenu",$B$14),0),IFERROR((((COUNTIF(LU19:LU19,"A"))*4)+((COUNTIF(LU19:LU19,"B"))*3)+((COUNTIF(LU19:LU19,"C"))*2)+((COUNTIF(LU19:LU19,"D"))*1))*CELL("contenu",$B$18),0))/IF(SUM(COUNTA(LU5:LU6)*CELL("contenu",$B$4),COUNTA(LU8:LU11)*CELL("contenu",$B$7),COUNTA(LU13:LU13)*CELL("contenu",$B$12),COUNTA(LU15:LU17)*CELL("contenu",$B$14),COUNTA(LU19:LU19)*CELL("contenu",$B$18))=0,1,SUM(COUNTA(LU5:LU6)*CELL("contenu",$B$4),COUNTA(LU8:LU11)*CELL("contenu",$B$7),COUNTA(LU13:LU13)*CELL("contenu",$B$12),COUNTA(LU15:LU17)*CELL("contenu",$B$14),COUNTA(LU19:LU19)*CELL("contenu",$B$18))))</f>
        <v/>
      </c>
      <c r="LV20" s="176"/>
      <c r="LW20" s="175" t="str">
        <f ca="1">IF(COUNTA(LS20:LU20)-COUNTBLANK(LS20:LU20)=0,"",SUM(LS20:LU20)/(COUNTA(LS20:LU20)-COUNTBLANK(LS20:LU20)))</f>
        <v/>
      </c>
      <c r="LX20" s="182" t="str">
        <f ca="1">IF(COUNTA(LX5:LX19)=0,"",5*SUM(IFERROR((((COUNTIF(LX5:LX6,"A"))*4)+((COUNTIF(LX5:LX6,"B"))*3)+((COUNTIF(LX5:LX6,"C"))*2)+((COUNTIF(LX5:LX6,"D"))*1))*CELL("contenu",$B$4),0),IFERROR((((COUNTIF(LX8:LX11,"A"))*4)+((COUNTIF(LX8:LX11,"B"))*3)+((COUNTIF(LX8:LX11,"C"))*2)+((COUNTIF(LX8:LX11,"D"))*1))*CELL("contenu",$B$7),0),IFERROR((((COUNTIF(LX13:LX13,"A"))*4)+((COUNTIF(LX13:LX13,"B"))*3)+((COUNTIF(LX13:LX13,"C"))*2)+((COUNTIF(LX13:LX13,"D"))*1))*CELL("contenu",$B$12),0),IFERROR((((COUNTIF(LX15:LX17,"A"))*4)+((COUNTIF(LX15:LX17,"B"))*3)+((COUNTIF(LX15:LX17,"C"))*2)+((COUNTIF(LX15:LX17,"D"))*1))*CELL("contenu",$B$14),0),IFERROR((((COUNTIF(LX19:LX19,"A"))*4)+((COUNTIF(LX19:LX19,"B"))*3)+((COUNTIF(LX19:LX19,"C"))*2)+((COUNTIF(LX19:LX19,"D"))*1))*CELL("contenu",$B$18),0))/IF(SUM(COUNTA(LX5:LX6)*CELL("contenu",$B$4),COUNTA(LX8:LX11)*CELL("contenu",$B$7),COUNTA(LX13:LX13)*CELL("contenu",$B$12),COUNTA(LX15:LX17)*CELL("contenu",$B$14),COUNTA(LX19:LX19)*CELL("contenu",$B$18))=0,1,SUM(COUNTA(LX5:LX6)*CELL("contenu",$B$4),COUNTA(LX8:LX11)*CELL("contenu",$B$7),COUNTA(LX13:LX13)*CELL("contenu",$B$12),COUNTA(LX15:LX17)*CELL("contenu",$B$14),COUNTA(LX19:LX19)*CELL("contenu",$B$18))))</f>
        <v/>
      </c>
      <c r="LY20" s="183" t="str">
        <f ca="1">IF(COUNTA(LY5:LY19)=0,"",5*SUM(IFERROR((((COUNTIF(LY5:LY6,"A"))*4)+((COUNTIF(LY5:LY6,"B"))*3)+((COUNTIF(LY5:LY6,"C"))*2)+((COUNTIF(LY5:LY6,"D"))*1))*CELL("contenu",$B$4),0),IFERROR((((COUNTIF(LY8:LY11,"A"))*4)+((COUNTIF(LY8:LY11,"B"))*3)+((COUNTIF(LY8:LY11,"C"))*2)+((COUNTIF(LY8:LY11,"D"))*1))*CELL("contenu",$B$7),0),IFERROR((((COUNTIF(LY13:LY13,"A"))*4)+((COUNTIF(LY13:LY13,"B"))*3)+((COUNTIF(LY13:LY13,"C"))*2)+((COUNTIF(LY13:LY13,"D"))*1))*CELL("contenu",$B$12),0),IFERROR((((COUNTIF(LY15:LY17,"A"))*4)+((COUNTIF(LY15:LY17,"B"))*3)+((COUNTIF(LY15:LY17,"C"))*2)+((COUNTIF(LY15:LY17,"D"))*1))*CELL("contenu",$B$14),0),IFERROR((((COUNTIF(LY19:LY19,"A"))*4)+((COUNTIF(LY19:LY19,"B"))*3)+((COUNTIF(LY19:LY19,"C"))*2)+((COUNTIF(LY19:LY19,"D"))*1))*CELL("contenu",$B$18),0))/IF(SUM(COUNTA(LY5:LY6)*CELL("contenu",$B$4),COUNTA(LY8:LY11)*CELL("contenu",$B$7),COUNTA(LY13:LY13)*CELL("contenu",$B$12),COUNTA(LY15:LY17)*CELL("contenu",$B$14),COUNTA(LY19:LY19)*CELL("contenu",$B$18))=0,1,SUM(COUNTA(LY5:LY6)*CELL("contenu",$B$4),COUNTA(LY8:LY11)*CELL("contenu",$B$7),COUNTA(LY13:LY13)*CELL("contenu",$B$12),COUNTA(LY15:LY17)*CELL("contenu",$B$14),COUNTA(LY19:LY19)*CELL("contenu",$B$18))))</f>
        <v/>
      </c>
      <c r="LZ20" s="184" t="str">
        <f ca="1">IF(COUNTA(LZ5:LZ19)=0,"",5*SUM(IFERROR((((COUNTIF(LZ5:LZ6,"A"))*4)+((COUNTIF(LZ5:LZ6,"B"))*3)+((COUNTIF(LZ5:LZ6,"C"))*2)+((COUNTIF(LZ5:LZ6,"D"))*1))*CELL("contenu",$B$4),0),IFERROR((((COUNTIF(LZ8:LZ11,"A"))*4)+((COUNTIF(LZ8:LZ11,"B"))*3)+((COUNTIF(LZ8:LZ11,"C"))*2)+((COUNTIF(LZ8:LZ11,"D"))*1))*CELL("contenu",$B$7),0),IFERROR((((COUNTIF(LZ13:LZ13,"A"))*4)+((COUNTIF(LZ13:LZ13,"B"))*3)+((COUNTIF(LZ13:LZ13,"C"))*2)+((COUNTIF(LZ13:LZ13,"D"))*1))*CELL("contenu",$B$12),0),IFERROR((((COUNTIF(LZ15:LZ17,"A"))*4)+((COUNTIF(LZ15:LZ17,"B"))*3)+((COUNTIF(LZ15:LZ17,"C"))*2)+((COUNTIF(LZ15:LZ17,"D"))*1))*CELL("contenu",$B$14),0),IFERROR((((COUNTIF(LZ19:LZ19,"A"))*4)+((COUNTIF(LZ19:LZ19,"B"))*3)+((COUNTIF(LZ19:LZ19,"C"))*2)+((COUNTIF(LZ19:LZ19,"D"))*1))*CELL("contenu",$B$18),0))/IF(SUM(COUNTA(LZ5:LZ6)*CELL("contenu",$B$4),COUNTA(LZ8:LZ11)*CELL("contenu",$B$7),COUNTA(LZ13:LZ13)*CELL("contenu",$B$12),COUNTA(LZ15:LZ17)*CELL("contenu",$B$14),COUNTA(LZ19:LZ19)*CELL("contenu",$B$18))=0,1,SUM(COUNTA(LZ5:LZ6)*CELL("contenu",$B$4),COUNTA(LZ8:LZ11)*CELL("contenu",$B$7),COUNTA(LZ13:LZ13)*CELL("contenu",$B$12),COUNTA(LZ15:LZ17)*CELL("contenu",$B$14),COUNTA(LZ19:LZ19)*CELL("contenu",$B$18))))</f>
        <v/>
      </c>
      <c r="MA20" s="176"/>
      <c r="MB20" s="174" t="str">
        <f ca="1">IF(COUNTA(LX20:LZ20)-COUNTBLANK(LX20:LZ20)=0,"",SUM(LX20:LZ20)/(COUNTA(LX20:LZ20)-COUNTBLANK(LX20:LZ20)))</f>
        <v/>
      </c>
      <c r="MC20" s="103"/>
      <c r="MD20" s="141"/>
      <c r="ME20" s="167">
        <f ca="1">IF(COUNTA(ME5:ME19)=0,"",5*SUM(IFERROR((((COUNTIF(ME5:ME6,"A"))*4)+((COUNTIF(ME5:ME6,"B"))*3)+((COUNTIF(ME5:ME6,"C"))*2)+((COUNTIF(ME5:ME6,"D"))*1))*CELL("contenu",$B$4),0),IFERROR((((COUNTIF(ME8:ME11,"A"))*4)+((COUNTIF(ME8:ME11,"B"))*3)+((COUNTIF(ME8:ME11,"C"))*2)+((COUNTIF(ME8:ME11,"D"))*1))*CELL("contenu",$B$7),0),IFERROR((((COUNTIF(ME13:ME13,"A"))*4)+((COUNTIF(ME13:ME13,"B"))*3)+((COUNTIF(ME13:ME13,"C"))*2)+((COUNTIF(ME13:ME13,"D"))*1))*CELL("contenu",$B$12),0),IFERROR((((COUNTIF(ME15:ME17,"A"))*4)+((COUNTIF(ME15:ME17,"B"))*3)+((COUNTIF(ME15:ME17,"C"))*2)+((COUNTIF(ME15:ME17,"D"))*1))*CELL("contenu",$B$14),0),IFERROR((((COUNTIF(ME19:ME19,"A"))*4)+((COUNTIF(ME19:ME19,"B"))*3)+((COUNTIF(ME19:ME19,"C"))*2)+((COUNTIF(ME19:ME19,"D"))*1))*CELL("contenu",$B$18),0))/IF(SUM(COUNTA(ME5:ME6)*CELL("contenu",$B$4),COUNTA(ME8:ME11)*CELL("contenu",$B$7),COUNTA(ME13:ME13)*CELL("contenu",$B$12),COUNTA(ME15:ME17)*CELL("contenu",$B$14),COUNTA(ME19:ME19)*CELL("contenu",$B$18))=0,1,SUM(COUNTA(ME5:ME6)*CELL("contenu",$B$4),COUNTA(ME8:ME11)*CELL("contenu",$B$7),COUNTA(ME13:ME13)*CELL("contenu",$B$12),COUNTA(ME15:ME17)*CELL("contenu",$B$14),COUNTA(ME19:ME19)*CELL("contenu",$B$18))))</f>
        <v>20</v>
      </c>
      <c r="MF20" s="168">
        <f ca="1">IF(COUNTA(MF5:MF19)=0,"",5*SUM(IFERROR((((COUNTIF(MF5:MF6,"A"))*4)+((COUNTIF(MF5:MF6,"B"))*3)+((COUNTIF(MF5:MF6,"C"))*2)+((COUNTIF(MF5:MF6,"D"))*1))*CELL("contenu",$B$4),0),IFERROR((((COUNTIF(MF8:MF11,"A"))*4)+((COUNTIF(MF8:MF11,"B"))*3)+((COUNTIF(MF8:MF11,"C"))*2)+((COUNTIF(MF8:MF11,"D"))*1))*CELL("contenu",$B$7),0),IFERROR((((COUNTIF(MF13:MF13,"A"))*4)+((COUNTIF(MF13:MF13,"B"))*3)+((COUNTIF(MF13:MF13,"C"))*2)+((COUNTIF(MF13:MF13,"D"))*1))*CELL("contenu",$B$12),0),IFERROR((((COUNTIF(MF15:MF17,"A"))*4)+((COUNTIF(MF15:MF17,"B"))*3)+((COUNTIF(MF15:MF17,"C"))*2)+((COUNTIF(MF15:MF17,"D"))*1))*CELL("contenu",$B$14),0),IFERROR((((COUNTIF(MF19:MF19,"A"))*4)+((COUNTIF(MF19:MF19,"B"))*3)+((COUNTIF(MF19:MF19,"C"))*2)+((COUNTIF(MF19:MF19,"D"))*1))*CELL("contenu",$B$18),0))/IF(SUM(COUNTA(MF5:MF6)*CELL("contenu",$B$4),COUNTA(MF8:MF11)*CELL("contenu",$B$7),COUNTA(MF13:MF13)*CELL("contenu",$B$12),COUNTA(MF15:MF17)*CELL("contenu",$B$14),COUNTA(MF19:MF19)*CELL("contenu",$B$18))=0,1,SUM(COUNTA(MF5:MF6)*CELL("contenu",$B$4),COUNTA(MF8:MF11)*CELL("contenu",$B$7),COUNTA(MF13:MF13)*CELL("contenu",$B$12),COUNTA(MF15:MF17)*CELL("contenu",$B$14),COUNTA(MF19:MF19)*CELL("contenu",$B$18))))</f>
        <v>16.666666666666668</v>
      </c>
      <c r="MG20" s="169" t="str">
        <f ca="1">IF(COUNTA(MG5:MG19)=0,"",5*SUM(IFERROR((((COUNTIF(MG5:MG6,"A"))*4)+((COUNTIF(MG5:MG6,"B"))*3)+((COUNTIF(MG5:MG6,"C"))*2)+((COUNTIF(MG5:MG6,"D"))*1))*CELL("contenu",$B$4),0),IFERROR((((COUNTIF(MG8:MG11,"A"))*4)+((COUNTIF(MG8:MG11,"B"))*3)+((COUNTIF(MG8:MG11,"C"))*2)+((COUNTIF(MG8:MG11,"D"))*1))*CELL("contenu",$B$7),0),IFERROR((((COUNTIF(MG13:MG13,"A"))*4)+((COUNTIF(MG13:MG13,"B"))*3)+((COUNTIF(MG13:MG13,"C"))*2)+((COUNTIF(MG13:MG13,"D"))*1))*CELL("contenu",$B$12),0),IFERROR((((COUNTIF(MG15:MG17,"A"))*4)+((COUNTIF(MG15:MG17,"B"))*3)+((COUNTIF(MG15:MG17,"C"))*2)+((COUNTIF(MG15:MG17,"D"))*1))*CELL("contenu",$B$14),0),IFERROR((((COUNTIF(MG19:MG19,"A"))*4)+((COUNTIF(MG19:MG19,"B"))*3)+((COUNTIF(MG19:MG19,"C"))*2)+((COUNTIF(MG19:MG19,"D"))*1))*CELL("contenu",$B$18),0))/IF(SUM(COUNTA(MG5:MG6)*CELL("contenu",$B$4),COUNTA(MG8:MG11)*CELL("contenu",$B$7),COUNTA(MG13:MG13)*CELL("contenu",$B$12),COUNTA(MG15:MG17)*CELL("contenu",$B$14),COUNTA(MG19:MG19)*CELL("contenu",$B$18))=0,1,SUM(COUNTA(MG5:MG6)*CELL("contenu",$B$4),COUNTA(MG8:MG11)*CELL("contenu",$B$7),COUNTA(MG13:MG13)*CELL("contenu",$B$12),COUNTA(MG15:MG17)*CELL("contenu",$B$14),COUNTA(MG19:MG19)*CELL("contenu",$B$18))))</f>
        <v/>
      </c>
      <c r="MH20" s="116"/>
      <c r="MI20" s="192">
        <f ca="1">IF(COUNTA(ME20:MG20)-COUNTBLANK(ME20:MG20)=0,"",SUM(ME20:MG20)/(COUNTA(ME20:MG20)-COUNTBLANK(ME20:MG20)))</f>
        <v>18.333333333333336</v>
      </c>
      <c r="MJ20" s="182" t="str">
        <f ca="1">IF(COUNTA(MJ5:MJ19)=0,"",5*SUM(IFERROR((((COUNTIF(MJ5:MJ6,"A"))*4)+((COUNTIF(MJ5:MJ6,"B"))*3)+((COUNTIF(MJ5:MJ6,"C"))*2)+((COUNTIF(MJ5:MJ6,"D"))*1))*CELL("contenu",$B$4),0),IFERROR((((COUNTIF(MJ8:MJ11,"A"))*4)+((COUNTIF(MJ8:MJ11,"B"))*3)+((COUNTIF(MJ8:MJ11,"C"))*2)+((COUNTIF(MJ8:MJ11,"D"))*1))*CELL("contenu",$B$7),0),IFERROR((((COUNTIF(MJ13:MJ13,"A"))*4)+((COUNTIF(MJ13:MJ13,"B"))*3)+((COUNTIF(MJ13:MJ13,"C"))*2)+((COUNTIF(MJ13:MJ13,"D"))*1))*CELL("contenu",$B$12),0),IFERROR((((COUNTIF(MJ15:MJ17,"A"))*4)+((COUNTIF(MJ15:MJ17,"B"))*3)+((COUNTIF(MJ15:MJ17,"C"))*2)+((COUNTIF(MJ15:MJ17,"D"))*1))*CELL("contenu",$B$14),0),IFERROR((((COUNTIF(MJ19:MJ19,"A"))*4)+((COUNTIF(MJ19:MJ19,"B"))*3)+((COUNTIF(MJ19:MJ19,"C"))*2)+((COUNTIF(MJ19:MJ19,"D"))*1))*CELL("contenu",$B$18),0))/IF(SUM(COUNTA(MJ5:MJ6)*CELL("contenu",$B$4),COUNTA(MJ8:MJ11)*CELL("contenu",$B$7),COUNTA(MJ13:MJ13)*CELL("contenu",$B$12),COUNTA(MJ15:MJ17)*CELL("contenu",$B$14),COUNTA(MJ19:MJ19)*CELL("contenu",$B$18))=0,1,SUM(COUNTA(MJ5:MJ6)*CELL("contenu",$B$4),COUNTA(MJ8:MJ11)*CELL("contenu",$B$7),COUNTA(MJ13:MJ13)*CELL("contenu",$B$12),COUNTA(MJ15:MJ17)*CELL("contenu",$B$14),COUNTA(MJ19:MJ19)*CELL("contenu",$B$18))))</f>
        <v/>
      </c>
      <c r="MK20" s="183" t="str">
        <f ca="1">IF(COUNTA(MK5:MK19)=0,"",5*SUM(IFERROR((((COUNTIF(MK5:MK6,"A"))*4)+((COUNTIF(MK5:MK6,"B"))*3)+((COUNTIF(MK5:MK6,"C"))*2)+((COUNTIF(MK5:MK6,"D"))*1))*CELL("contenu",$B$4),0),IFERROR((((COUNTIF(MK8:MK11,"A"))*4)+((COUNTIF(MK8:MK11,"B"))*3)+((COUNTIF(MK8:MK11,"C"))*2)+((COUNTIF(MK8:MK11,"D"))*1))*CELL("contenu",$B$7),0),IFERROR((((COUNTIF(MK13:MK13,"A"))*4)+((COUNTIF(MK13:MK13,"B"))*3)+((COUNTIF(MK13:MK13,"C"))*2)+((COUNTIF(MK13:MK13,"D"))*1))*CELL("contenu",$B$12),0),IFERROR((((COUNTIF(MK15:MK17,"A"))*4)+((COUNTIF(MK15:MK17,"B"))*3)+((COUNTIF(MK15:MK17,"C"))*2)+((COUNTIF(MK15:MK17,"D"))*1))*CELL("contenu",$B$14),0),IFERROR((((COUNTIF(MK19:MK19,"A"))*4)+((COUNTIF(MK19:MK19,"B"))*3)+((COUNTIF(MK19:MK19,"C"))*2)+((COUNTIF(MK19:MK19,"D"))*1))*CELL("contenu",$B$18),0))/IF(SUM(COUNTA(MK5:MK6)*CELL("contenu",$B$4),COUNTA(MK8:MK11)*CELL("contenu",$B$7),COUNTA(MK13:MK13)*CELL("contenu",$B$12),COUNTA(MK15:MK17)*CELL("contenu",$B$14),COUNTA(MK19:MK19)*CELL("contenu",$B$18))=0,1,SUM(COUNTA(MK5:MK6)*CELL("contenu",$B$4),COUNTA(MK8:MK11)*CELL("contenu",$B$7),COUNTA(MK13:MK13)*CELL("contenu",$B$12),COUNTA(MK15:MK17)*CELL("contenu",$B$14),COUNTA(MK19:MK19)*CELL("contenu",$B$18))))</f>
        <v/>
      </c>
      <c r="ML20" s="184" t="str">
        <f ca="1">IF(COUNTA(ML5:ML19)=0,"",5*SUM(IFERROR((((COUNTIF(ML5:ML6,"A"))*4)+((COUNTIF(ML5:ML6,"B"))*3)+((COUNTIF(ML5:ML6,"C"))*2)+((COUNTIF(ML5:ML6,"D"))*1))*CELL("contenu",$B$4),0),IFERROR((((COUNTIF(ML8:ML11,"A"))*4)+((COUNTIF(ML8:ML11,"B"))*3)+((COUNTIF(ML8:ML11,"C"))*2)+((COUNTIF(ML8:ML11,"D"))*1))*CELL("contenu",$B$7),0),IFERROR((((COUNTIF(ML13:ML13,"A"))*4)+((COUNTIF(ML13:ML13,"B"))*3)+((COUNTIF(ML13:ML13,"C"))*2)+((COUNTIF(ML13:ML13,"D"))*1))*CELL("contenu",$B$12),0),IFERROR((((COUNTIF(ML15:ML17,"A"))*4)+((COUNTIF(ML15:ML17,"B"))*3)+((COUNTIF(ML15:ML17,"C"))*2)+((COUNTIF(ML15:ML17,"D"))*1))*CELL("contenu",$B$14),0),IFERROR((((COUNTIF(ML19:ML19,"A"))*4)+((COUNTIF(ML19:ML19,"B"))*3)+((COUNTIF(ML19:ML19,"C"))*2)+((COUNTIF(ML19:ML19,"D"))*1))*CELL("contenu",$B$18),0))/IF(SUM(COUNTA(ML5:ML6)*CELL("contenu",$B$4),COUNTA(ML8:ML11)*CELL("contenu",$B$7),COUNTA(ML13:ML13)*CELL("contenu",$B$12),COUNTA(ML15:ML17)*CELL("contenu",$B$14),COUNTA(ML19:ML19)*CELL("contenu",$B$18))=0,1,SUM(COUNTA(ML5:ML6)*CELL("contenu",$B$4),COUNTA(ML8:ML11)*CELL("contenu",$B$7),COUNTA(ML13:ML13)*CELL("contenu",$B$12),COUNTA(ML15:ML17)*CELL("contenu",$B$14),COUNTA(ML19:ML19)*CELL("contenu",$B$18))))</f>
        <v/>
      </c>
      <c r="MM20" s="176"/>
      <c r="MN20" s="175" t="str">
        <f ca="1">IF(COUNTA(MJ20:ML20)-COUNTBLANK(MJ20:ML20)=0,"",SUM(MJ20:ML20)/(COUNTA(MJ20:ML20)-COUNTBLANK(MJ20:ML20)))</f>
        <v/>
      </c>
      <c r="MO20" s="182" t="str">
        <f ca="1">IF(COUNTA(MO5:MO19)=0,"",5*SUM(IFERROR((((COUNTIF(MO5:MO6,"A"))*4)+((COUNTIF(MO5:MO6,"B"))*3)+((COUNTIF(MO5:MO6,"C"))*2)+((COUNTIF(MO5:MO6,"D"))*1))*CELL("contenu",$B$4),0),IFERROR((((COUNTIF(MO8:MO11,"A"))*4)+((COUNTIF(MO8:MO11,"B"))*3)+((COUNTIF(MO8:MO11,"C"))*2)+((COUNTIF(MO8:MO11,"D"))*1))*CELL("contenu",$B$7),0),IFERROR((((COUNTIF(MO13:MO13,"A"))*4)+((COUNTIF(MO13:MO13,"B"))*3)+((COUNTIF(MO13:MO13,"C"))*2)+((COUNTIF(MO13:MO13,"D"))*1))*CELL("contenu",$B$12),0),IFERROR((((COUNTIF(MO15:MO17,"A"))*4)+((COUNTIF(MO15:MO17,"B"))*3)+((COUNTIF(MO15:MO17,"C"))*2)+((COUNTIF(MO15:MO17,"D"))*1))*CELL("contenu",$B$14),0),IFERROR((((COUNTIF(MO19:MO19,"A"))*4)+((COUNTIF(MO19:MO19,"B"))*3)+((COUNTIF(MO19:MO19,"C"))*2)+((COUNTIF(MO19:MO19,"D"))*1))*CELL("contenu",$B$18),0))/IF(SUM(COUNTA(MO5:MO6)*CELL("contenu",$B$4),COUNTA(MO8:MO11)*CELL("contenu",$B$7),COUNTA(MO13:MO13)*CELL("contenu",$B$12),COUNTA(MO15:MO17)*CELL("contenu",$B$14),COUNTA(MO19:MO19)*CELL("contenu",$B$18))=0,1,SUM(COUNTA(MO5:MO6)*CELL("contenu",$B$4),COUNTA(MO8:MO11)*CELL("contenu",$B$7),COUNTA(MO13:MO13)*CELL("contenu",$B$12),COUNTA(MO15:MO17)*CELL("contenu",$B$14),COUNTA(MO19:MO19)*CELL("contenu",$B$18))))</f>
        <v/>
      </c>
      <c r="MP20" s="183" t="str">
        <f ca="1">IF(COUNTA(MP5:MP19)=0,"",5*SUM(IFERROR((((COUNTIF(MP5:MP6,"A"))*4)+((COUNTIF(MP5:MP6,"B"))*3)+((COUNTIF(MP5:MP6,"C"))*2)+((COUNTIF(MP5:MP6,"D"))*1))*CELL("contenu",$B$4),0),IFERROR((((COUNTIF(MP8:MP11,"A"))*4)+((COUNTIF(MP8:MP11,"B"))*3)+((COUNTIF(MP8:MP11,"C"))*2)+((COUNTIF(MP8:MP11,"D"))*1))*CELL("contenu",$B$7),0),IFERROR((((COUNTIF(MP13:MP13,"A"))*4)+((COUNTIF(MP13:MP13,"B"))*3)+((COUNTIF(MP13:MP13,"C"))*2)+((COUNTIF(MP13:MP13,"D"))*1))*CELL("contenu",$B$12),0),IFERROR((((COUNTIF(MP15:MP17,"A"))*4)+((COUNTIF(MP15:MP17,"B"))*3)+((COUNTIF(MP15:MP17,"C"))*2)+((COUNTIF(MP15:MP17,"D"))*1))*CELL("contenu",$B$14),0),IFERROR((((COUNTIF(MP19:MP19,"A"))*4)+((COUNTIF(MP19:MP19,"B"))*3)+((COUNTIF(MP19:MP19,"C"))*2)+((COUNTIF(MP19:MP19,"D"))*1))*CELL("contenu",$B$18),0))/IF(SUM(COUNTA(MP5:MP6)*CELL("contenu",$B$4),COUNTA(MP8:MP11)*CELL("contenu",$B$7),COUNTA(MP13:MP13)*CELL("contenu",$B$12),COUNTA(MP15:MP17)*CELL("contenu",$B$14),COUNTA(MP19:MP19)*CELL("contenu",$B$18))=0,1,SUM(COUNTA(MP5:MP6)*CELL("contenu",$B$4),COUNTA(MP8:MP11)*CELL("contenu",$B$7),COUNTA(MP13:MP13)*CELL("contenu",$B$12),COUNTA(MP15:MP17)*CELL("contenu",$B$14),COUNTA(MP19:MP19)*CELL("contenu",$B$18))))</f>
        <v/>
      </c>
      <c r="MQ20" s="184" t="str">
        <f ca="1">IF(COUNTA(MQ5:MQ19)=0,"",5*SUM(IFERROR((((COUNTIF(MQ5:MQ6,"A"))*4)+((COUNTIF(MQ5:MQ6,"B"))*3)+((COUNTIF(MQ5:MQ6,"C"))*2)+((COUNTIF(MQ5:MQ6,"D"))*1))*CELL("contenu",$B$4),0),IFERROR((((COUNTIF(MQ8:MQ11,"A"))*4)+((COUNTIF(MQ8:MQ11,"B"))*3)+((COUNTIF(MQ8:MQ11,"C"))*2)+((COUNTIF(MQ8:MQ11,"D"))*1))*CELL("contenu",$B$7),0),IFERROR((((COUNTIF(MQ13:MQ13,"A"))*4)+((COUNTIF(MQ13:MQ13,"B"))*3)+((COUNTIF(MQ13:MQ13,"C"))*2)+((COUNTIF(MQ13:MQ13,"D"))*1))*CELL("contenu",$B$12),0),IFERROR((((COUNTIF(MQ15:MQ17,"A"))*4)+((COUNTIF(MQ15:MQ17,"B"))*3)+((COUNTIF(MQ15:MQ17,"C"))*2)+((COUNTIF(MQ15:MQ17,"D"))*1))*CELL("contenu",$B$14),0),IFERROR((((COUNTIF(MQ19:MQ19,"A"))*4)+((COUNTIF(MQ19:MQ19,"B"))*3)+((COUNTIF(MQ19:MQ19,"C"))*2)+((COUNTIF(MQ19:MQ19,"D"))*1))*CELL("contenu",$B$18),0))/IF(SUM(COUNTA(MQ5:MQ6)*CELL("contenu",$B$4),COUNTA(MQ8:MQ11)*CELL("contenu",$B$7),COUNTA(MQ13:MQ13)*CELL("contenu",$B$12),COUNTA(MQ15:MQ17)*CELL("contenu",$B$14),COUNTA(MQ19:MQ19)*CELL("contenu",$B$18))=0,1,SUM(COUNTA(MQ5:MQ6)*CELL("contenu",$B$4),COUNTA(MQ8:MQ11)*CELL("contenu",$B$7),COUNTA(MQ13:MQ13)*CELL("contenu",$B$12),COUNTA(MQ15:MQ17)*CELL("contenu",$B$14),COUNTA(MQ19:MQ19)*CELL("contenu",$B$18))))</f>
        <v/>
      </c>
      <c r="MR20" s="176"/>
      <c r="MS20" s="174" t="str">
        <f ca="1">IF(COUNTA(MO20:MQ20)-COUNTBLANK(MO20:MQ20)=0,"",SUM(MO20:MQ20)/(COUNTA(MO20:MQ20)-COUNTBLANK(MO20:MQ20)))</f>
        <v/>
      </c>
      <c r="MT20" s="103"/>
      <c r="MU20" s="141"/>
      <c r="MV20" s="167">
        <f ca="1">IF(COUNTA(MV5:MV19)=0,"",5*SUM(IFERROR((((COUNTIF(MV5:MV6,"A"))*4)+((COUNTIF(MV5:MV6,"B"))*3)+((COUNTIF(MV5:MV6,"C"))*2)+((COUNTIF(MV5:MV6,"D"))*1))*CELL("contenu",$B$4),0),IFERROR((((COUNTIF(MV8:MV11,"A"))*4)+((COUNTIF(MV8:MV11,"B"))*3)+((COUNTIF(MV8:MV11,"C"))*2)+((COUNTIF(MV8:MV11,"D"))*1))*CELL("contenu",$B$7),0),IFERROR((((COUNTIF(MV13:MV13,"A"))*4)+((COUNTIF(MV13:MV13,"B"))*3)+((COUNTIF(MV13:MV13,"C"))*2)+((COUNTIF(MV13:MV13,"D"))*1))*CELL("contenu",$B$12),0),IFERROR((((COUNTIF(MV15:MV17,"A"))*4)+((COUNTIF(MV15:MV17,"B"))*3)+((COUNTIF(MV15:MV17,"C"))*2)+((COUNTIF(MV15:MV17,"D"))*1))*CELL("contenu",$B$14),0),IFERROR((((COUNTIF(MV19:MV19,"A"))*4)+((COUNTIF(MV19:MV19,"B"))*3)+((COUNTIF(MV19:MV19,"C"))*2)+((COUNTIF(MV19:MV19,"D"))*1))*CELL("contenu",$B$18),0))/IF(SUM(COUNTA(MV5:MV6)*CELL("contenu",$B$4),COUNTA(MV8:MV11)*CELL("contenu",$B$7),COUNTA(MV13:MV13)*CELL("contenu",$B$12),COUNTA(MV15:MV17)*CELL("contenu",$B$14),COUNTA(MV19:MV19)*CELL("contenu",$B$18))=0,1,SUM(COUNTA(MV5:MV6)*CELL("contenu",$B$4),COUNTA(MV8:MV11)*CELL("contenu",$B$7),COUNTA(MV13:MV13)*CELL("contenu",$B$12),COUNTA(MV15:MV17)*CELL("contenu",$B$14),COUNTA(MV19:MV19)*CELL("contenu",$B$18))))</f>
        <v>16.666666666666668</v>
      </c>
      <c r="MW20" s="168">
        <f ca="1">IF(COUNTA(MW5:MW19)=0,"",5*SUM(IFERROR((((COUNTIF(MW5:MW6,"A"))*4)+((COUNTIF(MW5:MW6,"B"))*3)+((COUNTIF(MW5:MW6,"C"))*2)+((COUNTIF(MW5:MW6,"D"))*1))*CELL("contenu",$B$4),0),IFERROR((((COUNTIF(MW8:MW11,"A"))*4)+((COUNTIF(MW8:MW11,"B"))*3)+((COUNTIF(MW8:MW11,"C"))*2)+((COUNTIF(MW8:MW11,"D"))*1))*CELL("contenu",$B$7),0),IFERROR((((COUNTIF(MW13:MW13,"A"))*4)+((COUNTIF(MW13:MW13,"B"))*3)+((COUNTIF(MW13:MW13,"C"))*2)+((COUNTIF(MW13:MW13,"D"))*1))*CELL("contenu",$B$12),0),IFERROR((((COUNTIF(MW15:MW17,"A"))*4)+((COUNTIF(MW15:MW17,"B"))*3)+((COUNTIF(MW15:MW17,"C"))*2)+((COUNTIF(MW15:MW17,"D"))*1))*CELL("contenu",$B$14),0),IFERROR((((COUNTIF(MW19:MW19,"A"))*4)+((COUNTIF(MW19:MW19,"B"))*3)+((COUNTIF(MW19:MW19,"C"))*2)+((COUNTIF(MW19:MW19,"D"))*1))*CELL("contenu",$B$18),0))/IF(SUM(COUNTA(MW5:MW6)*CELL("contenu",$B$4),COUNTA(MW8:MW11)*CELL("contenu",$B$7),COUNTA(MW13:MW13)*CELL("contenu",$B$12),COUNTA(MW15:MW17)*CELL("contenu",$B$14),COUNTA(MW19:MW19)*CELL("contenu",$B$18))=0,1,SUM(COUNTA(MW5:MW6)*CELL("contenu",$B$4),COUNTA(MW8:MW11)*CELL("contenu",$B$7),COUNTA(MW13:MW13)*CELL("contenu",$B$12),COUNTA(MW15:MW17)*CELL("contenu",$B$14),COUNTA(MW19:MW19)*CELL("contenu",$B$18))))</f>
        <v>16.666666666666668</v>
      </c>
      <c r="MX20" s="169" t="str">
        <f ca="1">IF(COUNTA(MX5:MX19)=0,"",5*SUM(IFERROR((((COUNTIF(MX5:MX6,"A"))*4)+((COUNTIF(MX5:MX6,"B"))*3)+((COUNTIF(MX5:MX6,"C"))*2)+((COUNTIF(MX5:MX6,"D"))*1))*CELL("contenu",$B$4),0),IFERROR((((COUNTIF(MX8:MX11,"A"))*4)+((COUNTIF(MX8:MX11,"B"))*3)+((COUNTIF(MX8:MX11,"C"))*2)+((COUNTIF(MX8:MX11,"D"))*1))*CELL("contenu",$B$7),0),IFERROR((((COUNTIF(MX13:MX13,"A"))*4)+((COUNTIF(MX13:MX13,"B"))*3)+((COUNTIF(MX13:MX13,"C"))*2)+((COUNTIF(MX13:MX13,"D"))*1))*CELL("contenu",$B$12),0),IFERROR((((COUNTIF(MX15:MX17,"A"))*4)+((COUNTIF(MX15:MX17,"B"))*3)+((COUNTIF(MX15:MX17,"C"))*2)+((COUNTIF(MX15:MX17,"D"))*1))*CELL("contenu",$B$14),0),IFERROR((((COUNTIF(MX19:MX19,"A"))*4)+((COUNTIF(MX19:MX19,"B"))*3)+((COUNTIF(MX19:MX19,"C"))*2)+((COUNTIF(MX19:MX19,"D"))*1))*CELL("contenu",$B$18),0))/IF(SUM(COUNTA(MX5:MX6)*CELL("contenu",$B$4),COUNTA(MX8:MX11)*CELL("contenu",$B$7),COUNTA(MX13:MX13)*CELL("contenu",$B$12),COUNTA(MX15:MX17)*CELL("contenu",$B$14),COUNTA(MX19:MX19)*CELL("contenu",$B$18))=0,1,SUM(COUNTA(MX5:MX6)*CELL("contenu",$B$4),COUNTA(MX8:MX11)*CELL("contenu",$B$7),COUNTA(MX13:MX13)*CELL("contenu",$B$12),COUNTA(MX15:MX17)*CELL("contenu",$B$14),COUNTA(MX19:MX19)*CELL("contenu",$B$18))))</f>
        <v/>
      </c>
      <c r="MY20" s="116"/>
      <c r="MZ20" s="192">
        <f ca="1">IF(COUNTA(MV20:MX20)-COUNTBLANK(MV20:MX20)=0,"",SUM(MV20:MX20)/(COUNTA(MV20:MX20)-COUNTBLANK(MV20:MX20)))</f>
        <v>16.666666666666668</v>
      </c>
      <c r="NA20" s="182" t="str">
        <f ca="1">IF(COUNTA(NA5:NA19)=0,"",5*SUM(IFERROR((((COUNTIF(NA5:NA6,"A"))*4)+((COUNTIF(NA5:NA6,"B"))*3)+((COUNTIF(NA5:NA6,"C"))*2)+((COUNTIF(NA5:NA6,"D"))*1))*CELL("contenu",$B$4),0),IFERROR((((COUNTIF(NA8:NA11,"A"))*4)+((COUNTIF(NA8:NA11,"B"))*3)+((COUNTIF(NA8:NA11,"C"))*2)+((COUNTIF(NA8:NA11,"D"))*1))*CELL("contenu",$B$7),0),IFERROR((((COUNTIF(NA13:NA13,"A"))*4)+((COUNTIF(NA13:NA13,"B"))*3)+((COUNTIF(NA13:NA13,"C"))*2)+((COUNTIF(NA13:NA13,"D"))*1))*CELL("contenu",$B$12),0),IFERROR((((COUNTIF(NA15:NA17,"A"))*4)+((COUNTIF(NA15:NA17,"B"))*3)+((COUNTIF(NA15:NA17,"C"))*2)+((COUNTIF(NA15:NA17,"D"))*1))*CELL("contenu",$B$14),0),IFERROR((((COUNTIF(NA19:NA19,"A"))*4)+((COUNTIF(NA19:NA19,"B"))*3)+((COUNTIF(NA19:NA19,"C"))*2)+((COUNTIF(NA19:NA19,"D"))*1))*CELL("contenu",$B$18),0))/IF(SUM(COUNTA(NA5:NA6)*CELL("contenu",$B$4),COUNTA(NA8:NA11)*CELL("contenu",$B$7),COUNTA(NA13:NA13)*CELL("contenu",$B$12),COUNTA(NA15:NA17)*CELL("contenu",$B$14),COUNTA(NA19:NA19)*CELL("contenu",$B$18))=0,1,SUM(COUNTA(NA5:NA6)*CELL("contenu",$B$4),COUNTA(NA8:NA11)*CELL("contenu",$B$7),COUNTA(NA13:NA13)*CELL("contenu",$B$12),COUNTA(NA15:NA17)*CELL("contenu",$B$14),COUNTA(NA19:NA19)*CELL("contenu",$B$18))))</f>
        <v/>
      </c>
      <c r="NB20" s="183" t="str">
        <f ca="1">IF(COUNTA(NB5:NB19)=0,"",5*SUM(IFERROR((((COUNTIF(NB5:NB6,"A"))*4)+((COUNTIF(NB5:NB6,"B"))*3)+((COUNTIF(NB5:NB6,"C"))*2)+((COUNTIF(NB5:NB6,"D"))*1))*CELL("contenu",$B$4),0),IFERROR((((COUNTIF(NB8:NB11,"A"))*4)+((COUNTIF(NB8:NB11,"B"))*3)+((COUNTIF(NB8:NB11,"C"))*2)+((COUNTIF(NB8:NB11,"D"))*1))*CELL("contenu",$B$7),0),IFERROR((((COUNTIF(NB13:NB13,"A"))*4)+((COUNTIF(NB13:NB13,"B"))*3)+((COUNTIF(NB13:NB13,"C"))*2)+((COUNTIF(NB13:NB13,"D"))*1))*CELL("contenu",$B$12),0),IFERROR((((COUNTIF(NB15:NB17,"A"))*4)+((COUNTIF(NB15:NB17,"B"))*3)+((COUNTIF(NB15:NB17,"C"))*2)+((COUNTIF(NB15:NB17,"D"))*1))*CELL("contenu",$B$14),0),IFERROR((((COUNTIF(NB19:NB19,"A"))*4)+((COUNTIF(NB19:NB19,"B"))*3)+((COUNTIF(NB19:NB19,"C"))*2)+((COUNTIF(NB19:NB19,"D"))*1))*CELL("contenu",$B$18),0))/IF(SUM(COUNTA(NB5:NB6)*CELL("contenu",$B$4),COUNTA(NB8:NB11)*CELL("contenu",$B$7),COUNTA(NB13:NB13)*CELL("contenu",$B$12),COUNTA(NB15:NB17)*CELL("contenu",$B$14),COUNTA(NB19:NB19)*CELL("contenu",$B$18))=0,1,SUM(COUNTA(NB5:NB6)*CELL("contenu",$B$4),COUNTA(NB8:NB11)*CELL("contenu",$B$7),COUNTA(NB13:NB13)*CELL("contenu",$B$12),COUNTA(NB15:NB17)*CELL("contenu",$B$14),COUNTA(NB19:NB19)*CELL("contenu",$B$18))))</f>
        <v/>
      </c>
      <c r="NC20" s="184" t="str">
        <f ca="1">IF(COUNTA(NC5:NC19)=0,"",5*SUM(IFERROR((((COUNTIF(NC5:NC6,"A"))*4)+((COUNTIF(NC5:NC6,"B"))*3)+((COUNTIF(NC5:NC6,"C"))*2)+((COUNTIF(NC5:NC6,"D"))*1))*CELL("contenu",$B$4),0),IFERROR((((COUNTIF(NC8:NC11,"A"))*4)+((COUNTIF(NC8:NC11,"B"))*3)+((COUNTIF(NC8:NC11,"C"))*2)+((COUNTIF(NC8:NC11,"D"))*1))*CELL("contenu",$B$7),0),IFERROR((((COUNTIF(NC13:NC13,"A"))*4)+((COUNTIF(NC13:NC13,"B"))*3)+((COUNTIF(NC13:NC13,"C"))*2)+((COUNTIF(NC13:NC13,"D"))*1))*CELL("contenu",$B$12),0),IFERROR((((COUNTIF(NC15:NC17,"A"))*4)+((COUNTIF(NC15:NC17,"B"))*3)+((COUNTIF(NC15:NC17,"C"))*2)+((COUNTIF(NC15:NC17,"D"))*1))*CELL("contenu",$B$14),0),IFERROR((((COUNTIF(NC19:NC19,"A"))*4)+((COUNTIF(NC19:NC19,"B"))*3)+((COUNTIF(NC19:NC19,"C"))*2)+((COUNTIF(NC19:NC19,"D"))*1))*CELL("contenu",$B$18),0))/IF(SUM(COUNTA(NC5:NC6)*CELL("contenu",$B$4),COUNTA(NC8:NC11)*CELL("contenu",$B$7),COUNTA(NC13:NC13)*CELL("contenu",$B$12),COUNTA(NC15:NC17)*CELL("contenu",$B$14),COUNTA(NC19:NC19)*CELL("contenu",$B$18))=0,1,SUM(COUNTA(NC5:NC6)*CELL("contenu",$B$4),COUNTA(NC8:NC11)*CELL("contenu",$B$7),COUNTA(NC13:NC13)*CELL("contenu",$B$12),COUNTA(NC15:NC17)*CELL("contenu",$B$14),COUNTA(NC19:NC19)*CELL("contenu",$B$18))))</f>
        <v/>
      </c>
      <c r="ND20" s="176"/>
      <c r="NE20" s="175" t="str">
        <f ca="1">IF(COUNTA(NA20:NC20)-COUNTBLANK(NA20:NC20)=0,"",SUM(NA20:NC20)/(COUNTA(NA20:NC20)-COUNTBLANK(NA20:NC20)))</f>
        <v/>
      </c>
      <c r="NF20" s="182" t="str">
        <f ca="1">IF(COUNTA(NF5:NF19)=0,"",5*SUM(IFERROR((((COUNTIF(NF5:NF6,"A"))*4)+((COUNTIF(NF5:NF6,"B"))*3)+((COUNTIF(NF5:NF6,"C"))*2)+((COUNTIF(NF5:NF6,"D"))*1))*CELL("contenu",$B$4),0),IFERROR((((COUNTIF(NF8:NF11,"A"))*4)+((COUNTIF(NF8:NF11,"B"))*3)+((COUNTIF(NF8:NF11,"C"))*2)+((COUNTIF(NF8:NF11,"D"))*1))*CELL("contenu",$B$7),0),IFERROR((((COUNTIF(NF13:NF13,"A"))*4)+((COUNTIF(NF13:NF13,"B"))*3)+((COUNTIF(NF13:NF13,"C"))*2)+((COUNTIF(NF13:NF13,"D"))*1))*CELL("contenu",$B$12),0),IFERROR((((COUNTIF(NF15:NF17,"A"))*4)+((COUNTIF(NF15:NF17,"B"))*3)+((COUNTIF(NF15:NF17,"C"))*2)+((COUNTIF(NF15:NF17,"D"))*1))*CELL("contenu",$B$14),0),IFERROR((((COUNTIF(NF19:NF19,"A"))*4)+((COUNTIF(NF19:NF19,"B"))*3)+((COUNTIF(NF19:NF19,"C"))*2)+((COUNTIF(NF19:NF19,"D"))*1))*CELL("contenu",$B$18),0))/IF(SUM(COUNTA(NF5:NF6)*CELL("contenu",$B$4),COUNTA(NF8:NF11)*CELL("contenu",$B$7),COUNTA(NF13:NF13)*CELL("contenu",$B$12),COUNTA(NF15:NF17)*CELL("contenu",$B$14),COUNTA(NF19:NF19)*CELL("contenu",$B$18))=0,1,SUM(COUNTA(NF5:NF6)*CELL("contenu",$B$4),COUNTA(NF8:NF11)*CELL("contenu",$B$7),COUNTA(NF13:NF13)*CELL("contenu",$B$12),COUNTA(NF15:NF17)*CELL("contenu",$B$14),COUNTA(NF19:NF19)*CELL("contenu",$B$18))))</f>
        <v/>
      </c>
      <c r="NG20" s="183" t="str">
        <f ca="1">IF(COUNTA(NG5:NG19)=0,"",5*SUM(IFERROR((((COUNTIF(NG5:NG6,"A"))*4)+((COUNTIF(NG5:NG6,"B"))*3)+((COUNTIF(NG5:NG6,"C"))*2)+((COUNTIF(NG5:NG6,"D"))*1))*CELL("contenu",$B$4),0),IFERROR((((COUNTIF(NG8:NG11,"A"))*4)+((COUNTIF(NG8:NG11,"B"))*3)+((COUNTIF(NG8:NG11,"C"))*2)+((COUNTIF(NG8:NG11,"D"))*1))*CELL("contenu",$B$7),0),IFERROR((((COUNTIF(NG13:NG13,"A"))*4)+((COUNTIF(NG13:NG13,"B"))*3)+((COUNTIF(NG13:NG13,"C"))*2)+((COUNTIF(NG13:NG13,"D"))*1))*CELL("contenu",$B$12),0),IFERROR((((COUNTIF(NG15:NG17,"A"))*4)+((COUNTIF(NG15:NG17,"B"))*3)+((COUNTIF(NG15:NG17,"C"))*2)+((COUNTIF(NG15:NG17,"D"))*1))*CELL("contenu",$B$14),0),IFERROR((((COUNTIF(NG19:NG19,"A"))*4)+((COUNTIF(NG19:NG19,"B"))*3)+((COUNTIF(NG19:NG19,"C"))*2)+((COUNTIF(NG19:NG19,"D"))*1))*CELL("contenu",$B$18),0))/IF(SUM(COUNTA(NG5:NG6)*CELL("contenu",$B$4),COUNTA(NG8:NG11)*CELL("contenu",$B$7),COUNTA(NG13:NG13)*CELL("contenu",$B$12),COUNTA(NG15:NG17)*CELL("contenu",$B$14),COUNTA(NG19:NG19)*CELL("contenu",$B$18))=0,1,SUM(COUNTA(NG5:NG6)*CELL("contenu",$B$4),COUNTA(NG8:NG11)*CELL("contenu",$B$7),COUNTA(NG13:NG13)*CELL("contenu",$B$12),COUNTA(NG15:NG17)*CELL("contenu",$B$14),COUNTA(NG19:NG19)*CELL("contenu",$B$18))))</f>
        <v/>
      </c>
      <c r="NH20" s="184" t="str">
        <f ca="1">IF(COUNTA(NH5:NH19)=0,"",5*SUM(IFERROR((((COUNTIF(NH5:NH6,"A"))*4)+((COUNTIF(NH5:NH6,"B"))*3)+((COUNTIF(NH5:NH6,"C"))*2)+((COUNTIF(NH5:NH6,"D"))*1))*CELL("contenu",$B$4),0),IFERROR((((COUNTIF(NH8:NH11,"A"))*4)+((COUNTIF(NH8:NH11,"B"))*3)+((COUNTIF(NH8:NH11,"C"))*2)+((COUNTIF(NH8:NH11,"D"))*1))*CELL("contenu",$B$7),0),IFERROR((((COUNTIF(NH13:NH13,"A"))*4)+((COUNTIF(NH13:NH13,"B"))*3)+((COUNTIF(NH13:NH13,"C"))*2)+((COUNTIF(NH13:NH13,"D"))*1))*CELL("contenu",$B$12),0),IFERROR((((COUNTIF(NH15:NH17,"A"))*4)+((COUNTIF(NH15:NH17,"B"))*3)+((COUNTIF(NH15:NH17,"C"))*2)+((COUNTIF(NH15:NH17,"D"))*1))*CELL("contenu",$B$14),0),IFERROR((((COUNTIF(NH19:NH19,"A"))*4)+((COUNTIF(NH19:NH19,"B"))*3)+((COUNTIF(NH19:NH19,"C"))*2)+((COUNTIF(NH19:NH19,"D"))*1))*CELL("contenu",$B$18),0))/IF(SUM(COUNTA(NH5:NH6)*CELL("contenu",$B$4),COUNTA(NH8:NH11)*CELL("contenu",$B$7),COUNTA(NH13:NH13)*CELL("contenu",$B$12),COUNTA(NH15:NH17)*CELL("contenu",$B$14),COUNTA(NH19:NH19)*CELL("contenu",$B$18))=0,1,SUM(COUNTA(NH5:NH6)*CELL("contenu",$B$4),COUNTA(NH8:NH11)*CELL("contenu",$B$7),COUNTA(NH13:NH13)*CELL("contenu",$B$12),COUNTA(NH15:NH17)*CELL("contenu",$B$14),COUNTA(NH19:NH19)*CELL("contenu",$B$18))))</f>
        <v/>
      </c>
      <c r="NI20" s="176"/>
      <c r="NJ20" s="174" t="str">
        <f ca="1">IF(COUNTA(NF20:NH20)-COUNTBLANK(NF20:NH20)=0,"",SUM(NF20:NH20)/(COUNTA(NF20:NH20)-COUNTBLANK(NF20:NH20)))</f>
        <v/>
      </c>
      <c r="NK20" s="103"/>
      <c r="NL20" s="141"/>
      <c r="NM20" s="167">
        <f ca="1">IF(COUNTA(NM5:NM19)=0,"",5*SUM(IFERROR((((COUNTIF(NM5:NM6,"A"))*4)+((COUNTIF(NM5:NM6,"B"))*3)+((COUNTIF(NM5:NM6,"C"))*2)+((COUNTIF(NM5:NM6,"D"))*1))*CELL("contenu",$B$4),0),IFERROR((((COUNTIF(NM8:NM11,"A"))*4)+((COUNTIF(NM8:NM11,"B"))*3)+((COUNTIF(NM8:NM11,"C"))*2)+((COUNTIF(NM8:NM11,"D"))*1))*CELL("contenu",$B$7),0),IFERROR((((COUNTIF(NM13:NM13,"A"))*4)+((COUNTIF(NM13:NM13,"B"))*3)+((COUNTIF(NM13:NM13,"C"))*2)+((COUNTIF(NM13:NM13,"D"))*1))*CELL("contenu",$B$12),0),IFERROR((((COUNTIF(NM15:NM17,"A"))*4)+((COUNTIF(NM15:NM17,"B"))*3)+((COUNTIF(NM15:NM17,"C"))*2)+((COUNTIF(NM15:NM17,"D"))*1))*CELL("contenu",$B$14),0),IFERROR((((COUNTIF(NM19:NM19,"A"))*4)+((COUNTIF(NM19:NM19,"B"))*3)+((COUNTIF(NM19:NM19,"C"))*2)+((COUNTIF(NM19:NM19,"D"))*1))*CELL("contenu",$B$18),0))/IF(SUM(COUNTA(NM5:NM6)*CELL("contenu",$B$4),COUNTA(NM8:NM11)*CELL("contenu",$B$7),COUNTA(NM13:NM13)*CELL("contenu",$B$12),COUNTA(NM15:NM17)*CELL("contenu",$B$14),COUNTA(NM19:NM19)*CELL("contenu",$B$18))=0,1,SUM(COUNTA(NM5:NM6)*CELL("contenu",$B$4),COUNTA(NM8:NM11)*CELL("contenu",$B$7),COUNTA(NM13:NM13)*CELL("contenu",$B$12),COUNTA(NM15:NM17)*CELL("contenu",$B$14),COUNTA(NM19:NM19)*CELL("contenu",$B$18))))</f>
        <v>16.666666666666668</v>
      </c>
      <c r="NN20" s="168">
        <f ca="1">IF(COUNTA(NN5:NN19)=0,"",5*SUM(IFERROR((((COUNTIF(NN5:NN6,"A"))*4)+((COUNTIF(NN5:NN6,"B"))*3)+((COUNTIF(NN5:NN6,"C"))*2)+((COUNTIF(NN5:NN6,"D"))*1))*CELL("contenu",$B$4),0),IFERROR((((COUNTIF(NN8:NN11,"A"))*4)+((COUNTIF(NN8:NN11,"B"))*3)+((COUNTIF(NN8:NN11,"C"))*2)+((COUNTIF(NN8:NN11,"D"))*1))*CELL("contenu",$B$7),0),IFERROR((((COUNTIF(NN13:NN13,"A"))*4)+((COUNTIF(NN13:NN13,"B"))*3)+((COUNTIF(NN13:NN13,"C"))*2)+((COUNTIF(NN13:NN13,"D"))*1))*CELL("contenu",$B$12),0),IFERROR((((COUNTIF(NN15:NN17,"A"))*4)+((COUNTIF(NN15:NN17,"B"))*3)+((COUNTIF(NN15:NN17,"C"))*2)+((COUNTIF(NN15:NN17,"D"))*1))*CELL("contenu",$B$14),0),IFERROR((((COUNTIF(NN19:NN19,"A"))*4)+((COUNTIF(NN19:NN19,"B"))*3)+((COUNTIF(NN19:NN19,"C"))*2)+((COUNTIF(NN19:NN19,"D"))*1))*CELL("contenu",$B$18),0))/IF(SUM(COUNTA(NN5:NN6)*CELL("contenu",$B$4),COUNTA(NN8:NN11)*CELL("contenu",$B$7),COUNTA(NN13:NN13)*CELL("contenu",$B$12),COUNTA(NN15:NN17)*CELL("contenu",$B$14),COUNTA(NN19:NN19)*CELL("contenu",$B$18))=0,1,SUM(COUNTA(NN5:NN6)*CELL("contenu",$B$4),COUNTA(NN8:NN11)*CELL("contenu",$B$7),COUNTA(NN13:NN13)*CELL("contenu",$B$12),COUNTA(NN15:NN17)*CELL("contenu",$B$14),COUNTA(NN19:NN19)*CELL("contenu",$B$18))))</f>
        <v>16.666666666666668</v>
      </c>
      <c r="NO20" s="169" t="str">
        <f ca="1">IF(COUNTA(NO5:NO19)=0,"",5*SUM(IFERROR((((COUNTIF(NO5:NO6,"A"))*4)+((COUNTIF(NO5:NO6,"B"))*3)+((COUNTIF(NO5:NO6,"C"))*2)+((COUNTIF(NO5:NO6,"D"))*1))*CELL("contenu",$B$4),0),IFERROR((((COUNTIF(NO8:NO11,"A"))*4)+((COUNTIF(NO8:NO11,"B"))*3)+((COUNTIF(NO8:NO11,"C"))*2)+((COUNTIF(NO8:NO11,"D"))*1))*CELL("contenu",$B$7),0),IFERROR((((COUNTIF(NO13:NO13,"A"))*4)+((COUNTIF(NO13:NO13,"B"))*3)+((COUNTIF(NO13:NO13,"C"))*2)+((COUNTIF(NO13:NO13,"D"))*1))*CELL("contenu",$B$12),0),IFERROR((((COUNTIF(NO15:NO17,"A"))*4)+((COUNTIF(NO15:NO17,"B"))*3)+((COUNTIF(NO15:NO17,"C"))*2)+((COUNTIF(NO15:NO17,"D"))*1))*CELL("contenu",$B$14),0),IFERROR((((COUNTIF(NO19:NO19,"A"))*4)+((COUNTIF(NO19:NO19,"B"))*3)+((COUNTIF(NO19:NO19,"C"))*2)+((COUNTIF(NO19:NO19,"D"))*1))*CELL("contenu",$B$18),0))/IF(SUM(COUNTA(NO5:NO6)*CELL("contenu",$B$4),COUNTA(NO8:NO11)*CELL("contenu",$B$7),COUNTA(NO13:NO13)*CELL("contenu",$B$12),COUNTA(NO15:NO17)*CELL("contenu",$B$14),COUNTA(NO19:NO19)*CELL("contenu",$B$18))=0,1,SUM(COUNTA(NO5:NO6)*CELL("contenu",$B$4),COUNTA(NO8:NO11)*CELL("contenu",$B$7),COUNTA(NO13:NO13)*CELL("contenu",$B$12),COUNTA(NO15:NO17)*CELL("contenu",$B$14),COUNTA(NO19:NO19)*CELL("contenu",$B$18))))</f>
        <v/>
      </c>
      <c r="NP20" s="116"/>
      <c r="NQ20" s="192">
        <f ca="1">IF(COUNTA(NM20:NO20)-COUNTBLANK(NM20:NO20)=0,"",SUM(NM20:NO20)/(COUNTA(NM20:NO20)-COUNTBLANK(NM20:NO20)))</f>
        <v>16.666666666666668</v>
      </c>
      <c r="NR20" s="182" t="str">
        <f ca="1">IF(COUNTA(NR5:NR19)=0,"",5*SUM(IFERROR((((COUNTIF(NR5:NR6,"A"))*4)+((COUNTIF(NR5:NR6,"B"))*3)+((COUNTIF(NR5:NR6,"C"))*2)+((COUNTIF(NR5:NR6,"D"))*1))*CELL("contenu",$B$4),0),IFERROR((((COUNTIF(NR8:NR11,"A"))*4)+((COUNTIF(NR8:NR11,"B"))*3)+((COUNTIF(NR8:NR11,"C"))*2)+((COUNTIF(NR8:NR11,"D"))*1))*CELL("contenu",$B$7),0),IFERROR((((COUNTIF(NR13:NR13,"A"))*4)+((COUNTIF(NR13:NR13,"B"))*3)+((COUNTIF(NR13:NR13,"C"))*2)+((COUNTIF(NR13:NR13,"D"))*1))*CELL("contenu",$B$12),0),IFERROR((((COUNTIF(NR15:NR17,"A"))*4)+((COUNTIF(NR15:NR17,"B"))*3)+((COUNTIF(NR15:NR17,"C"))*2)+((COUNTIF(NR15:NR17,"D"))*1))*CELL("contenu",$B$14),0),IFERROR((((COUNTIF(NR19:NR19,"A"))*4)+((COUNTIF(NR19:NR19,"B"))*3)+((COUNTIF(NR19:NR19,"C"))*2)+((COUNTIF(NR19:NR19,"D"))*1))*CELL("contenu",$B$18),0))/IF(SUM(COUNTA(NR5:NR6)*CELL("contenu",$B$4),COUNTA(NR8:NR11)*CELL("contenu",$B$7),COUNTA(NR13:NR13)*CELL("contenu",$B$12),COUNTA(NR15:NR17)*CELL("contenu",$B$14),COUNTA(NR19:NR19)*CELL("contenu",$B$18))=0,1,SUM(COUNTA(NR5:NR6)*CELL("contenu",$B$4),COUNTA(NR8:NR11)*CELL("contenu",$B$7),COUNTA(NR13:NR13)*CELL("contenu",$B$12),COUNTA(NR15:NR17)*CELL("contenu",$B$14),COUNTA(NR19:NR19)*CELL("contenu",$B$18))))</f>
        <v/>
      </c>
      <c r="NS20" s="183" t="str">
        <f ca="1">IF(COUNTA(NS5:NS19)=0,"",5*SUM(IFERROR((((COUNTIF(NS5:NS6,"A"))*4)+((COUNTIF(NS5:NS6,"B"))*3)+((COUNTIF(NS5:NS6,"C"))*2)+((COUNTIF(NS5:NS6,"D"))*1))*CELL("contenu",$B$4),0),IFERROR((((COUNTIF(NS8:NS11,"A"))*4)+((COUNTIF(NS8:NS11,"B"))*3)+((COUNTIF(NS8:NS11,"C"))*2)+((COUNTIF(NS8:NS11,"D"))*1))*CELL("contenu",$B$7),0),IFERROR((((COUNTIF(NS13:NS13,"A"))*4)+((COUNTIF(NS13:NS13,"B"))*3)+((COUNTIF(NS13:NS13,"C"))*2)+((COUNTIF(NS13:NS13,"D"))*1))*CELL("contenu",$B$12),0),IFERROR((((COUNTIF(NS15:NS17,"A"))*4)+((COUNTIF(NS15:NS17,"B"))*3)+((COUNTIF(NS15:NS17,"C"))*2)+((COUNTIF(NS15:NS17,"D"))*1))*CELL("contenu",$B$14),0),IFERROR((((COUNTIF(NS19:NS19,"A"))*4)+((COUNTIF(NS19:NS19,"B"))*3)+((COUNTIF(NS19:NS19,"C"))*2)+((COUNTIF(NS19:NS19,"D"))*1))*CELL("contenu",$B$18),0))/IF(SUM(COUNTA(NS5:NS6)*CELL("contenu",$B$4),COUNTA(NS8:NS11)*CELL("contenu",$B$7),COUNTA(NS13:NS13)*CELL("contenu",$B$12),COUNTA(NS15:NS17)*CELL("contenu",$B$14),COUNTA(NS19:NS19)*CELL("contenu",$B$18))=0,1,SUM(COUNTA(NS5:NS6)*CELL("contenu",$B$4),COUNTA(NS8:NS11)*CELL("contenu",$B$7),COUNTA(NS13:NS13)*CELL("contenu",$B$12),COUNTA(NS15:NS17)*CELL("contenu",$B$14),COUNTA(NS19:NS19)*CELL("contenu",$B$18))))</f>
        <v/>
      </c>
      <c r="NT20" s="184" t="str">
        <f ca="1">IF(COUNTA(NT5:NT19)=0,"",5*SUM(IFERROR((((COUNTIF(NT5:NT6,"A"))*4)+((COUNTIF(NT5:NT6,"B"))*3)+((COUNTIF(NT5:NT6,"C"))*2)+((COUNTIF(NT5:NT6,"D"))*1))*CELL("contenu",$B$4),0),IFERROR((((COUNTIF(NT8:NT11,"A"))*4)+((COUNTIF(NT8:NT11,"B"))*3)+((COUNTIF(NT8:NT11,"C"))*2)+((COUNTIF(NT8:NT11,"D"))*1))*CELL("contenu",$B$7),0),IFERROR((((COUNTIF(NT13:NT13,"A"))*4)+((COUNTIF(NT13:NT13,"B"))*3)+((COUNTIF(NT13:NT13,"C"))*2)+((COUNTIF(NT13:NT13,"D"))*1))*CELL("contenu",$B$12),0),IFERROR((((COUNTIF(NT15:NT17,"A"))*4)+((COUNTIF(NT15:NT17,"B"))*3)+((COUNTIF(NT15:NT17,"C"))*2)+((COUNTIF(NT15:NT17,"D"))*1))*CELL("contenu",$B$14),0),IFERROR((((COUNTIF(NT19:NT19,"A"))*4)+((COUNTIF(NT19:NT19,"B"))*3)+((COUNTIF(NT19:NT19,"C"))*2)+((COUNTIF(NT19:NT19,"D"))*1))*CELL("contenu",$B$18),0))/IF(SUM(COUNTA(NT5:NT6)*CELL("contenu",$B$4),COUNTA(NT8:NT11)*CELL("contenu",$B$7),COUNTA(NT13:NT13)*CELL("contenu",$B$12),COUNTA(NT15:NT17)*CELL("contenu",$B$14),COUNTA(NT19:NT19)*CELL("contenu",$B$18))=0,1,SUM(COUNTA(NT5:NT6)*CELL("contenu",$B$4),COUNTA(NT8:NT11)*CELL("contenu",$B$7),COUNTA(NT13:NT13)*CELL("contenu",$B$12),COUNTA(NT15:NT17)*CELL("contenu",$B$14),COUNTA(NT19:NT19)*CELL("contenu",$B$18))))</f>
        <v/>
      </c>
      <c r="NU20" s="176"/>
      <c r="NV20" s="175" t="str">
        <f ca="1">IF(COUNTA(NR20:NT20)-COUNTBLANK(NR20:NT20)=0,"",SUM(NR20:NT20)/(COUNTA(NR20:NT20)-COUNTBLANK(NR20:NT20)))</f>
        <v/>
      </c>
      <c r="NW20" s="182" t="str">
        <f ca="1">IF(COUNTA(NW5:NW19)=0,"",5*SUM(IFERROR((((COUNTIF(NW5:NW6,"A"))*4)+((COUNTIF(NW5:NW6,"B"))*3)+((COUNTIF(NW5:NW6,"C"))*2)+((COUNTIF(NW5:NW6,"D"))*1))*CELL("contenu",$B$4),0),IFERROR((((COUNTIF(NW8:NW11,"A"))*4)+((COUNTIF(NW8:NW11,"B"))*3)+((COUNTIF(NW8:NW11,"C"))*2)+((COUNTIF(NW8:NW11,"D"))*1))*CELL("contenu",$B$7),0),IFERROR((((COUNTIF(NW13:NW13,"A"))*4)+((COUNTIF(NW13:NW13,"B"))*3)+((COUNTIF(NW13:NW13,"C"))*2)+((COUNTIF(NW13:NW13,"D"))*1))*CELL("contenu",$B$12),0),IFERROR((((COUNTIF(NW15:NW17,"A"))*4)+((COUNTIF(NW15:NW17,"B"))*3)+((COUNTIF(NW15:NW17,"C"))*2)+((COUNTIF(NW15:NW17,"D"))*1))*CELL("contenu",$B$14),0),IFERROR((((COUNTIF(NW19:NW19,"A"))*4)+((COUNTIF(NW19:NW19,"B"))*3)+((COUNTIF(NW19:NW19,"C"))*2)+((COUNTIF(NW19:NW19,"D"))*1))*CELL("contenu",$B$18),0))/IF(SUM(COUNTA(NW5:NW6)*CELL("contenu",$B$4),COUNTA(NW8:NW11)*CELL("contenu",$B$7),COUNTA(NW13:NW13)*CELL("contenu",$B$12),COUNTA(NW15:NW17)*CELL("contenu",$B$14),COUNTA(NW19:NW19)*CELL("contenu",$B$18))=0,1,SUM(COUNTA(NW5:NW6)*CELL("contenu",$B$4),COUNTA(NW8:NW11)*CELL("contenu",$B$7),COUNTA(NW13:NW13)*CELL("contenu",$B$12),COUNTA(NW15:NW17)*CELL("contenu",$B$14),COUNTA(NW19:NW19)*CELL("contenu",$B$18))))</f>
        <v/>
      </c>
      <c r="NX20" s="183" t="str">
        <f ca="1">IF(COUNTA(NX5:NX19)=0,"",5*SUM(IFERROR((((COUNTIF(NX5:NX6,"A"))*4)+((COUNTIF(NX5:NX6,"B"))*3)+((COUNTIF(NX5:NX6,"C"))*2)+((COUNTIF(NX5:NX6,"D"))*1))*CELL("contenu",$B$4),0),IFERROR((((COUNTIF(NX8:NX11,"A"))*4)+((COUNTIF(NX8:NX11,"B"))*3)+((COUNTIF(NX8:NX11,"C"))*2)+((COUNTIF(NX8:NX11,"D"))*1))*CELL("contenu",$B$7),0),IFERROR((((COUNTIF(NX13:NX13,"A"))*4)+((COUNTIF(NX13:NX13,"B"))*3)+((COUNTIF(NX13:NX13,"C"))*2)+((COUNTIF(NX13:NX13,"D"))*1))*CELL("contenu",$B$12),0),IFERROR((((COUNTIF(NX15:NX17,"A"))*4)+((COUNTIF(NX15:NX17,"B"))*3)+((COUNTIF(NX15:NX17,"C"))*2)+((COUNTIF(NX15:NX17,"D"))*1))*CELL("contenu",$B$14),0),IFERROR((((COUNTIF(NX19:NX19,"A"))*4)+((COUNTIF(NX19:NX19,"B"))*3)+((COUNTIF(NX19:NX19,"C"))*2)+((COUNTIF(NX19:NX19,"D"))*1))*CELL("contenu",$B$18),0))/IF(SUM(COUNTA(NX5:NX6)*CELL("contenu",$B$4),COUNTA(NX8:NX11)*CELL("contenu",$B$7),COUNTA(NX13:NX13)*CELL("contenu",$B$12),COUNTA(NX15:NX17)*CELL("contenu",$B$14),COUNTA(NX19:NX19)*CELL("contenu",$B$18))=0,1,SUM(COUNTA(NX5:NX6)*CELL("contenu",$B$4),COUNTA(NX8:NX11)*CELL("contenu",$B$7),COUNTA(NX13:NX13)*CELL("contenu",$B$12),COUNTA(NX15:NX17)*CELL("contenu",$B$14),COUNTA(NX19:NX19)*CELL("contenu",$B$18))))</f>
        <v/>
      </c>
      <c r="NY20" s="184" t="str">
        <f ca="1">IF(COUNTA(NY5:NY19)=0,"",5*SUM(IFERROR((((COUNTIF(NY5:NY6,"A"))*4)+((COUNTIF(NY5:NY6,"B"))*3)+((COUNTIF(NY5:NY6,"C"))*2)+((COUNTIF(NY5:NY6,"D"))*1))*CELL("contenu",$B$4),0),IFERROR((((COUNTIF(NY8:NY11,"A"))*4)+((COUNTIF(NY8:NY11,"B"))*3)+((COUNTIF(NY8:NY11,"C"))*2)+((COUNTIF(NY8:NY11,"D"))*1))*CELL("contenu",$B$7),0),IFERROR((((COUNTIF(NY13:NY13,"A"))*4)+((COUNTIF(NY13:NY13,"B"))*3)+((COUNTIF(NY13:NY13,"C"))*2)+((COUNTIF(NY13:NY13,"D"))*1))*CELL("contenu",$B$12),0),IFERROR((((COUNTIF(NY15:NY17,"A"))*4)+((COUNTIF(NY15:NY17,"B"))*3)+((COUNTIF(NY15:NY17,"C"))*2)+((COUNTIF(NY15:NY17,"D"))*1))*CELL("contenu",$B$14),0),IFERROR((((COUNTIF(NY19:NY19,"A"))*4)+((COUNTIF(NY19:NY19,"B"))*3)+((COUNTIF(NY19:NY19,"C"))*2)+((COUNTIF(NY19:NY19,"D"))*1))*CELL("contenu",$B$18),0))/IF(SUM(COUNTA(NY5:NY6)*CELL("contenu",$B$4),COUNTA(NY8:NY11)*CELL("contenu",$B$7),COUNTA(NY13:NY13)*CELL("contenu",$B$12),COUNTA(NY15:NY17)*CELL("contenu",$B$14),COUNTA(NY19:NY19)*CELL("contenu",$B$18))=0,1,SUM(COUNTA(NY5:NY6)*CELL("contenu",$B$4),COUNTA(NY8:NY11)*CELL("contenu",$B$7),COUNTA(NY13:NY13)*CELL("contenu",$B$12),COUNTA(NY15:NY17)*CELL("contenu",$B$14),COUNTA(NY19:NY19)*CELL("contenu",$B$18))))</f>
        <v/>
      </c>
      <c r="NZ20" s="176"/>
      <c r="OA20" s="174" t="str">
        <f ca="1">IF(COUNTA(NW20:NY20)-COUNTBLANK(NW20:NY20)=0,"",SUM(NW20:NY20)/(COUNTA(NW20:NY20)-COUNTBLANK(NW20:NY20)))</f>
        <v/>
      </c>
      <c r="OB20" s="103"/>
      <c r="OC20" s="141"/>
      <c r="OD20" s="167">
        <f ca="1">IF(COUNTA(OD5:OD19)=0,"",5*SUM(IFERROR((((COUNTIF(OD5:OD6,"A"))*4)+((COUNTIF(OD5:OD6,"B"))*3)+((COUNTIF(OD5:OD6,"C"))*2)+((COUNTIF(OD5:OD6,"D"))*1))*CELL("contenu",$B$4),0),IFERROR((((COUNTIF(OD8:OD11,"A"))*4)+((COUNTIF(OD8:OD11,"B"))*3)+((COUNTIF(OD8:OD11,"C"))*2)+((COUNTIF(OD8:OD11,"D"))*1))*CELL("contenu",$B$7),0),IFERROR((((COUNTIF(OD13:OD13,"A"))*4)+((COUNTIF(OD13:OD13,"B"))*3)+((COUNTIF(OD13:OD13,"C"))*2)+((COUNTIF(OD13:OD13,"D"))*1))*CELL("contenu",$B$12),0),IFERROR((((COUNTIF(OD15:OD17,"A"))*4)+((COUNTIF(OD15:OD17,"B"))*3)+((COUNTIF(OD15:OD17,"C"))*2)+((COUNTIF(OD15:OD17,"D"))*1))*CELL("contenu",$B$14),0),IFERROR((((COUNTIF(OD19:OD19,"A"))*4)+((COUNTIF(OD19:OD19,"B"))*3)+((COUNTIF(OD19:OD19,"C"))*2)+((COUNTIF(OD19:OD19,"D"))*1))*CELL("contenu",$B$18),0))/IF(SUM(COUNTA(OD5:OD6)*CELL("contenu",$B$4),COUNTA(OD8:OD11)*CELL("contenu",$B$7),COUNTA(OD13:OD13)*CELL("contenu",$B$12),COUNTA(OD15:OD17)*CELL("contenu",$B$14),COUNTA(OD19:OD19)*CELL("contenu",$B$18))=0,1,SUM(COUNTA(OD5:OD6)*CELL("contenu",$B$4),COUNTA(OD8:OD11)*CELL("contenu",$B$7),COUNTA(OD13:OD13)*CELL("contenu",$B$12),COUNTA(OD15:OD17)*CELL("contenu",$B$14),COUNTA(OD19:OD19)*CELL("contenu",$B$18))))</f>
        <v>13.333333333333334</v>
      </c>
      <c r="OE20" s="168">
        <f ca="1">IF(COUNTA(OE5:OE19)=0,"",5*SUM(IFERROR((((COUNTIF(OE5:OE6,"A"))*4)+((COUNTIF(OE5:OE6,"B"))*3)+((COUNTIF(OE5:OE6,"C"))*2)+((COUNTIF(OE5:OE6,"D"))*1))*CELL("contenu",$B$4),0),IFERROR((((COUNTIF(OE8:OE11,"A"))*4)+((COUNTIF(OE8:OE11,"B"))*3)+((COUNTIF(OE8:OE11,"C"))*2)+((COUNTIF(OE8:OE11,"D"))*1))*CELL("contenu",$B$7),0),IFERROR((((COUNTIF(OE13:OE13,"A"))*4)+((COUNTIF(OE13:OE13,"B"))*3)+((COUNTIF(OE13:OE13,"C"))*2)+((COUNTIF(OE13:OE13,"D"))*1))*CELL("contenu",$B$12),0),IFERROR((((COUNTIF(OE15:OE17,"A"))*4)+((COUNTIF(OE15:OE17,"B"))*3)+((COUNTIF(OE15:OE17,"C"))*2)+((COUNTIF(OE15:OE17,"D"))*1))*CELL("contenu",$B$14),0),IFERROR((((COUNTIF(OE19:OE19,"A"))*4)+((COUNTIF(OE19:OE19,"B"))*3)+((COUNTIF(OE19:OE19,"C"))*2)+((COUNTIF(OE19:OE19,"D"))*1))*CELL("contenu",$B$18),0))/IF(SUM(COUNTA(OE5:OE6)*CELL("contenu",$B$4),COUNTA(OE8:OE11)*CELL("contenu",$B$7),COUNTA(OE13:OE13)*CELL("contenu",$B$12),COUNTA(OE15:OE17)*CELL("contenu",$B$14),COUNTA(OE19:OE19)*CELL("contenu",$B$18))=0,1,SUM(COUNTA(OE5:OE6)*CELL("contenu",$B$4),COUNTA(OE8:OE11)*CELL("contenu",$B$7),COUNTA(OE13:OE13)*CELL("contenu",$B$12),COUNTA(OE15:OE17)*CELL("contenu",$B$14),COUNTA(OE19:OE19)*CELL("contenu",$B$18))))</f>
        <v>16.666666666666668</v>
      </c>
      <c r="OF20" s="169" t="str">
        <f ca="1">IF(COUNTA(OF5:OF19)=0,"",5*SUM(IFERROR((((COUNTIF(OF5:OF6,"A"))*4)+((COUNTIF(OF5:OF6,"B"))*3)+((COUNTIF(OF5:OF6,"C"))*2)+((COUNTIF(OF5:OF6,"D"))*1))*CELL("contenu",$B$4),0),IFERROR((((COUNTIF(OF8:OF11,"A"))*4)+((COUNTIF(OF8:OF11,"B"))*3)+((COUNTIF(OF8:OF11,"C"))*2)+((COUNTIF(OF8:OF11,"D"))*1))*CELL("contenu",$B$7),0),IFERROR((((COUNTIF(OF13:OF13,"A"))*4)+((COUNTIF(OF13:OF13,"B"))*3)+((COUNTIF(OF13:OF13,"C"))*2)+((COUNTIF(OF13:OF13,"D"))*1))*CELL("contenu",$B$12),0),IFERROR((((COUNTIF(OF15:OF17,"A"))*4)+((COUNTIF(OF15:OF17,"B"))*3)+((COUNTIF(OF15:OF17,"C"))*2)+((COUNTIF(OF15:OF17,"D"))*1))*CELL("contenu",$B$14),0),IFERROR((((COUNTIF(OF19:OF19,"A"))*4)+((COUNTIF(OF19:OF19,"B"))*3)+((COUNTIF(OF19:OF19,"C"))*2)+((COUNTIF(OF19:OF19,"D"))*1))*CELL("contenu",$B$18),0))/IF(SUM(COUNTA(OF5:OF6)*CELL("contenu",$B$4),COUNTA(OF8:OF11)*CELL("contenu",$B$7),COUNTA(OF13:OF13)*CELL("contenu",$B$12),COUNTA(OF15:OF17)*CELL("contenu",$B$14),COUNTA(OF19:OF19)*CELL("contenu",$B$18))=0,1,SUM(COUNTA(OF5:OF6)*CELL("contenu",$B$4),COUNTA(OF8:OF11)*CELL("contenu",$B$7),COUNTA(OF13:OF13)*CELL("contenu",$B$12),COUNTA(OF15:OF17)*CELL("contenu",$B$14),COUNTA(OF19:OF19)*CELL("contenu",$B$18))))</f>
        <v/>
      </c>
      <c r="OG20" s="116"/>
      <c r="OH20" s="192">
        <f ca="1">IF(COUNTA(OD20:OF20)-COUNTBLANK(OD20:OF20)=0,"",SUM(OD20:OF20)/(COUNTA(OD20:OF20)-COUNTBLANK(OD20:OF20)))</f>
        <v>15</v>
      </c>
      <c r="OI20" s="182" t="str">
        <f ca="1">IF(COUNTA(OI5:OI19)=0,"",5*SUM(IFERROR((((COUNTIF(OI5:OI6,"A"))*4)+((COUNTIF(OI5:OI6,"B"))*3)+((COUNTIF(OI5:OI6,"C"))*2)+((COUNTIF(OI5:OI6,"D"))*1))*CELL("contenu",$B$4),0),IFERROR((((COUNTIF(OI8:OI11,"A"))*4)+((COUNTIF(OI8:OI11,"B"))*3)+((COUNTIF(OI8:OI11,"C"))*2)+((COUNTIF(OI8:OI11,"D"))*1))*CELL("contenu",$B$7),0),IFERROR((((COUNTIF(OI13:OI13,"A"))*4)+((COUNTIF(OI13:OI13,"B"))*3)+((COUNTIF(OI13:OI13,"C"))*2)+((COUNTIF(OI13:OI13,"D"))*1))*CELL("contenu",$B$12),0),IFERROR((((COUNTIF(OI15:OI17,"A"))*4)+((COUNTIF(OI15:OI17,"B"))*3)+((COUNTIF(OI15:OI17,"C"))*2)+((COUNTIF(OI15:OI17,"D"))*1))*CELL("contenu",$B$14),0),IFERROR((((COUNTIF(OI19:OI19,"A"))*4)+((COUNTIF(OI19:OI19,"B"))*3)+((COUNTIF(OI19:OI19,"C"))*2)+((COUNTIF(OI19:OI19,"D"))*1))*CELL("contenu",$B$18),0))/IF(SUM(COUNTA(OI5:OI6)*CELL("contenu",$B$4),COUNTA(OI8:OI11)*CELL("contenu",$B$7),COUNTA(OI13:OI13)*CELL("contenu",$B$12),COUNTA(OI15:OI17)*CELL("contenu",$B$14),COUNTA(OI19:OI19)*CELL("contenu",$B$18))=0,1,SUM(COUNTA(OI5:OI6)*CELL("contenu",$B$4),COUNTA(OI8:OI11)*CELL("contenu",$B$7),COUNTA(OI13:OI13)*CELL("contenu",$B$12),COUNTA(OI15:OI17)*CELL("contenu",$B$14),COUNTA(OI19:OI19)*CELL("contenu",$B$18))))</f>
        <v/>
      </c>
      <c r="OJ20" s="183" t="str">
        <f ca="1">IF(COUNTA(OJ5:OJ19)=0,"",5*SUM(IFERROR((((COUNTIF(OJ5:OJ6,"A"))*4)+((COUNTIF(OJ5:OJ6,"B"))*3)+((COUNTIF(OJ5:OJ6,"C"))*2)+((COUNTIF(OJ5:OJ6,"D"))*1))*CELL("contenu",$B$4),0),IFERROR((((COUNTIF(OJ8:OJ11,"A"))*4)+((COUNTIF(OJ8:OJ11,"B"))*3)+((COUNTIF(OJ8:OJ11,"C"))*2)+((COUNTIF(OJ8:OJ11,"D"))*1))*CELL("contenu",$B$7),0),IFERROR((((COUNTIF(OJ13:OJ13,"A"))*4)+((COUNTIF(OJ13:OJ13,"B"))*3)+((COUNTIF(OJ13:OJ13,"C"))*2)+((COUNTIF(OJ13:OJ13,"D"))*1))*CELL("contenu",$B$12),0),IFERROR((((COUNTIF(OJ15:OJ17,"A"))*4)+((COUNTIF(OJ15:OJ17,"B"))*3)+((COUNTIF(OJ15:OJ17,"C"))*2)+((COUNTIF(OJ15:OJ17,"D"))*1))*CELL("contenu",$B$14),0),IFERROR((((COUNTIF(OJ19:OJ19,"A"))*4)+((COUNTIF(OJ19:OJ19,"B"))*3)+((COUNTIF(OJ19:OJ19,"C"))*2)+((COUNTIF(OJ19:OJ19,"D"))*1))*CELL("contenu",$B$18),0))/IF(SUM(COUNTA(OJ5:OJ6)*CELL("contenu",$B$4),COUNTA(OJ8:OJ11)*CELL("contenu",$B$7),COUNTA(OJ13:OJ13)*CELL("contenu",$B$12),COUNTA(OJ15:OJ17)*CELL("contenu",$B$14),COUNTA(OJ19:OJ19)*CELL("contenu",$B$18))=0,1,SUM(COUNTA(OJ5:OJ6)*CELL("contenu",$B$4),COUNTA(OJ8:OJ11)*CELL("contenu",$B$7),COUNTA(OJ13:OJ13)*CELL("contenu",$B$12),COUNTA(OJ15:OJ17)*CELL("contenu",$B$14),COUNTA(OJ19:OJ19)*CELL("contenu",$B$18))))</f>
        <v/>
      </c>
      <c r="OK20" s="184" t="str">
        <f ca="1">IF(COUNTA(OK5:OK19)=0,"",5*SUM(IFERROR((((COUNTIF(OK5:OK6,"A"))*4)+((COUNTIF(OK5:OK6,"B"))*3)+((COUNTIF(OK5:OK6,"C"))*2)+((COUNTIF(OK5:OK6,"D"))*1))*CELL("contenu",$B$4),0),IFERROR((((COUNTIF(OK8:OK11,"A"))*4)+((COUNTIF(OK8:OK11,"B"))*3)+((COUNTIF(OK8:OK11,"C"))*2)+((COUNTIF(OK8:OK11,"D"))*1))*CELL("contenu",$B$7),0),IFERROR((((COUNTIF(OK13:OK13,"A"))*4)+((COUNTIF(OK13:OK13,"B"))*3)+((COUNTIF(OK13:OK13,"C"))*2)+((COUNTIF(OK13:OK13,"D"))*1))*CELL("contenu",$B$12),0),IFERROR((((COUNTIF(OK15:OK17,"A"))*4)+((COUNTIF(OK15:OK17,"B"))*3)+((COUNTIF(OK15:OK17,"C"))*2)+((COUNTIF(OK15:OK17,"D"))*1))*CELL("contenu",$B$14),0),IFERROR((((COUNTIF(OK19:OK19,"A"))*4)+((COUNTIF(OK19:OK19,"B"))*3)+((COUNTIF(OK19:OK19,"C"))*2)+((COUNTIF(OK19:OK19,"D"))*1))*CELL("contenu",$B$18),0))/IF(SUM(COUNTA(OK5:OK6)*CELL("contenu",$B$4),COUNTA(OK8:OK11)*CELL("contenu",$B$7),COUNTA(OK13:OK13)*CELL("contenu",$B$12),COUNTA(OK15:OK17)*CELL("contenu",$B$14),COUNTA(OK19:OK19)*CELL("contenu",$B$18))=0,1,SUM(COUNTA(OK5:OK6)*CELL("contenu",$B$4),COUNTA(OK8:OK11)*CELL("contenu",$B$7),COUNTA(OK13:OK13)*CELL("contenu",$B$12),COUNTA(OK15:OK17)*CELL("contenu",$B$14),COUNTA(OK19:OK19)*CELL("contenu",$B$18))))</f>
        <v/>
      </c>
      <c r="OL20" s="176"/>
      <c r="OM20" s="175" t="str">
        <f ca="1">IF(COUNTA(OI20:OK20)-COUNTBLANK(OI20:OK20)=0,"",SUM(OI20:OK20)/(COUNTA(OI20:OK20)-COUNTBLANK(OI20:OK20)))</f>
        <v/>
      </c>
      <c r="ON20" s="182" t="str">
        <f ca="1">IF(COUNTA(ON5:ON19)=0,"",5*SUM(IFERROR((((COUNTIF(ON5:ON6,"A"))*4)+((COUNTIF(ON5:ON6,"B"))*3)+((COUNTIF(ON5:ON6,"C"))*2)+((COUNTIF(ON5:ON6,"D"))*1))*CELL("contenu",$B$4),0),IFERROR((((COUNTIF(ON8:ON11,"A"))*4)+((COUNTIF(ON8:ON11,"B"))*3)+((COUNTIF(ON8:ON11,"C"))*2)+((COUNTIF(ON8:ON11,"D"))*1))*CELL("contenu",$B$7),0),IFERROR((((COUNTIF(ON13:ON13,"A"))*4)+((COUNTIF(ON13:ON13,"B"))*3)+((COUNTIF(ON13:ON13,"C"))*2)+((COUNTIF(ON13:ON13,"D"))*1))*CELL("contenu",$B$12),0),IFERROR((((COUNTIF(ON15:ON17,"A"))*4)+((COUNTIF(ON15:ON17,"B"))*3)+((COUNTIF(ON15:ON17,"C"))*2)+((COUNTIF(ON15:ON17,"D"))*1))*CELL("contenu",$B$14),0),IFERROR((((COUNTIF(ON19:ON19,"A"))*4)+((COUNTIF(ON19:ON19,"B"))*3)+((COUNTIF(ON19:ON19,"C"))*2)+((COUNTIF(ON19:ON19,"D"))*1))*CELL("contenu",$B$18),0))/IF(SUM(COUNTA(ON5:ON6)*CELL("contenu",$B$4),COUNTA(ON8:ON11)*CELL("contenu",$B$7),COUNTA(ON13:ON13)*CELL("contenu",$B$12),COUNTA(ON15:ON17)*CELL("contenu",$B$14),COUNTA(ON19:ON19)*CELL("contenu",$B$18))=0,1,SUM(COUNTA(ON5:ON6)*CELL("contenu",$B$4),COUNTA(ON8:ON11)*CELL("contenu",$B$7),COUNTA(ON13:ON13)*CELL("contenu",$B$12),COUNTA(ON15:ON17)*CELL("contenu",$B$14),COUNTA(ON19:ON19)*CELL("contenu",$B$18))))</f>
        <v/>
      </c>
      <c r="OO20" s="183" t="str">
        <f ca="1">IF(COUNTA(OO5:OO19)=0,"",5*SUM(IFERROR((((COUNTIF(OO5:OO6,"A"))*4)+((COUNTIF(OO5:OO6,"B"))*3)+((COUNTIF(OO5:OO6,"C"))*2)+((COUNTIF(OO5:OO6,"D"))*1))*CELL("contenu",$B$4),0),IFERROR((((COUNTIF(OO8:OO11,"A"))*4)+((COUNTIF(OO8:OO11,"B"))*3)+((COUNTIF(OO8:OO11,"C"))*2)+((COUNTIF(OO8:OO11,"D"))*1))*CELL("contenu",$B$7),0),IFERROR((((COUNTIF(OO13:OO13,"A"))*4)+((COUNTIF(OO13:OO13,"B"))*3)+((COUNTIF(OO13:OO13,"C"))*2)+((COUNTIF(OO13:OO13,"D"))*1))*CELL("contenu",$B$12),0),IFERROR((((COUNTIF(OO15:OO17,"A"))*4)+((COUNTIF(OO15:OO17,"B"))*3)+((COUNTIF(OO15:OO17,"C"))*2)+((COUNTIF(OO15:OO17,"D"))*1))*CELL("contenu",$B$14),0),IFERROR((((COUNTIF(OO19:OO19,"A"))*4)+((COUNTIF(OO19:OO19,"B"))*3)+((COUNTIF(OO19:OO19,"C"))*2)+((COUNTIF(OO19:OO19,"D"))*1))*CELL("contenu",$B$18),0))/IF(SUM(COUNTA(OO5:OO6)*CELL("contenu",$B$4),COUNTA(OO8:OO11)*CELL("contenu",$B$7),COUNTA(OO13:OO13)*CELL("contenu",$B$12),COUNTA(OO15:OO17)*CELL("contenu",$B$14),COUNTA(OO19:OO19)*CELL("contenu",$B$18))=0,1,SUM(COUNTA(OO5:OO6)*CELL("contenu",$B$4),COUNTA(OO8:OO11)*CELL("contenu",$B$7),COUNTA(OO13:OO13)*CELL("contenu",$B$12),COUNTA(OO15:OO17)*CELL("contenu",$B$14),COUNTA(OO19:OO19)*CELL("contenu",$B$18))))</f>
        <v/>
      </c>
      <c r="OP20" s="184" t="str">
        <f ca="1">IF(COUNTA(OP5:OP19)=0,"",5*SUM(IFERROR((((COUNTIF(OP5:OP6,"A"))*4)+((COUNTIF(OP5:OP6,"B"))*3)+((COUNTIF(OP5:OP6,"C"))*2)+((COUNTIF(OP5:OP6,"D"))*1))*CELL("contenu",$B$4),0),IFERROR((((COUNTIF(OP8:OP11,"A"))*4)+((COUNTIF(OP8:OP11,"B"))*3)+((COUNTIF(OP8:OP11,"C"))*2)+((COUNTIF(OP8:OP11,"D"))*1))*CELL("contenu",$B$7),0),IFERROR((((COUNTIF(OP13:OP13,"A"))*4)+((COUNTIF(OP13:OP13,"B"))*3)+((COUNTIF(OP13:OP13,"C"))*2)+((COUNTIF(OP13:OP13,"D"))*1))*CELL("contenu",$B$12),0),IFERROR((((COUNTIF(OP15:OP17,"A"))*4)+((COUNTIF(OP15:OP17,"B"))*3)+((COUNTIF(OP15:OP17,"C"))*2)+((COUNTIF(OP15:OP17,"D"))*1))*CELL("contenu",$B$14),0),IFERROR((((COUNTIF(OP19:OP19,"A"))*4)+((COUNTIF(OP19:OP19,"B"))*3)+((COUNTIF(OP19:OP19,"C"))*2)+((COUNTIF(OP19:OP19,"D"))*1))*CELL("contenu",$B$18),0))/IF(SUM(COUNTA(OP5:OP6)*CELL("contenu",$B$4),COUNTA(OP8:OP11)*CELL("contenu",$B$7),COUNTA(OP13:OP13)*CELL("contenu",$B$12),COUNTA(OP15:OP17)*CELL("contenu",$B$14),COUNTA(OP19:OP19)*CELL("contenu",$B$18))=0,1,SUM(COUNTA(OP5:OP6)*CELL("contenu",$B$4),COUNTA(OP8:OP11)*CELL("contenu",$B$7),COUNTA(OP13:OP13)*CELL("contenu",$B$12),COUNTA(OP15:OP17)*CELL("contenu",$B$14),COUNTA(OP19:OP19)*CELL("contenu",$B$18))))</f>
        <v/>
      </c>
      <c r="OQ20" s="176"/>
      <c r="OR20" s="174" t="str">
        <f ca="1">IF(COUNTA(ON20:OP20)-COUNTBLANK(ON20:OP20)=0,"",SUM(ON20:OP20)/(COUNTA(ON20:OP20)-COUNTBLANK(ON20:OP20)))</f>
        <v/>
      </c>
      <c r="OS20" s="103"/>
      <c r="OT20" s="141"/>
      <c r="OU20" s="167">
        <f ca="1">IF(COUNTA(OU5:OU19)=0,"",5*SUM(IFERROR((((COUNTIF(OU5:OU6,"A"))*4)+((COUNTIF(OU5:OU6,"B"))*3)+((COUNTIF(OU5:OU6,"C"))*2)+((COUNTIF(OU5:OU6,"D"))*1))*CELL("contenu",$B$4),0),IFERROR((((COUNTIF(OU8:OU11,"A"))*4)+((COUNTIF(OU8:OU11,"B"))*3)+((COUNTIF(OU8:OU11,"C"))*2)+((COUNTIF(OU8:OU11,"D"))*1))*CELL("contenu",$B$7),0),IFERROR((((COUNTIF(OU13:OU13,"A"))*4)+((COUNTIF(OU13:OU13,"B"))*3)+((COUNTIF(OU13:OU13,"C"))*2)+((COUNTIF(OU13:OU13,"D"))*1))*CELL("contenu",$B$12),0),IFERROR((((COUNTIF(OU15:OU17,"A"))*4)+((COUNTIF(OU15:OU17,"B"))*3)+((COUNTIF(OU15:OU17,"C"))*2)+((COUNTIF(OU15:OU17,"D"))*1))*CELL("contenu",$B$14),0),IFERROR((((COUNTIF(OU19:OU19,"A"))*4)+((COUNTIF(OU19:OU19,"B"))*3)+((COUNTIF(OU19:OU19,"C"))*2)+((COUNTIF(OU19:OU19,"D"))*1))*CELL("contenu",$B$18),0))/IF(SUM(COUNTA(OU5:OU6)*CELL("contenu",$B$4),COUNTA(OU8:OU11)*CELL("contenu",$B$7),COUNTA(OU13:OU13)*CELL("contenu",$B$12),COUNTA(OU15:OU17)*CELL("contenu",$B$14),COUNTA(OU19:OU19)*CELL("contenu",$B$18))=0,1,SUM(COUNTA(OU5:OU6)*CELL("contenu",$B$4),COUNTA(OU8:OU11)*CELL("contenu",$B$7),COUNTA(OU13:OU13)*CELL("contenu",$B$12),COUNTA(OU15:OU17)*CELL("contenu",$B$14),COUNTA(OU19:OU19)*CELL("contenu",$B$18))))</f>
        <v>11.666666666666666</v>
      </c>
      <c r="OV20" s="168">
        <f ca="1">IF(COUNTA(OV5:OV19)=0,"",5*SUM(IFERROR((((COUNTIF(OV5:OV6,"A"))*4)+((COUNTIF(OV5:OV6,"B"))*3)+((COUNTIF(OV5:OV6,"C"))*2)+((COUNTIF(OV5:OV6,"D"))*1))*CELL("contenu",$B$4),0),IFERROR((((COUNTIF(OV8:OV11,"A"))*4)+((COUNTIF(OV8:OV11,"B"))*3)+((COUNTIF(OV8:OV11,"C"))*2)+((COUNTIF(OV8:OV11,"D"))*1))*CELL("contenu",$B$7),0),IFERROR((((COUNTIF(OV13:OV13,"A"))*4)+((COUNTIF(OV13:OV13,"B"))*3)+((COUNTIF(OV13:OV13,"C"))*2)+((COUNTIF(OV13:OV13,"D"))*1))*CELL("contenu",$B$12),0),IFERROR((((COUNTIF(OV15:OV17,"A"))*4)+((COUNTIF(OV15:OV17,"B"))*3)+((COUNTIF(OV15:OV17,"C"))*2)+((COUNTIF(OV15:OV17,"D"))*1))*CELL("contenu",$B$14),0),IFERROR((((COUNTIF(OV19:OV19,"A"))*4)+((COUNTIF(OV19:OV19,"B"))*3)+((COUNTIF(OV19:OV19,"C"))*2)+((COUNTIF(OV19:OV19,"D"))*1))*CELL("contenu",$B$18),0))/IF(SUM(COUNTA(OV5:OV6)*CELL("contenu",$B$4),COUNTA(OV8:OV11)*CELL("contenu",$B$7),COUNTA(OV13:OV13)*CELL("contenu",$B$12),COUNTA(OV15:OV17)*CELL("contenu",$B$14),COUNTA(OV19:OV19)*CELL("contenu",$B$18))=0,1,SUM(COUNTA(OV5:OV6)*CELL("contenu",$B$4),COUNTA(OV8:OV11)*CELL("contenu",$B$7),COUNTA(OV13:OV13)*CELL("contenu",$B$12),COUNTA(OV15:OV17)*CELL("contenu",$B$14),COUNTA(OV19:OV19)*CELL("contenu",$B$18))))</f>
        <v>8.3333333333333339</v>
      </c>
      <c r="OW20" s="169" t="str">
        <f ca="1">IF(COUNTA(OW5:OW19)=0,"",5*SUM(IFERROR((((COUNTIF(OW5:OW6,"A"))*4)+((COUNTIF(OW5:OW6,"B"))*3)+((COUNTIF(OW5:OW6,"C"))*2)+((COUNTIF(OW5:OW6,"D"))*1))*CELL("contenu",$B$4),0),IFERROR((((COUNTIF(OW8:OW11,"A"))*4)+((COUNTIF(OW8:OW11,"B"))*3)+((COUNTIF(OW8:OW11,"C"))*2)+((COUNTIF(OW8:OW11,"D"))*1))*CELL("contenu",$B$7),0),IFERROR((((COUNTIF(OW13:OW13,"A"))*4)+((COUNTIF(OW13:OW13,"B"))*3)+((COUNTIF(OW13:OW13,"C"))*2)+((COUNTIF(OW13:OW13,"D"))*1))*CELL("contenu",$B$12),0),IFERROR((((COUNTIF(OW15:OW17,"A"))*4)+((COUNTIF(OW15:OW17,"B"))*3)+((COUNTIF(OW15:OW17,"C"))*2)+((COUNTIF(OW15:OW17,"D"))*1))*CELL("contenu",$B$14),0),IFERROR((((COUNTIF(OW19:OW19,"A"))*4)+((COUNTIF(OW19:OW19,"B"))*3)+((COUNTIF(OW19:OW19,"C"))*2)+((COUNTIF(OW19:OW19,"D"))*1))*CELL("contenu",$B$18),0))/IF(SUM(COUNTA(OW5:OW6)*CELL("contenu",$B$4),COUNTA(OW8:OW11)*CELL("contenu",$B$7),COUNTA(OW13:OW13)*CELL("contenu",$B$12),COUNTA(OW15:OW17)*CELL("contenu",$B$14),COUNTA(OW19:OW19)*CELL("contenu",$B$18))=0,1,SUM(COUNTA(OW5:OW6)*CELL("contenu",$B$4),COUNTA(OW8:OW11)*CELL("contenu",$B$7),COUNTA(OW13:OW13)*CELL("contenu",$B$12),COUNTA(OW15:OW17)*CELL("contenu",$B$14),COUNTA(OW19:OW19)*CELL("contenu",$B$18))))</f>
        <v/>
      </c>
      <c r="OX20" s="116"/>
      <c r="OY20" s="192">
        <f ca="1">IF(COUNTA(OU20:OW20)-COUNTBLANK(OU20:OW20)=0,"",SUM(OU20:OW20)/(COUNTA(OU20:OW20)-COUNTBLANK(OU20:OW20)))</f>
        <v>10</v>
      </c>
      <c r="OZ20" s="182" t="str">
        <f ca="1">IF(COUNTA(OZ5:OZ19)=0,"",5*SUM(IFERROR((((COUNTIF(OZ5:OZ6,"A"))*4)+((COUNTIF(OZ5:OZ6,"B"))*3)+((COUNTIF(OZ5:OZ6,"C"))*2)+((COUNTIF(OZ5:OZ6,"D"))*1))*CELL("contenu",$B$4),0),IFERROR((((COUNTIF(OZ8:OZ11,"A"))*4)+((COUNTIF(OZ8:OZ11,"B"))*3)+((COUNTIF(OZ8:OZ11,"C"))*2)+((COUNTIF(OZ8:OZ11,"D"))*1))*CELL("contenu",$B$7),0),IFERROR((((COUNTIF(OZ13:OZ13,"A"))*4)+((COUNTIF(OZ13:OZ13,"B"))*3)+((COUNTIF(OZ13:OZ13,"C"))*2)+((COUNTIF(OZ13:OZ13,"D"))*1))*CELL("contenu",$B$12),0),IFERROR((((COUNTIF(OZ15:OZ17,"A"))*4)+((COUNTIF(OZ15:OZ17,"B"))*3)+((COUNTIF(OZ15:OZ17,"C"))*2)+((COUNTIF(OZ15:OZ17,"D"))*1))*CELL("contenu",$B$14),0),IFERROR((((COUNTIF(OZ19:OZ19,"A"))*4)+((COUNTIF(OZ19:OZ19,"B"))*3)+((COUNTIF(OZ19:OZ19,"C"))*2)+((COUNTIF(OZ19:OZ19,"D"))*1))*CELL("contenu",$B$18),0))/IF(SUM(COUNTA(OZ5:OZ6)*CELL("contenu",$B$4),COUNTA(OZ8:OZ11)*CELL("contenu",$B$7),COUNTA(OZ13:OZ13)*CELL("contenu",$B$12),COUNTA(OZ15:OZ17)*CELL("contenu",$B$14),COUNTA(OZ19:OZ19)*CELL("contenu",$B$18))=0,1,SUM(COUNTA(OZ5:OZ6)*CELL("contenu",$B$4),COUNTA(OZ8:OZ11)*CELL("contenu",$B$7),COUNTA(OZ13:OZ13)*CELL("contenu",$B$12),COUNTA(OZ15:OZ17)*CELL("contenu",$B$14),COUNTA(OZ19:OZ19)*CELL("contenu",$B$18))))</f>
        <v/>
      </c>
      <c r="PA20" s="183" t="str">
        <f ca="1">IF(COUNTA(PA5:PA19)=0,"",5*SUM(IFERROR((((COUNTIF(PA5:PA6,"A"))*4)+((COUNTIF(PA5:PA6,"B"))*3)+((COUNTIF(PA5:PA6,"C"))*2)+((COUNTIF(PA5:PA6,"D"))*1))*CELL("contenu",$B$4),0),IFERROR((((COUNTIF(PA8:PA11,"A"))*4)+((COUNTIF(PA8:PA11,"B"))*3)+((COUNTIF(PA8:PA11,"C"))*2)+((COUNTIF(PA8:PA11,"D"))*1))*CELL("contenu",$B$7),0),IFERROR((((COUNTIF(PA13:PA13,"A"))*4)+((COUNTIF(PA13:PA13,"B"))*3)+((COUNTIF(PA13:PA13,"C"))*2)+((COUNTIF(PA13:PA13,"D"))*1))*CELL("contenu",$B$12),0),IFERROR((((COUNTIF(PA15:PA17,"A"))*4)+((COUNTIF(PA15:PA17,"B"))*3)+((COUNTIF(PA15:PA17,"C"))*2)+((COUNTIF(PA15:PA17,"D"))*1))*CELL("contenu",$B$14),0),IFERROR((((COUNTIF(PA19:PA19,"A"))*4)+((COUNTIF(PA19:PA19,"B"))*3)+((COUNTIF(PA19:PA19,"C"))*2)+((COUNTIF(PA19:PA19,"D"))*1))*CELL("contenu",$B$18),0))/IF(SUM(COUNTA(PA5:PA6)*CELL("contenu",$B$4),COUNTA(PA8:PA11)*CELL("contenu",$B$7),COUNTA(PA13:PA13)*CELL("contenu",$B$12),COUNTA(PA15:PA17)*CELL("contenu",$B$14),COUNTA(PA19:PA19)*CELL("contenu",$B$18))=0,1,SUM(COUNTA(PA5:PA6)*CELL("contenu",$B$4),COUNTA(PA8:PA11)*CELL("contenu",$B$7),COUNTA(PA13:PA13)*CELL("contenu",$B$12),COUNTA(PA15:PA17)*CELL("contenu",$B$14),COUNTA(PA19:PA19)*CELL("contenu",$B$18))))</f>
        <v/>
      </c>
      <c r="PB20" s="184" t="str">
        <f ca="1">IF(COUNTA(PB5:PB19)=0,"",5*SUM(IFERROR((((COUNTIF(PB5:PB6,"A"))*4)+((COUNTIF(PB5:PB6,"B"))*3)+((COUNTIF(PB5:PB6,"C"))*2)+((COUNTIF(PB5:PB6,"D"))*1))*CELL("contenu",$B$4),0),IFERROR((((COUNTIF(PB8:PB11,"A"))*4)+((COUNTIF(PB8:PB11,"B"))*3)+((COUNTIF(PB8:PB11,"C"))*2)+((COUNTIF(PB8:PB11,"D"))*1))*CELL("contenu",$B$7),0),IFERROR((((COUNTIF(PB13:PB13,"A"))*4)+((COUNTIF(PB13:PB13,"B"))*3)+((COUNTIF(PB13:PB13,"C"))*2)+((COUNTIF(PB13:PB13,"D"))*1))*CELL("contenu",$B$12),0),IFERROR((((COUNTIF(PB15:PB17,"A"))*4)+((COUNTIF(PB15:PB17,"B"))*3)+((COUNTIF(PB15:PB17,"C"))*2)+((COUNTIF(PB15:PB17,"D"))*1))*CELL("contenu",$B$14),0),IFERROR((((COUNTIF(PB19:PB19,"A"))*4)+((COUNTIF(PB19:PB19,"B"))*3)+((COUNTIF(PB19:PB19,"C"))*2)+((COUNTIF(PB19:PB19,"D"))*1))*CELL("contenu",$B$18),0))/IF(SUM(COUNTA(PB5:PB6)*CELL("contenu",$B$4),COUNTA(PB8:PB11)*CELL("contenu",$B$7),COUNTA(PB13:PB13)*CELL("contenu",$B$12),COUNTA(PB15:PB17)*CELL("contenu",$B$14),COUNTA(PB19:PB19)*CELL("contenu",$B$18))=0,1,SUM(COUNTA(PB5:PB6)*CELL("contenu",$B$4),COUNTA(PB8:PB11)*CELL("contenu",$B$7),COUNTA(PB13:PB13)*CELL("contenu",$B$12),COUNTA(PB15:PB17)*CELL("contenu",$B$14),COUNTA(PB19:PB19)*CELL("contenu",$B$18))))</f>
        <v/>
      </c>
      <c r="PC20" s="176"/>
      <c r="PD20" s="175" t="str">
        <f ca="1">IF(COUNTA(OZ20:PB20)-COUNTBLANK(OZ20:PB20)=0,"",SUM(OZ20:PB20)/(COUNTA(OZ20:PB20)-COUNTBLANK(OZ20:PB20)))</f>
        <v/>
      </c>
      <c r="PE20" s="182" t="str">
        <f ca="1">IF(COUNTA(PE5:PE19)=0,"",5*SUM(IFERROR((((COUNTIF(PE5:PE6,"A"))*4)+((COUNTIF(PE5:PE6,"B"))*3)+((COUNTIF(PE5:PE6,"C"))*2)+((COUNTIF(PE5:PE6,"D"))*1))*CELL("contenu",$B$4),0),IFERROR((((COUNTIF(PE8:PE11,"A"))*4)+((COUNTIF(PE8:PE11,"B"))*3)+((COUNTIF(PE8:PE11,"C"))*2)+((COUNTIF(PE8:PE11,"D"))*1))*CELL("contenu",$B$7),0),IFERROR((((COUNTIF(PE13:PE13,"A"))*4)+((COUNTIF(PE13:PE13,"B"))*3)+((COUNTIF(PE13:PE13,"C"))*2)+((COUNTIF(PE13:PE13,"D"))*1))*CELL("contenu",$B$12),0),IFERROR((((COUNTIF(PE15:PE17,"A"))*4)+((COUNTIF(PE15:PE17,"B"))*3)+((COUNTIF(PE15:PE17,"C"))*2)+((COUNTIF(PE15:PE17,"D"))*1))*CELL("contenu",$B$14),0),IFERROR((((COUNTIF(PE19:PE19,"A"))*4)+((COUNTIF(PE19:PE19,"B"))*3)+((COUNTIF(PE19:PE19,"C"))*2)+((COUNTIF(PE19:PE19,"D"))*1))*CELL("contenu",$B$18),0))/IF(SUM(COUNTA(PE5:PE6)*CELL("contenu",$B$4),COUNTA(PE8:PE11)*CELL("contenu",$B$7),COUNTA(PE13:PE13)*CELL("contenu",$B$12),COUNTA(PE15:PE17)*CELL("contenu",$B$14),COUNTA(PE19:PE19)*CELL("contenu",$B$18))=0,1,SUM(COUNTA(PE5:PE6)*CELL("contenu",$B$4),COUNTA(PE8:PE11)*CELL("contenu",$B$7),COUNTA(PE13:PE13)*CELL("contenu",$B$12),COUNTA(PE15:PE17)*CELL("contenu",$B$14),COUNTA(PE19:PE19)*CELL("contenu",$B$18))))</f>
        <v/>
      </c>
      <c r="PF20" s="183" t="str">
        <f ca="1">IF(COUNTA(PF5:PF19)=0,"",5*SUM(IFERROR((((COUNTIF(PF5:PF6,"A"))*4)+((COUNTIF(PF5:PF6,"B"))*3)+((COUNTIF(PF5:PF6,"C"))*2)+((COUNTIF(PF5:PF6,"D"))*1))*CELL("contenu",$B$4),0),IFERROR((((COUNTIF(PF8:PF11,"A"))*4)+((COUNTIF(PF8:PF11,"B"))*3)+((COUNTIF(PF8:PF11,"C"))*2)+((COUNTIF(PF8:PF11,"D"))*1))*CELL("contenu",$B$7),0),IFERROR((((COUNTIF(PF13:PF13,"A"))*4)+((COUNTIF(PF13:PF13,"B"))*3)+((COUNTIF(PF13:PF13,"C"))*2)+((COUNTIF(PF13:PF13,"D"))*1))*CELL("contenu",$B$12),0),IFERROR((((COUNTIF(PF15:PF17,"A"))*4)+((COUNTIF(PF15:PF17,"B"))*3)+((COUNTIF(PF15:PF17,"C"))*2)+((COUNTIF(PF15:PF17,"D"))*1))*CELL("contenu",$B$14),0),IFERROR((((COUNTIF(PF19:PF19,"A"))*4)+((COUNTIF(PF19:PF19,"B"))*3)+((COUNTIF(PF19:PF19,"C"))*2)+((COUNTIF(PF19:PF19,"D"))*1))*CELL("contenu",$B$18),0))/IF(SUM(COUNTA(PF5:PF6)*CELL("contenu",$B$4),COUNTA(PF8:PF11)*CELL("contenu",$B$7),COUNTA(PF13:PF13)*CELL("contenu",$B$12),COUNTA(PF15:PF17)*CELL("contenu",$B$14),COUNTA(PF19:PF19)*CELL("contenu",$B$18))=0,1,SUM(COUNTA(PF5:PF6)*CELL("contenu",$B$4),COUNTA(PF8:PF11)*CELL("contenu",$B$7),COUNTA(PF13:PF13)*CELL("contenu",$B$12),COUNTA(PF15:PF17)*CELL("contenu",$B$14),COUNTA(PF19:PF19)*CELL("contenu",$B$18))))</f>
        <v/>
      </c>
      <c r="PG20" s="184" t="str">
        <f ca="1">IF(COUNTA(PG5:PG19)=0,"",5*SUM(IFERROR((((COUNTIF(PG5:PG6,"A"))*4)+((COUNTIF(PG5:PG6,"B"))*3)+((COUNTIF(PG5:PG6,"C"))*2)+((COUNTIF(PG5:PG6,"D"))*1))*CELL("contenu",$B$4),0),IFERROR((((COUNTIF(PG8:PG11,"A"))*4)+((COUNTIF(PG8:PG11,"B"))*3)+((COUNTIF(PG8:PG11,"C"))*2)+((COUNTIF(PG8:PG11,"D"))*1))*CELL("contenu",$B$7),0),IFERROR((((COUNTIF(PG13:PG13,"A"))*4)+((COUNTIF(PG13:PG13,"B"))*3)+((COUNTIF(PG13:PG13,"C"))*2)+((COUNTIF(PG13:PG13,"D"))*1))*CELL("contenu",$B$12),0),IFERROR((((COUNTIF(PG15:PG17,"A"))*4)+((COUNTIF(PG15:PG17,"B"))*3)+((COUNTIF(PG15:PG17,"C"))*2)+((COUNTIF(PG15:PG17,"D"))*1))*CELL("contenu",$B$14),0),IFERROR((((COUNTIF(PG19:PG19,"A"))*4)+((COUNTIF(PG19:PG19,"B"))*3)+((COUNTIF(PG19:PG19,"C"))*2)+((COUNTIF(PG19:PG19,"D"))*1))*CELL("contenu",$B$18),0))/IF(SUM(COUNTA(PG5:PG6)*CELL("contenu",$B$4),COUNTA(PG8:PG11)*CELL("contenu",$B$7),COUNTA(PG13:PG13)*CELL("contenu",$B$12),COUNTA(PG15:PG17)*CELL("contenu",$B$14),COUNTA(PG19:PG19)*CELL("contenu",$B$18))=0,1,SUM(COUNTA(PG5:PG6)*CELL("contenu",$B$4),COUNTA(PG8:PG11)*CELL("contenu",$B$7),COUNTA(PG13:PG13)*CELL("contenu",$B$12),COUNTA(PG15:PG17)*CELL("contenu",$B$14),COUNTA(PG19:PG19)*CELL("contenu",$B$18))))</f>
        <v/>
      </c>
      <c r="PH20" s="176"/>
      <c r="PI20" s="174" t="str">
        <f ca="1">IF(COUNTA(PE20:PG20)-COUNTBLANK(PE20:PG20)=0,"",SUM(PE20:PG20)/(COUNTA(PE20:PG20)-COUNTBLANK(PE20:PG20)))</f>
        <v/>
      </c>
      <c r="PJ20" s="103"/>
      <c r="PK20" s="141"/>
      <c r="PL20" s="167">
        <f ca="1">IF(COUNTA(PL5:PL19)=0,"",5*SUM(IFERROR((((COUNTIF(PL5:PL6,"A"))*4)+((COUNTIF(PL5:PL6,"B"))*3)+((COUNTIF(PL5:PL6,"C"))*2)+((COUNTIF(PL5:PL6,"D"))*1))*CELL("contenu",$B$4),0),IFERROR((((COUNTIF(PL8:PL11,"A"))*4)+((COUNTIF(PL8:PL11,"B"))*3)+((COUNTIF(PL8:PL11,"C"))*2)+((COUNTIF(PL8:PL11,"D"))*1))*CELL("contenu",$B$7),0),IFERROR((((COUNTIF(PL13:PL13,"A"))*4)+((COUNTIF(PL13:PL13,"B"))*3)+((COUNTIF(PL13:PL13,"C"))*2)+((COUNTIF(PL13:PL13,"D"))*1))*CELL("contenu",$B$12),0),IFERROR((((COUNTIF(PL15:PL17,"A"))*4)+((COUNTIF(PL15:PL17,"B"))*3)+((COUNTIF(PL15:PL17,"C"))*2)+((COUNTIF(PL15:PL17,"D"))*1))*CELL("contenu",$B$14),0),IFERROR((((COUNTIF(PL19:PL19,"A"))*4)+((COUNTIF(PL19:PL19,"B"))*3)+((COUNTIF(PL19:PL19,"C"))*2)+((COUNTIF(PL19:PL19,"D"))*1))*CELL("contenu",$B$18),0))/IF(SUM(COUNTA(PL5:PL6)*CELL("contenu",$B$4),COUNTA(PL8:PL11)*CELL("contenu",$B$7),COUNTA(PL13:PL13)*CELL("contenu",$B$12),COUNTA(PL15:PL17)*CELL("contenu",$B$14),COUNTA(PL19:PL19)*CELL("contenu",$B$18))=0,1,SUM(COUNTA(PL5:PL6)*CELL("contenu",$B$4),COUNTA(PL8:PL11)*CELL("contenu",$B$7),COUNTA(PL13:PL13)*CELL("contenu",$B$12),COUNTA(PL15:PL17)*CELL("contenu",$B$14),COUNTA(PL19:PL19)*CELL("contenu",$B$18))))</f>
        <v>16.666666666666668</v>
      </c>
      <c r="PM20" s="168">
        <f ca="1">IF(COUNTA(PM5:PM19)=0,"",5*SUM(IFERROR((((COUNTIF(PM5:PM6,"A"))*4)+((COUNTIF(PM5:PM6,"B"))*3)+((COUNTIF(PM5:PM6,"C"))*2)+((COUNTIF(PM5:PM6,"D"))*1))*CELL("contenu",$B$4),0),IFERROR((((COUNTIF(PM8:PM11,"A"))*4)+((COUNTIF(PM8:PM11,"B"))*3)+((COUNTIF(PM8:PM11,"C"))*2)+((COUNTIF(PM8:PM11,"D"))*1))*CELL("contenu",$B$7),0),IFERROR((((COUNTIF(PM13:PM13,"A"))*4)+((COUNTIF(PM13:PM13,"B"))*3)+((COUNTIF(PM13:PM13,"C"))*2)+((COUNTIF(PM13:PM13,"D"))*1))*CELL("contenu",$B$12),0),IFERROR((((COUNTIF(PM15:PM17,"A"))*4)+((COUNTIF(PM15:PM17,"B"))*3)+((COUNTIF(PM15:PM17,"C"))*2)+((COUNTIF(PM15:PM17,"D"))*1))*CELL("contenu",$B$14),0),IFERROR((((COUNTIF(PM19:PM19,"A"))*4)+((COUNTIF(PM19:PM19,"B"))*3)+((COUNTIF(PM19:PM19,"C"))*2)+((COUNTIF(PM19:PM19,"D"))*1))*CELL("contenu",$B$18),0))/IF(SUM(COUNTA(PM5:PM6)*CELL("contenu",$B$4),COUNTA(PM8:PM11)*CELL("contenu",$B$7),COUNTA(PM13:PM13)*CELL("contenu",$B$12),COUNTA(PM15:PM17)*CELL("contenu",$B$14),COUNTA(PM19:PM19)*CELL("contenu",$B$18))=0,1,SUM(COUNTA(PM5:PM6)*CELL("contenu",$B$4),COUNTA(PM8:PM11)*CELL("contenu",$B$7),COUNTA(PM13:PM13)*CELL("contenu",$B$12),COUNTA(PM15:PM17)*CELL("contenu",$B$14),COUNTA(PM19:PM19)*CELL("contenu",$B$18))))</f>
        <v>16.666666666666668</v>
      </c>
      <c r="PN20" s="169" t="str">
        <f ca="1">IF(COUNTA(PN5:PN19)=0,"",5*SUM(IFERROR((((COUNTIF(PN5:PN6,"A"))*4)+((COUNTIF(PN5:PN6,"B"))*3)+((COUNTIF(PN5:PN6,"C"))*2)+((COUNTIF(PN5:PN6,"D"))*1))*CELL("contenu",$B$4),0),IFERROR((((COUNTIF(PN8:PN11,"A"))*4)+((COUNTIF(PN8:PN11,"B"))*3)+((COUNTIF(PN8:PN11,"C"))*2)+((COUNTIF(PN8:PN11,"D"))*1))*CELL("contenu",$B$7),0),IFERROR((((COUNTIF(PN13:PN13,"A"))*4)+((COUNTIF(PN13:PN13,"B"))*3)+((COUNTIF(PN13:PN13,"C"))*2)+((COUNTIF(PN13:PN13,"D"))*1))*CELL("contenu",$B$12),0),IFERROR((((COUNTIF(PN15:PN17,"A"))*4)+((COUNTIF(PN15:PN17,"B"))*3)+((COUNTIF(PN15:PN17,"C"))*2)+((COUNTIF(PN15:PN17,"D"))*1))*CELL("contenu",$B$14),0),IFERROR((((COUNTIF(PN19:PN19,"A"))*4)+((COUNTIF(PN19:PN19,"B"))*3)+((COUNTIF(PN19:PN19,"C"))*2)+((COUNTIF(PN19:PN19,"D"))*1))*CELL("contenu",$B$18),0))/IF(SUM(COUNTA(PN5:PN6)*CELL("contenu",$B$4),COUNTA(PN8:PN11)*CELL("contenu",$B$7),COUNTA(PN13:PN13)*CELL("contenu",$B$12),COUNTA(PN15:PN17)*CELL("contenu",$B$14),COUNTA(PN19:PN19)*CELL("contenu",$B$18))=0,1,SUM(COUNTA(PN5:PN6)*CELL("contenu",$B$4),COUNTA(PN8:PN11)*CELL("contenu",$B$7),COUNTA(PN13:PN13)*CELL("contenu",$B$12),COUNTA(PN15:PN17)*CELL("contenu",$B$14),COUNTA(PN19:PN19)*CELL("contenu",$B$18))))</f>
        <v/>
      </c>
      <c r="PO20" s="116"/>
      <c r="PP20" s="192">
        <f ca="1">IF(COUNTA(PL20:PN20)-COUNTBLANK(PL20:PN20)=0,"",SUM(PL20:PN20)/(COUNTA(PL20:PN20)-COUNTBLANK(PL20:PN20)))</f>
        <v>16.666666666666668</v>
      </c>
      <c r="PQ20" s="182" t="str">
        <f ca="1">IF(COUNTA(PQ5:PQ19)=0,"",5*SUM(IFERROR((((COUNTIF(PQ5:PQ6,"A"))*4)+((COUNTIF(PQ5:PQ6,"B"))*3)+((COUNTIF(PQ5:PQ6,"C"))*2)+((COUNTIF(PQ5:PQ6,"D"))*1))*CELL("contenu",$B$4),0),IFERROR((((COUNTIF(PQ8:PQ11,"A"))*4)+((COUNTIF(PQ8:PQ11,"B"))*3)+((COUNTIF(PQ8:PQ11,"C"))*2)+((COUNTIF(PQ8:PQ11,"D"))*1))*CELL("contenu",$B$7),0),IFERROR((((COUNTIF(PQ13:PQ13,"A"))*4)+((COUNTIF(PQ13:PQ13,"B"))*3)+((COUNTIF(PQ13:PQ13,"C"))*2)+((COUNTIF(PQ13:PQ13,"D"))*1))*CELL("contenu",$B$12),0),IFERROR((((COUNTIF(PQ15:PQ17,"A"))*4)+((COUNTIF(PQ15:PQ17,"B"))*3)+((COUNTIF(PQ15:PQ17,"C"))*2)+((COUNTIF(PQ15:PQ17,"D"))*1))*CELL("contenu",$B$14),0),IFERROR((((COUNTIF(PQ19:PQ19,"A"))*4)+((COUNTIF(PQ19:PQ19,"B"))*3)+((COUNTIF(PQ19:PQ19,"C"))*2)+((COUNTIF(PQ19:PQ19,"D"))*1))*CELL("contenu",$B$18),0))/IF(SUM(COUNTA(PQ5:PQ6)*CELL("contenu",$B$4),COUNTA(PQ8:PQ11)*CELL("contenu",$B$7),COUNTA(PQ13:PQ13)*CELL("contenu",$B$12),COUNTA(PQ15:PQ17)*CELL("contenu",$B$14),COUNTA(PQ19:PQ19)*CELL("contenu",$B$18))=0,1,SUM(COUNTA(PQ5:PQ6)*CELL("contenu",$B$4),COUNTA(PQ8:PQ11)*CELL("contenu",$B$7),COUNTA(PQ13:PQ13)*CELL("contenu",$B$12),COUNTA(PQ15:PQ17)*CELL("contenu",$B$14),COUNTA(PQ19:PQ19)*CELL("contenu",$B$18))))</f>
        <v/>
      </c>
      <c r="PR20" s="183" t="str">
        <f ca="1">IF(COUNTA(PR5:PR19)=0,"",5*SUM(IFERROR((((COUNTIF(PR5:PR6,"A"))*4)+((COUNTIF(PR5:PR6,"B"))*3)+((COUNTIF(PR5:PR6,"C"))*2)+((COUNTIF(PR5:PR6,"D"))*1))*CELL("contenu",$B$4),0),IFERROR((((COUNTIF(PR8:PR11,"A"))*4)+((COUNTIF(PR8:PR11,"B"))*3)+((COUNTIF(PR8:PR11,"C"))*2)+((COUNTIF(PR8:PR11,"D"))*1))*CELL("contenu",$B$7),0),IFERROR((((COUNTIF(PR13:PR13,"A"))*4)+((COUNTIF(PR13:PR13,"B"))*3)+((COUNTIF(PR13:PR13,"C"))*2)+((COUNTIF(PR13:PR13,"D"))*1))*CELL("contenu",$B$12),0),IFERROR((((COUNTIF(PR15:PR17,"A"))*4)+((COUNTIF(PR15:PR17,"B"))*3)+((COUNTIF(PR15:PR17,"C"))*2)+((COUNTIF(PR15:PR17,"D"))*1))*CELL("contenu",$B$14),0),IFERROR((((COUNTIF(PR19:PR19,"A"))*4)+((COUNTIF(PR19:PR19,"B"))*3)+((COUNTIF(PR19:PR19,"C"))*2)+((COUNTIF(PR19:PR19,"D"))*1))*CELL("contenu",$B$18),0))/IF(SUM(COUNTA(PR5:PR6)*CELL("contenu",$B$4),COUNTA(PR8:PR11)*CELL("contenu",$B$7),COUNTA(PR13:PR13)*CELL("contenu",$B$12),COUNTA(PR15:PR17)*CELL("contenu",$B$14),COUNTA(PR19:PR19)*CELL("contenu",$B$18))=0,1,SUM(COUNTA(PR5:PR6)*CELL("contenu",$B$4),COUNTA(PR8:PR11)*CELL("contenu",$B$7),COUNTA(PR13:PR13)*CELL("contenu",$B$12),COUNTA(PR15:PR17)*CELL("contenu",$B$14),COUNTA(PR19:PR19)*CELL("contenu",$B$18))))</f>
        <v/>
      </c>
      <c r="PS20" s="184" t="str">
        <f ca="1">IF(COUNTA(PS5:PS19)=0,"",5*SUM(IFERROR((((COUNTIF(PS5:PS6,"A"))*4)+((COUNTIF(PS5:PS6,"B"))*3)+((COUNTIF(PS5:PS6,"C"))*2)+((COUNTIF(PS5:PS6,"D"))*1))*CELL("contenu",$B$4),0),IFERROR((((COUNTIF(PS8:PS11,"A"))*4)+((COUNTIF(PS8:PS11,"B"))*3)+((COUNTIF(PS8:PS11,"C"))*2)+((COUNTIF(PS8:PS11,"D"))*1))*CELL("contenu",$B$7),0),IFERROR((((COUNTIF(PS13:PS13,"A"))*4)+((COUNTIF(PS13:PS13,"B"))*3)+((COUNTIF(PS13:PS13,"C"))*2)+((COUNTIF(PS13:PS13,"D"))*1))*CELL("contenu",$B$12),0),IFERROR((((COUNTIF(PS15:PS17,"A"))*4)+((COUNTIF(PS15:PS17,"B"))*3)+((COUNTIF(PS15:PS17,"C"))*2)+((COUNTIF(PS15:PS17,"D"))*1))*CELL("contenu",$B$14),0),IFERROR((((COUNTIF(PS19:PS19,"A"))*4)+((COUNTIF(PS19:PS19,"B"))*3)+((COUNTIF(PS19:PS19,"C"))*2)+((COUNTIF(PS19:PS19,"D"))*1))*CELL("contenu",$B$18),0))/IF(SUM(COUNTA(PS5:PS6)*CELL("contenu",$B$4),COUNTA(PS8:PS11)*CELL("contenu",$B$7),COUNTA(PS13:PS13)*CELL("contenu",$B$12),COUNTA(PS15:PS17)*CELL("contenu",$B$14),COUNTA(PS19:PS19)*CELL("contenu",$B$18))=0,1,SUM(COUNTA(PS5:PS6)*CELL("contenu",$B$4),COUNTA(PS8:PS11)*CELL("contenu",$B$7),COUNTA(PS13:PS13)*CELL("contenu",$B$12),COUNTA(PS15:PS17)*CELL("contenu",$B$14),COUNTA(PS19:PS19)*CELL("contenu",$B$18))))</f>
        <v/>
      </c>
      <c r="PT20" s="176"/>
      <c r="PU20" s="175" t="str">
        <f ca="1">IF(COUNTA(PQ20:PS20)-COUNTBLANK(PQ20:PS20)=0,"",SUM(PQ20:PS20)/(COUNTA(PQ20:PS20)-COUNTBLANK(PQ20:PS20)))</f>
        <v/>
      </c>
      <c r="PV20" s="182" t="str">
        <f ca="1">IF(COUNTA(PV5:PV19)=0,"",5*SUM(IFERROR((((COUNTIF(PV5:PV6,"A"))*4)+((COUNTIF(PV5:PV6,"B"))*3)+((COUNTIF(PV5:PV6,"C"))*2)+((COUNTIF(PV5:PV6,"D"))*1))*CELL("contenu",$B$4),0),IFERROR((((COUNTIF(PV8:PV11,"A"))*4)+((COUNTIF(PV8:PV11,"B"))*3)+((COUNTIF(PV8:PV11,"C"))*2)+((COUNTIF(PV8:PV11,"D"))*1))*CELL("contenu",$B$7),0),IFERROR((((COUNTIF(PV13:PV13,"A"))*4)+((COUNTIF(PV13:PV13,"B"))*3)+((COUNTIF(PV13:PV13,"C"))*2)+((COUNTIF(PV13:PV13,"D"))*1))*CELL("contenu",$B$12),0),IFERROR((((COUNTIF(PV15:PV17,"A"))*4)+((COUNTIF(PV15:PV17,"B"))*3)+((COUNTIF(PV15:PV17,"C"))*2)+((COUNTIF(PV15:PV17,"D"))*1))*CELL("contenu",$B$14),0),IFERROR((((COUNTIF(PV19:PV19,"A"))*4)+((COUNTIF(PV19:PV19,"B"))*3)+((COUNTIF(PV19:PV19,"C"))*2)+((COUNTIF(PV19:PV19,"D"))*1))*CELL("contenu",$B$18),0))/IF(SUM(COUNTA(PV5:PV6)*CELL("contenu",$B$4),COUNTA(PV8:PV11)*CELL("contenu",$B$7),COUNTA(PV13:PV13)*CELL("contenu",$B$12),COUNTA(PV15:PV17)*CELL("contenu",$B$14),COUNTA(PV19:PV19)*CELL("contenu",$B$18))=0,1,SUM(COUNTA(PV5:PV6)*CELL("contenu",$B$4),COUNTA(PV8:PV11)*CELL("contenu",$B$7),COUNTA(PV13:PV13)*CELL("contenu",$B$12),COUNTA(PV15:PV17)*CELL("contenu",$B$14),COUNTA(PV19:PV19)*CELL("contenu",$B$18))))</f>
        <v/>
      </c>
      <c r="PW20" s="183" t="str">
        <f ca="1">IF(COUNTA(PW5:PW19)=0,"",5*SUM(IFERROR((((COUNTIF(PW5:PW6,"A"))*4)+((COUNTIF(PW5:PW6,"B"))*3)+((COUNTIF(PW5:PW6,"C"))*2)+((COUNTIF(PW5:PW6,"D"))*1))*CELL("contenu",$B$4),0),IFERROR((((COUNTIF(PW8:PW11,"A"))*4)+((COUNTIF(PW8:PW11,"B"))*3)+((COUNTIF(PW8:PW11,"C"))*2)+((COUNTIF(PW8:PW11,"D"))*1))*CELL("contenu",$B$7),0),IFERROR((((COUNTIF(PW13:PW13,"A"))*4)+((COUNTIF(PW13:PW13,"B"))*3)+((COUNTIF(PW13:PW13,"C"))*2)+((COUNTIF(PW13:PW13,"D"))*1))*CELL("contenu",$B$12),0),IFERROR((((COUNTIF(PW15:PW17,"A"))*4)+((COUNTIF(PW15:PW17,"B"))*3)+((COUNTIF(PW15:PW17,"C"))*2)+((COUNTIF(PW15:PW17,"D"))*1))*CELL("contenu",$B$14),0),IFERROR((((COUNTIF(PW19:PW19,"A"))*4)+((COUNTIF(PW19:PW19,"B"))*3)+((COUNTIF(PW19:PW19,"C"))*2)+((COUNTIF(PW19:PW19,"D"))*1))*CELL("contenu",$B$18),0))/IF(SUM(COUNTA(PW5:PW6)*CELL("contenu",$B$4),COUNTA(PW8:PW11)*CELL("contenu",$B$7),COUNTA(PW13:PW13)*CELL("contenu",$B$12),COUNTA(PW15:PW17)*CELL("contenu",$B$14),COUNTA(PW19:PW19)*CELL("contenu",$B$18))=0,1,SUM(COUNTA(PW5:PW6)*CELL("contenu",$B$4),COUNTA(PW8:PW11)*CELL("contenu",$B$7),COUNTA(PW13:PW13)*CELL("contenu",$B$12),COUNTA(PW15:PW17)*CELL("contenu",$B$14),COUNTA(PW19:PW19)*CELL("contenu",$B$18))))</f>
        <v/>
      </c>
      <c r="PX20" s="184" t="str">
        <f ca="1">IF(COUNTA(PX5:PX19)=0,"",5*SUM(IFERROR((((COUNTIF(PX5:PX6,"A"))*4)+((COUNTIF(PX5:PX6,"B"))*3)+((COUNTIF(PX5:PX6,"C"))*2)+((COUNTIF(PX5:PX6,"D"))*1))*CELL("contenu",$B$4),0),IFERROR((((COUNTIF(PX8:PX11,"A"))*4)+((COUNTIF(PX8:PX11,"B"))*3)+((COUNTIF(PX8:PX11,"C"))*2)+((COUNTIF(PX8:PX11,"D"))*1))*CELL("contenu",$B$7),0),IFERROR((((COUNTIF(PX13:PX13,"A"))*4)+((COUNTIF(PX13:PX13,"B"))*3)+((COUNTIF(PX13:PX13,"C"))*2)+((COUNTIF(PX13:PX13,"D"))*1))*CELL("contenu",$B$12),0),IFERROR((((COUNTIF(PX15:PX17,"A"))*4)+((COUNTIF(PX15:PX17,"B"))*3)+((COUNTIF(PX15:PX17,"C"))*2)+((COUNTIF(PX15:PX17,"D"))*1))*CELL("contenu",$B$14),0),IFERROR((((COUNTIF(PX19:PX19,"A"))*4)+((COUNTIF(PX19:PX19,"B"))*3)+((COUNTIF(PX19:PX19,"C"))*2)+((COUNTIF(PX19:PX19,"D"))*1))*CELL("contenu",$B$18),0))/IF(SUM(COUNTA(PX5:PX6)*CELL("contenu",$B$4),COUNTA(PX8:PX11)*CELL("contenu",$B$7),COUNTA(PX13:PX13)*CELL("contenu",$B$12),COUNTA(PX15:PX17)*CELL("contenu",$B$14),COUNTA(PX19:PX19)*CELL("contenu",$B$18))=0,1,SUM(COUNTA(PX5:PX6)*CELL("contenu",$B$4),COUNTA(PX8:PX11)*CELL("contenu",$B$7),COUNTA(PX13:PX13)*CELL("contenu",$B$12),COUNTA(PX15:PX17)*CELL("contenu",$B$14),COUNTA(PX19:PX19)*CELL("contenu",$B$18))))</f>
        <v/>
      </c>
      <c r="PY20" s="176"/>
      <c r="PZ20" s="174" t="str">
        <f ca="1">IF(COUNTA(PV20:PX20)-COUNTBLANK(PV20:PX20)=0,"",SUM(PV20:PX20)/(COUNTA(PV20:PX20)-COUNTBLANK(PV20:PX20)))</f>
        <v/>
      </c>
      <c r="QA20" s="103"/>
      <c r="QB20" s="141"/>
      <c r="QC20" s="167">
        <f ca="1">IF(COUNTA(QC5:QC19)=0,"",5*SUM(IFERROR((((COUNTIF(QC5:QC6,"A"))*4)+((COUNTIF(QC5:QC6,"B"))*3)+((COUNTIF(QC5:QC6,"C"))*2)+((COUNTIF(QC5:QC6,"D"))*1))*CELL("contenu",$B$4),0),IFERROR((((COUNTIF(QC8:QC11,"A"))*4)+((COUNTIF(QC8:QC11,"B"))*3)+((COUNTIF(QC8:QC11,"C"))*2)+((COUNTIF(QC8:QC11,"D"))*1))*CELL("contenu",$B$7),0),IFERROR((((COUNTIF(QC13:QC13,"A"))*4)+((COUNTIF(QC13:QC13,"B"))*3)+((COUNTIF(QC13:QC13,"C"))*2)+((COUNTIF(QC13:QC13,"D"))*1))*CELL("contenu",$B$12),0),IFERROR((((COUNTIF(QC15:QC17,"A"))*4)+((COUNTIF(QC15:QC17,"B"))*3)+((COUNTIF(QC15:QC17,"C"))*2)+((COUNTIF(QC15:QC17,"D"))*1))*CELL("contenu",$B$14),0),IFERROR((((COUNTIF(QC19:QC19,"A"))*4)+((COUNTIF(QC19:QC19,"B"))*3)+((COUNTIF(QC19:QC19,"C"))*2)+((COUNTIF(QC19:QC19,"D"))*1))*CELL("contenu",$B$18),0))/IF(SUM(COUNTA(QC5:QC6)*CELL("contenu",$B$4),COUNTA(QC8:QC11)*CELL("contenu",$B$7),COUNTA(QC13:QC13)*CELL("contenu",$B$12),COUNTA(QC15:QC17)*CELL("contenu",$B$14),COUNTA(QC19:QC19)*CELL("contenu",$B$18))=0,1,SUM(COUNTA(QC5:QC6)*CELL("contenu",$B$4),COUNTA(QC8:QC11)*CELL("contenu",$B$7),COUNTA(QC13:QC13)*CELL("contenu",$B$12),COUNTA(QC15:QC17)*CELL("contenu",$B$14),COUNTA(QC19:QC19)*CELL("contenu",$B$18))))</f>
        <v>15</v>
      </c>
      <c r="QD20" s="168">
        <f ca="1">IF(COUNTA(QD5:QD19)=0,"",5*SUM(IFERROR((((COUNTIF(QD5:QD6,"A"))*4)+((COUNTIF(QD5:QD6,"B"))*3)+((COUNTIF(QD5:QD6,"C"))*2)+((COUNTIF(QD5:QD6,"D"))*1))*CELL("contenu",$B$4),0),IFERROR((((COUNTIF(QD8:QD11,"A"))*4)+((COUNTIF(QD8:QD11,"B"))*3)+((COUNTIF(QD8:QD11,"C"))*2)+((COUNTIF(QD8:QD11,"D"))*1))*CELL("contenu",$B$7),0),IFERROR((((COUNTIF(QD13:QD13,"A"))*4)+((COUNTIF(QD13:QD13,"B"))*3)+((COUNTIF(QD13:QD13,"C"))*2)+((COUNTIF(QD13:QD13,"D"))*1))*CELL("contenu",$B$12),0),IFERROR((((COUNTIF(QD15:QD17,"A"))*4)+((COUNTIF(QD15:QD17,"B"))*3)+((COUNTIF(QD15:QD17,"C"))*2)+((COUNTIF(QD15:QD17,"D"))*1))*CELL("contenu",$B$14),0),IFERROR((((COUNTIF(QD19:QD19,"A"))*4)+((COUNTIF(QD19:QD19,"B"))*3)+((COUNTIF(QD19:QD19,"C"))*2)+((COUNTIF(QD19:QD19,"D"))*1))*CELL("contenu",$B$18),0))/IF(SUM(COUNTA(QD5:QD6)*CELL("contenu",$B$4),COUNTA(QD8:QD11)*CELL("contenu",$B$7),COUNTA(QD13:QD13)*CELL("contenu",$B$12),COUNTA(QD15:QD17)*CELL("contenu",$B$14),COUNTA(QD19:QD19)*CELL("contenu",$B$18))=0,1,SUM(COUNTA(QD5:QD6)*CELL("contenu",$B$4),COUNTA(QD8:QD11)*CELL("contenu",$B$7),COUNTA(QD13:QD13)*CELL("contenu",$B$12),COUNTA(QD15:QD17)*CELL("contenu",$B$14),COUNTA(QD19:QD19)*CELL("contenu",$B$18))))</f>
        <v>20</v>
      </c>
      <c r="QE20" s="169" t="str">
        <f ca="1">IF(COUNTA(QE5:QE19)=0,"",5*SUM(IFERROR((((COUNTIF(QE5:QE6,"A"))*4)+((COUNTIF(QE5:QE6,"B"))*3)+((COUNTIF(QE5:QE6,"C"))*2)+((COUNTIF(QE5:QE6,"D"))*1))*CELL("contenu",$B$4),0),IFERROR((((COUNTIF(QE8:QE11,"A"))*4)+((COUNTIF(QE8:QE11,"B"))*3)+((COUNTIF(QE8:QE11,"C"))*2)+((COUNTIF(QE8:QE11,"D"))*1))*CELL("contenu",$B$7),0),IFERROR((((COUNTIF(QE13:QE13,"A"))*4)+((COUNTIF(QE13:QE13,"B"))*3)+((COUNTIF(QE13:QE13,"C"))*2)+((COUNTIF(QE13:QE13,"D"))*1))*CELL("contenu",$B$12),0),IFERROR((((COUNTIF(QE15:QE17,"A"))*4)+((COUNTIF(QE15:QE17,"B"))*3)+((COUNTIF(QE15:QE17,"C"))*2)+((COUNTIF(QE15:QE17,"D"))*1))*CELL("contenu",$B$14),0),IFERROR((((COUNTIF(QE19:QE19,"A"))*4)+((COUNTIF(QE19:QE19,"B"))*3)+((COUNTIF(QE19:QE19,"C"))*2)+((COUNTIF(QE19:QE19,"D"))*1))*CELL("contenu",$B$18),0))/IF(SUM(COUNTA(QE5:QE6)*CELL("contenu",$B$4),COUNTA(QE8:QE11)*CELL("contenu",$B$7),COUNTA(QE13:QE13)*CELL("contenu",$B$12),COUNTA(QE15:QE17)*CELL("contenu",$B$14),COUNTA(QE19:QE19)*CELL("contenu",$B$18))=0,1,SUM(COUNTA(QE5:QE6)*CELL("contenu",$B$4),COUNTA(QE8:QE11)*CELL("contenu",$B$7),COUNTA(QE13:QE13)*CELL("contenu",$B$12),COUNTA(QE15:QE17)*CELL("contenu",$B$14),COUNTA(QE19:QE19)*CELL("contenu",$B$18))))</f>
        <v/>
      </c>
      <c r="QF20" s="116"/>
      <c r="QG20" s="192">
        <f ca="1">IF(COUNTA(QC20:QE20)-COUNTBLANK(QC20:QE20)=0,"",SUM(QC20:QE20)/(COUNTA(QC20:QE20)-COUNTBLANK(QC20:QE20)))</f>
        <v>17.5</v>
      </c>
      <c r="QH20" s="182" t="str">
        <f ca="1">IF(COUNTA(QH5:QH19)=0,"",5*SUM(IFERROR((((COUNTIF(QH5:QH6,"A"))*4)+((COUNTIF(QH5:QH6,"B"))*3)+((COUNTIF(QH5:QH6,"C"))*2)+((COUNTIF(QH5:QH6,"D"))*1))*CELL("contenu",$B$4),0),IFERROR((((COUNTIF(QH8:QH11,"A"))*4)+((COUNTIF(QH8:QH11,"B"))*3)+((COUNTIF(QH8:QH11,"C"))*2)+((COUNTIF(QH8:QH11,"D"))*1))*CELL("contenu",$B$7),0),IFERROR((((COUNTIF(QH13:QH13,"A"))*4)+((COUNTIF(QH13:QH13,"B"))*3)+((COUNTIF(QH13:QH13,"C"))*2)+((COUNTIF(QH13:QH13,"D"))*1))*CELL("contenu",$B$12),0),IFERROR((((COUNTIF(QH15:QH17,"A"))*4)+((COUNTIF(QH15:QH17,"B"))*3)+((COUNTIF(QH15:QH17,"C"))*2)+((COUNTIF(QH15:QH17,"D"))*1))*CELL("contenu",$B$14),0),IFERROR((((COUNTIF(QH19:QH19,"A"))*4)+((COUNTIF(QH19:QH19,"B"))*3)+((COUNTIF(QH19:QH19,"C"))*2)+((COUNTIF(QH19:QH19,"D"))*1))*CELL("contenu",$B$18),0))/IF(SUM(COUNTA(QH5:QH6)*CELL("contenu",$B$4),COUNTA(QH8:QH11)*CELL("contenu",$B$7),COUNTA(QH13:QH13)*CELL("contenu",$B$12),COUNTA(QH15:QH17)*CELL("contenu",$B$14),COUNTA(QH19:QH19)*CELL("contenu",$B$18))=0,1,SUM(COUNTA(QH5:QH6)*CELL("contenu",$B$4),COUNTA(QH8:QH11)*CELL("contenu",$B$7),COUNTA(QH13:QH13)*CELL("contenu",$B$12),COUNTA(QH15:QH17)*CELL("contenu",$B$14),COUNTA(QH19:QH19)*CELL("contenu",$B$18))))</f>
        <v/>
      </c>
      <c r="QI20" s="183" t="str">
        <f ca="1">IF(COUNTA(QI5:QI19)=0,"",5*SUM(IFERROR((((COUNTIF(QI5:QI6,"A"))*4)+((COUNTIF(QI5:QI6,"B"))*3)+((COUNTIF(QI5:QI6,"C"))*2)+((COUNTIF(QI5:QI6,"D"))*1))*CELL("contenu",$B$4),0),IFERROR((((COUNTIF(QI8:QI11,"A"))*4)+((COUNTIF(QI8:QI11,"B"))*3)+((COUNTIF(QI8:QI11,"C"))*2)+((COUNTIF(QI8:QI11,"D"))*1))*CELL("contenu",$B$7),0),IFERROR((((COUNTIF(QI13:QI13,"A"))*4)+((COUNTIF(QI13:QI13,"B"))*3)+((COUNTIF(QI13:QI13,"C"))*2)+((COUNTIF(QI13:QI13,"D"))*1))*CELL("contenu",$B$12),0),IFERROR((((COUNTIF(QI15:QI17,"A"))*4)+((COUNTIF(QI15:QI17,"B"))*3)+((COUNTIF(QI15:QI17,"C"))*2)+((COUNTIF(QI15:QI17,"D"))*1))*CELL("contenu",$B$14),0),IFERROR((((COUNTIF(QI19:QI19,"A"))*4)+((COUNTIF(QI19:QI19,"B"))*3)+((COUNTIF(QI19:QI19,"C"))*2)+((COUNTIF(QI19:QI19,"D"))*1))*CELL("contenu",$B$18),0))/IF(SUM(COUNTA(QI5:QI6)*CELL("contenu",$B$4),COUNTA(QI8:QI11)*CELL("contenu",$B$7),COUNTA(QI13:QI13)*CELL("contenu",$B$12),COUNTA(QI15:QI17)*CELL("contenu",$B$14),COUNTA(QI19:QI19)*CELL("contenu",$B$18))=0,1,SUM(COUNTA(QI5:QI6)*CELL("contenu",$B$4),COUNTA(QI8:QI11)*CELL("contenu",$B$7),COUNTA(QI13:QI13)*CELL("contenu",$B$12),COUNTA(QI15:QI17)*CELL("contenu",$B$14),COUNTA(QI19:QI19)*CELL("contenu",$B$18))))</f>
        <v/>
      </c>
      <c r="QJ20" s="184" t="str">
        <f ca="1">IF(COUNTA(QJ5:QJ19)=0,"",5*SUM(IFERROR((((COUNTIF(QJ5:QJ6,"A"))*4)+((COUNTIF(QJ5:QJ6,"B"))*3)+((COUNTIF(QJ5:QJ6,"C"))*2)+((COUNTIF(QJ5:QJ6,"D"))*1))*CELL("contenu",$B$4),0),IFERROR((((COUNTIF(QJ8:QJ11,"A"))*4)+((COUNTIF(QJ8:QJ11,"B"))*3)+((COUNTIF(QJ8:QJ11,"C"))*2)+((COUNTIF(QJ8:QJ11,"D"))*1))*CELL("contenu",$B$7),0),IFERROR((((COUNTIF(QJ13:QJ13,"A"))*4)+((COUNTIF(QJ13:QJ13,"B"))*3)+((COUNTIF(QJ13:QJ13,"C"))*2)+((COUNTIF(QJ13:QJ13,"D"))*1))*CELL("contenu",$B$12),0),IFERROR((((COUNTIF(QJ15:QJ17,"A"))*4)+((COUNTIF(QJ15:QJ17,"B"))*3)+((COUNTIF(QJ15:QJ17,"C"))*2)+((COUNTIF(QJ15:QJ17,"D"))*1))*CELL("contenu",$B$14),0),IFERROR((((COUNTIF(QJ19:QJ19,"A"))*4)+((COUNTIF(QJ19:QJ19,"B"))*3)+((COUNTIF(QJ19:QJ19,"C"))*2)+((COUNTIF(QJ19:QJ19,"D"))*1))*CELL("contenu",$B$18),0))/IF(SUM(COUNTA(QJ5:QJ6)*CELL("contenu",$B$4),COUNTA(QJ8:QJ11)*CELL("contenu",$B$7),COUNTA(QJ13:QJ13)*CELL("contenu",$B$12),COUNTA(QJ15:QJ17)*CELL("contenu",$B$14),COUNTA(QJ19:QJ19)*CELL("contenu",$B$18))=0,1,SUM(COUNTA(QJ5:QJ6)*CELL("contenu",$B$4),COUNTA(QJ8:QJ11)*CELL("contenu",$B$7),COUNTA(QJ13:QJ13)*CELL("contenu",$B$12),COUNTA(QJ15:QJ17)*CELL("contenu",$B$14),COUNTA(QJ19:QJ19)*CELL("contenu",$B$18))))</f>
        <v/>
      </c>
      <c r="QK20" s="176"/>
      <c r="QL20" s="175" t="str">
        <f ca="1">IF(COUNTA(QH20:QJ20)-COUNTBLANK(QH20:QJ20)=0,"",SUM(QH20:QJ20)/(COUNTA(QH20:QJ20)-COUNTBLANK(QH20:QJ20)))</f>
        <v/>
      </c>
      <c r="QM20" s="182" t="str">
        <f ca="1">IF(COUNTA(QM5:QM19)=0,"",5*SUM(IFERROR((((COUNTIF(QM5:QM6,"A"))*4)+((COUNTIF(QM5:QM6,"B"))*3)+((COUNTIF(QM5:QM6,"C"))*2)+((COUNTIF(QM5:QM6,"D"))*1))*CELL("contenu",$B$4),0),IFERROR((((COUNTIF(QM8:QM11,"A"))*4)+((COUNTIF(QM8:QM11,"B"))*3)+((COUNTIF(QM8:QM11,"C"))*2)+((COUNTIF(QM8:QM11,"D"))*1))*CELL("contenu",$B$7),0),IFERROR((((COUNTIF(QM13:QM13,"A"))*4)+((COUNTIF(QM13:QM13,"B"))*3)+((COUNTIF(QM13:QM13,"C"))*2)+((COUNTIF(QM13:QM13,"D"))*1))*CELL("contenu",$B$12),0),IFERROR((((COUNTIF(QM15:QM17,"A"))*4)+((COUNTIF(QM15:QM17,"B"))*3)+((COUNTIF(QM15:QM17,"C"))*2)+((COUNTIF(QM15:QM17,"D"))*1))*CELL("contenu",$B$14),0),IFERROR((((COUNTIF(QM19:QM19,"A"))*4)+((COUNTIF(QM19:QM19,"B"))*3)+((COUNTIF(QM19:QM19,"C"))*2)+((COUNTIF(QM19:QM19,"D"))*1))*CELL("contenu",$B$18),0))/IF(SUM(COUNTA(QM5:QM6)*CELL("contenu",$B$4),COUNTA(QM8:QM11)*CELL("contenu",$B$7),COUNTA(QM13:QM13)*CELL("contenu",$B$12),COUNTA(QM15:QM17)*CELL("contenu",$B$14),COUNTA(QM19:QM19)*CELL("contenu",$B$18))=0,1,SUM(COUNTA(QM5:QM6)*CELL("contenu",$B$4),COUNTA(QM8:QM11)*CELL("contenu",$B$7),COUNTA(QM13:QM13)*CELL("contenu",$B$12),COUNTA(QM15:QM17)*CELL("contenu",$B$14),COUNTA(QM19:QM19)*CELL("contenu",$B$18))))</f>
        <v/>
      </c>
      <c r="QN20" s="183" t="str">
        <f ca="1">IF(COUNTA(QN5:QN19)=0,"",5*SUM(IFERROR((((COUNTIF(QN5:QN6,"A"))*4)+((COUNTIF(QN5:QN6,"B"))*3)+((COUNTIF(QN5:QN6,"C"))*2)+((COUNTIF(QN5:QN6,"D"))*1))*CELL("contenu",$B$4),0),IFERROR((((COUNTIF(QN8:QN11,"A"))*4)+((COUNTIF(QN8:QN11,"B"))*3)+((COUNTIF(QN8:QN11,"C"))*2)+((COUNTIF(QN8:QN11,"D"))*1))*CELL("contenu",$B$7),0),IFERROR((((COUNTIF(QN13:QN13,"A"))*4)+((COUNTIF(QN13:QN13,"B"))*3)+((COUNTIF(QN13:QN13,"C"))*2)+((COUNTIF(QN13:QN13,"D"))*1))*CELL("contenu",$B$12),0),IFERROR((((COUNTIF(QN15:QN17,"A"))*4)+((COUNTIF(QN15:QN17,"B"))*3)+((COUNTIF(QN15:QN17,"C"))*2)+((COUNTIF(QN15:QN17,"D"))*1))*CELL("contenu",$B$14),0),IFERROR((((COUNTIF(QN19:QN19,"A"))*4)+((COUNTIF(QN19:QN19,"B"))*3)+((COUNTIF(QN19:QN19,"C"))*2)+((COUNTIF(QN19:QN19,"D"))*1))*CELL("contenu",$B$18),0))/IF(SUM(COUNTA(QN5:QN6)*CELL("contenu",$B$4),COUNTA(QN8:QN11)*CELL("contenu",$B$7),COUNTA(QN13:QN13)*CELL("contenu",$B$12),COUNTA(QN15:QN17)*CELL("contenu",$B$14),COUNTA(QN19:QN19)*CELL("contenu",$B$18))=0,1,SUM(COUNTA(QN5:QN6)*CELL("contenu",$B$4),COUNTA(QN8:QN11)*CELL("contenu",$B$7),COUNTA(QN13:QN13)*CELL("contenu",$B$12),COUNTA(QN15:QN17)*CELL("contenu",$B$14),COUNTA(QN19:QN19)*CELL("contenu",$B$18))))</f>
        <v/>
      </c>
      <c r="QO20" s="184" t="str">
        <f ca="1">IF(COUNTA(QO5:QO19)=0,"",5*SUM(IFERROR((((COUNTIF(QO5:QO6,"A"))*4)+((COUNTIF(QO5:QO6,"B"))*3)+((COUNTIF(QO5:QO6,"C"))*2)+((COUNTIF(QO5:QO6,"D"))*1))*CELL("contenu",$B$4),0),IFERROR((((COUNTIF(QO8:QO11,"A"))*4)+((COUNTIF(QO8:QO11,"B"))*3)+((COUNTIF(QO8:QO11,"C"))*2)+((COUNTIF(QO8:QO11,"D"))*1))*CELL("contenu",$B$7),0),IFERROR((((COUNTIF(QO13:QO13,"A"))*4)+((COUNTIF(QO13:QO13,"B"))*3)+((COUNTIF(QO13:QO13,"C"))*2)+((COUNTIF(QO13:QO13,"D"))*1))*CELL("contenu",$B$12),0),IFERROR((((COUNTIF(QO15:QO17,"A"))*4)+((COUNTIF(QO15:QO17,"B"))*3)+((COUNTIF(QO15:QO17,"C"))*2)+((COUNTIF(QO15:QO17,"D"))*1))*CELL("contenu",$B$14),0),IFERROR((((COUNTIF(QO19:QO19,"A"))*4)+((COUNTIF(QO19:QO19,"B"))*3)+((COUNTIF(QO19:QO19,"C"))*2)+((COUNTIF(QO19:QO19,"D"))*1))*CELL("contenu",$B$18),0))/IF(SUM(COUNTA(QO5:QO6)*CELL("contenu",$B$4),COUNTA(QO8:QO11)*CELL("contenu",$B$7),COUNTA(QO13:QO13)*CELL("contenu",$B$12),COUNTA(QO15:QO17)*CELL("contenu",$B$14),COUNTA(QO19:QO19)*CELL("contenu",$B$18))=0,1,SUM(COUNTA(QO5:QO6)*CELL("contenu",$B$4),COUNTA(QO8:QO11)*CELL("contenu",$B$7),COUNTA(QO13:QO13)*CELL("contenu",$B$12),COUNTA(QO15:QO17)*CELL("contenu",$B$14),COUNTA(QO19:QO19)*CELL("contenu",$B$18))))</f>
        <v/>
      </c>
      <c r="QP20" s="176"/>
      <c r="QQ20" s="174" t="str">
        <f ca="1">IF(COUNTA(QM20:QO20)-COUNTBLANK(QM20:QO20)=0,"",SUM(QM20:QO20)/(COUNTA(QM20:QO20)-COUNTBLANK(QM20:QO20)))</f>
        <v/>
      </c>
      <c r="QR20" s="103"/>
      <c r="QS20" s="141"/>
      <c r="QT20" s="167">
        <f ca="1">IF(COUNTA(QT5:QT19)=0,"",5*SUM(IFERROR((((COUNTIF(QT5:QT6,"A"))*4)+((COUNTIF(QT5:QT6,"B"))*3)+((COUNTIF(QT5:QT6,"C"))*2)+((COUNTIF(QT5:QT6,"D"))*1))*CELL("contenu",$B$4),0),IFERROR((((COUNTIF(QT8:QT11,"A"))*4)+((COUNTIF(QT8:QT11,"B"))*3)+((COUNTIF(QT8:QT11,"C"))*2)+((COUNTIF(QT8:QT11,"D"))*1))*CELL("contenu",$B$7),0),IFERROR((((COUNTIF(QT13:QT13,"A"))*4)+((COUNTIF(QT13:QT13,"B"))*3)+((COUNTIF(QT13:QT13,"C"))*2)+((COUNTIF(QT13:QT13,"D"))*1))*CELL("contenu",$B$12),0),IFERROR((((COUNTIF(QT15:QT17,"A"))*4)+((COUNTIF(QT15:QT17,"B"))*3)+((COUNTIF(QT15:QT17,"C"))*2)+((COUNTIF(QT15:QT17,"D"))*1))*CELL("contenu",$B$14),0),IFERROR((((COUNTIF(QT19:QT19,"A"))*4)+((COUNTIF(QT19:QT19,"B"))*3)+((COUNTIF(QT19:QT19,"C"))*2)+((COUNTIF(QT19:QT19,"D"))*1))*CELL("contenu",$B$18),0))/IF(SUM(COUNTA(QT5:QT6)*CELL("contenu",$B$4),COUNTA(QT8:QT11)*CELL("contenu",$B$7),COUNTA(QT13:QT13)*CELL("contenu",$B$12),COUNTA(QT15:QT17)*CELL("contenu",$B$14),COUNTA(QT19:QT19)*CELL("contenu",$B$18))=0,1,SUM(COUNTA(QT5:QT6)*CELL("contenu",$B$4),COUNTA(QT8:QT11)*CELL("contenu",$B$7),COUNTA(QT13:QT13)*CELL("contenu",$B$12),COUNTA(QT15:QT17)*CELL("contenu",$B$14),COUNTA(QT19:QT19)*CELL("contenu",$B$18))))</f>
        <v>18.333333333333332</v>
      </c>
      <c r="QU20" s="168">
        <f ca="1">IF(COUNTA(QU5:QU19)=0,"",5*SUM(IFERROR((((COUNTIF(QU5:QU6,"A"))*4)+((COUNTIF(QU5:QU6,"B"))*3)+((COUNTIF(QU5:QU6,"C"))*2)+((COUNTIF(QU5:QU6,"D"))*1))*CELL("contenu",$B$4),0),IFERROR((((COUNTIF(QU8:QU11,"A"))*4)+((COUNTIF(QU8:QU11,"B"))*3)+((COUNTIF(QU8:QU11,"C"))*2)+((COUNTIF(QU8:QU11,"D"))*1))*CELL("contenu",$B$7),0),IFERROR((((COUNTIF(QU13:QU13,"A"))*4)+((COUNTIF(QU13:QU13,"B"))*3)+((COUNTIF(QU13:QU13,"C"))*2)+((COUNTIF(QU13:QU13,"D"))*1))*CELL("contenu",$B$12),0),IFERROR((((COUNTIF(QU15:QU17,"A"))*4)+((COUNTIF(QU15:QU17,"B"))*3)+((COUNTIF(QU15:QU17,"C"))*2)+((COUNTIF(QU15:QU17,"D"))*1))*CELL("contenu",$B$14),0),IFERROR((((COUNTIF(QU19:QU19,"A"))*4)+((COUNTIF(QU19:QU19,"B"))*3)+((COUNTIF(QU19:QU19,"C"))*2)+((COUNTIF(QU19:QU19,"D"))*1))*CELL("contenu",$B$18),0))/IF(SUM(COUNTA(QU5:QU6)*CELL("contenu",$B$4),COUNTA(QU8:QU11)*CELL("contenu",$B$7),COUNTA(QU13:QU13)*CELL("contenu",$B$12),COUNTA(QU15:QU17)*CELL("contenu",$B$14),COUNTA(QU19:QU19)*CELL("contenu",$B$18))=0,1,SUM(COUNTA(QU5:QU6)*CELL("contenu",$B$4),COUNTA(QU8:QU11)*CELL("contenu",$B$7),COUNTA(QU13:QU13)*CELL("contenu",$B$12),COUNTA(QU15:QU17)*CELL("contenu",$B$14),COUNTA(QU19:QU19)*CELL("contenu",$B$18))))</f>
        <v>20</v>
      </c>
      <c r="QV20" s="169" t="str">
        <f ca="1">IF(COUNTA(QV5:QV19)=0,"",5*SUM(IFERROR((((COUNTIF(QV5:QV6,"A"))*4)+((COUNTIF(QV5:QV6,"B"))*3)+((COUNTIF(QV5:QV6,"C"))*2)+((COUNTIF(QV5:QV6,"D"))*1))*CELL("contenu",$B$4),0),IFERROR((((COUNTIF(QV8:QV11,"A"))*4)+((COUNTIF(QV8:QV11,"B"))*3)+((COUNTIF(QV8:QV11,"C"))*2)+((COUNTIF(QV8:QV11,"D"))*1))*CELL("contenu",$B$7),0),IFERROR((((COUNTIF(QV13:QV13,"A"))*4)+((COUNTIF(QV13:QV13,"B"))*3)+((COUNTIF(QV13:QV13,"C"))*2)+((COUNTIF(QV13:QV13,"D"))*1))*CELL("contenu",$B$12),0),IFERROR((((COUNTIF(QV15:QV17,"A"))*4)+((COUNTIF(QV15:QV17,"B"))*3)+((COUNTIF(QV15:QV17,"C"))*2)+((COUNTIF(QV15:QV17,"D"))*1))*CELL("contenu",$B$14),0),IFERROR((((COUNTIF(QV19:QV19,"A"))*4)+((COUNTIF(QV19:QV19,"B"))*3)+((COUNTIF(QV19:QV19,"C"))*2)+((COUNTIF(QV19:QV19,"D"))*1))*CELL("contenu",$B$18),0))/IF(SUM(COUNTA(QV5:QV6)*CELL("contenu",$B$4),COUNTA(QV8:QV11)*CELL("contenu",$B$7),COUNTA(QV13:QV13)*CELL("contenu",$B$12),COUNTA(QV15:QV17)*CELL("contenu",$B$14),COUNTA(QV19:QV19)*CELL("contenu",$B$18))=0,1,SUM(COUNTA(QV5:QV6)*CELL("contenu",$B$4),COUNTA(QV8:QV11)*CELL("contenu",$B$7),COUNTA(QV13:QV13)*CELL("contenu",$B$12),COUNTA(QV15:QV17)*CELL("contenu",$B$14),COUNTA(QV19:QV19)*CELL("contenu",$B$18))))</f>
        <v/>
      </c>
      <c r="QW20" s="116"/>
      <c r="QX20" s="192">
        <f ca="1">IF(COUNTA(QT20:QV20)-COUNTBLANK(QT20:QV20)=0,"",SUM(QT20:QV20)/(COUNTA(QT20:QV20)-COUNTBLANK(QT20:QV20)))</f>
        <v>19.166666666666664</v>
      </c>
      <c r="QY20" s="182" t="str">
        <f ca="1">IF(COUNTA(QY5:QY19)=0,"",5*SUM(IFERROR((((COUNTIF(QY5:QY6,"A"))*4)+((COUNTIF(QY5:QY6,"B"))*3)+((COUNTIF(QY5:QY6,"C"))*2)+((COUNTIF(QY5:QY6,"D"))*1))*CELL("contenu",$B$4),0),IFERROR((((COUNTIF(QY8:QY11,"A"))*4)+((COUNTIF(QY8:QY11,"B"))*3)+((COUNTIF(QY8:QY11,"C"))*2)+((COUNTIF(QY8:QY11,"D"))*1))*CELL("contenu",$B$7),0),IFERROR((((COUNTIF(QY13:QY13,"A"))*4)+((COUNTIF(QY13:QY13,"B"))*3)+((COUNTIF(QY13:QY13,"C"))*2)+((COUNTIF(QY13:QY13,"D"))*1))*CELL("contenu",$B$12),0),IFERROR((((COUNTIF(QY15:QY17,"A"))*4)+((COUNTIF(QY15:QY17,"B"))*3)+((COUNTIF(QY15:QY17,"C"))*2)+((COUNTIF(QY15:QY17,"D"))*1))*CELL("contenu",$B$14),0),IFERROR((((COUNTIF(QY19:QY19,"A"))*4)+((COUNTIF(QY19:QY19,"B"))*3)+((COUNTIF(QY19:QY19,"C"))*2)+((COUNTIF(QY19:QY19,"D"))*1))*CELL("contenu",$B$18),0))/IF(SUM(COUNTA(QY5:QY6)*CELL("contenu",$B$4),COUNTA(QY8:QY11)*CELL("contenu",$B$7),COUNTA(QY13:QY13)*CELL("contenu",$B$12),COUNTA(QY15:QY17)*CELL("contenu",$B$14),COUNTA(QY19:QY19)*CELL("contenu",$B$18))=0,1,SUM(COUNTA(QY5:QY6)*CELL("contenu",$B$4),COUNTA(QY8:QY11)*CELL("contenu",$B$7),COUNTA(QY13:QY13)*CELL("contenu",$B$12),COUNTA(QY15:QY17)*CELL("contenu",$B$14),COUNTA(QY19:QY19)*CELL("contenu",$B$18))))</f>
        <v/>
      </c>
      <c r="QZ20" s="183" t="str">
        <f ca="1">IF(COUNTA(QZ5:QZ19)=0,"",5*SUM(IFERROR((((COUNTIF(QZ5:QZ6,"A"))*4)+((COUNTIF(QZ5:QZ6,"B"))*3)+((COUNTIF(QZ5:QZ6,"C"))*2)+((COUNTIF(QZ5:QZ6,"D"))*1))*CELL("contenu",$B$4),0),IFERROR((((COUNTIF(QZ8:QZ11,"A"))*4)+((COUNTIF(QZ8:QZ11,"B"))*3)+((COUNTIF(QZ8:QZ11,"C"))*2)+((COUNTIF(QZ8:QZ11,"D"))*1))*CELL("contenu",$B$7),0),IFERROR((((COUNTIF(QZ13:QZ13,"A"))*4)+((COUNTIF(QZ13:QZ13,"B"))*3)+((COUNTIF(QZ13:QZ13,"C"))*2)+((COUNTIF(QZ13:QZ13,"D"))*1))*CELL("contenu",$B$12),0),IFERROR((((COUNTIF(QZ15:QZ17,"A"))*4)+((COUNTIF(QZ15:QZ17,"B"))*3)+((COUNTIF(QZ15:QZ17,"C"))*2)+((COUNTIF(QZ15:QZ17,"D"))*1))*CELL("contenu",$B$14),0),IFERROR((((COUNTIF(QZ19:QZ19,"A"))*4)+((COUNTIF(QZ19:QZ19,"B"))*3)+((COUNTIF(QZ19:QZ19,"C"))*2)+((COUNTIF(QZ19:QZ19,"D"))*1))*CELL("contenu",$B$18),0))/IF(SUM(COUNTA(QZ5:QZ6)*CELL("contenu",$B$4),COUNTA(QZ8:QZ11)*CELL("contenu",$B$7),COUNTA(QZ13:QZ13)*CELL("contenu",$B$12),COUNTA(QZ15:QZ17)*CELL("contenu",$B$14),COUNTA(QZ19:QZ19)*CELL("contenu",$B$18))=0,1,SUM(COUNTA(QZ5:QZ6)*CELL("contenu",$B$4),COUNTA(QZ8:QZ11)*CELL("contenu",$B$7),COUNTA(QZ13:QZ13)*CELL("contenu",$B$12),COUNTA(QZ15:QZ17)*CELL("contenu",$B$14),COUNTA(QZ19:QZ19)*CELL("contenu",$B$18))))</f>
        <v/>
      </c>
      <c r="RA20" s="184" t="str">
        <f ca="1">IF(COUNTA(RA5:RA19)=0,"",5*SUM(IFERROR((((COUNTIF(RA5:RA6,"A"))*4)+((COUNTIF(RA5:RA6,"B"))*3)+((COUNTIF(RA5:RA6,"C"))*2)+((COUNTIF(RA5:RA6,"D"))*1))*CELL("contenu",$B$4),0),IFERROR((((COUNTIF(RA8:RA11,"A"))*4)+((COUNTIF(RA8:RA11,"B"))*3)+((COUNTIF(RA8:RA11,"C"))*2)+((COUNTIF(RA8:RA11,"D"))*1))*CELL("contenu",$B$7),0),IFERROR((((COUNTIF(RA13:RA13,"A"))*4)+((COUNTIF(RA13:RA13,"B"))*3)+((COUNTIF(RA13:RA13,"C"))*2)+((COUNTIF(RA13:RA13,"D"))*1))*CELL("contenu",$B$12),0),IFERROR((((COUNTIF(RA15:RA17,"A"))*4)+((COUNTIF(RA15:RA17,"B"))*3)+((COUNTIF(RA15:RA17,"C"))*2)+((COUNTIF(RA15:RA17,"D"))*1))*CELL("contenu",$B$14),0),IFERROR((((COUNTIF(RA19:RA19,"A"))*4)+((COUNTIF(RA19:RA19,"B"))*3)+((COUNTIF(RA19:RA19,"C"))*2)+((COUNTIF(RA19:RA19,"D"))*1))*CELL("contenu",$B$18),0))/IF(SUM(COUNTA(RA5:RA6)*CELL("contenu",$B$4),COUNTA(RA8:RA11)*CELL("contenu",$B$7),COUNTA(RA13:RA13)*CELL("contenu",$B$12),COUNTA(RA15:RA17)*CELL("contenu",$B$14),COUNTA(RA19:RA19)*CELL("contenu",$B$18))=0,1,SUM(COUNTA(RA5:RA6)*CELL("contenu",$B$4),COUNTA(RA8:RA11)*CELL("contenu",$B$7),COUNTA(RA13:RA13)*CELL("contenu",$B$12),COUNTA(RA15:RA17)*CELL("contenu",$B$14),COUNTA(RA19:RA19)*CELL("contenu",$B$18))))</f>
        <v/>
      </c>
      <c r="RB20" s="176"/>
      <c r="RC20" s="175" t="str">
        <f ca="1">IF(COUNTA(QY20:RA20)-COUNTBLANK(QY20:RA20)=0,"",SUM(QY20:RA20)/(COUNTA(QY20:RA20)-COUNTBLANK(QY20:RA20)))</f>
        <v/>
      </c>
      <c r="RD20" s="182" t="str">
        <f ca="1">IF(COUNTA(RD5:RD19)=0,"",5*SUM(IFERROR((((COUNTIF(RD5:RD6,"A"))*4)+((COUNTIF(RD5:RD6,"B"))*3)+((COUNTIF(RD5:RD6,"C"))*2)+((COUNTIF(RD5:RD6,"D"))*1))*CELL("contenu",$B$4),0),IFERROR((((COUNTIF(RD8:RD11,"A"))*4)+((COUNTIF(RD8:RD11,"B"))*3)+((COUNTIF(RD8:RD11,"C"))*2)+((COUNTIF(RD8:RD11,"D"))*1))*CELL("contenu",$B$7),0),IFERROR((((COUNTIF(RD13:RD13,"A"))*4)+((COUNTIF(RD13:RD13,"B"))*3)+((COUNTIF(RD13:RD13,"C"))*2)+((COUNTIF(RD13:RD13,"D"))*1))*CELL("contenu",$B$12),0),IFERROR((((COUNTIF(RD15:RD17,"A"))*4)+((COUNTIF(RD15:RD17,"B"))*3)+((COUNTIF(RD15:RD17,"C"))*2)+((COUNTIF(RD15:RD17,"D"))*1))*CELL("contenu",$B$14),0),IFERROR((((COUNTIF(RD19:RD19,"A"))*4)+((COUNTIF(RD19:RD19,"B"))*3)+((COUNTIF(RD19:RD19,"C"))*2)+((COUNTIF(RD19:RD19,"D"))*1))*CELL("contenu",$B$18),0))/IF(SUM(COUNTA(RD5:RD6)*CELL("contenu",$B$4),COUNTA(RD8:RD11)*CELL("contenu",$B$7),COUNTA(RD13:RD13)*CELL("contenu",$B$12),COUNTA(RD15:RD17)*CELL("contenu",$B$14),COUNTA(RD19:RD19)*CELL("contenu",$B$18))=0,1,SUM(COUNTA(RD5:RD6)*CELL("contenu",$B$4),COUNTA(RD8:RD11)*CELL("contenu",$B$7),COUNTA(RD13:RD13)*CELL("contenu",$B$12),COUNTA(RD15:RD17)*CELL("contenu",$B$14),COUNTA(RD19:RD19)*CELL("contenu",$B$18))))</f>
        <v/>
      </c>
      <c r="RE20" s="183" t="str">
        <f ca="1">IF(COUNTA(RE5:RE19)=0,"",5*SUM(IFERROR((((COUNTIF(RE5:RE6,"A"))*4)+((COUNTIF(RE5:RE6,"B"))*3)+((COUNTIF(RE5:RE6,"C"))*2)+((COUNTIF(RE5:RE6,"D"))*1))*CELL("contenu",$B$4),0),IFERROR((((COUNTIF(RE8:RE11,"A"))*4)+((COUNTIF(RE8:RE11,"B"))*3)+((COUNTIF(RE8:RE11,"C"))*2)+((COUNTIF(RE8:RE11,"D"))*1))*CELL("contenu",$B$7),0),IFERROR((((COUNTIF(RE13:RE13,"A"))*4)+((COUNTIF(RE13:RE13,"B"))*3)+((COUNTIF(RE13:RE13,"C"))*2)+((COUNTIF(RE13:RE13,"D"))*1))*CELL("contenu",$B$12),0),IFERROR((((COUNTIF(RE15:RE17,"A"))*4)+((COUNTIF(RE15:RE17,"B"))*3)+((COUNTIF(RE15:RE17,"C"))*2)+((COUNTIF(RE15:RE17,"D"))*1))*CELL("contenu",$B$14),0),IFERROR((((COUNTIF(RE19:RE19,"A"))*4)+((COUNTIF(RE19:RE19,"B"))*3)+((COUNTIF(RE19:RE19,"C"))*2)+((COUNTIF(RE19:RE19,"D"))*1))*CELL("contenu",$B$18),0))/IF(SUM(COUNTA(RE5:RE6)*CELL("contenu",$B$4),COUNTA(RE8:RE11)*CELL("contenu",$B$7),COUNTA(RE13:RE13)*CELL("contenu",$B$12),COUNTA(RE15:RE17)*CELL("contenu",$B$14),COUNTA(RE19:RE19)*CELL("contenu",$B$18))=0,1,SUM(COUNTA(RE5:RE6)*CELL("contenu",$B$4),COUNTA(RE8:RE11)*CELL("contenu",$B$7),COUNTA(RE13:RE13)*CELL("contenu",$B$12),COUNTA(RE15:RE17)*CELL("contenu",$B$14),COUNTA(RE19:RE19)*CELL("contenu",$B$18))))</f>
        <v/>
      </c>
      <c r="RF20" s="184" t="str">
        <f ca="1">IF(COUNTA(RF5:RF19)=0,"",5*SUM(IFERROR((((COUNTIF(RF5:RF6,"A"))*4)+((COUNTIF(RF5:RF6,"B"))*3)+((COUNTIF(RF5:RF6,"C"))*2)+((COUNTIF(RF5:RF6,"D"))*1))*CELL("contenu",$B$4),0),IFERROR((((COUNTIF(RF8:RF11,"A"))*4)+((COUNTIF(RF8:RF11,"B"))*3)+((COUNTIF(RF8:RF11,"C"))*2)+((COUNTIF(RF8:RF11,"D"))*1))*CELL("contenu",$B$7),0),IFERROR((((COUNTIF(RF13:RF13,"A"))*4)+((COUNTIF(RF13:RF13,"B"))*3)+((COUNTIF(RF13:RF13,"C"))*2)+((COUNTIF(RF13:RF13,"D"))*1))*CELL("contenu",$B$12),0),IFERROR((((COUNTIF(RF15:RF17,"A"))*4)+((COUNTIF(RF15:RF17,"B"))*3)+((COUNTIF(RF15:RF17,"C"))*2)+((COUNTIF(RF15:RF17,"D"))*1))*CELL("contenu",$B$14),0),IFERROR((((COUNTIF(RF19:RF19,"A"))*4)+((COUNTIF(RF19:RF19,"B"))*3)+((COUNTIF(RF19:RF19,"C"))*2)+((COUNTIF(RF19:RF19,"D"))*1))*CELL("contenu",$B$18),0))/IF(SUM(COUNTA(RF5:RF6)*CELL("contenu",$B$4),COUNTA(RF8:RF11)*CELL("contenu",$B$7),COUNTA(RF13:RF13)*CELL("contenu",$B$12),COUNTA(RF15:RF17)*CELL("contenu",$B$14),COUNTA(RF19:RF19)*CELL("contenu",$B$18))=0,1,SUM(COUNTA(RF5:RF6)*CELL("contenu",$B$4),COUNTA(RF8:RF11)*CELL("contenu",$B$7),COUNTA(RF13:RF13)*CELL("contenu",$B$12),COUNTA(RF15:RF17)*CELL("contenu",$B$14),COUNTA(RF19:RF19)*CELL("contenu",$B$18))))</f>
        <v/>
      </c>
      <c r="RG20" s="176"/>
      <c r="RH20" s="174" t="str">
        <f ca="1">IF(COUNTA(RD20:RF20)-COUNTBLANK(RD20:RF20)=0,"",SUM(RD20:RF20)/(COUNTA(RD20:RF20)-COUNTBLANK(RD20:RF20)))</f>
        <v/>
      </c>
      <c r="RI20" s="103"/>
      <c r="RJ20" s="141"/>
      <c r="RK20" s="167" t="str">
        <f ca="1">IF(COUNTA(RK5:RK19)=0,"",5*SUM(IFERROR((((COUNTIF(RK5:RK6,"A"))*4)+((COUNTIF(RK5:RK6,"B"))*3)+((COUNTIF(RK5:RK6,"C"))*2)+((COUNTIF(RK5:RK6,"D"))*1))*CELL("contenu",$B$4),0),IFERROR((((COUNTIF(RK8:RK11,"A"))*4)+((COUNTIF(RK8:RK11,"B"))*3)+((COUNTIF(RK8:RK11,"C"))*2)+((COUNTIF(RK8:RK11,"D"))*1))*CELL("contenu",$B$7),0),IFERROR((((COUNTIF(RK13:RK13,"A"))*4)+((COUNTIF(RK13:RK13,"B"))*3)+((COUNTIF(RK13:RK13,"C"))*2)+((COUNTIF(RK13:RK13,"D"))*1))*CELL("contenu",$B$12),0),IFERROR((((COUNTIF(RK15:RK17,"A"))*4)+((COUNTIF(RK15:RK17,"B"))*3)+((COUNTIF(RK15:RK17,"C"))*2)+((COUNTIF(RK15:RK17,"D"))*1))*CELL("contenu",$B$14),0),IFERROR((((COUNTIF(RK19:RK19,"A"))*4)+((COUNTIF(RK19:RK19,"B"))*3)+((COUNTIF(RK19:RK19,"C"))*2)+((COUNTIF(RK19:RK19,"D"))*1))*CELL("contenu",$B$18),0))/IF(SUM(COUNTA(RK5:RK6)*CELL("contenu",$B$4),COUNTA(RK8:RK11)*CELL("contenu",$B$7),COUNTA(RK13:RK13)*CELL("contenu",$B$12),COUNTA(RK15:RK17)*CELL("contenu",$B$14),COUNTA(RK19:RK19)*CELL("contenu",$B$18))=0,1,SUM(COUNTA(RK5:RK6)*CELL("contenu",$B$4),COUNTA(RK8:RK11)*CELL("contenu",$B$7),COUNTA(RK13:RK13)*CELL("contenu",$B$12),COUNTA(RK15:RK17)*CELL("contenu",$B$14),COUNTA(RK19:RK19)*CELL("contenu",$B$18))))</f>
        <v/>
      </c>
      <c r="RL20" s="168" t="str">
        <f ca="1">IF(COUNTA(RL5:RL19)=0,"",5*SUM(IFERROR((((COUNTIF(RL5:RL6,"A"))*4)+((COUNTIF(RL5:RL6,"B"))*3)+((COUNTIF(RL5:RL6,"C"))*2)+((COUNTIF(RL5:RL6,"D"))*1))*CELL("contenu",$B$4),0),IFERROR((((COUNTIF(RL8:RL11,"A"))*4)+((COUNTIF(RL8:RL11,"B"))*3)+((COUNTIF(RL8:RL11,"C"))*2)+((COUNTIF(RL8:RL11,"D"))*1))*CELL("contenu",$B$7),0),IFERROR((((COUNTIF(RL13:RL13,"A"))*4)+((COUNTIF(RL13:RL13,"B"))*3)+((COUNTIF(RL13:RL13,"C"))*2)+((COUNTIF(RL13:RL13,"D"))*1))*CELL("contenu",$B$12),0),IFERROR((((COUNTIF(RL15:RL17,"A"))*4)+((COUNTIF(RL15:RL17,"B"))*3)+((COUNTIF(RL15:RL17,"C"))*2)+((COUNTIF(RL15:RL17,"D"))*1))*CELL("contenu",$B$14),0),IFERROR((((COUNTIF(RL19:RL19,"A"))*4)+((COUNTIF(RL19:RL19,"B"))*3)+((COUNTIF(RL19:RL19,"C"))*2)+((COUNTIF(RL19:RL19,"D"))*1))*CELL("contenu",$B$18),0))/IF(SUM(COUNTA(RL5:RL6)*CELL("contenu",$B$4),COUNTA(RL8:RL11)*CELL("contenu",$B$7),COUNTA(RL13:RL13)*CELL("contenu",$B$12),COUNTA(RL15:RL17)*CELL("contenu",$B$14),COUNTA(RL19:RL19)*CELL("contenu",$B$18))=0,1,SUM(COUNTA(RL5:RL6)*CELL("contenu",$B$4),COUNTA(RL8:RL11)*CELL("contenu",$B$7),COUNTA(RL13:RL13)*CELL("contenu",$B$12),COUNTA(RL15:RL17)*CELL("contenu",$B$14),COUNTA(RL19:RL19)*CELL("contenu",$B$18))))</f>
        <v/>
      </c>
      <c r="RM20" s="169" t="str">
        <f ca="1">IF(COUNTA(RM5:RM19)=0,"",5*SUM(IFERROR((((COUNTIF(RM5:RM6,"A"))*4)+((COUNTIF(RM5:RM6,"B"))*3)+((COUNTIF(RM5:RM6,"C"))*2)+((COUNTIF(RM5:RM6,"D"))*1))*CELL("contenu",$B$4),0),IFERROR((((COUNTIF(RM8:RM11,"A"))*4)+((COUNTIF(RM8:RM11,"B"))*3)+((COUNTIF(RM8:RM11,"C"))*2)+((COUNTIF(RM8:RM11,"D"))*1))*CELL("contenu",$B$7),0),IFERROR((((COUNTIF(RM13:RM13,"A"))*4)+((COUNTIF(RM13:RM13,"B"))*3)+((COUNTIF(RM13:RM13,"C"))*2)+((COUNTIF(RM13:RM13,"D"))*1))*CELL("contenu",$B$12),0),IFERROR((((COUNTIF(RM15:RM17,"A"))*4)+((COUNTIF(RM15:RM17,"B"))*3)+((COUNTIF(RM15:RM17,"C"))*2)+((COUNTIF(RM15:RM17,"D"))*1))*CELL("contenu",$B$14),0),IFERROR((((COUNTIF(RM19:RM19,"A"))*4)+((COUNTIF(RM19:RM19,"B"))*3)+((COUNTIF(RM19:RM19,"C"))*2)+((COUNTIF(RM19:RM19,"D"))*1))*CELL("contenu",$B$18),0))/IF(SUM(COUNTA(RM5:RM6)*CELL("contenu",$B$4),COUNTA(RM8:RM11)*CELL("contenu",$B$7),COUNTA(RM13:RM13)*CELL("contenu",$B$12),COUNTA(RM15:RM17)*CELL("contenu",$B$14),COUNTA(RM19:RM19)*CELL("contenu",$B$18))=0,1,SUM(COUNTA(RM5:RM6)*CELL("contenu",$B$4),COUNTA(RM8:RM11)*CELL("contenu",$B$7),COUNTA(RM13:RM13)*CELL("contenu",$B$12),COUNTA(RM15:RM17)*CELL("contenu",$B$14),COUNTA(RM19:RM19)*CELL("contenu",$B$18))))</f>
        <v/>
      </c>
      <c r="RN20" s="116"/>
      <c r="RO20" s="192" t="str">
        <f ca="1">IF(COUNTA(RK20:RM20)-COUNTBLANK(RK20:RM20)=0,"",SUM(RK20:RM20)/(COUNTA(RK20:RM20)-COUNTBLANK(RK20:RM20)))</f>
        <v/>
      </c>
      <c r="RP20" s="182" t="str">
        <f ca="1">IF(COUNTA(RP5:RP19)=0,"",5*SUM(IFERROR((((COUNTIF(RP5:RP6,"A"))*4)+((COUNTIF(RP5:RP6,"B"))*3)+((COUNTIF(RP5:RP6,"C"))*2)+((COUNTIF(RP5:RP6,"D"))*1))*CELL("contenu",$B$4),0),IFERROR((((COUNTIF(RP8:RP11,"A"))*4)+((COUNTIF(RP8:RP11,"B"))*3)+((COUNTIF(RP8:RP11,"C"))*2)+((COUNTIF(RP8:RP11,"D"))*1))*CELL("contenu",$B$7),0),IFERROR((((COUNTIF(RP13:RP13,"A"))*4)+((COUNTIF(RP13:RP13,"B"))*3)+((COUNTIF(RP13:RP13,"C"))*2)+((COUNTIF(RP13:RP13,"D"))*1))*CELL("contenu",$B$12),0),IFERROR((((COUNTIF(RP15:RP17,"A"))*4)+((COUNTIF(RP15:RP17,"B"))*3)+((COUNTIF(RP15:RP17,"C"))*2)+((COUNTIF(RP15:RP17,"D"))*1))*CELL("contenu",$B$14),0),IFERROR((((COUNTIF(RP19:RP19,"A"))*4)+((COUNTIF(RP19:RP19,"B"))*3)+((COUNTIF(RP19:RP19,"C"))*2)+((COUNTIF(RP19:RP19,"D"))*1))*CELL("contenu",$B$18),0))/IF(SUM(COUNTA(RP5:RP6)*CELL("contenu",$B$4),COUNTA(RP8:RP11)*CELL("contenu",$B$7),COUNTA(RP13:RP13)*CELL("contenu",$B$12),COUNTA(RP15:RP17)*CELL("contenu",$B$14),COUNTA(RP19:RP19)*CELL("contenu",$B$18))=0,1,SUM(COUNTA(RP5:RP6)*CELL("contenu",$B$4),COUNTA(RP8:RP11)*CELL("contenu",$B$7),COUNTA(RP13:RP13)*CELL("contenu",$B$12),COUNTA(RP15:RP17)*CELL("contenu",$B$14),COUNTA(RP19:RP19)*CELL("contenu",$B$18))))</f>
        <v/>
      </c>
      <c r="RQ20" s="183" t="str">
        <f ca="1">IF(COUNTA(RQ5:RQ19)=0,"",5*SUM(IFERROR((((COUNTIF(RQ5:RQ6,"A"))*4)+((COUNTIF(RQ5:RQ6,"B"))*3)+((COUNTIF(RQ5:RQ6,"C"))*2)+((COUNTIF(RQ5:RQ6,"D"))*1))*CELL("contenu",$B$4),0),IFERROR((((COUNTIF(RQ8:RQ11,"A"))*4)+((COUNTIF(RQ8:RQ11,"B"))*3)+((COUNTIF(RQ8:RQ11,"C"))*2)+((COUNTIF(RQ8:RQ11,"D"))*1))*CELL("contenu",$B$7),0),IFERROR((((COUNTIF(RQ13:RQ13,"A"))*4)+((COUNTIF(RQ13:RQ13,"B"))*3)+((COUNTIF(RQ13:RQ13,"C"))*2)+((COUNTIF(RQ13:RQ13,"D"))*1))*CELL("contenu",$B$12),0),IFERROR((((COUNTIF(RQ15:RQ17,"A"))*4)+((COUNTIF(RQ15:RQ17,"B"))*3)+((COUNTIF(RQ15:RQ17,"C"))*2)+((COUNTIF(RQ15:RQ17,"D"))*1))*CELL("contenu",$B$14),0),IFERROR((((COUNTIF(RQ19:RQ19,"A"))*4)+((COUNTIF(RQ19:RQ19,"B"))*3)+((COUNTIF(RQ19:RQ19,"C"))*2)+((COUNTIF(RQ19:RQ19,"D"))*1))*CELL("contenu",$B$18),0))/IF(SUM(COUNTA(RQ5:RQ6)*CELL("contenu",$B$4),COUNTA(RQ8:RQ11)*CELL("contenu",$B$7),COUNTA(RQ13:RQ13)*CELL("contenu",$B$12),COUNTA(RQ15:RQ17)*CELL("contenu",$B$14),COUNTA(RQ19:RQ19)*CELL("contenu",$B$18))=0,1,SUM(COUNTA(RQ5:RQ6)*CELL("contenu",$B$4),COUNTA(RQ8:RQ11)*CELL("contenu",$B$7),COUNTA(RQ13:RQ13)*CELL("contenu",$B$12),COUNTA(RQ15:RQ17)*CELL("contenu",$B$14),COUNTA(RQ19:RQ19)*CELL("contenu",$B$18))))</f>
        <v/>
      </c>
      <c r="RR20" s="184" t="str">
        <f ca="1">IF(COUNTA(RR5:RR19)=0,"",5*SUM(IFERROR((((COUNTIF(RR5:RR6,"A"))*4)+((COUNTIF(RR5:RR6,"B"))*3)+((COUNTIF(RR5:RR6,"C"))*2)+((COUNTIF(RR5:RR6,"D"))*1))*CELL("contenu",$B$4),0),IFERROR((((COUNTIF(RR8:RR11,"A"))*4)+((COUNTIF(RR8:RR11,"B"))*3)+((COUNTIF(RR8:RR11,"C"))*2)+((COUNTIF(RR8:RR11,"D"))*1))*CELL("contenu",$B$7),0),IFERROR((((COUNTIF(RR13:RR13,"A"))*4)+((COUNTIF(RR13:RR13,"B"))*3)+((COUNTIF(RR13:RR13,"C"))*2)+((COUNTIF(RR13:RR13,"D"))*1))*CELL("contenu",$B$12),0),IFERROR((((COUNTIF(RR15:RR17,"A"))*4)+((COUNTIF(RR15:RR17,"B"))*3)+((COUNTIF(RR15:RR17,"C"))*2)+((COUNTIF(RR15:RR17,"D"))*1))*CELL("contenu",$B$14),0),IFERROR((((COUNTIF(RR19:RR19,"A"))*4)+((COUNTIF(RR19:RR19,"B"))*3)+((COUNTIF(RR19:RR19,"C"))*2)+((COUNTIF(RR19:RR19,"D"))*1))*CELL("contenu",$B$18),0))/IF(SUM(COUNTA(RR5:RR6)*CELL("contenu",$B$4),COUNTA(RR8:RR11)*CELL("contenu",$B$7),COUNTA(RR13:RR13)*CELL("contenu",$B$12),COUNTA(RR15:RR17)*CELL("contenu",$B$14),COUNTA(RR19:RR19)*CELL("contenu",$B$18))=0,1,SUM(COUNTA(RR5:RR6)*CELL("contenu",$B$4),COUNTA(RR8:RR11)*CELL("contenu",$B$7),COUNTA(RR13:RR13)*CELL("contenu",$B$12),COUNTA(RR15:RR17)*CELL("contenu",$B$14),COUNTA(RR19:RR19)*CELL("contenu",$B$18))))</f>
        <v/>
      </c>
      <c r="RS20" s="176"/>
      <c r="RT20" s="175" t="str">
        <f ca="1">IF(COUNTA(RP20:RR20)-COUNTBLANK(RP20:RR20)=0,"",SUM(RP20:RR20)/(COUNTA(RP20:RR20)-COUNTBLANK(RP20:RR20)))</f>
        <v/>
      </c>
      <c r="RU20" s="182" t="str">
        <f ca="1">IF(COUNTA(RU5:RU19)=0,"",5*SUM(IFERROR((((COUNTIF(RU5:RU6,"A"))*4)+((COUNTIF(RU5:RU6,"B"))*3)+((COUNTIF(RU5:RU6,"C"))*2)+((COUNTIF(RU5:RU6,"D"))*1))*CELL("contenu",$B$4),0),IFERROR((((COUNTIF(RU8:RU11,"A"))*4)+((COUNTIF(RU8:RU11,"B"))*3)+((COUNTIF(RU8:RU11,"C"))*2)+((COUNTIF(RU8:RU11,"D"))*1))*CELL("contenu",$B$7),0),IFERROR((((COUNTIF(RU13:RU13,"A"))*4)+((COUNTIF(RU13:RU13,"B"))*3)+((COUNTIF(RU13:RU13,"C"))*2)+((COUNTIF(RU13:RU13,"D"))*1))*CELL("contenu",$B$12),0),IFERROR((((COUNTIF(RU15:RU17,"A"))*4)+((COUNTIF(RU15:RU17,"B"))*3)+((COUNTIF(RU15:RU17,"C"))*2)+((COUNTIF(RU15:RU17,"D"))*1))*CELL("contenu",$B$14),0),IFERROR((((COUNTIF(RU19:RU19,"A"))*4)+((COUNTIF(RU19:RU19,"B"))*3)+((COUNTIF(RU19:RU19,"C"))*2)+((COUNTIF(RU19:RU19,"D"))*1))*CELL("contenu",$B$18),0))/IF(SUM(COUNTA(RU5:RU6)*CELL("contenu",$B$4),COUNTA(RU8:RU11)*CELL("contenu",$B$7),COUNTA(RU13:RU13)*CELL("contenu",$B$12),COUNTA(RU15:RU17)*CELL("contenu",$B$14),COUNTA(RU19:RU19)*CELL("contenu",$B$18))=0,1,SUM(COUNTA(RU5:RU6)*CELL("contenu",$B$4),COUNTA(RU8:RU11)*CELL("contenu",$B$7),COUNTA(RU13:RU13)*CELL("contenu",$B$12),COUNTA(RU15:RU17)*CELL("contenu",$B$14),COUNTA(RU19:RU19)*CELL("contenu",$B$18))))</f>
        <v/>
      </c>
      <c r="RV20" s="183" t="str">
        <f ca="1">IF(COUNTA(RV5:RV19)=0,"",5*SUM(IFERROR((((COUNTIF(RV5:RV6,"A"))*4)+((COUNTIF(RV5:RV6,"B"))*3)+((COUNTIF(RV5:RV6,"C"))*2)+((COUNTIF(RV5:RV6,"D"))*1))*CELL("contenu",$B$4),0),IFERROR((((COUNTIF(RV8:RV11,"A"))*4)+((COUNTIF(RV8:RV11,"B"))*3)+((COUNTIF(RV8:RV11,"C"))*2)+((COUNTIF(RV8:RV11,"D"))*1))*CELL("contenu",$B$7),0),IFERROR((((COUNTIF(RV13:RV13,"A"))*4)+((COUNTIF(RV13:RV13,"B"))*3)+((COUNTIF(RV13:RV13,"C"))*2)+((COUNTIF(RV13:RV13,"D"))*1))*CELL("contenu",$B$12),0),IFERROR((((COUNTIF(RV15:RV17,"A"))*4)+((COUNTIF(RV15:RV17,"B"))*3)+((COUNTIF(RV15:RV17,"C"))*2)+((COUNTIF(RV15:RV17,"D"))*1))*CELL("contenu",$B$14),0),IFERROR((((COUNTIF(RV19:RV19,"A"))*4)+((COUNTIF(RV19:RV19,"B"))*3)+((COUNTIF(RV19:RV19,"C"))*2)+((COUNTIF(RV19:RV19,"D"))*1))*CELL("contenu",$B$18),0))/IF(SUM(COUNTA(RV5:RV6)*CELL("contenu",$B$4),COUNTA(RV8:RV11)*CELL("contenu",$B$7),COUNTA(RV13:RV13)*CELL("contenu",$B$12),COUNTA(RV15:RV17)*CELL("contenu",$B$14),COUNTA(RV19:RV19)*CELL("contenu",$B$18))=0,1,SUM(COUNTA(RV5:RV6)*CELL("contenu",$B$4),COUNTA(RV8:RV11)*CELL("contenu",$B$7),COUNTA(RV13:RV13)*CELL("contenu",$B$12),COUNTA(RV15:RV17)*CELL("contenu",$B$14),COUNTA(RV19:RV19)*CELL("contenu",$B$18))))</f>
        <v/>
      </c>
      <c r="RW20" s="184" t="str">
        <f ca="1">IF(COUNTA(RW5:RW19)=0,"",5*SUM(IFERROR((((COUNTIF(RW5:RW6,"A"))*4)+((COUNTIF(RW5:RW6,"B"))*3)+((COUNTIF(RW5:RW6,"C"))*2)+((COUNTIF(RW5:RW6,"D"))*1))*CELL("contenu",$B$4),0),IFERROR((((COUNTIF(RW8:RW11,"A"))*4)+((COUNTIF(RW8:RW11,"B"))*3)+((COUNTIF(RW8:RW11,"C"))*2)+((COUNTIF(RW8:RW11,"D"))*1))*CELL("contenu",$B$7),0),IFERROR((((COUNTIF(RW13:RW13,"A"))*4)+((COUNTIF(RW13:RW13,"B"))*3)+((COUNTIF(RW13:RW13,"C"))*2)+((COUNTIF(RW13:RW13,"D"))*1))*CELL("contenu",$B$12),0),IFERROR((((COUNTIF(RW15:RW17,"A"))*4)+((COUNTIF(RW15:RW17,"B"))*3)+((COUNTIF(RW15:RW17,"C"))*2)+((COUNTIF(RW15:RW17,"D"))*1))*CELL("contenu",$B$14),0),IFERROR((((COUNTIF(RW19:RW19,"A"))*4)+((COUNTIF(RW19:RW19,"B"))*3)+((COUNTIF(RW19:RW19,"C"))*2)+((COUNTIF(RW19:RW19,"D"))*1))*CELL("contenu",$B$18),0))/IF(SUM(COUNTA(RW5:RW6)*CELL("contenu",$B$4),COUNTA(RW8:RW11)*CELL("contenu",$B$7),COUNTA(RW13:RW13)*CELL("contenu",$B$12),COUNTA(RW15:RW17)*CELL("contenu",$B$14),COUNTA(RW19:RW19)*CELL("contenu",$B$18))=0,1,SUM(COUNTA(RW5:RW6)*CELL("contenu",$B$4),COUNTA(RW8:RW11)*CELL("contenu",$B$7),COUNTA(RW13:RW13)*CELL("contenu",$B$12),COUNTA(RW15:RW17)*CELL("contenu",$B$14),COUNTA(RW19:RW19)*CELL("contenu",$B$18))))</f>
        <v/>
      </c>
      <c r="RX20" s="176"/>
      <c r="RY20" s="174" t="str">
        <f ca="1">IF(COUNTA(RU20:RW20)-COUNTBLANK(RU20:RW20)=0,"",SUM(RU20:RW20)/(COUNTA(RU20:RW20)-COUNTBLANK(RU20:RW20)))</f>
        <v/>
      </c>
      <c r="RZ20" s="103"/>
      <c r="SA20" s="141"/>
      <c r="SB20" s="167" t="str">
        <f ca="1">IF(COUNTA(SB5:SB19)=0,"",5*SUM(IFERROR((((COUNTIF(SB5:SB6,"A"))*4)+((COUNTIF(SB5:SB6,"B"))*3)+((COUNTIF(SB5:SB6,"C"))*2)+((COUNTIF(SB5:SB6,"D"))*1))*CELL("contenu",$B$4),0),IFERROR((((COUNTIF(SB8:SB11,"A"))*4)+((COUNTIF(SB8:SB11,"B"))*3)+((COUNTIF(SB8:SB11,"C"))*2)+((COUNTIF(SB8:SB11,"D"))*1))*CELL("contenu",$B$7),0),IFERROR((((COUNTIF(SB13:SB13,"A"))*4)+((COUNTIF(SB13:SB13,"B"))*3)+((COUNTIF(SB13:SB13,"C"))*2)+((COUNTIF(SB13:SB13,"D"))*1))*CELL("contenu",$B$12),0),IFERROR((((COUNTIF(SB15:SB17,"A"))*4)+((COUNTIF(SB15:SB17,"B"))*3)+((COUNTIF(SB15:SB17,"C"))*2)+((COUNTIF(SB15:SB17,"D"))*1))*CELL("contenu",$B$14),0),IFERROR((((COUNTIF(SB19:SB19,"A"))*4)+((COUNTIF(SB19:SB19,"B"))*3)+((COUNTIF(SB19:SB19,"C"))*2)+((COUNTIF(SB19:SB19,"D"))*1))*CELL("contenu",$B$18),0))/IF(SUM(COUNTA(SB5:SB6)*CELL("contenu",$B$4),COUNTA(SB8:SB11)*CELL("contenu",$B$7),COUNTA(SB13:SB13)*CELL("contenu",$B$12),COUNTA(SB15:SB17)*CELL("contenu",$B$14),COUNTA(SB19:SB19)*CELL("contenu",$B$18))=0,1,SUM(COUNTA(SB5:SB6)*CELL("contenu",$B$4),COUNTA(SB8:SB11)*CELL("contenu",$B$7),COUNTA(SB13:SB13)*CELL("contenu",$B$12),COUNTA(SB15:SB17)*CELL("contenu",$B$14),COUNTA(SB19:SB19)*CELL("contenu",$B$18))))</f>
        <v/>
      </c>
      <c r="SC20" s="168" t="str">
        <f ca="1">IF(COUNTA(SC5:SC19)=0,"",5*SUM(IFERROR((((COUNTIF(SC5:SC6,"A"))*4)+((COUNTIF(SC5:SC6,"B"))*3)+((COUNTIF(SC5:SC6,"C"))*2)+((COUNTIF(SC5:SC6,"D"))*1))*CELL("contenu",$B$4),0),IFERROR((((COUNTIF(SC8:SC11,"A"))*4)+((COUNTIF(SC8:SC11,"B"))*3)+((COUNTIF(SC8:SC11,"C"))*2)+((COUNTIF(SC8:SC11,"D"))*1))*CELL("contenu",$B$7),0),IFERROR((((COUNTIF(SC13:SC13,"A"))*4)+((COUNTIF(SC13:SC13,"B"))*3)+((COUNTIF(SC13:SC13,"C"))*2)+((COUNTIF(SC13:SC13,"D"))*1))*CELL("contenu",$B$12),0),IFERROR((((COUNTIF(SC15:SC17,"A"))*4)+((COUNTIF(SC15:SC17,"B"))*3)+((COUNTIF(SC15:SC17,"C"))*2)+((COUNTIF(SC15:SC17,"D"))*1))*CELL("contenu",$B$14),0),IFERROR((((COUNTIF(SC19:SC19,"A"))*4)+((COUNTIF(SC19:SC19,"B"))*3)+((COUNTIF(SC19:SC19,"C"))*2)+((COUNTIF(SC19:SC19,"D"))*1))*CELL("contenu",$B$18),0))/IF(SUM(COUNTA(SC5:SC6)*CELL("contenu",$B$4),COUNTA(SC8:SC11)*CELL("contenu",$B$7),COUNTA(SC13:SC13)*CELL("contenu",$B$12),COUNTA(SC15:SC17)*CELL("contenu",$B$14),COUNTA(SC19:SC19)*CELL("contenu",$B$18))=0,1,SUM(COUNTA(SC5:SC6)*CELL("contenu",$B$4),COUNTA(SC8:SC11)*CELL("contenu",$B$7),COUNTA(SC13:SC13)*CELL("contenu",$B$12),COUNTA(SC15:SC17)*CELL("contenu",$B$14),COUNTA(SC19:SC19)*CELL("contenu",$B$18))))</f>
        <v/>
      </c>
      <c r="SD20" s="169" t="str">
        <f ca="1">IF(COUNTA(SD5:SD19)=0,"",5*SUM(IFERROR((((COUNTIF(SD5:SD6,"A"))*4)+((COUNTIF(SD5:SD6,"B"))*3)+((COUNTIF(SD5:SD6,"C"))*2)+((COUNTIF(SD5:SD6,"D"))*1))*CELL("contenu",$B$4),0),IFERROR((((COUNTIF(SD8:SD11,"A"))*4)+((COUNTIF(SD8:SD11,"B"))*3)+((COUNTIF(SD8:SD11,"C"))*2)+((COUNTIF(SD8:SD11,"D"))*1))*CELL("contenu",$B$7),0),IFERROR((((COUNTIF(SD13:SD13,"A"))*4)+((COUNTIF(SD13:SD13,"B"))*3)+((COUNTIF(SD13:SD13,"C"))*2)+((COUNTIF(SD13:SD13,"D"))*1))*CELL("contenu",$B$12),0),IFERROR((((COUNTIF(SD15:SD17,"A"))*4)+((COUNTIF(SD15:SD17,"B"))*3)+((COUNTIF(SD15:SD17,"C"))*2)+((COUNTIF(SD15:SD17,"D"))*1))*CELL("contenu",$B$14),0),IFERROR((((COUNTIF(SD19:SD19,"A"))*4)+((COUNTIF(SD19:SD19,"B"))*3)+((COUNTIF(SD19:SD19,"C"))*2)+((COUNTIF(SD19:SD19,"D"))*1))*CELL("contenu",$B$18),0))/IF(SUM(COUNTA(SD5:SD6)*CELL("contenu",$B$4),COUNTA(SD8:SD11)*CELL("contenu",$B$7),COUNTA(SD13:SD13)*CELL("contenu",$B$12),COUNTA(SD15:SD17)*CELL("contenu",$B$14),COUNTA(SD19:SD19)*CELL("contenu",$B$18))=0,1,SUM(COUNTA(SD5:SD6)*CELL("contenu",$B$4),COUNTA(SD8:SD11)*CELL("contenu",$B$7),COUNTA(SD13:SD13)*CELL("contenu",$B$12),COUNTA(SD15:SD17)*CELL("contenu",$B$14),COUNTA(SD19:SD19)*CELL("contenu",$B$18))))</f>
        <v/>
      </c>
      <c r="SE20" s="116"/>
      <c r="SF20" s="192" t="str">
        <f ca="1">IF(COUNTA(SB20:SD20)-COUNTBLANK(SB20:SD20)=0,"",SUM(SB20:SD20)/(COUNTA(SB20:SD20)-COUNTBLANK(SB20:SD20)))</f>
        <v/>
      </c>
      <c r="SG20" s="182" t="str">
        <f ca="1">IF(COUNTA(SG5:SG19)=0,"",5*SUM(IFERROR((((COUNTIF(SG5:SG6,"A"))*4)+((COUNTIF(SG5:SG6,"B"))*3)+((COUNTIF(SG5:SG6,"C"))*2)+((COUNTIF(SG5:SG6,"D"))*1))*CELL("contenu",$B$4),0),IFERROR((((COUNTIF(SG8:SG11,"A"))*4)+((COUNTIF(SG8:SG11,"B"))*3)+((COUNTIF(SG8:SG11,"C"))*2)+((COUNTIF(SG8:SG11,"D"))*1))*CELL("contenu",$B$7),0),IFERROR((((COUNTIF(SG13:SG13,"A"))*4)+((COUNTIF(SG13:SG13,"B"))*3)+((COUNTIF(SG13:SG13,"C"))*2)+((COUNTIF(SG13:SG13,"D"))*1))*CELL("contenu",$B$12),0),IFERROR((((COUNTIF(SG15:SG17,"A"))*4)+((COUNTIF(SG15:SG17,"B"))*3)+((COUNTIF(SG15:SG17,"C"))*2)+((COUNTIF(SG15:SG17,"D"))*1))*CELL("contenu",$B$14),0),IFERROR((((COUNTIF(SG19:SG19,"A"))*4)+((COUNTIF(SG19:SG19,"B"))*3)+((COUNTIF(SG19:SG19,"C"))*2)+((COUNTIF(SG19:SG19,"D"))*1))*CELL("contenu",$B$18),0))/IF(SUM(COUNTA(SG5:SG6)*CELL("contenu",$B$4),COUNTA(SG8:SG11)*CELL("contenu",$B$7),COUNTA(SG13:SG13)*CELL("contenu",$B$12),COUNTA(SG15:SG17)*CELL("contenu",$B$14),COUNTA(SG19:SG19)*CELL("contenu",$B$18))=0,1,SUM(COUNTA(SG5:SG6)*CELL("contenu",$B$4),COUNTA(SG8:SG11)*CELL("contenu",$B$7),COUNTA(SG13:SG13)*CELL("contenu",$B$12),COUNTA(SG15:SG17)*CELL("contenu",$B$14),COUNTA(SG19:SG19)*CELL("contenu",$B$18))))</f>
        <v/>
      </c>
      <c r="SH20" s="183" t="str">
        <f ca="1">IF(COUNTA(SH5:SH19)=0,"",5*SUM(IFERROR((((COUNTIF(SH5:SH6,"A"))*4)+((COUNTIF(SH5:SH6,"B"))*3)+((COUNTIF(SH5:SH6,"C"))*2)+((COUNTIF(SH5:SH6,"D"))*1))*CELL("contenu",$B$4),0),IFERROR((((COUNTIF(SH8:SH11,"A"))*4)+((COUNTIF(SH8:SH11,"B"))*3)+((COUNTIF(SH8:SH11,"C"))*2)+((COUNTIF(SH8:SH11,"D"))*1))*CELL("contenu",$B$7),0),IFERROR((((COUNTIF(SH13:SH13,"A"))*4)+((COUNTIF(SH13:SH13,"B"))*3)+((COUNTIF(SH13:SH13,"C"))*2)+((COUNTIF(SH13:SH13,"D"))*1))*CELL("contenu",$B$12),0),IFERROR((((COUNTIF(SH15:SH17,"A"))*4)+((COUNTIF(SH15:SH17,"B"))*3)+((COUNTIF(SH15:SH17,"C"))*2)+((COUNTIF(SH15:SH17,"D"))*1))*CELL("contenu",$B$14),0),IFERROR((((COUNTIF(SH19:SH19,"A"))*4)+((COUNTIF(SH19:SH19,"B"))*3)+((COUNTIF(SH19:SH19,"C"))*2)+((COUNTIF(SH19:SH19,"D"))*1))*CELL("contenu",$B$18),0))/IF(SUM(COUNTA(SH5:SH6)*CELL("contenu",$B$4),COUNTA(SH8:SH11)*CELL("contenu",$B$7),COUNTA(SH13:SH13)*CELL("contenu",$B$12),COUNTA(SH15:SH17)*CELL("contenu",$B$14),COUNTA(SH19:SH19)*CELL("contenu",$B$18))=0,1,SUM(COUNTA(SH5:SH6)*CELL("contenu",$B$4),COUNTA(SH8:SH11)*CELL("contenu",$B$7),COUNTA(SH13:SH13)*CELL("contenu",$B$12),COUNTA(SH15:SH17)*CELL("contenu",$B$14),COUNTA(SH19:SH19)*CELL("contenu",$B$18))))</f>
        <v/>
      </c>
      <c r="SI20" s="184" t="str">
        <f ca="1">IF(COUNTA(SI5:SI19)=0,"",5*SUM(IFERROR((((COUNTIF(SI5:SI6,"A"))*4)+((COUNTIF(SI5:SI6,"B"))*3)+((COUNTIF(SI5:SI6,"C"))*2)+((COUNTIF(SI5:SI6,"D"))*1))*CELL("contenu",$B$4),0),IFERROR((((COUNTIF(SI8:SI11,"A"))*4)+((COUNTIF(SI8:SI11,"B"))*3)+((COUNTIF(SI8:SI11,"C"))*2)+((COUNTIF(SI8:SI11,"D"))*1))*CELL("contenu",$B$7),0),IFERROR((((COUNTIF(SI13:SI13,"A"))*4)+((COUNTIF(SI13:SI13,"B"))*3)+((COUNTIF(SI13:SI13,"C"))*2)+((COUNTIF(SI13:SI13,"D"))*1))*CELL("contenu",$B$12),0),IFERROR((((COUNTIF(SI15:SI17,"A"))*4)+((COUNTIF(SI15:SI17,"B"))*3)+((COUNTIF(SI15:SI17,"C"))*2)+((COUNTIF(SI15:SI17,"D"))*1))*CELL("contenu",$B$14),0),IFERROR((((COUNTIF(SI19:SI19,"A"))*4)+((COUNTIF(SI19:SI19,"B"))*3)+((COUNTIF(SI19:SI19,"C"))*2)+((COUNTIF(SI19:SI19,"D"))*1))*CELL("contenu",$B$18),0))/IF(SUM(COUNTA(SI5:SI6)*CELL("contenu",$B$4),COUNTA(SI8:SI11)*CELL("contenu",$B$7),COUNTA(SI13:SI13)*CELL("contenu",$B$12),COUNTA(SI15:SI17)*CELL("contenu",$B$14),COUNTA(SI19:SI19)*CELL("contenu",$B$18))=0,1,SUM(COUNTA(SI5:SI6)*CELL("contenu",$B$4),COUNTA(SI8:SI11)*CELL("contenu",$B$7),COUNTA(SI13:SI13)*CELL("contenu",$B$12),COUNTA(SI15:SI17)*CELL("contenu",$B$14),COUNTA(SI19:SI19)*CELL("contenu",$B$18))))</f>
        <v/>
      </c>
      <c r="SJ20" s="176"/>
      <c r="SK20" s="175" t="str">
        <f ca="1">IF(COUNTA(SG20:SI20)-COUNTBLANK(SG20:SI20)=0,"",SUM(SG20:SI20)/(COUNTA(SG20:SI20)-COUNTBLANK(SG20:SI20)))</f>
        <v/>
      </c>
      <c r="SL20" s="182" t="str">
        <f ca="1">IF(COUNTA(SL5:SL19)=0,"",5*SUM(IFERROR((((COUNTIF(SL5:SL6,"A"))*4)+((COUNTIF(SL5:SL6,"B"))*3)+((COUNTIF(SL5:SL6,"C"))*2)+((COUNTIF(SL5:SL6,"D"))*1))*CELL("contenu",$B$4),0),IFERROR((((COUNTIF(SL8:SL11,"A"))*4)+((COUNTIF(SL8:SL11,"B"))*3)+((COUNTIF(SL8:SL11,"C"))*2)+((COUNTIF(SL8:SL11,"D"))*1))*CELL("contenu",$B$7),0),IFERROR((((COUNTIF(SL13:SL13,"A"))*4)+((COUNTIF(SL13:SL13,"B"))*3)+((COUNTIF(SL13:SL13,"C"))*2)+((COUNTIF(SL13:SL13,"D"))*1))*CELL("contenu",$B$12),0),IFERROR((((COUNTIF(SL15:SL17,"A"))*4)+((COUNTIF(SL15:SL17,"B"))*3)+((COUNTIF(SL15:SL17,"C"))*2)+((COUNTIF(SL15:SL17,"D"))*1))*CELL("contenu",$B$14),0),IFERROR((((COUNTIF(SL19:SL19,"A"))*4)+((COUNTIF(SL19:SL19,"B"))*3)+((COUNTIF(SL19:SL19,"C"))*2)+((COUNTIF(SL19:SL19,"D"))*1))*CELL("contenu",$B$18),0))/IF(SUM(COUNTA(SL5:SL6)*CELL("contenu",$B$4),COUNTA(SL8:SL11)*CELL("contenu",$B$7),COUNTA(SL13:SL13)*CELL("contenu",$B$12),COUNTA(SL15:SL17)*CELL("contenu",$B$14),COUNTA(SL19:SL19)*CELL("contenu",$B$18))=0,1,SUM(COUNTA(SL5:SL6)*CELL("contenu",$B$4),COUNTA(SL8:SL11)*CELL("contenu",$B$7),COUNTA(SL13:SL13)*CELL("contenu",$B$12),COUNTA(SL15:SL17)*CELL("contenu",$B$14),COUNTA(SL19:SL19)*CELL("contenu",$B$18))))</f>
        <v/>
      </c>
      <c r="SM20" s="183" t="str">
        <f ca="1">IF(COUNTA(SM5:SM19)=0,"",5*SUM(IFERROR((((COUNTIF(SM5:SM6,"A"))*4)+((COUNTIF(SM5:SM6,"B"))*3)+((COUNTIF(SM5:SM6,"C"))*2)+((COUNTIF(SM5:SM6,"D"))*1))*CELL("contenu",$B$4),0),IFERROR((((COUNTIF(SM8:SM11,"A"))*4)+((COUNTIF(SM8:SM11,"B"))*3)+((COUNTIF(SM8:SM11,"C"))*2)+((COUNTIF(SM8:SM11,"D"))*1))*CELL("contenu",$B$7),0),IFERROR((((COUNTIF(SM13:SM13,"A"))*4)+((COUNTIF(SM13:SM13,"B"))*3)+((COUNTIF(SM13:SM13,"C"))*2)+((COUNTIF(SM13:SM13,"D"))*1))*CELL("contenu",$B$12),0),IFERROR((((COUNTIF(SM15:SM17,"A"))*4)+((COUNTIF(SM15:SM17,"B"))*3)+((COUNTIF(SM15:SM17,"C"))*2)+((COUNTIF(SM15:SM17,"D"))*1))*CELL("contenu",$B$14),0),IFERROR((((COUNTIF(SM19:SM19,"A"))*4)+((COUNTIF(SM19:SM19,"B"))*3)+((COUNTIF(SM19:SM19,"C"))*2)+((COUNTIF(SM19:SM19,"D"))*1))*CELL("contenu",$B$18),0))/IF(SUM(COUNTA(SM5:SM6)*CELL("contenu",$B$4),COUNTA(SM8:SM11)*CELL("contenu",$B$7),COUNTA(SM13:SM13)*CELL("contenu",$B$12),COUNTA(SM15:SM17)*CELL("contenu",$B$14),COUNTA(SM19:SM19)*CELL("contenu",$B$18))=0,1,SUM(COUNTA(SM5:SM6)*CELL("contenu",$B$4),COUNTA(SM8:SM11)*CELL("contenu",$B$7),COUNTA(SM13:SM13)*CELL("contenu",$B$12),COUNTA(SM15:SM17)*CELL("contenu",$B$14),COUNTA(SM19:SM19)*CELL("contenu",$B$18))))</f>
        <v/>
      </c>
      <c r="SN20" s="184" t="str">
        <f ca="1">IF(COUNTA(SN5:SN19)=0,"",5*SUM(IFERROR((((COUNTIF(SN5:SN6,"A"))*4)+((COUNTIF(SN5:SN6,"B"))*3)+((COUNTIF(SN5:SN6,"C"))*2)+((COUNTIF(SN5:SN6,"D"))*1))*CELL("contenu",$B$4),0),IFERROR((((COUNTIF(SN8:SN11,"A"))*4)+((COUNTIF(SN8:SN11,"B"))*3)+((COUNTIF(SN8:SN11,"C"))*2)+((COUNTIF(SN8:SN11,"D"))*1))*CELL("contenu",$B$7),0),IFERROR((((COUNTIF(SN13:SN13,"A"))*4)+((COUNTIF(SN13:SN13,"B"))*3)+((COUNTIF(SN13:SN13,"C"))*2)+((COUNTIF(SN13:SN13,"D"))*1))*CELL("contenu",$B$12),0),IFERROR((((COUNTIF(SN15:SN17,"A"))*4)+((COUNTIF(SN15:SN17,"B"))*3)+((COUNTIF(SN15:SN17,"C"))*2)+((COUNTIF(SN15:SN17,"D"))*1))*CELL("contenu",$B$14),0),IFERROR((((COUNTIF(SN19:SN19,"A"))*4)+((COUNTIF(SN19:SN19,"B"))*3)+((COUNTIF(SN19:SN19,"C"))*2)+((COUNTIF(SN19:SN19,"D"))*1))*CELL("contenu",$B$18),0))/IF(SUM(COUNTA(SN5:SN6)*CELL("contenu",$B$4),COUNTA(SN8:SN11)*CELL("contenu",$B$7),COUNTA(SN13:SN13)*CELL("contenu",$B$12),COUNTA(SN15:SN17)*CELL("contenu",$B$14),COUNTA(SN19:SN19)*CELL("contenu",$B$18))=0,1,SUM(COUNTA(SN5:SN6)*CELL("contenu",$B$4),COUNTA(SN8:SN11)*CELL("contenu",$B$7),COUNTA(SN13:SN13)*CELL("contenu",$B$12),COUNTA(SN15:SN17)*CELL("contenu",$B$14),COUNTA(SN19:SN19)*CELL("contenu",$B$18))))</f>
        <v/>
      </c>
      <c r="SO20" s="176"/>
      <c r="SP20" s="174" t="str">
        <f ca="1">IF(COUNTA(SL20:SN20)-COUNTBLANK(SL20:SN20)=0,"",SUM(SL20:SN20)/(COUNTA(SL20:SN20)-COUNTBLANK(SL20:SN20)))</f>
        <v/>
      </c>
      <c r="SQ20" s="103"/>
      <c r="SR20" s="141"/>
    </row>
    <row r="21" spans="1:512" s="142" customFormat="1" ht="16.5" x14ac:dyDescent="0.3">
      <c r="A21" s="170"/>
      <c r="B21" s="170"/>
      <c r="C21" s="199"/>
      <c r="D21" s="199"/>
      <c r="E21" s="199"/>
      <c r="F21" s="170"/>
      <c r="G21" s="170"/>
      <c r="R21" s="143"/>
      <c r="S21" s="143"/>
      <c r="AI21" s="143"/>
      <c r="AJ21" s="143"/>
      <c r="AZ21" s="143"/>
      <c r="BA21" s="143"/>
      <c r="BQ21" s="143"/>
      <c r="BR21" s="143"/>
      <c r="CH21" s="143"/>
      <c r="CI21" s="143"/>
      <c r="CY21" s="143"/>
      <c r="CZ21" s="143"/>
      <c r="DP21" s="143"/>
      <c r="DQ21" s="143"/>
      <c r="EG21" s="143"/>
      <c r="EH21" s="143"/>
      <c r="EX21" s="143"/>
      <c r="EY21" s="143"/>
      <c r="FO21" s="143"/>
      <c r="FP21" s="143"/>
      <c r="GF21" s="143"/>
      <c r="GG21" s="143"/>
      <c r="GW21" s="143"/>
      <c r="GX21" s="143"/>
      <c r="HN21" s="143"/>
      <c r="HO21" s="143"/>
      <c r="IE21" s="143"/>
      <c r="IF21" s="143"/>
      <c r="IV21" s="143"/>
      <c r="IW21" s="143"/>
      <c r="JM21" s="143"/>
      <c r="JN21" s="143"/>
      <c r="KD21" s="143"/>
      <c r="KE21" s="143"/>
      <c r="KU21" s="143"/>
      <c r="KV21" s="143"/>
      <c r="LL21" s="143"/>
      <c r="LM21" s="143"/>
      <c r="MC21" s="143"/>
      <c r="MD21" s="143"/>
      <c r="MT21" s="143"/>
      <c r="MU21" s="143"/>
      <c r="NK21" s="143"/>
      <c r="NL21" s="143"/>
      <c r="OB21" s="143"/>
      <c r="OC21" s="143"/>
      <c r="OS21" s="143"/>
      <c r="OT21" s="143"/>
      <c r="PJ21" s="143"/>
      <c r="PK21" s="143"/>
      <c r="QA21" s="143"/>
      <c r="QB21" s="143"/>
      <c r="QR21" s="143"/>
      <c r="QS21" s="143"/>
      <c r="RI21" s="143"/>
      <c r="RJ21" s="143"/>
      <c r="RZ21" s="143"/>
      <c r="SA21" s="143"/>
      <c r="SQ21" s="143"/>
      <c r="SR21" s="143"/>
    </row>
    <row r="22" spans="1:512" s="144" customFormat="1" ht="16.5" x14ac:dyDescent="0.25">
      <c r="A22" s="171"/>
      <c r="B22" s="171"/>
      <c r="C22" s="200"/>
      <c r="D22" s="200"/>
      <c r="E22" s="200"/>
      <c r="F22" s="172"/>
      <c r="G22" s="173"/>
      <c r="H22" s="201"/>
      <c r="I22" s="201"/>
      <c r="J22" s="201"/>
      <c r="K22" s="143"/>
      <c r="L22" s="143"/>
      <c r="M22" s="201"/>
      <c r="N22" s="201"/>
      <c r="O22" s="201"/>
      <c r="P22" s="143"/>
      <c r="Q22" s="143"/>
      <c r="R22" s="143" t="str">
        <f>IFERROR((((COUNTIF(C5:E6,"A")+COUNTIF(H5:J6,"A")+COUNTIF(M5:O6,"A"))*4)+((COUNTIF(C5:E6,"B")+COUNTIF(H5:J6,"B")+COUNTIF(M5:O6,"B"))*3)+((COUNTIF(C5:E6,"C")+COUNTIF(H5:J6,"C")+COUNTIF(M5:O6,"C"))*2)+((COUNTIF(C5:E6,"D")+COUNTIF(H5:J6,"D")+COUNTIF(M5:O6,"D"))*1))/(COUNTA(C5:E6)+COUNTA(H5:J6)+COUNTA(M5:O6)),"")</f>
        <v/>
      </c>
      <c r="S22" s="143"/>
      <c r="T22" s="102"/>
      <c r="U22" s="102"/>
      <c r="V22" s="102"/>
      <c r="W22" s="102"/>
      <c r="X22" s="143"/>
      <c r="Y22" s="201"/>
      <c r="Z22" s="201"/>
      <c r="AA22" s="201"/>
      <c r="AB22" s="143"/>
      <c r="AC22" s="143"/>
      <c r="AD22" s="201"/>
      <c r="AE22" s="201"/>
      <c r="AF22" s="201"/>
      <c r="AG22" s="143"/>
      <c r="AH22" s="143"/>
      <c r="AI22" s="143"/>
      <c r="AJ22" s="143"/>
      <c r="AK22" s="102"/>
      <c r="AL22" s="102"/>
      <c r="AM22" s="102"/>
      <c r="AN22" s="102"/>
      <c r="AO22" s="143"/>
      <c r="AP22" s="201"/>
      <c r="AQ22" s="201"/>
      <c r="AR22" s="201"/>
      <c r="AS22" s="143"/>
      <c r="AT22" s="143"/>
      <c r="AU22" s="201"/>
      <c r="AV22" s="201"/>
      <c r="AW22" s="201"/>
      <c r="AX22" s="143"/>
      <c r="AY22" s="143"/>
      <c r="AZ22" s="143"/>
      <c r="BA22" s="143"/>
      <c r="BB22" s="102"/>
      <c r="BC22" s="102"/>
      <c r="BD22" s="102"/>
      <c r="BE22" s="102"/>
      <c r="BF22" s="143"/>
      <c r="BG22" s="201"/>
      <c r="BH22" s="201"/>
      <c r="BI22" s="201"/>
      <c r="BJ22" s="143"/>
      <c r="BK22" s="143"/>
      <c r="BL22" s="201"/>
      <c r="BM22" s="201"/>
      <c r="BN22" s="201"/>
      <c r="BO22" s="143"/>
      <c r="BP22" s="143"/>
      <c r="BQ22" s="143"/>
      <c r="BR22" s="143"/>
      <c r="BS22" s="102"/>
      <c r="BT22" s="102"/>
      <c r="BU22" s="102"/>
      <c r="BV22" s="102"/>
      <c r="BW22" s="143"/>
      <c r="BX22" s="201"/>
      <c r="BY22" s="201"/>
      <c r="BZ22" s="201"/>
      <c r="CA22" s="143"/>
      <c r="CB22" s="143"/>
      <c r="CC22" s="201"/>
      <c r="CD22" s="201"/>
      <c r="CE22" s="201"/>
      <c r="CF22" s="143"/>
      <c r="CG22" s="143"/>
      <c r="CH22" s="143"/>
      <c r="CI22" s="143"/>
      <c r="CJ22" s="102"/>
      <c r="CK22" s="102"/>
      <c r="CL22" s="102"/>
      <c r="CM22" s="102"/>
      <c r="CN22" s="143"/>
      <c r="CO22" s="201"/>
      <c r="CP22" s="201"/>
      <c r="CQ22" s="201"/>
      <c r="CR22" s="143"/>
      <c r="CS22" s="143"/>
      <c r="CT22" s="201"/>
      <c r="CU22" s="201"/>
      <c r="CV22" s="201"/>
      <c r="CW22" s="143"/>
      <c r="CX22" s="143"/>
      <c r="CY22" s="143"/>
      <c r="CZ22" s="143"/>
      <c r="DA22" s="102"/>
      <c r="DB22" s="102"/>
      <c r="DC22" s="102"/>
      <c r="DD22" s="102"/>
      <c r="DE22" s="143"/>
      <c r="DF22" s="201"/>
      <c r="DG22" s="201"/>
      <c r="DH22" s="201"/>
      <c r="DI22" s="143"/>
      <c r="DJ22" s="143"/>
      <c r="DK22" s="201"/>
      <c r="DL22" s="201"/>
      <c r="DM22" s="201"/>
      <c r="DN22" s="143"/>
      <c r="DO22" s="143"/>
      <c r="DP22" s="143"/>
      <c r="DQ22" s="143"/>
      <c r="DR22" s="102"/>
      <c r="DS22" s="102"/>
      <c r="DT22" s="102"/>
      <c r="DU22" s="102"/>
      <c r="DV22" s="143"/>
      <c r="DW22" s="201"/>
      <c r="DX22" s="201"/>
      <c r="DY22" s="201"/>
      <c r="DZ22" s="143"/>
      <c r="EA22" s="143"/>
      <c r="EB22" s="201"/>
      <c r="EC22" s="201"/>
      <c r="ED22" s="201"/>
      <c r="EE22" s="143"/>
      <c r="EF22" s="143"/>
      <c r="EG22" s="143"/>
      <c r="EH22" s="143"/>
      <c r="EI22" s="102"/>
      <c r="EJ22" s="102"/>
      <c r="EK22" s="102"/>
      <c r="EL22" s="102"/>
      <c r="EM22" s="143"/>
      <c r="EN22" s="201"/>
      <c r="EO22" s="201"/>
      <c r="EP22" s="201"/>
      <c r="EQ22" s="143"/>
      <c r="ER22" s="143"/>
      <c r="ES22" s="201"/>
      <c r="ET22" s="201"/>
      <c r="EU22" s="201"/>
      <c r="EV22" s="143"/>
      <c r="EW22" s="143"/>
      <c r="EX22" s="143"/>
      <c r="EY22" s="143"/>
      <c r="EZ22" s="102"/>
      <c r="FA22" s="102"/>
      <c r="FB22" s="102"/>
      <c r="FC22" s="102"/>
      <c r="FD22" s="143"/>
      <c r="FE22" s="201"/>
      <c r="FF22" s="201"/>
      <c r="FG22" s="201"/>
      <c r="FH22" s="143"/>
      <c r="FI22" s="143"/>
      <c r="FJ22" s="201"/>
      <c r="FK22" s="201"/>
      <c r="FL22" s="201"/>
      <c r="FM22" s="143"/>
      <c r="FN22" s="143"/>
      <c r="FO22" s="143"/>
      <c r="FP22" s="143"/>
      <c r="FQ22" s="102"/>
      <c r="FR22" s="102"/>
      <c r="FS22" s="102"/>
      <c r="FT22" s="102"/>
      <c r="FU22" s="143"/>
      <c r="FV22" s="201"/>
      <c r="FW22" s="201"/>
      <c r="FX22" s="201"/>
      <c r="FY22" s="143"/>
      <c r="FZ22" s="143"/>
      <c r="GA22" s="201"/>
      <c r="GB22" s="201"/>
      <c r="GC22" s="201"/>
      <c r="GD22" s="143"/>
      <c r="GE22" s="143"/>
      <c r="GF22" s="143"/>
      <c r="GG22" s="143"/>
      <c r="GH22" s="102"/>
      <c r="GI22" s="102"/>
      <c r="GJ22" s="102"/>
      <c r="GK22" s="102"/>
      <c r="GL22" s="143"/>
      <c r="GM22" s="201"/>
      <c r="GN22" s="201"/>
      <c r="GO22" s="201"/>
      <c r="GP22" s="143"/>
      <c r="GQ22" s="143"/>
      <c r="GR22" s="201"/>
      <c r="GS22" s="201"/>
      <c r="GT22" s="201"/>
      <c r="GU22" s="143"/>
      <c r="GV22" s="143"/>
      <c r="GW22" s="143"/>
      <c r="GX22" s="143"/>
      <c r="GY22" s="102"/>
      <c r="GZ22" s="102"/>
      <c r="HA22" s="102"/>
      <c r="HB22" s="102"/>
      <c r="HC22" s="143"/>
      <c r="HD22" s="201"/>
      <c r="HE22" s="201"/>
      <c r="HF22" s="201"/>
      <c r="HG22" s="143"/>
      <c r="HH22" s="143"/>
      <c r="HI22" s="201"/>
      <c r="HJ22" s="201"/>
      <c r="HK22" s="201"/>
      <c r="HL22" s="143"/>
      <c r="HM22" s="143"/>
      <c r="HN22" s="143"/>
      <c r="HO22" s="143"/>
      <c r="HP22" s="102"/>
      <c r="HQ22" s="102"/>
      <c r="HR22" s="102"/>
      <c r="HS22" s="102"/>
      <c r="HT22" s="143"/>
      <c r="HU22" s="201"/>
      <c r="HV22" s="201"/>
      <c r="HW22" s="201"/>
      <c r="HX22" s="143"/>
      <c r="HY22" s="143"/>
      <c r="HZ22" s="201"/>
      <c r="IA22" s="201"/>
      <c r="IB22" s="201"/>
      <c r="IC22" s="143"/>
      <c r="ID22" s="143"/>
      <c r="IE22" s="143"/>
      <c r="IF22" s="143"/>
      <c r="IG22" s="102"/>
      <c r="IH22" s="102"/>
      <c r="II22" s="102"/>
      <c r="IJ22" s="102"/>
      <c r="IK22" s="143"/>
      <c r="IL22" s="201"/>
      <c r="IM22" s="201"/>
      <c r="IN22" s="201"/>
      <c r="IO22" s="143"/>
      <c r="IP22" s="143"/>
      <c r="IQ22" s="201"/>
      <c r="IR22" s="201"/>
      <c r="IS22" s="201"/>
      <c r="IT22" s="143"/>
      <c r="IU22" s="143"/>
      <c r="IV22" s="143"/>
      <c r="IW22" s="143"/>
      <c r="IX22" s="102"/>
      <c r="IY22" s="102"/>
      <c r="IZ22" s="102"/>
      <c r="JA22" s="102"/>
      <c r="JB22" s="143"/>
      <c r="JC22" s="201"/>
      <c r="JD22" s="201"/>
      <c r="JE22" s="201"/>
      <c r="JF22" s="143"/>
      <c r="JG22" s="143"/>
      <c r="JH22" s="201"/>
      <c r="JI22" s="201"/>
      <c r="JJ22" s="201"/>
      <c r="JK22" s="143"/>
      <c r="JL22" s="143"/>
      <c r="JM22" s="143"/>
      <c r="JN22" s="143"/>
      <c r="JO22" s="102"/>
      <c r="JP22" s="102"/>
      <c r="JQ22" s="102"/>
      <c r="JR22" s="102"/>
      <c r="JS22" s="143"/>
      <c r="JT22" s="201"/>
      <c r="JU22" s="201"/>
      <c r="JV22" s="201"/>
      <c r="JW22" s="143"/>
      <c r="JX22" s="143"/>
      <c r="JY22" s="201"/>
      <c r="JZ22" s="201"/>
      <c r="KA22" s="201"/>
      <c r="KB22" s="143"/>
      <c r="KC22" s="143"/>
      <c r="KD22" s="143"/>
      <c r="KE22" s="143"/>
      <c r="KF22" s="102"/>
      <c r="KG22" s="102"/>
      <c r="KH22" s="102"/>
      <c r="KI22" s="102"/>
      <c r="KJ22" s="143"/>
      <c r="KK22" s="201"/>
      <c r="KL22" s="201"/>
      <c r="KM22" s="201"/>
      <c r="KN22" s="143"/>
      <c r="KO22" s="143"/>
      <c r="KP22" s="201"/>
      <c r="KQ22" s="201"/>
      <c r="KR22" s="201"/>
      <c r="KS22" s="143"/>
      <c r="KT22" s="143"/>
      <c r="KU22" s="143"/>
      <c r="KV22" s="143"/>
      <c r="KW22" s="102"/>
      <c r="KX22" s="102"/>
      <c r="KY22" s="102"/>
      <c r="KZ22" s="102"/>
      <c r="LA22" s="143"/>
      <c r="LB22" s="201"/>
      <c r="LC22" s="201"/>
      <c r="LD22" s="201"/>
      <c r="LE22" s="143"/>
      <c r="LF22" s="143"/>
      <c r="LG22" s="201"/>
      <c r="LH22" s="201"/>
      <c r="LI22" s="201"/>
      <c r="LJ22" s="143"/>
      <c r="LK22" s="143"/>
      <c r="LL22" s="143"/>
      <c r="LM22" s="143"/>
      <c r="LN22" s="102"/>
      <c r="LO22" s="102"/>
      <c r="LP22" s="102"/>
      <c r="LQ22" s="102"/>
      <c r="LR22" s="143"/>
      <c r="LS22" s="201"/>
      <c r="LT22" s="201"/>
      <c r="LU22" s="201"/>
      <c r="LV22" s="143"/>
      <c r="LW22" s="143"/>
      <c r="LX22" s="201"/>
      <c r="LY22" s="201"/>
      <c r="LZ22" s="201"/>
      <c r="MA22" s="143"/>
      <c r="MB22" s="143"/>
      <c r="MC22" s="143"/>
      <c r="MD22" s="143"/>
      <c r="ME22" s="102"/>
      <c r="MF22" s="102"/>
      <c r="MG22" s="102"/>
      <c r="MH22" s="102"/>
      <c r="MI22" s="143"/>
      <c r="MJ22" s="201"/>
      <c r="MK22" s="201"/>
      <c r="ML22" s="201"/>
      <c r="MM22" s="143"/>
      <c r="MN22" s="143"/>
      <c r="MO22" s="201"/>
      <c r="MP22" s="201"/>
      <c r="MQ22" s="201"/>
      <c r="MR22" s="143"/>
      <c r="MS22" s="143"/>
      <c r="MT22" s="143"/>
      <c r="MU22" s="143"/>
      <c r="MV22" s="102"/>
      <c r="MW22" s="102"/>
      <c r="MX22" s="102"/>
      <c r="MY22" s="102"/>
      <c r="MZ22" s="143"/>
      <c r="NA22" s="201"/>
      <c r="NB22" s="201"/>
      <c r="NC22" s="201"/>
      <c r="ND22" s="143"/>
      <c r="NE22" s="143"/>
      <c r="NF22" s="201"/>
      <c r="NG22" s="201"/>
      <c r="NH22" s="201"/>
      <c r="NI22" s="143"/>
      <c r="NJ22" s="143"/>
      <c r="NK22" s="143"/>
      <c r="NL22" s="143"/>
      <c r="NM22" s="102"/>
      <c r="NN22" s="102"/>
      <c r="NO22" s="102"/>
      <c r="NP22" s="102"/>
      <c r="NQ22" s="143"/>
      <c r="NR22" s="201"/>
      <c r="NS22" s="201"/>
      <c r="NT22" s="201"/>
      <c r="NU22" s="143"/>
      <c r="NV22" s="143"/>
      <c r="NW22" s="201"/>
      <c r="NX22" s="201"/>
      <c r="NY22" s="201"/>
      <c r="NZ22" s="143"/>
      <c r="OA22" s="143"/>
      <c r="OB22" s="143"/>
      <c r="OC22" s="143"/>
      <c r="OD22" s="102"/>
      <c r="OE22" s="102"/>
      <c r="OF22" s="102"/>
      <c r="OG22" s="102"/>
      <c r="OH22" s="143"/>
      <c r="OI22" s="201"/>
      <c r="OJ22" s="201"/>
      <c r="OK22" s="201"/>
      <c r="OL22" s="143"/>
      <c r="OM22" s="143"/>
      <c r="ON22" s="201"/>
      <c r="OO22" s="201"/>
      <c r="OP22" s="201"/>
      <c r="OQ22" s="143"/>
      <c r="OR22" s="143"/>
      <c r="OS22" s="143"/>
      <c r="OT22" s="143"/>
      <c r="OU22" s="102"/>
      <c r="OV22" s="102"/>
      <c r="OW22" s="102"/>
      <c r="OX22" s="102"/>
      <c r="OY22" s="143"/>
      <c r="OZ22" s="201"/>
      <c r="PA22" s="201"/>
      <c r="PB22" s="201"/>
      <c r="PC22" s="143"/>
      <c r="PD22" s="143"/>
      <c r="PE22" s="201"/>
      <c r="PF22" s="201"/>
      <c r="PG22" s="201"/>
      <c r="PH22" s="143"/>
      <c r="PI22" s="143"/>
      <c r="PJ22" s="143"/>
      <c r="PK22" s="143"/>
      <c r="PL22" s="102"/>
      <c r="PM22" s="102"/>
      <c r="PN22" s="102"/>
      <c r="PO22" s="102"/>
      <c r="PP22" s="143"/>
      <c r="PQ22" s="201"/>
      <c r="PR22" s="201"/>
      <c r="PS22" s="201"/>
      <c r="PT22" s="143"/>
      <c r="PU22" s="143"/>
      <c r="PV22" s="201"/>
      <c r="PW22" s="201"/>
      <c r="PX22" s="201"/>
      <c r="PY22" s="143"/>
      <c r="PZ22" s="143"/>
      <c r="QA22" s="143"/>
      <c r="QB22" s="143"/>
      <c r="QC22" s="102"/>
      <c r="QD22" s="102"/>
      <c r="QE22" s="102"/>
      <c r="QF22" s="102"/>
      <c r="QG22" s="143"/>
      <c r="QH22" s="201"/>
      <c r="QI22" s="201"/>
      <c r="QJ22" s="201"/>
      <c r="QK22" s="143"/>
      <c r="QL22" s="143"/>
      <c r="QM22" s="201"/>
      <c r="QN22" s="201"/>
      <c r="QO22" s="201"/>
      <c r="QP22" s="143"/>
      <c r="QQ22" s="143"/>
      <c r="QR22" s="143"/>
      <c r="QS22" s="143"/>
      <c r="QT22" s="102"/>
      <c r="QU22" s="102"/>
      <c r="QV22" s="102"/>
      <c r="QW22" s="102"/>
      <c r="QX22" s="143"/>
      <c r="QY22" s="201"/>
      <c r="QZ22" s="201"/>
      <c r="RA22" s="201"/>
      <c r="RB22" s="143"/>
      <c r="RC22" s="143"/>
      <c r="RD22" s="201"/>
      <c r="RE22" s="201"/>
      <c r="RF22" s="201"/>
      <c r="RG22" s="143"/>
      <c r="RH22" s="143"/>
      <c r="RI22" s="143"/>
      <c r="RJ22" s="143"/>
      <c r="RK22" s="102"/>
      <c r="RL22" s="102"/>
      <c r="RM22" s="102"/>
      <c r="RN22" s="102"/>
      <c r="RO22" s="143"/>
      <c r="RP22" s="201"/>
      <c r="RQ22" s="201"/>
      <c r="RR22" s="201"/>
      <c r="RS22" s="143"/>
      <c r="RT22" s="143"/>
      <c r="RU22" s="201"/>
      <c r="RV22" s="201"/>
      <c r="RW22" s="201"/>
      <c r="RX22" s="143"/>
      <c r="RY22" s="143"/>
      <c r="RZ22" s="143"/>
      <c r="SA22" s="143"/>
      <c r="SB22" s="102"/>
      <c r="SC22" s="102"/>
      <c r="SD22" s="102"/>
      <c r="SE22" s="102"/>
      <c r="SF22" s="143"/>
      <c r="SG22" s="201"/>
      <c r="SH22" s="201"/>
      <c r="SI22" s="201"/>
      <c r="SJ22" s="143"/>
      <c r="SK22" s="143"/>
      <c r="SL22" s="201"/>
      <c r="SM22" s="201"/>
      <c r="SN22" s="201"/>
      <c r="SO22" s="143"/>
      <c r="SP22" s="143"/>
      <c r="SQ22" s="143"/>
      <c r="SR22" s="143"/>
    </row>
    <row r="23" spans="1:512" s="144" customFormat="1" ht="16.5" x14ac:dyDescent="0.25">
      <c r="A23" s="171"/>
      <c r="B23" s="171"/>
      <c r="C23" s="200"/>
      <c r="D23" s="200"/>
      <c r="E23" s="200"/>
      <c r="F23" s="172"/>
      <c r="G23" s="173"/>
      <c r="H23" s="201"/>
      <c r="I23" s="201"/>
      <c r="J23" s="201"/>
      <c r="K23" s="143"/>
      <c r="L23" s="143"/>
      <c r="M23" s="201"/>
      <c r="N23" s="201"/>
      <c r="O23" s="201"/>
      <c r="P23" s="143"/>
      <c r="Q23" s="143"/>
      <c r="R23" s="143"/>
      <c r="S23" s="143"/>
      <c r="T23" s="102"/>
      <c r="U23" s="102"/>
      <c r="V23" s="102"/>
      <c r="W23" s="102"/>
      <c r="X23" s="143"/>
      <c r="Y23" s="201"/>
      <c r="Z23" s="201"/>
      <c r="AA23" s="201"/>
      <c r="AB23" s="143"/>
      <c r="AC23" s="143"/>
      <c r="AD23" s="201"/>
      <c r="AE23" s="201"/>
      <c r="AF23" s="201"/>
      <c r="AG23" s="143"/>
      <c r="AH23" s="143"/>
      <c r="AI23" s="143"/>
      <c r="AJ23" s="143"/>
      <c r="AK23" s="102"/>
      <c r="AL23" s="102"/>
      <c r="AM23" s="102"/>
      <c r="AN23" s="102"/>
      <c r="AO23" s="143"/>
      <c r="AP23" s="201"/>
      <c r="AQ23" s="201"/>
      <c r="AR23" s="201"/>
      <c r="AS23" s="143"/>
      <c r="AT23" s="143"/>
      <c r="AU23" s="201"/>
      <c r="AV23" s="201"/>
      <c r="AW23" s="201"/>
      <c r="AX23" s="143"/>
      <c r="AY23" s="143"/>
      <c r="AZ23" s="143"/>
      <c r="BA23" s="143"/>
      <c r="BB23" s="102"/>
      <c r="BC23" s="102"/>
      <c r="BD23" s="102"/>
      <c r="BE23" s="102"/>
      <c r="BF23" s="143"/>
      <c r="BG23" s="201"/>
      <c r="BH23" s="201"/>
      <c r="BI23" s="201"/>
      <c r="BJ23" s="143"/>
      <c r="BK23" s="143"/>
      <c r="BL23" s="201"/>
      <c r="BM23" s="201"/>
      <c r="BN23" s="201"/>
      <c r="BO23" s="143"/>
      <c r="BP23" s="143"/>
      <c r="BQ23" s="143"/>
      <c r="BR23" s="143"/>
      <c r="BS23" s="102"/>
      <c r="BT23" s="102"/>
      <c r="BU23" s="102"/>
      <c r="BV23" s="102"/>
      <c r="BW23" s="143"/>
      <c r="BX23" s="201"/>
      <c r="BY23" s="201"/>
      <c r="BZ23" s="201"/>
      <c r="CA23" s="143"/>
      <c r="CB23" s="143"/>
      <c r="CC23" s="201"/>
      <c r="CD23" s="201"/>
      <c r="CE23" s="201"/>
      <c r="CF23" s="143"/>
      <c r="CG23" s="143"/>
      <c r="CH23" s="143"/>
      <c r="CI23" s="143"/>
      <c r="CJ23" s="102"/>
      <c r="CK23" s="102"/>
      <c r="CL23" s="102"/>
      <c r="CM23" s="102"/>
      <c r="CN23" s="143"/>
      <c r="CO23" s="201"/>
      <c r="CP23" s="201"/>
      <c r="CQ23" s="201"/>
      <c r="CR23" s="143"/>
      <c r="CS23" s="143"/>
      <c r="CT23" s="201"/>
      <c r="CU23" s="201"/>
      <c r="CV23" s="201"/>
      <c r="CW23" s="143"/>
      <c r="CX23" s="143"/>
      <c r="CY23" s="143"/>
      <c r="CZ23" s="143"/>
      <c r="DA23" s="102"/>
      <c r="DB23" s="102"/>
      <c r="DC23" s="102"/>
      <c r="DD23" s="102"/>
      <c r="DE23" s="143"/>
      <c r="DF23" s="201"/>
      <c r="DG23" s="201"/>
      <c r="DH23" s="201"/>
      <c r="DI23" s="143"/>
      <c r="DJ23" s="143"/>
      <c r="DK23" s="201"/>
      <c r="DL23" s="201"/>
      <c r="DM23" s="201"/>
      <c r="DN23" s="143"/>
      <c r="DO23" s="143"/>
      <c r="DP23" s="143"/>
      <c r="DQ23" s="143"/>
      <c r="DR23" s="102"/>
      <c r="DS23" s="102"/>
      <c r="DT23" s="102"/>
      <c r="DU23" s="102"/>
      <c r="DV23" s="143"/>
      <c r="DW23" s="201"/>
      <c r="DX23" s="201"/>
      <c r="DY23" s="201"/>
      <c r="DZ23" s="143"/>
      <c r="EA23" s="143"/>
      <c r="EB23" s="201"/>
      <c r="EC23" s="201"/>
      <c r="ED23" s="201"/>
      <c r="EE23" s="143"/>
      <c r="EF23" s="143"/>
      <c r="EG23" s="143"/>
      <c r="EH23" s="143"/>
      <c r="EI23" s="102"/>
      <c r="EJ23" s="102"/>
      <c r="EK23" s="102"/>
      <c r="EL23" s="102"/>
      <c r="EM23" s="143"/>
      <c r="EN23" s="201"/>
      <c r="EO23" s="201"/>
      <c r="EP23" s="201"/>
      <c r="EQ23" s="143"/>
      <c r="ER23" s="143"/>
      <c r="ES23" s="201"/>
      <c r="ET23" s="201"/>
      <c r="EU23" s="201"/>
      <c r="EV23" s="143"/>
      <c r="EW23" s="143"/>
      <c r="EX23" s="143"/>
      <c r="EY23" s="143"/>
      <c r="EZ23" s="102"/>
      <c r="FA23" s="102"/>
      <c r="FB23" s="102"/>
      <c r="FC23" s="102"/>
      <c r="FD23" s="143"/>
      <c r="FE23" s="201"/>
      <c r="FF23" s="201"/>
      <c r="FG23" s="201"/>
      <c r="FH23" s="143"/>
      <c r="FI23" s="143"/>
      <c r="FJ23" s="201"/>
      <c r="FK23" s="201"/>
      <c r="FL23" s="201"/>
      <c r="FM23" s="143"/>
      <c r="FN23" s="143"/>
      <c r="FO23" s="143"/>
      <c r="FP23" s="143"/>
      <c r="FQ23" s="102"/>
      <c r="FR23" s="102"/>
      <c r="FS23" s="102"/>
      <c r="FT23" s="102"/>
      <c r="FU23" s="143"/>
      <c r="FV23" s="201"/>
      <c r="FW23" s="201"/>
      <c r="FX23" s="201"/>
      <c r="FY23" s="143"/>
      <c r="FZ23" s="143"/>
      <c r="GA23" s="201"/>
      <c r="GB23" s="201"/>
      <c r="GC23" s="201"/>
      <c r="GD23" s="143"/>
      <c r="GE23" s="143"/>
      <c r="GF23" s="143"/>
      <c r="GG23" s="143"/>
      <c r="GH23" s="102"/>
      <c r="GI23" s="102"/>
      <c r="GJ23" s="102"/>
      <c r="GK23" s="102"/>
      <c r="GL23" s="143"/>
      <c r="GM23" s="201"/>
      <c r="GN23" s="201"/>
      <c r="GO23" s="201"/>
      <c r="GP23" s="143"/>
      <c r="GQ23" s="143"/>
      <c r="GR23" s="201"/>
      <c r="GS23" s="201"/>
      <c r="GT23" s="201"/>
      <c r="GU23" s="143"/>
      <c r="GV23" s="143"/>
      <c r="GW23" s="143"/>
      <c r="GX23" s="143"/>
      <c r="GY23" s="102"/>
      <c r="GZ23" s="102"/>
      <c r="HA23" s="102"/>
      <c r="HB23" s="102"/>
      <c r="HC23" s="143"/>
      <c r="HD23" s="201"/>
      <c r="HE23" s="201"/>
      <c r="HF23" s="201"/>
      <c r="HG23" s="143"/>
      <c r="HH23" s="143"/>
      <c r="HI23" s="201"/>
      <c r="HJ23" s="201"/>
      <c r="HK23" s="201"/>
      <c r="HL23" s="143"/>
      <c r="HM23" s="143"/>
      <c r="HN23" s="143"/>
      <c r="HO23" s="143"/>
      <c r="HP23" s="102"/>
      <c r="HQ23" s="102"/>
      <c r="HR23" s="102"/>
      <c r="HS23" s="102"/>
      <c r="HT23" s="143"/>
      <c r="HU23" s="201"/>
      <c r="HV23" s="201"/>
      <c r="HW23" s="201"/>
      <c r="HX23" s="143"/>
      <c r="HY23" s="143"/>
      <c r="HZ23" s="201"/>
      <c r="IA23" s="201"/>
      <c r="IB23" s="201"/>
      <c r="IC23" s="143"/>
      <c r="ID23" s="143"/>
      <c r="IE23" s="143"/>
      <c r="IF23" s="143"/>
      <c r="IG23" s="102"/>
      <c r="IH23" s="102"/>
      <c r="II23" s="102"/>
      <c r="IJ23" s="102"/>
      <c r="IK23" s="143"/>
      <c r="IL23" s="201"/>
      <c r="IM23" s="201"/>
      <c r="IN23" s="201"/>
      <c r="IO23" s="143"/>
      <c r="IP23" s="143"/>
      <c r="IQ23" s="201"/>
      <c r="IR23" s="201"/>
      <c r="IS23" s="201"/>
      <c r="IT23" s="143"/>
      <c r="IU23" s="143"/>
      <c r="IV23" s="143"/>
      <c r="IW23" s="143"/>
      <c r="IX23" s="102"/>
      <c r="IY23" s="102"/>
      <c r="IZ23" s="102"/>
      <c r="JA23" s="102"/>
      <c r="JB23" s="143"/>
      <c r="JC23" s="201"/>
      <c r="JD23" s="201"/>
      <c r="JE23" s="201"/>
      <c r="JF23" s="143"/>
      <c r="JG23" s="143"/>
      <c r="JH23" s="201"/>
      <c r="JI23" s="201"/>
      <c r="JJ23" s="201"/>
      <c r="JK23" s="143"/>
      <c r="JL23" s="143"/>
      <c r="JM23" s="143"/>
      <c r="JN23" s="143"/>
      <c r="JO23" s="102"/>
      <c r="JP23" s="102"/>
      <c r="JQ23" s="102"/>
      <c r="JR23" s="102"/>
      <c r="JS23" s="143"/>
      <c r="JT23" s="201"/>
      <c r="JU23" s="201"/>
      <c r="JV23" s="201"/>
      <c r="JW23" s="143"/>
      <c r="JX23" s="143"/>
      <c r="JY23" s="201"/>
      <c r="JZ23" s="201"/>
      <c r="KA23" s="201"/>
      <c r="KB23" s="143"/>
      <c r="KC23" s="143"/>
      <c r="KD23" s="143"/>
      <c r="KE23" s="143"/>
      <c r="KF23" s="102"/>
      <c r="KG23" s="102"/>
      <c r="KH23" s="102"/>
      <c r="KI23" s="102"/>
      <c r="KJ23" s="143"/>
      <c r="KK23" s="201"/>
      <c r="KL23" s="201"/>
      <c r="KM23" s="201"/>
      <c r="KN23" s="143"/>
      <c r="KO23" s="143"/>
      <c r="KP23" s="201"/>
      <c r="KQ23" s="201"/>
      <c r="KR23" s="201"/>
      <c r="KS23" s="143"/>
      <c r="KT23" s="143"/>
      <c r="KU23" s="143"/>
      <c r="KV23" s="143"/>
      <c r="KW23" s="102"/>
      <c r="KX23" s="102"/>
      <c r="KY23" s="102"/>
      <c r="KZ23" s="102"/>
      <c r="LA23" s="143"/>
      <c r="LB23" s="201"/>
      <c r="LC23" s="201"/>
      <c r="LD23" s="201"/>
      <c r="LE23" s="143"/>
      <c r="LF23" s="143"/>
      <c r="LG23" s="201"/>
      <c r="LH23" s="201"/>
      <c r="LI23" s="201"/>
      <c r="LJ23" s="143"/>
      <c r="LK23" s="143"/>
      <c r="LL23" s="143"/>
      <c r="LM23" s="143"/>
      <c r="LN23" s="102"/>
      <c r="LO23" s="102"/>
      <c r="LP23" s="102"/>
      <c r="LQ23" s="102"/>
      <c r="LR23" s="143"/>
      <c r="LS23" s="201"/>
      <c r="LT23" s="201"/>
      <c r="LU23" s="201"/>
      <c r="LV23" s="143"/>
      <c r="LW23" s="143"/>
      <c r="LX23" s="201"/>
      <c r="LY23" s="201"/>
      <c r="LZ23" s="201"/>
      <c r="MA23" s="143"/>
      <c r="MB23" s="143"/>
      <c r="MC23" s="143"/>
      <c r="MD23" s="143"/>
      <c r="ME23" s="102"/>
      <c r="MF23" s="102"/>
      <c r="MG23" s="102"/>
      <c r="MH23" s="102"/>
      <c r="MI23" s="143"/>
      <c r="MJ23" s="201"/>
      <c r="MK23" s="201"/>
      <c r="ML23" s="201"/>
      <c r="MM23" s="143"/>
      <c r="MN23" s="143"/>
      <c r="MO23" s="201"/>
      <c r="MP23" s="201"/>
      <c r="MQ23" s="201"/>
      <c r="MR23" s="143"/>
      <c r="MS23" s="143"/>
      <c r="MT23" s="143"/>
      <c r="MU23" s="143"/>
      <c r="MV23" s="102"/>
      <c r="MW23" s="102"/>
      <c r="MX23" s="102"/>
      <c r="MY23" s="102"/>
      <c r="MZ23" s="143"/>
      <c r="NA23" s="201"/>
      <c r="NB23" s="201"/>
      <c r="NC23" s="201"/>
      <c r="ND23" s="143"/>
      <c r="NE23" s="143"/>
      <c r="NF23" s="201"/>
      <c r="NG23" s="201"/>
      <c r="NH23" s="201"/>
      <c r="NI23" s="143"/>
      <c r="NJ23" s="143"/>
      <c r="NK23" s="143"/>
      <c r="NL23" s="143"/>
      <c r="NM23" s="102"/>
      <c r="NN23" s="102"/>
      <c r="NO23" s="102"/>
      <c r="NP23" s="102"/>
      <c r="NQ23" s="143"/>
      <c r="NR23" s="201"/>
      <c r="NS23" s="201"/>
      <c r="NT23" s="201"/>
      <c r="NU23" s="143"/>
      <c r="NV23" s="143"/>
      <c r="NW23" s="201"/>
      <c r="NX23" s="201"/>
      <c r="NY23" s="201"/>
      <c r="NZ23" s="143"/>
      <c r="OA23" s="143"/>
      <c r="OB23" s="143"/>
      <c r="OC23" s="143"/>
      <c r="OD23" s="102"/>
      <c r="OE23" s="102"/>
      <c r="OF23" s="102"/>
      <c r="OG23" s="102"/>
      <c r="OH23" s="143"/>
      <c r="OI23" s="201"/>
      <c r="OJ23" s="201"/>
      <c r="OK23" s="201"/>
      <c r="OL23" s="143"/>
      <c r="OM23" s="143"/>
      <c r="ON23" s="201"/>
      <c r="OO23" s="201"/>
      <c r="OP23" s="201"/>
      <c r="OQ23" s="143"/>
      <c r="OR23" s="143"/>
      <c r="OS23" s="143"/>
      <c r="OT23" s="143"/>
      <c r="OU23" s="102"/>
      <c r="OV23" s="102"/>
      <c r="OW23" s="102"/>
      <c r="OX23" s="102"/>
      <c r="OY23" s="143"/>
      <c r="OZ23" s="201"/>
      <c r="PA23" s="201"/>
      <c r="PB23" s="201"/>
      <c r="PC23" s="143"/>
      <c r="PD23" s="143"/>
      <c r="PE23" s="201"/>
      <c r="PF23" s="201"/>
      <c r="PG23" s="201"/>
      <c r="PH23" s="143"/>
      <c r="PI23" s="143"/>
      <c r="PJ23" s="143"/>
      <c r="PK23" s="143"/>
      <c r="PL23" s="102"/>
      <c r="PM23" s="102"/>
      <c r="PN23" s="102"/>
      <c r="PO23" s="102"/>
      <c r="PP23" s="143"/>
      <c r="PQ23" s="201"/>
      <c r="PR23" s="201"/>
      <c r="PS23" s="201"/>
      <c r="PT23" s="143"/>
      <c r="PU23" s="143"/>
      <c r="PV23" s="201"/>
      <c r="PW23" s="201"/>
      <c r="PX23" s="201"/>
      <c r="PY23" s="143"/>
      <c r="PZ23" s="143"/>
      <c r="QA23" s="143"/>
      <c r="QB23" s="143"/>
      <c r="QC23" s="102"/>
      <c r="QD23" s="102"/>
      <c r="QE23" s="102"/>
      <c r="QF23" s="102"/>
      <c r="QG23" s="143"/>
      <c r="QH23" s="201"/>
      <c r="QI23" s="201"/>
      <c r="QJ23" s="201"/>
      <c r="QK23" s="143"/>
      <c r="QL23" s="143"/>
      <c r="QM23" s="201"/>
      <c r="QN23" s="201"/>
      <c r="QO23" s="201"/>
      <c r="QP23" s="143"/>
      <c r="QQ23" s="143"/>
      <c r="QR23" s="143"/>
      <c r="QS23" s="143"/>
      <c r="QT23" s="102"/>
      <c r="QU23" s="102"/>
      <c r="QV23" s="102"/>
      <c r="QW23" s="102"/>
      <c r="QX23" s="143"/>
      <c r="QY23" s="201"/>
      <c r="QZ23" s="201"/>
      <c r="RA23" s="201"/>
      <c r="RB23" s="143"/>
      <c r="RC23" s="143"/>
      <c r="RD23" s="201"/>
      <c r="RE23" s="201"/>
      <c r="RF23" s="201"/>
      <c r="RG23" s="143"/>
      <c r="RH23" s="143"/>
      <c r="RI23" s="143"/>
      <c r="RJ23" s="143"/>
      <c r="RK23" s="102"/>
      <c r="RL23" s="102"/>
      <c r="RM23" s="102"/>
      <c r="RN23" s="102"/>
      <c r="RO23" s="143"/>
      <c r="RP23" s="201"/>
      <c r="RQ23" s="201"/>
      <c r="RR23" s="201"/>
      <c r="RS23" s="143"/>
      <c r="RT23" s="143"/>
      <c r="RU23" s="201"/>
      <c r="RV23" s="201"/>
      <c r="RW23" s="201"/>
      <c r="RX23" s="143"/>
      <c r="RY23" s="143"/>
      <c r="RZ23" s="143"/>
      <c r="SA23" s="143"/>
      <c r="SB23" s="102"/>
      <c r="SC23" s="102"/>
      <c r="SD23" s="102"/>
      <c r="SE23" s="102"/>
      <c r="SF23" s="143"/>
      <c r="SG23" s="201"/>
      <c r="SH23" s="201"/>
      <c r="SI23" s="201"/>
      <c r="SJ23" s="143"/>
      <c r="SK23" s="143"/>
      <c r="SL23" s="201"/>
      <c r="SM23" s="201"/>
      <c r="SN23" s="201"/>
      <c r="SO23" s="143"/>
      <c r="SP23" s="143"/>
      <c r="SQ23" s="143"/>
      <c r="SR23" s="143"/>
    </row>
    <row r="24" spans="1:512" s="144" customFormat="1" ht="16.5" x14ac:dyDescent="0.25">
      <c r="C24" s="191"/>
      <c r="D24" s="191"/>
      <c r="E24" s="191"/>
      <c r="F24" s="102"/>
      <c r="G24" s="143"/>
      <c r="H24" s="201"/>
      <c r="I24" s="201"/>
      <c r="J24" s="201"/>
      <c r="K24" s="143"/>
      <c r="L24" s="143"/>
      <c r="M24" s="201"/>
      <c r="N24" s="201"/>
      <c r="O24" s="201"/>
      <c r="P24" s="143"/>
      <c r="Q24" s="143"/>
      <c r="R24" s="143"/>
      <c r="S24" s="143"/>
      <c r="T24" s="102"/>
      <c r="U24" s="102"/>
      <c r="V24" s="102"/>
      <c r="W24" s="102"/>
      <c r="X24" s="143"/>
      <c r="Y24" s="201"/>
      <c r="Z24" s="201"/>
      <c r="AA24" s="201"/>
      <c r="AB24" s="143"/>
      <c r="AC24" s="143"/>
      <c r="AD24" s="201"/>
      <c r="AE24" s="201"/>
      <c r="AF24" s="201"/>
      <c r="AG24" s="143"/>
      <c r="AH24" s="143"/>
      <c r="AI24" s="143"/>
      <c r="AJ24" s="143"/>
      <c r="AK24" s="102"/>
      <c r="AL24" s="102"/>
      <c r="AM24" s="102"/>
      <c r="AN24" s="102"/>
      <c r="AO24" s="143"/>
      <c r="AP24" s="201"/>
      <c r="AQ24" s="201"/>
      <c r="AR24" s="201"/>
      <c r="AS24" s="143"/>
      <c r="AT24" s="143"/>
      <c r="AU24" s="201"/>
      <c r="AV24" s="201"/>
      <c r="AW24" s="201"/>
      <c r="AX24" s="143"/>
      <c r="AY24" s="143"/>
      <c r="AZ24" s="143"/>
      <c r="BA24" s="143"/>
      <c r="BB24" s="102"/>
      <c r="BC24" s="102"/>
      <c r="BD24" s="102"/>
      <c r="BE24" s="102"/>
      <c r="BF24" s="143"/>
      <c r="BG24" s="201"/>
      <c r="BH24" s="201"/>
      <c r="BI24" s="201"/>
      <c r="BJ24" s="143"/>
      <c r="BK24" s="143"/>
      <c r="BL24" s="201"/>
      <c r="BM24" s="201"/>
      <c r="BN24" s="201"/>
      <c r="BO24" s="143"/>
      <c r="BP24" s="143"/>
      <c r="BQ24" s="143"/>
      <c r="BR24" s="143"/>
      <c r="BS24" s="102"/>
      <c r="BT24" s="102"/>
      <c r="BU24" s="102"/>
      <c r="BV24" s="102"/>
      <c r="BW24" s="143"/>
      <c r="BX24" s="201"/>
      <c r="BY24" s="201"/>
      <c r="BZ24" s="201"/>
      <c r="CA24" s="143"/>
      <c r="CB24" s="143"/>
      <c r="CC24" s="201"/>
      <c r="CD24" s="201"/>
      <c r="CE24" s="201"/>
      <c r="CF24" s="143"/>
      <c r="CG24" s="143"/>
      <c r="CH24" s="143"/>
      <c r="CI24" s="143"/>
      <c r="CJ24" s="102"/>
      <c r="CK24" s="102"/>
      <c r="CL24" s="102"/>
      <c r="CM24" s="102"/>
      <c r="CN24" s="143"/>
      <c r="CO24" s="201"/>
      <c r="CP24" s="201"/>
      <c r="CQ24" s="201"/>
      <c r="CR24" s="143"/>
      <c r="CS24" s="143"/>
      <c r="CT24" s="201"/>
      <c r="CU24" s="201"/>
      <c r="CV24" s="201"/>
      <c r="CW24" s="143"/>
      <c r="CX24" s="143"/>
      <c r="CY24" s="143"/>
      <c r="CZ24" s="143"/>
      <c r="DA24" s="102"/>
      <c r="DB24" s="102"/>
      <c r="DC24" s="102"/>
      <c r="DD24" s="102"/>
      <c r="DE24" s="143"/>
      <c r="DF24" s="201"/>
      <c r="DG24" s="201"/>
      <c r="DH24" s="201"/>
      <c r="DI24" s="143"/>
      <c r="DJ24" s="143"/>
      <c r="DK24" s="201"/>
      <c r="DL24" s="201"/>
      <c r="DM24" s="201"/>
      <c r="DN24" s="143"/>
      <c r="DO24" s="143"/>
      <c r="DP24" s="143"/>
      <c r="DQ24" s="143"/>
      <c r="DR24" s="102"/>
      <c r="DS24" s="102"/>
      <c r="DT24" s="102"/>
      <c r="DU24" s="102"/>
      <c r="DV24" s="143"/>
      <c r="DW24" s="201"/>
      <c r="DX24" s="201"/>
      <c r="DY24" s="201"/>
      <c r="DZ24" s="143"/>
      <c r="EA24" s="143"/>
      <c r="EB24" s="201"/>
      <c r="EC24" s="201"/>
      <c r="ED24" s="201"/>
      <c r="EE24" s="143"/>
      <c r="EF24" s="143"/>
      <c r="EG24" s="143"/>
      <c r="EH24" s="143"/>
      <c r="EI24" s="102"/>
      <c r="EJ24" s="102"/>
      <c r="EK24" s="102"/>
      <c r="EL24" s="102"/>
      <c r="EM24" s="143"/>
      <c r="EN24" s="201"/>
      <c r="EO24" s="201"/>
      <c r="EP24" s="201"/>
      <c r="EQ24" s="143"/>
      <c r="ER24" s="143"/>
      <c r="ES24" s="201"/>
      <c r="ET24" s="201"/>
      <c r="EU24" s="201"/>
      <c r="EV24" s="143"/>
      <c r="EW24" s="143"/>
      <c r="EX24" s="143"/>
      <c r="EY24" s="143"/>
      <c r="EZ24" s="102"/>
      <c r="FA24" s="102"/>
      <c r="FB24" s="102"/>
      <c r="FC24" s="102"/>
      <c r="FD24" s="143"/>
      <c r="FE24" s="201"/>
      <c r="FF24" s="201"/>
      <c r="FG24" s="201"/>
      <c r="FH24" s="143"/>
      <c r="FI24" s="143"/>
      <c r="FJ24" s="201"/>
      <c r="FK24" s="201"/>
      <c r="FL24" s="201"/>
      <c r="FM24" s="143"/>
      <c r="FN24" s="143"/>
      <c r="FO24" s="143"/>
      <c r="FP24" s="143"/>
      <c r="FQ24" s="102"/>
      <c r="FR24" s="102"/>
      <c r="FS24" s="102"/>
      <c r="FT24" s="102"/>
      <c r="FU24" s="143"/>
      <c r="FV24" s="201"/>
      <c r="FW24" s="201"/>
      <c r="FX24" s="201"/>
      <c r="FY24" s="143"/>
      <c r="FZ24" s="143"/>
      <c r="GA24" s="201"/>
      <c r="GB24" s="201"/>
      <c r="GC24" s="201"/>
      <c r="GD24" s="143"/>
      <c r="GE24" s="143"/>
      <c r="GF24" s="143"/>
      <c r="GG24" s="143"/>
      <c r="GH24" s="102"/>
      <c r="GI24" s="102"/>
      <c r="GJ24" s="102"/>
      <c r="GK24" s="102"/>
      <c r="GL24" s="143"/>
      <c r="GM24" s="201"/>
      <c r="GN24" s="201"/>
      <c r="GO24" s="201"/>
      <c r="GP24" s="143"/>
      <c r="GQ24" s="143"/>
      <c r="GR24" s="201"/>
      <c r="GS24" s="201"/>
      <c r="GT24" s="201"/>
      <c r="GU24" s="143"/>
      <c r="GV24" s="143"/>
      <c r="GW24" s="143"/>
      <c r="GX24" s="143"/>
      <c r="GY24" s="102"/>
      <c r="GZ24" s="102"/>
      <c r="HA24" s="102"/>
      <c r="HB24" s="102"/>
      <c r="HC24" s="143"/>
      <c r="HD24" s="201"/>
      <c r="HE24" s="201"/>
      <c r="HF24" s="201"/>
      <c r="HG24" s="143"/>
      <c r="HH24" s="143"/>
      <c r="HI24" s="201"/>
      <c r="HJ24" s="201"/>
      <c r="HK24" s="201"/>
      <c r="HL24" s="143"/>
      <c r="HM24" s="143"/>
      <c r="HN24" s="143"/>
      <c r="HO24" s="143"/>
      <c r="HP24" s="102"/>
      <c r="HQ24" s="102"/>
      <c r="HR24" s="102"/>
      <c r="HS24" s="102"/>
      <c r="HT24" s="143"/>
      <c r="HU24" s="201"/>
      <c r="HV24" s="201"/>
      <c r="HW24" s="201"/>
      <c r="HX24" s="143"/>
      <c r="HY24" s="143"/>
      <c r="HZ24" s="201"/>
      <c r="IA24" s="201"/>
      <c r="IB24" s="201"/>
      <c r="IC24" s="143"/>
      <c r="ID24" s="143"/>
      <c r="IE24" s="143"/>
      <c r="IF24" s="143"/>
      <c r="IG24" s="102"/>
      <c r="IH24" s="102"/>
      <c r="II24" s="102"/>
      <c r="IJ24" s="102"/>
      <c r="IK24" s="143"/>
      <c r="IL24" s="201"/>
      <c r="IM24" s="201"/>
      <c r="IN24" s="201"/>
      <c r="IO24" s="143"/>
      <c r="IP24" s="143"/>
      <c r="IQ24" s="201"/>
      <c r="IR24" s="201"/>
      <c r="IS24" s="201"/>
      <c r="IT24" s="143"/>
      <c r="IU24" s="143"/>
      <c r="IV24" s="143"/>
      <c r="IW24" s="143"/>
      <c r="IX24" s="102"/>
      <c r="IY24" s="102"/>
      <c r="IZ24" s="102"/>
      <c r="JA24" s="102"/>
      <c r="JB24" s="143"/>
      <c r="JC24" s="201"/>
      <c r="JD24" s="201"/>
      <c r="JE24" s="201"/>
      <c r="JF24" s="143"/>
      <c r="JG24" s="143"/>
      <c r="JH24" s="201"/>
      <c r="JI24" s="201"/>
      <c r="JJ24" s="201"/>
      <c r="JK24" s="143"/>
      <c r="JL24" s="143"/>
      <c r="JM24" s="143"/>
      <c r="JN24" s="143"/>
      <c r="JO24" s="102"/>
      <c r="JP24" s="102"/>
      <c r="JQ24" s="102"/>
      <c r="JR24" s="102"/>
      <c r="JS24" s="143"/>
      <c r="JT24" s="201"/>
      <c r="JU24" s="201"/>
      <c r="JV24" s="201"/>
      <c r="JW24" s="143"/>
      <c r="JX24" s="143"/>
      <c r="JY24" s="201"/>
      <c r="JZ24" s="201"/>
      <c r="KA24" s="201"/>
      <c r="KB24" s="143"/>
      <c r="KC24" s="143"/>
      <c r="KD24" s="143"/>
      <c r="KE24" s="143"/>
      <c r="KF24" s="102"/>
      <c r="KG24" s="102"/>
      <c r="KH24" s="102"/>
      <c r="KI24" s="102"/>
      <c r="KJ24" s="143"/>
      <c r="KK24" s="201"/>
      <c r="KL24" s="201"/>
      <c r="KM24" s="201"/>
      <c r="KN24" s="143"/>
      <c r="KO24" s="143"/>
      <c r="KP24" s="201"/>
      <c r="KQ24" s="201"/>
      <c r="KR24" s="201"/>
      <c r="KS24" s="143"/>
      <c r="KT24" s="143"/>
      <c r="KU24" s="143"/>
      <c r="KV24" s="143"/>
      <c r="KW24" s="102"/>
      <c r="KX24" s="102"/>
      <c r="KY24" s="102"/>
      <c r="KZ24" s="102"/>
      <c r="LA24" s="143"/>
      <c r="LB24" s="201"/>
      <c r="LC24" s="201"/>
      <c r="LD24" s="201"/>
      <c r="LE24" s="143"/>
      <c r="LF24" s="143"/>
      <c r="LG24" s="201"/>
      <c r="LH24" s="201"/>
      <c r="LI24" s="201"/>
      <c r="LJ24" s="143"/>
      <c r="LK24" s="143"/>
      <c r="LL24" s="143"/>
      <c r="LM24" s="143"/>
      <c r="LN24" s="102"/>
      <c r="LO24" s="102"/>
      <c r="LP24" s="102"/>
      <c r="LQ24" s="102"/>
      <c r="LR24" s="143"/>
      <c r="LS24" s="201"/>
      <c r="LT24" s="201"/>
      <c r="LU24" s="201"/>
      <c r="LV24" s="143"/>
      <c r="LW24" s="143"/>
      <c r="LX24" s="201"/>
      <c r="LY24" s="201"/>
      <c r="LZ24" s="201"/>
      <c r="MA24" s="143"/>
      <c r="MB24" s="143"/>
      <c r="MC24" s="143"/>
      <c r="MD24" s="143"/>
      <c r="ME24" s="102"/>
      <c r="MF24" s="102"/>
      <c r="MG24" s="102"/>
      <c r="MH24" s="102"/>
      <c r="MI24" s="143"/>
      <c r="MJ24" s="201"/>
      <c r="MK24" s="201"/>
      <c r="ML24" s="201"/>
      <c r="MM24" s="143"/>
      <c r="MN24" s="143"/>
      <c r="MO24" s="201"/>
      <c r="MP24" s="201"/>
      <c r="MQ24" s="201"/>
      <c r="MR24" s="143"/>
      <c r="MS24" s="143"/>
      <c r="MT24" s="143"/>
      <c r="MU24" s="143"/>
      <c r="MV24" s="102"/>
      <c r="MW24" s="102"/>
      <c r="MX24" s="102"/>
      <c r="MY24" s="102"/>
      <c r="MZ24" s="143"/>
      <c r="NA24" s="201"/>
      <c r="NB24" s="201"/>
      <c r="NC24" s="201"/>
      <c r="ND24" s="143"/>
      <c r="NE24" s="143"/>
      <c r="NF24" s="201"/>
      <c r="NG24" s="201"/>
      <c r="NH24" s="201"/>
      <c r="NI24" s="143"/>
      <c r="NJ24" s="143"/>
      <c r="NK24" s="143"/>
      <c r="NL24" s="143"/>
      <c r="NM24" s="102"/>
      <c r="NN24" s="102"/>
      <c r="NO24" s="102"/>
      <c r="NP24" s="102"/>
      <c r="NQ24" s="143"/>
      <c r="NR24" s="201"/>
      <c r="NS24" s="201"/>
      <c r="NT24" s="201"/>
      <c r="NU24" s="143"/>
      <c r="NV24" s="143"/>
      <c r="NW24" s="201"/>
      <c r="NX24" s="201"/>
      <c r="NY24" s="201"/>
      <c r="NZ24" s="143"/>
      <c r="OA24" s="143"/>
      <c r="OB24" s="143"/>
      <c r="OC24" s="143"/>
      <c r="OD24" s="102"/>
      <c r="OE24" s="102"/>
      <c r="OF24" s="102"/>
      <c r="OG24" s="102"/>
      <c r="OH24" s="143"/>
      <c r="OI24" s="201"/>
      <c r="OJ24" s="201"/>
      <c r="OK24" s="201"/>
      <c r="OL24" s="143"/>
      <c r="OM24" s="143"/>
      <c r="ON24" s="201"/>
      <c r="OO24" s="201"/>
      <c r="OP24" s="201"/>
      <c r="OQ24" s="143"/>
      <c r="OR24" s="143"/>
      <c r="OS24" s="143"/>
      <c r="OT24" s="143"/>
      <c r="OU24" s="102"/>
      <c r="OV24" s="102"/>
      <c r="OW24" s="102"/>
      <c r="OX24" s="102"/>
      <c r="OY24" s="143"/>
      <c r="OZ24" s="201"/>
      <c r="PA24" s="201"/>
      <c r="PB24" s="201"/>
      <c r="PC24" s="143"/>
      <c r="PD24" s="143"/>
      <c r="PE24" s="201"/>
      <c r="PF24" s="201"/>
      <c r="PG24" s="201"/>
      <c r="PH24" s="143"/>
      <c r="PI24" s="143"/>
      <c r="PJ24" s="143"/>
      <c r="PK24" s="143"/>
      <c r="PL24" s="102"/>
      <c r="PM24" s="102"/>
      <c r="PN24" s="102"/>
      <c r="PO24" s="102"/>
      <c r="PP24" s="143"/>
      <c r="PQ24" s="201"/>
      <c r="PR24" s="201"/>
      <c r="PS24" s="201"/>
      <c r="PT24" s="143"/>
      <c r="PU24" s="143"/>
      <c r="PV24" s="201"/>
      <c r="PW24" s="201"/>
      <c r="PX24" s="201"/>
      <c r="PY24" s="143"/>
      <c r="PZ24" s="143"/>
      <c r="QA24" s="143"/>
      <c r="QB24" s="143"/>
      <c r="QC24" s="102"/>
      <c r="QD24" s="102"/>
      <c r="QE24" s="102"/>
      <c r="QF24" s="102"/>
      <c r="QG24" s="143"/>
      <c r="QH24" s="201"/>
      <c r="QI24" s="201"/>
      <c r="QJ24" s="201"/>
      <c r="QK24" s="143"/>
      <c r="QL24" s="143"/>
      <c r="QM24" s="201"/>
      <c r="QN24" s="201"/>
      <c r="QO24" s="201"/>
      <c r="QP24" s="143"/>
      <c r="QQ24" s="143"/>
      <c r="QR24" s="143"/>
      <c r="QS24" s="143"/>
      <c r="QT24" s="102"/>
      <c r="QU24" s="102"/>
      <c r="QV24" s="102"/>
      <c r="QW24" s="102"/>
      <c r="QX24" s="143"/>
      <c r="QY24" s="201"/>
      <c r="QZ24" s="201"/>
      <c r="RA24" s="201"/>
      <c r="RB24" s="143"/>
      <c r="RC24" s="143"/>
      <c r="RD24" s="201"/>
      <c r="RE24" s="201"/>
      <c r="RF24" s="201"/>
      <c r="RG24" s="143"/>
      <c r="RH24" s="143"/>
      <c r="RI24" s="143"/>
      <c r="RJ24" s="143"/>
      <c r="RK24" s="102"/>
      <c r="RL24" s="102"/>
      <c r="RM24" s="102"/>
      <c r="RN24" s="102"/>
      <c r="RO24" s="143"/>
      <c r="RP24" s="201"/>
      <c r="RQ24" s="201"/>
      <c r="RR24" s="201"/>
      <c r="RS24" s="143"/>
      <c r="RT24" s="143"/>
      <c r="RU24" s="201"/>
      <c r="RV24" s="201"/>
      <c r="RW24" s="201"/>
      <c r="RX24" s="143"/>
      <c r="RY24" s="143"/>
      <c r="RZ24" s="143"/>
      <c r="SA24" s="143"/>
      <c r="SB24" s="102"/>
      <c r="SC24" s="102"/>
      <c r="SD24" s="102"/>
      <c r="SE24" s="102"/>
      <c r="SF24" s="143"/>
      <c r="SG24" s="201"/>
      <c r="SH24" s="201"/>
      <c r="SI24" s="201"/>
      <c r="SJ24" s="143"/>
      <c r="SK24" s="143"/>
      <c r="SL24" s="201"/>
      <c r="SM24" s="201"/>
      <c r="SN24" s="201"/>
      <c r="SO24" s="143"/>
      <c r="SP24" s="143"/>
      <c r="SQ24" s="143"/>
      <c r="SR24" s="143"/>
    </row>
    <row r="25" spans="1:512" s="144" customFormat="1" ht="16.5" x14ac:dyDescent="0.25">
      <c r="C25" s="191"/>
      <c r="D25" s="191"/>
      <c r="E25" s="191"/>
      <c r="F25" s="102"/>
      <c r="G25" s="143"/>
      <c r="H25" s="201"/>
      <c r="I25" s="201"/>
      <c r="J25" s="201"/>
      <c r="K25" s="143"/>
      <c r="L25" s="143"/>
      <c r="M25" s="201"/>
      <c r="N25" s="201"/>
      <c r="O25" s="201"/>
      <c r="P25" s="143"/>
      <c r="Q25" s="143"/>
      <c r="R25" s="143"/>
      <c r="S25" s="143"/>
      <c r="T25" s="102"/>
      <c r="U25" s="102"/>
      <c r="V25" s="102"/>
      <c r="W25" s="102"/>
      <c r="X25" s="143"/>
      <c r="Y25" s="201"/>
      <c r="Z25" s="201"/>
      <c r="AA25" s="201"/>
      <c r="AB25" s="143"/>
      <c r="AC25" s="143"/>
      <c r="AD25" s="201"/>
      <c r="AE25" s="201"/>
      <c r="AF25" s="201"/>
      <c r="AG25" s="143"/>
      <c r="AH25" s="143"/>
      <c r="AI25" s="143"/>
      <c r="AJ25" s="143"/>
      <c r="AK25" s="102"/>
      <c r="AL25" s="102"/>
      <c r="AM25" s="102"/>
      <c r="AN25" s="102"/>
      <c r="AO25" s="143"/>
      <c r="AP25" s="201"/>
      <c r="AQ25" s="201"/>
      <c r="AR25" s="201"/>
      <c r="AS25" s="143"/>
      <c r="AT25" s="143"/>
      <c r="AU25" s="201"/>
      <c r="AV25" s="201"/>
      <c r="AW25" s="201"/>
      <c r="AX25" s="143"/>
      <c r="AY25" s="143"/>
      <c r="AZ25" s="143"/>
      <c r="BA25" s="143"/>
      <c r="BB25" s="102"/>
      <c r="BC25" s="102"/>
      <c r="BD25" s="102"/>
      <c r="BE25" s="102"/>
      <c r="BF25" s="143"/>
      <c r="BG25" s="201"/>
      <c r="BH25" s="201"/>
      <c r="BI25" s="201"/>
      <c r="BJ25" s="143"/>
      <c r="BK25" s="143"/>
      <c r="BL25" s="201"/>
      <c r="BM25" s="201"/>
      <c r="BN25" s="201"/>
      <c r="BO25" s="143"/>
      <c r="BP25" s="143"/>
      <c r="BQ25" s="143"/>
      <c r="BR25" s="143"/>
      <c r="BS25" s="102"/>
      <c r="BT25" s="102"/>
      <c r="BU25" s="102"/>
      <c r="BV25" s="102"/>
      <c r="BW25" s="143"/>
      <c r="BX25" s="201"/>
      <c r="BY25" s="201"/>
      <c r="BZ25" s="201"/>
      <c r="CA25" s="143"/>
      <c r="CB25" s="143"/>
      <c r="CC25" s="201"/>
      <c r="CD25" s="201"/>
      <c r="CE25" s="201"/>
      <c r="CF25" s="143"/>
      <c r="CG25" s="143"/>
      <c r="CH25" s="143"/>
      <c r="CI25" s="143"/>
      <c r="CJ25" s="102"/>
      <c r="CK25" s="102"/>
      <c r="CL25" s="102"/>
      <c r="CM25" s="102"/>
      <c r="CN25" s="143"/>
      <c r="CO25" s="201"/>
      <c r="CP25" s="201"/>
      <c r="CQ25" s="201"/>
      <c r="CR25" s="143"/>
      <c r="CS25" s="143"/>
      <c r="CT25" s="201"/>
      <c r="CU25" s="201"/>
      <c r="CV25" s="201"/>
      <c r="CW25" s="143"/>
      <c r="CX25" s="143"/>
      <c r="CY25" s="143"/>
      <c r="CZ25" s="143"/>
      <c r="DA25" s="102"/>
      <c r="DB25" s="102"/>
      <c r="DC25" s="102"/>
      <c r="DD25" s="102"/>
      <c r="DE25" s="143"/>
      <c r="DF25" s="201"/>
      <c r="DG25" s="201"/>
      <c r="DH25" s="201"/>
      <c r="DI25" s="143"/>
      <c r="DJ25" s="143"/>
      <c r="DK25" s="201"/>
      <c r="DL25" s="201"/>
      <c r="DM25" s="201"/>
      <c r="DN25" s="143"/>
      <c r="DO25" s="143"/>
      <c r="DP25" s="143"/>
      <c r="DQ25" s="143"/>
      <c r="DR25" s="102"/>
      <c r="DS25" s="102"/>
      <c r="DT25" s="102"/>
      <c r="DU25" s="102"/>
      <c r="DV25" s="143"/>
      <c r="DW25" s="201"/>
      <c r="DX25" s="201"/>
      <c r="DY25" s="201"/>
      <c r="DZ25" s="143"/>
      <c r="EA25" s="143"/>
      <c r="EB25" s="201"/>
      <c r="EC25" s="201"/>
      <c r="ED25" s="201"/>
      <c r="EE25" s="143"/>
      <c r="EF25" s="143"/>
      <c r="EG25" s="143"/>
      <c r="EH25" s="143"/>
      <c r="EI25" s="102"/>
      <c r="EJ25" s="102"/>
      <c r="EK25" s="102"/>
      <c r="EL25" s="102"/>
      <c r="EM25" s="143"/>
      <c r="EN25" s="201"/>
      <c r="EO25" s="201"/>
      <c r="EP25" s="201"/>
      <c r="EQ25" s="143"/>
      <c r="ER25" s="143"/>
      <c r="ES25" s="201"/>
      <c r="ET25" s="201"/>
      <c r="EU25" s="201"/>
      <c r="EV25" s="143"/>
      <c r="EW25" s="143"/>
      <c r="EX25" s="143"/>
      <c r="EY25" s="143"/>
      <c r="EZ25" s="102"/>
      <c r="FA25" s="102"/>
      <c r="FB25" s="102"/>
      <c r="FC25" s="102"/>
      <c r="FD25" s="143"/>
      <c r="FE25" s="201"/>
      <c r="FF25" s="201"/>
      <c r="FG25" s="201"/>
      <c r="FH25" s="143"/>
      <c r="FI25" s="143"/>
      <c r="FJ25" s="201"/>
      <c r="FK25" s="201"/>
      <c r="FL25" s="201"/>
      <c r="FM25" s="143"/>
      <c r="FN25" s="143"/>
      <c r="FO25" s="143"/>
      <c r="FP25" s="143"/>
      <c r="FQ25" s="102"/>
      <c r="FR25" s="102"/>
      <c r="FS25" s="102"/>
      <c r="FT25" s="102"/>
      <c r="FU25" s="143"/>
      <c r="FV25" s="201"/>
      <c r="FW25" s="201"/>
      <c r="FX25" s="201"/>
      <c r="FY25" s="143"/>
      <c r="FZ25" s="143"/>
      <c r="GA25" s="201"/>
      <c r="GB25" s="201"/>
      <c r="GC25" s="201"/>
      <c r="GD25" s="143"/>
      <c r="GE25" s="143"/>
      <c r="GF25" s="143"/>
      <c r="GG25" s="143"/>
      <c r="GH25" s="102"/>
      <c r="GI25" s="102"/>
      <c r="GJ25" s="102"/>
      <c r="GK25" s="102"/>
      <c r="GL25" s="143"/>
      <c r="GM25" s="201"/>
      <c r="GN25" s="201"/>
      <c r="GO25" s="201"/>
      <c r="GP25" s="143"/>
      <c r="GQ25" s="143"/>
      <c r="GR25" s="201"/>
      <c r="GS25" s="201"/>
      <c r="GT25" s="201"/>
      <c r="GU25" s="143"/>
      <c r="GV25" s="143"/>
      <c r="GW25" s="143"/>
      <c r="GX25" s="143"/>
      <c r="GY25" s="102"/>
      <c r="GZ25" s="102"/>
      <c r="HA25" s="102"/>
      <c r="HB25" s="102"/>
      <c r="HC25" s="143"/>
      <c r="HD25" s="201"/>
      <c r="HE25" s="201"/>
      <c r="HF25" s="201"/>
      <c r="HG25" s="143"/>
      <c r="HH25" s="143"/>
      <c r="HI25" s="201"/>
      <c r="HJ25" s="201"/>
      <c r="HK25" s="201"/>
      <c r="HL25" s="143"/>
      <c r="HM25" s="143"/>
      <c r="HN25" s="143"/>
      <c r="HO25" s="143"/>
      <c r="HP25" s="102"/>
      <c r="HQ25" s="102"/>
      <c r="HR25" s="102"/>
      <c r="HS25" s="102"/>
      <c r="HT25" s="143"/>
      <c r="HU25" s="201"/>
      <c r="HV25" s="201"/>
      <c r="HW25" s="201"/>
      <c r="HX25" s="143"/>
      <c r="HY25" s="143"/>
      <c r="HZ25" s="201"/>
      <c r="IA25" s="201"/>
      <c r="IB25" s="201"/>
      <c r="IC25" s="143"/>
      <c r="ID25" s="143"/>
      <c r="IE25" s="143"/>
      <c r="IF25" s="143"/>
      <c r="IG25" s="102"/>
      <c r="IH25" s="102"/>
      <c r="II25" s="102"/>
      <c r="IJ25" s="102"/>
      <c r="IK25" s="143"/>
      <c r="IL25" s="201"/>
      <c r="IM25" s="201"/>
      <c r="IN25" s="201"/>
      <c r="IO25" s="143"/>
      <c r="IP25" s="143"/>
      <c r="IQ25" s="201"/>
      <c r="IR25" s="201"/>
      <c r="IS25" s="201"/>
      <c r="IT25" s="143"/>
      <c r="IU25" s="143"/>
      <c r="IV25" s="143"/>
      <c r="IW25" s="143"/>
      <c r="IX25" s="102"/>
      <c r="IY25" s="102"/>
      <c r="IZ25" s="102"/>
      <c r="JA25" s="102"/>
      <c r="JB25" s="143"/>
      <c r="JC25" s="201"/>
      <c r="JD25" s="201"/>
      <c r="JE25" s="201"/>
      <c r="JF25" s="143"/>
      <c r="JG25" s="143"/>
      <c r="JH25" s="201"/>
      <c r="JI25" s="201"/>
      <c r="JJ25" s="201"/>
      <c r="JK25" s="143"/>
      <c r="JL25" s="143"/>
      <c r="JM25" s="143"/>
      <c r="JN25" s="143"/>
      <c r="JO25" s="102"/>
      <c r="JP25" s="102"/>
      <c r="JQ25" s="102"/>
      <c r="JR25" s="102"/>
      <c r="JS25" s="143"/>
      <c r="JT25" s="201"/>
      <c r="JU25" s="201"/>
      <c r="JV25" s="201"/>
      <c r="JW25" s="143"/>
      <c r="JX25" s="143"/>
      <c r="JY25" s="201"/>
      <c r="JZ25" s="201"/>
      <c r="KA25" s="201"/>
      <c r="KB25" s="143"/>
      <c r="KC25" s="143"/>
      <c r="KD25" s="143"/>
      <c r="KE25" s="143"/>
      <c r="KF25" s="102"/>
      <c r="KG25" s="102"/>
      <c r="KH25" s="102"/>
      <c r="KI25" s="102"/>
      <c r="KJ25" s="143"/>
      <c r="KK25" s="201"/>
      <c r="KL25" s="201"/>
      <c r="KM25" s="201"/>
      <c r="KN25" s="143"/>
      <c r="KO25" s="143"/>
      <c r="KP25" s="201"/>
      <c r="KQ25" s="201"/>
      <c r="KR25" s="201"/>
      <c r="KS25" s="143"/>
      <c r="KT25" s="143"/>
      <c r="KU25" s="143"/>
      <c r="KV25" s="143"/>
      <c r="KW25" s="102"/>
      <c r="KX25" s="102"/>
      <c r="KY25" s="102"/>
      <c r="KZ25" s="102"/>
      <c r="LA25" s="143"/>
      <c r="LB25" s="201"/>
      <c r="LC25" s="201"/>
      <c r="LD25" s="201"/>
      <c r="LE25" s="143"/>
      <c r="LF25" s="143"/>
      <c r="LG25" s="201"/>
      <c r="LH25" s="201"/>
      <c r="LI25" s="201"/>
      <c r="LJ25" s="143"/>
      <c r="LK25" s="143"/>
      <c r="LL25" s="143"/>
      <c r="LM25" s="143"/>
      <c r="LN25" s="102"/>
      <c r="LO25" s="102"/>
      <c r="LP25" s="102"/>
      <c r="LQ25" s="102"/>
      <c r="LR25" s="143"/>
      <c r="LS25" s="201"/>
      <c r="LT25" s="201"/>
      <c r="LU25" s="201"/>
      <c r="LV25" s="143"/>
      <c r="LW25" s="143"/>
      <c r="LX25" s="201"/>
      <c r="LY25" s="201"/>
      <c r="LZ25" s="201"/>
      <c r="MA25" s="143"/>
      <c r="MB25" s="143"/>
      <c r="MC25" s="143"/>
      <c r="MD25" s="143"/>
      <c r="ME25" s="102"/>
      <c r="MF25" s="102"/>
      <c r="MG25" s="102"/>
      <c r="MH25" s="102"/>
      <c r="MI25" s="143"/>
      <c r="MJ25" s="201"/>
      <c r="MK25" s="201"/>
      <c r="ML25" s="201"/>
      <c r="MM25" s="143"/>
      <c r="MN25" s="143"/>
      <c r="MO25" s="201"/>
      <c r="MP25" s="201"/>
      <c r="MQ25" s="201"/>
      <c r="MR25" s="143"/>
      <c r="MS25" s="143"/>
      <c r="MT25" s="143"/>
      <c r="MU25" s="143"/>
      <c r="MV25" s="102"/>
      <c r="MW25" s="102"/>
      <c r="MX25" s="102"/>
      <c r="MY25" s="102"/>
      <c r="MZ25" s="143"/>
      <c r="NA25" s="201"/>
      <c r="NB25" s="201"/>
      <c r="NC25" s="201"/>
      <c r="ND25" s="143"/>
      <c r="NE25" s="143"/>
      <c r="NF25" s="201"/>
      <c r="NG25" s="201"/>
      <c r="NH25" s="201"/>
      <c r="NI25" s="143"/>
      <c r="NJ25" s="143"/>
      <c r="NK25" s="143"/>
      <c r="NL25" s="143"/>
      <c r="NM25" s="102"/>
      <c r="NN25" s="102"/>
      <c r="NO25" s="102"/>
      <c r="NP25" s="102"/>
      <c r="NQ25" s="143"/>
      <c r="NR25" s="201"/>
      <c r="NS25" s="201"/>
      <c r="NT25" s="201"/>
      <c r="NU25" s="143"/>
      <c r="NV25" s="143"/>
      <c r="NW25" s="201"/>
      <c r="NX25" s="201"/>
      <c r="NY25" s="201"/>
      <c r="NZ25" s="143"/>
      <c r="OA25" s="143"/>
      <c r="OB25" s="143"/>
      <c r="OC25" s="143"/>
      <c r="OD25" s="102"/>
      <c r="OE25" s="102"/>
      <c r="OF25" s="102"/>
      <c r="OG25" s="102"/>
      <c r="OH25" s="143"/>
      <c r="OI25" s="201"/>
      <c r="OJ25" s="201"/>
      <c r="OK25" s="201"/>
      <c r="OL25" s="143"/>
      <c r="OM25" s="143"/>
      <c r="ON25" s="201"/>
      <c r="OO25" s="201"/>
      <c r="OP25" s="201"/>
      <c r="OQ25" s="143"/>
      <c r="OR25" s="143"/>
      <c r="OS25" s="143"/>
      <c r="OT25" s="143"/>
      <c r="OU25" s="102"/>
      <c r="OV25" s="102"/>
      <c r="OW25" s="102"/>
      <c r="OX25" s="102"/>
      <c r="OY25" s="143"/>
      <c r="OZ25" s="201"/>
      <c r="PA25" s="201"/>
      <c r="PB25" s="201"/>
      <c r="PC25" s="143"/>
      <c r="PD25" s="143"/>
      <c r="PE25" s="201"/>
      <c r="PF25" s="201"/>
      <c r="PG25" s="201"/>
      <c r="PH25" s="143"/>
      <c r="PI25" s="143"/>
      <c r="PJ25" s="143"/>
      <c r="PK25" s="143"/>
      <c r="PL25" s="102"/>
      <c r="PM25" s="102"/>
      <c r="PN25" s="102"/>
      <c r="PO25" s="102"/>
      <c r="PP25" s="143"/>
      <c r="PQ25" s="201"/>
      <c r="PR25" s="201"/>
      <c r="PS25" s="201"/>
      <c r="PT25" s="143"/>
      <c r="PU25" s="143"/>
      <c r="PV25" s="201"/>
      <c r="PW25" s="201"/>
      <c r="PX25" s="201"/>
      <c r="PY25" s="143"/>
      <c r="PZ25" s="143"/>
      <c r="QA25" s="143"/>
      <c r="QB25" s="143"/>
      <c r="QC25" s="102"/>
      <c r="QD25" s="102"/>
      <c r="QE25" s="102"/>
      <c r="QF25" s="102"/>
      <c r="QG25" s="143"/>
      <c r="QH25" s="201"/>
      <c r="QI25" s="201"/>
      <c r="QJ25" s="201"/>
      <c r="QK25" s="143"/>
      <c r="QL25" s="143"/>
      <c r="QM25" s="201"/>
      <c r="QN25" s="201"/>
      <c r="QO25" s="201"/>
      <c r="QP25" s="143"/>
      <c r="QQ25" s="143"/>
      <c r="QR25" s="143"/>
      <c r="QS25" s="143"/>
      <c r="QT25" s="102"/>
      <c r="QU25" s="102"/>
      <c r="QV25" s="102"/>
      <c r="QW25" s="102"/>
      <c r="QX25" s="143"/>
      <c r="QY25" s="201"/>
      <c r="QZ25" s="201"/>
      <c r="RA25" s="201"/>
      <c r="RB25" s="143"/>
      <c r="RC25" s="143"/>
      <c r="RD25" s="201"/>
      <c r="RE25" s="201"/>
      <c r="RF25" s="201"/>
      <c r="RG25" s="143"/>
      <c r="RH25" s="143"/>
      <c r="RI25" s="143"/>
      <c r="RJ25" s="143"/>
      <c r="RK25" s="102"/>
      <c r="RL25" s="102"/>
      <c r="RM25" s="102"/>
      <c r="RN25" s="102"/>
      <c r="RO25" s="143"/>
      <c r="RP25" s="201"/>
      <c r="RQ25" s="201"/>
      <c r="RR25" s="201"/>
      <c r="RS25" s="143"/>
      <c r="RT25" s="143"/>
      <c r="RU25" s="201"/>
      <c r="RV25" s="201"/>
      <c r="RW25" s="201"/>
      <c r="RX25" s="143"/>
      <c r="RY25" s="143"/>
      <c r="RZ25" s="143"/>
      <c r="SA25" s="143"/>
      <c r="SB25" s="102"/>
      <c r="SC25" s="102"/>
      <c r="SD25" s="102"/>
      <c r="SE25" s="102"/>
      <c r="SF25" s="143"/>
      <c r="SG25" s="201"/>
      <c r="SH25" s="201"/>
      <c r="SI25" s="201"/>
      <c r="SJ25" s="143"/>
      <c r="SK25" s="143"/>
      <c r="SL25" s="201"/>
      <c r="SM25" s="201"/>
      <c r="SN25" s="201"/>
      <c r="SO25" s="143"/>
      <c r="SP25" s="143"/>
      <c r="SQ25" s="143"/>
      <c r="SR25" s="143"/>
    </row>
  </sheetData>
  <sheetProtection algorithmName="SHA-512" hashValue="asrBzT3KDc03gpQ1RkNSGUmtUyZxhfOBuREqBsGtMkNq5BGAoq7cwMjI9jODP1Hdbq+mHrMDo3e21h4Nyd4m+A==" saltValue="QEcgKXYYMMGRCSuNEi277A==" spinCount="100000" sheet="1" insertColumns="0" deleteColumns="0" selectLockedCells="1"/>
  <dataConsolidate/>
  <mergeCells count="13">
    <mergeCell ref="A20:B20"/>
    <mergeCell ref="A11:B11"/>
    <mergeCell ref="A13:B13"/>
    <mergeCell ref="A15:B15"/>
    <mergeCell ref="A16:B16"/>
    <mergeCell ref="A17:B17"/>
    <mergeCell ref="A19:B19"/>
    <mergeCell ref="A10:B10"/>
    <mergeCell ref="A1:B1"/>
    <mergeCell ref="A5:B5"/>
    <mergeCell ref="A6:B6"/>
    <mergeCell ref="A8:B8"/>
    <mergeCell ref="A9:B9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ref!$B$3:$B$6</xm:f>
          </x14:formula1>
          <xm:sqref>H5:J6 C5:E6 M5:O6 QM8:QO11 QH8:QJ11 QC8:QE11 C13:E13 H13:J13 M13:O13 PE8:PG11 OZ8:PB11 OU8:OW11 C15:E17 H15:J17 M15:O17 ON8:OP11 OI8:OK11 OD8:OF11 C19:E19 H19:J19 M19:O19 M8:O11 H8:J11 C8:E11 OD5:OF6 OI5:OK6 ON5:OP6 OD13:OF13 OI13:OK13 ON13:OP13 OD15:OF17 OI15:OK17 ON15:OP17 OD19:OF19 OI19:OK19 ON19:OP19 OU5:OW6 OZ5:PB6 PE5:PG6 OU13:OW13 OZ13:PB13 PE13:PG13 OU15:OW17 OZ15:PB17 PE15:PG17 OU19:OW19 OZ19:PB19 PE19:PG19 QC5:QE6 QH5:QJ6 QM5:QO6 QC13:QE13 QH13:QJ13 QM13:QO13 QC15:QE17 QH15:QJ17 QM15:QO17 QC19:QE19 QH19:QJ19 QM19:QO19 PL5:PN6 PQ5:PS6 PV5:PX6 PL13:PN13 PQ13:PS13 PV13:PX13 PL15:PN17 PQ15:PS17 PV15:PX17 PL19:PN19 PQ19:PS19 PV19:PX19 QT5:QV6 QY5:RA6 RD5:RF6 QT13:QV13 QY13:RA13 RD13:RF13 QT15:QV17 QY15:RA17 RD15:RF17 QT19:QV19 QY19:RA19 RD19:RF19 RK5:RM6 RP5:RR6 RU5:RW6 RK13:RM13 RP13:RR13 RU13:RW13 RK15:RM17 RP15:RR17 RU15:RW17 RK19:RM19 RP19:RR19 RU19:RW19 Y5:AA6 T5:V6 AD5:AF6 T13:V13 Y13:AA13 AD13:AF13 T15:V17 Y15:AA17 AD15:AF17 T19:V19 Y19:AA19 AD19:AF19 BB5:BD6 BG5:BI6 BL5:BN6 BB13:BD13 BG13:BI13 BL13:BN13 BB15:BD17 BG15:BI17 BL15:BN17 BB19:BD19 BG19:BI19 BL19:BN19 BS5:BU6 BX5:BZ6 CC5:CE6 BS13:BU13 BX13:BZ13 CC13:CE13 BS15:BU17 BX15:BZ17 CC15:CE17 BS19:BU19 BX19:BZ19 CC19:CE19 CJ5:CL6 CO5:CQ6 CT5:CV6 CJ13:CL13 CO13:CQ13 CT13:CV13 CJ15:CL17 CO15:CQ17 CT15:CV17 CJ19:CL19 CO19:CQ19 CT19:CV19 DA5:DC6 DF5:DH6 DK5:DM6 DA13:DC13 DF13:DH13 DK13:DM13 DA15:DC17 DF15:DH17 DK15:DM17 DA19:DC19 DF19:DH19 DK19:DM19 DR5:DT6 DW5:DY6 EB5:ED6 DR13:DT13 DW13:DY13 EB13:ED13 DR15:DT17 DW15:DY17 EB15:ED17 DR19:DT19 DW19:DY19 EB19:ED19 EI5:EK6 EN5:EP6 ES5:EU6 EI13:EK13 EN13:EP13 ES13:EU13 EI15:EK17 EN15:EP17 ES15:EU17 EI19:EK19 EN19:EP19 ES19:EU19 EZ5:FB6 FE5:FG6 FJ5:FL6 EZ13:FB13 FE13:FG13 FJ13:FL13 EZ15:FB17 FE15:FG17 FJ15:FL17 EZ19:FB19 FE19:FG19 FJ19:FL19 FQ5:FS6 FV5:FX6 GA5:GC6 FQ13:FS13 FV13:FX13 GA13:GC13 FQ15:FS17 FV15:FX17 GA15:GC17 FQ19:FS19 FV19:FX19 GA19:GC19 GH5:GJ6 GM5:GO6 GR5:GT6 GH13:GJ13 GM13:GO13 GR13:GT13 GH15:GJ17 GM15:GO17 GR15:GT17 GH19:GJ19 GM19:GO19 GR19:GT19 GY5:HA6 HD5:HF6 HI5:HK6 GY13:HA13 HD13:HF13 HI13:HK13 GY15:HA17 HD15:HF17 HI15:HK17 GY19:HA19 HD19:HF19 HI19:HK19 HP5:HR6 HU5:HW6 HZ5:IB6 HP13:HR13 HU13:HW13 HZ13:IB13 HP15:HR17 HU15:HW17 HZ15:IB17 HP19:HR19 HU19:HW19 HZ19:IB19 IG5:II6 IL5:IN6 IQ5:IS6 IG13:II13 IL13:IN13 IQ13:IS13 IG15:II17 IL15:IN17 IQ15:IS17 IG19:II19 IL19:IN19 IQ19:IS19 IX5:IZ6 JC5:JE6 JH5:JJ6 IX13:IZ13 JC13:JE13 JH13:JJ13 IX15:IZ17 JC15:JE17 JH15:JJ17 IX19:IZ19 JC19:JE19 JH19:JJ19 JO5:JQ6 JT5:JV6 JY5:KA6 JO13:JQ13 JT13:JV13 JY13:KA13 JO15:JQ17 JT15:JV17 JY15:KA17 JO19:JQ19 JT19:JV19 JY19:KA19 KF5:KH6 KK5:KM6 KP5:KR6 KF13:KH13 KK13:KM13 KP13:KR13 KF15:KH17 KK15:KM17 KP15:KR17 KF19:KH19 KK19:KM19 KP19:KR19 KW5:KY6 LB5:LD6 LG5:LI6 KW13:KY13 LB13:LD13 LG13:LI13 KW15:KY17 LB15:LD17 LG15:LI17 KW19:KY19 LB19:LD19 LG19:LI19 LN5:LP6 LS5:LU6 LX5:LZ6 LN13:LP13 LS13:LU13 LX13:LZ13 LN15:LP17 LS15:LU17 LX15:LZ17 LN19:LP19 LS19:LU19 LX19:LZ19 ME5:MG6 MJ5:ML6 MO5:MQ6 ME13:MG13 MJ13:ML13 MO13:MQ13 ME15:MG17 MJ15:ML17 MO15:MQ17 ME19:MG19 MJ19:ML19 MO19:MQ19 MV5:MX6 NA5:NC6 NF5:NH6 MV13:MX13 NA13:NC13 NF13:NH13 MV15:MX17 NA15:NC17 NF15:NH17 MV19:MX19 NA19:NC19 NF19:NH19 NM5:NO6 NR5:NT6 NW5:NY6 NM13:NO13 NR13:NT13 NW13:NY13 NM15:NO17 NR15:NT17 NW15:NY17 NM19:NO19 NR19:NT19 NW19:NY19 SB5:SD6 SG5:SI6 SL5:SN6 SB13:SD13 SG13:SI13 SL13:SN13 SB15:SD17 SG15:SI17 SL15:SN17 SB19:SD19 SG19:SI19 SL19:SN19 SL8:SN11 SG8:SI11 SB8:SD11 NW8:NY11 NR8:NT11 NM8:NO11 NF8:NH11 NA8:NC11 MV8:MX11 MO8:MQ11 MJ8:ML11 ME8:MG11 LX8:LZ11 LS8:LU11 LN8:LP11 LG8:LI11 LB8:LD11 KW8:KY11 KP8:KR11 KK8:KM11 KF8:KH11 JY8:KA11 JT8:JV11 JO8:JQ11 JH8:JJ11 JC8:JE11 IX8:IZ11 IQ8:IS11 IL8:IN11 IG8:II11 HZ8:IB11 HU8:HW11 HP8:HR11 HI8:HK11 HD8:HF11 GY8:HA11 GR8:GT11 GM8:GO11 GH8:GJ11 GA8:GC11 FV8:FX11 FQ8:FS11 FJ8:FL11 FE8:FG11 EZ8:FB11 ES8:EU11 EN8:EP11 EI8:EK11 EB8:ED11 DW8:DY11 DR8:DT11 DK8:DM11 DF8:DH11 DA8:DC11 CT8:CV11 CO8:CQ11 CJ8:CL11 CC8:CE11 BX8:BZ11 BS8:BU11 BL8:BN11 BG8:BI11 BB8:BD11 AD8:AF11 Y8:AA11 T8:V11 RU8:RW11 RP8:RR11 RK8:RM11 RD8:RF11 QY8:RA11 QT8:QV11 PV8:PX11 PQ8:PS11 PL8:PN11 AP5:AR6 AK5:AM6 AU5:AW6 AK13:AM13 AP13:AR13 AU13:AW13 AK15:AM17 AP15:AR17 AU15:AW17 AK19:AM19 AP19:AR19 AU19:AW19 AU8:AW11 AP8:AR11 AK8:AM11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9"/>
  <dimension ref="A1:AC33"/>
  <sheetViews>
    <sheetView topLeftCell="C1" zoomScale="90" zoomScaleNormal="90" workbookViewId="0">
      <selection activeCell="AC3" sqref="AC3"/>
    </sheetView>
  </sheetViews>
  <sheetFormatPr baseColWidth="10" defaultRowHeight="15" x14ac:dyDescent="0.25"/>
  <cols>
    <col min="1" max="1" width="30.7109375" style="48" customWidth="1"/>
    <col min="2" max="27" width="6.7109375" style="48" customWidth="1"/>
    <col min="28" max="28" width="3" style="48" customWidth="1"/>
    <col min="29" max="29" width="20.140625" style="48" customWidth="1"/>
    <col min="30" max="16384" width="11.42578125" style="48"/>
  </cols>
  <sheetData>
    <row r="1" spans="1:29" ht="31.5" customHeight="1" thickBot="1" x14ac:dyDescent="0.3">
      <c r="A1" s="37" t="s">
        <v>202</v>
      </c>
      <c r="B1" s="221" t="s">
        <v>0</v>
      </c>
      <c r="C1" s="221"/>
      <c r="D1" s="221"/>
      <c r="E1" s="221"/>
      <c r="F1" s="221"/>
      <c r="G1" s="221"/>
      <c r="H1" s="221"/>
      <c r="I1" s="221"/>
      <c r="J1" s="221"/>
      <c r="K1" s="221"/>
      <c r="L1" s="221"/>
      <c r="M1" s="221"/>
      <c r="N1" s="221"/>
      <c r="O1" s="221"/>
      <c r="P1" s="221"/>
      <c r="Q1" s="221"/>
      <c r="R1" s="221"/>
      <c r="S1" s="221"/>
      <c r="T1" s="221"/>
      <c r="U1" s="221"/>
      <c r="V1" s="221"/>
      <c r="W1" s="221"/>
      <c r="X1" s="221"/>
      <c r="Y1" s="221"/>
      <c r="Z1" s="221"/>
      <c r="AA1" s="222"/>
      <c r="AC1" s="38" t="s">
        <v>36</v>
      </c>
    </row>
    <row r="2" spans="1:29" ht="24.95" customHeight="1" thickTop="1" x14ac:dyDescent="0.25">
      <c r="A2" s="223" t="s">
        <v>1</v>
      </c>
      <c r="B2" s="225" t="s">
        <v>2</v>
      </c>
      <c r="C2" s="225"/>
      <c r="D2" s="225"/>
      <c r="E2" s="226"/>
      <c r="F2" s="227" t="s">
        <v>3</v>
      </c>
      <c r="G2" s="228"/>
      <c r="H2" s="228"/>
      <c r="I2" s="229"/>
      <c r="J2" s="227" t="s">
        <v>4</v>
      </c>
      <c r="K2" s="228"/>
      <c r="L2" s="228"/>
      <c r="M2" s="229"/>
      <c r="N2" s="227" t="s">
        <v>5</v>
      </c>
      <c r="O2" s="228"/>
      <c r="P2" s="228"/>
      <c r="Q2" s="229"/>
      <c r="R2" s="227" t="s">
        <v>6</v>
      </c>
      <c r="S2" s="228"/>
      <c r="T2" s="228"/>
      <c r="U2" s="229"/>
      <c r="V2" s="230" t="s">
        <v>34</v>
      </c>
      <c r="W2" s="231"/>
      <c r="X2" s="232"/>
      <c r="Y2" s="233" t="s">
        <v>33</v>
      </c>
      <c r="Z2" s="234"/>
      <c r="AA2" s="235"/>
      <c r="AC2" s="47" t="s">
        <v>203</v>
      </c>
    </row>
    <row r="3" spans="1:29" ht="24.95" customHeight="1" thickBot="1" x14ac:dyDescent="0.3">
      <c r="A3" s="224"/>
      <c r="B3" s="18" t="s">
        <v>28</v>
      </c>
      <c r="C3" s="19" t="s">
        <v>29</v>
      </c>
      <c r="D3" s="18" t="s">
        <v>30</v>
      </c>
      <c r="E3" s="20" t="s">
        <v>10</v>
      </c>
      <c r="F3" s="21" t="s">
        <v>28</v>
      </c>
      <c r="G3" s="22" t="s">
        <v>29</v>
      </c>
      <c r="H3" s="23" t="s">
        <v>30</v>
      </c>
      <c r="I3" s="24" t="s">
        <v>10</v>
      </c>
      <c r="J3" s="25" t="s">
        <v>28</v>
      </c>
      <c r="K3" s="26" t="s">
        <v>29</v>
      </c>
      <c r="L3" s="23" t="s">
        <v>30</v>
      </c>
      <c r="M3" s="24" t="s">
        <v>10</v>
      </c>
      <c r="N3" s="21" t="s">
        <v>28</v>
      </c>
      <c r="O3" s="27" t="s">
        <v>29</v>
      </c>
      <c r="P3" s="23" t="s">
        <v>30</v>
      </c>
      <c r="Q3" s="24" t="s">
        <v>10</v>
      </c>
      <c r="R3" s="21" t="s">
        <v>28</v>
      </c>
      <c r="S3" s="27" t="s">
        <v>29</v>
      </c>
      <c r="T3" s="23" t="s">
        <v>30</v>
      </c>
      <c r="U3" s="24" t="s">
        <v>10</v>
      </c>
      <c r="V3" s="16" t="s">
        <v>28</v>
      </c>
      <c r="W3" s="17" t="s">
        <v>29</v>
      </c>
      <c r="X3" s="17" t="s">
        <v>30</v>
      </c>
      <c r="Y3" s="40"/>
      <c r="Z3" s="41"/>
      <c r="AA3" s="42"/>
      <c r="AB3" s="43"/>
      <c r="AC3" s="39" t="s">
        <v>194</v>
      </c>
    </row>
    <row r="4" spans="1:29" ht="15.75" customHeight="1" thickTop="1" x14ac:dyDescent="0.25">
      <c r="A4" s="44" t="str">
        <f ca="1">CELL("contenu",INDIRECT(ADDRESS(ROW()-2,7,1,,CELL("contenu",$AC$3))))</f>
        <v>BARDOU Juliette</v>
      </c>
      <c r="B4" s="1" t="str">
        <f ca="1">CELL("contenu",INDIRECT(ADDRESS(ref!$K$3,ref!E3,1,,CELL("contenu",$AC$2))))</f>
        <v/>
      </c>
      <c r="C4" s="2" t="str">
        <f ca="1">CELL("contenu",INDIRECT(ADDRESS(ref!$K$3,ref!F3,1,,CELL("contenu",$AC$2))))</f>
        <v/>
      </c>
      <c r="D4" s="3" t="str">
        <f ca="1">CELL("contenu",INDIRECT(ADDRESS(ref!$K$3,ref!G3,1,,CELL("contenu",$AC$2))))</f>
        <v/>
      </c>
      <c r="E4" s="4" t="str">
        <f ca="1">CELL("contenu",INDIRECT(ADDRESS(ref!$K$3,ref!H3,1,,CELL("contenu",$AC$2))))</f>
        <v/>
      </c>
      <c r="F4" s="5" t="str">
        <f ca="1">CELL("contenu",INDIRECT(ADDRESS(ref!$K$4,ref!E3,1,,CELL("contenu",$AC$2))))</f>
        <v>B</v>
      </c>
      <c r="G4" s="2" t="str">
        <f ca="1">CELL("contenu",INDIRECT(ADDRESS(ref!$K$4,ref!F3,1,,CELL("contenu",$AC$2))))</f>
        <v/>
      </c>
      <c r="H4" s="3" t="str">
        <f ca="1">CELL("contenu",INDIRECT(ADDRESS(ref!$K$4,ref!G3,1,,CELL("contenu",$AC$2))))</f>
        <v/>
      </c>
      <c r="I4" s="4" t="str">
        <f ca="1">CELL("contenu",INDIRECT(ADDRESS(ref!$K$4,ref!H3,1,,CELL("contenu",$AC$2))))</f>
        <v>B</v>
      </c>
      <c r="J4" s="5" t="str">
        <f ca="1">CELL("contenu",INDIRECT(ADDRESS(ref!$K$5,ref!E3,1,,CELL("contenu",$AC$2))))</f>
        <v/>
      </c>
      <c r="K4" s="2" t="str">
        <f ca="1">CELL("contenu",INDIRECT(ADDRESS(ref!$K$5,ref!F3,1,,CELL("contenu",$AC$2))))</f>
        <v/>
      </c>
      <c r="L4" s="3" t="str">
        <f ca="1">CELL("contenu",INDIRECT(ADDRESS(ref!$K$5,ref!G3,1,,CELL("contenu",$AC$2))))</f>
        <v/>
      </c>
      <c r="M4" s="4" t="str">
        <f ca="1">CELL("contenu",INDIRECT(ADDRESS(ref!$K$5,ref!H3,1,,CELL("contenu",$AC$2))))</f>
        <v/>
      </c>
      <c r="N4" s="5" t="str">
        <f ca="1">CELL("contenu",INDIRECT(ADDRESS(ref!$K$6,ref!E3,1,,CELL("contenu",$AC$2))))</f>
        <v/>
      </c>
      <c r="O4" s="2" t="str">
        <f ca="1">CELL("contenu",INDIRECT(ADDRESS(ref!$K$6,ref!F3,1,,CELL("contenu",$AC$2))))</f>
        <v/>
      </c>
      <c r="P4" s="3" t="str">
        <f ca="1">CELL("contenu",INDIRECT(ADDRESS(ref!$K$6,ref!G3,1,,CELL("contenu",$AC$2))))</f>
        <v/>
      </c>
      <c r="Q4" s="4" t="str">
        <f ca="1">CELL("contenu",INDIRECT(ADDRESS(ref!$K$6,ref!H3,1,,CELL("contenu",$AC$2))))</f>
        <v/>
      </c>
      <c r="R4" s="5" t="str">
        <f ca="1">CELL("contenu",INDIRECT(ADDRESS(ref!$K$7,ref!E3,1,,CELL("contenu",$AC$2))))</f>
        <v>A</v>
      </c>
      <c r="S4" s="2" t="str">
        <f ca="1">CELL("contenu",INDIRECT(ADDRESS(ref!$K$7,ref!F3,1,,CELL("contenu",$AC$2))))</f>
        <v/>
      </c>
      <c r="T4" s="3" t="str">
        <f ca="1">CELL("contenu",INDIRECT(ADDRESS(ref!$K$7,ref!G3,1,,CELL("contenu",$AC$2))))</f>
        <v/>
      </c>
      <c r="U4" s="4" t="str">
        <f ca="1">CELL("contenu",INDIRECT(ADDRESS(ref!$K$7,ref!H3,1,,CELL("contenu",$AC$2))))</f>
        <v>A</v>
      </c>
      <c r="V4" s="28">
        <f ca="1">CELL("contenu",INDIRECT(ADDRESS(ref!$K$8,ref!E3,1,,CELL("contenu",$AC$2))))</f>
        <v>18.333333333333332</v>
      </c>
      <c r="W4" s="29" t="str">
        <f ca="1">CELL("contenu",INDIRECT(ADDRESS(ref!$K$8,ref!F3,1,,CELL("contenu",$AC$2))))</f>
        <v/>
      </c>
      <c r="X4" s="30" t="str">
        <f ca="1">CELL("contenu",INDIRECT(ADDRESS(ref!$K$8,ref!G3,1,,CELL("contenu",$AC$2))))</f>
        <v/>
      </c>
      <c r="Y4" s="6" t="str">
        <f ca="1">CELL("contenu",INDIRECT(ADDRESS(ref!$K$9,ref!H3,1,,CELL("contenu",$AC$2))))</f>
        <v/>
      </c>
      <c r="Z4" s="3" t="str">
        <f ca="1">CELL("contenu",INDIRECT(ADDRESS(ref!$K$10,ref!H3,1,,CELL("contenu",$AC$2))))</f>
        <v/>
      </c>
      <c r="AA4" s="7" t="str">
        <f ca="1">CELL("contenu",INDIRECT(ADDRESS(ref!$K$11,ref!H3,1,,CELL("contenu",$AC$2))))</f>
        <v/>
      </c>
    </row>
    <row r="5" spans="1:29" x14ac:dyDescent="0.25">
      <c r="A5" s="44" t="str">
        <f t="shared" ref="A5:A33" ca="1" si="0">CELL("contenu",INDIRECT(ADDRESS(ROW()-2,7,1,,CELL("contenu",$AC$3))))</f>
        <v>BARTHELEMY Philomene</v>
      </c>
      <c r="B5" s="1" t="str">
        <f ca="1">CELL("contenu",INDIRECT(ADDRESS(ref!$K$3,ref!E4,1,,CELL("contenu",$AC$2))))</f>
        <v/>
      </c>
      <c r="C5" s="2" t="str">
        <f ca="1">CELL("contenu",INDIRECT(ADDRESS(ref!$K$3,ref!F4,1,,CELL("contenu",$AC$2))))</f>
        <v/>
      </c>
      <c r="D5" s="3" t="str">
        <f ca="1">CELL("contenu",INDIRECT(ADDRESS(ref!$K$3,ref!G4,1,,CELL("contenu",$AC$2))))</f>
        <v/>
      </c>
      <c r="E5" s="4" t="str">
        <f ca="1">CELL("contenu",INDIRECT(ADDRESS(ref!$K$3,ref!H4,1,,CELL("contenu",$AC$2))))</f>
        <v/>
      </c>
      <c r="F5" s="5" t="str">
        <f ca="1">CELL("contenu",INDIRECT(ADDRESS(ref!$K$4,ref!E4,1,,CELL("contenu",$AC$2))))</f>
        <v>D</v>
      </c>
      <c r="G5" s="2" t="str">
        <f ca="1">CELL("contenu",INDIRECT(ADDRESS(ref!$K$4,ref!F4,1,,CELL("contenu",$AC$2))))</f>
        <v/>
      </c>
      <c r="H5" s="3" t="str">
        <f ca="1">CELL("contenu",INDIRECT(ADDRESS(ref!$K$4,ref!G4,1,,CELL("contenu",$AC$2))))</f>
        <v/>
      </c>
      <c r="I5" s="4" t="str">
        <f ca="1">CELL("contenu",INDIRECT(ADDRESS(ref!$K$4,ref!H4,1,,CELL("contenu",$AC$2))))</f>
        <v>D</v>
      </c>
      <c r="J5" s="5" t="str">
        <f ca="1">CELL("contenu",INDIRECT(ADDRESS(ref!$K$5,ref!E4,1,,CELL("contenu",$AC$2))))</f>
        <v/>
      </c>
      <c r="K5" s="2" t="str">
        <f ca="1">CELL("contenu",INDIRECT(ADDRESS(ref!$K$5,ref!F4,1,,CELL("contenu",$AC$2))))</f>
        <v/>
      </c>
      <c r="L5" s="3" t="str">
        <f ca="1">CELL("contenu",INDIRECT(ADDRESS(ref!$K$5,ref!G4,1,,CELL("contenu",$AC$2))))</f>
        <v/>
      </c>
      <c r="M5" s="4" t="str">
        <f ca="1">CELL("contenu",INDIRECT(ADDRESS(ref!$K$5,ref!H4,1,,CELL("contenu",$AC$2))))</f>
        <v/>
      </c>
      <c r="N5" s="5" t="str">
        <f ca="1">CELL("contenu",INDIRECT(ADDRESS(ref!$K$6,ref!E4,1,,CELL("contenu",$AC$2))))</f>
        <v/>
      </c>
      <c r="O5" s="2" t="str">
        <f ca="1">CELL("contenu",INDIRECT(ADDRESS(ref!$K$6,ref!F4,1,,CELL("contenu",$AC$2))))</f>
        <v/>
      </c>
      <c r="P5" s="3" t="str">
        <f ca="1">CELL("contenu",INDIRECT(ADDRESS(ref!$K$6,ref!G4,1,,CELL("contenu",$AC$2))))</f>
        <v/>
      </c>
      <c r="Q5" s="4" t="str">
        <f ca="1">CELL("contenu",INDIRECT(ADDRESS(ref!$K$6,ref!H4,1,,CELL("contenu",$AC$2))))</f>
        <v/>
      </c>
      <c r="R5" s="5" t="str">
        <f ca="1">CELL("contenu",INDIRECT(ADDRESS(ref!$K$7,ref!E4,1,,CELL("contenu",$AC$2))))</f>
        <v>A</v>
      </c>
      <c r="S5" s="2" t="str">
        <f ca="1">CELL("contenu",INDIRECT(ADDRESS(ref!$K$7,ref!F4,1,,CELL("contenu",$AC$2))))</f>
        <v/>
      </c>
      <c r="T5" s="3" t="str">
        <f ca="1">CELL("contenu",INDIRECT(ADDRESS(ref!$K$7,ref!G4,1,,CELL("contenu",$AC$2))))</f>
        <v/>
      </c>
      <c r="U5" s="4" t="str">
        <f ca="1">CELL("contenu",INDIRECT(ADDRESS(ref!$K$7,ref!H4,1,,CELL("contenu",$AC$2))))</f>
        <v>A</v>
      </c>
      <c r="V5" s="28">
        <f ca="1">CELL("contenu",INDIRECT(ADDRESS(ref!$K$8,ref!E4,1,,CELL("contenu",$AC$2))))</f>
        <v>11.666666666666666</v>
      </c>
      <c r="W5" s="29" t="str">
        <f ca="1">CELL("contenu",INDIRECT(ADDRESS(ref!$K$8,ref!F4,1,,CELL("contenu",$AC$2))))</f>
        <v/>
      </c>
      <c r="X5" s="30" t="str">
        <f ca="1">CELL("contenu",INDIRECT(ADDRESS(ref!$K$8,ref!G4,1,,CELL("contenu",$AC$2))))</f>
        <v/>
      </c>
      <c r="Y5" s="6" t="str">
        <f ca="1">CELL("contenu",INDIRECT(ADDRESS(ref!$K$9,ref!H4,1,,CELL("contenu",$AC$2))))</f>
        <v/>
      </c>
      <c r="Z5" s="3" t="str">
        <f ca="1">CELL("contenu",INDIRECT(ADDRESS(ref!$K$10,ref!H4,1,,CELL("contenu",$AC$2))))</f>
        <v/>
      </c>
      <c r="AA5" s="7" t="str">
        <f ca="1">CELL("contenu",INDIRECT(ADDRESS(ref!$K$11,ref!H4,1,,CELL("contenu",$AC$2))))</f>
        <v/>
      </c>
    </row>
    <row r="6" spans="1:29" x14ac:dyDescent="0.25">
      <c r="A6" s="44" t="str">
        <f t="shared" ca="1" si="0"/>
        <v>BERTE Gregoire</v>
      </c>
      <c r="B6" s="1" t="str">
        <f ca="1">CELL("contenu",INDIRECT(ADDRESS(ref!$K$3,ref!E5,1,,CELL("contenu",$AC$2))))</f>
        <v/>
      </c>
      <c r="C6" s="2" t="str">
        <f ca="1">CELL("contenu",INDIRECT(ADDRESS(ref!$K$3,ref!F5,1,,CELL("contenu",$AC$2))))</f>
        <v/>
      </c>
      <c r="D6" s="3" t="str">
        <f ca="1">CELL("contenu",INDIRECT(ADDRESS(ref!$K$3,ref!G5,1,,CELL("contenu",$AC$2))))</f>
        <v/>
      </c>
      <c r="E6" s="4" t="str">
        <f ca="1">CELL("contenu",INDIRECT(ADDRESS(ref!$K$3,ref!H5,1,,CELL("contenu",$AC$2))))</f>
        <v/>
      </c>
      <c r="F6" s="5" t="str">
        <f ca="1">CELL("contenu",INDIRECT(ADDRESS(ref!$K$4,ref!E5,1,,CELL("contenu",$AC$2))))</f>
        <v>D</v>
      </c>
      <c r="G6" s="2" t="str">
        <f ca="1">CELL("contenu",INDIRECT(ADDRESS(ref!$K$4,ref!F5,1,,CELL("contenu",$AC$2))))</f>
        <v/>
      </c>
      <c r="H6" s="3" t="str">
        <f ca="1">CELL("contenu",INDIRECT(ADDRESS(ref!$K$4,ref!G5,1,,CELL("contenu",$AC$2))))</f>
        <v/>
      </c>
      <c r="I6" s="4" t="str">
        <f ca="1">CELL("contenu",INDIRECT(ADDRESS(ref!$K$4,ref!H5,1,,CELL("contenu",$AC$2))))</f>
        <v>D</v>
      </c>
      <c r="J6" s="5" t="str">
        <f ca="1">CELL("contenu",INDIRECT(ADDRESS(ref!$K$5,ref!E5,1,,CELL("contenu",$AC$2))))</f>
        <v/>
      </c>
      <c r="K6" s="2" t="str">
        <f ca="1">CELL("contenu",INDIRECT(ADDRESS(ref!$K$5,ref!F5,1,,CELL("contenu",$AC$2))))</f>
        <v/>
      </c>
      <c r="L6" s="3" t="str">
        <f ca="1">CELL("contenu",INDIRECT(ADDRESS(ref!$K$5,ref!G5,1,,CELL("contenu",$AC$2))))</f>
        <v/>
      </c>
      <c r="M6" s="4" t="str">
        <f ca="1">CELL("contenu",INDIRECT(ADDRESS(ref!$K$5,ref!H5,1,,CELL("contenu",$AC$2))))</f>
        <v/>
      </c>
      <c r="N6" s="5" t="str">
        <f ca="1">CELL("contenu",INDIRECT(ADDRESS(ref!$K$6,ref!E5,1,,CELL("contenu",$AC$2))))</f>
        <v/>
      </c>
      <c r="O6" s="2" t="str">
        <f ca="1">CELL("contenu",INDIRECT(ADDRESS(ref!$K$6,ref!F5,1,,CELL("contenu",$AC$2))))</f>
        <v/>
      </c>
      <c r="P6" s="3" t="str">
        <f ca="1">CELL("contenu",INDIRECT(ADDRESS(ref!$K$6,ref!G5,1,,CELL("contenu",$AC$2))))</f>
        <v/>
      </c>
      <c r="Q6" s="4" t="str">
        <f ca="1">CELL("contenu",INDIRECT(ADDRESS(ref!$K$6,ref!H5,1,,CELL("contenu",$AC$2))))</f>
        <v/>
      </c>
      <c r="R6" s="5" t="str">
        <f ca="1">CELL("contenu",INDIRECT(ADDRESS(ref!$K$7,ref!E5,1,,CELL("contenu",$AC$2))))</f>
        <v>A</v>
      </c>
      <c r="S6" s="2" t="str">
        <f ca="1">CELL("contenu",INDIRECT(ADDRESS(ref!$K$7,ref!F5,1,,CELL("contenu",$AC$2))))</f>
        <v/>
      </c>
      <c r="T6" s="3" t="str">
        <f ca="1">CELL("contenu",INDIRECT(ADDRESS(ref!$K$7,ref!G5,1,,CELL("contenu",$AC$2))))</f>
        <v/>
      </c>
      <c r="U6" s="4" t="str">
        <f ca="1">CELL("contenu",INDIRECT(ADDRESS(ref!$K$7,ref!H5,1,,CELL("contenu",$AC$2))))</f>
        <v>A</v>
      </c>
      <c r="V6" s="28">
        <f ca="1">CELL("contenu",INDIRECT(ADDRESS(ref!$K$8,ref!E5,1,,CELL("contenu",$AC$2))))</f>
        <v>11.666666666666666</v>
      </c>
      <c r="W6" s="29" t="str">
        <f ca="1">CELL("contenu",INDIRECT(ADDRESS(ref!$K$8,ref!F5,1,,CELL("contenu",$AC$2))))</f>
        <v/>
      </c>
      <c r="X6" s="30" t="str">
        <f ca="1">CELL("contenu",INDIRECT(ADDRESS(ref!$K$8,ref!G5,1,,CELL("contenu",$AC$2))))</f>
        <v/>
      </c>
      <c r="Y6" s="6" t="str">
        <f ca="1">CELL("contenu",INDIRECT(ADDRESS(ref!$K$9,ref!H5,1,,CELL("contenu",$AC$2))))</f>
        <v/>
      </c>
      <c r="Z6" s="3" t="str">
        <f ca="1">CELL("contenu",INDIRECT(ADDRESS(ref!$K$10,ref!H5,1,,CELL("contenu",$AC$2))))</f>
        <v/>
      </c>
      <c r="AA6" s="7" t="str">
        <f ca="1">CELL("contenu",INDIRECT(ADDRESS(ref!$K$11,ref!H5,1,,CELL("contenu",$AC$2))))</f>
        <v/>
      </c>
    </row>
    <row r="7" spans="1:29" x14ac:dyDescent="0.25">
      <c r="A7" s="44" t="str">
        <f t="shared" ca="1" si="0"/>
        <v>CRASSOUS Theodore</v>
      </c>
      <c r="B7" s="1" t="str">
        <f ca="1">CELL("contenu",INDIRECT(ADDRESS(ref!$K$3,ref!E6,1,,CELL("contenu",$AC$2))))</f>
        <v/>
      </c>
      <c r="C7" s="2" t="str">
        <f ca="1">CELL("contenu",INDIRECT(ADDRESS(ref!$K$3,ref!F6,1,,CELL("contenu",$AC$2))))</f>
        <v/>
      </c>
      <c r="D7" s="3" t="str">
        <f ca="1">CELL("contenu",INDIRECT(ADDRESS(ref!$K$3,ref!G6,1,,CELL("contenu",$AC$2))))</f>
        <v/>
      </c>
      <c r="E7" s="4" t="str">
        <f ca="1">CELL("contenu",INDIRECT(ADDRESS(ref!$K$3,ref!H6,1,,CELL("contenu",$AC$2))))</f>
        <v/>
      </c>
      <c r="F7" s="5" t="str">
        <f ca="1">CELL("contenu",INDIRECT(ADDRESS(ref!$K$4,ref!E6,1,,CELL("contenu",$AC$2))))</f>
        <v/>
      </c>
      <c r="G7" s="2" t="str">
        <f ca="1">CELL("contenu",INDIRECT(ADDRESS(ref!$K$4,ref!F6,1,,CELL("contenu",$AC$2))))</f>
        <v/>
      </c>
      <c r="H7" s="3" t="str">
        <f ca="1">CELL("contenu",INDIRECT(ADDRESS(ref!$K$4,ref!G6,1,,CELL("contenu",$AC$2))))</f>
        <v/>
      </c>
      <c r="I7" s="4" t="str">
        <f ca="1">CELL("contenu",INDIRECT(ADDRESS(ref!$K$4,ref!H6,1,,CELL("contenu",$AC$2))))</f>
        <v/>
      </c>
      <c r="J7" s="5" t="str">
        <f ca="1">CELL("contenu",INDIRECT(ADDRESS(ref!$K$5,ref!E6,1,,CELL("contenu",$AC$2))))</f>
        <v/>
      </c>
      <c r="K7" s="2" t="str">
        <f ca="1">CELL("contenu",INDIRECT(ADDRESS(ref!$K$5,ref!F6,1,,CELL("contenu",$AC$2))))</f>
        <v/>
      </c>
      <c r="L7" s="3" t="str">
        <f ca="1">CELL("contenu",INDIRECT(ADDRESS(ref!$K$5,ref!G6,1,,CELL("contenu",$AC$2))))</f>
        <v/>
      </c>
      <c r="M7" s="4" t="str">
        <f ca="1">CELL("contenu",INDIRECT(ADDRESS(ref!$K$5,ref!H6,1,,CELL("contenu",$AC$2))))</f>
        <v/>
      </c>
      <c r="N7" s="5" t="str">
        <f ca="1">CELL("contenu",INDIRECT(ADDRESS(ref!$K$6,ref!E6,1,,CELL("contenu",$AC$2))))</f>
        <v/>
      </c>
      <c r="O7" s="2" t="str">
        <f ca="1">CELL("contenu",INDIRECT(ADDRESS(ref!$K$6,ref!F6,1,,CELL("contenu",$AC$2))))</f>
        <v/>
      </c>
      <c r="P7" s="3" t="str">
        <f ca="1">CELL("contenu",INDIRECT(ADDRESS(ref!$K$6,ref!G6,1,,CELL("contenu",$AC$2))))</f>
        <v/>
      </c>
      <c r="Q7" s="4" t="str">
        <f ca="1">CELL("contenu",INDIRECT(ADDRESS(ref!$K$6,ref!H6,1,,CELL("contenu",$AC$2))))</f>
        <v/>
      </c>
      <c r="R7" s="5" t="str">
        <f ca="1">CELL("contenu",INDIRECT(ADDRESS(ref!$K$7,ref!E6,1,,CELL("contenu",$AC$2))))</f>
        <v/>
      </c>
      <c r="S7" s="2" t="str">
        <f ca="1">CELL("contenu",INDIRECT(ADDRESS(ref!$K$7,ref!F6,1,,CELL("contenu",$AC$2))))</f>
        <v/>
      </c>
      <c r="T7" s="3" t="str">
        <f ca="1">CELL("contenu",INDIRECT(ADDRESS(ref!$K$7,ref!G6,1,,CELL("contenu",$AC$2))))</f>
        <v/>
      </c>
      <c r="U7" s="4" t="str">
        <f ca="1">CELL("contenu",INDIRECT(ADDRESS(ref!$K$7,ref!H6,1,,CELL("contenu",$AC$2))))</f>
        <v/>
      </c>
      <c r="V7" s="28" t="str">
        <f ca="1">CELL("contenu",INDIRECT(ADDRESS(ref!$K$8,ref!E6,1,,CELL("contenu",$AC$2))))</f>
        <v/>
      </c>
      <c r="W7" s="29" t="str">
        <f ca="1">CELL("contenu",INDIRECT(ADDRESS(ref!$K$8,ref!F6,1,,CELL("contenu",$AC$2))))</f>
        <v/>
      </c>
      <c r="X7" s="30" t="str">
        <f ca="1">CELL("contenu",INDIRECT(ADDRESS(ref!$K$8,ref!G6,1,,CELL("contenu",$AC$2))))</f>
        <v/>
      </c>
      <c r="Y7" s="6" t="str">
        <f ca="1">CELL("contenu",INDIRECT(ADDRESS(ref!$K$9,ref!H6,1,,CELL("contenu",$AC$2))))</f>
        <v/>
      </c>
      <c r="Z7" s="3" t="str">
        <f ca="1">CELL("contenu",INDIRECT(ADDRESS(ref!$K$10,ref!H6,1,,CELL("contenu",$AC$2))))</f>
        <v/>
      </c>
      <c r="AA7" s="7" t="str">
        <f ca="1">CELL("contenu",INDIRECT(ADDRESS(ref!$K$11,ref!H6,1,,CELL("contenu",$AC$2))))</f>
        <v/>
      </c>
    </row>
    <row r="8" spans="1:29" x14ac:dyDescent="0.25">
      <c r="A8" s="44" t="str">
        <f t="shared" ca="1" si="0"/>
        <v>DAVENE Mia</v>
      </c>
      <c r="B8" s="1" t="str">
        <f ca="1">CELL("contenu",INDIRECT(ADDRESS(ref!$K$3,ref!E7,1,,CELL("contenu",$AC$2))))</f>
        <v/>
      </c>
      <c r="C8" s="2" t="str">
        <f ca="1">CELL("contenu",INDIRECT(ADDRESS(ref!$K$3,ref!F7,1,,CELL("contenu",$AC$2))))</f>
        <v/>
      </c>
      <c r="D8" s="3" t="str">
        <f ca="1">CELL("contenu",INDIRECT(ADDRESS(ref!$K$3,ref!G7,1,,CELL("contenu",$AC$2))))</f>
        <v/>
      </c>
      <c r="E8" s="4" t="str">
        <f ca="1">CELL("contenu",INDIRECT(ADDRESS(ref!$K$3,ref!H7,1,,CELL("contenu",$AC$2))))</f>
        <v/>
      </c>
      <c r="F8" s="5" t="str">
        <f ca="1">CELL("contenu",INDIRECT(ADDRESS(ref!$K$4,ref!E7,1,,CELL("contenu",$AC$2))))</f>
        <v>B</v>
      </c>
      <c r="G8" s="2" t="str">
        <f ca="1">CELL("contenu",INDIRECT(ADDRESS(ref!$K$4,ref!F7,1,,CELL("contenu",$AC$2))))</f>
        <v/>
      </c>
      <c r="H8" s="3" t="str">
        <f ca="1">CELL("contenu",INDIRECT(ADDRESS(ref!$K$4,ref!G7,1,,CELL("contenu",$AC$2))))</f>
        <v/>
      </c>
      <c r="I8" s="4" t="str">
        <f ca="1">CELL("contenu",INDIRECT(ADDRESS(ref!$K$4,ref!H7,1,,CELL("contenu",$AC$2))))</f>
        <v>B</v>
      </c>
      <c r="J8" s="5" t="str">
        <f ca="1">CELL("contenu",INDIRECT(ADDRESS(ref!$K$5,ref!E7,1,,CELL("contenu",$AC$2))))</f>
        <v/>
      </c>
      <c r="K8" s="2" t="str">
        <f ca="1">CELL("contenu",INDIRECT(ADDRESS(ref!$K$5,ref!F7,1,,CELL("contenu",$AC$2))))</f>
        <v/>
      </c>
      <c r="L8" s="3" t="str">
        <f ca="1">CELL("contenu",INDIRECT(ADDRESS(ref!$K$5,ref!G7,1,,CELL("contenu",$AC$2))))</f>
        <v/>
      </c>
      <c r="M8" s="4" t="str">
        <f ca="1">CELL("contenu",INDIRECT(ADDRESS(ref!$K$5,ref!H7,1,,CELL("contenu",$AC$2))))</f>
        <v/>
      </c>
      <c r="N8" s="5" t="str">
        <f ca="1">CELL("contenu",INDIRECT(ADDRESS(ref!$K$6,ref!E7,1,,CELL("contenu",$AC$2))))</f>
        <v/>
      </c>
      <c r="O8" s="2" t="str">
        <f ca="1">CELL("contenu",INDIRECT(ADDRESS(ref!$K$6,ref!F7,1,,CELL("contenu",$AC$2))))</f>
        <v/>
      </c>
      <c r="P8" s="3" t="str">
        <f ca="1">CELL("contenu",INDIRECT(ADDRESS(ref!$K$6,ref!G7,1,,CELL("contenu",$AC$2))))</f>
        <v/>
      </c>
      <c r="Q8" s="4" t="str">
        <f ca="1">CELL("contenu",INDIRECT(ADDRESS(ref!$K$6,ref!H7,1,,CELL("contenu",$AC$2))))</f>
        <v/>
      </c>
      <c r="R8" s="5" t="str">
        <f ca="1">CELL("contenu",INDIRECT(ADDRESS(ref!$K$7,ref!E7,1,,CELL("contenu",$AC$2))))</f>
        <v>A</v>
      </c>
      <c r="S8" s="2" t="str">
        <f ca="1">CELL("contenu",INDIRECT(ADDRESS(ref!$K$7,ref!F7,1,,CELL("contenu",$AC$2))))</f>
        <v/>
      </c>
      <c r="T8" s="3" t="str">
        <f ca="1">CELL("contenu",INDIRECT(ADDRESS(ref!$K$7,ref!G7,1,,CELL("contenu",$AC$2))))</f>
        <v/>
      </c>
      <c r="U8" s="4" t="str">
        <f ca="1">CELL("contenu",INDIRECT(ADDRESS(ref!$K$7,ref!H7,1,,CELL("contenu",$AC$2))))</f>
        <v>A</v>
      </c>
      <c r="V8" s="28">
        <f ca="1">CELL("contenu",INDIRECT(ADDRESS(ref!$K$8,ref!E7,1,,CELL("contenu",$AC$2))))</f>
        <v>18.333333333333332</v>
      </c>
      <c r="W8" s="29" t="str">
        <f ca="1">CELL("contenu",INDIRECT(ADDRESS(ref!$K$8,ref!F7,1,,CELL("contenu",$AC$2))))</f>
        <v/>
      </c>
      <c r="X8" s="30" t="str">
        <f ca="1">CELL("contenu",INDIRECT(ADDRESS(ref!$K$8,ref!G7,1,,CELL("contenu",$AC$2))))</f>
        <v/>
      </c>
      <c r="Y8" s="6" t="str">
        <f ca="1">CELL("contenu",INDIRECT(ADDRESS(ref!$K$9,ref!H7,1,,CELL("contenu",$AC$2))))</f>
        <v/>
      </c>
      <c r="Z8" s="3" t="str">
        <f ca="1">CELL("contenu",INDIRECT(ADDRESS(ref!$K$10,ref!H7,1,,CELL("contenu",$AC$2))))</f>
        <v/>
      </c>
      <c r="AA8" s="7" t="str">
        <f ca="1">CELL("contenu",INDIRECT(ADDRESS(ref!$K$11,ref!H7,1,,CELL("contenu",$AC$2))))</f>
        <v/>
      </c>
    </row>
    <row r="9" spans="1:29" x14ac:dyDescent="0.25">
      <c r="A9" s="44" t="str">
        <f t="shared" ca="1" si="0"/>
        <v>DELHOMMAIS Arthur</v>
      </c>
      <c r="B9" s="1" t="str">
        <f ca="1">CELL("contenu",INDIRECT(ADDRESS(ref!$K$3,ref!E8,1,,CELL("contenu",$AC$2))))</f>
        <v/>
      </c>
      <c r="C9" s="2" t="str">
        <f ca="1">CELL("contenu",INDIRECT(ADDRESS(ref!$K$3,ref!F8,1,,CELL("contenu",$AC$2))))</f>
        <v/>
      </c>
      <c r="D9" s="3" t="str">
        <f ca="1">CELL("contenu",INDIRECT(ADDRESS(ref!$K$3,ref!G8,1,,CELL("contenu",$AC$2))))</f>
        <v/>
      </c>
      <c r="E9" s="4" t="str">
        <f ca="1">CELL("contenu",INDIRECT(ADDRESS(ref!$K$3,ref!H8,1,,CELL("contenu",$AC$2))))</f>
        <v/>
      </c>
      <c r="F9" s="5" t="str">
        <f ca="1">CELL("contenu",INDIRECT(ADDRESS(ref!$K$4,ref!E8,1,,CELL("contenu",$AC$2))))</f>
        <v/>
      </c>
      <c r="G9" s="2" t="str">
        <f ca="1">CELL("contenu",INDIRECT(ADDRESS(ref!$K$4,ref!F8,1,,CELL("contenu",$AC$2))))</f>
        <v/>
      </c>
      <c r="H9" s="3" t="str">
        <f ca="1">CELL("contenu",INDIRECT(ADDRESS(ref!$K$4,ref!G8,1,,CELL("contenu",$AC$2))))</f>
        <v/>
      </c>
      <c r="I9" s="4" t="str">
        <f ca="1">CELL("contenu",INDIRECT(ADDRESS(ref!$K$4,ref!H8,1,,CELL("contenu",$AC$2))))</f>
        <v/>
      </c>
      <c r="J9" s="5" t="str">
        <f ca="1">CELL("contenu",INDIRECT(ADDRESS(ref!$K$5,ref!E8,1,,CELL("contenu",$AC$2))))</f>
        <v/>
      </c>
      <c r="K9" s="2" t="str">
        <f ca="1">CELL("contenu",INDIRECT(ADDRESS(ref!$K$5,ref!F8,1,,CELL("contenu",$AC$2))))</f>
        <v/>
      </c>
      <c r="L9" s="3" t="str">
        <f ca="1">CELL("contenu",INDIRECT(ADDRESS(ref!$K$5,ref!G8,1,,CELL("contenu",$AC$2))))</f>
        <v/>
      </c>
      <c r="M9" s="4" t="str">
        <f ca="1">CELL("contenu",INDIRECT(ADDRESS(ref!$K$5,ref!H8,1,,CELL("contenu",$AC$2))))</f>
        <v/>
      </c>
      <c r="N9" s="5" t="str">
        <f ca="1">CELL("contenu",INDIRECT(ADDRESS(ref!$K$6,ref!E8,1,,CELL("contenu",$AC$2))))</f>
        <v/>
      </c>
      <c r="O9" s="2" t="str">
        <f ca="1">CELL("contenu",INDIRECT(ADDRESS(ref!$K$6,ref!F8,1,,CELL("contenu",$AC$2))))</f>
        <v/>
      </c>
      <c r="P9" s="3" t="str">
        <f ca="1">CELL("contenu",INDIRECT(ADDRESS(ref!$K$6,ref!G8,1,,CELL("contenu",$AC$2))))</f>
        <v/>
      </c>
      <c r="Q9" s="4" t="str">
        <f ca="1">CELL("contenu",INDIRECT(ADDRESS(ref!$K$6,ref!H8,1,,CELL("contenu",$AC$2))))</f>
        <v/>
      </c>
      <c r="R9" s="5" t="str">
        <f ca="1">CELL("contenu",INDIRECT(ADDRESS(ref!$K$7,ref!E8,1,,CELL("contenu",$AC$2))))</f>
        <v/>
      </c>
      <c r="S9" s="2" t="str">
        <f ca="1">CELL("contenu",INDIRECT(ADDRESS(ref!$K$7,ref!F8,1,,CELL("contenu",$AC$2))))</f>
        <v/>
      </c>
      <c r="T9" s="3" t="str">
        <f ca="1">CELL("contenu",INDIRECT(ADDRESS(ref!$K$7,ref!G8,1,,CELL("contenu",$AC$2))))</f>
        <v/>
      </c>
      <c r="U9" s="4" t="str">
        <f ca="1">CELL("contenu",INDIRECT(ADDRESS(ref!$K$7,ref!H8,1,,CELL("contenu",$AC$2))))</f>
        <v/>
      </c>
      <c r="V9" s="28" t="str">
        <f ca="1">CELL("contenu",INDIRECT(ADDRESS(ref!$K$8,ref!E8,1,,CELL("contenu",$AC$2))))</f>
        <v/>
      </c>
      <c r="W9" s="29" t="str">
        <f ca="1">CELL("contenu",INDIRECT(ADDRESS(ref!$K$8,ref!F8,1,,CELL("contenu",$AC$2))))</f>
        <v/>
      </c>
      <c r="X9" s="30" t="str">
        <f ca="1">CELL("contenu",INDIRECT(ADDRESS(ref!$K$8,ref!G8,1,,CELL("contenu",$AC$2))))</f>
        <v/>
      </c>
      <c r="Y9" s="6" t="str">
        <f ca="1">CELL("contenu",INDIRECT(ADDRESS(ref!$K$9,ref!H8,1,,CELL("contenu",$AC$2))))</f>
        <v/>
      </c>
      <c r="Z9" s="3" t="str">
        <f ca="1">CELL("contenu",INDIRECT(ADDRESS(ref!$K$10,ref!H8,1,,CELL("contenu",$AC$2))))</f>
        <v/>
      </c>
      <c r="AA9" s="7" t="str">
        <f ca="1">CELL("contenu",INDIRECT(ADDRESS(ref!$K$11,ref!H8,1,,CELL("contenu",$AC$2))))</f>
        <v/>
      </c>
    </row>
    <row r="10" spans="1:29" x14ac:dyDescent="0.25">
      <c r="A10" s="44" t="str">
        <f t="shared" ca="1" si="0"/>
        <v>DERMAGNE Louise</v>
      </c>
      <c r="B10" s="1" t="str">
        <f ca="1">CELL("contenu",INDIRECT(ADDRESS(ref!$K$3,ref!E9,1,,CELL("contenu",$AC$2))))</f>
        <v/>
      </c>
      <c r="C10" s="2" t="str">
        <f ca="1">CELL("contenu",INDIRECT(ADDRESS(ref!$K$3,ref!F9,1,,CELL("contenu",$AC$2))))</f>
        <v/>
      </c>
      <c r="D10" s="3" t="str">
        <f ca="1">CELL("contenu",INDIRECT(ADDRESS(ref!$K$3,ref!G9,1,,CELL("contenu",$AC$2))))</f>
        <v/>
      </c>
      <c r="E10" s="4" t="str">
        <f ca="1">CELL("contenu",INDIRECT(ADDRESS(ref!$K$3,ref!H9,1,,CELL("contenu",$AC$2))))</f>
        <v/>
      </c>
      <c r="F10" s="5" t="str">
        <f ca="1">CELL("contenu",INDIRECT(ADDRESS(ref!$K$4,ref!E9,1,,CELL("contenu",$AC$2))))</f>
        <v/>
      </c>
      <c r="G10" s="2" t="str">
        <f ca="1">CELL("contenu",INDIRECT(ADDRESS(ref!$K$4,ref!F9,1,,CELL("contenu",$AC$2))))</f>
        <v/>
      </c>
      <c r="H10" s="3" t="str">
        <f ca="1">CELL("contenu",INDIRECT(ADDRESS(ref!$K$4,ref!G9,1,,CELL("contenu",$AC$2))))</f>
        <v/>
      </c>
      <c r="I10" s="4" t="str">
        <f ca="1">CELL("contenu",INDIRECT(ADDRESS(ref!$K$4,ref!H9,1,,CELL("contenu",$AC$2))))</f>
        <v/>
      </c>
      <c r="J10" s="5" t="str">
        <f ca="1">CELL("contenu",INDIRECT(ADDRESS(ref!$K$5,ref!E9,1,,CELL("contenu",$AC$2))))</f>
        <v/>
      </c>
      <c r="K10" s="2" t="str">
        <f ca="1">CELL("contenu",INDIRECT(ADDRESS(ref!$K$5,ref!F9,1,,CELL("contenu",$AC$2))))</f>
        <v/>
      </c>
      <c r="L10" s="3" t="str">
        <f ca="1">CELL("contenu",INDIRECT(ADDRESS(ref!$K$5,ref!G9,1,,CELL("contenu",$AC$2))))</f>
        <v/>
      </c>
      <c r="M10" s="4" t="str">
        <f ca="1">CELL("contenu",INDIRECT(ADDRESS(ref!$K$5,ref!H9,1,,CELL("contenu",$AC$2))))</f>
        <v/>
      </c>
      <c r="N10" s="5" t="str">
        <f ca="1">CELL("contenu",INDIRECT(ADDRESS(ref!$K$6,ref!E9,1,,CELL("contenu",$AC$2))))</f>
        <v/>
      </c>
      <c r="O10" s="2" t="str">
        <f ca="1">CELL("contenu",INDIRECT(ADDRESS(ref!$K$6,ref!F9,1,,CELL("contenu",$AC$2))))</f>
        <v/>
      </c>
      <c r="P10" s="3" t="str">
        <f ca="1">CELL("contenu",INDIRECT(ADDRESS(ref!$K$6,ref!G9,1,,CELL("contenu",$AC$2))))</f>
        <v/>
      </c>
      <c r="Q10" s="4" t="str">
        <f ca="1">CELL("contenu",INDIRECT(ADDRESS(ref!$K$6,ref!H9,1,,CELL("contenu",$AC$2))))</f>
        <v/>
      </c>
      <c r="R10" s="5" t="str">
        <f ca="1">CELL("contenu",INDIRECT(ADDRESS(ref!$K$7,ref!E9,1,,CELL("contenu",$AC$2))))</f>
        <v/>
      </c>
      <c r="S10" s="2" t="str">
        <f ca="1">CELL("contenu",INDIRECT(ADDRESS(ref!$K$7,ref!F9,1,,CELL("contenu",$AC$2))))</f>
        <v/>
      </c>
      <c r="T10" s="3" t="str">
        <f ca="1">CELL("contenu",INDIRECT(ADDRESS(ref!$K$7,ref!G9,1,,CELL("contenu",$AC$2))))</f>
        <v/>
      </c>
      <c r="U10" s="4" t="str">
        <f ca="1">CELL("contenu",INDIRECT(ADDRESS(ref!$K$7,ref!H9,1,,CELL("contenu",$AC$2))))</f>
        <v/>
      </c>
      <c r="V10" s="28" t="str">
        <f ca="1">CELL("contenu",INDIRECT(ADDRESS(ref!$K$8,ref!E9,1,,CELL("contenu",$AC$2))))</f>
        <v/>
      </c>
      <c r="W10" s="29" t="str">
        <f ca="1">CELL("contenu",INDIRECT(ADDRESS(ref!$K$8,ref!F9,1,,CELL("contenu",$AC$2))))</f>
        <v/>
      </c>
      <c r="X10" s="30" t="str">
        <f ca="1">CELL("contenu",INDIRECT(ADDRESS(ref!$K$8,ref!G9,1,,CELL("contenu",$AC$2))))</f>
        <v/>
      </c>
      <c r="Y10" s="6" t="str">
        <f ca="1">CELL("contenu",INDIRECT(ADDRESS(ref!$K$9,ref!H9,1,,CELL("contenu",$AC$2))))</f>
        <v/>
      </c>
      <c r="Z10" s="3" t="str">
        <f ca="1">CELL("contenu",INDIRECT(ADDRESS(ref!$K$10,ref!H9,1,,CELL("contenu",$AC$2))))</f>
        <v/>
      </c>
      <c r="AA10" s="7" t="str">
        <f ca="1">CELL("contenu",INDIRECT(ADDRESS(ref!$K$11,ref!H9,1,,CELL("contenu",$AC$2))))</f>
        <v/>
      </c>
    </row>
    <row r="11" spans="1:29" x14ac:dyDescent="0.25">
      <c r="A11" s="44" t="str">
        <f t="shared" ca="1" si="0"/>
        <v>DESHORS Augustin</v>
      </c>
      <c r="B11" s="1" t="str">
        <f ca="1">CELL("contenu",INDIRECT(ADDRESS(ref!$K$3,ref!E10,1,,CELL("contenu",$AC$2))))</f>
        <v/>
      </c>
      <c r="C11" s="2" t="str">
        <f ca="1">CELL("contenu",INDIRECT(ADDRESS(ref!$K$3,ref!F10,1,,CELL("contenu",$AC$2))))</f>
        <v/>
      </c>
      <c r="D11" s="3" t="str">
        <f ca="1">CELL("contenu",INDIRECT(ADDRESS(ref!$K$3,ref!G10,1,,CELL("contenu",$AC$2))))</f>
        <v/>
      </c>
      <c r="E11" s="4" t="str">
        <f ca="1">CELL("contenu",INDIRECT(ADDRESS(ref!$K$3,ref!H10,1,,CELL("contenu",$AC$2))))</f>
        <v/>
      </c>
      <c r="F11" s="5" t="str">
        <f ca="1">CELL("contenu",INDIRECT(ADDRESS(ref!$K$4,ref!E10,1,,CELL("contenu",$AC$2))))</f>
        <v>A</v>
      </c>
      <c r="G11" s="2" t="str">
        <f ca="1">CELL("contenu",INDIRECT(ADDRESS(ref!$K$4,ref!F10,1,,CELL("contenu",$AC$2))))</f>
        <v/>
      </c>
      <c r="H11" s="3" t="str">
        <f ca="1">CELL("contenu",INDIRECT(ADDRESS(ref!$K$4,ref!G10,1,,CELL("contenu",$AC$2))))</f>
        <v/>
      </c>
      <c r="I11" s="4" t="str">
        <f ca="1">CELL("contenu",INDIRECT(ADDRESS(ref!$K$4,ref!H10,1,,CELL("contenu",$AC$2))))</f>
        <v>A</v>
      </c>
      <c r="J11" s="5" t="str">
        <f ca="1">CELL("contenu",INDIRECT(ADDRESS(ref!$K$5,ref!E10,1,,CELL("contenu",$AC$2))))</f>
        <v/>
      </c>
      <c r="K11" s="2" t="str">
        <f ca="1">CELL("contenu",INDIRECT(ADDRESS(ref!$K$5,ref!F10,1,,CELL("contenu",$AC$2))))</f>
        <v/>
      </c>
      <c r="L11" s="3" t="str">
        <f ca="1">CELL("contenu",INDIRECT(ADDRESS(ref!$K$5,ref!G10,1,,CELL("contenu",$AC$2))))</f>
        <v/>
      </c>
      <c r="M11" s="4" t="str">
        <f ca="1">CELL("contenu",INDIRECT(ADDRESS(ref!$K$5,ref!H10,1,,CELL("contenu",$AC$2))))</f>
        <v/>
      </c>
      <c r="N11" s="5" t="str">
        <f ca="1">CELL("contenu",INDIRECT(ADDRESS(ref!$K$6,ref!E10,1,,CELL("contenu",$AC$2))))</f>
        <v/>
      </c>
      <c r="O11" s="2" t="str">
        <f ca="1">CELL("contenu",INDIRECT(ADDRESS(ref!$K$6,ref!F10,1,,CELL("contenu",$AC$2))))</f>
        <v/>
      </c>
      <c r="P11" s="3" t="str">
        <f ca="1">CELL("contenu",INDIRECT(ADDRESS(ref!$K$6,ref!G10,1,,CELL("contenu",$AC$2))))</f>
        <v/>
      </c>
      <c r="Q11" s="4" t="str">
        <f ca="1">CELL("contenu",INDIRECT(ADDRESS(ref!$K$6,ref!H10,1,,CELL("contenu",$AC$2))))</f>
        <v/>
      </c>
      <c r="R11" s="5" t="str">
        <f ca="1">CELL("contenu",INDIRECT(ADDRESS(ref!$K$7,ref!E10,1,,CELL("contenu",$AC$2))))</f>
        <v>A</v>
      </c>
      <c r="S11" s="2" t="str">
        <f ca="1">CELL("contenu",INDIRECT(ADDRESS(ref!$K$7,ref!F10,1,,CELL("contenu",$AC$2))))</f>
        <v/>
      </c>
      <c r="T11" s="3" t="str">
        <f ca="1">CELL("contenu",INDIRECT(ADDRESS(ref!$K$7,ref!G10,1,,CELL("contenu",$AC$2))))</f>
        <v/>
      </c>
      <c r="U11" s="4" t="str">
        <f ca="1">CELL("contenu",INDIRECT(ADDRESS(ref!$K$7,ref!H10,1,,CELL("contenu",$AC$2))))</f>
        <v>A</v>
      </c>
      <c r="V11" s="28">
        <f ca="1">CELL("contenu",INDIRECT(ADDRESS(ref!$K$8,ref!E10,1,,CELL("contenu",$AC$2))))</f>
        <v>20</v>
      </c>
      <c r="W11" s="29" t="str">
        <f ca="1">CELL("contenu",INDIRECT(ADDRESS(ref!$K$8,ref!F10,1,,CELL("contenu",$AC$2))))</f>
        <v/>
      </c>
      <c r="X11" s="30" t="str">
        <f ca="1">CELL("contenu",INDIRECT(ADDRESS(ref!$K$8,ref!G10,1,,CELL("contenu",$AC$2))))</f>
        <v/>
      </c>
      <c r="Y11" s="6" t="str">
        <f ca="1">CELL("contenu",INDIRECT(ADDRESS(ref!$K$9,ref!H10,1,,CELL("contenu",$AC$2))))</f>
        <v/>
      </c>
      <c r="Z11" s="3" t="str">
        <f ca="1">CELL("contenu",INDIRECT(ADDRESS(ref!$K$10,ref!H10,1,,CELL("contenu",$AC$2))))</f>
        <v/>
      </c>
      <c r="AA11" s="7" t="str">
        <f ca="1">CELL("contenu",INDIRECT(ADDRESS(ref!$K$11,ref!H10,1,,CELL("contenu",$AC$2))))</f>
        <v/>
      </c>
    </row>
    <row r="12" spans="1:29" x14ac:dyDescent="0.25">
      <c r="A12" s="44" t="str">
        <f t="shared" ca="1" si="0"/>
        <v>DESNOIX Victoria</v>
      </c>
      <c r="B12" s="1" t="str">
        <f ca="1">CELL("contenu",INDIRECT(ADDRESS(ref!$K$3,ref!E11,1,,CELL("contenu",$AC$2))))</f>
        <v/>
      </c>
      <c r="C12" s="2" t="str">
        <f ca="1">CELL("contenu",INDIRECT(ADDRESS(ref!$K$3,ref!F11,1,,CELL("contenu",$AC$2))))</f>
        <v/>
      </c>
      <c r="D12" s="3" t="str">
        <f ca="1">CELL("contenu",INDIRECT(ADDRESS(ref!$K$3,ref!G11,1,,CELL("contenu",$AC$2))))</f>
        <v/>
      </c>
      <c r="E12" s="4" t="str">
        <f ca="1">CELL("contenu",INDIRECT(ADDRESS(ref!$K$3,ref!H11,1,,CELL("contenu",$AC$2))))</f>
        <v/>
      </c>
      <c r="F12" s="5" t="str">
        <f ca="1">CELL("contenu",INDIRECT(ADDRESS(ref!$K$4,ref!E11,1,,CELL("contenu",$AC$2))))</f>
        <v>B</v>
      </c>
      <c r="G12" s="2" t="str">
        <f ca="1">CELL("contenu",INDIRECT(ADDRESS(ref!$K$4,ref!F11,1,,CELL("contenu",$AC$2))))</f>
        <v/>
      </c>
      <c r="H12" s="3" t="str">
        <f ca="1">CELL("contenu",INDIRECT(ADDRESS(ref!$K$4,ref!G11,1,,CELL("contenu",$AC$2))))</f>
        <v/>
      </c>
      <c r="I12" s="4" t="str">
        <f ca="1">CELL("contenu",INDIRECT(ADDRESS(ref!$K$4,ref!H11,1,,CELL("contenu",$AC$2))))</f>
        <v>B</v>
      </c>
      <c r="J12" s="5" t="str">
        <f ca="1">CELL("contenu",INDIRECT(ADDRESS(ref!$K$5,ref!E11,1,,CELL("contenu",$AC$2))))</f>
        <v/>
      </c>
      <c r="K12" s="2" t="str">
        <f ca="1">CELL("contenu",INDIRECT(ADDRESS(ref!$K$5,ref!F11,1,,CELL("contenu",$AC$2))))</f>
        <v/>
      </c>
      <c r="L12" s="3" t="str">
        <f ca="1">CELL("contenu",INDIRECT(ADDRESS(ref!$K$5,ref!G11,1,,CELL("contenu",$AC$2))))</f>
        <v/>
      </c>
      <c r="M12" s="4" t="str">
        <f ca="1">CELL("contenu",INDIRECT(ADDRESS(ref!$K$5,ref!H11,1,,CELL("contenu",$AC$2))))</f>
        <v/>
      </c>
      <c r="N12" s="5" t="str">
        <f ca="1">CELL("contenu",INDIRECT(ADDRESS(ref!$K$6,ref!E11,1,,CELL("contenu",$AC$2))))</f>
        <v/>
      </c>
      <c r="O12" s="2" t="str">
        <f ca="1">CELL("contenu",INDIRECT(ADDRESS(ref!$K$6,ref!F11,1,,CELL("contenu",$AC$2))))</f>
        <v/>
      </c>
      <c r="P12" s="3" t="str">
        <f ca="1">CELL("contenu",INDIRECT(ADDRESS(ref!$K$6,ref!G11,1,,CELL("contenu",$AC$2))))</f>
        <v/>
      </c>
      <c r="Q12" s="4" t="str">
        <f ca="1">CELL("contenu",INDIRECT(ADDRESS(ref!$K$6,ref!H11,1,,CELL("contenu",$AC$2))))</f>
        <v/>
      </c>
      <c r="R12" s="5" t="str">
        <f ca="1">CELL("contenu",INDIRECT(ADDRESS(ref!$K$7,ref!E11,1,,CELL("contenu",$AC$2))))</f>
        <v>A</v>
      </c>
      <c r="S12" s="2" t="str">
        <f ca="1">CELL("contenu",INDIRECT(ADDRESS(ref!$K$7,ref!F11,1,,CELL("contenu",$AC$2))))</f>
        <v/>
      </c>
      <c r="T12" s="3" t="str">
        <f ca="1">CELL("contenu",INDIRECT(ADDRESS(ref!$K$7,ref!G11,1,,CELL("contenu",$AC$2))))</f>
        <v/>
      </c>
      <c r="U12" s="4" t="str">
        <f ca="1">CELL("contenu",INDIRECT(ADDRESS(ref!$K$7,ref!H11,1,,CELL("contenu",$AC$2))))</f>
        <v>A</v>
      </c>
      <c r="V12" s="28">
        <f ca="1">CELL("contenu",INDIRECT(ADDRESS(ref!$K$8,ref!E11,1,,CELL("contenu",$AC$2))))</f>
        <v>18.333333333333332</v>
      </c>
      <c r="W12" s="29" t="str">
        <f ca="1">CELL("contenu",INDIRECT(ADDRESS(ref!$K$8,ref!F11,1,,CELL("contenu",$AC$2))))</f>
        <v/>
      </c>
      <c r="X12" s="30" t="str">
        <f ca="1">CELL("contenu",INDIRECT(ADDRESS(ref!$K$8,ref!G11,1,,CELL("contenu",$AC$2))))</f>
        <v/>
      </c>
      <c r="Y12" s="6" t="str">
        <f ca="1">CELL("contenu",INDIRECT(ADDRESS(ref!$K$9,ref!H11,1,,CELL("contenu",$AC$2))))</f>
        <v/>
      </c>
      <c r="Z12" s="3" t="str">
        <f ca="1">CELL("contenu",INDIRECT(ADDRESS(ref!$K$10,ref!H11,1,,CELL("contenu",$AC$2))))</f>
        <v/>
      </c>
      <c r="AA12" s="7" t="str">
        <f ca="1">CELL("contenu",INDIRECT(ADDRESS(ref!$K$11,ref!H11,1,,CELL("contenu",$AC$2))))</f>
        <v/>
      </c>
    </row>
    <row r="13" spans="1:29" x14ac:dyDescent="0.25">
      <c r="A13" s="44" t="str">
        <f t="shared" ca="1" si="0"/>
        <v>ERARD-GATINE Maxence</v>
      </c>
      <c r="B13" s="1" t="str">
        <f ca="1">CELL("contenu",INDIRECT(ADDRESS(ref!$K$3,ref!E12,1,,CELL("contenu",$AC$2))))</f>
        <v/>
      </c>
      <c r="C13" s="2" t="str">
        <f ca="1">CELL("contenu",INDIRECT(ADDRESS(ref!$K$3,ref!F12,1,,CELL("contenu",$AC$2))))</f>
        <v/>
      </c>
      <c r="D13" s="3" t="str">
        <f ca="1">CELL("contenu",INDIRECT(ADDRESS(ref!$K$3,ref!G12,1,,CELL("contenu",$AC$2))))</f>
        <v/>
      </c>
      <c r="E13" s="4" t="str">
        <f ca="1">CELL("contenu",INDIRECT(ADDRESS(ref!$K$3,ref!H12,1,,CELL("contenu",$AC$2))))</f>
        <v/>
      </c>
      <c r="F13" s="5" t="str">
        <f ca="1">CELL("contenu",INDIRECT(ADDRESS(ref!$K$4,ref!E12,1,,CELL("contenu",$AC$2))))</f>
        <v>B</v>
      </c>
      <c r="G13" s="2" t="str">
        <f ca="1">CELL("contenu",INDIRECT(ADDRESS(ref!$K$4,ref!F12,1,,CELL("contenu",$AC$2))))</f>
        <v/>
      </c>
      <c r="H13" s="3" t="str">
        <f ca="1">CELL("contenu",INDIRECT(ADDRESS(ref!$K$4,ref!G12,1,,CELL("contenu",$AC$2))))</f>
        <v/>
      </c>
      <c r="I13" s="4" t="str">
        <f ca="1">CELL("contenu",INDIRECT(ADDRESS(ref!$K$4,ref!H12,1,,CELL("contenu",$AC$2))))</f>
        <v>B</v>
      </c>
      <c r="J13" s="5" t="str">
        <f ca="1">CELL("contenu",INDIRECT(ADDRESS(ref!$K$5,ref!E12,1,,CELL("contenu",$AC$2))))</f>
        <v/>
      </c>
      <c r="K13" s="2" t="str">
        <f ca="1">CELL("contenu",INDIRECT(ADDRESS(ref!$K$5,ref!F12,1,,CELL("contenu",$AC$2))))</f>
        <v/>
      </c>
      <c r="L13" s="3" t="str">
        <f ca="1">CELL("contenu",INDIRECT(ADDRESS(ref!$K$5,ref!G12,1,,CELL("contenu",$AC$2))))</f>
        <v/>
      </c>
      <c r="M13" s="4" t="str">
        <f ca="1">CELL("contenu",INDIRECT(ADDRESS(ref!$K$5,ref!H12,1,,CELL("contenu",$AC$2))))</f>
        <v/>
      </c>
      <c r="N13" s="5" t="str">
        <f ca="1">CELL("contenu",INDIRECT(ADDRESS(ref!$K$6,ref!E12,1,,CELL("contenu",$AC$2))))</f>
        <v/>
      </c>
      <c r="O13" s="2" t="str">
        <f ca="1">CELL("contenu",INDIRECT(ADDRESS(ref!$K$6,ref!F12,1,,CELL("contenu",$AC$2))))</f>
        <v/>
      </c>
      <c r="P13" s="3" t="str">
        <f ca="1">CELL("contenu",INDIRECT(ADDRESS(ref!$K$6,ref!G12,1,,CELL("contenu",$AC$2))))</f>
        <v/>
      </c>
      <c r="Q13" s="4" t="str">
        <f ca="1">CELL("contenu",INDIRECT(ADDRESS(ref!$K$6,ref!H12,1,,CELL("contenu",$AC$2))))</f>
        <v/>
      </c>
      <c r="R13" s="5" t="str">
        <f ca="1">CELL("contenu",INDIRECT(ADDRESS(ref!$K$7,ref!E12,1,,CELL("contenu",$AC$2))))</f>
        <v>A</v>
      </c>
      <c r="S13" s="2" t="str">
        <f ca="1">CELL("contenu",INDIRECT(ADDRESS(ref!$K$7,ref!F12,1,,CELL("contenu",$AC$2))))</f>
        <v/>
      </c>
      <c r="T13" s="3" t="str">
        <f ca="1">CELL("contenu",INDIRECT(ADDRESS(ref!$K$7,ref!G12,1,,CELL("contenu",$AC$2))))</f>
        <v/>
      </c>
      <c r="U13" s="4" t="str">
        <f ca="1">CELL("contenu",INDIRECT(ADDRESS(ref!$K$7,ref!H12,1,,CELL("contenu",$AC$2))))</f>
        <v>A</v>
      </c>
      <c r="V13" s="28">
        <f ca="1">CELL("contenu",INDIRECT(ADDRESS(ref!$K$8,ref!E12,1,,CELL("contenu",$AC$2))))</f>
        <v>16.666666666666668</v>
      </c>
      <c r="W13" s="29" t="str">
        <f ca="1">CELL("contenu",INDIRECT(ADDRESS(ref!$K$8,ref!F12,1,,CELL("contenu",$AC$2))))</f>
        <v/>
      </c>
      <c r="X13" s="30" t="str">
        <f ca="1">CELL("contenu",INDIRECT(ADDRESS(ref!$K$8,ref!G12,1,,CELL("contenu",$AC$2))))</f>
        <v/>
      </c>
      <c r="Y13" s="6" t="str">
        <f ca="1">CELL("contenu",INDIRECT(ADDRESS(ref!$K$9,ref!H12,1,,CELL("contenu",$AC$2))))</f>
        <v/>
      </c>
      <c r="Z13" s="3" t="str">
        <f ca="1">CELL("contenu",INDIRECT(ADDRESS(ref!$K$10,ref!H12,1,,CELL("contenu",$AC$2))))</f>
        <v/>
      </c>
      <c r="AA13" s="7" t="str">
        <f ca="1">CELL("contenu",INDIRECT(ADDRESS(ref!$K$11,ref!H12,1,,CELL("contenu",$AC$2))))</f>
        <v/>
      </c>
    </row>
    <row r="14" spans="1:29" x14ac:dyDescent="0.25">
      <c r="A14" s="44" t="str">
        <f t="shared" ca="1" si="0"/>
        <v>GENEIX Leandre</v>
      </c>
      <c r="B14" s="1" t="str">
        <f ca="1">CELL("contenu",INDIRECT(ADDRESS(ref!$K$3,ref!E13,1,,CELL("contenu",$AC$2))))</f>
        <v/>
      </c>
      <c r="C14" s="2" t="str">
        <f ca="1">CELL("contenu",INDIRECT(ADDRESS(ref!$K$3,ref!F13,1,,CELL("contenu",$AC$2))))</f>
        <v/>
      </c>
      <c r="D14" s="3" t="str">
        <f ca="1">CELL("contenu",INDIRECT(ADDRESS(ref!$K$3,ref!G13,1,,CELL("contenu",$AC$2))))</f>
        <v/>
      </c>
      <c r="E14" s="4" t="str">
        <f ca="1">CELL("contenu",INDIRECT(ADDRESS(ref!$K$3,ref!H13,1,,CELL("contenu",$AC$2))))</f>
        <v/>
      </c>
      <c r="F14" s="5" t="str">
        <f ca="1">CELL("contenu",INDIRECT(ADDRESS(ref!$K$4,ref!E13,1,,CELL("contenu",$AC$2))))</f>
        <v>B</v>
      </c>
      <c r="G14" s="2" t="str">
        <f ca="1">CELL("contenu",INDIRECT(ADDRESS(ref!$K$4,ref!F13,1,,CELL("contenu",$AC$2))))</f>
        <v/>
      </c>
      <c r="H14" s="3" t="str">
        <f ca="1">CELL("contenu",INDIRECT(ADDRESS(ref!$K$4,ref!G13,1,,CELL("contenu",$AC$2))))</f>
        <v/>
      </c>
      <c r="I14" s="4" t="str">
        <f ca="1">CELL("contenu",INDIRECT(ADDRESS(ref!$K$4,ref!H13,1,,CELL("contenu",$AC$2))))</f>
        <v>B</v>
      </c>
      <c r="J14" s="5" t="str">
        <f ca="1">CELL("contenu",INDIRECT(ADDRESS(ref!$K$5,ref!E13,1,,CELL("contenu",$AC$2))))</f>
        <v/>
      </c>
      <c r="K14" s="2" t="str">
        <f ca="1">CELL("contenu",INDIRECT(ADDRESS(ref!$K$5,ref!F13,1,,CELL("contenu",$AC$2))))</f>
        <v/>
      </c>
      <c r="L14" s="3" t="str">
        <f ca="1">CELL("contenu",INDIRECT(ADDRESS(ref!$K$5,ref!G13,1,,CELL("contenu",$AC$2))))</f>
        <v/>
      </c>
      <c r="M14" s="4" t="str">
        <f ca="1">CELL("contenu",INDIRECT(ADDRESS(ref!$K$5,ref!H13,1,,CELL("contenu",$AC$2))))</f>
        <v/>
      </c>
      <c r="N14" s="5" t="str">
        <f ca="1">CELL("contenu",INDIRECT(ADDRESS(ref!$K$6,ref!E13,1,,CELL("contenu",$AC$2))))</f>
        <v/>
      </c>
      <c r="O14" s="2" t="str">
        <f ca="1">CELL("contenu",INDIRECT(ADDRESS(ref!$K$6,ref!F13,1,,CELL("contenu",$AC$2))))</f>
        <v/>
      </c>
      <c r="P14" s="3" t="str">
        <f ca="1">CELL("contenu",INDIRECT(ADDRESS(ref!$K$6,ref!G13,1,,CELL("contenu",$AC$2))))</f>
        <v/>
      </c>
      <c r="Q14" s="4" t="str">
        <f ca="1">CELL("contenu",INDIRECT(ADDRESS(ref!$K$6,ref!H13,1,,CELL("contenu",$AC$2))))</f>
        <v/>
      </c>
      <c r="R14" s="5" t="str">
        <f ca="1">CELL("contenu",INDIRECT(ADDRESS(ref!$K$7,ref!E13,1,,CELL("contenu",$AC$2))))</f>
        <v>A</v>
      </c>
      <c r="S14" s="2" t="str">
        <f ca="1">CELL("contenu",INDIRECT(ADDRESS(ref!$K$7,ref!F13,1,,CELL("contenu",$AC$2))))</f>
        <v/>
      </c>
      <c r="T14" s="3" t="str">
        <f ca="1">CELL("contenu",INDIRECT(ADDRESS(ref!$K$7,ref!G13,1,,CELL("contenu",$AC$2))))</f>
        <v/>
      </c>
      <c r="U14" s="4" t="str">
        <f ca="1">CELL("contenu",INDIRECT(ADDRESS(ref!$K$7,ref!H13,1,,CELL("contenu",$AC$2))))</f>
        <v>A</v>
      </c>
      <c r="V14" s="28">
        <f ca="1">CELL("contenu",INDIRECT(ADDRESS(ref!$K$8,ref!E13,1,,CELL("contenu",$AC$2))))</f>
        <v>16.666666666666668</v>
      </c>
      <c r="W14" s="29" t="str">
        <f ca="1">CELL("contenu",INDIRECT(ADDRESS(ref!$K$8,ref!F13,1,,CELL("contenu",$AC$2))))</f>
        <v/>
      </c>
      <c r="X14" s="30" t="str">
        <f ca="1">CELL("contenu",INDIRECT(ADDRESS(ref!$K$8,ref!G13,1,,CELL("contenu",$AC$2))))</f>
        <v/>
      </c>
      <c r="Y14" s="6" t="str">
        <f ca="1">CELL("contenu",INDIRECT(ADDRESS(ref!$K$9,ref!H13,1,,CELL("contenu",$AC$2))))</f>
        <v/>
      </c>
      <c r="Z14" s="3" t="str">
        <f ca="1">CELL("contenu",INDIRECT(ADDRESS(ref!$K$10,ref!H13,1,,CELL("contenu",$AC$2))))</f>
        <v/>
      </c>
      <c r="AA14" s="7" t="str">
        <f ca="1">CELL("contenu",INDIRECT(ADDRESS(ref!$K$11,ref!H13,1,,CELL("contenu",$AC$2))))</f>
        <v/>
      </c>
    </row>
    <row r="15" spans="1:29" x14ac:dyDescent="0.25">
      <c r="A15" s="44" t="str">
        <f t="shared" ca="1" si="0"/>
        <v>GOMEZ Lucie</v>
      </c>
      <c r="B15" s="1" t="str">
        <f ca="1">CELL("contenu",INDIRECT(ADDRESS(ref!$K$3,ref!E14,1,,CELL("contenu",$AC$2))))</f>
        <v/>
      </c>
      <c r="C15" s="2" t="str">
        <f ca="1">CELL("contenu",INDIRECT(ADDRESS(ref!$K$3,ref!F14,1,,CELL("contenu",$AC$2))))</f>
        <v/>
      </c>
      <c r="D15" s="3" t="str">
        <f ca="1">CELL("contenu",INDIRECT(ADDRESS(ref!$K$3,ref!G14,1,,CELL("contenu",$AC$2))))</f>
        <v/>
      </c>
      <c r="E15" s="4" t="str">
        <f ca="1">CELL("contenu",INDIRECT(ADDRESS(ref!$K$3,ref!H14,1,,CELL("contenu",$AC$2))))</f>
        <v/>
      </c>
      <c r="F15" s="5" t="str">
        <f ca="1">CELL("contenu",INDIRECT(ADDRESS(ref!$K$4,ref!E14,1,,CELL("contenu",$AC$2))))</f>
        <v>B</v>
      </c>
      <c r="G15" s="2" t="str">
        <f ca="1">CELL("contenu",INDIRECT(ADDRESS(ref!$K$4,ref!F14,1,,CELL("contenu",$AC$2))))</f>
        <v/>
      </c>
      <c r="H15" s="3" t="str">
        <f ca="1">CELL("contenu",INDIRECT(ADDRESS(ref!$K$4,ref!G14,1,,CELL("contenu",$AC$2))))</f>
        <v/>
      </c>
      <c r="I15" s="4" t="str">
        <f ca="1">CELL("contenu",INDIRECT(ADDRESS(ref!$K$4,ref!H14,1,,CELL("contenu",$AC$2))))</f>
        <v>B</v>
      </c>
      <c r="J15" s="5" t="str">
        <f ca="1">CELL("contenu",INDIRECT(ADDRESS(ref!$K$5,ref!E14,1,,CELL("contenu",$AC$2))))</f>
        <v/>
      </c>
      <c r="K15" s="2" t="str">
        <f ca="1">CELL("contenu",INDIRECT(ADDRESS(ref!$K$5,ref!F14,1,,CELL("contenu",$AC$2))))</f>
        <v/>
      </c>
      <c r="L15" s="3" t="str">
        <f ca="1">CELL("contenu",INDIRECT(ADDRESS(ref!$K$5,ref!G14,1,,CELL("contenu",$AC$2))))</f>
        <v/>
      </c>
      <c r="M15" s="4" t="str">
        <f ca="1">CELL("contenu",INDIRECT(ADDRESS(ref!$K$5,ref!H14,1,,CELL("contenu",$AC$2))))</f>
        <v/>
      </c>
      <c r="N15" s="5" t="str">
        <f ca="1">CELL("contenu",INDIRECT(ADDRESS(ref!$K$6,ref!E14,1,,CELL("contenu",$AC$2))))</f>
        <v/>
      </c>
      <c r="O15" s="2" t="str">
        <f ca="1">CELL("contenu",INDIRECT(ADDRESS(ref!$K$6,ref!F14,1,,CELL("contenu",$AC$2))))</f>
        <v/>
      </c>
      <c r="P15" s="3" t="str">
        <f ca="1">CELL("contenu",INDIRECT(ADDRESS(ref!$K$6,ref!G14,1,,CELL("contenu",$AC$2))))</f>
        <v/>
      </c>
      <c r="Q15" s="4" t="str">
        <f ca="1">CELL("contenu",INDIRECT(ADDRESS(ref!$K$6,ref!H14,1,,CELL("contenu",$AC$2))))</f>
        <v/>
      </c>
      <c r="R15" s="5" t="str">
        <f ca="1">CELL("contenu",INDIRECT(ADDRESS(ref!$K$7,ref!E14,1,,CELL("contenu",$AC$2))))</f>
        <v>A</v>
      </c>
      <c r="S15" s="2" t="str">
        <f ca="1">CELL("contenu",INDIRECT(ADDRESS(ref!$K$7,ref!F14,1,,CELL("contenu",$AC$2))))</f>
        <v/>
      </c>
      <c r="T15" s="3" t="str">
        <f ca="1">CELL("contenu",INDIRECT(ADDRESS(ref!$K$7,ref!G14,1,,CELL("contenu",$AC$2))))</f>
        <v/>
      </c>
      <c r="U15" s="4" t="str">
        <f ca="1">CELL("contenu",INDIRECT(ADDRESS(ref!$K$7,ref!H14,1,,CELL("contenu",$AC$2))))</f>
        <v>A</v>
      </c>
      <c r="V15" s="28">
        <f ca="1">CELL("contenu",INDIRECT(ADDRESS(ref!$K$8,ref!E14,1,,CELL("contenu",$AC$2))))</f>
        <v>18.333333333333332</v>
      </c>
      <c r="W15" s="29" t="str">
        <f ca="1">CELL("contenu",INDIRECT(ADDRESS(ref!$K$8,ref!F14,1,,CELL("contenu",$AC$2))))</f>
        <v/>
      </c>
      <c r="X15" s="30" t="str">
        <f ca="1">CELL("contenu",INDIRECT(ADDRESS(ref!$K$8,ref!G14,1,,CELL("contenu",$AC$2))))</f>
        <v/>
      </c>
      <c r="Y15" s="6" t="str">
        <f ca="1">CELL("contenu",INDIRECT(ADDRESS(ref!$K$9,ref!H14,1,,CELL("contenu",$AC$2))))</f>
        <v/>
      </c>
      <c r="Z15" s="3" t="str">
        <f ca="1">CELL("contenu",INDIRECT(ADDRESS(ref!$K$10,ref!H14,1,,CELL("contenu",$AC$2))))</f>
        <v/>
      </c>
      <c r="AA15" s="7" t="str">
        <f ca="1">CELL("contenu",INDIRECT(ADDRESS(ref!$K$11,ref!H14,1,,CELL("contenu",$AC$2))))</f>
        <v/>
      </c>
    </row>
    <row r="16" spans="1:29" x14ac:dyDescent="0.25">
      <c r="A16" s="44" t="str">
        <f t="shared" ca="1" si="0"/>
        <v>KERVRAN Marie-Gaelle</v>
      </c>
      <c r="B16" s="1" t="str">
        <f ca="1">CELL("contenu",INDIRECT(ADDRESS(ref!$K$3,ref!E15,1,,CELL("contenu",$AC$2))))</f>
        <v/>
      </c>
      <c r="C16" s="2" t="str">
        <f ca="1">CELL("contenu",INDIRECT(ADDRESS(ref!$K$3,ref!F15,1,,CELL("contenu",$AC$2))))</f>
        <v/>
      </c>
      <c r="D16" s="3" t="str">
        <f ca="1">CELL("contenu",INDIRECT(ADDRESS(ref!$K$3,ref!G15,1,,CELL("contenu",$AC$2))))</f>
        <v/>
      </c>
      <c r="E16" s="4" t="str">
        <f ca="1">CELL("contenu",INDIRECT(ADDRESS(ref!$K$3,ref!H15,1,,CELL("contenu",$AC$2))))</f>
        <v/>
      </c>
      <c r="F16" s="5" t="str">
        <f ca="1">CELL("contenu",INDIRECT(ADDRESS(ref!$K$4,ref!E15,1,,CELL("contenu",$AC$2))))</f>
        <v>B</v>
      </c>
      <c r="G16" s="2" t="str">
        <f ca="1">CELL("contenu",INDIRECT(ADDRESS(ref!$K$4,ref!F15,1,,CELL("contenu",$AC$2))))</f>
        <v/>
      </c>
      <c r="H16" s="3" t="str">
        <f ca="1">CELL("contenu",INDIRECT(ADDRESS(ref!$K$4,ref!G15,1,,CELL("contenu",$AC$2))))</f>
        <v/>
      </c>
      <c r="I16" s="4" t="str">
        <f ca="1">CELL("contenu",INDIRECT(ADDRESS(ref!$K$4,ref!H15,1,,CELL("contenu",$AC$2))))</f>
        <v>B</v>
      </c>
      <c r="J16" s="5" t="str">
        <f ca="1">CELL("contenu",INDIRECT(ADDRESS(ref!$K$5,ref!E15,1,,CELL("contenu",$AC$2))))</f>
        <v/>
      </c>
      <c r="K16" s="2" t="str">
        <f ca="1">CELL("contenu",INDIRECT(ADDRESS(ref!$K$5,ref!F15,1,,CELL("contenu",$AC$2))))</f>
        <v/>
      </c>
      <c r="L16" s="3" t="str">
        <f ca="1">CELL("contenu",INDIRECT(ADDRESS(ref!$K$5,ref!G15,1,,CELL("contenu",$AC$2))))</f>
        <v/>
      </c>
      <c r="M16" s="4" t="str">
        <f ca="1">CELL("contenu",INDIRECT(ADDRESS(ref!$K$5,ref!H15,1,,CELL("contenu",$AC$2))))</f>
        <v/>
      </c>
      <c r="N16" s="5" t="str">
        <f ca="1">CELL("contenu",INDIRECT(ADDRESS(ref!$K$6,ref!E15,1,,CELL("contenu",$AC$2))))</f>
        <v/>
      </c>
      <c r="O16" s="2" t="str">
        <f ca="1">CELL("contenu",INDIRECT(ADDRESS(ref!$K$6,ref!F15,1,,CELL("contenu",$AC$2))))</f>
        <v/>
      </c>
      <c r="P16" s="3" t="str">
        <f ca="1">CELL("contenu",INDIRECT(ADDRESS(ref!$K$6,ref!G15,1,,CELL("contenu",$AC$2))))</f>
        <v/>
      </c>
      <c r="Q16" s="4" t="str">
        <f ca="1">CELL("contenu",INDIRECT(ADDRESS(ref!$K$6,ref!H15,1,,CELL("contenu",$AC$2))))</f>
        <v/>
      </c>
      <c r="R16" s="5" t="str">
        <f ca="1">CELL("contenu",INDIRECT(ADDRESS(ref!$K$7,ref!E15,1,,CELL("contenu",$AC$2))))</f>
        <v>A</v>
      </c>
      <c r="S16" s="2" t="str">
        <f ca="1">CELL("contenu",INDIRECT(ADDRESS(ref!$K$7,ref!F15,1,,CELL("contenu",$AC$2))))</f>
        <v/>
      </c>
      <c r="T16" s="3" t="str">
        <f ca="1">CELL("contenu",INDIRECT(ADDRESS(ref!$K$7,ref!G15,1,,CELL("contenu",$AC$2))))</f>
        <v/>
      </c>
      <c r="U16" s="4" t="str">
        <f ca="1">CELL("contenu",INDIRECT(ADDRESS(ref!$K$7,ref!H15,1,,CELL("contenu",$AC$2))))</f>
        <v>A</v>
      </c>
      <c r="V16" s="28">
        <f ca="1">CELL("contenu",INDIRECT(ADDRESS(ref!$K$8,ref!E15,1,,CELL("contenu",$AC$2))))</f>
        <v>16.666666666666668</v>
      </c>
      <c r="W16" s="29" t="str">
        <f ca="1">CELL("contenu",INDIRECT(ADDRESS(ref!$K$8,ref!F15,1,,CELL("contenu",$AC$2))))</f>
        <v/>
      </c>
      <c r="X16" s="30" t="str">
        <f ca="1">CELL("contenu",INDIRECT(ADDRESS(ref!$K$8,ref!G15,1,,CELL("contenu",$AC$2))))</f>
        <v/>
      </c>
      <c r="Y16" s="6" t="str">
        <f ca="1">CELL("contenu",INDIRECT(ADDRESS(ref!$K$9,ref!H15,1,,CELL("contenu",$AC$2))))</f>
        <v/>
      </c>
      <c r="Z16" s="3" t="str">
        <f ca="1">CELL("contenu",INDIRECT(ADDRESS(ref!$K$10,ref!H15,1,,CELL("contenu",$AC$2))))</f>
        <v/>
      </c>
      <c r="AA16" s="7" t="str">
        <f ca="1">CELL("contenu",INDIRECT(ADDRESS(ref!$K$11,ref!H15,1,,CELL("contenu",$AC$2))))</f>
        <v/>
      </c>
    </row>
    <row r="17" spans="1:27" x14ac:dyDescent="0.25">
      <c r="A17" s="44" t="str">
        <f t="shared" ca="1" si="0"/>
        <v>KOUKEMBO Lea</v>
      </c>
      <c r="B17" s="1" t="str">
        <f ca="1">CELL("contenu",INDIRECT(ADDRESS(ref!$K$3,ref!E16,1,,CELL("contenu",$AC$2))))</f>
        <v/>
      </c>
      <c r="C17" s="2" t="str">
        <f ca="1">CELL("contenu",INDIRECT(ADDRESS(ref!$K$3,ref!F16,1,,CELL("contenu",$AC$2))))</f>
        <v/>
      </c>
      <c r="D17" s="3" t="str">
        <f ca="1">CELL("contenu",INDIRECT(ADDRESS(ref!$K$3,ref!G16,1,,CELL("contenu",$AC$2))))</f>
        <v/>
      </c>
      <c r="E17" s="4" t="str">
        <f ca="1">CELL("contenu",INDIRECT(ADDRESS(ref!$K$3,ref!H16,1,,CELL("contenu",$AC$2))))</f>
        <v/>
      </c>
      <c r="F17" s="5" t="str">
        <f ca="1">CELL("contenu",INDIRECT(ADDRESS(ref!$K$4,ref!E16,1,,CELL("contenu",$AC$2))))</f>
        <v/>
      </c>
      <c r="G17" s="2" t="str">
        <f ca="1">CELL("contenu",INDIRECT(ADDRESS(ref!$K$4,ref!F16,1,,CELL("contenu",$AC$2))))</f>
        <v/>
      </c>
      <c r="H17" s="3" t="str">
        <f ca="1">CELL("contenu",INDIRECT(ADDRESS(ref!$K$4,ref!G16,1,,CELL("contenu",$AC$2))))</f>
        <v/>
      </c>
      <c r="I17" s="4" t="str">
        <f ca="1">CELL("contenu",INDIRECT(ADDRESS(ref!$K$4,ref!H16,1,,CELL("contenu",$AC$2))))</f>
        <v/>
      </c>
      <c r="J17" s="5" t="str">
        <f ca="1">CELL("contenu",INDIRECT(ADDRESS(ref!$K$5,ref!E16,1,,CELL("contenu",$AC$2))))</f>
        <v/>
      </c>
      <c r="K17" s="2" t="str">
        <f ca="1">CELL("contenu",INDIRECT(ADDRESS(ref!$K$5,ref!F16,1,,CELL("contenu",$AC$2))))</f>
        <v/>
      </c>
      <c r="L17" s="3" t="str">
        <f ca="1">CELL("contenu",INDIRECT(ADDRESS(ref!$K$5,ref!G16,1,,CELL("contenu",$AC$2))))</f>
        <v/>
      </c>
      <c r="M17" s="4" t="str">
        <f ca="1">CELL("contenu",INDIRECT(ADDRESS(ref!$K$5,ref!H16,1,,CELL("contenu",$AC$2))))</f>
        <v/>
      </c>
      <c r="N17" s="5" t="str">
        <f ca="1">CELL("contenu",INDIRECT(ADDRESS(ref!$K$6,ref!E16,1,,CELL("contenu",$AC$2))))</f>
        <v/>
      </c>
      <c r="O17" s="2" t="str">
        <f ca="1">CELL("contenu",INDIRECT(ADDRESS(ref!$K$6,ref!F16,1,,CELL("contenu",$AC$2))))</f>
        <v/>
      </c>
      <c r="P17" s="3" t="str">
        <f ca="1">CELL("contenu",INDIRECT(ADDRESS(ref!$K$6,ref!G16,1,,CELL("contenu",$AC$2))))</f>
        <v/>
      </c>
      <c r="Q17" s="4" t="str">
        <f ca="1">CELL("contenu",INDIRECT(ADDRESS(ref!$K$6,ref!H16,1,,CELL("contenu",$AC$2))))</f>
        <v/>
      </c>
      <c r="R17" s="5" t="str">
        <f ca="1">CELL("contenu",INDIRECT(ADDRESS(ref!$K$7,ref!E16,1,,CELL("contenu",$AC$2))))</f>
        <v/>
      </c>
      <c r="S17" s="2" t="str">
        <f ca="1">CELL("contenu",INDIRECT(ADDRESS(ref!$K$7,ref!F16,1,,CELL("contenu",$AC$2))))</f>
        <v/>
      </c>
      <c r="T17" s="3" t="str">
        <f ca="1">CELL("contenu",INDIRECT(ADDRESS(ref!$K$7,ref!G16,1,,CELL("contenu",$AC$2))))</f>
        <v/>
      </c>
      <c r="U17" s="4" t="str">
        <f ca="1">CELL("contenu",INDIRECT(ADDRESS(ref!$K$7,ref!H16,1,,CELL("contenu",$AC$2))))</f>
        <v/>
      </c>
      <c r="V17" s="28" t="str">
        <f ca="1">CELL("contenu",INDIRECT(ADDRESS(ref!$K$8,ref!E16,1,,CELL("contenu",$AC$2))))</f>
        <v/>
      </c>
      <c r="W17" s="29" t="str">
        <f ca="1">CELL("contenu",INDIRECT(ADDRESS(ref!$K$8,ref!F16,1,,CELL("contenu",$AC$2))))</f>
        <v/>
      </c>
      <c r="X17" s="30" t="str">
        <f ca="1">CELL("contenu",INDIRECT(ADDRESS(ref!$K$8,ref!G16,1,,CELL("contenu",$AC$2))))</f>
        <v/>
      </c>
      <c r="Y17" s="6" t="str">
        <f ca="1">CELL("contenu",INDIRECT(ADDRESS(ref!$K$9,ref!H16,1,,CELL("contenu",$AC$2))))</f>
        <v/>
      </c>
      <c r="Z17" s="3" t="str">
        <f ca="1">CELL("contenu",INDIRECT(ADDRESS(ref!$K$10,ref!H16,1,,CELL("contenu",$AC$2))))</f>
        <v/>
      </c>
      <c r="AA17" s="7" t="str">
        <f ca="1">CELL("contenu",INDIRECT(ADDRESS(ref!$K$11,ref!H16,1,,CELL("contenu",$AC$2))))</f>
        <v/>
      </c>
    </row>
    <row r="18" spans="1:27" x14ac:dyDescent="0.25">
      <c r="A18" s="44" t="str">
        <f t="shared" ca="1" si="0"/>
        <v>LE FLOCH PIERRE Artus</v>
      </c>
      <c r="B18" s="1" t="str">
        <f ca="1">CELL("contenu",INDIRECT(ADDRESS(ref!$K$3,ref!E17,1,,CELL("contenu",$AC$2))))</f>
        <v/>
      </c>
      <c r="C18" s="2" t="str">
        <f ca="1">CELL("contenu",INDIRECT(ADDRESS(ref!$K$3,ref!F17,1,,CELL("contenu",$AC$2))))</f>
        <v/>
      </c>
      <c r="D18" s="3" t="str">
        <f ca="1">CELL("contenu",INDIRECT(ADDRESS(ref!$K$3,ref!G17,1,,CELL("contenu",$AC$2))))</f>
        <v/>
      </c>
      <c r="E18" s="4" t="str">
        <f ca="1">CELL("contenu",INDIRECT(ADDRESS(ref!$K$3,ref!H17,1,,CELL("contenu",$AC$2))))</f>
        <v/>
      </c>
      <c r="F18" s="5" t="str">
        <f ca="1">CELL("contenu",INDIRECT(ADDRESS(ref!$K$4,ref!E17,1,,CELL("contenu",$AC$2))))</f>
        <v>B</v>
      </c>
      <c r="G18" s="2" t="str">
        <f ca="1">CELL("contenu",INDIRECT(ADDRESS(ref!$K$4,ref!F17,1,,CELL("contenu",$AC$2))))</f>
        <v/>
      </c>
      <c r="H18" s="3" t="str">
        <f ca="1">CELL("contenu",INDIRECT(ADDRESS(ref!$K$4,ref!G17,1,,CELL("contenu",$AC$2))))</f>
        <v/>
      </c>
      <c r="I18" s="4" t="str">
        <f ca="1">CELL("contenu",INDIRECT(ADDRESS(ref!$K$4,ref!H17,1,,CELL("contenu",$AC$2))))</f>
        <v>B</v>
      </c>
      <c r="J18" s="5" t="str">
        <f ca="1">CELL("contenu",INDIRECT(ADDRESS(ref!$K$5,ref!E17,1,,CELL("contenu",$AC$2))))</f>
        <v/>
      </c>
      <c r="K18" s="2" t="str">
        <f ca="1">CELL("contenu",INDIRECT(ADDRESS(ref!$K$5,ref!F17,1,,CELL("contenu",$AC$2))))</f>
        <v/>
      </c>
      <c r="L18" s="3" t="str">
        <f ca="1">CELL("contenu",INDIRECT(ADDRESS(ref!$K$5,ref!G17,1,,CELL("contenu",$AC$2))))</f>
        <v/>
      </c>
      <c r="M18" s="4" t="str">
        <f ca="1">CELL("contenu",INDIRECT(ADDRESS(ref!$K$5,ref!H17,1,,CELL("contenu",$AC$2))))</f>
        <v/>
      </c>
      <c r="N18" s="5" t="str">
        <f ca="1">CELL("contenu",INDIRECT(ADDRESS(ref!$K$6,ref!E17,1,,CELL("contenu",$AC$2))))</f>
        <v/>
      </c>
      <c r="O18" s="2" t="str">
        <f ca="1">CELL("contenu",INDIRECT(ADDRESS(ref!$K$6,ref!F17,1,,CELL("contenu",$AC$2))))</f>
        <v/>
      </c>
      <c r="P18" s="3" t="str">
        <f ca="1">CELL("contenu",INDIRECT(ADDRESS(ref!$K$6,ref!G17,1,,CELL("contenu",$AC$2))))</f>
        <v/>
      </c>
      <c r="Q18" s="4" t="str">
        <f ca="1">CELL("contenu",INDIRECT(ADDRESS(ref!$K$6,ref!H17,1,,CELL("contenu",$AC$2))))</f>
        <v/>
      </c>
      <c r="R18" s="5" t="str">
        <f ca="1">CELL("contenu",INDIRECT(ADDRESS(ref!$K$7,ref!E17,1,,CELL("contenu",$AC$2))))</f>
        <v>A</v>
      </c>
      <c r="S18" s="2" t="str">
        <f ca="1">CELL("contenu",INDIRECT(ADDRESS(ref!$K$7,ref!F17,1,,CELL("contenu",$AC$2))))</f>
        <v/>
      </c>
      <c r="T18" s="3" t="str">
        <f ca="1">CELL("contenu",INDIRECT(ADDRESS(ref!$K$7,ref!G17,1,,CELL("contenu",$AC$2))))</f>
        <v/>
      </c>
      <c r="U18" s="4" t="str">
        <f ca="1">CELL("contenu",INDIRECT(ADDRESS(ref!$K$7,ref!H17,1,,CELL("contenu",$AC$2))))</f>
        <v>A</v>
      </c>
      <c r="V18" s="28">
        <f ca="1">CELL("contenu",INDIRECT(ADDRESS(ref!$K$8,ref!E17,1,,CELL("contenu",$AC$2))))</f>
        <v>18.333333333333332</v>
      </c>
      <c r="W18" s="29" t="str">
        <f ca="1">CELL("contenu",INDIRECT(ADDRESS(ref!$K$8,ref!F17,1,,CELL("contenu",$AC$2))))</f>
        <v/>
      </c>
      <c r="X18" s="30" t="str">
        <f ca="1">CELL("contenu",INDIRECT(ADDRESS(ref!$K$8,ref!G17,1,,CELL("contenu",$AC$2))))</f>
        <v/>
      </c>
      <c r="Y18" s="6" t="str">
        <f ca="1">CELL("contenu",INDIRECT(ADDRESS(ref!$K$9,ref!H17,1,,CELL("contenu",$AC$2))))</f>
        <v/>
      </c>
      <c r="Z18" s="3" t="str">
        <f ca="1">CELL("contenu",INDIRECT(ADDRESS(ref!$K$10,ref!H17,1,,CELL("contenu",$AC$2))))</f>
        <v/>
      </c>
      <c r="AA18" s="7" t="str">
        <f ca="1">CELL("contenu",INDIRECT(ADDRESS(ref!$K$11,ref!H17,1,,CELL("contenu",$AC$2))))</f>
        <v/>
      </c>
    </row>
    <row r="19" spans="1:27" x14ac:dyDescent="0.25">
      <c r="A19" s="44" t="str">
        <f t="shared" ca="1" si="0"/>
        <v>LECOUFFE Celeste</v>
      </c>
      <c r="B19" s="1" t="str">
        <f ca="1">CELL("contenu",INDIRECT(ADDRESS(ref!$K$3,ref!E18,1,,CELL("contenu",$AC$2))))</f>
        <v/>
      </c>
      <c r="C19" s="2" t="str">
        <f ca="1">CELL("contenu",INDIRECT(ADDRESS(ref!$K$3,ref!F18,1,,CELL("contenu",$AC$2))))</f>
        <v/>
      </c>
      <c r="D19" s="3" t="str">
        <f ca="1">CELL("contenu",INDIRECT(ADDRESS(ref!$K$3,ref!G18,1,,CELL("contenu",$AC$2))))</f>
        <v/>
      </c>
      <c r="E19" s="4" t="str">
        <f ca="1">CELL("contenu",INDIRECT(ADDRESS(ref!$K$3,ref!H18,1,,CELL("contenu",$AC$2))))</f>
        <v/>
      </c>
      <c r="F19" s="5" t="str">
        <f ca="1">CELL("contenu",INDIRECT(ADDRESS(ref!$K$4,ref!E18,1,,CELL("contenu",$AC$2))))</f>
        <v>B</v>
      </c>
      <c r="G19" s="2" t="str">
        <f ca="1">CELL("contenu",INDIRECT(ADDRESS(ref!$K$4,ref!F18,1,,CELL("contenu",$AC$2))))</f>
        <v/>
      </c>
      <c r="H19" s="3" t="str">
        <f ca="1">CELL("contenu",INDIRECT(ADDRESS(ref!$K$4,ref!G18,1,,CELL("contenu",$AC$2))))</f>
        <v/>
      </c>
      <c r="I19" s="4" t="str">
        <f ca="1">CELL("contenu",INDIRECT(ADDRESS(ref!$K$4,ref!H18,1,,CELL("contenu",$AC$2))))</f>
        <v>B</v>
      </c>
      <c r="J19" s="5" t="str">
        <f ca="1">CELL("contenu",INDIRECT(ADDRESS(ref!$K$5,ref!E18,1,,CELL("contenu",$AC$2))))</f>
        <v/>
      </c>
      <c r="K19" s="2" t="str">
        <f ca="1">CELL("contenu",INDIRECT(ADDRESS(ref!$K$5,ref!F18,1,,CELL("contenu",$AC$2))))</f>
        <v/>
      </c>
      <c r="L19" s="3" t="str">
        <f ca="1">CELL("contenu",INDIRECT(ADDRESS(ref!$K$5,ref!G18,1,,CELL("contenu",$AC$2))))</f>
        <v/>
      </c>
      <c r="M19" s="4" t="str">
        <f ca="1">CELL("contenu",INDIRECT(ADDRESS(ref!$K$5,ref!H18,1,,CELL("contenu",$AC$2))))</f>
        <v/>
      </c>
      <c r="N19" s="5" t="str">
        <f ca="1">CELL("contenu",INDIRECT(ADDRESS(ref!$K$6,ref!E18,1,,CELL("contenu",$AC$2))))</f>
        <v/>
      </c>
      <c r="O19" s="2" t="str">
        <f ca="1">CELL("contenu",INDIRECT(ADDRESS(ref!$K$6,ref!F18,1,,CELL("contenu",$AC$2))))</f>
        <v/>
      </c>
      <c r="P19" s="3" t="str">
        <f ca="1">CELL("contenu",INDIRECT(ADDRESS(ref!$K$6,ref!G18,1,,CELL("contenu",$AC$2))))</f>
        <v/>
      </c>
      <c r="Q19" s="4" t="str">
        <f ca="1">CELL("contenu",INDIRECT(ADDRESS(ref!$K$6,ref!H18,1,,CELL("contenu",$AC$2))))</f>
        <v/>
      </c>
      <c r="R19" s="5" t="str">
        <f ca="1">CELL("contenu",INDIRECT(ADDRESS(ref!$K$7,ref!E18,1,,CELL("contenu",$AC$2))))</f>
        <v>A</v>
      </c>
      <c r="S19" s="2" t="str">
        <f ca="1">CELL("contenu",INDIRECT(ADDRESS(ref!$K$7,ref!F18,1,,CELL("contenu",$AC$2))))</f>
        <v/>
      </c>
      <c r="T19" s="3" t="str">
        <f ca="1">CELL("contenu",INDIRECT(ADDRESS(ref!$K$7,ref!G18,1,,CELL("contenu",$AC$2))))</f>
        <v/>
      </c>
      <c r="U19" s="4" t="str">
        <f ca="1">CELL("contenu",INDIRECT(ADDRESS(ref!$K$7,ref!H18,1,,CELL("contenu",$AC$2))))</f>
        <v>A</v>
      </c>
      <c r="V19" s="28">
        <f ca="1">CELL("contenu",INDIRECT(ADDRESS(ref!$K$8,ref!E18,1,,CELL("contenu",$AC$2))))</f>
        <v>18.333333333333332</v>
      </c>
      <c r="W19" s="29" t="str">
        <f ca="1">CELL("contenu",INDIRECT(ADDRESS(ref!$K$8,ref!F18,1,,CELL("contenu",$AC$2))))</f>
        <v/>
      </c>
      <c r="X19" s="30" t="str">
        <f ca="1">CELL("contenu",INDIRECT(ADDRESS(ref!$K$8,ref!G18,1,,CELL("contenu",$AC$2))))</f>
        <v/>
      </c>
      <c r="Y19" s="6" t="str">
        <f ca="1">CELL("contenu",INDIRECT(ADDRESS(ref!$K$9,ref!H18,1,,CELL("contenu",$AC$2))))</f>
        <v/>
      </c>
      <c r="Z19" s="3" t="str">
        <f ca="1">CELL("contenu",INDIRECT(ADDRESS(ref!$K$10,ref!H18,1,,CELL("contenu",$AC$2))))</f>
        <v/>
      </c>
      <c r="AA19" s="7" t="str">
        <f ca="1">CELL("contenu",INDIRECT(ADDRESS(ref!$K$11,ref!H18,1,,CELL("contenu",$AC$2))))</f>
        <v/>
      </c>
    </row>
    <row r="20" spans="1:27" x14ac:dyDescent="0.25">
      <c r="A20" s="44" t="str">
        <f t="shared" ca="1" si="0"/>
        <v>MILARD--GODARD Zoyann</v>
      </c>
      <c r="B20" s="1" t="str">
        <f ca="1">CELL("contenu",INDIRECT(ADDRESS(ref!$K$3,ref!E19,1,,CELL("contenu",$AC$2))))</f>
        <v/>
      </c>
      <c r="C20" s="2" t="str">
        <f ca="1">CELL("contenu",INDIRECT(ADDRESS(ref!$K$3,ref!F19,1,,CELL("contenu",$AC$2))))</f>
        <v/>
      </c>
      <c r="D20" s="3" t="str">
        <f ca="1">CELL("contenu",INDIRECT(ADDRESS(ref!$K$3,ref!G19,1,,CELL("contenu",$AC$2))))</f>
        <v/>
      </c>
      <c r="E20" s="4" t="str">
        <f ca="1">CELL("contenu",INDIRECT(ADDRESS(ref!$K$3,ref!H19,1,,CELL("contenu",$AC$2))))</f>
        <v/>
      </c>
      <c r="F20" s="5" t="str">
        <f ca="1">CELL("contenu",INDIRECT(ADDRESS(ref!$K$4,ref!E19,1,,CELL("contenu",$AC$2))))</f>
        <v>B</v>
      </c>
      <c r="G20" s="2" t="str">
        <f ca="1">CELL("contenu",INDIRECT(ADDRESS(ref!$K$4,ref!F19,1,,CELL("contenu",$AC$2))))</f>
        <v/>
      </c>
      <c r="H20" s="3" t="str">
        <f ca="1">CELL("contenu",INDIRECT(ADDRESS(ref!$K$4,ref!G19,1,,CELL("contenu",$AC$2))))</f>
        <v/>
      </c>
      <c r="I20" s="4" t="str">
        <f ca="1">CELL("contenu",INDIRECT(ADDRESS(ref!$K$4,ref!H19,1,,CELL("contenu",$AC$2))))</f>
        <v>B</v>
      </c>
      <c r="J20" s="5" t="str">
        <f ca="1">CELL("contenu",INDIRECT(ADDRESS(ref!$K$5,ref!E19,1,,CELL("contenu",$AC$2))))</f>
        <v/>
      </c>
      <c r="K20" s="2" t="str">
        <f ca="1">CELL("contenu",INDIRECT(ADDRESS(ref!$K$5,ref!F19,1,,CELL("contenu",$AC$2))))</f>
        <v/>
      </c>
      <c r="L20" s="3" t="str">
        <f ca="1">CELL("contenu",INDIRECT(ADDRESS(ref!$K$5,ref!G19,1,,CELL("contenu",$AC$2))))</f>
        <v/>
      </c>
      <c r="M20" s="4" t="str">
        <f ca="1">CELL("contenu",INDIRECT(ADDRESS(ref!$K$5,ref!H19,1,,CELL("contenu",$AC$2))))</f>
        <v/>
      </c>
      <c r="N20" s="5" t="str">
        <f ca="1">CELL("contenu",INDIRECT(ADDRESS(ref!$K$6,ref!E19,1,,CELL("contenu",$AC$2))))</f>
        <v/>
      </c>
      <c r="O20" s="2" t="str">
        <f ca="1">CELL("contenu",INDIRECT(ADDRESS(ref!$K$6,ref!F19,1,,CELL("contenu",$AC$2))))</f>
        <v/>
      </c>
      <c r="P20" s="3" t="str">
        <f ca="1">CELL("contenu",INDIRECT(ADDRESS(ref!$K$6,ref!G19,1,,CELL("contenu",$AC$2))))</f>
        <v/>
      </c>
      <c r="Q20" s="4" t="str">
        <f ca="1">CELL("contenu",INDIRECT(ADDRESS(ref!$K$6,ref!H19,1,,CELL("contenu",$AC$2))))</f>
        <v/>
      </c>
      <c r="R20" s="5" t="str">
        <f ca="1">CELL("contenu",INDIRECT(ADDRESS(ref!$K$7,ref!E19,1,,CELL("contenu",$AC$2))))</f>
        <v>A</v>
      </c>
      <c r="S20" s="2" t="str">
        <f ca="1">CELL("contenu",INDIRECT(ADDRESS(ref!$K$7,ref!F19,1,,CELL("contenu",$AC$2))))</f>
        <v/>
      </c>
      <c r="T20" s="3" t="str">
        <f ca="1">CELL("contenu",INDIRECT(ADDRESS(ref!$K$7,ref!G19,1,,CELL("contenu",$AC$2))))</f>
        <v/>
      </c>
      <c r="U20" s="4" t="str">
        <f ca="1">CELL("contenu",INDIRECT(ADDRESS(ref!$K$7,ref!H19,1,,CELL("contenu",$AC$2))))</f>
        <v>A</v>
      </c>
      <c r="V20" s="28">
        <f ca="1">CELL("contenu",INDIRECT(ADDRESS(ref!$K$8,ref!E19,1,,CELL("contenu",$AC$2))))</f>
        <v>18.333333333333332</v>
      </c>
      <c r="W20" s="29" t="str">
        <f ca="1">CELL("contenu",INDIRECT(ADDRESS(ref!$K$8,ref!F19,1,,CELL("contenu",$AC$2))))</f>
        <v/>
      </c>
      <c r="X20" s="30" t="str">
        <f ca="1">CELL("contenu",INDIRECT(ADDRESS(ref!$K$8,ref!G19,1,,CELL("contenu",$AC$2))))</f>
        <v/>
      </c>
      <c r="Y20" s="6" t="str">
        <f ca="1">CELL("contenu",INDIRECT(ADDRESS(ref!$K$9,ref!H19,1,,CELL("contenu",$AC$2))))</f>
        <v/>
      </c>
      <c r="Z20" s="3" t="str">
        <f ca="1">CELL("contenu",INDIRECT(ADDRESS(ref!$K$10,ref!H19,1,,CELL("contenu",$AC$2))))</f>
        <v/>
      </c>
      <c r="AA20" s="7" t="str">
        <f ca="1">CELL("contenu",INDIRECT(ADDRESS(ref!$K$11,ref!H19,1,,CELL("contenu",$AC$2))))</f>
        <v/>
      </c>
    </row>
    <row r="21" spans="1:27" x14ac:dyDescent="0.25">
      <c r="A21" s="44" t="str">
        <f t="shared" ca="1" si="0"/>
        <v>MOREL Jules</v>
      </c>
      <c r="B21" s="1" t="str">
        <f ca="1">CELL("contenu",INDIRECT(ADDRESS(ref!$K$3,ref!E20,1,,CELL("contenu",$AC$2))))</f>
        <v/>
      </c>
      <c r="C21" s="2" t="str">
        <f ca="1">CELL("contenu",INDIRECT(ADDRESS(ref!$K$3,ref!F20,1,,CELL("contenu",$AC$2))))</f>
        <v/>
      </c>
      <c r="D21" s="3" t="str">
        <f ca="1">CELL("contenu",INDIRECT(ADDRESS(ref!$K$3,ref!G20,1,,CELL("contenu",$AC$2))))</f>
        <v/>
      </c>
      <c r="E21" s="4" t="str">
        <f ca="1">CELL("contenu",INDIRECT(ADDRESS(ref!$K$3,ref!H20,1,,CELL("contenu",$AC$2))))</f>
        <v/>
      </c>
      <c r="F21" s="5" t="str">
        <f ca="1">CELL("contenu",INDIRECT(ADDRESS(ref!$K$4,ref!E20,1,,CELL("contenu",$AC$2))))</f>
        <v>B</v>
      </c>
      <c r="G21" s="2" t="str">
        <f ca="1">CELL("contenu",INDIRECT(ADDRESS(ref!$K$4,ref!F20,1,,CELL("contenu",$AC$2))))</f>
        <v/>
      </c>
      <c r="H21" s="3" t="str">
        <f ca="1">CELL("contenu",INDIRECT(ADDRESS(ref!$K$4,ref!G20,1,,CELL("contenu",$AC$2))))</f>
        <v/>
      </c>
      <c r="I21" s="4" t="str">
        <f ca="1">CELL("contenu",INDIRECT(ADDRESS(ref!$K$4,ref!H20,1,,CELL("contenu",$AC$2))))</f>
        <v>B</v>
      </c>
      <c r="J21" s="5" t="str">
        <f ca="1">CELL("contenu",INDIRECT(ADDRESS(ref!$K$5,ref!E20,1,,CELL("contenu",$AC$2))))</f>
        <v/>
      </c>
      <c r="K21" s="2" t="str">
        <f ca="1">CELL("contenu",INDIRECT(ADDRESS(ref!$K$5,ref!F20,1,,CELL("contenu",$AC$2))))</f>
        <v/>
      </c>
      <c r="L21" s="3" t="str">
        <f ca="1">CELL("contenu",INDIRECT(ADDRESS(ref!$K$5,ref!G20,1,,CELL("contenu",$AC$2))))</f>
        <v/>
      </c>
      <c r="M21" s="4" t="str">
        <f ca="1">CELL("contenu",INDIRECT(ADDRESS(ref!$K$5,ref!H20,1,,CELL("contenu",$AC$2))))</f>
        <v/>
      </c>
      <c r="N21" s="5" t="str">
        <f ca="1">CELL("contenu",INDIRECT(ADDRESS(ref!$K$6,ref!E20,1,,CELL("contenu",$AC$2))))</f>
        <v/>
      </c>
      <c r="O21" s="2" t="str">
        <f ca="1">CELL("contenu",INDIRECT(ADDRESS(ref!$K$6,ref!F20,1,,CELL("contenu",$AC$2))))</f>
        <v/>
      </c>
      <c r="P21" s="3" t="str">
        <f ca="1">CELL("contenu",INDIRECT(ADDRESS(ref!$K$6,ref!G20,1,,CELL("contenu",$AC$2))))</f>
        <v/>
      </c>
      <c r="Q21" s="4" t="str">
        <f ca="1">CELL("contenu",INDIRECT(ADDRESS(ref!$K$6,ref!H20,1,,CELL("contenu",$AC$2))))</f>
        <v/>
      </c>
      <c r="R21" s="5" t="str">
        <f ca="1">CELL("contenu",INDIRECT(ADDRESS(ref!$K$7,ref!E20,1,,CELL("contenu",$AC$2))))</f>
        <v>A</v>
      </c>
      <c r="S21" s="2" t="str">
        <f ca="1">CELL("contenu",INDIRECT(ADDRESS(ref!$K$7,ref!F20,1,,CELL("contenu",$AC$2))))</f>
        <v/>
      </c>
      <c r="T21" s="3" t="str">
        <f ca="1">CELL("contenu",INDIRECT(ADDRESS(ref!$K$7,ref!G20,1,,CELL("contenu",$AC$2))))</f>
        <v/>
      </c>
      <c r="U21" s="4" t="str">
        <f ca="1">CELL("contenu",INDIRECT(ADDRESS(ref!$K$7,ref!H20,1,,CELL("contenu",$AC$2))))</f>
        <v>A</v>
      </c>
      <c r="V21" s="28">
        <f ca="1">CELL("contenu",INDIRECT(ADDRESS(ref!$K$8,ref!E20,1,,CELL("contenu",$AC$2))))</f>
        <v>18.333333333333332</v>
      </c>
      <c r="W21" s="29" t="str">
        <f ca="1">CELL("contenu",INDIRECT(ADDRESS(ref!$K$8,ref!F20,1,,CELL("contenu",$AC$2))))</f>
        <v/>
      </c>
      <c r="X21" s="30" t="str">
        <f ca="1">CELL("contenu",INDIRECT(ADDRESS(ref!$K$8,ref!G20,1,,CELL("contenu",$AC$2))))</f>
        <v/>
      </c>
      <c r="Y21" s="6" t="str">
        <f ca="1">CELL("contenu",INDIRECT(ADDRESS(ref!$K$9,ref!H20,1,,CELL("contenu",$AC$2))))</f>
        <v/>
      </c>
      <c r="Z21" s="3" t="str">
        <f ca="1">CELL("contenu",INDIRECT(ADDRESS(ref!$K$10,ref!H20,1,,CELL("contenu",$AC$2))))</f>
        <v/>
      </c>
      <c r="AA21" s="7" t="str">
        <f ca="1">CELL("contenu",INDIRECT(ADDRESS(ref!$K$11,ref!H20,1,,CELL("contenu",$AC$2))))</f>
        <v/>
      </c>
    </row>
    <row r="22" spans="1:27" x14ac:dyDescent="0.25">
      <c r="A22" s="44" t="str">
        <f t="shared" ca="1" si="0"/>
        <v>NGUYEN-QUANG-DAT Yohan</v>
      </c>
      <c r="B22" s="1" t="str">
        <f ca="1">CELL("contenu",INDIRECT(ADDRESS(ref!$K$3,ref!E21,1,,CELL("contenu",$AC$2))))</f>
        <v/>
      </c>
      <c r="C22" s="2" t="str">
        <f ca="1">CELL("contenu",INDIRECT(ADDRESS(ref!$K$3,ref!F21,1,,CELL("contenu",$AC$2))))</f>
        <v/>
      </c>
      <c r="D22" s="3" t="str">
        <f ca="1">CELL("contenu",INDIRECT(ADDRESS(ref!$K$3,ref!G21,1,,CELL("contenu",$AC$2))))</f>
        <v/>
      </c>
      <c r="E22" s="4" t="str">
        <f ca="1">CELL("contenu",INDIRECT(ADDRESS(ref!$K$3,ref!H21,1,,CELL("contenu",$AC$2))))</f>
        <v/>
      </c>
      <c r="F22" s="5" t="str">
        <f ca="1">CELL("contenu",INDIRECT(ADDRESS(ref!$K$4,ref!E21,1,,CELL("contenu",$AC$2))))</f>
        <v>C</v>
      </c>
      <c r="G22" s="2" t="str">
        <f ca="1">CELL("contenu",INDIRECT(ADDRESS(ref!$K$4,ref!F21,1,,CELL("contenu",$AC$2))))</f>
        <v/>
      </c>
      <c r="H22" s="3" t="str">
        <f ca="1">CELL("contenu",INDIRECT(ADDRESS(ref!$K$4,ref!G21,1,,CELL("contenu",$AC$2))))</f>
        <v/>
      </c>
      <c r="I22" s="4" t="str">
        <f ca="1">CELL("contenu",INDIRECT(ADDRESS(ref!$K$4,ref!H21,1,,CELL("contenu",$AC$2))))</f>
        <v>C</v>
      </c>
      <c r="J22" s="5" t="str">
        <f ca="1">CELL("contenu",INDIRECT(ADDRESS(ref!$K$5,ref!E21,1,,CELL("contenu",$AC$2))))</f>
        <v/>
      </c>
      <c r="K22" s="2" t="str">
        <f ca="1">CELL("contenu",INDIRECT(ADDRESS(ref!$K$5,ref!F21,1,,CELL("contenu",$AC$2))))</f>
        <v/>
      </c>
      <c r="L22" s="3" t="str">
        <f ca="1">CELL("contenu",INDIRECT(ADDRESS(ref!$K$5,ref!G21,1,,CELL("contenu",$AC$2))))</f>
        <v/>
      </c>
      <c r="M22" s="4" t="str">
        <f ca="1">CELL("contenu",INDIRECT(ADDRESS(ref!$K$5,ref!H21,1,,CELL("contenu",$AC$2))))</f>
        <v/>
      </c>
      <c r="N22" s="5" t="str">
        <f ca="1">CELL("contenu",INDIRECT(ADDRESS(ref!$K$6,ref!E21,1,,CELL("contenu",$AC$2))))</f>
        <v/>
      </c>
      <c r="O22" s="2" t="str">
        <f ca="1">CELL("contenu",INDIRECT(ADDRESS(ref!$K$6,ref!F21,1,,CELL("contenu",$AC$2))))</f>
        <v/>
      </c>
      <c r="P22" s="3" t="str">
        <f ca="1">CELL("contenu",INDIRECT(ADDRESS(ref!$K$6,ref!G21,1,,CELL("contenu",$AC$2))))</f>
        <v/>
      </c>
      <c r="Q22" s="4" t="str">
        <f ca="1">CELL("contenu",INDIRECT(ADDRESS(ref!$K$6,ref!H21,1,,CELL("contenu",$AC$2))))</f>
        <v/>
      </c>
      <c r="R22" s="5" t="str">
        <f ca="1">CELL("contenu",INDIRECT(ADDRESS(ref!$K$7,ref!E21,1,,CELL("contenu",$AC$2))))</f>
        <v>A</v>
      </c>
      <c r="S22" s="2" t="str">
        <f ca="1">CELL("contenu",INDIRECT(ADDRESS(ref!$K$7,ref!F21,1,,CELL("contenu",$AC$2))))</f>
        <v/>
      </c>
      <c r="T22" s="3" t="str">
        <f ca="1">CELL("contenu",INDIRECT(ADDRESS(ref!$K$7,ref!G21,1,,CELL("contenu",$AC$2))))</f>
        <v/>
      </c>
      <c r="U22" s="4" t="str">
        <f ca="1">CELL("contenu",INDIRECT(ADDRESS(ref!$K$7,ref!H21,1,,CELL("contenu",$AC$2))))</f>
        <v>A</v>
      </c>
      <c r="V22" s="28">
        <f ca="1">CELL("contenu",INDIRECT(ADDRESS(ref!$K$8,ref!E21,1,,CELL("contenu",$AC$2))))</f>
        <v>13.333333333333334</v>
      </c>
      <c r="W22" s="29" t="str">
        <f ca="1">CELL("contenu",INDIRECT(ADDRESS(ref!$K$8,ref!F21,1,,CELL("contenu",$AC$2))))</f>
        <v/>
      </c>
      <c r="X22" s="30" t="str">
        <f ca="1">CELL("contenu",INDIRECT(ADDRESS(ref!$K$8,ref!G21,1,,CELL("contenu",$AC$2))))</f>
        <v/>
      </c>
      <c r="Y22" s="6" t="str">
        <f ca="1">CELL("contenu",INDIRECT(ADDRESS(ref!$K$9,ref!H21,1,,CELL("contenu",$AC$2))))</f>
        <v/>
      </c>
      <c r="Z22" s="3" t="str">
        <f ca="1">CELL("contenu",INDIRECT(ADDRESS(ref!$K$10,ref!H21,1,,CELL("contenu",$AC$2))))</f>
        <v/>
      </c>
      <c r="AA22" s="7" t="str">
        <f ca="1">CELL("contenu",INDIRECT(ADDRESS(ref!$K$11,ref!H21,1,,CELL("contenu",$AC$2))))</f>
        <v/>
      </c>
    </row>
    <row r="23" spans="1:27" x14ac:dyDescent="0.25">
      <c r="A23" s="44" t="str">
        <f t="shared" ca="1" si="0"/>
        <v>PAJOT--MONMARQUE Clara</v>
      </c>
      <c r="B23" s="1" t="str">
        <f ca="1">CELL("contenu",INDIRECT(ADDRESS(ref!$K$3,ref!E22,1,,CELL("contenu",$AC$2))))</f>
        <v/>
      </c>
      <c r="C23" s="2" t="str">
        <f ca="1">CELL("contenu",INDIRECT(ADDRESS(ref!$K$3,ref!F22,1,,CELL("contenu",$AC$2))))</f>
        <v/>
      </c>
      <c r="D23" s="3" t="str">
        <f ca="1">CELL("contenu",INDIRECT(ADDRESS(ref!$K$3,ref!G22,1,,CELL("contenu",$AC$2))))</f>
        <v/>
      </c>
      <c r="E23" s="4" t="str">
        <f ca="1">CELL("contenu",INDIRECT(ADDRESS(ref!$K$3,ref!H22,1,,CELL("contenu",$AC$2))))</f>
        <v/>
      </c>
      <c r="F23" s="5" t="str">
        <f ca="1">CELL("contenu",INDIRECT(ADDRESS(ref!$K$4,ref!E22,1,,CELL("contenu",$AC$2))))</f>
        <v>B</v>
      </c>
      <c r="G23" s="2" t="str">
        <f ca="1">CELL("contenu",INDIRECT(ADDRESS(ref!$K$4,ref!F22,1,,CELL("contenu",$AC$2))))</f>
        <v/>
      </c>
      <c r="H23" s="3" t="str">
        <f ca="1">CELL("contenu",INDIRECT(ADDRESS(ref!$K$4,ref!G22,1,,CELL("contenu",$AC$2))))</f>
        <v/>
      </c>
      <c r="I23" s="4" t="str">
        <f ca="1">CELL("contenu",INDIRECT(ADDRESS(ref!$K$4,ref!H22,1,,CELL("contenu",$AC$2))))</f>
        <v>B</v>
      </c>
      <c r="J23" s="5" t="str">
        <f ca="1">CELL("contenu",INDIRECT(ADDRESS(ref!$K$5,ref!E22,1,,CELL("contenu",$AC$2))))</f>
        <v/>
      </c>
      <c r="K23" s="2" t="str">
        <f ca="1">CELL("contenu",INDIRECT(ADDRESS(ref!$K$5,ref!F22,1,,CELL("contenu",$AC$2))))</f>
        <v/>
      </c>
      <c r="L23" s="3" t="str">
        <f ca="1">CELL("contenu",INDIRECT(ADDRESS(ref!$K$5,ref!G22,1,,CELL("contenu",$AC$2))))</f>
        <v/>
      </c>
      <c r="M23" s="4" t="str">
        <f ca="1">CELL("contenu",INDIRECT(ADDRESS(ref!$K$5,ref!H22,1,,CELL("contenu",$AC$2))))</f>
        <v/>
      </c>
      <c r="N23" s="5" t="str">
        <f ca="1">CELL("contenu",INDIRECT(ADDRESS(ref!$K$6,ref!E22,1,,CELL("contenu",$AC$2))))</f>
        <v/>
      </c>
      <c r="O23" s="2" t="str">
        <f ca="1">CELL("contenu",INDIRECT(ADDRESS(ref!$K$6,ref!F22,1,,CELL("contenu",$AC$2))))</f>
        <v/>
      </c>
      <c r="P23" s="3" t="str">
        <f ca="1">CELL("contenu",INDIRECT(ADDRESS(ref!$K$6,ref!G22,1,,CELL("contenu",$AC$2))))</f>
        <v/>
      </c>
      <c r="Q23" s="4" t="str">
        <f ca="1">CELL("contenu",INDIRECT(ADDRESS(ref!$K$6,ref!H22,1,,CELL("contenu",$AC$2))))</f>
        <v/>
      </c>
      <c r="R23" s="5" t="str">
        <f ca="1">CELL("contenu",INDIRECT(ADDRESS(ref!$K$7,ref!E22,1,,CELL("contenu",$AC$2))))</f>
        <v>A</v>
      </c>
      <c r="S23" s="2" t="str">
        <f ca="1">CELL("contenu",INDIRECT(ADDRESS(ref!$K$7,ref!F22,1,,CELL("contenu",$AC$2))))</f>
        <v/>
      </c>
      <c r="T23" s="3" t="str">
        <f ca="1">CELL("contenu",INDIRECT(ADDRESS(ref!$K$7,ref!G22,1,,CELL("contenu",$AC$2))))</f>
        <v/>
      </c>
      <c r="U23" s="4" t="str">
        <f ca="1">CELL("contenu",INDIRECT(ADDRESS(ref!$K$7,ref!H22,1,,CELL("contenu",$AC$2))))</f>
        <v>A</v>
      </c>
      <c r="V23" s="28">
        <f ca="1">CELL("contenu",INDIRECT(ADDRESS(ref!$K$8,ref!E22,1,,CELL("contenu",$AC$2))))</f>
        <v>18.333333333333332</v>
      </c>
      <c r="W23" s="29" t="str">
        <f ca="1">CELL("contenu",INDIRECT(ADDRESS(ref!$K$8,ref!F22,1,,CELL("contenu",$AC$2))))</f>
        <v/>
      </c>
      <c r="X23" s="30" t="str">
        <f ca="1">CELL("contenu",INDIRECT(ADDRESS(ref!$K$8,ref!G22,1,,CELL("contenu",$AC$2))))</f>
        <v/>
      </c>
      <c r="Y23" s="6" t="str">
        <f ca="1">CELL("contenu",INDIRECT(ADDRESS(ref!$K$9,ref!H22,1,,CELL("contenu",$AC$2))))</f>
        <v/>
      </c>
      <c r="Z23" s="3" t="str">
        <f ca="1">CELL("contenu",INDIRECT(ADDRESS(ref!$K$10,ref!H22,1,,CELL("contenu",$AC$2))))</f>
        <v/>
      </c>
      <c r="AA23" s="7" t="str">
        <f ca="1">CELL("contenu",INDIRECT(ADDRESS(ref!$K$11,ref!H22,1,,CELL("contenu",$AC$2))))</f>
        <v/>
      </c>
    </row>
    <row r="24" spans="1:27" x14ac:dyDescent="0.25">
      <c r="A24" s="44" t="str">
        <f t="shared" ca="1" si="0"/>
        <v>PATRIA Margot</v>
      </c>
      <c r="B24" s="1" t="str">
        <f ca="1">CELL("contenu",INDIRECT(ADDRESS(ref!$K$3,ref!E23,1,,CELL("contenu",$AC$2))))</f>
        <v/>
      </c>
      <c r="C24" s="2" t="str">
        <f ca="1">CELL("contenu",INDIRECT(ADDRESS(ref!$K$3,ref!F23,1,,CELL("contenu",$AC$2))))</f>
        <v/>
      </c>
      <c r="D24" s="3" t="str">
        <f ca="1">CELL("contenu",INDIRECT(ADDRESS(ref!$K$3,ref!G23,1,,CELL("contenu",$AC$2))))</f>
        <v/>
      </c>
      <c r="E24" s="4" t="str">
        <f ca="1">CELL("contenu",INDIRECT(ADDRESS(ref!$K$3,ref!H23,1,,CELL("contenu",$AC$2))))</f>
        <v/>
      </c>
      <c r="F24" s="5" t="str">
        <f ca="1">CELL("contenu",INDIRECT(ADDRESS(ref!$K$4,ref!E23,1,,CELL("contenu",$AC$2))))</f>
        <v>C</v>
      </c>
      <c r="G24" s="2" t="str">
        <f ca="1">CELL("contenu",INDIRECT(ADDRESS(ref!$K$4,ref!F23,1,,CELL("contenu",$AC$2))))</f>
        <v/>
      </c>
      <c r="H24" s="3" t="str">
        <f ca="1">CELL("contenu",INDIRECT(ADDRESS(ref!$K$4,ref!G23,1,,CELL("contenu",$AC$2))))</f>
        <v/>
      </c>
      <c r="I24" s="4" t="str">
        <f ca="1">CELL("contenu",INDIRECT(ADDRESS(ref!$K$4,ref!H23,1,,CELL("contenu",$AC$2))))</f>
        <v>C</v>
      </c>
      <c r="J24" s="5" t="str">
        <f ca="1">CELL("contenu",INDIRECT(ADDRESS(ref!$K$5,ref!E23,1,,CELL("contenu",$AC$2))))</f>
        <v/>
      </c>
      <c r="K24" s="2" t="str">
        <f ca="1">CELL("contenu",INDIRECT(ADDRESS(ref!$K$5,ref!F23,1,,CELL("contenu",$AC$2))))</f>
        <v/>
      </c>
      <c r="L24" s="3" t="str">
        <f ca="1">CELL("contenu",INDIRECT(ADDRESS(ref!$K$5,ref!G23,1,,CELL("contenu",$AC$2))))</f>
        <v/>
      </c>
      <c r="M24" s="4" t="str">
        <f ca="1">CELL("contenu",INDIRECT(ADDRESS(ref!$K$5,ref!H23,1,,CELL("contenu",$AC$2))))</f>
        <v/>
      </c>
      <c r="N24" s="5" t="str">
        <f ca="1">CELL("contenu",INDIRECT(ADDRESS(ref!$K$6,ref!E23,1,,CELL("contenu",$AC$2))))</f>
        <v/>
      </c>
      <c r="O24" s="2" t="str">
        <f ca="1">CELL("contenu",INDIRECT(ADDRESS(ref!$K$6,ref!F23,1,,CELL("contenu",$AC$2))))</f>
        <v/>
      </c>
      <c r="P24" s="3" t="str">
        <f ca="1">CELL("contenu",INDIRECT(ADDRESS(ref!$K$6,ref!G23,1,,CELL("contenu",$AC$2))))</f>
        <v/>
      </c>
      <c r="Q24" s="4" t="str">
        <f ca="1">CELL("contenu",INDIRECT(ADDRESS(ref!$K$6,ref!H23,1,,CELL("contenu",$AC$2))))</f>
        <v/>
      </c>
      <c r="R24" s="5" t="str">
        <f ca="1">CELL("contenu",INDIRECT(ADDRESS(ref!$K$7,ref!E23,1,,CELL("contenu",$AC$2))))</f>
        <v>A</v>
      </c>
      <c r="S24" s="2" t="str">
        <f ca="1">CELL("contenu",INDIRECT(ADDRESS(ref!$K$7,ref!F23,1,,CELL("contenu",$AC$2))))</f>
        <v/>
      </c>
      <c r="T24" s="3" t="str">
        <f ca="1">CELL("contenu",INDIRECT(ADDRESS(ref!$K$7,ref!G23,1,,CELL("contenu",$AC$2))))</f>
        <v/>
      </c>
      <c r="U24" s="4" t="str">
        <f ca="1">CELL("contenu",INDIRECT(ADDRESS(ref!$K$7,ref!H23,1,,CELL("contenu",$AC$2))))</f>
        <v>A</v>
      </c>
      <c r="V24" s="28">
        <f ca="1">CELL("contenu",INDIRECT(ADDRESS(ref!$K$8,ref!E23,1,,CELL("contenu",$AC$2))))</f>
        <v>13.333333333333334</v>
      </c>
      <c r="W24" s="29" t="str">
        <f ca="1">CELL("contenu",INDIRECT(ADDRESS(ref!$K$8,ref!F23,1,,CELL("contenu",$AC$2))))</f>
        <v/>
      </c>
      <c r="X24" s="30" t="str">
        <f ca="1">CELL("contenu",INDIRECT(ADDRESS(ref!$K$8,ref!G23,1,,CELL("contenu",$AC$2))))</f>
        <v/>
      </c>
      <c r="Y24" s="6" t="str">
        <f ca="1">CELL("contenu",INDIRECT(ADDRESS(ref!$K$9,ref!H23,1,,CELL("contenu",$AC$2))))</f>
        <v/>
      </c>
      <c r="Z24" s="3" t="str">
        <f ca="1">CELL("contenu",INDIRECT(ADDRESS(ref!$K$10,ref!H23,1,,CELL("contenu",$AC$2))))</f>
        <v/>
      </c>
      <c r="AA24" s="7" t="str">
        <f ca="1">CELL("contenu",INDIRECT(ADDRESS(ref!$K$11,ref!H23,1,,CELL("contenu",$AC$2))))</f>
        <v/>
      </c>
    </row>
    <row r="25" spans="1:27" x14ac:dyDescent="0.25">
      <c r="A25" s="44" t="str">
        <f t="shared" ca="1" si="0"/>
        <v>PELLERIN Gabrielle</v>
      </c>
      <c r="B25" s="1" t="str">
        <f ca="1">CELL("contenu",INDIRECT(ADDRESS(ref!$K$3,ref!E24,1,,CELL("contenu",$AC$2))))</f>
        <v/>
      </c>
      <c r="C25" s="2" t="str">
        <f ca="1">CELL("contenu",INDIRECT(ADDRESS(ref!$K$3,ref!F24,1,,CELL("contenu",$AC$2))))</f>
        <v/>
      </c>
      <c r="D25" s="3" t="str">
        <f ca="1">CELL("contenu",INDIRECT(ADDRESS(ref!$K$3,ref!G24,1,,CELL("contenu",$AC$2))))</f>
        <v/>
      </c>
      <c r="E25" s="4" t="str">
        <f ca="1">CELL("contenu",INDIRECT(ADDRESS(ref!$K$3,ref!H24,1,,CELL("contenu",$AC$2))))</f>
        <v/>
      </c>
      <c r="F25" s="5" t="str">
        <f ca="1">CELL("contenu",INDIRECT(ADDRESS(ref!$K$4,ref!E24,1,,CELL("contenu",$AC$2))))</f>
        <v/>
      </c>
      <c r="G25" s="2" t="str">
        <f ca="1">CELL("contenu",INDIRECT(ADDRESS(ref!$K$4,ref!F24,1,,CELL("contenu",$AC$2))))</f>
        <v/>
      </c>
      <c r="H25" s="3" t="str">
        <f ca="1">CELL("contenu",INDIRECT(ADDRESS(ref!$K$4,ref!G24,1,,CELL("contenu",$AC$2))))</f>
        <v/>
      </c>
      <c r="I25" s="4" t="str">
        <f ca="1">CELL("contenu",INDIRECT(ADDRESS(ref!$K$4,ref!H24,1,,CELL("contenu",$AC$2))))</f>
        <v/>
      </c>
      <c r="J25" s="5" t="str">
        <f ca="1">CELL("contenu",INDIRECT(ADDRESS(ref!$K$5,ref!E24,1,,CELL("contenu",$AC$2))))</f>
        <v/>
      </c>
      <c r="K25" s="2" t="str">
        <f ca="1">CELL("contenu",INDIRECT(ADDRESS(ref!$K$5,ref!F24,1,,CELL("contenu",$AC$2))))</f>
        <v/>
      </c>
      <c r="L25" s="3" t="str">
        <f ca="1">CELL("contenu",INDIRECT(ADDRESS(ref!$K$5,ref!G24,1,,CELL("contenu",$AC$2))))</f>
        <v/>
      </c>
      <c r="M25" s="4" t="str">
        <f ca="1">CELL("contenu",INDIRECT(ADDRESS(ref!$K$5,ref!H24,1,,CELL("contenu",$AC$2))))</f>
        <v/>
      </c>
      <c r="N25" s="5" t="str">
        <f ca="1">CELL("contenu",INDIRECT(ADDRESS(ref!$K$6,ref!E24,1,,CELL("contenu",$AC$2))))</f>
        <v/>
      </c>
      <c r="O25" s="2" t="str">
        <f ca="1">CELL("contenu",INDIRECT(ADDRESS(ref!$K$6,ref!F24,1,,CELL("contenu",$AC$2))))</f>
        <v/>
      </c>
      <c r="P25" s="3" t="str">
        <f ca="1">CELL("contenu",INDIRECT(ADDRESS(ref!$K$6,ref!G24,1,,CELL("contenu",$AC$2))))</f>
        <v/>
      </c>
      <c r="Q25" s="4" t="str">
        <f ca="1">CELL("contenu",INDIRECT(ADDRESS(ref!$K$6,ref!H24,1,,CELL("contenu",$AC$2))))</f>
        <v/>
      </c>
      <c r="R25" s="5" t="str">
        <f ca="1">CELL("contenu",INDIRECT(ADDRESS(ref!$K$7,ref!E24,1,,CELL("contenu",$AC$2))))</f>
        <v/>
      </c>
      <c r="S25" s="2" t="str">
        <f ca="1">CELL("contenu",INDIRECT(ADDRESS(ref!$K$7,ref!F24,1,,CELL("contenu",$AC$2))))</f>
        <v/>
      </c>
      <c r="T25" s="3" t="str">
        <f ca="1">CELL("contenu",INDIRECT(ADDRESS(ref!$K$7,ref!G24,1,,CELL("contenu",$AC$2))))</f>
        <v/>
      </c>
      <c r="U25" s="4" t="str">
        <f ca="1">CELL("contenu",INDIRECT(ADDRESS(ref!$K$7,ref!H24,1,,CELL("contenu",$AC$2))))</f>
        <v/>
      </c>
      <c r="V25" s="28" t="str">
        <f ca="1">CELL("contenu",INDIRECT(ADDRESS(ref!$K$8,ref!E24,1,,CELL("contenu",$AC$2))))</f>
        <v/>
      </c>
      <c r="W25" s="29" t="str">
        <f ca="1">CELL("contenu",INDIRECT(ADDRESS(ref!$K$8,ref!F24,1,,CELL("contenu",$AC$2))))</f>
        <v/>
      </c>
      <c r="X25" s="30" t="str">
        <f ca="1">CELL("contenu",INDIRECT(ADDRESS(ref!$K$8,ref!G24,1,,CELL("contenu",$AC$2))))</f>
        <v/>
      </c>
      <c r="Y25" s="6" t="str">
        <f ca="1">CELL("contenu",INDIRECT(ADDRESS(ref!$K$9,ref!H24,1,,CELL("contenu",$AC$2))))</f>
        <v/>
      </c>
      <c r="Z25" s="3" t="str">
        <f ca="1">CELL("contenu",INDIRECT(ADDRESS(ref!$K$10,ref!H24,1,,CELL("contenu",$AC$2))))</f>
        <v/>
      </c>
      <c r="AA25" s="7" t="str">
        <f ca="1">CELL("contenu",INDIRECT(ADDRESS(ref!$K$11,ref!H24,1,,CELL("contenu",$AC$2))))</f>
        <v/>
      </c>
    </row>
    <row r="26" spans="1:27" x14ac:dyDescent="0.25">
      <c r="A26" s="44" t="str">
        <f t="shared" ca="1" si="0"/>
        <v>RAGUIN Candice</v>
      </c>
      <c r="B26" s="1" t="str">
        <f ca="1">CELL("contenu",INDIRECT(ADDRESS(ref!$K$3,ref!E25,1,,CELL("contenu",$AC$2))))</f>
        <v/>
      </c>
      <c r="C26" s="2" t="str">
        <f ca="1">CELL("contenu",INDIRECT(ADDRESS(ref!$K$3,ref!F25,1,,CELL("contenu",$AC$2))))</f>
        <v/>
      </c>
      <c r="D26" s="3" t="str">
        <f ca="1">CELL("contenu",INDIRECT(ADDRESS(ref!$K$3,ref!G25,1,,CELL("contenu",$AC$2))))</f>
        <v/>
      </c>
      <c r="E26" s="4" t="str">
        <f ca="1">CELL("contenu",INDIRECT(ADDRESS(ref!$K$3,ref!H25,1,,CELL("contenu",$AC$2))))</f>
        <v/>
      </c>
      <c r="F26" s="5" t="str">
        <f ca="1">CELL("contenu",INDIRECT(ADDRESS(ref!$K$4,ref!E25,1,,CELL("contenu",$AC$2))))</f>
        <v/>
      </c>
      <c r="G26" s="2" t="str">
        <f ca="1">CELL("contenu",INDIRECT(ADDRESS(ref!$K$4,ref!F25,1,,CELL("contenu",$AC$2))))</f>
        <v/>
      </c>
      <c r="H26" s="3" t="str">
        <f ca="1">CELL("contenu",INDIRECT(ADDRESS(ref!$K$4,ref!G25,1,,CELL("contenu",$AC$2))))</f>
        <v/>
      </c>
      <c r="I26" s="4" t="str">
        <f ca="1">CELL("contenu",INDIRECT(ADDRESS(ref!$K$4,ref!H25,1,,CELL("contenu",$AC$2))))</f>
        <v/>
      </c>
      <c r="J26" s="5" t="str">
        <f ca="1">CELL("contenu",INDIRECT(ADDRESS(ref!$K$5,ref!E25,1,,CELL("contenu",$AC$2))))</f>
        <v/>
      </c>
      <c r="K26" s="2" t="str">
        <f ca="1">CELL("contenu",INDIRECT(ADDRESS(ref!$K$5,ref!F25,1,,CELL("contenu",$AC$2))))</f>
        <v/>
      </c>
      <c r="L26" s="3" t="str">
        <f ca="1">CELL("contenu",INDIRECT(ADDRESS(ref!$K$5,ref!G25,1,,CELL("contenu",$AC$2))))</f>
        <v/>
      </c>
      <c r="M26" s="4" t="str">
        <f ca="1">CELL("contenu",INDIRECT(ADDRESS(ref!$K$5,ref!H25,1,,CELL("contenu",$AC$2))))</f>
        <v/>
      </c>
      <c r="N26" s="5" t="str">
        <f ca="1">CELL("contenu",INDIRECT(ADDRESS(ref!$K$6,ref!E25,1,,CELL("contenu",$AC$2))))</f>
        <v/>
      </c>
      <c r="O26" s="2" t="str">
        <f ca="1">CELL("contenu",INDIRECT(ADDRESS(ref!$K$6,ref!F25,1,,CELL("contenu",$AC$2))))</f>
        <v/>
      </c>
      <c r="P26" s="3" t="str">
        <f ca="1">CELL("contenu",INDIRECT(ADDRESS(ref!$K$6,ref!G25,1,,CELL("contenu",$AC$2))))</f>
        <v/>
      </c>
      <c r="Q26" s="4" t="str">
        <f ca="1">CELL("contenu",INDIRECT(ADDRESS(ref!$K$6,ref!H25,1,,CELL("contenu",$AC$2))))</f>
        <v/>
      </c>
      <c r="R26" s="5" t="str">
        <f ca="1">CELL("contenu",INDIRECT(ADDRESS(ref!$K$7,ref!E25,1,,CELL("contenu",$AC$2))))</f>
        <v/>
      </c>
      <c r="S26" s="2" t="str">
        <f ca="1">CELL("contenu",INDIRECT(ADDRESS(ref!$K$7,ref!F25,1,,CELL("contenu",$AC$2))))</f>
        <v/>
      </c>
      <c r="T26" s="3" t="str">
        <f ca="1">CELL("contenu",INDIRECT(ADDRESS(ref!$K$7,ref!G25,1,,CELL("contenu",$AC$2))))</f>
        <v/>
      </c>
      <c r="U26" s="4" t="str">
        <f ca="1">CELL("contenu",INDIRECT(ADDRESS(ref!$K$7,ref!H25,1,,CELL("contenu",$AC$2))))</f>
        <v/>
      </c>
      <c r="V26" s="28" t="str">
        <f ca="1">CELL("contenu",INDIRECT(ADDRESS(ref!$K$8,ref!E25,1,,CELL("contenu",$AC$2))))</f>
        <v/>
      </c>
      <c r="W26" s="29" t="str">
        <f ca="1">CELL("contenu",INDIRECT(ADDRESS(ref!$K$8,ref!F25,1,,CELL("contenu",$AC$2))))</f>
        <v/>
      </c>
      <c r="X26" s="30" t="str">
        <f ca="1">CELL("contenu",INDIRECT(ADDRESS(ref!$K$8,ref!G25,1,,CELL("contenu",$AC$2))))</f>
        <v/>
      </c>
      <c r="Y26" s="6" t="str">
        <f ca="1">CELL("contenu",INDIRECT(ADDRESS(ref!$K$9,ref!H25,1,,CELL("contenu",$AC$2))))</f>
        <v/>
      </c>
      <c r="Z26" s="3" t="str">
        <f ca="1">CELL("contenu",INDIRECT(ADDRESS(ref!$K$10,ref!H25,1,,CELL("contenu",$AC$2))))</f>
        <v/>
      </c>
      <c r="AA26" s="7" t="str">
        <f ca="1">CELL("contenu",INDIRECT(ADDRESS(ref!$K$11,ref!H25,1,,CELL("contenu",$AC$2))))</f>
        <v/>
      </c>
    </row>
    <row r="27" spans="1:27" x14ac:dyDescent="0.25">
      <c r="A27" s="44" t="str">
        <f t="shared" ca="1" si="0"/>
        <v>SAILLARD Leane</v>
      </c>
      <c r="B27" s="1" t="str">
        <f ca="1">CELL("contenu",INDIRECT(ADDRESS(ref!$K$3,ref!E26,1,,CELL("contenu",$AC$2))))</f>
        <v/>
      </c>
      <c r="C27" s="2" t="str">
        <f ca="1">CELL("contenu",INDIRECT(ADDRESS(ref!$K$3,ref!F26,1,,CELL("contenu",$AC$2))))</f>
        <v/>
      </c>
      <c r="D27" s="3" t="str">
        <f ca="1">CELL("contenu",INDIRECT(ADDRESS(ref!$K$3,ref!G26,1,,CELL("contenu",$AC$2))))</f>
        <v/>
      </c>
      <c r="E27" s="4" t="str">
        <f ca="1">CELL("contenu",INDIRECT(ADDRESS(ref!$K$3,ref!H26,1,,CELL("contenu",$AC$2))))</f>
        <v/>
      </c>
      <c r="F27" s="5" t="str">
        <f ca="1">CELL("contenu",INDIRECT(ADDRESS(ref!$K$4,ref!E26,1,,CELL("contenu",$AC$2))))</f>
        <v>B</v>
      </c>
      <c r="G27" s="2" t="str">
        <f ca="1">CELL("contenu",INDIRECT(ADDRESS(ref!$K$4,ref!F26,1,,CELL("contenu",$AC$2))))</f>
        <v/>
      </c>
      <c r="H27" s="3" t="str">
        <f ca="1">CELL("contenu",INDIRECT(ADDRESS(ref!$K$4,ref!G26,1,,CELL("contenu",$AC$2))))</f>
        <v/>
      </c>
      <c r="I27" s="4" t="str">
        <f ca="1">CELL("contenu",INDIRECT(ADDRESS(ref!$K$4,ref!H26,1,,CELL("contenu",$AC$2))))</f>
        <v>B</v>
      </c>
      <c r="J27" s="5" t="str">
        <f ca="1">CELL("contenu",INDIRECT(ADDRESS(ref!$K$5,ref!E26,1,,CELL("contenu",$AC$2))))</f>
        <v/>
      </c>
      <c r="K27" s="2" t="str">
        <f ca="1">CELL("contenu",INDIRECT(ADDRESS(ref!$K$5,ref!F26,1,,CELL("contenu",$AC$2))))</f>
        <v/>
      </c>
      <c r="L27" s="3" t="str">
        <f ca="1">CELL("contenu",INDIRECT(ADDRESS(ref!$K$5,ref!G26,1,,CELL("contenu",$AC$2))))</f>
        <v/>
      </c>
      <c r="M27" s="4" t="str">
        <f ca="1">CELL("contenu",INDIRECT(ADDRESS(ref!$K$5,ref!H26,1,,CELL("contenu",$AC$2))))</f>
        <v/>
      </c>
      <c r="N27" s="5" t="str">
        <f ca="1">CELL("contenu",INDIRECT(ADDRESS(ref!$K$6,ref!E26,1,,CELL("contenu",$AC$2))))</f>
        <v/>
      </c>
      <c r="O27" s="2" t="str">
        <f ca="1">CELL("contenu",INDIRECT(ADDRESS(ref!$K$6,ref!F26,1,,CELL("contenu",$AC$2))))</f>
        <v/>
      </c>
      <c r="P27" s="3" t="str">
        <f ca="1">CELL("contenu",INDIRECT(ADDRESS(ref!$K$6,ref!G26,1,,CELL("contenu",$AC$2))))</f>
        <v/>
      </c>
      <c r="Q27" s="4" t="str">
        <f ca="1">CELL("contenu",INDIRECT(ADDRESS(ref!$K$6,ref!H26,1,,CELL("contenu",$AC$2))))</f>
        <v/>
      </c>
      <c r="R27" s="5" t="str">
        <f ca="1">CELL("contenu",INDIRECT(ADDRESS(ref!$K$7,ref!E26,1,,CELL("contenu",$AC$2))))</f>
        <v>A</v>
      </c>
      <c r="S27" s="2" t="str">
        <f ca="1">CELL("contenu",INDIRECT(ADDRESS(ref!$K$7,ref!F26,1,,CELL("contenu",$AC$2))))</f>
        <v/>
      </c>
      <c r="T27" s="3" t="str">
        <f ca="1">CELL("contenu",INDIRECT(ADDRESS(ref!$K$7,ref!G26,1,,CELL("contenu",$AC$2))))</f>
        <v/>
      </c>
      <c r="U27" s="4" t="str">
        <f ca="1">CELL("contenu",INDIRECT(ADDRESS(ref!$K$7,ref!H26,1,,CELL("contenu",$AC$2))))</f>
        <v>A</v>
      </c>
      <c r="V27" s="28">
        <f ca="1">CELL("contenu",INDIRECT(ADDRESS(ref!$K$8,ref!E26,1,,CELL("contenu",$AC$2))))</f>
        <v>18.333333333333332</v>
      </c>
      <c r="W27" s="29" t="str">
        <f ca="1">CELL("contenu",INDIRECT(ADDRESS(ref!$K$8,ref!F26,1,,CELL("contenu",$AC$2))))</f>
        <v/>
      </c>
      <c r="X27" s="30" t="str">
        <f ca="1">CELL("contenu",INDIRECT(ADDRESS(ref!$K$8,ref!G26,1,,CELL("contenu",$AC$2))))</f>
        <v/>
      </c>
      <c r="Y27" s="6" t="str">
        <f ca="1">CELL("contenu",INDIRECT(ADDRESS(ref!$K$9,ref!H26,1,,CELL("contenu",$AC$2))))</f>
        <v/>
      </c>
      <c r="Z27" s="3" t="str">
        <f ca="1">CELL("contenu",INDIRECT(ADDRESS(ref!$K$10,ref!H26,1,,CELL("contenu",$AC$2))))</f>
        <v/>
      </c>
      <c r="AA27" s="7" t="str">
        <f ca="1">CELL("contenu",INDIRECT(ADDRESS(ref!$K$11,ref!H26,1,,CELL("contenu",$AC$2))))</f>
        <v/>
      </c>
    </row>
    <row r="28" spans="1:27" x14ac:dyDescent="0.25">
      <c r="A28" s="44" t="str">
        <f t="shared" ca="1" si="0"/>
        <v>SURY Maxence</v>
      </c>
      <c r="B28" s="1" t="str">
        <f ca="1">CELL("contenu",INDIRECT(ADDRESS(ref!$K$3,ref!E27,1,,CELL("contenu",$AC$2))))</f>
        <v/>
      </c>
      <c r="C28" s="2" t="str">
        <f ca="1">CELL("contenu",INDIRECT(ADDRESS(ref!$K$3,ref!F27,1,,CELL("contenu",$AC$2))))</f>
        <v/>
      </c>
      <c r="D28" s="3" t="str">
        <f ca="1">CELL("contenu",INDIRECT(ADDRESS(ref!$K$3,ref!G27,1,,CELL("contenu",$AC$2))))</f>
        <v/>
      </c>
      <c r="E28" s="4" t="str">
        <f ca="1">CELL("contenu",INDIRECT(ADDRESS(ref!$K$3,ref!H27,1,,CELL("contenu",$AC$2))))</f>
        <v/>
      </c>
      <c r="F28" s="5" t="str">
        <f ca="1">CELL("contenu",INDIRECT(ADDRESS(ref!$K$4,ref!E27,1,,CELL("contenu",$AC$2))))</f>
        <v>B</v>
      </c>
      <c r="G28" s="2" t="str">
        <f ca="1">CELL("contenu",INDIRECT(ADDRESS(ref!$K$4,ref!F27,1,,CELL("contenu",$AC$2))))</f>
        <v/>
      </c>
      <c r="H28" s="3" t="str">
        <f ca="1">CELL("contenu",INDIRECT(ADDRESS(ref!$K$4,ref!G27,1,,CELL("contenu",$AC$2))))</f>
        <v/>
      </c>
      <c r="I28" s="4" t="str">
        <f ca="1">CELL("contenu",INDIRECT(ADDRESS(ref!$K$4,ref!H27,1,,CELL("contenu",$AC$2))))</f>
        <v>B</v>
      </c>
      <c r="J28" s="5" t="str">
        <f ca="1">CELL("contenu",INDIRECT(ADDRESS(ref!$K$5,ref!E27,1,,CELL("contenu",$AC$2))))</f>
        <v/>
      </c>
      <c r="K28" s="2" t="str">
        <f ca="1">CELL("contenu",INDIRECT(ADDRESS(ref!$K$5,ref!F27,1,,CELL("contenu",$AC$2))))</f>
        <v/>
      </c>
      <c r="L28" s="3" t="str">
        <f ca="1">CELL("contenu",INDIRECT(ADDRESS(ref!$K$5,ref!G27,1,,CELL("contenu",$AC$2))))</f>
        <v/>
      </c>
      <c r="M28" s="4" t="str">
        <f ca="1">CELL("contenu",INDIRECT(ADDRESS(ref!$K$5,ref!H27,1,,CELL("contenu",$AC$2))))</f>
        <v/>
      </c>
      <c r="N28" s="5" t="str">
        <f ca="1">CELL("contenu",INDIRECT(ADDRESS(ref!$K$6,ref!E27,1,,CELL("contenu",$AC$2))))</f>
        <v/>
      </c>
      <c r="O28" s="2" t="str">
        <f ca="1">CELL("contenu",INDIRECT(ADDRESS(ref!$K$6,ref!F27,1,,CELL("contenu",$AC$2))))</f>
        <v/>
      </c>
      <c r="P28" s="3" t="str">
        <f ca="1">CELL("contenu",INDIRECT(ADDRESS(ref!$K$6,ref!G27,1,,CELL("contenu",$AC$2))))</f>
        <v/>
      </c>
      <c r="Q28" s="4" t="str">
        <f ca="1">CELL("contenu",INDIRECT(ADDRESS(ref!$K$6,ref!H27,1,,CELL("contenu",$AC$2))))</f>
        <v/>
      </c>
      <c r="R28" s="5" t="str">
        <f ca="1">CELL("contenu",INDIRECT(ADDRESS(ref!$K$7,ref!E27,1,,CELL("contenu",$AC$2))))</f>
        <v>A</v>
      </c>
      <c r="S28" s="2" t="str">
        <f ca="1">CELL("contenu",INDIRECT(ADDRESS(ref!$K$7,ref!F27,1,,CELL("contenu",$AC$2))))</f>
        <v/>
      </c>
      <c r="T28" s="3" t="str">
        <f ca="1">CELL("contenu",INDIRECT(ADDRESS(ref!$K$7,ref!G27,1,,CELL("contenu",$AC$2))))</f>
        <v/>
      </c>
      <c r="U28" s="4" t="str">
        <f ca="1">CELL("contenu",INDIRECT(ADDRESS(ref!$K$7,ref!H27,1,,CELL("contenu",$AC$2))))</f>
        <v>A</v>
      </c>
      <c r="V28" s="28">
        <f ca="1">CELL("contenu",INDIRECT(ADDRESS(ref!$K$8,ref!E27,1,,CELL("contenu",$AC$2))))</f>
        <v>18.333333333333332</v>
      </c>
      <c r="W28" s="29" t="str">
        <f ca="1">CELL("contenu",INDIRECT(ADDRESS(ref!$K$8,ref!F27,1,,CELL("contenu",$AC$2))))</f>
        <v/>
      </c>
      <c r="X28" s="30" t="str">
        <f ca="1">CELL("contenu",INDIRECT(ADDRESS(ref!$K$8,ref!G27,1,,CELL("contenu",$AC$2))))</f>
        <v/>
      </c>
      <c r="Y28" s="6" t="str">
        <f ca="1">CELL("contenu",INDIRECT(ADDRESS(ref!$K$9,ref!H27,1,,CELL("contenu",$AC$2))))</f>
        <v/>
      </c>
      <c r="Z28" s="3" t="str">
        <f ca="1">CELL("contenu",INDIRECT(ADDRESS(ref!$K$10,ref!H27,1,,CELL("contenu",$AC$2))))</f>
        <v/>
      </c>
      <c r="AA28" s="7" t="str">
        <f ca="1">CELL("contenu",INDIRECT(ADDRESS(ref!$K$11,ref!H27,1,,CELL("contenu",$AC$2))))</f>
        <v/>
      </c>
    </row>
    <row r="29" spans="1:27" x14ac:dyDescent="0.25">
      <c r="A29" s="44" t="str">
        <f t="shared" ca="1" si="0"/>
        <v>THIOU Hermance</v>
      </c>
      <c r="B29" s="1" t="str">
        <f ca="1">CELL("contenu",INDIRECT(ADDRESS(ref!$K$3,ref!E28,1,,CELL("contenu",$AC$2))))</f>
        <v/>
      </c>
      <c r="C29" s="2" t="str">
        <f ca="1">CELL("contenu",INDIRECT(ADDRESS(ref!$K$3,ref!F28,1,,CELL("contenu",$AC$2))))</f>
        <v/>
      </c>
      <c r="D29" s="3" t="str">
        <f ca="1">CELL("contenu",INDIRECT(ADDRESS(ref!$K$3,ref!G28,1,,CELL("contenu",$AC$2))))</f>
        <v/>
      </c>
      <c r="E29" s="4" t="str">
        <f ca="1">CELL("contenu",INDIRECT(ADDRESS(ref!$K$3,ref!H28,1,,CELL("contenu",$AC$2))))</f>
        <v/>
      </c>
      <c r="F29" s="5" t="str">
        <f ca="1">CELL("contenu",INDIRECT(ADDRESS(ref!$K$4,ref!E28,1,,CELL("contenu",$AC$2))))</f>
        <v>B</v>
      </c>
      <c r="G29" s="2" t="str">
        <f ca="1">CELL("contenu",INDIRECT(ADDRESS(ref!$K$4,ref!F28,1,,CELL("contenu",$AC$2))))</f>
        <v/>
      </c>
      <c r="H29" s="3" t="str">
        <f ca="1">CELL("contenu",INDIRECT(ADDRESS(ref!$K$4,ref!G28,1,,CELL("contenu",$AC$2))))</f>
        <v/>
      </c>
      <c r="I29" s="4" t="str">
        <f ca="1">CELL("contenu",INDIRECT(ADDRESS(ref!$K$4,ref!H28,1,,CELL("contenu",$AC$2))))</f>
        <v>B</v>
      </c>
      <c r="J29" s="5" t="str">
        <f ca="1">CELL("contenu",INDIRECT(ADDRESS(ref!$K$5,ref!E28,1,,CELL("contenu",$AC$2))))</f>
        <v/>
      </c>
      <c r="K29" s="2" t="str">
        <f ca="1">CELL("contenu",INDIRECT(ADDRESS(ref!$K$5,ref!F28,1,,CELL("contenu",$AC$2))))</f>
        <v/>
      </c>
      <c r="L29" s="3" t="str">
        <f ca="1">CELL("contenu",INDIRECT(ADDRESS(ref!$K$5,ref!G28,1,,CELL("contenu",$AC$2))))</f>
        <v/>
      </c>
      <c r="M29" s="4" t="str">
        <f ca="1">CELL("contenu",INDIRECT(ADDRESS(ref!$K$5,ref!H28,1,,CELL("contenu",$AC$2))))</f>
        <v/>
      </c>
      <c r="N29" s="5" t="str">
        <f ca="1">CELL("contenu",INDIRECT(ADDRESS(ref!$K$6,ref!E28,1,,CELL("contenu",$AC$2))))</f>
        <v/>
      </c>
      <c r="O29" s="2" t="str">
        <f ca="1">CELL("contenu",INDIRECT(ADDRESS(ref!$K$6,ref!F28,1,,CELL("contenu",$AC$2))))</f>
        <v/>
      </c>
      <c r="P29" s="3" t="str">
        <f ca="1">CELL("contenu",INDIRECT(ADDRESS(ref!$K$6,ref!G28,1,,CELL("contenu",$AC$2))))</f>
        <v/>
      </c>
      <c r="Q29" s="4" t="str">
        <f ca="1">CELL("contenu",INDIRECT(ADDRESS(ref!$K$6,ref!H28,1,,CELL("contenu",$AC$2))))</f>
        <v/>
      </c>
      <c r="R29" s="5" t="str">
        <f ca="1">CELL("contenu",INDIRECT(ADDRESS(ref!$K$7,ref!E28,1,,CELL("contenu",$AC$2))))</f>
        <v>A</v>
      </c>
      <c r="S29" s="2" t="str">
        <f ca="1">CELL("contenu",INDIRECT(ADDRESS(ref!$K$7,ref!F28,1,,CELL("contenu",$AC$2))))</f>
        <v/>
      </c>
      <c r="T29" s="3" t="str">
        <f ca="1">CELL("contenu",INDIRECT(ADDRESS(ref!$K$7,ref!G28,1,,CELL("contenu",$AC$2))))</f>
        <v/>
      </c>
      <c r="U29" s="4" t="str">
        <f ca="1">CELL("contenu",INDIRECT(ADDRESS(ref!$K$7,ref!H28,1,,CELL("contenu",$AC$2))))</f>
        <v>A</v>
      </c>
      <c r="V29" s="28">
        <f ca="1">CELL("contenu",INDIRECT(ADDRESS(ref!$K$8,ref!E28,1,,CELL("contenu",$AC$2))))</f>
        <v>18.333333333333332</v>
      </c>
      <c r="W29" s="29" t="str">
        <f ca="1">CELL("contenu",INDIRECT(ADDRESS(ref!$K$8,ref!F28,1,,CELL("contenu",$AC$2))))</f>
        <v/>
      </c>
      <c r="X29" s="30" t="str">
        <f ca="1">CELL("contenu",INDIRECT(ADDRESS(ref!$K$8,ref!G28,1,,CELL("contenu",$AC$2))))</f>
        <v/>
      </c>
      <c r="Y29" s="6" t="str">
        <f ca="1">CELL("contenu",INDIRECT(ADDRESS(ref!$K$9,ref!H28,1,,CELL("contenu",$AC$2))))</f>
        <v/>
      </c>
      <c r="Z29" s="3" t="str">
        <f ca="1">CELL("contenu",INDIRECT(ADDRESS(ref!$K$10,ref!H28,1,,CELL("contenu",$AC$2))))</f>
        <v/>
      </c>
      <c r="AA29" s="7" t="str">
        <f ca="1">CELL("contenu",INDIRECT(ADDRESS(ref!$K$11,ref!H28,1,,CELL("contenu",$AC$2))))</f>
        <v/>
      </c>
    </row>
    <row r="30" spans="1:27" x14ac:dyDescent="0.25">
      <c r="A30" s="44" t="str">
        <f t="shared" ca="1" si="0"/>
        <v>VANHILLE Joshua</v>
      </c>
      <c r="B30" s="1" t="str">
        <f ca="1">CELL("contenu",INDIRECT(ADDRESS(ref!$K$3,ref!E29,1,,CELL("contenu",$AC$2))))</f>
        <v/>
      </c>
      <c r="C30" s="2" t="str">
        <f ca="1">CELL("contenu",INDIRECT(ADDRESS(ref!$K$3,ref!F29,1,,CELL("contenu",$AC$2))))</f>
        <v/>
      </c>
      <c r="D30" s="3" t="str">
        <f ca="1">CELL("contenu",INDIRECT(ADDRESS(ref!$K$3,ref!G29,1,,CELL("contenu",$AC$2))))</f>
        <v/>
      </c>
      <c r="E30" s="4" t="str">
        <f ca="1">CELL("contenu",INDIRECT(ADDRESS(ref!$K$3,ref!H29,1,,CELL("contenu",$AC$2))))</f>
        <v/>
      </c>
      <c r="F30" s="5" t="str">
        <f ca="1">CELL("contenu",INDIRECT(ADDRESS(ref!$K$4,ref!E29,1,,CELL("contenu",$AC$2))))</f>
        <v/>
      </c>
      <c r="G30" s="2" t="str">
        <f ca="1">CELL("contenu",INDIRECT(ADDRESS(ref!$K$4,ref!F29,1,,CELL("contenu",$AC$2))))</f>
        <v/>
      </c>
      <c r="H30" s="3" t="str">
        <f ca="1">CELL("contenu",INDIRECT(ADDRESS(ref!$K$4,ref!G29,1,,CELL("contenu",$AC$2))))</f>
        <v/>
      </c>
      <c r="I30" s="4" t="str">
        <f ca="1">CELL("contenu",INDIRECT(ADDRESS(ref!$K$4,ref!H29,1,,CELL("contenu",$AC$2))))</f>
        <v/>
      </c>
      <c r="J30" s="5" t="str">
        <f ca="1">CELL("contenu",INDIRECT(ADDRESS(ref!$K$5,ref!E29,1,,CELL("contenu",$AC$2))))</f>
        <v/>
      </c>
      <c r="K30" s="2" t="str">
        <f ca="1">CELL("contenu",INDIRECT(ADDRESS(ref!$K$5,ref!F29,1,,CELL("contenu",$AC$2))))</f>
        <v/>
      </c>
      <c r="L30" s="3" t="str">
        <f ca="1">CELL("contenu",INDIRECT(ADDRESS(ref!$K$5,ref!G29,1,,CELL("contenu",$AC$2))))</f>
        <v/>
      </c>
      <c r="M30" s="4" t="str">
        <f ca="1">CELL("contenu",INDIRECT(ADDRESS(ref!$K$5,ref!H29,1,,CELL("contenu",$AC$2))))</f>
        <v/>
      </c>
      <c r="N30" s="5" t="str">
        <f ca="1">CELL("contenu",INDIRECT(ADDRESS(ref!$K$6,ref!E29,1,,CELL("contenu",$AC$2))))</f>
        <v/>
      </c>
      <c r="O30" s="2" t="str">
        <f ca="1">CELL("contenu",INDIRECT(ADDRESS(ref!$K$6,ref!F29,1,,CELL("contenu",$AC$2))))</f>
        <v/>
      </c>
      <c r="P30" s="3" t="str">
        <f ca="1">CELL("contenu",INDIRECT(ADDRESS(ref!$K$6,ref!G29,1,,CELL("contenu",$AC$2))))</f>
        <v/>
      </c>
      <c r="Q30" s="4" t="str">
        <f ca="1">CELL("contenu",INDIRECT(ADDRESS(ref!$K$6,ref!H29,1,,CELL("contenu",$AC$2))))</f>
        <v/>
      </c>
      <c r="R30" s="5" t="str">
        <f ca="1">CELL("contenu",INDIRECT(ADDRESS(ref!$K$7,ref!E29,1,,CELL("contenu",$AC$2))))</f>
        <v/>
      </c>
      <c r="S30" s="2" t="str">
        <f ca="1">CELL("contenu",INDIRECT(ADDRESS(ref!$K$7,ref!F29,1,,CELL("contenu",$AC$2))))</f>
        <v/>
      </c>
      <c r="T30" s="3" t="str">
        <f ca="1">CELL("contenu",INDIRECT(ADDRESS(ref!$K$7,ref!G29,1,,CELL("contenu",$AC$2))))</f>
        <v/>
      </c>
      <c r="U30" s="4" t="str">
        <f ca="1">CELL("contenu",INDIRECT(ADDRESS(ref!$K$7,ref!H29,1,,CELL("contenu",$AC$2))))</f>
        <v/>
      </c>
      <c r="V30" s="28" t="str">
        <f ca="1">CELL("contenu",INDIRECT(ADDRESS(ref!$K$8,ref!E29,1,,CELL("contenu",$AC$2))))</f>
        <v/>
      </c>
      <c r="W30" s="29" t="str">
        <f ca="1">CELL("contenu",INDIRECT(ADDRESS(ref!$K$8,ref!F29,1,,CELL("contenu",$AC$2))))</f>
        <v/>
      </c>
      <c r="X30" s="30" t="str">
        <f ca="1">CELL("contenu",INDIRECT(ADDRESS(ref!$K$8,ref!G29,1,,CELL("contenu",$AC$2))))</f>
        <v/>
      </c>
      <c r="Y30" s="6" t="str">
        <f ca="1">CELL("contenu",INDIRECT(ADDRESS(ref!$K$9,ref!H29,1,,CELL("contenu",$AC$2))))</f>
        <v/>
      </c>
      <c r="Z30" s="3" t="str">
        <f ca="1">CELL("contenu",INDIRECT(ADDRESS(ref!$K$10,ref!H29,1,,CELL("contenu",$AC$2))))</f>
        <v/>
      </c>
      <c r="AA30" s="7" t="str">
        <f ca="1">CELL("contenu",INDIRECT(ADDRESS(ref!$K$11,ref!H29,1,,CELL("contenu",$AC$2))))</f>
        <v/>
      </c>
    </row>
    <row r="31" spans="1:27" x14ac:dyDescent="0.25">
      <c r="A31" s="44" t="str">
        <f t="shared" ca="1" si="0"/>
        <v>ZABERA Claire</v>
      </c>
      <c r="B31" s="1" t="str">
        <f ca="1">CELL("contenu",INDIRECT(ADDRESS(ref!$K$3,ref!E30,1,,CELL("contenu",$AC$2))))</f>
        <v/>
      </c>
      <c r="C31" s="2" t="str">
        <f ca="1">CELL("contenu",INDIRECT(ADDRESS(ref!$K$3,ref!F30,1,,CELL("contenu",$AC$2))))</f>
        <v/>
      </c>
      <c r="D31" s="3" t="str">
        <f ca="1">CELL("contenu",INDIRECT(ADDRESS(ref!$K$3,ref!G30,1,,CELL("contenu",$AC$2))))</f>
        <v/>
      </c>
      <c r="E31" s="4" t="str">
        <f ca="1">CELL("contenu",INDIRECT(ADDRESS(ref!$K$3,ref!H30,1,,CELL("contenu",$AC$2))))</f>
        <v/>
      </c>
      <c r="F31" s="5" t="str">
        <f ca="1">CELL("contenu",INDIRECT(ADDRESS(ref!$K$4,ref!E30,1,,CELL("contenu",$AC$2))))</f>
        <v>A</v>
      </c>
      <c r="G31" s="2" t="str">
        <f ca="1">CELL("contenu",INDIRECT(ADDRESS(ref!$K$4,ref!F30,1,,CELL("contenu",$AC$2))))</f>
        <v/>
      </c>
      <c r="H31" s="3" t="str">
        <f ca="1">CELL("contenu",INDIRECT(ADDRESS(ref!$K$4,ref!G30,1,,CELL("contenu",$AC$2))))</f>
        <v/>
      </c>
      <c r="I31" s="4" t="str">
        <f ca="1">CELL("contenu",INDIRECT(ADDRESS(ref!$K$4,ref!H30,1,,CELL("contenu",$AC$2))))</f>
        <v>A</v>
      </c>
      <c r="J31" s="5" t="str">
        <f ca="1">CELL("contenu",INDIRECT(ADDRESS(ref!$K$5,ref!E30,1,,CELL("contenu",$AC$2))))</f>
        <v/>
      </c>
      <c r="K31" s="2" t="str">
        <f ca="1">CELL("contenu",INDIRECT(ADDRESS(ref!$K$5,ref!F30,1,,CELL("contenu",$AC$2))))</f>
        <v/>
      </c>
      <c r="L31" s="3" t="str">
        <f ca="1">CELL("contenu",INDIRECT(ADDRESS(ref!$K$5,ref!G30,1,,CELL("contenu",$AC$2))))</f>
        <v/>
      </c>
      <c r="M31" s="4" t="str">
        <f ca="1">CELL("contenu",INDIRECT(ADDRESS(ref!$K$5,ref!H30,1,,CELL("contenu",$AC$2))))</f>
        <v/>
      </c>
      <c r="N31" s="5" t="str">
        <f ca="1">CELL("contenu",INDIRECT(ADDRESS(ref!$K$6,ref!E30,1,,CELL("contenu",$AC$2))))</f>
        <v/>
      </c>
      <c r="O31" s="2" t="str">
        <f ca="1">CELL("contenu",INDIRECT(ADDRESS(ref!$K$6,ref!F30,1,,CELL("contenu",$AC$2))))</f>
        <v/>
      </c>
      <c r="P31" s="3" t="str">
        <f ca="1">CELL("contenu",INDIRECT(ADDRESS(ref!$K$6,ref!G30,1,,CELL("contenu",$AC$2))))</f>
        <v/>
      </c>
      <c r="Q31" s="4" t="str">
        <f ca="1">CELL("contenu",INDIRECT(ADDRESS(ref!$K$6,ref!H30,1,,CELL("contenu",$AC$2))))</f>
        <v/>
      </c>
      <c r="R31" s="5" t="str">
        <f ca="1">CELL("contenu",INDIRECT(ADDRESS(ref!$K$7,ref!E30,1,,CELL("contenu",$AC$2))))</f>
        <v>A</v>
      </c>
      <c r="S31" s="2" t="str">
        <f ca="1">CELL("contenu",INDIRECT(ADDRESS(ref!$K$7,ref!F30,1,,CELL("contenu",$AC$2))))</f>
        <v/>
      </c>
      <c r="T31" s="3" t="str">
        <f ca="1">CELL("contenu",INDIRECT(ADDRESS(ref!$K$7,ref!G30,1,,CELL("contenu",$AC$2))))</f>
        <v/>
      </c>
      <c r="U31" s="4" t="str">
        <f ca="1">CELL("contenu",INDIRECT(ADDRESS(ref!$K$7,ref!H30,1,,CELL("contenu",$AC$2))))</f>
        <v>A</v>
      </c>
      <c r="V31" s="28">
        <f ca="1">CELL("contenu",INDIRECT(ADDRESS(ref!$K$8,ref!E30,1,,CELL("contenu",$AC$2))))</f>
        <v>20</v>
      </c>
      <c r="W31" s="29" t="str">
        <f ca="1">CELL("contenu",INDIRECT(ADDRESS(ref!$K$8,ref!F30,1,,CELL("contenu",$AC$2))))</f>
        <v/>
      </c>
      <c r="X31" s="30" t="str">
        <f ca="1">CELL("contenu",INDIRECT(ADDRESS(ref!$K$8,ref!G30,1,,CELL("contenu",$AC$2))))</f>
        <v/>
      </c>
      <c r="Y31" s="6" t="str">
        <f ca="1">CELL("contenu",INDIRECT(ADDRESS(ref!$K$9,ref!H30,1,,CELL("contenu",$AC$2))))</f>
        <v/>
      </c>
      <c r="Z31" s="3" t="str">
        <f ca="1">CELL("contenu",INDIRECT(ADDRESS(ref!$K$10,ref!H30,1,,CELL("contenu",$AC$2))))</f>
        <v/>
      </c>
      <c r="AA31" s="7" t="str">
        <f ca="1">CELL("contenu",INDIRECT(ADDRESS(ref!$K$11,ref!H30,1,,CELL("contenu",$AC$2))))</f>
        <v/>
      </c>
    </row>
    <row r="32" spans="1:27" x14ac:dyDescent="0.25">
      <c r="A32" s="44">
        <f t="shared" ca="1" si="0"/>
        <v>0</v>
      </c>
      <c r="B32" s="1" t="str">
        <f ca="1">CELL("contenu",INDIRECT(ADDRESS(ref!$K$3,ref!E31,1,,CELL("contenu",$AC$2))))</f>
        <v/>
      </c>
      <c r="C32" s="2" t="str">
        <f ca="1">CELL("contenu",INDIRECT(ADDRESS(ref!$K$3,ref!F31,1,,CELL("contenu",$AC$2))))</f>
        <v/>
      </c>
      <c r="D32" s="3" t="str">
        <f ca="1">CELL("contenu",INDIRECT(ADDRESS(ref!$K$3,ref!G31,1,,CELL("contenu",$AC$2))))</f>
        <v/>
      </c>
      <c r="E32" s="4" t="str">
        <f ca="1">CELL("contenu",INDIRECT(ADDRESS(ref!$K$3,ref!H31,1,,CELL("contenu",$AC$2))))</f>
        <v/>
      </c>
      <c r="F32" s="5" t="str">
        <f ca="1">CELL("contenu",INDIRECT(ADDRESS(ref!$K$4,ref!E31,1,,CELL("contenu",$AC$2))))</f>
        <v>C</v>
      </c>
      <c r="G32" s="2" t="str">
        <f ca="1">CELL("contenu",INDIRECT(ADDRESS(ref!$K$4,ref!F31,1,,CELL("contenu",$AC$2))))</f>
        <v/>
      </c>
      <c r="H32" s="3" t="str">
        <f ca="1">CELL("contenu",INDIRECT(ADDRESS(ref!$K$4,ref!G31,1,,CELL("contenu",$AC$2))))</f>
        <v/>
      </c>
      <c r="I32" s="4" t="str">
        <f ca="1">CELL("contenu",INDIRECT(ADDRESS(ref!$K$4,ref!H31,1,,CELL("contenu",$AC$2))))</f>
        <v>C</v>
      </c>
      <c r="J32" s="5" t="str">
        <f ca="1">CELL("contenu",INDIRECT(ADDRESS(ref!$K$5,ref!E31,1,,CELL("contenu",$AC$2))))</f>
        <v/>
      </c>
      <c r="K32" s="2" t="str">
        <f ca="1">CELL("contenu",INDIRECT(ADDRESS(ref!$K$5,ref!F31,1,,CELL("contenu",$AC$2))))</f>
        <v/>
      </c>
      <c r="L32" s="3" t="str">
        <f ca="1">CELL("contenu",INDIRECT(ADDRESS(ref!$K$5,ref!G31,1,,CELL("contenu",$AC$2))))</f>
        <v/>
      </c>
      <c r="M32" s="4" t="str">
        <f ca="1">CELL("contenu",INDIRECT(ADDRESS(ref!$K$5,ref!H31,1,,CELL("contenu",$AC$2))))</f>
        <v/>
      </c>
      <c r="N32" s="5" t="str">
        <f ca="1">CELL("contenu",INDIRECT(ADDRESS(ref!$K$6,ref!E31,1,,CELL("contenu",$AC$2))))</f>
        <v/>
      </c>
      <c r="O32" s="2" t="str">
        <f ca="1">CELL("contenu",INDIRECT(ADDRESS(ref!$K$6,ref!F31,1,,CELL("contenu",$AC$2))))</f>
        <v/>
      </c>
      <c r="P32" s="3" t="str">
        <f ca="1">CELL("contenu",INDIRECT(ADDRESS(ref!$K$6,ref!G31,1,,CELL("contenu",$AC$2))))</f>
        <v/>
      </c>
      <c r="Q32" s="4" t="str">
        <f ca="1">CELL("contenu",INDIRECT(ADDRESS(ref!$K$6,ref!H31,1,,CELL("contenu",$AC$2))))</f>
        <v/>
      </c>
      <c r="R32" s="5" t="str">
        <f ca="1">CELL("contenu",INDIRECT(ADDRESS(ref!$K$7,ref!E31,1,,CELL("contenu",$AC$2))))</f>
        <v>A</v>
      </c>
      <c r="S32" s="2" t="str">
        <f ca="1">CELL("contenu",INDIRECT(ADDRESS(ref!$K$7,ref!F31,1,,CELL("contenu",$AC$2))))</f>
        <v/>
      </c>
      <c r="T32" s="3" t="str">
        <f ca="1">CELL("contenu",INDIRECT(ADDRESS(ref!$K$7,ref!G31,1,,CELL("contenu",$AC$2))))</f>
        <v/>
      </c>
      <c r="U32" s="4" t="str">
        <f ca="1">CELL("contenu",INDIRECT(ADDRESS(ref!$K$7,ref!H31,1,,CELL("contenu",$AC$2))))</f>
        <v>A</v>
      </c>
      <c r="V32" s="28">
        <f ca="1">CELL("contenu",INDIRECT(ADDRESS(ref!$K$8,ref!E31,1,,CELL("contenu",$AC$2))))</f>
        <v>13.333333333333334</v>
      </c>
      <c r="W32" s="29" t="str">
        <f ca="1">CELL("contenu",INDIRECT(ADDRESS(ref!$K$8,ref!F31,1,,CELL("contenu",$AC$2))))</f>
        <v/>
      </c>
      <c r="X32" s="30" t="str">
        <f ca="1">CELL("contenu",INDIRECT(ADDRESS(ref!$K$8,ref!G31,1,,CELL("contenu",$AC$2))))</f>
        <v/>
      </c>
      <c r="Y32" s="6" t="str">
        <f ca="1">CELL("contenu",INDIRECT(ADDRESS(ref!$K$9,ref!H31,1,,CELL("contenu",$AC$2))))</f>
        <v/>
      </c>
      <c r="Z32" s="3" t="str">
        <f ca="1">CELL("contenu",INDIRECT(ADDRESS(ref!$K$10,ref!H31,1,,CELL("contenu",$AC$2))))</f>
        <v/>
      </c>
      <c r="AA32" s="7" t="str">
        <f ca="1">CELL("contenu",INDIRECT(ADDRESS(ref!$K$11,ref!H31,1,,CELL("contenu",$AC$2))))</f>
        <v/>
      </c>
    </row>
    <row r="33" spans="1:27" ht="15.75" thickBot="1" x14ac:dyDescent="0.3">
      <c r="A33" s="44">
        <f t="shared" ca="1" si="0"/>
        <v>0</v>
      </c>
      <c r="B33" s="15" t="str">
        <f ca="1">CELL("contenu",INDIRECT(ADDRESS(ref!$K$3,ref!E32,1,,CELL("contenu",$AC$2))))</f>
        <v/>
      </c>
      <c r="C33" s="8" t="str">
        <f ca="1">CELL("contenu",INDIRECT(ADDRESS(ref!$K$3,ref!F32,1,,CELL("contenu",$AC$2))))</f>
        <v/>
      </c>
      <c r="D33" s="9" t="str">
        <f ca="1">CELL("contenu",INDIRECT(ADDRESS(ref!$K$3,ref!G32,1,,CELL("contenu",$AC$2))))</f>
        <v/>
      </c>
      <c r="E33" s="10" t="str">
        <f ca="1">CELL("contenu",INDIRECT(ADDRESS(ref!$K$3,ref!H32,1,,CELL("contenu",$AC$2))))</f>
        <v/>
      </c>
      <c r="F33" s="11" t="str">
        <f ca="1">CELL("contenu",INDIRECT(ADDRESS(ref!$K$4,ref!E32,1,,CELL("contenu",$AC$2))))</f>
        <v/>
      </c>
      <c r="G33" s="8" t="str">
        <f ca="1">CELL("contenu",INDIRECT(ADDRESS(ref!$K$4,ref!F32,1,,CELL("contenu",$AC$2))))</f>
        <v/>
      </c>
      <c r="H33" s="9" t="str">
        <f ca="1">CELL("contenu",INDIRECT(ADDRESS(ref!$K$4,ref!G32,1,,CELL("contenu",$AC$2))))</f>
        <v/>
      </c>
      <c r="I33" s="10" t="str">
        <f ca="1">CELL("contenu",INDIRECT(ADDRESS(ref!$K$4,ref!H32,1,,CELL("contenu",$AC$2))))</f>
        <v/>
      </c>
      <c r="J33" s="11" t="str">
        <f ca="1">CELL("contenu",INDIRECT(ADDRESS(ref!$K$5,ref!E32,1,,CELL("contenu",$AC$2))))</f>
        <v/>
      </c>
      <c r="K33" s="8" t="str">
        <f ca="1">CELL("contenu",INDIRECT(ADDRESS(ref!$K$5,ref!F32,1,,CELL("contenu",$AC$2))))</f>
        <v/>
      </c>
      <c r="L33" s="9" t="str">
        <f ca="1">CELL("contenu",INDIRECT(ADDRESS(ref!$K$5,ref!G32,1,,CELL("contenu",$AC$2))))</f>
        <v/>
      </c>
      <c r="M33" s="10" t="str">
        <f ca="1">CELL("contenu",INDIRECT(ADDRESS(ref!$K$5,ref!H32,1,,CELL("contenu",$AC$2))))</f>
        <v/>
      </c>
      <c r="N33" s="11" t="str">
        <f ca="1">CELL("contenu",INDIRECT(ADDRESS(ref!$K$6,ref!E32,1,,CELL("contenu",$AC$2))))</f>
        <v/>
      </c>
      <c r="O33" s="8" t="str">
        <f ca="1">CELL("contenu",INDIRECT(ADDRESS(ref!$K$6,ref!F32,1,,CELL("contenu",$AC$2))))</f>
        <v/>
      </c>
      <c r="P33" s="9" t="str">
        <f ca="1">CELL("contenu",INDIRECT(ADDRESS(ref!$K$6,ref!G32,1,,CELL("contenu",$AC$2))))</f>
        <v/>
      </c>
      <c r="Q33" s="10" t="str">
        <f ca="1">CELL("contenu",INDIRECT(ADDRESS(ref!$K$6,ref!H32,1,,CELL("contenu",$AC$2))))</f>
        <v/>
      </c>
      <c r="R33" s="11" t="str">
        <f ca="1">CELL("contenu",INDIRECT(ADDRESS(ref!$K$7,ref!E32,1,,CELL("contenu",$AC$2))))</f>
        <v/>
      </c>
      <c r="S33" s="8" t="str">
        <f ca="1">CELL("contenu",INDIRECT(ADDRESS(ref!$K$7,ref!F32,1,,CELL("contenu",$AC$2))))</f>
        <v/>
      </c>
      <c r="T33" s="9" t="str">
        <f ca="1">CELL("contenu",INDIRECT(ADDRESS(ref!$K$7,ref!G32,1,,CELL("contenu",$AC$2))))</f>
        <v/>
      </c>
      <c r="U33" s="10" t="str">
        <f ca="1">CELL("contenu",INDIRECT(ADDRESS(ref!$K$7,ref!H32,1,,CELL("contenu",$AC$2))))</f>
        <v/>
      </c>
      <c r="V33" s="31" t="str">
        <f ca="1">CELL("contenu",INDIRECT(ADDRESS(ref!$K$8,ref!E32,1,,CELL("contenu",$AC$2))))</f>
        <v/>
      </c>
      <c r="W33" s="32" t="str">
        <f ca="1">CELL("contenu",INDIRECT(ADDRESS(ref!$K$8,ref!F32,1,,CELL("contenu",$AC$2))))</f>
        <v/>
      </c>
      <c r="X33" s="33" t="str">
        <f ca="1">CELL("contenu",INDIRECT(ADDRESS(ref!$K$8,ref!G32,1,,CELL("contenu",$AC$2))))</f>
        <v/>
      </c>
      <c r="Y33" s="12" t="str">
        <f ca="1">CELL("contenu",INDIRECT(ADDRESS(ref!$K$9,ref!H32,1,,CELL("contenu",$AC$2))))</f>
        <v/>
      </c>
      <c r="Z33" s="9" t="str">
        <f ca="1">CELL("contenu",INDIRECT(ADDRESS(ref!$K$10,ref!H32,1,,CELL("contenu",$AC$2))))</f>
        <v/>
      </c>
      <c r="AA33" s="13" t="str">
        <f ca="1">CELL("contenu",INDIRECT(ADDRESS(ref!$K$11,ref!H32,1,,CELL("contenu",$AC$2))))</f>
        <v/>
      </c>
    </row>
  </sheetData>
  <sheetProtection algorithmName="SHA-512" hashValue="LjbNl+jLuoiNFa4GMJfJCJFE4spq1BGB4ASlUD3JiIQG8e5pdrF4a1JCKFEIky8D2nmwNAcLq4lC9mVHSqlMjw==" saltValue="J52qWyRWZF4q4t1bRKNanQ==" spinCount="100000" sheet="1" selectLockedCells="1" selectUn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10"/>
  <dimension ref="A1:SR25"/>
  <sheetViews>
    <sheetView zoomScale="70" zoomScaleNormal="70" workbookViewId="0">
      <pane xSplit="2" topLeftCell="QR1" activePane="topRight" state="frozen"/>
      <selection activeCell="Y3" sqref="Y3:AA3"/>
      <selection pane="topRight" activeCell="RL5" sqref="RL5"/>
    </sheetView>
  </sheetViews>
  <sheetFormatPr baseColWidth="10" defaultColWidth="5.7109375" defaultRowHeight="15" x14ac:dyDescent="0.25"/>
  <cols>
    <col min="1" max="1" width="17.7109375" style="98" customWidth="1"/>
    <col min="2" max="2" width="13.7109375" style="98" customWidth="1"/>
    <col min="3" max="5" width="4.7109375" style="202" customWidth="1"/>
    <col min="6" max="6" width="4.7109375" style="117" customWidth="1"/>
    <col min="7" max="7" width="8.7109375" style="118" customWidth="1"/>
    <col min="8" max="10" width="4.7109375" style="97" customWidth="1"/>
    <col min="11" max="11" width="4.7109375" style="118" customWidth="1"/>
    <col min="12" max="12" width="8.7109375" style="118" customWidth="1"/>
    <col min="13" max="15" width="4.7109375" style="97" customWidth="1"/>
    <col min="16" max="16" width="4.7109375" style="118" customWidth="1"/>
    <col min="17" max="17" width="8.7109375" style="118" customWidth="1"/>
    <col min="18" max="18" width="4.7109375" style="118" customWidth="1"/>
    <col min="19" max="19" width="8.7109375" style="118" customWidth="1"/>
    <col min="20" max="23" width="4.7109375" style="117" customWidth="1"/>
    <col min="24" max="24" width="8.7109375" style="118" customWidth="1"/>
    <col min="25" max="27" width="4.7109375" style="97" customWidth="1"/>
    <col min="28" max="28" width="4.7109375" style="118" customWidth="1"/>
    <col min="29" max="29" width="8.7109375" style="118" customWidth="1"/>
    <col min="30" max="32" width="4.7109375" style="97" customWidth="1"/>
    <col min="33" max="33" width="4.7109375" style="118" customWidth="1"/>
    <col min="34" max="34" width="8.7109375" style="118" customWidth="1"/>
    <col min="35" max="35" width="4.7109375" style="118" customWidth="1"/>
    <col min="36" max="36" width="8.7109375" style="118" customWidth="1"/>
    <col min="37" max="40" width="4.7109375" style="117" customWidth="1"/>
    <col min="41" max="41" width="8.7109375" style="118" customWidth="1"/>
    <col min="42" max="44" width="4.7109375" style="97" customWidth="1"/>
    <col min="45" max="45" width="4.7109375" style="118" customWidth="1"/>
    <col min="46" max="46" width="8.7109375" style="118" customWidth="1"/>
    <col min="47" max="49" width="4.7109375" style="97" customWidth="1"/>
    <col min="50" max="50" width="4.7109375" style="118" customWidth="1"/>
    <col min="51" max="51" width="8.7109375" style="118" customWidth="1"/>
    <col min="52" max="52" width="4.7109375" style="118" customWidth="1"/>
    <col min="53" max="53" width="8.7109375" style="118" customWidth="1"/>
    <col min="54" max="57" width="4.7109375" style="117" customWidth="1"/>
    <col min="58" max="58" width="8.7109375" style="118" customWidth="1"/>
    <col min="59" max="61" width="4.7109375" style="97" customWidth="1"/>
    <col min="62" max="62" width="4.7109375" style="118" customWidth="1"/>
    <col min="63" max="63" width="8.7109375" style="118" customWidth="1"/>
    <col min="64" max="66" width="4.7109375" style="97" customWidth="1"/>
    <col min="67" max="67" width="4.7109375" style="118" customWidth="1"/>
    <col min="68" max="68" width="8.7109375" style="118" customWidth="1"/>
    <col min="69" max="69" width="4.7109375" style="118" customWidth="1"/>
    <col min="70" max="70" width="8.7109375" style="118" customWidth="1"/>
    <col min="71" max="74" width="4.7109375" style="117" customWidth="1"/>
    <col min="75" max="75" width="8.7109375" style="118" customWidth="1"/>
    <col min="76" max="78" width="4.7109375" style="97" customWidth="1"/>
    <col min="79" max="79" width="4.7109375" style="118" customWidth="1"/>
    <col min="80" max="80" width="8.7109375" style="118" customWidth="1"/>
    <col min="81" max="83" width="4.7109375" style="97" customWidth="1"/>
    <col min="84" max="84" width="4.7109375" style="118" customWidth="1"/>
    <col min="85" max="85" width="8.7109375" style="118" customWidth="1"/>
    <col min="86" max="86" width="4.7109375" style="118" customWidth="1"/>
    <col min="87" max="87" width="8.7109375" style="118" customWidth="1"/>
    <col min="88" max="91" width="4.7109375" style="117" customWidth="1"/>
    <col min="92" max="92" width="8.7109375" style="118" customWidth="1"/>
    <col min="93" max="95" width="4.7109375" style="97" customWidth="1"/>
    <col min="96" max="96" width="4.7109375" style="118" customWidth="1"/>
    <col min="97" max="97" width="8.7109375" style="118" customWidth="1"/>
    <col min="98" max="100" width="4.7109375" style="97" customWidth="1"/>
    <col min="101" max="101" width="4.7109375" style="118" customWidth="1"/>
    <col min="102" max="102" width="8.7109375" style="118" customWidth="1"/>
    <col min="103" max="103" width="4.7109375" style="118" customWidth="1"/>
    <col min="104" max="104" width="8.7109375" style="118" customWidth="1"/>
    <col min="105" max="108" width="4.7109375" style="117" customWidth="1"/>
    <col min="109" max="109" width="8.7109375" style="118" customWidth="1"/>
    <col min="110" max="112" width="4.7109375" style="97" customWidth="1"/>
    <col min="113" max="113" width="4.7109375" style="118" customWidth="1"/>
    <col min="114" max="114" width="8.7109375" style="118" customWidth="1"/>
    <col min="115" max="117" width="4.7109375" style="97" customWidth="1"/>
    <col min="118" max="118" width="4.7109375" style="118" customWidth="1"/>
    <col min="119" max="119" width="8.7109375" style="118" customWidth="1"/>
    <col min="120" max="120" width="4.7109375" style="118" customWidth="1"/>
    <col min="121" max="121" width="8.7109375" style="118" customWidth="1"/>
    <col min="122" max="125" width="4.7109375" style="117" customWidth="1"/>
    <col min="126" max="126" width="8.7109375" style="118" customWidth="1"/>
    <col min="127" max="129" width="4.7109375" style="97" customWidth="1"/>
    <col min="130" max="130" width="4.7109375" style="118" customWidth="1"/>
    <col min="131" max="131" width="8.7109375" style="118" customWidth="1"/>
    <col min="132" max="134" width="4.7109375" style="97" customWidth="1"/>
    <col min="135" max="135" width="4.7109375" style="118" customWidth="1"/>
    <col min="136" max="136" width="8.7109375" style="118" customWidth="1"/>
    <col min="137" max="137" width="4.7109375" style="118" customWidth="1"/>
    <col min="138" max="138" width="8.7109375" style="118" customWidth="1"/>
    <col min="139" max="142" width="4.7109375" style="117" customWidth="1"/>
    <col min="143" max="143" width="8.7109375" style="118" customWidth="1"/>
    <col min="144" max="146" width="4.7109375" style="97" customWidth="1"/>
    <col min="147" max="147" width="4.7109375" style="118" customWidth="1"/>
    <col min="148" max="148" width="8.7109375" style="118" customWidth="1"/>
    <col min="149" max="151" width="4.7109375" style="97" customWidth="1"/>
    <col min="152" max="152" width="4.7109375" style="118" customWidth="1"/>
    <col min="153" max="153" width="8.7109375" style="118" customWidth="1"/>
    <col min="154" max="154" width="4.7109375" style="118" customWidth="1"/>
    <col min="155" max="155" width="8.7109375" style="118" customWidth="1"/>
    <col min="156" max="159" width="4.7109375" style="117" customWidth="1"/>
    <col min="160" max="160" width="8.7109375" style="118" customWidth="1"/>
    <col min="161" max="163" width="4.7109375" style="97" customWidth="1"/>
    <col min="164" max="164" width="4.7109375" style="118" customWidth="1"/>
    <col min="165" max="165" width="8.7109375" style="118" customWidth="1"/>
    <col min="166" max="168" width="4.7109375" style="97" customWidth="1"/>
    <col min="169" max="169" width="4.7109375" style="118" customWidth="1"/>
    <col min="170" max="170" width="8.7109375" style="118" customWidth="1"/>
    <col min="171" max="171" width="4.7109375" style="118" customWidth="1"/>
    <col min="172" max="172" width="8.7109375" style="118" customWidth="1"/>
    <col min="173" max="176" width="4.7109375" style="117" customWidth="1"/>
    <col min="177" max="177" width="8.7109375" style="118" customWidth="1"/>
    <col min="178" max="180" width="4.7109375" style="97" customWidth="1"/>
    <col min="181" max="181" width="4.7109375" style="118" customWidth="1"/>
    <col min="182" max="182" width="8.7109375" style="118" customWidth="1"/>
    <col min="183" max="185" width="4.7109375" style="97" customWidth="1"/>
    <col min="186" max="186" width="4.7109375" style="118" customWidth="1"/>
    <col min="187" max="187" width="8.7109375" style="118" customWidth="1"/>
    <col min="188" max="188" width="4.7109375" style="118" customWidth="1"/>
    <col min="189" max="189" width="8.7109375" style="118" customWidth="1"/>
    <col min="190" max="193" width="4.7109375" style="117" customWidth="1"/>
    <col min="194" max="194" width="8.7109375" style="118" customWidth="1"/>
    <col min="195" max="197" width="4.7109375" style="97" customWidth="1"/>
    <col min="198" max="198" width="4.7109375" style="118" customWidth="1"/>
    <col min="199" max="199" width="8.7109375" style="118" customWidth="1"/>
    <col min="200" max="202" width="4.7109375" style="97" customWidth="1"/>
    <col min="203" max="203" width="4.7109375" style="118" customWidth="1"/>
    <col min="204" max="204" width="8.7109375" style="118" customWidth="1"/>
    <col min="205" max="205" width="4.7109375" style="118" customWidth="1"/>
    <col min="206" max="206" width="8.7109375" style="118" customWidth="1"/>
    <col min="207" max="210" width="4.7109375" style="117" customWidth="1"/>
    <col min="211" max="211" width="8.7109375" style="118" customWidth="1"/>
    <col min="212" max="214" width="4.7109375" style="97" customWidth="1"/>
    <col min="215" max="215" width="4.7109375" style="118" customWidth="1"/>
    <col min="216" max="216" width="8.7109375" style="118" customWidth="1"/>
    <col min="217" max="219" width="4.7109375" style="97" customWidth="1"/>
    <col min="220" max="220" width="4.7109375" style="118" customWidth="1"/>
    <col min="221" max="221" width="8.7109375" style="118" customWidth="1"/>
    <col min="222" max="222" width="4.7109375" style="118" customWidth="1"/>
    <col min="223" max="223" width="8.7109375" style="118" customWidth="1"/>
    <col min="224" max="227" width="4.7109375" style="117" customWidth="1"/>
    <col min="228" max="228" width="8.7109375" style="118" customWidth="1"/>
    <col min="229" max="231" width="4.7109375" style="97" customWidth="1"/>
    <col min="232" max="232" width="4.7109375" style="118" customWidth="1"/>
    <col min="233" max="233" width="8.7109375" style="118" customWidth="1"/>
    <col min="234" max="236" width="4.7109375" style="97" customWidth="1"/>
    <col min="237" max="237" width="4.7109375" style="118" customWidth="1"/>
    <col min="238" max="238" width="8.7109375" style="118" customWidth="1"/>
    <col min="239" max="239" width="4.7109375" style="118" customWidth="1"/>
    <col min="240" max="240" width="8.7109375" style="118" customWidth="1"/>
    <col min="241" max="244" width="4.7109375" style="117" customWidth="1"/>
    <col min="245" max="245" width="8.7109375" style="118" customWidth="1"/>
    <col min="246" max="248" width="4.7109375" style="97" customWidth="1"/>
    <col min="249" max="249" width="4.7109375" style="118" customWidth="1"/>
    <col min="250" max="250" width="8.7109375" style="118" customWidth="1"/>
    <col min="251" max="253" width="4.7109375" style="97" customWidth="1"/>
    <col min="254" max="254" width="4.7109375" style="118" customWidth="1"/>
    <col min="255" max="255" width="8.7109375" style="118" customWidth="1"/>
    <col min="256" max="256" width="4.7109375" style="118" customWidth="1"/>
    <col min="257" max="257" width="8.7109375" style="118" customWidth="1"/>
    <col min="258" max="261" width="4.7109375" style="117" customWidth="1"/>
    <col min="262" max="262" width="8.7109375" style="118" customWidth="1"/>
    <col min="263" max="265" width="4.7109375" style="97" customWidth="1"/>
    <col min="266" max="266" width="4.7109375" style="118" customWidth="1"/>
    <col min="267" max="267" width="8.7109375" style="118" customWidth="1"/>
    <col min="268" max="270" width="4.7109375" style="97" customWidth="1"/>
    <col min="271" max="271" width="4.7109375" style="118" customWidth="1"/>
    <col min="272" max="272" width="8.7109375" style="118" customWidth="1"/>
    <col min="273" max="273" width="4.7109375" style="118" customWidth="1"/>
    <col min="274" max="274" width="8.7109375" style="118" customWidth="1"/>
    <col min="275" max="278" width="4.7109375" style="117" customWidth="1"/>
    <col min="279" max="279" width="8.7109375" style="118" customWidth="1"/>
    <col min="280" max="282" width="4.7109375" style="97" customWidth="1"/>
    <col min="283" max="283" width="4.7109375" style="118" customWidth="1"/>
    <col min="284" max="284" width="8.7109375" style="118" customWidth="1"/>
    <col min="285" max="287" width="4.7109375" style="97" customWidth="1"/>
    <col min="288" max="288" width="4.7109375" style="118" customWidth="1"/>
    <col min="289" max="289" width="8.7109375" style="118" customWidth="1"/>
    <col min="290" max="290" width="4.7109375" style="118" customWidth="1"/>
    <col min="291" max="291" width="8.7109375" style="118" customWidth="1"/>
    <col min="292" max="295" width="4.7109375" style="117" customWidth="1"/>
    <col min="296" max="296" width="8.7109375" style="118" customWidth="1"/>
    <col min="297" max="299" width="4.7109375" style="97" customWidth="1"/>
    <col min="300" max="300" width="4.7109375" style="118" customWidth="1"/>
    <col min="301" max="301" width="8.7109375" style="118" customWidth="1"/>
    <col min="302" max="304" width="4.7109375" style="97" customWidth="1"/>
    <col min="305" max="305" width="4.7109375" style="118" customWidth="1"/>
    <col min="306" max="306" width="8.7109375" style="118" customWidth="1"/>
    <col min="307" max="307" width="4.7109375" style="118" customWidth="1"/>
    <col min="308" max="308" width="8.7109375" style="118" customWidth="1"/>
    <col min="309" max="312" width="4.7109375" style="117" customWidth="1"/>
    <col min="313" max="313" width="8.7109375" style="118" customWidth="1"/>
    <col min="314" max="316" width="4.7109375" style="97" customWidth="1"/>
    <col min="317" max="317" width="4.7109375" style="118" customWidth="1"/>
    <col min="318" max="318" width="8.7109375" style="118" customWidth="1"/>
    <col min="319" max="321" width="4.7109375" style="97" customWidth="1"/>
    <col min="322" max="322" width="4.7109375" style="118" customWidth="1"/>
    <col min="323" max="323" width="8.7109375" style="118" customWidth="1"/>
    <col min="324" max="324" width="4.7109375" style="118" customWidth="1"/>
    <col min="325" max="325" width="8.7109375" style="118" customWidth="1"/>
    <col min="326" max="329" width="4.7109375" style="117" customWidth="1"/>
    <col min="330" max="330" width="8.7109375" style="118" customWidth="1"/>
    <col min="331" max="333" width="4.7109375" style="97" customWidth="1"/>
    <col min="334" max="334" width="4.7109375" style="118" customWidth="1"/>
    <col min="335" max="335" width="8.7109375" style="118" customWidth="1"/>
    <col min="336" max="338" width="4.7109375" style="97" customWidth="1"/>
    <col min="339" max="339" width="4.7109375" style="118" customWidth="1"/>
    <col min="340" max="340" width="8.7109375" style="118" customWidth="1"/>
    <col min="341" max="341" width="4.7109375" style="118" customWidth="1"/>
    <col min="342" max="342" width="8.7109375" style="118" customWidth="1"/>
    <col min="343" max="346" width="4.7109375" style="117" customWidth="1"/>
    <col min="347" max="347" width="8.7109375" style="118" customWidth="1"/>
    <col min="348" max="350" width="4.7109375" style="97" customWidth="1"/>
    <col min="351" max="351" width="4.7109375" style="118" customWidth="1"/>
    <col min="352" max="352" width="8.7109375" style="118" customWidth="1"/>
    <col min="353" max="355" width="4.7109375" style="97" customWidth="1"/>
    <col min="356" max="356" width="4.7109375" style="118" customWidth="1"/>
    <col min="357" max="357" width="8.7109375" style="118" customWidth="1"/>
    <col min="358" max="358" width="4.7109375" style="118" customWidth="1"/>
    <col min="359" max="359" width="8.7109375" style="118" customWidth="1"/>
    <col min="360" max="363" width="4.7109375" style="117" customWidth="1"/>
    <col min="364" max="364" width="8.7109375" style="118" customWidth="1"/>
    <col min="365" max="367" width="4.7109375" style="97" customWidth="1"/>
    <col min="368" max="368" width="4.7109375" style="118" customWidth="1"/>
    <col min="369" max="369" width="8.7109375" style="118" customWidth="1"/>
    <col min="370" max="372" width="4.7109375" style="97" customWidth="1"/>
    <col min="373" max="373" width="4.7109375" style="118" customWidth="1"/>
    <col min="374" max="374" width="8.7109375" style="118" customWidth="1"/>
    <col min="375" max="375" width="4.7109375" style="118" customWidth="1"/>
    <col min="376" max="376" width="8.7109375" style="118" customWidth="1"/>
    <col min="377" max="380" width="4.7109375" style="117" customWidth="1"/>
    <col min="381" max="381" width="8.7109375" style="118" customWidth="1"/>
    <col min="382" max="384" width="4.7109375" style="97" customWidth="1"/>
    <col min="385" max="385" width="4.7109375" style="118" customWidth="1"/>
    <col min="386" max="386" width="8.7109375" style="118" customWidth="1"/>
    <col min="387" max="389" width="4.7109375" style="97" customWidth="1"/>
    <col min="390" max="390" width="4.7109375" style="118" customWidth="1"/>
    <col min="391" max="391" width="8.7109375" style="118" customWidth="1"/>
    <col min="392" max="392" width="4.7109375" style="118" customWidth="1"/>
    <col min="393" max="393" width="8.7109375" style="118" customWidth="1"/>
    <col min="394" max="397" width="4.7109375" style="117" customWidth="1"/>
    <col min="398" max="398" width="8.7109375" style="118" customWidth="1"/>
    <col min="399" max="401" width="4.7109375" style="97" customWidth="1"/>
    <col min="402" max="402" width="4.7109375" style="118" customWidth="1"/>
    <col min="403" max="403" width="8.7109375" style="118" customWidth="1"/>
    <col min="404" max="406" width="4.7109375" style="97" customWidth="1"/>
    <col min="407" max="407" width="4.7109375" style="118" customWidth="1"/>
    <col min="408" max="408" width="8.7109375" style="118" customWidth="1"/>
    <col min="409" max="409" width="4.7109375" style="118" customWidth="1"/>
    <col min="410" max="410" width="8.7109375" style="118" customWidth="1"/>
    <col min="411" max="414" width="4.7109375" style="117" customWidth="1"/>
    <col min="415" max="415" width="8.7109375" style="118" customWidth="1"/>
    <col min="416" max="418" width="4.7109375" style="97" customWidth="1"/>
    <col min="419" max="419" width="4.7109375" style="118" customWidth="1"/>
    <col min="420" max="420" width="8.7109375" style="118" customWidth="1"/>
    <col min="421" max="423" width="4.7109375" style="97" customWidth="1"/>
    <col min="424" max="424" width="4.7109375" style="118" customWidth="1"/>
    <col min="425" max="425" width="8.7109375" style="118" customWidth="1"/>
    <col min="426" max="426" width="4.7109375" style="118" customWidth="1"/>
    <col min="427" max="427" width="8.7109375" style="118" customWidth="1"/>
    <col min="428" max="431" width="4.7109375" style="117" customWidth="1"/>
    <col min="432" max="432" width="8.7109375" style="118" customWidth="1"/>
    <col min="433" max="435" width="4.7109375" style="97" customWidth="1"/>
    <col min="436" max="436" width="4.7109375" style="118" customWidth="1"/>
    <col min="437" max="437" width="8.7109375" style="118" customWidth="1"/>
    <col min="438" max="440" width="4.7109375" style="97" customWidth="1"/>
    <col min="441" max="441" width="4.7109375" style="118" customWidth="1"/>
    <col min="442" max="442" width="8.7109375" style="118" customWidth="1"/>
    <col min="443" max="443" width="4.7109375" style="118" customWidth="1"/>
    <col min="444" max="444" width="8.7109375" style="118" customWidth="1"/>
    <col min="445" max="448" width="4.7109375" style="117" customWidth="1"/>
    <col min="449" max="449" width="8.7109375" style="118" customWidth="1"/>
    <col min="450" max="452" width="4.7109375" style="97" customWidth="1"/>
    <col min="453" max="453" width="4.7109375" style="118" customWidth="1"/>
    <col min="454" max="454" width="8.7109375" style="118" customWidth="1"/>
    <col min="455" max="457" width="4.7109375" style="97" customWidth="1"/>
    <col min="458" max="458" width="4.7109375" style="118" customWidth="1"/>
    <col min="459" max="459" width="8.7109375" style="118" customWidth="1"/>
    <col min="460" max="460" width="4.7109375" style="118" customWidth="1"/>
    <col min="461" max="461" width="8.7109375" style="118" customWidth="1"/>
    <col min="462" max="465" width="4.7109375" style="117" customWidth="1"/>
    <col min="466" max="466" width="8.7109375" style="118" customWidth="1"/>
    <col min="467" max="469" width="4.7109375" style="97" customWidth="1"/>
    <col min="470" max="470" width="4.7109375" style="118" customWidth="1"/>
    <col min="471" max="471" width="8.7109375" style="118" customWidth="1"/>
    <col min="472" max="474" width="4.7109375" style="97" customWidth="1"/>
    <col min="475" max="475" width="4.7109375" style="118" customWidth="1"/>
    <col min="476" max="476" width="8.7109375" style="118" customWidth="1"/>
    <col min="477" max="477" width="4.7109375" style="118" customWidth="1"/>
    <col min="478" max="478" width="8.7109375" style="118" customWidth="1"/>
    <col min="479" max="482" width="4.7109375" style="117" customWidth="1"/>
    <col min="483" max="483" width="8.7109375" style="118" customWidth="1"/>
    <col min="484" max="486" width="4.7109375" style="97" customWidth="1"/>
    <col min="487" max="487" width="4.7109375" style="118" customWidth="1"/>
    <col min="488" max="488" width="8.7109375" style="118" customWidth="1"/>
    <col min="489" max="491" width="4.7109375" style="97" customWidth="1"/>
    <col min="492" max="492" width="4.7109375" style="118" customWidth="1"/>
    <col min="493" max="493" width="8.7109375" style="118" customWidth="1"/>
    <col min="494" max="494" width="4.7109375" style="118" customWidth="1"/>
    <col min="495" max="495" width="8.7109375" style="118" customWidth="1"/>
    <col min="496" max="499" width="4.7109375" style="117" customWidth="1"/>
    <col min="500" max="500" width="8.7109375" style="118" customWidth="1"/>
    <col min="501" max="503" width="4.7109375" style="97" customWidth="1"/>
    <col min="504" max="504" width="4.7109375" style="118" customWidth="1"/>
    <col min="505" max="505" width="8.7109375" style="118" customWidth="1"/>
    <col min="506" max="508" width="4.7109375" style="97" customWidth="1"/>
    <col min="509" max="509" width="4.7109375" style="118" customWidth="1"/>
    <col min="510" max="510" width="8.7109375" style="118" customWidth="1"/>
    <col min="511" max="511" width="4.7109375" style="118" customWidth="1"/>
    <col min="512" max="512" width="8.7109375" style="118" customWidth="1"/>
    <col min="513" max="16384" width="5.7109375" style="98"/>
  </cols>
  <sheetData>
    <row r="1" spans="1:512" ht="18" customHeight="1" thickBot="1" x14ac:dyDescent="0.3">
      <c r="A1" s="246" t="s">
        <v>37</v>
      </c>
      <c r="B1" s="247"/>
      <c r="C1" s="147">
        <v>4</v>
      </c>
      <c r="D1" s="191"/>
      <c r="E1" s="191"/>
      <c r="F1" s="102"/>
      <c r="G1" s="103"/>
      <c r="H1" s="101"/>
      <c r="I1" s="101"/>
      <c r="J1" s="101"/>
      <c r="K1" s="103"/>
      <c r="L1" s="103"/>
      <c r="M1" s="101"/>
      <c r="N1" s="101"/>
      <c r="O1" s="101"/>
      <c r="P1" s="103"/>
      <c r="Q1" s="103"/>
      <c r="R1" s="103"/>
      <c r="S1" s="122"/>
      <c r="T1" s="135">
        <f>C1+1</f>
        <v>5</v>
      </c>
      <c r="U1" s="102"/>
      <c r="V1" s="102"/>
      <c r="W1" s="102"/>
      <c r="X1" s="103"/>
      <c r="Y1" s="101"/>
      <c r="Z1" s="101"/>
      <c r="AA1" s="101"/>
      <c r="AB1" s="103"/>
      <c r="AC1" s="103"/>
      <c r="AD1" s="101"/>
      <c r="AE1" s="101"/>
      <c r="AF1" s="101"/>
      <c r="AG1" s="103"/>
      <c r="AH1" s="103"/>
      <c r="AI1" s="103"/>
      <c r="AJ1" s="103"/>
      <c r="AK1" s="135">
        <f>T1+1</f>
        <v>6</v>
      </c>
      <c r="AL1" s="102"/>
      <c r="AM1" s="102"/>
      <c r="AN1" s="102"/>
      <c r="AO1" s="103"/>
      <c r="AP1" s="101"/>
      <c r="AQ1" s="101"/>
      <c r="AR1" s="101"/>
      <c r="AS1" s="103"/>
      <c r="AT1" s="103"/>
      <c r="AU1" s="101"/>
      <c r="AV1" s="101"/>
      <c r="AW1" s="101"/>
      <c r="AX1" s="103"/>
      <c r="AY1" s="103"/>
      <c r="AZ1" s="103"/>
      <c r="BA1" s="103"/>
      <c r="BB1" s="135">
        <f>AK1+1</f>
        <v>7</v>
      </c>
      <c r="BC1" s="102"/>
      <c r="BD1" s="102"/>
      <c r="BE1" s="102"/>
      <c r="BF1" s="103"/>
      <c r="BG1" s="101"/>
      <c r="BH1" s="101"/>
      <c r="BI1" s="101"/>
      <c r="BJ1" s="103"/>
      <c r="BK1" s="103"/>
      <c r="BL1" s="101"/>
      <c r="BM1" s="101"/>
      <c r="BN1" s="101"/>
      <c r="BO1" s="103"/>
      <c r="BP1" s="103"/>
      <c r="BQ1" s="103"/>
      <c r="BR1" s="103"/>
      <c r="BS1" s="135">
        <f>BB1+1</f>
        <v>8</v>
      </c>
      <c r="BT1" s="102"/>
      <c r="BU1" s="102"/>
      <c r="BV1" s="102"/>
      <c r="BW1" s="103"/>
      <c r="BX1" s="101"/>
      <c r="BY1" s="101"/>
      <c r="BZ1" s="101"/>
      <c r="CA1" s="103"/>
      <c r="CB1" s="103"/>
      <c r="CC1" s="101"/>
      <c r="CD1" s="101"/>
      <c r="CE1" s="101"/>
      <c r="CF1" s="103"/>
      <c r="CG1" s="103"/>
      <c r="CH1" s="103"/>
      <c r="CI1" s="103"/>
      <c r="CJ1" s="135">
        <f>BS1+1</f>
        <v>9</v>
      </c>
      <c r="CK1" s="102"/>
      <c r="CL1" s="102"/>
      <c r="CM1" s="102"/>
      <c r="CN1" s="103"/>
      <c r="CO1" s="101"/>
      <c r="CP1" s="101"/>
      <c r="CQ1" s="101"/>
      <c r="CR1" s="103"/>
      <c r="CS1" s="103"/>
      <c r="CT1" s="101"/>
      <c r="CU1" s="101"/>
      <c r="CV1" s="101"/>
      <c r="CW1" s="103"/>
      <c r="CX1" s="103"/>
      <c r="CY1" s="103"/>
      <c r="CZ1" s="103"/>
      <c r="DA1" s="135">
        <f>CJ1+1</f>
        <v>10</v>
      </c>
      <c r="DB1" s="102"/>
      <c r="DC1" s="102"/>
      <c r="DD1" s="102"/>
      <c r="DE1" s="103"/>
      <c r="DF1" s="101"/>
      <c r="DG1" s="101"/>
      <c r="DH1" s="101"/>
      <c r="DI1" s="103"/>
      <c r="DJ1" s="103"/>
      <c r="DK1" s="101"/>
      <c r="DL1" s="101"/>
      <c r="DM1" s="101"/>
      <c r="DN1" s="103"/>
      <c r="DO1" s="103"/>
      <c r="DP1" s="103"/>
      <c r="DQ1" s="103"/>
      <c r="DR1" s="135">
        <f>DA1+1</f>
        <v>11</v>
      </c>
      <c r="DS1" s="102"/>
      <c r="DT1" s="102"/>
      <c r="DU1" s="102"/>
      <c r="DV1" s="103"/>
      <c r="DW1" s="101"/>
      <c r="DX1" s="101"/>
      <c r="DY1" s="101"/>
      <c r="DZ1" s="103"/>
      <c r="EA1" s="103"/>
      <c r="EB1" s="101"/>
      <c r="EC1" s="101"/>
      <c r="ED1" s="101"/>
      <c r="EE1" s="103"/>
      <c r="EF1" s="103"/>
      <c r="EG1" s="103"/>
      <c r="EH1" s="103"/>
      <c r="EI1" s="135">
        <f>DR1+1</f>
        <v>12</v>
      </c>
      <c r="EJ1" s="102"/>
      <c r="EK1" s="102"/>
      <c r="EL1" s="102"/>
      <c r="EM1" s="103"/>
      <c r="EN1" s="101"/>
      <c r="EO1" s="101"/>
      <c r="EP1" s="101"/>
      <c r="EQ1" s="103"/>
      <c r="ER1" s="103"/>
      <c r="ES1" s="101"/>
      <c r="ET1" s="101"/>
      <c r="EU1" s="101"/>
      <c r="EV1" s="103"/>
      <c r="EW1" s="103"/>
      <c r="EX1" s="103"/>
      <c r="EY1" s="103"/>
      <c r="EZ1" s="135">
        <f>EI1+1</f>
        <v>13</v>
      </c>
      <c r="FA1" s="102"/>
      <c r="FB1" s="102"/>
      <c r="FC1" s="102"/>
      <c r="FD1" s="103"/>
      <c r="FE1" s="101"/>
      <c r="FF1" s="101"/>
      <c r="FG1" s="101"/>
      <c r="FH1" s="103"/>
      <c r="FI1" s="103"/>
      <c r="FJ1" s="101"/>
      <c r="FK1" s="101"/>
      <c r="FL1" s="101"/>
      <c r="FM1" s="103"/>
      <c r="FN1" s="103"/>
      <c r="FO1" s="103"/>
      <c r="FP1" s="103"/>
      <c r="FQ1" s="135">
        <f>EZ1+1</f>
        <v>14</v>
      </c>
      <c r="FR1" s="102"/>
      <c r="FS1" s="102"/>
      <c r="FT1" s="102"/>
      <c r="FU1" s="103"/>
      <c r="FV1" s="101"/>
      <c r="FW1" s="101"/>
      <c r="FX1" s="101"/>
      <c r="FY1" s="103"/>
      <c r="FZ1" s="103"/>
      <c r="GA1" s="101"/>
      <c r="GB1" s="101"/>
      <c r="GC1" s="101"/>
      <c r="GD1" s="103"/>
      <c r="GE1" s="103"/>
      <c r="GF1" s="103"/>
      <c r="GG1" s="103"/>
      <c r="GH1" s="135">
        <f>FQ1+1</f>
        <v>15</v>
      </c>
      <c r="GI1" s="102"/>
      <c r="GJ1" s="102"/>
      <c r="GK1" s="102"/>
      <c r="GL1" s="103"/>
      <c r="GM1" s="101"/>
      <c r="GN1" s="101"/>
      <c r="GO1" s="101"/>
      <c r="GP1" s="103"/>
      <c r="GQ1" s="103"/>
      <c r="GR1" s="101"/>
      <c r="GS1" s="101"/>
      <c r="GT1" s="101"/>
      <c r="GU1" s="103"/>
      <c r="GV1" s="103"/>
      <c r="GW1" s="103"/>
      <c r="GX1" s="103"/>
      <c r="GY1" s="135">
        <f>GH1+1</f>
        <v>16</v>
      </c>
      <c r="GZ1" s="102"/>
      <c r="HA1" s="102"/>
      <c r="HB1" s="102"/>
      <c r="HC1" s="103"/>
      <c r="HD1" s="101"/>
      <c r="HE1" s="101"/>
      <c r="HF1" s="101"/>
      <c r="HG1" s="103"/>
      <c r="HH1" s="103"/>
      <c r="HI1" s="101"/>
      <c r="HJ1" s="101"/>
      <c r="HK1" s="101"/>
      <c r="HL1" s="103"/>
      <c r="HM1" s="103"/>
      <c r="HN1" s="103"/>
      <c r="HO1" s="103"/>
      <c r="HP1" s="135">
        <f>GY1+1</f>
        <v>17</v>
      </c>
      <c r="HQ1" s="102"/>
      <c r="HR1" s="102"/>
      <c r="HS1" s="102"/>
      <c r="HT1" s="103"/>
      <c r="HU1" s="101"/>
      <c r="HV1" s="101"/>
      <c r="HW1" s="101"/>
      <c r="HX1" s="103"/>
      <c r="HY1" s="103"/>
      <c r="HZ1" s="101"/>
      <c r="IA1" s="101"/>
      <c r="IB1" s="101"/>
      <c r="IC1" s="103"/>
      <c r="ID1" s="103"/>
      <c r="IE1" s="103"/>
      <c r="IF1" s="103"/>
      <c r="IG1" s="135">
        <f>HP1+1</f>
        <v>18</v>
      </c>
      <c r="IH1" s="102"/>
      <c r="II1" s="102"/>
      <c r="IJ1" s="102"/>
      <c r="IK1" s="103"/>
      <c r="IL1" s="101"/>
      <c r="IM1" s="101"/>
      <c r="IN1" s="101"/>
      <c r="IO1" s="103"/>
      <c r="IP1" s="103"/>
      <c r="IQ1" s="101"/>
      <c r="IR1" s="101"/>
      <c r="IS1" s="101"/>
      <c r="IT1" s="103"/>
      <c r="IU1" s="103"/>
      <c r="IV1" s="103"/>
      <c r="IW1" s="103"/>
      <c r="IX1" s="135">
        <f>IG1+1</f>
        <v>19</v>
      </c>
      <c r="IY1" s="102"/>
      <c r="IZ1" s="102"/>
      <c r="JA1" s="102"/>
      <c r="JB1" s="103"/>
      <c r="JC1" s="101"/>
      <c r="JD1" s="101"/>
      <c r="JE1" s="101"/>
      <c r="JF1" s="103"/>
      <c r="JG1" s="103"/>
      <c r="JH1" s="101"/>
      <c r="JI1" s="101"/>
      <c r="JJ1" s="101"/>
      <c r="JK1" s="103"/>
      <c r="JL1" s="103"/>
      <c r="JM1" s="103"/>
      <c r="JN1" s="103"/>
      <c r="JO1" s="135">
        <f>IX1+1</f>
        <v>20</v>
      </c>
      <c r="JP1" s="102"/>
      <c r="JQ1" s="102"/>
      <c r="JR1" s="102"/>
      <c r="JS1" s="103"/>
      <c r="JT1" s="101"/>
      <c r="JU1" s="101"/>
      <c r="JV1" s="101"/>
      <c r="JW1" s="103"/>
      <c r="JX1" s="103"/>
      <c r="JY1" s="101"/>
      <c r="JZ1" s="101"/>
      <c r="KA1" s="101"/>
      <c r="KB1" s="103"/>
      <c r="KC1" s="103"/>
      <c r="KD1" s="103"/>
      <c r="KE1" s="103"/>
      <c r="KF1" s="135">
        <f>JO1+1</f>
        <v>21</v>
      </c>
      <c r="KG1" s="102"/>
      <c r="KH1" s="102"/>
      <c r="KI1" s="102"/>
      <c r="KJ1" s="103"/>
      <c r="KK1" s="101"/>
      <c r="KL1" s="101"/>
      <c r="KM1" s="101"/>
      <c r="KN1" s="103"/>
      <c r="KO1" s="103"/>
      <c r="KP1" s="101"/>
      <c r="KQ1" s="101"/>
      <c r="KR1" s="101"/>
      <c r="KS1" s="103"/>
      <c r="KT1" s="103"/>
      <c r="KU1" s="103"/>
      <c r="KV1" s="103"/>
      <c r="KW1" s="135">
        <f>KF1+1</f>
        <v>22</v>
      </c>
      <c r="KX1" s="102"/>
      <c r="KY1" s="102"/>
      <c r="KZ1" s="102"/>
      <c r="LA1" s="103"/>
      <c r="LB1" s="101"/>
      <c r="LC1" s="101"/>
      <c r="LD1" s="101"/>
      <c r="LE1" s="103"/>
      <c r="LF1" s="103"/>
      <c r="LG1" s="101"/>
      <c r="LH1" s="101"/>
      <c r="LI1" s="101"/>
      <c r="LJ1" s="103"/>
      <c r="LK1" s="103"/>
      <c r="LL1" s="103"/>
      <c r="LM1" s="103"/>
      <c r="LN1" s="135">
        <f>KW1+1</f>
        <v>23</v>
      </c>
      <c r="LO1" s="102"/>
      <c r="LP1" s="102"/>
      <c r="LQ1" s="102"/>
      <c r="LR1" s="103"/>
      <c r="LS1" s="101"/>
      <c r="LT1" s="101"/>
      <c r="LU1" s="101"/>
      <c r="LV1" s="103"/>
      <c r="LW1" s="103"/>
      <c r="LX1" s="101"/>
      <c r="LY1" s="101"/>
      <c r="LZ1" s="101"/>
      <c r="MA1" s="103"/>
      <c r="MB1" s="103"/>
      <c r="MC1" s="103"/>
      <c r="MD1" s="103"/>
      <c r="ME1" s="135">
        <f>LN1+1</f>
        <v>24</v>
      </c>
      <c r="MF1" s="102"/>
      <c r="MG1" s="102"/>
      <c r="MH1" s="102"/>
      <c r="MI1" s="103"/>
      <c r="MJ1" s="101"/>
      <c r="MK1" s="101"/>
      <c r="ML1" s="101"/>
      <c r="MM1" s="103"/>
      <c r="MN1" s="103"/>
      <c r="MO1" s="101"/>
      <c r="MP1" s="101"/>
      <c r="MQ1" s="101"/>
      <c r="MR1" s="103"/>
      <c r="MS1" s="103"/>
      <c r="MT1" s="103"/>
      <c r="MU1" s="103"/>
      <c r="MV1" s="135">
        <f>ME1+1</f>
        <v>25</v>
      </c>
      <c r="MW1" s="102"/>
      <c r="MX1" s="102"/>
      <c r="MY1" s="102"/>
      <c r="MZ1" s="103"/>
      <c r="NA1" s="101"/>
      <c r="NB1" s="101"/>
      <c r="NC1" s="101"/>
      <c r="ND1" s="103"/>
      <c r="NE1" s="103"/>
      <c r="NF1" s="101"/>
      <c r="NG1" s="101"/>
      <c r="NH1" s="101"/>
      <c r="NI1" s="103"/>
      <c r="NJ1" s="103"/>
      <c r="NK1" s="103"/>
      <c r="NL1" s="103"/>
      <c r="NM1" s="135">
        <f>MV1+1</f>
        <v>26</v>
      </c>
      <c r="NN1" s="102"/>
      <c r="NO1" s="102"/>
      <c r="NP1" s="102"/>
      <c r="NQ1" s="103"/>
      <c r="NR1" s="101"/>
      <c r="NS1" s="101"/>
      <c r="NT1" s="101"/>
      <c r="NU1" s="103"/>
      <c r="NV1" s="103"/>
      <c r="NW1" s="101"/>
      <c r="NX1" s="101"/>
      <c r="NY1" s="101"/>
      <c r="NZ1" s="103"/>
      <c r="OA1" s="103"/>
      <c r="OB1" s="103"/>
      <c r="OC1" s="103"/>
      <c r="OD1" s="135">
        <f>NM1+1</f>
        <v>27</v>
      </c>
      <c r="OE1" s="102"/>
      <c r="OF1" s="102"/>
      <c r="OG1" s="102"/>
      <c r="OH1" s="103"/>
      <c r="OI1" s="101"/>
      <c r="OJ1" s="101"/>
      <c r="OK1" s="101"/>
      <c r="OL1" s="103"/>
      <c r="OM1" s="103"/>
      <c r="ON1" s="101"/>
      <c r="OO1" s="101"/>
      <c r="OP1" s="101"/>
      <c r="OQ1" s="103"/>
      <c r="OR1" s="103"/>
      <c r="OS1" s="103"/>
      <c r="OT1" s="103"/>
      <c r="OU1" s="135">
        <f>OD1+1</f>
        <v>28</v>
      </c>
      <c r="OV1" s="102"/>
      <c r="OW1" s="102"/>
      <c r="OX1" s="102"/>
      <c r="OY1" s="103"/>
      <c r="OZ1" s="101"/>
      <c r="PA1" s="101"/>
      <c r="PB1" s="101"/>
      <c r="PC1" s="103"/>
      <c r="PD1" s="103"/>
      <c r="PE1" s="101"/>
      <c r="PF1" s="101"/>
      <c r="PG1" s="101"/>
      <c r="PH1" s="103"/>
      <c r="PI1" s="103"/>
      <c r="PJ1" s="103"/>
      <c r="PK1" s="103"/>
      <c r="PL1" s="135">
        <f>OU1+1</f>
        <v>29</v>
      </c>
      <c r="PM1" s="102"/>
      <c r="PN1" s="102"/>
      <c r="PO1" s="102"/>
      <c r="PP1" s="103"/>
      <c r="PQ1" s="101"/>
      <c r="PR1" s="101"/>
      <c r="PS1" s="101"/>
      <c r="PT1" s="103"/>
      <c r="PU1" s="103"/>
      <c r="PV1" s="101"/>
      <c r="PW1" s="101"/>
      <c r="PX1" s="101"/>
      <c r="PY1" s="103"/>
      <c r="PZ1" s="103"/>
      <c r="QA1" s="103"/>
      <c r="QB1" s="103"/>
      <c r="QC1" s="135">
        <f>PL1+1</f>
        <v>30</v>
      </c>
      <c r="QD1" s="102"/>
      <c r="QE1" s="102"/>
      <c r="QF1" s="102"/>
      <c r="QG1" s="103"/>
      <c r="QH1" s="101"/>
      <c r="QI1" s="101"/>
      <c r="QJ1" s="101"/>
      <c r="QK1" s="103"/>
      <c r="QL1" s="103"/>
      <c r="QM1" s="101"/>
      <c r="QN1" s="101"/>
      <c r="QO1" s="101"/>
      <c r="QP1" s="103"/>
      <c r="QQ1" s="103"/>
      <c r="QR1" s="103"/>
      <c r="QS1" s="103"/>
      <c r="QT1" s="135">
        <f>QC1+1</f>
        <v>31</v>
      </c>
      <c r="QU1" s="102"/>
      <c r="QV1" s="102"/>
      <c r="QW1" s="102"/>
      <c r="QX1" s="103"/>
      <c r="QY1" s="101"/>
      <c r="QZ1" s="101"/>
      <c r="RA1" s="101"/>
      <c r="RB1" s="103"/>
      <c r="RC1" s="103"/>
      <c r="RD1" s="101"/>
      <c r="RE1" s="101"/>
      <c r="RF1" s="101"/>
      <c r="RG1" s="103"/>
      <c r="RH1" s="103"/>
      <c r="RI1" s="103"/>
      <c r="RJ1" s="103"/>
      <c r="RK1" s="135">
        <f>QT1+1</f>
        <v>32</v>
      </c>
      <c r="RL1" s="102"/>
      <c r="RM1" s="102"/>
      <c r="RN1" s="102"/>
      <c r="RO1" s="103"/>
      <c r="RP1" s="101"/>
      <c r="RQ1" s="101"/>
      <c r="RR1" s="101"/>
      <c r="RS1" s="103"/>
      <c r="RT1" s="103"/>
      <c r="RU1" s="101"/>
      <c r="RV1" s="101"/>
      <c r="RW1" s="101"/>
      <c r="RX1" s="103"/>
      <c r="RY1" s="103"/>
      <c r="RZ1" s="103"/>
      <c r="SA1" s="103"/>
      <c r="SB1" s="135">
        <f>RK1+1</f>
        <v>33</v>
      </c>
      <c r="SC1" s="102"/>
      <c r="SD1" s="102"/>
      <c r="SE1" s="102"/>
      <c r="SF1" s="103"/>
      <c r="SG1" s="101"/>
      <c r="SH1" s="101"/>
      <c r="SI1" s="101"/>
      <c r="SJ1" s="103"/>
      <c r="SK1" s="103"/>
      <c r="SL1" s="101"/>
      <c r="SM1" s="101"/>
      <c r="SN1" s="101"/>
      <c r="SO1" s="103"/>
      <c r="SP1" s="103"/>
      <c r="SQ1" s="103"/>
      <c r="SR1" s="103"/>
    </row>
    <row r="2" spans="1:512" ht="60" customHeight="1" thickBot="1" x14ac:dyDescent="0.3">
      <c r="A2" s="91" t="s">
        <v>36</v>
      </c>
      <c r="B2" s="92" t="s">
        <v>204</v>
      </c>
      <c r="C2" s="148" t="str">
        <f ca="1">IF(CELL("contenu",INDIRECT(ADDRESS(C1,1,1,1,CELL("contenu",$B$2))))="","----",CELL("contenu",INDIRECT(ADDRESS(C1,1,1,1,CELL("contenu",$B$2)))))</f>
        <v>BARDOU Juliette</v>
      </c>
      <c r="D2" s="148"/>
      <c r="E2" s="148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123"/>
      <c r="T2" s="99" t="str">
        <f ca="1">IF(CELL("contenu",INDIRECT(ADDRESS(T1,1,1,1,CELL("contenu",$B$2))))="","----",CELL("contenu",INDIRECT(ADDRESS(T1,1,1,1,CELL("contenu",$B$2)))))</f>
        <v>BARTHELEMY Philomene</v>
      </c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123"/>
      <c r="AK2" s="99" t="str">
        <f ca="1">IF(CELL("contenu",INDIRECT(ADDRESS(AK1,1,1,1,CELL("contenu",$B$2))))="","----",CELL("contenu",INDIRECT(ADDRESS(AK1,1,1,1,CELL("contenu",$B$2)))))</f>
        <v>BERTE Gregoire</v>
      </c>
      <c r="AL2" s="99"/>
      <c r="AM2" s="99"/>
      <c r="AN2" s="99"/>
      <c r="AO2" s="99"/>
      <c r="AP2" s="99"/>
      <c r="AQ2" s="99"/>
      <c r="AR2" s="99"/>
      <c r="AS2" s="99"/>
      <c r="AT2" s="99"/>
      <c r="AU2" s="99"/>
      <c r="AV2" s="99"/>
      <c r="AW2" s="99"/>
      <c r="AX2" s="99"/>
      <c r="AY2" s="99"/>
      <c r="AZ2" s="99"/>
      <c r="BA2" s="123"/>
      <c r="BB2" s="99" t="str">
        <f ca="1">IF(CELL("contenu",INDIRECT(ADDRESS(BB1,1,1,1,CELL("contenu",$B$2))))="","----",CELL("contenu",INDIRECT(ADDRESS(BB1,1,1,1,CELL("contenu",$B$2)))))</f>
        <v>CRASSOUS Theodore</v>
      </c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99"/>
      <c r="BP2" s="99"/>
      <c r="BQ2" s="99"/>
      <c r="BR2" s="123"/>
      <c r="BS2" s="99" t="str">
        <f ca="1">IF(CELL("contenu",INDIRECT(ADDRESS(BS1,1,1,1,CELL("contenu",$B$2))))="","----",CELL("contenu",INDIRECT(ADDRESS(BS1,1,1,1,CELL("contenu",$B$2)))))</f>
        <v>DAVENE Mia</v>
      </c>
      <c r="BT2" s="99"/>
      <c r="BU2" s="99"/>
      <c r="BV2" s="99"/>
      <c r="BW2" s="99"/>
      <c r="BX2" s="99"/>
      <c r="BY2" s="99"/>
      <c r="BZ2" s="99"/>
      <c r="CA2" s="99"/>
      <c r="CB2" s="99"/>
      <c r="CC2" s="99"/>
      <c r="CD2" s="99"/>
      <c r="CE2" s="99"/>
      <c r="CF2" s="99"/>
      <c r="CG2" s="99"/>
      <c r="CH2" s="99"/>
      <c r="CI2" s="123"/>
      <c r="CJ2" s="99" t="str">
        <f ca="1">IF(CELL("contenu",INDIRECT(ADDRESS(CJ1,1,1,1,CELL("contenu",$B$2))))="","----",CELL("contenu",INDIRECT(ADDRESS(CJ1,1,1,1,CELL("contenu",$B$2)))))</f>
        <v>DELHOMMAIS Arthur</v>
      </c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99"/>
      <c r="CV2" s="99"/>
      <c r="CW2" s="99"/>
      <c r="CX2" s="99"/>
      <c r="CY2" s="99"/>
      <c r="CZ2" s="123"/>
      <c r="DA2" s="99" t="str">
        <f ca="1">IF(CELL("contenu",INDIRECT(ADDRESS(DA1,1,1,1,CELL("contenu",$B$2))))="","----",CELL("contenu",INDIRECT(ADDRESS(DA1,1,1,1,CELL("contenu",$B$2)))))</f>
        <v>DERMAGNE Louise</v>
      </c>
      <c r="DB2" s="99"/>
      <c r="DC2" s="99"/>
      <c r="DD2" s="99"/>
      <c r="DE2" s="99"/>
      <c r="DF2" s="99"/>
      <c r="DG2" s="99"/>
      <c r="DH2" s="99"/>
      <c r="DI2" s="99"/>
      <c r="DJ2" s="99"/>
      <c r="DK2" s="99"/>
      <c r="DL2" s="99"/>
      <c r="DM2" s="99"/>
      <c r="DN2" s="99"/>
      <c r="DO2" s="99"/>
      <c r="DP2" s="99"/>
      <c r="DQ2" s="123"/>
      <c r="DR2" s="99" t="str">
        <f ca="1">IF(CELL("contenu",INDIRECT(ADDRESS(DR1,1,1,1,CELL("contenu",$B$2))))="","----",CELL("contenu",INDIRECT(ADDRESS(DR1,1,1,1,CELL("contenu",$B$2)))))</f>
        <v>DESHORS Augustin</v>
      </c>
      <c r="DS2" s="99"/>
      <c r="DT2" s="99"/>
      <c r="DU2" s="99"/>
      <c r="DV2" s="99"/>
      <c r="DW2" s="99"/>
      <c r="DX2" s="99"/>
      <c r="DY2" s="99"/>
      <c r="DZ2" s="99"/>
      <c r="EA2" s="99"/>
      <c r="EB2" s="99"/>
      <c r="EC2" s="99"/>
      <c r="ED2" s="99"/>
      <c r="EE2" s="99"/>
      <c r="EF2" s="99"/>
      <c r="EG2" s="99"/>
      <c r="EH2" s="123"/>
      <c r="EI2" s="99" t="str">
        <f ca="1">IF(CELL("contenu",INDIRECT(ADDRESS(EI1,1,1,1,CELL("contenu",$B$2))))="","----",CELL("contenu",INDIRECT(ADDRESS(EI1,1,1,1,CELL("contenu",$B$2)))))</f>
        <v>DESNOIX Victoria</v>
      </c>
      <c r="EJ2" s="99"/>
      <c r="EK2" s="99"/>
      <c r="EL2" s="99"/>
      <c r="EM2" s="99"/>
      <c r="EN2" s="99"/>
      <c r="EO2" s="99"/>
      <c r="EP2" s="99"/>
      <c r="EQ2" s="99"/>
      <c r="ER2" s="99"/>
      <c r="ES2" s="99"/>
      <c r="ET2" s="99"/>
      <c r="EU2" s="99"/>
      <c r="EV2" s="99"/>
      <c r="EW2" s="99"/>
      <c r="EX2" s="99"/>
      <c r="EY2" s="123"/>
      <c r="EZ2" s="99" t="str">
        <f ca="1">IF(CELL("contenu",INDIRECT(ADDRESS(EZ1,1,1,1,CELL("contenu",$B$2))))="","----",CELL("contenu",INDIRECT(ADDRESS(EZ1,1,1,1,CELL("contenu",$B$2)))))</f>
        <v>ERARD-GATINE Maxence</v>
      </c>
      <c r="FA2" s="99"/>
      <c r="FB2" s="99"/>
      <c r="FC2" s="99"/>
      <c r="FD2" s="99"/>
      <c r="FE2" s="99"/>
      <c r="FF2" s="99"/>
      <c r="FG2" s="99"/>
      <c r="FH2" s="99"/>
      <c r="FI2" s="99"/>
      <c r="FJ2" s="99"/>
      <c r="FK2" s="99"/>
      <c r="FL2" s="99"/>
      <c r="FM2" s="99"/>
      <c r="FN2" s="99"/>
      <c r="FO2" s="99"/>
      <c r="FP2" s="123"/>
      <c r="FQ2" s="99" t="str">
        <f ca="1">IF(CELL("contenu",INDIRECT(ADDRESS(FQ1,1,1,1,CELL("contenu",$B$2))))="","----",CELL("contenu",INDIRECT(ADDRESS(FQ1,1,1,1,CELL("contenu",$B$2)))))</f>
        <v>GENEIX Leandre</v>
      </c>
      <c r="FR2" s="99"/>
      <c r="FS2" s="99"/>
      <c r="FT2" s="99"/>
      <c r="FU2" s="99"/>
      <c r="FV2" s="99"/>
      <c r="FW2" s="99"/>
      <c r="FX2" s="99"/>
      <c r="FY2" s="99"/>
      <c r="FZ2" s="99"/>
      <c r="GA2" s="99"/>
      <c r="GB2" s="99"/>
      <c r="GC2" s="99"/>
      <c r="GD2" s="99"/>
      <c r="GE2" s="99"/>
      <c r="GF2" s="99"/>
      <c r="GG2" s="123"/>
      <c r="GH2" s="99" t="str">
        <f ca="1">IF(CELL("contenu",INDIRECT(ADDRESS(GH1,1,1,1,CELL("contenu",$B$2))))="","----",CELL("contenu",INDIRECT(ADDRESS(GH1,1,1,1,CELL("contenu",$B$2)))))</f>
        <v>GOMEZ Lucie</v>
      </c>
      <c r="GI2" s="99"/>
      <c r="GJ2" s="99"/>
      <c r="GK2" s="99"/>
      <c r="GL2" s="99"/>
      <c r="GM2" s="99"/>
      <c r="GN2" s="99"/>
      <c r="GO2" s="99"/>
      <c r="GP2" s="99"/>
      <c r="GQ2" s="99"/>
      <c r="GR2" s="99"/>
      <c r="GS2" s="99"/>
      <c r="GT2" s="99"/>
      <c r="GU2" s="99"/>
      <c r="GV2" s="99"/>
      <c r="GW2" s="99"/>
      <c r="GX2" s="123"/>
      <c r="GY2" s="99" t="str">
        <f ca="1">IF(CELL("contenu",INDIRECT(ADDRESS(GY1,1,1,1,CELL("contenu",$B$2))))="","----",CELL("contenu",INDIRECT(ADDRESS(GY1,1,1,1,CELL("contenu",$B$2)))))</f>
        <v>KERVRAN Marie-Gaelle</v>
      </c>
      <c r="GZ2" s="99"/>
      <c r="HA2" s="99"/>
      <c r="HB2" s="99"/>
      <c r="HC2" s="99"/>
      <c r="HD2" s="99"/>
      <c r="HE2" s="99"/>
      <c r="HF2" s="99"/>
      <c r="HG2" s="99"/>
      <c r="HH2" s="99"/>
      <c r="HI2" s="99"/>
      <c r="HJ2" s="99"/>
      <c r="HK2" s="99"/>
      <c r="HL2" s="99"/>
      <c r="HM2" s="99"/>
      <c r="HN2" s="99"/>
      <c r="HO2" s="123"/>
      <c r="HP2" s="99" t="str">
        <f ca="1">IF(CELL("contenu",INDIRECT(ADDRESS(HP1,1,1,1,CELL("contenu",$B$2))))="","----",CELL("contenu",INDIRECT(ADDRESS(HP1,1,1,1,CELL("contenu",$B$2)))))</f>
        <v>KOUKEMBO Lea</v>
      </c>
      <c r="HQ2" s="99"/>
      <c r="HR2" s="99"/>
      <c r="HS2" s="99"/>
      <c r="HT2" s="99"/>
      <c r="HU2" s="99"/>
      <c r="HV2" s="99"/>
      <c r="HW2" s="99"/>
      <c r="HX2" s="99"/>
      <c r="HY2" s="99"/>
      <c r="HZ2" s="99"/>
      <c r="IA2" s="99"/>
      <c r="IB2" s="99"/>
      <c r="IC2" s="99"/>
      <c r="ID2" s="99"/>
      <c r="IE2" s="99"/>
      <c r="IF2" s="123"/>
      <c r="IG2" s="99" t="str">
        <f ca="1">IF(CELL("contenu",INDIRECT(ADDRESS(IG1,1,1,1,CELL("contenu",$B$2))))="","----",CELL("contenu",INDIRECT(ADDRESS(IG1,1,1,1,CELL("contenu",$B$2)))))</f>
        <v>LE FLOCH PIERRE Artus</v>
      </c>
      <c r="IH2" s="99"/>
      <c r="II2" s="99"/>
      <c r="IJ2" s="99"/>
      <c r="IK2" s="99"/>
      <c r="IL2" s="99"/>
      <c r="IM2" s="99"/>
      <c r="IN2" s="99"/>
      <c r="IO2" s="99"/>
      <c r="IP2" s="99"/>
      <c r="IQ2" s="99"/>
      <c r="IR2" s="99"/>
      <c r="IS2" s="99"/>
      <c r="IT2" s="99"/>
      <c r="IU2" s="99"/>
      <c r="IV2" s="99"/>
      <c r="IW2" s="123"/>
      <c r="IX2" s="99" t="str">
        <f ca="1">IF(CELL("contenu",INDIRECT(ADDRESS(IX1,1,1,1,CELL("contenu",$B$2))))="","----",CELL("contenu",INDIRECT(ADDRESS(IX1,1,1,1,CELL("contenu",$B$2)))))</f>
        <v>LECOUFFE Celeste</v>
      </c>
      <c r="IY2" s="99"/>
      <c r="IZ2" s="99"/>
      <c r="JA2" s="99"/>
      <c r="JB2" s="99"/>
      <c r="JC2" s="99"/>
      <c r="JD2" s="99"/>
      <c r="JE2" s="99"/>
      <c r="JF2" s="99"/>
      <c r="JG2" s="99"/>
      <c r="JH2" s="99"/>
      <c r="JI2" s="99"/>
      <c r="JJ2" s="99"/>
      <c r="JK2" s="99"/>
      <c r="JL2" s="99"/>
      <c r="JM2" s="99"/>
      <c r="JN2" s="123"/>
      <c r="JO2" s="99" t="str">
        <f ca="1">IF(CELL("contenu",INDIRECT(ADDRESS(JO1,1,1,1,CELL("contenu",$B$2))))="","----",CELL("contenu",INDIRECT(ADDRESS(JO1,1,1,1,CELL("contenu",$B$2)))))</f>
        <v>MILARD--GODARD Zoyann</v>
      </c>
      <c r="JP2" s="99"/>
      <c r="JQ2" s="99"/>
      <c r="JR2" s="99"/>
      <c r="JS2" s="99"/>
      <c r="JT2" s="99"/>
      <c r="JU2" s="99"/>
      <c r="JV2" s="99"/>
      <c r="JW2" s="99"/>
      <c r="JX2" s="99"/>
      <c r="JY2" s="99"/>
      <c r="JZ2" s="99"/>
      <c r="KA2" s="99"/>
      <c r="KB2" s="99"/>
      <c r="KC2" s="99"/>
      <c r="KD2" s="99"/>
      <c r="KE2" s="123"/>
      <c r="KF2" s="99" t="str">
        <f ca="1">IF(CELL("contenu",INDIRECT(ADDRESS(KF1,1,1,1,CELL("contenu",$B$2))))="","----",CELL("contenu",INDIRECT(ADDRESS(KF1,1,1,1,CELL("contenu",$B$2)))))</f>
        <v>MOREL Jules</v>
      </c>
      <c r="KG2" s="99"/>
      <c r="KH2" s="99"/>
      <c r="KI2" s="99"/>
      <c r="KJ2" s="99"/>
      <c r="KK2" s="99"/>
      <c r="KL2" s="99"/>
      <c r="KM2" s="99"/>
      <c r="KN2" s="99"/>
      <c r="KO2" s="99"/>
      <c r="KP2" s="99"/>
      <c r="KQ2" s="99"/>
      <c r="KR2" s="99"/>
      <c r="KS2" s="99"/>
      <c r="KT2" s="99"/>
      <c r="KU2" s="99"/>
      <c r="KV2" s="123"/>
      <c r="KW2" s="99" t="str">
        <f ca="1">IF(CELL("contenu",INDIRECT(ADDRESS(KW1,1,1,1,CELL("contenu",$B$2))))="","----",CELL("contenu",INDIRECT(ADDRESS(KW1,1,1,1,CELL("contenu",$B$2)))))</f>
        <v>NGUYEN-QUANG-DAT Yohan</v>
      </c>
      <c r="KX2" s="99"/>
      <c r="KY2" s="99"/>
      <c r="KZ2" s="99"/>
      <c r="LA2" s="99"/>
      <c r="LB2" s="99"/>
      <c r="LC2" s="99"/>
      <c r="LD2" s="99"/>
      <c r="LE2" s="99"/>
      <c r="LF2" s="99"/>
      <c r="LG2" s="99"/>
      <c r="LH2" s="99"/>
      <c r="LI2" s="99"/>
      <c r="LJ2" s="99"/>
      <c r="LK2" s="99"/>
      <c r="LL2" s="99"/>
      <c r="LM2" s="123"/>
      <c r="LN2" s="99" t="str">
        <f ca="1">IF(CELL("contenu",INDIRECT(ADDRESS(LN1,1,1,1,CELL("contenu",$B$2))))="","----",CELL("contenu",INDIRECT(ADDRESS(LN1,1,1,1,CELL("contenu",$B$2)))))</f>
        <v>PAJOT--MONMARQUE Clara</v>
      </c>
      <c r="LO2" s="99"/>
      <c r="LP2" s="99"/>
      <c r="LQ2" s="99"/>
      <c r="LR2" s="99"/>
      <c r="LS2" s="99"/>
      <c r="LT2" s="99"/>
      <c r="LU2" s="99"/>
      <c r="LV2" s="99"/>
      <c r="LW2" s="99"/>
      <c r="LX2" s="99"/>
      <c r="LY2" s="99"/>
      <c r="LZ2" s="99"/>
      <c r="MA2" s="99"/>
      <c r="MB2" s="99"/>
      <c r="MC2" s="99"/>
      <c r="MD2" s="123"/>
      <c r="ME2" s="99" t="str">
        <f ca="1">IF(CELL("contenu",INDIRECT(ADDRESS(ME1,1,1,1,CELL("contenu",$B$2))))="","----",CELL("contenu",INDIRECT(ADDRESS(ME1,1,1,1,CELL("contenu",$B$2)))))</f>
        <v>PATRIA Margot</v>
      </c>
      <c r="MF2" s="99"/>
      <c r="MG2" s="99"/>
      <c r="MH2" s="99"/>
      <c r="MI2" s="99"/>
      <c r="MJ2" s="99"/>
      <c r="MK2" s="99"/>
      <c r="ML2" s="99"/>
      <c r="MM2" s="99"/>
      <c r="MN2" s="99"/>
      <c r="MO2" s="99"/>
      <c r="MP2" s="99"/>
      <c r="MQ2" s="99"/>
      <c r="MR2" s="99"/>
      <c r="MS2" s="99"/>
      <c r="MT2" s="99"/>
      <c r="MU2" s="123"/>
      <c r="MV2" s="99" t="str">
        <f ca="1">IF(CELL("contenu",INDIRECT(ADDRESS(MV1,1,1,1,CELL("contenu",$B$2))))="","----",CELL("contenu",INDIRECT(ADDRESS(MV1,1,1,1,CELL("contenu",$B$2)))))</f>
        <v>PELLERIN Gabrielle</v>
      </c>
      <c r="MW2" s="99"/>
      <c r="MX2" s="99"/>
      <c r="MY2" s="99"/>
      <c r="MZ2" s="99"/>
      <c r="NA2" s="99"/>
      <c r="NB2" s="99"/>
      <c r="NC2" s="99"/>
      <c r="ND2" s="99"/>
      <c r="NE2" s="99"/>
      <c r="NF2" s="99"/>
      <c r="NG2" s="99"/>
      <c r="NH2" s="99"/>
      <c r="NI2" s="99"/>
      <c r="NJ2" s="99"/>
      <c r="NK2" s="99"/>
      <c r="NL2" s="123"/>
      <c r="NM2" s="99" t="str">
        <f ca="1">IF(CELL("contenu",INDIRECT(ADDRESS(NM1,1,1,1,CELL("contenu",$B$2))))="","----",CELL("contenu",INDIRECT(ADDRESS(NM1,1,1,1,CELL("contenu",$B$2)))))</f>
        <v>RAGUIN Candice</v>
      </c>
      <c r="NN2" s="99"/>
      <c r="NO2" s="99"/>
      <c r="NP2" s="99"/>
      <c r="NQ2" s="99"/>
      <c r="NR2" s="99"/>
      <c r="NS2" s="99"/>
      <c r="NT2" s="99"/>
      <c r="NU2" s="99"/>
      <c r="NV2" s="99"/>
      <c r="NW2" s="99"/>
      <c r="NX2" s="99"/>
      <c r="NY2" s="99"/>
      <c r="NZ2" s="99"/>
      <c r="OA2" s="99"/>
      <c r="OB2" s="99"/>
      <c r="OC2" s="123"/>
      <c r="OD2" s="99" t="str">
        <f ca="1">IF(CELL("contenu",INDIRECT(ADDRESS(OD1,1,1,1,CELL("contenu",$B$2))))="","----",CELL("contenu",INDIRECT(ADDRESS(OD1,1,1,1,CELL("contenu",$B$2)))))</f>
        <v>SAILLARD Leane</v>
      </c>
      <c r="OE2" s="99"/>
      <c r="OF2" s="99"/>
      <c r="OG2" s="99"/>
      <c r="OH2" s="99"/>
      <c r="OI2" s="99"/>
      <c r="OJ2" s="99"/>
      <c r="OK2" s="99"/>
      <c r="OL2" s="99"/>
      <c r="OM2" s="99"/>
      <c r="ON2" s="99"/>
      <c r="OO2" s="99"/>
      <c r="OP2" s="99"/>
      <c r="OQ2" s="99"/>
      <c r="OR2" s="99"/>
      <c r="OS2" s="99"/>
      <c r="OT2" s="123"/>
      <c r="OU2" s="99" t="str">
        <f ca="1">IF(CELL("contenu",INDIRECT(ADDRESS(OU1,1,1,1,CELL("contenu",$B$2))))="","----",CELL("contenu",INDIRECT(ADDRESS(OU1,1,1,1,CELL("contenu",$B$2)))))</f>
        <v>SURY Maxence</v>
      </c>
      <c r="OV2" s="99"/>
      <c r="OW2" s="99"/>
      <c r="OX2" s="99"/>
      <c r="OY2" s="99"/>
      <c r="OZ2" s="99"/>
      <c r="PA2" s="99"/>
      <c r="PB2" s="99"/>
      <c r="PC2" s="99"/>
      <c r="PD2" s="99"/>
      <c r="PE2" s="99"/>
      <c r="PF2" s="99"/>
      <c r="PG2" s="99"/>
      <c r="PH2" s="99"/>
      <c r="PI2" s="99"/>
      <c r="PJ2" s="99"/>
      <c r="PK2" s="123"/>
      <c r="PL2" s="99" t="str">
        <f ca="1">IF(CELL("contenu",INDIRECT(ADDRESS(PL1,1,1,1,CELL("contenu",$B$2))))="","----",CELL("contenu",INDIRECT(ADDRESS(PL1,1,1,1,CELL("contenu",$B$2)))))</f>
        <v>THIOU Hermance</v>
      </c>
      <c r="PM2" s="99"/>
      <c r="PN2" s="99"/>
      <c r="PO2" s="99"/>
      <c r="PP2" s="99"/>
      <c r="PQ2" s="99"/>
      <c r="PR2" s="99"/>
      <c r="PS2" s="99"/>
      <c r="PT2" s="99"/>
      <c r="PU2" s="99"/>
      <c r="PV2" s="99"/>
      <c r="PW2" s="99"/>
      <c r="PX2" s="99"/>
      <c r="PY2" s="99"/>
      <c r="PZ2" s="99"/>
      <c r="QA2" s="99"/>
      <c r="QB2" s="123"/>
      <c r="QC2" s="99" t="str">
        <f ca="1">IF(CELL("contenu",INDIRECT(ADDRESS(QC1,1,1,1,CELL("contenu",$B$2))))="","----",CELL("contenu",INDIRECT(ADDRESS(QC1,1,1,1,CELL("contenu",$B$2)))))</f>
        <v>VANHILLE Joshua</v>
      </c>
      <c r="QD2" s="99"/>
      <c r="QE2" s="99"/>
      <c r="QF2" s="99"/>
      <c r="QG2" s="99"/>
      <c r="QH2" s="99"/>
      <c r="QI2" s="99"/>
      <c r="QJ2" s="99"/>
      <c r="QK2" s="99"/>
      <c r="QL2" s="99"/>
      <c r="QM2" s="99"/>
      <c r="QN2" s="99"/>
      <c r="QO2" s="99"/>
      <c r="QP2" s="99"/>
      <c r="QQ2" s="99"/>
      <c r="QR2" s="99"/>
      <c r="QS2" s="123"/>
      <c r="QT2" s="99" t="str">
        <f ca="1">IF(CELL("contenu",INDIRECT(ADDRESS(QT1,1,1,1,CELL("contenu",$B$2))))="","----",CELL("contenu",INDIRECT(ADDRESS(QT1,1,1,1,CELL("contenu",$B$2)))))</f>
        <v>ZABERA Claire</v>
      </c>
      <c r="QU2" s="99"/>
      <c r="QV2" s="99"/>
      <c r="QW2" s="99"/>
      <c r="QX2" s="99"/>
      <c r="QY2" s="99"/>
      <c r="QZ2" s="99"/>
      <c r="RA2" s="99"/>
      <c r="RB2" s="99"/>
      <c r="RC2" s="99"/>
      <c r="RD2" s="99"/>
      <c r="RE2" s="99"/>
      <c r="RF2" s="99"/>
      <c r="RG2" s="99"/>
      <c r="RH2" s="99"/>
      <c r="RI2" s="99"/>
      <c r="RJ2" s="123"/>
      <c r="RK2" s="99">
        <f ca="1">IF(CELL("contenu",INDIRECT(ADDRESS(RK1,1,1,1,CELL("contenu",$B$2))))="","----",CELL("contenu",INDIRECT(ADDRESS(RK1,1,1,1,CELL("contenu",$B$2)))))</f>
        <v>0</v>
      </c>
      <c r="RL2" s="99"/>
      <c r="RM2" s="99"/>
      <c r="RN2" s="99"/>
      <c r="RO2" s="99"/>
      <c r="RP2" s="99"/>
      <c r="RQ2" s="99"/>
      <c r="RR2" s="99"/>
      <c r="RS2" s="99"/>
      <c r="RT2" s="99"/>
      <c r="RU2" s="99"/>
      <c r="RV2" s="99"/>
      <c r="RW2" s="99"/>
      <c r="RX2" s="99"/>
      <c r="RY2" s="99"/>
      <c r="RZ2" s="99"/>
      <c r="SA2" s="123"/>
      <c r="SB2" s="99">
        <f ca="1">IF(CELL("contenu",INDIRECT(ADDRESS(SB1,1,1,1,CELL("contenu",$B$2))))="","----",CELL("contenu",INDIRECT(ADDRESS(SB1,1,1,1,CELL("contenu",$B$2)))))</f>
        <v>0</v>
      </c>
      <c r="SC2" s="99"/>
      <c r="SD2" s="99"/>
      <c r="SE2" s="99"/>
      <c r="SF2" s="99"/>
      <c r="SG2" s="99"/>
      <c r="SH2" s="99"/>
      <c r="SI2" s="99"/>
      <c r="SJ2" s="99"/>
      <c r="SK2" s="99"/>
      <c r="SL2" s="99"/>
      <c r="SM2" s="99"/>
      <c r="SN2" s="99"/>
      <c r="SO2" s="99"/>
      <c r="SP2" s="99"/>
      <c r="SQ2" s="99"/>
      <c r="SR2" s="123"/>
    </row>
    <row r="3" spans="1:512" ht="60" customHeight="1" thickBot="1" x14ac:dyDescent="0.3">
      <c r="A3" s="93"/>
      <c r="B3" s="94" t="s">
        <v>31</v>
      </c>
      <c r="C3" s="149" t="s">
        <v>208</v>
      </c>
      <c r="D3" s="150"/>
      <c r="E3" s="151"/>
      <c r="F3" s="104" t="s">
        <v>7</v>
      </c>
      <c r="G3" s="105"/>
      <c r="H3" s="73"/>
      <c r="I3" s="75"/>
      <c r="J3" s="74"/>
      <c r="K3" s="119" t="s">
        <v>8</v>
      </c>
      <c r="L3" s="120"/>
      <c r="M3" s="73"/>
      <c r="N3" s="75"/>
      <c r="O3" s="74"/>
      <c r="P3" s="124" t="s">
        <v>9</v>
      </c>
      <c r="Q3" s="125"/>
      <c r="R3" s="126" t="s">
        <v>10</v>
      </c>
      <c r="S3" s="127"/>
      <c r="T3" s="193" t="str">
        <f>IF(C3="","",C3)</f>
        <v>CH1/1</v>
      </c>
      <c r="U3" s="194" t="str">
        <f>IF(D3="","",D3)</f>
        <v/>
      </c>
      <c r="V3" s="195" t="str">
        <f>IF(E3="","",E3)</f>
        <v/>
      </c>
      <c r="W3" s="104" t="s">
        <v>7</v>
      </c>
      <c r="X3" s="105"/>
      <c r="Y3" s="196" t="str">
        <f>IF(H3="","",H3)</f>
        <v/>
      </c>
      <c r="Z3" s="194" t="str">
        <f>IF(I3="","",I3)</f>
        <v/>
      </c>
      <c r="AA3" s="197" t="str">
        <f>IF(J3="","",J3)</f>
        <v/>
      </c>
      <c r="AB3" s="119" t="s">
        <v>8</v>
      </c>
      <c r="AC3" s="120"/>
      <c r="AD3" s="196" t="str">
        <f>IF(M3="","",M3)</f>
        <v/>
      </c>
      <c r="AE3" s="194" t="str">
        <f>IF(N3="","",N3)</f>
        <v/>
      </c>
      <c r="AF3" s="197" t="str">
        <f>IF(O3="","",O3)</f>
        <v/>
      </c>
      <c r="AG3" s="124" t="s">
        <v>9</v>
      </c>
      <c r="AH3" s="125"/>
      <c r="AI3" s="126" t="s">
        <v>10</v>
      </c>
      <c r="AJ3" s="127"/>
      <c r="AK3" s="193" t="str">
        <f>IF(T3="","",T3)</f>
        <v>CH1/1</v>
      </c>
      <c r="AL3" s="194" t="str">
        <f>IF(U3="","",U3)</f>
        <v/>
      </c>
      <c r="AM3" s="195" t="str">
        <f>IF(V3="","",V3)</f>
        <v/>
      </c>
      <c r="AN3" s="104" t="s">
        <v>7</v>
      </c>
      <c r="AO3" s="105"/>
      <c r="AP3" s="196" t="str">
        <f>IF(Y3="","",Y3)</f>
        <v/>
      </c>
      <c r="AQ3" s="194" t="str">
        <f>IF(Z3="","",Z3)</f>
        <v/>
      </c>
      <c r="AR3" s="197" t="str">
        <f>IF(AA3="","",AA3)</f>
        <v/>
      </c>
      <c r="AS3" s="119" t="s">
        <v>8</v>
      </c>
      <c r="AT3" s="120"/>
      <c r="AU3" s="196" t="str">
        <f>IF(AD3="","",AD3)</f>
        <v/>
      </c>
      <c r="AV3" s="194" t="str">
        <f>IF(AE3="","",AE3)</f>
        <v/>
      </c>
      <c r="AW3" s="197" t="str">
        <f>IF(AF3="","",AF3)</f>
        <v/>
      </c>
      <c r="AX3" s="124" t="s">
        <v>9</v>
      </c>
      <c r="AY3" s="125"/>
      <c r="AZ3" s="126" t="s">
        <v>10</v>
      </c>
      <c r="BA3" s="127"/>
      <c r="BB3" s="193" t="str">
        <f>IF(AK3="","",AK3)</f>
        <v>CH1/1</v>
      </c>
      <c r="BC3" s="194" t="str">
        <f>IF(AL3="","",AL3)</f>
        <v/>
      </c>
      <c r="BD3" s="195" t="str">
        <f>IF(AM3="","",AM3)</f>
        <v/>
      </c>
      <c r="BE3" s="104" t="s">
        <v>7</v>
      </c>
      <c r="BF3" s="105"/>
      <c r="BG3" s="196" t="str">
        <f>IF(AP3="","",AP3)</f>
        <v/>
      </c>
      <c r="BH3" s="194" t="str">
        <f>IF(AQ3="","",AQ3)</f>
        <v/>
      </c>
      <c r="BI3" s="197" t="str">
        <f>IF(AR3="","",AR3)</f>
        <v/>
      </c>
      <c r="BJ3" s="119" t="s">
        <v>8</v>
      </c>
      <c r="BK3" s="120"/>
      <c r="BL3" s="196" t="str">
        <f>IF(AU3="","",AU3)</f>
        <v/>
      </c>
      <c r="BM3" s="194" t="str">
        <f>IF(AV3="","",AV3)</f>
        <v/>
      </c>
      <c r="BN3" s="197" t="str">
        <f>IF(AW3="","",AW3)</f>
        <v/>
      </c>
      <c r="BO3" s="124" t="s">
        <v>9</v>
      </c>
      <c r="BP3" s="125"/>
      <c r="BQ3" s="126" t="s">
        <v>10</v>
      </c>
      <c r="BR3" s="127"/>
      <c r="BS3" s="193" t="str">
        <f>IF(BB3="","",BB3)</f>
        <v>CH1/1</v>
      </c>
      <c r="BT3" s="194" t="str">
        <f>IF(BC3="","",BC3)</f>
        <v/>
      </c>
      <c r="BU3" s="195" t="str">
        <f>IF(BD3="","",BD3)</f>
        <v/>
      </c>
      <c r="BV3" s="104" t="s">
        <v>7</v>
      </c>
      <c r="BW3" s="105"/>
      <c r="BX3" s="196" t="str">
        <f>IF(BG3="","",BG3)</f>
        <v/>
      </c>
      <c r="BY3" s="194" t="str">
        <f>IF(BH3="","",BH3)</f>
        <v/>
      </c>
      <c r="BZ3" s="197" t="str">
        <f>IF(BI3="","",BI3)</f>
        <v/>
      </c>
      <c r="CA3" s="119" t="s">
        <v>8</v>
      </c>
      <c r="CB3" s="120"/>
      <c r="CC3" s="196" t="str">
        <f>IF(BL3="","",BL3)</f>
        <v/>
      </c>
      <c r="CD3" s="194" t="str">
        <f>IF(BM3="","",BM3)</f>
        <v/>
      </c>
      <c r="CE3" s="197" t="str">
        <f>IF(BN3="","",BN3)</f>
        <v/>
      </c>
      <c r="CF3" s="124" t="s">
        <v>9</v>
      </c>
      <c r="CG3" s="125"/>
      <c r="CH3" s="126" t="s">
        <v>10</v>
      </c>
      <c r="CI3" s="127"/>
      <c r="CJ3" s="193" t="str">
        <f>IF(BS3="","",BS3)</f>
        <v>CH1/1</v>
      </c>
      <c r="CK3" s="194" t="str">
        <f>IF(BT3="","",BT3)</f>
        <v/>
      </c>
      <c r="CL3" s="195" t="str">
        <f>IF(BU3="","",BU3)</f>
        <v/>
      </c>
      <c r="CM3" s="104" t="s">
        <v>7</v>
      </c>
      <c r="CN3" s="105"/>
      <c r="CO3" s="196" t="str">
        <f>IF(BX3="","",BX3)</f>
        <v/>
      </c>
      <c r="CP3" s="194" t="str">
        <f>IF(BY3="","",BY3)</f>
        <v/>
      </c>
      <c r="CQ3" s="197" t="str">
        <f>IF(BZ3="","",BZ3)</f>
        <v/>
      </c>
      <c r="CR3" s="119" t="s">
        <v>8</v>
      </c>
      <c r="CS3" s="120"/>
      <c r="CT3" s="196" t="str">
        <f>IF(CC3="","",CC3)</f>
        <v/>
      </c>
      <c r="CU3" s="194" t="str">
        <f>IF(CD3="","",CD3)</f>
        <v/>
      </c>
      <c r="CV3" s="197" t="str">
        <f>IF(CE3="","",CE3)</f>
        <v/>
      </c>
      <c r="CW3" s="124" t="s">
        <v>9</v>
      </c>
      <c r="CX3" s="125"/>
      <c r="CY3" s="126" t="s">
        <v>10</v>
      </c>
      <c r="CZ3" s="127"/>
      <c r="DA3" s="193" t="str">
        <f>IF(CJ3="","",CJ3)</f>
        <v>CH1/1</v>
      </c>
      <c r="DB3" s="194" t="str">
        <f>IF(CK3="","",CK3)</f>
        <v/>
      </c>
      <c r="DC3" s="195" t="str">
        <f>IF(CL3="","",CL3)</f>
        <v/>
      </c>
      <c r="DD3" s="104" t="s">
        <v>7</v>
      </c>
      <c r="DE3" s="105"/>
      <c r="DF3" s="196" t="str">
        <f>IF(CO3="","",CO3)</f>
        <v/>
      </c>
      <c r="DG3" s="194" t="str">
        <f>IF(CP3="","",CP3)</f>
        <v/>
      </c>
      <c r="DH3" s="197" t="str">
        <f>IF(CQ3="","",CQ3)</f>
        <v/>
      </c>
      <c r="DI3" s="119" t="s">
        <v>8</v>
      </c>
      <c r="DJ3" s="120"/>
      <c r="DK3" s="196" t="str">
        <f>IF(CT3="","",CT3)</f>
        <v/>
      </c>
      <c r="DL3" s="194" t="str">
        <f>IF(CU3="","",CU3)</f>
        <v/>
      </c>
      <c r="DM3" s="197" t="str">
        <f>IF(CV3="","",CV3)</f>
        <v/>
      </c>
      <c r="DN3" s="124" t="s">
        <v>9</v>
      </c>
      <c r="DO3" s="125"/>
      <c r="DP3" s="126" t="s">
        <v>10</v>
      </c>
      <c r="DQ3" s="127"/>
      <c r="DR3" s="193" t="str">
        <f>IF(DA3="","",DA3)</f>
        <v>CH1/1</v>
      </c>
      <c r="DS3" s="194" t="str">
        <f>IF(DB3="","",DB3)</f>
        <v/>
      </c>
      <c r="DT3" s="195" t="str">
        <f>IF(DC3="","",DC3)</f>
        <v/>
      </c>
      <c r="DU3" s="104" t="s">
        <v>7</v>
      </c>
      <c r="DV3" s="105"/>
      <c r="DW3" s="196" t="str">
        <f>IF(DF3="","",DF3)</f>
        <v/>
      </c>
      <c r="DX3" s="194" t="str">
        <f>IF(DG3="","",DG3)</f>
        <v/>
      </c>
      <c r="DY3" s="197" t="str">
        <f>IF(DH3="","",DH3)</f>
        <v/>
      </c>
      <c r="DZ3" s="119" t="s">
        <v>8</v>
      </c>
      <c r="EA3" s="120"/>
      <c r="EB3" s="196" t="str">
        <f>IF(DK3="","",DK3)</f>
        <v/>
      </c>
      <c r="EC3" s="194" t="str">
        <f>IF(DL3="","",DL3)</f>
        <v/>
      </c>
      <c r="ED3" s="197" t="str">
        <f>IF(DM3="","",DM3)</f>
        <v/>
      </c>
      <c r="EE3" s="124" t="s">
        <v>9</v>
      </c>
      <c r="EF3" s="125"/>
      <c r="EG3" s="126" t="s">
        <v>10</v>
      </c>
      <c r="EH3" s="127"/>
      <c r="EI3" s="193" t="str">
        <f>IF(DR3="","",DR3)</f>
        <v>CH1/1</v>
      </c>
      <c r="EJ3" s="194" t="str">
        <f>IF(DS3="","",DS3)</f>
        <v/>
      </c>
      <c r="EK3" s="195" t="str">
        <f>IF(DT3="","",DT3)</f>
        <v/>
      </c>
      <c r="EL3" s="104" t="s">
        <v>7</v>
      </c>
      <c r="EM3" s="105"/>
      <c r="EN3" s="196" t="str">
        <f>IF(DW3="","",DW3)</f>
        <v/>
      </c>
      <c r="EO3" s="194" t="str">
        <f>IF(DX3="","",DX3)</f>
        <v/>
      </c>
      <c r="EP3" s="197" t="str">
        <f>IF(DY3="","",DY3)</f>
        <v/>
      </c>
      <c r="EQ3" s="119" t="s">
        <v>8</v>
      </c>
      <c r="ER3" s="120"/>
      <c r="ES3" s="196" t="str">
        <f>IF(EB3="","",EB3)</f>
        <v/>
      </c>
      <c r="ET3" s="194" t="str">
        <f>IF(EC3="","",EC3)</f>
        <v/>
      </c>
      <c r="EU3" s="197" t="str">
        <f>IF(ED3="","",ED3)</f>
        <v/>
      </c>
      <c r="EV3" s="124" t="s">
        <v>9</v>
      </c>
      <c r="EW3" s="125"/>
      <c r="EX3" s="126" t="s">
        <v>10</v>
      </c>
      <c r="EY3" s="127"/>
      <c r="EZ3" s="193" t="str">
        <f>IF(EI3="","",EI3)</f>
        <v>CH1/1</v>
      </c>
      <c r="FA3" s="194" t="str">
        <f>IF(EJ3="","",EJ3)</f>
        <v/>
      </c>
      <c r="FB3" s="195" t="str">
        <f>IF(EK3="","",EK3)</f>
        <v/>
      </c>
      <c r="FC3" s="104" t="s">
        <v>7</v>
      </c>
      <c r="FD3" s="105"/>
      <c r="FE3" s="196" t="str">
        <f>IF(EN3="","",EN3)</f>
        <v/>
      </c>
      <c r="FF3" s="194" t="str">
        <f>IF(EO3="","",EO3)</f>
        <v/>
      </c>
      <c r="FG3" s="197" t="str">
        <f>IF(EP3="","",EP3)</f>
        <v/>
      </c>
      <c r="FH3" s="119" t="s">
        <v>8</v>
      </c>
      <c r="FI3" s="120"/>
      <c r="FJ3" s="196" t="str">
        <f>IF(ES3="","",ES3)</f>
        <v/>
      </c>
      <c r="FK3" s="194" t="str">
        <f>IF(ET3="","",ET3)</f>
        <v/>
      </c>
      <c r="FL3" s="197" t="str">
        <f>IF(EU3="","",EU3)</f>
        <v/>
      </c>
      <c r="FM3" s="124" t="s">
        <v>9</v>
      </c>
      <c r="FN3" s="125"/>
      <c r="FO3" s="126" t="s">
        <v>10</v>
      </c>
      <c r="FP3" s="127"/>
      <c r="FQ3" s="193" t="str">
        <f>IF(EZ3="","",EZ3)</f>
        <v>CH1/1</v>
      </c>
      <c r="FR3" s="194" t="str">
        <f>IF(FA3="","",FA3)</f>
        <v/>
      </c>
      <c r="FS3" s="195" t="str">
        <f>IF(FB3="","",FB3)</f>
        <v/>
      </c>
      <c r="FT3" s="104" t="s">
        <v>7</v>
      </c>
      <c r="FU3" s="105"/>
      <c r="FV3" s="196" t="str">
        <f>IF(FE3="","",FE3)</f>
        <v/>
      </c>
      <c r="FW3" s="194" t="str">
        <f>IF(FF3="","",FF3)</f>
        <v/>
      </c>
      <c r="FX3" s="197" t="str">
        <f>IF(FG3="","",FG3)</f>
        <v/>
      </c>
      <c r="FY3" s="119" t="s">
        <v>8</v>
      </c>
      <c r="FZ3" s="120"/>
      <c r="GA3" s="196" t="str">
        <f>IF(FJ3="","",FJ3)</f>
        <v/>
      </c>
      <c r="GB3" s="194" t="str">
        <f>IF(FK3="","",FK3)</f>
        <v/>
      </c>
      <c r="GC3" s="197" t="str">
        <f>IF(FL3="","",FL3)</f>
        <v/>
      </c>
      <c r="GD3" s="124" t="s">
        <v>9</v>
      </c>
      <c r="GE3" s="125"/>
      <c r="GF3" s="126" t="s">
        <v>10</v>
      </c>
      <c r="GG3" s="127"/>
      <c r="GH3" s="193" t="str">
        <f>IF(FQ3="","",FQ3)</f>
        <v>CH1/1</v>
      </c>
      <c r="GI3" s="194" t="str">
        <f>IF(FR3="","",FR3)</f>
        <v/>
      </c>
      <c r="GJ3" s="195" t="str">
        <f>IF(FS3="","",FS3)</f>
        <v/>
      </c>
      <c r="GK3" s="104" t="s">
        <v>7</v>
      </c>
      <c r="GL3" s="105"/>
      <c r="GM3" s="196" t="str">
        <f>IF(FV3="","",FV3)</f>
        <v/>
      </c>
      <c r="GN3" s="194" t="str">
        <f>IF(FW3="","",FW3)</f>
        <v/>
      </c>
      <c r="GO3" s="197" t="str">
        <f>IF(FX3="","",FX3)</f>
        <v/>
      </c>
      <c r="GP3" s="119" t="s">
        <v>8</v>
      </c>
      <c r="GQ3" s="120"/>
      <c r="GR3" s="196" t="str">
        <f>IF(GA3="","",GA3)</f>
        <v/>
      </c>
      <c r="GS3" s="194" t="str">
        <f>IF(GB3="","",GB3)</f>
        <v/>
      </c>
      <c r="GT3" s="197" t="str">
        <f>IF(GC3="","",GC3)</f>
        <v/>
      </c>
      <c r="GU3" s="124" t="s">
        <v>9</v>
      </c>
      <c r="GV3" s="125"/>
      <c r="GW3" s="126" t="s">
        <v>10</v>
      </c>
      <c r="GX3" s="127"/>
      <c r="GY3" s="193" t="str">
        <f>IF(GH3="","",GH3)</f>
        <v>CH1/1</v>
      </c>
      <c r="GZ3" s="194" t="str">
        <f>IF(GI3="","",GI3)</f>
        <v/>
      </c>
      <c r="HA3" s="195" t="str">
        <f>IF(GJ3="","",GJ3)</f>
        <v/>
      </c>
      <c r="HB3" s="104" t="s">
        <v>7</v>
      </c>
      <c r="HC3" s="105"/>
      <c r="HD3" s="196" t="str">
        <f>IF(GM3="","",GM3)</f>
        <v/>
      </c>
      <c r="HE3" s="194" t="str">
        <f>IF(GN3="","",GN3)</f>
        <v/>
      </c>
      <c r="HF3" s="197" t="str">
        <f>IF(GO3="","",GO3)</f>
        <v/>
      </c>
      <c r="HG3" s="119" t="s">
        <v>8</v>
      </c>
      <c r="HH3" s="120"/>
      <c r="HI3" s="196" t="str">
        <f>IF(GR3="","",GR3)</f>
        <v/>
      </c>
      <c r="HJ3" s="194" t="str">
        <f>IF(GS3="","",GS3)</f>
        <v/>
      </c>
      <c r="HK3" s="197" t="str">
        <f>IF(GT3="","",GT3)</f>
        <v/>
      </c>
      <c r="HL3" s="124" t="s">
        <v>9</v>
      </c>
      <c r="HM3" s="125"/>
      <c r="HN3" s="126" t="s">
        <v>10</v>
      </c>
      <c r="HO3" s="127"/>
      <c r="HP3" s="193" t="str">
        <f>IF(GY3="","",GY3)</f>
        <v>CH1/1</v>
      </c>
      <c r="HQ3" s="194" t="str">
        <f>IF(GZ3="","",GZ3)</f>
        <v/>
      </c>
      <c r="HR3" s="195" t="str">
        <f>IF(HA3="","",HA3)</f>
        <v/>
      </c>
      <c r="HS3" s="104" t="s">
        <v>7</v>
      </c>
      <c r="HT3" s="105"/>
      <c r="HU3" s="196" t="str">
        <f>IF(HD3="","",HD3)</f>
        <v/>
      </c>
      <c r="HV3" s="194" t="str">
        <f>IF(HE3="","",HE3)</f>
        <v/>
      </c>
      <c r="HW3" s="197" t="str">
        <f>IF(HF3="","",HF3)</f>
        <v/>
      </c>
      <c r="HX3" s="119" t="s">
        <v>8</v>
      </c>
      <c r="HY3" s="120"/>
      <c r="HZ3" s="196" t="str">
        <f>IF(HI3="","",HI3)</f>
        <v/>
      </c>
      <c r="IA3" s="194" t="str">
        <f>IF(HJ3="","",HJ3)</f>
        <v/>
      </c>
      <c r="IB3" s="197" t="str">
        <f>IF(HK3="","",HK3)</f>
        <v/>
      </c>
      <c r="IC3" s="124" t="s">
        <v>9</v>
      </c>
      <c r="ID3" s="125"/>
      <c r="IE3" s="126" t="s">
        <v>10</v>
      </c>
      <c r="IF3" s="127"/>
      <c r="IG3" s="193" t="str">
        <f>IF(HP3="","",HP3)</f>
        <v>CH1/1</v>
      </c>
      <c r="IH3" s="194" t="str">
        <f>IF(HQ3="","",HQ3)</f>
        <v/>
      </c>
      <c r="II3" s="195" t="str">
        <f>IF(HR3="","",HR3)</f>
        <v/>
      </c>
      <c r="IJ3" s="104" t="s">
        <v>7</v>
      </c>
      <c r="IK3" s="105"/>
      <c r="IL3" s="196" t="str">
        <f>IF(HU3="","",HU3)</f>
        <v/>
      </c>
      <c r="IM3" s="194" t="str">
        <f>IF(HV3="","",HV3)</f>
        <v/>
      </c>
      <c r="IN3" s="197" t="str">
        <f>IF(HW3="","",HW3)</f>
        <v/>
      </c>
      <c r="IO3" s="119" t="s">
        <v>8</v>
      </c>
      <c r="IP3" s="120"/>
      <c r="IQ3" s="196" t="str">
        <f>IF(HZ3="","",HZ3)</f>
        <v/>
      </c>
      <c r="IR3" s="194" t="str">
        <f>IF(IA3="","",IA3)</f>
        <v/>
      </c>
      <c r="IS3" s="197" t="str">
        <f>IF(IB3="","",IB3)</f>
        <v/>
      </c>
      <c r="IT3" s="124" t="s">
        <v>9</v>
      </c>
      <c r="IU3" s="125"/>
      <c r="IV3" s="126" t="s">
        <v>10</v>
      </c>
      <c r="IW3" s="127"/>
      <c r="IX3" s="193" t="str">
        <f>IF(IG3="","",IG3)</f>
        <v>CH1/1</v>
      </c>
      <c r="IY3" s="194" t="str">
        <f>IF(IH3="","",IH3)</f>
        <v/>
      </c>
      <c r="IZ3" s="195" t="str">
        <f>IF(II3="","",II3)</f>
        <v/>
      </c>
      <c r="JA3" s="104" t="s">
        <v>7</v>
      </c>
      <c r="JB3" s="105"/>
      <c r="JC3" s="196" t="str">
        <f>IF(IL3="","",IL3)</f>
        <v/>
      </c>
      <c r="JD3" s="194" t="str">
        <f>IF(IM3="","",IM3)</f>
        <v/>
      </c>
      <c r="JE3" s="197" t="str">
        <f>IF(IN3="","",IN3)</f>
        <v/>
      </c>
      <c r="JF3" s="119" t="s">
        <v>8</v>
      </c>
      <c r="JG3" s="120"/>
      <c r="JH3" s="196" t="str">
        <f>IF(IQ3="","",IQ3)</f>
        <v/>
      </c>
      <c r="JI3" s="194" t="str">
        <f>IF(IR3="","",IR3)</f>
        <v/>
      </c>
      <c r="JJ3" s="197" t="str">
        <f>IF(IS3="","",IS3)</f>
        <v/>
      </c>
      <c r="JK3" s="124" t="s">
        <v>9</v>
      </c>
      <c r="JL3" s="125"/>
      <c r="JM3" s="126" t="s">
        <v>10</v>
      </c>
      <c r="JN3" s="127"/>
      <c r="JO3" s="193" t="str">
        <f>IF(IX3="","",IX3)</f>
        <v>CH1/1</v>
      </c>
      <c r="JP3" s="194" t="str">
        <f>IF(IY3="","",IY3)</f>
        <v/>
      </c>
      <c r="JQ3" s="195" t="str">
        <f>IF(IZ3="","",IZ3)</f>
        <v/>
      </c>
      <c r="JR3" s="104" t="s">
        <v>7</v>
      </c>
      <c r="JS3" s="105"/>
      <c r="JT3" s="196" t="str">
        <f>IF(JC3="","",JC3)</f>
        <v/>
      </c>
      <c r="JU3" s="194" t="str">
        <f>IF(JD3="","",JD3)</f>
        <v/>
      </c>
      <c r="JV3" s="197" t="str">
        <f>IF(JE3="","",JE3)</f>
        <v/>
      </c>
      <c r="JW3" s="119" t="s">
        <v>8</v>
      </c>
      <c r="JX3" s="120"/>
      <c r="JY3" s="196" t="str">
        <f>IF(JH3="","",JH3)</f>
        <v/>
      </c>
      <c r="JZ3" s="194" t="str">
        <f>IF(JI3="","",JI3)</f>
        <v/>
      </c>
      <c r="KA3" s="197" t="str">
        <f>IF(JJ3="","",JJ3)</f>
        <v/>
      </c>
      <c r="KB3" s="124" t="s">
        <v>9</v>
      </c>
      <c r="KC3" s="125"/>
      <c r="KD3" s="126" t="s">
        <v>10</v>
      </c>
      <c r="KE3" s="127"/>
      <c r="KF3" s="193" t="str">
        <f>IF(JO3="","",JO3)</f>
        <v>CH1/1</v>
      </c>
      <c r="KG3" s="194" t="str">
        <f>IF(JP3="","",JP3)</f>
        <v/>
      </c>
      <c r="KH3" s="195" t="str">
        <f>IF(JQ3="","",JQ3)</f>
        <v/>
      </c>
      <c r="KI3" s="104" t="s">
        <v>7</v>
      </c>
      <c r="KJ3" s="105"/>
      <c r="KK3" s="196" t="str">
        <f>IF(JT3="","",JT3)</f>
        <v/>
      </c>
      <c r="KL3" s="194" t="str">
        <f>IF(JU3="","",JU3)</f>
        <v/>
      </c>
      <c r="KM3" s="197" t="str">
        <f>IF(JV3="","",JV3)</f>
        <v/>
      </c>
      <c r="KN3" s="119" t="s">
        <v>8</v>
      </c>
      <c r="KO3" s="120"/>
      <c r="KP3" s="196" t="str">
        <f>IF(JY3="","",JY3)</f>
        <v/>
      </c>
      <c r="KQ3" s="194" t="str">
        <f>IF(JZ3="","",JZ3)</f>
        <v/>
      </c>
      <c r="KR3" s="197" t="str">
        <f>IF(KA3="","",KA3)</f>
        <v/>
      </c>
      <c r="KS3" s="124" t="s">
        <v>9</v>
      </c>
      <c r="KT3" s="125"/>
      <c r="KU3" s="126" t="s">
        <v>10</v>
      </c>
      <c r="KV3" s="127"/>
      <c r="KW3" s="193" t="str">
        <f>IF(KF3="","",KF3)</f>
        <v>CH1/1</v>
      </c>
      <c r="KX3" s="194" t="str">
        <f>IF(KG3="","",KG3)</f>
        <v/>
      </c>
      <c r="KY3" s="195" t="str">
        <f>IF(KH3="","",KH3)</f>
        <v/>
      </c>
      <c r="KZ3" s="104" t="s">
        <v>7</v>
      </c>
      <c r="LA3" s="105"/>
      <c r="LB3" s="196" t="str">
        <f>IF(KK3="","",KK3)</f>
        <v/>
      </c>
      <c r="LC3" s="194" t="str">
        <f>IF(KL3="","",KL3)</f>
        <v/>
      </c>
      <c r="LD3" s="197" t="str">
        <f>IF(KM3="","",KM3)</f>
        <v/>
      </c>
      <c r="LE3" s="119" t="s">
        <v>8</v>
      </c>
      <c r="LF3" s="120"/>
      <c r="LG3" s="196" t="str">
        <f>IF(KP3="","",KP3)</f>
        <v/>
      </c>
      <c r="LH3" s="194" t="str">
        <f>IF(KQ3="","",KQ3)</f>
        <v/>
      </c>
      <c r="LI3" s="197" t="str">
        <f>IF(KR3="","",KR3)</f>
        <v/>
      </c>
      <c r="LJ3" s="124" t="s">
        <v>9</v>
      </c>
      <c r="LK3" s="125"/>
      <c r="LL3" s="126" t="s">
        <v>10</v>
      </c>
      <c r="LM3" s="127"/>
      <c r="LN3" s="193" t="str">
        <f>IF(KW3="","",KW3)</f>
        <v>CH1/1</v>
      </c>
      <c r="LO3" s="194" t="str">
        <f>IF(KX3="","",KX3)</f>
        <v/>
      </c>
      <c r="LP3" s="195" t="str">
        <f>IF(KY3="","",KY3)</f>
        <v/>
      </c>
      <c r="LQ3" s="104" t="s">
        <v>7</v>
      </c>
      <c r="LR3" s="105"/>
      <c r="LS3" s="196" t="str">
        <f>IF(LB3="","",LB3)</f>
        <v/>
      </c>
      <c r="LT3" s="194" t="str">
        <f>IF(LC3="","",LC3)</f>
        <v/>
      </c>
      <c r="LU3" s="197" t="str">
        <f>IF(LD3="","",LD3)</f>
        <v/>
      </c>
      <c r="LV3" s="119" t="s">
        <v>8</v>
      </c>
      <c r="LW3" s="120"/>
      <c r="LX3" s="196" t="str">
        <f>IF(LG3="","",LG3)</f>
        <v/>
      </c>
      <c r="LY3" s="194" t="str">
        <f>IF(LH3="","",LH3)</f>
        <v/>
      </c>
      <c r="LZ3" s="197" t="str">
        <f>IF(LI3="","",LI3)</f>
        <v/>
      </c>
      <c r="MA3" s="124" t="s">
        <v>9</v>
      </c>
      <c r="MB3" s="125"/>
      <c r="MC3" s="126" t="s">
        <v>10</v>
      </c>
      <c r="MD3" s="127"/>
      <c r="ME3" s="193" t="str">
        <f>IF(LN3="","",LN3)</f>
        <v>CH1/1</v>
      </c>
      <c r="MF3" s="194" t="str">
        <f>IF(LO3="","",LO3)</f>
        <v/>
      </c>
      <c r="MG3" s="195" t="str">
        <f>IF(LP3="","",LP3)</f>
        <v/>
      </c>
      <c r="MH3" s="104" t="s">
        <v>7</v>
      </c>
      <c r="MI3" s="105"/>
      <c r="MJ3" s="196" t="str">
        <f>IF(LS3="","",LS3)</f>
        <v/>
      </c>
      <c r="MK3" s="194" t="str">
        <f>IF(LT3="","",LT3)</f>
        <v/>
      </c>
      <c r="ML3" s="197" t="str">
        <f>IF(LU3="","",LU3)</f>
        <v/>
      </c>
      <c r="MM3" s="119" t="s">
        <v>8</v>
      </c>
      <c r="MN3" s="120"/>
      <c r="MO3" s="196" t="str">
        <f>IF(LX3="","",LX3)</f>
        <v/>
      </c>
      <c r="MP3" s="194" t="str">
        <f>IF(LY3="","",LY3)</f>
        <v/>
      </c>
      <c r="MQ3" s="197" t="str">
        <f>IF(LZ3="","",LZ3)</f>
        <v/>
      </c>
      <c r="MR3" s="124" t="s">
        <v>9</v>
      </c>
      <c r="MS3" s="125"/>
      <c r="MT3" s="126" t="s">
        <v>10</v>
      </c>
      <c r="MU3" s="127"/>
      <c r="MV3" s="193" t="str">
        <f>IF(ME3="","",ME3)</f>
        <v>CH1/1</v>
      </c>
      <c r="MW3" s="194" t="str">
        <f>IF(MF3="","",MF3)</f>
        <v/>
      </c>
      <c r="MX3" s="195" t="str">
        <f>IF(MG3="","",MG3)</f>
        <v/>
      </c>
      <c r="MY3" s="104" t="s">
        <v>7</v>
      </c>
      <c r="MZ3" s="105"/>
      <c r="NA3" s="196" t="str">
        <f>IF(MJ3="","",MJ3)</f>
        <v/>
      </c>
      <c r="NB3" s="194" t="str">
        <f>IF(MK3="","",MK3)</f>
        <v/>
      </c>
      <c r="NC3" s="197" t="str">
        <f>IF(ML3="","",ML3)</f>
        <v/>
      </c>
      <c r="ND3" s="119" t="s">
        <v>8</v>
      </c>
      <c r="NE3" s="120"/>
      <c r="NF3" s="196" t="str">
        <f>IF(MO3="","",MO3)</f>
        <v/>
      </c>
      <c r="NG3" s="194" t="str">
        <f>IF(MP3="","",MP3)</f>
        <v/>
      </c>
      <c r="NH3" s="197" t="str">
        <f>IF(MQ3="","",MQ3)</f>
        <v/>
      </c>
      <c r="NI3" s="124" t="s">
        <v>9</v>
      </c>
      <c r="NJ3" s="125"/>
      <c r="NK3" s="126" t="s">
        <v>10</v>
      </c>
      <c r="NL3" s="127"/>
      <c r="NM3" s="193" t="str">
        <f>IF(MV3="","",MV3)</f>
        <v>CH1/1</v>
      </c>
      <c r="NN3" s="194" t="str">
        <f>IF(MW3="","",MW3)</f>
        <v/>
      </c>
      <c r="NO3" s="195" t="str">
        <f>IF(MX3="","",MX3)</f>
        <v/>
      </c>
      <c r="NP3" s="104" t="s">
        <v>7</v>
      </c>
      <c r="NQ3" s="105"/>
      <c r="NR3" s="196" t="str">
        <f>IF(NA3="","",NA3)</f>
        <v/>
      </c>
      <c r="NS3" s="194" t="str">
        <f>IF(NB3="","",NB3)</f>
        <v/>
      </c>
      <c r="NT3" s="197" t="str">
        <f>IF(NC3="","",NC3)</f>
        <v/>
      </c>
      <c r="NU3" s="119" t="s">
        <v>8</v>
      </c>
      <c r="NV3" s="120"/>
      <c r="NW3" s="196" t="str">
        <f>IF(NF3="","",NF3)</f>
        <v/>
      </c>
      <c r="NX3" s="194" t="str">
        <f>IF(NG3="","",NG3)</f>
        <v/>
      </c>
      <c r="NY3" s="197" t="str">
        <f>IF(NH3="","",NH3)</f>
        <v/>
      </c>
      <c r="NZ3" s="124" t="s">
        <v>9</v>
      </c>
      <c r="OA3" s="125"/>
      <c r="OB3" s="126" t="s">
        <v>10</v>
      </c>
      <c r="OC3" s="127"/>
      <c r="OD3" s="193" t="str">
        <f>IF(NM3="","",NM3)</f>
        <v>CH1/1</v>
      </c>
      <c r="OE3" s="194" t="str">
        <f>IF(NN3="","",NN3)</f>
        <v/>
      </c>
      <c r="OF3" s="195" t="str">
        <f>IF(NO3="","",NO3)</f>
        <v/>
      </c>
      <c r="OG3" s="104" t="s">
        <v>7</v>
      </c>
      <c r="OH3" s="105"/>
      <c r="OI3" s="196" t="str">
        <f>IF(NR3="","",NR3)</f>
        <v/>
      </c>
      <c r="OJ3" s="194" t="str">
        <f>IF(NS3="","",NS3)</f>
        <v/>
      </c>
      <c r="OK3" s="197" t="str">
        <f>IF(NT3="","",NT3)</f>
        <v/>
      </c>
      <c r="OL3" s="119" t="s">
        <v>8</v>
      </c>
      <c r="OM3" s="120"/>
      <c r="ON3" s="196" t="str">
        <f>IF(NW3="","",NW3)</f>
        <v/>
      </c>
      <c r="OO3" s="194" t="str">
        <f>IF(NX3="","",NX3)</f>
        <v/>
      </c>
      <c r="OP3" s="197" t="str">
        <f>IF(NY3="","",NY3)</f>
        <v/>
      </c>
      <c r="OQ3" s="124" t="s">
        <v>9</v>
      </c>
      <c r="OR3" s="125"/>
      <c r="OS3" s="126" t="s">
        <v>10</v>
      </c>
      <c r="OT3" s="127"/>
      <c r="OU3" s="193" t="str">
        <f>IF(OD3="","",OD3)</f>
        <v>CH1/1</v>
      </c>
      <c r="OV3" s="194" t="str">
        <f>IF(OE3="","",OE3)</f>
        <v/>
      </c>
      <c r="OW3" s="195" t="str">
        <f>IF(OF3="","",OF3)</f>
        <v/>
      </c>
      <c r="OX3" s="104" t="s">
        <v>7</v>
      </c>
      <c r="OY3" s="105"/>
      <c r="OZ3" s="196" t="str">
        <f>IF(OI3="","",OI3)</f>
        <v/>
      </c>
      <c r="PA3" s="194" t="str">
        <f>IF(OJ3="","",OJ3)</f>
        <v/>
      </c>
      <c r="PB3" s="197" t="str">
        <f>IF(OK3="","",OK3)</f>
        <v/>
      </c>
      <c r="PC3" s="119" t="s">
        <v>8</v>
      </c>
      <c r="PD3" s="120"/>
      <c r="PE3" s="196" t="str">
        <f>IF(ON3="","",ON3)</f>
        <v/>
      </c>
      <c r="PF3" s="194" t="str">
        <f>IF(OO3="","",OO3)</f>
        <v/>
      </c>
      <c r="PG3" s="197" t="str">
        <f>IF(OP3="","",OP3)</f>
        <v/>
      </c>
      <c r="PH3" s="124" t="s">
        <v>9</v>
      </c>
      <c r="PI3" s="125"/>
      <c r="PJ3" s="126" t="s">
        <v>10</v>
      </c>
      <c r="PK3" s="127"/>
      <c r="PL3" s="193" t="str">
        <f>IF(OU3="","",OU3)</f>
        <v>CH1/1</v>
      </c>
      <c r="PM3" s="194" t="str">
        <f>IF(OV3="","",OV3)</f>
        <v/>
      </c>
      <c r="PN3" s="195" t="str">
        <f>IF(OW3="","",OW3)</f>
        <v/>
      </c>
      <c r="PO3" s="104" t="s">
        <v>7</v>
      </c>
      <c r="PP3" s="105"/>
      <c r="PQ3" s="196" t="str">
        <f>IF(OZ3="","",OZ3)</f>
        <v/>
      </c>
      <c r="PR3" s="194" t="str">
        <f>IF(PA3="","",PA3)</f>
        <v/>
      </c>
      <c r="PS3" s="197" t="str">
        <f>IF(PB3="","",PB3)</f>
        <v/>
      </c>
      <c r="PT3" s="119" t="s">
        <v>8</v>
      </c>
      <c r="PU3" s="120"/>
      <c r="PV3" s="196" t="str">
        <f>IF(PE3="","",PE3)</f>
        <v/>
      </c>
      <c r="PW3" s="194" t="str">
        <f>IF(PF3="","",PF3)</f>
        <v/>
      </c>
      <c r="PX3" s="197" t="str">
        <f>IF(PG3="","",PG3)</f>
        <v/>
      </c>
      <c r="PY3" s="124" t="s">
        <v>9</v>
      </c>
      <c r="PZ3" s="125"/>
      <c r="QA3" s="126" t="s">
        <v>10</v>
      </c>
      <c r="QB3" s="127"/>
      <c r="QC3" s="193" t="str">
        <f>IF(PL3="","",PL3)</f>
        <v>CH1/1</v>
      </c>
      <c r="QD3" s="194" t="str">
        <f>IF(PM3="","",PM3)</f>
        <v/>
      </c>
      <c r="QE3" s="195" t="str">
        <f>IF(PN3="","",PN3)</f>
        <v/>
      </c>
      <c r="QF3" s="104" t="s">
        <v>7</v>
      </c>
      <c r="QG3" s="105"/>
      <c r="QH3" s="196" t="str">
        <f>IF(PQ3="","",PQ3)</f>
        <v/>
      </c>
      <c r="QI3" s="194" t="str">
        <f>IF(PR3="","",PR3)</f>
        <v/>
      </c>
      <c r="QJ3" s="197" t="str">
        <f>IF(PS3="","",PS3)</f>
        <v/>
      </c>
      <c r="QK3" s="119" t="s">
        <v>8</v>
      </c>
      <c r="QL3" s="120"/>
      <c r="QM3" s="196" t="str">
        <f>IF(PV3="","",PV3)</f>
        <v/>
      </c>
      <c r="QN3" s="194" t="str">
        <f>IF(PW3="","",PW3)</f>
        <v/>
      </c>
      <c r="QO3" s="197" t="str">
        <f>IF(PX3="","",PX3)</f>
        <v/>
      </c>
      <c r="QP3" s="124" t="s">
        <v>9</v>
      </c>
      <c r="QQ3" s="125"/>
      <c r="QR3" s="126" t="s">
        <v>10</v>
      </c>
      <c r="QS3" s="127"/>
      <c r="QT3" s="193" t="str">
        <f>IF(QC3="","",QC3)</f>
        <v>CH1/1</v>
      </c>
      <c r="QU3" s="194" t="str">
        <f>IF(QD3="","",QD3)</f>
        <v/>
      </c>
      <c r="QV3" s="195" t="str">
        <f>IF(QE3="","",QE3)</f>
        <v/>
      </c>
      <c r="QW3" s="104" t="s">
        <v>7</v>
      </c>
      <c r="QX3" s="105"/>
      <c r="QY3" s="196" t="str">
        <f>IF(QH3="","",QH3)</f>
        <v/>
      </c>
      <c r="QZ3" s="194" t="str">
        <f>IF(QI3="","",QI3)</f>
        <v/>
      </c>
      <c r="RA3" s="197" t="str">
        <f>IF(QJ3="","",QJ3)</f>
        <v/>
      </c>
      <c r="RB3" s="119" t="s">
        <v>8</v>
      </c>
      <c r="RC3" s="120"/>
      <c r="RD3" s="196" t="str">
        <f>IF(QM3="","",QM3)</f>
        <v/>
      </c>
      <c r="RE3" s="194" t="str">
        <f>IF(QN3="","",QN3)</f>
        <v/>
      </c>
      <c r="RF3" s="197" t="str">
        <f>IF(QO3="","",QO3)</f>
        <v/>
      </c>
      <c r="RG3" s="124" t="s">
        <v>9</v>
      </c>
      <c r="RH3" s="125"/>
      <c r="RI3" s="126" t="s">
        <v>10</v>
      </c>
      <c r="RJ3" s="127"/>
      <c r="RK3" s="193" t="str">
        <f>IF(QT3="","",QT3)</f>
        <v>CH1/1</v>
      </c>
      <c r="RL3" s="194" t="str">
        <f>IF(QU3="","",QU3)</f>
        <v/>
      </c>
      <c r="RM3" s="195" t="str">
        <f>IF(QV3="","",QV3)</f>
        <v/>
      </c>
      <c r="RN3" s="104" t="s">
        <v>7</v>
      </c>
      <c r="RO3" s="105"/>
      <c r="RP3" s="196" t="str">
        <f>IF(QY3="","",QY3)</f>
        <v/>
      </c>
      <c r="RQ3" s="194" t="str">
        <f>IF(QZ3="","",QZ3)</f>
        <v/>
      </c>
      <c r="RR3" s="197" t="str">
        <f>IF(RA3="","",RA3)</f>
        <v/>
      </c>
      <c r="RS3" s="119" t="s">
        <v>8</v>
      </c>
      <c r="RT3" s="120"/>
      <c r="RU3" s="196" t="str">
        <f>IF(RD3="","",RD3)</f>
        <v/>
      </c>
      <c r="RV3" s="194" t="str">
        <f>IF(RE3="","",RE3)</f>
        <v/>
      </c>
      <c r="RW3" s="197" t="str">
        <f>IF(RF3="","",RF3)</f>
        <v/>
      </c>
      <c r="RX3" s="124" t="s">
        <v>9</v>
      </c>
      <c r="RY3" s="125"/>
      <c r="RZ3" s="126" t="s">
        <v>10</v>
      </c>
      <c r="SA3" s="127"/>
      <c r="SB3" s="193" t="str">
        <f>IF(RK3="","",RK3)</f>
        <v>CH1/1</v>
      </c>
      <c r="SC3" s="194" t="str">
        <f>IF(RL3="","",RL3)</f>
        <v/>
      </c>
      <c r="SD3" s="195" t="str">
        <f>IF(RM3="","",RM3)</f>
        <v/>
      </c>
      <c r="SE3" s="104" t="s">
        <v>7</v>
      </c>
      <c r="SF3" s="105"/>
      <c r="SG3" s="196" t="str">
        <f>IF(RP3="","",RP3)</f>
        <v/>
      </c>
      <c r="SH3" s="194" t="str">
        <f>IF(RQ3="","",RQ3)</f>
        <v/>
      </c>
      <c r="SI3" s="197" t="str">
        <f>IF(RR3="","",RR3)</f>
        <v/>
      </c>
      <c r="SJ3" s="119" t="s">
        <v>8</v>
      </c>
      <c r="SK3" s="120"/>
      <c r="SL3" s="196" t="str">
        <f>IF(RU3="","",RU3)</f>
        <v/>
      </c>
      <c r="SM3" s="194" t="str">
        <f>IF(RV3="","",RV3)</f>
        <v/>
      </c>
      <c r="SN3" s="197" t="str">
        <f>IF(RW3="","",RW3)</f>
        <v/>
      </c>
      <c r="SO3" s="124" t="s">
        <v>9</v>
      </c>
      <c r="SP3" s="125"/>
      <c r="SQ3" s="126" t="s">
        <v>10</v>
      </c>
      <c r="SR3" s="127"/>
    </row>
    <row r="4" spans="1:512" s="198" customFormat="1" ht="30" customHeight="1" thickBot="1" x14ac:dyDescent="0.3">
      <c r="A4" s="95" t="s">
        <v>11</v>
      </c>
      <c r="B4" s="76">
        <v>2</v>
      </c>
      <c r="C4" s="152"/>
      <c r="D4" s="185"/>
      <c r="E4" s="185"/>
      <c r="F4" s="106" t="str">
        <f>IFERROR((((COUNTIF('Elève (6ème4)'!C5:E6,"A"))*4)+((COUNTIF('Elève (6ème4)'!C5:E6,"B"))*3)+((COUNTIF('Elève (6ème4)'!C5:E6,"C"))*2)+((COUNTIF('Elève (6ème4)'!C5:E6,"D"))*1))/(COUNTA(C5:E6)),"")</f>
        <v/>
      </c>
      <c r="G4" s="107" t="str">
        <f t="shared" ref="G4:G19" si="0">IF(F4="","",IF(F4&gt;3.7,"A",IF(F4&gt;2.8,"B",IF(F4&gt;1.5,"C",IF(F4&gt;0,"D",IF(F4=0,""))))))</f>
        <v/>
      </c>
      <c r="H4" s="204"/>
      <c r="I4" s="186"/>
      <c r="J4" s="205"/>
      <c r="K4" s="106" t="str">
        <f>IFERROR((((COUNTIF('Elève (6ème4)'!H5:J6,"A"))*4)+((COUNTIF('Elève (6ème4)'!H5:J6,"B"))*3)+((COUNTIF('Elève (6ème4)'!H5:J6,"C"))*2)+((COUNTIF('Elève (6ème4)'!H5:J6,"D"))*1))/(COUNTA(H5:J6)),"")</f>
        <v/>
      </c>
      <c r="L4" s="121" t="str">
        <f t="shared" ref="L4:L19" si="1">IF(K4="","",IF(K4&gt;3.7,"A",IF(K4&gt;2.8,"B",IF(K4&gt;1.5,"C",IF(K4&gt;0,"D",IF(K4=0,""))))))</f>
        <v/>
      </c>
      <c r="M4" s="100"/>
      <c r="N4" s="187"/>
      <c r="O4" s="188"/>
      <c r="P4" s="106" t="str">
        <f>IFERROR((((COUNTIF('Elève (6ème4)'!M5:O6,"A"))*4)+((COUNTIF('Elève (6ème4)'!M5:O6,"B"))*3)+((COUNTIF('Elève (6ème4)'!M5:O6,"C"))*2)+((COUNTIF('Elève (6ème4)'!M5:O6,"D"))*1))/(COUNTA(M5:O6)),"")</f>
        <v/>
      </c>
      <c r="Q4" s="128" t="str">
        <f t="shared" ref="Q4:Q19" si="2">IF(P4="","",IF(P4&gt;3.7,"A",IF(P4&gt;2.8,"B",IF(P4&gt;1.5,"C",IF(P4&gt;0,"D",IF(P4=0,""))))))</f>
        <v/>
      </c>
      <c r="R4" s="177" t="str">
        <f>IFERROR((((COUNTIF(C5:E6,"A")+COUNTIF(H5:J6,"A")+COUNTIF(M5:O6,"A"))*4)+((COUNTIF(C5:E6,"B")+COUNTIF(H5:J6,"B")+COUNTIF(M5:O6,"B"))*3)+((COUNTIF(C5:E6,"C")+COUNTIF(H5:J6,"C")+COUNTIF(M5:O6,"C"))*2)+((COUNTIF(C5:E6,"D")+COUNTIF(H5:J6,"D")+COUNTIF(M5:O6,"D"))*1))/(COUNTA(C5:E6)+COUNTA(H5:J6)+COUNTA(M5:O6)),"")</f>
        <v/>
      </c>
      <c r="S4" s="130" t="str">
        <f t="shared" ref="S4:S19" si="3">IF(R4="","",IF(R4&gt;3.7,"A",IF(R4&gt;2.8,"B",IF(R4&gt;1.5,"C",IF(R4&gt;0,"D",IF(R4=0,""))))))</f>
        <v/>
      </c>
      <c r="T4" s="152"/>
      <c r="U4" s="185"/>
      <c r="V4" s="185"/>
      <c r="W4" s="106" t="str">
        <f>IFERROR((((COUNTIF('Elève (6ème4)'!T5:V6,"A"))*4)+((COUNTIF('Elève (6ème4)'!T5:V6,"B"))*3)+((COUNTIF('Elève (6ème4)'!T5:V6,"C"))*2)+((COUNTIF('Elève (6ème4)'!T5:V6,"D"))*1))/(COUNTA(T5:V6)),"")</f>
        <v/>
      </c>
      <c r="X4" s="107" t="str">
        <f t="shared" ref="X4:X19" si="4">IF(W4="","",IF(W4&gt;3.7,"A",IF(W4&gt;2.8,"B",IF(W4&gt;1.5,"C",IF(W4&gt;0,"D",IF(W4=0,""))))))</f>
        <v/>
      </c>
      <c r="Y4" s="204"/>
      <c r="Z4" s="186"/>
      <c r="AA4" s="205"/>
      <c r="AB4" s="106" t="str">
        <f>IFERROR((((COUNTIF('Elève (6ème4)'!Y5:AA6,"A"))*4)+((COUNTIF('Elève (6ème4)'!Y5:AA6,"B"))*3)+((COUNTIF('Elève (6ème4)'!Y5:AA6,"C"))*2)+((COUNTIF('Elève (6ème4)'!Y5:AA6,"D"))*1))/(COUNTA(Y5:AA6)),"")</f>
        <v/>
      </c>
      <c r="AC4" s="121" t="str">
        <f t="shared" ref="AC4:AC19" si="5">IF(AB4="","",IF(AB4&gt;3.7,"A",IF(AB4&gt;2.8,"B",IF(AB4&gt;1.5,"C",IF(AB4&gt;0,"D",IF(AB4=0,""))))))</f>
        <v/>
      </c>
      <c r="AD4" s="100"/>
      <c r="AE4" s="187"/>
      <c r="AF4" s="188"/>
      <c r="AG4" s="106" t="str">
        <f>IFERROR((((COUNTIF('Elève (6ème4)'!AD5:AF6,"A"))*4)+((COUNTIF('Elève (6ème4)'!AD5:AF6,"B"))*3)+((COUNTIF('Elève (6ème4)'!AD5:AF6,"C"))*2)+((COUNTIF('Elève (6ème4)'!AD5:AF6,"D"))*1))/(COUNTA(AD5:AF6)),"")</f>
        <v/>
      </c>
      <c r="AH4" s="128" t="str">
        <f t="shared" ref="AH4:AH19" si="6">IF(AG4="","",IF(AG4&gt;3.7,"A",IF(AG4&gt;2.8,"B",IF(AG4&gt;1.5,"C",IF(AG4&gt;0,"D",IF(AG4=0,""))))))</f>
        <v/>
      </c>
      <c r="AI4" s="177" t="str">
        <f>IFERROR((((COUNTIF(T5:V6,"A")+COUNTIF(Y5:AA6,"A")+COUNTIF(AD5:AF6,"A"))*4)+((COUNTIF(T5:V6,"B")+COUNTIF(Y5:AA6,"B")+COUNTIF(AD5:AF6,"B"))*3)+((COUNTIF(T5:V6,"C")+COUNTIF(Y5:AA6,"C")+COUNTIF(AD5:AF6,"C"))*2)+((COUNTIF(T5:V6,"D")+COUNTIF(Y5:AA6,"D")+COUNTIF(AD5:AF6,"D"))*1))/(COUNTA(T5:V6)+COUNTA(Y5:AA6)+COUNTA(AD5:AF6)),"")</f>
        <v/>
      </c>
      <c r="AJ4" s="130" t="str">
        <f t="shared" ref="AJ4:AJ19" si="7">IF(AI4="","",IF(AI4&gt;3.7,"A",IF(AI4&gt;2.8,"B",IF(AI4&gt;1.5,"C",IF(AI4&gt;0,"D",IF(AI4=0,""))))))</f>
        <v/>
      </c>
      <c r="AK4" s="152"/>
      <c r="AL4" s="185"/>
      <c r="AM4" s="185"/>
      <c r="AN4" s="106" t="str">
        <f>IFERROR((((COUNTIF('Elève (6ème4)'!AK5:AM6,"A"))*4)+((COUNTIF('Elève (6ème4)'!AK5:AM6,"B"))*3)+((COUNTIF('Elève (6ème4)'!AK5:AM6,"C"))*2)+((COUNTIF('Elève (6ème4)'!AK5:AM6,"D"))*1))/(COUNTA(AK5:AM6)),"")</f>
        <v/>
      </c>
      <c r="AO4" s="107" t="str">
        <f t="shared" ref="AO4:AO19" si="8">IF(AN4="","",IF(AN4&gt;3.7,"A",IF(AN4&gt;2.8,"B",IF(AN4&gt;1.5,"C",IF(AN4&gt;0,"D",IF(AN4=0,""))))))</f>
        <v/>
      </c>
      <c r="AP4" s="204"/>
      <c r="AQ4" s="186"/>
      <c r="AR4" s="205"/>
      <c r="AS4" s="106" t="str">
        <f>IFERROR((((COUNTIF('Elève (6ème4)'!AP5:AR6,"A"))*4)+((COUNTIF('Elève (6ème4)'!AP5:AR6,"B"))*3)+((COUNTIF('Elève (6ème4)'!AP5:AR6,"C"))*2)+((COUNTIF('Elève (6ème4)'!AP5:AR6,"D"))*1))/(COUNTA(AP5:AR6)),"")</f>
        <v/>
      </c>
      <c r="AT4" s="121" t="str">
        <f t="shared" ref="AT4:AT19" si="9">IF(AS4="","",IF(AS4&gt;3.7,"A",IF(AS4&gt;2.8,"B",IF(AS4&gt;1.5,"C",IF(AS4&gt;0,"D",IF(AS4=0,""))))))</f>
        <v/>
      </c>
      <c r="AU4" s="100"/>
      <c r="AV4" s="187"/>
      <c r="AW4" s="188"/>
      <c r="AX4" s="106" t="str">
        <f>IFERROR((((COUNTIF('Elève (6ème4)'!AU5:AW6,"A"))*4)+((COUNTIF('Elève (6ème4)'!AU5:AW6,"B"))*3)+((COUNTIF('Elève (6ème4)'!AU5:AW6,"C"))*2)+((COUNTIF('Elève (6ème4)'!AU5:AW6,"D"))*1))/(COUNTA(AU5:AW6)),"")</f>
        <v/>
      </c>
      <c r="AY4" s="128" t="str">
        <f t="shared" ref="AY4:AY19" si="10">IF(AX4="","",IF(AX4&gt;3.7,"A",IF(AX4&gt;2.8,"B",IF(AX4&gt;1.5,"C",IF(AX4&gt;0,"D",IF(AX4=0,""))))))</f>
        <v/>
      </c>
      <c r="AZ4" s="177" t="str">
        <f>IFERROR((((COUNTIF(AK5:AM6,"A")+COUNTIF(AP5:AR6,"A")+COUNTIF(AU5:AW6,"A"))*4)+((COUNTIF(AK5:AM6,"B")+COUNTIF(AP5:AR6,"B")+COUNTIF(AU5:AW6,"B"))*3)+((COUNTIF(AK5:AM6,"C")+COUNTIF(AP5:AR6,"C")+COUNTIF(AU5:AW6,"C"))*2)+((COUNTIF(AK5:AM6,"D")+COUNTIF(AP5:AR6,"D")+COUNTIF(AU5:AW6,"D"))*1))/(COUNTA(AK5:AM6)+COUNTA(AP5:AR6)+COUNTA(AU5:AW6)),"")</f>
        <v/>
      </c>
      <c r="BA4" s="130" t="str">
        <f t="shared" ref="BA4:BA19" si="11">IF(AZ4="","",IF(AZ4&gt;3.7,"A",IF(AZ4&gt;2.8,"B",IF(AZ4&gt;1.5,"C",IF(AZ4&gt;0,"D",IF(AZ4=0,""))))))</f>
        <v/>
      </c>
      <c r="BB4" s="152"/>
      <c r="BC4" s="185"/>
      <c r="BD4" s="185"/>
      <c r="BE4" s="106" t="str">
        <f>IFERROR((((COUNTIF('Elève (6ème4)'!BB5:BD6,"A"))*4)+((COUNTIF('Elève (6ème4)'!BB5:BD6,"B"))*3)+((COUNTIF('Elève (6ème4)'!BB5:BD6,"C"))*2)+((COUNTIF('Elève (6ème4)'!BB5:BD6,"D"))*1))/(COUNTA(BB5:BD6)),"")</f>
        <v/>
      </c>
      <c r="BF4" s="107" t="str">
        <f t="shared" ref="BF4:BF19" si="12">IF(BE4="","",IF(BE4&gt;3.7,"A",IF(BE4&gt;2.8,"B",IF(BE4&gt;1.5,"C",IF(BE4&gt;0,"D",IF(BE4=0,""))))))</f>
        <v/>
      </c>
      <c r="BG4" s="204"/>
      <c r="BH4" s="186"/>
      <c r="BI4" s="205"/>
      <c r="BJ4" s="106" t="str">
        <f>IFERROR((((COUNTIF('Elève (6ème4)'!BG5:BI6,"A"))*4)+((COUNTIF('Elève (6ème4)'!BG5:BI6,"B"))*3)+((COUNTIF('Elève (6ème4)'!BG5:BI6,"C"))*2)+((COUNTIF('Elève (6ème4)'!BG5:BI6,"D"))*1))/(COUNTA(BG5:BI6)),"")</f>
        <v/>
      </c>
      <c r="BK4" s="121" t="str">
        <f t="shared" ref="BK4:BK19" si="13">IF(BJ4="","",IF(BJ4&gt;3.7,"A",IF(BJ4&gt;2.8,"B",IF(BJ4&gt;1.5,"C",IF(BJ4&gt;0,"D",IF(BJ4=0,""))))))</f>
        <v/>
      </c>
      <c r="BL4" s="100"/>
      <c r="BM4" s="187"/>
      <c r="BN4" s="188"/>
      <c r="BO4" s="106" t="str">
        <f>IFERROR((((COUNTIF('Elève (6ème4)'!BL5:BN6,"A"))*4)+((COUNTIF('Elève (6ème4)'!BL5:BN6,"B"))*3)+((COUNTIF('Elève (6ème4)'!BL5:BN6,"C"))*2)+((COUNTIF('Elève (6ème4)'!BL5:BN6,"D"))*1))/(COUNTA(BL5:BN6)),"")</f>
        <v/>
      </c>
      <c r="BP4" s="128" t="str">
        <f t="shared" ref="BP4:BP19" si="14">IF(BO4="","",IF(BO4&gt;3.7,"A",IF(BO4&gt;2.8,"B",IF(BO4&gt;1.5,"C",IF(BO4&gt;0,"D",IF(BO4=0,""))))))</f>
        <v/>
      </c>
      <c r="BQ4" s="177" t="str">
        <f>IFERROR((((COUNTIF(BB5:BD6,"A")+COUNTIF(BG5:BI6,"A")+COUNTIF(BL5:BN6,"A"))*4)+((COUNTIF(BB5:BD6,"B")+COUNTIF(BG5:BI6,"B")+COUNTIF(BL5:BN6,"B"))*3)+((COUNTIF(BB5:BD6,"C")+COUNTIF(BG5:BI6,"C")+COUNTIF(BL5:BN6,"C"))*2)+((COUNTIF(BB5:BD6,"D")+COUNTIF(BG5:BI6,"D")+COUNTIF(BL5:BN6,"D"))*1))/(COUNTA(BB5:BD6)+COUNTA(BG5:BI6)+COUNTA(BL5:BN6)),"")</f>
        <v/>
      </c>
      <c r="BR4" s="130" t="str">
        <f t="shared" ref="BR4:BR19" si="15">IF(BQ4="","",IF(BQ4&gt;3.7,"A",IF(BQ4&gt;2.8,"B",IF(BQ4&gt;1.5,"C",IF(BQ4&gt;0,"D",IF(BQ4=0,""))))))</f>
        <v/>
      </c>
      <c r="BS4" s="152"/>
      <c r="BT4" s="185"/>
      <c r="BU4" s="185"/>
      <c r="BV4" s="106" t="str">
        <f>IFERROR((((COUNTIF('Elève (6ème4)'!BS5:BU6,"A"))*4)+((COUNTIF('Elève (6ème4)'!BS5:BU6,"B"))*3)+((COUNTIF('Elève (6ème4)'!BS5:BU6,"C"))*2)+((COUNTIF('Elève (6ème4)'!BS5:BU6,"D"))*1))/(COUNTA(BS5:BU6)),"")</f>
        <v/>
      </c>
      <c r="BW4" s="107" t="str">
        <f t="shared" ref="BW4:BW19" si="16">IF(BV4="","",IF(BV4&gt;3.7,"A",IF(BV4&gt;2.8,"B",IF(BV4&gt;1.5,"C",IF(BV4&gt;0,"D",IF(BV4=0,""))))))</f>
        <v/>
      </c>
      <c r="BX4" s="204"/>
      <c r="BY4" s="186"/>
      <c r="BZ4" s="205"/>
      <c r="CA4" s="106" t="str">
        <f>IFERROR((((COUNTIF('Elève (6ème4)'!BX5:BZ6,"A"))*4)+((COUNTIF('Elève (6ème4)'!BX5:BZ6,"B"))*3)+((COUNTIF('Elève (6ème4)'!BX5:BZ6,"C"))*2)+((COUNTIF('Elève (6ème4)'!BX5:BZ6,"D"))*1))/(COUNTA(BX5:BZ6)),"")</f>
        <v/>
      </c>
      <c r="CB4" s="121" t="str">
        <f t="shared" ref="CB4:CB19" si="17">IF(CA4="","",IF(CA4&gt;3.7,"A",IF(CA4&gt;2.8,"B",IF(CA4&gt;1.5,"C",IF(CA4&gt;0,"D",IF(CA4=0,""))))))</f>
        <v/>
      </c>
      <c r="CC4" s="100"/>
      <c r="CD4" s="187"/>
      <c r="CE4" s="188"/>
      <c r="CF4" s="106" t="str">
        <f>IFERROR((((COUNTIF('Elève (6ème4)'!CC5:CE6,"A"))*4)+((COUNTIF('Elève (6ème4)'!CC5:CE6,"B"))*3)+((COUNTIF('Elève (6ème4)'!CC5:CE6,"C"))*2)+((COUNTIF('Elève (6ème4)'!CC5:CE6,"D"))*1))/(COUNTA(CC5:CE6)),"")</f>
        <v/>
      </c>
      <c r="CG4" s="128" t="str">
        <f t="shared" ref="CG4:CG19" si="18">IF(CF4="","",IF(CF4&gt;3.7,"A",IF(CF4&gt;2.8,"B",IF(CF4&gt;1.5,"C",IF(CF4&gt;0,"D",IF(CF4=0,""))))))</f>
        <v/>
      </c>
      <c r="CH4" s="177" t="str">
        <f>IFERROR((((COUNTIF(BS5:BU6,"A")+COUNTIF(BX5:BZ6,"A")+COUNTIF(CC5:CE6,"A"))*4)+((COUNTIF(BS5:BU6,"B")+COUNTIF(BX5:BZ6,"B")+COUNTIF(CC5:CE6,"B"))*3)+((COUNTIF(BS5:BU6,"C")+COUNTIF(BX5:BZ6,"C")+COUNTIF(CC5:CE6,"C"))*2)+((COUNTIF(BS5:BU6,"D")+COUNTIF(BX5:BZ6,"D")+COUNTIF(CC5:CE6,"D"))*1))/(COUNTA(BS5:BU6)+COUNTA(BX5:BZ6)+COUNTA(CC5:CE6)),"")</f>
        <v/>
      </c>
      <c r="CI4" s="130" t="str">
        <f t="shared" ref="CI4:CI19" si="19">IF(CH4="","",IF(CH4&gt;3.7,"A",IF(CH4&gt;2.8,"B",IF(CH4&gt;1.5,"C",IF(CH4&gt;0,"D",IF(CH4=0,""))))))</f>
        <v/>
      </c>
      <c r="CJ4" s="152"/>
      <c r="CK4" s="185"/>
      <c r="CL4" s="185"/>
      <c r="CM4" s="106" t="str">
        <f>IFERROR((((COUNTIF('Elève (6ème4)'!CJ5:CL6,"A"))*4)+((COUNTIF('Elève (6ème4)'!CJ5:CL6,"B"))*3)+((COUNTIF('Elève (6ème4)'!CJ5:CL6,"C"))*2)+((COUNTIF('Elève (6ème4)'!CJ5:CL6,"D"))*1))/(COUNTA(CJ5:CL6)),"")</f>
        <v/>
      </c>
      <c r="CN4" s="107" t="str">
        <f t="shared" ref="CN4:CN19" si="20">IF(CM4="","",IF(CM4&gt;3.7,"A",IF(CM4&gt;2.8,"B",IF(CM4&gt;1.5,"C",IF(CM4&gt;0,"D",IF(CM4=0,""))))))</f>
        <v/>
      </c>
      <c r="CO4" s="204"/>
      <c r="CP4" s="186"/>
      <c r="CQ4" s="205"/>
      <c r="CR4" s="106" t="str">
        <f>IFERROR((((COUNTIF('Elève (6ème4)'!CO5:CQ6,"A"))*4)+((COUNTIF('Elève (6ème4)'!CO5:CQ6,"B"))*3)+((COUNTIF('Elève (6ème4)'!CO5:CQ6,"C"))*2)+((COUNTIF('Elève (6ème4)'!CO5:CQ6,"D"))*1))/(COUNTA(CO5:CQ6)),"")</f>
        <v/>
      </c>
      <c r="CS4" s="121" t="str">
        <f t="shared" ref="CS4:CS19" si="21">IF(CR4="","",IF(CR4&gt;3.7,"A",IF(CR4&gt;2.8,"B",IF(CR4&gt;1.5,"C",IF(CR4&gt;0,"D",IF(CR4=0,""))))))</f>
        <v/>
      </c>
      <c r="CT4" s="100"/>
      <c r="CU4" s="187"/>
      <c r="CV4" s="188"/>
      <c r="CW4" s="106" t="str">
        <f>IFERROR((((COUNTIF('Elève (6ème4)'!CT5:CV6,"A"))*4)+((COUNTIF('Elève (6ème4)'!CT5:CV6,"B"))*3)+((COUNTIF('Elève (6ème4)'!CT5:CV6,"C"))*2)+((COUNTIF('Elève (6ème4)'!CT5:CV6,"D"))*1))/(COUNTA(CT5:CV6)),"")</f>
        <v/>
      </c>
      <c r="CX4" s="128" t="str">
        <f t="shared" ref="CX4:CX19" si="22">IF(CW4="","",IF(CW4&gt;3.7,"A",IF(CW4&gt;2.8,"B",IF(CW4&gt;1.5,"C",IF(CW4&gt;0,"D",IF(CW4=0,""))))))</f>
        <v/>
      </c>
      <c r="CY4" s="177" t="str">
        <f>IFERROR((((COUNTIF(CJ5:CL6,"A")+COUNTIF(CO5:CQ6,"A")+COUNTIF(CT5:CV6,"A"))*4)+((COUNTIF(CJ5:CL6,"B")+COUNTIF(CO5:CQ6,"B")+COUNTIF(CT5:CV6,"B"))*3)+((COUNTIF(CJ5:CL6,"C")+COUNTIF(CO5:CQ6,"C")+COUNTIF(CT5:CV6,"C"))*2)+((COUNTIF(CJ5:CL6,"D")+COUNTIF(CO5:CQ6,"D")+COUNTIF(CT5:CV6,"D"))*1))/(COUNTA(CJ5:CL6)+COUNTA(CO5:CQ6)+COUNTA(CT5:CV6)),"")</f>
        <v/>
      </c>
      <c r="CZ4" s="130" t="str">
        <f t="shared" ref="CZ4:CZ19" si="23">IF(CY4="","",IF(CY4&gt;3.7,"A",IF(CY4&gt;2.8,"B",IF(CY4&gt;1.5,"C",IF(CY4&gt;0,"D",IF(CY4=0,""))))))</f>
        <v/>
      </c>
      <c r="DA4" s="152"/>
      <c r="DB4" s="185"/>
      <c r="DC4" s="185"/>
      <c r="DD4" s="106" t="str">
        <f>IFERROR((((COUNTIF('Elève (6ème4)'!DA5:DC6,"A"))*4)+((COUNTIF('Elève (6ème4)'!DA5:DC6,"B"))*3)+((COUNTIF('Elève (6ème4)'!DA5:DC6,"C"))*2)+((COUNTIF('Elève (6ème4)'!DA5:DC6,"D"))*1))/(COUNTA(DA5:DC6)),"")</f>
        <v/>
      </c>
      <c r="DE4" s="107" t="str">
        <f t="shared" ref="DE4:DE19" si="24">IF(DD4="","",IF(DD4&gt;3.7,"A",IF(DD4&gt;2.8,"B",IF(DD4&gt;1.5,"C",IF(DD4&gt;0,"D",IF(DD4=0,""))))))</f>
        <v/>
      </c>
      <c r="DF4" s="204"/>
      <c r="DG4" s="186"/>
      <c r="DH4" s="205"/>
      <c r="DI4" s="106" t="str">
        <f>IFERROR((((COUNTIF('Elève (6ème4)'!DF5:DH6,"A"))*4)+((COUNTIF('Elève (6ème4)'!DF5:DH6,"B"))*3)+((COUNTIF('Elève (6ème4)'!DF5:DH6,"C"))*2)+((COUNTIF('Elève (6ème4)'!DF5:DH6,"D"))*1))/(COUNTA(DF5:DH6)),"")</f>
        <v/>
      </c>
      <c r="DJ4" s="121" t="str">
        <f t="shared" ref="DJ4:DJ19" si="25">IF(DI4="","",IF(DI4&gt;3.7,"A",IF(DI4&gt;2.8,"B",IF(DI4&gt;1.5,"C",IF(DI4&gt;0,"D",IF(DI4=0,""))))))</f>
        <v/>
      </c>
      <c r="DK4" s="100"/>
      <c r="DL4" s="187"/>
      <c r="DM4" s="188"/>
      <c r="DN4" s="106" t="str">
        <f>IFERROR((((COUNTIF('Elève (6ème4)'!DK5:DM6,"A"))*4)+((COUNTIF('Elève (6ème4)'!DK5:DM6,"B"))*3)+((COUNTIF('Elève (6ème4)'!DK5:DM6,"C"))*2)+((COUNTIF('Elève (6ème4)'!DK5:DM6,"D"))*1))/(COUNTA(DK5:DM6)),"")</f>
        <v/>
      </c>
      <c r="DO4" s="128" t="str">
        <f t="shared" ref="DO4:DO19" si="26">IF(DN4="","",IF(DN4&gt;3.7,"A",IF(DN4&gt;2.8,"B",IF(DN4&gt;1.5,"C",IF(DN4&gt;0,"D",IF(DN4=0,""))))))</f>
        <v/>
      </c>
      <c r="DP4" s="177" t="str">
        <f>IFERROR((((COUNTIF(DA5:DC6,"A")+COUNTIF(DF5:DH6,"A")+COUNTIF(DK5:DM6,"A"))*4)+((COUNTIF(DA5:DC6,"B")+COUNTIF(DF5:DH6,"B")+COUNTIF(DK5:DM6,"B"))*3)+((COUNTIF(DA5:DC6,"C")+COUNTIF(DF5:DH6,"C")+COUNTIF(DK5:DM6,"C"))*2)+((COUNTIF(DA5:DC6,"D")+COUNTIF(DF5:DH6,"D")+COUNTIF(DK5:DM6,"D"))*1))/(COUNTA(DA5:DC6)+COUNTA(DF5:DH6)+COUNTA(DK5:DM6)),"")</f>
        <v/>
      </c>
      <c r="DQ4" s="130" t="str">
        <f t="shared" ref="DQ4:DQ19" si="27">IF(DP4="","",IF(DP4&gt;3.7,"A",IF(DP4&gt;2.8,"B",IF(DP4&gt;1.5,"C",IF(DP4&gt;0,"D",IF(DP4=0,""))))))</f>
        <v/>
      </c>
      <c r="DR4" s="152"/>
      <c r="DS4" s="185"/>
      <c r="DT4" s="185"/>
      <c r="DU4" s="106" t="str">
        <f>IFERROR((((COUNTIF('Elève (6ème4)'!DR5:DT6,"A"))*4)+((COUNTIF('Elève (6ème4)'!DR5:DT6,"B"))*3)+((COUNTIF('Elève (6ème4)'!DR5:DT6,"C"))*2)+((COUNTIF('Elève (6ème4)'!DR5:DT6,"D"))*1))/(COUNTA(DR5:DT6)),"")</f>
        <v/>
      </c>
      <c r="DV4" s="107" t="str">
        <f t="shared" ref="DV4:DV19" si="28">IF(DU4="","",IF(DU4&gt;3.7,"A",IF(DU4&gt;2.8,"B",IF(DU4&gt;1.5,"C",IF(DU4&gt;0,"D",IF(DU4=0,""))))))</f>
        <v/>
      </c>
      <c r="DW4" s="204"/>
      <c r="DX4" s="186"/>
      <c r="DY4" s="205"/>
      <c r="DZ4" s="106" t="str">
        <f>IFERROR((((COUNTIF('Elève (6ème4)'!DW5:DY6,"A"))*4)+((COUNTIF('Elève (6ème4)'!DW5:DY6,"B"))*3)+((COUNTIF('Elève (6ème4)'!DW5:DY6,"C"))*2)+((COUNTIF('Elève (6ème4)'!DW5:DY6,"D"))*1))/(COUNTA(DW5:DY6)),"")</f>
        <v/>
      </c>
      <c r="EA4" s="121" t="str">
        <f t="shared" ref="EA4:EA19" si="29">IF(DZ4="","",IF(DZ4&gt;3.7,"A",IF(DZ4&gt;2.8,"B",IF(DZ4&gt;1.5,"C",IF(DZ4&gt;0,"D",IF(DZ4=0,""))))))</f>
        <v/>
      </c>
      <c r="EB4" s="100"/>
      <c r="EC4" s="187"/>
      <c r="ED4" s="188"/>
      <c r="EE4" s="106" t="str">
        <f>IFERROR((((COUNTIF('Elève (6ème4)'!EB5:ED6,"A"))*4)+((COUNTIF('Elève (6ème4)'!EB5:ED6,"B"))*3)+((COUNTIF('Elève (6ème4)'!EB5:ED6,"C"))*2)+((COUNTIF('Elève (6ème4)'!EB5:ED6,"D"))*1))/(COUNTA(EB5:ED6)),"")</f>
        <v/>
      </c>
      <c r="EF4" s="128" t="str">
        <f t="shared" ref="EF4:EF19" si="30">IF(EE4="","",IF(EE4&gt;3.7,"A",IF(EE4&gt;2.8,"B",IF(EE4&gt;1.5,"C",IF(EE4&gt;0,"D",IF(EE4=0,""))))))</f>
        <v/>
      </c>
      <c r="EG4" s="177" t="str">
        <f>IFERROR((((COUNTIF(DR5:DT6,"A")+COUNTIF(DW5:DY6,"A")+COUNTIF(EB5:ED6,"A"))*4)+((COUNTIF(DR5:DT6,"B")+COUNTIF(DW5:DY6,"B")+COUNTIF(EB5:ED6,"B"))*3)+((COUNTIF(DR5:DT6,"C")+COUNTIF(DW5:DY6,"C")+COUNTIF(EB5:ED6,"C"))*2)+((COUNTIF(DR5:DT6,"D")+COUNTIF(DW5:DY6,"D")+COUNTIF(EB5:ED6,"D"))*1))/(COUNTA(DR5:DT6)+COUNTA(DW5:DY6)+COUNTA(EB5:ED6)),"")</f>
        <v/>
      </c>
      <c r="EH4" s="130" t="str">
        <f t="shared" ref="EH4:EH19" si="31">IF(EG4="","",IF(EG4&gt;3.7,"A",IF(EG4&gt;2.8,"B",IF(EG4&gt;1.5,"C",IF(EG4&gt;0,"D",IF(EG4=0,""))))))</f>
        <v/>
      </c>
      <c r="EI4" s="152"/>
      <c r="EJ4" s="185"/>
      <c r="EK4" s="185"/>
      <c r="EL4" s="106" t="str">
        <f>IFERROR((((COUNTIF('Elève (6ème4)'!EI5:EK6,"A"))*4)+((COUNTIF('Elève (6ème4)'!EI5:EK6,"B"))*3)+((COUNTIF('Elève (6ème4)'!EI5:EK6,"C"))*2)+((COUNTIF('Elève (6ème4)'!EI5:EK6,"D"))*1))/(COUNTA(EI5:EK6)),"")</f>
        <v/>
      </c>
      <c r="EM4" s="107" t="str">
        <f t="shared" ref="EM4:EM19" si="32">IF(EL4="","",IF(EL4&gt;3.7,"A",IF(EL4&gt;2.8,"B",IF(EL4&gt;1.5,"C",IF(EL4&gt;0,"D",IF(EL4=0,""))))))</f>
        <v/>
      </c>
      <c r="EN4" s="204"/>
      <c r="EO4" s="186"/>
      <c r="EP4" s="205"/>
      <c r="EQ4" s="106" t="str">
        <f>IFERROR((((COUNTIF('Elève (6ème4)'!EN5:EP6,"A"))*4)+((COUNTIF('Elève (6ème4)'!EN5:EP6,"B"))*3)+((COUNTIF('Elève (6ème4)'!EN5:EP6,"C"))*2)+((COUNTIF('Elève (6ème4)'!EN5:EP6,"D"))*1))/(COUNTA(EN5:EP6)),"")</f>
        <v/>
      </c>
      <c r="ER4" s="121" t="str">
        <f t="shared" ref="ER4:ER19" si="33">IF(EQ4="","",IF(EQ4&gt;3.7,"A",IF(EQ4&gt;2.8,"B",IF(EQ4&gt;1.5,"C",IF(EQ4&gt;0,"D",IF(EQ4=0,""))))))</f>
        <v/>
      </c>
      <c r="ES4" s="100"/>
      <c r="ET4" s="187"/>
      <c r="EU4" s="188"/>
      <c r="EV4" s="106" t="str">
        <f>IFERROR((((COUNTIF('Elève (6ème4)'!ES5:EU6,"A"))*4)+((COUNTIF('Elève (6ème4)'!ES5:EU6,"B"))*3)+((COUNTIF('Elève (6ème4)'!ES5:EU6,"C"))*2)+((COUNTIF('Elève (6ème4)'!ES5:EU6,"D"))*1))/(COUNTA(ES5:EU6)),"")</f>
        <v/>
      </c>
      <c r="EW4" s="128" t="str">
        <f t="shared" ref="EW4:EW19" si="34">IF(EV4="","",IF(EV4&gt;3.7,"A",IF(EV4&gt;2.8,"B",IF(EV4&gt;1.5,"C",IF(EV4&gt;0,"D",IF(EV4=0,""))))))</f>
        <v/>
      </c>
      <c r="EX4" s="177" t="str">
        <f>IFERROR((((COUNTIF(EI5:EK6,"A")+COUNTIF(EN5:EP6,"A")+COUNTIF(ES5:EU6,"A"))*4)+((COUNTIF(EI5:EK6,"B")+COUNTIF(EN5:EP6,"B")+COUNTIF(ES5:EU6,"B"))*3)+((COUNTIF(EI5:EK6,"C")+COUNTIF(EN5:EP6,"C")+COUNTIF(ES5:EU6,"C"))*2)+((COUNTIF(EI5:EK6,"D")+COUNTIF(EN5:EP6,"D")+COUNTIF(ES5:EU6,"D"))*1))/(COUNTA(EI5:EK6)+COUNTA(EN5:EP6)+COUNTA(ES5:EU6)),"")</f>
        <v/>
      </c>
      <c r="EY4" s="130" t="str">
        <f t="shared" ref="EY4:EY19" si="35">IF(EX4="","",IF(EX4&gt;3.7,"A",IF(EX4&gt;2.8,"B",IF(EX4&gt;1.5,"C",IF(EX4&gt;0,"D",IF(EX4=0,""))))))</f>
        <v/>
      </c>
      <c r="EZ4" s="152"/>
      <c r="FA4" s="185"/>
      <c r="FB4" s="185"/>
      <c r="FC4" s="106" t="str">
        <f>IFERROR((((COUNTIF('Elève (6ème4)'!EZ5:FB6,"A"))*4)+((COUNTIF('Elève (6ème4)'!EZ5:FB6,"B"))*3)+((COUNTIF('Elève (6ème4)'!EZ5:FB6,"C"))*2)+((COUNTIF('Elève (6ème4)'!EZ5:FB6,"D"))*1))/(COUNTA(EZ5:FB6)),"")</f>
        <v/>
      </c>
      <c r="FD4" s="107" t="str">
        <f t="shared" ref="FD4:FD19" si="36">IF(FC4="","",IF(FC4&gt;3.7,"A",IF(FC4&gt;2.8,"B",IF(FC4&gt;1.5,"C",IF(FC4&gt;0,"D",IF(FC4=0,""))))))</f>
        <v/>
      </c>
      <c r="FE4" s="204"/>
      <c r="FF4" s="186"/>
      <c r="FG4" s="205"/>
      <c r="FH4" s="106" t="str">
        <f>IFERROR((((COUNTIF('Elève (6ème4)'!FE5:FG6,"A"))*4)+((COUNTIF('Elève (6ème4)'!FE5:FG6,"B"))*3)+((COUNTIF('Elève (6ème4)'!FE5:FG6,"C"))*2)+((COUNTIF('Elève (6ème4)'!FE5:FG6,"D"))*1))/(COUNTA(FE5:FG6)),"")</f>
        <v/>
      </c>
      <c r="FI4" s="121" t="str">
        <f t="shared" ref="FI4:FI19" si="37">IF(FH4="","",IF(FH4&gt;3.7,"A",IF(FH4&gt;2.8,"B",IF(FH4&gt;1.5,"C",IF(FH4&gt;0,"D",IF(FH4=0,""))))))</f>
        <v/>
      </c>
      <c r="FJ4" s="100"/>
      <c r="FK4" s="187"/>
      <c r="FL4" s="188"/>
      <c r="FM4" s="106" t="str">
        <f>IFERROR((((COUNTIF('Elève (6ème4)'!FJ5:FL6,"A"))*4)+((COUNTIF('Elève (6ème4)'!FJ5:FL6,"B"))*3)+((COUNTIF('Elève (6ème4)'!FJ5:FL6,"C"))*2)+((COUNTIF('Elève (6ème4)'!FJ5:FL6,"D"))*1))/(COUNTA(FJ5:FL6)),"")</f>
        <v/>
      </c>
      <c r="FN4" s="128" t="str">
        <f t="shared" ref="FN4:FN19" si="38">IF(FM4="","",IF(FM4&gt;3.7,"A",IF(FM4&gt;2.8,"B",IF(FM4&gt;1.5,"C",IF(FM4&gt;0,"D",IF(FM4=0,""))))))</f>
        <v/>
      </c>
      <c r="FO4" s="177" t="str">
        <f>IFERROR((((COUNTIF(EZ5:FB6,"A")+COUNTIF(FE5:FG6,"A")+COUNTIF(FJ5:FL6,"A"))*4)+((COUNTIF(EZ5:FB6,"B")+COUNTIF(FE5:FG6,"B")+COUNTIF(FJ5:FL6,"B"))*3)+((COUNTIF(EZ5:FB6,"C")+COUNTIF(FE5:FG6,"C")+COUNTIF(FJ5:FL6,"C"))*2)+((COUNTIF(EZ5:FB6,"D")+COUNTIF(FE5:FG6,"D")+COUNTIF(FJ5:FL6,"D"))*1))/(COUNTA(EZ5:FB6)+COUNTA(FE5:FG6)+COUNTA(FJ5:FL6)),"")</f>
        <v/>
      </c>
      <c r="FP4" s="130" t="str">
        <f t="shared" ref="FP4:FP19" si="39">IF(FO4="","",IF(FO4&gt;3.7,"A",IF(FO4&gt;2.8,"B",IF(FO4&gt;1.5,"C",IF(FO4&gt;0,"D",IF(FO4=0,""))))))</f>
        <v/>
      </c>
      <c r="FQ4" s="152"/>
      <c r="FR4" s="185"/>
      <c r="FS4" s="185"/>
      <c r="FT4" s="106" t="str">
        <f>IFERROR((((COUNTIF('Elève (6ème4)'!FQ5:FS6,"A"))*4)+((COUNTIF('Elève (6ème4)'!FQ5:FS6,"B"))*3)+((COUNTIF('Elève (6ème4)'!FQ5:FS6,"C"))*2)+((COUNTIF('Elève (6ème4)'!FQ5:FS6,"D"))*1))/(COUNTA(FQ5:FS6)),"")</f>
        <v/>
      </c>
      <c r="FU4" s="107" t="str">
        <f t="shared" ref="FU4:FU19" si="40">IF(FT4="","",IF(FT4&gt;3.7,"A",IF(FT4&gt;2.8,"B",IF(FT4&gt;1.5,"C",IF(FT4&gt;0,"D",IF(FT4=0,""))))))</f>
        <v/>
      </c>
      <c r="FV4" s="204"/>
      <c r="FW4" s="186"/>
      <c r="FX4" s="205"/>
      <c r="FY4" s="106" t="str">
        <f>IFERROR((((COUNTIF('Elève (6ème4)'!FV5:FX6,"A"))*4)+((COUNTIF('Elève (6ème4)'!FV5:FX6,"B"))*3)+((COUNTIF('Elève (6ème4)'!FV5:FX6,"C"))*2)+((COUNTIF('Elève (6ème4)'!FV5:FX6,"D"))*1))/(COUNTA(FV5:FX6)),"")</f>
        <v/>
      </c>
      <c r="FZ4" s="121" t="str">
        <f t="shared" ref="FZ4:FZ19" si="41">IF(FY4="","",IF(FY4&gt;3.7,"A",IF(FY4&gt;2.8,"B",IF(FY4&gt;1.5,"C",IF(FY4&gt;0,"D",IF(FY4=0,""))))))</f>
        <v/>
      </c>
      <c r="GA4" s="100"/>
      <c r="GB4" s="187"/>
      <c r="GC4" s="188"/>
      <c r="GD4" s="106" t="str">
        <f>IFERROR((((COUNTIF('Elève (6ème4)'!GA5:GC6,"A"))*4)+((COUNTIF('Elève (6ème4)'!GA5:GC6,"B"))*3)+((COUNTIF('Elève (6ème4)'!GA5:GC6,"C"))*2)+((COUNTIF('Elève (6ème4)'!GA5:GC6,"D"))*1))/(COUNTA(GA5:GC6)),"")</f>
        <v/>
      </c>
      <c r="GE4" s="128" t="str">
        <f t="shared" ref="GE4:GE19" si="42">IF(GD4="","",IF(GD4&gt;3.7,"A",IF(GD4&gt;2.8,"B",IF(GD4&gt;1.5,"C",IF(GD4&gt;0,"D",IF(GD4=0,""))))))</f>
        <v/>
      </c>
      <c r="GF4" s="177" t="str">
        <f>IFERROR((((COUNTIF(FQ5:FS6,"A")+COUNTIF(FV5:FX6,"A")+COUNTIF(GA5:GC6,"A"))*4)+((COUNTIF(FQ5:FS6,"B")+COUNTIF(FV5:FX6,"B")+COUNTIF(GA5:GC6,"B"))*3)+((COUNTIF(FQ5:FS6,"C")+COUNTIF(FV5:FX6,"C")+COUNTIF(GA5:GC6,"C"))*2)+((COUNTIF(FQ5:FS6,"D")+COUNTIF(FV5:FX6,"D")+COUNTIF(GA5:GC6,"D"))*1))/(COUNTA(FQ5:FS6)+COUNTA(FV5:FX6)+COUNTA(GA5:GC6)),"")</f>
        <v/>
      </c>
      <c r="GG4" s="130" t="str">
        <f t="shared" ref="GG4:GG19" si="43">IF(GF4="","",IF(GF4&gt;3.7,"A",IF(GF4&gt;2.8,"B",IF(GF4&gt;1.5,"C",IF(GF4&gt;0,"D",IF(GF4=0,""))))))</f>
        <v/>
      </c>
      <c r="GH4" s="152"/>
      <c r="GI4" s="185"/>
      <c r="GJ4" s="185"/>
      <c r="GK4" s="106" t="str">
        <f>IFERROR((((COUNTIF('Elève (6ème4)'!GH5:GJ6,"A"))*4)+((COUNTIF('Elève (6ème4)'!GH5:GJ6,"B"))*3)+((COUNTIF('Elève (6ème4)'!GH5:GJ6,"C"))*2)+((COUNTIF('Elève (6ème4)'!GH5:GJ6,"D"))*1))/(COUNTA(GH5:GJ6)),"")</f>
        <v/>
      </c>
      <c r="GL4" s="107" t="str">
        <f t="shared" ref="GL4:GL19" si="44">IF(GK4="","",IF(GK4&gt;3.7,"A",IF(GK4&gt;2.8,"B",IF(GK4&gt;1.5,"C",IF(GK4&gt;0,"D",IF(GK4=0,""))))))</f>
        <v/>
      </c>
      <c r="GM4" s="204"/>
      <c r="GN4" s="186"/>
      <c r="GO4" s="205"/>
      <c r="GP4" s="106" t="str">
        <f>IFERROR((((COUNTIF('Elève (6ème4)'!GM5:GO6,"A"))*4)+((COUNTIF('Elève (6ème4)'!GM5:GO6,"B"))*3)+((COUNTIF('Elève (6ème4)'!GM5:GO6,"C"))*2)+((COUNTIF('Elève (6ème4)'!GM5:GO6,"D"))*1))/(COUNTA(GM5:GO6)),"")</f>
        <v/>
      </c>
      <c r="GQ4" s="121" t="str">
        <f t="shared" ref="GQ4:GQ19" si="45">IF(GP4="","",IF(GP4&gt;3.7,"A",IF(GP4&gt;2.8,"B",IF(GP4&gt;1.5,"C",IF(GP4&gt;0,"D",IF(GP4=0,""))))))</f>
        <v/>
      </c>
      <c r="GR4" s="100"/>
      <c r="GS4" s="187"/>
      <c r="GT4" s="188"/>
      <c r="GU4" s="106" t="str">
        <f>IFERROR((((COUNTIF('Elève (6ème4)'!GR5:GT6,"A"))*4)+((COUNTIF('Elève (6ème4)'!GR5:GT6,"B"))*3)+((COUNTIF('Elève (6ème4)'!GR5:GT6,"C"))*2)+((COUNTIF('Elève (6ème4)'!GR5:GT6,"D"))*1))/(COUNTA(GR5:GT6)),"")</f>
        <v/>
      </c>
      <c r="GV4" s="128" t="str">
        <f t="shared" ref="GV4:GV19" si="46">IF(GU4="","",IF(GU4&gt;3.7,"A",IF(GU4&gt;2.8,"B",IF(GU4&gt;1.5,"C",IF(GU4&gt;0,"D",IF(GU4=0,""))))))</f>
        <v/>
      </c>
      <c r="GW4" s="177" t="str">
        <f>IFERROR((((COUNTIF(GH5:GJ6,"A")+COUNTIF(GM5:GO6,"A")+COUNTIF(GR5:GT6,"A"))*4)+((COUNTIF(GH5:GJ6,"B")+COUNTIF(GM5:GO6,"B")+COUNTIF(GR5:GT6,"B"))*3)+((COUNTIF(GH5:GJ6,"C")+COUNTIF(GM5:GO6,"C")+COUNTIF(GR5:GT6,"C"))*2)+((COUNTIF(GH5:GJ6,"D")+COUNTIF(GM5:GO6,"D")+COUNTIF(GR5:GT6,"D"))*1))/(COUNTA(GH5:GJ6)+COUNTA(GM5:GO6)+COUNTA(GR5:GT6)),"")</f>
        <v/>
      </c>
      <c r="GX4" s="130" t="str">
        <f t="shared" ref="GX4:GX19" si="47">IF(GW4="","",IF(GW4&gt;3.7,"A",IF(GW4&gt;2.8,"B",IF(GW4&gt;1.5,"C",IF(GW4&gt;0,"D",IF(GW4=0,""))))))</f>
        <v/>
      </c>
      <c r="GY4" s="152"/>
      <c r="GZ4" s="185"/>
      <c r="HA4" s="185"/>
      <c r="HB4" s="106" t="str">
        <f>IFERROR((((COUNTIF('Elève (6ème4)'!GY5:HA6,"A"))*4)+((COUNTIF('Elève (6ème4)'!GY5:HA6,"B"))*3)+((COUNTIF('Elève (6ème4)'!GY5:HA6,"C"))*2)+((COUNTIF('Elève (6ème4)'!GY5:HA6,"D"))*1))/(COUNTA(GY5:HA6)),"")</f>
        <v/>
      </c>
      <c r="HC4" s="107" t="str">
        <f t="shared" ref="HC4:HC19" si="48">IF(HB4="","",IF(HB4&gt;3.7,"A",IF(HB4&gt;2.8,"B",IF(HB4&gt;1.5,"C",IF(HB4&gt;0,"D",IF(HB4=0,""))))))</f>
        <v/>
      </c>
      <c r="HD4" s="204"/>
      <c r="HE4" s="186"/>
      <c r="HF4" s="205"/>
      <c r="HG4" s="106" t="str">
        <f>IFERROR((((COUNTIF('Elève (6ème4)'!HD5:HF6,"A"))*4)+((COUNTIF('Elève (6ème4)'!HD5:HF6,"B"))*3)+((COUNTIF('Elève (6ème4)'!HD5:HF6,"C"))*2)+((COUNTIF('Elève (6ème4)'!HD5:HF6,"D"))*1))/(COUNTA(HD5:HF6)),"")</f>
        <v/>
      </c>
      <c r="HH4" s="121" t="str">
        <f t="shared" ref="HH4:HH19" si="49">IF(HG4="","",IF(HG4&gt;3.7,"A",IF(HG4&gt;2.8,"B",IF(HG4&gt;1.5,"C",IF(HG4&gt;0,"D",IF(HG4=0,""))))))</f>
        <v/>
      </c>
      <c r="HI4" s="100"/>
      <c r="HJ4" s="187"/>
      <c r="HK4" s="188"/>
      <c r="HL4" s="106" t="str">
        <f>IFERROR((((COUNTIF('Elève (6ème4)'!HI5:HK6,"A"))*4)+((COUNTIF('Elève (6ème4)'!HI5:HK6,"B"))*3)+((COUNTIF('Elève (6ème4)'!HI5:HK6,"C"))*2)+((COUNTIF('Elève (6ème4)'!HI5:HK6,"D"))*1))/(COUNTA(HI5:HK6)),"")</f>
        <v/>
      </c>
      <c r="HM4" s="128" t="str">
        <f t="shared" ref="HM4:HM19" si="50">IF(HL4="","",IF(HL4&gt;3.7,"A",IF(HL4&gt;2.8,"B",IF(HL4&gt;1.5,"C",IF(HL4&gt;0,"D",IF(HL4=0,""))))))</f>
        <v/>
      </c>
      <c r="HN4" s="177" t="str">
        <f>IFERROR((((COUNTIF(GY5:HA6,"A")+COUNTIF(HD5:HF6,"A")+COUNTIF(HI5:HK6,"A"))*4)+((COUNTIF(GY5:HA6,"B")+COUNTIF(HD5:HF6,"B")+COUNTIF(HI5:HK6,"B"))*3)+((COUNTIF(GY5:HA6,"C")+COUNTIF(HD5:HF6,"C")+COUNTIF(HI5:HK6,"C"))*2)+((COUNTIF(GY5:HA6,"D")+COUNTIF(HD5:HF6,"D")+COUNTIF(HI5:HK6,"D"))*1))/(COUNTA(GY5:HA6)+COUNTA(HD5:HF6)+COUNTA(HI5:HK6)),"")</f>
        <v/>
      </c>
      <c r="HO4" s="130" t="str">
        <f t="shared" ref="HO4:HO19" si="51">IF(HN4="","",IF(HN4&gt;3.7,"A",IF(HN4&gt;2.8,"B",IF(HN4&gt;1.5,"C",IF(HN4&gt;0,"D",IF(HN4=0,""))))))</f>
        <v/>
      </c>
      <c r="HP4" s="152"/>
      <c r="HQ4" s="185"/>
      <c r="HR4" s="185"/>
      <c r="HS4" s="106" t="str">
        <f>IFERROR((((COUNTIF('Elève (6ème4)'!HP5:HR6,"A"))*4)+((COUNTIF('Elève (6ème4)'!HP5:HR6,"B"))*3)+((COUNTIF('Elève (6ème4)'!HP5:HR6,"C"))*2)+((COUNTIF('Elève (6ème4)'!HP5:HR6,"D"))*1))/(COUNTA(HP5:HR6)),"")</f>
        <v/>
      </c>
      <c r="HT4" s="107" t="str">
        <f t="shared" ref="HT4:HT19" si="52">IF(HS4="","",IF(HS4&gt;3.7,"A",IF(HS4&gt;2.8,"B",IF(HS4&gt;1.5,"C",IF(HS4&gt;0,"D",IF(HS4=0,""))))))</f>
        <v/>
      </c>
      <c r="HU4" s="204"/>
      <c r="HV4" s="186"/>
      <c r="HW4" s="205"/>
      <c r="HX4" s="106" t="str">
        <f>IFERROR((((COUNTIF('Elève (6ème4)'!HU5:HW6,"A"))*4)+((COUNTIF('Elève (6ème4)'!HU5:HW6,"B"))*3)+((COUNTIF('Elève (6ème4)'!HU5:HW6,"C"))*2)+((COUNTIF('Elève (6ème4)'!HU5:HW6,"D"))*1))/(COUNTA(HU5:HW6)),"")</f>
        <v/>
      </c>
      <c r="HY4" s="121" t="str">
        <f t="shared" ref="HY4:HY19" si="53">IF(HX4="","",IF(HX4&gt;3.7,"A",IF(HX4&gt;2.8,"B",IF(HX4&gt;1.5,"C",IF(HX4&gt;0,"D",IF(HX4=0,""))))))</f>
        <v/>
      </c>
      <c r="HZ4" s="100"/>
      <c r="IA4" s="187"/>
      <c r="IB4" s="188"/>
      <c r="IC4" s="106" t="str">
        <f>IFERROR((((COUNTIF('Elève (6ème4)'!HZ5:IB6,"A"))*4)+((COUNTIF('Elève (6ème4)'!HZ5:IB6,"B"))*3)+((COUNTIF('Elève (6ème4)'!HZ5:IB6,"C"))*2)+((COUNTIF('Elève (6ème4)'!HZ5:IB6,"D"))*1))/(COUNTA(HZ5:IB6)),"")</f>
        <v/>
      </c>
      <c r="ID4" s="128" t="str">
        <f t="shared" ref="ID4:ID19" si="54">IF(IC4="","",IF(IC4&gt;3.7,"A",IF(IC4&gt;2.8,"B",IF(IC4&gt;1.5,"C",IF(IC4&gt;0,"D",IF(IC4=0,""))))))</f>
        <v/>
      </c>
      <c r="IE4" s="177" t="str">
        <f>IFERROR((((COUNTIF(HP5:HR6,"A")+COUNTIF(HU5:HW6,"A")+COUNTIF(HZ5:IB6,"A"))*4)+((COUNTIF(HP5:HR6,"B")+COUNTIF(HU5:HW6,"B")+COUNTIF(HZ5:IB6,"B"))*3)+((COUNTIF(HP5:HR6,"C")+COUNTIF(HU5:HW6,"C")+COUNTIF(HZ5:IB6,"C"))*2)+((COUNTIF(HP5:HR6,"D")+COUNTIF(HU5:HW6,"D")+COUNTIF(HZ5:IB6,"D"))*1))/(COUNTA(HP5:HR6)+COUNTA(HU5:HW6)+COUNTA(HZ5:IB6)),"")</f>
        <v/>
      </c>
      <c r="IF4" s="130" t="str">
        <f t="shared" ref="IF4:IF19" si="55">IF(IE4="","",IF(IE4&gt;3.7,"A",IF(IE4&gt;2.8,"B",IF(IE4&gt;1.5,"C",IF(IE4&gt;0,"D",IF(IE4=0,""))))))</f>
        <v/>
      </c>
      <c r="IG4" s="152"/>
      <c r="IH4" s="185"/>
      <c r="II4" s="185"/>
      <c r="IJ4" s="106" t="str">
        <f>IFERROR((((COUNTIF('Elève (6ème4)'!IG5:II6,"A"))*4)+((COUNTIF('Elève (6ème4)'!IG5:II6,"B"))*3)+((COUNTIF('Elève (6ème4)'!IG5:II6,"C"))*2)+((COUNTIF('Elève (6ème4)'!IG5:II6,"D"))*1))/(COUNTA(IG5:II6)),"")</f>
        <v/>
      </c>
      <c r="IK4" s="107" t="str">
        <f t="shared" ref="IK4:IK19" si="56">IF(IJ4="","",IF(IJ4&gt;3.7,"A",IF(IJ4&gt;2.8,"B",IF(IJ4&gt;1.5,"C",IF(IJ4&gt;0,"D",IF(IJ4=0,""))))))</f>
        <v/>
      </c>
      <c r="IL4" s="204"/>
      <c r="IM4" s="186"/>
      <c r="IN4" s="205"/>
      <c r="IO4" s="106" t="str">
        <f>IFERROR((((COUNTIF('Elève (6ème4)'!IL5:IN6,"A"))*4)+((COUNTIF('Elève (6ème4)'!IL5:IN6,"B"))*3)+((COUNTIF('Elève (6ème4)'!IL5:IN6,"C"))*2)+((COUNTIF('Elève (6ème4)'!IL5:IN6,"D"))*1))/(COUNTA(IL5:IN6)),"")</f>
        <v/>
      </c>
      <c r="IP4" s="121" t="str">
        <f t="shared" ref="IP4:IP19" si="57">IF(IO4="","",IF(IO4&gt;3.7,"A",IF(IO4&gt;2.8,"B",IF(IO4&gt;1.5,"C",IF(IO4&gt;0,"D",IF(IO4=0,""))))))</f>
        <v/>
      </c>
      <c r="IQ4" s="100"/>
      <c r="IR4" s="187"/>
      <c r="IS4" s="188"/>
      <c r="IT4" s="106" t="str">
        <f>IFERROR((((COUNTIF('Elève (6ème4)'!IQ5:IS6,"A"))*4)+((COUNTIF('Elève (6ème4)'!IQ5:IS6,"B"))*3)+((COUNTIF('Elève (6ème4)'!IQ5:IS6,"C"))*2)+((COUNTIF('Elève (6ème4)'!IQ5:IS6,"D"))*1))/(COUNTA(IQ5:IS6)),"")</f>
        <v/>
      </c>
      <c r="IU4" s="128" t="str">
        <f t="shared" ref="IU4:IU19" si="58">IF(IT4="","",IF(IT4&gt;3.7,"A",IF(IT4&gt;2.8,"B",IF(IT4&gt;1.5,"C",IF(IT4&gt;0,"D",IF(IT4=0,""))))))</f>
        <v/>
      </c>
      <c r="IV4" s="177" t="str">
        <f>IFERROR((((COUNTIF(IG5:II6,"A")+COUNTIF(IL5:IN6,"A")+COUNTIF(IQ5:IS6,"A"))*4)+((COUNTIF(IG5:II6,"B")+COUNTIF(IL5:IN6,"B")+COUNTIF(IQ5:IS6,"B"))*3)+((COUNTIF(IG5:II6,"C")+COUNTIF(IL5:IN6,"C")+COUNTIF(IQ5:IS6,"C"))*2)+((COUNTIF(IG5:II6,"D")+COUNTIF(IL5:IN6,"D")+COUNTIF(IQ5:IS6,"D"))*1))/(COUNTA(IG5:II6)+COUNTA(IL5:IN6)+COUNTA(IQ5:IS6)),"")</f>
        <v/>
      </c>
      <c r="IW4" s="130" t="str">
        <f t="shared" ref="IW4:IW19" si="59">IF(IV4="","",IF(IV4&gt;3.7,"A",IF(IV4&gt;2.8,"B",IF(IV4&gt;1.5,"C",IF(IV4&gt;0,"D",IF(IV4=0,""))))))</f>
        <v/>
      </c>
      <c r="IX4" s="152"/>
      <c r="IY4" s="185"/>
      <c r="IZ4" s="185"/>
      <c r="JA4" s="106" t="str">
        <f>IFERROR((((COUNTIF('Elève (6ème4)'!IX5:IZ6,"A"))*4)+((COUNTIF('Elève (6ème4)'!IX5:IZ6,"B"))*3)+((COUNTIF('Elève (6ème4)'!IX5:IZ6,"C"))*2)+((COUNTIF('Elève (6ème4)'!IX5:IZ6,"D"))*1))/(COUNTA(IX5:IZ6)),"")</f>
        <v/>
      </c>
      <c r="JB4" s="107" t="str">
        <f t="shared" ref="JB4:JB19" si="60">IF(JA4="","",IF(JA4&gt;3.7,"A",IF(JA4&gt;2.8,"B",IF(JA4&gt;1.5,"C",IF(JA4&gt;0,"D",IF(JA4=0,""))))))</f>
        <v/>
      </c>
      <c r="JC4" s="204"/>
      <c r="JD4" s="186"/>
      <c r="JE4" s="205"/>
      <c r="JF4" s="106" t="str">
        <f>IFERROR((((COUNTIF('Elève (6ème4)'!JC5:JE6,"A"))*4)+((COUNTIF('Elève (6ème4)'!JC5:JE6,"B"))*3)+((COUNTIF('Elève (6ème4)'!JC5:JE6,"C"))*2)+((COUNTIF('Elève (6ème4)'!JC5:JE6,"D"))*1))/(COUNTA(JC5:JE6)),"")</f>
        <v/>
      </c>
      <c r="JG4" s="121" t="str">
        <f t="shared" ref="JG4:JG19" si="61">IF(JF4="","",IF(JF4&gt;3.7,"A",IF(JF4&gt;2.8,"B",IF(JF4&gt;1.5,"C",IF(JF4&gt;0,"D",IF(JF4=0,""))))))</f>
        <v/>
      </c>
      <c r="JH4" s="100"/>
      <c r="JI4" s="187"/>
      <c r="JJ4" s="188"/>
      <c r="JK4" s="106" t="str">
        <f>IFERROR((((COUNTIF('Elève (6ème4)'!JH5:JJ6,"A"))*4)+((COUNTIF('Elève (6ème4)'!JH5:JJ6,"B"))*3)+((COUNTIF('Elève (6ème4)'!JH5:JJ6,"C"))*2)+((COUNTIF('Elève (6ème4)'!JH5:JJ6,"D"))*1))/(COUNTA(JH5:JJ6)),"")</f>
        <v/>
      </c>
      <c r="JL4" s="128" t="str">
        <f t="shared" ref="JL4:JL19" si="62">IF(JK4="","",IF(JK4&gt;3.7,"A",IF(JK4&gt;2.8,"B",IF(JK4&gt;1.5,"C",IF(JK4&gt;0,"D",IF(JK4=0,""))))))</f>
        <v/>
      </c>
      <c r="JM4" s="177" t="str">
        <f>IFERROR((((COUNTIF(IX5:IZ6,"A")+COUNTIF(JC5:JE6,"A")+COUNTIF(JH5:JJ6,"A"))*4)+((COUNTIF(IX5:IZ6,"B")+COUNTIF(JC5:JE6,"B")+COUNTIF(JH5:JJ6,"B"))*3)+((COUNTIF(IX5:IZ6,"C")+COUNTIF(JC5:JE6,"C")+COUNTIF(JH5:JJ6,"C"))*2)+((COUNTIF(IX5:IZ6,"D")+COUNTIF(JC5:JE6,"D")+COUNTIF(JH5:JJ6,"D"))*1))/(COUNTA(IX5:IZ6)+COUNTA(JC5:JE6)+COUNTA(JH5:JJ6)),"")</f>
        <v/>
      </c>
      <c r="JN4" s="130" t="str">
        <f t="shared" ref="JN4:JN19" si="63">IF(JM4="","",IF(JM4&gt;3.7,"A",IF(JM4&gt;2.8,"B",IF(JM4&gt;1.5,"C",IF(JM4&gt;0,"D",IF(JM4=0,""))))))</f>
        <v/>
      </c>
      <c r="JO4" s="152"/>
      <c r="JP4" s="185"/>
      <c r="JQ4" s="185"/>
      <c r="JR4" s="106" t="str">
        <f>IFERROR((((COUNTIF('Elève (6ème4)'!JO5:JQ6,"A"))*4)+((COUNTIF('Elève (6ème4)'!JO5:JQ6,"B"))*3)+((COUNTIF('Elève (6ème4)'!JO5:JQ6,"C"))*2)+((COUNTIF('Elève (6ème4)'!JO5:JQ6,"D"))*1))/(COUNTA(JO5:JQ6)),"")</f>
        <v/>
      </c>
      <c r="JS4" s="107" t="str">
        <f t="shared" ref="JS4:JS19" si="64">IF(JR4="","",IF(JR4&gt;3.7,"A",IF(JR4&gt;2.8,"B",IF(JR4&gt;1.5,"C",IF(JR4&gt;0,"D",IF(JR4=0,""))))))</f>
        <v/>
      </c>
      <c r="JT4" s="204"/>
      <c r="JU4" s="186"/>
      <c r="JV4" s="205"/>
      <c r="JW4" s="106" t="str">
        <f>IFERROR((((COUNTIF('Elève (6ème4)'!JT5:JV6,"A"))*4)+((COUNTIF('Elève (6ème4)'!JT5:JV6,"B"))*3)+((COUNTIF('Elève (6ème4)'!JT5:JV6,"C"))*2)+((COUNTIF('Elève (6ème4)'!JT5:JV6,"D"))*1))/(COUNTA(JT5:JV6)),"")</f>
        <v/>
      </c>
      <c r="JX4" s="121" t="str">
        <f t="shared" ref="JX4:JX19" si="65">IF(JW4="","",IF(JW4&gt;3.7,"A",IF(JW4&gt;2.8,"B",IF(JW4&gt;1.5,"C",IF(JW4&gt;0,"D",IF(JW4=0,""))))))</f>
        <v/>
      </c>
      <c r="JY4" s="100"/>
      <c r="JZ4" s="187"/>
      <c r="KA4" s="188"/>
      <c r="KB4" s="106" t="str">
        <f>IFERROR((((COUNTIF('Elève (6ème4)'!JY5:KA6,"A"))*4)+((COUNTIF('Elève (6ème4)'!JY5:KA6,"B"))*3)+((COUNTIF('Elève (6ème4)'!JY5:KA6,"C"))*2)+((COUNTIF('Elève (6ème4)'!JY5:KA6,"D"))*1))/(COUNTA(JY5:KA6)),"")</f>
        <v/>
      </c>
      <c r="KC4" s="128" t="str">
        <f t="shared" ref="KC4:KC19" si="66">IF(KB4="","",IF(KB4&gt;3.7,"A",IF(KB4&gt;2.8,"B",IF(KB4&gt;1.5,"C",IF(KB4&gt;0,"D",IF(KB4=0,""))))))</f>
        <v/>
      </c>
      <c r="KD4" s="177" t="str">
        <f>IFERROR((((COUNTIF(JO5:JQ6,"A")+COUNTIF(JT5:JV6,"A")+COUNTIF(JY5:KA6,"A"))*4)+((COUNTIF(JO5:JQ6,"B")+COUNTIF(JT5:JV6,"B")+COUNTIF(JY5:KA6,"B"))*3)+((COUNTIF(JO5:JQ6,"C")+COUNTIF(JT5:JV6,"C")+COUNTIF(JY5:KA6,"C"))*2)+((COUNTIF(JO5:JQ6,"D")+COUNTIF(JT5:JV6,"D")+COUNTIF(JY5:KA6,"D"))*1))/(COUNTA(JO5:JQ6)+COUNTA(JT5:JV6)+COUNTA(JY5:KA6)),"")</f>
        <v/>
      </c>
      <c r="KE4" s="130" t="str">
        <f t="shared" ref="KE4:KE19" si="67">IF(KD4="","",IF(KD4&gt;3.7,"A",IF(KD4&gt;2.8,"B",IF(KD4&gt;1.5,"C",IF(KD4&gt;0,"D",IF(KD4=0,""))))))</f>
        <v/>
      </c>
      <c r="KF4" s="152"/>
      <c r="KG4" s="185"/>
      <c r="KH4" s="185"/>
      <c r="KI4" s="106" t="str">
        <f>IFERROR((((COUNTIF('Elève (6ème4)'!KF5:KH6,"A"))*4)+((COUNTIF('Elève (6ème4)'!KF5:KH6,"B"))*3)+((COUNTIF('Elève (6ème4)'!KF5:KH6,"C"))*2)+((COUNTIF('Elève (6ème4)'!KF5:KH6,"D"))*1))/(COUNTA(KF5:KH6)),"")</f>
        <v/>
      </c>
      <c r="KJ4" s="107" t="str">
        <f t="shared" ref="KJ4:KJ19" si="68">IF(KI4="","",IF(KI4&gt;3.7,"A",IF(KI4&gt;2.8,"B",IF(KI4&gt;1.5,"C",IF(KI4&gt;0,"D",IF(KI4=0,""))))))</f>
        <v/>
      </c>
      <c r="KK4" s="204"/>
      <c r="KL4" s="186"/>
      <c r="KM4" s="205"/>
      <c r="KN4" s="106" t="str">
        <f>IFERROR((((COUNTIF('Elève (6ème4)'!KK5:KM6,"A"))*4)+((COUNTIF('Elève (6ème4)'!KK5:KM6,"B"))*3)+((COUNTIF('Elève (6ème4)'!KK5:KM6,"C"))*2)+((COUNTIF('Elève (6ème4)'!KK5:KM6,"D"))*1))/(COUNTA(KK5:KM6)),"")</f>
        <v/>
      </c>
      <c r="KO4" s="121" t="str">
        <f t="shared" ref="KO4:KO19" si="69">IF(KN4="","",IF(KN4&gt;3.7,"A",IF(KN4&gt;2.8,"B",IF(KN4&gt;1.5,"C",IF(KN4&gt;0,"D",IF(KN4=0,""))))))</f>
        <v/>
      </c>
      <c r="KP4" s="100"/>
      <c r="KQ4" s="187"/>
      <c r="KR4" s="188"/>
      <c r="KS4" s="106" t="str">
        <f>IFERROR((((COUNTIF('Elève (6ème4)'!KP5:KR6,"A"))*4)+((COUNTIF('Elève (6ème4)'!KP5:KR6,"B"))*3)+((COUNTIF('Elève (6ème4)'!KP5:KR6,"C"))*2)+((COUNTIF('Elève (6ème4)'!KP5:KR6,"D"))*1))/(COUNTA(KP5:KR6)),"")</f>
        <v/>
      </c>
      <c r="KT4" s="128" t="str">
        <f t="shared" ref="KT4:KT19" si="70">IF(KS4="","",IF(KS4&gt;3.7,"A",IF(KS4&gt;2.8,"B",IF(KS4&gt;1.5,"C",IF(KS4&gt;0,"D",IF(KS4=0,""))))))</f>
        <v/>
      </c>
      <c r="KU4" s="177" t="str">
        <f>IFERROR((((COUNTIF(KF5:KH6,"A")+COUNTIF(KK5:KM6,"A")+COUNTIF(KP5:KR6,"A"))*4)+((COUNTIF(KF5:KH6,"B")+COUNTIF(KK5:KM6,"B")+COUNTIF(KP5:KR6,"B"))*3)+((COUNTIF(KF5:KH6,"C")+COUNTIF(KK5:KM6,"C")+COUNTIF(KP5:KR6,"C"))*2)+((COUNTIF(KF5:KH6,"D")+COUNTIF(KK5:KM6,"D")+COUNTIF(KP5:KR6,"D"))*1))/(COUNTA(KF5:KH6)+COUNTA(KK5:KM6)+COUNTA(KP5:KR6)),"")</f>
        <v/>
      </c>
      <c r="KV4" s="130" t="str">
        <f t="shared" ref="KV4:KV19" si="71">IF(KU4="","",IF(KU4&gt;3.7,"A",IF(KU4&gt;2.8,"B",IF(KU4&gt;1.5,"C",IF(KU4&gt;0,"D",IF(KU4=0,""))))))</f>
        <v/>
      </c>
      <c r="KW4" s="152"/>
      <c r="KX4" s="185"/>
      <c r="KY4" s="185"/>
      <c r="KZ4" s="106" t="str">
        <f>IFERROR((((COUNTIF('Elève (6ème4)'!KW5:KY6,"A"))*4)+((COUNTIF('Elève (6ème4)'!KW5:KY6,"B"))*3)+((COUNTIF('Elève (6ème4)'!KW5:KY6,"C"))*2)+((COUNTIF('Elève (6ème4)'!KW5:KY6,"D"))*1))/(COUNTA(KW5:KY6)),"")</f>
        <v/>
      </c>
      <c r="LA4" s="107" t="str">
        <f t="shared" ref="LA4:LA19" si="72">IF(KZ4="","",IF(KZ4&gt;3.7,"A",IF(KZ4&gt;2.8,"B",IF(KZ4&gt;1.5,"C",IF(KZ4&gt;0,"D",IF(KZ4=0,""))))))</f>
        <v/>
      </c>
      <c r="LB4" s="204"/>
      <c r="LC4" s="186"/>
      <c r="LD4" s="205"/>
      <c r="LE4" s="106" t="str">
        <f>IFERROR((((COUNTIF('Elève (6ème4)'!LB5:LD6,"A"))*4)+((COUNTIF('Elève (6ème4)'!LB5:LD6,"B"))*3)+((COUNTIF('Elève (6ème4)'!LB5:LD6,"C"))*2)+((COUNTIF('Elève (6ème4)'!LB5:LD6,"D"))*1))/(COUNTA(LB5:LD6)),"")</f>
        <v/>
      </c>
      <c r="LF4" s="121" t="str">
        <f t="shared" ref="LF4:LF19" si="73">IF(LE4="","",IF(LE4&gt;3.7,"A",IF(LE4&gt;2.8,"B",IF(LE4&gt;1.5,"C",IF(LE4&gt;0,"D",IF(LE4=0,""))))))</f>
        <v/>
      </c>
      <c r="LG4" s="100"/>
      <c r="LH4" s="187"/>
      <c r="LI4" s="188"/>
      <c r="LJ4" s="106" t="str">
        <f>IFERROR((((COUNTIF('Elève (6ème4)'!LG5:LI6,"A"))*4)+((COUNTIF('Elève (6ème4)'!LG5:LI6,"B"))*3)+((COUNTIF('Elève (6ème4)'!LG5:LI6,"C"))*2)+((COUNTIF('Elève (6ème4)'!LG5:LI6,"D"))*1))/(COUNTA(LG5:LI6)),"")</f>
        <v/>
      </c>
      <c r="LK4" s="128" t="str">
        <f t="shared" ref="LK4:LK19" si="74">IF(LJ4="","",IF(LJ4&gt;3.7,"A",IF(LJ4&gt;2.8,"B",IF(LJ4&gt;1.5,"C",IF(LJ4&gt;0,"D",IF(LJ4=0,""))))))</f>
        <v/>
      </c>
      <c r="LL4" s="177" t="str">
        <f>IFERROR((((COUNTIF(KW5:KY6,"A")+COUNTIF(LB5:LD6,"A")+COUNTIF(LG5:LI6,"A"))*4)+((COUNTIF(KW5:KY6,"B")+COUNTIF(LB5:LD6,"B")+COUNTIF(LG5:LI6,"B"))*3)+((COUNTIF(KW5:KY6,"C")+COUNTIF(LB5:LD6,"C")+COUNTIF(LG5:LI6,"C"))*2)+((COUNTIF(KW5:KY6,"D")+COUNTIF(LB5:LD6,"D")+COUNTIF(LG5:LI6,"D"))*1))/(COUNTA(KW5:KY6)+COUNTA(LB5:LD6)+COUNTA(LG5:LI6)),"")</f>
        <v/>
      </c>
      <c r="LM4" s="130" t="str">
        <f t="shared" ref="LM4:LM19" si="75">IF(LL4="","",IF(LL4&gt;3.7,"A",IF(LL4&gt;2.8,"B",IF(LL4&gt;1.5,"C",IF(LL4&gt;0,"D",IF(LL4=0,""))))))</f>
        <v/>
      </c>
      <c r="LN4" s="152"/>
      <c r="LO4" s="185"/>
      <c r="LP4" s="185"/>
      <c r="LQ4" s="106" t="str">
        <f>IFERROR((((COUNTIF('Elève (6ème4)'!LN5:LP6,"A"))*4)+((COUNTIF('Elève (6ème4)'!LN5:LP6,"B"))*3)+((COUNTIF('Elève (6ème4)'!LN5:LP6,"C"))*2)+((COUNTIF('Elève (6ème4)'!LN5:LP6,"D"))*1))/(COUNTA(LN5:LP6)),"")</f>
        <v/>
      </c>
      <c r="LR4" s="107" t="str">
        <f t="shared" ref="LR4:LR19" si="76">IF(LQ4="","",IF(LQ4&gt;3.7,"A",IF(LQ4&gt;2.8,"B",IF(LQ4&gt;1.5,"C",IF(LQ4&gt;0,"D",IF(LQ4=0,""))))))</f>
        <v/>
      </c>
      <c r="LS4" s="204"/>
      <c r="LT4" s="186"/>
      <c r="LU4" s="205"/>
      <c r="LV4" s="106" t="str">
        <f>IFERROR((((COUNTIF('Elève (6ème4)'!LS5:LU6,"A"))*4)+((COUNTIF('Elève (6ème4)'!LS5:LU6,"B"))*3)+((COUNTIF('Elève (6ème4)'!LS5:LU6,"C"))*2)+((COUNTIF('Elève (6ème4)'!LS5:LU6,"D"))*1))/(COUNTA(LS5:LU6)),"")</f>
        <v/>
      </c>
      <c r="LW4" s="121" t="str">
        <f t="shared" ref="LW4:LW19" si="77">IF(LV4="","",IF(LV4&gt;3.7,"A",IF(LV4&gt;2.8,"B",IF(LV4&gt;1.5,"C",IF(LV4&gt;0,"D",IF(LV4=0,""))))))</f>
        <v/>
      </c>
      <c r="LX4" s="100"/>
      <c r="LY4" s="187"/>
      <c r="LZ4" s="188"/>
      <c r="MA4" s="106" t="str">
        <f>IFERROR((((COUNTIF('Elève (6ème4)'!LX5:LZ6,"A"))*4)+((COUNTIF('Elève (6ème4)'!LX5:LZ6,"B"))*3)+((COUNTIF('Elève (6ème4)'!LX5:LZ6,"C"))*2)+((COUNTIF('Elève (6ème4)'!LX5:LZ6,"D"))*1))/(COUNTA(LX5:LZ6)),"")</f>
        <v/>
      </c>
      <c r="MB4" s="128" t="str">
        <f t="shared" ref="MB4:MB19" si="78">IF(MA4="","",IF(MA4&gt;3.7,"A",IF(MA4&gt;2.8,"B",IF(MA4&gt;1.5,"C",IF(MA4&gt;0,"D",IF(MA4=0,""))))))</f>
        <v/>
      </c>
      <c r="MC4" s="177" t="str">
        <f>IFERROR((((COUNTIF(LN5:LP6,"A")+COUNTIF(LS5:LU6,"A")+COUNTIF(LX5:LZ6,"A"))*4)+((COUNTIF(LN5:LP6,"B")+COUNTIF(LS5:LU6,"B")+COUNTIF(LX5:LZ6,"B"))*3)+((COUNTIF(LN5:LP6,"C")+COUNTIF(LS5:LU6,"C")+COUNTIF(LX5:LZ6,"C"))*2)+((COUNTIF(LN5:LP6,"D")+COUNTIF(LS5:LU6,"D")+COUNTIF(LX5:LZ6,"D"))*1))/(COUNTA(LN5:LP6)+COUNTA(LS5:LU6)+COUNTA(LX5:LZ6)),"")</f>
        <v/>
      </c>
      <c r="MD4" s="130" t="str">
        <f t="shared" ref="MD4:MD19" si="79">IF(MC4="","",IF(MC4&gt;3.7,"A",IF(MC4&gt;2.8,"B",IF(MC4&gt;1.5,"C",IF(MC4&gt;0,"D",IF(MC4=0,""))))))</f>
        <v/>
      </c>
      <c r="ME4" s="152"/>
      <c r="MF4" s="185"/>
      <c r="MG4" s="185"/>
      <c r="MH4" s="106" t="str">
        <f>IFERROR((((COUNTIF('Elève (6ème4)'!ME5:MG6,"A"))*4)+((COUNTIF('Elève (6ème4)'!ME5:MG6,"B"))*3)+((COUNTIF('Elève (6ème4)'!ME5:MG6,"C"))*2)+((COUNTIF('Elève (6ème4)'!ME5:MG6,"D"))*1))/(COUNTA(ME5:MG6)),"")</f>
        <v/>
      </c>
      <c r="MI4" s="107" t="str">
        <f t="shared" ref="MI4:MI19" si="80">IF(MH4="","",IF(MH4&gt;3.7,"A",IF(MH4&gt;2.8,"B",IF(MH4&gt;1.5,"C",IF(MH4&gt;0,"D",IF(MH4=0,""))))))</f>
        <v/>
      </c>
      <c r="MJ4" s="204"/>
      <c r="MK4" s="186"/>
      <c r="ML4" s="205"/>
      <c r="MM4" s="106" t="str">
        <f>IFERROR((((COUNTIF('Elève (6ème4)'!MJ5:ML6,"A"))*4)+((COUNTIF('Elève (6ème4)'!MJ5:ML6,"B"))*3)+((COUNTIF('Elève (6ème4)'!MJ5:ML6,"C"))*2)+((COUNTIF('Elève (6ème4)'!MJ5:ML6,"D"))*1))/(COUNTA(MJ5:ML6)),"")</f>
        <v/>
      </c>
      <c r="MN4" s="121" t="str">
        <f t="shared" ref="MN4:MN19" si="81">IF(MM4="","",IF(MM4&gt;3.7,"A",IF(MM4&gt;2.8,"B",IF(MM4&gt;1.5,"C",IF(MM4&gt;0,"D",IF(MM4=0,""))))))</f>
        <v/>
      </c>
      <c r="MO4" s="100"/>
      <c r="MP4" s="187"/>
      <c r="MQ4" s="188"/>
      <c r="MR4" s="106" t="str">
        <f>IFERROR((((COUNTIF('Elève (6ème4)'!MO5:MQ6,"A"))*4)+((COUNTIF('Elève (6ème4)'!MO5:MQ6,"B"))*3)+((COUNTIF('Elève (6ème4)'!MO5:MQ6,"C"))*2)+((COUNTIF('Elève (6ème4)'!MO5:MQ6,"D"))*1))/(COUNTA(MO5:MQ6)),"")</f>
        <v/>
      </c>
      <c r="MS4" s="128" t="str">
        <f t="shared" ref="MS4:MS19" si="82">IF(MR4="","",IF(MR4&gt;3.7,"A",IF(MR4&gt;2.8,"B",IF(MR4&gt;1.5,"C",IF(MR4&gt;0,"D",IF(MR4=0,""))))))</f>
        <v/>
      </c>
      <c r="MT4" s="177" t="str">
        <f>IFERROR((((COUNTIF(ME5:MG6,"A")+COUNTIF(MJ5:ML6,"A")+COUNTIF(MO5:MQ6,"A"))*4)+((COUNTIF(ME5:MG6,"B")+COUNTIF(MJ5:ML6,"B")+COUNTIF(MO5:MQ6,"B"))*3)+((COUNTIF(ME5:MG6,"C")+COUNTIF(MJ5:ML6,"C")+COUNTIF(MO5:MQ6,"C"))*2)+((COUNTIF(ME5:MG6,"D")+COUNTIF(MJ5:ML6,"D")+COUNTIF(MO5:MQ6,"D"))*1))/(COUNTA(ME5:MG6)+COUNTA(MJ5:ML6)+COUNTA(MO5:MQ6)),"")</f>
        <v/>
      </c>
      <c r="MU4" s="130" t="str">
        <f t="shared" ref="MU4:MU19" si="83">IF(MT4="","",IF(MT4&gt;3.7,"A",IF(MT4&gt;2.8,"B",IF(MT4&gt;1.5,"C",IF(MT4&gt;0,"D",IF(MT4=0,""))))))</f>
        <v/>
      </c>
      <c r="MV4" s="152"/>
      <c r="MW4" s="185"/>
      <c r="MX4" s="185"/>
      <c r="MY4" s="106" t="str">
        <f>IFERROR((((COUNTIF('Elève (6ème4)'!MV5:MX6,"A"))*4)+((COUNTIF('Elève (6ème4)'!MV5:MX6,"B"))*3)+((COUNTIF('Elève (6ème4)'!MV5:MX6,"C"))*2)+((COUNTIF('Elève (6ème4)'!MV5:MX6,"D"))*1))/(COUNTA(MV5:MX6)),"")</f>
        <v/>
      </c>
      <c r="MZ4" s="107" t="str">
        <f t="shared" ref="MZ4:MZ19" si="84">IF(MY4="","",IF(MY4&gt;3.7,"A",IF(MY4&gt;2.8,"B",IF(MY4&gt;1.5,"C",IF(MY4&gt;0,"D",IF(MY4=0,""))))))</f>
        <v/>
      </c>
      <c r="NA4" s="204"/>
      <c r="NB4" s="186"/>
      <c r="NC4" s="205"/>
      <c r="ND4" s="106" t="str">
        <f>IFERROR((((COUNTIF('Elève (6ème4)'!NA5:NC6,"A"))*4)+((COUNTIF('Elève (6ème4)'!NA5:NC6,"B"))*3)+((COUNTIF('Elève (6ème4)'!NA5:NC6,"C"))*2)+((COUNTIF('Elève (6ème4)'!NA5:NC6,"D"))*1))/(COUNTA(NA5:NC6)),"")</f>
        <v/>
      </c>
      <c r="NE4" s="121" t="str">
        <f t="shared" ref="NE4:NE19" si="85">IF(ND4="","",IF(ND4&gt;3.7,"A",IF(ND4&gt;2.8,"B",IF(ND4&gt;1.5,"C",IF(ND4&gt;0,"D",IF(ND4=0,""))))))</f>
        <v/>
      </c>
      <c r="NF4" s="100"/>
      <c r="NG4" s="187"/>
      <c r="NH4" s="188"/>
      <c r="NI4" s="106" t="str">
        <f>IFERROR((((COUNTIF('Elève (6ème4)'!NF5:NH6,"A"))*4)+((COUNTIF('Elève (6ème4)'!NF5:NH6,"B"))*3)+((COUNTIF('Elève (6ème4)'!NF5:NH6,"C"))*2)+((COUNTIF('Elève (6ème4)'!NF5:NH6,"D"))*1))/(COUNTA(NF5:NH6)),"")</f>
        <v/>
      </c>
      <c r="NJ4" s="128" t="str">
        <f t="shared" ref="NJ4:NJ19" si="86">IF(NI4="","",IF(NI4&gt;3.7,"A",IF(NI4&gt;2.8,"B",IF(NI4&gt;1.5,"C",IF(NI4&gt;0,"D",IF(NI4=0,""))))))</f>
        <v/>
      </c>
      <c r="NK4" s="177" t="str">
        <f>IFERROR((((COUNTIF(MV5:MX6,"A")+COUNTIF(NA5:NC6,"A")+COUNTIF(NF5:NH6,"A"))*4)+((COUNTIF(MV5:MX6,"B")+COUNTIF(NA5:NC6,"B")+COUNTIF(NF5:NH6,"B"))*3)+((COUNTIF(MV5:MX6,"C")+COUNTIF(NA5:NC6,"C")+COUNTIF(NF5:NH6,"C"))*2)+((COUNTIF(MV5:MX6,"D")+COUNTIF(NA5:NC6,"D")+COUNTIF(NF5:NH6,"D"))*1))/(COUNTA(MV5:MX6)+COUNTA(NA5:NC6)+COUNTA(NF5:NH6)),"")</f>
        <v/>
      </c>
      <c r="NL4" s="130" t="str">
        <f t="shared" ref="NL4:NL19" si="87">IF(NK4="","",IF(NK4&gt;3.7,"A",IF(NK4&gt;2.8,"B",IF(NK4&gt;1.5,"C",IF(NK4&gt;0,"D",IF(NK4=0,""))))))</f>
        <v/>
      </c>
      <c r="NM4" s="152"/>
      <c r="NN4" s="185"/>
      <c r="NO4" s="185"/>
      <c r="NP4" s="106" t="str">
        <f>IFERROR((((COUNTIF('Elève (6ème4)'!NM5:NO6,"A"))*4)+((COUNTIF('Elève (6ème4)'!NM5:NO6,"B"))*3)+((COUNTIF('Elève (6ème4)'!NM5:NO6,"C"))*2)+((COUNTIF('Elève (6ème4)'!NM5:NO6,"D"))*1))/(COUNTA(NM5:NO6)),"")</f>
        <v/>
      </c>
      <c r="NQ4" s="107" t="str">
        <f t="shared" ref="NQ4:NQ19" si="88">IF(NP4="","",IF(NP4&gt;3.7,"A",IF(NP4&gt;2.8,"B",IF(NP4&gt;1.5,"C",IF(NP4&gt;0,"D",IF(NP4=0,""))))))</f>
        <v/>
      </c>
      <c r="NR4" s="204"/>
      <c r="NS4" s="186"/>
      <c r="NT4" s="205"/>
      <c r="NU4" s="106" t="str">
        <f>IFERROR((((COUNTIF('Elève (6ème4)'!NR5:NT6,"A"))*4)+((COUNTIF('Elève (6ème4)'!NR5:NT6,"B"))*3)+((COUNTIF('Elève (6ème4)'!NR5:NT6,"C"))*2)+((COUNTIF('Elève (6ème4)'!NR5:NT6,"D"))*1))/(COUNTA(NR5:NT6)),"")</f>
        <v/>
      </c>
      <c r="NV4" s="121" t="str">
        <f t="shared" ref="NV4:NV19" si="89">IF(NU4="","",IF(NU4&gt;3.7,"A",IF(NU4&gt;2.8,"B",IF(NU4&gt;1.5,"C",IF(NU4&gt;0,"D",IF(NU4=0,""))))))</f>
        <v/>
      </c>
      <c r="NW4" s="100"/>
      <c r="NX4" s="187"/>
      <c r="NY4" s="188"/>
      <c r="NZ4" s="106" t="str">
        <f>IFERROR((((COUNTIF('Elève (6ème4)'!NW5:NY6,"A"))*4)+((COUNTIF('Elève (6ème4)'!NW5:NY6,"B"))*3)+((COUNTIF('Elève (6ème4)'!NW5:NY6,"C"))*2)+((COUNTIF('Elève (6ème4)'!NW5:NY6,"D"))*1))/(COUNTA(NW5:NY6)),"")</f>
        <v/>
      </c>
      <c r="OA4" s="128" t="str">
        <f t="shared" ref="OA4:OA19" si="90">IF(NZ4="","",IF(NZ4&gt;3.7,"A",IF(NZ4&gt;2.8,"B",IF(NZ4&gt;1.5,"C",IF(NZ4&gt;0,"D",IF(NZ4=0,""))))))</f>
        <v/>
      </c>
      <c r="OB4" s="177" t="str">
        <f>IFERROR((((COUNTIF(NM5:NO6,"A")+COUNTIF(NR5:NT6,"A")+COUNTIF(NW5:NY6,"A"))*4)+((COUNTIF(NM5:NO6,"B")+COUNTIF(NR5:NT6,"B")+COUNTIF(NW5:NY6,"B"))*3)+((COUNTIF(NM5:NO6,"C")+COUNTIF(NR5:NT6,"C")+COUNTIF(NW5:NY6,"C"))*2)+((COUNTIF(NM5:NO6,"D")+COUNTIF(NR5:NT6,"D")+COUNTIF(NW5:NY6,"D"))*1))/(COUNTA(NM5:NO6)+COUNTA(NR5:NT6)+COUNTA(NW5:NY6)),"")</f>
        <v/>
      </c>
      <c r="OC4" s="130" t="str">
        <f t="shared" ref="OC4:OC19" si="91">IF(OB4="","",IF(OB4&gt;3.7,"A",IF(OB4&gt;2.8,"B",IF(OB4&gt;1.5,"C",IF(OB4&gt;0,"D",IF(OB4=0,""))))))</f>
        <v/>
      </c>
      <c r="OD4" s="152"/>
      <c r="OE4" s="185"/>
      <c r="OF4" s="185"/>
      <c r="OG4" s="106" t="str">
        <f>IFERROR((((COUNTIF('Elève (6ème4)'!OD5:OF6,"A"))*4)+((COUNTIF('Elève (6ème4)'!OD5:OF6,"B"))*3)+((COUNTIF('Elève (6ème4)'!OD5:OF6,"C"))*2)+((COUNTIF('Elève (6ème4)'!OD5:OF6,"D"))*1))/(COUNTA(OD5:OF6)),"")</f>
        <v/>
      </c>
      <c r="OH4" s="107" t="str">
        <f t="shared" ref="OH4:OH19" si="92">IF(OG4="","",IF(OG4&gt;3.7,"A",IF(OG4&gt;2.8,"B",IF(OG4&gt;1.5,"C",IF(OG4&gt;0,"D",IF(OG4=0,""))))))</f>
        <v/>
      </c>
      <c r="OI4" s="204"/>
      <c r="OJ4" s="186"/>
      <c r="OK4" s="205"/>
      <c r="OL4" s="106" t="str">
        <f>IFERROR((((COUNTIF('Elève (6ème4)'!OI5:OK6,"A"))*4)+((COUNTIF('Elève (6ème4)'!OI5:OK6,"B"))*3)+((COUNTIF('Elève (6ème4)'!OI5:OK6,"C"))*2)+((COUNTIF('Elève (6ème4)'!OI5:OK6,"D"))*1))/(COUNTA(OI5:OK6)),"")</f>
        <v/>
      </c>
      <c r="OM4" s="121" t="str">
        <f t="shared" ref="OM4:OM19" si="93">IF(OL4="","",IF(OL4&gt;3.7,"A",IF(OL4&gt;2.8,"B",IF(OL4&gt;1.5,"C",IF(OL4&gt;0,"D",IF(OL4=0,""))))))</f>
        <v/>
      </c>
      <c r="ON4" s="100"/>
      <c r="OO4" s="187"/>
      <c r="OP4" s="188"/>
      <c r="OQ4" s="106" t="str">
        <f>IFERROR((((COUNTIF('Elève (6ème4)'!ON5:OP6,"A"))*4)+((COUNTIF('Elève (6ème4)'!ON5:OP6,"B"))*3)+((COUNTIF('Elève (6ème4)'!ON5:OP6,"C"))*2)+((COUNTIF('Elève (6ème4)'!ON5:OP6,"D"))*1))/(COUNTA(ON5:OP6)),"")</f>
        <v/>
      </c>
      <c r="OR4" s="128" t="str">
        <f t="shared" ref="OR4:OR19" si="94">IF(OQ4="","",IF(OQ4&gt;3.7,"A",IF(OQ4&gt;2.8,"B",IF(OQ4&gt;1.5,"C",IF(OQ4&gt;0,"D",IF(OQ4=0,""))))))</f>
        <v/>
      </c>
      <c r="OS4" s="177" t="str">
        <f>IFERROR((((COUNTIF(OD5:OF6,"A")+COUNTIF(OI5:OK6,"A")+COUNTIF(ON5:OP6,"A"))*4)+((COUNTIF(OD5:OF6,"B")+COUNTIF(OI5:OK6,"B")+COUNTIF(ON5:OP6,"B"))*3)+((COUNTIF(OD5:OF6,"C")+COUNTIF(OI5:OK6,"C")+COUNTIF(ON5:OP6,"C"))*2)+((COUNTIF(OD5:OF6,"D")+COUNTIF(OI5:OK6,"D")+COUNTIF(ON5:OP6,"D"))*1))/(COUNTA(OD5:OF6)+COUNTA(OI5:OK6)+COUNTA(ON5:OP6)),"")</f>
        <v/>
      </c>
      <c r="OT4" s="130" t="str">
        <f t="shared" ref="OT4:OT19" si="95">IF(OS4="","",IF(OS4&gt;3.7,"A",IF(OS4&gt;2.8,"B",IF(OS4&gt;1.5,"C",IF(OS4&gt;0,"D",IF(OS4=0,""))))))</f>
        <v/>
      </c>
      <c r="OU4" s="152"/>
      <c r="OV4" s="185"/>
      <c r="OW4" s="185"/>
      <c r="OX4" s="106" t="str">
        <f>IFERROR((((COUNTIF('Elève (6ème4)'!OU5:OW6,"A"))*4)+((COUNTIF('Elève (6ème4)'!OU5:OW6,"B"))*3)+((COUNTIF('Elève (6ème4)'!OU5:OW6,"C"))*2)+((COUNTIF('Elève (6ème4)'!OU5:OW6,"D"))*1))/(COUNTA(OU5:OW6)),"")</f>
        <v/>
      </c>
      <c r="OY4" s="107" t="str">
        <f t="shared" ref="OY4:OY19" si="96">IF(OX4="","",IF(OX4&gt;3.7,"A",IF(OX4&gt;2.8,"B",IF(OX4&gt;1.5,"C",IF(OX4&gt;0,"D",IF(OX4=0,""))))))</f>
        <v/>
      </c>
      <c r="OZ4" s="204"/>
      <c r="PA4" s="186"/>
      <c r="PB4" s="205"/>
      <c r="PC4" s="106" t="str">
        <f>IFERROR((((COUNTIF('Elève (6ème4)'!OZ5:PB6,"A"))*4)+((COUNTIF('Elève (6ème4)'!OZ5:PB6,"B"))*3)+((COUNTIF('Elève (6ème4)'!OZ5:PB6,"C"))*2)+((COUNTIF('Elève (6ème4)'!OZ5:PB6,"D"))*1))/(COUNTA(OZ5:PB6)),"")</f>
        <v/>
      </c>
      <c r="PD4" s="121" t="str">
        <f t="shared" ref="PD4:PD19" si="97">IF(PC4="","",IF(PC4&gt;3.7,"A",IF(PC4&gt;2.8,"B",IF(PC4&gt;1.5,"C",IF(PC4&gt;0,"D",IF(PC4=0,""))))))</f>
        <v/>
      </c>
      <c r="PE4" s="100"/>
      <c r="PF4" s="187"/>
      <c r="PG4" s="188"/>
      <c r="PH4" s="106" t="str">
        <f>IFERROR((((COUNTIF('Elève (6ème4)'!PE5:PG6,"A"))*4)+((COUNTIF('Elève (6ème4)'!PE5:PG6,"B"))*3)+((COUNTIF('Elève (6ème4)'!PE5:PG6,"C"))*2)+((COUNTIF('Elève (6ème4)'!PE5:PG6,"D"))*1))/(COUNTA(PE5:PG6)),"")</f>
        <v/>
      </c>
      <c r="PI4" s="128" t="str">
        <f t="shared" ref="PI4:PI19" si="98">IF(PH4="","",IF(PH4&gt;3.7,"A",IF(PH4&gt;2.8,"B",IF(PH4&gt;1.5,"C",IF(PH4&gt;0,"D",IF(PH4=0,""))))))</f>
        <v/>
      </c>
      <c r="PJ4" s="177" t="str">
        <f>IFERROR((((COUNTIF(OU5:OW6,"A")+COUNTIF(OZ5:PB6,"A")+COUNTIF(PE5:PG6,"A"))*4)+((COUNTIF(OU5:OW6,"B")+COUNTIF(OZ5:PB6,"B")+COUNTIF(PE5:PG6,"B"))*3)+((COUNTIF(OU5:OW6,"C")+COUNTIF(OZ5:PB6,"C")+COUNTIF(PE5:PG6,"C"))*2)+((COUNTIF(OU5:OW6,"D")+COUNTIF(OZ5:PB6,"D")+COUNTIF(PE5:PG6,"D"))*1))/(COUNTA(OU5:OW6)+COUNTA(OZ5:PB6)+COUNTA(PE5:PG6)),"")</f>
        <v/>
      </c>
      <c r="PK4" s="130" t="str">
        <f t="shared" ref="PK4:PK19" si="99">IF(PJ4="","",IF(PJ4&gt;3.7,"A",IF(PJ4&gt;2.8,"B",IF(PJ4&gt;1.5,"C",IF(PJ4&gt;0,"D",IF(PJ4=0,""))))))</f>
        <v/>
      </c>
      <c r="PL4" s="152"/>
      <c r="PM4" s="185"/>
      <c r="PN4" s="185"/>
      <c r="PO4" s="106" t="str">
        <f>IFERROR((((COUNTIF('Elève (6ème4)'!PL5:PN6,"A"))*4)+((COUNTIF('Elève (6ème4)'!PL5:PN6,"B"))*3)+((COUNTIF('Elève (6ème4)'!PL5:PN6,"C"))*2)+((COUNTIF('Elève (6ème4)'!PL5:PN6,"D"))*1))/(COUNTA(PL5:PN6)),"")</f>
        <v/>
      </c>
      <c r="PP4" s="107" t="str">
        <f t="shared" ref="PP4:PP19" si="100">IF(PO4="","",IF(PO4&gt;3.7,"A",IF(PO4&gt;2.8,"B",IF(PO4&gt;1.5,"C",IF(PO4&gt;0,"D",IF(PO4=0,""))))))</f>
        <v/>
      </c>
      <c r="PQ4" s="204"/>
      <c r="PR4" s="186"/>
      <c r="PS4" s="205"/>
      <c r="PT4" s="106" t="str">
        <f>IFERROR((((COUNTIF('Elève (6ème4)'!PQ5:PS6,"A"))*4)+((COUNTIF('Elève (6ème4)'!PQ5:PS6,"B"))*3)+((COUNTIF('Elève (6ème4)'!PQ5:PS6,"C"))*2)+((COUNTIF('Elève (6ème4)'!PQ5:PS6,"D"))*1))/(COUNTA(PQ5:PS6)),"")</f>
        <v/>
      </c>
      <c r="PU4" s="121" t="str">
        <f t="shared" ref="PU4:PU19" si="101">IF(PT4="","",IF(PT4&gt;3.7,"A",IF(PT4&gt;2.8,"B",IF(PT4&gt;1.5,"C",IF(PT4&gt;0,"D",IF(PT4=0,""))))))</f>
        <v/>
      </c>
      <c r="PV4" s="100"/>
      <c r="PW4" s="187"/>
      <c r="PX4" s="188"/>
      <c r="PY4" s="106" t="str">
        <f>IFERROR((((COUNTIF('Elève (6ème4)'!PV5:PX6,"A"))*4)+((COUNTIF('Elève (6ème4)'!PV5:PX6,"B"))*3)+((COUNTIF('Elève (6ème4)'!PV5:PX6,"C"))*2)+((COUNTIF('Elève (6ème4)'!PV5:PX6,"D"))*1))/(COUNTA(PV5:PX6)),"")</f>
        <v/>
      </c>
      <c r="PZ4" s="128" t="str">
        <f t="shared" ref="PZ4:PZ19" si="102">IF(PY4="","",IF(PY4&gt;3.7,"A",IF(PY4&gt;2.8,"B",IF(PY4&gt;1.5,"C",IF(PY4&gt;0,"D",IF(PY4=0,""))))))</f>
        <v/>
      </c>
      <c r="QA4" s="177" t="str">
        <f>IFERROR((((COUNTIF(PL5:PN6,"A")+COUNTIF(PQ5:PS6,"A")+COUNTIF(PV5:PX6,"A"))*4)+((COUNTIF(PL5:PN6,"B")+COUNTIF(PQ5:PS6,"B")+COUNTIF(PV5:PX6,"B"))*3)+((COUNTIF(PL5:PN6,"C")+COUNTIF(PQ5:PS6,"C")+COUNTIF(PV5:PX6,"C"))*2)+((COUNTIF(PL5:PN6,"D")+COUNTIF(PQ5:PS6,"D")+COUNTIF(PV5:PX6,"D"))*1))/(COUNTA(PL5:PN6)+COUNTA(PQ5:PS6)+COUNTA(PV5:PX6)),"")</f>
        <v/>
      </c>
      <c r="QB4" s="130" t="str">
        <f t="shared" ref="QB4:QB19" si="103">IF(QA4="","",IF(QA4&gt;3.7,"A",IF(QA4&gt;2.8,"B",IF(QA4&gt;1.5,"C",IF(QA4&gt;0,"D",IF(QA4=0,""))))))</f>
        <v/>
      </c>
      <c r="QC4" s="152"/>
      <c r="QD4" s="185"/>
      <c r="QE4" s="185"/>
      <c r="QF4" s="106" t="str">
        <f>IFERROR((((COUNTIF('Elève (6ème4)'!QC5:QE6,"A"))*4)+((COUNTIF('Elève (6ème4)'!QC5:QE6,"B"))*3)+((COUNTIF('Elève (6ème4)'!QC5:QE6,"C"))*2)+((COUNTIF('Elève (6ème4)'!QC5:QE6,"D"))*1))/(COUNTA(QC5:QE6)),"")</f>
        <v/>
      </c>
      <c r="QG4" s="107" t="str">
        <f t="shared" ref="QG4:QG19" si="104">IF(QF4="","",IF(QF4&gt;3.7,"A",IF(QF4&gt;2.8,"B",IF(QF4&gt;1.5,"C",IF(QF4&gt;0,"D",IF(QF4=0,""))))))</f>
        <v/>
      </c>
      <c r="QH4" s="204"/>
      <c r="QI4" s="186"/>
      <c r="QJ4" s="205"/>
      <c r="QK4" s="106" t="str">
        <f>IFERROR((((COUNTIF('Elève (6ème4)'!QH5:QJ6,"A"))*4)+((COUNTIF('Elève (6ème4)'!QH5:QJ6,"B"))*3)+((COUNTIF('Elève (6ème4)'!QH5:QJ6,"C"))*2)+((COUNTIF('Elève (6ème4)'!QH5:QJ6,"D"))*1))/(COUNTA(QH5:QJ6)),"")</f>
        <v/>
      </c>
      <c r="QL4" s="121" t="str">
        <f t="shared" ref="QL4:QL19" si="105">IF(QK4="","",IF(QK4&gt;3.7,"A",IF(QK4&gt;2.8,"B",IF(QK4&gt;1.5,"C",IF(QK4&gt;0,"D",IF(QK4=0,""))))))</f>
        <v/>
      </c>
      <c r="QM4" s="100"/>
      <c r="QN4" s="187"/>
      <c r="QO4" s="188"/>
      <c r="QP4" s="106" t="str">
        <f>IFERROR((((COUNTIF('Elève (6ème4)'!QM5:QO6,"A"))*4)+((COUNTIF('Elève (6ème4)'!QM5:QO6,"B"))*3)+((COUNTIF('Elève (6ème4)'!QM5:QO6,"C"))*2)+((COUNTIF('Elève (6ème4)'!QM5:QO6,"D"))*1))/(COUNTA(QM5:QO6)),"")</f>
        <v/>
      </c>
      <c r="QQ4" s="128" t="str">
        <f t="shared" ref="QQ4:QQ19" si="106">IF(QP4="","",IF(QP4&gt;3.7,"A",IF(QP4&gt;2.8,"B",IF(QP4&gt;1.5,"C",IF(QP4&gt;0,"D",IF(QP4=0,""))))))</f>
        <v/>
      </c>
      <c r="QR4" s="177" t="str">
        <f>IFERROR((((COUNTIF(QC5:QE6,"A")+COUNTIF(QH5:QJ6,"A")+COUNTIF(QM5:QO6,"A"))*4)+((COUNTIF(QC5:QE6,"B")+COUNTIF(QH5:QJ6,"B")+COUNTIF(QM5:QO6,"B"))*3)+((COUNTIF(QC5:QE6,"C")+COUNTIF(QH5:QJ6,"C")+COUNTIF(QM5:QO6,"C"))*2)+((COUNTIF(QC5:QE6,"D")+COUNTIF(QH5:QJ6,"D")+COUNTIF(QM5:QO6,"D"))*1))/(COUNTA(QC5:QE6)+COUNTA(QH5:QJ6)+COUNTA(QM5:QO6)),"")</f>
        <v/>
      </c>
      <c r="QS4" s="130" t="str">
        <f t="shared" ref="QS4:QS19" si="107">IF(QR4="","",IF(QR4&gt;3.7,"A",IF(QR4&gt;2.8,"B",IF(QR4&gt;1.5,"C",IF(QR4&gt;0,"D",IF(QR4=0,""))))))</f>
        <v/>
      </c>
      <c r="QT4" s="152"/>
      <c r="QU4" s="185"/>
      <c r="QV4" s="185"/>
      <c r="QW4" s="106" t="str">
        <f>IFERROR((((COUNTIF('Elève (6ème4)'!QT5:QV6,"A"))*4)+((COUNTIF('Elève (6ème4)'!QT5:QV6,"B"))*3)+((COUNTIF('Elève (6ème4)'!QT5:QV6,"C"))*2)+((COUNTIF('Elève (6ème4)'!QT5:QV6,"D"))*1))/(COUNTA(QT5:QV6)),"")</f>
        <v/>
      </c>
      <c r="QX4" s="107" t="str">
        <f t="shared" ref="QX4:QX19" si="108">IF(QW4="","",IF(QW4&gt;3.7,"A",IF(QW4&gt;2.8,"B",IF(QW4&gt;1.5,"C",IF(QW4&gt;0,"D",IF(QW4=0,""))))))</f>
        <v/>
      </c>
      <c r="QY4" s="204"/>
      <c r="QZ4" s="186"/>
      <c r="RA4" s="205"/>
      <c r="RB4" s="106" t="str">
        <f>IFERROR((((COUNTIF('Elève (6ème4)'!QY5:RA6,"A"))*4)+((COUNTIF('Elève (6ème4)'!QY5:RA6,"B"))*3)+((COUNTIF('Elève (6ème4)'!QY5:RA6,"C"))*2)+((COUNTIF('Elève (6ème4)'!QY5:RA6,"D"))*1))/(COUNTA(QY5:RA6)),"")</f>
        <v/>
      </c>
      <c r="RC4" s="121" t="str">
        <f t="shared" ref="RC4:RC19" si="109">IF(RB4="","",IF(RB4&gt;3.7,"A",IF(RB4&gt;2.8,"B",IF(RB4&gt;1.5,"C",IF(RB4&gt;0,"D",IF(RB4=0,""))))))</f>
        <v/>
      </c>
      <c r="RD4" s="100"/>
      <c r="RE4" s="187"/>
      <c r="RF4" s="188"/>
      <c r="RG4" s="106" t="str">
        <f>IFERROR((((COUNTIF('Elève (6ème4)'!RD5:RF6,"A"))*4)+((COUNTIF('Elève (6ème4)'!RD5:RF6,"B"))*3)+((COUNTIF('Elève (6ème4)'!RD5:RF6,"C"))*2)+((COUNTIF('Elève (6ème4)'!RD5:RF6,"D"))*1))/(COUNTA(RD5:RF6)),"")</f>
        <v/>
      </c>
      <c r="RH4" s="128" t="str">
        <f t="shared" ref="RH4:RH19" si="110">IF(RG4="","",IF(RG4&gt;3.7,"A",IF(RG4&gt;2.8,"B",IF(RG4&gt;1.5,"C",IF(RG4&gt;0,"D",IF(RG4=0,""))))))</f>
        <v/>
      </c>
      <c r="RI4" s="177" t="str">
        <f>IFERROR((((COUNTIF(QT5:QV6,"A")+COUNTIF(QY5:RA6,"A")+COUNTIF(RD5:RF6,"A"))*4)+((COUNTIF(QT5:QV6,"B")+COUNTIF(QY5:RA6,"B")+COUNTIF(RD5:RF6,"B"))*3)+((COUNTIF(QT5:QV6,"C")+COUNTIF(QY5:RA6,"C")+COUNTIF(RD5:RF6,"C"))*2)+((COUNTIF(QT5:QV6,"D")+COUNTIF(QY5:RA6,"D")+COUNTIF(RD5:RF6,"D"))*1))/(COUNTA(QT5:QV6)+COUNTA(QY5:RA6)+COUNTA(RD5:RF6)),"")</f>
        <v/>
      </c>
      <c r="RJ4" s="130" t="str">
        <f t="shared" ref="RJ4:RJ19" si="111">IF(RI4="","",IF(RI4&gt;3.7,"A",IF(RI4&gt;2.8,"B",IF(RI4&gt;1.5,"C",IF(RI4&gt;0,"D",IF(RI4=0,""))))))</f>
        <v/>
      </c>
      <c r="RK4" s="152"/>
      <c r="RL4" s="185"/>
      <c r="RM4" s="185"/>
      <c r="RN4" s="106" t="str">
        <f>IFERROR((((COUNTIF('Elève (6ème4)'!RK5:RM6,"A"))*4)+((COUNTIF('Elève (6ème4)'!RK5:RM6,"B"))*3)+((COUNTIF('Elève (6ème4)'!RK5:RM6,"C"))*2)+((COUNTIF('Elève (6ème4)'!RK5:RM6,"D"))*1))/(COUNTA(RK5:RM6)),"")</f>
        <v/>
      </c>
      <c r="RO4" s="107" t="str">
        <f t="shared" ref="RO4:RO19" si="112">IF(RN4="","",IF(RN4&gt;3.7,"A",IF(RN4&gt;2.8,"B",IF(RN4&gt;1.5,"C",IF(RN4&gt;0,"D",IF(RN4=0,""))))))</f>
        <v/>
      </c>
      <c r="RP4" s="204"/>
      <c r="RQ4" s="186"/>
      <c r="RR4" s="205"/>
      <c r="RS4" s="106" t="str">
        <f>IFERROR((((COUNTIF('Elève (6ème4)'!RP5:RR6,"A"))*4)+((COUNTIF('Elève (6ème4)'!RP5:RR6,"B"))*3)+((COUNTIF('Elève (6ème4)'!RP5:RR6,"C"))*2)+((COUNTIF('Elève (6ème4)'!RP5:RR6,"D"))*1))/(COUNTA(RP5:RR6)),"")</f>
        <v/>
      </c>
      <c r="RT4" s="121" t="str">
        <f t="shared" ref="RT4:RT19" si="113">IF(RS4="","",IF(RS4&gt;3.7,"A",IF(RS4&gt;2.8,"B",IF(RS4&gt;1.5,"C",IF(RS4&gt;0,"D",IF(RS4=0,""))))))</f>
        <v/>
      </c>
      <c r="RU4" s="100"/>
      <c r="RV4" s="187"/>
      <c r="RW4" s="188"/>
      <c r="RX4" s="106" t="str">
        <f>IFERROR((((COUNTIF('Elève (6ème4)'!RU5:RW6,"A"))*4)+((COUNTIF('Elève (6ème4)'!RU5:RW6,"B"))*3)+((COUNTIF('Elève (6ème4)'!RU5:RW6,"C"))*2)+((COUNTIF('Elève (6ème4)'!RU5:RW6,"D"))*1))/(COUNTA(RU5:RW6)),"")</f>
        <v/>
      </c>
      <c r="RY4" s="128" t="str">
        <f t="shared" ref="RY4:RY19" si="114">IF(RX4="","",IF(RX4&gt;3.7,"A",IF(RX4&gt;2.8,"B",IF(RX4&gt;1.5,"C",IF(RX4&gt;0,"D",IF(RX4=0,""))))))</f>
        <v/>
      </c>
      <c r="RZ4" s="177" t="str">
        <f>IFERROR((((COUNTIF(RK5:RM6,"A")+COUNTIF(RP5:RR6,"A")+COUNTIF(RU5:RW6,"A"))*4)+((COUNTIF(RK5:RM6,"B")+COUNTIF(RP5:RR6,"B")+COUNTIF(RU5:RW6,"B"))*3)+((COUNTIF(RK5:RM6,"C")+COUNTIF(RP5:RR6,"C")+COUNTIF(RU5:RW6,"C"))*2)+((COUNTIF(RK5:RM6,"D")+COUNTIF(RP5:RR6,"D")+COUNTIF(RU5:RW6,"D"))*1))/(COUNTA(RK5:RM6)+COUNTA(RP5:RR6)+COUNTA(RU5:RW6)),"")</f>
        <v/>
      </c>
      <c r="SA4" s="130" t="str">
        <f t="shared" ref="SA4:SA19" si="115">IF(RZ4="","",IF(RZ4&gt;3.7,"A",IF(RZ4&gt;2.8,"B",IF(RZ4&gt;1.5,"C",IF(RZ4&gt;0,"D",IF(RZ4=0,""))))))</f>
        <v/>
      </c>
      <c r="SB4" s="152"/>
      <c r="SC4" s="185"/>
      <c r="SD4" s="185"/>
      <c r="SE4" s="106" t="str">
        <f>IFERROR((((COUNTIF('Elève (6ème4)'!SB5:SD6,"A"))*4)+((COUNTIF('Elève (6ème4)'!SB5:SD6,"B"))*3)+((COUNTIF('Elève (6ème4)'!SB5:SD6,"C"))*2)+((COUNTIF('Elève (6ème4)'!SB5:SD6,"D"))*1))/(COUNTA(SB5:SD6)),"")</f>
        <v/>
      </c>
      <c r="SF4" s="107" t="str">
        <f t="shared" ref="SF4:SF19" si="116">IF(SE4="","",IF(SE4&gt;3.7,"A",IF(SE4&gt;2.8,"B",IF(SE4&gt;1.5,"C",IF(SE4&gt;0,"D",IF(SE4=0,""))))))</f>
        <v/>
      </c>
      <c r="SG4" s="204"/>
      <c r="SH4" s="186"/>
      <c r="SI4" s="205"/>
      <c r="SJ4" s="106" t="str">
        <f>IFERROR((((COUNTIF('Elève (6ème4)'!SG5:SI6,"A"))*4)+((COUNTIF('Elève (6ème4)'!SG5:SI6,"B"))*3)+((COUNTIF('Elève (6ème4)'!SG5:SI6,"C"))*2)+((COUNTIF('Elève (6ème4)'!SG5:SI6,"D"))*1))/(COUNTA(SG5:SI6)),"")</f>
        <v/>
      </c>
      <c r="SK4" s="121" t="str">
        <f t="shared" ref="SK4:SK19" si="117">IF(SJ4="","",IF(SJ4&gt;3.7,"A",IF(SJ4&gt;2.8,"B",IF(SJ4&gt;1.5,"C",IF(SJ4&gt;0,"D",IF(SJ4=0,""))))))</f>
        <v/>
      </c>
      <c r="SL4" s="100"/>
      <c r="SM4" s="187"/>
      <c r="SN4" s="188"/>
      <c r="SO4" s="106" t="str">
        <f>IFERROR((((COUNTIF('Elève (6ème4)'!SL5:SN6,"A"))*4)+((COUNTIF('Elève (6ème4)'!SL5:SN6,"B"))*3)+((COUNTIF('Elève (6ème4)'!SL5:SN6,"C"))*2)+((COUNTIF('Elève (6ème4)'!SL5:SN6,"D"))*1))/(COUNTA(SL5:SN6)),"")</f>
        <v/>
      </c>
      <c r="SP4" s="128" t="str">
        <f t="shared" ref="SP4:SP19" si="118">IF(SO4="","",IF(SO4&gt;3.7,"A",IF(SO4&gt;2.8,"B",IF(SO4&gt;1.5,"C",IF(SO4&gt;0,"D",IF(SO4=0,""))))))</f>
        <v/>
      </c>
      <c r="SQ4" s="177" t="str">
        <f>IFERROR((((COUNTIF(SB5:SD6,"A")+COUNTIF(SG5:SI6,"A")+COUNTIF(SL5:SN6,"A"))*4)+((COUNTIF(SB5:SD6,"B")+COUNTIF(SG5:SI6,"B")+COUNTIF(SL5:SN6,"B"))*3)+((COUNTIF(SB5:SD6,"C")+COUNTIF(SG5:SI6,"C")+COUNTIF(SL5:SN6,"C"))*2)+((COUNTIF(SB5:SD6,"D")+COUNTIF(SG5:SI6,"D")+COUNTIF(SL5:SN6,"D"))*1))/(COUNTA(SB5:SD6)+COUNTA(SG5:SI6)+COUNTA(SL5:SN6)),"")</f>
        <v/>
      </c>
      <c r="SR4" s="130" t="str">
        <f t="shared" ref="SR4:SR19" si="119">IF(SQ4="","",IF(SQ4&gt;3.7,"A",IF(SQ4&gt;2.8,"B",IF(SQ4&gt;1.5,"C",IF(SQ4&gt;0,"D",IF(SQ4=0,""))))))</f>
        <v/>
      </c>
    </row>
    <row r="5" spans="1:512" s="72" customFormat="1" ht="18" customHeight="1" x14ac:dyDescent="0.25">
      <c r="A5" s="240" t="s">
        <v>12</v>
      </c>
      <c r="B5" s="241"/>
      <c r="C5" s="153"/>
      <c r="D5" s="154"/>
      <c r="E5" s="155"/>
      <c r="F5" s="108" t="str">
        <f>IFERROR((((COUNTIF('Elève (6ème4)'!C5:E5,"A"))*4)+((COUNTIF('Elève (6ème4)'!C5:E5,"B"))*3)+((COUNTIF('Elève (6ème4)'!C5:E5,"C"))*2)+((COUNTIF('Elève (6ème4)'!C5:E5,"D"))*1))/(COUNTA(C5:E5)),"")</f>
        <v/>
      </c>
      <c r="G5" s="109" t="str">
        <f t="shared" si="0"/>
        <v/>
      </c>
      <c r="H5" s="78"/>
      <c r="I5" s="79"/>
      <c r="J5" s="80"/>
      <c r="K5" s="108" t="str">
        <f>IFERROR((((COUNTIF('Elève (6ème4)'!H5:J5,"A"))*4)+((COUNTIF('Elève (6ème4)'!H5:J5,"B"))*3)+((COUNTIF('Elève (6ème4)'!H5:J5,"C"))*2)+((COUNTIF('Elève (6ème4)'!H5:J5,"D"))*1))/(COUNTA(H5:J5)),"")</f>
        <v/>
      </c>
      <c r="L5" s="109" t="str">
        <f t="shared" si="1"/>
        <v/>
      </c>
      <c r="M5" s="78"/>
      <c r="N5" s="79"/>
      <c r="O5" s="80"/>
      <c r="P5" s="108" t="str">
        <f>IFERROR((((COUNTIF('Elève (6ème4)'!M5:O5,"A"))*4)+((COUNTIF('Elève (6ème4)'!M5:O5,"B"))*3)+((COUNTIF('Elève (6ème4)'!M5:O5,"C"))*2)+((COUNTIF('Elève (6ème4)'!M5:O5,"D"))*1))/(COUNTA(M5:O5)),"")</f>
        <v/>
      </c>
      <c r="Q5" s="109" t="str">
        <f t="shared" si="2"/>
        <v/>
      </c>
      <c r="R5" s="178" t="str">
        <f>IF(COUNT(F5,K5,P5)=0,"",SUM(F5,K5,P5)/COUNT(F5,K5,P5))</f>
        <v/>
      </c>
      <c r="S5" s="131" t="str">
        <f t="shared" si="3"/>
        <v/>
      </c>
      <c r="T5" s="153"/>
      <c r="U5" s="154"/>
      <c r="V5" s="155"/>
      <c r="W5" s="108" t="str">
        <f>IFERROR((((COUNTIF('Elève (6ème4)'!T5:V5,"A"))*4)+((COUNTIF('Elève (6ème4)'!T5:V5,"B"))*3)+((COUNTIF('Elève (6ème4)'!T5:V5,"C"))*2)+((COUNTIF('Elève (6ème4)'!T5:V5,"D"))*1))/(COUNTA(T5:V5)),"")</f>
        <v/>
      </c>
      <c r="X5" s="109" t="str">
        <f t="shared" si="4"/>
        <v/>
      </c>
      <c r="Y5" s="78"/>
      <c r="Z5" s="79"/>
      <c r="AA5" s="80"/>
      <c r="AB5" s="108" t="str">
        <f>IFERROR((((COUNTIF('Elève (6ème4)'!Y5:AA5,"A"))*4)+((COUNTIF('Elève (6ème4)'!Y5:AA5,"B"))*3)+((COUNTIF('Elève (6ème4)'!Y5:AA5,"C"))*2)+((COUNTIF('Elève (6ème4)'!Y5:AA5,"D"))*1))/(COUNTA(Y5:AA5)),"")</f>
        <v/>
      </c>
      <c r="AC5" s="109" t="str">
        <f t="shared" si="5"/>
        <v/>
      </c>
      <c r="AD5" s="78"/>
      <c r="AE5" s="79"/>
      <c r="AF5" s="80"/>
      <c r="AG5" s="108" t="str">
        <f>IFERROR((((COUNTIF('Elève (6ème4)'!AD5:AF5,"A"))*4)+((COUNTIF('Elève (6ème4)'!AD5:AF5,"B"))*3)+((COUNTIF('Elève (6ème4)'!AD5:AF5,"C"))*2)+((COUNTIF('Elève (6ème4)'!AD5:AF5,"D"))*1))/(COUNTA(AD5:AF5)),"")</f>
        <v/>
      </c>
      <c r="AH5" s="109" t="str">
        <f t="shared" si="6"/>
        <v/>
      </c>
      <c r="AI5" s="178" t="str">
        <f>IF(COUNT(W5,AB5,AG5)=0,"",SUM(W5,AB5,AG5)/COUNT(W5,AB5,AG5))</f>
        <v/>
      </c>
      <c r="AJ5" s="131" t="str">
        <f t="shared" si="7"/>
        <v/>
      </c>
      <c r="AK5" s="153"/>
      <c r="AL5" s="154"/>
      <c r="AM5" s="155"/>
      <c r="AN5" s="108" t="str">
        <f>IFERROR((((COUNTIF('Elève (6ème4)'!AK5:AM5,"A"))*4)+((COUNTIF('Elève (6ème4)'!AK5:AM5,"B"))*3)+((COUNTIF('Elève (6ème4)'!AK5:AM5,"C"))*2)+((COUNTIF('Elève (6ème4)'!AK5:AM5,"D"))*1))/(COUNTA(AK5:AM5)),"")</f>
        <v/>
      </c>
      <c r="AO5" s="109" t="str">
        <f t="shared" si="8"/>
        <v/>
      </c>
      <c r="AP5" s="78"/>
      <c r="AQ5" s="79"/>
      <c r="AR5" s="80"/>
      <c r="AS5" s="108" t="str">
        <f>IFERROR((((COUNTIF('Elève (6ème4)'!AP5:AR5,"A"))*4)+((COUNTIF('Elève (6ème4)'!AP5:AR5,"B"))*3)+((COUNTIF('Elève (6ème4)'!AP5:AR5,"C"))*2)+((COUNTIF('Elève (6ème4)'!AP5:AR5,"D"))*1))/(COUNTA(AP5:AR5)),"")</f>
        <v/>
      </c>
      <c r="AT5" s="109" t="str">
        <f t="shared" si="9"/>
        <v/>
      </c>
      <c r="AU5" s="78"/>
      <c r="AV5" s="79"/>
      <c r="AW5" s="80"/>
      <c r="AX5" s="108" t="str">
        <f>IFERROR((((COUNTIF('Elève (6ème4)'!AU5:AW5,"A"))*4)+((COUNTIF('Elève (6ème4)'!AU5:AW5,"B"))*3)+((COUNTIF('Elève (6ème4)'!AU5:AW5,"C"))*2)+((COUNTIF('Elève (6ème4)'!AU5:AW5,"D"))*1))/(COUNTA(AU5:AW5)),"")</f>
        <v/>
      </c>
      <c r="AY5" s="109" t="str">
        <f t="shared" si="10"/>
        <v/>
      </c>
      <c r="AZ5" s="178" t="str">
        <f>IF(COUNT(AN5,AS5,AX5)=0,"",SUM(AN5,AS5,AX5)/COUNT(AN5,AS5,AX5))</f>
        <v/>
      </c>
      <c r="BA5" s="131" t="str">
        <f t="shared" si="11"/>
        <v/>
      </c>
      <c r="BB5" s="153"/>
      <c r="BC5" s="154"/>
      <c r="BD5" s="155"/>
      <c r="BE5" s="108" t="str">
        <f>IFERROR((((COUNTIF('Elève (6ème4)'!BB5:BD5,"A"))*4)+((COUNTIF('Elève (6ème4)'!BB5:BD5,"B"))*3)+((COUNTIF('Elève (6ème4)'!BB5:BD5,"C"))*2)+((COUNTIF('Elève (6ème4)'!BB5:BD5,"D"))*1))/(COUNTA(BB5:BD5)),"")</f>
        <v/>
      </c>
      <c r="BF5" s="109" t="str">
        <f t="shared" si="12"/>
        <v/>
      </c>
      <c r="BG5" s="78"/>
      <c r="BH5" s="79"/>
      <c r="BI5" s="80"/>
      <c r="BJ5" s="108" t="str">
        <f>IFERROR((((COUNTIF('Elève (6ème4)'!BG5:BI5,"A"))*4)+((COUNTIF('Elève (6ème4)'!BG5:BI5,"B"))*3)+((COUNTIF('Elève (6ème4)'!BG5:BI5,"C"))*2)+((COUNTIF('Elève (6ème4)'!BG5:BI5,"D"))*1))/(COUNTA(BG5:BI5)),"")</f>
        <v/>
      </c>
      <c r="BK5" s="109" t="str">
        <f t="shared" si="13"/>
        <v/>
      </c>
      <c r="BL5" s="78"/>
      <c r="BM5" s="79"/>
      <c r="BN5" s="80"/>
      <c r="BO5" s="108" t="str">
        <f>IFERROR((((COUNTIF('Elève (6ème4)'!BL5:BN5,"A"))*4)+((COUNTIF('Elève (6ème4)'!BL5:BN5,"B"))*3)+((COUNTIF('Elève (6ème4)'!BL5:BN5,"C"))*2)+((COUNTIF('Elève (6ème4)'!BL5:BN5,"D"))*1))/(COUNTA(BL5:BN5)),"")</f>
        <v/>
      </c>
      <c r="BP5" s="109" t="str">
        <f t="shared" si="14"/>
        <v/>
      </c>
      <c r="BQ5" s="178" t="str">
        <f>IF(COUNT(BE5,BJ5,BO5)=0,"",SUM(BE5,BJ5,BO5)/COUNT(BE5,BJ5,BO5))</f>
        <v/>
      </c>
      <c r="BR5" s="131" t="str">
        <f t="shared" si="15"/>
        <v/>
      </c>
      <c r="BS5" s="153"/>
      <c r="BT5" s="154"/>
      <c r="BU5" s="155"/>
      <c r="BV5" s="108" t="str">
        <f>IFERROR((((COUNTIF('Elève (6ème4)'!BS5:BU5,"A"))*4)+((COUNTIF('Elève (6ème4)'!BS5:BU5,"B"))*3)+((COUNTIF('Elève (6ème4)'!BS5:BU5,"C"))*2)+((COUNTIF('Elève (6ème4)'!BS5:BU5,"D"))*1))/(COUNTA(BS5:BU5)),"")</f>
        <v/>
      </c>
      <c r="BW5" s="109" t="str">
        <f t="shared" si="16"/>
        <v/>
      </c>
      <c r="BX5" s="78"/>
      <c r="BY5" s="79"/>
      <c r="BZ5" s="80"/>
      <c r="CA5" s="108" t="str">
        <f>IFERROR((((COUNTIF('Elève (6ème4)'!BX5:BZ5,"A"))*4)+((COUNTIF('Elève (6ème4)'!BX5:BZ5,"B"))*3)+((COUNTIF('Elève (6ème4)'!BX5:BZ5,"C"))*2)+((COUNTIF('Elève (6ème4)'!BX5:BZ5,"D"))*1))/(COUNTA(BX5:BZ5)),"")</f>
        <v/>
      </c>
      <c r="CB5" s="109" t="str">
        <f t="shared" si="17"/>
        <v/>
      </c>
      <c r="CC5" s="78"/>
      <c r="CD5" s="79"/>
      <c r="CE5" s="80"/>
      <c r="CF5" s="108" t="str">
        <f>IFERROR((((COUNTIF('Elève (6ème4)'!CC5:CE5,"A"))*4)+((COUNTIF('Elève (6ème4)'!CC5:CE5,"B"))*3)+((COUNTIF('Elève (6ème4)'!CC5:CE5,"C"))*2)+((COUNTIF('Elève (6ème4)'!CC5:CE5,"D"))*1))/(COUNTA(CC5:CE5)),"")</f>
        <v/>
      </c>
      <c r="CG5" s="109" t="str">
        <f t="shared" si="18"/>
        <v/>
      </c>
      <c r="CH5" s="178" t="str">
        <f>IF(COUNT(BV5,CA5,CF5)=0,"",SUM(BV5,CA5,CF5)/COUNT(BV5,CA5,CF5))</f>
        <v/>
      </c>
      <c r="CI5" s="131" t="str">
        <f t="shared" si="19"/>
        <v/>
      </c>
      <c r="CJ5" s="153"/>
      <c r="CK5" s="154"/>
      <c r="CL5" s="155"/>
      <c r="CM5" s="108" t="str">
        <f>IFERROR((((COUNTIF('Elève (6ème4)'!CJ5:CL5,"A"))*4)+((COUNTIF('Elève (6ème4)'!CJ5:CL5,"B"))*3)+((COUNTIF('Elève (6ème4)'!CJ5:CL5,"C"))*2)+((COUNTIF('Elève (6ème4)'!CJ5:CL5,"D"))*1))/(COUNTA(CJ5:CL5)),"")</f>
        <v/>
      </c>
      <c r="CN5" s="109" t="str">
        <f t="shared" si="20"/>
        <v/>
      </c>
      <c r="CO5" s="78"/>
      <c r="CP5" s="79"/>
      <c r="CQ5" s="80"/>
      <c r="CR5" s="108" t="str">
        <f>IFERROR((((COUNTIF('Elève (6ème4)'!CO5:CQ5,"A"))*4)+((COUNTIF('Elève (6ème4)'!CO5:CQ5,"B"))*3)+((COUNTIF('Elève (6ème4)'!CO5:CQ5,"C"))*2)+((COUNTIF('Elève (6ème4)'!CO5:CQ5,"D"))*1))/(COUNTA(CO5:CQ5)),"")</f>
        <v/>
      </c>
      <c r="CS5" s="109" t="str">
        <f t="shared" si="21"/>
        <v/>
      </c>
      <c r="CT5" s="78"/>
      <c r="CU5" s="79"/>
      <c r="CV5" s="80"/>
      <c r="CW5" s="108" t="str">
        <f>IFERROR((((COUNTIF('Elève (6ème4)'!CT5:CV5,"A"))*4)+((COUNTIF('Elève (6ème4)'!CT5:CV5,"B"))*3)+((COUNTIF('Elève (6ème4)'!CT5:CV5,"C"))*2)+((COUNTIF('Elève (6ème4)'!CT5:CV5,"D"))*1))/(COUNTA(CT5:CV5)),"")</f>
        <v/>
      </c>
      <c r="CX5" s="109" t="str">
        <f t="shared" si="22"/>
        <v/>
      </c>
      <c r="CY5" s="178" t="str">
        <f>IF(COUNT(CM5,CR5,CW5)=0,"",SUM(CM5,CR5,CW5)/COUNT(CM5,CR5,CW5))</f>
        <v/>
      </c>
      <c r="CZ5" s="131" t="str">
        <f t="shared" si="23"/>
        <v/>
      </c>
      <c r="DA5" s="153"/>
      <c r="DB5" s="154"/>
      <c r="DC5" s="155"/>
      <c r="DD5" s="108" t="str">
        <f>IFERROR((((COUNTIF('Elève (6ème4)'!DA5:DC5,"A"))*4)+((COUNTIF('Elève (6ème4)'!DA5:DC5,"B"))*3)+((COUNTIF('Elève (6ème4)'!DA5:DC5,"C"))*2)+((COUNTIF('Elève (6ème4)'!DA5:DC5,"D"))*1))/(COUNTA(DA5:DC5)),"")</f>
        <v/>
      </c>
      <c r="DE5" s="109" t="str">
        <f t="shared" si="24"/>
        <v/>
      </c>
      <c r="DF5" s="78"/>
      <c r="DG5" s="79"/>
      <c r="DH5" s="80"/>
      <c r="DI5" s="108" t="str">
        <f>IFERROR((((COUNTIF('Elève (6ème4)'!DF5:DH5,"A"))*4)+((COUNTIF('Elève (6ème4)'!DF5:DH5,"B"))*3)+((COUNTIF('Elève (6ème4)'!DF5:DH5,"C"))*2)+((COUNTIF('Elève (6ème4)'!DF5:DH5,"D"))*1))/(COUNTA(DF5:DH5)),"")</f>
        <v/>
      </c>
      <c r="DJ5" s="109" t="str">
        <f t="shared" si="25"/>
        <v/>
      </c>
      <c r="DK5" s="78"/>
      <c r="DL5" s="79"/>
      <c r="DM5" s="80"/>
      <c r="DN5" s="108" t="str">
        <f>IFERROR((((COUNTIF('Elève (6ème4)'!DK5:DM5,"A"))*4)+((COUNTIF('Elève (6ème4)'!DK5:DM5,"B"))*3)+((COUNTIF('Elève (6ème4)'!DK5:DM5,"C"))*2)+((COUNTIF('Elève (6ème4)'!DK5:DM5,"D"))*1))/(COUNTA(DK5:DM5)),"")</f>
        <v/>
      </c>
      <c r="DO5" s="109" t="str">
        <f t="shared" si="26"/>
        <v/>
      </c>
      <c r="DP5" s="178" t="str">
        <f>IF(COUNT(DD5,DI5,DN5)=0,"",SUM(DD5,DI5,DN5)/COUNT(DD5,DI5,DN5))</f>
        <v/>
      </c>
      <c r="DQ5" s="131" t="str">
        <f t="shared" si="27"/>
        <v/>
      </c>
      <c r="DR5" s="153"/>
      <c r="DS5" s="154"/>
      <c r="DT5" s="155"/>
      <c r="DU5" s="108" t="str">
        <f>IFERROR((((COUNTIF('Elève (6ème4)'!DR5:DT5,"A"))*4)+((COUNTIF('Elève (6ème4)'!DR5:DT5,"B"))*3)+((COUNTIF('Elève (6ème4)'!DR5:DT5,"C"))*2)+((COUNTIF('Elève (6ème4)'!DR5:DT5,"D"))*1))/(COUNTA(DR5:DT5)),"")</f>
        <v/>
      </c>
      <c r="DV5" s="109" t="str">
        <f t="shared" si="28"/>
        <v/>
      </c>
      <c r="DW5" s="78"/>
      <c r="DX5" s="79"/>
      <c r="DY5" s="80"/>
      <c r="DZ5" s="108" t="str">
        <f>IFERROR((((COUNTIF('Elève (6ème4)'!DW5:DY5,"A"))*4)+((COUNTIF('Elève (6ème4)'!DW5:DY5,"B"))*3)+((COUNTIF('Elève (6ème4)'!DW5:DY5,"C"))*2)+((COUNTIF('Elève (6ème4)'!DW5:DY5,"D"))*1))/(COUNTA(DW5:DY5)),"")</f>
        <v/>
      </c>
      <c r="EA5" s="109" t="str">
        <f t="shared" si="29"/>
        <v/>
      </c>
      <c r="EB5" s="78"/>
      <c r="EC5" s="79"/>
      <c r="ED5" s="80"/>
      <c r="EE5" s="108" t="str">
        <f>IFERROR((((COUNTIF('Elève (6ème4)'!EB5:ED5,"A"))*4)+((COUNTIF('Elève (6ème4)'!EB5:ED5,"B"))*3)+((COUNTIF('Elève (6ème4)'!EB5:ED5,"C"))*2)+((COUNTIF('Elève (6ème4)'!EB5:ED5,"D"))*1))/(COUNTA(EB5:ED5)),"")</f>
        <v/>
      </c>
      <c r="EF5" s="109" t="str">
        <f t="shared" si="30"/>
        <v/>
      </c>
      <c r="EG5" s="178" t="str">
        <f>IF(COUNT(DU5,DZ5,EE5)=0,"",SUM(DU5,DZ5,EE5)/COUNT(DU5,DZ5,EE5))</f>
        <v/>
      </c>
      <c r="EH5" s="131" t="str">
        <f t="shared" si="31"/>
        <v/>
      </c>
      <c r="EI5" s="153"/>
      <c r="EJ5" s="154"/>
      <c r="EK5" s="155"/>
      <c r="EL5" s="108" t="str">
        <f>IFERROR((((COUNTIF('Elève (6ème4)'!EI5:EK5,"A"))*4)+((COUNTIF('Elève (6ème4)'!EI5:EK5,"B"))*3)+((COUNTIF('Elève (6ème4)'!EI5:EK5,"C"))*2)+((COUNTIF('Elève (6ème4)'!EI5:EK5,"D"))*1))/(COUNTA(EI5:EK5)),"")</f>
        <v/>
      </c>
      <c r="EM5" s="109" t="str">
        <f t="shared" si="32"/>
        <v/>
      </c>
      <c r="EN5" s="78"/>
      <c r="EO5" s="79"/>
      <c r="EP5" s="80"/>
      <c r="EQ5" s="108" t="str">
        <f>IFERROR((((COUNTIF('Elève (6ème4)'!EN5:EP5,"A"))*4)+((COUNTIF('Elève (6ème4)'!EN5:EP5,"B"))*3)+((COUNTIF('Elève (6ème4)'!EN5:EP5,"C"))*2)+((COUNTIF('Elève (6ème4)'!EN5:EP5,"D"))*1))/(COUNTA(EN5:EP5)),"")</f>
        <v/>
      </c>
      <c r="ER5" s="109" t="str">
        <f t="shared" si="33"/>
        <v/>
      </c>
      <c r="ES5" s="78"/>
      <c r="ET5" s="79"/>
      <c r="EU5" s="80"/>
      <c r="EV5" s="108" t="str">
        <f>IFERROR((((COUNTIF('Elève (6ème4)'!ES5:EU5,"A"))*4)+((COUNTIF('Elève (6ème4)'!ES5:EU5,"B"))*3)+((COUNTIF('Elève (6ème4)'!ES5:EU5,"C"))*2)+((COUNTIF('Elève (6ème4)'!ES5:EU5,"D"))*1))/(COUNTA(ES5:EU5)),"")</f>
        <v/>
      </c>
      <c r="EW5" s="109" t="str">
        <f t="shared" si="34"/>
        <v/>
      </c>
      <c r="EX5" s="178" t="str">
        <f>IF(COUNT(EL5,EQ5,EV5)=0,"",SUM(EL5,EQ5,EV5)/COUNT(EL5,EQ5,EV5))</f>
        <v/>
      </c>
      <c r="EY5" s="131" t="str">
        <f t="shared" si="35"/>
        <v/>
      </c>
      <c r="EZ5" s="153"/>
      <c r="FA5" s="154"/>
      <c r="FB5" s="155"/>
      <c r="FC5" s="108" t="str">
        <f>IFERROR((((COUNTIF('Elève (6ème4)'!EZ5:FB5,"A"))*4)+((COUNTIF('Elève (6ème4)'!EZ5:FB5,"B"))*3)+((COUNTIF('Elève (6ème4)'!EZ5:FB5,"C"))*2)+((COUNTIF('Elève (6ème4)'!EZ5:FB5,"D"))*1))/(COUNTA(EZ5:FB5)),"")</f>
        <v/>
      </c>
      <c r="FD5" s="109" t="str">
        <f t="shared" si="36"/>
        <v/>
      </c>
      <c r="FE5" s="78"/>
      <c r="FF5" s="79"/>
      <c r="FG5" s="80"/>
      <c r="FH5" s="108" t="str">
        <f>IFERROR((((COUNTIF('Elève (6ème4)'!FE5:FG5,"A"))*4)+((COUNTIF('Elève (6ème4)'!FE5:FG5,"B"))*3)+((COUNTIF('Elève (6ème4)'!FE5:FG5,"C"))*2)+((COUNTIF('Elève (6ème4)'!FE5:FG5,"D"))*1))/(COUNTA(FE5:FG5)),"")</f>
        <v/>
      </c>
      <c r="FI5" s="109" t="str">
        <f t="shared" si="37"/>
        <v/>
      </c>
      <c r="FJ5" s="78"/>
      <c r="FK5" s="79"/>
      <c r="FL5" s="80"/>
      <c r="FM5" s="108" t="str">
        <f>IFERROR((((COUNTIF('Elève (6ème4)'!FJ5:FL5,"A"))*4)+((COUNTIF('Elève (6ème4)'!FJ5:FL5,"B"))*3)+((COUNTIF('Elève (6ème4)'!FJ5:FL5,"C"))*2)+((COUNTIF('Elève (6ème4)'!FJ5:FL5,"D"))*1))/(COUNTA(FJ5:FL5)),"")</f>
        <v/>
      </c>
      <c r="FN5" s="109" t="str">
        <f t="shared" si="38"/>
        <v/>
      </c>
      <c r="FO5" s="178" t="str">
        <f>IF(COUNT(FC5,FH5,FM5)=0,"",SUM(FC5,FH5,FM5)/COUNT(FC5,FH5,FM5))</f>
        <v/>
      </c>
      <c r="FP5" s="131" t="str">
        <f t="shared" si="39"/>
        <v/>
      </c>
      <c r="FQ5" s="153"/>
      <c r="FR5" s="154"/>
      <c r="FS5" s="155"/>
      <c r="FT5" s="108" t="str">
        <f>IFERROR((((COUNTIF('Elève (6ème4)'!FQ5:FS5,"A"))*4)+((COUNTIF('Elève (6ème4)'!FQ5:FS5,"B"))*3)+((COUNTIF('Elève (6ème4)'!FQ5:FS5,"C"))*2)+((COUNTIF('Elève (6ème4)'!FQ5:FS5,"D"))*1))/(COUNTA(FQ5:FS5)),"")</f>
        <v/>
      </c>
      <c r="FU5" s="109" t="str">
        <f t="shared" si="40"/>
        <v/>
      </c>
      <c r="FV5" s="78"/>
      <c r="FW5" s="79"/>
      <c r="FX5" s="80"/>
      <c r="FY5" s="108" t="str">
        <f>IFERROR((((COUNTIF('Elève (6ème4)'!FV5:FX5,"A"))*4)+((COUNTIF('Elève (6ème4)'!FV5:FX5,"B"))*3)+((COUNTIF('Elève (6ème4)'!FV5:FX5,"C"))*2)+((COUNTIF('Elève (6ème4)'!FV5:FX5,"D"))*1))/(COUNTA(FV5:FX5)),"")</f>
        <v/>
      </c>
      <c r="FZ5" s="109" t="str">
        <f t="shared" si="41"/>
        <v/>
      </c>
      <c r="GA5" s="78"/>
      <c r="GB5" s="79"/>
      <c r="GC5" s="80"/>
      <c r="GD5" s="108" t="str">
        <f>IFERROR((((COUNTIF('Elève (6ème4)'!GA5:GC5,"A"))*4)+((COUNTIF('Elève (6ème4)'!GA5:GC5,"B"))*3)+((COUNTIF('Elève (6ème4)'!GA5:GC5,"C"))*2)+((COUNTIF('Elève (6ème4)'!GA5:GC5,"D"))*1))/(COUNTA(GA5:GC5)),"")</f>
        <v/>
      </c>
      <c r="GE5" s="109" t="str">
        <f t="shared" si="42"/>
        <v/>
      </c>
      <c r="GF5" s="178" t="str">
        <f>IF(COUNT(FT5,FY5,GD5)=0,"",SUM(FT5,FY5,GD5)/COUNT(FT5,FY5,GD5))</f>
        <v/>
      </c>
      <c r="GG5" s="131" t="str">
        <f t="shared" si="43"/>
        <v/>
      </c>
      <c r="GH5" s="153"/>
      <c r="GI5" s="154"/>
      <c r="GJ5" s="155"/>
      <c r="GK5" s="108" t="str">
        <f>IFERROR((((COUNTIF('Elève (6ème4)'!GH5:GJ5,"A"))*4)+((COUNTIF('Elève (6ème4)'!GH5:GJ5,"B"))*3)+((COUNTIF('Elève (6ème4)'!GH5:GJ5,"C"))*2)+((COUNTIF('Elève (6ème4)'!GH5:GJ5,"D"))*1))/(COUNTA(GH5:GJ5)),"")</f>
        <v/>
      </c>
      <c r="GL5" s="109" t="str">
        <f t="shared" si="44"/>
        <v/>
      </c>
      <c r="GM5" s="78"/>
      <c r="GN5" s="79"/>
      <c r="GO5" s="80"/>
      <c r="GP5" s="108" t="str">
        <f>IFERROR((((COUNTIF('Elève (6ème4)'!GM5:GO5,"A"))*4)+((COUNTIF('Elève (6ème4)'!GM5:GO5,"B"))*3)+((COUNTIF('Elève (6ème4)'!GM5:GO5,"C"))*2)+((COUNTIF('Elève (6ème4)'!GM5:GO5,"D"))*1))/(COUNTA(GM5:GO5)),"")</f>
        <v/>
      </c>
      <c r="GQ5" s="109" t="str">
        <f t="shared" si="45"/>
        <v/>
      </c>
      <c r="GR5" s="78"/>
      <c r="GS5" s="79"/>
      <c r="GT5" s="80"/>
      <c r="GU5" s="108" t="str">
        <f>IFERROR((((COUNTIF('Elève (6ème4)'!GR5:GT5,"A"))*4)+((COUNTIF('Elève (6ème4)'!GR5:GT5,"B"))*3)+((COUNTIF('Elève (6ème4)'!GR5:GT5,"C"))*2)+((COUNTIF('Elève (6ème4)'!GR5:GT5,"D"))*1))/(COUNTA(GR5:GT5)),"")</f>
        <v/>
      </c>
      <c r="GV5" s="109" t="str">
        <f t="shared" si="46"/>
        <v/>
      </c>
      <c r="GW5" s="178" t="str">
        <f>IF(COUNT(GK5,GP5,GU5)=0,"",SUM(GK5,GP5,GU5)/COUNT(GK5,GP5,GU5))</f>
        <v/>
      </c>
      <c r="GX5" s="131" t="str">
        <f t="shared" si="47"/>
        <v/>
      </c>
      <c r="GY5" s="153"/>
      <c r="GZ5" s="154"/>
      <c r="HA5" s="155"/>
      <c r="HB5" s="108" t="str">
        <f>IFERROR((((COUNTIF('Elève (6ème4)'!GY5:HA5,"A"))*4)+((COUNTIF('Elève (6ème4)'!GY5:HA5,"B"))*3)+((COUNTIF('Elève (6ème4)'!GY5:HA5,"C"))*2)+((COUNTIF('Elève (6ème4)'!GY5:HA5,"D"))*1))/(COUNTA(GY5:HA5)),"")</f>
        <v/>
      </c>
      <c r="HC5" s="109" t="str">
        <f t="shared" si="48"/>
        <v/>
      </c>
      <c r="HD5" s="78"/>
      <c r="HE5" s="79"/>
      <c r="HF5" s="80"/>
      <c r="HG5" s="108" t="str">
        <f>IFERROR((((COUNTIF('Elève (6ème4)'!HD5:HF5,"A"))*4)+((COUNTIF('Elève (6ème4)'!HD5:HF5,"B"))*3)+((COUNTIF('Elève (6ème4)'!HD5:HF5,"C"))*2)+((COUNTIF('Elève (6ème4)'!HD5:HF5,"D"))*1))/(COUNTA(HD5:HF5)),"")</f>
        <v/>
      </c>
      <c r="HH5" s="109" t="str">
        <f t="shared" si="49"/>
        <v/>
      </c>
      <c r="HI5" s="78"/>
      <c r="HJ5" s="79"/>
      <c r="HK5" s="80"/>
      <c r="HL5" s="108" t="str">
        <f>IFERROR((((COUNTIF('Elève (6ème4)'!HI5:HK5,"A"))*4)+((COUNTIF('Elève (6ème4)'!HI5:HK5,"B"))*3)+((COUNTIF('Elève (6ème4)'!HI5:HK5,"C"))*2)+((COUNTIF('Elève (6ème4)'!HI5:HK5,"D"))*1))/(COUNTA(HI5:HK5)),"")</f>
        <v/>
      </c>
      <c r="HM5" s="109" t="str">
        <f t="shared" si="50"/>
        <v/>
      </c>
      <c r="HN5" s="178" t="str">
        <f>IF(COUNT(HB5,HG5,HL5)=0,"",SUM(HB5,HG5,HL5)/COUNT(HB5,HG5,HL5))</f>
        <v/>
      </c>
      <c r="HO5" s="131" t="str">
        <f t="shared" si="51"/>
        <v/>
      </c>
      <c r="HP5" s="153"/>
      <c r="HQ5" s="154"/>
      <c r="HR5" s="155"/>
      <c r="HS5" s="108" t="str">
        <f>IFERROR((((COUNTIF('Elève (6ème4)'!HP5:HR5,"A"))*4)+((COUNTIF('Elève (6ème4)'!HP5:HR5,"B"))*3)+((COUNTIF('Elève (6ème4)'!HP5:HR5,"C"))*2)+((COUNTIF('Elève (6ème4)'!HP5:HR5,"D"))*1))/(COUNTA(HP5:HR5)),"")</f>
        <v/>
      </c>
      <c r="HT5" s="109" t="str">
        <f t="shared" si="52"/>
        <v/>
      </c>
      <c r="HU5" s="78"/>
      <c r="HV5" s="79"/>
      <c r="HW5" s="80"/>
      <c r="HX5" s="108" t="str">
        <f>IFERROR((((COUNTIF('Elève (6ème4)'!HU5:HW5,"A"))*4)+((COUNTIF('Elève (6ème4)'!HU5:HW5,"B"))*3)+((COUNTIF('Elève (6ème4)'!HU5:HW5,"C"))*2)+((COUNTIF('Elève (6ème4)'!HU5:HW5,"D"))*1))/(COUNTA(HU5:HW5)),"")</f>
        <v/>
      </c>
      <c r="HY5" s="109" t="str">
        <f t="shared" si="53"/>
        <v/>
      </c>
      <c r="HZ5" s="78"/>
      <c r="IA5" s="79"/>
      <c r="IB5" s="80"/>
      <c r="IC5" s="108" t="str">
        <f>IFERROR((((COUNTIF('Elève (6ème4)'!HZ5:IB5,"A"))*4)+((COUNTIF('Elève (6ème4)'!HZ5:IB5,"B"))*3)+((COUNTIF('Elève (6ème4)'!HZ5:IB5,"C"))*2)+((COUNTIF('Elève (6ème4)'!HZ5:IB5,"D"))*1))/(COUNTA(HZ5:IB5)),"")</f>
        <v/>
      </c>
      <c r="ID5" s="109" t="str">
        <f t="shared" si="54"/>
        <v/>
      </c>
      <c r="IE5" s="178" t="str">
        <f>IF(COUNT(HS5,HX5,IC5)=0,"",SUM(HS5,HX5,IC5)/COUNT(HS5,HX5,IC5))</f>
        <v/>
      </c>
      <c r="IF5" s="131" t="str">
        <f t="shared" si="55"/>
        <v/>
      </c>
      <c r="IG5" s="153"/>
      <c r="IH5" s="154"/>
      <c r="II5" s="155"/>
      <c r="IJ5" s="108" t="str">
        <f>IFERROR((((COUNTIF('Elève (6ème4)'!IG5:II5,"A"))*4)+((COUNTIF('Elève (6ème4)'!IG5:II5,"B"))*3)+((COUNTIF('Elève (6ème4)'!IG5:II5,"C"))*2)+((COUNTIF('Elève (6ème4)'!IG5:II5,"D"))*1))/(COUNTA(IG5:II5)),"")</f>
        <v/>
      </c>
      <c r="IK5" s="109" t="str">
        <f t="shared" si="56"/>
        <v/>
      </c>
      <c r="IL5" s="78"/>
      <c r="IM5" s="79"/>
      <c r="IN5" s="80"/>
      <c r="IO5" s="108" t="str">
        <f>IFERROR((((COUNTIF('Elève (6ème4)'!IL5:IN5,"A"))*4)+((COUNTIF('Elève (6ème4)'!IL5:IN5,"B"))*3)+((COUNTIF('Elève (6ème4)'!IL5:IN5,"C"))*2)+((COUNTIF('Elève (6ème4)'!IL5:IN5,"D"))*1))/(COUNTA(IL5:IN5)),"")</f>
        <v/>
      </c>
      <c r="IP5" s="109" t="str">
        <f t="shared" si="57"/>
        <v/>
      </c>
      <c r="IQ5" s="78"/>
      <c r="IR5" s="79"/>
      <c r="IS5" s="80"/>
      <c r="IT5" s="108" t="str">
        <f>IFERROR((((COUNTIF('Elève (6ème4)'!IQ5:IS5,"A"))*4)+((COUNTIF('Elève (6ème4)'!IQ5:IS5,"B"))*3)+((COUNTIF('Elève (6ème4)'!IQ5:IS5,"C"))*2)+((COUNTIF('Elève (6ème4)'!IQ5:IS5,"D"))*1))/(COUNTA(IQ5:IS5)),"")</f>
        <v/>
      </c>
      <c r="IU5" s="109" t="str">
        <f t="shared" si="58"/>
        <v/>
      </c>
      <c r="IV5" s="178" t="str">
        <f>IF(COUNT(IJ5,IO5,IT5)=0,"",SUM(IJ5,IO5,IT5)/COUNT(IJ5,IO5,IT5))</f>
        <v/>
      </c>
      <c r="IW5" s="131" t="str">
        <f t="shared" si="59"/>
        <v/>
      </c>
      <c r="IX5" s="153"/>
      <c r="IY5" s="154"/>
      <c r="IZ5" s="155"/>
      <c r="JA5" s="108" t="str">
        <f>IFERROR((((COUNTIF('Elève (6ème4)'!IX5:IZ5,"A"))*4)+((COUNTIF('Elève (6ème4)'!IX5:IZ5,"B"))*3)+((COUNTIF('Elève (6ème4)'!IX5:IZ5,"C"))*2)+((COUNTIF('Elève (6ème4)'!IX5:IZ5,"D"))*1))/(COUNTA(IX5:IZ5)),"")</f>
        <v/>
      </c>
      <c r="JB5" s="109" t="str">
        <f t="shared" si="60"/>
        <v/>
      </c>
      <c r="JC5" s="78"/>
      <c r="JD5" s="79"/>
      <c r="JE5" s="80"/>
      <c r="JF5" s="108" t="str">
        <f>IFERROR((((COUNTIF('Elève (6ème4)'!JC5:JE5,"A"))*4)+((COUNTIF('Elève (6ème4)'!JC5:JE5,"B"))*3)+((COUNTIF('Elève (6ème4)'!JC5:JE5,"C"))*2)+((COUNTIF('Elève (6ème4)'!JC5:JE5,"D"))*1))/(COUNTA(JC5:JE5)),"")</f>
        <v/>
      </c>
      <c r="JG5" s="109" t="str">
        <f t="shared" si="61"/>
        <v/>
      </c>
      <c r="JH5" s="78"/>
      <c r="JI5" s="79"/>
      <c r="JJ5" s="80"/>
      <c r="JK5" s="108" t="str">
        <f>IFERROR((((COUNTIF('Elève (6ème4)'!JH5:JJ5,"A"))*4)+((COUNTIF('Elève (6ème4)'!JH5:JJ5,"B"))*3)+((COUNTIF('Elève (6ème4)'!JH5:JJ5,"C"))*2)+((COUNTIF('Elève (6ème4)'!JH5:JJ5,"D"))*1))/(COUNTA(JH5:JJ5)),"")</f>
        <v/>
      </c>
      <c r="JL5" s="109" t="str">
        <f t="shared" si="62"/>
        <v/>
      </c>
      <c r="JM5" s="178" t="str">
        <f>IF(COUNT(JA5,JF5,JK5)=0,"",SUM(JA5,JF5,JK5)/COUNT(JA5,JF5,JK5))</f>
        <v/>
      </c>
      <c r="JN5" s="131" t="str">
        <f t="shared" si="63"/>
        <v/>
      </c>
      <c r="JO5" s="153"/>
      <c r="JP5" s="154"/>
      <c r="JQ5" s="155"/>
      <c r="JR5" s="108" t="str">
        <f>IFERROR((((COUNTIF('Elève (6ème4)'!JO5:JQ5,"A"))*4)+((COUNTIF('Elève (6ème4)'!JO5:JQ5,"B"))*3)+((COUNTIF('Elève (6ème4)'!JO5:JQ5,"C"))*2)+((COUNTIF('Elève (6ème4)'!JO5:JQ5,"D"))*1))/(COUNTA(JO5:JQ5)),"")</f>
        <v/>
      </c>
      <c r="JS5" s="109" t="str">
        <f t="shared" si="64"/>
        <v/>
      </c>
      <c r="JT5" s="78"/>
      <c r="JU5" s="79"/>
      <c r="JV5" s="80"/>
      <c r="JW5" s="108" t="str">
        <f>IFERROR((((COUNTIF('Elève (6ème4)'!JT5:JV5,"A"))*4)+((COUNTIF('Elève (6ème4)'!JT5:JV5,"B"))*3)+((COUNTIF('Elève (6ème4)'!JT5:JV5,"C"))*2)+((COUNTIF('Elève (6ème4)'!JT5:JV5,"D"))*1))/(COUNTA(JT5:JV5)),"")</f>
        <v/>
      </c>
      <c r="JX5" s="109" t="str">
        <f t="shared" si="65"/>
        <v/>
      </c>
      <c r="JY5" s="78"/>
      <c r="JZ5" s="79"/>
      <c r="KA5" s="80"/>
      <c r="KB5" s="108" t="str">
        <f>IFERROR((((COUNTIF('Elève (6ème4)'!JY5:KA5,"A"))*4)+((COUNTIF('Elève (6ème4)'!JY5:KA5,"B"))*3)+((COUNTIF('Elève (6ème4)'!JY5:KA5,"C"))*2)+((COUNTIF('Elève (6ème4)'!JY5:KA5,"D"))*1))/(COUNTA(JY5:KA5)),"")</f>
        <v/>
      </c>
      <c r="KC5" s="109" t="str">
        <f t="shared" si="66"/>
        <v/>
      </c>
      <c r="KD5" s="178" t="str">
        <f>IF(COUNT(JR5,JW5,KB5)=0,"",SUM(JR5,JW5,KB5)/COUNT(JR5,JW5,KB5))</f>
        <v/>
      </c>
      <c r="KE5" s="131" t="str">
        <f t="shared" si="67"/>
        <v/>
      </c>
      <c r="KF5" s="153"/>
      <c r="KG5" s="154"/>
      <c r="KH5" s="155"/>
      <c r="KI5" s="108" t="str">
        <f>IFERROR((((COUNTIF('Elève (6ème4)'!KF5:KH5,"A"))*4)+((COUNTIF('Elève (6ème4)'!KF5:KH5,"B"))*3)+((COUNTIF('Elève (6ème4)'!KF5:KH5,"C"))*2)+((COUNTIF('Elève (6ème4)'!KF5:KH5,"D"))*1))/(COUNTA(KF5:KH5)),"")</f>
        <v/>
      </c>
      <c r="KJ5" s="109" t="str">
        <f t="shared" si="68"/>
        <v/>
      </c>
      <c r="KK5" s="78"/>
      <c r="KL5" s="79"/>
      <c r="KM5" s="80"/>
      <c r="KN5" s="108" t="str">
        <f>IFERROR((((COUNTIF('Elève (6ème4)'!KK5:KM5,"A"))*4)+((COUNTIF('Elève (6ème4)'!KK5:KM5,"B"))*3)+((COUNTIF('Elève (6ème4)'!KK5:KM5,"C"))*2)+((COUNTIF('Elève (6ème4)'!KK5:KM5,"D"))*1))/(COUNTA(KK5:KM5)),"")</f>
        <v/>
      </c>
      <c r="KO5" s="109" t="str">
        <f t="shared" si="69"/>
        <v/>
      </c>
      <c r="KP5" s="78"/>
      <c r="KQ5" s="79"/>
      <c r="KR5" s="80"/>
      <c r="KS5" s="108" t="str">
        <f>IFERROR((((COUNTIF('Elève (6ème4)'!KP5:KR5,"A"))*4)+((COUNTIF('Elève (6ème4)'!KP5:KR5,"B"))*3)+((COUNTIF('Elève (6ème4)'!KP5:KR5,"C"))*2)+((COUNTIF('Elève (6ème4)'!KP5:KR5,"D"))*1))/(COUNTA(KP5:KR5)),"")</f>
        <v/>
      </c>
      <c r="KT5" s="109" t="str">
        <f t="shared" si="70"/>
        <v/>
      </c>
      <c r="KU5" s="178" t="str">
        <f>IF(COUNT(KI5,KN5,KS5)=0,"",SUM(KI5,KN5,KS5)/COUNT(KI5,KN5,KS5))</f>
        <v/>
      </c>
      <c r="KV5" s="131" t="str">
        <f t="shared" si="71"/>
        <v/>
      </c>
      <c r="KW5" s="153"/>
      <c r="KX5" s="154"/>
      <c r="KY5" s="155"/>
      <c r="KZ5" s="108" t="str">
        <f>IFERROR((((COUNTIF('Elève (6ème4)'!KW5:KY5,"A"))*4)+((COUNTIF('Elève (6ème4)'!KW5:KY5,"B"))*3)+((COUNTIF('Elève (6ème4)'!KW5:KY5,"C"))*2)+((COUNTIF('Elève (6ème4)'!KW5:KY5,"D"))*1))/(COUNTA(KW5:KY5)),"")</f>
        <v/>
      </c>
      <c r="LA5" s="109" t="str">
        <f t="shared" si="72"/>
        <v/>
      </c>
      <c r="LB5" s="78"/>
      <c r="LC5" s="79"/>
      <c r="LD5" s="80"/>
      <c r="LE5" s="108" t="str">
        <f>IFERROR((((COUNTIF('Elève (6ème4)'!LB5:LD5,"A"))*4)+((COUNTIF('Elève (6ème4)'!LB5:LD5,"B"))*3)+((COUNTIF('Elève (6ème4)'!LB5:LD5,"C"))*2)+((COUNTIF('Elève (6ème4)'!LB5:LD5,"D"))*1))/(COUNTA(LB5:LD5)),"")</f>
        <v/>
      </c>
      <c r="LF5" s="109" t="str">
        <f t="shared" si="73"/>
        <v/>
      </c>
      <c r="LG5" s="78"/>
      <c r="LH5" s="79"/>
      <c r="LI5" s="80"/>
      <c r="LJ5" s="108" t="str">
        <f>IFERROR((((COUNTIF('Elève (6ème4)'!LG5:LI5,"A"))*4)+((COUNTIF('Elève (6ème4)'!LG5:LI5,"B"))*3)+((COUNTIF('Elève (6ème4)'!LG5:LI5,"C"))*2)+((COUNTIF('Elève (6ème4)'!LG5:LI5,"D"))*1))/(COUNTA(LG5:LI5)),"")</f>
        <v/>
      </c>
      <c r="LK5" s="109" t="str">
        <f t="shared" si="74"/>
        <v/>
      </c>
      <c r="LL5" s="178" t="str">
        <f>IF(COUNT(KZ5,LE5,LJ5)=0,"",SUM(KZ5,LE5,LJ5)/COUNT(KZ5,LE5,LJ5))</f>
        <v/>
      </c>
      <c r="LM5" s="131" t="str">
        <f t="shared" si="75"/>
        <v/>
      </c>
      <c r="LN5" s="153"/>
      <c r="LO5" s="154"/>
      <c r="LP5" s="155"/>
      <c r="LQ5" s="108" t="str">
        <f>IFERROR((((COUNTIF('Elève (6ème4)'!LN5:LP5,"A"))*4)+((COUNTIF('Elève (6ème4)'!LN5:LP5,"B"))*3)+((COUNTIF('Elève (6ème4)'!LN5:LP5,"C"))*2)+((COUNTIF('Elève (6ème4)'!LN5:LP5,"D"))*1))/(COUNTA(LN5:LP5)),"")</f>
        <v/>
      </c>
      <c r="LR5" s="109" t="str">
        <f t="shared" si="76"/>
        <v/>
      </c>
      <c r="LS5" s="78"/>
      <c r="LT5" s="79"/>
      <c r="LU5" s="80"/>
      <c r="LV5" s="108" t="str">
        <f>IFERROR((((COUNTIF('Elève (6ème4)'!LS5:LU5,"A"))*4)+((COUNTIF('Elève (6ème4)'!LS5:LU5,"B"))*3)+((COUNTIF('Elève (6ème4)'!LS5:LU5,"C"))*2)+((COUNTIF('Elève (6ème4)'!LS5:LU5,"D"))*1))/(COUNTA(LS5:LU5)),"")</f>
        <v/>
      </c>
      <c r="LW5" s="109" t="str">
        <f t="shared" si="77"/>
        <v/>
      </c>
      <c r="LX5" s="78"/>
      <c r="LY5" s="79"/>
      <c r="LZ5" s="80"/>
      <c r="MA5" s="108" t="str">
        <f>IFERROR((((COUNTIF('Elève (6ème4)'!LX5:LZ5,"A"))*4)+((COUNTIF('Elève (6ème4)'!LX5:LZ5,"B"))*3)+((COUNTIF('Elève (6ème4)'!LX5:LZ5,"C"))*2)+((COUNTIF('Elève (6ème4)'!LX5:LZ5,"D"))*1))/(COUNTA(LX5:LZ5)),"")</f>
        <v/>
      </c>
      <c r="MB5" s="109" t="str">
        <f t="shared" si="78"/>
        <v/>
      </c>
      <c r="MC5" s="178" t="str">
        <f>IF(COUNT(LQ5,LV5,MA5)=0,"",SUM(LQ5,LV5,MA5)/COUNT(LQ5,LV5,MA5))</f>
        <v/>
      </c>
      <c r="MD5" s="131" t="str">
        <f t="shared" si="79"/>
        <v/>
      </c>
      <c r="ME5" s="153"/>
      <c r="MF5" s="154"/>
      <c r="MG5" s="155"/>
      <c r="MH5" s="108" t="str">
        <f>IFERROR((((COUNTIF('Elève (6ème4)'!ME5:MG5,"A"))*4)+((COUNTIF('Elève (6ème4)'!ME5:MG5,"B"))*3)+((COUNTIF('Elève (6ème4)'!ME5:MG5,"C"))*2)+((COUNTIF('Elève (6ème4)'!ME5:MG5,"D"))*1))/(COUNTA(ME5:MG5)),"")</f>
        <v/>
      </c>
      <c r="MI5" s="109" t="str">
        <f t="shared" si="80"/>
        <v/>
      </c>
      <c r="MJ5" s="78"/>
      <c r="MK5" s="79"/>
      <c r="ML5" s="80"/>
      <c r="MM5" s="108" t="str">
        <f>IFERROR((((COUNTIF('Elève (6ème4)'!MJ5:ML5,"A"))*4)+((COUNTIF('Elève (6ème4)'!MJ5:ML5,"B"))*3)+((COUNTIF('Elève (6ème4)'!MJ5:ML5,"C"))*2)+((COUNTIF('Elève (6ème4)'!MJ5:ML5,"D"))*1))/(COUNTA(MJ5:ML5)),"")</f>
        <v/>
      </c>
      <c r="MN5" s="109" t="str">
        <f t="shared" si="81"/>
        <v/>
      </c>
      <c r="MO5" s="78"/>
      <c r="MP5" s="79"/>
      <c r="MQ5" s="80"/>
      <c r="MR5" s="108" t="str">
        <f>IFERROR((((COUNTIF('Elève (6ème4)'!MO5:MQ5,"A"))*4)+((COUNTIF('Elève (6ème4)'!MO5:MQ5,"B"))*3)+((COUNTIF('Elève (6ème4)'!MO5:MQ5,"C"))*2)+((COUNTIF('Elève (6ème4)'!MO5:MQ5,"D"))*1))/(COUNTA(MO5:MQ5)),"")</f>
        <v/>
      </c>
      <c r="MS5" s="109" t="str">
        <f t="shared" si="82"/>
        <v/>
      </c>
      <c r="MT5" s="178" t="str">
        <f>IF(COUNT(MH5,MM5,MR5)=0,"",SUM(MH5,MM5,MR5)/COUNT(MH5,MM5,MR5))</f>
        <v/>
      </c>
      <c r="MU5" s="131" t="str">
        <f t="shared" si="83"/>
        <v/>
      </c>
      <c r="MV5" s="153"/>
      <c r="MW5" s="154"/>
      <c r="MX5" s="155"/>
      <c r="MY5" s="108" t="str">
        <f>IFERROR((((COUNTIF('Elève (6ème4)'!MV5:MX5,"A"))*4)+((COUNTIF('Elève (6ème4)'!MV5:MX5,"B"))*3)+((COUNTIF('Elève (6ème4)'!MV5:MX5,"C"))*2)+((COUNTIF('Elève (6ème4)'!MV5:MX5,"D"))*1))/(COUNTA(MV5:MX5)),"")</f>
        <v/>
      </c>
      <c r="MZ5" s="109" t="str">
        <f t="shared" si="84"/>
        <v/>
      </c>
      <c r="NA5" s="78"/>
      <c r="NB5" s="79"/>
      <c r="NC5" s="80"/>
      <c r="ND5" s="108" t="str">
        <f>IFERROR((((COUNTIF('Elève (6ème4)'!NA5:NC5,"A"))*4)+((COUNTIF('Elève (6ème4)'!NA5:NC5,"B"))*3)+((COUNTIF('Elève (6ème4)'!NA5:NC5,"C"))*2)+((COUNTIF('Elève (6ème4)'!NA5:NC5,"D"))*1))/(COUNTA(NA5:NC5)),"")</f>
        <v/>
      </c>
      <c r="NE5" s="109" t="str">
        <f t="shared" si="85"/>
        <v/>
      </c>
      <c r="NF5" s="78"/>
      <c r="NG5" s="79"/>
      <c r="NH5" s="80"/>
      <c r="NI5" s="108" t="str">
        <f>IFERROR((((COUNTIF('Elève (6ème4)'!NF5:NH5,"A"))*4)+((COUNTIF('Elève (6ème4)'!NF5:NH5,"B"))*3)+((COUNTIF('Elève (6ème4)'!NF5:NH5,"C"))*2)+((COUNTIF('Elève (6ème4)'!NF5:NH5,"D"))*1))/(COUNTA(NF5:NH5)),"")</f>
        <v/>
      </c>
      <c r="NJ5" s="109" t="str">
        <f t="shared" si="86"/>
        <v/>
      </c>
      <c r="NK5" s="178" t="str">
        <f>IF(COUNT(MY5,ND5,NI5)=0,"",SUM(MY5,ND5,NI5)/COUNT(MY5,ND5,NI5))</f>
        <v/>
      </c>
      <c r="NL5" s="131" t="str">
        <f t="shared" si="87"/>
        <v/>
      </c>
      <c r="NM5" s="153"/>
      <c r="NN5" s="154"/>
      <c r="NO5" s="155"/>
      <c r="NP5" s="108" t="str">
        <f>IFERROR((((COUNTIF('Elève (6ème4)'!NM5:NO5,"A"))*4)+((COUNTIF('Elève (6ème4)'!NM5:NO5,"B"))*3)+((COUNTIF('Elève (6ème4)'!NM5:NO5,"C"))*2)+((COUNTIF('Elève (6ème4)'!NM5:NO5,"D"))*1))/(COUNTA(NM5:NO5)),"")</f>
        <v/>
      </c>
      <c r="NQ5" s="109" t="str">
        <f t="shared" si="88"/>
        <v/>
      </c>
      <c r="NR5" s="78"/>
      <c r="NS5" s="79"/>
      <c r="NT5" s="80"/>
      <c r="NU5" s="108" t="str">
        <f>IFERROR((((COUNTIF('Elève (6ème4)'!NR5:NT5,"A"))*4)+((COUNTIF('Elève (6ème4)'!NR5:NT5,"B"))*3)+((COUNTIF('Elève (6ème4)'!NR5:NT5,"C"))*2)+((COUNTIF('Elève (6ème4)'!NR5:NT5,"D"))*1))/(COUNTA(NR5:NT5)),"")</f>
        <v/>
      </c>
      <c r="NV5" s="109" t="str">
        <f t="shared" si="89"/>
        <v/>
      </c>
      <c r="NW5" s="78"/>
      <c r="NX5" s="79"/>
      <c r="NY5" s="80"/>
      <c r="NZ5" s="108" t="str">
        <f>IFERROR((((COUNTIF('Elève (6ème4)'!NW5:NY5,"A"))*4)+((COUNTIF('Elève (6ème4)'!NW5:NY5,"B"))*3)+((COUNTIF('Elève (6ème4)'!NW5:NY5,"C"))*2)+((COUNTIF('Elève (6ème4)'!NW5:NY5,"D"))*1))/(COUNTA(NW5:NY5)),"")</f>
        <v/>
      </c>
      <c r="OA5" s="109" t="str">
        <f t="shared" si="90"/>
        <v/>
      </c>
      <c r="OB5" s="178" t="str">
        <f>IF(COUNT(NP5,NU5,NZ5)=0,"",SUM(NP5,NU5,NZ5)/COUNT(NP5,NU5,NZ5))</f>
        <v/>
      </c>
      <c r="OC5" s="131" t="str">
        <f t="shared" si="91"/>
        <v/>
      </c>
      <c r="OD5" s="153"/>
      <c r="OE5" s="154"/>
      <c r="OF5" s="155"/>
      <c r="OG5" s="108" t="str">
        <f>IFERROR((((COUNTIF('Elève (6ème4)'!OD5:OF5,"A"))*4)+((COUNTIF('Elève (6ème4)'!OD5:OF5,"B"))*3)+((COUNTIF('Elève (6ème4)'!OD5:OF5,"C"))*2)+((COUNTIF('Elève (6ème4)'!OD5:OF5,"D"))*1))/(COUNTA(OD5:OF5)),"")</f>
        <v/>
      </c>
      <c r="OH5" s="109" t="str">
        <f t="shared" si="92"/>
        <v/>
      </c>
      <c r="OI5" s="78"/>
      <c r="OJ5" s="79"/>
      <c r="OK5" s="80"/>
      <c r="OL5" s="108" t="str">
        <f>IFERROR((((COUNTIF('Elève (6ème4)'!OI5:OK5,"A"))*4)+((COUNTIF('Elève (6ème4)'!OI5:OK5,"B"))*3)+((COUNTIF('Elève (6ème4)'!OI5:OK5,"C"))*2)+((COUNTIF('Elève (6ème4)'!OI5:OK5,"D"))*1))/(COUNTA(OI5:OK5)),"")</f>
        <v/>
      </c>
      <c r="OM5" s="109" t="str">
        <f t="shared" si="93"/>
        <v/>
      </c>
      <c r="ON5" s="78"/>
      <c r="OO5" s="79"/>
      <c r="OP5" s="80"/>
      <c r="OQ5" s="108" t="str">
        <f>IFERROR((((COUNTIF('Elève (6ème4)'!ON5:OP5,"A"))*4)+((COUNTIF('Elève (6ème4)'!ON5:OP5,"B"))*3)+((COUNTIF('Elève (6ème4)'!ON5:OP5,"C"))*2)+((COUNTIF('Elève (6ème4)'!ON5:OP5,"D"))*1))/(COUNTA(ON5:OP5)),"")</f>
        <v/>
      </c>
      <c r="OR5" s="109" t="str">
        <f t="shared" si="94"/>
        <v/>
      </c>
      <c r="OS5" s="178" t="str">
        <f>IF(COUNT(OG5,OL5,OQ5)=0,"",SUM(OG5,OL5,OQ5)/COUNT(OG5,OL5,OQ5))</f>
        <v/>
      </c>
      <c r="OT5" s="131" t="str">
        <f t="shared" si="95"/>
        <v/>
      </c>
      <c r="OU5" s="153"/>
      <c r="OV5" s="154"/>
      <c r="OW5" s="155"/>
      <c r="OX5" s="108" t="str">
        <f>IFERROR((((COUNTIF('Elève (6ème4)'!OU5:OW5,"A"))*4)+((COUNTIF('Elève (6ème4)'!OU5:OW5,"B"))*3)+((COUNTIF('Elève (6ème4)'!OU5:OW5,"C"))*2)+((COUNTIF('Elève (6ème4)'!OU5:OW5,"D"))*1))/(COUNTA(OU5:OW5)),"")</f>
        <v/>
      </c>
      <c r="OY5" s="109" t="str">
        <f t="shared" si="96"/>
        <v/>
      </c>
      <c r="OZ5" s="78"/>
      <c r="PA5" s="79"/>
      <c r="PB5" s="80"/>
      <c r="PC5" s="108" t="str">
        <f>IFERROR((((COUNTIF('Elève (6ème4)'!OZ5:PB5,"A"))*4)+((COUNTIF('Elève (6ème4)'!OZ5:PB5,"B"))*3)+((COUNTIF('Elève (6ème4)'!OZ5:PB5,"C"))*2)+((COUNTIF('Elève (6ème4)'!OZ5:PB5,"D"))*1))/(COUNTA(OZ5:PB5)),"")</f>
        <v/>
      </c>
      <c r="PD5" s="109" t="str">
        <f t="shared" si="97"/>
        <v/>
      </c>
      <c r="PE5" s="78"/>
      <c r="PF5" s="79"/>
      <c r="PG5" s="80"/>
      <c r="PH5" s="108" t="str">
        <f>IFERROR((((COUNTIF('Elève (6ème4)'!PE5:PG5,"A"))*4)+((COUNTIF('Elève (6ème4)'!PE5:PG5,"B"))*3)+((COUNTIF('Elève (6ème4)'!PE5:PG5,"C"))*2)+((COUNTIF('Elève (6ème4)'!PE5:PG5,"D"))*1))/(COUNTA(PE5:PG5)),"")</f>
        <v/>
      </c>
      <c r="PI5" s="109" t="str">
        <f t="shared" si="98"/>
        <v/>
      </c>
      <c r="PJ5" s="178" t="str">
        <f>IF(COUNT(OX5,PC5,PH5)=0,"",SUM(OX5,PC5,PH5)/COUNT(OX5,PC5,PH5))</f>
        <v/>
      </c>
      <c r="PK5" s="131" t="str">
        <f t="shared" si="99"/>
        <v/>
      </c>
      <c r="PL5" s="153"/>
      <c r="PM5" s="154"/>
      <c r="PN5" s="155"/>
      <c r="PO5" s="108" t="str">
        <f>IFERROR((((COUNTIF('Elève (6ème4)'!PL5:PN5,"A"))*4)+((COUNTIF('Elève (6ème4)'!PL5:PN5,"B"))*3)+((COUNTIF('Elève (6ème4)'!PL5:PN5,"C"))*2)+((COUNTIF('Elève (6ème4)'!PL5:PN5,"D"))*1))/(COUNTA(PL5:PN5)),"")</f>
        <v/>
      </c>
      <c r="PP5" s="109" t="str">
        <f t="shared" si="100"/>
        <v/>
      </c>
      <c r="PQ5" s="78"/>
      <c r="PR5" s="79"/>
      <c r="PS5" s="80"/>
      <c r="PT5" s="108" t="str">
        <f>IFERROR((((COUNTIF('Elève (6ème4)'!PQ5:PS5,"A"))*4)+((COUNTIF('Elève (6ème4)'!PQ5:PS5,"B"))*3)+((COUNTIF('Elève (6ème4)'!PQ5:PS5,"C"))*2)+((COUNTIF('Elève (6ème4)'!PQ5:PS5,"D"))*1))/(COUNTA(PQ5:PS5)),"")</f>
        <v/>
      </c>
      <c r="PU5" s="109" t="str">
        <f t="shared" si="101"/>
        <v/>
      </c>
      <c r="PV5" s="78"/>
      <c r="PW5" s="79"/>
      <c r="PX5" s="80"/>
      <c r="PY5" s="108" t="str">
        <f>IFERROR((((COUNTIF('Elève (6ème4)'!PV5:PX5,"A"))*4)+((COUNTIF('Elève (6ème4)'!PV5:PX5,"B"))*3)+((COUNTIF('Elève (6ème4)'!PV5:PX5,"C"))*2)+((COUNTIF('Elève (6ème4)'!PV5:PX5,"D"))*1))/(COUNTA(PV5:PX5)),"")</f>
        <v/>
      </c>
      <c r="PZ5" s="109" t="str">
        <f t="shared" si="102"/>
        <v/>
      </c>
      <c r="QA5" s="178" t="str">
        <f>IF(COUNT(PO5,PT5,PY5)=0,"",SUM(PO5,PT5,PY5)/COUNT(PO5,PT5,PY5))</f>
        <v/>
      </c>
      <c r="QB5" s="131" t="str">
        <f t="shared" si="103"/>
        <v/>
      </c>
      <c r="QC5" s="153"/>
      <c r="QD5" s="154"/>
      <c r="QE5" s="155"/>
      <c r="QF5" s="108" t="str">
        <f>IFERROR((((COUNTIF('Elève (6ème4)'!QC5:QE5,"A"))*4)+((COUNTIF('Elève (6ème4)'!QC5:QE5,"B"))*3)+((COUNTIF('Elève (6ème4)'!QC5:QE5,"C"))*2)+((COUNTIF('Elève (6ème4)'!QC5:QE5,"D"))*1))/(COUNTA(QC5:QE5)),"")</f>
        <v/>
      </c>
      <c r="QG5" s="109" t="str">
        <f t="shared" si="104"/>
        <v/>
      </c>
      <c r="QH5" s="78"/>
      <c r="QI5" s="79"/>
      <c r="QJ5" s="80"/>
      <c r="QK5" s="108" t="str">
        <f>IFERROR((((COUNTIF('Elève (6ème4)'!QH5:QJ5,"A"))*4)+((COUNTIF('Elève (6ème4)'!QH5:QJ5,"B"))*3)+((COUNTIF('Elève (6ème4)'!QH5:QJ5,"C"))*2)+((COUNTIF('Elève (6ème4)'!QH5:QJ5,"D"))*1))/(COUNTA(QH5:QJ5)),"")</f>
        <v/>
      </c>
      <c r="QL5" s="109" t="str">
        <f t="shared" si="105"/>
        <v/>
      </c>
      <c r="QM5" s="78"/>
      <c r="QN5" s="79"/>
      <c r="QO5" s="80"/>
      <c r="QP5" s="108" t="str">
        <f>IFERROR((((COUNTIF('Elève (6ème4)'!QM5:QO5,"A"))*4)+((COUNTIF('Elève (6ème4)'!QM5:QO5,"B"))*3)+((COUNTIF('Elève (6ème4)'!QM5:QO5,"C"))*2)+((COUNTIF('Elève (6ème4)'!QM5:QO5,"D"))*1))/(COUNTA(QM5:QO5)),"")</f>
        <v/>
      </c>
      <c r="QQ5" s="109" t="str">
        <f t="shared" si="106"/>
        <v/>
      </c>
      <c r="QR5" s="178" t="str">
        <f>IF(COUNT(QF5,QK5,QP5)=0,"",SUM(QF5,QK5,QP5)/COUNT(QF5,QK5,QP5))</f>
        <v/>
      </c>
      <c r="QS5" s="131" t="str">
        <f t="shared" si="107"/>
        <v/>
      </c>
      <c r="QT5" s="153"/>
      <c r="QU5" s="154"/>
      <c r="QV5" s="155"/>
      <c r="QW5" s="108" t="str">
        <f>IFERROR((((COUNTIF('Elève (6ème4)'!QT5:QV5,"A"))*4)+((COUNTIF('Elève (6ème4)'!QT5:QV5,"B"))*3)+((COUNTIF('Elève (6ème4)'!QT5:QV5,"C"))*2)+((COUNTIF('Elève (6ème4)'!QT5:QV5,"D"))*1))/(COUNTA(QT5:QV5)),"")</f>
        <v/>
      </c>
      <c r="QX5" s="109" t="str">
        <f t="shared" si="108"/>
        <v/>
      </c>
      <c r="QY5" s="78"/>
      <c r="QZ5" s="79"/>
      <c r="RA5" s="80"/>
      <c r="RB5" s="108" t="str">
        <f>IFERROR((((COUNTIF('Elève (6ème4)'!QY5:RA5,"A"))*4)+((COUNTIF('Elève (6ème4)'!QY5:RA5,"B"))*3)+((COUNTIF('Elève (6ème4)'!QY5:RA5,"C"))*2)+((COUNTIF('Elève (6ème4)'!QY5:RA5,"D"))*1))/(COUNTA(QY5:RA5)),"")</f>
        <v/>
      </c>
      <c r="RC5" s="109" t="str">
        <f t="shared" si="109"/>
        <v/>
      </c>
      <c r="RD5" s="78"/>
      <c r="RE5" s="79"/>
      <c r="RF5" s="80"/>
      <c r="RG5" s="108" t="str">
        <f>IFERROR((((COUNTIF('Elève (6ème4)'!RD5:RF5,"A"))*4)+((COUNTIF('Elève (6ème4)'!RD5:RF5,"B"))*3)+((COUNTIF('Elève (6ème4)'!RD5:RF5,"C"))*2)+((COUNTIF('Elève (6ème4)'!RD5:RF5,"D"))*1))/(COUNTA(RD5:RF5)),"")</f>
        <v/>
      </c>
      <c r="RH5" s="109" t="str">
        <f t="shared" si="110"/>
        <v/>
      </c>
      <c r="RI5" s="178" t="str">
        <f>IF(COUNT(QW5,RB5,RG5)=0,"",SUM(QW5,RB5,RG5)/COUNT(QW5,RB5,RG5))</f>
        <v/>
      </c>
      <c r="RJ5" s="131" t="str">
        <f t="shared" si="111"/>
        <v/>
      </c>
      <c r="RK5" s="153"/>
      <c r="RL5" s="154"/>
      <c r="RM5" s="155"/>
      <c r="RN5" s="108" t="str">
        <f>IFERROR((((COUNTIF('Elève (6ème4)'!RK5:RM5,"A"))*4)+((COUNTIF('Elève (6ème4)'!RK5:RM5,"B"))*3)+((COUNTIF('Elève (6ème4)'!RK5:RM5,"C"))*2)+((COUNTIF('Elève (6ème4)'!RK5:RM5,"D"))*1))/(COUNTA(RK5:RM5)),"")</f>
        <v/>
      </c>
      <c r="RO5" s="109" t="str">
        <f t="shared" si="112"/>
        <v/>
      </c>
      <c r="RP5" s="78"/>
      <c r="RQ5" s="79"/>
      <c r="RR5" s="80"/>
      <c r="RS5" s="108" t="str">
        <f>IFERROR((((COUNTIF('Elève (6ème4)'!RP5:RR5,"A"))*4)+((COUNTIF('Elève (6ème4)'!RP5:RR5,"B"))*3)+((COUNTIF('Elève (6ème4)'!RP5:RR5,"C"))*2)+((COUNTIF('Elève (6ème4)'!RP5:RR5,"D"))*1))/(COUNTA(RP5:RR5)),"")</f>
        <v/>
      </c>
      <c r="RT5" s="109" t="str">
        <f t="shared" si="113"/>
        <v/>
      </c>
      <c r="RU5" s="78"/>
      <c r="RV5" s="79"/>
      <c r="RW5" s="80"/>
      <c r="RX5" s="108" t="str">
        <f>IFERROR((((COUNTIF('Elève (6ème4)'!RU5:RW5,"A"))*4)+((COUNTIF('Elève (6ème4)'!RU5:RW5,"B"))*3)+((COUNTIF('Elève (6ème4)'!RU5:RW5,"C"))*2)+((COUNTIF('Elève (6ème4)'!RU5:RW5,"D"))*1))/(COUNTA(RU5:RW5)),"")</f>
        <v/>
      </c>
      <c r="RY5" s="109" t="str">
        <f t="shared" si="114"/>
        <v/>
      </c>
      <c r="RZ5" s="178" t="str">
        <f>IF(COUNT(RN5,RS5,RX5)=0,"",SUM(RN5,RS5,RX5)/COUNT(RN5,RS5,RX5))</f>
        <v/>
      </c>
      <c r="SA5" s="131" t="str">
        <f t="shared" si="115"/>
        <v/>
      </c>
      <c r="SB5" s="153"/>
      <c r="SC5" s="154"/>
      <c r="SD5" s="155"/>
      <c r="SE5" s="108" t="str">
        <f>IFERROR((((COUNTIF('Elève (6ème4)'!SB5:SD5,"A"))*4)+((COUNTIF('Elève (6ème4)'!SB5:SD5,"B"))*3)+((COUNTIF('Elève (6ème4)'!SB5:SD5,"C"))*2)+((COUNTIF('Elève (6ème4)'!SB5:SD5,"D"))*1))/(COUNTA(SB5:SD5)),"")</f>
        <v/>
      </c>
      <c r="SF5" s="109" t="str">
        <f t="shared" si="116"/>
        <v/>
      </c>
      <c r="SG5" s="78"/>
      <c r="SH5" s="79"/>
      <c r="SI5" s="80"/>
      <c r="SJ5" s="108" t="str">
        <f>IFERROR((((COUNTIF('Elève (6ème4)'!SG5:SI5,"A"))*4)+((COUNTIF('Elève (6ème4)'!SG5:SI5,"B"))*3)+((COUNTIF('Elève (6ème4)'!SG5:SI5,"C"))*2)+((COUNTIF('Elève (6ème4)'!SG5:SI5,"D"))*1))/(COUNTA(SG5:SI5)),"")</f>
        <v/>
      </c>
      <c r="SK5" s="109" t="str">
        <f t="shared" si="117"/>
        <v/>
      </c>
      <c r="SL5" s="78"/>
      <c r="SM5" s="79"/>
      <c r="SN5" s="80"/>
      <c r="SO5" s="108" t="str">
        <f>IFERROR((((COUNTIF('Elève (6ème4)'!SL5:SN5,"A"))*4)+((COUNTIF('Elève (6ème4)'!SL5:SN5,"B"))*3)+((COUNTIF('Elève (6ème4)'!SL5:SN5,"C"))*2)+((COUNTIF('Elève (6ème4)'!SL5:SN5,"D"))*1))/(COUNTA(SL5:SN5)),"")</f>
        <v/>
      </c>
      <c r="SP5" s="109" t="str">
        <f t="shared" si="118"/>
        <v/>
      </c>
      <c r="SQ5" s="178" t="str">
        <f>IF(COUNT(SE5,SJ5,SO5)=0,"",SUM(SE5,SJ5,SO5)/COUNT(SE5,SJ5,SO5))</f>
        <v/>
      </c>
      <c r="SR5" s="131" t="str">
        <f t="shared" si="119"/>
        <v/>
      </c>
    </row>
    <row r="6" spans="1:512" s="72" customFormat="1" ht="18" customHeight="1" thickBot="1" x14ac:dyDescent="0.3">
      <c r="A6" s="242" t="s">
        <v>13</v>
      </c>
      <c r="B6" s="243"/>
      <c r="C6" s="156"/>
      <c r="D6" s="157"/>
      <c r="E6" s="158"/>
      <c r="F6" s="110" t="str">
        <f>IFERROR((((COUNTIF('Elève (6ème4)'!C6:E6,"A"))*4)+((COUNTIF('Elève (6ème4)'!C6:E6,"B"))*3)+((COUNTIF('Elève (6ème4)'!C6:E6,"C"))*2)+((COUNTIF('Elève (6ème4)'!C6:E6,"D"))*1))/(COUNTA(C6:E6)),"")</f>
        <v/>
      </c>
      <c r="G6" s="111" t="str">
        <f t="shared" si="0"/>
        <v/>
      </c>
      <c r="H6" s="81"/>
      <c r="I6" s="82"/>
      <c r="J6" s="83"/>
      <c r="K6" s="110" t="str">
        <f>IFERROR((((COUNTIF('Elève (6ème4)'!H6:J6,"A"))*4)+((COUNTIF('Elève (6ème4)'!H6:J6,"B"))*3)+((COUNTIF('Elève (6ème4)'!H6:J6,"C"))*2)+((COUNTIF('Elève (6ème4)'!H6:J6,"D"))*1))/(COUNTA(H6:J6)),"")</f>
        <v/>
      </c>
      <c r="L6" s="111" t="str">
        <f t="shared" si="1"/>
        <v/>
      </c>
      <c r="M6" s="81"/>
      <c r="N6" s="82"/>
      <c r="O6" s="83"/>
      <c r="P6" s="110" t="str">
        <f>IFERROR((((COUNTIF('Elève (6ème4)'!M6:O6,"A"))*4)+((COUNTIF('Elève (6ème4)'!M6:O6,"B"))*3)+((COUNTIF('Elève (6ème4)'!M6:O6,"C"))*2)+((COUNTIF('Elève (6ème4)'!M6:O6,"D"))*1))/(COUNTA(M6:O6)),"")</f>
        <v/>
      </c>
      <c r="Q6" s="111" t="str">
        <f t="shared" si="2"/>
        <v/>
      </c>
      <c r="R6" s="179" t="str">
        <f>IF(COUNT(F6,K6,P6)=0,"",SUM(F6,K6,P6)/COUNT(F6,K6,P6))</f>
        <v/>
      </c>
      <c r="S6" s="132" t="str">
        <f t="shared" si="3"/>
        <v/>
      </c>
      <c r="T6" s="156"/>
      <c r="U6" s="157"/>
      <c r="V6" s="158"/>
      <c r="W6" s="110" t="str">
        <f>IFERROR((((COUNTIF('Elève (6ème4)'!T6:V6,"A"))*4)+((COUNTIF('Elève (6ème4)'!T6:V6,"B"))*3)+((COUNTIF('Elève (6ème4)'!T6:V6,"C"))*2)+((COUNTIF('Elève (6ème4)'!T6:V6,"D"))*1))/(COUNTA(T6:V6)),"")</f>
        <v/>
      </c>
      <c r="X6" s="111" t="str">
        <f t="shared" si="4"/>
        <v/>
      </c>
      <c r="Y6" s="81"/>
      <c r="Z6" s="82"/>
      <c r="AA6" s="83"/>
      <c r="AB6" s="110" t="str">
        <f>IFERROR((((COUNTIF('Elève (6ème4)'!Y6:AA6,"A"))*4)+((COUNTIF('Elève (6ème4)'!Y6:AA6,"B"))*3)+((COUNTIF('Elève (6ème4)'!Y6:AA6,"C"))*2)+((COUNTIF('Elève (6ème4)'!Y6:AA6,"D"))*1))/(COUNTA(Y6:AA6)),"")</f>
        <v/>
      </c>
      <c r="AC6" s="111" t="str">
        <f t="shared" si="5"/>
        <v/>
      </c>
      <c r="AD6" s="81"/>
      <c r="AE6" s="82"/>
      <c r="AF6" s="83"/>
      <c r="AG6" s="110" t="str">
        <f>IFERROR((((COUNTIF('Elève (6ème4)'!AD6:AF6,"A"))*4)+((COUNTIF('Elève (6ème4)'!AD6:AF6,"B"))*3)+((COUNTIF('Elève (6ème4)'!AD6:AF6,"C"))*2)+((COUNTIF('Elève (6ème4)'!AD6:AF6,"D"))*1))/(COUNTA(AD6:AF6)),"")</f>
        <v/>
      </c>
      <c r="AH6" s="111" t="str">
        <f t="shared" si="6"/>
        <v/>
      </c>
      <c r="AI6" s="179" t="str">
        <f>IF(COUNT(W6,AB6,AG6)=0,"",SUM(W6,AB6,AG6)/COUNT(W6,AB6,AG6))</f>
        <v/>
      </c>
      <c r="AJ6" s="132" t="str">
        <f t="shared" si="7"/>
        <v/>
      </c>
      <c r="AK6" s="156"/>
      <c r="AL6" s="157"/>
      <c r="AM6" s="158"/>
      <c r="AN6" s="110" t="str">
        <f>IFERROR((((COUNTIF('Elève (6ème4)'!AK6:AM6,"A"))*4)+((COUNTIF('Elève (6ème4)'!AK6:AM6,"B"))*3)+((COUNTIF('Elève (6ème4)'!AK6:AM6,"C"))*2)+((COUNTIF('Elève (6ème4)'!AK6:AM6,"D"))*1))/(COUNTA(AK6:AM6)),"")</f>
        <v/>
      </c>
      <c r="AO6" s="111" t="str">
        <f t="shared" si="8"/>
        <v/>
      </c>
      <c r="AP6" s="81"/>
      <c r="AQ6" s="82"/>
      <c r="AR6" s="83"/>
      <c r="AS6" s="110" t="str">
        <f>IFERROR((((COUNTIF('Elève (6ème4)'!AP6:AR6,"A"))*4)+((COUNTIF('Elève (6ème4)'!AP6:AR6,"B"))*3)+((COUNTIF('Elève (6ème4)'!AP6:AR6,"C"))*2)+((COUNTIF('Elève (6ème4)'!AP6:AR6,"D"))*1))/(COUNTA(AP6:AR6)),"")</f>
        <v/>
      </c>
      <c r="AT6" s="111" t="str">
        <f t="shared" si="9"/>
        <v/>
      </c>
      <c r="AU6" s="81"/>
      <c r="AV6" s="82"/>
      <c r="AW6" s="83"/>
      <c r="AX6" s="110" t="str">
        <f>IFERROR((((COUNTIF('Elève (6ème4)'!AU6:AW6,"A"))*4)+((COUNTIF('Elève (6ème4)'!AU6:AW6,"B"))*3)+((COUNTIF('Elève (6ème4)'!AU6:AW6,"C"))*2)+((COUNTIF('Elève (6ème4)'!AU6:AW6,"D"))*1))/(COUNTA(AU6:AW6)),"")</f>
        <v/>
      </c>
      <c r="AY6" s="111" t="str">
        <f t="shared" si="10"/>
        <v/>
      </c>
      <c r="AZ6" s="179" t="str">
        <f>IF(COUNT(AN6,AS6,AX6)=0,"",SUM(AN6,AS6,AX6)/COUNT(AN6,AS6,AX6))</f>
        <v/>
      </c>
      <c r="BA6" s="132" t="str">
        <f t="shared" si="11"/>
        <v/>
      </c>
      <c r="BB6" s="156"/>
      <c r="BC6" s="157"/>
      <c r="BD6" s="158"/>
      <c r="BE6" s="110" t="str">
        <f>IFERROR((((COUNTIF('Elève (6ème4)'!BB6:BD6,"A"))*4)+((COUNTIF('Elève (6ème4)'!BB6:BD6,"B"))*3)+((COUNTIF('Elève (6ème4)'!BB6:BD6,"C"))*2)+((COUNTIF('Elève (6ème4)'!BB6:BD6,"D"))*1))/(COUNTA(BB6:BD6)),"")</f>
        <v/>
      </c>
      <c r="BF6" s="111" t="str">
        <f t="shared" si="12"/>
        <v/>
      </c>
      <c r="BG6" s="81"/>
      <c r="BH6" s="82"/>
      <c r="BI6" s="83"/>
      <c r="BJ6" s="110" t="str">
        <f>IFERROR((((COUNTIF('Elève (6ème4)'!BG6:BI6,"A"))*4)+((COUNTIF('Elève (6ème4)'!BG6:BI6,"B"))*3)+((COUNTIF('Elève (6ème4)'!BG6:BI6,"C"))*2)+((COUNTIF('Elève (6ème4)'!BG6:BI6,"D"))*1))/(COUNTA(BG6:BI6)),"")</f>
        <v/>
      </c>
      <c r="BK6" s="111" t="str">
        <f t="shared" si="13"/>
        <v/>
      </c>
      <c r="BL6" s="81"/>
      <c r="BM6" s="82"/>
      <c r="BN6" s="83"/>
      <c r="BO6" s="110" t="str">
        <f>IFERROR((((COUNTIF('Elève (6ème4)'!BL6:BN6,"A"))*4)+((COUNTIF('Elève (6ème4)'!BL6:BN6,"B"))*3)+((COUNTIF('Elève (6ème4)'!BL6:BN6,"C"))*2)+((COUNTIF('Elève (6ème4)'!BL6:BN6,"D"))*1))/(COUNTA(BL6:BN6)),"")</f>
        <v/>
      </c>
      <c r="BP6" s="111" t="str">
        <f t="shared" si="14"/>
        <v/>
      </c>
      <c r="BQ6" s="179" t="str">
        <f>IF(COUNT(BE6,BJ6,BO6)=0,"",SUM(BE6,BJ6,BO6)/COUNT(BE6,BJ6,BO6))</f>
        <v/>
      </c>
      <c r="BR6" s="132" t="str">
        <f t="shared" si="15"/>
        <v/>
      </c>
      <c r="BS6" s="156"/>
      <c r="BT6" s="157"/>
      <c r="BU6" s="158"/>
      <c r="BV6" s="110" t="str">
        <f>IFERROR((((COUNTIF('Elève (6ème4)'!BS6:BU6,"A"))*4)+((COUNTIF('Elève (6ème4)'!BS6:BU6,"B"))*3)+((COUNTIF('Elève (6ème4)'!BS6:BU6,"C"))*2)+((COUNTIF('Elève (6ème4)'!BS6:BU6,"D"))*1))/(COUNTA(BS6:BU6)),"")</f>
        <v/>
      </c>
      <c r="BW6" s="111" t="str">
        <f t="shared" si="16"/>
        <v/>
      </c>
      <c r="BX6" s="81"/>
      <c r="BY6" s="82"/>
      <c r="BZ6" s="83"/>
      <c r="CA6" s="110" t="str">
        <f>IFERROR((((COUNTIF('Elève (6ème4)'!BX6:BZ6,"A"))*4)+((COUNTIF('Elève (6ème4)'!BX6:BZ6,"B"))*3)+((COUNTIF('Elève (6ème4)'!BX6:BZ6,"C"))*2)+((COUNTIF('Elève (6ème4)'!BX6:BZ6,"D"))*1))/(COUNTA(BX6:BZ6)),"")</f>
        <v/>
      </c>
      <c r="CB6" s="111" t="str">
        <f t="shared" si="17"/>
        <v/>
      </c>
      <c r="CC6" s="81"/>
      <c r="CD6" s="82"/>
      <c r="CE6" s="83"/>
      <c r="CF6" s="110" t="str">
        <f>IFERROR((((COUNTIF('Elève (6ème4)'!CC6:CE6,"A"))*4)+((COUNTIF('Elève (6ème4)'!CC6:CE6,"B"))*3)+((COUNTIF('Elève (6ème4)'!CC6:CE6,"C"))*2)+((COUNTIF('Elève (6ème4)'!CC6:CE6,"D"))*1))/(COUNTA(CC6:CE6)),"")</f>
        <v/>
      </c>
      <c r="CG6" s="111" t="str">
        <f t="shared" si="18"/>
        <v/>
      </c>
      <c r="CH6" s="179" t="str">
        <f>IF(COUNT(BV6,CA6,CF6)=0,"",SUM(BV6,CA6,CF6)/COUNT(BV6,CA6,CF6))</f>
        <v/>
      </c>
      <c r="CI6" s="132" t="str">
        <f t="shared" si="19"/>
        <v/>
      </c>
      <c r="CJ6" s="156"/>
      <c r="CK6" s="157"/>
      <c r="CL6" s="158"/>
      <c r="CM6" s="110" t="str">
        <f>IFERROR((((COUNTIF('Elève (6ème4)'!CJ6:CL6,"A"))*4)+((COUNTIF('Elève (6ème4)'!CJ6:CL6,"B"))*3)+((COUNTIF('Elève (6ème4)'!CJ6:CL6,"C"))*2)+((COUNTIF('Elève (6ème4)'!CJ6:CL6,"D"))*1))/(COUNTA(CJ6:CL6)),"")</f>
        <v/>
      </c>
      <c r="CN6" s="111" t="str">
        <f t="shared" si="20"/>
        <v/>
      </c>
      <c r="CO6" s="81"/>
      <c r="CP6" s="82"/>
      <c r="CQ6" s="83"/>
      <c r="CR6" s="110" t="str">
        <f>IFERROR((((COUNTIF('Elève (6ème4)'!CO6:CQ6,"A"))*4)+((COUNTIF('Elève (6ème4)'!CO6:CQ6,"B"))*3)+((COUNTIF('Elève (6ème4)'!CO6:CQ6,"C"))*2)+((COUNTIF('Elève (6ème4)'!CO6:CQ6,"D"))*1))/(COUNTA(CO6:CQ6)),"")</f>
        <v/>
      </c>
      <c r="CS6" s="111" t="str">
        <f t="shared" si="21"/>
        <v/>
      </c>
      <c r="CT6" s="81"/>
      <c r="CU6" s="82"/>
      <c r="CV6" s="83"/>
      <c r="CW6" s="110" t="str">
        <f>IFERROR((((COUNTIF('Elève (6ème4)'!CT6:CV6,"A"))*4)+((COUNTIF('Elève (6ème4)'!CT6:CV6,"B"))*3)+((COUNTIF('Elève (6ème4)'!CT6:CV6,"C"))*2)+((COUNTIF('Elève (6ème4)'!CT6:CV6,"D"))*1))/(COUNTA(CT6:CV6)),"")</f>
        <v/>
      </c>
      <c r="CX6" s="111" t="str">
        <f t="shared" si="22"/>
        <v/>
      </c>
      <c r="CY6" s="179" t="str">
        <f>IF(COUNT(CM6,CR6,CW6)=0,"",SUM(CM6,CR6,CW6)/COUNT(CM6,CR6,CW6))</f>
        <v/>
      </c>
      <c r="CZ6" s="132" t="str">
        <f t="shared" si="23"/>
        <v/>
      </c>
      <c r="DA6" s="156"/>
      <c r="DB6" s="157"/>
      <c r="DC6" s="158"/>
      <c r="DD6" s="110" t="str">
        <f>IFERROR((((COUNTIF('Elève (6ème4)'!DA6:DC6,"A"))*4)+((COUNTIF('Elève (6ème4)'!DA6:DC6,"B"))*3)+((COUNTIF('Elève (6ème4)'!DA6:DC6,"C"))*2)+((COUNTIF('Elève (6ème4)'!DA6:DC6,"D"))*1))/(COUNTA(DA6:DC6)),"")</f>
        <v/>
      </c>
      <c r="DE6" s="111" t="str">
        <f t="shared" si="24"/>
        <v/>
      </c>
      <c r="DF6" s="81"/>
      <c r="DG6" s="82"/>
      <c r="DH6" s="83"/>
      <c r="DI6" s="110" t="str">
        <f>IFERROR((((COUNTIF('Elève (6ème4)'!DF6:DH6,"A"))*4)+((COUNTIF('Elève (6ème4)'!DF6:DH6,"B"))*3)+((COUNTIF('Elève (6ème4)'!DF6:DH6,"C"))*2)+((COUNTIF('Elève (6ème4)'!DF6:DH6,"D"))*1))/(COUNTA(DF6:DH6)),"")</f>
        <v/>
      </c>
      <c r="DJ6" s="111" t="str">
        <f t="shared" si="25"/>
        <v/>
      </c>
      <c r="DK6" s="81"/>
      <c r="DL6" s="82"/>
      <c r="DM6" s="83"/>
      <c r="DN6" s="110" t="str">
        <f>IFERROR((((COUNTIF('Elève (6ème4)'!DK6:DM6,"A"))*4)+((COUNTIF('Elève (6ème4)'!DK6:DM6,"B"))*3)+((COUNTIF('Elève (6ème4)'!DK6:DM6,"C"))*2)+((COUNTIF('Elève (6ème4)'!DK6:DM6,"D"))*1))/(COUNTA(DK6:DM6)),"")</f>
        <v/>
      </c>
      <c r="DO6" s="111" t="str">
        <f t="shared" si="26"/>
        <v/>
      </c>
      <c r="DP6" s="179" t="str">
        <f>IF(COUNT(DD6,DI6,DN6)=0,"",SUM(DD6,DI6,DN6)/COUNT(DD6,DI6,DN6))</f>
        <v/>
      </c>
      <c r="DQ6" s="132" t="str">
        <f t="shared" si="27"/>
        <v/>
      </c>
      <c r="DR6" s="156"/>
      <c r="DS6" s="157"/>
      <c r="DT6" s="158"/>
      <c r="DU6" s="110" t="str">
        <f>IFERROR((((COUNTIF('Elève (6ème4)'!DR6:DT6,"A"))*4)+((COUNTIF('Elève (6ème4)'!DR6:DT6,"B"))*3)+((COUNTIF('Elève (6ème4)'!DR6:DT6,"C"))*2)+((COUNTIF('Elève (6ème4)'!DR6:DT6,"D"))*1))/(COUNTA(DR6:DT6)),"")</f>
        <v/>
      </c>
      <c r="DV6" s="111" t="str">
        <f t="shared" si="28"/>
        <v/>
      </c>
      <c r="DW6" s="81"/>
      <c r="DX6" s="82"/>
      <c r="DY6" s="83"/>
      <c r="DZ6" s="110" t="str">
        <f>IFERROR((((COUNTIF('Elève (6ème4)'!DW6:DY6,"A"))*4)+((COUNTIF('Elève (6ème4)'!DW6:DY6,"B"))*3)+((COUNTIF('Elève (6ème4)'!DW6:DY6,"C"))*2)+((COUNTIF('Elève (6ème4)'!DW6:DY6,"D"))*1))/(COUNTA(DW6:DY6)),"")</f>
        <v/>
      </c>
      <c r="EA6" s="111" t="str">
        <f t="shared" si="29"/>
        <v/>
      </c>
      <c r="EB6" s="81"/>
      <c r="EC6" s="82"/>
      <c r="ED6" s="83"/>
      <c r="EE6" s="110" t="str">
        <f>IFERROR((((COUNTIF('Elève (6ème4)'!EB6:ED6,"A"))*4)+((COUNTIF('Elève (6ème4)'!EB6:ED6,"B"))*3)+((COUNTIF('Elève (6ème4)'!EB6:ED6,"C"))*2)+((COUNTIF('Elève (6ème4)'!EB6:ED6,"D"))*1))/(COUNTA(EB6:ED6)),"")</f>
        <v/>
      </c>
      <c r="EF6" s="111" t="str">
        <f t="shared" si="30"/>
        <v/>
      </c>
      <c r="EG6" s="179" t="str">
        <f>IF(COUNT(DU6,DZ6,EE6)=0,"",SUM(DU6,DZ6,EE6)/COUNT(DU6,DZ6,EE6))</f>
        <v/>
      </c>
      <c r="EH6" s="132" t="str">
        <f t="shared" si="31"/>
        <v/>
      </c>
      <c r="EI6" s="156"/>
      <c r="EJ6" s="157"/>
      <c r="EK6" s="158"/>
      <c r="EL6" s="110" t="str">
        <f>IFERROR((((COUNTIF('Elève (6ème4)'!EI6:EK6,"A"))*4)+((COUNTIF('Elève (6ème4)'!EI6:EK6,"B"))*3)+((COUNTIF('Elève (6ème4)'!EI6:EK6,"C"))*2)+((COUNTIF('Elève (6ème4)'!EI6:EK6,"D"))*1))/(COUNTA(EI6:EK6)),"")</f>
        <v/>
      </c>
      <c r="EM6" s="111" t="str">
        <f t="shared" si="32"/>
        <v/>
      </c>
      <c r="EN6" s="81"/>
      <c r="EO6" s="82"/>
      <c r="EP6" s="83"/>
      <c r="EQ6" s="110" t="str">
        <f>IFERROR((((COUNTIF('Elève (6ème4)'!EN6:EP6,"A"))*4)+((COUNTIF('Elève (6ème4)'!EN6:EP6,"B"))*3)+((COUNTIF('Elève (6ème4)'!EN6:EP6,"C"))*2)+((COUNTIF('Elève (6ème4)'!EN6:EP6,"D"))*1))/(COUNTA(EN6:EP6)),"")</f>
        <v/>
      </c>
      <c r="ER6" s="111" t="str">
        <f t="shared" si="33"/>
        <v/>
      </c>
      <c r="ES6" s="81"/>
      <c r="ET6" s="82"/>
      <c r="EU6" s="83"/>
      <c r="EV6" s="110" t="str">
        <f>IFERROR((((COUNTIF('Elève (6ème4)'!ES6:EU6,"A"))*4)+((COUNTIF('Elève (6ème4)'!ES6:EU6,"B"))*3)+((COUNTIF('Elève (6ème4)'!ES6:EU6,"C"))*2)+((COUNTIF('Elève (6ème4)'!ES6:EU6,"D"))*1))/(COUNTA(ES6:EU6)),"")</f>
        <v/>
      </c>
      <c r="EW6" s="111" t="str">
        <f t="shared" si="34"/>
        <v/>
      </c>
      <c r="EX6" s="179" t="str">
        <f>IF(COUNT(EL6,EQ6,EV6)=0,"",SUM(EL6,EQ6,EV6)/COUNT(EL6,EQ6,EV6))</f>
        <v/>
      </c>
      <c r="EY6" s="132" t="str">
        <f t="shared" si="35"/>
        <v/>
      </c>
      <c r="EZ6" s="156"/>
      <c r="FA6" s="157"/>
      <c r="FB6" s="158"/>
      <c r="FC6" s="110" t="str">
        <f>IFERROR((((COUNTIF('Elève (6ème4)'!EZ6:FB6,"A"))*4)+((COUNTIF('Elève (6ème4)'!EZ6:FB6,"B"))*3)+((COUNTIF('Elève (6ème4)'!EZ6:FB6,"C"))*2)+((COUNTIF('Elève (6ème4)'!EZ6:FB6,"D"))*1))/(COUNTA(EZ6:FB6)),"")</f>
        <v/>
      </c>
      <c r="FD6" s="111" t="str">
        <f t="shared" si="36"/>
        <v/>
      </c>
      <c r="FE6" s="81"/>
      <c r="FF6" s="82"/>
      <c r="FG6" s="83"/>
      <c r="FH6" s="110" t="str">
        <f>IFERROR((((COUNTIF('Elève (6ème4)'!FE6:FG6,"A"))*4)+((COUNTIF('Elève (6ème4)'!FE6:FG6,"B"))*3)+((COUNTIF('Elève (6ème4)'!FE6:FG6,"C"))*2)+((COUNTIF('Elève (6ème4)'!FE6:FG6,"D"))*1))/(COUNTA(FE6:FG6)),"")</f>
        <v/>
      </c>
      <c r="FI6" s="111" t="str">
        <f t="shared" si="37"/>
        <v/>
      </c>
      <c r="FJ6" s="81"/>
      <c r="FK6" s="82"/>
      <c r="FL6" s="83"/>
      <c r="FM6" s="110" t="str">
        <f>IFERROR((((COUNTIF('Elève (6ème4)'!FJ6:FL6,"A"))*4)+((COUNTIF('Elève (6ème4)'!FJ6:FL6,"B"))*3)+((COUNTIF('Elève (6ème4)'!FJ6:FL6,"C"))*2)+((COUNTIF('Elève (6ème4)'!FJ6:FL6,"D"))*1))/(COUNTA(FJ6:FL6)),"")</f>
        <v/>
      </c>
      <c r="FN6" s="111" t="str">
        <f t="shared" si="38"/>
        <v/>
      </c>
      <c r="FO6" s="179" t="str">
        <f>IF(COUNT(FC6,FH6,FM6)=0,"",SUM(FC6,FH6,FM6)/COUNT(FC6,FH6,FM6))</f>
        <v/>
      </c>
      <c r="FP6" s="132" t="str">
        <f t="shared" si="39"/>
        <v/>
      </c>
      <c r="FQ6" s="156"/>
      <c r="FR6" s="157"/>
      <c r="FS6" s="158"/>
      <c r="FT6" s="110" t="str">
        <f>IFERROR((((COUNTIF('Elève (6ème4)'!FQ6:FS6,"A"))*4)+((COUNTIF('Elève (6ème4)'!FQ6:FS6,"B"))*3)+((COUNTIF('Elève (6ème4)'!FQ6:FS6,"C"))*2)+((COUNTIF('Elève (6ème4)'!FQ6:FS6,"D"))*1))/(COUNTA(FQ6:FS6)),"")</f>
        <v/>
      </c>
      <c r="FU6" s="111" t="str">
        <f t="shared" si="40"/>
        <v/>
      </c>
      <c r="FV6" s="81"/>
      <c r="FW6" s="82"/>
      <c r="FX6" s="83"/>
      <c r="FY6" s="110" t="str">
        <f>IFERROR((((COUNTIF('Elève (6ème4)'!FV6:FX6,"A"))*4)+((COUNTIF('Elève (6ème4)'!FV6:FX6,"B"))*3)+((COUNTIF('Elève (6ème4)'!FV6:FX6,"C"))*2)+((COUNTIF('Elève (6ème4)'!FV6:FX6,"D"))*1))/(COUNTA(FV6:FX6)),"")</f>
        <v/>
      </c>
      <c r="FZ6" s="111" t="str">
        <f t="shared" si="41"/>
        <v/>
      </c>
      <c r="GA6" s="81"/>
      <c r="GB6" s="82"/>
      <c r="GC6" s="83"/>
      <c r="GD6" s="110" t="str">
        <f>IFERROR((((COUNTIF('Elève (6ème4)'!GA6:GC6,"A"))*4)+((COUNTIF('Elève (6ème4)'!GA6:GC6,"B"))*3)+((COUNTIF('Elève (6ème4)'!GA6:GC6,"C"))*2)+((COUNTIF('Elève (6ème4)'!GA6:GC6,"D"))*1))/(COUNTA(GA6:GC6)),"")</f>
        <v/>
      </c>
      <c r="GE6" s="111" t="str">
        <f t="shared" si="42"/>
        <v/>
      </c>
      <c r="GF6" s="179" t="str">
        <f>IF(COUNT(FT6,FY6,GD6)=0,"",SUM(FT6,FY6,GD6)/COUNT(FT6,FY6,GD6))</f>
        <v/>
      </c>
      <c r="GG6" s="132" t="str">
        <f t="shared" si="43"/>
        <v/>
      </c>
      <c r="GH6" s="156"/>
      <c r="GI6" s="157"/>
      <c r="GJ6" s="158"/>
      <c r="GK6" s="110" t="str">
        <f>IFERROR((((COUNTIF('Elève (6ème4)'!GH6:GJ6,"A"))*4)+((COUNTIF('Elève (6ème4)'!GH6:GJ6,"B"))*3)+((COUNTIF('Elève (6ème4)'!GH6:GJ6,"C"))*2)+((COUNTIF('Elève (6ème4)'!GH6:GJ6,"D"))*1))/(COUNTA(GH6:GJ6)),"")</f>
        <v/>
      </c>
      <c r="GL6" s="111" t="str">
        <f t="shared" si="44"/>
        <v/>
      </c>
      <c r="GM6" s="81"/>
      <c r="GN6" s="82"/>
      <c r="GO6" s="83"/>
      <c r="GP6" s="110" t="str">
        <f>IFERROR((((COUNTIF('Elève (6ème4)'!GM6:GO6,"A"))*4)+((COUNTIF('Elève (6ème4)'!GM6:GO6,"B"))*3)+((COUNTIF('Elève (6ème4)'!GM6:GO6,"C"))*2)+((COUNTIF('Elève (6ème4)'!GM6:GO6,"D"))*1))/(COUNTA(GM6:GO6)),"")</f>
        <v/>
      </c>
      <c r="GQ6" s="111" t="str">
        <f t="shared" si="45"/>
        <v/>
      </c>
      <c r="GR6" s="81"/>
      <c r="GS6" s="82"/>
      <c r="GT6" s="83"/>
      <c r="GU6" s="110" t="str">
        <f>IFERROR((((COUNTIF('Elève (6ème4)'!GR6:GT6,"A"))*4)+((COUNTIF('Elève (6ème4)'!GR6:GT6,"B"))*3)+((COUNTIF('Elève (6ème4)'!GR6:GT6,"C"))*2)+((COUNTIF('Elève (6ème4)'!GR6:GT6,"D"))*1))/(COUNTA(GR6:GT6)),"")</f>
        <v/>
      </c>
      <c r="GV6" s="111" t="str">
        <f t="shared" si="46"/>
        <v/>
      </c>
      <c r="GW6" s="179" t="str">
        <f>IF(COUNT(GK6,GP6,GU6)=0,"",SUM(GK6,GP6,GU6)/COUNT(GK6,GP6,GU6))</f>
        <v/>
      </c>
      <c r="GX6" s="132" t="str">
        <f t="shared" si="47"/>
        <v/>
      </c>
      <c r="GY6" s="156"/>
      <c r="GZ6" s="157"/>
      <c r="HA6" s="158"/>
      <c r="HB6" s="110" t="str">
        <f>IFERROR((((COUNTIF('Elève (6ème4)'!GY6:HA6,"A"))*4)+((COUNTIF('Elève (6ème4)'!GY6:HA6,"B"))*3)+((COUNTIF('Elève (6ème4)'!GY6:HA6,"C"))*2)+((COUNTIF('Elève (6ème4)'!GY6:HA6,"D"))*1))/(COUNTA(GY6:HA6)),"")</f>
        <v/>
      </c>
      <c r="HC6" s="111" t="str">
        <f t="shared" si="48"/>
        <v/>
      </c>
      <c r="HD6" s="81"/>
      <c r="HE6" s="82"/>
      <c r="HF6" s="83"/>
      <c r="HG6" s="110" t="str">
        <f>IFERROR((((COUNTIF('Elève (6ème4)'!HD6:HF6,"A"))*4)+((COUNTIF('Elève (6ème4)'!HD6:HF6,"B"))*3)+((COUNTIF('Elève (6ème4)'!HD6:HF6,"C"))*2)+((COUNTIF('Elève (6ème4)'!HD6:HF6,"D"))*1))/(COUNTA(HD6:HF6)),"")</f>
        <v/>
      </c>
      <c r="HH6" s="111" t="str">
        <f t="shared" si="49"/>
        <v/>
      </c>
      <c r="HI6" s="81"/>
      <c r="HJ6" s="82"/>
      <c r="HK6" s="83"/>
      <c r="HL6" s="110" t="str">
        <f>IFERROR((((COUNTIF('Elève (6ème4)'!HI6:HK6,"A"))*4)+((COUNTIF('Elève (6ème4)'!HI6:HK6,"B"))*3)+((COUNTIF('Elève (6ème4)'!HI6:HK6,"C"))*2)+((COUNTIF('Elève (6ème4)'!HI6:HK6,"D"))*1))/(COUNTA(HI6:HK6)),"")</f>
        <v/>
      </c>
      <c r="HM6" s="111" t="str">
        <f t="shared" si="50"/>
        <v/>
      </c>
      <c r="HN6" s="179" t="str">
        <f>IF(COUNT(HB6,HG6,HL6)=0,"",SUM(HB6,HG6,HL6)/COUNT(HB6,HG6,HL6))</f>
        <v/>
      </c>
      <c r="HO6" s="132" t="str">
        <f t="shared" si="51"/>
        <v/>
      </c>
      <c r="HP6" s="156"/>
      <c r="HQ6" s="157"/>
      <c r="HR6" s="158"/>
      <c r="HS6" s="110" t="str">
        <f>IFERROR((((COUNTIF('Elève (6ème4)'!HP6:HR6,"A"))*4)+((COUNTIF('Elève (6ème4)'!HP6:HR6,"B"))*3)+((COUNTIF('Elève (6ème4)'!HP6:HR6,"C"))*2)+((COUNTIF('Elève (6ème4)'!HP6:HR6,"D"))*1))/(COUNTA(HP6:HR6)),"")</f>
        <v/>
      </c>
      <c r="HT6" s="111" t="str">
        <f t="shared" si="52"/>
        <v/>
      </c>
      <c r="HU6" s="81"/>
      <c r="HV6" s="82"/>
      <c r="HW6" s="83"/>
      <c r="HX6" s="110" t="str">
        <f>IFERROR((((COUNTIF('Elève (6ème4)'!HU6:HW6,"A"))*4)+((COUNTIF('Elève (6ème4)'!HU6:HW6,"B"))*3)+((COUNTIF('Elève (6ème4)'!HU6:HW6,"C"))*2)+((COUNTIF('Elève (6ème4)'!HU6:HW6,"D"))*1))/(COUNTA(HU6:HW6)),"")</f>
        <v/>
      </c>
      <c r="HY6" s="111" t="str">
        <f t="shared" si="53"/>
        <v/>
      </c>
      <c r="HZ6" s="81"/>
      <c r="IA6" s="82"/>
      <c r="IB6" s="83"/>
      <c r="IC6" s="110" t="str">
        <f>IFERROR((((COUNTIF('Elève (6ème4)'!HZ6:IB6,"A"))*4)+((COUNTIF('Elève (6ème4)'!HZ6:IB6,"B"))*3)+((COUNTIF('Elève (6ème4)'!HZ6:IB6,"C"))*2)+((COUNTIF('Elève (6ème4)'!HZ6:IB6,"D"))*1))/(COUNTA(HZ6:IB6)),"")</f>
        <v/>
      </c>
      <c r="ID6" s="111" t="str">
        <f t="shared" si="54"/>
        <v/>
      </c>
      <c r="IE6" s="179" t="str">
        <f>IF(COUNT(HS6,HX6,IC6)=0,"",SUM(HS6,HX6,IC6)/COUNT(HS6,HX6,IC6))</f>
        <v/>
      </c>
      <c r="IF6" s="132" t="str">
        <f t="shared" si="55"/>
        <v/>
      </c>
      <c r="IG6" s="156"/>
      <c r="IH6" s="157"/>
      <c r="II6" s="158"/>
      <c r="IJ6" s="110" t="str">
        <f>IFERROR((((COUNTIF('Elève (6ème4)'!IG6:II6,"A"))*4)+((COUNTIF('Elève (6ème4)'!IG6:II6,"B"))*3)+((COUNTIF('Elève (6ème4)'!IG6:II6,"C"))*2)+((COUNTIF('Elève (6ème4)'!IG6:II6,"D"))*1))/(COUNTA(IG6:II6)),"")</f>
        <v/>
      </c>
      <c r="IK6" s="111" t="str">
        <f t="shared" si="56"/>
        <v/>
      </c>
      <c r="IL6" s="81"/>
      <c r="IM6" s="82"/>
      <c r="IN6" s="83"/>
      <c r="IO6" s="110" t="str">
        <f>IFERROR((((COUNTIF('Elève (6ème4)'!IL6:IN6,"A"))*4)+((COUNTIF('Elève (6ème4)'!IL6:IN6,"B"))*3)+((COUNTIF('Elève (6ème4)'!IL6:IN6,"C"))*2)+((COUNTIF('Elève (6ème4)'!IL6:IN6,"D"))*1))/(COUNTA(IL6:IN6)),"")</f>
        <v/>
      </c>
      <c r="IP6" s="111" t="str">
        <f t="shared" si="57"/>
        <v/>
      </c>
      <c r="IQ6" s="81"/>
      <c r="IR6" s="82"/>
      <c r="IS6" s="83"/>
      <c r="IT6" s="110" t="str">
        <f>IFERROR((((COUNTIF('Elève (6ème4)'!IQ6:IS6,"A"))*4)+((COUNTIF('Elève (6ème4)'!IQ6:IS6,"B"))*3)+((COUNTIF('Elève (6ème4)'!IQ6:IS6,"C"))*2)+((COUNTIF('Elève (6ème4)'!IQ6:IS6,"D"))*1))/(COUNTA(IQ6:IS6)),"")</f>
        <v/>
      </c>
      <c r="IU6" s="111" t="str">
        <f t="shared" si="58"/>
        <v/>
      </c>
      <c r="IV6" s="179" t="str">
        <f>IF(COUNT(IJ6,IO6,IT6)=0,"",SUM(IJ6,IO6,IT6)/COUNT(IJ6,IO6,IT6))</f>
        <v/>
      </c>
      <c r="IW6" s="132" t="str">
        <f t="shared" si="59"/>
        <v/>
      </c>
      <c r="IX6" s="156"/>
      <c r="IY6" s="157"/>
      <c r="IZ6" s="158"/>
      <c r="JA6" s="110" t="str">
        <f>IFERROR((((COUNTIF('Elève (6ème4)'!IX6:IZ6,"A"))*4)+((COUNTIF('Elève (6ème4)'!IX6:IZ6,"B"))*3)+((COUNTIF('Elève (6ème4)'!IX6:IZ6,"C"))*2)+((COUNTIF('Elève (6ème4)'!IX6:IZ6,"D"))*1))/(COUNTA(IX6:IZ6)),"")</f>
        <v/>
      </c>
      <c r="JB6" s="111" t="str">
        <f t="shared" si="60"/>
        <v/>
      </c>
      <c r="JC6" s="81"/>
      <c r="JD6" s="82"/>
      <c r="JE6" s="83"/>
      <c r="JF6" s="110" t="str">
        <f>IFERROR((((COUNTIF('Elève (6ème4)'!JC6:JE6,"A"))*4)+((COUNTIF('Elève (6ème4)'!JC6:JE6,"B"))*3)+((COUNTIF('Elève (6ème4)'!JC6:JE6,"C"))*2)+((COUNTIF('Elève (6ème4)'!JC6:JE6,"D"))*1))/(COUNTA(JC6:JE6)),"")</f>
        <v/>
      </c>
      <c r="JG6" s="111" t="str">
        <f t="shared" si="61"/>
        <v/>
      </c>
      <c r="JH6" s="81"/>
      <c r="JI6" s="82"/>
      <c r="JJ6" s="83"/>
      <c r="JK6" s="110" t="str">
        <f>IFERROR((((COUNTIF('Elève (6ème4)'!JH6:JJ6,"A"))*4)+((COUNTIF('Elève (6ème4)'!JH6:JJ6,"B"))*3)+((COUNTIF('Elève (6ème4)'!JH6:JJ6,"C"))*2)+((COUNTIF('Elève (6ème4)'!JH6:JJ6,"D"))*1))/(COUNTA(JH6:JJ6)),"")</f>
        <v/>
      </c>
      <c r="JL6" s="111" t="str">
        <f t="shared" si="62"/>
        <v/>
      </c>
      <c r="JM6" s="179" t="str">
        <f>IF(COUNT(JA6,JF6,JK6)=0,"",SUM(JA6,JF6,JK6)/COUNT(JA6,JF6,JK6))</f>
        <v/>
      </c>
      <c r="JN6" s="132" t="str">
        <f t="shared" si="63"/>
        <v/>
      </c>
      <c r="JO6" s="156"/>
      <c r="JP6" s="157"/>
      <c r="JQ6" s="158"/>
      <c r="JR6" s="110" t="str">
        <f>IFERROR((((COUNTIF('Elève (6ème4)'!JO6:JQ6,"A"))*4)+((COUNTIF('Elève (6ème4)'!JO6:JQ6,"B"))*3)+((COUNTIF('Elève (6ème4)'!JO6:JQ6,"C"))*2)+((COUNTIF('Elève (6ème4)'!JO6:JQ6,"D"))*1))/(COUNTA(JO6:JQ6)),"")</f>
        <v/>
      </c>
      <c r="JS6" s="111" t="str">
        <f t="shared" si="64"/>
        <v/>
      </c>
      <c r="JT6" s="81"/>
      <c r="JU6" s="82"/>
      <c r="JV6" s="83"/>
      <c r="JW6" s="110" t="str">
        <f>IFERROR((((COUNTIF('Elève (6ème4)'!JT6:JV6,"A"))*4)+((COUNTIF('Elève (6ème4)'!JT6:JV6,"B"))*3)+((COUNTIF('Elève (6ème4)'!JT6:JV6,"C"))*2)+((COUNTIF('Elève (6ème4)'!JT6:JV6,"D"))*1))/(COUNTA(JT6:JV6)),"")</f>
        <v/>
      </c>
      <c r="JX6" s="111" t="str">
        <f t="shared" si="65"/>
        <v/>
      </c>
      <c r="JY6" s="81"/>
      <c r="JZ6" s="82"/>
      <c r="KA6" s="83"/>
      <c r="KB6" s="110" t="str">
        <f>IFERROR((((COUNTIF('Elève (6ème4)'!JY6:KA6,"A"))*4)+((COUNTIF('Elève (6ème4)'!JY6:KA6,"B"))*3)+((COUNTIF('Elève (6ème4)'!JY6:KA6,"C"))*2)+((COUNTIF('Elève (6ème4)'!JY6:KA6,"D"))*1))/(COUNTA(JY6:KA6)),"")</f>
        <v/>
      </c>
      <c r="KC6" s="111" t="str">
        <f t="shared" si="66"/>
        <v/>
      </c>
      <c r="KD6" s="179" t="str">
        <f>IF(COUNT(JR6,JW6,KB6)=0,"",SUM(JR6,JW6,KB6)/COUNT(JR6,JW6,KB6))</f>
        <v/>
      </c>
      <c r="KE6" s="132" t="str">
        <f t="shared" si="67"/>
        <v/>
      </c>
      <c r="KF6" s="156"/>
      <c r="KG6" s="157"/>
      <c r="KH6" s="158"/>
      <c r="KI6" s="110" t="str">
        <f>IFERROR((((COUNTIF('Elève (6ème4)'!KF6:KH6,"A"))*4)+((COUNTIF('Elève (6ème4)'!KF6:KH6,"B"))*3)+((COUNTIF('Elève (6ème4)'!KF6:KH6,"C"))*2)+((COUNTIF('Elève (6ème4)'!KF6:KH6,"D"))*1))/(COUNTA(KF6:KH6)),"")</f>
        <v/>
      </c>
      <c r="KJ6" s="111" t="str">
        <f t="shared" si="68"/>
        <v/>
      </c>
      <c r="KK6" s="81"/>
      <c r="KL6" s="82"/>
      <c r="KM6" s="83"/>
      <c r="KN6" s="110" t="str">
        <f>IFERROR((((COUNTIF('Elève (6ème4)'!KK6:KM6,"A"))*4)+((COUNTIF('Elève (6ème4)'!KK6:KM6,"B"))*3)+((COUNTIF('Elève (6ème4)'!KK6:KM6,"C"))*2)+((COUNTIF('Elève (6ème4)'!KK6:KM6,"D"))*1))/(COUNTA(KK6:KM6)),"")</f>
        <v/>
      </c>
      <c r="KO6" s="111" t="str">
        <f t="shared" si="69"/>
        <v/>
      </c>
      <c r="KP6" s="81"/>
      <c r="KQ6" s="82"/>
      <c r="KR6" s="83"/>
      <c r="KS6" s="110" t="str">
        <f>IFERROR((((COUNTIF('Elève (6ème4)'!KP6:KR6,"A"))*4)+((COUNTIF('Elève (6ème4)'!KP6:KR6,"B"))*3)+((COUNTIF('Elève (6ème4)'!KP6:KR6,"C"))*2)+((COUNTIF('Elève (6ème4)'!KP6:KR6,"D"))*1))/(COUNTA(KP6:KR6)),"")</f>
        <v/>
      </c>
      <c r="KT6" s="111" t="str">
        <f t="shared" si="70"/>
        <v/>
      </c>
      <c r="KU6" s="179" t="str">
        <f>IF(COUNT(KI6,KN6,KS6)=0,"",SUM(KI6,KN6,KS6)/COUNT(KI6,KN6,KS6))</f>
        <v/>
      </c>
      <c r="KV6" s="132" t="str">
        <f t="shared" si="71"/>
        <v/>
      </c>
      <c r="KW6" s="156"/>
      <c r="KX6" s="157"/>
      <c r="KY6" s="158"/>
      <c r="KZ6" s="110" t="str">
        <f>IFERROR((((COUNTIF('Elève (6ème4)'!KW6:KY6,"A"))*4)+((COUNTIF('Elève (6ème4)'!KW6:KY6,"B"))*3)+((COUNTIF('Elève (6ème4)'!KW6:KY6,"C"))*2)+((COUNTIF('Elève (6ème4)'!KW6:KY6,"D"))*1))/(COUNTA(KW6:KY6)),"")</f>
        <v/>
      </c>
      <c r="LA6" s="111" t="str">
        <f t="shared" si="72"/>
        <v/>
      </c>
      <c r="LB6" s="81"/>
      <c r="LC6" s="82"/>
      <c r="LD6" s="83"/>
      <c r="LE6" s="110" t="str">
        <f>IFERROR((((COUNTIF('Elève (6ème4)'!LB6:LD6,"A"))*4)+((COUNTIF('Elève (6ème4)'!LB6:LD6,"B"))*3)+((COUNTIF('Elève (6ème4)'!LB6:LD6,"C"))*2)+((COUNTIF('Elève (6ème4)'!LB6:LD6,"D"))*1))/(COUNTA(LB6:LD6)),"")</f>
        <v/>
      </c>
      <c r="LF6" s="111" t="str">
        <f t="shared" si="73"/>
        <v/>
      </c>
      <c r="LG6" s="81"/>
      <c r="LH6" s="82"/>
      <c r="LI6" s="83"/>
      <c r="LJ6" s="110" t="str">
        <f>IFERROR((((COUNTIF('Elève (6ème4)'!LG6:LI6,"A"))*4)+((COUNTIF('Elève (6ème4)'!LG6:LI6,"B"))*3)+((COUNTIF('Elève (6ème4)'!LG6:LI6,"C"))*2)+((COUNTIF('Elève (6ème4)'!LG6:LI6,"D"))*1))/(COUNTA(LG6:LI6)),"")</f>
        <v/>
      </c>
      <c r="LK6" s="111" t="str">
        <f t="shared" si="74"/>
        <v/>
      </c>
      <c r="LL6" s="179" t="str">
        <f>IF(COUNT(KZ6,LE6,LJ6)=0,"",SUM(KZ6,LE6,LJ6)/COUNT(KZ6,LE6,LJ6))</f>
        <v/>
      </c>
      <c r="LM6" s="132" t="str">
        <f t="shared" si="75"/>
        <v/>
      </c>
      <c r="LN6" s="156"/>
      <c r="LO6" s="157"/>
      <c r="LP6" s="158"/>
      <c r="LQ6" s="110" t="str">
        <f>IFERROR((((COUNTIF('Elève (6ème4)'!LN6:LP6,"A"))*4)+((COUNTIF('Elève (6ème4)'!LN6:LP6,"B"))*3)+((COUNTIF('Elève (6ème4)'!LN6:LP6,"C"))*2)+((COUNTIF('Elève (6ème4)'!LN6:LP6,"D"))*1))/(COUNTA(LN6:LP6)),"")</f>
        <v/>
      </c>
      <c r="LR6" s="111" t="str">
        <f t="shared" si="76"/>
        <v/>
      </c>
      <c r="LS6" s="81"/>
      <c r="LT6" s="82"/>
      <c r="LU6" s="83"/>
      <c r="LV6" s="110" t="str">
        <f>IFERROR((((COUNTIF('Elève (6ème4)'!LS6:LU6,"A"))*4)+((COUNTIF('Elève (6ème4)'!LS6:LU6,"B"))*3)+((COUNTIF('Elève (6ème4)'!LS6:LU6,"C"))*2)+((COUNTIF('Elève (6ème4)'!LS6:LU6,"D"))*1))/(COUNTA(LS6:LU6)),"")</f>
        <v/>
      </c>
      <c r="LW6" s="111" t="str">
        <f t="shared" si="77"/>
        <v/>
      </c>
      <c r="LX6" s="81"/>
      <c r="LY6" s="82"/>
      <c r="LZ6" s="83"/>
      <c r="MA6" s="110" t="str">
        <f>IFERROR((((COUNTIF('Elève (6ème4)'!LX6:LZ6,"A"))*4)+((COUNTIF('Elève (6ème4)'!LX6:LZ6,"B"))*3)+((COUNTIF('Elève (6ème4)'!LX6:LZ6,"C"))*2)+((COUNTIF('Elève (6ème4)'!LX6:LZ6,"D"))*1))/(COUNTA(LX6:LZ6)),"")</f>
        <v/>
      </c>
      <c r="MB6" s="111" t="str">
        <f t="shared" si="78"/>
        <v/>
      </c>
      <c r="MC6" s="179" t="str">
        <f>IF(COUNT(LQ6,LV6,MA6)=0,"",SUM(LQ6,LV6,MA6)/COUNT(LQ6,LV6,MA6))</f>
        <v/>
      </c>
      <c r="MD6" s="132" t="str">
        <f t="shared" si="79"/>
        <v/>
      </c>
      <c r="ME6" s="156"/>
      <c r="MF6" s="157"/>
      <c r="MG6" s="158"/>
      <c r="MH6" s="110" t="str">
        <f>IFERROR((((COUNTIF('Elève (6ème4)'!ME6:MG6,"A"))*4)+((COUNTIF('Elève (6ème4)'!ME6:MG6,"B"))*3)+((COUNTIF('Elève (6ème4)'!ME6:MG6,"C"))*2)+((COUNTIF('Elève (6ème4)'!ME6:MG6,"D"))*1))/(COUNTA(ME6:MG6)),"")</f>
        <v/>
      </c>
      <c r="MI6" s="111" t="str">
        <f t="shared" si="80"/>
        <v/>
      </c>
      <c r="MJ6" s="81"/>
      <c r="MK6" s="82"/>
      <c r="ML6" s="83"/>
      <c r="MM6" s="110" t="str">
        <f>IFERROR((((COUNTIF('Elève (6ème4)'!MJ6:ML6,"A"))*4)+((COUNTIF('Elève (6ème4)'!MJ6:ML6,"B"))*3)+((COUNTIF('Elève (6ème4)'!MJ6:ML6,"C"))*2)+((COUNTIF('Elève (6ème4)'!MJ6:ML6,"D"))*1))/(COUNTA(MJ6:ML6)),"")</f>
        <v/>
      </c>
      <c r="MN6" s="111" t="str">
        <f t="shared" si="81"/>
        <v/>
      </c>
      <c r="MO6" s="81"/>
      <c r="MP6" s="82"/>
      <c r="MQ6" s="83"/>
      <c r="MR6" s="110" t="str">
        <f>IFERROR((((COUNTIF('Elève (6ème4)'!MO6:MQ6,"A"))*4)+((COUNTIF('Elève (6ème4)'!MO6:MQ6,"B"))*3)+((COUNTIF('Elève (6ème4)'!MO6:MQ6,"C"))*2)+((COUNTIF('Elève (6ème4)'!MO6:MQ6,"D"))*1))/(COUNTA(MO6:MQ6)),"")</f>
        <v/>
      </c>
      <c r="MS6" s="111" t="str">
        <f t="shared" si="82"/>
        <v/>
      </c>
      <c r="MT6" s="179" t="str">
        <f>IF(COUNT(MH6,MM6,MR6)=0,"",SUM(MH6,MM6,MR6)/COUNT(MH6,MM6,MR6))</f>
        <v/>
      </c>
      <c r="MU6" s="132" t="str">
        <f t="shared" si="83"/>
        <v/>
      </c>
      <c r="MV6" s="156"/>
      <c r="MW6" s="157"/>
      <c r="MX6" s="158"/>
      <c r="MY6" s="110" t="str">
        <f>IFERROR((((COUNTIF('Elève (6ème4)'!MV6:MX6,"A"))*4)+((COUNTIF('Elève (6ème4)'!MV6:MX6,"B"))*3)+((COUNTIF('Elève (6ème4)'!MV6:MX6,"C"))*2)+((COUNTIF('Elève (6ème4)'!MV6:MX6,"D"))*1))/(COUNTA(MV6:MX6)),"")</f>
        <v/>
      </c>
      <c r="MZ6" s="111" t="str">
        <f t="shared" si="84"/>
        <v/>
      </c>
      <c r="NA6" s="81"/>
      <c r="NB6" s="82"/>
      <c r="NC6" s="83"/>
      <c r="ND6" s="110" t="str">
        <f>IFERROR((((COUNTIF('Elève (6ème4)'!NA6:NC6,"A"))*4)+((COUNTIF('Elève (6ème4)'!NA6:NC6,"B"))*3)+((COUNTIF('Elève (6ème4)'!NA6:NC6,"C"))*2)+((COUNTIF('Elève (6ème4)'!NA6:NC6,"D"))*1))/(COUNTA(NA6:NC6)),"")</f>
        <v/>
      </c>
      <c r="NE6" s="111" t="str">
        <f t="shared" si="85"/>
        <v/>
      </c>
      <c r="NF6" s="81"/>
      <c r="NG6" s="82"/>
      <c r="NH6" s="83"/>
      <c r="NI6" s="110" t="str">
        <f>IFERROR((((COUNTIF('Elève (6ème4)'!NF6:NH6,"A"))*4)+((COUNTIF('Elève (6ème4)'!NF6:NH6,"B"))*3)+((COUNTIF('Elève (6ème4)'!NF6:NH6,"C"))*2)+((COUNTIF('Elève (6ème4)'!NF6:NH6,"D"))*1))/(COUNTA(NF6:NH6)),"")</f>
        <v/>
      </c>
      <c r="NJ6" s="111" t="str">
        <f t="shared" si="86"/>
        <v/>
      </c>
      <c r="NK6" s="179" t="str">
        <f>IF(COUNT(MY6,ND6,NI6)=0,"",SUM(MY6,ND6,NI6)/COUNT(MY6,ND6,NI6))</f>
        <v/>
      </c>
      <c r="NL6" s="132" t="str">
        <f t="shared" si="87"/>
        <v/>
      </c>
      <c r="NM6" s="156"/>
      <c r="NN6" s="157"/>
      <c r="NO6" s="158"/>
      <c r="NP6" s="110" t="str">
        <f>IFERROR((((COUNTIF('Elève (6ème4)'!NM6:NO6,"A"))*4)+((COUNTIF('Elève (6ème4)'!NM6:NO6,"B"))*3)+((COUNTIF('Elève (6ème4)'!NM6:NO6,"C"))*2)+((COUNTIF('Elève (6ème4)'!NM6:NO6,"D"))*1))/(COUNTA(NM6:NO6)),"")</f>
        <v/>
      </c>
      <c r="NQ6" s="111" t="str">
        <f t="shared" si="88"/>
        <v/>
      </c>
      <c r="NR6" s="81"/>
      <c r="NS6" s="82"/>
      <c r="NT6" s="83"/>
      <c r="NU6" s="110" t="str">
        <f>IFERROR((((COUNTIF('Elève (6ème4)'!NR6:NT6,"A"))*4)+((COUNTIF('Elève (6ème4)'!NR6:NT6,"B"))*3)+((COUNTIF('Elève (6ème4)'!NR6:NT6,"C"))*2)+((COUNTIF('Elève (6ème4)'!NR6:NT6,"D"))*1))/(COUNTA(NR6:NT6)),"")</f>
        <v/>
      </c>
      <c r="NV6" s="111" t="str">
        <f t="shared" si="89"/>
        <v/>
      </c>
      <c r="NW6" s="81"/>
      <c r="NX6" s="82"/>
      <c r="NY6" s="83"/>
      <c r="NZ6" s="110" t="str">
        <f>IFERROR((((COUNTIF('Elève (6ème4)'!NW6:NY6,"A"))*4)+((COUNTIF('Elève (6ème4)'!NW6:NY6,"B"))*3)+((COUNTIF('Elève (6ème4)'!NW6:NY6,"C"))*2)+((COUNTIF('Elève (6ème4)'!NW6:NY6,"D"))*1))/(COUNTA(NW6:NY6)),"")</f>
        <v/>
      </c>
      <c r="OA6" s="111" t="str">
        <f t="shared" si="90"/>
        <v/>
      </c>
      <c r="OB6" s="179" t="str">
        <f>IF(COUNT(NP6,NU6,NZ6)=0,"",SUM(NP6,NU6,NZ6)/COUNT(NP6,NU6,NZ6))</f>
        <v/>
      </c>
      <c r="OC6" s="132" t="str">
        <f t="shared" si="91"/>
        <v/>
      </c>
      <c r="OD6" s="156"/>
      <c r="OE6" s="157"/>
      <c r="OF6" s="158"/>
      <c r="OG6" s="110" t="str">
        <f>IFERROR((((COUNTIF('Elève (6ème4)'!OD6:OF6,"A"))*4)+((COUNTIF('Elève (6ème4)'!OD6:OF6,"B"))*3)+((COUNTIF('Elève (6ème4)'!OD6:OF6,"C"))*2)+((COUNTIF('Elève (6ème4)'!OD6:OF6,"D"))*1))/(COUNTA(OD6:OF6)),"")</f>
        <v/>
      </c>
      <c r="OH6" s="111" t="str">
        <f t="shared" si="92"/>
        <v/>
      </c>
      <c r="OI6" s="81"/>
      <c r="OJ6" s="82"/>
      <c r="OK6" s="83"/>
      <c r="OL6" s="110" t="str">
        <f>IFERROR((((COUNTIF('Elève (6ème4)'!OI6:OK6,"A"))*4)+((COUNTIF('Elève (6ème4)'!OI6:OK6,"B"))*3)+((COUNTIF('Elève (6ème4)'!OI6:OK6,"C"))*2)+((COUNTIF('Elève (6ème4)'!OI6:OK6,"D"))*1))/(COUNTA(OI6:OK6)),"")</f>
        <v/>
      </c>
      <c r="OM6" s="111" t="str">
        <f t="shared" si="93"/>
        <v/>
      </c>
      <c r="ON6" s="81"/>
      <c r="OO6" s="82"/>
      <c r="OP6" s="83"/>
      <c r="OQ6" s="110" t="str">
        <f>IFERROR((((COUNTIF('Elève (6ème4)'!ON6:OP6,"A"))*4)+((COUNTIF('Elève (6ème4)'!ON6:OP6,"B"))*3)+((COUNTIF('Elève (6ème4)'!ON6:OP6,"C"))*2)+((COUNTIF('Elève (6ème4)'!ON6:OP6,"D"))*1))/(COUNTA(ON6:OP6)),"")</f>
        <v/>
      </c>
      <c r="OR6" s="111" t="str">
        <f t="shared" si="94"/>
        <v/>
      </c>
      <c r="OS6" s="179" t="str">
        <f>IF(COUNT(OG6,OL6,OQ6)=0,"",SUM(OG6,OL6,OQ6)/COUNT(OG6,OL6,OQ6))</f>
        <v/>
      </c>
      <c r="OT6" s="132" t="str">
        <f t="shared" si="95"/>
        <v/>
      </c>
      <c r="OU6" s="156"/>
      <c r="OV6" s="157"/>
      <c r="OW6" s="158"/>
      <c r="OX6" s="110" t="str">
        <f>IFERROR((((COUNTIF('Elève (6ème4)'!OU6:OW6,"A"))*4)+((COUNTIF('Elève (6ème4)'!OU6:OW6,"B"))*3)+((COUNTIF('Elève (6ème4)'!OU6:OW6,"C"))*2)+((COUNTIF('Elève (6ème4)'!OU6:OW6,"D"))*1))/(COUNTA(OU6:OW6)),"")</f>
        <v/>
      </c>
      <c r="OY6" s="111" t="str">
        <f t="shared" si="96"/>
        <v/>
      </c>
      <c r="OZ6" s="81"/>
      <c r="PA6" s="82"/>
      <c r="PB6" s="83"/>
      <c r="PC6" s="110" t="str">
        <f>IFERROR((((COUNTIF('Elève (6ème4)'!OZ6:PB6,"A"))*4)+((COUNTIF('Elève (6ème4)'!OZ6:PB6,"B"))*3)+((COUNTIF('Elève (6ème4)'!OZ6:PB6,"C"))*2)+((COUNTIF('Elève (6ème4)'!OZ6:PB6,"D"))*1))/(COUNTA(OZ6:PB6)),"")</f>
        <v/>
      </c>
      <c r="PD6" s="111" t="str">
        <f t="shared" si="97"/>
        <v/>
      </c>
      <c r="PE6" s="81"/>
      <c r="PF6" s="82"/>
      <c r="PG6" s="83"/>
      <c r="PH6" s="110" t="str">
        <f>IFERROR((((COUNTIF('Elève (6ème4)'!PE6:PG6,"A"))*4)+((COUNTIF('Elève (6ème4)'!PE6:PG6,"B"))*3)+((COUNTIF('Elève (6ème4)'!PE6:PG6,"C"))*2)+((COUNTIF('Elève (6ème4)'!PE6:PG6,"D"))*1))/(COUNTA(PE6:PG6)),"")</f>
        <v/>
      </c>
      <c r="PI6" s="111" t="str">
        <f t="shared" si="98"/>
        <v/>
      </c>
      <c r="PJ6" s="179" t="str">
        <f>IF(COUNT(OX6,PC6,PH6)=0,"",SUM(OX6,PC6,PH6)/COUNT(OX6,PC6,PH6))</f>
        <v/>
      </c>
      <c r="PK6" s="132" t="str">
        <f t="shared" si="99"/>
        <v/>
      </c>
      <c r="PL6" s="156"/>
      <c r="PM6" s="157"/>
      <c r="PN6" s="158"/>
      <c r="PO6" s="110" t="str">
        <f>IFERROR((((COUNTIF('Elève (6ème4)'!PL6:PN6,"A"))*4)+((COUNTIF('Elève (6ème4)'!PL6:PN6,"B"))*3)+((COUNTIF('Elève (6ème4)'!PL6:PN6,"C"))*2)+((COUNTIF('Elève (6ème4)'!PL6:PN6,"D"))*1))/(COUNTA(PL6:PN6)),"")</f>
        <v/>
      </c>
      <c r="PP6" s="111" t="str">
        <f t="shared" si="100"/>
        <v/>
      </c>
      <c r="PQ6" s="81"/>
      <c r="PR6" s="82"/>
      <c r="PS6" s="83"/>
      <c r="PT6" s="110" t="str">
        <f>IFERROR((((COUNTIF('Elève (6ème4)'!PQ6:PS6,"A"))*4)+((COUNTIF('Elève (6ème4)'!PQ6:PS6,"B"))*3)+((COUNTIF('Elève (6ème4)'!PQ6:PS6,"C"))*2)+((COUNTIF('Elève (6ème4)'!PQ6:PS6,"D"))*1))/(COUNTA(PQ6:PS6)),"")</f>
        <v/>
      </c>
      <c r="PU6" s="111" t="str">
        <f t="shared" si="101"/>
        <v/>
      </c>
      <c r="PV6" s="81"/>
      <c r="PW6" s="82"/>
      <c r="PX6" s="83"/>
      <c r="PY6" s="110" t="str">
        <f>IFERROR((((COUNTIF('Elève (6ème4)'!PV6:PX6,"A"))*4)+((COUNTIF('Elève (6ème4)'!PV6:PX6,"B"))*3)+((COUNTIF('Elève (6ème4)'!PV6:PX6,"C"))*2)+((COUNTIF('Elève (6ème4)'!PV6:PX6,"D"))*1))/(COUNTA(PV6:PX6)),"")</f>
        <v/>
      </c>
      <c r="PZ6" s="111" t="str">
        <f t="shared" si="102"/>
        <v/>
      </c>
      <c r="QA6" s="179" t="str">
        <f>IF(COUNT(PO6,PT6,PY6)=0,"",SUM(PO6,PT6,PY6)/COUNT(PO6,PT6,PY6))</f>
        <v/>
      </c>
      <c r="QB6" s="132" t="str">
        <f t="shared" si="103"/>
        <v/>
      </c>
      <c r="QC6" s="156"/>
      <c r="QD6" s="157"/>
      <c r="QE6" s="158"/>
      <c r="QF6" s="110" t="str">
        <f>IFERROR((((COUNTIF('Elève (6ème4)'!QC6:QE6,"A"))*4)+((COUNTIF('Elève (6ème4)'!QC6:QE6,"B"))*3)+((COUNTIF('Elève (6ème4)'!QC6:QE6,"C"))*2)+((COUNTIF('Elève (6ème4)'!QC6:QE6,"D"))*1))/(COUNTA(QC6:QE6)),"")</f>
        <v/>
      </c>
      <c r="QG6" s="111" t="str">
        <f t="shared" si="104"/>
        <v/>
      </c>
      <c r="QH6" s="81"/>
      <c r="QI6" s="82"/>
      <c r="QJ6" s="83"/>
      <c r="QK6" s="110" t="str">
        <f>IFERROR((((COUNTIF('Elève (6ème4)'!QH6:QJ6,"A"))*4)+((COUNTIF('Elève (6ème4)'!QH6:QJ6,"B"))*3)+((COUNTIF('Elève (6ème4)'!QH6:QJ6,"C"))*2)+((COUNTIF('Elève (6ème4)'!QH6:QJ6,"D"))*1))/(COUNTA(QH6:QJ6)),"")</f>
        <v/>
      </c>
      <c r="QL6" s="111" t="str">
        <f t="shared" si="105"/>
        <v/>
      </c>
      <c r="QM6" s="81"/>
      <c r="QN6" s="82"/>
      <c r="QO6" s="83"/>
      <c r="QP6" s="110" t="str">
        <f>IFERROR((((COUNTIF('Elève (6ème4)'!QM6:QO6,"A"))*4)+((COUNTIF('Elève (6ème4)'!QM6:QO6,"B"))*3)+((COUNTIF('Elève (6ème4)'!QM6:QO6,"C"))*2)+((COUNTIF('Elève (6ème4)'!QM6:QO6,"D"))*1))/(COUNTA(QM6:QO6)),"")</f>
        <v/>
      </c>
      <c r="QQ6" s="111" t="str">
        <f t="shared" si="106"/>
        <v/>
      </c>
      <c r="QR6" s="179" t="str">
        <f>IF(COUNT(QF6,QK6,QP6)=0,"",SUM(QF6,QK6,QP6)/COUNT(QF6,QK6,QP6))</f>
        <v/>
      </c>
      <c r="QS6" s="132" t="str">
        <f t="shared" si="107"/>
        <v/>
      </c>
      <c r="QT6" s="156"/>
      <c r="QU6" s="157"/>
      <c r="QV6" s="158"/>
      <c r="QW6" s="110" t="str">
        <f>IFERROR((((COUNTIF('Elève (6ème4)'!QT6:QV6,"A"))*4)+((COUNTIF('Elève (6ème4)'!QT6:QV6,"B"))*3)+((COUNTIF('Elève (6ème4)'!QT6:QV6,"C"))*2)+((COUNTIF('Elève (6ème4)'!QT6:QV6,"D"))*1))/(COUNTA(QT6:QV6)),"")</f>
        <v/>
      </c>
      <c r="QX6" s="111" t="str">
        <f t="shared" si="108"/>
        <v/>
      </c>
      <c r="QY6" s="81"/>
      <c r="QZ6" s="82"/>
      <c r="RA6" s="83"/>
      <c r="RB6" s="110" t="str">
        <f>IFERROR((((COUNTIF('Elève (6ème4)'!QY6:RA6,"A"))*4)+((COUNTIF('Elève (6ème4)'!QY6:RA6,"B"))*3)+((COUNTIF('Elève (6ème4)'!QY6:RA6,"C"))*2)+((COUNTIF('Elève (6ème4)'!QY6:RA6,"D"))*1))/(COUNTA(QY6:RA6)),"")</f>
        <v/>
      </c>
      <c r="RC6" s="111" t="str">
        <f t="shared" si="109"/>
        <v/>
      </c>
      <c r="RD6" s="81"/>
      <c r="RE6" s="82"/>
      <c r="RF6" s="83"/>
      <c r="RG6" s="110" t="str">
        <f>IFERROR((((COUNTIF('Elève (6ème4)'!RD6:RF6,"A"))*4)+((COUNTIF('Elève (6ème4)'!RD6:RF6,"B"))*3)+((COUNTIF('Elève (6ème4)'!RD6:RF6,"C"))*2)+((COUNTIF('Elève (6ème4)'!RD6:RF6,"D"))*1))/(COUNTA(RD6:RF6)),"")</f>
        <v/>
      </c>
      <c r="RH6" s="111" t="str">
        <f t="shared" si="110"/>
        <v/>
      </c>
      <c r="RI6" s="179" t="str">
        <f>IF(COUNT(QW6,RB6,RG6)=0,"",SUM(QW6,RB6,RG6)/COUNT(QW6,RB6,RG6))</f>
        <v/>
      </c>
      <c r="RJ6" s="132" t="str">
        <f t="shared" si="111"/>
        <v/>
      </c>
      <c r="RK6" s="156"/>
      <c r="RL6" s="157"/>
      <c r="RM6" s="158"/>
      <c r="RN6" s="110" t="str">
        <f>IFERROR((((COUNTIF('Elève (6ème4)'!RK6:RM6,"A"))*4)+((COUNTIF('Elève (6ème4)'!RK6:RM6,"B"))*3)+((COUNTIF('Elève (6ème4)'!RK6:RM6,"C"))*2)+((COUNTIF('Elève (6ème4)'!RK6:RM6,"D"))*1))/(COUNTA(RK6:RM6)),"")</f>
        <v/>
      </c>
      <c r="RO6" s="111" t="str">
        <f t="shared" si="112"/>
        <v/>
      </c>
      <c r="RP6" s="81"/>
      <c r="RQ6" s="82"/>
      <c r="RR6" s="83"/>
      <c r="RS6" s="110" t="str">
        <f>IFERROR((((COUNTIF('Elève (6ème4)'!RP6:RR6,"A"))*4)+((COUNTIF('Elève (6ème4)'!RP6:RR6,"B"))*3)+((COUNTIF('Elève (6ème4)'!RP6:RR6,"C"))*2)+((COUNTIF('Elève (6ème4)'!RP6:RR6,"D"))*1))/(COUNTA(RP6:RR6)),"")</f>
        <v/>
      </c>
      <c r="RT6" s="111" t="str">
        <f t="shared" si="113"/>
        <v/>
      </c>
      <c r="RU6" s="81"/>
      <c r="RV6" s="82"/>
      <c r="RW6" s="83"/>
      <c r="RX6" s="110" t="str">
        <f>IFERROR((((COUNTIF('Elève (6ème4)'!RU6:RW6,"A"))*4)+((COUNTIF('Elève (6ème4)'!RU6:RW6,"B"))*3)+((COUNTIF('Elève (6ème4)'!RU6:RW6,"C"))*2)+((COUNTIF('Elève (6ème4)'!RU6:RW6,"D"))*1))/(COUNTA(RU6:RW6)),"")</f>
        <v/>
      </c>
      <c r="RY6" s="111" t="str">
        <f t="shared" si="114"/>
        <v/>
      </c>
      <c r="RZ6" s="179" t="str">
        <f>IF(COUNT(RN6,RS6,RX6)=0,"",SUM(RN6,RS6,RX6)/COUNT(RN6,RS6,RX6))</f>
        <v/>
      </c>
      <c r="SA6" s="132" t="str">
        <f t="shared" si="115"/>
        <v/>
      </c>
      <c r="SB6" s="156"/>
      <c r="SC6" s="157"/>
      <c r="SD6" s="158"/>
      <c r="SE6" s="110" t="str">
        <f>IFERROR((((COUNTIF('Elève (6ème4)'!SB6:SD6,"A"))*4)+((COUNTIF('Elève (6ème4)'!SB6:SD6,"B"))*3)+((COUNTIF('Elève (6ème4)'!SB6:SD6,"C"))*2)+((COUNTIF('Elève (6ème4)'!SB6:SD6,"D"))*1))/(COUNTA(SB6:SD6)),"")</f>
        <v/>
      </c>
      <c r="SF6" s="111" t="str">
        <f t="shared" si="116"/>
        <v/>
      </c>
      <c r="SG6" s="81"/>
      <c r="SH6" s="82"/>
      <c r="SI6" s="83"/>
      <c r="SJ6" s="110" t="str">
        <f>IFERROR((((COUNTIF('Elève (6ème4)'!SG6:SI6,"A"))*4)+((COUNTIF('Elève (6ème4)'!SG6:SI6,"B"))*3)+((COUNTIF('Elève (6ème4)'!SG6:SI6,"C"))*2)+((COUNTIF('Elève (6ème4)'!SG6:SI6,"D"))*1))/(COUNTA(SG6:SI6)),"")</f>
        <v/>
      </c>
      <c r="SK6" s="111" t="str">
        <f t="shared" si="117"/>
        <v/>
      </c>
      <c r="SL6" s="81"/>
      <c r="SM6" s="82"/>
      <c r="SN6" s="83"/>
      <c r="SO6" s="110" t="str">
        <f>IFERROR((((COUNTIF('Elève (6ème4)'!SL6:SN6,"A"))*4)+((COUNTIF('Elève (6ème4)'!SL6:SN6,"B"))*3)+((COUNTIF('Elève (6ème4)'!SL6:SN6,"C"))*2)+((COUNTIF('Elève (6ème4)'!SL6:SN6,"D"))*1))/(COUNTA(SL6:SN6)),"")</f>
        <v/>
      </c>
      <c r="SP6" s="111" t="str">
        <f t="shared" si="118"/>
        <v/>
      </c>
      <c r="SQ6" s="179" t="str">
        <f>IF(COUNT(SE6,SJ6,SO6)=0,"",SUM(SE6,SJ6,SO6)/COUNT(SE6,SJ6,SO6))</f>
        <v/>
      </c>
      <c r="SR6" s="132" t="str">
        <f t="shared" si="119"/>
        <v/>
      </c>
    </row>
    <row r="7" spans="1:512" s="87" customFormat="1" ht="17.25" customHeight="1" thickBot="1" x14ac:dyDescent="0.3">
      <c r="A7" s="95" t="s">
        <v>14</v>
      </c>
      <c r="B7" s="76">
        <v>1</v>
      </c>
      <c r="C7" s="162"/>
      <c r="D7" s="189"/>
      <c r="E7" s="189"/>
      <c r="F7" s="106">
        <f>IFERROR((((COUNTIF('Elève (6ème4)'!C8:E11,"A"))*4)+((COUNTIF('Elève (6ème4)'!C8:E11,"B"))*3)+((COUNTIF('Elève (6ème4)'!C8:E11,"C"))*2)+((COUNTIF('Elève (6ème4)'!C8:E11,"D"))*1))/(COUNTA(C8:E11)),"")</f>
        <v>3.5</v>
      </c>
      <c r="G7" s="107" t="str">
        <f t="shared" si="0"/>
        <v>B</v>
      </c>
      <c r="H7" s="100"/>
      <c r="I7" s="187"/>
      <c r="J7" s="188"/>
      <c r="K7" s="106" t="str">
        <f>IFERROR((((COUNTIF('Elève (6ème4)'!H8:J11,"A"))*4)+((COUNTIF('Elève (6ème4)'!H8:J11,"B"))*3)+((COUNTIF('Elève (6ème4)'!H8:J11,"C"))*2)+((COUNTIF('Elève (6ème4)'!H8:J11,"D"))*1))/(COUNTA(H8:J11)),"")</f>
        <v/>
      </c>
      <c r="L7" s="121" t="str">
        <f t="shared" si="1"/>
        <v/>
      </c>
      <c r="M7" s="100"/>
      <c r="N7" s="187"/>
      <c r="O7" s="188"/>
      <c r="P7" s="106" t="str">
        <f>IFERROR((((COUNTIF('Elève (6ème4)'!M8:O11,"A"))*4)+((COUNTIF('Elève (6ème4)'!M8:O11,"B"))*3)+((COUNTIF('Elève (6ème4)'!M8:O11,"C"))*2)+((COUNTIF('Elève (6ème4)'!M8:O11,"D"))*1))/(COUNTA(M8:O11)),"")</f>
        <v/>
      </c>
      <c r="Q7" s="128" t="str">
        <f t="shared" si="2"/>
        <v/>
      </c>
      <c r="R7" s="177">
        <f>IFERROR((((COUNTIF(C8:E11,"A")+COUNTIF(H8:J11,"A")+COUNTIF(M8:O11,"A"))*4)+((COUNTIF(C8:E11,"B")+COUNTIF(H8:J11,"B")+COUNTIF(M8:O11,"B"))*3)+((COUNTIF(C8:E11,"C")+COUNTIF(H8:J11,"C")+COUNTIF(M8:O11,"C"))*2)+((COUNTIF(C8:E11,"D")+COUNTIF(H8:J11,"D")+COUNTIF(M8:O11,"D"))*1))/(COUNTA(C8:E11)+COUNTA(H8:J11)+COUNTA(M8:O11)),"")</f>
        <v>3.5</v>
      </c>
      <c r="S7" s="130" t="str">
        <f t="shared" si="3"/>
        <v>B</v>
      </c>
      <c r="T7" s="162"/>
      <c r="U7" s="189"/>
      <c r="V7" s="189"/>
      <c r="W7" s="106">
        <f>IFERROR((((COUNTIF('Elève (6ème4)'!T8:V11,"A"))*4)+((COUNTIF('Elève (6ème4)'!T8:V11,"B"))*3)+((COUNTIF('Elève (6ème4)'!T8:V11,"C"))*2)+((COUNTIF('Elève (6ème4)'!T8:V11,"D"))*1))/(COUNTA(T8:V11)),"")</f>
        <v>1.5</v>
      </c>
      <c r="X7" s="107" t="str">
        <f t="shared" si="4"/>
        <v>D</v>
      </c>
      <c r="Y7" s="100"/>
      <c r="Z7" s="187"/>
      <c r="AA7" s="188"/>
      <c r="AB7" s="106" t="str">
        <f>IFERROR((((COUNTIF('Elève (6ème4)'!Y8:AA11,"A"))*4)+((COUNTIF('Elève (6ème4)'!Y8:AA11,"B"))*3)+((COUNTIF('Elève (6ème4)'!Y8:AA11,"C"))*2)+((COUNTIF('Elève (6ème4)'!Y8:AA11,"D"))*1))/(COUNTA(Y8:AA11)),"")</f>
        <v/>
      </c>
      <c r="AC7" s="121" t="str">
        <f t="shared" si="5"/>
        <v/>
      </c>
      <c r="AD7" s="100"/>
      <c r="AE7" s="187"/>
      <c r="AF7" s="188"/>
      <c r="AG7" s="106" t="str">
        <f>IFERROR((((COUNTIF('Elève (6ème4)'!AD8:AF11,"A"))*4)+((COUNTIF('Elève (6ème4)'!AD8:AF11,"B"))*3)+((COUNTIF('Elève (6ème4)'!AD8:AF11,"C"))*2)+((COUNTIF('Elève (6ème4)'!AD8:AF11,"D"))*1))/(COUNTA(AD8:AF11)),"")</f>
        <v/>
      </c>
      <c r="AH7" s="128" t="str">
        <f t="shared" si="6"/>
        <v/>
      </c>
      <c r="AI7" s="177">
        <f>IFERROR((((COUNTIF(T8:V11,"A")+COUNTIF(Y8:AA11,"A")+COUNTIF(AD8:AF11,"A"))*4)+((COUNTIF(T8:V11,"B")+COUNTIF(Y8:AA11,"B")+COUNTIF(AD8:AF11,"B"))*3)+((COUNTIF(T8:V11,"C")+COUNTIF(Y8:AA11,"C")+COUNTIF(AD8:AF11,"C"))*2)+((COUNTIF(T8:V11,"D")+COUNTIF(Y8:AA11,"D")+COUNTIF(AD8:AF11,"D"))*1))/(COUNTA(T8:V11)+COUNTA(Y8:AA11)+COUNTA(AD8:AF11)),"")</f>
        <v>1.5</v>
      </c>
      <c r="AJ7" s="130" t="str">
        <f t="shared" si="7"/>
        <v>D</v>
      </c>
      <c r="AK7" s="162"/>
      <c r="AL7" s="189"/>
      <c r="AM7" s="189"/>
      <c r="AN7" s="106">
        <f>IFERROR((((COUNTIF('Elève (6ème4)'!AK8:AM11,"A"))*4)+((COUNTIF('Elève (6ème4)'!AK8:AM11,"B"))*3)+((COUNTIF('Elève (6ème4)'!AK8:AM11,"C"))*2)+((COUNTIF('Elève (6ème4)'!AK8:AM11,"D"))*1))/(COUNTA(AK8:AM11)),"")</f>
        <v>1.5</v>
      </c>
      <c r="AO7" s="107" t="str">
        <f t="shared" si="8"/>
        <v>D</v>
      </c>
      <c r="AP7" s="100"/>
      <c r="AQ7" s="187"/>
      <c r="AR7" s="188"/>
      <c r="AS7" s="106" t="str">
        <f>IFERROR((((COUNTIF('Elève (6ème4)'!AP8:AR11,"A"))*4)+((COUNTIF('Elève (6ème4)'!AP8:AR11,"B"))*3)+((COUNTIF('Elève (6ème4)'!AP8:AR11,"C"))*2)+((COUNTIF('Elève (6ème4)'!AP8:AR11,"D"))*1))/(COUNTA(AP8:AR11)),"")</f>
        <v/>
      </c>
      <c r="AT7" s="121" t="str">
        <f t="shared" si="9"/>
        <v/>
      </c>
      <c r="AU7" s="100"/>
      <c r="AV7" s="187"/>
      <c r="AW7" s="188"/>
      <c r="AX7" s="106" t="str">
        <f>IFERROR((((COUNTIF('Elève (6ème4)'!AU8:AW11,"A"))*4)+((COUNTIF('Elève (6ème4)'!AU8:AW11,"B"))*3)+((COUNTIF('Elève (6ème4)'!AU8:AW11,"C"))*2)+((COUNTIF('Elève (6ème4)'!AU8:AW11,"D"))*1))/(COUNTA(AU8:AW11)),"")</f>
        <v/>
      </c>
      <c r="AY7" s="128" t="str">
        <f t="shared" si="10"/>
        <v/>
      </c>
      <c r="AZ7" s="177">
        <f>IFERROR((((COUNTIF(AK8:AM11,"A")+COUNTIF(AP8:AR11,"A")+COUNTIF(AU8:AW11,"A"))*4)+((COUNTIF(AK8:AM11,"B")+COUNTIF(AP8:AR11,"B")+COUNTIF(AU8:AW11,"B"))*3)+((COUNTIF(AK8:AM11,"C")+COUNTIF(AP8:AR11,"C")+COUNTIF(AU8:AW11,"C"))*2)+((COUNTIF(AK8:AM11,"D")+COUNTIF(AP8:AR11,"D")+COUNTIF(AU8:AW11,"D"))*1))/(COUNTA(AK8:AM11)+COUNTA(AP8:AR11)+COUNTA(AU8:AW11)),"")</f>
        <v>1.5</v>
      </c>
      <c r="BA7" s="130" t="str">
        <f t="shared" si="11"/>
        <v>D</v>
      </c>
      <c r="BB7" s="162"/>
      <c r="BC7" s="189"/>
      <c r="BD7" s="189"/>
      <c r="BE7" s="106" t="str">
        <f>IFERROR((((COUNTIF('Elève (6ème4)'!BB8:BD11,"A"))*4)+((COUNTIF('Elève (6ème4)'!BB8:BD11,"B"))*3)+((COUNTIF('Elève (6ème4)'!BB8:BD11,"C"))*2)+((COUNTIF('Elève (6ème4)'!BB8:BD11,"D"))*1))/(COUNTA(BB8:BD11)),"")</f>
        <v/>
      </c>
      <c r="BF7" s="107" t="str">
        <f t="shared" si="12"/>
        <v/>
      </c>
      <c r="BG7" s="100"/>
      <c r="BH7" s="187"/>
      <c r="BI7" s="188"/>
      <c r="BJ7" s="106" t="str">
        <f>IFERROR((((COUNTIF('Elève (6ème4)'!BG8:BI11,"A"))*4)+((COUNTIF('Elève (6ème4)'!BG8:BI11,"B"))*3)+((COUNTIF('Elève (6ème4)'!BG8:BI11,"C"))*2)+((COUNTIF('Elève (6ème4)'!BG8:BI11,"D"))*1))/(COUNTA(BG8:BI11)),"")</f>
        <v/>
      </c>
      <c r="BK7" s="121" t="str">
        <f t="shared" si="13"/>
        <v/>
      </c>
      <c r="BL7" s="100"/>
      <c r="BM7" s="187"/>
      <c r="BN7" s="188"/>
      <c r="BO7" s="106" t="str">
        <f>IFERROR((((COUNTIF('Elève (6ème4)'!BL8:BN11,"A"))*4)+((COUNTIF('Elève (6ème4)'!BL8:BN11,"B"))*3)+((COUNTIF('Elève (6ème4)'!BL8:BN11,"C"))*2)+((COUNTIF('Elève (6ème4)'!BL8:BN11,"D"))*1))/(COUNTA(BL8:BN11)),"")</f>
        <v/>
      </c>
      <c r="BP7" s="128" t="str">
        <f t="shared" si="14"/>
        <v/>
      </c>
      <c r="BQ7" s="177" t="str">
        <f>IFERROR((((COUNTIF(BB8:BD11,"A")+COUNTIF(BG8:BI11,"A")+COUNTIF(BL8:BN11,"A"))*4)+((COUNTIF(BB8:BD11,"B")+COUNTIF(BG8:BI11,"B")+COUNTIF(BL8:BN11,"B"))*3)+((COUNTIF(BB8:BD11,"C")+COUNTIF(BG8:BI11,"C")+COUNTIF(BL8:BN11,"C"))*2)+((COUNTIF(BB8:BD11,"D")+COUNTIF(BG8:BI11,"D")+COUNTIF(BL8:BN11,"D"))*1))/(COUNTA(BB8:BD11)+COUNTA(BG8:BI11)+COUNTA(BL8:BN11)),"")</f>
        <v/>
      </c>
      <c r="BR7" s="130" t="str">
        <f t="shared" si="15"/>
        <v/>
      </c>
      <c r="BS7" s="162"/>
      <c r="BT7" s="189"/>
      <c r="BU7" s="189"/>
      <c r="BV7" s="106">
        <f>IFERROR((((COUNTIF('Elève (6ème4)'!BS8:BU11,"A"))*4)+((COUNTIF('Elève (6ème4)'!BS8:BU11,"B"))*3)+((COUNTIF('Elève (6ème4)'!BS8:BU11,"C"))*2)+((COUNTIF('Elève (6ème4)'!BS8:BU11,"D"))*1))/(COUNTA(BS8:BU11)),"")</f>
        <v>3.5</v>
      </c>
      <c r="BW7" s="107" t="str">
        <f t="shared" si="16"/>
        <v>B</v>
      </c>
      <c r="BX7" s="100"/>
      <c r="BY7" s="187"/>
      <c r="BZ7" s="188"/>
      <c r="CA7" s="106" t="str">
        <f>IFERROR((((COUNTIF('Elève (6ème4)'!BX8:BZ11,"A"))*4)+((COUNTIF('Elève (6ème4)'!BX8:BZ11,"B"))*3)+((COUNTIF('Elève (6ème4)'!BX8:BZ11,"C"))*2)+((COUNTIF('Elève (6ème4)'!BX8:BZ11,"D"))*1))/(COUNTA(BX8:BZ11)),"")</f>
        <v/>
      </c>
      <c r="CB7" s="121" t="str">
        <f t="shared" si="17"/>
        <v/>
      </c>
      <c r="CC7" s="100"/>
      <c r="CD7" s="187"/>
      <c r="CE7" s="188"/>
      <c r="CF7" s="106" t="str">
        <f>IFERROR((((COUNTIF('Elève (6ème4)'!CC8:CE11,"A"))*4)+((COUNTIF('Elève (6ème4)'!CC8:CE11,"B"))*3)+((COUNTIF('Elève (6ème4)'!CC8:CE11,"C"))*2)+((COUNTIF('Elève (6ème4)'!CC8:CE11,"D"))*1))/(COUNTA(CC8:CE11)),"")</f>
        <v/>
      </c>
      <c r="CG7" s="128" t="str">
        <f t="shared" si="18"/>
        <v/>
      </c>
      <c r="CH7" s="177">
        <f>IFERROR((((COUNTIF(BS8:BU11,"A")+COUNTIF(BX8:BZ11,"A")+COUNTIF(CC8:CE11,"A"))*4)+((COUNTIF(BS8:BU11,"B")+COUNTIF(BX8:BZ11,"B")+COUNTIF(CC8:CE11,"B"))*3)+((COUNTIF(BS8:BU11,"C")+COUNTIF(BX8:BZ11,"C")+COUNTIF(CC8:CE11,"C"))*2)+((COUNTIF(BS8:BU11,"D")+COUNTIF(BX8:BZ11,"D")+COUNTIF(CC8:CE11,"D"))*1))/(COUNTA(BS8:BU11)+COUNTA(BX8:BZ11)+COUNTA(CC8:CE11)),"")</f>
        <v>3.5</v>
      </c>
      <c r="CI7" s="130" t="str">
        <f t="shared" si="19"/>
        <v>B</v>
      </c>
      <c r="CJ7" s="162"/>
      <c r="CK7" s="189"/>
      <c r="CL7" s="189"/>
      <c r="CM7" s="106" t="str">
        <f>IFERROR((((COUNTIF('Elève (6ème4)'!CJ8:CL11,"A"))*4)+((COUNTIF('Elève (6ème4)'!CJ8:CL11,"B"))*3)+((COUNTIF('Elève (6ème4)'!CJ8:CL11,"C"))*2)+((COUNTIF('Elève (6ème4)'!CJ8:CL11,"D"))*1))/(COUNTA(CJ8:CL11)),"")</f>
        <v/>
      </c>
      <c r="CN7" s="107" t="str">
        <f t="shared" si="20"/>
        <v/>
      </c>
      <c r="CO7" s="100"/>
      <c r="CP7" s="187"/>
      <c r="CQ7" s="188"/>
      <c r="CR7" s="106" t="str">
        <f>IFERROR((((COUNTIF('Elève (6ème4)'!CO8:CQ11,"A"))*4)+((COUNTIF('Elève (6ème4)'!CO8:CQ11,"B"))*3)+((COUNTIF('Elève (6ème4)'!CO8:CQ11,"C"))*2)+((COUNTIF('Elève (6ème4)'!CO8:CQ11,"D"))*1))/(COUNTA(CO8:CQ11)),"")</f>
        <v/>
      </c>
      <c r="CS7" s="121" t="str">
        <f t="shared" si="21"/>
        <v/>
      </c>
      <c r="CT7" s="100"/>
      <c r="CU7" s="187"/>
      <c r="CV7" s="188"/>
      <c r="CW7" s="106" t="str">
        <f>IFERROR((((COUNTIF('Elève (6ème4)'!CT8:CV11,"A"))*4)+((COUNTIF('Elève (6ème4)'!CT8:CV11,"B"))*3)+((COUNTIF('Elève (6ème4)'!CT8:CV11,"C"))*2)+((COUNTIF('Elève (6ème4)'!CT8:CV11,"D"))*1))/(COUNTA(CT8:CV11)),"")</f>
        <v/>
      </c>
      <c r="CX7" s="128" t="str">
        <f t="shared" si="22"/>
        <v/>
      </c>
      <c r="CY7" s="177" t="str">
        <f>IFERROR((((COUNTIF(CJ8:CL11,"A")+COUNTIF(CO8:CQ11,"A")+COUNTIF(CT8:CV11,"A"))*4)+((COUNTIF(CJ8:CL11,"B")+COUNTIF(CO8:CQ11,"B")+COUNTIF(CT8:CV11,"B"))*3)+((COUNTIF(CJ8:CL11,"C")+COUNTIF(CO8:CQ11,"C")+COUNTIF(CT8:CV11,"C"))*2)+((COUNTIF(CJ8:CL11,"D")+COUNTIF(CO8:CQ11,"D")+COUNTIF(CT8:CV11,"D"))*1))/(COUNTA(CJ8:CL11)+COUNTA(CO8:CQ11)+COUNTA(CT8:CV11)),"")</f>
        <v/>
      </c>
      <c r="CZ7" s="130" t="str">
        <f t="shared" si="23"/>
        <v/>
      </c>
      <c r="DA7" s="162"/>
      <c r="DB7" s="189"/>
      <c r="DC7" s="189"/>
      <c r="DD7" s="106" t="str">
        <f>IFERROR((((COUNTIF('Elève (6ème4)'!DA8:DC11,"A"))*4)+((COUNTIF('Elève (6ème4)'!DA8:DC11,"B"))*3)+((COUNTIF('Elève (6ème4)'!DA8:DC11,"C"))*2)+((COUNTIF('Elève (6ème4)'!DA8:DC11,"D"))*1))/(COUNTA(DA8:DC11)),"")</f>
        <v/>
      </c>
      <c r="DE7" s="107" t="str">
        <f t="shared" si="24"/>
        <v/>
      </c>
      <c r="DF7" s="100"/>
      <c r="DG7" s="187"/>
      <c r="DH7" s="188"/>
      <c r="DI7" s="106" t="str">
        <f>IFERROR((((COUNTIF('Elève (6ème4)'!DF8:DH11,"A"))*4)+((COUNTIF('Elève (6ème4)'!DF8:DH11,"B"))*3)+((COUNTIF('Elève (6ème4)'!DF8:DH11,"C"))*2)+((COUNTIF('Elève (6ème4)'!DF8:DH11,"D"))*1))/(COUNTA(DF8:DH11)),"")</f>
        <v/>
      </c>
      <c r="DJ7" s="121" t="str">
        <f t="shared" si="25"/>
        <v/>
      </c>
      <c r="DK7" s="100"/>
      <c r="DL7" s="187"/>
      <c r="DM7" s="188"/>
      <c r="DN7" s="106" t="str">
        <f>IFERROR((((COUNTIF('Elève (6ème4)'!DK8:DM11,"A"))*4)+((COUNTIF('Elève (6ème4)'!DK8:DM11,"B"))*3)+((COUNTIF('Elève (6ème4)'!DK8:DM11,"C"))*2)+((COUNTIF('Elève (6ème4)'!DK8:DM11,"D"))*1))/(COUNTA(DK8:DM11)),"")</f>
        <v/>
      </c>
      <c r="DO7" s="128" t="str">
        <f t="shared" si="26"/>
        <v/>
      </c>
      <c r="DP7" s="177" t="str">
        <f>IFERROR((((COUNTIF(DA8:DC11,"A")+COUNTIF(DF8:DH11,"A")+COUNTIF(DK8:DM11,"A"))*4)+((COUNTIF(DA8:DC11,"B")+COUNTIF(DF8:DH11,"B")+COUNTIF(DK8:DM11,"B"))*3)+((COUNTIF(DA8:DC11,"C")+COUNTIF(DF8:DH11,"C")+COUNTIF(DK8:DM11,"C"))*2)+((COUNTIF(DA8:DC11,"D")+COUNTIF(DF8:DH11,"D")+COUNTIF(DK8:DM11,"D"))*1))/(COUNTA(DA8:DC11)+COUNTA(DF8:DH11)+COUNTA(DK8:DM11)),"")</f>
        <v/>
      </c>
      <c r="DQ7" s="130" t="str">
        <f t="shared" si="27"/>
        <v/>
      </c>
      <c r="DR7" s="162"/>
      <c r="DS7" s="189"/>
      <c r="DT7" s="189"/>
      <c r="DU7" s="106">
        <f>IFERROR((((COUNTIF('Elève (6ème4)'!DR8:DT11,"A"))*4)+((COUNTIF('Elève (6ème4)'!DR8:DT11,"B"))*3)+((COUNTIF('Elève (6ème4)'!DR8:DT11,"C"))*2)+((COUNTIF('Elève (6ème4)'!DR8:DT11,"D"))*1))/(COUNTA(DR8:DT11)),"")</f>
        <v>4</v>
      </c>
      <c r="DV7" s="107" t="str">
        <f t="shared" si="28"/>
        <v>A</v>
      </c>
      <c r="DW7" s="100"/>
      <c r="DX7" s="187"/>
      <c r="DY7" s="188"/>
      <c r="DZ7" s="106" t="str">
        <f>IFERROR((((COUNTIF('Elève (6ème4)'!DW8:DY11,"A"))*4)+((COUNTIF('Elève (6ème4)'!DW8:DY11,"B"))*3)+((COUNTIF('Elève (6ème4)'!DW8:DY11,"C"))*2)+((COUNTIF('Elève (6ème4)'!DW8:DY11,"D"))*1))/(COUNTA(DW8:DY11)),"")</f>
        <v/>
      </c>
      <c r="EA7" s="121" t="str">
        <f t="shared" si="29"/>
        <v/>
      </c>
      <c r="EB7" s="100"/>
      <c r="EC7" s="187"/>
      <c r="ED7" s="188"/>
      <c r="EE7" s="106" t="str">
        <f>IFERROR((((COUNTIF('Elève (6ème4)'!EB8:ED11,"A"))*4)+((COUNTIF('Elève (6ème4)'!EB8:ED11,"B"))*3)+((COUNTIF('Elève (6ème4)'!EB8:ED11,"C"))*2)+((COUNTIF('Elève (6ème4)'!EB8:ED11,"D"))*1))/(COUNTA(EB8:ED11)),"")</f>
        <v/>
      </c>
      <c r="EF7" s="128" t="str">
        <f t="shared" si="30"/>
        <v/>
      </c>
      <c r="EG7" s="177">
        <f>IFERROR((((COUNTIF(DR8:DT11,"A")+COUNTIF(DW8:DY11,"A")+COUNTIF(EB8:ED11,"A"))*4)+((COUNTIF(DR8:DT11,"B")+COUNTIF(DW8:DY11,"B")+COUNTIF(EB8:ED11,"B"))*3)+((COUNTIF(DR8:DT11,"C")+COUNTIF(DW8:DY11,"C")+COUNTIF(EB8:ED11,"C"))*2)+((COUNTIF(DR8:DT11,"D")+COUNTIF(DW8:DY11,"D")+COUNTIF(EB8:ED11,"D"))*1))/(COUNTA(DR8:DT11)+COUNTA(DW8:DY11)+COUNTA(EB8:ED11)),"")</f>
        <v>4</v>
      </c>
      <c r="EH7" s="130" t="str">
        <f t="shared" si="31"/>
        <v>A</v>
      </c>
      <c r="EI7" s="162"/>
      <c r="EJ7" s="189"/>
      <c r="EK7" s="189"/>
      <c r="EL7" s="106">
        <f>IFERROR((((COUNTIF('Elève (6ème4)'!EI8:EK11,"A"))*4)+((COUNTIF('Elève (6ème4)'!EI8:EK11,"B"))*3)+((COUNTIF('Elève (6ème4)'!EI8:EK11,"C"))*2)+((COUNTIF('Elève (6ème4)'!EI8:EK11,"D"))*1))/(COUNTA(EI8:EK11)),"")</f>
        <v>3.5</v>
      </c>
      <c r="EM7" s="107" t="str">
        <f t="shared" si="32"/>
        <v>B</v>
      </c>
      <c r="EN7" s="100"/>
      <c r="EO7" s="187"/>
      <c r="EP7" s="188"/>
      <c r="EQ7" s="106" t="str">
        <f>IFERROR((((COUNTIF('Elève (6ème4)'!EN8:EP11,"A"))*4)+((COUNTIF('Elève (6ème4)'!EN8:EP11,"B"))*3)+((COUNTIF('Elève (6ème4)'!EN8:EP11,"C"))*2)+((COUNTIF('Elève (6ème4)'!EN8:EP11,"D"))*1))/(COUNTA(EN8:EP11)),"")</f>
        <v/>
      </c>
      <c r="ER7" s="121" t="str">
        <f t="shared" si="33"/>
        <v/>
      </c>
      <c r="ES7" s="100"/>
      <c r="ET7" s="187"/>
      <c r="EU7" s="188"/>
      <c r="EV7" s="106" t="str">
        <f>IFERROR((((COUNTIF('Elève (6ème4)'!ES8:EU11,"A"))*4)+((COUNTIF('Elève (6ème4)'!ES8:EU11,"B"))*3)+((COUNTIF('Elève (6ème4)'!ES8:EU11,"C"))*2)+((COUNTIF('Elève (6ème4)'!ES8:EU11,"D"))*1))/(COUNTA(ES8:EU11)),"")</f>
        <v/>
      </c>
      <c r="EW7" s="128" t="str">
        <f t="shared" si="34"/>
        <v/>
      </c>
      <c r="EX7" s="177">
        <f>IFERROR((((COUNTIF(EI8:EK11,"A")+COUNTIF(EN8:EP11,"A")+COUNTIF(ES8:EU11,"A"))*4)+((COUNTIF(EI8:EK11,"B")+COUNTIF(EN8:EP11,"B")+COUNTIF(ES8:EU11,"B"))*3)+((COUNTIF(EI8:EK11,"C")+COUNTIF(EN8:EP11,"C")+COUNTIF(ES8:EU11,"C"))*2)+((COUNTIF(EI8:EK11,"D")+COUNTIF(EN8:EP11,"D")+COUNTIF(ES8:EU11,"D"))*1))/(COUNTA(EI8:EK11)+COUNTA(EN8:EP11)+COUNTA(ES8:EU11)),"")</f>
        <v>3.5</v>
      </c>
      <c r="EY7" s="130" t="str">
        <f t="shared" si="35"/>
        <v>B</v>
      </c>
      <c r="EZ7" s="162"/>
      <c r="FA7" s="189"/>
      <c r="FB7" s="189"/>
      <c r="FC7" s="106">
        <f>IFERROR((((COUNTIF('Elève (6ème4)'!EZ8:FB11,"A"))*4)+((COUNTIF('Elève (6ème4)'!EZ8:FB11,"B"))*3)+((COUNTIF('Elève (6ème4)'!EZ8:FB11,"C"))*2)+((COUNTIF('Elève (6ème4)'!EZ8:FB11,"D"))*1))/(COUNTA(EZ8:FB11)),"")</f>
        <v>3</v>
      </c>
      <c r="FD7" s="107" t="str">
        <f t="shared" si="36"/>
        <v>B</v>
      </c>
      <c r="FE7" s="100"/>
      <c r="FF7" s="187"/>
      <c r="FG7" s="188"/>
      <c r="FH7" s="106" t="str">
        <f>IFERROR((((COUNTIF('Elève (6ème4)'!FE8:FG11,"A"))*4)+((COUNTIF('Elève (6ème4)'!FE8:FG11,"B"))*3)+((COUNTIF('Elève (6ème4)'!FE8:FG11,"C"))*2)+((COUNTIF('Elève (6ème4)'!FE8:FG11,"D"))*1))/(COUNTA(FE8:FG11)),"")</f>
        <v/>
      </c>
      <c r="FI7" s="121" t="str">
        <f t="shared" si="37"/>
        <v/>
      </c>
      <c r="FJ7" s="100"/>
      <c r="FK7" s="187"/>
      <c r="FL7" s="188"/>
      <c r="FM7" s="106" t="str">
        <f>IFERROR((((COUNTIF('Elève (6ème4)'!FJ8:FL11,"A"))*4)+((COUNTIF('Elève (6ème4)'!FJ8:FL11,"B"))*3)+((COUNTIF('Elève (6ème4)'!FJ8:FL11,"C"))*2)+((COUNTIF('Elève (6ème4)'!FJ8:FL11,"D"))*1))/(COUNTA(FJ8:FL11)),"")</f>
        <v/>
      </c>
      <c r="FN7" s="128" t="str">
        <f t="shared" si="38"/>
        <v/>
      </c>
      <c r="FO7" s="177">
        <f>IFERROR((((COUNTIF(EZ8:FB11,"A")+COUNTIF(FE8:FG11,"A")+COUNTIF(FJ8:FL11,"A"))*4)+((COUNTIF(EZ8:FB11,"B")+COUNTIF(FE8:FG11,"B")+COUNTIF(FJ8:FL11,"B"))*3)+((COUNTIF(EZ8:FB11,"C")+COUNTIF(FE8:FG11,"C")+COUNTIF(FJ8:FL11,"C"))*2)+((COUNTIF(EZ8:FB11,"D")+COUNTIF(FE8:FG11,"D")+COUNTIF(FJ8:FL11,"D"))*1))/(COUNTA(EZ8:FB11)+COUNTA(FE8:FG11)+COUNTA(FJ8:FL11)),"")</f>
        <v>3</v>
      </c>
      <c r="FP7" s="130" t="str">
        <f t="shared" si="39"/>
        <v>B</v>
      </c>
      <c r="FQ7" s="162"/>
      <c r="FR7" s="189"/>
      <c r="FS7" s="189"/>
      <c r="FT7" s="106">
        <f>IFERROR((((COUNTIF('Elève (6ème4)'!FQ8:FS11,"A"))*4)+((COUNTIF('Elève (6ème4)'!FQ8:FS11,"B"))*3)+((COUNTIF('Elève (6ème4)'!FQ8:FS11,"C"))*2)+((COUNTIF('Elève (6ème4)'!FQ8:FS11,"D"))*1))/(COUNTA(FQ8:FS11)),"")</f>
        <v>3</v>
      </c>
      <c r="FU7" s="107" t="str">
        <f t="shared" si="40"/>
        <v>B</v>
      </c>
      <c r="FV7" s="100"/>
      <c r="FW7" s="187"/>
      <c r="FX7" s="188"/>
      <c r="FY7" s="106" t="str">
        <f>IFERROR((((COUNTIF('Elève (6ème4)'!FV8:FX11,"A"))*4)+((COUNTIF('Elève (6ème4)'!FV8:FX11,"B"))*3)+((COUNTIF('Elève (6ème4)'!FV8:FX11,"C"))*2)+((COUNTIF('Elève (6ème4)'!FV8:FX11,"D"))*1))/(COUNTA(FV8:FX11)),"")</f>
        <v/>
      </c>
      <c r="FZ7" s="121" t="str">
        <f t="shared" si="41"/>
        <v/>
      </c>
      <c r="GA7" s="100"/>
      <c r="GB7" s="187"/>
      <c r="GC7" s="188"/>
      <c r="GD7" s="106" t="str">
        <f>IFERROR((((COUNTIF('Elève (6ème4)'!GA8:GC11,"A"))*4)+((COUNTIF('Elève (6ème4)'!GA8:GC11,"B"))*3)+((COUNTIF('Elève (6ème4)'!GA8:GC11,"C"))*2)+((COUNTIF('Elève (6ème4)'!GA8:GC11,"D"))*1))/(COUNTA(GA8:GC11)),"")</f>
        <v/>
      </c>
      <c r="GE7" s="128" t="str">
        <f t="shared" si="42"/>
        <v/>
      </c>
      <c r="GF7" s="177">
        <f>IFERROR((((COUNTIF(FQ8:FS11,"A")+COUNTIF(FV8:FX11,"A")+COUNTIF(GA8:GC11,"A"))*4)+((COUNTIF(FQ8:FS11,"B")+COUNTIF(FV8:FX11,"B")+COUNTIF(GA8:GC11,"B"))*3)+((COUNTIF(FQ8:FS11,"C")+COUNTIF(FV8:FX11,"C")+COUNTIF(GA8:GC11,"C"))*2)+((COUNTIF(FQ8:FS11,"D")+COUNTIF(FV8:FX11,"D")+COUNTIF(GA8:GC11,"D"))*1))/(COUNTA(FQ8:FS11)+COUNTA(FV8:FX11)+COUNTA(GA8:GC11)),"")</f>
        <v>3</v>
      </c>
      <c r="GG7" s="130" t="str">
        <f t="shared" si="43"/>
        <v>B</v>
      </c>
      <c r="GH7" s="162"/>
      <c r="GI7" s="189"/>
      <c r="GJ7" s="189"/>
      <c r="GK7" s="106">
        <f>IFERROR((((COUNTIF('Elève (6ème4)'!GH8:GJ11,"A"))*4)+((COUNTIF('Elève (6ème4)'!GH8:GJ11,"B"))*3)+((COUNTIF('Elève (6ème4)'!GH8:GJ11,"C"))*2)+((COUNTIF('Elève (6ème4)'!GH8:GJ11,"D"))*1))/(COUNTA(GH8:GJ11)),"")</f>
        <v>3.5</v>
      </c>
      <c r="GL7" s="107" t="str">
        <f t="shared" si="44"/>
        <v>B</v>
      </c>
      <c r="GM7" s="100"/>
      <c r="GN7" s="187"/>
      <c r="GO7" s="188"/>
      <c r="GP7" s="106" t="str">
        <f>IFERROR((((COUNTIF('Elève (6ème4)'!GM8:GO11,"A"))*4)+((COUNTIF('Elève (6ème4)'!GM8:GO11,"B"))*3)+((COUNTIF('Elève (6ème4)'!GM8:GO11,"C"))*2)+((COUNTIF('Elève (6ème4)'!GM8:GO11,"D"))*1))/(COUNTA(GM8:GO11)),"")</f>
        <v/>
      </c>
      <c r="GQ7" s="121" t="str">
        <f t="shared" si="45"/>
        <v/>
      </c>
      <c r="GR7" s="100"/>
      <c r="GS7" s="187"/>
      <c r="GT7" s="188"/>
      <c r="GU7" s="106" t="str">
        <f>IFERROR((((COUNTIF('Elève (6ème4)'!GR8:GT11,"A"))*4)+((COUNTIF('Elève (6ème4)'!GR8:GT11,"B"))*3)+((COUNTIF('Elève (6ème4)'!GR8:GT11,"C"))*2)+((COUNTIF('Elève (6ème4)'!GR8:GT11,"D"))*1))/(COUNTA(GR8:GT11)),"")</f>
        <v/>
      </c>
      <c r="GV7" s="128" t="str">
        <f t="shared" si="46"/>
        <v/>
      </c>
      <c r="GW7" s="177">
        <f>IFERROR((((COUNTIF(GH8:GJ11,"A")+COUNTIF(GM8:GO11,"A")+COUNTIF(GR8:GT11,"A"))*4)+((COUNTIF(GH8:GJ11,"B")+COUNTIF(GM8:GO11,"B")+COUNTIF(GR8:GT11,"B"))*3)+((COUNTIF(GH8:GJ11,"C")+COUNTIF(GM8:GO11,"C")+COUNTIF(GR8:GT11,"C"))*2)+((COUNTIF(GH8:GJ11,"D")+COUNTIF(GM8:GO11,"D")+COUNTIF(GR8:GT11,"D"))*1))/(COUNTA(GH8:GJ11)+COUNTA(GM8:GO11)+COUNTA(GR8:GT11)),"")</f>
        <v>3.5</v>
      </c>
      <c r="GX7" s="130" t="str">
        <f t="shared" si="47"/>
        <v>B</v>
      </c>
      <c r="GY7" s="162"/>
      <c r="GZ7" s="189"/>
      <c r="HA7" s="189"/>
      <c r="HB7" s="106">
        <f>IFERROR((((COUNTIF('Elève (6ème4)'!GY8:HA11,"A"))*4)+((COUNTIF('Elève (6ème4)'!GY8:HA11,"B"))*3)+((COUNTIF('Elève (6ème4)'!GY8:HA11,"C"))*2)+((COUNTIF('Elève (6ème4)'!GY8:HA11,"D"))*1))/(COUNTA(GY8:HA11)),"")</f>
        <v>3</v>
      </c>
      <c r="HC7" s="107" t="str">
        <f t="shared" si="48"/>
        <v>B</v>
      </c>
      <c r="HD7" s="100"/>
      <c r="HE7" s="187"/>
      <c r="HF7" s="188"/>
      <c r="HG7" s="106" t="str">
        <f>IFERROR((((COUNTIF('Elève (6ème4)'!HD8:HF11,"A"))*4)+((COUNTIF('Elève (6ème4)'!HD8:HF11,"B"))*3)+((COUNTIF('Elève (6ème4)'!HD8:HF11,"C"))*2)+((COUNTIF('Elève (6ème4)'!HD8:HF11,"D"))*1))/(COUNTA(HD8:HF11)),"")</f>
        <v/>
      </c>
      <c r="HH7" s="121" t="str">
        <f t="shared" si="49"/>
        <v/>
      </c>
      <c r="HI7" s="100"/>
      <c r="HJ7" s="187"/>
      <c r="HK7" s="188"/>
      <c r="HL7" s="106" t="str">
        <f>IFERROR((((COUNTIF('Elève (6ème4)'!HI8:HK11,"A"))*4)+((COUNTIF('Elève (6ème4)'!HI8:HK11,"B"))*3)+((COUNTIF('Elève (6ème4)'!HI8:HK11,"C"))*2)+((COUNTIF('Elève (6ème4)'!HI8:HK11,"D"))*1))/(COUNTA(HI8:HK11)),"")</f>
        <v/>
      </c>
      <c r="HM7" s="128" t="str">
        <f t="shared" si="50"/>
        <v/>
      </c>
      <c r="HN7" s="177">
        <f>IFERROR((((COUNTIF(GY8:HA11,"A")+COUNTIF(HD8:HF11,"A")+COUNTIF(HI8:HK11,"A"))*4)+((COUNTIF(GY8:HA11,"B")+COUNTIF(HD8:HF11,"B")+COUNTIF(HI8:HK11,"B"))*3)+((COUNTIF(GY8:HA11,"C")+COUNTIF(HD8:HF11,"C")+COUNTIF(HI8:HK11,"C"))*2)+((COUNTIF(GY8:HA11,"D")+COUNTIF(HD8:HF11,"D")+COUNTIF(HI8:HK11,"D"))*1))/(COUNTA(GY8:HA11)+COUNTA(HD8:HF11)+COUNTA(HI8:HK11)),"")</f>
        <v>3</v>
      </c>
      <c r="HO7" s="130" t="str">
        <f t="shared" si="51"/>
        <v>B</v>
      </c>
      <c r="HP7" s="162"/>
      <c r="HQ7" s="189"/>
      <c r="HR7" s="189"/>
      <c r="HS7" s="106" t="str">
        <f>IFERROR((((COUNTIF('Elève (6ème4)'!HP8:HR11,"A"))*4)+((COUNTIF('Elève (6ème4)'!HP8:HR11,"B"))*3)+((COUNTIF('Elève (6ème4)'!HP8:HR11,"C"))*2)+((COUNTIF('Elève (6ème4)'!HP8:HR11,"D"))*1))/(COUNTA(HP8:HR11)),"")</f>
        <v/>
      </c>
      <c r="HT7" s="107" t="str">
        <f t="shared" si="52"/>
        <v/>
      </c>
      <c r="HU7" s="100"/>
      <c r="HV7" s="187"/>
      <c r="HW7" s="188"/>
      <c r="HX7" s="106" t="str">
        <f>IFERROR((((COUNTIF('Elève (6ème4)'!HU8:HW11,"A"))*4)+((COUNTIF('Elève (6ème4)'!HU8:HW11,"B"))*3)+((COUNTIF('Elève (6ème4)'!HU8:HW11,"C"))*2)+((COUNTIF('Elève (6ème4)'!HU8:HW11,"D"))*1))/(COUNTA(HU8:HW11)),"")</f>
        <v/>
      </c>
      <c r="HY7" s="121" t="str">
        <f t="shared" si="53"/>
        <v/>
      </c>
      <c r="HZ7" s="100"/>
      <c r="IA7" s="187"/>
      <c r="IB7" s="188"/>
      <c r="IC7" s="106" t="str">
        <f>IFERROR((((COUNTIF('Elève (6ème4)'!HZ8:IB11,"A"))*4)+((COUNTIF('Elève (6ème4)'!HZ8:IB11,"B"))*3)+((COUNTIF('Elève (6ème4)'!HZ8:IB11,"C"))*2)+((COUNTIF('Elève (6ème4)'!HZ8:IB11,"D"))*1))/(COUNTA(HZ8:IB11)),"")</f>
        <v/>
      </c>
      <c r="ID7" s="128" t="str">
        <f t="shared" si="54"/>
        <v/>
      </c>
      <c r="IE7" s="177" t="str">
        <f>IFERROR((((COUNTIF(HP8:HR11,"A")+COUNTIF(HU8:HW11,"A")+COUNTIF(HZ8:IB11,"A"))*4)+((COUNTIF(HP8:HR11,"B")+COUNTIF(HU8:HW11,"B")+COUNTIF(HZ8:IB11,"B"))*3)+((COUNTIF(HP8:HR11,"C")+COUNTIF(HU8:HW11,"C")+COUNTIF(HZ8:IB11,"C"))*2)+((COUNTIF(HP8:HR11,"D")+COUNTIF(HU8:HW11,"D")+COUNTIF(HZ8:IB11,"D"))*1))/(COUNTA(HP8:HR11)+COUNTA(HU8:HW11)+COUNTA(HZ8:IB11)),"")</f>
        <v/>
      </c>
      <c r="IF7" s="130" t="str">
        <f t="shared" si="55"/>
        <v/>
      </c>
      <c r="IG7" s="162"/>
      <c r="IH7" s="189"/>
      <c r="II7" s="189"/>
      <c r="IJ7" s="106">
        <f>IFERROR((((COUNTIF('Elève (6ème4)'!IG8:II11,"A"))*4)+((COUNTIF('Elève (6ème4)'!IG8:II11,"B"))*3)+((COUNTIF('Elève (6ème4)'!IG8:II11,"C"))*2)+((COUNTIF('Elève (6ème4)'!IG8:II11,"D"))*1))/(COUNTA(IG8:II11)),"")</f>
        <v>3.5</v>
      </c>
      <c r="IK7" s="107" t="str">
        <f t="shared" si="56"/>
        <v>B</v>
      </c>
      <c r="IL7" s="100"/>
      <c r="IM7" s="187"/>
      <c r="IN7" s="188"/>
      <c r="IO7" s="106" t="str">
        <f>IFERROR((((COUNTIF('Elève (6ème4)'!IL8:IN11,"A"))*4)+((COUNTIF('Elève (6ème4)'!IL8:IN11,"B"))*3)+((COUNTIF('Elève (6ème4)'!IL8:IN11,"C"))*2)+((COUNTIF('Elève (6ème4)'!IL8:IN11,"D"))*1))/(COUNTA(IL8:IN11)),"")</f>
        <v/>
      </c>
      <c r="IP7" s="121" t="str">
        <f t="shared" si="57"/>
        <v/>
      </c>
      <c r="IQ7" s="100"/>
      <c r="IR7" s="187"/>
      <c r="IS7" s="188"/>
      <c r="IT7" s="106" t="str">
        <f>IFERROR((((COUNTIF('Elève (6ème4)'!IQ8:IS11,"A"))*4)+((COUNTIF('Elève (6ème4)'!IQ8:IS11,"B"))*3)+((COUNTIF('Elève (6ème4)'!IQ8:IS11,"C"))*2)+((COUNTIF('Elève (6ème4)'!IQ8:IS11,"D"))*1))/(COUNTA(IQ8:IS11)),"")</f>
        <v/>
      </c>
      <c r="IU7" s="128" t="str">
        <f t="shared" si="58"/>
        <v/>
      </c>
      <c r="IV7" s="177">
        <f>IFERROR((((COUNTIF(IG8:II11,"A")+COUNTIF(IL8:IN11,"A")+COUNTIF(IQ8:IS11,"A"))*4)+((COUNTIF(IG8:II11,"B")+COUNTIF(IL8:IN11,"B")+COUNTIF(IQ8:IS11,"B"))*3)+((COUNTIF(IG8:II11,"C")+COUNTIF(IL8:IN11,"C")+COUNTIF(IQ8:IS11,"C"))*2)+((COUNTIF(IG8:II11,"D")+COUNTIF(IL8:IN11,"D")+COUNTIF(IQ8:IS11,"D"))*1))/(COUNTA(IG8:II11)+COUNTA(IL8:IN11)+COUNTA(IQ8:IS11)),"")</f>
        <v>3.5</v>
      </c>
      <c r="IW7" s="130" t="str">
        <f t="shared" si="59"/>
        <v>B</v>
      </c>
      <c r="IX7" s="162"/>
      <c r="IY7" s="189"/>
      <c r="IZ7" s="189"/>
      <c r="JA7" s="106">
        <f>IFERROR((((COUNTIF('Elève (6ème4)'!IX8:IZ11,"A"))*4)+((COUNTIF('Elève (6ème4)'!IX8:IZ11,"B"))*3)+((COUNTIF('Elève (6ème4)'!IX8:IZ11,"C"))*2)+((COUNTIF('Elève (6ème4)'!IX8:IZ11,"D"))*1))/(COUNTA(IX8:IZ11)),"")</f>
        <v>3.5</v>
      </c>
      <c r="JB7" s="107" t="str">
        <f t="shared" si="60"/>
        <v>B</v>
      </c>
      <c r="JC7" s="100"/>
      <c r="JD7" s="187"/>
      <c r="JE7" s="188"/>
      <c r="JF7" s="106" t="str">
        <f>IFERROR((((COUNTIF('Elève (6ème4)'!JC8:JE11,"A"))*4)+((COUNTIF('Elève (6ème4)'!JC8:JE11,"B"))*3)+((COUNTIF('Elève (6ème4)'!JC8:JE11,"C"))*2)+((COUNTIF('Elève (6ème4)'!JC8:JE11,"D"))*1))/(COUNTA(JC8:JE11)),"")</f>
        <v/>
      </c>
      <c r="JG7" s="121" t="str">
        <f t="shared" si="61"/>
        <v/>
      </c>
      <c r="JH7" s="100"/>
      <c r="JI7" s="187"/>
      <c r="JJ7" s="188"/>
      <c r="JK7" s="106" t="str">
        <f>IFERROR((((COUNTIF('Elève (6ème4)'!JH8:JJ11,"A"))*4)+((COUNTIF('Elève (6ème4)'!JH8:JJ11,"B"))*3)+((COUNTIF('Elève (6ème4)'!JH8:JJ11,"C"))*2)+((COUNTIF('Elève (6ème4)'!JH8:JJ11,"D"))*1))/(COUNTA(JH8:JJ11)),"")</f>
        <v/>
      </c>
      <c r="JL7" s="128" t="str">
        <f t="shared" si="62"/>
        <v/>
      </c>
      <c r="JM7" s="177">
        <f>IFERROR((((COUNTIF(IX8:IZ11,"A")+COUNTIF(JC8:JE11,"A")+COUNTIF(JH8:JJ11,"A"))*4)+((COUNTIF(IX8:IZ11,"B")+COUNTIF(JC8:JE11,"B")+COUNTIF(JH8:JJ11,"B"))*3)+((COUNTIF(IX8:IZ11,"C")+COUNTIF(JC8:JE11,"C")+COUNTIF(JH8:JJ11,"C"))*2)+((COUNTIF(IX8:IZ11,"D")+COUNTIF(JC8:JE11,"D")+COUNTIF(JH8:JJ11,"D"))*1))/(COUNTA(IX8:IZ11)+COUNTA(JC8:JE11)+COUNTA(JH8:JJ11)),"")</f>
        <v>3.5</v>
      </c>
      <c r="JN7" s="130" t="str">
        <f t="shared" si="63"/>
        <v>B</v>
      </c>
      <c r="JO7" s="162"/>
      <c r="JP7" s="189"/>
      <c r="JQ7" s="189"/>
      <c r="JR7" s="106">
        <f>IFERROR((((COUNTIF('Elève (6ème4)'!JO8:JQ11,"A"))*4)+((COUNTIF('Elève (6ème4)'!JO8:JQ11,"B"))*3)+((COUNTIF('Elève (6ème4)'!JO8:JQ11,"C"))*2)+((COUNTIF('Elève (6ème4)'!JO8:JQ11,"D"))*1))/(COUNTA(JO8:JQ11)),"")</f>
        <v>3.5</v>
      </c>
      <c r="JS7" s="107" t="str">
        <f t="shared" si="64"/>
        <v>B</v>
      </c>
      <c r="JT7" s="100"/>
      <c r="JU7" s="187"/>
      <c r="JV7" s="188"/>
      <c r="JW7" s="106" t="str">
        <f>IFERROR((((COUNTIF('Elève (6ème4)'!JT8:JV11,"A"))*4)+((COUNTIF('Elève (6ème4)'!JT8:JV11,"B"))*3)+((COUNTIF('Elève (6ème4)'!JT8:JV11,"C"))*2)+((COUNTIF('Elève (6ème4)'!JT8:JV11,"D"))*1))/(COUNTA(JT8:JV11)),"")</f>
        <v/>
      </c>
      <c r="JX7" s="121" t="str">
        <f t="shared" si="65"/>
        <v/>
      </c>
      <c r="JY7" s="100"/>
      <c r="JZ7" s="187"/>
      <c r="KA7" s="188"/>
      <c r="KB7" s="106" t="str">
        <f>IFERROR((((COUNTIF('Elève (6ème4)'!JY8:KA11,"A"))*4)+((COUNTIF('Elève (6ème4)'!JY8:KA11,"B"))*3)+((COUNTIF('Elève (6ème4)'!JY8:KA11,"C"))*2)+((COUNTIF('Elève (6ème4)'!JY8:KA11,"D"))*1))/(COUNTA(JY8:KA11)),"")</f>
        <v/>
      </c>
      <c r="KC7" s="128" t="str">
        <f t="shared" si="66"/>
        <v/>
      </c>
      <c r="KD7" s="177">
        <f>IFERROR((((COUNTIF(JO8:JQ11,"A")+COUNTIF(JT8:JV11,"A")+COUNTIF(JY8:KA11,"A"))*4)+((COUNTIF(JO8:JQ11,"B")+COUNTIF(JT8:JV11,"B")+COUNTIF(JY8:KA11,"B"))*3)+((COUNTIF(JO8:JQ11,"C")+COUNTIF(JT8:JV11,"C")+COUNTIF(JY8:KA11,"C"))*2)+((COUNTIF(JO8:JQ11,"D")+COUNTIF(JT8:JV11,"D")+COUNTIF(JY8:KA11,"D"))*1))/(COUNTA(JO8:JQ11)+COUNTA(JT8:JV11)+COUNTA(JY8:KA11)),"")</f>
        <v>3.5</v>
      </c>
      <c r="KE7" s="130" t="str">
        <f t="shared" si="67"/>
        <v>B</v>
      </c>
      <c r="KF7" s="162"/>
      <c r="KG7" s="189"/>
      <c r="KH7" s="189"/>
      <c r="KI7" s="106">
        <f>IFERROR((((COUNTIF('Elève (6ème4)'!KF8:KH11,"A"))*4)+((COUNTIF('Elève (6ème4)'!KF8:KH11,"B"))*3)+((COUNTIF('Elève (6ème4)'!KF8:KH11,"C"))*2)+((COUNTIF('Elève (6ème4)'!KF8:KH11,"D"))*1))/(COUNTA(KF8:KH11)),"")</f>
        <v>3.5</v>
      </c>
      <c r="KJ7" s="107" t="str">
        <f t="shared" si="68"/>
        <v>B</v>
      </c>
      <c r="KK7" s="100"/>
      <c r="KL7" s="187"/>
      <c r="KM7" s="188"/>
      <c r="KN7" s="106" t="str">
        <f>IFERROR((((COUNTIF('Elève (6ème4)'!KK8:KM11,"A"))*4)+((COUNTIF('Elève (6ème4)'!KK8:KM11,"B"))*3)+((COUNTIF('Elève (6ème4)'!KK8:KM11,"C"))*2)+((COUNTIF('Elève (6ème4)'!KK8:KM11,"D"))*1))/(COUNTA(KK8:KM11)),"")</f>
        <v/>
      </c>
      <c r="KO7" s="121" t="str">
        <f t="shared" si="69"/>
        <v/>
      </c>
      <c r="KP7" s="100"/>
      <c r="KQ7" s="187"/>
      <c r="KR7" s="188"/>
      <c r="KS7" s="106" t="str">
        <f>IFERROR((((COUNTIF('Elève (6ème4)'!KP8:KR11,"A"))*4)+((COUNTIF('Elève (6ème4)'!KP8:KR11,"B"))*3)+((COUNTIF('Elève (6ème4)'!KP8:KR11,"C"))*2)+((COUNTIF('Elève (6ème4)'!KP8:KR11,"D"))*1))/(COUNTA(KP8:KR11)),"")</f>
        <v/>
      </c>
      <c r="KT7" s="128" t="str">
        <f t="shared" si="70"/>
        <v/>
      </c>
      <c r="KU7" s="177">
        <f>IFERROR((((COUNTIF(KF8:KH11,"A")+COUNTIF(KK8:KM11,"A")+COUNTIF(KP8:KR11,"A"))*4)+((COUNTIF(KF8:KH11,"B")+COUNTIF(KK8:KM11,"B")+COUNTIF(KP8:KR11,"B"))*3)+((COUNTIF(KF8:KH11,"C")+COUNTIF(KK8:KM11,"C")+COUNTIF(KP8:KR11,"C"))*2)+((COUNTIF(KF8:KH11,"D")+COUNTIF(KK8:KM11,"D")+COUNTIF(KP8:KR11,"D"))*1))/(COUNTA(KF8:KH11)+COUNTA(KK8:KM11)+COUNTA(KP8:KR11)),"")</f>
        <v>3.5</v>
      </c>
      <c r="KV7" s="130" t="str">
        <f t="shared" si="71"/>
        <v>B</v>
      </c>
      <c r="KW7" s="162"/>
      <c r="KX7" s="189"/>
      <c r="KY7" s="189"/>
      <c r="KZ7" s="106">
        <f>IFERROR((((COUNTIF('Elève (6ème4)'!KW8:KY11,"A"))*4)+((COUNTIF('Elève (6ème4)'!KW8:KY11,"B"))*3)+((COUNTIF('Elève (6ème4)'!KW8:KY11,"C"))*2)+((COUNTIF('Elève (6ème4)'!KW8:KY11,"D"))*1))/(COUNTA(KW8:KY11)),"")</f>
        <v>2</v>
      </c>
      <c r="LA7" s="107" t="str">
        <f t="shared" si="72"/>
        <v>C</v>
      </c>
      <c r="LB7" s="100"/>
      <c r="LC7" s="187"/>
      <c r="LD7" s="188"/>
      <c r="LE7" s="106" t="str">
        <f>IFERROR((((COUNTIF('Elève (6ème4)'!LB8:LD11,"A"))*4)+((COUNTIF('Elève (6ème4)'!LB8:LD11,"B"))*3)+((COUNTIF('Elève (6ème4)'!LB8:LD11,"C"))*2)+((COUNTIF('Elève (6ème4)'!LB8:LD11,"D"))*1))/(COUNTA(LB8:LD11)),"")</f>
        <v/>
      </c>
      <c r="LF7" s="121" t="str">
        <f t="shared" si="73"/>
        <v/>
      </c>
      <c r="LG7" s="100"/>
      <c r="LH7" s="187"/>
      <c r="LI7" s="188"/>
      <c r="LJ7" s="106" t="str">
        <f>IFERROR((((COUNTIF('Elève (6ème4)'!LG8:LI11,"A"))*4)+((COUNTIF('Elève (6ème4)'!LG8:LI11,"B"))*3)+((COUNTIF('Elève (6ème4)'!LG8:LI11,"C"))*2)+((COUNTIF('Elève (6ème4)'!LG8:LI11,"D"))*1))/(COUNTA(LG8:LI11)),"")</f>
        <v/>
      </c>
      <c r="LK7" s="128" t="str">
        <f t="shared" si="74"/>
        <v/>
      </c>
      <c r="LL7" s="177">
        <f>IFERROR((((COUNTIF(KW8:KY11,"A")+COUNTIF(LB8:LD11,"A")+COUNTIF(LG8:LI11,"A"))*4)+((COUNTIF(KW8:KY11,"B")+COUNTIF(LB8:LD11,"B")+COUNTIF(LG8:LI11,"B"))*3)+((COUNTIF(KW8:KY11,"C")+COUNTIF(LB8:LD11,"C")+COUNTIF(LG8:LI11,"C"))*2)+((COUNTIF(KW8:KY11,"D")+COUNTIF(LB8:LD11,"D")+COUNTIF(LG8:LI11,"D"))*1))/(COUNTA(KW8:KY11)+COUNTA(LB8:LD11)+COUNTA(LG8:LI11)),"")</f>
        <v>2</v>
      </c>
      <c r="LM7" s="130" t="str">
        <f t="shared" si="75"/>
        <v>C</v>
      </c>
      <c r="LN7" s="162"/>
      <c r="LO7" s="189"/>
      <c r="LP7" s="189"/>
      <c r="LQ7" s="106">
        <f>IFERROR((((COUNTIF('Elève (6ème4)'!LN8:LP11,"A"))*4)+((COUNTIF('Elève (6ème4)'!LN8:LP11,"B"))*3)+((COUNTIF('Elève (6ème4)'!LN8:LP11,"C"))*2)+((COUNTIF('Elève (6ème4)'!LN8:LP11,"D"))*1))/(COUNTA(LN8:LP11)),"")</f>
        <v>3.5</v>
      </c>
      <c r="LR7" s="107" t="str">
        <f t="shared" si="76"/>
        <v>B</v>
      </c>
      <c r="LS7" s="100"/>
      <c r="LT7" s="187"/>
      <c r="LU7" s="188"/>
      <c r="LV7" s="106" t="str">
        <f>IFERROR((((COUNTIF('Elève (6ème4)'!LS8:LU11,"A"))*4)+((COUNTIF('Elève (6ème4)'!LS8:LU11,"B"))*3)+((COUNTIF('Elève (6ème4)'!LS8:LU11,"C"))*2)+((COUNTIF('Elève (6ème4)'!LS8:LU11,"D"))*1))/(COUNTA(LS8:LU11)),"")</f>
        <v/>
      </c>
      <c r="LW7" s="121" t="str">
        <f t="shared" si="77"/>
        <v/>
      </c>
      <c r="LX7" s="100"/>
      <c r="LY7" s="187"/>
      <c r="LZ7" s="188"/>
      <c r="MA7" s="106" t="str">
        <f>IFERROR((((COUNTIF('Elève (6ème4)'!LX8:LZ11,"A"))*4)+((COUNTIF('Elève (6ème4)'!LX8:LZ11,"B"))*3)+((COUNTIF('Elève (6ème4)'!LX8:LZ11,"C"))*2)+((COUNTIF('Elève (6ème4)'!LX8:LZ11,"D"))*1))/(COUNTA(LX8:LZ11)),"")</f>
        <v/>
      </c>
      <c r="MB7" s="128" t="str">
        <f t="shared" si="78"/>
        <v/>
      </c>
      <c r="MC7" s="177">
        <f>IFERROR((((COUNTIF(LN8:LP11,"A")+COUNTIF(LS8:LU11,"A")+COUNTIF(LX8:LZ11,"A"))*4)+((COUNTIF(LN8:LP11,"B")+COUNTIF(LS8:LU11,"B")+COUNTIF(LX8:LZ11,"B"))*3)+((COUNTIF(LN8:LP11,"C")+COUNTIF(LS8:LU11,"C")+COUNTIF(LX8:LZ11,"C"))*2)+((COUNTIF(LN8:LP11,"D")+COUNTIF(LS8:LU11,"D")+COUNTIF(LX8:LZ11,"D"))*1))/(COUNTA(LN8:LP11)+COUNTA(LS8:LU11)+COUNTA(LX8:LZ11)),"")</f>
        <v>3.5</v>
      </c>
      <c r="MD7" s="130" t="str">
        <f t="shared" si="79"/>
        <v>B</v>
      </c>
      <c r="ME7" s="162"/>
      <c r="MF7" s="189"/>
      <c r="MG7" s="189"/>
      <c r="MH7" s="106">
        <f>IFERROR((((COUNTIF('Elève (6ème4)'!ME8:MG11,"A"))*4)+((COUNTIF('Elève (6ème4)'!ME8:MG11,"B"))*3)+((COUNTIF('Elève (6ème4)'!ME8:MG11,"C"))*2)+((COUNTIF('Elève (6ème4)'!ME8:MG11,"D"))*1))/(COUNTA(ME8:MG11)),"")</f>
        <v>2</v>
      </c>
      <c r="MI7" s="107" t="str">
        <f t="shared" si="80"/>
        <v>C</v>
      </c>
      <c r="MJ7" s="100"/>
      <c r="MK7" s="187"/>
      <c r="ML7" s="188"/>
      <c r="MM7" s="106" t="str">
        <f>IFERROR((((COUNTIF('Elève (6ème4)'!MJ8:ML11,"A"))*4)+((COUNTIF('Elève (6ème4)'!MJ8:ML11,"B"))*3)+((COUNTIF('Elève (6ème4)'!MJ8:ML11,"C"))*2)+((COUNTIF('Elève (6ème4)'!MJ8:ML11,"D"))*1))/(COUNTA(MJ8:ML11)),"")</f>
        <v/>
      </c>
      <c r="MN7" s="121" t="str">
        <f t="shared" si="81"/>
        <v/>
      </c>
      <c r="MO7" s="100"/>
      <c r="MP7" s="187"/>
      <c r="MQ7" s="188"/>
      <c r="MR7" s="106" t="str">
        <f>IFERROR((((COUNTIF('Elève (6ème4)'!MO8:MQ11,"A"))*4)+((COUNTIF('Elève (6ème4)'!MO8:MQ11,"B"))*3)+((COUNTIF('Elève (6ème4)'!MO8:MQ11,"C"))*2)+((COUNTIF('Elève (6ème4)'!MO8:MQ11,"D"))*1))/(COUNTA(MO8:MQ11)),"")</f>
        <v/>
      </c>
      <c r="MS7" s="128" t="str">
        <f t="shared" si="82"/>
        <v/>
      </c>
      <c r="MT7" s="177">
        <f>IFERROR((((COUNTIF(ME8:MG11,"A")+COUNTIF(MJ8:ML11,"A")+COUNTIF(MO8:MQ11,"A"))*4)+((COUNTIF(ME8:MG11,"B")+COUNTIF(MJ8:ML11,"B")+COUNTIF(MO8:MQ11,"B"))*3)+((COUNTIF(ME8:MG11,"C")+COUNTIF(MJ8:ML11,"C")+COUNTIF(MO8:MQ11,"C"))*2)+((COUNTIF(ME8:MG11,"D")+COUNTIF(MJ8:ML11,"D")+COUNTIF(MO8:MQ11,"D"))*1))/(COUNTA(ME8:MG11)+COUNTA(MJ8:ML11)+COUNTA(MO8:MQ11)),"")</f>
        <v>2</v>
      </c>
      <c r="MU7" s="130" t="str">
        <f t="shared" si="83"/>
        <v>C</v>
      </c>
      <c r="MV7" s="162"/>
      <c r="MW7" s="189"/>
      <c r="MX7" s="189"/>
      <c r="MY7" s="106" t="str">
        <f>IFERROR((((COUNTIF('Elève (6ème4)'!MV8:MX11,"A"))*4)+((COUNTIF('Elève (6ème4)'!MV8:MX11,"B"))*3)+((COUNTIF('Elève (6ème4)'!MV8:MX11,"C"))*2)+((COUNTIF('Elève (6ème4)'!MV8:MX11,"D"))*1))/(COUNTA(MV8:MX11)),"")</f>
        <v/>
      </c>
      <c r="MZ7" s="107" t="str">
        <f t="shared" si="84"/>
        <v/>
      </c>
      <c r="NA7" s="100"/>
      <c r="NB7" s="187"/>
      <c r="NC7" s="188"/>
      <c r="ND7" s="106" t="str">
        <f>IFERROR((((COUNTIF('Elève (6ème4)'!NA8:NC11,"A"))*4)+((COUNTIF('Elève (6ème4)'!NA8:NC11,"B"))*3)+((COUNTIF('Elève (6ème4)'!NA8:NC11,"C"))*2)+((COUNTIF('Elève (6ème4)'!NA8:NC11,"D"))*1))/(COUNTA(NA8:NC11)),"")</f>
        <v/>
      </c>
      <c r="NE7" s="121" t="str">
        <f t="shared" si="85"/>
        <v/>
      </c>
      <c r="NF7" s="100"/>
      <c r="NG7" s="187"/>
      <c r="NH7" s="188"/>
      <c r="NI7" s="106" t="str">
        <f>IFERROR((((COUNTIF('Elève (6ème4)'!NF8:NH11,"A"))*4)+((COUNTIF('Elève (6ème4)'!NF8:NH11,"B"))*3)+((COUNTIF('Elève (6ème4)'!NF8:NH11,"C"))*2)+((COUNTIF('Elève (6ème4)'!NF8:NH11,"D"))*1))/(COUNTA(NF8:NH11)),"")</f>
        <v/>
      </c>
      <c r="NJ7" s="128" t="str">
        <f t="shared" si="86"/>
        <v/>
      </c>
      <c r="NK7" s="177" t="str">
        <f>IFERROR((((COUNTIF(MV8:MX11,"A")+COUNTIF(NA8:NC11,"A")+COUNTIF(NF8:NH11,"A"))*4)+((COUNTIF(MV8:MX11,"B")+COUNTIF(NA8:NC11,"B")+COUNTIF(NF8:NH11,"B"))*3)+((COUNTIF(MV8:MX11,"C")+COUNTIF(NA8:NC11,"C")+COUNTIF(NF8:NH11,"C"))*2)+((COUNTIF(MV8:MX11,"D")+COUNTIF(NA8:NC11,"D")+COUNTIF(NF8:NH11,"D"))*1))/(COUNTA(MV8:MX11)+COUNTA(NA8:NC11)+COUNTA(NF8:NH11)),"")</f>
        <v/>
      </c>
      <c r="NL7" s="130" t="str">
        <f t="shared" si="87"/>
        <v/>
      </c>
      <c r="NM7" s="162"/>
      <c r="NN7" s="189"/>
      <c r="NO7" s="189"/>
      <c r="NP7" s="106" t="str">
        <f>IFERROR((((COUNTIF('Elève (6ème4)'!NM8:NO11,"A"))*4)+((COUNTIF('Elève (6ème4)'!NM8:NO11,"B"))*3)+((COUNTIF('Elève (6ème4)'!NM8:NO11,"C"))*2)+((COUNTIF('Elève (6ème4)'!NM8:NO11,"D"))*1))/(COUNTA(NM8:NO11)),"")</f>
        <v/>
      </c>
      <c r="NQ7" s="107" t="str">
        <f t="shared" si="88"/>
        <v/>
      </c>
      <c r="NR7" s="100"/>
      <c r="NS7" s="187"/>
      <c r="NT7" s="188"/>
      <c r="NU7" s="106" t="str">
        <f>IFERROR((((COUNTIF('Elève (6ème4)'!NR8:NT11,"A"))*4)+((COUNTIF('Elève (6ème4)'!NR8:NT11,"B"))*3)+((COUNTIF('Elève (6ème4)'!NR8:NT11,"C"))*2)+((COUNTIF('Elève (6ème4)'!NR8:NT11,"D"))*1))/(COUNTA(NR8:NT11)),"")</f>
        <v/>
      </c>
      <c r="NV7" s="121" t="str">
        <f t="shared" si="89"/>
        <v/>
      </c>
      <c r="NW7" s="100"/>
      <c r="NX7" s="187"/>
      <c r="NY7" s="188"/>
      <c r="NZ7" s="106" t="str">
        <f>IFERROR((((COUNTIF('Elève (6ème4)'!NW8:NY11,"A"))*4)+((COUNTIF('Elève (6ème4)'!NW8:NY11,"B"))*3)+((COUNTIF('Elève (6ème4)'!NW8:NY11,"C"))*2)+((COUNTIF('Elève (6ème4)'!NW8:NY11,"D"))*1))/(COUNTA(NW8:NY11)),"")</f>
        <v/>
      </c>
      <c r="OA7" s="128" t="str">
        <f t="shared" si="90"/>
        <v/>
      </c>
      <c r="OB7" s="177" t="str">
        <f>IFERROR((((COUNTIF(NM8:NO11,"A")+COUNTIF(NR8:NT11,"A")+COUNTIF(NW8:NY11,"A"))*4)+((COUNTIF(NM8:NO11,"B")+COUNTIF(NR8:NT11,"B")+COUNTIF(NW8:NY11,"B"))*3)+((COUNTIF(NM8:NO11,"C")+COUNTIF(NR8:NT11,"C")+COUNTIF(NW8:NY11,"C"))*2)+((COUNTIF(NM8:NO11,"D")+COUNTIF(NR8:NT11,"D")+COUNTIF(NW8:NY11,"D"))*1))/(COUNTA(NM8:NO11)+COUNTA(NR8:NT11)+COUNTA(NW8:NY11)),"")</f>
        <v/>
      </c>
      <c r="OC7" s="130" t="str">
        <f t="shared" si="91"/>
        <v/>
      </c>
      <c r="OD7" s="162"/>
      <c r="OE7" s="189"/>
      <c r="OF7" s="189"/>
      <c r="OG7" s="106">
        <f>IFERROR((((COUNTIF('Elève (6ème4)'!OD8:OF11,"A"))*4)+((COUNTIF('Elève (6ème4)'!OD8:OF11,"B"))*3)+((COUNTIF('Elève (6ème4)'!OD8:OF11,"C"))*2)+((COUNTIF('Elève (6ème4)'!OD8:OF11,"D"))*1))/(COUNTA(OD8:OF11)),"")</f>
        <v>3.5</v>
      </c>
      <c r="OH7" s="107" t="str">
        <f t="shared" si="92"/>
        <v>B</v>
      </c>
      <c r="OI7" s="100"/>
      <c r="OJ7" s="187"/>
      <c r="OK7" s="188"/>
      <c r="OL7" s="106" t="str">
        <f>IFERROR((((COUNTIF('Elève (6ème4)'!OI8:OK11,"A"))*4)+((COUNTIF('Elève (6ème4)'!OI8:OK11,"B"))*3)+((COUNTIF('Elève (6ème4)'!OI8:OK11,"C"))*2)+((COUNTIF('Elève (6ème4)'!OI8:OK11,"D"))*1))/(COUNTA(OI8:OK11)),"")</f>
        <v/>
      </c>
      <c r="OM7" s="121" t="str">
        <f t="shared" si="93"/>
        <v/>
      </c>
      <c r="ON7" s="100"/>
      <c r="OO7" s="187"/>
      <c r="OP7" s="188"/>
      <c r="OQ7" s="106" t="str">
        <f>IFERROR((((COUNTIF('Elève (6ème4)'!ON8:OP11,"A"))*4)+((COUNTIF('Elève (6ème4)'!ON8:OP11,"B"))*3)+((COUNTIF('Elève (6ème4)'!ON8:OP11,"C"))*2)+((COUNTIF('Elève (6ème4)'!ON8:OP11,"D"))*1))/(COUNTA(ON8:OP11)),"")</f>
        <v/>
      </c>
      <c r="OR7" s="128" t="str">
        <f t="shared" si="94"/>
        <v/>
      </c>
      <c r="OS7" s="177">
        <f>IFERROR((((COUNTIF(OD8:OF11,"A")+COUNTIF(OI8:OK11,"A")+COUNTIF(ON8:OP11,"A"))*4)+((COUNTIF(OD8:OF11,"B")+COUNTIF(OI8:OK11,"B")+COUNTIF(ON8:OP11,"B"))*3)+((COUNTIF(OD8:OF11,"C")+COUNTIF(OI8:OK11,"C")+COUNTIF(ON8:OP11,"C"))*2)+((COUNTIF(OD8:OF11,"D")+COUNTIF(OI8:OK11,"D")+COUNTIF(ON8:OP11,"D"))*1))/(COUNTA(OD8:OF11)+COUNTA(OI8:OK11)+COUNTA(ON8:OP11)),"")</f>
        <v>3.5</v>
      </c>
      <c r="OT7" s="130" t="str">
        <f t="shared" si="95"/>
        <v>B</v>
      </c>
      <c r="OU7" s="162"/>
      <c r="OV7" s="189"/>
      <c r="OW7" s="189"/>
      <c r="OX7" s="106">
        <f>IFERROR((((COUNTIF('Elève (6ème4)'!OU8:OW11,"A"))*4)+((COUNTIF('Elève (6ème4)'!OU8:OW11,"B"))*3)+((COUNTIF('Elève (6ème4)'!OU8:OW11,"C"))*2)+((COUNTIF('Elève (6ème4)'!OU8:OW11,"D"))*1))/(COUNTA(OU8:OW11)),"")</f>
        <v>3.5</v>
      </c>
      <c r="OY7" s="107" t="str">
        <f t="shared" si="96"/>
        <v>B</v>
      </c>
      <c r="OZ7" s="100"/>
      <c r="PA7" s="187"/>
      <c r="PB7" s="188"/>
      <c r="PC7" s="106" t="str">
        <f>IFERROR((((COUNTIF('Elève (6ème4)'!OZ8:PB11,"A"))*4)+((COUNTIF('Elève (6ème4)'!OZ8:PB11,"B"))*3)+((COUNTIF('Elève (6ème4)'!OZ8:PB11,"C"))*2)+((COUNTIF('Elève (6ème4)'!OZ8:PB11,"D"))*1))/(COUNTA(OZ8:PB11)),"")</f>
        <v/>
      </c>
      <c r="PD7" s="121" t="str">
        <f t="shared" si="97"/>
        <v/>
      </c>
      <c r="PE7" s="100"/>
      <c r="PF7" s="187"/>
      <c r="PG7" s="188"/>
      <c r="PH7" s="106" t="str">
        <f>IFERROR((((COUNTIF('Elève (6ème4)'!PE8:PG11,"A"))*4)+((COUNTIF('Elève (6ème4)'!PE8:PG11,"B"))*3)+((COUNTIF('Elève (6ème4)'!PE8:PG11,"C"))*2)+((COUNTIF('Elève (6ème4)'!PE8:PG11,"D"))*1))/(COUNTA(PE8:PG11)),"")</f>
        <v/>
      </c>
      <c r="PI7" s="128" t="str">
        <f t="shared" si="98"/>
        <v/>
      </c>
      <c r="PJ7" s="177">
        <f>IFERROR((((COUNTIF(OU8:OW11,"A")+COUNTIF(OZ8:PB11,"A")+COUNTIF(PE8:PG11,"A"))*4)+((COUNTIF(OU8:OW11,"B")+COUNTIF(OZ8:PB11,"B")+COUNTIF(PE8:PG11,"B"))*3)+((COUNTIF(OU8:OW11,"C")+COUNTIF(OZ8:PB11,"C")+COUNTIF(PE8:PG11,"C"))*2)+((COUNTIF(OU8:OW11,"D")+COUNTIF(OZ8:PB11,"D")+COUNTIF(PE8:PG11,"D"))*1))/(COUNTA(OU8:OW11)+COUNTA(OZ8:PB11)+COUNTA(PE8:PG11)),"")</f>
        <v>3.5</v>
      </c>
      <c r="PK7" s="130" t="str">
        <f t="shared" si="99"/>
        <v>B</v>
      </c>
      <c r="PL7" s="162"/>
      <c r="PM7" s="189"/>
      <c r="PN7" s="189"/>
      <c r="PO7" s="106">
        <f>IFERROR((((COUNTIF('Elève (6ème4)'!PL8:PN11,"A"))*4)+((COUNTIF('Elève (6ème4)'!PL8:PN11,"B"))*3)+((COUNTIF('Elève (6ème4)'!PL8:PN11,"C"))*2)+((COUNTIF('Elève (6ème4)'!PL8:PN11,"D"))*1))/(COUNTA(PL8:PN11)),"")</f>
        <v>3.5</v>
      </c>
      <c r="PP7" s="107" t="str">
        <f t="shared" si="100"/>
        <v>B</v>
      </c>
      <c r="PQ7" s="100"/>
      <c r="PR7" s="187"/>
      <c r="PS7" s="188"/>
      <c r="PT7" s="106" t="str">
        <f>IFERROR((((COUNTIF('Elève (6ème4)'!PQ8:PS11,"A"))*4)+((COUNTIF('Elève (6ème4)'!PQ8:PS11,"B"))*3)+((COUNTIF('Elève (6ème4)'!PQ8:PS11,"C"))*2)+((COUNTIF('Elève (6ème4)'!PQ8:PS11,"D"))*1))/(COUNTA(PQ8:PS11)),"")</f>
        <v/>
      </c>
      <c r="PU7" s="121" t="str">
        <f t="shared" si="101"/>
        <v/>
      </c>
      <c r="PV7" s="100"/>
      <c r="PW7" s="187"/>
      <c r="PX7" s="188"/>
      <c r="PY7" s="106" t="str">
        <f>IFERROR((((COUNTIF('Elève (6ème4)'!PV8:PX11,"A"))*4)+((COUNTIF('Elève (6ème4)'!PV8:PX11,"B"))*3)+((COUNTIF('Elève (6ème4)'!PV8:PX11,"C"))*2)+((COUNTIF('Elève (6ème4)'!PV8:PX11,"D"))*1))/(COUNTA(PV8:PX11)),"")</f>
        <v/>
      </c>
      <c r="PZ7" s="128" t="str">
        <f t="shared" si="102"/>
        <v/>
      </c>
      <c r="QA7" s="177">
        <f>IFERROR((((COUNTIF(PL8:PN11,"A")+COUNTIF(PQ8:PS11,"A")+COUNTIF(PV8:PX11,"A"))*4)+((COUNTIF(PL8:PN11,"B")+COUNTIF(PQ8:PS11,"B")+COUNTIF(PV8:PX11,"B"))*3)+((COUNTIF(PL8:PN11,"C")+COUNTIF(PQ8:PS11,"C")+COUNTIF(PV8:PX11,"C"))*2)+((COUNTIF(PL8:PN11,"D")+COUNTIF(PQ8:PS11,"D")+COUNTIF(PV8:PX11,"D"))*1))/(COUNTA(PL8:PN11)+COUNTA(PQ8:PS11)+COUNTA(PV8:PX11)),"")</f>
        <v>3.5</v>
      </c>
      <c r="QB7" s="130" t="str">
        <f t="shared" si="103"/>
        <v>B</v>
      </c>
      <c r="QC7" s="162"/>
      <c r="QD7" s="189"/>
      <c r="QE7" s="189"/>
      <c r="QF7" s="106" t="str">
        <f>IFERROR((((COUNTIF('Elève (6ème4)'!QC8:QE11,"A"))*4)+((COUNTIF('Elève (6ème4)'!QC8:QE11,"B"))*3)+((COUNTIF('Elève (6ème4)'!QC8:QE11,"C"))*2)+((COUNTIF('Elève (6ème4)'!QC8:QE11,"D"))*1))/(COUNTA(QC8:QE11)),"")</f>
        <v/>
      </c>
      <c r="QG7" s="107" t="str">
        <f t="shared" si="104"/>
        <v/>
      </c>
      <c r="QH7" s="100"/>
      <c r="QI7" s="187"/>
      <c r="QJ7" s="188"/>
      <c r="QK7" s="106" t="str">
        <f>IFERROR((((COUNTIF('Elève (6ème4)'!QH8:QJ11,"A"))*4)+((COUNTIF('Elève (6ème4)'!QH8:QJ11,"B"))*3)+((COUNTIF('Elève (6ème4)'!QH8:QJ11,"C"))*2)+((COUNTIF('Elève (6ème4)'!QH8:QJ11,"D"))*1))/(COUNTA(QH8:QJ11)),"")</f>
        <v/>
      </c>
      <c r="QL7" s="121" t="str">
        <f t="shared" si="105"/>
        <v/>
      </c>
      <c r="QM7" s="100"/>
      <c r="QN7" s="187"/>
      <c r="QO7" s="188"/>
      <c r="QP7" s="106" t="str">
        <f>IFERROR((((COUNTIF('Elève (6ème4)'!QM8:QO11,"A"))*4)+((COUNTIF('Elève (6ème4)'!QM8:QO11,"B"))*3)+((COUNTIF('Elève (6ème4)'!QM8:QO11,"C"))*2)+((COUNTIF('Elève (6ème4)'!QM8:QO11,"D"))*1))/(COUNTA(QM8:QO11)),"")</f>
        <v/>
      </c>
      <c r="QQ7" s="128" t="str">
        <f t="shared" si="106"/>
        <v/>
      </c>
      <c r="QR7" s="177" t="str">
        <f>IFERROR((((COUNTIF(QC8:QE11,"A")+COUNTIF(QH8:QJ11,"A")+COUNTIF(QM8:QO11,"A"))*4)+((COUNTIF(QC8:QE11,"B")+COUNTIF(QH8:QJ11,"B")+COUNTIF(QM8:QO11,"B"))*3)+((COUNTIF(QC8:QE11,"C")+COUNTIF(QH8:QJ11,"C")+COUNTIF(QM8:QO11,"C"))*2)+((COUNTIF(QC8:QE11,"D")+COUNTIF(QH8:QJ11,"D")+COUNTIF(QM8:QO11,"D"))*1))/(COUNTA(QC8:QE11)+COUNTA(QH8:QJ11)+COUNTA(QM8:QO11)),"")</f>
        <v/>
      </c>
      <c r="QS7" s="130" t="str">
        <f t="shared" si="107"/>
        <v/>
      </c>
      <c r="QT7" s="162"/>
      <c r="QU7" s="189"/>
      <c r="QV7" s="189"/>
      <c r="QW7" s="106">
        <f>IFERROR((((COUNTIF('Elève (6ème4)'!QT8:QV11,"A"))*4)+((COUNTIF('Elève (6ème4)'!QT8:QV11,"B"))*3)+((COUNTIF('Elève (6ème4)'!QT8:QV11,"C"))*2)+((COUNTIF('Elève (6ème4)'!QT8:QV11,"D"))*1))/(COUNTA(QT8:QV11)),"")</f>
        <v>4</v>
      </c>
      <c r="QX7" s="107" t="str">
        <f t="shared" si="108"/>
        <v>A</v>
      </c>
      <c r="QY7" s="100"/>
      <c r="QZ7" s="187"/>
      <c r="RA7" s="188"/>
      <c r="RB7" s="106" t="str">
        <f>IFERROR((((COUNTIF('Elève (6ème4)'!QY8:RA11,"A"))*4)+((COUNTIF('Elève (6ème4)'!QY8:RA11,"B"))*3)+((COUNTIF('Elève (6ème4)'!QY8:RA11,"C"))*2)+((COUNTIF('Elève (6ème4)'!QY8:RA11,"D"))*1))/(COUNTA(QY8:RA11)),"")</f>
        <v/>
      </c>
      <c r="RC7" s="121" t="str">
        <f t="shared" si="109"/>
        <v/>
      </c>
      <c r="RD7" s="100"/>
      <c r="RE7" s="187"/>
      <c r="RF7" s="188"/>
      <c r="RG7" s="106" t="str">
        <f>IFERROR((((COUNTIF('Elève (6ème4)'!RD8:RF11,"A"))*4)+((COUNTIF('Elève (6ème4)'!RD8:RF11,"B"))*3)+((COUNTIF('Elève (6ème4)'!RD8:RF11,"C"))*2)+((COUNTIF('Elève (6ème4)'!RD8:RF11,"D"))*1))/(COUNTA(RD8:RF11)),"")</f>
        <v/>
      </c>
      <c r="RH7" s="128" t="str">
        <f t="shared" si="110"/>
        <v/>
      </c>
      <c r="RI7" s="177">
        <f>IFERROR((((COUNTIF(QT8:QV11,"A")+COUNTIF(QY8:RA11,"A")+COUNTIF(RD8:RF11,"A"))*4)+((COUNTIF(QT8:QV11,"B")+COUNTIF(QY8:RA11,"B")+COUNTIF(RD8:RF11,"B"))*3)+((COUNTIF(QT8:QV11,"C")+COUNTIF(QY8:RA11,"C")+COUNTIF(RD8:RF11,"C"))*2)+((COUNTIF(QT8:QV11,"D")+COUNTIF(QY8:RA11,"D")+COUNTIF(RD8:RF11,"D"))*1))/(COUNTA(QT8:QV11)+COUNTA(QY8:RA11)+COUNTA(RD8:RF11)),"")</f>
        <v>4</v>
      </c>
      <c r="RJ7" s="130" t="str">
        <f t="shared" si="111"/>
        <v>A</v>
      </c>
      <c r="RK7" s="162"/>
      <c r="RL7" s="189"/>
      <c r="RM7" s="189"/>
      <c r="RN7" s="106">
        <f>IFERROR((((COUNTIF('Elève (6ème4)'!RK8:RM11,"A"))*4)+((COUNTIF('Elève (6ème4)'!RK8:RM11,"B"))*3)+((COUNTIF('Elève (6ème4)'!RK8:RM11,"C"))*2)+((COUNTIF('Elève (6ème4)'!RK8:RM11,"D"))*1))/(COUNTA(RK8:RM11)),"")</f>
        <v>2</v>
      </c>
      <c r="RO7" s="107" t="str">
        <f t="shared" si="112"/>
        <v>C</v>
      </c>
      <c r="RP7" s="100"/>
      <c r="RQ7" s="187"/>
      <c r="RR7" s="188"/>
      <c r="RS7" s="106" t="str">
        <f>IFERROR((((COUNTIF('Elève (6ème4)'!RP8:RR11,"A"))*4)+((COUNTIF('Elève (6ème4)'!RP8:RR11,"B"))*3)+((COUNTIF('Elève (6ème4)'!RP8:RR11,"C"))*2)+((COUNTIF('Elève (6ème4)'!RP8:RR11,"D"))*1))/(COUNTA(RP8:RR11)),"")</f>
        <v/>
      </c>
      <c r="RT7" s="121" t="str">
        <f t="shared" si="113"/>
        <v/>
      </c>
      <c r="RU7" s="100"/>
      <c r="RV7" s="187"/>
      <c r="RW7" s="188"/>
      <c r="RX7" s="106" t="str">
        <f>IFERROR((((COUNTIF('Elève (6ème4)'!RU8:RW11,"A"))*4)+((COUNTIF('Elève (6ème4)'!RU8:RW11,"B"))*3)+((COUNTIF('Elève (6ème4)'!RU8:RW11,"C"))*2)+((COUNTIF('Elève (6ème4)'!RU8:RW11,"D"))*1))/(COUNTA(RU8:RW11)),"")</f>
        <v/>
      </c>
      <c r="RY7" s="128" t="str">
        <f t="shared" si="114"/>
        <v/>
      </c>
      <c r="RZ7" s="177">
        <f>IFERROR((((COUNTIF(RK8:RM11,"A")+COUNTIF(RP8:RR11,"A")+COUNTIF(RU8:RW11,"A"))*4)+((COUNTIF(RK8:RM11,"B")+COUNTIF(RP8:RR11,"B")+COUNTIF(RU8:RW11,"B"))*3)+((COUNTIF(RK8:RM11,"C")+COUNTIF(RP8:RR11,"C")+COUNTIF(RU8:RW11,"C"))*2)+((COUNTIF(RK8:RM11,"D")+COUNTIF(RP8:RR11,"D")+COUNTIF(RU8:RW11,"D"))*1))/(COUNTA(RK8:RM11)+COUNTA(RP8:RR11)+COUNTA(RU8:RW11)),"")</f>
        <v>2</v>
      </c>
      <c r="SA7" s="130" t="str">
        <f t="shared" si="115"/>
        <v>C</v>
      </c>
      <c r="SB7" s="162"/>
      <c r="SC7" s="189"/>
      <c r="SD7" s="189"/>
      <c r="SE7" s="106" t="str">
        <f>IFERROR((((COUNTIF('Elève (6ème4)'!SB8:SD11,"A"))*4)+((COUNTIF('Elève (6ème4)'!SB8:SD11,"B"))*3)+((COUNTIF('Elève (6ème4)'!SB8:SD11,"C"))*2)+((COUNTIF('Elève (6ème4)'!SB8:SD11,"D"))*1))/(COUNTA(SB8:SD11)),"")</f>
        <v/>
      </c>
      <c r="SF7" s="107" t="str">
        <f t="shared" si="116"/>
        <v/>
      </c>
      <c r="SG7" s="100"/>
      <c r="SH7" s="187"/>
      <c r="SI7" s="188"/>
      <c r="SJ7" s="106" t="str">
        <f>IFERROR((((COUNTIF('Elève (6ème4)'!SG8:SI11,"A"))*4)+((COUNTIF('Elève (6ème4)'!SG8:SI11,"B"))*3)+((COUNTIF('Elève (6ème4)'!SG8:SI11,"C"))*2)+((COUNTIF('Elève (6ème4)'!SG8:SI11,"D"))*1))/(COUNTA(SG8:SI11)),"")</f>
        <v/>
      </c>
      <c r="SK7" s="121" t="str">
        <f t="shared" si="117"/>
        <v/>
      </c>
      <c r="SL7" s="100"/>
      <c r="SM7" s="187"/>
      <c r="SN7" s="188"/>
      <c r="SO7" s="106" t="str">
        <f>IFERROR((((COUNTIF('Elève (6ème4)'!SL8:SN11,"A"))*4)+((COUNTIF('Elève (6ème4)'!SL8:SN11,"B"))*3)+((COUNTIF('Elève (6ème4)'!SL8:SN11,"C"))*2)+((COUNTIF('Elève (6ème4)'!SL8:SN11,"D"))*1))/(COUNTA(SL8:SN11)),"")</f>
        <v/>
      </c>
      <c r="SP7" s="128" t="str">
        <f t="shared" si="118"/>
        <v/>
      </c>
      <c r="SQ7" s="177" t="str">
        <f>IFERROR((((COUNTIF(SB8:SD11,"A")+COUNTIF(SG8:SI11,"A")+COUNTIF(SL8:SN11,"A"))*4)+((COUNTIF(SB8:SD11,"B")+COUNTIF(SG8:SI11,"B")+COUNTIF(SL8:SN11,"B"))*3)+((COUNTIF(SB8:SD11,"C")+COUNTIF(SG8:SI11,"C")+COUNTIF(SL8:SN11,"C"))*2)+((COUNTIF(SB8:SD11,"D")+COUNTIF(SG8:SI11,"D")+COUNTIF(SL8:SN11,"D"))*1))/(COUNTA(SB8:SD11)+COUNTA(SG8:SI11)+COUNTA(SL8:SN11)),"")</f>
        <v/>
      </c>
      <c r="SR7" s="130" t="str">
        <f t="shared" si="119"/>
        <v/>
      </c>
    </row>
    <row r="8" spans="1:512" s="72" customFormat="1" ht="18" customHeight="1" x14ac:dyDescent="0.25">
      <c r="A8" s="240" t="s">
        <v>40</v>
      </c>
      <c r="B8" s="241"/>
      <c r="C8" s="156" t="s">
        <v>24</v>
      </c>
      <c r="D8" s="157"/>
      <c r="E8" s="158"/>
      <c r="F8" s="108">
        <f>IFERROR((((COUNTIF('Elève (6ème4)'!C8:E8,"A"))*4)+((COUNTIF('Elève (6ème4)'!C8:E8,"B"))*3)+((COUNTIF('Elève (6ème4)'!C8:E8,"C"))*2)+((COUNTIF('Elève (6ème4)'!C8:E8,"D"))*1))/(COUNTA(C8:E8)),"")</f>
        <v>4</v>
      </c>
      <c r="G8" s="109" t="str">
        <f t="shared" si="0"/>
        <v>A</v>
      </c>
      <c r="H8" s="81"/>
      <c r="I8" s="82"/>
      <c r="J8" s="83"/>
      <c r="K8" s="108" t="str">
        <f>IFERROR((((COUNTIF('Elève (6ème4)'!H8:J8,"A"))*4)+((COUNTIF('Elève (6ème4)'!H8:J8,"B"))*3)+((COUNTIF('Elève (6ème4)'!H8:J8,"C"))*2)+((COUNTIF('Elève (6ème4)'!H8:J8,"D"))*1))/(COUNTA(H8:J8)),"")</f>
        <v/>
      </c>
      <c r="L8" s="109" t="str">
        <f t="shared" si="1"/>
        <v/>
      </c>
      <c r="M8" s="81"/>
      <c r="N8" s="82"/>
      <c r="O8" s="83"/>
      <c r="P8" s="108" t="str">
        <f>IFERROR((((COUNTIF('Elève (6ème4)'!M8:O8,"A"))*4)+((COUNTIF('Elève (6ème4)'!M8:O8,"B"))*3)+((COUNTIF('Elève (6ème4)'!M8:O8,"C"))*2)+((COUNTIF('Elève (6ème4)'!M8:O8,"D"))*1))/(COUNTA(M8:O8)),"")</f>
        <v/>
      </c>
      <c r="Q8" s="109" t="str">
        <f t="shared" si="2"/>
        <v/>
      </c>
      <c r="R8" s="178">
        <f>IF(COUNT(F8,K8,P8)=0,"",SUM(F8,K8,P8)/COUNT(F8,K8,P8))</f>
        <v>4</v>
      </c>
      <c r="S8" s="131" t="str">
        <f t="shared" si="3"/>
        <v>A</v>
      </c>
      <c r="T8" s="156" t="s">
        <v>26</v>
      </c>
      <c r="U8" s="157"/>
      <c r="V8" s="158"/>
      <c r="W8" s="108">
        <f>IFERROR((((COUNTIF('Elève (6ème4)'!T8:V8,"A"))*4)+((COUNTIF('Elève (6ème4)'!T8:V8,"B"))*3)+((COUNTIF('Elève (6ème4)'!T8:V8,"C"))*2)+((COUNTIF('Elève (6ème4)'!T8:V8,"D"))*1))/(COUNTA(T8:V8)),"")</f>
        <v>2</v>
      </c>
      <c r="X8" s="109" t="str">
        <f t="shared" si="4"/>
        <v>C</v>
      </c>
      <c r="Y8" s="81"/>
      <c r="Z8" s="82"/>
      <c r="AA8" s="83"/>
      <c r="AB8" s="108" t="str">
        <f>IFERROR((((COUNTIF('Elève (6ème4)'!Y8:AA8,"A"))*4)+((COUNTIF('Elève (6ème4)'!Y8:AA8,"B"))*3)+((COUNTIF('Elève (6ème4)'!Y8:AA8,"C"))*2)+((COUNTIF('Elève (6ème4)'!Y8:AA8,"D"))*1))/(COUNTA(Y8:AA8)),"")</f>
        <v/>
      </c>
      <c r="AC8" s="109" t="str">
        <f t="shared" si="5"/>
        <v/>
      </c>
      <c r="AD8" s="81"/>
      <c r="AE8" s="82"/>
      <c r="AF8" s="83"/>
      <c r="AG8" s="108" t="str">
        <f>IFERROR((((COUNTIF('Elève (6ème4)'!AD8:AF8,"A"))*4)+((COUNTIF('Elève (6ème4)'!AD8:AF8,"B"))*3)+((COUNTIF('Elève (6ème4)'!AD8:AF8,"C"))*2)+((COUNTIF('Elève (6ème4)'!AD8:AF8,"D"))*1))/(COUNTA(AD8:AF8)),"")</f>
        <v/>
      </c>
      <c r="AH8" s="109" t="str">
        <f t="shared" si="6"/>
        <v/>
      </c>
      <c r="AI8" s="178">
        <f>IF(COUNT(W8,AB8,AG8)=0,"",SUM(W8,AB8,AG8)/COUNT(W8,AB8,AG8))</f>
        <v>2</v>
      </c>
      <c r="AJ8" s="131" t="str">
        <f t="shared" si="7"/>
        <v>C</v>
      </c>
      <c r="AK8" s="156" t="s">
        <v>26</v>
      </c>
      <c r="AL8" s="157"/>
      <c r="AM8" s="158"/>
      <c r="AN8" s="108">
        <f>IFERROR((((COUNTIF('Elève (6ème4)'!AK8:AM8,"A"))*4)+((COUNTIF('Elève (6ème4)'!AK8:AM8,"B"))*3)+((COUNTIF('Elève (6ème4)'!AK8:AM8,"C"))*2)+((COUNTIF('Elève (6ème4)'!AK8:AM8,"D"))*1))/(COUNTA(AK8:AM8)),"")</f>
        <v>2</v>
      </c>
      <c r="AO8" s="109" t="str">
        <f t="shared" si="8"/>
        <v>C</v>
      </c>
      <c r="AP8" s="81"/>
      <c r="AQ8" s="82"/>
      <c r="AR8" s="83"/>
      <c r="AS8" s="108" t="str">
        <f>IFERROR((((COUNTIF('Elève (6ème4)'!AP8:AR8,"A"))*4)+((COUNTIF('Elève (6ème4)'!AP8:AR8,"B"))*3)+((COUNTIF('Elève (6ème4)'!AP8:AR8,"C"))*2)+((COUNTIF('Elève (6ème4)'!AP8:AR8,"D"))*1))/(COUNTA(AP8:AR8)),"")</f>
        <v/>
      </c>
      <c r="AT8" s="109" t="str">
        <f t="shared" si="9"/>
        <v/>
      </c>
      <c r="AU8" s="81"/>
      <c r="AV8" s="82"/>
      <c r="AW8" s="83"/>
      <c r="AX8" s="108" t="str">
        <f>IFERROR((((COUNTIF('Elève (6ème4)'!AU8:AW8,"A"))*4)+((COUNTIF('Elève (6ème4)'!AU8:AW8,"B"))*3)+((COUNTIF('Elève (6ème4)'!AU8:AW8,"C"))*2)+((COUNTIF('Elève (6ème4)'!AU8:AW8,"D"))*1))/(COUNTA(AU8:AW8)),"")</f>
        <v/>
      </c>
      <c r="AY8" s="109" t="str">
        <f t="shared" si="10"/>
        <v/>
      </c>
      <c r="AZ8" s="178">
        <f>IF(COUNT(AN8,AS8,AX8)=0,"",SUM(AN8,AS8,AX8)/COUNT(AN8,AS8,AX8))</f>
        <v>2</v>
      </c>
      <c r="BA8" s="131" t="str">
        <f t="shared" si="11"/>
        <v>C</v>
      </c>
      <c r="BB8" s="156"/>
      <c r="BC8" s="157"/>
      <c r="BD8" s="158"/>
      <c r="BE8" s="108" t="str">
        <f>IFERROR((((COUNTIF('Elève (6ème4)'!BB8:BD8,"A"))*4)+((COUNTIF('Elève (6ème4)'!BB8:BD8,"B"))*3)+((COUNTIF('Elève (6ème4)'!BB8:BD8,"C"))*2)+((COUNTIF('Elève (6ème4)'!BB8:BD8,"D"))*1))/(COUNTA(BB8:BD8)),"")</f>
        <v/>
      </c>
      <c r="BF8" s="109" t="str">
        <f t="shared" si="12"/>
        <v/>
      </c>
      <c r="BG8" s="81"/>
      <c r="BH8" s="82"/>
      <c r="BI8" s="83"/>
      <c r="BJ8" s="108" t="str">
        <f>IFERROR((((COUNTIF('Elève (6ème4)'!BG8:BI8,"A"))*4)+((COUNTIF('Elève (6ème4)'!BG8:BI8,"B"))*3)+((COUNTIF('Elève (6ème4)'!BG8:BI8,"C"))*2)+((COUNTIF('Elève (6ème4)'!BG8:BI8,"D"))*1))/(COUNTA(BG8:BI8)),"")</f>
        <v/>
      </c>
      <c r="BK8" s="109" t="str">
        <f t="shared" si="13"/>
        <v/>
      </c>
      <c r="BL8" s="81"/>
      <c r="BM8" s="82"/>
      <c r="BN8" s="83"/>
      <c r="BO8" s="108" t="str">
        <f>IFERROR((((COUNTIF('Elève (6ème4)'!BL8:BN8,"A"))*4)+((COUNTIF('Elève (6ème4)'!BL8:BN8,"B"))*3)+((COUNTIF('Elève (6ème4)'!BL8:BN8,"C"))*2)+((COUNTIF('Elève (6ème4)'!BL8:BN8,"D"))*1))/(COUNTA(BL8:BN8)),"")</f>
        <v/>
      </c>
      <c r="BP8" s="109" t="str">
        <f t="shared" si="14"/>
        <v/>
      </c>
      <c r="BQ8" s="178" t="str">
        <f>IF(COUNT(BE8,BJ8,BO8)=0,"",SUM(BE8,BJ8,BO8)/COUNT(BE8,BJ8,BO8))</f>
        <v/>
      </c>
      <c r="BR8" s="131" t="str">
        <f t="shared" si="15"/>
        <v/>
      </c>
      <c r="BS8" s="156" t="s">
        <v>24</v>
      </c>
      <c r="BT8" s="157"/>
      <c r="BU8" s="158"/>
      <c r="BV8" s="108">
        <f>IFERROR((((COUNTIF('Elève (6ème4)'!BS8:BU8,"A"))*4)+((COUNTIF('Elève (6ème4)'!BS8:BU8,"B"))*3)+((COUNTIF('Elève (6ème4)'!BS8:BU8,"C"))*2)+((COUNTIF('Elève (6ème4)'!BS8:BU8,"D"))*1))/(COUNTA(BS8:BU8)),"")</f>
        <v>4</v>
      </c>
      <c r="BW8" s="109" t="str">
        <f t="shared" si="16"/>
        <v>A</v>
      </c>
      <c r="BX8" s="81"/>
      <c r="BY8" s="82"/>
      <c r="BZ8" s="83"/>
      <c r="CA8" s="108" t="str">
        <f>IFERROR((((COUNTIF('Elève (6ème4)'!BX8:BZ8,"A"))*4)+((COUNTIF('Elève (6ème4)'!BX8:BZ8,"B"))*3)+((COUNTIF('Elève (6ème4)'!BX8:BZ8,"C"))*2)+((COUNTIF('Elève (6ème4)'!BX8:BZ8,"D"))*1))/(COUNTA(BX8:BZ8)),"")</f>
        <v/>
      </c>
      <c r="CB8" s="109" t="str">
        <f t="shared" si="17"/>
        <v/>
      </c>
      <c r="CC8" s="81"/>
      <c r="CD8" s="82"/>
      <c r="CE8" s="83"/>
      <c r="CF8" s="108" t="str">
        <f>IFERROR((((COUNTIF('Elève (6ème4)'!CC8:CE8,"A"))*4)+((COUNTIF('Elève (6ème4)'!CC8:CE8,"B"))*3)+((COUNTIF('Elève (6ème4)'!CC8:CE8,"C"))*2)+((COUNTIF('Elève (6ème4)'!CC8:CE8,"D"))*1))/(COUNTA(CC8:CE8)),"")</f>
        <v/>
      </c>
      <c r="CG8" s="109" t="str">
        <f t="shared" si="18"/>
        <v/>
      </c>
      <c r="CH8" s="178">
        <f>IF(COUNT(BV8,CA8,CF8)=0,"",SUM(BV8,CA8,CF8)/COUNT(BV8,CA8,CF8))</f>
        <v>4</v>
      </c>
      <c r="CI8" s="131" t="str">
        <f t="shared" si="19"/>
        <v>A</v>
      </c>
      <c r="CJ8" s="156"/>
      <c r="CK8" s="157"/>
      <c r="CL8" s="158"/>
      <c r="CM8" s="108" t="str">
        <f>IFERROR((((COUNTIF('Elève (6ème4)'!CJ8:CL8,"A"))*4)+((COUNTIF('Elève (6ème4)'!CJ8:CL8,"B"))*3)+((COUNTIF('Elève (6ème4)'!CJ8:CL8,"C"))*2)+((COUNTIF('Elève (6ème4)'!CJ8:CL8,"D"))*1))/(COUNTA(CJ8:CL8)),"")</f>
        <v/>
      </c>
      <c r="CN8" s="109" t="str">
        <f t="shared" si="20"/>
        <v/>
      </c>
      <c r="CO8" s="81"/>
      <c r="CP8" s="82"/>
      <c r="CQ8" s="83"/>
      <c r="CR8" s="108" t="str">
        <f>IFERROR((((COUNTIF('Elève (6ème4)'!CO8:CQ8,"A"))*4)+((COUNTIF('Elève (6ème4)'!CO8:CQ8,"B"))*3)+((COUNTIF('Elève (6ème4)'!CO8:CQ8,"C"))*2)+((COUNTIF('Elève (6ème4)'!CO8:CQ8,"D"))*1))/(COUNTA(CO8:CQ8)),"")</f>
        <v/>
      </c>
      <c r="CS8" s="109" t="str">
        <f t="shared" si="21"/>
        <v/>
      </c>
      <c r="CT8" s="81"/>
      <c r="CU8" s="82"/>
      <c r="CV8" s="83"/>
      <c r="CW8" s="108" t="str">
        <f>IFERROR((((COUNTIF('Elève (6ème4)'!CT8:CV8,"A"))*4)+((COUNTIF('Elève (6ème4)'!CT8:CV8,"B"))*3)+((COUNTIF('Elève (6ème4)'!CT8:CV8,"C"))*2)+((COUNTIF('Elève (6ème4)'!CT8:CV8,"D"))*1))/(COUNTA(CT8:CV8)),"")</f>
        <v/>
      </c>
      <c r="CX8" s="109" t="str">
        <f t="shared" si="22"/>
        <v/>
      </c>
      <c r="CY8" s="178" t="str">
        <f>IF(COUNT(CM8,CR8,CW8)=0,"",SUM(CM8,CR8,CW8)/COUNT(CM8,CR8,CW8))</f>
        <v/>
      </c>
      <c r="CZ8" s="131" t="str">
        <f t="shared" si="23"/>
        <v/>
      </c>
      <c r="DA8" s="156"/>
      <c r="DB8" s="157"/>
      <c r="DC8" s="158"/>
      <c r="DD8" s="108" t="str">
        <f>IFERROR((((COUNTIF('Elève (6ème4)'!DA8:DC8,"A"))*4)+((COUNTIF('Elève (6ème4)'!DA8:DC8,"B"))*3)+((COUNTIF('Elève (6ème4)'!DA8:DC8,"C"))*2)+((COUNTIF('Elève (6ème4)'!DA8:DC8,"D"))*1))/(COUNTA(DA8:DC8)),"")</f>
        <v/>
      </c>
      <c r="DE8" s="109" t="str">
        <f t="shared" si="24"/>
        <v/>
      </c>
      <c r="DF8" s="81"/>
      <c r="DG8" s="82"/>
      <c r="DH8" s="83"/>
      <c r="DI8" s="108" t="str">
        <f>IFERROR((((COUNTIF('Elève (6ème4)'!DF8:DH8,"A"))*4)+((COUNTIF('Elève (6ème4)'!DF8:DH8,"B"))*3)+((COUNTIF('Elève (6ème4)'!DF8:DH8,"C"))*2)+((COUNTIF('Elève (6ème4)'!DF8:DH8,"D"))*1))/(COUNTA(DF8:DH8)),"")</f>
        <v/>
      </c>
      <c r="DJ8" s="109" t="str">
        <f t="shared" si="25"/>
        <v/>
      </c>
      <c r="DK8" s="81"/>
      <c r="DL8" s="82"/>
      <c r="DM8" s="83"/>
      <c r="DN8" s="108" t="str">
        <f>IFERROR((((COUNTIF('Elève (6ème4)'!DK8:DM8,"A"))*4)+((COUNTIF('Elève (6ème4)'!DK8:DM8,"B"))*3)+((COUNTIF('Elève (6ème4)'!DK8:DM8,"C"))*2)+((COUNTIF('Elève (6ème4)'!DK8:DM8,"D"))*1))/(COUNTA(DK8:DM8)),"")</f>
        <v/>
      </c>
      <c r="DO8" s="109" t="str">
        <f t="shared" si="26"/>
        <v/>
      </c>
      <c r="DP8" s="178" t="str">
        <f>IF(COUNT(DD8,DI8,DN8)=0,"",SUM(DD8,DI8,DN8)/COUNT(DD8,DI8,DN8))</f>
        <v/>
      </c>
      <c r="DQ8" s="131" t="str">
        <f t="shared" si="27"/>
        <v/>
      </c>
      <c r="DR8" s="156" t="s">
        <v>24</v>
      </c>
      <c r="DS8" s="157"/>
      <c r="DT8" s="158"/>
      <c r="DU8" s="108">
        <f>IFERROR((((COUNTIF('Elève (6ème4)'!DR8:DT8,"A"))*4)+((COUNTIF('Elève (6ème4)'!DR8:DT8,"B"))*3)+((COUNTIF('Elève (6ème4)'!DR8:DT8,"C"))*2)+((COUNTIF('Elève (6ème4)'!DR8:DT8,"D"))*1))/(COUNTA(DR8:DT8)),"")</f>
        <v>4</v>
      </c>
      <c r="DV8" s="109" t="str">
        <f t="shared" si="28"/>
        <v>A</v>
      </c>
      <c r="DW8" s="81"/>
      <c r="DX8" s="82"/>
      <c r="DY8" s="83"/>
      <c r="DZ8" s="108" t="str">
        <f>IFERROR((((COUNTIF('Elève (6ème4)'!DW8:DY8,"A"))*4)+((COUNTIF('Elève (6ème4)'!DW8:DY8,"B"))*3)+((COUNTIF('Elève (6ème4)'!DW8:DY8,"C"))*2)+((COUNTIF('Elève (6ème4)'!DW8:DY8,"D"))*1))/(COUNTA(DW8:DY8)),"")</f>
        <v/>
      </c>
      <c r="EA8" s="109" t="str">
        <f t="shared" si="29"/>
        <v/>
      </c>
      <c r="EB8" s="81"/>
      <c r="EC8" s="82"/>
      <c r="ED8" s="83"/>
      <c r="EE8" s="108" t="str">
        <f>IFERROR((((COUNTIF('Elève (6ème4)'!EB8:ED8,"A"))*4)+((COUNTIF('Elève (6ème4)'!EB8:ED8,"B"))*3)+((COUNTIF('Elève (6ème4)'!EB8:ED8,"C"))*2)+((COUNTIF('Elève (6ème4)'!EB8:ED8,"D"))*1))/(COUNTA(EB8:ED8)),"")</f>
        <v/>
      </c>
      <c r="EF8" s="109" t="str">
        <f t="shared" si="30"/>
        <v/>
      </c>
      <c r="EG8" s="178">
        <f>IF(COUNT(DU8,DZ8,EE8)=0,"",SUM(DU8,DZ8,EE8)/COUNT(DU8,DZ8,EE8))</f>
        <v>4</v>
      </c>
      <c r="EH8" s="131" t="str">
        <f t="shared" si="31"/>
        <v>A</v>
      </c>
      <c r="EI8" s="156" t="s">
        <v>24</v>
      </c>
      <c r="EJ8" s="157"/>
      <c r="EK8" s="158"/>
      <c r="EL8" s="108">
        <f>IFERROR((((COUNTIF('Elève (6ème4)'!EI8:EK8,"A"))*4)+((COUNTIF('Elève (6ème4)'!EI8:EK8,"B"))*3)+((COUNTIF('Elève (6ème4)'!EI8:EK8,"C"))*2)+((COUNTIF('Elève (6ème4)'!EI8:EK8,"D"))*1))/(COUNTA(EI8:EK8)),"")</f>
        <v>4</v>
      </c>
      <c r="EM8" s="109" t="str">
        <f t="shared" si="32"/>
        <v>A</v>
      </c>
      <c r="EN8" s="81"/>
      <c r="EO8" s="82"/>
      <c r="EP8" s="83"/>
      <c r="EQ8" s="108" t="str">
        <f>IFERROR((((COUNTIF('Elève (6ème4)'!EN8:EP8,"A"))*4)+((COUNTIF('Elève (6ème4)'!EN8:EP8,"B"))*3)+((COUNTIF('Elève (6ème4)'!EN8:EP8,"C"))*2)+((COUNTIF('Elève (6ème4)'!EN8:EP8,"D"))*1))/(COUNTA(EN8:EP8)),"")</f>
        <v/>
      </c>
      <c r="ER8" s="109" t="str">
        <f t="shared" si="33"/>
        <v/>
      </c>
      <c r="ES8" s="81"/>
      <c r="ET8" s="82"/>
      <c r="EU8" s="83"/>
      <c r="EV8" s="108" t="str">
        <f>IFERROR((((COUNTIF('Elève (6ème4)'!ES8:EU8,"A"))*4)+((COUNTIF('Elève (6ème4)'!ES8:EU8,"B"))*3)+((COUNTIF('Elève (6ème4)'!ES8:EU8,"C"))*2)+((COUNTIF('Elève (6ème4)'!ES8:EU8,"D"))*1))/(COUNTA(ES8:EU8)),"")</f>
        <v/>
      </c>
      <c r="EW8" s="109" t="str">
        <f t="shared" si="34"/>
        <v/>
      </c>
      <c r="EX8" s="178">
        <f>IF(COUNT(EL8,EQ8,EV8)=0,"",SUM(EL8,EQ8,EV8)/COUNT(EL8,EQ8,EV8))</f>
        <v>4</v>
      </c>
      <c r="EY8" s="131" t="str">
        <f t="shared" si="35"/>
        <v>A</v>
      </c>
      <c r="EZ8" s="156" t="s">
        <v>25</v>
      </c>
      <c r="FA8" s="157"/>
      <c r="FB8" s="158"/>
      <c r="FC8" s="108">
        <f>IFERROR((((COUNTIF('Elève (6ème4)'!EZ8:FB8,"A"))*4)+((COUNTIF('Elève (6ème4)'!EZ8:FB8,"B"))*3)+((COUNTIF('Elève (6ème4)'!EZ8:FB8,"C"))*2)+((COUNTIF('Elève (6ème4)'!EZ8:FB8,"D"))*1))/(COUNTA(EZ8:FB8)),"")</f>
        <v>3</v>
      </c>
      <c r="FD8" s="109" t="str">
        <f t="shared" si="36"/>
        <v>B</v>
      </c>
      <c r="FE8" s="81"/>
      <c r="FF8" s="82"/>
      <c r="FG8" s="83"/>
      <c r="FH8" s="108" t="str">
        <f>IFERROR((((COUNTIF('Elève (6ème4)'!FE8:FG8,"A"))*4)+((COUNTIF('Elève (6ème4)'!FE8:FG8,"B"))*3)+((COUNTIF('Elève (6ème4)'!FE8:FG8,"C"))*2)+((COUNTIF('Elève (6ème4)'!FE8:FG8,"D"))*1))/(COUNTA(FE8:FG8)),"")</f>
        <v/>
      </c>
      <c r="FI8" s="109" t="str">
        <f t="shared" si="37"/>
        <v/>
      </c>
      <c r="FJ8" s="81"/>
      <c r="FK8" s="82"/>
      <c r="FL8" s="83"/>
      <c r="FM8" s="108" t="str">
        <f>IFERROR((((COUNTIF('Elève (6ème4)'!FJ8:FL8,"A"))*4)+((COUNTIF('Elève (6ème4)'!FJ8:FL8,"B"))*3)+((COUNTIF('Elève (6ème4)'!FJ8:FL8,"C"))*2)+((COUNTIF('Elève (6ème4)'!FJ8:FL8,"D"))*1))/(COUNTA(FJ8:FL8)),"")</f>
        <v/>
      </c>
      <c r="FN8" s="109" t="str">
        <f t="shared" si="38"/>
        <v/>
      </c>
      <c r="FO8" s="178">
        <f>IF(COUNT(FC8,FH8,FM8)=0,"",SUM(FC8,FH8,FM8)/COUNT(FC8,FH8,FM8))</f>
        <v>3</v>
      </c>
      <c r="FP8" s="131" t="str">
        <f t="shared" si="39"/>
        <v>B</v>
      </c>
      <c r="FQ8" s="156" t="s">
        <v>25</v>
      </c>
      <c r="FR8" s="157"/>
      <c r="FS8" s="158"/>
      <c r="FT8" s="108">
        <f>IFERROR((((COUNTIF('Elève (6ème4)'!FQ8:FS8,"A"))*4)+((COUNTIF('Elève (6ème4)'!FQ8:FS8,"B"))*3)+((COUNTIF('Elève (6ème4)'!FQ8:FS8,"C"))*2)+((COUNTIF('Elève (6ème4)'!FQ8:FS8,"D"))*1))/(COUNTA(FQ8:FS8)),"")</f>
        <v>3</v>
      </c>
      <c r="FU8" s="109" t="str">
        <f t="shared" si="40"/>
        <v>B</v>
      </c>
      <c r="FV8" s="81"/>
      <c r="FW8" s="82"/>
      <c r="FX8" s="83"/>
      <c r="FY8" s="108" t="str">
        <f>IFERROR((((COUNTIF('Elève (6ème4)'!FV8:FX8,"A"))*4)+((COUNTIF('Elève (6ème4)'!FV8:FX8,"B"))*3)+((COUNTIF('Elève (6ème4)'!FV8:FX8,"C"))*2)+((COUNTIF('Elève (6ème4)'!FV8:FX8,"D"))*1))/(COUNTA(FV8:FX8)),"")</f>
        <v/>
      </c>
      <c r="FZ8" s="109" t="str">
        <f t="shared" si="41"/>
        <v/>
      </c>
      <c r="GA8" s="81"/>
      <c r="GB8" s="82"/>
      <c r="GC8" s="83"/>
      <c r="GD8" s="108" t="str">
        <f>IFERROR((((COUNTIF('Elève (6ème4)'!GA8:GC8,"A"))*4)+((COUNTIF('Elève (6ème4)'!GA8:GC8,"B"))*3)+((COUNTIF('Elève (6ème4)'!GA8:GC8,"C"))*2)+((COUNTIF('Elève (6ème4)'!GA8:GC8,"D"))*1))/(COUNTA(GA8:GC8)),"")</f>
        <v/>
      </c>
      <c r="GE8" s="109" t="str">
        <f t="shared" si="42"/>
        <v/>
      </c>
      <c r="GF8" s="178">
        <f>IF(COUNT(FT8,FY8,GD8)=0,"",SUM(FT8,FY8,GD8)/COUNT(FT8,FY8,GD8))</f>
        <v>3</v>
      </c>
      <c r="GG8" s="131" t="str">
        <f t="shared" si="43"/>
        <v>B</v>
      </c>
      <c r="GH8" s="156" t="s">
        <v>24</v>
      </c>
      <c r="GI8" s="157"/>
      <c r="GJ8" s="158"/>
      <c r="GK8" s="108">
        <f>IFERROR((((COUNTIF('Elève (6ème4)'!GH8:GJ8,"A"))*4)+((COUNTIF('Elève (6ème4)'!GH8:GJ8,"B"))*3)+((COUNTIF('Elève (6ème4)'!GH8:GJ8,"C"))*2)+((COUNTIF('Elève (6ème4)'!GH8:GJ8,"D"))*1))/(COUNTA(GH8:GJ8)),"")</f>
        <v>4</v>
      </c>
      <c r="GL8" s="109" t="str">
        <f t="shared" si="44"/>
        <v>A</v>
      </c>
      <c r="GM8" s="81"/>
      <c r="GN8" s="82"/>
      <c r="GO8" s="83"/>
      <c r="GP8" s="108" t="str">
        <f>IFERROR((((COUNTIF('Elève (6ème4)'!GM8:GO8,"A"))*4)+((COUNTIF('Elève (6ème4)'!GM8:GO8,"B"))*3)+((COUNTIF('Elève (6ème4)'!GM8:GO8,"C"))*2)+((COUNTIF('Elève (6ème4)'!GM8:GO8,"D"))*1))/(COUNTA(GM8:GO8)),"")</f>
        <v/>
      </c>
      <c r="GQ8" s="109" t="str">
        <f t="shared" si="45"/>
        <v/>
      </c>
      <c r="GR8" s="81"/>
      <c r="GS8" s="82"/>
      <c r="GT8" s="83"/>
      <c r="GU8" s="108" t="str">
        <f>IFERROR((((COUNTIF('Elève (6ème4)'!GR8:GT8,"A"))*4)+((COUNTIF('Elève (6ème4)'!GR8:GT8,"B"))*3)+((COUNTIF('Elève (6ème4)'!GR8:GT8,"C"))*2)+((COUNTIF('Elève (6ème4)'!GR8:GT8,"D"))*1))/(COUNTA(GR8:GT8)),"")</f>
        <v/>
      </c>
      <c r="GV8" s="109" t="str">
        <f t="shared" si="46"/>
        <v/>
      </c>
      <c r="GW8" s="178">
        <f>IF(COUNT(GK8,GP8,GU8)=0,"",SUM(GK8,GP8,GU8)/COUNT(GK8,GP8,GU8))</f>
        <v>4</v>
      </c>
      <c r="GX8" s="131" t="str">
        <f t="shared" si="47"/>
        <v>A</v>
      </c>
      <c r="GY8" s="156" t="s">
        <v>25</v>
      </c>
      <c r="GZ8" s="157"/>
      <c r="HA8" s="158"/>
      <c r="HB8" s="108">
        <f>IFERROR((((COUNTIF('Elève (6ème4)'!GY8:HA8,"A"))*4)+((COUNTIF('Elève (6ème4)'!GY8:HA8,"B"))*3)+((COUNTIF('Elève (6ème4)'!GY8:HA8,"C"))*2)+((COUNTIF('Elève (6ème4)'!GY8:HA8,"D"))*1))/(COUNTA(GY8:HA8)),"")</f>
        <v>3</v>
      </c>
      <c r="HC8" s="109" t="str">
        <f t="shared" si="48"/>
        <v>B</v>
      </c>
      <c r="HD8" s="81"/>
      <c r="HE8" s="82"/>
      <c r="HF8" s="83"/>
      <c r="HG8" s="108" t="str">
        <f>IFERROR((((COUNTIF('Elève (6ème4)'!HD8:HF8,"A"))*4)+((COUNTIF('Elève (6ème4)'!HD8:HF8,"B"))*3)+((COUNTIF('Elève (6ème4)'!HD8:HF8,"C"))*2)+((COUNTIF('Elève (6ème4)'!HD8:HF8,"D"))*1))/(COUNTA(HD8:HF8)),"")</f>
        <v/>
      </c>
      <c r="HH8" s="109" t="str">
        <f t="shared" si="49"/>
        <v/>
      </c>
      <c r="HI8" s="81"/>
      <c r="HJ8" s="82"/>
      <c r="HK8" s="83"/>
      <c r="HL8" s="108" t="str">
        <f>IFERROR((((COUNTIF('Elève (6ème4)'!HI8:HK8,"A"))*4)+((COUNTIF('Elève (6ème4)'!HI8:HK8,"B"))*3)+((COUNTIF('Elève (6ème4)'!HI8:HK8,"C"))*2)+((COUNTIF('Elève (6ème4)'!HI8:HK8,"D"))*1))/(COUNTA(HI8:HK8)),"")</f>
        <v/>
      </c>
      <c r="HM8" s="109" t="str">
        <f t="shared" si="50"/>
        <v/>
      </c>
      <c r="HN8" s="178">
        <f>IF(COUNT(HB8,HG8,HL8)=0,"",SUM(HB8,HG8,HL8)/COUNT(HB8,HG8,HL8))</f>
        <v>3</v>
      </c>
      <c r="HO8" s="131" t="str">
        <f t="shared" si="51"/>
        <v>B</v>
      </c>
      <c r="HP8" s="156"/>
      <c r="HQ8" s="157"/>
      <c r="HR8" s="158"/>
      <c r="HS8" s="108" t="str">
        <f>IFERROR((((COUNTIF('Elève (6ème4)'!HP8:HR8,"A"))*4)+((COUNTIF('Elève (6ème4)'!HP8:HR8,"B"))*3)+((COUNTIF('Elève (6ème4)'!HP8:HR8,"C"))*2)+((COUNTIF('Elève (6ème4)'!HP8:HR8,"D"))*1))/(COUNTA(HP8:HR8)),"")</f>
        <v/>
      </c>
      <c r="HT8" s="109" t="str">
        <f t="shared" si="52"/>
        <v/>
      </c>
      <c r="HU8" s="81"/>
      <c r="HV8" s="82"/>
      <c r="HW8" s="83"/>
      <c r="HX8" s="108" t="str">
        <f>IFERROR((((COUNTIF('Elève (6ème4)'!HU8:HW8,"A"))*4)+((COUNTIF('Elève (6ème4)'!HU8:HW8,"B"))*3)+((COUNTIF('Elève (6ème4)'!HU8:HW8,"C"))*2)+((COUNTIF('Elève (6ème4)'!HU8:HW8,"D"))*1))/(COUNTA(HU8:HW8)),"")</f>
        <v/>
      </c>
      <c r="HY8" s="109" t="str">
        <f t="shared" si="53"/>
        <v/>
      </c>
      <c r="HZ8" s="81"/>
      <c r="IA8" s="82"/>
      <c r="IB8" s="83"/>
      <c r="IC8" s="108" t="str">
        <f>IFERROR((((COUNTIF('Elève (6ème4)'!HZ8:IB8,"A"))*4)+((COUNTIF('Elève (6ème4)'!HZ8:IB8,"B"))*3)+((COUNTIF('Elève (6ème4)'!HZ8:IB8,"C"))*2)+((COUNTIF('Elève (6ème4)'!HZ8:IB8,"D"))*1))/(COUNTA(HZ8:IB8)),"")</f>
        <v/>
      </c>
      <c r="ID8" s="109" t="str">
        <f t="shared" si="54"/>
        <v/>
      </c>
      <c r="IE8" s="178" t="str">
        <f>IF(COUNT(HS8,HX8,IC8)=0,"",SUM(HS8,HX8,IC8)/COUNT(HS8,HX8,IC8))</f>
        <v/>
      </c>
      <c r="IF8" s="131" t="str">
        <f t="shared" si="55"/>
        <v/>
      </c>
      <c r="IG8" s="156" t="s">
        <v>24</v>
      </c>
      <c r="IH8" s="157"/>
      <c r="II8" s="158"/>
      <c r="IJ8" s="108">
        <f>IFERROR((((COUNTIF('Elève (6ème4)'!IG8:II8,"A"))*4)+((COUNTIF('Elève (6ème4)'!IG8:II8,"B"))*3)+((COUNTIF('Elève (6ème4)'!IG8:II8,"C"))*2)+((COUNTIF('Elève (6ème4)'!IG8:II8,"D"))*1))/(COUNTA(IG8:II8)),"")</f>
        <v>4</v>
      </c>
      <c r="IK8" s="109" t="str">
        <f t="shared" si="56"/>
        <v>A</v>
      </c>
      <c r="IL8" s="81"/>
      <c r="IM8" s="82"/>
      <c r="IN8" s="83"/>
      <c r="IO8" s="108" t="str">
        <f>IFERROR((((COUNTIF('Elève (6ème4)'!IL8:IN8,"A"))*4)+((COUNTIF('Elève (6ème4)'!IL8:IN8,"B"))*3)+((COUNTIF('Elève (6ème4)'!IL8:IN8,"C"))*2)+((COUNTIF('Elève (6ème4)'!IL8:IN8,"D"))*1))/(COUNTA(IL8:IN8)),"")</f>
        <v/>
      </c>
      <c r="IP8" s="109" t="str">
        <f t="shared" si="57"/>
        <v/>
      </c>
      <c r="IQ8" s="81"/>
      <c r="IR8" s="82"/>
      <c r="IS8" s="83"/>
      <c r="IT8" s="108" t="str">
        <f>IFERROR((((COUNTIF('Elève (6ème4)'!IQ8:IS8,"A"))*4)+((COUNTIF('Elève (6ème4)'!IQ8:IS8,"B"))*3)+((COUNTIF('Elève (6ème4)'!IQ8:IS8,"C"))*2)+((COUNTIF('Elève (6ème4)'!IQ8:IS8,"D"))*1))/(COUNTA(IQ8:IS8)),"")</f>
        <v/>
      </c>
      <c r="IU8" s="109" t="str">
        <f t="shared" si="58"/>
        <v/>
      </c>
      <c r="IV8" s="178">
        <f>IF(COUNT(IJ8,IO8,IT8)=0,"",SUM(IJ8,IO8,IT8)/COUNT(IJ8,IO8,IT8))</f>
        <v>4</v>
      </c>
      <c r="IW8" s="131" t="str">
        <f t="shared" si="59"/>
        <v>A</v>
      </c>
      <c r="IX8" s="156" t="s">
        <v>24</v>
      </c>
      <c r="IY8" s="157"/>
      <c r="IZ8" s="158"/>
      <c r="JA8" s="108">
        <f>IFERROR((((COUNTIF('Elève (6ème4)'!IX8:IZ8,"A"))*4)+((COUNTIF('Elève (6ème4)'!IX8:IZ8,"B"))*3)+((COUNTIF('Elève (6ème4)'!IX8:IZ8,"C"))*2)+((COUNTIF('Elève (6ème4)'!IX8:IZ8,"D"))*1))/(COUNTA(IX8:IZ8)),"")</f>
        <v>4</v>
      </c>
      <c r="JB8" s="109" t="str">
        <f t="shared" si="60"/>
        <v>A</v>
      </c>
      <c r="JC8" s="81"/>
      <c r="JD8" s="82"/>
      <c r="JE8" s="83"/>
      <c r="JF8" s="108" t="str">
        <f>IFERROR((((COUNTIF('Elève (6ème4)'!JC8:JE8,"A"))*4)+((COUNTIF('Elève (6ème4)'!JC8:JE8,"B"))*3)+((COUNTIF('Elève (6ème4)'!JC8:JE8,"C"))*2)+((COUNTIF('Elève (6ème4)'!JC8:JE8,"D"))*1))/(COUNTA(JC8:JE8)),"")</f>
        <v/>
      </c>
      <c r="JG8" s="109" t="str">
        <f t="shared" si="61"/>
        <v/>
      </c>
      <c r="JH8" s="81"/>
      <c r="JI8" s="82"/>
      <c r="JJ8" s="83"/>
      <c r="JK8" s="108" t="str">
        <f>IFERROR((((COUNTIF('Elève (6ème4)'!JH8:JJ8,"A"))*4)+((COUNTIF('Elève (6ème4)'!JH8:JJ8,"B"))*3)+((COUNTIF('Elève (6ème4)'!JH8:JJ8,"C"))*2)+((COUNTIF('Elève (6ème4)'!JH8:JJ8,"D"))*1))/(COUNTA(JH8:JJ8)),"")</f>
        <v/>
      </c>
      <c r="JL8" s="109" t="str">
        <f t="shared" si="62"/>
        <v/>
      </c>
      <c r="JM8" s="178">
        <f>IF(COUNT(JA8,JF8,JK8)=0,"",SUM(JA8,JF8,JK8)/COUNT(JA8,JF8,JK8))</f>
        <v>4</v>
      </c>
      <c r="JN8" s="131" t="str">
        <f t="shared" si="63"/>
        <v>A</v>
      </c>
      <c r="JO8" s="156" t="s">
        <v>24</v>
      </c>
      <c r="JP8" s="157"/>
      <c r="JQ8" s="158"/>
      <c r="JR8" s="108">
        <f>IFERROR((((COUNTIF('Elève (6ème4)'!JO8:JQ8,"A"))*4)+((COUNTIF('Elève (6ème4)'!JO8:JQ8,"B"))*3)+((COUNTIF('Elève (6ème4)'!JO8:JQ8,"C"))*2)+((COUNTIF('Elève (6ème4)'!JO8:JQ8,"D"))*1))/(COUNTA(JO8:JQ8)),"")</f>
        <v>4</v>
      </c>
      <c r="JS8" s="109" t="str">
        <f t="shared" si="64"/>
        <v>A</v>
      </c>
      <c r="JT8" s="81"/>
      <c r="JU8" s="82"/>
      <c r="JV8" s="83"/>
      <c r="JW8" s="108" t="str">
        <f>IFERROR((((COUNTIF('Elève (6ème4)'!JT8:JV8,"A"))*4)+((COUNTIF('Elève (6ème4)'!JT8:JV8,"B"))*3)+((COUNTIF('Elève (6ème4)'!JT8:JV8,"C"))*2)+((COUNTIF('Elève (6ème4)'!JT8:JV8,"D"))*1))/(COUNTA(JT8:JV8)),"")</f>
        <v/>
      </c>
      <c r="JX8" s="109" t="str">
        <f t="shared" si="65"/>
        <v/>
      </c>
      <c r="JY8" s="81"/>
      <c r="JZ8" s="82"/>
      <c r="KA8" s="83"/>
      <c r="KB8" s="108" t="str">
        <f>IFERROR((((COUNTIF('Elève (6ème4)'!JY8:KA8,"A"))*4)+((COUNTIF('Elève (6ème4)'!JY8:KA8,"B"))*3)+((COUNTIF('Elève (6ème4)'!JY8:KA8,"C"))*2)+((COUNTIF('Elève (6ème4)'!JY8:KA8,"D"))*1))/(COUNTA(JY8:KA8)),"")</f>
        <v/>
      </c>
      <c r="KC8" s="109" t="str">
        <f t="shared" si="66"/>
        <v/>
      </c>
      <c r="KD8" s="178">
        <f>IF(COUNT(JR8,JW8,KB8)=0,"",SUM(JR8,JW8,KB8)/COUNT(JR8,JW8,KB8))</f>
        <v>4</v>
      </c>
      <c r="KE8" s="131" t="str">
        <f t="shared" si="67"/>
        <v>A</v>
      </c>
      <c r="KF8" s="156" t="s">
        <v>24</v>
      </c>
      <c r="KG8" s="157"/>
      <c r="KH8" s="158"/>
      <c r="KI8" s="108">
        <f>IFERROR((((COUNTIF('Elève (6ème4)'!KF8:KH8,"A"))*4)+((COUNTIF('Elève (6ème4)'!KF8:KH8,"B"))*3)+((COUNTIF('Elève (6ème4)'!KF8:KH8,"C"))*2)+((COUNTIF('Elève (6ème4)'!KF8:KH8,"D"))*1))/(COUNTA(KF8:KH8)),"")</f>
        <v>4</v>
      </c>
      <c r="KJ8" s="109" t="str">
        <f t="shared" si="68"/>
        <v>A</v>
      </c>
      <c r="KK8" s="81"/>
      <c r="KL8" s="82"/>
      <c r="KM8" s="83"/>
      <c r="KN8" s="108" t="str">
        <f>IFERROR((((COUNTIF('Elève (6ème4)'!KK8:KM8,"A"))*4)+((COUNTIF('Elève (6ème4)'!KK8:KM8,"B"))*3)+((COUNTIF('Elève (6ème4)'!KK8:KM8,"C"))*2)+((COUNTIF('Elève (6ème4)'!KK8:KM8,"D"))*1))/(COUNTA(KK8:KM8)),"")</f>
        <v/>
      </c>
      <c r="KO8" s="109" t="str">
        <f t="shared" si="69"/>
        <v/>
      </c>
      <c r="KP8" s="81"/>
      <c r="KQ8" s="82"/>
      <c r="KR8" s="83"/>
      <c r="KS8" s="108" t="str">
        <f>IFERROR((((COUNTIF('Elève (6ème4)'!KP8:KR8,"A"))*4)+((COUNTIF('Elève (6ème4)'!KP8:KR8,"B"))*3)+((COUNTIF('Elève (6ème4)'!KP8:KR8,"C"))*2)+((COUNTIF('Elève (6ème4)'!KP8:KR8,"D"))*1))/(COUNTA(KP8:KR8)),"")</f>
        <v/>
      </c>
      <c r="KT8" s="109" t="str">
        <f t="shared" si="70"/>
        <v/>
      </c>
      <c r="KU8" s="178">
        <f>IF(COUNT(KI8,KN8,KS8)=0,"",SUM(KI8,KN8,KS8)/COUNT(KI8,KN8,KS8))</f>
        <v>4</v>
      </c>
      <c r="KV8" s="131" t="str">
        <f t="shared" si="71"/>
        <v>A</v>
      </c>
      <c r="KW8" s="156" t="s">
        <v>25</v>
      </c>
      <c r="KX8" s="157"/>
      <c r="KY8" s="158"/>
      <c r="KZ8" s="108">
        <f>IFERROR((((COUNTIF('Elève (6ème4)'!KW8:KY8,"A"))*4)+((COUNTIF('Elève (6ème4)'!KW8:KY8,"B"))*3)+((COUNTIF('Elève (6ème4)'!KW8:KY8,"C"))*2)+((COUNTIF('Elève (6ème4)'!KW8:KY8,"D"))*1))/(COUNTA(KW8:KY8)),"")</f>
        <v>3</v>
      </c>
      <c r="LA8" s="109" t="str">
        <f t="shared" si="72"/>
        <v>B</v>
      </c>
      <c r="LB8" s="81"/>
      <c r="LC8" s="82"/>
      <c r="LD8" s="83"/>
      <c r="LE8" s="108" t="str">
        <f>IFERROR((((COUNTIF('Elève (6ème4)'!LB8:LD8,"A"))*4)+((COUNTIF('Elève (6ème4)'!LB8:LD8,"B"))*3)+((COUNTIF('Elève (6ème4)'!LB8:LD8,"C"))*2)+((COUNTIF('Elève (6ème4)'!LB8:LD8,"D"))*1))/(COUNTA(LB8:LD8)),"")</f>
        <v/>
      </c>
      <c r="LF8" s="109" t="str">
        <f t="shared" si="73"/>
        <v/>
      </c>
      <c r="LG8" s="81"/>
      <c r="LH8" s="82"/>
      <c r="LI8" s="83"/>
      <c r="LJ8" s="108" t="str">
        <f>IFERROR((((COUNTIF('Elève (6ème4)'!LG8:LI8,"A"))*4)+((COUNTIF('Elève (6ème4)'!LG8:LI8,"B"))*3)+((COUNTIF('Elève (6ème4)'!LG8:LI8,"C"))*2)+((COUNTIF('Elève (6ème4)'!LG8:LI8,"D"))*1))/(COUNTA(LG8:LI8)),"")</f>
        <v/>
      </c>
      <c r="LK8" s="109" t="str">
        <f t="shared" si="74"/>
        <v/>
      </c>
      <c r="LL8" s="178">
        <f>IF(COUNT(KZ8,LE8,LJ8)=0,"",SUM(KZ8,LE8,LJ8)/COUNT(KZ8,LE8,LJ8))</f>
        <v>3</v>
      </c>
      <c r="LM8" s="131" t="str">
        <f t="shared" si="75"/>
        <v>B</v>
      </c>
      <c r="LN8" s="156" t="s">
        <v>24</v>
      </c>
      <c r="LO8" s="157"/>
      <c r="LP8" s="158"/>
      <c r="LQ8" s="108">
        <f>IFERROR((((COUNTIF('Elève (6ème4)'!LN8:LP8,"A"))*4)+((COUNTIF('Elève (6ème4)'!LN8:LP8,"B"))*3)+((COUNTIF('Elève (6ème4)'!LN8:LP8,"C"))*2)+((COUNTIF('Elève (6ème4)'!LN8:LP8,"D"))*1))/(COUNTA(LN8:LP8)),"")</f>
        <v>4</v>
      </c>
      <c r="LR8" s="109" t="str">
        <f t="shared" si="76"/>
        <v>A</v>
      </c>
      <c r="LS8" s="81"/>
      <c r="LT8" s="82"/>
      <c r="LU8" s="83"/>
      <c r="LV8" s="108" t="str">
        <f>IFERROR((((COUNTIF('Elève (6ème4)'!LS8:LU8,"A"))*4)+((COUNTIF('Elève (6ème4)'!LS8:LU8,"B"))*3)+((COUNTIF('Elève (6ème4)'!LS8:LU8,"C"))*2)+((COUNTIF('Elève (6ème4)'!LS8:LU8,"D"))*1))/(COUNTA(LS8:LU8)),"")</f>
        <v/>
      </c>
      <c r="LW8" s="109" t="str">
        <f t="shared" si="77"/>
        <v/>
      </c>
      <c r="LX8" s="81"/>
      <c r="LY8" s="82"/>
      <c r="LZ8" s="83"/>
      <c r="MA8" s="108" t="str">
        <f>IFERROR((((COUNTIF('Elève (6ème4)'!LX8:LZ8,"A"))*4)+((COUNTIF('Elève (6ème4)'!LX8:LZ8,"B"))*3)+((COUNTIF('Elève (6ème4)'!LX8:LZ8,"C"))*2)+((COUNTIF('Elève (6ème4)'!LX8:LZ8,"D"))*1))/(COUNTA(LX8:LZ8)),"")</f>
        <v/>
      </c>
      <c r="MB8" s="109" t="str">
        <f t="shared" si="78"/>
        <v/>
      </c>
      <c r="MC8" s="178">
        <f>IF(COUNT(LQ8,LV8,MA8)=0,"",SUM(LQ8,LV8,MA8)/COUNT(LQ8,LV8,MA8))</f>
        <v>4</v>
      </c>
      <c r="MD8" s="131" t="str">
        <f t="shared" si="79"/>
        <v>A</v>
      </c>
      <c r="ME8" s="156" t="s">
        <v>25</v>
      </c>
      <c r="MF8" s="157"/>
      <c r="MG8" s="158"/>
      <c r="MH8" s="108">
        <f>IFERROR((((COUNTIF('Elève (6ème4)'!ME8:MG8,"A"))*4)+((COUNTIF('Elève (6ème4)'!ME8:MG8,"B"))*3)+((COUNTIF('Elève (6ème4)'!ME8:MG8,"C"))*2)+((COUNTIF('Elève (6ème4)'!ME8:MG8,"D"))*1))/(COUNTA(ME8:MG8)),"")</f>
        <v>3</v>
      </c>
      <c r="MI8" s="109" t="str">
        <f t="shared" si="80"/>
        <v>B</v>
      </c>
      <c r="MJ8" s="81"/>
      <c r="MK8" s="82"/>
      <c r="ML8" s="83"/>
      <c r="MM8" s="108" t="str">
        <f>IFERROR((((COUNTIF('Elève (6ème4)'!MJ8:ML8,"A"))*4)+((COUNTIF('Elève (6ème4)'!MJ8:ML8,"B"))*3)+((COUNTIF('Elève (6ème4)'!MJ8:ML8,"C"))*2)+((COUNTIF('Elève (6ème4)'!MJ8:ML8,"D"))*1))/(COUNTA(MJ8:ML8)),"")</f>
        <v/>
      </c>
      <c r="MN8" s="109" t="str">
        <f t="shared" si="81"/>
        <v/>
      </c>
      <c r="MO8" s="81"/>
      <c r="MP8" s="82"/>
      <c r="MQ8" s="83"/>
      <c r="MR8" s="108" t="str">
        <f>IFERROR((((COUNTIF('Elève (6ème4)'!MO8:MQ8,"A"))*4)+((COUNTIF('Elève (6ème4)'!MO8:MQ8,"B"))*3)+((COUNTIF('Elève (6ème4)'!MO8:MQ8,"C"))*2)+((COUNTIF('Elève (6ème4)'!MO8:MQ8,"D"))*1))/(COUNTA(MO8:MQ8)),"")</f>
        <v/>
      </c>
      <c r="MS8" s="109" t="str">
        <f t="shared" si="82"/>
        <v/>
      </c>
      <c r="MT8" s="178">
        <f>IF(COUNT(MH8,MM8,MR8)=0,"",SUM(MH8,MM8,MR8)/COUNT(MH8,MM8,MR8))</f>
        <v>3</v>
      </c>
      <c r="MU8" s="131" t="str">
        <f t="shared" si="83"/>
        <v>B</v>
      </c>
      <c r="MV8" s="156"/>
      <c r="MW8" s="157"/>
      <c r="MX8" s="158"/>
      <c r="MY8" s="108" t="str">
        <f>IFERROR((((COUNTIF('Elève (6ème4)'!MV8:MX8,"A"))*4)+((COUNTIF('Elève (6ème4)'!MV8:MX8,"B"))*3)+((COUNTIF('Elève (6ème4)'!MV8:MX8,"C"))*2)+((COUNTIF('Elève (6ème4)'!MV8:MX8,"D"))*1))/(COUNTA(MV8:MX8)),"")</f>
        <v/>
      </c>
      <c r="MZ8" s="109" t="str">
        <f t="shared" si="84"/>
        <v/>
      </c>
      <c r="NA8" s="81"/>
      <c r="NB8" s="82"/>
      <c r="NC8" s="83"/>
      <c r="ND8" s="108" t="str">
        <f>IFERROR((((COUNTIF('Elève (6ème4)'!NA8:NC8,"A"))*4)+((COUNTIF('Elève (6ème4)'!NA8:NC8,"B"))*3)+((COUNTIF('Elève (6ème4)'!NA8:NC8,"C"))*2)+((COUNTIF('Elève (6ème4)'!NA8:NC8,"D"))*1))/(COUNTA(NA8:NC8)),"")</f>
        <v/>
      </c>
      <c r="NE8" s="109" t="str">
        <f t="shared" si="85"/>
        <v/>
      </c>
      <c r="NF8" s="81"/>
      <c r="NG8" s="82"/>
      <c r="NH8" s="83"/>
      <c r="NI8" s="108" t="str">
        <f>IFERROR((((COUNTIF('Elève (6ème4)'!NF8:NH8,"A"))*4)+((COUNTIF('Elève (6ème4)'!NF8:NH8,"B"))*3)+((COUNTIF('Elève (6ème4)'!NF8:NH8,"C"))*2)+((COUNTIF('Elève (6ème4)'!NF8:NH8,"D"))*1))/(COUNTA(NF8:NH8)),"")</f>
        <v/>
      </c>
      <c r="NJ8" s="109" t="str">
        <f t="shared" si="86"/>
        <v/>
      </c>
      <c r="NK8" s="178" t="str">
        <f>IF(COUNT(MY8,ND8,NI8)=0,"",SUM(MY8,ND8,NI8)/COUNT(MY8,ND8,NI8))</f>
        <v/>
      </c>
      <c r="NL8" s="131" t="str">
        <f t="shared" si="87"/>
        <v/>
      </c>
      <c r="NM8" s="156"/>
      <c r="NN8" s="157"/>
      <c r="NO8" s="158"/>
      <c r="NP8" s="108" t="str">
        <f>IFERROR((((COUNTIF('Elève (6ème4)'!NM8:NO8,"A"))*4)+((COUNTIF('Elève (6ème4)'!NM8:NO8,"B"))*3)+((COUNTIF('Elève (6ème4)'!NM8:NO8,"C"))*2)+((COUNTIF('Elève (6ème4)'!NM8:NO8,"D"))*1))/(COUNTA(NM8:NO8)),"")</f>
        <v/>
      </c>
      <c r="NQ8" s="109" t="str">
        <f t="shared" si="88"/>
        <v/>
      </c>
      <c r="NR8" s="81"/>
      <c r="NS8" s="82"/>
      <c r="NT8" s="83"/>
      <c r="NU8" s="108" t="str">
        <f>IFERROR((((COUNTIF('Elève (6ème4)'!NR8:NT8,"A"))*4)+((COUNTIF('Elève (6ème4)'!NR8:NT8,"B"))*3)+((COUNTIF('Elève (6ème4)'!NR8:NT8,"C"))*2)+((COUNTIF('Elève (6ème4)'!NR8:NT8,"D"))*1))/(COUNTA(NR8:NT8)),"")</f>
        <v/>
      </c>
      <c r="NV8" s="109" t="str">
        <f t="shared" si="89"/>
        <v/>
      </c>
      <c r="NW8" s="81"/>
      <c r="NX8" s="82"/>
      <c r="NY8" s="83"/>
      <c r="NZ8" s="108" t="str">
        <f>IFERROR((((COUNTIF('Elève (6ème4)'!NW8:NY8,"A"))*4)+((COUNTIF('Elève (6ème4)'!NW8:NY8,"B"))*3)+((COUNTIF('Elève (6ème4)'!NW8:NY8,"C"))*2)+((COUNTIF('Elève (6ème4)'!NW8:NY8,"D"))*1))/(COUNTA(NW8:NY8)),"")</f>
        <v/>
      </c>
      <c r="OA8" s="109" t="str">
        <f t="shared" si="90"/>
        <v/>
      </c>
      <c r="OB8" s="178" t="str">
        <f>IF(COUNT(NP8,NU8,NZ8)=0,"",SUM(NP8,NU8,NZ8)/COUNT(NP8,NU8,NZ8))</f>
        <v/>
      </c>
      <c r="OC8" s="131" t="str">
        <f t="shared" si="91"/>
        <v/>
      </c>
      <c r="OD8" s="156" t="s">
        <v>24</v>
      </c>
      <c r="OE8" s="157"/>
      <c r="OF8" s="158"/>
      <c r="OG8" s="108">
        <f>IFERROR((((COUNTIF('Elève (6ème4)'!OD8:OF8,"A"))*4)+((COUNTIF('Elève (6ème4)'!OD8:OF8,"B"))*3)+((COUNTIF('Elève (6ème4)'!OD8:OF8,"C"))*2)+((COUNTIF('Elève (6ème4)'!OD8:OF8,"D"))*1))/(COUNTA(OD8:OF8)),"")</f>
        <v>4</v>
      </c>
      <c r="OH8" s="109" t="str">
        <f t="shared" si="92"/>
        <v>A</v>
      </c>
      <c r="OI8" s="81"/>
      <c r="OJ8" s="82"/>
      <c r="OK8" s="83"/>
      <c r="OL8" s="108" t="str">
        <f>IFERROR((((COUNTIF('Elève (6ème4)'!OI8:OK8,"A"))*4)+((COUNTIF('Elève (6ème4)'!OI8:OK8,"B"))*3)+((COUNTIF('Elève (6ème4)'!OI8:OK8,"C"))*2)+((COUNTIF('Elève (6ème4)'!OI8:OK8,"D"))*1))/(COUNTA(OI8:OK8)),"")</f>
        <v/>
      </c>
      <c r="OM8" s="109" t="str">
        <f t="shared" si="93"/>
        <v/>
      </c>
      <c r="ON8" s="81"/>
      <c r="OO8" s="82"/>
      <c r="OP8" s="83"/>
      <c r="OQ8" s="108" t="str">
        <f>IFERROR((((COUNTIF('Elève (6ème4)'!ON8:OP8,"A"))*4)+((COUNTIF('Elève (6ème4)'!ON8:OP8,"B"))*3)+((COUNTIF('Elève (6ème4)'!ON8:OP8,"C"))*2)+((COUNTIF('Elève (6ème4)'!ON8:OP8,"D"))*1))/(COUNTA(ON8:OP8)),"")</f>
        <v/>
      </c>
      <c r="OR8" s="109" t="str">
        <f t="shared" si="94"/>
        <v/>
      </c>
      <c r="OS8" s="178">
        <f>IF(COUNT(OG8,OL8,OQ8)=0,"",SUM(OG8,OL8,OQ8)/COUNT(OG8,OL8,OQ8))</f>
        <v>4</v>
      </c>
      <c r="OT8" s="131" t="str">
        <f t="shared" si="95"/>
        <v>A</v>
      </c>
      <c r="OU8" s="156" t="s">
        <v>24</v>
      </c>
      <c r="OV8" s="157"/>
      <c r="OW8" s="158"/>
      <c r="OX8" s="108">
        <f>IFERROR((((COUNTIF('Elève (6ème4)'!OU8:OW8,"A"))*4)+((COUNTIF('Elève (6ème4)'!OU8:OW8,"B"))*3)+((COUNTIF('Elève (6ème4)'!OU8:OW8,"C"))*2)+((COUNTIF('Elève (6ème4)'!OU8:OW8,"D"))*1))/(COUNTA(OU8:OW8)),"")</f>
        <v>4</v>
      </c>
      <c r="OY8" s="109" t="str">
        <f t="shared" si="96"/>
        <v>A</v>
      </c>
      <c r="OZ8" s="81"/>
      <c r="PA8" s="82"/>
      <c r="PB8" s="83"/>
      <c r="PC8" s="108" t="str">
        <f>IFERROR((((COUNTIF('Elève (6ème4)'!OZ8:PB8,"A"))*4)+((COUNTIF('Elève (6ème4)'!OZ8:PB8,"B"))*3)+((COUNTIF('Elève (6ème4)'!OZ8:PB8,"C"))*2)+((COUNTIF('Elève (6ème4)'!OZ8:PB8,"D"))*1))/(COUNTA(OZ8:PB8)),"")</f>
        <v/>
      </c>
      <c r="PD8" s="109" t="str">
        <f t="shared" si="97"/>
        <v/>
      </c>
      <c r="PE8" s="81"/>
      <c r="PF8" s="82"/>
      <c r="PG8" s="83"/>
      <c r="PH8" s="108" t="str">
        <f>IFERROR((((COUNTIF('Elève (6ème4)'!PE8:PG8,"A"))*4)+((COUNTIF('Elève (6ème4)'!PE8:PG8,"B"))*3)+((COUNTIF('Elève (6ème4)'!PE8:PG8,"C"))*2)+((COUNTIF('Elève (6ème4)'!PE8:PG8,"D"))*1))/(COUNTA(PE8:PG8)),"")</f>
        <v/>
      </c>
      <c r="PI8" s="109" t="str">
        <f t="shared" si="98"/>
        <v/>
      </c>
      <c r="PJ8" s="178">
        <f>IF(COUNT(OX8,PC8,PH8)=0,"",SUM(OX8,PC8,PH8)/COUNT(OX8,PC8,PH8))</f>
        <v>4</v>
      </c>
      <c r="PK8" s="131" t="str">
        <f t="shared" si="99"/>
        <v>A</v>
      </c>
      <c r="PL8" s="156" t="s">
        <v>24</v>
      </c>
      <c r="PM8" s="157"/>
      <c r="PN8" s="158"/>
      <c r="PO8" s="108">
        <f>IFERROR((((COUNTIF('Elève (6ème4)'!PL8:PN8,"A"))*4)+((COUNTIF('Elève (6ème4)'!PL8:PN8,"B"))*3)+((COUNTIF('Elève (6ème4)'!PL8:PN8,"C"))*2)+((COUNTIF('Elève (6ème4)'!PL8:PN8,"D"))*1))/(COUNTA(PL8:PN8)),"")</f>
        <v>4</v>
      </c>
      <c r="PP8" s="109" t="str">
        <f t="shared" si="100"/>
        <v>A</v>
      </c>
      <c r="PQ8" s="81"/>
      <c r="PR8" s="82"/>
      <c r="PS8" s="83"/>
      <c r="PT8" s="108" t="str">
        <f>IFERROR((((COUNTIF('Elève (6ème4)'!PQ8:PS8,"A"))*4)+((COUNTIF('Elève (6ème4)'!PQ8:PS8,"B"))*3)+((COUNTIF('Elève (6ème4)'!PQ8:PS8,"C"))*2)+((COUNTIF('Elève (6ème4)'!PQ8:PS8,"D"))*1))/(COUNTA(PQ8:PS8)),"")</f>
        <v/>
      </c>
      <c r="PU8" s="109" t="str">
        <f t="shared" si="101"/>
        <v/>
      </c>
      <c r="PV8" s="81"/>
      <c r="PW8" s="82"/>
      <c r="PX8" s="83"/>
      <c r="PY8" s="108" t="str">
        <f>IFERROR((((COUNTIF('Elève (6ème4)'!PV8:PX8,"A"))*4)+((COUNTIF('Elève (6ème4)'!PV8:PX8,"B"))*3)+((COUNTIF('Elève (6ème4)'!PV8:PX8,"C"))*2)+((COUNTIF('Elève (6ème4)'!PV8:PX8,"D"))*1))/(COUNTA(PV8:PX8)),"")</f>
        <v/>
      </c>
      <c r="PZ8" s="109" t="str">
        <f t="shared" si="102"/>
        <v/>
      </c>
      <c r="QA8" s="178">
        <f>IF(COUNT(PO8,PT8,PY8)=0,"",SUM(PO8,PT8,PY8)/COUNT(PO8,PT8,PY8))</f>
        <v>4</v>
      </c>
      <c r="QB8" s="131" t="str">
        <f t="shared" si="103"/>
        <v>A</v>
      </c>
      <c r="QC8" s="156"/>
      <c r="QD8" s="157"/>
      <c r="QE8" s="158"/>
      <c r="QF8" s="108" t="str">
        <f>IFERROR((((COUNTIF('Elève (6ème4)'!QC8:QE8,"A"))*4)+((COUNTIF('Elève (6ème4)'!QC8:QE8,"B"))*3)+((COUNTIF('Elève (6ème4)'!QC8:QE8,"C"))*2)+((COUNTIF('Elève (6ème4)'!QC8:QE8,"D"))*1))/(COUNTA(QC8:QE8)),"")</f>
        <v/>
      </c>
      <c r="QG8" s="109" t="str">
        <f t="shared" si="104"/>
        <v/>
      </c>
      <c r="QH8" s="81"/>
      <c r="QI8" s="82"/>
      <c r="QJ8" s="83"/>
      <c r="QK8" s="108" t="str">
        <f>IFERROR((((COUNTIF('Elève (6ème4)'!QH8:QJ8,"A"))*4)+((COUNTIF('Elève (6ème4)'!QH8:QJ8,"B"))*3)+((COUNTIF('Elève (6ème4)'!QH8:QJ8,"C"))*2)+((COUNTIF('Elève (6ème4)'!QH8:QJ8,"D"))*1))/(COUNTA(QH8:QJ8)),"")</f>
        <v/>
      </c>
      <c r="QL8" s="109" t="str">
        <f t="shared" si="105"/>
        <v/>
      </c>
      <c r="QM8" s="81"/>
      <c r="QN8" s="82"/>
      <c r="QO8" s="83"/>
      <c r="QP8" s="108" t="str">
        <f>IFERROR((((COUNTIF('Elève (6ème4)'!QM8:QO8,"A"))*4)+((COUNTIF('Elève (6ème4)'!QM8:QO8,"B"))*3)+((COUNTIF('Elève (6ème4)'!QM8:QO8,"C"))*2)+((COUNTIF('Elève (6ème4)'!QM8:QO8,"D"))*1))/(COUNTA(QM8:QO8)),"")</f>
        <v/>
      </c>
      <c r="QQ8" s="109" t="str">
        <f t="shared" si="106"/>
        <v/>
      </c>
      <c r="QR8" s="178" t="str">
        <f>IF(COUNT(QF8,QK8,QP8)=0,"",SUM(QF8,QK8,QP8)/COUNT(QF8,QK8,QP8))</f>
        <v/>
      </c>
      <c r="QS8" s="131" t="str">
        <f t="shared" si="107"/>
        <v/>
      </c>
      <c r="QT8" s="156" t="s">
        <v>24</v>
      </c>
      <c r="QU8" s="157"/>
      <c r="QV8" s="158"/>
      <c r="QW8" s="108">
        <f>IFERROR((((COUNTIF('Elève (6ème4)'!QT8:QV8,"A"))*4)+((COUNTIF('Elève (6ème4)'!QT8:QV8,"B"))*3)+((COUNTIF('Elève (6ème4)'!QT8:QV8,"C"))*2)+((COUNTIF('Elève (6ème4)'!QT8:QV8,"D"))*1))/(COUNTA(QT8:QV8)),"")</f>
        <v>4</v>
      </c>
      <c r="QX8" s="109" t="str">
        <f t="shared" si="108"/>
        <v>A</v>
      </c>
      <c r="QY8" s="81"/>
      <c r="QZ8" s="82"/>
      <c r="RA8" s="83"/>
      <c r="RB8" s="108" t="str">
        <f>IFERROR((((COUNTIF('Elève (6ème4)'!QY8:RA8,"A"))*4)+((COUNTIF('Elève (6ème4)'!QY8:RA8,"B"))*3)+((COUNTIF('Elève (6ème4)'!QY8:RA8,"C"))*2)+((COUNTIF('Elève (6ème4)'!QY8:RA8,"D"))*1))/(COUNTA(QY8:RA8)),"")</f>
        <v/>
      </c>
      <c r="RC8" s="109" t="str">
        <f t="shared" si="109"/>
        <v/>
      </c>
      <c r="RD8" s="81"/>
      <c r="RE8" s="82"/>
      <c r="RF8" s="83"/>
      <c r="RG8" s="108" t="str">
        <f>IFERROR((((COUNTIF('Elève (6ème4)'!RD8:RF8,"A"))*4)+((COUNTIF('Elève (6ème4)'!RD8:RF8,"B"))*3)+((COUNTIF('Elève (6ème4)'!RD8:RF8,"C"))*2)+((COUNTIF('Elève (6ème4)'!RD8:RF8,"D"))*1))/(COUNTA(RD8:RF8)),"")</f>
        <v/>
      </c>
      <c r="RH8" s="109" t="str">
        <f t="shared" si="110"/>
        <v/>
      </c>
      <c r="RI8" s="178">
        <f>IF(COUNT(QW8,RB8,RG8)=0,"",SUM(QW8,RB8,RG8)/COUNT(QW8,RB8,RG8))</f>
        <v>4</v>
      </c>
      <c r="RJ8" s="131" t="str">
        <f t="shared" si="111"/>
        <v>A</v>
      </c>
      <c r="RK8" s="156" t="s">
        <v>25</v>
      </c>
      <c r="RL8" s="157"/>
      <c r="RM8" s="158"/>
      <c r="RN8" s="108">
        <f>IFERROR((((COUNTIF('Elève (6ème4)'!RK8:RM8,"A"))*4)+((COUNTIF('Elève (6ème4)'!RK8:RM8,"B"))*3)+((COUNTIF('Elève (6ème4)'!RK8:RM8,"C"))*2)+((COUNTIF('Elève (6ème4)'!RK8:RM8,"D"))*1))/(COUNTA(RK8:RM8)),"")</f>
        <v>3</v>
      </c>
      <c r="RO8" s="109" t="str">
        <f t="shared" si="112"/>
        <v>B</v>
      </c>
      <c r="RP8" s="81"/>
      <c r="RQ8" s="82"/>
      <c r="RR8" s="83"/>
      <c r="RS8" s="108" t="str">
        <f>IFERROR((((COUNTIF('Elève (6ème4)'!RP8:RR8,"A"))*4)+((COUNTIF('Elève (6ème4)'!RP8:RR8,"B"))*3)+((COUNTIF('Elève (6ème4)'!RP8:RR8,"C"))*2)+((COUNTIF('Elève (6ème4)'!RP8:RR8,"D"))*1))/(COUNTA(RP8:RR8)),"")</f>
        <v/>
      </c>
      <c r="RT8" s="109" t="str">
        <f t="shared" si="113"/>
        <v/>
      </c>
      <c r="RU8" s="81"/>
      <c r="RV8" s="82"/>
      <c r="RW8" s="83"/>
      <c r="RX8" s="108" t="str">
        <f>IFERROR((((COUNTIF('Elève (6ème4)'!RU8:RW8,"A"))*4)+((COUNTIF('Elève (6ème4)'!RU8:RW8,"B"))*3)+((COUNTIF('Elève (6ème4)'!RU8:RW8,"C"))*2)+((COUNTIF('Elève (6ème4)'!RU8:RW8,"D"))*1))/(COUNTA(RU8:RW8)),"")</f>
        <v/>
      </c>
      <c r="RY8" s="109" t="str">
        <f t="shared" si="114"/>
        <v/>
      </c>
      <c r="RZ8" s="178">
        <f>IF(COUNT(RN8,RS8,RX8)=0,"",SUM(RN8,RS8,RX8)/COUNT(RN8,RS8,RX8))</f>
        <v>3</v>
      </c>
      <c r="SA8" s="131" t="str">
        <f t="shared" si="115"/>
        <v>B</v>
      </c>
      <c r="SB8" s="156"/>
      <c r="SC8" s="157"/>
      <c r="SD8" s="158"/>
      <c r="SE8" s="108" t="str">
        <f>IFERROR((((COUNTIF('Elève (6ème4)'!SB8:SD8,"A"))*4)+((COUNTIF('Elève (6ème4)'!SB8:SD8,"B"))*3)+((COUNTIF('Elève (6ème4)'!SB8:SD8,"C"))*2)+((COUNTIF('Elève (6ème4)'!SB8:SD8,"D"))*1))/(COUNTA(SB8:SD8)),"")</f>
        <v/>
      </c>
      <c r="SF8" s="109" t="str">
        <f t="shared" si="116"/>
        <v/>
      </c>
      <c r="SG8" s="81"/>
      <c r="SH8" s="82"/>
      <c r="SI8" s="83"/>
      <c r="SJ8" s="108" t="str">
        <f>IFERROR((((COUNTIF('Elève (6ème4)'!SG8:SI8,"A"))*4)+((COUNTIF('Elève (6ème4)'!SG8:SI8,"B"))*3)+((COUNTIF('Elève (6ème4)'!SG8:SI8,"C"))*2)+((COUNTIF('Elève (6ème4)'!SG8:SI8,"D"))*1))/(COUNTA(SG8:SI8)),"")</f>
        <v/>
      </c>
      <c r="SK8" s="109" t="str">
        <f t="shared" si="117"/>
        <v/>
      </c>
      <c r="SL8" s="81"/>
      <c r="SM8" s="82"/>
      <c r="SN8" s="83"/>
      <c r="SO8" s="108" t="str">
        <f>IFERROR((((COUNTIF('Elève (6ème4)'!SL8:SN8,"A"))*4)+((COUNTIF('Elève (6ème4)'!SL8:SN8,"B"))*3)+((COUNTIF('Elève (6ème4)'!SL8:SN8,"C"))*2)+((COUNTIF('Elève (6ème4)'!SL8:SN8,"D"))*1))/(COUNTA(SL8:SN8)),"")</f>
        <v/>
      </c>
      <c r="SP8" s="109" t="str">
        <f t="shared" si="118"/>
        <v/>
      </c>
      <c r="SQ8" s="178" t="str">
        <f>IF(COUNT(SE8,SJ8,SO8)=0,"",SUM(SE8,SJ8,SO8)/COUNT(SE8,SJ8,SO8))</f>
        <v/>
      </c>
      <c r="SR8" s="131" t="str">
        <f t="shared" si="119"/>
        <v/>
      </c>
    </row>
    <row r="9" spans="1:512" s="72" customFormat="1" ht="18" customHeight="1" x14ac:dyDescent="0.25">
      <c r="A9" s="242" t="s">
        <v>46</v>
      </c>
      <c r="B9" s="243"/>
      <c r="C9" s="156"/>
      <c r="D9" s="157"/>
      <c r="E9" s="158"/>
      <c r="F9" s="110"/>
      <c r="G9" s="111"/>
      <c r="H9" s="81"/>
      <c r="I9" s="82"/>
      <c r="J9" s="83"/>
      <c r="K9" s="110"/>
      <c r="L9" s="111"/>
      <c r="M9" s="81"/>
      <c r="N9" s="82"/>
      <c r="O9" s="83"/>
      <c r="P9" s="110"/>
      <c r="Q9" s="111"/>
      <c r="R9" s="179"/>
      <c r="S9" s="132"/>
      <c r="T9" s="156"/>
      <c r="U9" s="157"/>
      <c r="V9" s="158"/>
      <c r="W9" s="110"/>
      <c r="X9" s="111"/>
      <c r="Y9" s="81"/>
      <c r="Z9" s="82"/>
      <c r="AA9" s="83"/>
      <c r="AB9" s="110"/>
      <c r="AC9" s="111"/>
      <c r="AD9" s="81"/>
      <c r="AE9" s="82"/>
      <c r="AF9" s="83"/>
      <c r="AG9" s="110"/>
      <c r="AH9" s="111"/>
      <c r="AI9" s="179"/>
      <c r="AJ9" s="132"/>
      <c r="AK9" s="156"/>
      <c r="AL9" s="157"/>
      <c r="AM9" s="158"/>
      <c r="AN9" s="110"/>
      <c r="AO9" s="111"/>
      <c r="AP9" s="81"/>
      <c r="AQ9" s="82"/>
      <c r="AR9" s="83"/>
      <c r="AS9" s="110"/>
      <c r="AT9" s="111"/>
      <c r="AU9" s="81"/>
      <c r="AV9" s="82"/>
      <c r="AW9" s="83"/>
      <c r="AX9" s="110"/>
      <c r="AY9" s="111"/>
      <c r="AZ9" s="179"/>
      <c r="BA9" s="132"/>
      <c r="BB9" s="156"/>
      <c r="BC9" s="157"/>
      <c r="BD9" s="158"/>
      <c r="BE9" s="110"/>
      <c r="BF9" s="111"/>
      <c r="BG9" s="81"/>
      <c r="BH9" s="82"/>
      <c r="BI9" s="83"/>
      <c r="BJ9" s="110"/>
      <c r="BK9" s="111"/>
      <c r="BL9" s="81"/>
      <c r="BM9" s="82"/>
      <c r="BN9" s="83"/>
      <c r="BO9" s="110"/>
      <c r="BP9" s="111"/>
      <c r="BQ9" s="179"/>
      <c r="BR9" s="132"/>
      <c r="BS9" s="156"/>
      <c r="BT9" s="157"/>
      <c r="BU9" s="158"/>
      <c r="BV9" s="110"/>
      <c r="BW9" s="111"/>
      <c r="BX9" s="81"/>
      <c r="BY9" s="82"/>
      <c r="BZ9" s="83"/>
      <c r="CA9" s="110"/>
      <c r="CB9" s="111"/>
      <c r="CC9" s="81"/>
      <c r="CD9" s="82"/>
      <c r="CE9" s="83"/>
      <c r="CF9" s="110"/>
      <c r="CG9" s="111"/>
      <c r="CH9" s="179"/>
      <c r="CI9" s="132"/>
      <c r="CJ9" s="156"/>
      <c r="CK9" s="157"/>
      <c r="CL9" s="158"/>
      <c r="CM9" s="110"/>
      <c r="CN9" s="111"/>
      <c r="CO9" s="81"/>
      <c r="CP9" s="82"/>
      <c r="CQ9" s="83"/>
      <c r="CR9" s="110"/>
      <c r="CS9" s="111"/>
      <c r="CT9" s="81"/>
      <c r="CU9" s="82"/>
      <c r="CV9" s="83"/>
      <c r="CW9" s="110"/>
      <c r="CX9" s="111"/>
      <c r="CY9" s="179"/>
      <c r="CZ9" s="132"/>
      <c r="DA9" s="156"/>
      <c r="DB9" s="157"/>
      <c r="DC9" s="158"/>
      <c r="DD9" s="110"/>
      <c r="DE9" s="111"/>
      <c r="DF9" s="81"/>
      <c r="DG9" s="82"/>
      <c r="DH9" s="83"/>
      <c r="DI9" s="110"/>
      <c r="DJ9" s="111"/>
      <c r="DK9" s="81"/>
      <c r="DL9" s="82"/>
      <c r="DM9" s="83"/>
      <c r="DN9" s="110"/>
      <c r="DO9" s="111"/>
      <c r="DP9" s="179"/>
      <c r="DQ9" s="132"/>
      <c r="DR9" s="156"/>
      <c r="DS9" s="157"/>
      <c r="DT9" s="158"/>
      <c r="DU9" s="110"/>
      <c r="DV9" s="111"/>
      <c r="DW9" s="81"/>
      <c r="DX9" s="82"/>
      <c r="DY9" s="83"/>
      <c r="DZ9" s="110"/>
      <c r="EA9" s="111"/>
      <c r="EB9" s="81"/>
      <c r="EC9" s="82"/>
      <c r="ED9" s="83"/>
      <c r="EE9" s="110"/>
      <c r="EF9" s="111"/>
      <c r="EG9" s="179"/>
      <c r="EH9" s="132"/>
      <c r="EI9" s="156"/>
      <c r="EJ9" s="157"/>
      <c r="EK9" s="158"/>
      <c r="EL9" s="110"/>
      <c r="EM9" s="111"/>
      <c r="EN9" s="81"/>
      <c r="EO9" s="82"/>
      <c r="EP9" s="83"/>
      <c r="EQ9" s="110"/>
      <c r="ER9" s="111"/>
      <c r="ES9" s="81"/>
      <c r="ET9" s="82"/>
      <c r="EU9" s="83"/>
      <c r="EV9" s="110"/>
      <c r="EW9" s="111"/>
      <c r="EX9" s="179"/>
      <c r="EY9" s="132"/>
      <c r="EZ9" s="156"/>
      <c r="FA9" s="157"/>
      <c r="FB9" s="158"/>
      <c r="FC9" s="110"/>
      <c r="FD9" s="111"/>
      <c r="FE9" s="81"/>
      <c r="FF9" s="82"/>
      <c r="FG9" s="83"/>
      <c r="FH9" s="110"/>
      <c r="FI9" s="111"/>
      <c r="FJ9" s="81"/>
      <c r="FK9" s="82"/>
      <c r="FL9" s="83"/>
      <c r="FM9" s="110"/>
      <c r="FN9" s="111"/>
      <c r="FO9" s="179"/>
      <c r="FP9" s="132"/>
      <c r="FQ9" s="156"/>
      <c r="FR9" s="157"/>
      <c r="FS9" s="158"/>
      <c r="FT9" s="110"/>
      <c r="FU9" s="111"/>
      <c r="FV9" s="81"/>
      <c r="FW9" s="82"/>
      <c r="FX9" s="83"/>
      <c r="FY9" s="110"/>
      <c r="FZ9" s="111"/>
      <c r="GA9" s="81"/>
      <c r="GB9" s="82"/>
      <c r="GC9" s="83"/>
      <c r="GD9" s="110"/>
      <c r="GE9" s="111"/>
      <c r="GF9" s="179"/>
      <c r="GG9" s="132"/>
      <c r="GH9" s="156"/>
      <c r="GI9" s="157"/>
      <c r="GJ9" s="158"/>
      <c r="GK9" s="110"/>
      <c r="GL9" s="111"/>
      <c r="GM9" s="81"/>
      <c r="GN9" s="82"/>
      <c r="GO9" s="83"/>
      <c r="GP9" s="110"/>
      <c r="GQ9" s="111"/>
      <c r="GR9" s="81"/>
      <c r="GS9" s="82"/>
      <c r="GT9" s="83"/>
      <c r="GU9" s="110"/>
      <c r="GV9" s="111"/>
      <c r="GW9" s="179"/>
      <c r="GX9" s="132"/>
      <c r="GY9" s="156"/>
      <c r="GZ9" s="157"/>
      <c r="HA9" s="158"/>
      <c r="HB9" s="110"/>
      <c r="HC9" s="111"/>
      <c r="HD9" s="81"/>
      <c r="HE9" s="82"/>
      <c r="HF9" s="83"/>
      <c r="HG9" s="110"/>
      <c r="HH9" s="111"/>
      <c r="HI9" s="81"/>
      <c r="HJ9" s="82"/>
      <c r="HK9" s="83"/>
      <c r="HL9" s="110"/>
      <c r="HM9" s="111"/>
      <c r="HN9" s="179"/>
      <c r="HO9" s="132"/>
      <c r="HP9" s="156"/>
      <c r="HQ9" s="157"/>
      <c r="HR9" s="158"/>
      <c r="HS9" s="110"/>
      <c r="HT9" s="111"/>
      <c r="HU9" s="81"/>
      <c r="HV9" s="82"/>
      <c r="HW9" s="83"/>
      <c r="HX9" s="110"/>
      <c r="HY9" s="111"/>
      <c r="HZ9" s="81"/>
      <c r="IA9" s="82"/>
      <c r="IB9" s="83"/>
      <c r="IC9" s="110"/>
      <c r="ID9" s="111"/>
      <c r="IE9" s="179"/>
      <c r="IF9" s="132"/>
      <c r="IG9" s="156"/>
      <c r="IH9" s="157"/>
      <c r="II9" s="158"/>
      <c r="IJ9" s="110"/>
      <c r="IK9" s="111"/>
      <c r="IL9" s="81"/>
      <c r="IM9" s="82"/>
      <c r="IN9" s="83"/>
      <c r="IO9" s="110"/>
      <c r="IP9" s="111"/>
      <c r="IQ9" s="81"/>
      <c r="IR9" s="82"/>
      <c r="IS9" s="83"/>
      <c r="IT9" s="110"/>
      <c r="IU9" s="111"/>
      <c r="IV9" s="179"/>
      <c r="IW9" s="132"/>
      <c r="IX9" s="156"/>
      <c r="IY9" s="157"/>
      <c r="IZ9" s="158"/>
      <c r="JA9" s="110"/>
      <c r="JB9" s="111"/>
      <c r="JC9" s="81"/>
      <c r="JD9" s="82"/>
      <c r="JE9" s="83"/>
      <c r="JF9" s="110"/>
      <c r="JG9" s="111"/>
      <c r="JH9" s="81"/>
      <c r="JI9" s="82"/>
      <c r="JJ9" s="83"/>
      <c r="JK9" s="110"/>
      <c r="JL9" s="111"/>
      <c r="JM9" s="179"/>
      <c r="JN9" s="132"/>
      <c r="JO9" s="156"/>
      <c r="JP9" s="157"/>
      <c r="JQ9" s="158"/>
      <c r="JR9" s="110"/>
      <c r="JS9" s="111"/>
      <c r="JT9" s="81"/>
      <c r="JU9" s="82"/>
      <c r="JV9" s="83"/>
      <c r="JW9" s="110"/>
      <c r="JX9" s="111"/>
      <c r="JY9" s="81"/>
      <c r="JZ9" s="82"/>
      <c r="KA9" s="83"/>
      <c r="KB9" s="110"/>
      <c r="KC9" s="111"/>
      <c r="KD9" s="179"/>
      <c r="KE9" s="132"/>
      <c r="KF9" s="156"/>
      <c r="KG9" s="157"/>
      <c r="KH9" s="158"/>
      <c r="KI9" s="110"/>
      <c r="KJ9" s="111"/>
      <c r="KK9" s="81"/>
      <c r="KL9" s="82"/>
      <c r="KM9" s="83"/>
      <c r="KN9" s="110"/>
      <c r="KO9" s="111"/>
      <c r="KP9" s="81"/>
      <c r="KQ9" s="82"/>
      <c r="KR9" s="83"/>
      <c r="KS9" s="110"/>
      <c r="KT9" s="111"/>
      <c r="KU9" s="179"/>
      <c r="KV9" s="132"/>
      <c r="KW9" s="156"/>
      <c r="KX9" s="157"/>
      <c r="KY9" s="158"/>
      <c r="KZ9" s="110"/>
      <c r="LA9" s="111"/>
      <c r="LB9" s="81"/>
      <c r="LC9" s="82"/>
      <c r="LD9" s="83"/>
      <c r="LE9" s="110"/>
      <c r="LF9" s="111"/>
      <c r="LG9" s="81"/>
      <c r="LH9" s="82"/>
      <c r="LI9" s="83"/>
      <c r="LJ9" s="110"/>
      <c r="LK9" s="111"/>
      <c r="LL9" s="179"/>
      <c r="LM9" s="132"/>
      <c r="LN9" s="156"/>
      <c r="LO9" s="157"/>
      <c r="LP9" s="158"/>
      <c r="LQ9" s="110"/>
      <c r="LR9" s="111"/>
      <c r="LS9" s="81"/>
      <c r="LT9" s="82"/>
      <c r="LU9" s="83"/>
      <c r="LV9" s="110"/>
      <c r="LW9" s="111"/>
      <c r="LX9" s="81"/>
      <c r="LY9" s="82"/>
      <c r="LZ9" s="83"/>
      <c r="MA9" s="110"/>
      <c r="MB9" s="111"/>
      <c r="MC9" s="179"/>
      <c r="MD9" s="132"/>
      <c r="ME9" s="156"/>
      <c r="MF9" s="157"/>
      <c r="MG9" s="158"/>
      <c r="MH9" s="110"/>
      <c r="MI9" s="111"/>
      <c r="MJ9" s="81"/>
      <c r="MK9" s="82"/>
      <c r="ML9" s="83"/>
      <c r="MM9" s="110"/>
      <c r="MN9" s="111"/>
      <c r="MO9" s="81"/>
      <c r="MP9" s="82"/>
      <c r="MQ9" s="83"/>
      <c r="MR9" s="110"/>
      <c r="MS9" s="111"/>
      <c r="MT9" s="179"/>
      <c r="MU9" s="132"/>
      <c r="MV9" s="156"/>
      <c r="MW9" s="157"/>
      <c r="MX9" s="158"/>
      <c r="MY9" s="110"/>
      <c r="MZ9" s="111"/>
      <c r="NA9" s="81"/>
      <c r="NB9" s="82"/>
      <c r="NC9" s="83"/>
      <c r="ND9" s="110"/>
      <c r="NE9" s="111"/>
      <c r="NF9" s="81"/>
      <c r="NG9" s="82"/>
      <c r="NH9" s="83"/>
      <c r="NI9" s="110"/>
      <c r="NJ9" s="111"/>
      <c r="NK9" s="179"/>
      <c r="NL9" s="132"/>
      <c r="NM9" s="156"/>
      <c r="NN9" s="157"/>
      <c r="NO9" s="158"/>
      <c r="NP9" s="110"/>
      <c r="NQ9" s="111"/>
      <c r="NR9" s="81"/>
      <c r="NS9" s="82"/>
      <c r="NT9" s="83"/>
      <c r="NU9" s="110"/>
      <c r="NV9" s="111"/>
      <c r="NW9" s="81"/>
      <c r="NX9" s="82"/>
      <c r="NY9" s="83"/>
      <c r="NZ9" s="110"/>
      <c r="OA9" s="111"/>
      <c r="OB9" s="179"/>
      <c r="OC9" s="132"/>
      <c r="OD9" s="156"/>
      <c r="OE9" s="157"/>
      <c r="OF9" s="158"/>
      <c r="OG9" s="110"/>
      <c r="OH9" s="111"/>
      <c r="OI9" s="81"/>
      <c r="OJ9" s="82"/>
      <c r="OK9" s="83"/>
      <c r="OL9" s="110"/>
      <c r="OM9" s="111"/>
      <c r="ON9" s="81"/>
      <c r="OO9" s="82"/>
      <c r="OP9" s="83"/>
      <c r="OQ9" s="110"/>
      <c r="OR9" s="111"/>
      <c r="OS9" s="179"/>
      <c r="OT9" s="132"/>
      <c r="OU9" s="156"/>
      <c r="OV9" s="157"/>
      <c r="OW9" s="158"/>
      <c r="OX9" s="110"/>
      <c r="OY9" s="111"/>
      <c r="OZ9" s="81"/>
      <c r="PA9" s="82"/>
      <c r="PB9" s="83"/>
      <c r="PC9" s="110"/>
      <c r="PD9" s="111"/>
      <c r="PE9" s="81"/>
      <c r="PF9" s="82"/>
      <c r="PG9" s="83"/>
      <c r="PH9" s="110"/>
      <c r="PI9" s="111"/>
      <c r="PJ9" s="179"/>
      <c r="PK9" s="132"/>
      <c r="PL9" s="156"/>
      <c r="PM9" s="157"/>
      <c r="PN9" s="158"/>
      <c r="PO9" s="110"/>
      <c r="PP9" s="111"/>
      <c r="PQ9" s="81"/>
      <c r="PR9" s="82"/>
      <c r="PS9" s="83"/>
      <c r="PT9" s="110"/>
      <c r="PU9" s="111"/>
      <c r="PV9" s="81"/>
      <c r="PW9" s="82"/>
      <c r="PX9" s="83"/>
      <c r="PY9" s="110"/>
      <c r="PZ9" s="111"/>
      <c r="QA9" s="179"/>
      <c r="QB9" s="132"/>
      <c r="QC9" s="156"/>
      <c r="QD9" s="157"/>
      <c r="QE9" s="158"/>
      <c r="QF9" s="110"/>
      <c r="QG9" s="111"/>
      <c r="QH9" s="81"/>
      <c r="QI9" s="82"/>
      <c r="QJ9" s="83"/>
      <c r="QK9" s="110"/>
      <c r="QL9" s="111"/>
      <c r="QM9" s="81"/>
      <c r="QN9" s="82"/>
      <c r="QO9" s="83"/>
      <c r="QP9" s="110"/>
      <c r="QQ9" s="111"/>
      <c r="QR9" s="179"/>
      <c r="QS9" s="132"/>
      <c r="QT9" s="156"/>
      <c r="QU9" s="157"/>
      <c r="QV9" s="158"/>
      <c r="QW9" s="110"/>
      <c r="QX9" s="111"/>
      <c r="QY9" s="81"/>
      <c r="QZ9" s="82"/>
      <c r="RA9" s="83"/>
      <c r="RB9" s="110"/>
      <c r="RC9" s="111"/>
      <c r="RD9" s="81"/>
      <c r="RE9" s="82"/>
      <c r="RF9" s="83"/>
      <c r="RG9" s="110"/>
      <c r="RH9" s="111"/>
      <c r="RI9" s="179"/>
      <c r="RJ9" s="132"/>
      <c r="RK9" s="156"/>
      <c r="RL9" s="157"/>
      <c r="RM9" s="158"/>
      <c r="RN9" s="110"/>
      <c r="RO9" s="111"/>
      <c r="RP9" s="81"/>
      <c r="RQ9" s="82"/>
      <c r="RR9" s="83"/>
      <c r="RS9" s="110"/>
      <c r="RT9" s="111"/>
      <c r="RU9" s="81"/>
      <c r="RV9" s="82"/>
      <c r="RW9" s="83"/>
      <c r="RX9" s="110"/>
      <c r="RY9" s="111"/>
      <c r="RZ9" s="179"/>
      <c r="SA9" s="132"/>
      <c r="SB9" s="156"/>
      <c r="SC9" s="157"/>
      <c r="SD9" s="158"/>
      <c r="SE9" s="110"/>
      <c r="SF9" s="111"/>
      <c r="SG9" s="81"/>
      <c r="SH9" s="82"/>
      <c r="SI9" s="83"/>
      <c r="SJ9" s="110"/>
      <c r="SK9" s="111"/>
      <c r="SL9" s="81"/>
      <c r="SM9" s="82"/>
      <c r="SN9" s="83"/>
      <c r="SO9" s="110"/>
      <c r="SP9" s="111"/>
      <c r="SQ9" s="179"/>
      <c r="SR9" s="132"/>
    </row>
    <row r="10" spans="1:512" s="72" customFormat="1" ht="18" customHeight="1" x14ac:dyDescent="0.25">
      <c r="A10" s="250" t="s">
        <v>47</v>
      </c>
      <c r="B10" s="251"/>
      <c r="C10" s="215" t="s">
        <v>25</v>
      </c>
      <c r="D10" s="216"/>
      <c r="E10" s="217"/>
      <c r="F10" s="206"/>
      <c r="G10" s="207"/>
      <c r="H10" s="218"/>
      <c r="I10" s="219"/>
      <c r="J10" s="220"/>
      <c r="K10" s="206"/>
      <c r="L10" s="207"/>
      <c r="M10" s="218"/>
      <c r="N10" s="219"/>
      <c r="O10" s="220"/>
      <c r="P10" s="206"/>
      <c r="Q10" s="207"/>
      <c r="R10" s="208"/>
      <c r="S10" s="209"/>
      <c r="T10" s="215" t="s">
        <v>27</v>
      </c>
      <c r="U10" s="216"/>
      <c r="V10" s="217"/>
      <c r="W10" s="206"/>
      <c r="X10" s="207"/>
      <c r="Y10" s="218"/>
      <c r="Z10" s="219"/>
      <c r="AA10" s="220"/>
      <c r="AB10" s="206"/>
      <c r="AC10" s="207"/>
      <c r="AD10" s="218"/>
      <c r="AE10" s="219"/>
      <c r="AF10" s="220"/>
      <c r="AG10" s="206"/>
      <c r="AH10" s="207"/>
      <c r="AI10" s="208"/>
      <c r="AJ10" s="209"/>
      <c r="AK10" s="215" t="s">
        <v>27</v>
      </c>
      <c r="AL10" s="216"/>
      <c r="AM10" s="217"/>
      <c r="AN10" s="206"/>
      <c r="AO10" s="207"/>
      <c r="AP10" s="218"/>
      <c r="AQ10" s="219"/>
      <c r="AR10" s="220"/>
      <c r="AS10" s="206"/>
      <c r="AT10" s="207"/>
      <c r="AU10" s="218"/>
      <c r="AV10" s="219"/>
      <c r="AW10" s="220"/>
      <c r="AX10" s="206"/>
      <c r="AY10" s="207"/>
      <c r="AZ10" s="208"/>
      <c r="BA10" s="209"/>
      <c r="BB10" s="215"/>
      <c r="BC10" s="216"/>
      <c r="BD10" s="217"/>
      <c r="BE10" s="206"/>
      <c r="BF10" s="207"/>
      <c r="BG10" s="218"/>
      <c r="BH10" s="219"/>
      <c r="BI10" s="220"/>
      <c r="BJ10" s="206"/>
      <c r="BK10" s="207"/>
      <c r="BL10" s="218"/>
      <c r="BM10" s="219"/>
      <c r="BN10" s="220"/>
      <c r="BO10" s="206"/>
      <c r="BP10" s="207"/>
      <c r="BQ10" s="208"/>
      <c r="BR10" s="209"/>
      <c r="BS10" s="215" t="s">
        <v>25</v>
      </c>
      <c r="BT10" s="216"/>
      <c r="BU10" s="217"/>
      <c r="BV10" s="206"/>
      <c r="BW10" s="207"/>
      <c r="BX10" s="218"/>
      <c r="BY10" s="219"/>
      <c r="BZ10" s="220"/>
      <c r="CA10" s="206"/>
      <c r="CB10" s="207"/>
      <c r="CC10" s="218"/>
      <c r="CD10" s="219"/>
      <c r="CE10" s="220"/>
      <c r="CF10" s="206"/>
      <c r="CG10" s="207"/>
      <c r="CH10" s="208"/>
      <c r="CI10" s="209"/>
      <c r="CJ10" s="215"/>
      <c r="CK10" s="216"/>
      <c r="CL10" s="217"/>
      <c r="CM10" s="206"/>
      <c r="CN10" s="207"/>
      <c r="CO10" s="218"/>
      <c r="CP10" s="219"/>
      <c r="CQ10" s="220"/>
      <c r="CR10" s="206"/>
      <c r="CS10" s="207"/>
      <c r="CT10" s="218"/>
      <c r="CU10" s="219"/>
      <c r="CV10" s="220"/>
      <c r="CW10" s="206"/>
      <c r="CX10" s="207"/>
      <c r="CY10" s="208"/>
      <c r="CZ10" s="209"/>
      <c r="DA10" s="215"/>
      <c r="DB10" s="216"/>
      <c r="DC10" s="217"/>
      <c r="DD10" s="206"/>
      <c r="DE10" s="207"/>
      <c r="DF10" s="218"/>
      <c r="DG10" s="219"/>
      <c r="DH10" s="220"/>
      <c r="DI10" s="206"/>
      <c r="DJ10" s="207"/>
      <c r="DK10" s="218"/>
      <c r="DL10" s="219"/>
      <c r="DM10" s="220"/>
      <c r="DN10" s="206"/>
      <c r="DO10" s="207"/>
      <c r="DP10" s="208"/>
      <c r="DQ10" s="209"/>
      <c r="DR10" s="215" t="s">
        <v>24</v>
      </c>
      <c r="DS10" s="216"/>
      <c r="DT10" s="217"/>
      <c r="DU10" s="206"/>
      <c r="DV10" s="207"/>
      <c r="DW10" s="218"/>
      <c r="DX10" s="219"/>
      <c r="DY10" s="220"/>
      <c r="DZ10" s="206"/>
      <c r="EA10" s="207"/>
      <c r="EB10" s="218"/>
      <c r="EC10" s="219"/>
      <c r="ED10" s="220"/>
      <c r="EE10" s="206"/>
      <c r="EF10" s="207"/>
      <c r="EG10" s="208"/>
      <c r="EH10" s="209"/>
      <c r="EI10" s="215" t="s">
        <v>25</v>
      </c>
      <c r="EJ10" s="216"/>
      <c r="EK10" s="217"/>
      <c r="EL10" s="206"/>
      <c r="EM10" s="207"/>
      <c r="EN10" s="218"/>
      <c r="EO10" s="219"/>
      <c r="EP10" s="220"/>
      <c r="EQ10" s="206"/>
      <c r="ER10" s="207"/>
      <c r="ES10" s="218"/>
      <c r="ET10" s="219"/>
      <c r="EU10" s="220"/>
      <c r="EV10" s="206"/>
      <c r="EW10" s="207"/>
      <c r="EX10" s="208"/>
      <c r="EY10" s="209"/>
      <c r="EZ10" s="215" t="s">
        <v>25</v>
      </c>
      <c r="FA10" s="216"/>
      <c r="FB10" s="217"/>
      <c r="FC10" s="206"/>
      <c r="FD10" s="207"/>
      <c r="FE10" s="218"/>
      <c r="FF10" s="219"/>
      <c r="FG10" s="220"/>
      <c r="FH10" s="206"/>
      <c r="FI10" s="207"/>
      <c r="FJ10" s="218"/>
      <c r="FK10" s="219"/>
      <c r="FL10" s="220"/>
      <c r="FM10" s="206"/>
      <c r="FN10" s="207"/>
      <c r="FO10" s="208"/>
      <c r="FP10" s="209"/>
      <c r="FQ10" s="215" t="s">
        <v>25</v>
      </c>
      <c r="FR10" s="216"/>
      <c r="FS10" s="217"/>
      <c r="FT10" s="206"/>
      <c r="FU10" s="207"/>
      <c r="FV10" s="218"/>
      <c r="FW10" s="219"/>
      <c r="FX10" s="220"/>
      <c r="FY10" s="206"/>
      <c r="FZ10" s="207"/>
      <c r="GA10" s="218"/>
      <c r="GB10" s="219"/>
      <c r="GC10" s="220"/>
      <c r="GD10" s="206"/>
      <c r="GE10" s="207"/>
      <c r="GF10" s="208"/>
      <c r="GG10" s="209"/>
      <c r="GH10" s="215" t="s">
        <v>25</v>
      </c>
      <c r="GI10" s="216"/>
      <c r="GJ10" s="217"/>
      <c r="GK10" s="206"/>
      <c r="GL10" s="207"/>
      <c r="GM10" s="218"/>
      <c r="GN10" s="219"/>
      <c r="GO10" s="220"/>
      <c r="GP10" s="206"/>
      <c r="GQ10" s="207"/>
      <c r="GR10" s="218"/>
      <c r="GS10" s="219"/>
      <c r="GT10" s="220"/>
      <c r="GU10" s="206"/>
      <c r="GV10" s="207"/>
      <c r="GW10" s="208"/>
      <c r="GX10" s="209"/>
      <c r="GY10" s="215" t="s">
        <v>25</v>
      </c>
      <c r="GZ10" s="216"/>
      <c r="HA10" s="217"/>
      <c r="HB10" s="206"/>
      <c r="HC10" s="207"/>
      <c r="HD10" s="218"/>
      <c r="HE10" s="219"/>
      <c r="HF10" s="220"/>
      <c r="HG10" s="206"/>
      <c r="HH10" s="207"/>
      <c r="HI10" s="218"/>
      <c r="HJ10" s="219"/>
      <c r="HK10" s="220"/>
      <c r="HL10" s="206"/>
      <c r="HM10" s="207"/>
      <c r="HN10" s="208"/>
      <c r="HO10" s="209"/>
      <c r="HP10" s="215"/>
      <c r="HQ10" s="216"/>
      <c r="HR10" s="217"/>
      <c r="HS10" s="206"/>
      <c r="HT10" s="207"/>
      <c r="HU10" s="218"/>
      <c r="HV10" s="219"/>
      <c r="HW10" s="220"/>
      <c r="HX10" s="206"/>
      <c r="HY10" s="207"/>
      <c r="HZ10" s="218"/>
      <c r="IA10" s="219"/>
      <c r="IB10" s="220"/>
      <c r="IC10" s="206"/>
      <c r="ID10" s="207"/>
      <c r="IE10" s="208"/>
      <c r="IF10" s="209"/>
      <c r="IG10" s="215" t="s">
        <v>25</v>
      </c>
      <c r="IH10" s="216"/>
      <c r="II10" s="217"/>
      <c r="IJ10" s="206"/>
      <c r="IK10" s="207"/>
      <c r="IL10" s="218"/>
      <c r="IM10" s="219"/>
      <c r="IN10" s="220"/>
      <c r="IO10" s="206"/>
      <c r="IP10" s="207"/>
      <c r="IQ10" s="218"/>
      <c r="IR10" s="219"/>
      <c r="IS10" s="220"/>
      <c r="IT10" s="206"/>
      <c r="IU10" s="207"/>
      <c r="IV10" s="208"/>
      <c r="IW10" s="209"/>
      <c r="IX10" s="215" t="s">
        <v>25</v>
      </c>
      <c r="IY10" s="216"/>
      <c r="IZ10" s="217"/>
      <c r="JA10" s="206"/>
      <c r="JB10" s="207"/>
      <c r="JC10" s="218"/>
      <c r="JD10" s="219"/>
      <c r="JE10" s="220"/>
      <c r="JF10" s="206"/>
      <c r="JG10" s="207"/>
      <c r="JH10" s="218"/>
      <c r="JI10" s="219"/>
      <c r="JJ10" s="220"/>
      <c r="JK10" s="206"/>
      <c r="JL10" s="207"/>
      <c r="JM10" s="208"/>
      <c r="JN10" s="209"/>
      <c r="JO10" s="215" t="s">
        <v>25</v>
      </c>
      <c r="JP10" s="216"/>
      <c r="JQ10" s="217"/>
      <c r="JR10" s="206"/>
      <c r="JS10" s="207"/>
      <c r="JT10" s="218"/>
      <c r="JU10" s="219"/>
      <c r="JV10" s="220"/>
      <c r="JW10" s="206"/>
      <c r="JX10" s="207"/>
      <c r="JY10" s="218"/>
      <c r="JZ10" s="219"/>
      <c r="KA10" s="220"/>
      <c r="KB10" s="206"/>
      <c r="KC10" s="207"/>
      <c r="KD10" s="208"/>
      <c r="KE10" s="209"/>
      <c r="KF10" s="215" t="s">
        <v>25</v>
      </c>
      <c r="KG10" s="216"/>
      <c r="KH10" s="217"/>
      <c r="KI10" s="206"/>
      <c r="KJ10" s="207"/>
      <c r="KK10" s="218"/>
      <c r="KL10" s="219"/>
      <c r="KM10" s="220"/>
      <c r="KN10" s="206"/>
      <c r="KO10" s="207"/>
      <c r="KP10" s="218"/>
      <c r="KQ10" s="219"/>
      <c r="KR10" s="220"/>
      <c r="KS10" s="206"/>
      <c r="KT10" s="207"/>
      <c r="KU10" s="208"/>
      <c r="KV10" s="209"/>
      <c r="KW10" s="215" t="s">
        <v>27</v>
      </c>
      <c r="KX10" s="216"/>
      <c r="KY10" s="217"/>
      <c r="KZ10" s="206"/>
      <c r="LA10" s="207"/>
      <c r="LB10" s="218"/>
      <c r="LC10" s="219"/>
      <c r="LD10" s="220"/>
      <c r="LE10" s="206"/>
      <c r="LF10" s="207"/>
      <c r="LG10" s="218"/>
      <c r="LH10" s="219"/>
      <c r="LI10" s="220"/>
      <c r="LJ10" s="206"/>
      <c r="LK10" s="207"/>
      <c r="LL10" s="208"/>
      <c r="LM10" s="209"/>
      <c r="LN10" s="215" t="s">
        <v>25</v>
      </c>
      <c r="LO10" s="216"/>
      <c r="LP10" s="217"/>
      <c r="LQ10" s="206"/>
      <c r="LR10" s="207"/>
      <c r="LS10" s="218"/>
      <c r="LT10" s="219"/>
      <c r="LU10" s="220"/>
      <c r="LV10" s="206"/>
      <c r="LW10" s="207"/>
      <c r="LX10" s="218"/>
      <c r="LY10" s="219"/>
      <c r="LZ10" s="220"/>
      <c r="MA10" s="206"/>
      <c r="MB10" s="207"/>
      <c r="MC10" s="208"/>
      <c r="MD10" s="209"/>
      <c r="ME10" s="215" t="s">
        <v>27</v>
      </c>
      <c r="MF10" s="216"/>
      <c r="MG10" s="217"/>
      <c r="MH10" s="206"/>
      <c r="MI10" s="207"/>
      <c r="MJ10" s="218"/>
      <c r="MK10" s="219"/>
      <c r="ML10" s="220"/>
      <c r="MM10" s="206"/>
      <c r="MN10" s="207"/>
      <c r="MO10" s="218"/>
      <c r="MP10" s="219"/>
      <c r="MQ10" s="220"/>
      <c r="MR10" s="206"/>
      <c r="MS10" s="207"/>
      <c r="MT10" s="208"/>
      <c r="MU10" s="209"/>
      <c r="MV10" s="215"/>
      <c r="MW10" s="216"/>
      <c r="MX10" s="217"/>
      <c r="MY10" s="206"/>
      <c r="MZ10" s="207"/>
      <c r="NA10" s="218"/>
      <c r="NB10" s="219"/>
      <c r="NC10" s="220"/>
      <c r="ND10" s="206"/>
      <c r="NE10" s="207"/>
      <c r="NF10" s="218"/>
      <c r="NG10" s="219"/>
      <c r="NH10" s="220"/>
      <c r="NI10" s="206"/>
      <c r="NJ10" s="207"/>
      <c r="NK10" s="208"/>
      <c r="NL10" s="209"/>
      <c r="NM10" s="215"/>
      <c r="NN10" s="216"/>
      <c r="NO10" s="217"/>
      <c r="NP10" s="206"/>
      <c r="NQ10" s="207"/>
      <c r="NR10" s="218"/>
      <c r="NS10" s="219"/>
      <c r="NT10" s="220"/>
      <c r="NU10" s="206"/>
      <c r="NV10" s="207"/>
      <c r="NW10" s="218"/>
      <c r="NX10" s="219"/>
      <c r="NY10" s="220"/>
      <c r="NZ10" s="206"/>
      <c r="OA10" s="207"/>
      <c r="OB10" s="208"/>
      <c r="OC10" s="209"/>
      <c r="OD10" s="215" t="s">
        <v>25</v>
      </c>
      <c r="OE10" s="216"/>
      <c r="OF10" s="217"/>
      <c r="OG10" s="206"/>
      <c r="OH10" s="207"/>
      <c r="OI10" s="218"/>
      <c r="OJ10" s="219"/>
      <c r="OK10" s="220"/>
      <c r="OL10" s="206"/>
      <c r="OM10" s="207"/>
      <c r="ON10" s="218"/>
      <c r="OO10" s="219"/>
      <c r="OP10" s="220"/>
      <c r="OQ10" s="206"/>
      <c r="OR10" s="207"/>
      <c r="OS10" s="208"/>
      <c r="OT10" s="209"/>
      <c r="OU10" s="215" t="s">
        <v>25</v>
      </c>
      <c r="OV10" s="216"/>
      <c r="OW10" s="217"/>
      <c r="OX10" s="206"/>
      <c r="OY10" s="207"/>
      <c r="OZ10" s="218"/>
      <c r="PA10" s="219"/>
      <c r="PB10" s="220"/>
      <c r="PC10" s="206"/>
      <c r="PD10" s="207"/>
      <c r="PE10" s="218"/>
      <c r="PF10" s="219"/>
      <c r="PG10" s="220"/>
      <c r="PH10" s="206"/>
      <c r="PI10" s="207"/>
      <c r="PJ10" s="208"/>
      <c r="PK10" s="209"/>
      <c r="PL10" s="215" t="s">
        <v>25</v>
      </c>
      <c r="PM10" s="216"/>
      <c r="PN10" s="217"/>
      <c r="PO10" s="206"/>
      <c r="PP10" s="207"/>
      <c r="PQ10" s="218"/>
      <c r="PR10" s="219"/>
      <c r="PS10" s="220"/>
      <c r="PT10" s="206"/>
      <c r="PU10" s="207"/>
      <c r="PV10" s="218"/>
      <c r="PW10" s="219"/>
      <c r="PX10" s="220"/>
      <c r="PY10" s="206"/>
      <c r="PZ10" s="207"/>
      <c r="QA10" s="208"/>
      <c r="QB10" s="209"/>
      <c r="QC10" s="215"/>
      <c r="QD10" s="216"/>
      <c r="QE10" s="217"/>
      <c r="QF10" s="206"/>
      <c r="QG10" s="207"/>
      <c r="QH10" s="218"/>
      <c r="QI10" s="219"/>
      <c r="QJ10" s="220"/>
      <c r="QK10" s="206"/>
      <c r="QL10" s="207"/>
      <c r="QM10" s="218"/>
      <c r="QN10" s="219"/>
      <c r="QO10" s="220"/>
      <c r="QP10" s="206"/>
      <c r="QQ10" s="207"/>
      <c r="QR10" s="208"/>
      <c r="QS10" s="209"/>
      <c r="QT10" s="215" t="s">
        <v>24</v>
      </c>
      <c r="QU10" s="216"/>
      <c r="QV10" s="217"/>
      <c r="QW10" s="206"/>
      <c r="QX10" s="207"/>
      <c r="QY10" s="218"/>
      <c r="QZ10" s="219"/>
      <c r="RA10" s="220"/>
      <c r="RB10" s="206"/>
      <c r="RC10" s="207"/>
      <c r="RD10" s="218"/>
      <c r="RE10" s="219"/>
      <c r="RF10" s="220"/>
      <c r="RG10" s="206"/>
      <c r="RH10" s="207"/>
      <c r="RI10" s="208"/>
      <c r="RJ10" s="209"/>
      <c r="RK10" s="215" t="s">
        <v>27</v>
      </c>
      <c r="RL10" s="216"/>
      <c r="RM10" s="217"/>
      <c r="RN10" s="206"/>
      <c r="RO10" s="207"/>
      <c r="RP10" s="218"/>
      <c r="RQ10" s="219"/>
      <c r="RR10" s="220"/>
      <c r="RS10" s="206"/>
      <c r="RT10" s="207"/>
      <c r="RU10" s="218"/>
      <c r="RV10" s="219"/>
      <c r="RW10" s="220"/>
      <c r="RX10" s="206"/>
      <c r="RY10" s="207"/>
      <c r="RZ10" s="208"/>
      <c r="SA10" s="209"/>
      <c r="SB10" s="215"/>
      <c r="SC10" s="216"/>
      <c r="SD10" s="217"/>
      <c r="SE10" s="206"/>
      <c r="SF10" s="207"/>
      <c r="SG10" s="218"/>
      <c r="SH10" s="219"/>
      <c r="SI10" s="220"/>
      <c r="SJ10" s="206"/>
      <c r="SK10" s="207"/>
      <c r="SL10" s="218"/>
      <c r="SM10" s="219"/>
      <c r="SN10" s="220"/>
      <c r="SO10" s="206"/>
      <c r="SP10" s="207"/>
      <c r="SQ10" s="208"/>
      <c r="SR10" s="209"/>
    </row>
    <row r="11" spans="1:512" s="72" customFormat="1" ht="18" customHeight="1" thickBot="1" x14ac:dyDescent="0.3">
      <c r="A11" s="248" t="s">
        <v>48</v>
      </c>
      <c r="B11" s="249"/>
      <c r="C11" s="159"/>
      <c r="D11" s="160"/>
      <c r="E11" s="161"/>
      <c r="F11" s="112" t="str">
        <f>IFERROR((((COUNTIF('Elève (6ème4)'!C11:E11,"A"))*4)+((COUNTIF('Elève (6ème4)'!C11:E11,"B"))*3)+((COUNTIF('Elève (6ème4)'!C11:E11,"C"))*2)+((COUNTIF('Elève (6ème4)'!C11:E11,"D"))*1))/(COUNTA(C11:E11)),"")</f>
        <v/>
      </c>
      <c r="G11" s="113" t="str">
        <f t="shared" si="0"/>
        <v/>
      </c>
      <c r="H11" s="84"/>
      <c r="I11" s="85"/>
      <c r="J11" s="86"/>
      <c r="K11" s="112" t="str">
        <f>IFERROR((((COUNTIF('Elève (6ème4)'!H11:J11,"A"))*4)+((COUNTIF('Elève (6ème4)'!H11:J11,"B"))*3)+((COUNTIF('Elève (6ème4)'!H11:J11,"C"))*2)+((COUNTIF('Elève (6ème4)'!H11:J11,"D"))*1))/(COUNTA(H11:J11)),"")</f>
        <v/>
      </c>
      <c r="L11" s="113" t="str">
        <f t="shared" si="1"/>
        <v/>
      </c>
      <c r="M11" s="84"/>
      <c r="N11" s="85"/>
      <c r="O11" s="86"/>
      <c r="P11" s="112" t="str">
        <f>IFERROR((((COUNTIF('Elève (6ème4)'!M11:O11,"A"))*4)+((COUNTIF('Elève (6ème4)'!M11:O11,"B"))*3)+((COUNTIF('Elève (6ème4)'!M11:O11,"C"))*2)+((COUNTIF('Elève (6ème4)'!M11:O11,"D"))*1))/(COUNTA(M11:O11)),"")</f>
        <v/>
      </c>
      <c r="Q11" s="113" t="str">
        <f t="shared" si="2"/>
        <v/>
      </c>
      <c r="R11" s="180" t="str">
        <f>IF(COUNT(F11,K11,P11)=0,"",SUM(F11,K11,P11)/COUNT(F11,K11,P11))</f>
        <v/>
      </c>
      <c r="S11" s="133" t="str">
        <f t="shared" si="3"/>
        <v/>
      </c>
      <c r="T11" s="159"/>
      <c r="U11" s="160"/>
      <c r="V11" s="161"/>
      <c r="W11" s="112" t="str">
        <f>IFERROR((((COUNTIF('Elève (6ème4)'!T11:V11,"A"))*4)+((COUNTIF('Elève (6ème4)'!T11:V11,"B"))*3)+((COUNTIF('Elève (6ème4)'!T11:V11,"C"))*2)+((COUNTIF('Elève (6ème4)'!T11:V11,"D"))*1))/(COUNTA(T11:V11)),"")</f>
        <v/>
      </c>
      <c r="X11" s="113" t="str">
        <f t="shared" si="4"/>
        <v/>
      </c>
      <c r="Y11" s="84"/>
      <c r="Z11" s="85"/>
      <c r="AA11" s="86"/>
      <c r="AB11" s="112" t="str">
        <f>IFERROR((((COUNTIF('Elève (6ème4)'!Y11:AA11,"A"))*4)+((COUNTIF('Elève (6ème4)'!Y11:AA11,"B"))*3)+((COUNTIF('Elève (6ème4)'!Y11:AA11,"C"))*2)+((COUNTIF('Elève (6ème4)'!Y11:AA11,"D"))*1))/(COUNTA(Y11:AA11)),"")</f>
        <v/>
      </c>
      <c r="AC11" s="113" t="str">
        <f t="shared" si="5"/>
        <v/>
      </c>
      <c r="AD11" s="84"/>
      <c r="AE11" s="85"/>
      <c r="AF11" s="86"/>
      <c r="AG11" s="112" t="str">
        <f>IFERROR((((COUNTIF('Elève (6ème4)'!AD11:AF11,"A"))*4)+((COUNTIF('Elève (6ème4)'!AD11:AF11,"B"))*3)+((COUNTIF('Elève (6ème4)'!AD11:AF11,"C"))*2)+((COUNTIF('Elève (6ème4)'!AD11:AF11,"D"))*1))/(COUNTA(AD11:AF11)),"")</f>
        <v/>
      </c>
      <c r="AH11" s="113" t="str">
        <f t="shared" si="6"/>
        <v/>
      </c>
      <c r="AI11" s="180" t="str">
        <f>IF(COUNT(W11,AB11,AG11)=0,"",SUM(W11,AB11,AG11)/COUNT(W11,AB11,AG11))</f>
        <v/>
      </c>
      <c r="AJ11" s="133" t="str">
        <f t="shared" si="7"/>
        <v/>
      </c>
      <c r="AK11" s="159"/>
      <c r="AL11" s="160"/>
      <c r="AM11" s="161"/>
      <c r="AN11" s="112" t="str">
        <f>IFERROR((((COUNTIF('Elève (6ème4)'!AK11:AM11,"A"))*4)+((COUNTIF('Elève (6ème4)'!AK11:AM11,"B"))*3)+((COUNTIF('Elève (6ème4)'!AK11:AM11,"C"))*2)+((COUNTIF('Elève (6ème4)'!AK11:AM11,"D"))*1))/(COUNTA(AK11:AM11)),"")</f>
        <v/>
      </c>
      <c r="AO11" s="113" t="str">
        <f t="shared" si="8"/>
        <v/>
      </c>
      <c r="AP11" s="84"/>
      <c r="AQ11" s="85"/>
      <c r="AR11" s="86"/>
      <c r="AS11" s="112" t="str">
        <f>IFERROR((((COUNTIF('Elève (6ème4)'!AP11:AR11,"A"))*4)+((COUNTIF('Elève (6ème4)'!AP11:AR11,"B"))*3)+((COUNTIF('Elève (6ème4)'!AP11:AR11,"C"))*2)+((COUNTIF('Elève (6ème4)'!AP11:AR11,"D"))*1))/(COUNTA(AP11:AR11)),"")</f>
        <v/>
      </c>
      <c r="AT11" s="113" t="str">
        <f t="shared" si="9"/>
        <v/>
      </c>
      <c r="AU11" s="84"/>
      <c r="AV11" s="85"/>
      <c r="AW11" s="86"/>
      <c r="AX11" s="112" t="str">
        <f>IFERROR((((COUNTIF('Elève (6ème4)'!AU11:AW11,"A"))*4)+((COUNTIF('Elève (6ème4)'!AU11:AW11,"B"))*3)+((COUNTIF('Elève (6ème4)'!AU11:AW11,"C"))*2)+((COUNTIF('Elève (6ème4)'!AU11:AW11,"D"))*1))/(COUNTA(AU11:AW11)),"")</f>
        <v/>
      </c>
      <c r="AY11" s="113" t="str">
        <f t="shared" si="10"/>
        <v/>
      </c>
      <c r="AZ11" s="180" t="str">
        <f>IF(COUNT(AN11,AS11,AX11)=0,"",SUM(AN11,AS11,AX11)/COUNT(AN11,AS11,AX11))</f>
        <v/>
      </c>
      <c r="BA11" s="133" t="str">
        <f t="shared" si="11"/>
        <v/>
      </c>
      <c r="BB11" s="159"/>
      <c r="BC11" s="160"/>
      <c r="BD11" s="161"/>
      <c r="BE11" s="112" t="str">
        <f>IFERROR((((COUNTIF('Elève (6ème4)'!BB11:BD11,"A"))*4)+((COUNTIF('Elève (6ème4)'!BB11:BD11,"B"))*3)+((COUNTIF('Elève (6ème4)'!BB11:BD11,"C"))*2)+((COUNTIF('Elève (6ème4)'!BB11:BD11,"D"))*1))/(COUNTA(BB11:BD11)),"")</f>
        <v/>
      </c>
      <c r="BF11" s="113" t="str">
        <f t="shared" si="12"/>
        <v/>
      </c>
      <c r="BG11" s="84"/>
      <c r="BH11" s="85"/>
      <c r="BI11" s="86"/>
      <c r="BJ11" s="112" t="str">
        <f>IFERROR((((COUNTIF('Elève (6ème4)'!BG11:BI11,"A"))*4)+((COUNTIF('Elève (6ème4)'!BG11:BI11,"B"))*3)+((COUNTIF('Elève (6ème4)'!BG11:BI11,"C"))*2)+((COUNTIF('Elève (6ème4)'!BG11:BI11,"D"))*1))/(COUNTA(BG11:BI11)),"")</f>
        <v/>
      </c>
      <c r="BK11" s="113" t="str">
        <f t="shared" si="13"/>
        <v/>
      </c>
      <c r="BL11" s="84"/>
      <c r="BM11" s="85"/>
      <c r="BN11" s="86"/>
      <c r="BO11" s="112" t="str">
        <f>IFERROR((((COUNTIF('Elève (6ème4)'!BL11:BN11,"A"))*4)+((COUNTIF('Elève (6ème4)'!BL11:BN11,"B"))*3)+((COUNTIF('Elève (6ème4)'!BL11:BN11,"C"))*2)+((COUNTIF('Elève (6ème4)'!BL11:BN11,"D"))*1))/(COUNTA(BL11:BN11)),"")</f>
        <v/>
      </c>
      <c r="BP11" s="113" t="str">
        <f t="shared" si="14"/>
        <v/>
      </c>
      <c r="BQ11" s="180" t="str">
        <f>IF(COUNT(BE11,BJ11,BO11)=0,"",SUM(BE11,BJ11,BO11)/COUNT(BE11,BJ11,BO11))</f>
        <v/>
      </c>
      <c r="BR11" s="133" t="str">
        <f t="shared" si="15"/>
        <v/>
      </c>
      <c r="BS11" s="159"/>
      <c r="BT11" s="160"/>
      <c r="BU11" s="161"/>
      <c r="BV11" s="112" t="str">
        <f>IFERROR((((COUNTIF('Elève (6ème4)'!BS11:BU11,"A"))*4)+((COUNTIF('Elève (6ème4)'!BS11:BU11,"B"))*3)+((COUNTIF('Elève (6ème4)'!BS11:BU11,"C"))*2)+((COUNTIF('Elève (6ème4)'!BS11:BU11,"D"))*1))/(COUNTA(BS11:BU11)),"")</f>
        <v/>
      </c>
      <c r="BW11" s="113" t="str">
        <f t="shared" si="16"/>
        <v/>
      </c>
      <c r="BX11" s="84"/>
      <c r="BY11" s="85"/>
      <c r="BZ11" s="86"/>
      <c r="CA11" s="112" t="str">
        <f>IFERROR((((COUNTIF('Elève (6ème4)'!BX11:BZ11,"A"))*4)+((COUNTIF('Elève (6ème4)'!BX11:BZ11,"B"))*3)+((COUNTIF('Elève (6ème4)'!BX11:BZ11,"C"))*2)+((COUNTIF('Elève (6ème4)'!BX11:BZ11,"D"))*1))/(COUNTA(BX11:BZ11)),"")</f>
        <v/>
      </c>
      <c r="CB11" s="113" t="str">
        <f t="shared" si="17"/>
        <v/>
      </c>
      <c r="CC11" s="84"/>
      <c r="CD11" s="85"/>
      <c r="CE11" s="86"/>
      <c r="CF11" s="112" t="str">
        <f>IFERROR((((COUNTIF('Elève (6ème4)'!CC11:CE11,"A"))*4)+((COUNTIF('Elève (6ème4)'!CC11:CE11,"B"))*3)+((COUNTIF('Elève (6ème4)'!CC11:CE11,"C"))*2)+((COUNTIF('Elève (6ème4)'!CC11:CE11,"D"))*1))/(COUNTA(CC11:CE11)),"")</f>
        <v/>
      </c>
      <c r="CG11" s="113" t="str">
        <f t="shared" si="18"/>
        <v/>
      </c>
      <c r="CH11" s="180" t="str">
        <f>IF(COUNT(BV11,CA11,CF11)=0,"",SUM(BV11,CA11,CF11)/COUNT(BV11,CA11,CF11))</f>
        <v/>
      </c>
      <c r="CI11" s="133" t="str">
        <f t="shared" si="19"/>
        <v/>
      </c>
      <c r="CJ11" s="159"/>
      <c r="CK11" s="160"/>
      <c r="CL11" s="161"/>
      <c r="CM11" s="112" t="str">
        <f>IFERROR((((COUNTIF('Elève (6ème4)'!CJ11:CL11,"A"))*4)+((COUNTIF('Elève (6ème4)'!CJ11:CL11,"B"))*3)+((COUNTIF('Elève (6ème4)'!CJ11:CL11,"C"))*2)+((COUNTIF('Elève (6ème4)'!CJ11:CL11,"D"))*1))/(COUNTA(CJ11:CL11)),"")</f>
        <v/>
      </c>
      <c r="CN11" s="113" t="str">
        <f t="shared" si="20"/>
        <v/>
      </c>
      <c r="CO11" s="84"/>
      <c r="CP11" s="85"/>
      <c r="CQ11" s="86"/>
      <c r="CR11" s="112" t="str">
        <f>IFERROR((((COUNTIF('Elève (6ème4)'!CO11:CQ11,"A"))*4)+((COUNTIF('Elève (6ème4)'!CO11:CQ11,"B"))*3)+((COUNTIF('Elève (6ème4)'!CO11:CQ11,"C"))*2)+((COUNTIF('Elève (6ème4)'!CO11:CQ11,"D"))*1))/(COUNTA(CO11:CQ11)),"")</f>
        <v/>
      </c>
      <c r="CS11" s="113" t="str">
        <f t="shared" si="21"/>
        <v/>
      </c>
      <c r="CT11" s="84"/>
      <c r="CU11" s="85"/>
      <c r="CV11" s="86"/>
      <c r="CW11" s="112" t="str">
        <f>IFERROR((((COUNTIF('Elève (6ème4)'!CT11:CV11,"A"))*4)+((COUNTIF('Elève (6ème4)'!CT11:CV11,"B"))*3)+((COUNTIF('Elève (6ème4)'!CT11:CV11,"C"))*2)+((COUNTIF('Elève (6ème4)'!CT11:CV11,"D"))*1))/(COUNTA(CT11:CV11)),"")</f>
        <v/>
      </c>
      <c r="CX11" s="113" t="str">
        <f t="shared" si="22"/>
        <v/>
      </c>
      <c r="CY11" s="180" t="str">
        <f>IF(COUNT(CM11,CR11,CW11)=0,"",SUM(CM11,CR11,CW11)/COUNT(CM11,CR11,CW11))</f>
        <v/>
      </c>
      <c r="CZ11" s="133" t="str">
        <f t="shared" si="23"/>
        <v/>
      </c>
      <c r="DA11" s="159"/>
      <c r="DB11" s="160"/>
      <c r="DC11" s="161"/>
      <c r="DD11" s="112" t="str">
        <f>IFERROR((((COUNTIF('Elève (6ème4)'!DA11:DC11,"A"))*4)+((COUNTIF('Elève (6ème4)'!DA11:DC11,"B"))*3)+((COUNTIF('Elève (6ème4)'!DA11:DC11,"C"))*2)+((COUNTIF('Elève (6ème4)'!DA11:DC11,"D"))*1))/(COUNTA(DA11:DC11)),"")</f>
        <v/>
      </c>
      <c r="DE11" s="113" t="str">
        <f t="shared" si="24"/>
        <v/>
      </c>
      <c r="DF11" s="84"/>
      <c r="DG11" s="85"/>
      <c r="DH11" s="86"/>
      <c r="DI11" s="112" t="str">
        <f>IFERROR((((COUNTIF('Elève (6ème4)'!DF11:DH11,"A"))*4)+((COUNTIF('Elève (6ème4)'!DF11:DH11,"B"))*3)+((COUNTIF('Elève (6ème4)'!DF11:DH11,"C"))*2)+((COUNTIF('Elève (6ème4)'!DF11:DH11,"D"))*1))/(COUNTA(DF11:DH11)),"")</f>
        <v/>
      </c>
      <c r="DJ11" s="113" t="str">
        <f t="shared" si="25"/>
        <v/>
      </c>
      <c r="DK11" s="84"/>
      <c r="DL11" s="85"/>
      <c r="DM11" s="86"/>
      <c r="DN11" s="112" t="str">
        <f>IFERROR((((COUNTIF('Elève (6ème4)'!DK11:DM11,"A"))*4)+((COUNTIF('Elève (6ème4)'!DK11:DM11,"B"))*3)+((COUNTIF('Elève (6ème4)'!DK11:DM11,"C"))*2)+((COUNTIF('Elève (6ème4)'!DK11:DM11,"D"))*1))/(COUNTA(DK11:DM11)),"")</f>
        <v/>
      </c>
      <c r="DO11" s="113" t="str">
        <f t="shared" si="26"/>
        <v/>
      </c>
      <c r="DP11" s="180" t="str">
        <f>IF(COUNT(DD11,DI11,DN11)=0,"",SUM(DD11,DI11,DN11)/COUNT(DD11,DI11,DN11))</f>
        <v/>
      </c>
      <c r="DQ11" s="133" t="str">
        <f t="shared" si="27"/>
        <v/>
      </c>
      <c r="DR11" s="159"/>
      <c r="DS11" s="160"/>
      <c r="DT11" s="161"/>
      <c r="DU11" s="112" t="str">
        <f>IFERROR((((COUNTIF('Elève (6ème4)'!DR11:DT11,"A"))*4)+((COUNTIF('Elève (6ème4)'!DR11:DT11,"B"))*3)+((COUNTIF('Elève (6ème4)'!DR11:DT11,"C"))*2)+((COUNTIF('Elève (6ème4)'!DR11:DT11,"D"))*1))/(COUNTA(DR11:DT11)),"")</f>
        <v/>
      </c>
      <c r="DV11" s="113" t="str">
        <f t="shared" si="28"/>
        <v/>
      </c>
      <c r="DW11" s="84"/>
      <c r="DX11" s="85"/>
      <c r="DY11" s="86"/>
      <c r="DZ11" s="112" t="str">
        <f>IFERROR((((COUNTIF('Elève (6ème4)'!DW11:DY11,"A"))*4)+((COUNTIF('Elève (6ème4)'!DW11:DY11,"B"))*3)+((COUNTIF('Elève (6ème4)'!DW11:DY11,"C"))*2)+((COUNTIF('Elève (6ème4)'!DW11:DY11,"D"))*1))/(COUNTA(DW11:DY11)),"")</f>
        <v/>
      </c>
      <c r="EA11" s="113" t="str">
        <f t="shared" si="29"/>
        <v/>
      </c>
      <c r="EB11" s="84"/>
      <c r="EC11" s="85"/>
      <c r="ED11" s="86"/>
      <c r="EE11" s="112" t="str">
        <f>IFERROR((((COUNTIF('Elève (6ème4)'!EB11:ED11,"A"))*4)+((COUNTIF('Elève (6ème4)'!EB11:ED11,"B"))*3)+((COUNTIF('Elève (6ème4)'!EB11:ED11,"C"))*2)+((COUNTIF('Elève (6ème4)'!EB11:ED11,"D"))*1))/(COUNTA(EB11:ED11)),"")</f>
        <v/>
      </c>
      <c r="EF11" s="113" t="str">
        <f t="shared" si="30"/>
        <v/>
      </c>
      <c r="EG11" s="180" t="str">
        <f>IF(COUNT(DU11,DZ11,EE11)=0,"",SUM(DU11,DZ11,EE11)/COUNT(DU11,DZ11,EE11))</f>
        <v/>
      </c>
      <c r="EH11" s="133" t="str">
        <f t="shared" si="31"/>
        <v/>
      </c>
      <c r="EI11" s="159"/>
      <c r="EJ11" s="160"/>
      <c r="EK11" s="161"/>
      <c r="EL11" s="112" t="str">
        <f>IFERROR((((COUNTIF('Elève (6ème4)'!EI11:EK11,"A"))*4)+((COUNTIF('Elève (6ème4)'!EI11:EK11,"B"))*3)+((COUNTIF('Elève (6ème4)'!EI11:EK11,"C"))*2)+((COUNTIF('Elève (6ème4)'!EI11:EK11,"D"))*1))/(COUNTA(EI11:EK11)),"")</f>
        <v/>
      </c>
      <c r="EM11" s="113" t="str">
        <f t="shared" si="32"/>
        <v/>
      </c>
      <c r="EN11" s="84"/>
      <c r="EO11" s="85"/>
      <c r="EP11" s="86"/>
      <c r="EQ11" s="112" t="str">
        <f>IFERROR((((COUNTIF('Elève (6ème4)'!EN11:EP11,"A"))*4)+((COUNTIF('Elève (6ème4)'!EN11:EP11,"B"))*3)+((COUNTIF('Elève (6ème4)'!EN11:EP11,"C"))*2)+((COUNTIF('Elève (6ème4)'!EN11:EP11,"D"))*1))/(COUNTA(EN11:EP11)),"")</f>
        <v/>
      </c>
      <c r="ER11" s="113" t="str">
        <f t="shared" si="33"/>
        <v/>
      </c>
      <c r="ES11" s="84"/>
      <c r="ET11" s="85"/>
      <c r="EU11" s="86"/>
      <c r="EV11" s="112" t="str">
        <f>IFERROR((((COUNTIF('Elève (6ème4)'!ES11:EU11,"A"))*4)+((COUNTIF('Elève (6ème4)'!ES11:EU11,"B"))*3)+((COUNTIF('Elève (6ème4)'!ES11:EU11,"C"))*2)+((COUNTIF('Elève (6ème4)'!ES11:EU11,"D"))*1))/(COUNTA(ES11:EU11)),"")</f>
        <v/>
      </c>
      <c r="EW11" s="113" t="str">
        <f t="shared" si="34"/>
        <v/>
      </c>
      <c r="EX11" s="180" t="str">
        <f>IF(COUNT(EL11,EQ11,EV11)=0,"",SUM(EL11,EQ11,EV11)/COUNT(EL11,EQ11,EV11))</f>
        <v/>
      </c>
      <c r="EY11" s="133" t="str">
        <f t="shared" si="35"/>
        <v/>
      </c>
      <c r="EZ11" s="159"/>
      <c r="FA11" s="160"/>
      <c r="FB11" s="161"/>
      <c r="FC11" s="112" t="str">
        <f>IFERROR((((COUNTIF('Elève (6ème4)'!EZ11:FB11,"A"))*4)+((COUNTIF('Elève (6ème4)'!EZ11:FB11,"B"))*3)+((COUNTIF('Elève (6ème4)'!EZ11:FB11,"C"))*2)+((COUNTIF('Elève (6ème4)'!EZ11:FB11,"D"))*1))/(COUNTA(EZ11:FB11)),"")</f>
        <v/>
      </c>
      <c r="FD11" s="113" t="str">
        <f t="shared" si="36"/>
        <v/>
      </c>
      <c r="FE11" s="84"/>
      <c r="FF11" s="85"/>
      <c r="FG11" s="86"/>
      <c r="FH11" s="112" t="str">
        <f>IFERROR((((COUNTIF('Elève (6ème4)'!FE11:FG11,"A"))*4)+((COUNTIF('Elève (6ème4)'!FE11:FG11,"B"))*3)+((COUNTIF('Elève (6ème4)'!FE11:FG11,"C"))*2)+((COUNTIF('Elève (6ème4)'!FE11:FG11,"D"))*1))/(COUNTA(FE11:FG11)),"")</f>
        <v/>
      </c>
      <c r="FI11" s="113" t="str">
        <f t="shared" si="37"/>
        <v/>
      </c>
      <c r="FJ11" s="84"/>
      <c r="FK11" s="85"/>
      <c r="FL11" s="86"/>
      <c r="FM11" s="112" t="str">
        <f>IFERROR((((COUNTIF('Elève (6ème4)'!FJ11:FL11,"A"))*4)+((COUNTIF('Elève (6ème4)'!FJ11:FL11,"B"))*3)+((COUNTIF('Elève (6ème4)'!FJ11:FL11,"C"))*2)+((COUNTIF('Elève (6ème4)'!FJ11:FL11,"D"))*1))/(COUNTA(FJ11:FL11)),"")</f>
        <v/>
      </c>
      <c r="FN11" s="113" t="str">
        <f t="shared" si="38"/>
        <v/>
      </c>
      <c r="FO11" s="180" t="str">
        <f>IF(COUNT(FC11,FH11,FM11)=0,"",SUM(FC11,FH11,FM11)/COUNT(FC11,FH11,FM11))</f>
        <v/>
      </c>
      <c r="FP11" s="133" t="str">
        <f t="shared" si="39"/>
        <v/>
      </c>
      <c r="FQ11" s="159"/>
      <c r="FR11" s="160"/>
      <c r="FS11" s="161"/>
      <c r="FT11" s="112" t="str">
        <f>IFERROR((((COUNTIF('Elève (6ème4)'!FQ11:FS11,"A"))*4)+((COUNTIF('Elève (6ème4)'!FQ11:FS11,"B"))*3)+((COUNTIF('Elève (6ème4)'!FQ11:FS11,"C"))*2)+((COUNTIF('Elève (6ème4)'!FQ11:FS11,"D"))*1))/(COUNTA(FQ11:FS11)),"")</f>
        <v/>
      </c>
      <c r="FU11" s="113" t="str">
        <f t="shared" si="40"/>
        <v/>
      </c>
      <c r="FV11" s="84"/>
      <c r="FW11" s="85"/>
      <c r="FX11" s="86"/>
      <c r="FY11" s="112" t="str">
        <f>IFERROR((((COUNTIF('Elève (6ème4)'!FV11:FX11,"A"))*4)+((COUNTIF('Elève (6ème4)'!FV11:FX11,"B"))*3)+((COUNTIF('Elève (6ème4)'!FV11:FX11,"C"))*2)+((COUNTIF('Elève (6ème4)'!FV11:FX11,"D"))*1))/(COUNTA(FV11:FX11)),"")</f>
        <v/>
      </c>
      <c r="FZ11" s="113" t="str">
        <f t="shared" si="41"/>
        <v/>
      </c>
      <c r="GA11" s="84"/>
      <c r="GB11" s="85"/>
      <c r="GC11" s="86"/>
      <c r="GD11" s="112" t="str">
        <f>IFERROR((((COUNTIF('Elève (6ème4)'!GA11:GC11,"A"))*4)+((COUNTIF('Elève (6ème4)'!GA11:GC11,"B"))*3)+((COUNTIF('Elève (6ème4)'!GA11:GC11,"C"))*2)+((COUNTIF('Elève (6ème4)'!GA11:GC11,"D"))*1))/(COUNTA(GA11:GC11)),"")</f>
        <v/>
      </c>
      <c r="GE11" s="113" t="str">
        <f t="shared" si="42"/>
        <v/>
      </c>
      <c r="GF11" s="180" t="str">
        <f>IF(COUNT(FT11,FY11,GD11)=0,"",SUM(FT11,FY11,GD11)/COUNT(FT11,FY11,GD11))</f>
        <v/>
      </c>
      <c r="GG11" s="133" t="str">
        <f t="shared" si="43"/>
        <v/>
      </c>
      <c r="GH11" s="159"/>
      <c r="GI11" s="160"/>
      <c r="GJ11" s="161"/>
      <c r="GK11" s="112" t="str">
        <f>IFERROR((((COUNTIF('Elève (6ème4)'!GH11:GJ11,"A"))*4)+((COUNTIF('Elève (6ème4)'!GH11:GJ11,"B"))*3)+((COUNTIF('Elève (6ème4)'!GH11:GJ11,"C"))*2)+((COUNTIF('Elève (6ème4)'!GH11:GJ11,"D"))*1))/(COUNTA(GH11:GJ11)),"")</f>
        <v/>
      </c>
      <c r="GL11" s="113" t="str">
        <f t="shared" si="44"/>
        <v/>
      </c>
      <c r="GM11" s="84"/>
      <c r="GN11" s="85"/>
      <c r="GO11" s="86"/>
      <c r="GP11" s="112" t="str">
        <f>IFERROR((((COUNTIF('Elève (6ème4)'!GM11:GO11,"A"))*4)+((COUNTIF('Elève (6ème4)'!GM11:GO11,"B"))*3)+((COUNTIF('Elève (6ème4)'!GM11:GO11,"C"))*2)+((COUNTIF('Elève (6ème4)'!GM11:GO11,"D"))*1))/(COUNTA(GM11:GO11)),"")</f>
        <v/>
      </c>
      <c r="GQ11" s="113" t="str">
        <f t="shared" si="45"/>
        <v/>
      </c>
      <c r="GR11" s="84"/>
      <c r="GS11" s="85"/>
      <c r="GT11" s="86"/>
      <c r="GU11" s="112" t="str">
        <f>IFERROR((((COUNTIF('Elève (6ème4)'!GR11:GT11,"A"))*4)+((COUNTIF('Elève (6ème4)'!GR11:GT11,"B"))*3)+((COUNTIF('Elève (6ème4)'!GR11:GT11,"C"))*2)+((COUNTIF('Elève (6ème4)'!GR11:GT11,"D"))*1))/(COUNTA(GR11:GT11)),"")</f>
        <v/>
      </c>
      <c r="GV11" s="113" t="str">
        <f t="shared" si="46"/>
        <v/>
      </c>
      <c r="GW11" s="180" t="str">
        <f>IF(COUNT(GK11,GP11,GU11)=0,"",SUM(GK11,GP11,GU11)/COUNT(GK11,GP11,GU11))</f>
        <v/>
      </c>
      <c r="GX11" s="133" t="str">
        <f t="shared" si="47"/>
        <v/>
      </c>
      <c r="GY11" s="159"/>
      <c r="GZ11" s="160"/>
      <c r="HA11" s="161"/>
      <c r="HB11" s="112" t="str">
        <f>IFERROR((((COUNTIF('Elève (6ème4)'!GY11:HA11,"A"))*4)+((COUNTIF('Elève (6ème4)'!GY11:HA11,"B"))*3)+((COUNTIF('Elève (6ème4)'!GY11:HA11,"C"))*2)+((COUNTIF('Elève (6ème4)'!GY11:HA11,"D"))*1))/(COUNTA(GY11:HA11)),"")</f>
        <v/>
      </c>
      <c r="HC11" s="113" t="str">
        <f t="shared" si="48"/>
        <v/>
      </c>
      <c r="HD11" s="84"/>
      <c r="HE11" s="85"/>
      <c r="HF11" s="86"/>
      <c r="HG11" s="112" t="str">
        <f>IFERROR((((COUNTIF('Elève (6ème4)'!HD11:HF11,"A"))*4)+((COUNTIF('Elève (6ème4)'!HD11:HF11,"B"))*3)+((COUNTIF('Elève (6ème4)'!HD11:HF11,"C"))*2)+((COUNTIF('Elève (6ème4)'!HD11:HF11,"D"))*1))/(COUNTA(HD11:HF11)),"")</f>
        <v/>
      </c>
      <c r="HH11" s="113" t="str">
        <f t="shared" si="49"/>
        <v/>
      </c>
      <c r="HI11" s="84"/>
      <c r="HJ11" s="85"/>
      <c r="HK11" s="86"/>
      <c r="HL11" s="112" t="str">
        <f>IFERROR((((COUNTIF('Elève (6ème4)'!HI11:HK11,"A"))*4)+((COUNTIF('Elève (6ème4)'!HI11:HK11,"B"))*3)+((COUNTIF('Elève (6ème4)'!HI11:HK11,"C"))*2)+((COUNTIF('Elève (6ème4)'!HI11:HK11,"D"))*1))/(COUNTA(HI11:HK11)),"")</f>
        <v/>
      </c>
      <c r="HM11" s="113" t="str">
        <f t="shared" si="50"/>
        <v/>
      </c>
      <c r="HN11" s="180" t="str">
        <f>IF(COUNT(HB11,HG11,HL11)=0,"",SUM(HB11,HG11,HL11)/COUNT(HB11,HG11,HL11))</f>
        <v/>
      </c>
      <c r="HO11" s="133" t="str">
        <f t="shared" si="51"/>
        <v/>
      </c>
      <c r="HP11" s="159"/>
      <c r="HQ11" s="160"/>
      <c r="HR11" s="161"/>
      <c r="HS11" s="112" t="str">
        <f>IFERROR((((COUNTIF('Elève (6ème4)'!HP11:HR11,"A"))*4)+((COUNTIF('Elève (6ème4)'!HP11:HR11,"B"))*3)+((COUNTIF('Elève (6ème4)'!HP11:HR11,"C"))*2)+((COUNTIF('Elève (6ème4)'!HP11:HR11,"D"))*1))/(COUNTA(HP11:HR11)),"")</f>
        <v/>
      </c>
      <c r="HT11" s="113" t="str">
        <f t="shared" si="52"/>
        <v/>
      </c>
      <c r="HU11" s="84"/>
      <c r="HV11" s="85"/>
      <c r="HW11" s="86"/>
      <c r="HX11" s="112" t="str">
        <f>IFERROR((((COUNTIF('Elève (6ème4)'!HU11:HW11,"A"))*4)+((COUNTIF('Elève (6ème4)'!HU11:HW11,"B"))*3)+((COUNTIF('Elève (6ème4)'!HU11:HW11,"C"))*2)+((COUNTIF('Elève (6ème4)'!HU11:HW11,"D"))*1))/(COUNTA(HU11:HW11)),"")</f>
        <v/>
      </c>
      <c r="HY11" s="113" t="str">
        <f t="shared" si="53"/>
        <v/>
      </c>
      <c r="HZ11" s="84"/>
      <c r="IA11" s="85"/>
      <c r="IB11" s="86"/>
      <c r="IC11" s="112" t="str">
        <f>IFERROR((((COUNTIF('Elève (6ème4)'!HZ11:IB11,"A"))*4)+((COUNTIF('Elève (6ème4)'!HZ11:IB11,"B"))*3)+((COUNTIF('Elève (6ème4)'!HZ11:IB11,"C"))*2)+((COUNTIF('Elève (6ème4)'!HZ11:IB11,"D"))*1))/(COUNTA(HZ11:IB11)),"")</f>
        <v/>
      </c>
      <c r="ID11" s="113" t="str">
        <f t="shared" si="54"/>
        <v/>
      </c>
      <c r="IE11" s="180" t="str">
        <f>IF(COUNT(HS11,HX11,IC11)=0,"",SUM(HS11,HX11,IC11)/COUNT(HS11,HX11,IC11))</f>
        <v/>
      </c>
      <c r="IF11" s="133" t="str">
        <f t="shared" si="55"/>
        <v/>
      </c>
      <c r="IG11" s="159"/>
      <c r="IH11" s="160"/>
      <c r="II11" s="161"/>
      <c r="IJ11" s="112" t="str">
        <f>IFERROR((((COUNTIF('Elève (6ème4)'!IG11:II11,"A"))*4)+((COUNTIF('Elève (6ème4)'!IG11:II11,"B"))*3)+((COUNTIF('Elève (6ème4)'!IG11:II11,"C"))*2)+((COUNTIF('Elève (6ème4)'!IG11:II11,"D"))*1))/(COUNTA(IG11:II11)),"")</f>
        <v/>
      </c>
      <c r="IK11" s="113" t="str">
        <f t="shared" si="56"/>
        <v/>
      </c>
      <c r="IL11" s="84"/>
      <c r="IM11" s="85"/>
      <c r="IN11" s="86"/>
      <c r="IO11" s="112" t="str">
        <f>IFERROR((((COUNTIF('Elève (6ème4)'!IL11:IN11,"A"))*4)+((COUNTIF('Elève (6ème4)'!IL11:IN11,"B"))*3)+((COUNTIF('Elève (6ème4)'!IL11:IN11,"C"))*2)+((COUNTIF('Elève (6ème4)'!IL11:IN11,"D"))*1))/(COUNTA(IL11:IN11)),"")</f>
        <v/>
      </c>
      <c r="IP11" s="113" t="str">
        <f t="shared" si="57"/>
        <v/>
      </c>
      <c r="IQ11" s="84"/>
      <c r="IR11" s="85"/>
      <c r="IS11" s="86"/>
      <c r="IT11" s="112" t="str">
        <f>IFERROR((((COUNTIF('Elève (6ème4)'!IQ11:IS11,"A"))*4)+((COUNTIF('Elève (6ème4)'!IQ11:IS11,"B"))*3)+((COUNTIF('Elève (6ème4)'!IQ11:IS11,"C"))*2)+((COUNTIF('Elève (6ème4)'!IQ11:IS11,"D"))*1))/(COUNTA(IQ11:IS11)),"")</f>
        <v/>
      </c>
      <c r="IU11" s="113" t="str">
        <f t="shared" si="58"/>
        <v/>
      </c>
      <c r="IV11" s="180" t="str">
        <f>IF(COUNT(IJ11,IO11,IT11)=0,"",SUM(IJ11,IO11,IT11)/COUNT(IJ11,IO11,IT11))</f>
        <v/>
      </c>
      <c r="IW11" s="133" t="str">
        <f t="shared" si="59"/>
        <v/>
      </c>
      <c r="IX11" s="159"/>
      <c r="IY11" s="160"/>
      <c r="IZ11" s="161"/>
      <c r="JA11" s="112" t="str">
        <f>IFERROR((((COUNTIF('Elève (6ème4)'!IX11:IZ11,"A"))*4)+((COUNTIF('Elève (6ème4)'!IX11:IZ11,"B"))*3)+((COUNTIF('Elève (6ème4)'!IX11:IZ11,"C"))*2)+((COUNTIF('Elève (6ème4)'!IX11:IZ11,"D"))*1))/(COUNTA(IX11:IZ11)),"")</f>
        <v/>
      </c>
      <c r="JB11" s="113" t="str">
        <f t="shared" si="60"/>
        <v/>
      </c>
      <c r="JC11" s="84"/>
      <c r="JD11" s="85"/>
      <c r="JE11" s="86"/>
      <c r="JF11" s="112" t="str">
        <f>IFERROR((((COUNTIF('Elève (6ème4)'!JC11:JE11,"A"))*4)+((COUNTIF('Elève (6ème4)'!JC11:JE11,"B"))*3)+((COUNTIF('Elève (6ème4)'!JC11:JE11,"C"))*2)+((COUNTIF('Elève (6ème4)'!JC11:JE11,"D"))*1))/(COUNTA(JC11:JE11)),"")</f>
        <v/>
      </c>
      <c r="JG11" s="113" t="str">
        <f t="shared" si="61"/>
        <v/>
      </c>
      <c r="JH11" s="84"/>
      <c r="JI11" s="85"/>
      <c r="JJ11" s="86"/>
      <c r="JK11" s="112" t="str">
        <f>IFERROR((((COUNTIF('Elève (6ème4)'!JH11:JJ11,"A"))*4)+((COUNTIF('Elève (6ème4)'!JH11:JJ11,"B"))*3)+((COUNTIF('Elève (6ème4)'!JH11:JJ11,"C"))*2)+((COUNTIF('Elève (6ème4)'!JH11:JJ11,"D"))*1))/(COUNTA(JH11:JJ11)),"")</f>
        <v/>
      </c>
      <c r="JL11" s="113" t="str">
        <f t="shared" si="62"/>
        <v/>
      </c>
      <c r="JM11" s="180" t="str">
        <f>IF(COUNT(JA11,JF11,JK11)=0,"",SUM(JA11,JF11,JK11)/COUNT(JA11,JF11,JK11))</f>
        <v/>
      </c>
      <c r="JN11" s="133" t="str">
        <f t="shared" si="63"/>
        <v/>
      </c>
      <c r="JO11" s="159"/>
      <c r="JP11" s="160"/>
      <c r="JQ11" s="161"/>
      <c r="JR11" s="112" t="str">
        <f>IFERROR((((COUNTIF('Elève (6ème4)'!JO11:JQ11,"A"))*4)+((COUNTIF('Elève (6ème4)'!JO11:JQ11,"B"))*3)+((COUNTIF('Elève (6ème4)'!JO11:JQ11,"C"))*2)+((COUNTIF('Elève (6ème4)'!JO11:JQ11,"D"))*1))/(COUNTA(JO11:JQ11)),"")</f>
        <v/>
      </c>
      <c r="JS11" s="113" t="str">
        <f t="shared" si="64"/>
        <v/>
      </c>
      <c r="JT11" s="84"/>
      <c r="JU11" s="85"/>
      <c r="JV11" s="86"/>
      <c r="JW11" s="112" t="str">
        <f>IFERROR((((COUNTIF('Elève (6ème4)'!JT11:JV11,"A"))*4)+((COUNTIF('Elève (6ème4)'!JT11:JV11,"B"))*3)+((COUNTIF('Elève (6ème4)'!JT11:JV11,"C"))*2)+((COUNTIF('Elève (6ème4)'!JT11:JV11,"D"))*1))/(COUNTA(JT11:JV11)),"")</f>
        <v/>
      </c>
      <c r="JX11" s="113" t="str">
        <f t="shared" si="65"/>
        <v/>
      </c>
      <c r="JY11" s="84"/>
      <c r="JZ11" s="85"/>
      <c r="KA11" s="86"/>
      <c r="KB11" s="112" t="str">
        <f>IFERROR((((COUNTIF('Elève (6ème4)'!JY11:KA11,"A"))*4)+((COUNTIF('Elève (6ème4)'!JY11:KA11,"B"))*3)+((COUNTIF('Elève (6ème4)'!JY11:KA11,"C"))*2)+((COUNTIF('Elève (6ème4)'!JY11:KA11,"D"))*1))/(COUNTA(JY11:KA11)),"")</f>
        <v/>
      </c>
      <c r="KC11" s="113" t="str">
        <f t="shared" si="66"/>
        <v/>
      </c>
      <c r="KD11" s="180" t="str">
        <f>IF(COUNT(JR11,JW11,KB11)=0,"",SUM(JR11,JW11,KB11)/COUNT(JR11,JW11,KB11))</f>
        <v/>
      </c>
      <c r="KE11" s="133" t="str">
        <f t="shared" si="67"/>
        <v/>
      </c>
      <c r="KF11" s="159"/>
      <c r="KG11" s="160"/>
      <c r="KH11" s="161"/>
      <c r="KI11" s="112" t="str">
        <f>IFERROR((((COUNTIF('Elève (6ème4)'!KF11:KH11,"A"))*4)+((COUNTIF('Elève (6ème4)'!KF11:KH11,"B"))*3)+((COUNTIF('Elève (6ème4)'!KF11:KH11,"C"))*2)+((COUNTIF('Elève (6ème4)'!KF11:KH11,"D"))*1))/(COUNTA(KF11:KH11)),"")</f>
        <v/>
      </c>
      <c r="KJ11" s="113" t="str">
        <f t="shared" si="68"/>
        <v/>
      </c>
      <c r="KK11" s="84"/>
      <c r="KL11" s="85"/>
      <c r="KM11" s="86"/>
      <c r="KN11" s="112" t="str">
        <f>IFERROR((((COUNTIF('Elève (6ème4)'!KK11:KM11,"A"))*4)+((COUNTIF('Elève (6ème4)'!KK11:KM11,"B"))*3)+((COUNTIF('Elève (6ème4)'!KK11:KM11,"C"))*2)+((COUNTIF('Elève (6ème4)'!KK11:KM11,"D"))*1))/(COUNTA(KK11:KM11)),"")</f>
        <v/>
      </c>
      <c r="KO11" s="113" t="str">
        <f t="shared" si="69"/>
        <v/>
      </c>
      <c r="KP11" s="84"/>
      <c r="KQ11" s="85"/>
      <c r="KR11" s="86"/>
      <c r="KS11" s="112" t="str">
        <f>IFERROR((((COUNTIF('Elève (6ème4)'!KP11:KR11,"A"))*4)+((COUNTIF('Elève (6ème4)'!KP11:KR11,"B"))*3)+((COUNTIF('Elève (6ème4)'!KP11:KR11,"C"))*2)+((COUNTIF('Elève (6ème4)'!KP11:KR11,"D"))*1))/(COUNTA(KP11:KR11)),"")</f>
        <v/>
      </c>
      <c r="KT11" s="113" t="str">
        <f t="shared" si="70"/>
        <v/>
      </c>
      <c r="KU11" s="180" t="str">
        <f>IF(COUNT(KI11,KN11,KS11)=0,"",SUM(KI11,KN11,KS11)/COUNT(KI11,KN11,KS11))</f>
        <v/>
      </c>
      <c r="KV11" s="133" t="str">
        <f t="shared" si="71"/>
        <v/>
      </c>
      <c r="KW11" s="159"/>
      <c r="KX11" s="160"/>
      <c r="KY11" s="161"/>
      <c r="KZ11" s="112" t="str">
        <f>IFERROR((((COUNTIF('Elève (6ème4)'!KW11:KY11,"A"))*4)+((COUNTIF('Elève (6ème4)'!KW11:KY11,"B"))*3)+((COUNTIF('Elève (6ème4)'!KW11:KY11,"C"))*2)+((COUNTIF('Elève (6ème4)'!KW11:KY11,"D"))*1))/(COUNTA(KW11:KY11)),"")</f>
        <v/>
      </c>
      <c r="LA11" s="113" t="str">
        <f t="shared" si="72"/>
        <v/>
      </c>
      <c r="LB11" s="84"/>
      <c r="LC11" s="85"/>
      <c r="LD11" s="86"/>
      <c r="LE11" s="112" t="str">
        <f>IFERROR((((COUNTIF('Elève (6ème4)'!LB11:LD11,"A"))*4)+((COUNTIF('Elève (6ème4)'!LB11:LD11,"B"))*3)+((COUNTIF('Elève (6ème4)'!LB11:LD11,"C"))*2)+((COUNTIF('Elève (6ème4)'!LB11:LD11,"D"))*1))/(COUNTA(LB11:LD11)),"")</f>
        <v/>
      </c>
      <c r="LF11" s="113" t="str">
        <f t="shared" si="73"/>
        <v/>
      </c>
      <c r="LG11" s="84"/>
      <c r="LH11" s="85"/>
      <c r="LI11" s="86"/>
      <c r="LJ11" s="112" t="str">
        <f>IFERROR((((COUNTIF('Elève (6ème4)'!LG11:LI11,"A"))*4)+((COUNTIF('Elève (6ème4)'!LG11:LI11,"B"))*3)+((COUNTIF('Elève (6ème4)'!LG11:LI11,"C"))*2)+((COUNTIF('Elève (6ème4)'!LG11:LI11,"D"))*1))/(COUNTA(LG11:LI11)),"")</f>
        <v/>
      </c>
      <c r="LK11" s="113" t="str">
        <f t="shared" si="74"/>
        <v/>
      </c>
      <c r="LL11" s="180" t="str">
        <f>IF(COUNT(KZ11,LE11,LJ11)=0,"",SUM(KZ11,LE11,LJ11)/COUNT(KZ11,LE11,LJ11))</f>
        <v/>
      </c>
      <c r="LM11" s="133" t="str">
        <f t="shared" si="75"/>
        <v/>
      </c>
      <c r="LN11" s="159"/>
      <c r="LO11" s="160"/>
      <c r="LP11" s="161"/>
      <c r="LQ11" s="112" t="str">
        <f>IFERROR((((COUNTIF('Elève (6ème4)'!LN11:LP11,"A"))*4)+((COUNTIF('Elève (6ème4)'!LN11:LP11,"B"))*3)+((COUNTIF('Elève (6ème4)'!LN11:LP11,"C"))*2)+((COUNTIF('Elève (6ème4)'!LN11:LP11,"D"))*1))/(COUNTA(LN11:LP11)),"")</f>
        <v/>
      </c>
      <c r="LR11" s="113" t="str">
        <f t="shared" si="76"/>
        <v/>
      </c>
      <c r="LS11" s="84"/>
      <c r="LT11" s="85"/>
      <c r="LU11" s="86"/>
      <c r="LV11" s="112" t="str">
        <f>IFERROR((((COUNTIF('Elève (6ème4)'!LS11:LU11,"A"))*4)+((COUNTIF('Elève (6ème4)'!LS11:LU11,"B"))*3)+((COUNTIF('Elève (6ème4)'!LS11:LU11,"C"))*2)+((COUNTIF('Elève (6ème4)'!LS11:LU11,"D"))*1))/(COUNTA(LS11:LU11)),"")</f>
        <v/>
      </c>
      <c r="LW11" s="113" t="str">
        <f t="shared" si="77"/>
        <v/>
      </c>
      <c r="LX11" s="84"/>
      <c r="LY11" s="85"/>
      <c r="LZ11" s="86"/>
      <c r="MA11" s="112" t="str">
        <f>IFERROR((((COUNTIF('Elève (6ème4)'!LX11:LZ11,"A"))*4)+((COUNTIF('Elève (6ème4)'!LX11:LZ11,"B"))*3)+((COUNTIF('Elève (6ème4)'!LX11:LZ11,"C"))*2)+((COUNTIF('Elève (6ème4)'!LX11:LZ11,"D"))*1))/(COUNTA(LX11:LZ11)),"")</f>
        <v/>
      </c>
      <c r="MB11" s="113" t="str">
        <f t="shared" si="78"/>
        <v/>
      </c>
      <c r="MC11" s="180" t="str">
        <f>IF(COUNT(LQ11,LV11,MA11)=0,"",SUM(LQ11,LV11,MA11)/COUNT(LQ11,LV11,MA11))</f>
        <v/>
      </c>
      <c r="MD11" s="133" t="str">
        <f t="shared" si="79"/>
        <v/>
      </c>
      <c r="ME11" s="159"/>
      <c r="MF11" s="160"/>
      <c r="MG11" s="161"/>
      <c r="MH11" s="112" t="str">
        <f>IFERROR((((COUNTIF('Elève (6ème4)'!ME11:MG11,"A"))*4)+((COUNTIF('Elève (6ème4)'!ME11:MG11,"B"))*3)+((COUNTIF('Elève (6ème4)'!ME11:MG11,"C"))*2)+((COUNTIF('Elève (6ème4)'!ME11:MG11,"D"))*1))/(COUNTA(ME11:MG11)),"")</f>
        <v/>
      </c>
      <c r="MI11" s="113" t="str">
        <f t="shared" si="80"/>
        <v/>
      </c>
      <c r="MJ11" s="84"/>
      <c r="MK11" s="85"/>
      <c r="ML11" s="86"/>
      <c r="MM11" s="112" t="str">
        <f>IFERROR((((COUNTIF('Elève (6ème4)'!MJ11:ML11,"A"))*4)+((COUNTIF('Elève (6ème4)'!MJ11:ML11,"B"))*3)+((COUNTIF('Elève (6ème4)'!MJ11:ML11,"C"))*2)+((COUNTIF('Elève (6ème4)'!MJ11:ML11,"D"))*1))/(COUNTA(MJ11:ML11)),"")</f>
        <v/>
      </c>
      <c r="MN11" s="113" t="str">
        <f t="shared" si="81"/>
        <v/>
      </c>
      <c r="MO11" s="84"/>
      <c r="MP11" s="85"/>
      <c r="MQ11" s="86"/>
      <c r="MR11" s="112" t="str">
        <f>IFERROR((((COUNTIF('Elève (6ème4)'!MO11:MQ11,"A"))*4)+((COUNTIF('Elève (6ème4)'!MO11:MQ11,"B"))*3)+((COUNTIF('Elève (6ème4)'!MO11:MQ11,"C"))*2)+((COUNTIF('Elève (6ème4)'!MO11:MQ11,"D"))*1))/(COUNTA(MO11:MQ11)),"")</f>
        <v/>
      </c>
      <c r="MS11" s="113" t="str">
        <f t="shared" si="82"/>
        <v/>
      </c>
      <c r="MT11" s="180" t="str">
        <f>IF(COUNT(MH11,MM11,MR11)=0,"",SUM(MH11,MM11,MR11)/COUNT(MH11,MM11,MR11))</f>
        <v/>
      </c>
      <c r="MU11" s="133" t="str">
        <f t="shared" si="83"/>
        <v/>
      </c>
      <c r="MV11" s="159"/>
      <c r="MW11" s="160"/>
      <c r="MX11" s="161"/>
      <c r="MY11" s="112" t="str">
        <f>IFERROR((((COUNTIF('Elève (6ème4)'!MV11:MX11,"A"))*4)+((COUNTIF('Elève (6ème4)'!MV11:MX11,"B"))*3)+((COUNTIF('Elève (6ème4)'!MV11:MX11,"C"))*2)+((COUNTIF('Elève (6ème4)'!MV11:MX11,"D"))*1))/(COUNTA(MV11:MX11)),"")</f>
        <v/>
      </c>
      <c r="MZ11" s="113" t="str">
        <f t="shared" si="84"/>
        <v/>
      </c>
      <c r="NA11" s="84"/>
      <c r="NB11" s="85"/>
      <c r="NC11" s="86"/>
      <c r="ND11" s="112" t="str">
        <f>IFERROR((((COUNTIF('Elève (6ème4)'!NA11:NC11,"A"))*4)+((COUNTIF('Elève (6ème4)'!NA11:NC11,"B"))*3)+((COUNTIF('Elève (6ème4)'!NA11:NC11,"C"))*2)+((COUNTIF('Elève (6ème4)'!NA11:NC11,"D"))*1))/(COUNTA(NA11:NC11)),"")</f>
        <v/>
      </c>
      <c r="NE11" s="113" t="str">
        <f t="shared" si="85"/>
        <v/>
      </c>
      <c r="NF11" s="84"/>
      <c r="NG11" s="85"/>
      <c r="NH11" s="86"/>
      <c r="NI11" s="112" t="str">
        <f>IFERROR((((COUNTIF('Elève (6ème4)'!NF11:NH11,"A"))*4)+((COUNTIF('Elève (6ème4)'!NF11:NH11,"B"))*3)+((COUNTIF('Elève (6ème4)'!NF11:NH11,"C"))*2)+((COUNTIF('Elève (6ème4)'!NF11:NH11,"D"))*1))/(COUNTA(NF11:NH11)),"")</f>
        <v/>
      </c>
      <c r="NJ11" s="113" t="str">
        <f t="shared" si="86"/>
        <v/>
      </c>
      <c r="NK11" s="180" t="str">
        <f>IF(COUNT(MY11,ND11,NI11)=0,"",SUM(MY11,ND11,NI11)/COUNT(MY11,ND11,NI11))</f>
        <v/>
      </c>
      <c r="NL11" s="133" t="str">
        <f t="shared" si="87"/>
        <v/>
      </c>
      <c r="NM11" s="159"/>
      <c r="NN11" s="160"/>
      <c r="NO11" s="161"/>
      <c r="NP11" s="112" t="str">
        <f>IFERROR((((COUNTIF('Elève (6ème4)'!NM11:NO11,"A"))*4)+((COUNTIF('Elève (6ème4)'!NM11:NO11,"B"))*3)+((COUNTIF('Elève (6ème4)'!NM11:NO11,"C"))*2)+((COUNTIF('Elève (6ème4)'!NM11:NO11,"D"))*1))/(COUNTA(NM11:NO11)),"")</f>
        <v/>
      </c>
      <c r="NQ11" s="113" t="str">
        <f t="shared" si="88"/>
        <v/>
      </c>
      <c r="NR11" s="84"/>
      <c r="NS11" s="85"/>
      <c r="NT11" s="86"/>
      <c r="NU11" s="112" t="str">
        <f>IFERROR((((COUNTIF('Elève (6ème4)'!NR11:NT11,"A"))*4)+((COUNTIF('Elève (6ème4)'!NR11:NT11,"B"))*3)+((COUNTIF('Elève (6ème4)'!NR11:NT11,"C"))*2)+((COUNTIF('Elève (6ème4)'!NR11:NT11,"D"))*1))/(COUNTA(NR11:NT11)),"")</f>
        <v/>
      </c>
      <c r="NV11" s="113" t="str">
        <f t="shared" si="89"/>
        <v/>
      </c>
      <c r="NW11" s="84"/>
      <c r="NX11" s="85"/>
      <c r="NY11" s="86"/>
      <c r="NZ11" s="112" t="str">
        <f>IFERROR((((COUNTIF('Elève (6ème4)'!NW11:NY11,"A"))*4)+((COUNTIF('Elève (6ème4)'!NW11:NY11,"B"))*3)+((COUNTIF('Elève (6ème4)'!NW11:NY11,"C"))*2)+((COUNTIF('Elève (6ème4)'!NW11:NY11,"D"))*1))/(COUNTA(NW11:NY11)),"")</f>
        <v/>
      </c>
      <c r="OA11" s="113" t="str">
        <f t="shared" si="90"/>
        <v/>
      </c>
      <c r="OB11" s="180" t="str">
        <f>IF(COUNT(NP11,NU11,NZ11)=0,"",SUM(NP11,NU11,NZ11)/COUNT(NP11,NU11,NZ11))</f>
        <v/>
      </c>
      <c r="OC11" s="133" t="str">
        <f t="shared" si="91"/>
        <v/>
      </c>
      <c r="OD11" s="159"/>
      <c r="OE11" s="160"/>
      <c r="OF11" s="161"/>
      <c r="OG11" s="112" t="str">
        <f>IFERROR((((COUNTIF('Elève (6ème4)'!OD11:OF11,"A"))*4)+((COUNTIF('Elève (6ème4)'!OD11:OF11,"B"))*3)+((COUNTIF('Elève (6ème4)'!OD11:OF11,"C"))*2)+((COUNTIF('Elève (6ème4)'!OD11:OF11,"D"))*1))/(COUNTA(OD11:OF11)),"")</f>
        <v/>
      </c>
      <c r="OH11" s="113" t="str">
        <f t="shared" si="92"/>
        <v/>
      </c>
      <c r="OI11" s="84"/>
      <c r="OJ11" s="85"/>
      <c r="OK11" s="86"/>
      <c r="OL11" s="112" t="str">
        <f>IFERROR((((COUNTIF('Elève (6ème4)'!OI11:OK11,"A"))*4)+((COUNTIF('Elève (6ème4)'!OI11:OK11,"B"))*3)+((COUNTIF('Elève (6ème4)'!OI11:OK11,"C"))*2)+((COUNTIF('Elève (6ème4)'!OI11:OK11,"D"))*1))/(COUNTA(OI11:OK11)),"")</f>
        <v/>
      </c>
      <c r="OM11" s="113" t="str">
        <f t="shared" si="93"/>
        <v/>
      </c>
      <c r="ON11" s="84"/>
      <c r="OO11" s="85"/>
      <c r="OP11" s="86"/>
      <c r="OQ11" s="112" t="str">
        <f>IFERROR((((COUNTIF('Elève (6ème4)'!ON11:OP11,"A"))*4)+((COUNTIF('Elève (6ème4)'!ON11:OP11,"B"))*3)+((COUNTIF('Elève (6ème4)'!ON11:OP11,"C"))*2)+((COUNTIF('Elève (6ème4)'!ON11:OP11,"D"))*1))/(COUNTA(ON11:OP11)),"")</f>
        <v/>
      </c>
      <c r="OR11" s="113" t="str">
        <f t="shared" si="94"/>
        <v/>
      </c>
      <c r="OS11" s="180" t="str">
        <f>IF(COUNT(OG11,OL11,OQ11)=0,"",SUM(OG11,OL11,OQ11)/COUNT(OG11,OL11,OQ11))</f>
        <v/>
      </c>
      <c r="OT11" s="133" t="str">
        <f t="shared" si="95"/>
        <v/>
      </c>
      <c r="OU11" s="159"/>
      <c r="OV11" s="160"/>
      <c r="OW11" s="161"/>
      <c r="OX11" s="112" t="str">
        <f>IFERROR((((COUNTIF('Elève (6ème4)'!OU11:OW11,"A"))*4)+((COUNTIF('Elève (6ème4)'!OU11:OW11,"B"))*3)+((COUNTIF('Elève (6ème4)'!OU11:OW11,"C"))*2)+((COUNTIF('Elève (6ème4)'!OU11:OW11,"D"))*1))/(COUNTA(OU11:OW11)),"")</f>
        <v/>
      </c>
      <c r="OY11" s="113" t="str">
        <f t="shared" si="96"/>
        <v/>
      </c>
      <c r="OZ11" s="84"/>
      <c r="PA11" s="85"/>
      <c r="PB11" s="86"/>
      <c r="PC11" s="112" t="str">
        <f>IFERROR((((COUNTIF('Elève (6ème4)'!OZ11:PB11,"A"))*4)+((COUNTIF('Elève (6ème4)'!OZ11:PB11,"B"))*3)+((COUNTIF('Elève (6ème4)'!OZ11:PB11,"C"))*2)+((COUNTIF('Elève (6ème4)'!OZ11:PB11,"D"))*1))/(COUNTA(OZ11:PB11)),"")</f>
        <v/>
      </c>
      <c r="PD11" s="113" t="str">
        <f t="shared" si="97"/>
        <v/>
      </c>
      <c r="PE11" s="84"/>
      <c r="PF11" s="85"/>
      <c r="PG11" s="86"/>
      <c r="PH11" s="112" t="str">
        <f>IFERROR((((COUNTIF('Elève (6ème4)'!PE11:PG11,"A"))*4)+((COUNTIF('Elève (6ème4)'!PE11:PG11,"B"))*3)+((COUNTIF('Elève (6ème4)'!PE11:PG11,"C"))*2)+((COUNTIF('Elève (6ème4)'!PE11:PG11,"D"))*1))/(COUNTA(PE11:PG11)),"")</f>
        <v/>
      </c>
      <c r="PI11" s="113" t="str">
        <f t="shared" si="98"/>
        <v/>
      </c>
      <c r="PJ11" s="180" t="str">
        <f>IF(COUNT(OX11,PC11,PH11)=0,"",SUM(OX11,PC11,PH11)/COUNT(OX11,PC11,PH11))</f>
        <v/>
      </c>
      <c r="PK11" s="133" t="str">
        <f t="shared" si="99"/>
        <v/>
      </c>
      <c r="PL11" s="159"/>
      <c r="PM11" s="160"/>
      <c r="PN11" s="161"/>
      <c r="PO11" s="112" t="str">
        <f>IFERROR((((COUNTIF('Elève (6ème4)'!PL11:PN11,"A"))*4)+((COUNTIF('Elève (6ème4)'!PL11:PN11,"B"))*3)+((COUNTIF('Elève (6ème4)'!PL11:PN11,"C"))*2)+((COUNTIF('Elève (6ème4)'!PL11:PN11,"D"))*1))/(COUNTA(PL11:PN11)),"")</f>
        <v/>
      </c>
      <c r="PP11" s="113" t="str">
        <f t="shared" si="100"/>
        <v/>
      </c>
      <c r="PQ11" s="84"/>
      <c r="PR11" s="85"/>
      <c r="PS11" s="86"/>
      <c r="PT11" s="112" t="str">
        <f>IFERROR((((COUNTIF('Elève (6ème4)'!PQ11:PS11,"A"))*4)+((COUNTIF('Elève (6ème4)'!PQ11:PS11,"B"))*3)+((COUNTIF('Elève (6ème4)'!PQ11:PS11,"C"))*2)+((COUNTIF('Elève (6ème4)'!PQ11:PS11,"D"))*1))/(COUNTA(PQ11:PS11)),"")</f>
        <v/>
      </c>
      <c r="PU11" s="113" t="str">
        <f t="shared" si="101"/>
        <v/>
      </c>
      <c r="PV11" s="84"/>
      <c r="PW11" s="85"/>
      <c r="PX11" s="86"/>
      <c r="PY11" s="112" t="str">
        <f>IFERROR((((COUNTIF('Elève (6ème4)'!PV11:PX11,"A"))*4)+((COUNTIF('Elève (6ème4)'!PV11:PX11,"B"))*3)+((COUNTIF('Elève (6ème4)'!PV11:PX11,"C"))*2)+((COUNTIF('Elève (6ème4)'!PV11:PX11,"D"))*1))/(COUNTA(PV11:PX11)),"")</f>
        <v/>
      </c>
      <c r="PZ11" s="113" t="str">
        <f t="shared" si="102"/>
        <v/>
      </c>
      <c r="QA11" s="180" t="str">
        <f>IF(COUNT(PO11,PT11,PY11)=0,"",SUM(PO11,PT11,PY11)/COUNT(PO11,PT11,PY11))</f>
        <v/>
      </c>
      <c r="QB11" s="133" t="str">
        <f t="shared" si="103"/>
        <v/>
      </c>
      <c r="QC11" s="159"/>
      <c r="QD11" s="160"/>
      <c r="QE11" s="161"/>
      <c r="QF11" s="112" t="str">
        <f>IFERROR((((COUNTIF('Elève (6ème4)'!QC11:QE11,"A"))*4)+((COUNTIF('Elève (6ème4)'!QC11:QE11,"B"))*3)+((COUNTIF('Elève (6ème4)'!QC11:QE11,"C"))*2)+((COUNTIF('Elève (6ème4)'!QC11:QE11,"D"))*1))/(COUNTA(QC11:QE11)),"")</f>
        <v/>
      </c>
      <c r="QG11" s="113" t="str">
        <f t="shared" si="104"/>
        <v/>
      </c>
      <c r="QH11" s="84"/>
      <c r="QI11" s="85"/>
      <c r="QJ11" s="86"/>
      <c r="QK11" s="112" t="str">
        <f>IFERROR((((COUNTIF('Elève (6ème4)'!QH11:QJ11,"A"))*4)+((COUNTIF('Elève (6ème4)'!QH11:QJ11,"B"))*3)+((COUNTIF('Elève (6ème4)'!QH11:QJ11,"C"))*2)+((COUNTIF('Elève (6ème4)'!QH11:QJ11,"D"))*1))/(COUNTA(QH11:QJ11)),"")</f>
        <v/>
      </c>
      <c r="QL11" s="113" t="str">
        <f t="shared" si="105"/>
        <v/>
      </c>
      <c r="QM11" s="84"/>
      <c r="QN11" s="85"/>
      <c r="QO11" s="86"/>
      <c r="QP11" s="112" t="str">
        <f>IFERROR((((COUNTIF('Elève (6ème4)'!QM11:QO11,"A"))*4)+((COUNTIF('Elève (6ème4)'!QM11:QO11,"B"))*3)+((COUNTIF('Elève (6ème4)'!QM11:QO11,"C"))*2)+((COUNTIF('Elève (6ème4)'!QM11:QO11,"D"))*1))/(COUNTA(QM11:QO11)),"")</f>
        <v/>
      </c>
      <c r="QQ11" s="113" t="str">
        <f t="shared" si="106"/>
        <v/>
      </c>
      <c r="QR11" s="180" t="str">
        <f>IF(COUNT(QF11,QK11,QP11)=0,"",SUM(QF11,QK11,QP11)/COUNT(QF11,QK11,QP11))</f>
        <v/>
      </c>
      <c r="QS11" s="133" t="str">
        <f t="shared" si="107"/>
        <v/>
      </c>
      <c r="QT11" s="159"/>
      <c r="QU11" s="160"/>
      <c r="QV11" s="161"/>
      <c r="QW11" s="112" t="str">
        <f>IFERROR((((COUNTIF('Elève (6ème4)'!QT11:QV11,"A"))*4)+((COUNTIF('Elève (6ème4)'!QT11:QV11,"B"))*3)+((COUNTIF('Elève (6ème4)'!QT11:QV11,"C"))*2)+((COUNTIF('Elève (6ème4)'!QT11:QV11,"D"))*1))/(COUNTA(QT11:QV11)),"")</f>
        <v/>
      </c>
      <c r="QX11" s="113" t="str">
        <f t="shared" si="108"/>
        <v/>
      </c>
      <c r="QY11" s="84"/>
      <c r="QZ11" s="85"/>
      <c r="RA11" s="86"/>
      <c r="RB11" s="112" t="str">
        <f>IFERROR((((COUNTIF('Elève (6ème4)'!QY11:RA11,"A"))*4)+((COUNTIF('Elève (6ème4)'!QY11:RA11,"B"))*3)+((COUNTIF('Elève (6ème4)'!QY11:RA11,"C"))*2)+((COUNTIF('Elève (6ème4)'!QY11:RA11,"D"))*1))/(COUNTA(QY11:RA11)),"")</f>
        <v/>
      </c>
      <c r="RC11" s="113" t="str">
        <f t="shared" si="109"/>
        <v/>
      </c>
      <c r="RD11" s="84"/>
      <c r="RE11" s="85"/>
      <c r="RF11" s="86"/>
      <c r="RG11" s="112" t="str">
        <f>IFERROR((((COUNTIF('Elève (6ème4)'!RD11:RF11,"A"))*4)+((COUNTIF('Elève (6ème4)'!RD11:RF11,"B"))*3)+((COUNTIF('Elève (6ème4)'!RD11:RF11,"C"))*2)+((COUNTIF('Elève (6ème4)'!RD11:RF11,"D"))*1))/(COUNTA(RD11:RF11)),"")</f>
        <v/>
      </c>
      <c r="RH11" s="113" t="str">
        <f t="shared" si="110"/>
        <v/>
      </c>
      <c r="RI11" s="180" t="str">
        <f>IF(COUNT(QW11,RB11,RG11)=0,"",SUM(QW11,RB11,RG11)/COUNT(QW11,RB11,RG11))</f>
        <v/>
      </c>
      <c r="RJ11" s="133" t="str">
        <f t="shared" si="111"/>
        <v/>
      </c>
      <c r="RK11" s="159"/>
      <c r="RL11" s="160"/>
      <c r="RM11" s="161"/>
      <c r="RN11" s="112" t="str">
        <f>IFERROR((((COUNTIF('Elève (6ème4)'!RK11:RM11,"A"))*4)+((COUNTIF('Elève (6ème4)'!RK11:RM11,"B"))*3)+((COUNTIF('Elève (6ème4)'!RK11:RM11,"C"))*2)+((COUNTIF('Elève (6ème4)'!RK11:RM11,"D"))*1))/(COUNTA(RK11:RM11)),"")</f>
        <v/>
      </c>
      <c r="RO11" s="113" t="str">
        <f t="shared" si="112"/>
        <v/>
      </c>
      <c r="RP11" s="84"/>
      <c r="RQ11" s="85"/>
      <c r="RR11" s="86"/>
      <c r="RS11" s="112" t="str">
        <f>IFERROR((((COUNTIF('Elève (6ème4)'!RP11:RR11,"A"))*4)+((COUNTIF('Elève (6ème4)'!RP11:RR11,"B"))*3)+((COUNTIF('Elève (6ème4)'!RP11:RR11,"C"))*2)+((COUNTIF('Elève (6ème4)'!RP11:RR11,"D"))*1))/(COUNTA(RP11:RR11)),"")</f>
        <v/>
      </c>
      <c r="RT11" s="113" t="str">
        <f t="shared" si="113"/>
        <v/>
      </c>
      <c r="RU11" s="84"/>
      <c r="RV11" s="85"/>
      <c r="RW11" s="86"/>
      <c r="RX11" s="112" t="str">
        <f>IFERROR((((COUNTIF('Elève (6ème4)'!RU11:RW11,"A"))*4)+((COUNTIF('Elève (6ème4)'!RU11:RW11,"B"))*3)+((COUNTIF('Elève (6ème4)'!RU11:RW11,"C"))*2)+((COUNTIF('Elève (6ème4)'!RU11:RW11,"D"))*1))/(COUNTA(RU11:RW11)),"")</f>
        <v/>
      </c>
      <c r="RY11" s="113" t="str">
        <f t="shared" si="114"/>
        <v/>
      </c>
      <c r="RZ11" s="180" t="str">
        <f>IF(COUNT(RN11,RS11,RX11)=0,"",SUM(RN11,RS11,RX11)/COUNT(RN11,RS11,RX11))</f>
        <v/>
      </c>
      <c r="SA11" s="133" t="str">
        <f t="shared" si="115"/>
        <v/>
      </c>
      <c r="SB11" s="159"/>
      <c r="SC11" s="160"/>
      <c r="SD11" s="161"/>
      <c r="SE11" s="112" t="str">
        <f>IFERROR((((COUNTIF('Elève (6ème4)'!SB11:SD11,"A"))*4)+((COUNTIF('Elève (6ème4)'!SB11:SD11,"B"))*3)+((COUNTIF('Elève (6ème4)'!SB11:SD11,"C"))*2)+((COUNTIF('Elève (6ème4)'!SB11:SD11,"D"))*1))/(COUNTA(SB11:SD11)),"")</f>
        <v/>
      </c>
      <c r="SF11" s="113" t="str">
        <f t="shared" si="116"/>
        <v/>
      </c>
      <c r="SG11" s="84"/>
      <c r="SH11" s="85"/>
      <c r="SI11" s="86"/>
      <c r="SJ11" s="112" t="str">
        <f>IFERROR((((COUNTIF('Elève (6ème4)'!SG11:SI11,"A"))*4)+((COUNTIF('Elève (6ème4)'!SG11:SI11,"B"))*3)+((COUNTIF('Elève (6ème4)'!SG11:SI11,"C"))*2)+((COUNTIF('Elève (6ème4)'!SG11:SI11,"D"))*1))/(COUNTA(SG11:SI11)),"")</f>
        <v/>
      </c>
      <c r="SK11" s="113" t="str">
        <f t="shared" si="117"/>
        <v/>
      </c>
      <c r="SL11" s="84"/>
      <c r="SM11" s="85"/>
      <c r="SN11" s="86"/>
      <c r="SO11" s="112" t="str">
        <f>IFERROR((((COUNTIF('Elève (6ème4)'!SL11:SN11,"A"))*4)+((COUNTIF('Elève (6ème4)'!SL11:SN11,"B"))*3)+((COUNTIF('Elève (6ème4)'!SL11:SN11,"C"))*2)+((COUNTIF('Elève (6ème4)'!SL11:SN11,"D"))*1))/(COUNTA(SL11:SN11)),"")</f>
        <v/>
      </c>
      <c r="SP11" s="113" t="str">
        <f t="shared" si="118"/>
        <v/>
      </c>
      <c r="SQ11" s="180" t="str">
        <f>IF(COUNT(SE11,SJ11,SO11)=0,"",SUM(SE11,SJ11,SO11)/COUNT(SE11,SJ11,SO11))</f>
        <v/>
      </c>
      <c r="SR11" s="133" t="str">
        <f t="shared" si="119"/>
        <v/>
      </c>
    </row>
    <row r="12" spans="1:512" s="77" customFormat="1" ht="16.5" customHeight="1" thickBot="1" x14ac:dyDescent="0.3">
      <c r="A12" s="96" t="s">
        <v>15</v>
      </c>
      <c r="B12" s="88">
        <v>1</v>
      </c>
      <c r="C12" s="152"/>
      <c r="D12" s="185"/>
      <c r="E12" s="185"/>
      <c r="F12" s="106" t="str">
        <f>IFERROR((((COUNTIF('Elève (6ème4)'!C13:E13,"A"))*4)+((COUNTIF('Elève (6ème4)'!C13:E13,"B"))*3)+((COUNTIF('Elève (6ème4)'!C13:E13,"C"))*2)+((COUNTIF('Elève (6ème4)'!C13:E13,"D"))*1))/(COUNTA(C13:E13)),"")</f>
        <v/>
      </c>
      <c r="G12" s="107" t="str">
        <f t="shared" si="0"/>
        <v/>
      </c>
      <c r="H12" s="204"/>
      <c r="I12" s="186"/>
      <c r="J12" s="205"/>
      <c r="K12" s="106" t="str">
        <f>IFERROR((((COUNTIF('Elève (6ème4)'!H13:J13,"A"))*4)+((COUNTIF('Elève (6ème4)'!H13:J13,"B"))*3)+((COUNTIF('Elève (6ème4)'!H13:J13,"C"))*2)+((COUNTIF('Elève (6ème4)'!H13:J13,"D"))*1))/(COUNTA(H13:J13)),"")</f>
        <v/>
      </c>
      <c r="L12" s="121" t="str">
        <f t="shared" si="1"/>
        <v/>
      </c>
      <c r="M12" s="100"/>
      <c r="N12" s="187"/>
      <c r="O12" s="188"/>
      <c r="P12" s="106" t="str">
        <f>IFERROR((((COUNTIF('Elève (6ème4)'!M13:O13,"A"))*4)+((COUNTIF('Elève (6ème4)'!M13:O13,"B"))*3)+((COUNTIF('Elève (6ème4)'!M13:O13,"C"))*2)+((COUNTIF('Elève (6ème4)'!M13:O13,"D"))*1))/(COUNTA(M13:O13)),"")</f>
        <v/>
      </c>
      <c r="Q12" s="128" t="str">
        <f t="shared" si="2"/>
        <v/>
      </c>
      <c r="R12" s="177" t="str">
        <f>IFERROR((((COUNTIF(C13:E13,"A")+COUNTIF(H13:J13,"A")+COUNTIF(M13:O13,"A"))*4)+((COUNTIF(C13:E13,"B")+COUNTIF(H13:J13,"B")+COUNTIF(M13:O13,"B"))*3)+((COUNTIF(C13:E13,"C")+COUNTIF(H13:J13,"C")+COUNTIF(M13:O13,"C"))*2)+((COUNTIF(C13:E13,"D")+COUNTIF(H13:J13,"D")+COUNTIF(M13:O13,"D"))*1))/(COUNTA(C13:E13)+COUNTA(H13:J13)+COUNTA(M13:O13)),"")</f>
        <v/>
      </c>
      <c r="S12" s="130" t="str">
        <f t="shared" si="3"/>
        <v/>
      </c>
      <c r="T12" s="152"/>
      <c r="U12" s="185"/>
      <c r="V12" s="185"/>
      <c r="W12" s="106" t="str">
        <f>IFERROR((((COUNTIF('Elève (6ème4)'!T13:V13,"A"))*4)+((COUNTIF('Elève (6ème4)'!T13:V13,"B"))*3)+((COUNTIF('Elève (6ème4)'!T13:V13,"C"))*2)+((COUNTIF('Elève (6ème4)'!T13:V13,"D"))*1))/(COUNTA(T13:V13)),"")</f>
        <v/>
      </c>
      <c r="X12" s="107" t="str">
        <f t="shared" si="4"/>
        <v/>
      </c>
      <c r="Y12" s="204"/>
      <c r="Z12" s="186"/>
      <c r="AA12" s="205"/>
      <c r="AB12" s="106" t="str">
        <f>IFERROR((((COUNTIF('Elève (6ème4)'!Y13:AA13,"A"))*4)+((COUNTIF('Elève (6ème4)'!Y13:AA13,"B"))*3)+((COUNTIF('Elève (6ème4)'!Y13:AA13,"C"))*2)+((COUNTIF('Elève (6ème4)'!Y13:AA13,"D"))*1))/(COUNTA(Y13:AA13)),"")</f>
        <v/>
      </c>
      <c r="AC12" s="121" t="str">
        <f t="shared" si="5"/>
        <v/>
      </c>
      <c r="AD12" s="100"/>
      <c r="AE12" s="187"/>
      <c r="AF12" s="188"/>
      <c r="AG12" s="106" t="str">
        <f>IFERROR((((COUNTIF('Elève (6ème4)'!AD13:AF13,"A"))*4)+((COUNTIF('Elève (6ème4)'!AD13:AF13,"B"))*3)+((COUNTIF('Elève (6ème4)'!AD13:AF13,"C"))*2)+((COUNTIF('Elève (6ème4)'!AD13:AF13,"D"))*1))/(COUNTA(AD13:AF13)),"")</f>
        <v/>
      </c>
      <c r="AH12" s="128" t="str">
        <f t="shared" si="6"/>
        <v/>
      </c>
      <c r="AI12" s="177" t="str">
        <f>IFERROR((((COUNTIF(T13:V13,"A")+COUNTIF(Y13:AA13,"A")+COUNTIF(AD13:AF13,"A"))*4)+((COUNTIF(T13:V13,"B")+COUNTIF(Y13:AA13,"B")+COUNTIF(AD13:AF13,"B"))*3)+((COUNTIF(T13:V13,"C")+COUNTIF(Y13:AA13,"C")+COUNTIF(AD13:AF13,"C"))*2)+((COUNTIF(T13:V13,"D")+COUNTIF(Y13:AA13,"D")+COUNTIF(AD13:AF13,"D"))*1))/(COUNTA(T13:V13)+COUNTA(Y13:AA13)+COUNTA(AD13:AF13)),"")</f>
        <v/>
      </c>
      <c r="AJ12" s="130" t="str">
        <f t="shared" si="7"/>
        <v/>
      </c>
      <c r="AK12" s="152"/>
      <c r="AL12" s="185"/>
      <c r="AM12" s="185"/>
      <c r="AN12" s="106" t="str">
        <f>IFERROR((((COUNTIF('Elève (6ème4)'!AK13:AM13,"A"))*4)+((COUNTIF('Elève (6ème4)'!AK13:AM13,"B"))*3)+((COUNTIF('Elève (6ème4)'!AK13:AM13,"C"))*2)+((COUNTIF('Elève (6ème4)'!AK13:AM13,"D"))*1))/(COUNTA(AK13:AM13)),"")</f>
        <v/>
      </c>
      <c r="AO12" s="107" t="str">
        <f t="shared" si="8"/>
        <v/>
      </c>
      <c r="AP12" s="204"/>
      <c r="AQ12" s="186"/>
      <c r="AR12" s="205"/>
      <c r="AS12" s="106" t="str">
        <f>IFERROR((((COUNTIF('Elève (6ème4)'!AP13:AR13,"A"))*4)+((COUNTIF('Elève (6ème4)'!AP13:AR13,"B"))*3)+((COUNTIF('Elève (6ème4)'!AP13:AR13,"C"))*2)+((COUNTIF('Elève (6ème4)'!AP13:AR13,"D"))*1))/(COUNTA(AP13:AR13)),"")</f>
        <v/>
      </c>
      <c r="AT12" s="121" t="str">
        <f t="shared" si="9"/>
        <v/>
      </c>
      <c r="AU12" s="100"/>
      <c r="AV12" s="187"/>
      <c r="AW12" s="188"/>
      <c r="AX12" s="106" t="str">
        <f>IFERROR((((COUNTIF('Elève (6ème4)'!AU13:AW13,"A"))*4)+((COUNTIF('Elève (6ème4)'!AU13:AW13,"B"))*3)+((COUNTIF('Elève (6ème4)'!AU13:AW13,"C"))*2)+((COUNTIF('Elève (6ème4)'!AU13:AW13,"D"))*1))/(COUNTA(AU13:AW13)),"")</f>
        <v/>
      </c>
      <c r="AY12" s="128" t="str">
        <f t="shared" si="10"/>
        <v/>
      </c>
      <c r="AZ12" s="177" t="str">
        <f>IFERROR((((COUNTIF(AK13:AM13,"A")+COUNTIF(AP13:AR13,"A")+COUNTIF(AU13:AW13,"A"))*4)+((COUNTIF(AK13:AM13,"B")+COUNTIF(AP13:AR13,"B")+COUNTIF(AU13:AW13,"B"))*3)+((COUNTIF(AK13:AM13,"C")+COUNTIF(AP13:AR13,"C")+COUNTIF(AU13:AW13,"C"))*2)+((COUNTIF(AK13:AM13,"D")+COUNTIF(AP13:AR13,"D")+COUNTIF(AU13:AW13,"D"))*1))/(COUNTA(AK13:AM13)+COUNTA(AP13:AR13)+COUNTA(AU13:AW13)),"")</f>
        <v/>
      </c>
      <c r="BA12" s="130" t="str">
        <f t="shared" si="11"/>
        <v/>
      </c>
      <c r="BB12" s="152"/>
      <c r="BC12" s="185"/>
      <c r="BD12" s="185"/>
      <c r="BE12" s="106" t="str">
        <f>IFERROR((((COUNTIF('Elève (6ème4)'!BB13:BD13,"A"))*4)+((COUNTIF('Elève (6ème4)'!BB13:BD13,"B"))*3)+((COUNTIF('Elève (6ème4)'!BB13:BD13,"C"))*2)+((COUNTIF('Elève (6ème4)'!BB13:BD13,"D"))*1))/(COUNTA(BB13:BD13)),"")</f>
        <v/>
      </c>
      <c r="BF12" s="107" t="str">
        <f t="shared" si="12"/>
        <v/>
      </c>
      <c r="BG12" s="204"/>
      <c r="BH12" s="186"/>
      <c r="BI12" s="205"/>
      <c r="BJ12" s="106" t="str">
        <f>IFERROR((((COUNTIF('Elève (6ème4)'!BG13:BI13,"A"))*4)+((COUNTIF('Elève (6ème4)'!BG13:BI13,"B"))*3)+((COUNTIF('Elève (6ème4)'!BG13:BI13,"C"))*2)+((COUNTIF('Elève (6ème4)'!BG13:BI13,"D"))*1))/(COUNTA(BG13:BI13)),"")</f>
        <v/>
      </c>
      <c r="BK12" s="121" t="str">
        <f t="shared" si="13"/>
        <v/>
      </c>
      <c r="BL12" s="100"/>
      <c r="BM12" s="187"/>
      <c r="BN12" s="188"/>
      <c r="BO12" s="106" t="str">
        <f>IFERROR((((COUNTIF('Elève (6ème4)'!BL13:BN13,"A"))*4)+((COUNTIF('Elève (6ème4)'!BL13:BN13,"B"))*3)+((COUNTIF('Elève (6ème4)'!BL13:BN13,"C"))*2)+((COUNTIF('Elève (6ème4)'!BL13:BN13,"D"))*1))/(COUNTA(BL13:BN13)),"")</f>
        <v/>
      </c>
      <c r="BP12" s="128" t="str">
        <f t="shared" si="14"/>
        <v/>
      </c>
      <c r="BQ12" s="177" t="str">
        <f>IFERROR((((COUNTIF(BB13:BD13,"A")+COUNTIF(BG13:BI13,"A")+COUNTIF(BL13:BN13,"A"))*4)+((COUNTIF(BB13:BD13,"B")+COUNTIF(BG13:BI13,"B")+COUNTIF(BL13:BN13,"B"))*3)+((COUNTIF(BB13:BD13,"C")+COUNTIF(BG13:BI13,"C")+COUNTIF(BL13:BN13,"C"))*2)+((COUNTIF(BB13:BD13,"D")+COUNTIF(BG13:BI13,"D")+COUNTIF(BL13:BN13,"D"))*1))/(COUNTA(BB13:BD13)+COUNTA(BG13:BI13)+COUNTA(BL13:BN13)),"")</f>
        <v/>
      </c>
      <c r="BR12" s="130" t="str">
        <f t="shared" si="15"/>
        <v/>
      </c>
      <c r="BS12" s="152"/>
      <c r="BT12" s="185"/>
      <c r="BU12" s="185"/>
      <c r="BV12" s="106" t="str">
        <f>IFERROR((((COUNTIF('Elève (6ème4)'!BS13:BU13,"A"))*4)+((COUNTIF('Elève (6ème4)'!BS13:BU13,"B"))*3)+((COUNTIF('Elève (6ème4)'!BS13:BU13,"C"))*2)+((COUNTIF('Elève (6ème4)'!BS13:BU13,"D"))*1))/(COUNTA(BS13:BU13)),"")</f>
        <v/>
      </c>
      <c r="BW12" s="107" t="str">
        <f t="shared" si="16"/>
        <v/>
      </c>
      <c r="BX12" s="204"/>
      <c r="BY12" s="186"/>
      <c r="BZ12" s="205"/>
      <c r="CA12" s="106" t="str">
        <f>IFERROR((((COUNTIF('Elève (6ème4)'!BX13:BZ13,"A"))*4)+((COUNTIF('Elève (6ème4)'!BX13:BZ13,"B"))*3)+((COUNTIF('Elève (6ème4)'!BX13:BZ13,"C"))*2)+((COUNTIF('Elève (6ème4)'!BX13:BZ13,"D"))*1))/(COUNTA(BX13:BZ13)),"")</f>
        <v/>
      </c>
      <c r="CB12" s="121" t="str">
        <f t="shared" si="17"/>
        <v/>
      </c>
      <c r="CC12" s="100"/>
      <c r="CD12" s="187"/>
      <c r="CE12" s="188"/>
      <c r="CF12" s="106" t="str">
        <f>IFERROR((((COUNTIF('Elève (6ème4)'!CC13:CE13,"A"))*4)+((COUNTIF('Elève (6ème4)'!CC13:CE13,"B"))*3)+((COUNTIF('Elève (6ème4)'!CC13:CE13,"C"))*2)+((COUNTIF('Elève (6ème4)'!CC13:CE13,"D"))*1))/(COUNTA(CC13:CE13)),"")</f>
        <v/>
      </c>
      <c r="CG12" s="128" t="str">
        <f t="shared" si="18"/>
        <v/>
      </c>
      <c r="CH12" s="177" t="str">
        <f>IFERROR((((COUNTIF(BS13:BU13,"A")+COUNTIF(BX13:BZ13,"A")+COUNTIF(CC13:CE13,"A"))*4)+((COUNTIF(BS13:BU13,"B")+COUNTIF(BX13:BZ13,"B")+COUNTIF(CC13:CE13,"B"))*3)+((COUNTIF(BS13:BU13,"C")+COUNTIF(BX13:BZ13,"C")+COUNTIF(CC13:CE13,"C"))*2)+((COUNTIF(BS13:BU13,"D")+COUNTIF(BX13:BZ13,"D")+COUNTIF(CC13:CE13,"D"))*1))/(COUNTA(BS13:BU13)+COUNTA(BX13:BZ13)+COUNTA(CC13:CE13)),"")</f>
        <v/>
      </c>
      <c r="CI12" s="130" t="str">
        <f t="shared" si="19"/>
        <v/>
      </c>
      <c r="CJ12" s="152"/>
      <c r="CK12" s="185"/>
      <c r="CL12" s="185"/>
      <c r="CM12" s="106" t="str">
        <f>IFERROR((((COUNTIF('Elève (6ème4)'!CJ13:CL13,"A"))*4)+((COUNTIF('Elève (6ème4)'!CJ13:CL13,"B"))*3)+((COUNTIF('Elève (6ème4)'!CJ13:CL13,"C"))*2)+((COUNTIF('Elève (6ème4)'!CJ13:CL13,"D"))*1))/(COUNTA(CJ13:CL13)),"")</f>
        <v/>
      </c>
      <c r="CN12" s="107" t="str">
        <f t="shared" si="20"/>
        <v/>
      </c>
      <c r="CO12" s="204"/>
      <c r="CP12" s="186"/>
      <c r="CQ12" s="205"/>
      <c r="CR12" s="106" t="str">
        <f>IFERROR((((COUNTIF('Elève (6ème4)'!CO13:CQ13,"A"))*4)+((COUNTIF('Elève (6ème4)'!CO13:CQ13,"B"))*3)+((COUNTIF('Elève (6ème4)'!CO13:CQ13,"C"))*2)+((COUNTIF('Elève (6ème4)'!CO13:CQ13,"D"))*1))/(COUNTA(CO13:CQ13)),"")</f>
        <v/>
      </c>
      <c r="CS12" s="121" t="str">
        <f t="shared" si="21"/>
        <v/>
      </c>
      <c r="CT12" s="100"/>
      <c r="CU12" s="187"/>
      <c r="CV12" s="188"/>
      <c r="CW12" s="106" t="str">
        <f>IFERROR((((COUNTIF('Elève (6ème4)'!CT13:CV13,"A"))*4)+((COUNTIF('Elève (6ème4)'!CT13:CV13,"B"))*3)+((COUNTIF('Elève (6ème4)'!CT13:CV13,"C"))*2)+((COUNTIF('Elève (6ème4)'!CT13:CV13,"D"))*1))/(COUNTA(CT13:CV13)),"")</f>
        <v/>
      </c>
      <c r="CX12" s="128" t="str">
        <f t="shared" si="22"/>
        <v/>
      </c>
      <c r="CY12" s="177" t="str">
        <f>IFERROR((((COUNTIF(CJ13:CL13,"A")+COUNTIF(CO13:CQ13,"A")+COUNTIF(CT13:CV13,"A"))*4)+((COUNTIF(CJ13:CL13,"B")+COUNTIF(CO13:CQ13,"B")+COUNTIF(CT13:CV13,"B"))*3)+((COUNTIF(CJ13:CL13,"C")+COUNTIF(CO13:CQ13,"C")+COUNTIF(CT13:CV13,"C"))*2)+((COUNTIF(CJ13:CL13,"D")+COUNTIF(CO13:CQ13,"D")+COUNTIF(CT13:CV13,"D"))*1))/(COUNTA(CJ13:CL13)+COUNTA(CO13:CQ13)+COUNTA(CT13:CV13)),"")</f>
        <v/>
      </c>
      <c r="CZ12" s="130" t="str">
        <f t="shared" si="23"/>
        <v/>
      </c>
      <c r="DA12" s="152"/>
      <c r="DB12" s="185"/>
      <c r="DC12" s="185"/>
      <c r="DD12" s="106" t="str">
        <f>IFERROR((((COUNTIF('Elève (6ème4)'!DA13:DC13,"A"))*4)+((COUNTIF('Elève (6ème4)'!DA13:DC13,"B"))*3)+((COUNTIF('Elève (6ème4)'!DA13:DC13,"C"))*2)+((COUNTIF('Elève (6ème4)'!DA13:DC13,"D"))*1))/(COUNTA(DA13:DC13)),"")</f>
        <v/>
      </c>
      <c r="DE12" s="107" t="str">
        <f t="shared" si="24"/>
        <v/>
      </c>
      <c r="DF12" s="204"/>
      <c r="DG12" s="186"/>
      <c r="DH12" s="205"/>
      <c r="DI12" s="106" t="str">
        <f>IFERROR((((COUNTIF('Elève (6ème4)'!DF13:DH13,"A"))*4)+((COUNTIF('Elève (6ème4)'!DF13:DH13,"B"))*3)+((COUNTIF('Elève (6ème4)'!DF13:DH13,"C"))*2)+((COUNTIF('Elève (6ème4)'!DF13:DH13,"D"))*1))/(COUNTA(DF13:DH13)),"")</f>
        <v/>
      </c>
      <c r="DJ12" s="121" t="str">
        <f t="shared" si="25"/>
        <v/>
      </c>
      <c r="DK12" s="100"/>
      <c r="DL12" s="187"/>
      <c r="DM12" s="188"/>
      <c r="DN12" s="106" t="str">
        <f>IFERROR((((COUNTIF('Elève (6ème4)'!DK13:DM13,"A"))*4)+((COUNTIF('Elève (6ème4)'!DK13:DM13,"B"))*3)+((COUNTIF('Elève (6ème4)'!DK13:DM13,"C"))*2)+((COUNTIF('Elève (6ème4)'!DK13:DM13,"D"))*1))/(COUNTA(DK13:DM13)),"")</f>
        <v/>
      </c>
      <c r="DO12" s="128" t="str">
        <f t="shared" si="26"/>
        <v/>
      </c>
      <c r="DP12" s="177" t="str">
        <f>IFERROR((((COUNTIF(DA13:DC13,"A")+COUNTIF(DF13:DH13,"A")+COUNTIF(DK13:DM13,"A"))*4)+((COUNTIF(DA13:DC13,"B")+COUNTIF(DF13:DH13,"B")+COUNTIF(DK13:DM13,"B"))*3)+((COUNTIF(DA13:DC13,"C")+COUNTIF(DF13:DH13,"C")+COUNTIF(DK13:DM13,"C"))*2)+((COUNTIF(DA13:DC13,"D")+COUNTIF(DF13:DH13,"D")+COUNTIF(DK13:DM13,"D"))*1))/(COUNTA(DA13:DC13)+COUNTA(DF13:DH13)+COUNTA(DK13:DM13)),"")</f>
        <v/>
      </c>
      <c r="DQ12" s="130" t="str">
        <f t="shared" si="27"/>
        <v/>
      </c>
      <c r="DR12" s="152"/>
      <c r="DS12" s="185"/>
      <c r="DT12" s="185"/>
      <c r="DU12" s="106" t="str">
        <f>IFERROR((((COUNTIF('Elève (6ème4)'!DR13:DT13,"A"))*4)+((COUNTIF('Elève (6ème4)'!DR13:DT13,"B"))*3)+((COUNTIF('Elève (6ème4)'!DR13:DT13,"C"))*2)+((COUNTIF('Elève (6ème4)'!DR13:DT13,"D"))*1))/(COUNTA(DR13:DT13)),"")</f>
        <v/>
      </c>
      <c r="DV12" s="107" t="str">
        <f t="shared" si="28"/>
        <v/>
      </c>
      <c r="DW12" s="204"/>
      <c r="DX12" s="186"/>
      <c r="DY12" s="205"/>
      <c r="DZ12" s="106" t="str">
        <f>IFERROR((((COUNTIF('Elève (6ème4)'!DW13:DY13,"A"))*4)+((COUNTIF('Elève (6ème4)'!DW13:DY13,"B"))*3)+((COUNTIF('Elève (6ème4)'!DW13:DY13,"C"))*2)+((COUNTIF('Elève (6ème4)'!DW13:DY13,"D"))*1))/(COUNTA(DW13:DY13)),"")</f>
        <v/>
      </c>
      <c r="EA12" s="121" t="str">
        <f t="shared" si="29"/>
        <v/>
      </c>
      <c r="EB12" s="100"/>
      <c r="EC12" s="187"/>
      <c r="ED12" s="188"/>
      <c r="EE12" s="106" t="str">
        <f>IFERROR((((COUNTIF('Elève (6ème4)'!EB13:ED13,"A"))*4)+((COUNTIF('Elève (6ème4)'!EB13:ED13,"B"))*3)+((COUNTIF('Elève (6ème4)'!EB13:ED13,"C"))*2)+((COUNTIF('Elève (6ème4)'!EB13:ED13,"D"))*1))/(COUNTA(EB13:ED13)),"")</f>
        <v/>
      </c>
      <c r="EF12" s="128" t="str">
        <f t="shared" si="30"/>
        <v/>
      </c>
      <c r="EG12" s="177" t="str">
        <f>IFERROR((((COUNTIF(DR13:DT13,"A")+COUNTIF(DW13:DY13,"A")+COUNTIF(EB13:ED13,"A"))*4)+((COUNTIF(DR13:DT13,"B")+COUNTIF(DW13:DY13,"B")+COUNTIF(EB13:ED13,"B"))*3)+((COUNTIF(DR13:DT13,"C")+COUNTIF(DW13:DY13,"C")+COUNTIF(EB13:ED13,"C"))*2)+((COUNTIF(DR13:DT13,"D")+COUNTIF(DW13:DY13,"D")+COUNTIF(EB13:ED13,"D"))*1))/(COUNTA(DR13:DT13)+COUNTA(DW13:DY13)+COUNTA(EB13:ED13)),"")</f>
        <v/>
      </c>
      <c r="EH12" s="130" t="str">
        <f t="shared" si="31"/>
        <v/>
      </c>
      <c r="EI12" s="152"/>
      <c r="EJ12" s="185"/>
      <c r="EK12" s="185"/>
      <c r="EL12" s="106" t="str">
        <f>IFERROR((((COUNTIF('Elève (6ème4)'!EI13:EK13,"A"))*4)+((COUNTIF('Elève (6ème4)'!EI13:EK13,"B"))*3)+((COUNTIF('Elève (6ème4)'!EI13:EK13,"C"))*2)+((COUNTIF('Elève (6ème4)'!EI13:EK13,"D"))*1))/(COUNTA(EI13:EK13)),"")</f>
        <v/>
      </c>
      <c r="EM12" s="107" t="str">
        <f t="shared" si="32"/>
        <v/>
      </c>
      <c r="EN12" s="204"/>
      <c r="EO12" s="186"/>
      <c r="EP12" s="205"/>
      <c r="EQ12" s="106" t="str">
        <f>IFERROR((((COUNTIF('Elève (6ème4)'!EN13:EP13,"A"))*4)+((COUNTIF('Elève (6ème4)'!EN13:EP13,"B"))*3)+((COUNTIF('Elève (6ème4)'!EN13:EP13,"C"))*2)+((COUNTIF('Elève (6ème4)'!EN13:EP13,"D"))*1))/(COUNTA(EN13:EP13)),"")</f>
        <v/>
      </c>
      <c r="ER12" s="121" t="str">
        <f t="shared" si="33"/>
        <v/>
      </c>
      <c r="ES12" s="100"/>
      <c r="ET12" s="187"/>
      <c r="EU12" s="188"/>
      <c r="EV12" s="106" t="str">
        <f>IFERROR((((COUNTIF('Elève (6ème4)'!ES13:EU13,"A"))*4)+((COUNTIF('Elève (6ème4)'!ES13:EU13,"B"))*3)+((COUNTIF('Elève (6ème4)'!ES13:EU13,"C"))*2)+((COUNTIF('Elève (6ème4)'!ES13:EU13,"D"))*1))/(COUNTA(ES13:EU13)),"")</f>
        <v/>
      </c>
      <c r="EW12" s="128" t="str">
        <f t="shared" si="34"/>
        <v/>
      </c>
      <c r="EX12" s="177" t="str">
        <f>IFERROR((((COUNTIF(EI13:EK13,"A")+COUNTIF(EN13:EP13,"A")+COUNTIF(ES13:EU13,"A"))*4)+((COUNTIF(EI13:EK13,"B")+COUNTIF(EN13:EP13,"B")+COUNTIF(ES13:EU13,"B"))*3)+((COUNTIF(EI13:EK13,"C")+COUNTIF(EN13:EP13,"C")+COUNTIF(ES13:EU13,"C"))*2)+((COUNTIF(EI13:EK13,"D")+COUNTIF(EN13:EP13,"D")+COUNTIF(ES13:EU13,"D"))*1))/(COUNTA(EI13:EK13)+COUNTA(EN13:EP13)+COUNTA(ES13:EU13)),"")</f>
        <v/>
      </c>
      <c r="EY12" s="130" t="str">
        <f t="shared" si="35"/>
        <v/>
      </c>
      <c r="EZ12" s="152"/>
      <c r="FA12" s="185"/>
      <c r="FB12" s="185"/>
      <c r="FC12" s="106" t="str">
        <f>IFERROR((((COUNTIF('Elève (6ème4)'!EZ13:FB13,"A"))*4)+((COUNTIF('Elève (6ème4)'!EZ13:FB13,"B"))*3)+((COUNTIF('Elève (6ème4)'!EZ13:FB13,"C"))*2)+((COUNTIF('Elève (6ème4)'!EZ13:FB13,"D"))*1))/(COUNTA(EZ13:FB13)),"")</f>
        <v/>
      </c>
      <c r="FD12" s="107" t="str">
        <f t="shared" si="36"/>
        <v/>
      </c>
      <c r="FE12" s="204"/>
      <c r="FF12" s="186"/>
      <c r="FG12" s="205"/>
      <c r="FH12" s="106" t="str">
        <f>IFERROR((((COUNTIF('Elève (6ème4)'!FE13:FG13,"A"))*4)+((COUNTIF('Elève (6ème4)'!FE13:FG13,"B"))*3)+((COUNTIF('Elève (6ème4)'!FE13:FG13,"C"))*2)+((COUNTIF('Elève (6ème4)'!FE13:FG13,"D"))*1))/(COUNTA(FE13:FG13)),"")</f>
        <v/>
      </c>
      <c r="FI12" s="121" t="str">
        <f t="shared" si="37"/>
        <v/>
      </c>
      <c r="FJ12" s="100"/>
      <c r="FK12" s="187"/>
      <c r="FL12" s="188"/>
      <c r="FM12" s="106" t="str">
        <f>IFERROR((((COUNTIF('Elève (6ème4)'!FJ13:FL13,"A"))*4)+((COUNTIF('Elève (6ème4)'!FJ13:FL13,"B"))*3)+((COUNTIF('Elève (6ème4)'!FJ13:FL13,"C"))*2)+((COUNTIF('Elève (6ème4)'!FJ13:FL13,"D"))*1))/(COUNTA(FJ13:FL13)),"")</f>
        <v/>
      </c>
      <c r="FN12" s="128" t="str">
        <f t="shared" si="38"/>
        <v/>
      </c>
      <c r="FO12" s="177" t="str">
        <f>IFERROR((((COUNTIF(EZ13:FB13,"A")+COUNTIF(FE13:FG13,"A")+COUNTIF(FJ13:FL13,"A"))*4)+((COUNTIF(EZ13:FB13,"B")+COUNTIF(FE13:FG13,"B")+COUNTIF(FJ13:FL13,"B"))*3)+((COUNTIF(EZ13:FB13,"C")+COUNTIF(FE13:FG13,"C")+COUNTIF(FJ13:FL13,"C"))*2)+((COUNTIF(EZ13:FB13,"D")+COUNTIF(FE13:FG13,"D")+COUNTIF(FJ13:FL13,"D"))*1))/(COUNTA(EZ13:FB13)+COUNTA(FE13:FG13)+COUNTA(FJ13:FL13)),"")</f>
        <v/>
      </c>
      <c r="FP12" s="130" t="str">
        <f t="shared" si="39"/>
        <v/>
      </c>
      <c r="FQ12" s="152"/>
      <c r="FR12" s="185"/>
      <c r="FS12" s="185"/>
      <c r="FT12" s="106" t="str">
        <f>IFERROR((((COUNTIF('Elève (6ème4)'!FQ13:FS13,"A"))*4)+((COUNTIF('Elève (6ème4)'!FQ13:FS13,"B"))*3)+((COUNTIF('Elève (6ème4)'!FQ13:FS13,"C"))*2)+((COUNTIF('Elève (6ème4)'!FQ13:FS13,"D"))*1))/(COUNTA(FQ13:FS13)),"")</f>
        <v/>
      </c>
      <c r="FU12" s="107" t="str">
        <f t="shared" si="40"/>
        <v/>
      </c>
      <c r="FV12" s="204"/>
      <c r="FW12" s="186"/>
      <c r="FX12" s="205"/>
      <c r="FY12" s="106" t="str">
        <f>IFERROR((((COUNTIF('Elève (6ème4)'!FV13:FX13,"A"))*4)+((COUNTIF('Elève (6ème4)'!FV13:FX13,"B"))*3)+((COUNTIF('Elève (6ème4)'!FV13:FX13,"C"))*2)+((COUNTIF('Elève (6ème4)'!FV13:FX13,"D"))*1))/(COUNTA(FV13:FX13)),"")</f>
        <v/>
      </c>
      <c r="FZ12" s="121" t="str">
        <f t="shared" si="41"/>
        <v/>
      </c>
      <c r="GA12" s="100"/>
      <c r="GB12" s="187"/>
      <c r="GC12" s="188"/>
      <c r="GD12" s="106" t="str">
        <f>IFERROR((((COUNTIF('Elève (6ème4)'!GA13:GC13,"A"))*4)+((COUNTIF('Elève (6ème4)'!GA13:GC13,"B"))*3)+((COUNTIF('Elève (6ème4)'!GA13:GC13,"C"))*2)+((COUNTIF('Elève (6ème4)'!GA13:GC13,"D"))*1))/(COUNTA(GA13:GC13)),"")</f>
        <v/>
      </c>
      <c r="GE12" s="128" t="str">
        <f t="shared" si="42"/>
        <v/>
      </c>
      <c r="GF12" s="177" t="str">
        <f>IFERROR((((COUNTIF(FQ13:FS13,"A")+COUNTIF(FV13:FX13,"A")+COUNTIF(GA13:GC13,"A"))*4)+((COUNTIF(FQ13:FS13,"B")+COUNTIF(FV13:FX13,"B")+COUNTIF(GA13:GC13,"B"))*3)+((COUNTIF(FQ13:FS13,"C")+COUNTIF(FV13:FX13,"C")+COUNTIF(GA13:GC13,"C"))*2)+((COUNTIF(FQ13:FS13,"D")+COUNTIF(FV13:FX13,"D")+COUNTIF(GA13:GC13,"D"))*1))/(COUNTA(FQ13:FS13)+COUNTA(FV13:FX13)+COUNTA(GA13:GC13)),"")</f>
        <v/>
      </c>
      <c r="GG12" s="130" t="str">
        <f t="shared" si="43"/>
        <v/>
      </c>
      <c r="GH12" s="152"/>
      <c r="GI12" s="185"/>
      <c r="GJ12" s="185"/>
      <c r="GK12" s="106" t="str">
        <f>IFERROR((((COUNTIF('Elève (6ème4)'!GH13:GJ13,"A"))*4)+((COUNTIF('Elève (6ème4)'!GH13:GJ13,"B"))*3)+((COUNTIF('Elève (6ème4)'!GH13:GJ13,"C"))*2)+((COUNTIF('Elève (6ème4)'!GH13:GJ13,"D"))*1))/(COUNTA(GH13:GJ13)),"")</f>
        <v/>
      </c>
      <c r="GL12" s="107" t="str">
        <f t="shared" si="44"/>
        <v/>
      </c>
      <c r="GM12" s="204"/>
      <c r="GN12" s="186"/>
      <c r="GO12" s="205"/>
      <c r="GP12" s="106" t="str">
        <f>IFERROR((((COUNTIF('Elève (6ème4)'!GM13:GO13,"A"))*4)+((COUNTIF('Elève (6ème4)'!GM13:GO13,"B"))*3)+((COUNTIF('Elève (6ème4)'!GM13:GO13,"C"))*2)+((COUNTIF('Elève (6ème4)'!GM13:GO13,"D"))*1))/(COUNTA(GM13:GO13)),"")</f>
        <v/>
      </c>
      <c r="GQ12" s="121" t="str">
        <f t="shared" si="45"/>
        <v/>
      </c>
      <c r="GR12" s="100"/>
      <c r="GS12" s="187"/>
      <c r="GT12" s="188"/>
      <c r="GU12" s="106" t="str">
        <f>IFERROR((((COUNTIF('Elève (6ème4)'!GR13:GT13,"A"))*4)+((COUNTIF('Elève (6ème4)'!GR13:GT13,"B"))*3)+((COUNTIF('Elève (6ème4)'!GR13:GT13,"C"))*2)+((COUNTIF('Elève (6ème4)'!GR13:GT13,"D"))*1))/(COUNTA(GR13:GT13)),"")</f>
        <v/>
      </c>
      <c r="GV12" s="128" t="str">
        <f t="shared" si="46"/>
        <v/>
      </c>
      <c r="GW12" s="177" t="str">
        <f>IFERROR((((COUNTIF(GH13:GJ13,"A")+COUNTIF(GM13:GO13,"A")+COUNTIF(GR13:GT13,"A"))*4)+((COUNTIF(GH13:GJ13,"B")+COUNTIF(GM13:GO13,"B")+COUNTIF(GR13:GT13,"B"))*3)+((COUNTIF(GH13:GJ13,"C")+COUNTIF(GM13:GO13,"C")+COUNTIF(GR13:GT13,"C"))*2)+((COUNTIF(GH13:GJ13,"D")+COUNTIF(GM13:GO13,"D")+COUNTIF(GR13:GT13,"D"))*1))/(COUNTA(GH13:GJ13)+COUNTA(GM13:GO13)+COUNTA(GR13:GT13)),"")</f>
        <v/>
      </c>
      <c r="GX12" s="130" t="str">
        <f t="shared" si="47"/>
        <v/>
      </c>
      <c r="GY12" s="152"/>
      <c r="GZ12" s="185"/>
      <c r="HA12" s="185"/>
      <c r="HB12" s="106" t="str">
        <f>IFERROR((((COUNTIF('Elève (6ème4)'!GY13:HA13,"A"))*4)+((COUNTIF('Elève (6ème4)'!GY13:HA13,"B"))*3)+((COUNTIF('Elève (6ème4)'!GY13:HA13,"C"))*2)+((COUNTIF('Elève (6ème4)'!GY13:HA13,"D"))*1))/(COUNTA(GY13:HA13)),"")</f>
        <v/>
      </c>
      <c r="HC12" s="107" t="str">
        <f t="shared" si="48"/>
        <v/>
      </c>
      <c r="HD12" s="204"/>
      <c r="HE12" s="186"/>
      <c r="HF12" s="205"/>
      <c r="HG12" s="106" t="str">
        <f>IFERROR((((COUNTIF('Elève (6ème4)'!HD13:HF13,"A"))*4)+((COUNTIF('Elève (6ème4)'!HD13:HF13,"B"))*3)+((COUNTIF('Elève (6ème4)'!HD13:HF13,"C"))*2)+((COUNTIF('Elève (6ème4)'!HD13:HF13,"D"))*1))/(COUNTA(HD13:HF13)),"")</f>
        <v/>
      </c>
      <c r="HH12" s="121" t="str">
        <f t="shared" si="49"/>
        <v/>
      </c>
      <c r="HI12" s="100"/>
      <c r="HJ12" s="187"/>
      <c r="HK12" s="188"/>
      <c r="HL12" s="106" t="str">
        <f>IFERROR((((COUNTIF('Elève (6ème4)'!HI13:HK13,"A"))*4)+((COUNTIF('Elève (6ème4)'!HI13:HK13,"B"))*3)+((COUNTIF('Elève (6ème4)'!HI13:HK13,"C"))*2)+((COUNTIF('Elève (6ème4)'!HI13:HK13,"D"))*1))/(COUNTA(HI13:HK13)),"")</f>
        <v/>
      </c>
      <c r="HM12" s="128" t="str">
        <f t="shared" si="50"/>
        <v/>
      </c>
      <c r="HN12" s="177" t="str">
        <f>IFERROR((((COUNTIF(GY13:HA13,"A")+COUNTIF(HD13:HF13,"A")+COUNTIF(HI13:HK13,"A"))*4)+((COUNTIF(GY13:HA13,"B")+COUNTIF(HD13:HF13,"B")+COUNTIF(HI13:HK13,"B"))*3)+((COUNTIF(GY13:HA13,"C")+COUNTIF(HD13:HF13,"C")+COUNTIF(HI13:HK13,"C"))*2)+((COUNTIF(GY13:HA13,"D")+COUNTIF(HD13:HF13,"D")+COUNTIF(HI13:HK13,"D"))*1))/(COUNTA(GY13:HA13)+COUNTA(HD13:HF13)+COUNTA(HI13:HK13)),"")</f>
        <v/>
      </c>
      <c r="HO12" s="130" t="str">
        <f t="shared" si="51"/>
        <v/>
      </c>
      <c r="HP12" s="152"/>
      <c r="HQ12" s="185"/>
      <c r="HR12" s="185"/>
      <c r="HS12" s="106" t="str">
        <f>IFERROR((((COUNTIF('Elève (6ème4)'!HP13:HR13,"A"))*4)+((COUNTIF('Elève (6ème4)'!HP13:HR13,"B"))*3)+((COUNTIF('Elève (6ème4)'!HP13:HR13,"C"))*2)+((COUNTIF('Elève (6ème4)'!HP13:HR13,"D"))*1))/(COUNTA(HP13:HR13)),"")</f>
        <v/>
      </c>
      <c r="HT12" s="107" t="str">
        <f t="shared" si="52"/>
        <v/>
      </c>
      <c r="HU12" s="204"/>
      <c r="HV12" s="186"/>
      <c r="HW12" s="205"/>
      <c r="HX12" s="106" t="str">
        <f>IFERROR((((COUNTIF('Elève (6ème4)'!HU13:HW13,"A"))*4)+((COUNTIF('Elève (6ème4)'!HU13:HW13,"B"))*3)+((COUNTIF('Elève (6ème4)'!HU13:HW13,"C"))*2)+((COUNTIF('Elève (6ème4)'!HU13:HW13,"D"))*1))/(COUNTA(HU13:HW13)),"")</f>
        <v/>
      </c>
      <c r="HY12" s="121" t="str">
        <f t="shared" si="53"/>
        <v/>
      </c>
      <c r="HZ12" s="100"/>
      <c r="IA12" s="187"/>
      <c r="IB12" s="188"/>
      <c r="IC12" s="106" t="str">
        <f>IFERROR((((COUNTIF('Elève (6ème4)'!HZ13:IB13,"A"))*4)+((COUNTIF('Elève (6ème4)'!HZ13:IB13,"B"))*3)+((COUNTIF('Elève (6ème4)'!HZ13:IB13,"C"))*2)+((COUNTIF('Elève (6ème4)'!HZ13:IB13,"D"))*1))/(COUNTA(HZ13:IB13)),"")</f>
        <v/>
      </c>
      <c r="ID12" s="128" t="str">
        <f t="shared" si="54"/>
        <v/>
      </c>
      <c r="IE12" s="177" t="str">
        <f>IFERROR((((COUNTIF(HP13:HR13,"A")+COUNTIF(HU13:HW13,"A")+COUNTIF(HZ13:IB13,"A"))*4)+((COUNTIF(HP13:HR13,"B")+COUNTIF(HU13:HW13,"B")+COUNTIF(HZ13:IB13,"B"))*3)+((COUNTIF(HP13:HR13,"C")+COUNTIF(HU13:HW13,"C")+COUNTIF(HZ13:IB13,"C"))*2)+((COUNTIF(HP13:HR13,"D")+COUNTIF(HU13:HW13,"D")+COUNTIF(HZ13:IB13,"D"))*1))/(COUNTA(HP13:HR13)+COUNTA(HU13:HW13)+COUNTA(HZ13:IB13)),"")</f>
        <v/>
      </c>
      <c r="IF12" s="130" t="str">
        <f t="shared" si="55"/>
        <v/>
      </c>
      <c r="IG12" s="152"/>
      <c r="IH12" s="185"/>
      <c r="II12" s="185"/>
      <c r="IJ12" s="106" t="str">
        <f>IFERROR((((COUNTIF('Elève (6ème4)'!IG13:II13,"A"))*4)+((COUNTIF('Elève (6ème4)'!IG13:II13,"B"))*3)+((COUNTIF('Elève (6ème4)'!IG13:II13,"C"))*2)+((COUNTIF('Elève (6ème4)'!IG13:II13,"D"))*1))/(COUNTA(IG13:II13)),"")</f>
        <v/>
      </c>
      <c r="IK12" s="107" t="str">
        <f t="shared" si="56"/>
        <v/>
      </c>
      <c r="IL12" s="204"/>
      <c r="IM12" s="186"/>
      <c r="IN12" s="205"/>
      <c r="IO12" s="106" t="str">
        <f>IFERROR((((COUNTIF('Elève (6ème4)'!IL13:IN13,"A"))*4)+((COUNTIF('Elève (6ème4)'!IL13:IN13,"B"))*3)+((COUNTIF('Elève (6ème4)'!IL13:IN13,"C"))*2)+((COUNTIF('Elève (6ème4)'!IL13:IN13,"D"))*1))/(COUNTA(IL13:IN13)),"")</f>
        <v/>
      </c>
      <c r="IP12" s="121" t="str">
        <f t="shared" si="57"/>
        <v/>
      </c>
      <c r="IQ12" s="100"/>
      <c r="IR12" s="187"/>
      <c r="IS12" s="188"/>
      <c r="IT12" s="106" t="str">
        <f>IFERROR((((COUNTIF('Elève (6ème4)'!IQ13:IS13,"A"))*4)+((COUNTIF('Elève (6ème4)'!IQ13:IS13,"B"))*3)+((COUNTIF('Elève (6ème4)'!IQ13:IS13,"C"))*2)+((COUNTIF('Elève (6ème4)'!IQ13:IS13,"D"))*1))/(COUNTA(IQ13:IS13)),"")</f>
        <v/>
      </c>
      <c r="IU12" s="128" t="str">
        <f t="shared" si="58"/>
        <v/>
      </c>
      <c r="IV12" s="177" t="str">
        <f>IFERROR((((COUNTIF(IG13:II13,"A")+COUNTIF(IL13:IN13,"A")+COUNTIF(IQ13:IS13,"A"))*4)+((COUNTIF(IG13:II13,"B")+COUNTIF(IL13:IN13,"B")+COUNTIF(IQ13:IS13,"B"))*3)+((COUNTIF(IG13:II13,"C")+COUNTIF(IL13:IN13,"C")+COUNTIF(IQ13:IS13,"C"))*2)+((COUNTIF(IG13:II13,"D")+COUNTIF(IL13:IN13,"D")+COUNTIF(IQ13:IS13,"D"))*1))/(COUNTA(IG13:II13)+COUNTA(IL13:IN13)+COUNTA(IQ13:IS13)),"")</f>
        <v/>
      </c>
      <c r="IW12" s="130" t="str">
        <f t="shared" si="59"/>
        <v/>
      </c>
      <c r="IX12" s="152"/>
      <c r="IY12" s="185"/>
      <c r="IZ12" s="185"/>
      <c r="JA12" s="106" t="str">
        <f>IFERROR((((COUNTIF('Elève (6ème4)'!IX13:IZ13,"A"))*4)+((COUNTIF('Elève (6ème4)'!IX13:IZ13,"B"))*3)+((COUNTIF('Elève (6ème4)'!IX13:IZ13,"C"))*2)+((COUNTIF('Elève (6ème4)'!IX13:IZ13,"D"))*1))/(COUNTA(IX13:IZ13)),"")</f>
        <v/>
      </c>
      <c r="JB12" s="107" t="str">
        <f t="shared" si="60"/>
        <v/>
      </c>
      <c r="JC12" s="204"/>
      <c r="JD12" s="186"/>
      <c r="JE12" s="205"/>
      <c r="JF12" s="106" t="str">
        <f>IFERROR((((COUNTIF('Elève (6ème4)'!JC13:JE13,"A"))*4)+((COUNTIF('Elève (6ème4)'!JC13:JE13,"B"))*3)+((COUNTIF('Elève (6ème4)'!JC13:JE13,"C"))*2)+((COUNTIF('Elève (6ème4)'!JC13:JE13,"D"))*1))/(COUNTA(JC13:JE13)),"")</f>
        <v/>
      </c>
      <c r="JG12" s="121" t="str">
        <f t="shared" si="61"/>
        <v/>
      </c>
      <c r="JH12" s="100"/>
      <c r="JI12" s="187"/>
      <c r="JJ12" s="188"/>
      <c r="JK12" s="106" t="str">
        <f>IFERROR((((COUNTIF('Elève (6ème4)'!JH13:JJ13,"A"))*4)+((COUNTIF('Elève (6ème4)'!JH13:JJ13,"B"))*3)+((COUNTIF('Elève (6ème4)'!JH13:JJ13,"C"))*2)+((COUNTIF('Elève (6ème4)'!JH13:JJ13,"D"))*1))/(COUNTA(JH13:JJ13)),"")</f>
        <v/>
      </c>
      <c r="JL12" s="128" t="str">
        <f t="shared" si="62"/>
        <v/>
      </c>
      <c r="JM12" s="177" t="str">
        <f>IFERROR((((COUNTIF(IX13:IZ13,"A")+COUNTIF(JC13:JE13,"A")+COUNTIF(JH13:JJ13,"A"))*4)+((COUNTIF(IX13:IZ13,"B")+COUNTIF(JC13:JE13,"B")+COUNTIF(JH13:JJ13,"B"))*3)+((COUNTIF(IX13:IZ13,"C")+COUNTIF(JC13:JE13,"C")+COUNTIF(JH13:JJ13,"C"))*2)+((COUNTIF(IX13:IZ13,"D")+COUNTIF(JC13:JE13,"D")+COUNTIF(JH13:JJ13,"D"))*1))/(COUNTA(IX13:IZ13)+COUNTA(JC13:JE13)+COUNTA(JH13:JJ13)),"")</f>
        <v/>
      </c>
      <c r="JN12" s="130" t="str">
        <f t="shared" si="63"/>
        <v/>
      </c>
      <c r="JO12" s="152"/>
      <c r="JP12" s="185"/>
      <c r="JQ12" s="185"/>
      <c r="JR12" s="106" t="str">
        <f>IFERROR((((COUNTIF('Elève (6ème4)'!JO13:JQ13,"A"))*4)+((COUNTIF('Elève (6ème4)'!JO13:JQ13,"B"))*3)+((COUNTIF('Elève (6ème4)'!JO13:JQ13,"C"))*2)+((COUNTIF('Elève (6ème4)'!JO13:JQ13,"D"))*1))/(COUNTA(JO13:JQ13)),"")</f>
        <v/>
      </c>
      <c r="JS12" s="107" t="str">
        <f t="shared" si="64"/>
        <v/>
      </c>
      <c r="JT12" s="204"/>
      <c r="JU12" s="186"/>
      <c r="JV12" s="205"/>
      <c r="JW12" s="106" t="str">
        <f>IFERROR((((COUNTIF('Elève (6ème4)'!JT13:JV13,"A"))*4)+((COUNTIF('Elève (6ème4)'!JT13:JV13,"B"))*3)+((COUNTIF('Elève (6ème4)'!JT13:JV13,"C"))*2)+((COUNTIF('Elève (6ème4)'!JT13:JV13,"D"))*1))/(COUNTA(JT13:JV13)),"")</f>
        <v/>
      </c>
      <c r="JX12" s="121" t="str">
        <f t="shared" si="65"/>
        <v/>
      </c>
      <c r="JY12" s="100"/>
      <c r="JZ12" s="187"/>
      <c r="KA12" s="188"/>
      <c r="KB12" s="106" t="str">
        <f>IFERROR((((COUNTIF('Elève (6ème4)'!JY13:KA13,"A"))*4)+((COUNTIF('Elève (6ème4)'!JY13:KA13,"B"))*3)+((COUNTIF('Elève (6ème4)'!JY13:KA13,"C"))*2)+((COUNTIF('Elève (6ème4)'!JY13:KA13,"D"))*1))/(COUNTA(JY13:KA13)),"")</f>
        <v/>
      </c>
      <c r="KC12" s="128" t="str">
        <f t="shared" si="66"/>
        <v/>
      </c>
      <c r="KD12" s="177" t="str">
        <f>IFERROR((((COUNTIF(JO13:JQ13,"A")+COUNTIF(JT13:JV13,"A")+COUNTIF(JY13:KA13,"A"))*4)+((COUNTIF(JO13:JQ13,"B")+COUNTIF(JT13:JV13,"B")+COUNTIF(JY13:KA13,"B"))*3)+((COUNTIF(JO13:JQ13,"C")+COUNTIF(JT13:JV13,"C")+COUNTIF(JY13:KA13,"C"))*2)+((COUNTIF(JO13:JQ13,"D")+COUNTIF(JT13:JV13,"D")+COUNTIF(JY13:KA13,"D"))*1))/(COUNTA(JO13:JQ13)+COUNTA(JT13:JV13)+COUNTA(JY13:KA13)),"")</f>
        <v/>
      </c>
      <c r="KE12" s="130" t="str">
        <f t="shared" si="67"/>
        <v/>
      </c>
      <c r="KF12" s="152"/>
      <c r="KG12" s="185"/>
      <c r="KH12" s="185"/>
      <c r="KI12" s="106" t="str">
        <f>IFERROR((((COUNTIF('Elève (6ème4)'!KF13:KH13,"A"))*4)+((COUNTIF('Elève (6ème4)'!KF13:KH13,"B"))*3)+((COUNTIF('Elève (6ème4)'!KF13:KH13,"C"))*2)+((COUNTIF('Elève (6ème4)'!KF13:KH13,"D"))*1))/(COUNTA(KF13:KH13)),"")</f>
        <v/>
      </c>
      <c r="KJ12" s="107" t="str">
        <f t="shared" si="68"/>
        <v/>
      </c>
      <c r="KK12" s="204"/>
      <c r="KL12" s="186"/>
      <c r="KM12" s="205"/>
      <c r="KN12" s="106" t="str">
        <f>IFERROR((((COUNTIF('Elève (6ème4)'!KK13:KM13,"A"))*4)+((COUNTIF('Elève (6ème4)'!KK13:KM13,"B"))*3)+((COUNTIF('Elève (6ème4)'!KK13:KM13,"C"))*2)+((COUNTIF('Elève (6ème4)'!KK13:KM13,"D"))*1))/(COUNTA(KK13:KM13)),"")</f>
        <v/>
      </c>
      <c r="KO12" s="121" t="str">
        <f t="shared" si="69"/>
        <v/>
      </c>
      <c r="KP12" s="100"/>
      <c r="KQ12" s="187"/>
      <c r="KR12" s="188"/>
      <c r="KS12" s="106" t="str">
        <f>IFERROR((((COUNTIF('Elève (6ème4)'!KP13:KR13,"A"))*4)+((COUNTIF('Elève (6ème4)'!KP13:KR13,"B"))*3)+((COUNTIF('Elève (6ème4)'!KP13:KR13,"C"))*2)+((COUNTIF('Elève (6ème4)'!KP13:KR13,"D"))*1))/(COUNTA(KP13:KR13)),"")</f>
        <v/>
      </c>
      <c r="KT12" s="128" t="str">
        <f t="shared" si="70"/>
        <v/>
      </c>
      <c r="KU12" s="177" t="str">
        <f>IFERROR((((COUNTIF(KF13:KH13,"A")+COUNTIF(KK13:KM13,"A")+COUNTIF(KP13:KR13,"A"))*4)+((COUNTIF(KF13:KH13,"B")+COUNTIF(KK13:KM13,"B")+COUNTIF(KP13:KR13,"B"))*3)+((COUNTIF(KF13:KH13,"C")+COUNTIF(KK13:KM13,"C")+COUNTIF(KP13:KR13,"C"))*2)+((COUNTIF(KF13:KH13,"D")+COUNTIF(KK13:KM13,"D")+COUNTIF(KP13:KR13,"D"))*1))/(COUNTA(KF13:KH13)+COUNTA(KK13:KM13)+COUNTA(KP13:KR13)),"")</f>
        <v/>
      </c>
      <c r="KV12" s="130" t="str">
        <f t="shared" si="71"/>
        <v/>
      </c>
      <c r="KW12" s="152"/>
      <c r="KX12" s="185"/>
      <c r="KY12" s="185"/>
      <c r="KZ12" s="106" t="str">
        <f>IFERROR((((COUNTIF('Elève (6ème4)'!KW13:KY13,"A"))*4)+((COUNTIF('Elève (6ème4)'!KW13:KY13,"B"))*3)+((COUNTIF('Elève (6ème4)'!KW13:KY13,"C"))*2)+((COUNTIF('Elève (6ème4)'!KW13:KY13,"D"))*1))/(COUNTA(KW13:KY13)),"")</f>
        <v/>
      </c>
      <c r="LA12" s="107" t="str">
        <f t="shared" si="72"/>
        <v/>
      </c>
      <c r="LB12" s="204"/>
      <c r="LC12" s="186"/>
      <c r="LD12" s="205"/>
      <c r="LE12" s="106" t="str">
        <f>IFERROR((((COUNTIF('Elève (6ème4)'!LB13:LD13,"A"))*4)+((COUNTIF('Elève (6ème4)'!LB13:LD13,"B"))*3)+((COUNTIF('Elève (6ème4)'!LB13:LD13,"C"))*2)+((COUNTIF('Elève (6ème4)'!LB13:LD13,"D"))*1))/(COUNTA(LB13:LD13)),"")</f>
        <v/>
      </c>
      <c r="LF12" s="121" t="str">
        <f t="shared" si="73"/>
        <v/>
      </c>
      <c r="LG12" s="100"/>
      <c r="LH12" s="187"/>
      <c r="LI12" s="188"/>
      <c r="LJ12" s="106" t="str">
        <f>IFERROR((((COUNTIF('Elève (6ème4)'!LG13:LI13,"A"))*4)+((COUNTIF('Elève (6ème4)'!LG13:LI13,"B"))*3)+((COUNTIF('Elève (6ème4)'!LG13:LI13,"C"))*2)+((COUNTIF('Elève (6ème4)'!LG13:LI13,"D"))*1))/(COUNTA(LG13:LI13)),"")</f>
        <v/>
      </c>
      <c r="LK12" s="128" t="str">
        <f t="shared" si="74"/>
        <v/>
      </c>
      <c r="LL12" s="177" t="str">
        <f>IFERROR((((COUNTIF(KW13:KY13,"A")+COUNTIF(LB13:LD13,"A")+COUNTIF(LG13:LI13,"A"))*4)+((COUNTIF(KW13:KY13,"B")+COUNTIF(LB13:LD13,"B")+COUNTIF(LG13:LI13,"B"))*3)+((COUNTIF(KW13:KY13,"C")+COUNTIF(LB13:LD13,"C")+COUNTIF(LG13:LI13,"C"))*2)+((COUNTIF(KW13:KY13,"D")+COUNTIF(LB13:LD13,"D")+COUNTIF(LG13:LI13,"D"))*1))/(COUNTA(KW13:KY13)+COUNTA(LB13:LD13)+COUNTA(LG13:LI13)),"")</f>
        <v/>
      </c>
      <c r="LM12" s="130" t="str">
        <f t="shared" si="75"/>
        <v/>
      </c>
      <c r="LN12" s="152"/>
      <c r="LO12" s="185"/>
      <c r="LP12" s="185"/>
      <c r="LQ12" s="106" t="str">
        <f>IFERROR((((COUNTIF('Elève (6ème4)'!LN13:LP13,"A"))*4)+((COUNTIF('Elève (6ème4)'!LN13:LP13,"B"))*3)+((COUNTIF('Elève (6ème4)'!LN13:LP13,"C"))*2)+((COUNTIF('Elève (6ème4)'!LN13:LP13,"D"))*1))/(COUNTA(LN13:LP13)),"")</f>
        <v/>
      </c>
      <c r="LR12" s="107" t="str">
        <f t="shared" si="76"/>
        <v/>
      </c>
      <c r="LS12" s="204"/>
      <c r="LT12" s="186"/>
      <c r="LU12" s="205"/>
      <c r="LV12" s="106" t="str">
        <f>IFERROR((((COUNTIF('Elève (6ème4)'!LS13:LU13,"A"))*4)+((COUNTIF('Elève (6ème4)'!LS13:LU13,"B"))*3)+((COUNTIF('Elève (6ème4)'!LS13:LU13,"C"))*2)+((COUNTIF('Elève (6ème4)'!LS13:LU13,"D"))*1))/(COUNTA(LS13:LU13)),"")</f>
        <v/>
      </c>
      <c r="LW12" s="121" t="str">
        <f t="shared" si="77"/>
        <v/>
      </c>
      <c r="LX12" s="100"/>
      <c r="LY12" s="187"/>
      <c r="LZ12" s="188"/>
      <c r="MA12" s="106" t="str">
        <f>IFERROR((((COUNTIF('Elève (6ème4)'!LX13:LZ13,"A"))*4)+((COUNTIF('Elève (6ème4)'!LX13:LZ13,"B"))*3)+((COUNTIF('Elève (6ème4)'!LX13:LZ13,"C"))*2)+((COUNTIF('Elève (6ème4)'!LX13:LZ13,"D"))*1))/(COUNTA(LX13:LZ13)),"")</f>
        <v/>
      </c>
      <c r="MB12" s="128" t="str">
        <f t="shared" si="78"/>
        <v/>
      </c>
      <c r="MC12" s="177" t="str">
        <f>IFERROR((((COUNTIF(LN13:LP13,"A")+COUNTIF(LS13:LU13,"A")+COUNTIF(LX13:LZ13,"A"))*4)+((COUNTIF(LN13:LP13,"B")+COUNTIF(LS13:LU13,"B")+COUNTIF(LX13:LZ13,"B"))*3)+((COUNTIF(LN13:LP13,"C")+COUNTIF(LS13:LU13,"C")+COUNTIF(LX13:LZ13,"C"))*2)+((COUNTIF(LN13:LP13,"D")+COUNTIF(LS13:LU13,"D")+COUNTIF(LX13:LZ13,"D"))*1))/(COUNTA(LN13:LP13)+COUNTA(LS13:LU13)+COUNTA(LX13:LZ13)),"")</f>
        <v/>
      </c>
      <c r="MD12" s="130" t="str">
        <f t="shared" si="79"/>
        <v/>
      </c>
      <c r="ME12" s="152"/>
      <c r="MF12" s="185"/>
      <c r="MG12" s="185"/>
      <c r="MH12" s="106" t="str">
        <f>IFERROR((((COUNTIF('Elève (6ème4)'!ME13:MG13,"A"))*4)+((COUNTIF('Elève (6ème4)'!ME13:MG13,"B"))*3)+((COUNTIF('Elève (6ème4)'!ME13:MG13,"C"))*2)+((COUNTIF('Elève (6ème4)'!ME13:MG13,"D"))*1))/(COUNTA(ME13:MG13)),"")</f>
        <v/>
      </c>
      <c r="MI12" s="107" t="str">
        <f t="shared" si="80"/>
        <v/>
      </c>
      <c r="MJ12" s="204"/>
      <c r="MK12" s="186"/>
      <c r="ML12" s="205"/>
      <c r="MM12" s="106" t="str">
        <f>IFERROR((((COUNTIF('Elève (6ème4)'!MJ13:ML13,"A"))*4)+((COUNTIF('Elève (6ème4)'!MJ13:ML13,"B"))*3)+((COUNTIF('Elève (6ème4)'!MJ13:ML13,"C"))*2)+((COUNTIF('Elève (6ème4)'!MJ13:ML13,"D"))*1))/(COUNTA(MJ13:ML13)),"")</f>
        <v/>
      </c>
      <c r="MN12" s="121" t="str">
        <f t="shared" si="81"/>
        <v/>
      </c>
      <c r="MO12" s="100"/>
      <c r="MP12" s="187"/>
      <c r="MQ12" s="188"/>
      <c r="MR12" s="106" t="str">
        <f>IFERROR((((COUNTIF('Elève (6ème4)'!MO13:MQ13,"A"))*4)+((COUNTIF('Elève (6ème4)'!MO13:MQ13,"B"))*3)+((COUNTIF('Elève (6ème4)'!MO13:MQ13,"C"))*2)+((COUNTIF('Elève (6ème4)'!MO13:MQ13,"D"))*1))/(COUNTA(MO13:MQ13)),"")</f>
        <v/>
      </c>
      <c r="MS12" s="128" t="str">
        <f t="shared" si="82"/>
        <v/>
      </c>
      <c r="MT12" s="177" t="str">
        <f>IFERROR((((COUNTIF(ME13:MG13,"A")+COUNTIF(MJ13:ML13,"A")+COUNTIF(MO13:MQ13,"A"))*4)+((COUNTIF(ME13:MG13,"B")+COUNTIF(MJ13:ML13,"B")+COUNTIF(MO13:MQ13,"B"))*3)+((COUNTIF(ME13:MG13,"C")+COUNTIF(MJ13:ML13,"C")+COUNTIF(MO13:MQ13,"C"))*2)+((COUNTIF(ME13:MG13,"D")+COUNTIF(MJ13:ML13,"D")+COUNTIF(MO13:MQ13,"D"))*1))/(COUNTA(ME13:MG13)+COUNTA(MJ13:ML13)+COUNTA(MO13:MQ13)),"")</f>
        <v/>
      </c>
      <c r="MU12" s="130" t="str">
        <f t="shared" si="83"/>
        <v/>
      </c>
      <c r="MV12" s="152"/>
      <c r="MW12" s="185"/>
      <c r="MX12" s="185"/>
      <c r="MY12" s="106" t="str">
        <f>IFERROR((((COUNTIF('Elève (6ème4)'!MV13:MX13,"A"))*4)+((COUNTIF('Elève (6ème4)'!MV13:MX13,"B"))*3)+((COUNTIF('Elève (6ème4)'!MV13:MX13,"C"))*2)+((COUNTIF('Elève (6ème4)'!MV13:MX13,"D"))*1))/(COUNTA(MV13:MX13)),"")</f>
        <v/>
      </c>
      <c r="MZ12" s="107" t="str">
        <f t="shared" si="84"/>
        <v/>
      </c>
      <c r="NA12" s="204"/>
      <c r="NB12" s="186"/>
      <c r="NC12" s="205"/>
      <c r="ND12" s="106" t="str">
        <f>IFERROR((((COUNTIF('Elève (6ème4)'!NA13:NC13,"A"))*4)+((COUNTIF('Elève (6ème4)'!NA13:NC13,"B"))*3)+((COUNTIF('Elève (6ème4)'!NA13:NC13,"C"))*2)+((COUNTIF('Elève (6ème4)'!NA13:NC13,"D"))*1))/(COUNTA(NA13:NC13)),"")</f>
        <v/>
      </c>
      <c r="NE12" s="121" t="str">
        <f t="shared" si="85"/>
        <v/>
      </c>
      <c r="NF12" s="100"/>
      <c r="NG12" s="187"/>
      <c r="NH12" s="188"/>
      <c r="NI12" s="106" t="str">
        <f>IFERROR((((COUNTIF('Elève (6ème4)'!NF13:NH13,"A"))*4)+((COUNTIF('Elève (6ème4)'!NF13:NH13,"B"))*3)+((COUNTIF('Elève (6ème4)'!NF13:NH13,"C"))*2)+((COUNTIF('Elève (6ème4)'!NF13:NH13,"D"))*1))/(COUNTA(NF13:NH13)),"")</f>
        <v/>
      </c>
      <c r="NJ12" s="128" t="str">
        <f t="shared" si="86"/>
        <v/>
      </c>
      <c r="NK12" s="177" t="str">
        <f>IFERROR((((COUNTIF(MV13:MX13,"A")+COUNTIF(NA13:NC13,"A")+COUNTIF(NF13:NH13,"A"))*4)+((COUNTIF(MV13:MX13,"B")+COUNTIF(NA13:NC13,"B")+COUNTIF(NF13:NH13,"B"))*3)+((COUNTIF(MV13:MX13,"C")+COUNTIF(NA13:NC13,"C")+COUNTIF(NF13:NH13,"C"))*2)+((COUNTIF(MV13:MX13,"D")+COUNTIF(NA13:NC13,"D")+COUNTIF(NF13:NH13,"D"))*1))/(COUNTA(MV13:MX13)+COUNTA(NA13:NC13)+COUNTA(NF13:NH13)),"")</f>
        <v/>
      </c>
      <c r="NL12" s="130" t="str">
        <f t="shared" si="87"/>
        <v/>
      </c>
      <c r="NM12" s="152"/>
      <c r="NN12" s="185"/>
      <c r="NO12" s="185"/>
      <c r="NP12" s="106" t="str">
        <f>IFERROR((((COUNTIF('Elève (6ème4)'!NM13:NO13,"A"))*4)+((COUNTIF('Elève (6ème4)'!NM13:NO13,"B"))*3)+((COUNTIF('Elève (6ème4)'!NM13:NO13,"C"))*2)+((COUNTIF('Elève (6ème4)'!NM13:NO13,"D"))*1))/(COUNTA(NM13:NO13)),"")</f>
        <v/>
      </c>
      <c r="NQ12" s="107" t="str">
        <f t="shared" si="88"/>
        <v/>
      </c>
      <c r="NR12" s="204"/>
      <c r="NS12" s="186"/>
      <c r="NT12" s="205"/>
      <c r="NU12" s="106" t="str">
        <f>IFERROR((((COUNTIF('Elève (6ème4)'!NR13:NT13,"A"))*4)+((COUNTIF('Elève (6ème4)'!NR13:NT13,"B"))*3)+((COUNTIF('Elève (6ème4)'!NR13:NT13,"C"))*2)+((COUNTIF('Elève (6ème4)'!NR13:NT13,"D"))*1))/(COUNTA(NR13:NT13)),"")</f>
        <v/>
      </c>
      <c r="NV12" s="121" t="str">
        <f t="shared" si="89"/>
        <v/>
      </c>
      <c r="NW12" s="100"/>
      <c r="NX12" s="187"/>
      <c r="NY12" s="188"/>
      <c r="NZ12" s="106" t="str">
        <f>IFERROR((((COUNTIF('Elève (6ème4)'!NW13:NY13,"A"))*4)+((COUNTIF('Elève (6ème4)'!NW13:NY13,"B"))*3)+((COUNTIF('Elève (6ème4)'!NW13:NY13,"C"))*2)+((COUNTIF('Elève (6ème4)'!NW13:NY13,"D"))*1))/(COUNTA(NW13:NY13)),"")</f>
        <v/>
      </c>
      <c r="OA12" s="128" t="str">
        <f t="shared" si="90"/>
        <v/>
      </c>
      <c r="OB12" s="177" t="str">
        <f>IFERROR((((COUNTIF(NM13:NO13,"A")+COUNTIF(NR13:NT13,"A")+COUNTIF(NW13:NY13,"A"))*4)+((COUNTIF(NM13:NO13,"B")+COUNTIF(NR13:NT13,"B")+COUNTIF(NW13:NY13,"B"))*3)+((COUNTIF(NM13:NO13,"C")+COUNTIF(NR13:NT13,"C")+COUNTIF(NW13:NY13,"C"))*2)+((COUNTIF(NM13:NO13,"D")+COUNTIF(NR13:NT13,"D")+COUNTIF(NW13:NY13,"D"))*1))/(COUNTA(NM13:NO13)+COUNTA(NR13:NT13)+COUNTA(NW13:NY13)),"")</f>
        <v/>
      </c>
      <c r="OC12" s="130" t="str">
        <f t="shared" si="91"/>
        <v/>
      </c>
      <c r="OD12" s="152"/>
      <c r="OE12" s="185"/>
      <c r="OF12" s="185"/>
      <c r="OG12" s="106" t="str">
        <f>IFERROR((((COUNTIF('Elève (6ème4)'!OD13:OF13,"A"))*4)+((COUNTIF('Elève (6ème4)'!OD13:OF13,"B"))*3)+((COUNTIF('Elève (6ème4)'!OD13:OF13,"C"))*2)+((COUNTIF('Elève (6ème4)'!OD13:OF13,"D"))*1))/(COUNTA(OD13:OF13)),"")</f>
        <v/>
      </c>
      <c r="OH12" s="107" t="str">
        <f t="shared" si="92"/>
        <v/>
      </c>
      <c r="OI12" s="204"/>
      <c r="OJ12" s="186"/>
      <c r="OK12" s="205"/>
      <c r="OL12" s="106" t="str">
        <f>IFERROR((((COUNTIF('Elève (6ème4)'!OI13:OK13,"A"))*4)+((COUNTIF('Elève (6ème4)'!OI13:OK13,"B"))*3)+((COUNTIF('Elève (6ème4)'!OI13:OK13,"C"))*2)+((COUNTIF('Elève (6ème4)'!OI13:OK13,"D"))*1))/(COUNTA(OI13:OK13)),"")</f>
        <v/>
      </c>
      <c r="OM12" s="121" t="str">
        <f t="shared" si="93"/>
        <v/>
      </c>
      <c r="ON12" s="100"/>
      <c r="OO12" s="187"/>
      <c r="OP12" s="188"/>
      <c r="OQ12" s="106" t="str">
        <f>IFERROR((((COUNTIF('Elève (6ème4)'!ON13:OP13,"A"))*4)+((COUNTIF('Elève (6ème4)'!ON13:OP13,"B"))*3)+((COUNTIF('Elève (6ème4)'!ON13:OP13,"C"))*2)+((COUNTIF('Elève (6ème4)'!ON13:OP13,"D"))*1))/(COUNTA(ON13:OP13)),"")</f>
        <v/>
      </c>
      <c r="OR12" s="128" t="str">
        <f t="shared" si="94"/>
        <v/>
      </c>
      <c r="OS12" s="177" t="str">
        <f>IFERROR((((COUNTIF(OD13:OF13,"A")+COUNTIF(OI13:OK13,"A")+COUNTIF(ON13:OP13,"A"))*4)+((COUNTIF(OD13:OF13,"B")+COUNTIF(OI13:OK13,"B")+COUNTIF(ON13:OP13,"B"))*3)+((COUNTIF(OD13:OF13,"C")+COUNTIF(OI13:OK13,"C")+COUNTIF(ON13:OP13,"C"))*2)+((COUNTIF(OD13:OF13,"D")+COUNTIF(OI13:OK13,"D")+COUNTIF(ON13:OP13,"D"))*1))/(COUNTA(OD13:OF13)+COUNTA(OI13:OK13)+COUNTA(ON13:OP13)),"")</f>
        <v/>
      </c>
      <c r="OT12" s="130" t="str">
        <f t="shared" si="95"/>
        <v/>
      </c>
      <c r="OU12" s="152"/>
      <c r="OV12" s="185"/>
      <c r="OW12" s="185"/>
      <c r="OX12" s="106" t="str">
        <f>IFERROR((((COUNTIF('Elève (6ème4)'!OU13:OW13,"A"))*4)+((COUNTIF('Elève (6ème4)'!OU13:OW13,"B"))*3)+((COUNTIF('Elève (6ème4)'!OU13:OW13,"C"))*2)+((COUNTIF('Elève (6ème4)'!OU13:OW13,"D"))*1))/(COUNTA(OU13:OW13)),"")</f>
        <v/>
      </c>
      <c r="OY12" s="107" t="str">
        <f t="shared" si="96"/>
        <v/>
      </c>
      <c r="OZ12" s="204"/>
      <c r="PA12" s="186"/>
      <c r="PB12" s="205"/>
      <c r="PC12" s="106" t="str">
        <f>IFERROR((((COUNTIF('Elève (6ème4)'!OZ13:PB13,"A"))*4)+((COUNTIF('Elève (6ème4)'!OZ13:PB13,"B"))*3)+((COUNTIF('Elève (6ème4)'!OZ13:PB13,"C"))*2)+((COUNTIF('Elève (6ème4)'!OZ13:PB13,"D"))*1))/(COUNTA(OZ13:PB13)),"")</f>
        <v/>
      </c>
      <c r="PD12" s="121" t="str">
        <f t="shared" si="97"/>
        <v/>
      </c>
      <c r="PE12" s="100"/>
      <c r="PF12" s="187"/>
      <c r="PG12" s="188"/>
      <c r="PH12" s="106" t="str">
        <f>IFERROR((((COUNTIF('Elève (6ème4)'!PE13:PG13,"A"))*4)+((COUNTIF('Elève (6ème4)'!PE13:PG13,"B"))*3)+((COUNTIF('Elève (6ème4)'!PE13:PG13,"C"))*2)+((COUNTIF('Elève (6ème4)'!PE13:PG13,"D"))*1))/(COUNTA(PE13:PG13)),"")</f>
        <v/>
      </c>
      <c r="PI12" s="128" t="str">
        <f t="shared" si="98"/>
        <v/>
      </c>
      <c r="PJ12" s="177" t="str">
        <f>IFERROR((((COUNTIF(OU13:OW13,"A")+COUNTIF(OZ13:PB13,"A")+COUNTIF(PE13:PG13,"A"))*4)+((COUNTIF(OU13:OW13,"B")+COUNTIF(OZ13:PB13,"B")+COUNTIF(PE13:PG13,"B"))*3)+((COUNTIF(OU13:OW13,"C")+COUNTIF(OZ13:PB13,"C")+COUNTIF(PE13:PG13,"C"))*2)+((COUNTIF(OU13:OW13,"D")+COUNTIF(OZ13:PB13,"D")+COUNTIF(PE13:PG13,"D"))*1))/(COUNTA(OU13:OW13)+COUNTA(OZ13:PB13)+COUNTA(PE13:PG13)),"")</f>
        <v/>
      </c>
      <c r="PK12" s="130" t="str">
        <f t="shared" si="99"/>
        <v/>
      </c>
      <c r="PL12" s="152"/>
      <c r="PM12" s="185"/>
      <c r="PN12" s="185"/>
      <c r="PO12" s="106" t="str">
        <f>IFERROR((((COUNTIF('Elève (6ème4)'!PL13:PN13,"A"))*4)+((COUNTIF('Elève (6ème4)'!PL13:PN13,"B"))*3)+((COUNTIF('Elève (6ème4)'!PL13:PN13,"C"))*2)+((COUNTIF('Elève (6ème4)'!PL13:PN13,"D"))*1))/(COUNTA(PL13:PN13)),"")</f>
        <v/>
      </c>
      <c r="PP12" s="107" t="str">
        <f t="shared" si="100"/>
        <v/>
      </c>
      <c r="PQ12" s="204"/>
      <c r="PR12" s="186"/>
      <c r="PS12" s="205"/>
      <c r="PT12" s="106" t="str">
        <f>IFERROR((((COUNTIF('Elève (6ème4)'!PQ13:PS13,"A"))*4)+((COUNTIF('Elève (6ème4)'!PQ13:PS13,"B"))*3)+((COUNTIF('Elève (6ème4)'!PQ13:PS13,"C"))*2)+((COUNTIF('Elève (6ème4)'!PQ13:PS13,"D"))*1))/(COUNTA(PQ13:PS13)),"")</f>
        <v/>
      </c>
      <c r="PU12" s="121" t="str">
        <f t="shared" si="101"/>
        <v/>
      </c>
      <c r="PV12" s="100"/>
      <c r="PW12" s="187"/>
      <c r="PX12" s="188"/>
      <c r="PY12" s="106" t="str">
        <f>IFERROR((((COUNTIF('Elève (6ème4)'!PV13:PX13,"A"))*4)+((COUNTIF('Elève (6ème4)'!PV13:PX13,"B"))*3)+((COUNTIF('Elève (6ème4)'!PV13:PX13,"C"))*2)+((COUNTIF('Elève (6ème4)'!PV13:PX13,"D"))*1))/(COUNTA(PV13:PX13)),"")</f>
        <v/>
      </c>
      <c r="PZ12" s="128" t="str">
        <f t="shared" si="102"/>
        <v/>
      </c>
      <c r="QA12" s="177" t="str">
        <f>IFERROR((((COUNTIF(PL13:PN13,"A")+COUNTIF(PQ13:PS13,"A")+COUNTIF(PV13:PX13,"A"))*4)+((COUNTIF(PL13:PN13,"B")+COUNTIF(PQ13:PS13,"B")+COUNTIF(PV13:PX13,"B"))*3)+((COUNTIF(PL13:PN13,"C")+COUNTIF(PQ13:PS13,"C")+COUNTIF(PV13:PX13,"C"))*2)+((COUNTIF(PL13:PN13,"D")+COUNTIF(PQ13:PS13,"D")+COUNTIF(PV13:PX13,"D"))*1))/(COUNTA(PL13:PN13)+COUNTA(PQ13:PS13)+COUNTA(PV13:PX13)),"")</f>
        <v/>
      </c>
      <c r="QB12" s="130" t="str">
        <f t="shared" si="103"/>
        <v/>
      </c>
      <c r="QC12" s="152"/>
      <c r="QD12" s="185"/>
      <c r="QE12" s="185"/>
      <c r="QF12" s="106" t="str">
        <f>IFERROR((((COUNTIF('Elève (6ème4)'!QC13:QE13,"A"))*4)+((COUNTIF('Elève (6ème4)'!QC13:QE13,"B"))*3)+((COUNTIF('Elève (6ème4)'!QC13:QE13,"C"))*2)+((COUNTIF('Elève (6ème4)'!QC13:QE13,"D"))*1))/(COUNTA(QC13:QE13)),"")</f>
        <v/>
      </c>
      <c r="QG12" s="107" t="str">
        <f t="shared" si="104"/>
        <v/>
      </c>
      <c r="QH12" s="204"/>
      <c r="QI12" s="186"/>
      <c r="QJ12" s="205"/>
      <c r="QK12" s="106" t="str">
        <f>IFERROR((((COUNTIF('Elève (6ème4)'!QH13:QJ13,"A"))*4)+((COUNTIF('Elève (6ème4)'!QH13:QJ13,"B"))*3)+((COUNTIF('Elève (6ème4)'!QH13:QJ13,"C"))*2)+((COUNTIF('Elève (6ème4)'!QH13:QJ13,"D"))*1))/(COUNTA(QH13:QJ13)),"")</f>
        <v/>
      </c>
      <c r="QL12" s="121" t="str">
        <f t="shared" si="105"/>
        <v/>
      </c>
      <c r="QM12" s="100"/>
      <c r="QN12" s="187"/>
      <c r="QO12" s="188"/>
      <c r="QP12" s="106" t="str">
        <f>IFERROR((((COUNTIF('Elève (6ème4)'!QM13:QO13,"A"))*4)+((COUNTIF('Elève (6ème4)'!QM13:QO13,"B"))*3)+((COUNTIF('Elève (6ème4)'!QM13:QO13,"C"))*2)+((COUNTIF('Elève (6ème4)'!QM13:QO13,"D"))*1))/(COUNTA(QM13:QO13)),"")</f>
        <v/>
      </c>
      <c r="QQ12" s="128" t="str">
        <f t="shared" si="106"/>
        <v/>
      </c>
      <c r="QR12" s="177" t="str">
        <f>IFERROR((((COUNTIF(QC13:QE13,"A")+COUNTIF(QH13:QJ13,"A")+COUNTIF(QM13:QO13,"A"))*4)+((COUNTIF(QC13:QE13,"B")+COUNTIF(QH13:QJ13,"B")+COUNTIF(QM13:QO13,"B"))*3)+((COUNTIF(QC13:QE13,"C")+COUNTIF(QH13:QJ13,"C")+COUNTIF(QM13:QO13,"C"))*2)+((COUNTIF(QC13:QE13,"D")+COUNTIF(QH13:QJ13,"D")+COUNTIF(QM13:QO13,"D"))*1))/(COUNTA(QC13:QE13)+COUNTA(QH13:QJ13)+COUNTA(QM13:QO13)),"")</f>
        <v/>
      </c>
      <c r="QS12" s="130" t="str">
        <f t="shared" si="107"/>
        <v/>
      </c>
      <c r="QT12" s="152"/>
      <c r="QU12" s="185"/>
      <c r="QV12" s="185"/>
      <c r="QW12" s="106" t="str">
        <f>IFERROR((((COUNTIF('Elève (6ème4)'!QT13:QV13,"A"))*4)+((COUNTIF('Elève (6ème4)'!QT13:QV13,"B"))*3)+((COUNTIF('Elève (6ème4)'!QT13:QV13,"C"))*2)+((COUNTIF('Elève (6ème4)'!QT13:QV13,"D"))*1))/(COUNTA(QT13:QV13)),"")</f>
        <v/>
      </c>
      <c r="QX12" s="107" t="str">
        <f t="shared" si="108"/>
        <v/>
      </c>
      <c r="QY12" s="204"/>
      <c r="QZ12" s="186"/>
      <c r="RA12" s="205"/>
      <c r="RB12" s="106" t="str">
        <f>IFERROR((((COUNTIF('Elève (6ème4)'!QY13:RA13,"A"))*4)+((COUNTIF('Elève (6ème4)'!QY13:RA13,"B"))*3)+((COUNTIF('Elève (6ème4)'!QY13:RA13,"C"))*2)+((COUNTIF('Elève (6ème4)'!QY13:RA13,"D"))*1))/(COUNTA(QY13:RA13)),"")</f>
        <v/>
      </c>
      <c r="RC12" s="121" t="str">
        <f t="shared" si="109"/>
        <v/>
      </c>
      <c r="RD12" s="100"/>
      <c r="RE12" s="187"/>
      <c r="RF12" s="188"/>
      <c r="RG12" s="106" t="str">
        <f>IFERROR((((COUNTIF('Elève (6ème4)'!RD13:RF13,"A"))*4)+((COUNTIF('Elève (6ème4)'!RD13:RF13,"B"))*3)+((COUNTIF('Elève (6ème4)'!RD13:RF13,"C"))*2)+((COUNTIF('Elève (6ème4)'!RD13:RF13,"D"))*1))/(COUNTA(RD13:RF13)),"")</f>
        <v/>
      </c>
      <c r="RH12" s="128" t="str">
        <f t="shared" si="110"/>
        <v/>
      </c>
      <c r="RI12" s="177" t="str">
        <f>IFERROR((((COUNTIF(QT13:QV13,"A")+COUNTIF(QY13:RA13,"A")+COUNTIF(RD13:RF13,"A"))*4)+((COUNTIF(QT13:QV13,"B")+COUNTIF(QY13:RA13,"B")+COUNTIF(RD13:RF13,"B"))*3)+((COUNTIF(QT13:QV13,"C")+COUNTIF(QY13:RA13,"C")+COUNTIF(RD13:RF13,"C"))*2)+((COUNTIF(QT13:QV13,"D")+COUNTIF(QY13:RA13,"D")+COUNTIF(RD13:RF13,"D"))*1))/(COUNTA(QT13:QV13)+COUNTA(QY13:RA13)+COUNTA(RD13:RF13)),"")</f>
        <v/>
      </c>
      <c r="RJ12" s="130" t="str">
        <f t="shared" si="111"/>
        <v/>
      </c>
      <c r="RK12" s="152"/>
      <c r="RL12" s="185"/>
      <c r="RM12" s="185"/>
      <c r="RN12" s="106" t="str">
        <f>IFERROR((((COUNTIF('Elève (6ème4)'!RK13:RM13,"A"))*4)+((COUNTIF('Elève (6ème4)'!RK13:RM13,"B"))*3)+((COUNTIF('Elève (6ème4)'!RK13:RM13,"C"))*2)+((COUNTIF('Elève (6ème4)'!RK13:RM13,"D"))*1))/(COUNTA(RK13:RM13)),"")</f>
        <v/>
      </c>
      <c r="RO12" s="107" t="str">
        <f t="shared" si="112"/>
        <v/>
      </c>
      <c r="RP12" s="204"/>
      <c r="RQ12" s="186"/>
      <c r="RR12" s="205"/>
      <c r="RS12" s="106" t="str">
        <f>IFERROR((((COUNTIF('Elève (6ème4)'!RP13:RR13,"A"))*4)+((COUNTIF('Elève (6ème4)'!RP13:RR13,"B"))*3)+((COUNTIF('Elève (6ème4)'!RP13:RR13,"C"))*2)+((COUNTIF('Elève (6ème4)'!RP13:RR13,"D"))*1))/(COUNTA(RP13:RR13)),"")</f>
        <v/>
      </c>
      <c r="RT12" s="121" t="str">
        <f t="shared" si="113"/>
        <v/>
      </c>
      <c r="RU12" s="100"/>
      <c r="RV12" s="187"/>
      <c r="RW12" s="188"/>
      <c r="RX12" s="106" t="str">
        <f>IFERROR((((COUNTIF('Elève (6ème4)'!RU13:RW13,"A"))*4)+((COUNTIF('Elève (6ème4)'!RU13:RW13,"B"))*3)+((COUNTIF('Elève (6ème4)'!RU13:RW13,"C"))*2)+((COUNTIF('Elève (6ème4)'!RU13:RW13,"D"))*1))/(COUNTA(RU13:RW13)),"")</f>
        <v/>
      </c>
      <c r="RY12" s="128" t="str">
        <f t="shared" si="114"/>
        <v/>
      </c>
      <c r="RZ12" s="177" t="str">
        <f>IFERROR((((COUNTIF(RK13:RM13,"A")+COUNTIF(RP13:RR13,"A")+COUNTIF(RU13:RW13,"A"))*4)+((COUNTIF(RK13:RM13,"B")+COUNTIF(RP13:RR13,"B")+COUNTIF(RU13:RW13,"B"))*3)+((COUNTIF(RK13:RM13,"C")+COUNTIF(RP13:RR13,"C")+COUNTIF(RU13:RW13,"C"))*2)+((COUNTIF(RK13:RM13,"D")+COUNTIF(RP13:RR13,"D")+COUNTIF(RU13:RW13,"D"))*1))/(COUNTA(RK13:RM13)+COUNTA(RP13:RR13)+COUNTA(RU13:RW13)),"")</f>
        <v/>
      </c>
      <c r="SA12" s="130" t="str">
        <f t="shared" si="115"/>
        <v/>
      </c>
      <c r="SB12" s="152"/>
      <c r="SC12" s="185"/>
      <c r="SD12" s="185"/>
      <c r="SE12" s="106" t="str">
        <f>IFERROR((((COUNTIF('Elève (6ème4)'!SB13:SD13,"A"))*4)+((COUNTIF('Elève (6ème4)'!SB13:SD13,"B"))*3)+((COUNTIF('Elève (6ème4)'!SB13:SD13,"C"))*2)+((COUNTIF('Elève (6ème4)'!SB13:SD13,"D"))*1))/(COUNTA(SB13:SD13)),"")</f>
        <v/>
      </c>
      <c r="SF12" s="107" t="str">
        <f t="shared" si="116"/>
        <v/>
      </c>
      <c r="SG12" s="204"/>
      <c r="SH12" s="186"/>
      <c r="SI12" s="205"/>
      <c r="SJ12" s="106" t="str">
        <f>IFERROR((((COUNTIF('Elève (6ème4)'!SG13:SI13,"A"))*4)+((COUNTIF('Elève (6ème4)'!SG13:SI13,"B"))*3)+((COUNTIF('Elève (6ème4)'!SG13:SI13,"C"))*2)+((COUNTIF('Elève (6ème4)'!SG13:SI13,"D"))*1))/(COUNTA(SG13:SI13)),"")</f>
        <v/>
      </c>
      <c r="SK12" s="121" t="str">
        <f t="shared" si="117"/>
        <v/>
      </c>
      <c r="SL12" s="100"/>
      <c r="SM12" s="187"/>
      <c r="SN12" s="188"/>
      <c r="SO12" s="106" t="str">
        <f>IFERROR((((COUNTIF('Elève (6ème4)'!SL13:SN13,"A"))*4)+((COUNTIF('Elève (6ème4)'!SL13:SN13,"B"))*3)+((COUNTIF('Elève (6ème4)'!SL13:SN13,"C"))*2)+((COUNTIF('Elève (6ème4)'!SL13:SN13,"D"))*1))/(COUNTA(SL13:SN13)),"")</f>
        <v/>
      </c>
      <c r="SP12" s="128" t="str">
        <f t="shared" si="118"/>
        <v/>
      </c>
      <c r="SQ12" s="177" t="str">
        <f>IFERROR((((COUNTIF(SB13:SD13,"A")+COUNTIF(SG13:SI13,"A")+COUNTIF(SL13:SN13,"A"))*4)+((COUNTIF(SB13:SD13,"B")+COUNTIF(SG13:SI13,"B")+COUNTIF(SL13:SN13,"B"))*3)+((COUNTIF(SB13:SD13,"C")+COUNTIF(SG13:SI13,"C")+COUNTIF(SL13:SN13,"C"))*2)+((COUNTIF(SB13:SD13,"D")+COUNTIF(SG13:SI13,"D")+COUNTIF(SL13:SN13,"D"))*1))/(COUNTA(SB13:SD13)+COUNTA(SG13:SI13)+COUNTA(SL13:SN13)),"")</f>
        <v/>
      </c>
      <c r="SR12" s="130" t="str">
        <f t="shared" si="119"/>
        <v/>
      </c>
    </row>
    <row r="13" spans="1:512" s="72" customFormat="1" ht="18" customHeight="1" thickBot="1" x14ac:dyDescent="0.3">
      <c r="A13" s="240" t="s">
        <v>16</v>
      </c>
      <c r="B13" s="241"/>
      <c r="C13" s="156"/>
      <c r="D13" s="157"/>
      <c r="E13" s="158"/>
      <c r="F13" s="108" t="str">
        <f>IFERROR((((COUNTIF('Elève (6ème4)'!C13:E13,"A"))*4)+((COUNTIF('Elève (6ème4)'!C13:E13,"B"))*3)+((COUNTIF('Elève (6ème4)'!C13:E13,"C"))*2)+((COUNTIF('Elève (6ème4)'!C13:E13,"D"))*1))/(COUNTA(C13:E13)),"")</f>
        <v/>
      </c>
      <c r="G13" s="109" t="str">
        <f t="shared" si="0"/>
        <v/>
      </c>
      <c r="H13" s="81"/>
      <c r="I13" s="82"/>
      <c r="J13" s="83"/>
      <c r="K13" s="108" t="str">
        <f>IFERROR((((COUNTIF('Elève (6ème4)'!H13:J13,"A"))*4)+((COUNTIF('Elève (6ème4)'!H13:J13,"B"))*3)+((COUNTIF('Elève (6ème4)'!H13:J13,"C"))*2)+((COUNTIF('Elève (6ème4)'!H13:J13,"D"))*1))/(COUNTA(H13:J13)),"")</f>
        <v/>
      </c>
      <c r="L13" s="109" t="str">
        <f t="shared" si="1"/>
        <v/>
      </c>
      <c r="M13" s="81"/>
      <c r="N13" s="82"/>
      <c r="O13" s="83"/>
      <c r="P13" s="108" t="str">
        <f>IFERROR((((COUNTIF('Elève (6ème4)'!M13:O13,"A"))*4)+((COUNTIF('Elève (6ème4)'!M13:O13,"B"))*3)+((COUNTIF('Elève (6ème4)'!M13:O13,"C"))*2)+((COUNTIF('Elève (6ème4)'!M13:O13,"D"))*1))/(COUNTA(M13:O13)),"")</f>
        <v/>
      </c>
      <c r="Q13" s="139" t="str">
        <f t="shared" si="2"/>
        <v/>
      </c>
      <c r="R13" s="178" t="str">
        <f>IF(COUNT(F13,K13,P13)=0,"",SUM(F13,K13,P13)/COUNT(F13,K13,P13))</f>
        <v/>
      </c>
      <c r="S13" s="131" t="str">
        <f t="shared" si="3"/>
        <v/>
      </c>
      <c r="T13" s="156"/>
      <c r="U13" s="157"/>
      <c r="V13" s="158"/>
      <c r="W13" s="108" t="str">
        <f>IFERROR((((COUNTIF('Elève (6ème4)'!T13:V13,"A"))*4)+((COUNTIF('Elève (6ème4)'!T13:V13,"B"))*3)+((COUNTIF('Elève (6ème4)'!T13:V13,"C"))*2)+((COUNTIF('Elève (6ème4)'!T13:V13,"D"))*1))/(COUNTA(T13:V13)),"")</f>
        <v/>
      </c>
      <c r="X13" s="109" t="str">
        <f t="shared" si="4"/>
        <v/>
      </c>
      <c r="Y13" s="81"/>
      <c r="Z13" s="82"/>
      <c r="AA13" s="83"/>
      <c r="AB13" s="108" t="str">
        <f>IFERROR((((COUNTIF('Elève (6ème4)'!Y13:AA13,"A"))*4)+((COUNTIF('Elève (6ème4)'!Y13:AA13,"B"))*3)+((COUNTIF('Elève (6ème4)'!Y13:AA13,"C"))*2)+((COUNTIF('Elève (6ème4)'!Y13:AA13,"D"))*1))/(COUNTA(Y13:AA13)),"")</f>
        <v/>
      </c>
      <c r="AC13" s="109" t="str">
        <f t="shared" si="5"/>
        <v/>
      </c>
      <c r="AD13" s="81"/>
      <c r="AE13" s="82"/>
      <c r="AF13" s="83"/>
      <c r="AG13" s="108" t="str">
        <f>IFERROR((((COUNTIF('Elève (6ème4)'!AD13:AF13,"A"))*4)+((COUNTIF('Elève (6ème4)'!AD13:AF13,"B"))*3)+((COUNTIF('Elève (6ème4)'!AD13:AF13,"C"))*2)+((COUNTIF('Elève (6ème4)'!AD13:AF13,"D"))*1))/(COUNTA(AD13:AF13)),"")</f>
        <v/>
      </c>
      <c r="AH13" s="139" t="str">
        <f t="shared" si="6"/>
        <v/>
      </c>
      <c r="AI13" s="178" t="str">
        <f>IF(COUNT(W13,AB13,AG13)=0,"",SUM(W13,AB13,AG13)/COUNT(W13,AB13,AG13))</f>
        <v/>
      </c>
      <c r="AJ13" s="131" t="str">
        <f t="shared" si="7"/>
        <v/>
      </c>
      <c r="AK13" s="156"/>
      <c r="AL13" s="157"/>
      <c r="AM13" s="158"/>
      <c r="AN13" s="108" t="str">
        <f>IFERROR((((COUNTIF('Elève (6ème4)'!AK13:AM13,"A"))*4)+((COUNTIF('Elève (6ème4)'!AK13:AM13,"B"))*3)+((COUNTIF('Elève (6ème4)'!AK13:AM13,"C"))*2)+((COUNTIF('Elève (6ème4)'!AK13:AM13,"D"))*1))/(COUNTA(AK13:AM13)),"")</f>
        <v/>
      </c>
      <c r="AO13" s="109" t="str">
        <f t="shared" si="8"/>
        <v/>
      </c>
      <c r="AP13" s="81"/>
      <c r="AQ13" s="82"/>
      <c r="AR13" s="83"/>
      <c r="AS13" s="108" t="str">
        <f>IFERROR((((COUNTIF('Elève (6ème4)'!AP13:AR13,"A"))*4)+((COUNTIF('Elève (6ème4)'!AP13:AR13,"B"))*3)+((COUNTIF('Elève (6ème4)'!AP13:AR13,"C"))*2)+((COUNTIF('Elève (6ème4)'!AP13:AR13,"D"))*1))/(COUNTA(AP13:AR13)),"")</f>
        <v/>
      </c>
      <c r="AT13" s="109" t="str">
        <f t="shared" si="9"/>
        <v/>
      </c>
      <c r="AU13" s="81"/>
      <c r="AV13" s="82"/>
      <c r="AW13" s="83"/>
      <c r="AX13" s="108" t="str">
        <f>IFERROR((((COUNTIF('Elève (6ème4)'!AU13:AW13,"A"))*4)+((COUNTIF('Elève (6ème4)'!AU13:AW13,"B"))*3)+((COUNTIF('Elève (6ème4)'!AU13:AW13,"C"))*2)+((COUNTIF('Elève (6ème4)'!AU13:AW13,"D"))*1))/(COUNTA(AU13:AW13)),"")</f>
        <v/>
      </c>
      <c r="AY13" s="139" t="str">
        <f t="shared" si="10"/>
        <v/>
      </c>
      <c r="AZ13" s="178" t="str">
        <f>IF(COUNT(AN13,AS13,AX13)=0,"",SUM(AN13,AS13,AX13)/COUNT(AN13,AS13,AX13))</f>
        <v/>
      </c>
      <c r="BA13" s="131" t="str">
        <f t="shared" si="11"/>
        <v/>
      </c>
      <c r="BB13" s="156"/>
      <c r="BC13" s="157"/>
      <c r="BD13" s="158"/>
      <c r="BE13" s="108" t="str">
        <f>IFERROR((((COUNTIF('Elève (6ème4)'!BB13:BD13,"A"))*4)+((COUNTIF('Elève (6ème4)'!BB13:BD13,"B"))*3)+((COUNTIF('Elève (6ème4)'!BB13:BD13,"C"))*2)+((COUNTIF('Elève (6ème4)'!BB13:BD13,"D"))*1))/(COUNTA(BB13:BD13)),"")</f>
        <v/>
      </c>
      <c r="BF13" s="109" t="str">
        <f t="shared" si="12"/>
        <v/>
      </c>
      <c r="BG13" s="81"/>
      <c r="BH13" s="82"/>
      <c r="BI13" s="83"/>
      <c r="BJ13" s="108" t="str">
        <f>IFERROR((((COUNTIF('Elève (6ème4)'!BG13:BI13,"A"))*4)+((COUNTIF('Elève (6ème4)'!BG13:BI13,"B"))*3)+((COUNTIF('Elève (6ème4)'!BG13:BI13,"C"))*2)+((COUNTIF('Elève (6ème4)'!BG13:BI13,"D"))*1))/(COUNTA(BG13:BI13)),"")</f>
        <v/>
      </c>
      <c r="BK13" s="109" t="str">
        <f t="shared" si="13"/>
        <v/>
      </c>
      <c r="BL13" s="81"/>
      <c r="BM13" s="82"/>
      <c r="BN13" s="83"/>
      <c r="BO13" s="108" t="str">
        <f>IFERROR((((COUNTIF('Elève (6ème4)'!BL13:BN13,"A"))*4)+((COUNTIF('Elève (6ème4)'!BL13:BN13,"B"))*3)+((COUNTIF('Elève (6ème4)'!BL13:BN13,"C"))*2)+((COUNTIF('Elève (6ème4)'!BL13:BN13,"D"))*1))/(COUNTA(BL13:BN13)),"")</f>
        <v/>
      </c>
      <c r="BP13" s="139" t="str">
        <f t="shared" si="14"/>
        <v/>
      </c>
      <c r="BQ13" s="178" t="str">
        <f>IF(COUNT(BE13,BJ13,BO13)=0,"",SUM(BE13,BJ13,BO13)/COUNT(BE13,BJ13,BO13))</f>
        <v/>
      </c>
      <c r="BR13" s="131" t="str">
        <f t="shared" si="15"/>
        <v/>
      </c>
      <c r="BS13" s="156"/>
      <c r="BT13" s="157"/>
      <c r="BU13" s="158"/>
      <c r="BV13" s="108" t="str">
        <f>IFERROR((((COUNTIF('Elève (6ème4)'!BS13:BU13,"A"))*4)+((COUNTIF('Elève (6ème4)'!BS13:BU13,"B"))*3)+((COUNTIF('Elève (6ème4)'!BS13:BU13,"C"))*2)+((COUNTIF('Elève (6ème4)'!BS13:BU13,"D"))*1))/(COUNTA(BS13:BU13)),"")</f>
        <v/>
      </c>
      <c r="BW13" s="109" t="str">
        <f t="shared" si="16"/>
        <v/>
      </c>
      <c r="BX13" s="81"/>
      <c r="BY13" s="82"/>
      <c r="BZ13" s="83"/>
      <c r="CA13" s="108" t="str">
        <f>IFERROR((((COUNTIF('Elève (6ème4)'!BX13:BZ13,"A"))*4)+((COUNTIF('Elève (6ème4)'!BX13:BZ13,"B"))*3)+((COUNTIF('Elève (6ème4)'!BX13:BZ13,"C"))*2)+((COUNTIF('Elève (6ème4)'!BX13:BZ13,"D"))*1))/(COUNTA(BX13:BZ13)),"")</f>
        <v/>
      </c>
      <c r="CB13" s="109" t="str">
        <f t="shared" si="17"/>
        <v/>
      </c>
      <c r="CC13" s="81"/>
      <c r="CD13" s="82"/>
      <c r="CE13" s="83"/>
      <c r="CF13" s="108" t="str">
        <f>IFERROR((((COUNTIF('Elève (6ème4)'!CC13:CE13,"A"))*4)+((COUNTIF('Elève (6ème4)'!CC13:CE13,"B"))*3)+((COUNTIF('Elève (6ème4)'!CC13:CE13,"C"))*2)+((COUNTIF('Elève (6ème4)'!CC13:CE13,"D"))*1))/(COUNTA(CC13:CE13)),"")</f>
        <v/>
      </c>
      <c r="CG13" s="139" t="str">
        <f t="shared" si="18"/>
        <v/>
      </c>
      <c r="CH13" s="178" t="str">
        <f>IF(COUNT(BV13,CA13,CF13)=0,"",SUM(BV13,CA13,CF13)/COUNT(BV13,CA13,CF13))</f>
        <v/>
      </c>
      <c r="CI13" s="131" t="str">
        <f t="shared" si="19"/>
        <v/>
      </c>
      <c r="CJ13" s="156"/>
      <c r="CK13" s="157"/>
      <c r="CL13" s="158"/>
      <c r="CM13" s="108" t="str">
        <f>IFERROR((((COUNTIF('Elève (6ème4)'!CJ13:CL13,"A"))*4)+((COUNTIF('Elève (6ème4)'!CJ13:CL13,"B"))*3)+((COUNTIF('Elève (6ème4)'!CJ13:CL13,"C"))*2)+((COUNTIF('Elève (6ème4)'!CJ13:CL13,"D"))*1))/(COUNTA(CJ13:CL13)),"")</f>
        <v/>
      </c>
      <c r="CN13" s="109" t="str">
        <f t="shared" si="20"/>
        <v/>
      </c>
      <c r="CO13" s="81"/>
      <c r="CP13" s="82"/>
      <c r="CQ13" s="83"/>
      <c r="CR13" s="108" t="str">
        <f>IFERROR((((COUNTIF('Elève (6ème4)'!CO13:CQ13,"A"))*4)+((COUNTIF('Elève (6ème4)'!CO13:CQ13,"B"))*3)+((COUNTIF('Elève (6ème4)'!CO13:CQ13,"C"))*2)+((COUNTIF('Elève (6ème4)'!CO13:CQ13,"D"))*1))/(COUNTA(CO13:CQ13)),"")</f>
        <v/>
      </c>
      <c r="CS13" s="109" t="str">
        <f t="shared" si="21"/>
        <v/>
      </c>
      <c r="CT13" s="81"/>
      <c r="CU13" s="82"/>
      <c r="CV13" s="83"/>
      <c r="CW13" s="108" t="str">
        <f>IFERROR((((COUNTIF('Elève (6ème4)'!CT13:CV13,"A"))*4)+((COUNTIF('Elève (6ème4)'!CT13:CV13,"B"))*3)+((COUNTIF('Elève (6ème4)'!CT13:CV13,"C"))*2)+((COUNTIF('Elève (6ème4)'!CT13:CV13,"D"))*1))/(COUNTA(CT13:CV13)),"")</f>
        <v/>
      </c>
      <c r="CX13" s="139" t="str">
        <f t="shared" si="22"/>
        <v/>
      </c>
      <c r="CY13" s="178" t="str">
        <f>IF(COUNT(CM13,CR13,CW13)=0,"",SUM(CM13,CR13,CW13)/COUNT(CM13,CR13,CW13))</f>
        <v/>
      </c>
      <c r="CZ13" s="131" t="str">
        <f t="shared" si="23"/>
        <v/>
      </c>
      <c r="DA13" s="156"/>
      <c r="DB13" s="157"/>
      <c r="DC13" s="158"/>
      <c r="DD13" s="108" t="str">
        <f>IFERROR((((COUNTIF('Elève (6ème4)'!DA13:DC13,"A"))*4)+((COUNTIF('Elève (6ème4)'!DA13:DC13,"B"))*3)+((COUNTIF('Elève (6ème4)'!DA13:DC13,"C"))*2)+((COUNTIF('Elève (6ème4)'!DA13:DC13,"D"))*1))/(COUNTA(DA13:DC13)),"")</f>
        <v/>
      </c>
      <c r="DE13" s="109" t="str">
        <f t="shared" si="24"/>
        <v/>
      </c>
      <c r="DF13" s="81"/>
      <c r="DG13" s="82"/>
      <c r="DH13" s="83"/>
      <c r="DI13" s="108" t="str">
        <f>IFERROR((((COUNTIF('Elève (6ème4)'!DF13:DH13,"A"))*4)+((COUNTIF('Elève (6ème4)'!DF13:DH13,"B"))*3)+((COUNTIF('Elève (6ème4)'!DF13:DH13,"C"))*2)+((COUNTIF('Elève (6ème4)'!DF13:DH13,"D"))*1))/(COUNTA(DF13:DH13)),"")</f>
        <v/>
      </c>
      <c r="DJ13" s="109" t="str">
        <f t="shared" si="25"/>
        <v/>
      </c>
      <c r="DK13" s="81"/>
      <c r="DL13" s="82"/>
      <c r="DM13" s="83"/>
      <c r="DN13" s="108" t="str">
        <f>IFERROR((((COUNTIF('Elève (6ème4)'!DK13:DM13,"A"))*4)+((COUNTIF('Elève (6ème4)'!DK13:DM13,"B"))*3)+((COUNTIF('Elève (6ème4)'!DK13:DM13,"C"))*2)+((COUNTIF('Elève (6ème4)'!DK13:DM13,"D"))*1))/(COUNTA(DK13:DM13)),"")</f>
        <v/>
      </c>
      <c r="DO13" s="139" t="str">
        <f t="shared" si="26"/>
        <v/>
      </c>
      <c r="DP13" s="178" t="str">
        <f>IF(COUNT(DD13,DI13,DN13)=0,"",SUM(DD13,DI13,DN13)/COUNT(DD13,DI13,DN13))</f>
        <v/>
      </c>
      <c r="DQ13" s="131" t="str">
        <f t="shared" si="27"/>
        <v/>
      </c>
      <c r="DR13" s="156"/>
      <c r="DS13" s="157"/>
      <c r="DT13" s="158"/>
      <c r="DU13" s="108" t="str">
        <f>IFERROR((((COUNTIF('Elève (6ème4)'!DR13:DT13,"A"))*4)+((COUNTIF('Elève (6ème4)'!DR13:DT13,"B"))*3)+((COUNTIF('Elève (6ème4)'!DR13:DT13,"C"))*2)+((COUNTIF('Elève (6ème4)'!DR13:DT13,"D"))*1))/(COUNTA(DR13:DT13)),"")</f>
        <v/>
      </c>
      <c r="DV13" s="109" t="str">
        <f t="shared" si="28"/>
        <v/>
      </c>
      <c r="DW13" s="81"/>
      <c r="DX13" s="82"/>
      <c r="DY13" s="83"/>
      <c r="DZ13" s="108" t="str">
        <f>IFERROR((((COUNTIF('Elève (6ème4)'!DW13:DY13,"A"))*4)+((COUNTIF('Elève (6ème4)'!DW13:DY13,"B"))*3)+((COUNTIF('Elève (6ème4)'!DW13:DY13,"C"))*2)+((COUNTIF('Elève (6ème4)'!DW13:DY13,"D"))*1))/(COUNTA(DW13:DY13)),"")</f>
        <v/>
      </c>
      <c r="EA13" s="109" t="str">
        <f t="shared" si="29"/>
        <v/>
      </c>
      <c r="EB13" s="81"/>
      <c r="EC13" s="82"/>
      <c r="ED13" s="83"/>
      <c r="EE13" s="108" t="str">
        <f>IFERROR((((COUNTIF('Elève (6ème4)'!EB13:ED13,"A"))*4)+((COUNTIF('Elève (6ème4)'!EB13:ED13,"B"))*3)+((COUNTIF('Elève (6ème4)'!EB13:ED13,"C"))*2)+((COUNTIF('Elève (6ème4)'!EB13:ED13,"D"))*1))/(COUNTA(EB13:ED13)),"")</f>
        <v/>
      </c>
      <c r="EF13" s="139" t="str">
        <f t="shared" si="30"/>
        <v/>
      </c>
      <c r="EG13" s="178" t="str">
        <f>IF(COUNT(DU13,DZ13,EE13)=0,"",SUM(DU13,DZ13,EE13)/COUNT(DU13,DZ13,EE13))</f>
        <v/>
      </c>
      <c r="EH13" s="131" t="str">
        <f t="shared" si="31"/>
        <v/>
      </c>
      <c r="EI13" s="156"/>
      <c r="EJ13" s="157"/>
      <c r="EK13" s="158"/>
      <c r="EL13" s="108" t="str">
        <f>IFERROR((((COUNTIF('Elève (6ème4)'!EI13:EK13,"A"))*4)+((COUNTIF('Elève (6ème4)'!EI13:EK13,"B"))*3)+((COUNTIF('Elève (6ème4)'!EI13:EK13,"C"))*2)+((COUNTIF('Elève (6ème4)'!EI13:EK13,"D"))*1))/(COUNTA(EI13:EK13)),"")</f>
        <v/>
      </c>
      <c r="EM13" s="109" t="str">
        <f t="shared" si="32"/>
        <v/>
      </c>
      <c r="EN13" s="81"/>
      <c r="EO13" s="82"/>
      <c r="EP13" s="83"/>
      <c r="EQ13" s="108" t="str">
        <f>IFERROR((((COUNTIF('Elève (6ème4)'!EN13:EP13,"A"))*4)+((COUNTIF('Elève (6ème4)'!EN13:EP13,"B"))*3)+((COUNTIF('Elève (6ème4)'!EN13:EP13,"C"))*2)+((COUNTIF('Elève (6ème4)'!EN13:EP13,"D"))*1))/(COUNTA(EN13:EP13)),"")</f>
        <v/>
      </c>
      <c r="ER13" s="109" t="str">
        <f t="shared" si="33"/>
        <v/>
      </c>
      <c r="ES13" s="81"/>
      <c r="ET13" s="82"/>
      <c r="EU13" s="83"/>
      <c r="EV13" s="108" t="str">
        <f>IFERROR((((COUNTIF('Elève (6ème4)'!ES13:EU13,"A"))*4)+((COUNTIF('Elève (6ème4)'!ES13:EU13,"B"))*3)+((COUNTIF('Elève (6ème4)'!ES13:EU13,"C"))*2)+((COUNTIF('Elève (6ème4)'!ES13:EU13,"D"))*1))/(COUNTA(ES13:EU13)),"")</f>
        <v/>
      </c>
      <c r="EW13" s="139" t="str">
        <f t="shared" si="34"/>
        <v/>
      </c>
      <c r="EX13" s="178" t="str">
        <f>IF(COUNT(EL13,EQ13,EV13)=0,"",SUM(EL13,EQ13,EV13)/COUNT(EL13,EQ13,EV13))</f>
        <v/>
      </c>
      <c r="EY13" s="131" t="str">
        <f t="shared" si="35"/>
        <v/>
      </c>
      <c r="EZ13" s="156"/>
      <c r="FA13" s="157"/>
      <c r="FB13" s="158"/>
      <c r="FC13" s="108" t="str">
        <f>IFERROR((((COUNTIF('Elève (6ème4)'!EZ13:FB13,"A"))*4)+((COUNTIF('Elève (6ème4)'!EZ13:FB13,"B"))*3)+((COUNTIF('Elève (6ème4)'!EZ13:FB13,"C"))*2)+((COUNTIF('Elève (6ème4)'!EZ13:FB13,"D"))*1))/(COUNTA(EZ13:FB13)),"")</f>
        <v/>
      </c>
      <c r="FD13" s="109" t="str">
        <f t="shared" si="36"/>
        <v/>
      </c>
      <c r="FE13" s="81"/>
      <c r="FF13" s="82"/>
      <c r="FG13" s="83"/>
      <c r="FH13" s="108" t="str">
        <f>IFERROR((((COUNTIF('Elève (6ème4)'!FE13:FG13,"A"))*4)+((COUNTIF('Elève (6ème4)'!FE13:FG13,"B"))*3)+((COUNTIF('Elève (6ème4)'!FE13:FG13,"C"))*2)+((COUNTIF('Elève (6ème4)'!FE13:FG13,"D"))*1))/(COUNTA(FE13:FG13)),"")</f>
        <v/>
      </c>
      <c r="FI13" s="109" t="str">
        <f t="shared" si="37"/>
        <v/>
      </c>
      <c r="FJ13" s="81"/>
      <c r="FK13" s="82"/>
      <c r="FL13" s="83"/>
      <c r="FM13" s="108" t="str">
        <f>IFERROR((((COUNTIF('Elève (6ème4)'!FJ13:FL13,"A"))*4)+((COUNTIF('Elève (6ème4)'!FJ13:FL13,"B"))*3)+((COUNTIF('Elève (6ème4)'!FJ13:FL13,"C"))*2)+((COUNTIF('Elève (6ème4)'!FJ13:FL13,"D"))*1))/(COUNTA(FJ13:FL13)),"")</f>
        <v/>
      </c>
      <c r="FN13" s="139" t="str">
        <f t="shared" si="38"/>
        <v/>
      </c>
      <c r="FO13" s="178" t="str">
        <f>IF(COUNT(FC13,FH13,FM13)=0,"",SUM(FC13,FH13,FM13)/COUNT(FC13,FH13,FM13))</f>
        <v/>
      </c>
      <c r="FP13" s="131" t="str">
        <f t="shared" si="39"/>
        <v/>
      </c>
      <c r="FQ13" s="156"/>
      <c r="FR13" s="157"/>
      <c r="FS13" s="158"/>
      <c r="FT13" s="108" t="str">
        <f>IFERROR((((COUNTIF('Elève (6ème4)'!FQ13:FS13,"A"))*4)+((COUNTIF('Elève (6ème4)'!FQ13:FS13,"B"))*3)+((COUNTIF('Elève (6ème4)'!FQ13:FS13,"C"))*2)+((COUNTIF('Elève (6ème4)'!FQ13:FS13,"D"))*1))/(COUNTA(FQ13:FS13)),"")</f>
        <v/>
      </c>
      <c r="FU13" s="109" t="str">
        <f t="shared" si="40"/>
        <v/>
      </c>
      <c r="FV13" s="81"/>
      <c r="FW13" s="82"/>
      <c r="FX13" s="83"/>
      <c r="FY13" s="108" t="str">
        <f>IFERROR((((COUNTIF('Elève (6ème4)'!FV13:FX13,"A"))*4)+((COUNTIF('Elève (6ème4)'!FV13:FX13,"B"))*3)+((COUNTIF('Elève (6ème4)'!FV13:FX13,"C"))*2)+((COUNTIF('Elève (6ème4)'!FV13:FX13,"D"))*1))/(COUNTA(FV13:FX13)),"")</f>
        <v/>
      </c>
      <c r="FZ13" s="109" t="str">
        <f t="shared" si="41"/>
        <v/>
      </c>
      <c r="GA13" s="81"/>
      <c r="GB13" s="82"/>
      <c r="GC13" s="83"/>
      <c r="GD13" s="108" t="str">
        <f>IFERROR((((COUNTIF('Elève (6ème4)'!GA13:GC13,"A"))*4)+((COUNTIF('Elève (6ème4)'!GA13:GC13,"B"))*3)+((COUNTIF('Elève (6ème4)'!GA13:GC13,"C"))*2)+((COUNTIF('Elève (6ème4)'!GA13:GC13,"D"))*1))/(COUNTA(GA13:GC13)),"")</f>
        <v/>
      </c>
      <c r="GE13" s="139" t="str">
        <f t="shared" si="42"/>
        <v/>
      </c>
      <c r="GF13" s="178" t="str">
        <f>IF(COUNT(FT13,FY13,GD13)=0,"",SUM(FT13,FY13,GD13)/COUNT(FT13,FY13,GD13))</f>
        <v/>
      </c>
      <c r="GG13" s="131" t="str">
        <f t="shared" si="43"/>
        <v/>
      </c>
      <c r="GH13" s="156"/>
      <c r="GI13" s="157"/>
      <c r="GJ13" s="158"/>
      <c r="GK13" s="108" t="str">
        <f>IFERROR((((COUNTIF('Elève (6ème4)'!GH13:GJ13,"A"))*4)+((COUNTIF('Elève (6ème4)'!GH13:GJ13,"B"))*3)+((COUNTIF('Elève (6ème4)'!GH13:GJ13,"C"))*2)+((COUNTIF('Elève (6ème4)'!GH13:GJ13,"D"))*1))/(COUNTA(GH13:GJ13)),"")</f>
        <v/>
      </c>
      <c r="GL13" s="109" t="str">
        <f t="shared" si="44"/>
        <v/>
      </c>
      <c r="GM13" s="81"/>
      <c r="GN13" s="82"/>
      <c r="GO13" s="83"/>
      <c r="GP13" s="108" t="str">
        <f>IFERROR((((COUNTIF('Elève (6ème4)'!GM13:GO13,"A"))*4)+((COUNTIF('Elève (6ème4)'!GM13:GO13,"B"))*3)+((COUNTIF('Elève (6ème4)'!GM13:GO13,"C"))*2)+((COUNTIF('Elève (6ème4)'!GM13:GO13,"D"))*1))/(COUNTA(GM13:GO13)),"")</f>
        <v/>
      </c>
      <c r="GQ13" s="109" t="str">
        <f t="shared" si="45"/>
        <v/>
      </c>
      <c r="GR13" s="81"/>
      <c r="GS13" s="82"/>
      <c r="GT13" s="83"/>
      <c r="GU13" s="108" t="str">
        <f>IFERROR((((COUNTIF('Elève (6ème4)'!GR13:GT13,"A"))*4)+((COUNTIF('Elève (6ème4)'!GR13:GT13,"B"))*3)+((COUNTIF('Elève (6ème4)'!GR13:GT13,"C"))*2)+((COUNTIF('Elève (6ème4)'!GR13:GT13,"D"))*1))/(COUNTA(GR13:GT13)),"")</f>
        <v/>
      </c>
      <c r="GV13" s="139" t="str">
        <f t="shared" si="46"/>
        <v/>
      </c>
      <c r="GW13" s="178" t="str">
        <f>IF(COUNT(GK13,GP13,GU13)=0,"",SUM(GK13,GP13,GU13)/COUNT(GK13,GP13,GU13))</f>
        <v/>
      </c>
      <c r="GX13" s="131" t="str">
        <f t="shared" si="47"/>
        <v/>
      </c>
      <c r="GY13" s="156"/>
      <c r="GZ13" s="157"/>
      <c r="HA13" s="158"/>
      <c r="HB13" s="108" t="str">
        <f>IFERROR((((COUNTIF('Elève (6ème4)'!GY13:HA13,"A"))*4)+((COUNTIF('Elève (6ème4)'!GY13:HA13,"B"))*3)+((COUNTIF('Elève (6ème4)'!GY13:HA13,"C"))*2)+((COUNTIF('Elève (6ème4)'!GY13:HA13,"D"))*1))/(COUNTA(GY13:HA13)),"")</f>
        <v/>
      </c>
      <c r="HC13" s="109" t="str">
        <f t="shared" si="48"/>
        <v/>
      </c>
      <c r="HD13" s="81"/>
      <c r="HE13" s="82"/>
      <c r="HF13" s="83"/>
      <c r="HG13" s="108" t="str">
        <f>IFERROR((((COUNTIF('Elève (6ème4)'!HD13:HF13,"A"))*4)+((COUNTIF('Elève (6ème4)'!HD13:HF13,"B"))*3)+((COUNTIF('Elève (6ème4)'!HD13:HF13,"C"))*2)+((COUNTIF('Elève (6ème4)'!HD13:HF13,"D"))*1))/(COUNTA(HD13:HF13)),"")</f>
        <v/>
      </c>
      <c r="HH13" s="109" t="str">
        <f t="shared" si="49"/>
        <v/>
      </c>
      <c r="HI13" s="81"/>
      <c r="HJ13" s="82"/>
      <c r="HK13" s="83"/>
      <c r="HL13" s="108" t="str">
        <f>IFERROR((((COUNTIF('Elève (6ème4)'!HI13:HK13,"A"))*4)+((COUNTIF('Elève (6ème4)'!HI13:HK13,"B"))*3)+((COUNTIF('Elève (6ème4)'!HI13:HK13,"C"))*2)+((COUNTIF('Elève (6ème4)'!HI13:HK13,"D"))*1))/(COUNTA(HI13:HK13)),"")</f>
        <v/>
      </c>
      <c r="HM13" s="139" t="str">
        <f t="shared" si="50"/>
        <v/>
      </c>
      <c r="HN13" s="178" t="str">
        <f>IF(COUNT(HB13,HG13,HL13)=0,"",SUM(HB13,HG13,HL13)/COUNT(HB13,HG13,HL13))</f>
        <v/>
      </c>
      <c r="HO13" s="131" t="str">
        <f t="shared" si="51"/>
        <v/>
      </c>
      <c r="HP13" s="156"/>
      <c r="HQ13" s="157"/>
      <c r="HR13" s="158"/>
      <c r="HS13" s="108" t="str">
        <f>IFERROR((((COUNTIF('Elève (6ème4)'!HP13:HR13,"A"))*4)+((COUNTIF('Elève (6ème4)'!HP13:HR13,"B"))*3)+((COUNTIF('Elève (6ème4)'!HP13:HR13,"C"))*2)+((COUNTIF('Elève (6ème4)'!HP13:HR13,"D"))*1))/(COUNTA(HP13:HR13)),"")</f>
        <v/>
      </c>
      <c r="HT13" s="109" t="str">
        <f t="shared" si="52"/>
        <v/>
      </c>
      <c r="HU13" s="81"/>
      <c r="HV13" s="82"/>
      <c r="HW13" s="83"/>
      <c r="HX13" s="108" t="str">
        <f>IFERROR((((COUNTIF('Elève (6ème4)'!HU13:HW13,"A"))*4)+((COUNTIF('Elève (6ème4)'!HU13:HW13,"B"))*3)+((COUNTIF('Elève (6ème4)'!HU13:HW13,"C"))*2)+((COUNTIF('Elève (6ème4)'!HU13:HW13,"D"))*1))/(COUNTA(HU13:HW13)),"")</f>
        <v/>
      </c>
      <c r="HY13" s="109" t="str">
        <f t="shared" si="53"/>
        <v/>
      </c>
      <c r="HZ13" s="81"/>
      <c r="IA13" s="82"/>
      <c r="IB13" s="83"/>
      <c r="IC13" s="108" t="str">
        <f>IFERROR((((COUNTIF('Elève (6ème4)'!HZ13:IB13,"A"))*4)+((COUNTIF('Elève (6ème4)'!HZ13:IB13,"B"))*3)+((COUNTIF('Elève (6ème4)'!HZ13:IB13,"C"))*2)+((COUNTIF('Elève (6ème4)'!HZ13:IB13,"D"))*1))/(COUNTA(HZ13:IB13)),"")</f>
        <v/>
      </c>
      <c r="ID13" s="139" t="str">
        <f t="shared" si="54"/>
        <v/>
      </c>
      <c r="IE13" s="178" t="str">
        <f>IF(COUNT(HS13,HX13,IC13)=0,"",SUM(HS13,HX13,IC13)/COUNT(HS13,HX13,IC13))</f>
        <v/>
      </c>
      <c r="IF13" s="131" t="str">
        <f t="shared" si="55"/>
        <v/>
      </c>
      <c r="IG13" s="156"/>
      <c r="IH13" s="157"/>
      <c r="II13" s="158"/>
      <c r="IJ13" s="108" t="str">
        <f>IFERROR((((COUNTIF('Elève (6ème4)'!IG13:II13,"A"))*4)+((COUNTIF('Elève (6ème4)'!IG13:II13,"B"))*3)+((COUNTIF('Elève (6ème4)'!IG13:II13,"C"))*2)+((COUNTIF('Elève (6ème4)'!IG13:II13,"D"))*1))/(COUNTA(IG13:II13)),"")</f>
        <v/>
      </c>
      <c r="IK13" s="109" t="str">
        <f t="shared" si="56"/>
        <v/>
      </c>
      <c r="IL13" s="81"/>
      <c r="IM13" s="82"/>
      <c r="IN13" s="83"/>
      <c r="IO13" s="108" t="str">
        <f>IFERROR((((COUNTIF('Elève (6ème4)'!IL13:IN13,"A"))*4)+((COUNTIF('Elève (6ème4)'!IL13:IN13,"B"))*3)+((COUNTIF('Elève (6ème4)'!IL13:IN13,"C"))*2)+((COUNTIF('Elève (6ème4)'!IL13:IN13,"D"))*1))/(COUNTA(IL13:IN13)),"")</f>
        <v/>
      </c>
      <c r="IP13" s="109" t="str">
        <f t="shared" si="57"/>
        <v/>
      </c>
      <c r="IQ13" s="81"/>
      <c r="IR13" s="82"/>
      <c r="IS13" s="83"/>
      <c r="IT13" s="108" t="str">
        <f>IFERROR((((COUNTIF('Elève (6ème4)'!IQ13:IS13,"A"))*4)+((COUNTIF('Elève (6ème4)'!IQ13:IS13,"B"))*3)+((COUNTIF('Elève (6ème4)'!IQ13:IS13,"C"))*2)+((COUNTIF('Elève (6ème4)'!IQ13:IS13,"D"))*1))/(COUNTA(IQ13:IS13)),"")</f>
        <v/>
      </c>
      <c r="IU13" s="139" t="str">
        <f t="shared" si="58"/>
        <v/>
      </c>
      <c r="IV13" s="178" t="str">
        <f>IF(COUNT(IJ13,IO13,IT13)=0,"",SUM(IJ13,IO13,IT13)/COUNT(IJ13,IO13,IT13))</f>
        <v/>
      </c>
      <c r="IW13" s="131" t="str">
        <f t="shared" si="59"/>
        <v/>
      </c>
      <c r="IX13" s="156"/>
      <c r="IY13" s="157"/>
      <c r="IZ13" s="158"/>
      <c r="JA13" s="108" t="str">
        <f>IFERROR((((COUNTIF('Elève (6ème4)'!IX13:IZ13,"A"))*4)+((COUNTIF('Elève (6ème4)'!IX13:IZ13,"B"))*3)+((COUNTIF('Elève (6ème4)'!IX13:IZ13,"C"))*2)+((COUNTIF('Elève (6ème4)'!IX13:IZ13,"D"))*1))/(COUNTA(IX13:IZ13)),"")</f>
        <v/>
      </c>
      <c r="JB13" s="109" t="str">
        <f t="shared" si="60"/>
        <v/>
      </c>
      <c r="JC13" s="81"/>
      <c r="JD13" s="82"/>
      <c r="JE13" s="83"/>
      <c r="JF13" s="108" t="str">
        <f>IFERROR((((COUNTIF('Elève (6ème4)'!JC13:JE13,"A"))*4)+((COUNTIF('Elève (6ème4)'!JC13:JE13,"B"))*3)+((COUNTIF('Elève (6ème4)'!JC13:JE13,"C"))*2)+((COUNTIF('Elève (6ème4)'!JC13:JE13,"D"))*1))/(COUNTA(JC13:JE13)),"")</f>
        <v/>
      </c>
      <c r="JG13" s="109" t="str">
        <f t="shared" si="61"/>
        <v/>
      </c>
      <c r="JH13" s="81"/>
      <c r="JI13" s="82"/>
      <c r="JJ13" s="83"/>
      <c r="JK13" s="108" t="str">
        <f>IFERROR((((COUNTIF('Elève (6ème4)'!JH13:JJ13,"A"))*4)+((COUNTIF('Elève (6ème4)'!JH13:JJ13,"B"))*3)+((COUNTIF('Elève (6ème4)'!JH13:JJ13,"C"))*2)+((COUNTIF('Elève (6ème4)'!JH13:JJ13,"D"))*1))/(COUNTA(JH13:JJ13)),"")</f>
        <v/>
      </c>
      <c r="JL13" s="139" t="str">
        <f t="shared" si="62"/>
        <v/>
      </c>
      <c r="JM13" s="178" t="str">
        <f>IF(COUNT(JA13,JF13,JK13)=0,"",SUM(JA13,JF13,JK13)/COUNT(JA13,JF13,JK13))</f>
        <v/>
      </c>
      <c r="JN13" s="131" t="str">
        <f t="shared" si="63"/>
        <v/>
      </c>
      <c r="JO13" s="156"/>
      <c r="JP13" s="157"/>
      <c r="JQ13" s="158"/>
      <c r="JR13" s="108" t="str">
        <f>IFERROR((((COUNTIF('Elève (6ème4)'!JO13:JQ13,"A"))*4)+((COUNTIF('Elève (6ème4)'!JO13:JQ13,"B"))*3)+((COUNTIF('Elève (6ème4)'!JO13:JQ13,"C"))*2)+((COUNTIF('Elève (6ème4)'!JO13:JQ13,"D"))*1))/(COUNTA(JO13:JQ13)),"")</f>
        <v/>
      </c>
      <c r="JS13" s="109" t="str">
        <f t="shared" si="64"/>
        <v/>
      </c>
      <c r="JT13" s="81"/>
      <c r="JU13" s="82"/>
      <c r="JV13" s="83"/>
      <c r="JW13" s="108" t="str">
        <f>IFERROR((((COUNTIF('Elève (6ème4)'!JT13:JV13,"A"))*4)+((COUNTIF('Elève (6ème4)'!JT13:JV13,"B"))*3)+((COUNTIF('Elève (6ème4)'!JT13:JV13,"C"))*2)+((COUNTIF('Elève (6ème4)'!JT13:JV13,"D"))*1))/(COUNTA(JT13:JV13)),"")</f>
        <v/>
      </c>
      <c r="JX13" s="109" t="str">
        <f t="shared" si="65"/>
        <v/>
      </c>
      <c r="JY13" s="81"/>
      <c r="JZ13" s="82"/>
      <c r="KA13" s="83"/>
      <c r="KB13" s="108" t="str">
        <f>IFERROR((((COUNTIF('Elève (6ème4)'!JY13:KA13,"A"))*4)+((COUNTIF('Elève (6ème4)'!JY13:KA13,"B"))*3)+((COUNTIF('Elève (6ème4)'!JY13:KA13,"C"))*2)+((COUNTIF('Elève (6ème4)'!JY13:KA13,"D"))*1))/(COUNTA(JY13:KA13)),"")</f>
        <v/>
      </c>
      <c r="KC13" s="139" t="str">
        <f t="shared" si="66"/>
        <v/>
      </c>
      <c r="KD13" s="178" t="str">
        <f>IF(COUNT(JR13,JW13,KB13)=0,"",SUM(JR13,JW13,KB13)/COUNT(JR13,JW13,KB13))</f>
        <v/>
      </c>
      <c r="KE13" s="131" t="str">
        <f t="shared" si="67"/>
        <v/>
      </c>
      <c r="KF13" s="156"/>
      <c r="KG13" s="157"/>
      <c r="KH13" s="158"/>
      <c r="KI13" s="108" t="str">
        <f>IFERROR((((COUNTIF('Elève (6ème4)'!KF13:KH13,"A"))*4)+((COUNTIF('Elève (6ème4)'!KF13:KH13,"B"))*3)+((COUNTIF('Elève (6ème4)'!KF13:KH13,"C"))*2)+((COUNTIF('Elève (6ème4)'!KF13:KH13,"D"))*1))/(COUNTA(KF13:KH13)),"")</f>
        <v/>
      </c>
      <c r="KJ13" s="109" t="str">
        <f t="shared" si="68"/>
        <v/>
      </c>
      <c r="KK13" s="81"/>
      <c r="KL13" s="82"/>
      <c r="KM13" s="83"/>
      <c r="KN13" s="108" t="str">
        <f>IFERROR((((COUNTIF('Elève (6ème4)'!KK13:KM13,"A"))*4)+((COUNTIF('Elève (6ème4)'!KK13:KM13,"B"))*3)+((COUNTIF('Elève (6ème4)'!KK13:KM13,"C"))*2)+((COUNTIF('Elève (6ème4)'!KK13:KM13,"D"))*1))/(COUNTA(KK13:KM13)),"")</f>
        <v/>
      </c>
      <c r="KO13" s="109" t="str">
        <f t="shared" si="69"/>
        <v/>
      </c>
      <c r="KP13" s="81"/>
      <c r="KQ13" s="82"/>
      <c r="KR13" s="83"/>
      <c r="KS13" s="108" t="str">
        <f>IFERROR((((COUNTIF('Elève (6ème4)'!KP13:KR13,"A"))*4)+((COUNTIF('Elève (6ème4)'!KP13:KR13,"B"))*3)+((COUNTIF('Elève (6ème4)'!KP13:KR13,"C"))*2)+((COUNTIF('Elève (6ème4)'!KP13:KR13,"D"))*1))/(COUNTA(KP13:KR13)),"")</f>
        <v/>
      </c>
      <c r="KT13" s="139" t="str">
        <f t="shared" si="70"/>
        <v/>
      </c>
      <c r="KU13" s="178" t="str">
        <f>IF(COUNT(KI13,KN13,KS13)=0,"",SUM(KI13,KN13,KS13)/COUNT(KI13,KN13,KS13))</f>
        <v/>
      </c>
      <c r="KV13" s="131" t="str">
        <f t="shared" si="71"/>
        <v/>
      </c>
      <c r="KW13" s="156"/>
      <c r="KX13" s="157"/>
      <c r="KY13" s="158"/>
      <c r="KZ13" s="108" t="str">
        <f>IFERROR((((COUNTIF('Elève (6ème4)'!KW13:KY13,"A"))*4)+((COUNTIF('Elève (6ème4)'!KW13:KY13,"B"))*3)+((COUNTIF('Elève (6ème4)'!KW13:KY13,"C"))*2)+((COUNTIF('Elève (6ème4)'!KW13:KY13,"D"))*1))/(COUNTA(KW13:KY13)),"")</f>
        <v/>
      </c>
      <c r="LA13" s="109" t="str">
        <f t="shared" si="72"/>
        <v/>
      </c>
      <c r="LB13" s="81"/>
      <c r="LC13" s="82"/>
      <c r="LD13" s="83"/>
      <c r="LE13" s="108" t="str">
        <f>IFERROR((((COUNTIF('Elève (6ème4)'!LB13:LD13,"A"))*4)+((COUNTIF('Elève (6ème4)'!LB13:LD13,"B"))*3)+((COUNTIF('Elève (6ème4)'!LB13:LD13,"C"))*2)+((COUNTIF('Elève (6ème4)'!LB13:LD13,"D"))*1))/(COUNTA(LB13:LD13)),"")</f>
        <v/>
      </c>
      <c r="LF13" s="109" t="str">
        <f t="shared" si="73"/>
        <v/>
      </c>
      <c r="LG13" s="81"/>
      <c r="LH13" s="82"/>
      <c r="LI13" s="83"/>
      <c r="LJ13" s="108" t="str">
        <f>IFERROR((((COUNTIF('Elève (6ème4)'!LG13:LI13,"A"))*4)+((COUNTIF('Elève (6ème4)'!LG13:LI13,"B"))*3)+((COUNTIF('Elève (6ème4)'!LG13:LI13,"C"))*2)+((COUNTIF('Elève (6ème4)'!LG13:LI13,"D"))*1))/(COUNTA(LG13:LI13)),"")</f>
        <v/>
      </c>
      <c r="LK13" s="139" t="str">
        <f t="shared" si="74"/>
        <v/>
      </c>
      <c r="LL13" s="178" t="str">
        <f>IF(COUNT(KZ13,LE13,LJ13)=0,"",SUM(KZ13,LE13,LJ13)/COUNT(KZ13,LE13,LJ13))</f>
        <v/>
      </c>
      <c r="LM13" s="131" t="str">
        <f t="shared" si="75"/>
        <v/>
      </c>
      <c r="LN13" s="156"/>
      <c r="LO13" s="157"/>
      <c r="LP13" s="158"/>
      <c r="LQ13" s="108" t="str">
        <f>IFERROR((((COUNTIF('Elève (6ème4)'!LN13:LP13,"A"))*4)+((COUNTIF('Elève (6ème4)'!LN13:LP13,"B"))*3)+((COUNTIF('Elève (6ème4)'!LN13:LP13,"C"))*2)+((COUNTIF('Elève (6ème4)'!LN13:LP13,"D"))*1))/(COUNTA(LN13:LP13)),"")</f>
        <v/>
      </c>
      <c r="LR13" s="109" t="str">
        <f t="shared" si="76"/>
        <v/>
      </c>
      <c r="LS13" s="81"/>
      <c r="LT13" s="82"/>
      <c r="LU13" s="83"/>
      <c r="LV13" s="108" t="str">
        <f>IFERROR((((COUNTIF('Elève (6ème4)'!LS13:LU13,"A"))*4)+((COUNTIF('Elève (6ème4)'!LS13:LU13,"B"))*3)+((COUNTIF('Elève (6ème4)'!LS13:LU13,"C"))*2)+((COUNTIF('Elève (6ème4)'!LS13:LU13,"D"))*1))/(COUNTA(LS13:LU13)),"")</f>
        <v/>
      </c>
      <c r="LW13" s="109" t="str">
        <f t="shared" si="77"/>
        <v/>
      </c>
      <c r="LX13" s="81"/>
      <c r="LY13" s="82"/>
      <c r="LZ13" s="83"/>
      <c r="MA13" s="108" t="str">
        <f>IFERROR((((COUNTIF('Elève (6ème4)'!LX13:LZ13,"A"))*4)+((COUNTIF('Elève (6ème4)'!LX13:LZ13,"B"))*3)+((COUNTIF('Elève (6ème4)'!LX13:LZ13,"C"))*2)+((COUNTIF('Elève (6ème4)'!LX13:LZ13,"D"))*1))/(COUNTA(LX13:LZ13)),"")</f>
        <v/>
      </c>
      <c r="MB13" s="139" t="str">
        <f t="shared" si="78"/>
        <v/>
      </c>
      <c r="MC13" s="178" t="str">
        <f>IF(COUNT(LQ13,LV13,MA13)=0,"",SUM(LQ13,LV13,MA13)/COUNT(LQ13,LV13,MA13))</f>
        <v/>
      </c>
      <c r="MD13" s="131" t="str">
        <f t="shared" si="79"/>
        <v/>
      </c>
      <c r="ME13" s="156"/>
      <c r="MF13" s="157"/>
      <c r="MG13" s="158"/>
      <c r="MH13" s="108" t="str">
        <f>IFERROR((((COUNTIF('Elève (6ème4)'!ME13:MG13,"A"))*4)+((COUNTIF('Elève (6ème4)'!ME13:MG13,"B"))*3)+((COUNTIF('Elève (6ème4)'!ME13:MG13,"C"))*2)+((COUNTIF('Elève (6ème4)'!ME13:MG13,"D"))*1))/(COUNTA(ME13:MG13)),"")</f>
        <v/>
      </c>
      <c r="MI13" s="109" t="str">
        <f t="shared" si="80"/>
        <v/>
      </c>
      <c r="MJ13" s="81"/>
      <c r="MK13" s="82"/>
      <c r="ML13" s="83"/>
      <c r="MM13" s="108" t="str">
        <f>IFERROR((((COUNTIF('Elève (6ème4)'!MJ13:ML13,"A"))*4)+((COUNTIF('Elève (6ème4)'!MJ13:ML13,"B"))*3)+((COUNTIF('Elève (6ème4)'!MJ13:ML13,"C"))*2)+((COUNTIF('Elève (6ème4)'!MJ13:ML13,"D"))*1))/(COUNTA(MJ13:ML13)),"")</f>
        <v/>
      </c>
      <c r="MN13" s="109" t="str">
        <f t="shared" si="81"/>
        <v/>
      </c>
      <c r="MO13" s="81"/>
      <c r="MP13" s="82"/>
      <c r="MQ13" s="83"/>
      <c r="MR13" s="108" t="str">
        <f>IFERROR((((COUNTIF('Elève (6ème4)'!MO13:MQ13,"A"))*4)+((COUNTIF('Elève (6ème4)'!MO13:MQ13,"B"))*3)+((COUNTIF('Elève (6ème4)'!MO13:MQ13,"C"))*2)+((COUNTIF('Elève (6ème4)'!MO13:MQ13,"D"))*1))/(COUNTA(MO13:MQ13)),"")</f>
        <v/>
      </c>
      <c r="MS13" s="139" t="str">
        <f t="shared" si="82"/>
        <v/>
      </c>
      <c r="MT13" s="178" t="str">
        <f>IF(COUNT(MH13,MM13,MR13)=0,"",SUM(MH13,MM13,MR13)/COUNT(MH13,MM13,MR13))</f>
        <v/>
      </c>
      <c r="MU13" s="131" t="str">
        <f t="shared" si="83"/>
        <v/>
      </c>
      <c r="MV13" s="156"/>
      <c r="MW13" s="157"/>
      <c r="MX13" s="158"/>
      <c r="MY13" s="108" t="str">
        <f>IFERROR((((COUNTIF('Elève (6ème4)'!MV13:MX13,"A"))*4)+((COUNTIF('Elève (6ème4)'!MV13:MX13,"B"))*3)+((COUNTIF('Elève (6ème4)'!MV13:MX13,"C"))*2)+((COUNTIF('Elève (6ème4)'!MV13:MX13,"D"))*1))/(COUNTA(MV13:MX13)),"")</f>
        <v/>
      </c>
      <c r="MZ13" s="109" t="str">
        <f t="shared" si="84"/>
        <v/>
      </c>
      <c r="NA13" s="81"/>
      <c r="NB13" s="82"/>
      <c r="NC13" s="83"/>
      <c r="ND13" s="108" t="str">
        <f>IFERROR((((COUNTIF('Elève (6ème4)'!NA13:NC13,"A"))*4)+((COUNTIF('Elève (6ème4)'!NA13:NC13,"B"))*3)+((COUNTIF('Elève (6ème4)'!NA13:NC13,"C"))*2)+((COUNTIF('Elève (6ème4)'!NA13:NC13,"D"))*1))/(COUNTA(NA13:NC13)),"")</f>
        <v/>
      </c>
      <c r="NE13" s="109" t="str">
        <f t="shared" si="85"/>
        <v/>
      </c>
      <c r="NF13" s="81"/>
      <c r="NG13" s="82"/>
      <c r="NH13" s="83"/>
      <c r="NI13" s="108" t="str">
        <f>IFERROR((((COUNTIF('Elève (6ème4)'!NF13:NH13,"A"))*4)+((COUNTIF('Elève (6ème4)'!NF13:NH13,"B"))*3)+((COUNTIF('Elève (6ème4)'!NF13:NH13,"C"))*2)+((COUNTIF('Elève (6ème4)'!NF13:NH13,"D"))*1))/(COUNTA(NF13:NH13)),"")</f>
        <v/>
      </c>
      <c r="NJ13" s="139" t="str">
        <f t="shared" si="86"/>
        <v/>
      </c>
      <c r="NK13" s="178" t="str">
        <f>IF(COUNT(MY13,ND13,NI13)=0,"",SUM(MY13,ND13,NI13)/COUNT(MY13,ND13,NI13))</f>
        <v/>
      </c>
      <c r="NL13" s="131" t="str">
        <f t="shared" si="87"/>
        <v/>
      </c>
      <c r="NM13" s="156"/>
      <c r="NN13" s="157"/>
      <c r="NO13" s="158"/>
      <c r="NP13" s="108" t="str">
        <f>IFERROR((((COUNTIF('Elève (6ème4)'!NM13:NO13,"A"))*4)+((COUNTIF('Elève (6ème4)'!NM13:NO13,"B"))*3)+((COUNTIF('Elève (6ème4)'!NM13:NO13,"C"))*2)+((COUNTIF('Elève (6ème4)'!NM13:NO13,"D"))*1))/(COUNTA(NM13:NO13)),"")</f>
        <v/>
      </c>
      <c r="NQ13" s="109" t="str">
        <f t="shared" si="88"/>
        <v/>
      </c>
      <c r="NR13" s="81"/>
      <c r="NS13" s="82"/>
      <c r="NT13" s="83"/>
      <c r="NU13" s="108" t="str">
        <f>IFERROR((((COUNTIF('Elève (6ème4)'!NR13:NT13,"A"))*4)+((COUNTIF('Elève (6ème4)'!NR13:NT13,"B"))*3)+((COUNTIF('Elève (6ème4)'!NR13:NT13,"C"))*2)+((COUNTIF('Elève (6ème4)'!NR13:NT13,"D"))*1))/(COUNTA(NR13:NT13)),"")</f>
        <v/>
      </c>
      <c r="NV13" s="109" t="str">
        <f t="shared" si="89"/>
        <v/>
      </c>
      <c r="NW13" s="81"/>
      <c r="NX13" s="82"/>
      <c r="NY13" s="83"/>
      <c r="NZ13" s="108" t="str">
        <f>IFERROR((((COUNTIF('Elève (6ème4)'!NW13:NY13,"A"))*4)+((COUNTIF('Elève (6ème4)'!NW13:NY13,"B"))*3)+((COUNTIF('Elève (6ème4)'!NW13:NY13,"C"))*2)+((COUNTIF('Elève (6ème4)'!NW13:NY13,"D"))*1))/(COUNTA(NW13:NY13)),"")</f>
        <v/>
      </c>
      <c r="OA13" s="139" t="str">
        <f t="shared" si="90"/>
        <v/>
      </c>
      <c r="OB13" s="178" t="str">
        <f>IF(COUNT(NP13,NU13,NZ13)=0,"",SUM(NP13,NU13,NZ13)/COUNT(NP13,NU13,NZ13))</f>
        <v/>
      </c>
      <c r="OC13" s="131" t="str">
        <f t="shared" si="91"/>
        <v/>
      </c>
      <c r="OD13" s="156"/>
      <c r="OE13" s="157"/>
      <c r="OF13" s="158"/>
      <c r="OG13" s="108" t="str">
        <f>IFERROR((((COUNTIF('Elève (6ème4)'!OD13:OF13,"A"))*4)+((COUNTIF('Elève (6ème4)'!OD13:OF13,"B"))*3)+((COUNTIF('Elève (6ème4)'!OD13:OF13,"C"))*2)+((COUNTIF('Elève (6ème4)'!OD13:OF13,"D"))*1))/(COUNTA(OD13:OF13)),"")</f>
        <v/>
      </c>
      <c r="OH13" s="109" t="str">
        <f t="shared" si="92"/>
        <v/>
      </c>
      <c r="OI13" s="81"/>
      <c r="OJ13" s="82"/>
      <c r="OK13" s="83"/>
      <c r="OL13" s="108" t="str">
        <f>IFERROR((((COUNTIF('Elève (6ème4)'!OI13:OK13,"A"))*4)+((COUNTIF('Elève (6ème4)'!OI13:OK13,"B"))*3)+((COUNTIF('Elève (6ème4)'!OI13:OK13,"C"))*2)+((COUNTIF('Elève (6ème4)'!OI13:OK13,"D"))*1))/(COUNTA(OI13:OK13)),"")</f>
        <v/>
      </c>
      <c r="OM13" s="109" t="str">
        <f t="shared" si="93"/>
        <v/>
      </c>
      <c r="ON13" s="81"/>
      <c r="OO13" s="82"/>
      <c r="OP13" s="83"/>
      <c r="OQ13" s="108" t="str">
        <f>IFERROR((((COUNTIF('Elève (6ème4)'!ON13:OP13,"A"))*4)+((COUNTIF('Elève (6ème4)'!ON13:OP13,"B"))*3)+((COUNTIF('Elève (6ème4)'!ON13:OP13,"C"))*2)+((COUNTIF('Elève (6ème4)'!ON13:OP13,"D"))*1))/(COUNTA(ON13:OP13)),"")</f>
        <v/>
      </c>
      <c r="OR13" s="139" t="str">
        <f t="shared" si="94"/>
        <v/>
      </c>
      <c r="OS13" s="178" t="str">
        <f>IF(COUNT(OG13,OL13,OQ13)=0,"",SUM(OG13,OL13,OQ13)/COUNT(OG13,OL13,OQ13))</f>
        <v/>
      </c>
      <c r="OT13" s="131" t="str">
        <f t="shared" si="95"/>
        <v/>
      </c>
      <c r="OU13" s="156"/>
      <c r="OV13" s="157"/>
      <c r="OW13" s="158"/>
      <c r="OX13" s="108" t="str">
        <f>IFERROR((((COUNTIF('Elève (6ème4)'!OU13:OW13,"A"))*4)+((COUNTIF('Elève (6ème4)'!OU13:OW13,"B"))*3)+((COUNTIF('Elève (6ème4)'!OU13:OW13,"C"))*2)+((COUNTIF('Elève (6ème4)'!OU13:OW13,"D"))*1))/(COUNTA(OU13:OW13)),"")</f>
        <v/>
      </c>
      <c r="OY13" s="109" t="str">
        <f t="shared" si="96"/>
        <v/>
      </c>
      <c r="OZ13" s="81"/>
      <c r="PA13" s="82"/>
      <c r="PB13" s="83"/>
      <c r="PC13" s="108" t="str">
        <f>IFERROR((((COUNTIF('Elève (6ème4)'!OZ13:PB13,"A"))*4)+((COUNTIF('Elève (6ème4)'!OZ13:PB13,"B"))*3)+((COUNTIF('Elève (6ème4)'!OZ13:PB13,"C"))*2)+((COUNTIF('Elève (6ème4)'!OZ13:PB13,"D"))*1))/(COUNTA(OZ13:PB13)),"")</f>
        <v/>
      </c>
      <c r="PD13" s="109" t="str">
        <f t="shared" si="97"/>
        <v/>
      </c>
      <c r="PE13" s="81"/>
      <c r="PF13" s="82"/>
      <c r="PG13" s="83"/>
      <c r="PH13" s="108" t="str">
        <f>IFERROR((((COUNTIF('Elève (6ème4)'!PE13:PG13,"A"))*4)+((COUNTIF('Elève (6ème4)'!PE13:PG13,"B"))*3)+((COUNTIF('Elève (6ème4)'!PE13:PG13,"C"))*2)+((COUNTIF('Elève (6ème4)'!PE13:PG13,"D"))*1))/(COUNTA(PE13:PG13)),"")</f>
        <v/>
      </c>
      <c r="PI13" s="139" t="str">
        <f t="shared" si="98"/>
        <v/>
      </c>
      <c r="PJ13" s="178" t="str">
        <f>IF(COUNT(OX13,PC13,PH13)=0,"",SUM(OX13,PC13,PH13)/COUNT(OX13,PC13,PH13))</f>
        <v/>
      </c>
      <c r="PK13" s="131" t="str">
        <f t="shared" si="99"/>
        <v/>
      </c>
      <c r="PL13" s="156"/>
      <c r="PM13" s="157"/>
      <c r="PN13" s="158"/>
      <c r="PO13" s="108" t="str">
        <f>IFERROR((((COUNTIF('Elève (6ème4)'!PL13:PN13,"A"))*4)+((COUNTIF('Elève (6ème4)'!PL13:PN13,"B"))*3)+((COUNTIF('Elève (6ème4)'!PL13:PN13,"C"))*2)+((COUNTIF('Elève (6ème4)'!PL13:PN13,"D"))*1))/(COUNTA(PL13:PN13)),"")</f>
        <v/>
      </c>
      <c r="PP13" s="109" t="str">
        <f t="shared" si="100"/>
        <v/>
      </c>
      <c r="PQ13" s="81"/>
      <c r="PR13" s="82"/>
      <c r="PS13" s="83"/>
      <c r="PT13" s="108" t="str">
        <f>IFERROR((((COUNTIF('Elève (6ème4)'!PQ13:PS13,"A"))*4)+((COUNTIF('Elève (6ème4)'!PQ13:PS13,"B"))*3)+((COUNTIF('Elève (6ème4)'!PQ13:PS13,"C"))*2)+((COUNTIF('Elève (6ème4)'!PQ13:PS13,"D"))*1))/(COUNTA(PQ13:PS13)),"")</f>
        <v/>
      </c>
      <c r="PU13" s="109" t="str">
        <f t="shared" si="101"/>
        <v/>
      </c>
      <c r="PV13" s="81"/>
      <c r="PW13" s="82"/>
      <c r="PX13" s="83"/>
      <c r="PY13" s="108" t="str">
        <f>IFERROR((((COUNTIF('Elève (6ème4)'!PV13:PX13,"A"))*4)+((COUNTIF('Elève (6ème4)'!PV13:PX13,"B"))*3)+((COUNTIF('Elève (6ème4)'!PV13:PX13,"C"))*2)+((COUNTIF('Elève (6ème4)'!PV13:PX13,"D"))*1))/(COUNTA(PV13:PX13)),"")</f>
        <v/>
      </c>
      <c r="PZ13" s="139" t="str">
        <f t="shared" si="102"/>
        <v/>
      </c>
      <c r="QA13" s="178" t="str">
        <f>IF(COUNT(PO13,PT13,PY13)=0,"",SUM(PO13,PT13,PY13)/COUNT(PO13,PT13,PY13))</f>
        <v/>
      </c>
      <c r="QB13" s="131" t="str">
        <f t="shared" si="103"/>
        <v/>
      </c>
      <c r="QC13" s="156"/>
      <c r="QD13" s="157"/>
      <c r="QE13" s="158"/>
      <c r="QF13" s="108" t="str">
        <f>IFERROR((((COUNTIF('Elève (6ème4)'!QC13:QE13,"A"))*4)+((COUNTIF('Elève (6ème4)'!QC13:QE13,"B"))*3)+((COUNTIF('Elève (6ème4)'!QC13:QE13,"C"))*2)+((COUNTIF('Elève (6ème4)'!QC13:QE13,"D"))*1))/(COUNTA(QC13:QE13)),"")</f>
        <v/>
      </c>
      <c r="QG13" s="109" t="str">
        <f t="shared" si="104"/>
        <v/>
      </c>
      <c r="QH13" s="81"/>
      <c r="QI13" s="82"/>
      <c r="QJ13" s="83"/>
      <c r="QK13" s="108" t="str">
        <f>IFERROR((((COUNTIF('Elève (6ème4)'!QH13:QJ13,"A"))*4)+((COUNTIF('Elève (6ème4)'!QH13:QJ13,"B"))*3)+((COUNTIF('Elève (6ème4)'!QH13:QJ13,"C"))*2)+((COUNTIF('Elève (6ème4)'!QH13:QJ13,"D"))*1))/(COUNTA(QH13:QJ13)),"")</f>
        <v/>
      </c>
      <c r="QL13" s="109" t="str">
        <f t="shared" si="105"/>
        <v/>
      </c>
      <c r="QM13" s="81"/>
      <c r="QN13" s="82"/>
      <c r="QO13" s="83"/>
      <c r="QP13" s="108" t="str">
        <f>IFERROR((((COUNTIF('Elève (6ème4)'!QM13:QO13,"A"))*4)+((COUNTIF('Elève (6ème4)'!QM13:QO13,"B"))*3)+((COUNTIF('Elève (6ème4)'!QM13:QO13,"C"))*2)+((COUNTIF('Elève (6ème4)'!QM13:QO13,"D"))*1))/(COUNTA(QM13:QO13)),"")</f>
        <v/>
      </c>
      <c r="QQ13" s="139" t="str">
        <f t="shared" si="106"/>
        <v/>
      </c>
      <c r="QR13" s="178" t="str">
        <f>IF(COUNT(QF13,QK13,QP13)=0,"",SUM(QF13,QK13,QP13)/COUNT(QF13,QK13,QP13))</f>
        <v/>
      </c>
      <c r="QS13" s="131" t="str">
        <f t="shared" si="107"/>
        <v/>
      </c>
      <c r="QT13" s="156"/>
      <c r="QU13" s="157"/>
      <c r="QV13" s="158"/>
      <c r="QW13" s="108" t="str">
        <f>IFERROR((((COUNTIF('Elève (6ème4)'!QT13:QV13,"A"))*4)+((COUNTIF('Elève (6ème4)'!QT13:QV13,"B"))*3)+((COUNTIF('Elève (6ème4)'!QT13:QV13,"C"))*2)+((COUNTIF('Elève (6ème4)'!QT13:QV13,"D"))*1))/(COUNTA(QT13:QV13)),"")</f>
        <v/>
      </c>
      <c r="QX13" s="109" t="str">
        <f t="shared" si="108"/>
        <v/>
      </c>
      <c r="QY13" s="81"/>
      <c r="QZ13" s="82"/>
      <c r="RA13" s="83"/>
      <c r="RB13" s="108" t="str">
        <f>IFERROR((((COUNTIF('Elève (6ème4)'!QY13:RA13,"A"))*4)+((COUNTIF('Elève (6ème4)'!QY13:RA13,"B"))*3)+((COUNTIF('Elève (6ème4)'!QY13:RA13,"C"))*2)+((COUNTIF('Elève (6ème4)'!QY13:RA13,"D"))*1))/(COUNTA(QY13:RA13)),"")</f>
        <v/>
      </c>
      <c r="RC13" s="109" t="str">
        <f t="shared" si="109"/>
        <v/>
      </c>
      <c r="RD13" s="81"/>
      <c r="RE13" s="82"/>
      <c r="RF13" s="83"/>
      <c r="RG13" s="108" t="str">
        <f>IFERROR((((COUNTIF('Elève (6ème4)'!RD13:RF13,"A"))*4)+((COUNTIF('Elève (6ème4)'!RD13:RF13,"B"))*3)+((COUNTIF('Elève (6ème4)'!RD13:RF13,"C"))*2)+((COUNTIF('Elève (6ème4)'!RD13:RF13,"D"))*1))/(COUNTA(RD13:RF13)),"")</f>
        <v/>
      </c>
      <c r="RH13" s="139" t="str">
        <f t="shared" si="110"/>
        <v/>
      </c>
      <c r="RI13" s="178" t="str">
        <f>IF(COUNT(QW13,RB13,RG13)=0,"",SUM(QW13,RB13,RG13)/COUNT(QW13,RB13,RG13))</f>
        <v/>
      </c>
      <c r="RJ13" s="131" t="str">
        <f t="shared" si="111"/>
        <v/>
      </c>
      <c r="RK13" s="156"/>
      <c r="RL13" s="157"/>
      <c r="RM13" s="158"/>
      <c r="RN13" s="108" t="str">
        <f>IFERROR((((COUNTIF('Elève (6ème4)'!RK13:RM13,"A"))*4)+((COUNTIF('Elève (6ème4)'!RK13:RM13,"B"))*3)+((COUNTIF('Elève (6ème4)'!RK13:RM13,"C"))*2)+((COUNTIF('Elève (6ème4)'!RK13:RM13,"D"))*1))/(COUNTA(RK13:RM13)),"")</f>
        <v/>
      </c>
      <c r="RO13" s="109" t="str">
        <f t="shared" si="112"/>
        <v/>
      </c>
      <c r="RP13" s="81"/>
      <c r="RQ13" s="82"/>
      <c r="RR13" s="83"/>
      <c r="RS13" s="108" t="str">
        <f>IFERROR((((COUNTIF('Elève (6ème4)'!RP13:RR13,"A"))*4)+((COUNTIF('Elève (6ème4)'!RP13:RR13,"B"))*3)+((COUNTIF('Elève (6ème4)'!RP13:RR13,"C"))*2)+((COUNTIF('Elève (6ème4)'!RP13:RR13,"D"))*1))/(COUNTA(RP13:RR13)),"")</f>
        <v/>
      </c>
      <c r="RT13" s="109" t="str">
        <f t="shared" si="113"/>
        <v/>
      </c>
      <c r="RU13" s="81"/>
      <c r="RV13" s="82"/>
      <c r="RW13" s="83"/>
      <c r="RX13" s="108" t="str">
        <f>IFERROR((((COUNTIF('Elève (6ème4)'!RU13:RW13,"A"))*4)+((COUNTIF('Elève (6ème4)'!RU13:RW13,"B"))*3)+((COUNTIF('Elève (6ème4)'!RU13:RW13,"C"))*2)+((COUNTIF('Elève (6ème4)'!RU13:RW13,"D"))*1))/(COUNTA(RU13:RW13)),"")</f>
        <v/>
      </c>
      <c r="RY13" s="139" t="str">
        <f t="shared" si="114"/>
        <v/>
      </c>
      <c r="RZ13" s="178" t="str">
        <f>IF(COUNT(RN13,RS13,RX13)=0,"",SUM(RN13,RS13,RX13)/COUNT(RN13,RS13,RX13))</f>
        <v/>
      </c>
      <c r="SA13" s="131" t="str">
        <f t="shared" si="115"/>
        <v/>
      </c>
      <c r="SB13" s="156"/>
      <c r="SC13" s="157"/>
      <c r="SD13" s="158"/>
      <c r="SE13" s="108" t="str">
        <f>IFERROR((((COUNTIF('Elève (6ème4)'!SB13:SD13,"A"))*4)+((COUNTIF('Elève (6ème4)'!SB13:SD13,"B"))*3)+((COUNTIF('Elève (6ème4)'!SB13:SD13,"C"))*2)+((COUNTIF('Elève (6ème4)'!SB13:SD13,"D"))*1))/(COUNTA(SB13:SD13)),"")</f>
        <v/>
      </c>
      <c r="SF13" s="109" t="str">
        <f t="shared" si="116"/>
        <v/>
      </c>
      <c r="SG13" s="81"/>
      <c r="SH13" s="82"/>
      <c r="SI13" s="83"/>
      <c r="SJ13" s="108" t="str">
        <f>IFERROR((((COUNTIF('Elève (6ème4)'!SG13:SI13,"A"))*4)+((COUNTIF('Elève (6ème4)'!SG13:SI13,"B"))*3)+((COUNTIF('Elève (6ème4)'!SG13:SI13,"C"))*2)+((COUNTIF('Elève (6ème4)'!SG13:SI13,"D"))*1))/(COUNTA(SG13:SI13)),"")</f>
        <v/>
      </c>
      <c r="SK13" s="109" t="str">
        <f t="shared" si="117"/>
        <v/>
      </c>
      <c r="SL13" s="81"/>
      <c r="SM13" s="82"/>
      <c r="SN13" s="83"/>
      <c r="SO13" s="108" t="str">
        <f>IFERROR((((COUNTIF('Elève (6ème4)'!SL13:SN13,"A"))*4)+((COUNTIF('Elève (6ème4)'!SL13:SN13,"B"))*3)+((COUNTIF('Elève (6ème4)'!SL13:SN13,"C"))*2)+((COUNTIF('Elève (6ème4)'!SL13:SN13,"D"))*1))/(COUNTA(SL13:SN13)),"")</f>
        <v/>
      </c>
      <c r="SP13" s="139" t="str">
        <f t="shared" si="118"/>
        <v/>
      </c>
      <c r="SQ13" s="178" t="str">
        <f>IF(COUNT(SE13,SJ13,SO13)=0,"",SUM(SE13,SJ13,SO13)/COUNT(SE13,SJ13,SO13))</f>
        <v/>
      </c>
      <c r="SR13" s="131" t="str">
        <f t="shared" si="119"/>
        <v/>
      </c>
    </row>
    <row r="14" spans="1:512" s="77" customFormat="1" ht="16.5" customHeight="1" thickBot="1" x14ac:dyDescent="0.3">
      <c r="A14" s="96" t="s">
        <v>17</v>
      </c>
      <c r="B14" s="88">
        <v>2</v>
      </c>
      <c r="C14" s="152"/>
      <c r="D14" s="185"/>
      <c r="E14" s="185"/>
      <c r="F14" s="106" t="str">
        <f>IFERROR((((COUNTIF('Elève (6ème4)'!C15:E17,"A"))*4)+((COUNTIF('Elève (6ème4)'!C15:E17,"B"))*3)+((COUNTIF('Elève (6ème4)'!C15:E17,"C"))*2)+((COUNTIF('Elève (6ème4)'!C15:E17,"D"))*1))/(COUNTA(C15:E17)),"")</f>
        <v/>
      </c>
      <c r="G14" s="107" t="str">
        <f t="shared" si="0"/>
        <v/>
      </c>
      <c r="H14" s="204"/>
      <c r="I14" s="186"/>
      <c r="J14" s="205"/>
      <c r="K14" s="106" t="str">
        <f>IFERROR((((COUNTIF('Elève (6ème4)'!H15:J17,"A"))*4)+((COUNTIF('Elève (6ème4)'!H15:J17,"B"))*3)+((COUNTIF('Elève (6ème4)'!H15:J17,"C"))*2)+((COUNTIF('Elève (6ème4)'!H15:J17,"D"))*1))/(COUNTA(H15:J17)),"")</f>
        <v/>
      </c>
      <c r="L14" s="121" t="str">
        <f t="shared" si="1"/>
        <v/>
      </c>
      <c r="M14" s="100"/>
      <c r="N14" s="187"/>
      <c r="O14" s="188"/>
      <c r="P14" s="106" t="str">
        <f>IFERROR((((COUNTIF('Elève (6ème4)'!M15:O17,"A"))*4)+((COUNTIF('Elève (6ème4)'!M15:O17,"B"))*3)+((COUNTIF('Elève (6ème4)'!M15:O17,"C"))*2)+((COUNTIF('Elève (6ème4)'!M15:O17,"D"))*1))/(COUNTA(M15:O17)),"")</f>
        <v/>
      </c>
      <c r="Q14" s="128" t="str">
        <f t="shared" si="2"/>
        <v/>
      </c>
      <c r="R14" s="177" t="str">
        <f>IFERROR((((COUNTIF(C15:E17,"A")+COUNTIF(H15:J17,"A")+COUNTIF(M15:O17,"A"))*4)+((COUNTIF(C15:E17,"B")+COUNTIF(H15:J17,"B")+COUNTIF(M15:O17,"B"))*3)+((COUNTIF(C15:E17,"C")+COUNTIF(H15:J17,"C")+COUNTIF(M15:O17,"C"))*2)+((COUNTIF(C15:E17,"D")+COUNTIF(H15:J17,"D")+COUNTIF(M15:O17,"D"))*1))/(COUNTA(C15:E17)+COUNTA(H15:J17)+COUNTA(M15:O17)),"")</f>
        <v/>
      </c>
      <c r="S14" s="130" t="str">
        <f t="shared" si="3"/>
        <v/>
      </c>
      <c r="T14" s="152"/>
      <c r="U14" s="185"/>
      <c r="V14" s="185"/>
      <c r="W14" s="106" t="str">
        <f>IFERROR((((COUNTIF('Elève (6ème4)'!T15:V17,"A"))*4)+((COUNTIF('Elève (6ème4)'!T15:V17,"B"))*3)+((COUNTIF('Elève (6ème4)'!T15:V17,"C"))*2)+((COUNTIF('Elève (6ème4)'!T15:V17,"D"))*1))/(COUNTA(T15:V17)),"")</f>
        <v/>
      </c>
      <c r="X14" s="107" t="str">
        <f t="shared" si="4"/>
        <v/>
      </c>
      <c r="Y14" s="204"/>
      <c r="Z14" s="186"/>
      <c r="AA14" s="205"/>
      <c r="AB14" s="106" t="str">
        <f>IFERROR((((COUNTIF('Elève (6ème4)'!Y15:AA17,"A"))*4)+((COUNTIF('Elève (6ème4)'!Y15:AA17,"B"))*3)+((COUNTIF('Elève (6ème4)'!Y15:AA17,"C"))*2)+((COUNTIF('Elève (6ème4)'!Y15:AA17,"D"))*1))/(COUNTA(Y15:AA17)),"")</f>
        <v/>
      </c>
      <c r="AC14" s="121" t="str">
        <f t="shared" si="5"/>
        <v/>
      </c>
      <c r="AD14" s="100"/>
      <c r="AE14" s="187"/>
      <c r="AF14" s="188"/>
      <c r="AG14" s="106" t="str">
        <f>IFERROR((((COUNTIF('Elève (6ème4)'!AD15:AF17,"A"))*4)+((COUNTIF('Elève (6ème4)'!AD15:AF17,"B"))*3)+((COUNTIF('Elève (6ème4)'!AD15:AF17,"C"))*2)+((COUNTIF('Elève (6ème4)'!AD15:AF17,"D"))*1))/(COUNTA(AD15:AF17)),"")</f>
        <v/>
      </c>
      <c r="AH14" s="128" t="str">
        <f t="shared" si="6"/>
        <v/>
      </c>
      <c r="AI14" s="177" t="str">
        <f>IFERROR((((COUNTIF(T15:V17,"A")+COUNTIF(Y15:AA17,"A")+COUNTIF(AD15:AF17,"A"))*4)+((COUNTIF(T15:V17,"B")+COUNTIF(Y15:AA17,"B")+COUNTIF(AD15:AF17,"B"))*3)+((COUNTIF(T15:V17,"C")+COUNTIF(Y15:AA17,"C")+COUNTIF(AD15:AF17,"C"))*2)+((COUNTIF(T15:V17,"D")+COUNTIF(Y15:AA17,"D")+COUNTIF(AD15:AF17,"D"))*1))/(COUNTA(T15:V17)+COUNTA(Y15:AA17)+COUNTA(AD15:AF17)),"")</f>
        <v/>
      </c>
      <c r="AJ14" s="130" t="str">
        <f t="shared" si="7"/>
        <v/>
      </c>
      <c r="AK14" s="152"/>
      <c r="AL14" s="185"/>
      <c r="AM14" s="185"/>
      <c r="AN14" s="106" t="str">
        <f>IFERROR((((COUNTIF('Elève (6ème4)'!AK15:AM17,"A"))*4)+((COUNTIF('Elève (6ème4)'!AK15:AM17,"B"))*3)+((COUNTIF('Elève (6ème4)'!AK15:AM17,"C"))*2)+((COUNTIF('Elève (6ème4)'!AK15:AM17,"D"))*1))/(COUNTA(AK15:AM17)),"")</f>
        <v/>
      </c>
      <c r="AO14" s="107" t="str">
        <f t="shared" si="8"/>
        <v/>
      </c>
      <c r="AP14" s="204"/>
      <c r="AQ14" s="186"/>
      <c r="AR14" s="205"/>
      <c r="AS14" s="106" t="str">
        <f>IFERROR((((COUNTIF('Elève (6ème4)'!AP15:AR17,"A"))*4)+((COUNTIF('Elève (6ème4)'!AP15:AR17,"B"))*3)+((COUNTIF('Elève (6ème4)'!AP15:AR17,"C"))*2)+((COUNTIF('Elève (6ème4)'!AP15:AR17,"D"))*1))/(COUNTA(AP15:AR17)),"")</f>
        <v/>
      </c>
      <c r="AT14" s="121" t="str">
        <f t="shared" si="9"/>
        <v/>
      </c>
      <c r="AU14" s="100"/>
      <c r="AV14" s="187"/>
      <c r="AW14" s="188"/>
      <c r="AX14" s="106" t="str">
        <f>IFERROR((((COUNTIF('Elève (6ème4)'!AU15:AW17,"A"))*4)+((COUNTIF('Elève (6ème4)'!AU15:AW17,"B"))*3)+((COUNTIF('Elève (6ème4)'!AU15:AW17,"C"))*2)+((COUNTIF('Elève (6ème4)'!AU15:AW17,"D"))*1))/(COUNTA(AU15:AW17)),"")</f>
        <v/>
      </c>
      <c r="AY14" s="128" t="str">
        <f t="shared" si="10"/>
        <v/>
      </c>
      <c r="AZ14" s="177" t="str">
        <f>IFERROR((((COUNTIF(AK15:AM17,"A")+COUNTIF(AP15:AR17,"A")+COUNTIF(AU15:AW17,"A"))*4)+((COUNTIF(AK15:AM17,"B")+COUNTIF(AP15:AR17,"B")+COUNTIF(AU15:AW17,"B"))*3)+((COUNTIF(AK15:AM17,"C")+COUNTIF(AP15:AR17,"C")+COUNTIF(AU15:AW17,"C"))*2)+((COUNTIF(AK15:AM17,"D")+COUNTIF(AP15:AR17,"D")+COUNTIF(AU15:AW17,"D"))*1))/(COUNTA(AK15:AM17)+COUNTA(AP15:AR17)+COUNTA(AU15:AW17)),"")</f>
        <v/>
      </c>
      <c r="BA14" s="130" t="str">
        <f t="shared" si="11"/>
        <v/>
      </c>
      <c r="BB14" s="152"/>
      <c r="BC14" s="185"/>
      <c r="BD14" s="185"/>
      <c r="BE14" s="106" t="str">
        <f>IFERROR((((COUNTIF('Elève (6ème4)'!BB15:BD17,"A"))*4)+((COUNTIF('Elève (6ème4)'!BB15:BD17,"B"))*3)+((COUNTIF('Elève (6ème4)'!BB15:BD17,"C"))*2)+((COUNTIF('Elève (6ème4)'!BB15:BD17,"D"))*1))/(COUNTA(BB15:BD17)),"")</f>
        <v/>
      </c>
      <c r="BF14" s="107" t="str">
        <f t="shared" si="12"/>
        <v/>
      </c>
      <c r="BG14" s="204"/>
      <c r="BH14" s="186"/>
      <c r="BI14" s="205"/>
      <c r="BJ14" s="106" t="str">
        <f>IFERROR((((COUNTIF('Elève (6ème4)'!BG15:BI17,"A"))*4)+((COUNTIF('Elève (6ème4)'!BG15:BI17,"B"))*3)+((COUNTIF('Elève (6ème4)'!BG15:BI17,"C"))*2)+((COUNTIF('Elève (6ème4)'!BG15:BI17,"D"))*1))/(COUNTA(BG15:BI17)),"")</f>
        <v/>
      </c>
      <c r="BK14" s="121" t="str">
        <f t="shared" si="13"/>
        <v/>
      </c>
      <c r="BL14" s="100"/>
      <c r="BM14" s="187"/>
      <c r="BN14" s="188"/>
      <c r="BO14" s="106" t="str">
        <f>IFERROR((((COUNTIF('Elève (6ème4)'!BL15:BN17,"A"))*4)+((COUNTIF('Elève (6ème4)'!BL15:BN17,"B"))*3)+((COUNTIF('Elève (6ème4)'!BL15:BN17,"C"))*2)+((COUNTIF('Elève (6ème4)'!BL15:BN17,"D"))*1))/(COUNTA(BL15:BN17)),"")</f>
        <v/>
      </c>
      <c r="BP14" s="128" t="str">
        <f t="shared" si="14"/>
        <v/>
      </c>
      <c r="BQ14" s="177" t="str">
        <f>IFERROR((((COUNTIF(BB15:BD17,"A")+COUNTIF(BG15:BI17,"A")+COUNTIF(BL15:BN17,"A"))*4)+((COUNTIF(BB15:BD17,"B")+COUNTIF(BG15:BI17,"B")+COUNTIF(BL15:BN17,"B"))*3)+((COUNTIF(BB15:BD17,"C")+COUNTIF(BG15:BI17,"C")+COUNTIF(BL15:BN17,"C"))*2)+((COUNTIF(BB15:BD17,"D")+COUNTIF(BG15:BI17,"D")+COUNTIF(BL15:BN17,"D"))*1))/(COUNTA(BB15:BD17)+COUNTA(BG15:BI17)+COUNTA(BL15:BN17)),"")</f>
        <v/>
      </c>
      <c r="BR14" s="130" t="str">
        <f t="shared" si="15"/>
        <v/>
      </c>
      <c r="BS14" s="152"/>
      <c r="BT14" s="185"/>
      <c r="BU14" s="185"/>
      <c r="BV14" s="106" t="str">
        <f>IFERROR((((COUNTIF('Elève (6ème4)'!BS15:BU17,"A"))*4)+((COUNTIF('Elève (6ème4)'!BS15:BU17,"B"))*3)+((COUNTIF('Elève (6ème4)'!BS15:BU17,"C"))*2)+((COUNTIF('Elève (6ème4)'!BS15:BU17,"D"))*1))/(COUNTA(BS15:BU17)),"")</f>
        <v/>
      </c>
      <c r="BW14" s="107" t="str">
        <f t="shared" si="16"/>
        <v/>
      </c>
      <c r="BX14" s="204"/>
      <c r="BY14" s="186"/>
      <c r="BZ14" s="205"/>
      <c r="CA14" s="106" t="str">
        <f>IFERROR((((COUNTIF('Elève (6ème4)'!BX15:BZ17,"A"))*4)+((COUNTIF('Elève (6ème4)'!BX15:BZ17,"B"))*3)+((COUNTIF('Elève (6ème4)'!BX15:BZ17,"C"))*2)+((COUNTIF('Elève (6ème4)'!BX15:BZ17,"D"))*1))/(COUNTA(BX15:BZ17)),"")</f>
        <v/>
      </c>
      <c r="CB14" s="121" t="str">
        <f t="shared" si="17"/>
        <v/>
      </c>
      <c r="CC14" s="100"/>
      <c r="CD14" s="187"/>
      <c r="CE14" s="188"/>
      <c r="CF14" s="106" t="str">
        <f>IFERROR((((COUNTIF('Elève (6ème4)'!CC15:CE17,"A"))*4)+((COUNTIF('Elève (6ème4)'!CC15:CE17,"B"))*3)+((COUNTIF('Elève (6ème4)'!CC15:CE17,"C"))*2)+((COUNTIF('Elève (6ème4)'!CC15:CE17,"D"))*1))/(COUNTA(CC15:CE17)),"")</f>
        <v/>
      </c>
      <c r="CG14" s="128" t="str">
        <f t="shared" si="18"/>
        <v/>
      </c>
      <c r="CH14" s="177" t="str">
        <f>IFERROR((((COUNTIF(BS15:BU17,"A")+COUNTIF(BX15:BZ17,"A")+COUNTIF(CC15:CE17,"A"))*4)+((COUNTIF(BS15:BU17,"B")+COUNTIF(BX15:BZ17,"B")+COUNTIF(CC15:CE17,"B"))*3)+((COUNTIF(BS15:BU17,"C")+COUNTIF(BX15:BZ17,"C")+COUNTIF(CC15:CE17,"C"))*2)+((COUNTIF(BS15:BU17,"D")+COUNTIF(BX15:BZ17,"D")+COUNTIF(CC15:CE17,"D"))*1))/(COUNTA(BS15:BU17)+COUNTA(BX15:BZ17)+COUNTA(CC15:CE17)),"")</f>
        <v/>
      </c>
      <c r="CI14" s="130" t="str">
        <f t="shared" si="19"/>
        <v/>
      </c>
      <c r="CJ14" s="152"/>
      <c r="CK14" s="185"/>
      <c r="CL14" s="185"/>
      <c r="CM14" s="106" t="str">
        <f>IFERROR((((COUNTIF('Elève (6ème4)'!CJ15:CL17,"A"))*4)+((COUNTIF('Elève (6ème4)'!CJ15:CL17,"B"))*3)+((COUNTIF('Elève (6ème4)'!CJ15:CL17,"C"))*2)+((COUNTIF('Elève (6ème4)'!CJ15:CL17,"D"))*1))/(COUNTA(CJ15:CL17)),"")</f>
        <v/>
      </c>
      <c r="CN14" s="107" t="str">
        <f t="shared" si="20"/>
        <v/>
      </c>
      <c r="CO14" s="204"/>
      <c r="CP14" s="186"/>
      <c r="CQ14" s="205"/>
      <c r="CR14" s="106" t="str">
        <f>IFERROR((((COUNTIF('Elève (6ème4)'!CO15:CQ17,"A"))*4)+((COUNTIF('Elève (6ème4)'!CO15:CQ17,"B"))*3)+((COUNTIF('Elève (6ème4)'!CO15:CQ17,"C"))*2)+((COUNTIF('Elève (6ème4)'!CO15:CQ17,"D"))*1))/(COUNTA(CO15:CQ17)),"")</f>
        <v/>
      </c>
      <c r="CS14" s="121" t="str">
        <f t="shared" si="21"/>
        <v/>
      </c>
      <c r="CT14" s="100"/>
      <c r="CU14" s="187"/>
      <c r="CV14" s="188"/>
      <c r="CW14" s="106" t="str">
        <f>IFERROR((((COUNTIF('Elève (6ème4)'!CT15:CV17,"A"))*4)+((COUNTIF('Elève (6ème4)'!CT15:CV17,"B"))*3)+((COUNTIF('Elève (6ème4)'!CT15:CV17,"C"))*2)+((COUNTIF('Elève (6ème4)'!CT15:CV17,"D"))*1))/(COUNTA(CT15:CV17)),"")</f>
        <v/>
      </c>
      <c r="CX14" s="128" t="str">
        <f t="shared" si="22"/>
        <v/>
      </c>
      <c r="CY14" s="177" t="str">
        <f>IFERROR((((COUNTIF(CJ15:CL17,"A")+COUNTIF(CO15:CQ17,"A")+COUNTIF(CT15:CV17,"A"))*4)+((COUNTIF(CJ15:CL17,"B")+COUNTIF(CO15:CQ17,"B")+COUNTIF(CT15:CV17,"B"))*3)+((COUNTIF(CJ15:CL17,"C")+COUNTIF(CO15:CQ17,"C")+COUNTIF(CT15:CV17,"C"))*2)+((COUNTIF(CJ15:CL17,"D")+COUNTIF(CO15:CQ17,"D")+COUNTIF(CT15:CV17,"D"))*1))/(COUNTA(CJ15:CL17)+COUNTA(CO15:CQ17)+COUNTA(CT15:CV17)),"")</f>
        <v/>
      </c>
      <c r="CZ14" s="130" t="str">
        <f t="shared" si="23"/>
        <v/>
      </c>
      <c r="DA14" s="152"/>
      <c r="DB14" s="185"/>
      <c r="DC14" s="185"/>
      <c r="DD14" s="106" t="str">
        <f>IFERROR((((COUNTIF('Elève (6ème4)'!DA15:DC17,"A"))*4)+((COUNTIF('Elève (6ème4)'!DA15:DC17,"B"))*3)+((COUNTIF('Elève (6ème4)'!DA15:DC17,"C"))*2)+((COUNTIF('Elève (6ème4)'!DA15:DC17,"D"))*1))/(COUNTA(DA15:DC17)),"")</f>
        <v/>
      </c>
      <c r="DE14" s="107" t="str">
        <f t="shared" si="24"/>
        <v/>
      </c>
      <c r="DF14" s="204"/>
      <c r="DG14" s="186"/>
      <c r="DH14" s="205"/>
      <c r="DI14" s="106" t="str">
        <f>IFERROR((((COUNTIF('Elève (6ème4)'!DF15:DH17,"A"))*4)+((COUNTIF('Elève (6ème4)'!DF15:DH17,"B"))*3)+((COUNTIF('Elève (6ème4)'!DF15:DH17,"C"))*2)+((COUNTIF('Elève (6ème4)'!DF15:DH17,"D"))*1))/(COUNTA(DF15:DH17)),"")</f>
        <v/>
      </c>
      <c r="DJ14" s="121" t="str">
        <f t="shared" si="25"/>
        <v/>
      </c>
      <c r="DK14" s="100"/>
      <c r="DL14" s="187"/>
      <c r="DM14" s="188"/>
      <c r="DN14" s="106" t="str">
        <f>IFERROR((((COUNTIF('Elève (6ème4)'!DK15:DM17,"A"))*4)+((COUNTIF('Elève (6ème4)'!DK15:DM17,"B"))*3)+((COUNTIF('Elève (6ème4)'!DK15:DM17,"C"))*2)+((COUNTIF('Elève (6ème4)'!DK15:DM17,"D"))*1))/(COUNTA(DK15:DM17)),"")</f>
        <v/>
      </c>
      <c r="DO14" s="128" t="str">
        <f t="shared" si="26"/>
        <v/>
      </c>
      <c r="DP14" s="177" t="str">
        <f>IFERROR((((COUNTIF(DA15:DC17,"A")+COUNTIF(DF15:DH17,"A")+COUNTIF(DK15:DM17,"A"))*4)+((COUNTIF(DA15:DC17,"B")+COUNTIF(DF15:DH17,"B")+COUNTIF(DK15:DM17,"B"))*3)+((COUNTIF(DA15:DC17,"C")+COUNTIF(DF15:DH17,"C")+COUNTIF(DK15:DM17,"C"))*2)+((COUNTIF(DA15:DC17,"D")+COUNTIF(DF15:DH17,"D")+COUNTIF(DK15:DM17,"D"))*1))/(COUNTA(DA15:DC17)+COUNTA(DF15:DH17)+COUNTA(DK15:DM17)),"")</f>
        <v/>
      </c>
      <c r="DQ14" s="130" t="str">
        <f t="shared" si="27"/>
        <v/>
      </c>
      <c r="DR14" s="152"/>
      <c r="DS14" s="185"/>
      <c r="DT14" s="185"/>
      <c r="DU14" s="106" t="str">
        <f>IFERROR((((COUNTIF('Elève (6ème4)'!DR15:DT17,"A"))*4)+((COUNTIF('Elève (6ème4)'!DR15:DT17,"B"))*3)+((COUNTIF('Elève (6ème4)'!DR15:DT17,"C"))*2)+((COUNTIF('Elève (6ème4)'!DR15:DT17,"D"))*1))/(COUNTA(DR15:DT17)),"")</f>
        <v/>
      </c>
      <c r="DV14" s="107" t="str">
        <f t="shared" si="28"/>
        <v/>
      </c>
      <c r="DW14" s="204"/>
      <c r="DX14" s="186"/>
      <c r="DY14" s="205"/>
      <c r="DZ14" s="106" t="str">
        <f>IFERROR((((COUNTIF('Elève (6ème4)'!DW15:DY17,"A"))*4)+((COUNTIF('Elève (6ème4)'!DW15:DY17,"B"))*3)+((COUNTIF('Elève (6ème4)'!DW15:DY17,"C"))*2)+((COUNTIF('Elève (6ème4)'!DW15:DY17,"D"))*1))/(COUNTA(DW15:DY17)),"")</f>
        <v/>
      </c>
      <c r="EA14" s="121" t="str">
        <f t="shared" si="29"/>
        <v/>
      </c>
      <c r="EB14" s="100"/>
      <c r="EC14" s="187"/>
      <c r="ED14" s="188"/>
      <c r="EE14" s="106" t="str">
        <f>IFERROR((((COUNTIF('Elève (6ème4)'!EB15:ED17,"A"))*4)+((COUNTIF('Elève (6ème4)'!EB15:ED17,"B"))*3)+((COUNTIF('Elève (6ème4)'!EB15:ED17,"C"))*2)+((COUNTIF('Elève (6ème4)'!EB15:ED17,"D"))*1))/(COUNTA(EB15:ED17)),"")</f>
        <v/>
      </c>
      <c r="EF14" s="128" t="str">
        <f t="shared" si="30"/>
        <v/>
      </c>
      <c r="EG14" s="177" t="str">
        <f>IFERROR((((COUNTIF(DR15:DT17,"A")+COUNTIF(DW15:DY17,"A")+COUNTIF(EB15:ED17,"A"))*4)+((COUNTIF(DR15:DT17,"B")+COUNTIF(DW15:DY17,"B")+COUNTIF(EB15:ED17,"B"))*3)+((COUNTIF(DR15:DT17,"C")+COUNTIF(DW15:DY17,"C")+COUNTIF(EB15:ED17,"C"))*2)+((COUNTIF(DR15:DT17,"D")+COUNTIF(DW15:DY17,"D")+COUNTIF(EB15:ED17,"D"))*1))/(COUNTA(DR15:DT17)+COUNTA(DW15:DY17)+COUNTA(EB15:ED17)),"")</f>
        <v/>
      </c>
      <c r="EH14" s="130" t="str">
        <f t="shared" si="31"/>
        <v/>
      </c>
      <c r="EI14" s="152"/>
      <c r="EJ14" s="185"/>
      <c r="EK14" s="185"/>
      <c r="EL14" s="106" t="str">
        <f>IFERROR((((COUNTIF('Elève (6ème4)'!EI15:EK17,"A"))*4)+((COUNTIF('Elève (6ème4)'!EI15:EK17,"B"))*3)+((COUNTIF('Elève (6ème4)'!EI15:EK17,"C"))*2)+((COUNTIF('Elève (6ème4)'!EI15:EK17,"D"))*1))/(COUNTA(EI15:EK17)),"")</f>
        <v/>
      </c>
      <c r="EM14" s="107" t="str">
        <f t="shared" si="32"/>
        <v/>
      </c>
      <c r="EN14" s="204"/>
      <c r="EO14" s="186"/>
      <c r="EP14" s="205"/>
      <c r="EQ14" s="106" t="str">
        <f>IFERROR((((COUNTIF('Elève (6ème4)'!EN15:EP17,"A"))*4)+((COUNTIF('Elève (6ème4)'!EN15:EP17,"B"))*3)+((COUNTIF('Elève (6ème4)'!EN15:EP17,"C"))*2)+((COUNTIF('Elève (6ème4)'!EN15:EP17,"D"))*1))/(COUNTA(EN15:EP17)),"")</f>
        <v/>
      </c>
      <c r="ER14" s="121" t="str">
        <f t="shared" si="33"/>
        <v/>
      </c>
      <c r="ES14" s="100"/>
      <c r="ET14" s="187"/>
      <c r="EU14" s="188"/>
      <c r="EV14" s="106" t="str">
        <f>IFERROR((((COUNTIF('Elève (6ème4)'!ES15:EU17,"A"))*4)+((COUNTIF('Elève (6ème4)'!ES15:EU17,"B"))*3)+((COUNTIF('Elève (6ème4)'!ES15:EU17,"C"))*2)+((COUNTIF('Elève (6ème4)'!ES15:EU17,"D"))*1))/(COUNTA(ES15:EU17)),"")</f>
        <v/>
      </c>
      <c r="EW14" s="128" t="str">
        <f t="shared" si="34"/>
        <v/>
      </c>
      <c r="EX14" s="177" t="str">
        <f>IFERROR((((COUNTIF(EI15:EK17,"A")+COUNTIF(EN15:EP17,"A")+COUNTIF(ES15:EU17,"A"))*4)+((COUNTIF(EI15:EK17,"B")+COUNTIF(EN15:EP17,"B")+COUNTIF(ES15:EU17,"B"))*3)+((COUNTIF(EI15:EK17,"C")+COUNTIF(EN15:EP17,"C")+COUNTIF(ES15:EU17,"C"))*2)+((COUNTIF(EI15:EK17,"D")+COUNTIF(EN15:EP17,"D")+COUNTIF(ES15:EU17,"D"))*1))/(COUNTA(EI15:EK17)+COUNTA(EN15:EP17)+COUNTA(ES15:EU17)),"")</f>
        <v/>
      </c>
      <c r="EY14" s="130" t="str">
        <f t="shared" si="35"/>
        <v/>
      </c>
      <c r="EZ14" s="152"/>
      <c r="FA14" s="185"/>
      <c r="FB14" s="185"/>
      <c r="FC14" s="106" t="str">
        <f>IFERROR((((COUNTIF('Elève (6ème4)'!EZ15:FB17,"A"))*4)+((COUNTIF('Elève (6ème4)'!EZ15:FB17,"B"))*3)+((COUNTIF('Elève (6ème4)'!EZ15:FB17,"C"))*2)+((COUNTIF('Elève (6ème4)'!EZ15:FB17,"D"))*1))/(COUNTA(EZ15:FB17)),"")</f>
        <v/>
      </c>
      <c r="FD14" s="107" t="str">
        <f t="shared" si="36"/>
        <v/>
      </c>
      <c r="FE14" s="204"/>
      <c r="FF14" s="186"/>
      <c r="FG14" s="205"/>
      <c r="FH14" s="106" t="str">
        <f>IFERROR((((COUNTIF('Elève (6ème4)'!FE15:FG17,"A"))*4)+((COUNTIF('Elève (6ème4)'!FE15:FG17,"B"))*3)+((COUNTIF('Elève (6ème4)'!FE15:FG17,"C"))*2)+((COUNTIF('Elève (6ème4)'!FE15:FG17,"D"))*1))/(COUNTA(FE15:FG17)),"")</f>
        <v/>
      </c>
      <c r="FI14" s="121" t="str">
        <f t="shared" si="37"/>
        <v/>
      </c>
      <c r="FJ14" s="100"/>
      <c r="FK14" s="187"/>
      <c r="FL14" s="188"/>
      <c r="FM14" s="106" t="str">
        <f>IFERROR((((COUNTIF('Elève (6ème4)'!FJ15:FL17,"A"))*4)+((COUNTIF('Elève (6ème4)'!FJ15:FL17,"B"))*3)+((COUNTIF('Elève (6ème4)'!FJ15:FL17,"C"))*2)+((COUNTIF('Elève (6ème4)'!FJ15:FL17,"D"))*1))/(COUNTA(FJ15:FL17)),"")</f>
        <v/>
      </c>
      <c r="FN14" s="128" t="str">
        <f t="shared" si="38"/>
        <v/>
      </c>
      <c r="FO14" s="177" t="str">
        <f>IFERROR((((COUNTIF(EZ15:FB17,"A")+COUNTIF(FE15:FG17,"A")+COUNTIF(FJ15:FL17,"A"))*4)+((COUNTIF(EZ15:FB17,"B")+COUNTIF(FE15:FG17,"B")+COUNTIF(FJ15:FL17,"B"))*3)+((COUNTIF(EZ15:FB17,"C")+COUNTIF(FE15:FG17,"C")+COUNTIF(FJ15:FL17,"C"))*2)+((COUNTIF(EZ15:FB17,"D")+COUNTIF(FE15:FG17,"D")+COUNTIF(FJ15:FL17,"D"))*1))/(COUNTA(EZ15:FB17)+COUNTA(FE15:FG17)+COUNTA(FJ15:FL17)),"")</f>
        <v/>
      </c>
      <c r="FP14" s="130" t="str">
        <f t="shared" si="39"/>
        <v/>
      </c>
      <c r="FQ14" s="152"/>
      <c r="FR14" s="185"/>
      <c r="FS14" s="185"/>
      <c r="FT14" s="106" t="str">
        <f>IFERROR((((COUNTIF('Elève (6ème4)'!FQ15:FS17,"A"))*4)+((COUNTIF('Elève (6ème4)'!FQ15:FS17,"B"))*3)+((COUNTIF('Elève (6ème4)'!FQ15:FS17,"C"))*2)+((COUNTIF('Elève (6ème4)'!FQ15:FS17,"D"))*1))/(COUNTA(FQ15:FS17)),"")</f>
        <v/>
      </c>
      <c r="FU14" s="107" t="str">
        <f t="shared" si="40"/>
        <v/>
      </c>
      <c r="FV14" s="204"/>
      <c r="FW14" s="186"/>
      <c r="FX14" s="205"/>
      <c r="FY14" s="106" t="str">
        <f>IFERROR((((COUNTIF('Elève (6ème4)'!FV15:FX17,"A"))*4)+((COUNTIF('Elève (6ème4)'!FV15:FX17,"B"))*3)+((COUNTIF('Elève (6ème4)'!FV15:FX17,"C"))*2)+((COUNTIF('Elève (6ème4)'!FV15:FX17,"D"))*1))/(COUNTA(FV15:FX17)),"")</f>
        <v/>
      </c>
      <c r="FZ14" s="121" t="str">
        <f t="shared" si="41"/>
        <v/>
      </c>
      <c r="GA14" s="100"/>
      <c r="GB14" s="187"/>
      <c r="GC14" s="188"/>
      <c r="GD14" s="106" t="str">
        <f>IFERROR((((COUNTIF('Elève (6ème4)'!GA15:GC17,"A"))*4)+((COUNTIF('Elève (6ème4)'!GA15:GC17,"B"))*3)+((COUNTIF('Elève (6ème4)'!GA15:GC17,"C"))*2)+((COUNTIF('Elève (6ème4)'!GA15:GC17,"D"))*1))/(COUNTA(GA15:GC17)),"")</f>
        <v/>
      </c>
      <c r="GE14" s="128" t="str">
        <f t="shared" si="42"/>
        <v/>
      </c>
      <c r="GF14" s="177" t="str">
        <f>IFERROR((((COUNTIF(FQ15:FS17,"A")+COUNTIF(FV15:FX17,"A")+COUNTIF(GA15:GC17,"A"))*4)+((COUNTIF(FQ15:FS17,"B")+COUNTIF(FV15:FX17,"B")+COUNTIF(GA15:GC17,"B"))*3)+((COUNTIF(FQ15:FS17,"C")+COUNTIF(FV15:FX17,"C")+COUNTIF(GA15:GC17,"C"))*2)+((COUNTIF(FQ15:FS17,"D")+COUNTIF(FV15:FX17,"D")+COUNTIF(GA15:GC17,"D"))*1))/(COUNTA(FQ15:FS17)+COUNTA(FV15:FX17)+COUNTA(GA15:GC17)),"")</f>
        <v/>
      </c>
      <c r="GG14" s="130" t="str">
        <f t="shared" si="43"/>
        <v/>
      </c>
      <c r="GH14" s="152"/>
      <c r="GI14" s="185"/>
      <c r="GJ14" s="185"/>
      <c r="GK14" s="106" t="str">
        <f>IFERROR((((COUNTIF('Elève (6ème4)'!GH15:GJ17,"A"))*4)+((COUNTIF('Elève (6ème4)'!GH15:GJ17,"B"))*3)+((COUNTIF('Elève (6ème4)'!GH15:GJ17,"C"))*2)+((COUNTIF('Elève (6ème4)'!GH15:GJ17,"D"))*1))/(COUNTA(GH15:GJ17)),"")</f>
        <v/>
      </c>
      <c r="GL14" s="107" t="str">
        <f t="shared" si="44"/>
        <v/>
      </c>
      <c r="GM14" s="204"/>
      <c r="GN14" s="186"/>
      <c r="GO14" s="205"/>
      <c r="GP14" s="106" t="str">
        <f>IFERROR((((COUNTIF('Elève (6ème4)'!GM15:GO17,"A"))*4)+((COUNTIF('Elève (6ème4)'!GM15:GO17,"B"))*3)+((COUNTIF('Elève (6ème4)'!GM15:GO17,"C"))*2)+((COUNTIF('Elève (6ème4)'!GM15:GO17,"D"))*1))/(COUNTA(GM15:GO17)),"")</f>
        <v/>
      </c>
      <c r="GQ14" s="121" t="str">
        <f t="shared" si="45"/>
        <v/>
      </c>
      <c r="GR14" s="100"/>
      <c r="GS14" s="187"/>
      <c r="GT14" s="188"/>
      <c r="GU14" s="106" t="str">
        <f>IFERROR((((COUNTIF('Elève (6ème4)'!GR15:GT17,"A"))*4)+((COUNTIF('Elève (6ème4)'!GR15:GT17,"B"))*3)+((COUNTIF('Elève (6ème4)'!GR15:GT17,"C"))*2)+((COUNTIF('Elève (6ème4)'!GR15:GT17,"D"))*1))/(COUNTA(GR15:GT17)),"")</f>
        <v/>
      </c>
      <c r="GV14" s="128" t="str">
        <f t="shared" si="46"/>
        <v/>
      </c>
      <c r="GW14" s="177" t="str">
        <f>IFERROR((((COUNTIF(GH15:GJ17,"A")+COUNTIF(GM15:GO17,"A")+COUNTIF(GR15:GT17,"A"))*4)+((COUNTIF(GH15:GJ17,"B")+COUNTIF(GM15:GO17,"B")+COUNTIF(GR15:GT17,"B"))*3)+((COUNTIF(GH15:GJ17,"C")+COUNTIF(GM15:GO17,"C")+COUNTIF(GR15:GT17,"C"))*2)+((COUNTIF(GH15:GJ17,"D")+COUNTIF(GM15:GO17,"D")+COUNTIF(GR15:GT17,"D"))*1))/(COUNTA(GH15:GJ17)+COUNTA(GM15:GO17)+COUNTA(GR15:GT17)),"")</f>
        <v/>
      </c>
      <c r="GX14" s="130" t="str">
        <f t="shared" si="47"/>
        <v/>
      </c>
      <c r="GY14" s="152"/>
      <c r="GZ14" s="185"/>
      <c r="HA14" s="185"/>
      <c r="HB14" s="106" t="str">
        <f>IFERROR((((COUNTIF('Elève (6ème4)'!GY15:HA17,"A"))*4)+((COUNTIF('Elève (6ème4)'!GY15:HA17,"B"))*3)+((COUNTIF('Elève (6ème4)'!GY15:HA17,"C"))*2)+((COUNTIF('Elève (6ème4)'!GY15:HA17,"D"))*1))/(COUNTA(GY15:HA17)),"")</f>
        <v/>
      </c>
      <c r="HC14" s="107" t="str">
        <f t="shared" si="48"/>
        <v/>
      </c>
      <c r="HD14" s="204"/>
      <c r="HE14" s="186"/>
      <c r="HF14" s="205"/>
      <c r="HG14" s="106" t="str">
        <f>IFERROR((((COUNTIF('Elève (6ème4)'!HD15:HF17,"A"))*4)+((COUNTIF('Elève (6ème4)'!HD15:HF17,"B"))*3)+((COUNTIF('Elève (6ème4)'!HD15:HF17,"C"))*2)+((COUNTIF('Elève (6ème4)'!HD15:HF17,"D"))*1))/(COUNTA(HD15:HF17)),"")</f>
        <v/>
      </c>
      <c r="HH14" s="121" t="str">
        <f t="shared" si="49"/>
        <v/>
      </c>
      <c r="HI14" s="100"/>
      <c r="HJ14" s="187"/>
      <c r="HK14" s="188"/>
      <c r="HL14" s="106" t="str">
        <f>IFERROR((((COUNTIF('Elève (6ème4)'!HI15:HK17,"A"))*4)+((COUNTIF('Elève (6ème4)'!HI15:HK17,"B"))*3)+((COUNTIF('Elève (6ème4)'!HI15:HK17,"C"))*2)+((COUNTIF('Elève (6ème4)'!HI15:HK17,"D"))*1))/(COUNTA(HI15:HK17)),"")</f>
        <v/>
      </c>
      <c r="HM14" s="128" t="str">
        <f t="shared" si="50"/>
        <v/>
      </c>
      <c r="HN14" s="177" t="str">
        <f>IFERROR((((COUNTIF(GY15:HA17,"A")+COUNTIF(HD15:HF17,"A")+COUNTIF(HI15:HK17,"A"))*4)+((COUNTIF(GY15:HA17,"B")+COUNTIF(HD15:HF17,"B")+COUNTIF(HI15:HK17,"B"))*3)+((COUNTIF(GY15:HA17,"C")+COUNTIF(HD15:HF17,"C")+COUNTIF(HI15:HK17,"C"))*2)+((COUNTIF(GY15:HA17,"D")+COUNTIF(HD15:HF17,"D")+COUNTIF(HI15:HK17,"D"))*1))/(COUNTA(GY15:HA17)+COUNTA(HD15:HF17)+COUNTA(HI15:HK17)),"")</f>
        <v/>
      </c>
      <c r="HO14" s="130" t="str">
        <f t="shared" si="51"/>
        <v/>
      </c>
      <c r="HP14" s="152"/>
      <c r="HQ14" s="185"/>
      <c r="HR14" s="185"/>
      <c r="HS14" s="106" t="str">
        <f>IFERROR((((COUNTIF('Elève (6ème4)'!HP15:HR17,"A"))*4)+((COUNTIF('Elève (6ème4)'!HP15:HR17,"B"))*3)+((COUNTIF('Elève (6ème4)'!HP15:HR17,"C"))*2)+((COUNTIF('Elève (6ème4)'!HP15:HR17,"D"))*1))/(COUNTA(HP15:HR17)),"")</f>
        <v/>
      </c>
      <c r="HT14" s="107" t="str">
        <f t="shared" si="52"/>
        <v/>
      </c>
      <c r="HU14" s="204"/>
      <c r="HV14" s="186"/>
      <c r="HW14" s="205"/>
      <c r="HX14" s="106" t="str">
        <f>IFERROR((((COUNTIF('Elève (6ème4)'!HU15:HW17,"A"))*4)+((COUNTIF('Elève (6ème4)'!HU15:HW17,"B"))*3)+((COUNTIF('Elève (6ème4)'!HU15:HW17,"C"))*2)+((COUNTIF('Elève (6ème4)'!HU15:HW17,"D"))*1))/(COUNTA(HU15:HW17)),"")</f>
        <v/>
      </c>
      <c r="HY14" s="121" t="str">
        <f t="shared" si="53"/>
        <v/>
      </c>
      <c r="HZ14" s="100"/>
      <c r="IA14" s="187"/>
      <c r="IB14" s="188"/>
      <c r="IC14" s="106" t="str">
        <f>IFERROR((((COUNTIF('Elève (6ème4)'!HZ15:IB17,"A"))*4)+((COUNTIF('Elève (6ème4)'!HZ15:IB17,"B"))*3)+((COUNTIF('Elève (6ème4)'!HZ15:IB17,"C"))*2)+((COUNTIF('Elève (6ème4)'!HZ15:IB17,"D"))*1))/(COUNTA(HZ15:IB17)),"")</f>
        <v/>
      </c>
      <c r="ID14" s="128" t="str">
        <f t="shared" si="54"/>
        <v/>
      </c>
      <c r="IE14" s="177" t="str">
        <f>IFERROR((((COUNTIF(HP15:HR17,"A")+COUNTIF(HU15:HW17,"A")+COUNTIF(HZ15:IB17,"A"))*4)+((COUNTIF(HP15:HR17,"B")+COUNTIF(HU15:HW17,"B")+COUNTIF(HZ15:IB17,"B"))*3)+((COUNTIF(HP15:HR17,"C")+COUNTIF(HU15:HW17,"C")+COUNTIF(HZ15:IB17,"C"))*2)+((COUNTIF(HP15:HR17,"D")+COUNTIF(HU15:HW17,"D")+COUNTIF(HZ15:IB17,"D"))*1))/(COUNTA(HP15:HR17)+COUNTA(HU15:HW17)+COUNTA(HZ15:IB17)),"")</f>
        <v/>
      </c>
      <c r="IF14" s="130" t="str">
        <f t="shared" si="55"/>
        <v/>
      </c>
      <c r="IG14" s="152"/>
      <c r="IH14" s="185"/>
      <c r="II14" s="185"/>
      <c r="IJ14" s="106" t="str">
        <f>IFERROR((((COUNTIF('Elève (6ème4)'!IG15:II17,"A"))*4)+((COUNTIF('Elève (6ème4)'!IG15:II17,"B"))*3)+((COUNTIF('Elève (6ème4)'!IG15:II17,"C"))*2)+((COUNTIF('Elève (6ème4)'!IG15:II17,"D"))*1))/(COUNTA(IG15:II17)),"")</f>
        <v/>
      </c>
      <c r="IK14" s="107" t="str">
        <f t="shared" si="56"/>
        <v/>
      </c>
      <c r="IL14" s="204"/>
      <c r="IM14" s="186"/>
      <c r="IN14" s="205"/>
      <c r="IO14" s="106" t="str">
        <f>IFERROR((((COUNTIF('Elève (6ème4)'!IL15:IN17,"A"))*4)+((COUNTIF('Elève (6ème4)'!IL15:IN17,"B"))*3)+((COUNTIF('Elève (6ème4)'!IL15:IN17,"C"))*2)+((COUNTIF('Elève (6ème4)'!IL15:IN17,"D"))*1))/(COUNTA(IL15:IN17)),"")</f>
        <v/>
      </c>
      <c r="IP14" s="121" t="str">
        <f t="shared" si="57"/>
        <v/>
      </c>
      <c r="IQ14" s="100"/>
      <c r="IR14" s="187"/>
      <c r="IS14" s="188"/>
      <c r="IT14" s="106" t="str">
        <f>IFERROR((((COUNTIF('Elève (6ème4)'!IQ15:IS17,"A"))*4)+((COUNTIF('Elève (6ème4)'!IQ15:IS17,"B"))*3)+((COUNTIF('Elève (6ème4)'!IQ15:IS17,"C"))*2)+((COUNTIF('Elève (6ème4)'!IQ15:IS17,"D"))*1))/(COUNTA(IQ15:IS17)),"")</f>
        <v/>
      </c>
      <c r="IU14" s="128" t="str">
        <f t="shared" si="58"/>
        <v/>
      </c>
      <c r="IV14" s="177" t="str">
        <f>IFERROR((((COUNTIF(IG15:II17,"A")+COUNTIF(IL15:IN17,"A")+COUNTIF(IQ15:IS17,"A"))*4)+((COUNTIF(IG15:II17,"B")+COUNTIF(IL15:IN17,"B")+COUNTIF(IQ15:IS17,"B"))*3)+((COUNTIF(IG15:II17,"C")+COUNTIF(IL15:IN17,"C")+COUNTIF(IQ15:IS17,"C"))*2)+((COUNTIF(IG15:II17,"D")+COUNTIF(IL15:IN17,"D")+COUNTIF(IQ15:IS17,"D"))*1))/(COUNTA(IG15:II17)+COUNTA(IL15:IN17)+COUNTA(IQ15:IS17)),"")</f>
        <v/>
      </c>
      <c r="IW14" s="130" t="str">
        <f t="shared" si="59"/>
        <v/>
      </c>
      <c r="IX14" s="152"/>
      <c r="IY14" s="185"/>
      <c r="IZ14" s="185"/>
      <c r="JA14" s="106" t="str">
        <f>IFERROR((((COUNTIF('Elève (6ème4)'!IX15:IZ17,"A"))*4)+((COUNTIF('Elève (6ème4)'!IX15:IZ17,"B"))*3)+((COUNTIF('Elève (6ème4)'!IX15:IZ17,"C"))*2)+((COUNTIF('Elève (6ème4)'!IX15:IZ17,"D"))*1))/(COUNTA(IX15:IZ17)),"")</f>
        <v/>
      </c>
      <c r="JB14" s="107" t="str">
        <f t="shared" si="60"/>
        <v/>
      </c>
      <c r="JC14" s="204"/>
      <c r="JD14" s="186"/>
      <c r="JE14" s="205"/>
      <c r="JF14" s="106" t="str">
        <f>IFERROR((((COUNTIF('Elève (6ème4)'!JC15:JE17,"A"))*4)+((COUNTIF('Elève (6ème4)'!JC15:JE17,"B"))*3)+((COUNTIF('Elève (6ème4)'!JC15:JE17,"C"))*2)+((COUNTIF('Elève (6ème4)'!JC15:JE17,"D"))*1))/(COUNTA(JC15:JE17)),"")</f>
        <v/>
      </c>
      <c r="JG14" s="121" t="str">
        <f t="shared" si="61"/>
        <v/>
      </c>
      <c r="JH14" s="100"/>
      <c r="JI14" s="187"/>
      <c r="JJ14" s="188"/>
      <c r="JK14" s="106" t="str">
        <f>IFERROR((((COUNTIF('Elève (6ème4)'!JH15:JJ17,"A"))*4)+((COUNTIF('Elève (6ème4)'!JH15:JJ17,"B"))*3)+((COUNTIF('Elève (6ème4)'!JH15:JJ17,"C"))*2)+((COUNTIF('Elève (6ème4)'!JH15:JJ17,"D"))*1))/(COUNTA(JH15:JJ17)),"")</f>
        <v/>
      </c>
      <c r="JL14" s="128" t="str">
        <f t="shared" si="62"/>
        <v/>
      </c>
      <c r="JM14" s="177" t="str">
        <f>IFERROR((((COUNTIF(IX15:IZ17,"A")+COUNTIF(JC15:JE17,"A")+COUNTIF(JH15:JJ17,"A"))*4)+((COUNTIF(IX15:IZ17,"B")+COUNTIF(JC15:JE17,"B")+COUNTIF(JH15:JJ17,"B"))*3)+((COUNTIF(IX15:IZ17,"C")+COUNTIF(JC15:JE17,"C")+COUNTIF(JH15:JJ17,"C"))*2)+((COUNTIF(IX15:IZ17,"D")+COUNTIF(JC15:JE17,"D")+COUNTIF(JH15:JJ17,"D"))*1))/(COUNTA(IX15:IZ17)+COUNTA(JC15:JE17)+COUNTA(JH15:JJ17)),"")</f>
        <v/>
      </c>
      <c r="JN14" s="130" t="str">
        <f t="shared" si="63"/>
        <v/>
      </c>
      <c r="JO14" s="152"/>
      <c r="JP14" s="185"/>
      <c r="JQ14" s="185"/>
      <c r="JR14" s="106" t="str">
        <f>IFERROR((((COUNTIF('Elève (6ème4)'!JO15:JQ17,"A"))*4)+((COUNTIF('Elève (6ème4)'!JO15:JQ17,"B"))*3)+((COUNTIF('Elève (6ème4)'!JO15:JQ17,"C"))*2)+((COUNTIF('Elève (6ème4)'!JO15:JQ17,"D"))*1))/(COUNTA(JO15:JQ17)),"")</f>
        <v/>
      </c>
      <c r="JS14" s="107" t="str">
        <f t="shared" si="64"/>
        <v/>
      </c>
      <c r="JT14" s="204"/>
      <c r="JU14" s="186"/>
      <c r="JV14" s="205"/>
      <c r="JW14" s="106" t="str">
        <f>IFERROR((((COUNTIF('Elève (6ème4)'!JT15:JV17,"A"))*4)+((COUNTIF('Elève (6ème4)'!JT15:JV17,"B"))*3)+((COUNTIF('Elève (6ème4)'!JT15:JV17,"C"))*2)+((COUNTIF('Elève (6ème4)'!JT15:JV17,"D"))*1))/(COUNTA(JT15:JV17)),"")</f>
        <v/>
      </c>
      <c r="JX14" s="121" t="str">
        <f t="shared" si="65"/>
        <v/>
      </c>
      <c r="JY14" s="100"/>
      <c r="JZ14" s="187"/>
      <c r="KA14" s="188"/>
      <c r="KB14" s="106" t="str">
        <f>IFERROR((((COUNTIF('Elève (6ème4)'!JY15:KA17,"A"))*4)+((COUNTIF('Elève (6ème4)'!JY15:KA17,"B"))*3)+((COUNTIF('Elève (6ème4)'!JY15:KA17,"C"))*2)+((COUNTIF('Elève (6ème4)'!JY15:KA17,"D"))*1))/(COUNTA(JY15:KA17)),"")</f>
        <v/>
      </c>
      <c r="KC14" s="128" t="str">
        <f t="shared" si="66"/>
        <v/>
      </c>
      <c r="KD14" s="177" t="str">
        <f>IFERROR((((COUNTIF(JO15:JQ17,"A")+COUNTIF(JT15:JV17,"A")+COUNTIF(JY15:KA17,"A"))*4)+((COUNTIF(JO15:JQ17,"B")+COUNTIF(JT15:JV17,"B")+COUNTIF(JY15:KA17,"B"))*3)+((COUNTIF(JO15:JQ17,"C")+COUNTIF(JT15:JV17,"C")+COUNTIF(JY15:KA17,"C"))*2)+((COUNTIF(JO15:JQ17,"D")+COUNTIF(JT15:JV17,"D")+COUNTIF(JY15:KA17,"D"))*1))/(COUNTA(JO15:JQ17)+COUNTA(JT15:JV17)+COUNTA(JY15:KA17)),"")</f>
        <v/>
      </c>
      <c r="KE14" s="130" t="str">
        <f t="shared" si="67"/>
        <v/>
      </c>
      <c r="KF14" s="152"/>
      <c r="KG14" s="185"/>
      <c r="KH14" s="185"/>
      <c r="KI14" s="106" t="str">
        <f>IFERROR((((COUNTIF('Elève (6ème4)'!KF15:KH17,"A"))*4)+((COUNTIF('Elève (6ème4)'!KF15:KH17,"B"))*3)+((COUNTIF('Elève (6ème4)'!KF15:KH17,"C"))*2)+((COUNTIF('Elève (6ème4)'!KF15:KH17,"D"))*1))/(COUNTA(KF15:KH17)),"")</f>
        <v/>
      </c>
      <c r="KJ14" s="107" t="str">
        <f t="shared" si="68"/>
        <v/>
      </c>
      <c r="KK14" s="204"/>
      <c r="KL14" s="186"/>
      <c r="KM14" s="205"/>
      <c r="KN14" s="106" t="str">
        <f>IFERROR((((COUNTIF('Elève (6ème4)'!KK15:KM17,"A"))*4)+((COUNTIF('Elève (6ème4)'!KK15:KM17,"B"))*3)+((COUNTIF('Elève (6ème4)'!KK15:KM17,"C"))*2)+((COUNTIF('Elève (6ème4)'!KK15:KM17,"D"))*1))/(COUNTA(KK15:KM17)),"")</f>
        <v/>
      </c>
      <c r="KO14" s="121" t="str">
        <f t="shared" si="69"/>
        <v/>
      </c>
      <c r="KP14" s="100"/>
      <c r="KQ14" s="187"/>
      <c r="KR14" s="188"/>
      <c r="KS14" s="106" t="str">
        <f>IFERROR((((COUNTIF('Elève (6ème4)'!KP15:KR17,"A"))*4)+((COUNTIF('Elève (6ème4)'!KP15:KR17,"B"))*3)+((COUNTIF('Elève (6ème4)'!KP15:KR17,"C"))*2)+((COUNTIF('Elève (6ème4)'!KP15:KR17,"D"))*1))/(COUNTA(KP15:KR17)),"")</f>
        <v/>
      </c>
      <c r="KT14" s="128" t="str">
        <f t="shared" si="70"/>
        <v/>
      </c>
      <c r="KU14" s="177" t="str">
        <f>IFERROR((((COUNTIF(KF15:KH17,"A")+COUNTIF(KK15:KM17,"A")+COUNTIF(KP15:KR17,"A"))*4)+((COUNTIF(KF15:KH17,"B")+COUNTIF(KK15:KM17,"B")+COUNTIF(KP15:KR17,"B"))*3)+((COUNTIF(KF15:KH17,"C")+COUNTIF(KK15:KM17,"C")+COUNTIF(KP15:KR17,"C"))*2)+((COUNTIF(KF15:KH17,"D")+COUNTIF(KK15:KM17,"D")+COUNTIF(KP15:KR17,"D"))*1))/(COUNTA(KF15:KH17)+COUNTA(KK15:KM17)+COUNTA(KP15:KR17)),"")</f>
        <v/>
      </c>
      <c r="KV14" s="130" t="str">
        <f t="shared" si="71"/>
        <v/>
      </c>
      <c r="KW14" s="152"/>
      <c r="KX14" s="185"/>
      <c r="KY14" s="185"/>
      <c r="KZ14" s="106" t="str">
        <f>IFERROR((((COUNTIF('Elève (6ème4)'!KW15:KY17,"A"))*4)+((COUNTIF('Elève (6ème4)'!KW15:KY17,"B"))*3)+((COUNTIF('Elève (6ème4)'!KW15:KY17,"C"))*2)+((COUNTIF('Elève (6ème4)'!KW15:KY17,"D"))*1))/(COUNTA(KW15:KY17)),"")</f>
        <v/>
      </c>
      <c r="LA14" s="107" t="str">
        <f t="shared" si="72"/>
        <v/>
      </c>
      <c r="LB14" s="204"/>
      <c r="LC14" s="186"/>
      <c r="LD14" s="205"/>
      <c r="LE14" s="106" t="str">
        <f>IFERROR((((COUNTIF('Elève (6ème4)'!LB15:LD17,"A"))*4)+((COUNTIF('Elève (6ème4)'!LB15:LD17,"B"))*3)+((COUNTIF('Elève (6ème4)'!LB15:LD17,"C"))*2)+((COUNTIF('Elève (6ème4)'!LB15:LD17,"D"))*1))/(COUNTA(LB15:LD17)),"")</f>
        <v/>
      </c>
      <c r="LF14" s="121" t="str">
        <f t="shared" si="73"/>
        <v/>
      </c>
      <c r="LG14" s="100"/>
      <c r="LH14" s="187"/>
      <c r="LI14" s="188"/>
      <c r="LJ14" s="106" t="str">
        <f>IFERROR((((COUNTIF('Elève (6ème4)'!LG15:LI17,"A"))*4)+((COUNTIF('Elève (6ème4)'!LG15:LI17,"B"))*3)+((COUNTIF('Elève (6ème4)'!LG15:LI17,"C"))*2)+((COUNTIF('Elève (6ème4)'!LG15:LI17,"D"))*1))/(COUNTA(LG15:LI17)),"")</f>
        <v/>
      </c>
      <c r="LK14" s="128" t="str">
        <f t="shared" si="74"/>
        <v/>
      </c>
      <c r="LL14" s="177" t="str">
        <f>IFERROR((((COUNTIF(KW15:KY17,"A")+COUNTIF(LB15:LD17,"A")+COUNTIF(LG15:LI17,"A"))*4)+((COUNTIF(KW15:KY17,"B")+COUNTIF(LB15:LD17,"B")+COUNTIF(LG15:LI17,"B"))*3)+((COUNTIF(KW15:KY17,"C")+COUNTIF(LB15:LD17,"C")+COUNTIF(LG15:LI17,"C"))*2)+((COUNTIF(KW15:KY17,"D")+COUNTIF(LB15:LD17,"D")+COUNTIF(LG15:LI17,"D"))*1))/(COUNTA(KW15:KY17)+COUNTA(LB15:LD17)+COUNTA(LG15:LI17)),"")</f>
        <v/>
      </c>
      <c r="LM14" s="130" t="str">
        <f t="shared" si="75"/>
        <v/>
      </c>
      <c r="LN14" s="152"/>
      <c r="LO14" s="185"/>
      <c r="LP14" s="185"/>
      <c r="LQ14" s="106" t="str">
        <f>IFERROR((((COUNTIF('Elève (6ème4)'!LN15:LP17,"A"))*4)+((COUNTIF('Elève (6ème4)'!LN15:LP17,"B"))*3)+((COUNTIF('Elève (6ème4)'!LN15:LP17,"C"))*2)+((COUNTIF('Elève (6ème4)'!LN15:LP17,"D"))*1))/(COUNTA(LN15:LP17)),"")</f>
        <v/>
      </c>
      <c r="LR14" s="107" t="str">
        <f t="shared" si="76"/>
        <v/>
      </c>
      <c r="LS14" s="204"/>
      <c r="LT14" s="186"/>
      <c r="LU14" s="205"/>
      <c r="LV14" s="106" t="str">
        <f>IFERROR((((COUNTIF('Elève (6ème4)'!LS15:LU17,"A"))*4)+((COUNTIF('Elève (6ème4)'!LS15:LU17,"B"))*3)+((COUNTIF('Elève (6ème4)'!LS15:LU17,"C"))*2)+((COUNTIF('Elève (6ème4)'!LS15:LU17,"D"))*1))/(COUNTA(LS15:LU17)),"")</f>
        <v/>
      </c>
      <c r="LW14" s="121" t="str">
        <f t="shared" si="77"/>
        <v/>
      </c>
      <c r="LX14" s="100"/>
      <c r="LY14" s="187"/>
      <c r="LZ14" s="188"/>
      <c r="MA14" s="106" t="str">
        <f>IFERROR((((COUNTIF('Elève (6ème4)'!LX15:LZ17,"A"))*4)+((COUNTIF('Elève (6ème4)'!LX15:LZ17,"B"))*3)+((COUNTIF('Elève (6ème4)'!LX15:LZ17,"C"))*2)+((COUNTIF('Elève (6ème4)'!LX15:LZ17,"D"))*1))/(COUNTA(LX15:LZ17)),"")</f>
        <v/>
      </c>
      <c r="MB14" s="128" t="str">
        <f t="shared" si="78"/>
        <v/>
      </c>
      <c r="MC14" s="177" t="str">
        <f>IFERROR((((COUNTIF(LN15:LP17,"A")+COUNTIF(LS15:LU17,"A")+COUNTIF(LX15:LZ17,"A"))*4)+((COUNTIF(LN15:LP17,"B")+COUNTIF(LS15:LU17,"B")+COUNTIF(LX15:LZ17,"B"))*3)+((COUNTIF(LN15:LP17,"C")+COUNTIF(LS15:LU17,"C")+COUNTIF(LX15:LZ17,"C"))*2)+((COUNTIF(LN15:LP17,"D")+COUNTIF(LS15:LU17,"D")+COUNTIF(LX15:LZ17,"D"))*1))/(COUNTA(LN15:LP17)+COUNTA(LS15:LU17)+COUNTA(LX15:LZ17)),"")</f>
        <v/>
      </c>
      <c r="MD14" s="130" t="str">
        <f t="shared" si="79"/>
        <v/>
      </c>
      <c r="ME14" s="152"/>
      <c r="MF14" s="185"/>
      <c r="MG14" s="185"/>
      <c r="MH14" s="106" t="str">
        <f>IFERROR((((COUNTIF('Elève (6ème4)'!ME15:MG17,"A"))*4)+((COUNTIF('Elève (6ème4)'!ME15:MG17,"B"))*3)+((COUNTIF('Elève (6ème4)'!ME15:MG17,"C"))*2)+((COUNTIF('Elève (6ème4)'!ME15:MG17,"D"))*1))/(COUNTA(ME15:MG17)),"")</f>
        <v/>
      </c>
      <c r="MI14" s="107" t="str">
        <f t="shared" si="80"/>
        <v/>
      </c>
      <c r="MJ14" s="204"/>
      <c r="MK14" s="186"/>
      <c r="ML14" s="205"/>
      <c r="MM14" s="106" t="str">
        <f>IFERROR((((COUNTIF('Elève (6ème4)'!MJ15:ML17,"A"))*4)+((COUNTIF('Elève (6ème4)'!MJ15:ML17,"B"))*3)+((COUNTIF('Elève (6ème4)'!MJ15:ML17,"C"))*2)+((COUNTIF('Elève (6ème4)'!MJ15:ML17,"D"))*1))/(COUNTA(MJ15:ML17)),"")</f>
        <v/>
      </c>
      <c r="MN14" s="121" t="str">
        <f t="shared" si="81"/>
        <v/>
      </c>
      <c r="MO14" s="100"/>
      <c r="MP14" s="187"/>
      <c r="MQ14" s="188"/>
      <c r="MR14" s="106" t="str">
        <f>IFERROR((((COUNTIF('Elève (6ème4)'!MO15:MQ17,"A"))*4)+((COUNTIF('Elève (6ème4)'!MO15:MQ17,"B"))*3)+((COUNTIF('Elève (6ème4)'!MO15:MQ17,"C"))*2)+((COUNTIF('Elève (6ème4)'!MO15:MQ17,"D"))*1))/(COUNTA(MO15:MQ17)),"")</f>
        <v/>
      </c>
      <c r="MS14" s="128" t="str">
        <f t="shared" si="82"/>
        <v/>
      </c>
      <c r="MT14" s="177" t="str">
        <f>IFERROR((((COUNTIF(ME15:MG17,"A")+COUNTIF(MJ15:ML17,"A")+COUNTIF(MO15:MQ17,"A"))*4)+((COUNTIF(ME15:MG17,"B")+COUNTIF(MJ15:ML17,"B")+COUNTIF(MO15:MQ17,"B"))*3)+((COUNTIF(ME15:MG17,"C")+COUNTIF(MJ15:ML17,"C")+COUNTIF(MO15:MQ17,"C"))*2)+((COUNTIF(ME15:MG17,"D")+COUNTIF(MJ15:ML17,"D")+COUNTIF(MO15:MQ17,"D"))*1))/(COUNTA(ME15:MG17)+COUNTA(MJ15:ML17)+COUNTA(MO15:MQ17)),"")</f>
        <v/>
      </c>
      <c r="MU14" s="130" t="str">
        <f t="shared" si="83"/>
        <v/>
      </c>
      <c r="MV14" s="152"/>
      <c r="MW14" s="185"/>
      <c r="MX14" s="185"/>
      <c r="MY14" s="106" t="str">
        <f>IFERROR((((COUNTIF('Elève (6ème4)'!MV15:MX17,"A"))*4)+((COUNTIF('Elève (6ème4)'!MV15:MX17,"B"))*3)+((COUNTIF('Elève (6ème4)'!MV15:MX17,"C"))*2)+((COUNTIF('Elève (6ème4)'!MV15:MX17,"D"))*1))/(COUNTA(MV15:MX17)),"")</f>
        <v/>
      </c>
      <c r="MZ14" s="107" t="str">
        <f t="shared" si="84"/>
        <v/>
      </c>
      <c r="NA14" s="204"/>
      <c r="NB14" s="186"/>
      <c r="NC14" s="205"/>
      <c r="ND14" s="106" t="str">
        <f>IFERROR((((COUNTIF('Elève (6ème4)'!NA15:NC17,"A"))*4)+((COUNTIF('Elève (6ème4)'!NA15:NC17,"B"))*3)+((COUNTIF('Elève (6ème4)'!NA15:NC17,"C"))*2)+((COUNTIF('Elève (6ème4)'!NA15:NC17,"D"))*1))/(COUNTA(NA15:NC17)),"")</f>
        <v/>
      </c>
      <c r="NE14" s="121" t="str">
        <f t="shared" si="85"/>
        <v/>
      </c>
      <c r="NF14" s="100"/>
      <c r="NG14" s="187"/>
      <c r="NH14" s="188"/>
      <c r="NI14" s="106" t="str">
        <f>IFERROR((((COUNTIF('Elève (6ème4)'!NF15:NH17,"A"))*4)+((COUNTIF('Elève (6ème4)'!NF15:NH17,"B"))*3)+((COUNTIF('Elève (6ème4)'!NF15:NH17,"C"))*2)+((COUNTIF('Elève (6ème4)'!NF15:NH17,"D"))*1))/(COUNTA(NF15:NH17)),"")</f>
        <v/>
      </c>
      <c r="NJ14" s="128" t="str">
        <f t="shared" si="86"/>
        <v/>
      </c>
      <c r="NK14" s="177" t="str">
        <f>IFERROR((((COUNTIF(MV15:MX17,"A")+COUNTIF(NA15:NC17,"A")+COUNTIF(NF15:NH17,"A"))*4)+((COUNTIF(MV15:MX17,"B")+COUNTIF(NA15:NC17,"B")+COUNTIF(NF15:NH17,"B"))*3)+((COUNTIF(MV15:MX17,"C")+COUNTIF(NA15:NC17,"C")+COUNTIF(NF15:NH17,"C"))*2)+((COUNTIF(MV15:MX17,"D")+COUNTIF(NA15:NC17,"D")+COUNTIF(NF15:NH17,"D"))*1))/(COUNTA(MV15:MX17)+COUNTA(NA15:NC17)+COUNTA(NF15:NH17)),"")</f>
        <v/>
      </c>
      <c r="NL14" s="130" t="str">
        <f t="shared" si="87"/>
        <v/>
      </c>
      <c r="NM14" s="152"/>
      <c r="NN14" s="185"/>
      <c r="NO14" s="185"/>
      <c r="NP14" s="106" t="str">
        <f>IFERROR((((COUNTIF('Elève (6ème4)'!NM15:NO17,"A"))*4)+((COUNTIF('Elève (6ème4)'!NM15:NO17,"B"))*3)+((COUNTIF('Elève (6ème4)'!NM15:NO17,"C"))*2)+((COUNTIF('Elève (6ème4)'!NM15:NO17,"D"))*1))/(COUNTA(NM15:NO17)),"")</f>
        <v/>
      </c>
      <c r="NQ14" s="107" t="str">
        <f t="shared" si="88"/>
        <v/>
      </c>
      <c r="NR14" s="204"/>
      <c r="NS14" s="186"/>
      <c r="NT14" s="205"/>
      <c r="NU14" s="106" t="str">
        <f>IFERROR((((COUNTIF('Elève (6ème4)'!NR15:NT17,"A"))*4)+((COUNTIF('Elève (6ème4)'!NR15:NT17,"B"))*3)+((COUNTIF('Elève (6ème4)'!NR15:NT17,"C"))*2)+((COUNTIF('Elève (6ème4)'!NR15:NT17,"D"))*1))/(COUNTA(NR15:NT17)),"")</f>
        <v/>
      </c>
      <c r="NV14" s="121" t="str">
        <f t="shared" si="89"/>
        <v/>
      </c>
      <c r="NW14" s="100"/>
      <c r="NX14" s="187"/>
      <c r="NY14" s="188"/>
      <c r="NZ14" s="106" t="str">
        <f>IFERROR((((COUNTIF('Elève (6ème4)'!NW15:NY17,"A"))*4)+((COUNTIF('Elève (6ème4)'!NW15:NY17,"B"))*3)+((COUNTIF('Elève (6ème4)'!NW15:NY17,"C"))*2)+((COUNTIF('Elève (6ème4)'!NW15:NY17,"D"))*1))/(COUNTA(NW15:NY17)),"")</f>
        <v/>
      </c>
      <c r="OA14" s="128" t="str">
        <f t="shared" si="90"/>
        <v/>
      </c>
      <c r="OB14" s="177" t="str">
        <f>IFERROR((((COUNTIF(NM15:NO17,"A")+COUNTIF(NR15:NT17,"A")+COUNTIF(NW15:NY17,"A"))*4)+((COUNTIF(NM15:NO17,"B")+COUNTIF(NR15:NT17,"B")+COUNTIF(NW15:NY17,"B"))*3)+((COUNTIF(NM15:NO17,"C")+COUNTIF(NR15:NT17,"C")+COUNTIF(NW15:NY17,"C"))*2)+((COUNTIF(NM15:NO17,"D")+COUNTIF(NR15:NT17,"D")+COUNTIF(NW15:NY17,"D"))*1))/(COUNTA(NM15:NO17)+COUNTA(NR15:NT17)+COUNTA(NW15:NY17)),"")</f>
        <v/>
      </c>
      <c r="OC14" s="130" t="str">
        <f t="shared" si="91"/>
        <v/>
      </c>
      <c r="OD14" s="152"/>
      <c r="OE14" s="185"/>
      <c r="OF14" s="185"/>
      <c r="OG14" s="106" t="str">
        <f>IFERROR((((COUNTIF('Elève (6ème4)'!OD15:OF17,"A"))*4)+((COUNTIF('Elève (6ème4)'!OD15:OF17,"B"))*3)+((COUNTIF('Elève (6ème4)'!OD15:OF17,"C"))*2)+((COUNTIF('Elève (6ème4)'!OD15:OF17,"D"))*1))/(COUNTA(OD15:OF17)),"")</f>
        <v/>
      </c>
      <c r="OH14" s="107" t="str">
        <f t="shared" si="92"/>
        <v/>
      </c>
      <c r="OI14" s="204"/>
      <c r="OJ14" s="186"/>
      <c r="OK14" s="205"/>
      <c r="OL14" s="106" t="str">
        <f>IFERROR((((COUNTIF('Elève (6ème4)'!OI15:OK17,"A"))*4)+((COUNTIF('Elève (6ème4)'!OI15:OK17,"B"))*3)+((COUNTIF('Elève (6ème4)'!OI15:OK17,"C"))*2)+((COUNTIF('Elève (6ème4)'!OI15:OK17,"D"))*1))/(COUNTA(OI15:OK17)),"")</f>
        <v/>
      </c>
      <c r="OM14" s="121" t="str">
        <f t="shared" si="93"/>
        <v/>
      </c>
      <c r="ON14" s="100"/>
      <c r="OO14" s="187"/>
      <c r="OP14" s="188"/>
      <c r="OQ14" s="106" t="str">
        <f>IFERROR((((COUNTIF('Elève (6ème4)'!ON15:OP17,"A"))*4)+((COUNTIF('Elève (6ème4)'!ON15:OP17,"B"))*3)+((COUNTIF('Elève (6ème4)'!ON15:OP17,"C"))*2)+((COUNTIF('Elève (6ème4)'!ON15:OP17,"D"))*1))/(COUNTA(ON15:OP17)),"")</f>
        <v/>
      </c>
      <c r="OR14" s="128" t="str">
        <f t="shared" si="94"/>
        <v/>
      </c>
      <c r="OS14" s="177" t="str">
        <f>IFERROR((((COUNTIF(OD15:OF17,"A")+COUNTIF(OI15:OK17,"A")+COUNTIF(ON15:OP17,"A"))*4)+((COUNTIF(OD15:OF17,"B")+COUNTIF(OI15:OK17,"B")+COUNTIF(ON15:OP17,"B"))*3)+((COUNTIF(OD15:OF17,"C")+COUNTIF(OI15:OK17,"C")+COUNTIF(ON15:OP17,"C"))*2)+((COUNTIF(OD15:OF17,"D")+COUNTIF(OI15:OK17,"D")+COUNTIF(ON15:OP17,"D"))*1))/(COUNTA(OD15:OF17)+COUNTA(OI15:OK17)+COUNTA(ON15:OP17)),"")</f>
        <v/>
      </c>
      <c r="OT14" s="130" t="str">
        <f t="shared" si="95"/>
        <v/>
      </c>
      <c r="OU14" s="152"/>
      <c r="OV14" s="185"/>
      <c r="OW14" s="185"/>
      <c r="OX14" s="106" t="str">
        <f>IFERROR((((COUNTIF('Elève (6ème4)'!OU15:OW17,"A"))*4)+((COUNTIF('Elève (6ème4)'!OU15:OW17,"B"))*3)+((COUNTIF('Elève (6ème4)'!OU15:OW17,"C"))*2)+((COUNTIF('Elève (6ème4)'!OU15:OW17,"D"))*1))/(COUNTA(OU15:OW17)),"")</f>
        <v/>
      </c>
      <c r="OY14" s="107" t="str">
        <f t="shared" si="96"/>
        <v/>
      </c>
      <c r="OZ14" s="204"/>
      <c r="PA14" s="186"/>
      <c r="PB14" s="205"/>
      <c r="PC14" s="106" t="str">
        <f>IFERROR((((COUNTIF('Elève (6ème4)'!OZ15:PB17,"A"))*4)+((COUNTIF('Elève (6ème4)'!OZ15:PB17,"B"))*3)+((COUNTIF('Elève (6ème4)'!OZ15:PB17,"C"))*2)+((COUNTIF('Elève (6ème4)'!OZ15:PB17,"D"))*1))/(COUNTA(OZ15:PB17)),"")</f>
        <v/>
      </c>
      <c r="PD14" s="121" t="str">
        <f t="shared" si="97"/>
        <v/>
      </c>
      <c r="PE14" s="100"/>
      <c r="PF14" s="187"/>
      <c r="PG14" s="188"/>
      <c r="PH14" s="106" t="str">
        <f>IFERROR((((COUNTIF('Elève (6ème4)'!PE15:PG17,"A"))*4)+((COUNTIF('Elève (6ème4)'!PE15:PG17,"B"))*3)+((COUNTIF('Elève (6ème4)'!PE15:PG17,"C"))*2)+((COUNTIF('Elève (6ème4)'!PE15:PG17,"D"))*1))/(COUNTA(PE15:PG17)),"")</f>
        <v/>
      </c>
      <c r="PI14" s="128" t="str">
        <f t="shared" si="98"/>
        <v/>
      </c>
      <c r="PJ14" s="177" t="str">
        <f>IFERROR((((COUNTIF(OU15:OW17,"A")+COUNTIF(OZ15:PB17,"A")+COUNTIF(PE15:PG17,"A"))*4)+((COUNTIF(OU15:OW17,"B")+COUNTIF(OZ15:PB17,"B")+COUNTIF(PE15:PG17,"B"))*3)+((COUNTIF(OU15:OW17,"C")+COUNTIF(OZ15:PB17,"C")+COUNTIF(PE15:PG17,"C"))*2)+((COUNTIF(OU15:OW17,"D")+COUNTIF(OZ15:PB17,"D")+COUNTIF(PE15:PG17,"D"))*1))/(COUNTA(OU15:OW17)+COUNTA(OZ15:PB17)+COUNTA(PE15:PG17)),"")</f>
        <v/>
      </c>
      <c r="PK14" s="130" t="str">
        <f t="shared" si="99"/>
        <v/>
      </c>
      <c r="PL14" s="152"/>
      <c r="PM14" s="185"/>
      <c r="PN14" s="185"/>
      <c r="PO14" s="106" t="str">
        <f>IFERROR((((COUNTIF('Elève (6ème4)'!PL15:PN17,"A"))*4)+((COUNTIF('Elève (6ème4)'!PL15:PN17,"B"))*3)+((COUNTIF('Elève (6ème4)'!PL15:PN17,"C"))*2)+((COUNTIF('Elève (6ème4)'!PL15:PN17,"D"))*1))/(COUNTA(PL15:PN17)),"")</f>
        <v/>
      </c>
      <c r="PP14" s="107" t="str">
        <f t="shared" si="100"/>
        <v/>
      </c>
      <c r="PQ14" s="204"/>
      <c r="PR14" s="186"/>
      <c r="PS14" s="205"/>
      <c r="PT14" s="106" t="str">
        <f>IFERROR((((COUNTIF('Elève (6ème4)'!PQ15:PS17,"A"))*4)+((COUNTIF('Elève (6ème4)'!PQ15:PS17,"B"))*3)+((COUNTIF('Elève (6ème4)'!PQ15:PS17,"C"))*2)+((COUNTIF('Elève (6ème4)'!PQ15:PS17,"D"))*1))/(COUNTA(PQ15:PS17)),"")</f>
        <v/>
      </c>
      <c r="PU14" s="121" t="str">
        <f t="shared" si="101"/>
        <v/>
      </c>
      <c r="PV14" s="100"/>
      <c r="PW14" s="187"/>
      <c r="PX14" s="188"/>
      <c r="PY14" s="106" t="str">
        <f>IFERROR((((COUNTIF('Elève (6ème4)'!PV15:PX17,"A"))*4)+((COUNTIF('Elève (6ème4)'!PV15:PX17,"B"))*3)+((COUNTIF('Elève (6ème4)'!PV15:PX17,"C"))*2)+((COUNTIF('Elève (6ème4)'!PV15:PX17,"D"))*1))/(COUNTA(PV15:PX17)),"")</f>
        <v/>
      </c>
      <c r="PZ14" s="128" t="str">
        <f t="shared" si="102"/>
        <v/>
      </c>
      <c r="QA14" s="177" t="str">
        <f>IFERROR((((COUNTIF(PL15:PN17,"A")+COUNTIF(PQ15:PS17,"A")+COUNTIF(PV15:PX17,"A"))*4)+((COUNTIF(PL15:PN17,"B")+COUNTIF(PQ15:PS17,"B")+COUNTIF(PV15:PX17,"B"))*3)+((COUNTIF(PL15:PN17,"C")+COUNTIF(PQ15:PS17,"C")+COUNTIF(PV15:PX17,"C"))*2)+((COUNTIF(PL15:PN17,"D")+COUNTIF(PQ15:PS17,"D")+COUNTIF(PV15:PX17,"D"))*1))/(COUNTA(PL15:PN17)+COUNTA(PQ15:PS17)+COUNTA(PV15:PX17)),"")</f>
        <v/>
      </c>
      <c r="QB14" s="130" t="str">
        <f t="shared" si="103"/>
        <v/>
      </c>
      <c r="QC14" s="152"/>
      <c r="QD14" s="185"/>
      <c r="QE14" s="185"/>
      <c r="QF14" s="106" t="str">
        <f>IFERROR((((COUNTIF('Elève (6ème4)'!QC15:QE17,"A"))*4)+((COUNTIF('Elève (6ème4)'!QC15:QE17,"B"))*3)+((COUNTIF('Elève (6ème4)'!QC15:QE17,"C"))*2)+((COUNTIF('Elève (6ème4)'!QC15:QE17,"D"))*1))/(COUNTA(QC15:QE17)),"")</f>
        <v/>
      </c>
      <c r="QG14" s="107" t="str">
        <f t="shared" si="104"/>
        <v/>
      </c>
      <c r="QH14" s="204"/>
      <c r="QI14" s="186"/>
      <c r="QJ14" s="205"/>
      <c r="QK14" s="106" t="str">
        <f>IFERROR((((COUNTIF('Elève (6ème4)'!QH15:QJ17,"A"))*4)+((COUNTIF('Elève (6ème4)'!QH15:QJ17,"B"))*3)+((COUNTIF('Elève (6ème4)'!QH15:QJ17,"C"))*2)+((COUNTIF('Elève (6ème4)'!QH15:QJ17,"D"))*1))/(COUNTA(QH15:QJ17)),"")</f>
        <v/>
      </c>
      <c r="QL14" s="121" t="str">
        <f t="shared" si="105"/>
        <v/>
      </c>
      <c r="QM14" s="100"/>
      <c r="QN14" s="187"/>
      <c r="QO14" s="188"/>
      <c r="QP14" s="106" t="str">
        <f>IFERROR((((COUNTIF('Elève (6ème4)'!QM15:QO17,"A"))*4)+((COUNTIF('Elève (6ème4)'!QM15:QO17,"B"))*3)+((COUNTIF('Elève (6ème4)'!QM15:QO17,"C"))*2)+((COUNTIF('Elève (6ème4)'!QM15:QO17,"D"))*1))/(COUNTA(QM15:QO17)),"")</f>
        <v/>
      </c>
      <c r="QQ14" s="128" t="str">
        <f t="shared" si="106"/>
        <v/>
      </c>
      <c r="QR14" s="177" t="str">
        <f>IFERROR((((COUNTIF(QC15:QE17,"A")+COUNTIF(QH15:QJ17,"A")+COUNTIF(QM15:QO17,"A"))*4)+((COUNTIF(QC15:QE17,"B")+COUNTIF(QH15:QJ17,"B")+COUNTIF(QM15:QO17,"B"))*3)+((COUNTIF(QC15:QE17,"C")+COUNTIF(QH15:QJ17,"C")+COUNTIF(QM15:QO17,"C"))*2)+((COUNTIF(QC15:QE17,"D")+COUNTIF(QH15:QJ17,"D")+COUNTIF(QM15:QO17,"D"))*1))/(COUNTA(QC15:QE17)+COUNTA(QH15:QJ17)+COUNTA(QM15:QO17)),"")</f>
        <v/>
      </c>
      <c r="QS14" s="130" t="str">
        <f t="shared" si="107"/>
        <v/>
      </c>
      <c r="QT14" s="152"/>
      <c r="QU14" s="185"/>
      <c r="QV14" s="185"/>
      <c r="QW14" s="106" t="str">
        <f>IFERROR((((COUNTIF('Elève (6ème4)'!QT15:QV17,"A"))*4)+((COUNTIF('Elève (6ème4)'!QT15:QV17,"B"))*3)+((COUNTIF('Elève (6ème4)'!QT15:QV17,"C"))*2)+((COUNTIF('Elève (6ème4)'!QT15:QV17,"D"))*1))/(COUNTA(QT15:QV17)),"")</f>
        <v/>
      </c>
      <c r="QX14" s="107" t="str">
        <f t="shared" si="108"/>
        <v/>
      </c>
      <c r="QY14" s="204"/>
      <c r="QZ14" s="186"/>
      <c r="RA14" s="205"/>
      <c r="RB14" s="106" t="str">
        <f>IFERROR((((COUNTIF('Elève (6ème4)'!QY15:RA17,"A"))*4)+((COUNTIF('Elève (6ème4)'!QY15:RA17,"B"))*3)+((COUNTIF('Elève (6ème4)'!QY15:RA17,"C"))*2)+((COUNTIF('Elève (6ème4)'!QY15:RA17,"D"))*1))/(COUNTA(QY15:RA17)),"")</f>
        <v/>
      </c>
      <c r="RC14" s="121" t="str">
        <f t="shared" si="109"/>
        <v/>
      </c>
      <c r="RD14" s="100"/>
      <c r="RE14" s="187"/>
      <c r="RF14" s="188"/>
      <c r="RG14" s="106" t="str">
        <f>IFERROR((((COUNTIF('Elève (6ème4)'!RD15:RF17,"A"))*4)+((COUNTIF('Elève (6ème4)'!RD15:RF17,"B"))*3)+((COUNTIF('Elève (6ème4)'!RD15:RF17,"C"))*2)+((COUNTIF('Elève (6ème4)'!RD15:RF17,"D"))*1))/(COUNTA(RD15:RF17)),"")</f>
        <v/>
      </c>
      <c r="RH14" s="128" t="str">
        <f t="shared" si="110"/>
        <v/>
      </c>
      <c r="RI14" s="177" t="str">
        <f>IFERROR((((COUNTIF(QT15:QV17,"A")+COUNTIF(QY15:RA17,"A")+COUNTIF(RD15:RF17,"A"))*4)+((COUNTIF(QT15:QV17,"B")+COUNTIF(QY15:RA17,"B")+COUNTIF(RD15:RF17,"B"))*3)+((COUNTIF(QT15:QV17,"C")+COUNTIF(QY15:RA17,"C")+COUNTIF(RD15:RF17,"C"))*2)+((COUNTIF(QT15:QV17,"D")+COUNTIF(QY15:RA17,"D")+COUNTIF(RD15:RF17,"D"))*1))/(COUNTA(QT15:QV17)+COUNTA(QY15:RA17)+COUNTA(RD15:RF17)),"")</f>
        <v/>
      </c>
      <c r="RJ14" s="130" t="str">
        <f t="shared" si="111"/>
        <v/>
      </c>
      <c r="RK14" s="152"/>
      <c r="RL14" s="185"/>
      <c r="RM14" s="185"/>
      <c r="RN14" s="106" t="str">
        <f>IFERROR((((COUNTIF('Elève (6ème4)'!RK15:RM17,"A"))*4)+((COUNTIF('Elève (6ème4)'!RK15:RM17,"B"))*3)+((COUNTIF('Elève (6ème4)'!RK15:RM17,"C"))*2)+((COUNTIF('Elève (6ème4)'!RK15:RM17,"D"))*1))/(COUNTA(RK15:RM17)),"")</f>
        <v/>
      </c>
      <c r="RO14" s="107" t="str">
        <f t="shared" si="112"/>
        <v/>
      </c>
      <c r="RP14" s="204"/>
      <c r="RQ14" s="186"/>
      <c r="RR14" s="205"/>
      <c r="RS14" s="106" t="str">
        <f>IFERROR((((COUNTIF('Elève (6ème4)'!RP15:RR17,"A"))*4)+((COUNTIF('Elève (6ème4)'!RP15:RR17,"B"))*3)+((COUNTIF('Elève (6ème4)'!RP15:RR17,"C"))*2)+((COUNTIF('Elève (6ème4)'!RP15:RR17,"D"))*1))/(COUNTA(RP15:RR17)),"")</f>
        <v/>
      </c>
      <c r="RT14" s="121" t="str">
        <f t="shared" si="113"/>
        <v/>
      </c>
      <c r="RU14" s="100"/>
      <c r="RV14" s="187"/>
      <c r="RW14" s="188"/>
      <c r="RX14" s="106" t="str">
        <f>IFERROR((((COUNTIF('Elève (6ème4)'!RU15:RW17,"A"))*4)+((COUNTIF('Elève (6ème4)'!RU15:RW17,"B"))*3)+((COUNTIF('Elève (6ème4)'!RU15:RW17,"C"))*2)+((COUNTIF('Elève (6ème4)'!RU15:RW17,"D"))*1))/(COUNTA(RU15:RW17)),"")</f>
        <v/>
      </c>
      <c r="RY14" s="128" t="str">
        <f t="shared" si="114"/>
        <v/>
      </c>
      <c r="RZ14" s="177" t="str">
        <f>IFERROR((((COUNTIF(RK15:RM17,"A")+COUNTIF(RP15:RR17,"A")+COUNTIF(RU15:RW17,"A"))*4)+((COUNTIF(RK15:RM17,"B")+COUNTIF(RP15:RR17,"B")+COUNTIF(RU15:RW17,"B"))*3)+((COUNTIF(RK15:RM17,"C")+COUNTIF(RP15:RR17,"C")+COUNTIF(RU15:RW17,"C"))*2)+((COUNTIF(RK15:RM17,"D")+COUNTIF(RP15:RR17,"D")+COUNTIF(RU15:RW17,"D"))*1))/(COUNTA(RK15:RM17)+COUNTA(RP15:RR17)+COUNTA(RU15:RW17)),"")</f>
        <v/>
      </c>
      <c r="SA14" s="130" t="str">
        <f t="shared" si="115"/>
        <v/>
      </c>
      <c r="SB14" s="152"/>
      <c r="SC14" s="185"/>
      <c r="SD14" s="185"/>
      <c r="SE14" s="106" t="str">
        <f>IFERROR((((COUNTIF('Elève (6ème4)'!SB15:SD17,"A"))*4)+((COUNTIF('Elève (6ème4)'!SB15:SD17,"B"))*3)+((COUNTIF('Elève (6ème4)'!SB15:SD17,"C"))*2)+((COUNTIF('Elève (6ème4)'!SB15:SD17,"D"))*1))/(COUNTA(SB15:SD17)),"")</f>
        <v/>
      </c>
      <c r="SF14" s="107" t="str">
        <f t="shared" si="116"/>
        <v/>
      </c>
      <c r="SG14" s="204"/>
      <c r="SH14" s="186"/>
      <c r="SI14" s="205"/>
      <c r="SJ14" s="106" t="str">
        <f>IFERROR((((COUNTIF('Elève (6ème4)'!SG15:SI17,"A"))*4)+((COUNTIF('Elève (6ème4)'!SG15:SI17,"B"))*3)+((COUNTIF('Elève (6ème4)'!SG15:SI17,"C"))*2)+((COUNTIF('Elève (6ème4)'!SG15:SI17,"D"))*1))/(COUNTA(SG15:SI17)),"")</f>
        <v/>
      </c>
      <c r="SK14" s="121" t="str">
        <f t="shared" si="117"/>
        <v/>
      </c>
      <c r="SL14" s="100"/>
      <c r="SM14" s="187"/>
      <c r="SN14" s="188"/>
      <c r="SO14" s="106" t="str">
        <f>IFERROR((((COUNTIF('Elève (6ème4)'!SL15:SN17,"A"))*4)+((COUNTIF('Elève (6ème4)'!SL15:SN17,"B"))*3)+((COUNTIF('Elève (6ème4)'!SL15:SN17,"C"))*2)+((COUNTIF('Elève (6ème4)'!SL15:SN17,"D"))*1))/(COUNTA(SL15:SN17)),"")</f>
        <v/>
      </c>
      <c r="SP14" s="128" t="str">
        <f t="shared" si="118"/>
        <v/>
      </c>
      <c r="SQ14" s="177" t="str">
        <f>IFERROR((((COUNTIF(SB15:SD17,"A")+COUNTIF(SG15:SI17,"A")+COUNTIF(SL15:SN17,"A"))*4)+((COUNTIF(SB15:SD17,"B")+COUNTIF(SG15:SI17,"B")+COUNTIF(SL15:SN17,"B"))*3)+((COUNTIF(SB15:SD17,"C")+COUNTIF(SG15:SI17,"C")+COUNTIF(SL15:SN17,"C"))*2)+((COUNTIF(SB15:SD17,"D")+COUNTIF(SG15:SI17,"D")+COUNTIF(SL15:SN17,"D"))*1))/(COUNTA(SB15:SD17)+COUNTA(SG15:SI17)+COUNTA(SL15:SN17)),"")</f>
        <v/>
      </c>
      <c r="SR14" s="130" t="str">
        <f t="shared" si="119"/>
        <v/>
      </c>
    </row>
    <row r="15" spans="1:512" s="72" customFormat="1" ht="18" customHeight="1" x14ac:dyDescent="0.25">
      <c r="A15" s="240" t="s">
        <v>18</v>
      </c>
      <c r="B15" s="241"/>
      <c r="C15" s="156"/>
      <c r="D15" s="157"/>
      <c r="E15" s="158"/>
      <c r="F15" s="108" t="str">
        <f>IFERROR((((COUNTIF('Elève (6ème4)'!C15:E15,"A"))*4)+((COUNTIF('Elève (6ème4)'!C15:E15,"B"))*3)+((COUNTIF('Elève (6ème4)'!C15:E15,"C"))*2)+((COUNTIF('Elève (6ème4)'!C15:E15,"D"))*1))/(COUNTA(C15:E15)),"")</f>
        <v/>
      </c>
      <c r="G15" s="109" t="str">
        <f t="shared" si="0"/>
        <v/>
      </c>
      <c r="H15" s="81"/>
      <c r="I15" s="82"/>
      <c r="J15" s="83"/>
      <c r="K15" s="108" t="str">
        <f>IFERROR((((COUNTIF('Elève (6ème4)'!H15:J15,"A"))*4)+((COUNTIF('Elève (6ème4)'!H15:J15,"B"))*3)+((COUNTIF('Elève (6ème4)'!H15:J15,"C"))*2)+((COUNTIF('Elève (6ème4)'!H15:J15,"D"))*1))/(COUNTA(H15:J15)),"")</f>
        <v/>
      </c>
      <c r="L15" s="109" t="str">
        <f t="shared" si="1"/>
        <v/>
      </c>
      <c r="M15" s="81"/>
      <c r="N15" s="82"/>
      <c r="O15" s="83"/>
      <c r="P15" s="108" t="str">
        <f>IFERROR((((COUNTIF('Elève (6ème4)'!M15:O15,"A"))*4)+((COUNTIF('Elève (6ème4)'!M15:O15,"B"))*3)+((COUNTIF('Elève (6ème4)'!M15:O15,"C"))*2)+((COUNTIF('Elève (6ème4)'!M15:O15,"D"))*1))/(COUNTA(M15:O15)),"")</f>
        <v/>
      </c>
      <c r="Q15" s="109" t="str">
        <f t="shared" si="2"/>
        <v/>
      </c>
      <c r="R15" s="178" t="str">
        <f>IF(COUNT(F15,K15,P15)=0,"",SUM(F15,K15,P15)/COUNT(F15,K15,P15))</f>
        <v/>
      </c>
      <c r="S15" s="134" t="str">
        <f t="shared" si="3"/>
        <v/>
      </c>
      <c r="T15" s="156"/>
      <c r="U15" s="157"/>
      <c r="V15" s="158"/>
      <c r="W15" s="108" t="str">
        <f>IFERROR((((COUNTIF('Elève (6ème4)'!T15:V15,"A"))*4)+((COUNTIF('Elève (6ème4)'!T15:V15,"B"))*3)+((COUNTIF('Elève (6ème4)'!T15:V15,"C"))*2)+((COUNTIF('Elève (6ème4)'!T15:V15,"D"))*1))/(COUNTA(T15:V15)),"")</f>
        <v/>
      </c>
      <c r="X15" s="109" t="str">
        <f t="shared" si="4"/>
        <v/>
      </c>
      <c r="Y15" s="81"/>
      <c r="Z15" s="82"/>
      <c r="AA15" s="83"/>
      <c r="AB15" s="108" t="str">
        <f>IFERROR((((COUNTIF('Elève (6ème4)'!Y15:AA15,"A"))*4)+((COUNTIF('Elève (6ème4)'!Y15:AA15,"B"))*3)+((COUNTIF('Elève (6ème4)'!Y15:AA15,"C"))*2)+((COUNTIF('Elève (6ème4)'!Y15:AA15,"D"))*1))/(COUNTA(Y15:AA15)),"")</f>
        <v/>
      </c>
      <c r="AC15" s="109" t="str">
        <f t="shared" si="5"/>
        <v/>
      </c>
      <c r="AD15" s="81"/>
      <c r="AE15" s="82"/>
      <c r="AF15" s="83"/>
      <c r="AG15" s="108" t="str">
        <f>IFERROR((((COUNTIF('Elève (6ème4)'!AD15:AF15,"A"))*4)+((COUNTIF('Elève (6ème4)'!AD15:AF15,"B"))*3)+((COUNTIF('Elève (6ème4)'!AD15:AF15,"C"))*2)+((COUNTIF('Elève (6ème4)'!AD15:AF15,"D"))*1))/(COUNTA(AD15:AF15)),"")</f>
        <v/>
      </c>
      <c r="AH15" s="109" t="str">
        <f t="shared" si="6"/>
        <v/>
      </c>
      <c r="AI15" s="178" t="str">
        <f>IF(COUNT(W15,AB15,AG15)=0,"",SUM(W15,AB15,AG15)/COUNT(W15,AB15,AG15))</f>
        <v/>
      </c>
      <c r="AJ15" s="134" t="str">
        <f t="shared" si="7"/>
        <v/>
      </c>
      <c r="AK15" s="156"/>
      <c r="AL15" s="157"/>
      <c r="AM15" s="158"/>
      <c r="AN15" s="108" t="str">
        <f>IFERROR((((COUNTIF('Elève (6ème4)'!AK15:AM15,"A"))*4)+((COUNTIF('Elève (6ème4)'!AK15:AM15,"B"))*3)+((COUNTIF('Elève (6ème4)'!AK15:AM15,"C"))*2)+((COUNTIF('Elève (6ème4)'!AK15:AM15,"D"))*1))/(COUNTA(AK15:AM15)),"")</f>
        <v/>
      </c>
      <c r="AO15" s="109" t="str">
        <f t="shared" si="8"/>
        <v/>
      </c>
      <c r="AP15" s="81"/>
      <c r="AQ15" s="82"/>
      <c r="AR15" s="83"/>
      <c r="AS15" s="108" t="str">
        <f>IFERROR((((COUNTIF('Elève (6ème4)'!AP15:AR15,"A"))*4)+((COUNTIF('Elève (6ème4)'!AP15:AR15,"B"))*3)+((COUNTIF('Elève (6ème4)'!AP15:AR15,"C"))*2)+((COUNTIF('Elève (6ème4)'!AP15:AR15,"D"))*1))/(COUNTA(AP15:AR15)),"")</f>
        <v/>
      </c>
      <c r="AT15" s="109" t="str">
        <f t="shared" si="9"/>
        <v/>
      </c>
      <c r="AU15" s="81"/>
      <c r="AV15" s="82"/>
      <c r="AW15" s="83"/>
      <c r="AX15" s="108" t="str">
        <f>IFERROR((((COUNTIF('Elève (6ème4)'!AU15:AW15,"A"))*4)+((COUNTIF('Elève (6ème4)'!AU15:AW15,"B"))*3)+((COUNTIF('Elève (6ème4)'!AU15:AW15,"C"))*2)+((COUNTIF('Elève (6ème4)'!AU15:AW15,"D"))*1))/(COUNTA(AU15:AW15)),"")</f>
        <v/>
      </c>
      <c r="AY15" s="109" t="str">
        <f t="shared" si="10"/>
        <v/>
      </c>
      <c r="AZ15" s="178" t="str">
        <f>IF(COUNT(AN15,AS15,AX15)=0,"",SUM(AN15,AS15,AX15)/COUNT(AN15,AS15,AX15))</f>
        <v/>
      </c>
      <c r="BA15" s="134" t="str">
        <f t="shared" si="11"/>
        <v/>
      </c>
      <c r="BB15" s="156"/>
      <c r="BC15" s="157"/>
      <c r="BD15" s="158"/>
      <c r="BE15" s="108" t="str">
        <f>IFERROR((((COUNTIF('Elève (6ème4)'!BB15:BD15,"A"))*4)+((COUNTIF('Elève (6ème4)'!BB15:BD15,"B"))*3)+((COUNTIF('Elève (6ème4)'!BB15:BD15,"C"))*2)+((COUNTIF('Elève (6ème4)'!BB15:BD15,"D"))*1))/(COUNTA(BB15:BD15)),"")</f>
        <v/>
      </c>
      <c r="BF15" s="109" t="str">
        <f t="shared" si="12"/>
        <v/>
      </c>
      <c r="BG15" s="81"/>
      <c r="BH15" s="82"/>
      <c r="BI15" s="83"/>
      <c r="BJ15" s="108" t="str">
        <f>IFERROR((((COUNTIF('Elève (6ème4)'!BG15:BI15,"A"))*4)+((COUNTIF('Elève (6ème4)'!BG15:BI15,"B"))*3)+((COUNTIF('Elève (6ème4)'!BG15:BI15,"C"))*2)+((COUNTIF('Elève (6ème4)'!BG15:BI15,"D"))*1))/(COUNTA(BG15:BI15)),"")</f>
        <v/>
      </c>
      <c r="BK15" s="109" t="str">
        <f t="shared" si="13"/>
        <v/>
      </c>
      <c r="BL15" s="81"/>
      <c r="BM15" s="82"/>
      <c r="BN15" s="83"/>
      <c r="BO15" s="108" t="str">
        <f>IFERROR((((COUNTIF('Elève (6ème4)'!BL15:BN15,"A"))*4)+((COUNTIF('Elève (6ème4)'!BL15:BN15,"B"))*3)+((COUNTIF('Elève (6ème4)'!BL15:BN15,"C"))*2)+((COUNTIF('Elève (6ème4)'!BL15:BN15,"D"))*1))/(COUNTA(BL15:BN15)),"")</f>
        <v/>
      </c>
      <c r="BP15" s="109" t="str">
        <f t="shared" si="14"/>
        <v/>
      </c>
      <c r="BQ15" s="178" t="str">
        <f>IF(COUNT(BE15,BJ15,BO15)=0,"",SUM(BE15,BJ15,BO15)/COUNT(BE15,BJ15,BO15))</f>
        <v/>
      </c>
      <c r="BR15" s="134" t="str">
        <f t="shared" si="15"/>
        <v/>
      </c>
      <c r="BS15" s="156"/>
      <c r="BT15" s="157"/>
      <c r="BU15" s="158"/>
      <c r="BV15" s="108" t="str">
        <f>IFERROR((((COUNTIF('Elève (6ème4)'!BS15:BU15,"A"))*4)+((COUNTIF('Elève (6ème4)'!BS15:BU15,"B"))*3)+((COUNTIF('Elève (6ème4)'!BS15:BU15,"C"))*2)+((COUNTIF('Elève (6ème4)'!BS15:BU15,"D"))*1))/(COUNTA(BS15:BU15)),"")</f>
        <v/>
      </c>
      <c r="BW15" s="109" t="str">
        <f t="shared" si="16"/>
        <v/>
      </c>
      <c r="BX15" s="81"/>
      <c r="BY15" s="82"/>
      <c r="BZ15" s="83"/>
      <c r="CA15" s="108" t="str">
        <f>IFERROR((((COUNTIF('Elève (6ème4)'!BX15:BZ15,"A"))*4)+((COUNTIF('Elève (6ème4)'!BX15:BZ15,"B"))*3)+((COUNTIF('Elève (6ème4)'!BX15:BZ15,"C"))*2)+((COUNTIF('Elève (6ème4)'!BX15:BZ15,"D"))*1))/(COUNTA(BX15:BZ15)),"")</f>
        <v/>
      </c>
      <c r="CB15" s="109" t="str">
        <f t="shared" si="17"/>
        <v/>
      </c>
      <c r="CC15" s="81"/>
      <c r="CD15" s="82"/>
      <c r="CE15" s="83"/>
      <c r="CF15" s="108" t="str">
        <f>IFERROR((((COUNTIF('Elève (6ème4)'!CC15:CE15,"A"))*4)+((COUNTIF('Elève (6ème4)'!CC15:CE15,"B"))*3)+((COUNTIF('Elève (6ème4)'!CC15:CE15,"C"))*2)+((COUNTIF('Elève (6ème4)'!CC15:CE15,"D"))*1))/(COUNTA(CC15:CE15)),"")</f>
        <v/>
      </c>
      <c r="CG15" s="109" t="str">
        <f t="shared" si="18"/>
        <v/>
      </c>
      <c r="CH15" s="178" t="str">
        <f>IF(COUNT(BV15,CA15,CF15)=0,"",SUM(BV15,CA15,CF15)/COUNT(BV15,CA15,CF15))</f>
        <v/>
      </c>
      <c r="CI15" s="134" t="str">
        <f t="shared" si="19"/>
        <v/>
      </c>
      <c r="CJ15" s="156"/>
      <c r="CK15" s="157"/>
      <c r="CL15" s="158"/>
      <c r="CM15" s="108" t="str">
        <f>IFERROR((((COUNTIF('Elève (6ème4)'!CJ15:CL15,"A"))*4)+((COUNTIF('Elève (6ème4)'!CJ15:CL15,"B"))*3)+((COUNTIF('Elève (6ème4)'!CJ15:CL15,"C"))*2)+((COUNTIF('Elève (6ème4)'!CJ15:CL15,"D"))*1))/(COUNTA(CJ15:CL15)),"")</f>
        <v/>
      </c>
      <c r="CN15" s="109" t="str">
        <f t="shared" si="20"/>
        <v/>
      </c>
      <c r="CO15" s="81"/>
      <c r="CP15" s="82"/>
      <c r="CQ15" s="83"/>
      <c r="CR15" s="108" t="str">
        <f>IFERROR((((COUNTIF('Elève (6ème4)'!CO15:CQ15,"A"))*4)+((COUNTIF('Elève (6ème4)'!CO15:CQ15,"B"))*3)+((COUNTIF('Elève (6ème4)'!CO15:CQ15,"C"))*2)+((COUNTIF('Elève (6ème4)'!CO15:CQ15,"D"))*1))/(COUNTA(CO15:CQ15)),"")</f>
        <v/>
      </c>
      <c r="CS15" s="109" t="str">
        <f t="shared" si="21"/>
        <v/>
      </c>
      <c r="CT15" s="81"/>
      <c r="CU15" s="82"/>
      <c r="CV15" s="83"/>
      <c r="CW15" s="108" t="str">
        <f>IFERROR((((COUNTIF('Elève (6ème4)'!CT15:CV15,"A"))*4)+((COUNTIF('Elève (6ème4)'!CT15:CV15,"B"))*3)+((COUNTIF('Elève (6ème4)'!CT15:CV15,"C"))*2)+((COUNTIF('Elève (6ème4)'!CT15:CV15,"D"))*1))/(COUNTA(CT15:CV15)),"")</f>
        <v/>
      </c>
      <c r="CX15" s="109" t="str">
        <f t="shared" si="22"/>
        <v/>
      </c>
      <c r="CY15" s="178" t="str">
        <f>IF(COUNT(CM15,CR15,CW15)=0,"",SUM(CM15,CR15,CW15)/COUNT(CM15,CR15,CW15))</f>
        <v/>
      </c>
      <c r="CZ15" s="134" t="str">
        <f t="shared" si="23"/>
        <v/>
      </c>
      <c r="DA15" s="156"/>
      <c r="DB15" s="157"/>
      <c r="DC15" s="158"/>
      <c r="DD15" s="108" t="str">
        <f>IFERROR((((COUNTIF('Elève (6ème4)'!DA15:DC15,"A"))*4)+((COUNTIF('Elève (6ème4)'!DA15:DC15,"B"))*3)+((COUNTIF('Elève (6ème4)'!DA15:DC15,"C"))*2)+((COUNTIF('Elève (6ème4)'!DA15:DC15,"D"))*1))/(COUNTA(DA15:DC15)),"")</f>
        <v/>
      </c>
      <c r="DE15" s="109" t="str">
        <f t="shared" si="24"/>
        <v/>
      </c>
      <c r="DF15" s="81"/>
      <c r="DG15" s="82"/>
      <c r="DH15" s="83"/>
      <c r="DI15" s="108" t="str">
        <f>IFERROR((((COUNTIF('Elève (6ème4)'!DF15:DH15,"A"))*4)+((COUNTIF('Elève (6ème4)'!DF15:DH15,"B"))*3)+((COUNTIF('Elève (6ème4)'!DF15:DH15,"C"))*2)+((COUNTIF('Elève (6ème4)'!DF15:DH15,"D"))*1))/(COUNTA(DF15:DH15)),"")</f>
        <v/>
      </c>
      <c r="DJ15" s="109" t="str">
        <f t="shared" si="25"/>
        <v/>
      </c>
      <c r="DK15" s="81"/>
      <c r="DL15" s="82"/>
      <c r="DM15" s="83"/>
      <c r="DN15" s="108" t="str">
        <f>IFERROR((((COUNTIF('Elève (6ème4)'!DK15:DM15,"A"))*4)+((COUNTIF('Elève (6ème4)'!DK15:DM15,"B"))*3)+((COUNTIF('Elève (6ème4)'!DK15:DM15,"C"))*2)+((COUNTIF('Elève (6ème4)'!DK15:DM15,"D"))*1))/(COUNTA(DK15:DM15)),"")</f>
        <v/>
      </c>
      <c r="DO15" s="109" t="str">
        <f t="shared" si="26"/>
        <v/>
      </c>
      <c r="DP15" s="178" t="str">
        <f>IF(COUNT(DD15,DI15,DN15)=0,"",SUM(DD15,DI15,DN15)/COUNT(DD15,DI15,DN15))</f>
        <v/>
      </c>
      <c r="DQ15" s="134" t="str">
        <f t="shared" si="27"/>
        <v/>
      </c>
      <c r="DR15" s="156"/>
      <c r="DS15" s="157"/>
      <c r="DT15" s="158"/>
      <c r="DU15" s="108" t="str">
        <f>IFERROR((((COUNTIF('Elève (6ème4)'!DR15:DT15,"A"))*4)+((COUNTIF('Elève (6ème4)'!DR15:DT15,"B"))*3)+((COUNTIF('Elève (6ème4)'!DR15:DT15,"C"))*2)+((COUNTIF('Elève (6ème4)'!DR15:DT15,"D"))*1))/(COUNTA(DR15:DT15)),"")</f>
        <v/>
      </c>
      <c r="DV15" s="109" t="str">
        <f t="shared" si="28"/>
        <v/>
      </c>
      <c r="DW15" s="81"/>
      <c r="DX15" s="82"/>
      <c r="DY15" s="83"/>
      <c r="DZ15" s="108" t="str">
        <f>IFERROR((((COUNTIF('Elève (6ème4)'!DW15:DY15,"A"))*4)+((COUNTIF('Elève (6ème4)'!DW15:DY15,"B"))*3)+((COUNTIF('Elève (6ème4)'!DW15:DY15,"C"))*2)+((COUNTIF('Elève (6ème4)'!DW15:DY15,"D"))*1))/(COUNTA(DW15:DY15)),"")</f>
        <v/>
      </c>
      <c r="EA15" s="109" t="str">
        <f t="shared" si="29"/>
        <v/>
      </c>
      <c r="EB15" s="81"/>
      <c r="EC15" s="82"/>
      <c r="ED15" s="83"/>
      <c r="EE15" s="108" t="str">
        <f>IFERROR((((COUNTIF('Elève (6ème4)'!EB15:ED15,"A"))*4)+((COUNTIF('Elève (6ème4)'!EB15:ED15,"B"))*3)+((COUNTIF('Elève (6ème4)'!EB15:ED15,"C"))*2)+((COUNTIF('Elève (6ème4)'!EB15:ED15,"D"))*1))/(COUNTA(EB15:ED15)),"")</f>
        <v/>
      </c>
      <c r="EF15" s="109" t="str">
        <f t="shared" si="30"/>
        <v/>
      </c>
      <c r="EG15" s="178" t="str">
        <f>IF(COUNT(DU15,DZ15,EE15)=0,"",SUM(DU15,DZ15,EE15)/COUNT(DU15,DZ15,EE15))</f>
        <v/>
      </c>
      <c r="EH15" s="134" t="str">
        <f t="shared" si="31"/>
        <v/>
      </c>
      <c r="EI15" s="156"/>
      <c r="EJ15" s="157"/>
      <c r="EK15" s="158"/>
      <c r="EL15" s="108" t="str">
        <f>IFERROR((((COUNTIF('Elève (6ème4)'!EI15:EK15,"A"))*4)+((COUNTIF('Elève (6ème4)'!EI15:EK15,"B"))*3)+((COUNTIF('Elève (6ème4)'!EI15:EK15,"C"))*2)+((COUNTIF('Elève (6ème4)'!EI15:EK15,"D"))*1))/(COUNTA(EI15:EK15)),"")</f>
        <v/>
      </c>
      <c r="EM15" s="109" t="str">
        <f t="shared" si="32"/>
        <v/>
      </c>
      <c r="EN15" s="81"/>
      <c r="EO15" s="82"/>
      <c r="EP15" s="83"/>
      <c r="EQ15" s="108" t="str">
        <f>IFERROR((((COUNTIF('Elève (6ème4)'!EN15:EP15,"A"))*4)+((COUNTIF('Elève (6ème4)'!EN15:EP15,"B"))*3)+((COUNTIF('Elève (6ème4)'!EN15:EP15,"C"))*2)+((COUNTIF('Elève (6ème4)'!EN15:EP15,"D"))*1))/(COUNTA(EN15:EP15)),"")</f>
        <v/>
      </c>
      <c r="ER15" s="109" t="str">
        <f t="shared" si="33"/>
        <v/>
      </c>
      <c r="ES15" s="81"/>
      <c r="ET15" s="82"/>
      <c r="EU15" s="83"/>
      <c r="EV15" s="108" t="str">
        <f>IFERROR((((COUNTIF('Elève (6ème4)'!ES15:EU15,"A"))*4)+((COUNTIF('Elève (6ème4)'!ES15:EU15,"B"))*3)+((COUNTIF('Elève (6ème4)'!ES15:EU15,"C"))*2)+((COUNTIF('Elève (6ème4)'!ES15:EU15,"D"))*1))/(COUNTA(ES15:EU15)),"")</f>
        <v/>
      </c>
      <c r="EW15" s="109" t="str">
        <f t="shared" si="34"/>
        <v/>
      </c>
      <c r="EX15" s="178" t="str">
        <f>IF(COUNT(EL15,EQ15,EV15)=0,"",SUM(EL15,EQ15,EV15)/COUNT(EL15,EQ15,EV15))</f>
        <v/>
      </c>
      <c r="EY15" s="134" t="str">
        <f t="shared" si="35"/>
        <v/>
      </c>
      <c r="EZ15" s="156"/>
      <c r="FA15" s="157"/>
      <c r="FB15" s="158"/>
      <c r="FC15" s="108" t="str">
        <f>IFERROR((((COUNTIF('Elève (6ème4)'!EZ15:FB15,"A"))*4)+((COUNTIF('Elève (6ème4)'!EZ15:FB15,"B"))*3)+((COUNTIF('Elève (6ème4)'!EZ15:FB15,"C"))*2)+((COUNTIF('Elève (6ème4)'!EZ15:FB15,"D"))*1))/(COUNTA(EZ15:FB15)),"")</f>
        <v/>
      </c>
      <c r="FD15" s="109" t="str">
        <f t="shared" si="36"/>
        <v/>
      </c>
      <c r="FE15" s="81"/>
      <c r="FF15" s="82"/>
      <c r="FG15" s="83"/>
      <c r="FH15" s="108" t="str">
        <f>IFERROR((((COUNTIF('Elève (6ème4)'!FE15:FG15,"A"))*4)+((COUNTIF('Elève (6ème4)'!FE15:FG15,"B"))*3)+((COUNTIF('Elève (6ème4)'!FE15:FG15,"C"))*2)+((COUNTIF('Elève (6ème4)'!FE15:FG15,"D"))*1))/(COUNTA(FE15:FG15)),"")</f>
        <v/>
      </c>
      <c r="FI15" s="109" t="str">
        <f t="shared" si="37"/>
        <v/>
      </c>
      <c r="FJ15" s="81"/>
      <c r="FK15" s="82"/>
      <c r="FL15" s="83"/>
      <c r="FM15" s="108" t="str">
        <f>IFERROR((((COUNTIF('Elève (6ème4)'!FJ15:FL15,"A"))*4)+((COUNTIF('Elève (6ème4)'!FJ15:FL15,"B"))*3)+((COUNTIF('Elève (6ème4)'!FJ15:FL15,"C"))*2)+((COUNTIF('Elève (6ème4)'!FJ15:FL15,"D"))*1))/(COUNTA(FJ15:FL15)),"")</f>
        <v/>
      </c>
      <c r="FN15" s="109" t="str">
        <f t="shared" si="38"/>
        <v/>
      </c>
      <c r="FO15" s="178" t="str">
        <f>IF(COUNT(FC15,FH15,FM15)=0,"",SUM(FC15,FH15,FM15)/COUNT(FC15,FH15,FM15))</f>
        <v/>
      </c>
      <c r="FP15" s="134" t="str">
        <f t="shared" si="39"/>
        <v/>
      </c>
      <c r="FQ15" s="156"/>
      <c r="FR15" s="157"/>
      <c r="FS15" s="158"/>
      <c r="FT15" s="108" t="str">
        <f>IFERROR((((COUNTIF('Elève (6ème4)'!FQ15:FS15,"A"))*4)+((COUNTIF('Elève (6ème4)'!FQ15:FS15,"B"))*3)+((COUNTIF('Elève (6ème4)'!FQ15:FS15,"C"))*2)+((COUNTIF('Elève (6ème4)'!FQ15:FS15,"D"))*1))/(COUNTA(FQ15:FS15)),"")</f>
        <v/>
      </c>
      <c r="FU15" s="109" t="str">
        <f t="shared" si="40"/>
        <v/>
      </c>
      <c r="FV15" s="81"/>
      <c r="FW15" s="82"/>
      <c r="FX15" s="83"/>
      <c r="FY15" s="108" t="str">
        <f>IFERROR((((COUNTIF('Elève (6ème4)'!FV15:FX15,"A"))*4)+((COUNTIF('Elève (6ème4)'!FV15:FX15,"B"))*3)+((COUNTIF('Elève (6ème4)'!FV15:FX15,"C"))*2)+((COUNTIF('Elève (6ème4)'!FV15:FX15,"D"))*1))/(COUNTA(FV15:FX15)),"")</f>
        <v/>
      </c>
      <c r="FZ15" s="109" t="str">
        <f t="shared" si="41"/>
        <v/>
      </c>
      <c r="GA15" s="81"/>
      <c r="GB15" s="82"/>
      <c r="GC15" s="83"/>
      <c r="GD15" s="108" t="str">
        <f>IFERROR((((COUNTIF('Elève (6ème4)'!GA15:GC15,"A"))*4)+((COUNTIF('Elève (6ème4)'!GA15:GC15,"B"))*3)+((COUNTIF('Elève (6ème4)'!GA15:GC15,"C"))*2)+((COUNTIF('Elève (6ème4)'!GA15:GC15,"D"))*1))/(COUNTA(GA15:GC15)),"")</f>
        <v/>
      </c>
      <c r="GE15" s="109" t="str">
        <f t="shared" si="42"/>
        <v/>
      </c>
      <c r="GF15" s="178" t="str">
        <f>IF(COUNT(FT15,FY15,GD15)=0,"",SUM(FT15,FY15,GD15)/COUNT(FT15,FY15,GD15))</f>
        <v/>
      </c>
      <c r="GG15" s="134" t="str">
        <f t="shared" si="43"/>
        <v/>
      </c>
      <c r="GH15" s="156"/>
      <c r="GI15" s="157"/>
      <c r="GJ15" s="158"/>
      <c r="GK15" s="108" t="str">
        <f>IFERROR((((COUNTIF('Elève (6ème4)'!GH15:GJ15,"A"))*4)+((COUNTIF('Elève (6ème4)'!GH15:GJ15,"B"))*3)+((COUNTIF('Elève (6ème4)'!GH15:GJ15,"C"))*2)+((COUNTIF('Elève (6ème4)'!GH15:GJ15,"D"))*1))/(COUNTA(GH15:GJ15)),"")</f>
        <v/>
      </c>
      <c r="GL15" s="109" t="str">
        <f t="shared" si="44"/>
        <v/>
      </c>
      <c r="GM15" s="81"/>
      <c r="GN15" s="82"/>
      <c r="GO15" s="83"/>
      <c r="GP15" s="108" t="str">
        <f>IFERROR((((COUNTIF('Elève (6ème4)'!GM15:GO15,"A"))*4)+((COUNTIF('Elève (6ème4)'!GM15:GO15,"B"))*3)+((COUNTIF('Elève (6ème4)'!GM15:GO15,"C"))*2)+((COUNTIF('Elève (6ème4)'!GM15:GO15,"D"))*1))/(COUNTA(GM15:GO15)),"")</f>
        <v/>
      </c>
      <c r="GQ15" s="109" t="str">
        <f t="shared" si="45"/>
        <v/>
      </c>
      <c r="GR15" s="81"/>
      <c r="GS15" s="82"/>
      <c r="GT15" s="83"/>
      <c r="GU15" s="108" t="str">
        <f>IFERROR((((COUNTIF('Elève (6ème4)'!GR15:GT15,"A"))*4)+((COUNTIF('Elève (6ème4)'!GR15:GT15,"B"))*3)+((COUNTIF('Elève (6ème4)'!GR15:GT15,"C"))*2)+((COUNTIF('Elève (6ème4)'!GR15:GT15,"D"))*1))/(COUNTA(GR15:GT15)),"")</f>
        <v/>
      </c>
      <c r="GV15" s="109" t="str">
        <f t="shared" si="46"/>
        <v/>
      </c>
      <c r="GW15" s="178" t="str">
        <f>IF(COUNT(GK15,GP15,GU15)=0,"",SUM(GK15,GP15,GU15)/COUNT(GK15,GP15,GU15))</f>
        <v/>
      </c>
      <c r="GX15" s="134" t="str">
        <f t="shared" si="47"/>
        <v/>
      </c>
      <c r="GY15" s="156"/>
      <c r="GZ15" s="157"/>
      <c r="HA15" s="158"/>
      <c r="HB15" s="108" t="str">
        <f>IFERROR((((COUNTIF('Elève (6ème4)'!GY15:HA15,"A"))*4)+((COUNTIF('Elève (6ème4)'!GY15:HA15,"B"))*3)+((COUNTIF('Elève (6ème4)'!GY15:HA15,"C"))*2)+((COUNTIF('Elève (6ème4)'!GY15:HA15,"D"))*1))/(COUNTA(GY15:HA15)),"")</f>
        <v/>
      </c>
      <c r="HC15" s="109" t="str">
        <f t="shared" si="48"/>
        <v/>
      </c>
      <c r="HD15" s="81"/>
      <c r="HE15" s="82"/>
      <c r="HF15" s="83"/>
      <c r="HG15" s="108" t="str">
        <f>IFERROR((((COUNTIF('Elève (6ème4)'!HD15:HF15,"A"))*4)+((COUNTIF('Elève (6ème4)'!HD15:HF15,"B"))*3)+((COUNTIF('Elève (6ème4)'!HD15:HF15,"C"))*2)+((COUNTIF('Elève (6ème4)'!HD15:HF15,"D"))*1))/(COUNTA(HD15:HF15)),"")</f>
        <v/>
      </c>
      <c r="HH15" s="109" t="str">
        <f t="shared" si="49"/>
        <v/>
      </c>
      <c r="HI15" s="81"/>
      <c r="HJ15" s="82"/>
      <c r="HK15" s="83"/>
      <c r="HL15" s="108" t="str">
        <f>IFERROR((((COUNTIF('Elève (6ème4)'!HI15:HK15,"A"))*4)+((COUNTIF('Elève (6ème4)'!HI15:HK15,"B"))*3)+((COUNTIF('Elève (6ème4)'!HI15:HK15,"C"))*2)+((COUNTIF('Elève (6ème4)'!HI15:HK15,"D"))*1))/(COUNTA(HI15:HK15)),"")</f>
        <v/>
      </c>
      <c r="HM15" s="109" t="str">
        <f t="shared" si="50"/>
        <v/>
      </c>
      <c r="HN15" s="178" t="str">
        <f>IF(COUNT(HB15,HG15,HL15)=0,"",SUM(HB15,HG15,HL15)/COUNT(HB15,HG15,HL15))</f>
        <v/>
      </c>
      <c r="HO15" s="134" t="str">
        <f t="shared" si="51"/>
        <v/>
      </c>
      <c r="HP15" s="156"/>
      <c r="HQ15" s="157"/>
      <c r="HR15" s="158"/>
      <c r="HS15" s="108" t="str">
        <f>IFERROR((((COUNTIF('Elève (6ème4)'!HP15:HR15,"A"))*4)+((COUNTIF('Elève (6ème4)'!HP15:HR15,"B"))*3)+((COUNTIF('Elève (6ème4)'!HP15:HR15,"C"))*2)+((COUNTIF('Elève (6ème4)'!HP15:HR15,"D"))*1))/(COUNTA(HP15:HR15)),"")</f>
        <v/>
      </c>
      <c r="HT15" s="109" t="str">
        <f t="shared" si="52"/>
        <v/>
      </c>
      <c r="HU15" s="81"/>
      <c r="HV15" s="82"/>
      <c r="HW15" s="83"/>
      <c r="HX15" s="108" t="str">
        <f>IFERROR((((COUNTIF('Elève (6ème4)'!HU15:HW15,"A"))*4)+((COUNTIF('Elève (6ème4)'!HU15:HW15,"B"))*3)+((COUNTIF('Elève (6ème4)'!HU15:HW15,"C"))*2)+((COUNTIF('Elève (6ème4)'!HU15:HW15,"D"))*1))/(COUNTA(HU15:HW15)),"")</f>
        <v/>
      </c>
      <c r="HY15" s="109" t="str">
        <f t="shared" si="53"/>
        <v/>
      </c>
      <c r="HZ15" s="81"/>
      <c r="IA15" s="82"/>
      <c r="IB15" s="83"/>
      <c r="IC15" s="108" t="str">
        <f>IFERROR((((COUNTIF('Elève (6ème4)'!HZ15:IB15,"A"))*4)+((COUNTIF('Elève (6ème4)'!HZ15:IB15,"B"))*3)+((COUNTIF('Elève (6ème4)'!HZ15:IB15,"C"))*2)+((COUNTIF('Elève (6ème4)'!HZ15:IB15,"D"))*1))/(COUNTA(HZ15:IB15)),"")</f>
        <v/>
      </c>
      <c r="ID15" s="109" t="str">
        <f t="shared" si="54"/>
        <v/>
      </c>
      <c r="IE15" s="178" t="str">
        <f>IF(COUNT(HS15,HX15,IC15)=0,"",SUM(HS15,HX15,IC15)/COUNT(HS15,HX15,IC15))</f>
        <v/>
      </c>
      <c r="IF15" s="134" t="str">
        <f t="shared" si="55"/>
        <v/>
      </c>
      <c r="IG15" s="156"/>
      <c r="IH15" s="157"/>
      <c r="II15" s="158"/>
      <c r="IJ15" s="108" t="str">
        <f>IFERROR((((COUNTIF('Elève (6ème4)'!IG15:II15,"A"))*4)+((COUNTIF('Elève (6ème4)'!IG15:II15,"B"))*3)+((COUNTIF('Elève (6ème4)'!IG15:II15,"C"))*2)+((COUNTIF('Elève (6ème4)'!IG15:II15,"D"))*1))/(COUNTA(IG15:II15)),"")</f>
        <v/>
      </c>
      <c r="IK15" s="109" t="str">
        <f t="shared" si="56"/>
        <v/>
      </c>
      <c r="IL15" s="81"/>
      <c r="IM15" s="82"/>
      <c r="IN15" s="83"/>
      <c r="IO15" s="108" t="str">
        <f>IFERROR((((COUNTIF('Elève (6ème4)'!IL15:IN15,"A"))*4)+((COUNTIF('Elève (6ème4)'!IL15:IN15,"B"))*3)+((COUNTIF('Elève (6ème4)'!IL15:IN15,"C"))*2)+((COUNTIF('Elève (6ème4)'!IL15:IN15,"D"))*1))/(COUNTA(IL15:IN15)),"")</f>
        <v/>
      </c>
      <c r="IP15" s="109" t="str">
        <f t="shared" si="57"/>
        <v/>
      </c>
      <c r="IQ15" s="81"/>
      <c r="IR15" s="82"/>
      <c r="IS15" s="83"/>
      <c r="IT15" s="108" t="str">
        <f>IFERROR((((COUNTIF('Elève (6ème4)'!IQ15:IS15,"A"))*4)+((COUNTIF('Elève (6ème4)'!IQ15:IS15,"B"))*3)+((COUNTIF('Elève (6ème4)'!IQ15:IS15,"C"))*2)+((COUNTIF('Elève (6ème4)'!IQ15:IS15,"D"))*1))/(COUNTA(IQ15:IS15)),"")</f>
        <v/>
      </c>
      <c r="IU15" s="109" t="str">
        <f t="shared" si="58"/>
        <v/>
      </c>
      <c r="IV15" s="178" t="str">
        <f>IF(COUNT(IJ15,IO15,IT15)=0,"",SUM(IJ15,IO15,IT15)/COUNT(IJ15,IO15,IT15))</f>
        <v/>
      </c>
      <c r="IW15" s="134" t="str">
        <f t="shared" si="59"/>
        <v/>
      </c>
      <c r="IX15" s="156"/>
      <c r="IY15" s="157"/>
      <c r="IZ15" s="158"/>
      <c r="JA15" s="108" t="str">
        <f>IFERROR((((COUNTIF('Elève (6ème4)'!IX15:IZ15,"A"))*4)+((COUNTIF('Elève (6ème4)'!IX15:IZ15,"B"))*3)+((COUNTIF('Elève (6ème4)'!IX15:IZ15,"C"))*2)+((COUNTIF('Elève (6ème4)'!IX15:IZ15,"D"))*1))/(COUNTA(IX15:IZ15)),"")</f>
        <v/>
      </c>
      <c r="JB15" s="109" t="str">
        <f t="shared" si="60"/>
        <v/>
      </c>
      <c r="JC15" s="81"/>
      <c r="JD15" s="82"/>
      <c r="JE15" s="83"/>
      <c r="JF15" s="108" t="str">
        <f>IFERROR((((COUNTIF('Elève (6ème4)'!JC15:JE15,"A"))*4)+((COUNTIF('Elève (6ème4)'!JC15:JE15,"B"))*3)+((COUNTIF('Elève (6ème4)'!JC15:JE15,"C"))*2)+((COUNTIF('Elève (6ème4)'!JC15:JE15,"D"))*1))/(COUNTA(JC15:JE15)),"")</f>
        <v/>
      </c>
      <c r="JG15" s="109" t="str">
        <f t="shared" si="61"/>
        <v/>
      </c>
      <c r="JH15" s="81"/>
      <c r="JI15" s="82"/>
      <c r="JJ15" s="83"/>
      <c r="JK15" s="108" t="str">
        <f>IFERROR((((COUNTIF('Elève (6ème4)'!JH15:JJ15,"A"))*4)+((COUNTIF('Elève (6ème4)'!JH15:JJ15,"B"))*3)+((COUNTIF('Elève (6ème4)'!JH15:JJ15,"C"))*2)+((COUNTIF('Elève (6ème4)'!JH15:JJ15,"D"))*1))/(COUNTA(JH15:JJ15)),"")</f>
        <v/>
      </c>
      <c r="JL15" s="109" t="str">
        <f t="shared" si="62"/>
        <v/>
      </c>
      <c r="JM15" s="178" t="str">
        <f>IF(COUNT(JA15,JF15,JK15)=0,"",SUM(JA15,JF15,JK15)/COUNT(JA15,JF15,JK15))</f>
        <v/>
      </c>
      <c r="JN15" s="134" t="str">
        <f t="shared" si="63"/>
        <v/>
      </c>
      <c r="JO15" s="156"/>
      <c r="JP15" s="157"/>
      <c r="JQ15" s="158"/>
      <c r="JR15" s="108" t="str">
        <f>IFERROR((((COUNTIF('Elève (6ème4)'!JO15:JQ15,"A"))*4)+((COUNTIF('Elève (6ème4)'!JO15:JQ15,"B"))*3)+((COUNTIF('Elève (6ème4)'!JO15:JQ15,"C"))*2)+((COUNTIF('Elève (6ème4)'!JO15:JQ15,"D"))*1))/(COUNTA(JO15:JQ15)),"")</f>
        <v/>
      </c>
      <c r="JS15" s="109" t="str">
        <f t="shared" si="64"/>
        <v/>
      </c>
      <c r="JT15" s="81"/>
      <c r="JU15" s="82"/>
      <c r="JV15" s="83"/>
      <c r="JW15" s="108" t="str">
        <f>IFERROR((((COUNTIF('Elève (6ème4)'!JT15:JV15,"A"))*4)+((COUNTIF('Elève (6ème4)'!JT15:JV15,"B"))*3)+((COUNTIF('Elève (6ème4)'!JT15:JV15,"C"))*2)+((COUNTIF('Elève (6ème4)'!JT15:JV15,"D"))*1))/(COUNTA(JT15:JV15)),"")</f>
        <v/>
      </c>
      <c r="JX15" s="109" t="str">
        <f t="shared" si="65"/>
        <v/>
      </c>
      <c r="JY15" s="81"/>
      <c r="JZ15" s="82"/>
      <c r="KA15" s="83"/>
      <c r="KB15" s="108" t="str">
        <f>IFERROR((((COUNTIF('Elève (6ème4)'!JY15:KA15,"A"))*4)+((COUNTIF('Elève (6ème4)'!JY15:KA15,"B"))*3)+((COUNTIF('Elève (6ème4)'!JY15:KA15,"C"))*2)+((COUNTIF('Elève (6ème4)'!JY15:KA15,"D"))*1))/(COUNTA(JY15:KA15)),"")</f>
        <v/>
      </c>
      <c r="KC15" s="109" t="str">
        <f t="shared" si="66"/>
        <v/>
      </c>
      <c r="KD15" s="178" t="str">
        <f>IF(COUNT(JR15,JW15,KB15)=0,"",SUM(JR15,JW15,KB15)/COUNT(JR15,JW15,KB15))</f>
        <v/>
      </c>
      <c r="KE15" s="134" t="str">
        <f t="shared" si="67"/>
        <v/>
      </c>
      <c r="KF15" s="156"/>
      <c r="KG15" s="157"/>
      <c r="KH15" s="158"/>
      <c r="KI15" s="108" t="str">
        <f>IFERROR((((COUNTIF('Elève (6ème4)'!KF15:KH15,"A"))*4)+((COUNTIF('Elève (6ème4)'!KF15:KH15,"B"))*3)+((COUNTIF('Elève (6ème4)'!KF15:KH15,"C"))*2)+((COUNTIF('Elève (6ème4)'!KF15:KH15,"D"))*1))/(COUNTA(KF15:KH15)),"")</f>
        <v/>
      </c>
      <c r="KJ15" s="109" t="str">
        <f t="shared" si="68"/>
        <v/>
      </c>
      <c r="KK15" s="81"/>
      <c r="KL15" s="82"/>
      <c r="KM15" s="83"/>
      <c r="KN15" s="108" t="str">
        <f>IFERROR((((COUNTIF('Elève (6ème4)'!KK15:KM15,"A"))*4)+((COUNTIF('Elève (6ème4)'!KK15:KM15,"B"))*3)+((COUNTIF('Elève (6ème4)'!KK15:KM15,"C"))*2)+((COUNTIF('Elève (6ème4)'!KK15:KM15,"D"))*1))/(COUNTA(KK15:KM15)),"")</f>
        <v/>
      </c>
      <c r="KO15" s="109" t="str">
        <f t="shared" si="69"/>
        <v/>
      </c>
      <c r="KP15" s="81"/>
      <c r="KQ15" s="82"/>
      <c r="KR15" s="83"/>
      <c r="KS15" s="108" t="str">
        <f>IFERROR((((COUNTIF('Elève (6ème4)'!KP15:KR15,"A"))*4)+((COUNTIF('Elève (6ème4)'!KP15:KR15,"B"))*3)+((COUNTIF('Elève (6ème4)'!KP15:KR15,"C"))*2)+((COUNTIF('Elève (6ème4)'!KP15:KR15,"D"))*1))/(COUNTA(KP15:KR15)),"")</f>
        <v/>
      </c>
      <c r="KT15" s="109" t="str">
        <f t="shared" si="70"/>
        <v/>
      </c>
      <c r="KU15" s="178" t="str">
        <f>IF(COUNT(KI15,KN15,KS15)=0,"",SUM(KI15,KN15,KS15)/COUNT(KI15,KN15,KS15))</f>
        <v/>
      </c>
      <c r="KV15" s="134" t="str">
        <f t="shared" si="71"/>
        <v/>
      </c>
      <c r="KW15" s="156"/>
      <c r="KX15" s="157"/>
      <c r="KY15" s="158"/>
      <c r="KZ15" s="108" t="str">
        <f>IFERROR((((COUNTIF('Elève (6ème4)'!KW15:KY15,"A"))*4)+((COUNTIF('Elève (6ème4)'!KW15:KY15,"B"))*3)+((COUNTIF('Elève (6ème4)'!KW15:KY15,"C"))*2)+((COUNTIF('Elève (6ème4)'!KW15:KY15,"D"))*1))/(COUNTA(KW15:KY15)),"")</f>
        <v/>
      </c>
      <c r="LA15" s="109" t="str">
        <f t="shared" si="72"/>
        <v/>
      </c>
      <c r="LB15" s="81"/>
      <c r="LC15" s="82"/>
      <c r="LD15" s="83"/>
      <c r="LE15" s="108" t="str">
        <f>IFERROR((((COUNTIF('Elève (6ème4)'!LB15:LD15,"A"))*4)+((COUNTIF('Elève (6ème4)'!LB15:LD15,"B"))*3)+((COUNTIF('Elève (6ème4)'!LB15:LD15,"C"))*2)+((COUNTIF('Elève (6ème4)'!LB15:LD15,"D"))*1))/(COUNTA(LB15:LD15)),"")</f>
        <v/>
      </c>
      <c r="LF15" s="109" t="str">
        <f t="shared" si="73"/>
        <v/>
      </c>
      <c r="LG15" s="81"/>
      <c r="LH15" s="82"/>
      <c r="LI15" s="83"/>
      <c r="LJ15" s="108" t="str">
        <f>IFERROR((((COUNTIF('Elève (6ème4)'!LG15:LI15,"A"))*4)+((COUNTIF('Elève (6ème4)'!LG15:LI15,"B"))*3)+((COUNTIF('Elève (6ème4)'!LG15:LI15,"C"))*2)+((COUNTIF('Elève (6ème4)'!LG15:LI15,"D"))*1))/(COUNTA(LG15:LI15)),"")</f>
        <v/>
      </c>
      <c r="LK15" s="109" t="str">
        <f t="shared" si="74"/>
        <v/>
      </c>
      <c r="LL15" s="178" t="str">
        <f>IF(COUNT(KZ15,LE15,LJ15)=0,"",SUM(KZ15,LE15,LJ15)/COUNT(KZ15,LE15,LJ15))</f>
        <v/>
      </c>
      <c r="LM15" s="134" t="str">
        <f t="shared" si="75"/>
        <v/>
      </c>
      <c r="LN15" s="156"/>
      <c r="LO15" s="157"/>
      <c r="LP15" s="158"/>
      <c r="LQ15" s="108" t="str">
        <f>IFERROR((((COUNTIF('Elève (6ème4)'!LN15:LP15,"A"))*4)+((COUNTIF('Elève (6ème4)'!LN15:LP15,"B"))*3)+((COUNTIF('Elève (6ème4)'!LN15:LP15,"C"))*2)+((COUNTIF('Elève (6ème4)'!LN15:LP15,"D"))*1))/(COUNTA(LN15:LP15)),"")</f>
        <v/>
      </c>
      <c r="LR15" s="109" t="str">
        <f t="shared" si="76"/>
        <v/>
      </c>
      <c r="LS15" s="81"/>
      <c r="LT15" s="82"/>
      <c r="LU15" s="83"/>
      <c r="LV15" s="108" t="str">
        <f>IFERROR((((COUNTIF('Elève (6ème4)'!LS15:LU15,"A"))*4)+((COUNTIF('Elève (6ème4)'!LS15:LU15,"B"))*3)+((COUNTIF('Elève (6ème4)'!LS15:LU15,"C"))*2)+((COUNTIF('Elève (6ème4)'!LS15:LU15,"D"))*1))/(COUNTA(LS15:LU15)),"")</f>
        <v/>
      </c>
      <c r="LW15" s="109" t="str">
        <f t="shared" si="77"/>
        <v/>
      </c>
      <c r="LX15" s="81"/>
      <c r="LY15" s="82"/>
      <c r="LZ15" s="83"/>
      <c r="MA15" s="108" t="str">
        <f>IFERROR((((COUNTIF('Elève (6ème4)'!LX15:LZ15,"A"))*4)+((COUNTIF('Elève (6ème4)'!LX15:LZ15,"B"))*3)+((COUNTIF('Elève (6ème4)'!LX15:LZ15,"C"))*2)+((COUNTIF('Elève (6ème4)'!LX15:LZ15,"D"))*1))/(COUNTA(LX15:LZ15)),"")</f>
        <v/>
      </c>
      <c r="MB15" s="109" t="str">
        <f t="shared" si="78"/>
        <v/>
      </c>
      <c r="MC15" s="178" t="str">
        <f>IF(COUNT(LQ15,LV15,MA15)=0,"",SUM(LQ15,LV15,MA15)/COUNT(LQ15,LV15,MA15))</f>
        <v/>
      </c>
      <c r="MD15" s="134" t="str">
        <f t="shared" si="79"/>
        <v/>
      </c>
      <c r="ME15" s="156"/>
      <c r="MF15" s="157"/>
      <c r="MG15" s="158"/>
      <c r="MH15" s="108" t="str">
        <f>IFERROR((((COUNTIF('Elève (6ème4)'!ME15:MG15,"A"))*4)+((COUNTIF('Elève (6ème4)'!ME15:MG15,"B"))*3)+((COUNTIF('Elève (6ème4)'!ME15:MG15,"C"))*2)+((COUNTIF('Elève (6ème4)'!ME15:MG15,"D"))*1))/(COUNTA(ME15:MG15)),"")</f>
        <v/>
      </c>
      <c r="MI15" s="109" t="str">
        <f t="shared" si="80"/>
        <v/>
      </c>
      <c r="MJ15" s="81"/>
      <c r="MK15" s="82"/>
      <c r="ML15" s="83"/>
      <c r="MM15" s="108" t="str">
        <f>IFERROR((((COUNTIF('Elève (6ème4)'!MJ15:ML15,"A"))*4)+((COUNTIF('Elève (6ème4)'!MJ15:ML15,"B"))*3)+((COUNTIF('Elève (6ème4)'!MJ15:ML15,"C"))*2)+((COUNTIF('Elève (6ème4)'!MJ15:ML15,"D"))*1))/(COUNTA(MJ15:ML15)),"")</f>
        <v/>
      </c>
      <c r="MN15" s="109" t="str">
        <f t="shared" si="81"/>
        <v/>
      </c>
      <c r="MO15" s="81"/>
      <c r="MP15" s="82"/>
      <c r="MQ15" s="83"/>
      <c r="MR15" s="108" t="str">
        <f>IFERROR((((COUNTIF('Elève (6ème4)'!MO15:MQ15,"A"))*4)+((COUNTIF('Elève (6ème4)'!MO15:MQ15,"B"))*3)+((COUNTIF('Elève (6ème4)'!MO15:MQ15,"C"))*2)+((COUNTIF('Elève (6ème4)'!MO15:MQ15,"D"))*1))/(COUNTA(MO15:MQ15)),"")</f>
        <v/>
      </c>
      <c r="MS15" s="109" t="str">
        <f t="shared" si="82"/>
        <v/>
      </c>
      <c r="MT15" s="178" t="str">
        <f>IF(COUNT(MH15,MM15,MR15)=0,"",SUM(MH15,MM15,MR15)/COUNT(MH15,MM15,MR15))</f>
        <v/>
      </c>
      <c r="MU15" s="134" t="str">
        <f t="shared" si="83"/>
        <v/>
      </c>
      <c r="MV15" s="156"/>
      <c r="MW15" s="157"/>
      <c r="MX15" s="158"/>
      <c r="MY15" s="108" t="str">
        <f>IFERROR((((COUNTIF('Elève (6ème4)'!MV15:MX15,"A"))*4)+((COUNTIF('Elève (6ème4)'!MV15:MX15,"B"))*3)+((COUNTIF('Elève (6ème4)'!MV15:MX15,"C"))*2)+((COUNTIF('Elève (6ème4)'!MV15:MX15,"D"))*1))/(COUNTA(MV15:MX15)),"")</f>
        <v/>
      </c>
      <c r="MZ15" s="109" t="str">
        <f t="shared" si="84"/>
        <v/>
      </c>
      <c r="NA15" s="81"/>
      <c r="NB15" s="82"/>
      <c r="NC15" s="83"/>
      <c r="ND15" s="108" t="str">
        <f>IFERROR((((COUNTIF('Elève (6ème4)'!NA15:NC15,"A"))*4)+((COUNTIF('Elève (6ème4)'!NA15:NC15,"B"))*3)+((COUNTIF('Elève (6ème4)'!NA15:NC15,"C"))*2)+((COUNTIF('Elève (6ème4)'!NA15:NC15,"D"))*1))/(COUNTA(NA15:NC15)),"")</f>
        <v/>
      </c>
      <c r="NE15" s="109" t="str">
        <f t="shared" si="85"/>
        <v/>
      </c>
      <c r="NF15" s="81"/>
      <c r="NG15" s="82"/>
      <c r="NH15" s="83"/>
      <c r="NI15" s="108" t="str">
        <f>IFERROR((((COUNTIF('Elève (6ème4)'!NF15:NH15,"A"))*4)+((COUNTIF('Elève (6ème4)'!NF15:NH15,"B"))*3)+((COUNTIF('Elève (6ème4)'!NF15:NH15,"C"))*2)+((COUNTIF('Elève (6ème4)'!NF15:NH15,"D"))*1))/(COUNTA(NF15:NH15)),"")</f>
        <v/>
      </c>
      <c r="NJ15" s="109" t="str">
        <f t="shared" si="86"/>
        <v/>
      </c>
      <c r="NK15" s="178" t="str">
        <f>IF(COUNT(MY15,ND15,NI15)=0,"",SUM(MY15,ND15,NI15)/COUNT(MY15,ND15,NI15))</f>
        <v/>
      </c>
      <c r="NL15" s="134" t="str">
        <f t="shared" si="87"/>
        <v/>
      </c>
      <c r="NM15" s="156"/>
      <c r="NN15" s="157"/>
      <c r="NO15" s="158"/>
      <c r="NP15" s="108" t="str">
        <f>IFERROR((((COUNTIF('Elève (6ème4)'!NM15:NO15,"A"))*4)+((COUNTIF('Elève (6ème4)'!NM15:NO15,"B"))*3)+((COUNTIF('Elève (6ème4)'!NM15:NO15,"C"))*2)+((COUNTIF('Elève (6ème4)'!NM15:NO15,"D"))*1))/(COUNTA(NM15:NO15)),"")</f>
        <v/>
      </c>
      <c r="NQ15" s="109" t="str">
        <f t="shared" si="88"/>
        <v/>
      </c>
      <c r="NR15" s="81"/>
      <c r="NS15" s="82"/>
      <c r="NT15" s="83"/>
      <c r="NU15" s="108" t="str">
        <f>IFERROR((((COUNTIF('Elève (6ème4)'!NR15:NT15,"A"))*4)+((COUNTIF('Elève (6ème4)'!NR15:NT15,"B"))*3)+((COUNTIF('Elève (6ème4)'!NR15:NT15,"C"))*2)+((COUNTIF('Elève (6ème4)'!NR15:NT15,"D"))*1))/(COUNTA(NR15:NT15)),"")</f>
        <v/>
      </c>
      <c r="NV15" s="109" t="str">
        <f t="shared" si="89"/>
        <v/>
      </c>
      <c r="NW15" s="81"/>
      <c r="NX15" s="82"/>
      <c r="NY15" s="83"/>
      <c r="NZ15" s="108" t="str">
        <f>IFERROR((((COUNTIF('Elève (6ème4)'!NW15:NY15,"A"))*4)+((COUNTIF('Elève (6ème4)'!NW15:NY15,"B"))*3)+((COUNTIF('Elève (6ème4)'!NW15:NY15,"C"))*2)+((COUNTIF('Elève (6ème4)'!NW15:NY15,"D"))*1))/(COUNTA(NW15:NY15)),"")</f>
        <v/>
      </c>
      <c r="OA15" s="109" t="str">
        <f t="shared" si="90"/>
        <v/>
      </c>
      <c r="OB15" s="178" t="str">
        <f>IF(COUNT(NP15,NU15,NZ15)=0,"",SUM(NP15,NU15,NZ15)/COUNT(NP15,NU15,NZ15))</f>
        <v/>
      </c>
      <c r="OC15" s="134" t="str">
        <f t="shared" si="91"/>
        <v/>
      </c>
      <c r="OD15" s="156"/>
      <c r="OE15" s="157"/>
      <c r="OF15" s="158"/>
      <c r="OG15" s="108" t="str">
        <f>IFERROR((((COUNTIF('Elève (6ème4)'!OD15:OF15,"A"))*4)+((COUNTIF('Elève (6ème4)'!OD15:OF15,"B"))*3)+((COUNTIF('Elève (6ème4)'!OD15:OF15,"C"))*2)+((COUNTIF('Elève (6ème4)'!OD15:OF15,"D"))*1))/(COUNTA(OD15:OF15)),"")</f>
        <v/>
      </c>
      <c r="OH15" s="109" t="str">
        <f t="shared" si="92"/>
        <v/>
      </c>
      <c r="OI15" s="81"/>
      <c r="OJ15" s="82"/>
      <c r="OK15" s="83"/>
      <c r="OL15" s="108" t="str">
        <f>IFERROR((((COUNTIF('Elève (6ème4)'!OI15:OK15,"A"))*4)+((COUNTIF('Elève (6ème4)'!OI15:OK15,"B"))*3)+((COUNTIF('Elève (6ème4)'!OI15:OK15,"C"))*2)+((COUNTIF('Elève (6ème4)'!OI15:OK15,"D"))*1))/(COUNTA(OI15:OK15)),"")</f>
        <v/>
      </c>
      <c r="OM15" s="109" t="str">
        <f t="shared" si="93"/>
        <v/>
      </c>
      <c r="ON15" s="81"/>
      <c r="OO15" s="82"/>
      <c r="OP15" s="83"/>
      <c r="OQ15" s="108" t="str">
        <f>IFERROR((((COUNTIF('Elève (6ème4)'!ON15:OP15,"A"))*4)+((COUNTIF('Elève (6ème4)'!ON15:OP15,"B"))*3)+((COUNTIF('Elève (6ème4)'!ON15:OP15,"C"))*2)+((COUNTIF('Elève (6ème4)'!ON15:OP15,"D"))*1))/(COUNTA(ON15:OP15)),"")</f>
        <v/>
      </c>
      <c r="OR15" s="109" t="str">
        <f t="shared" si="94"/>
        <v/>
      </c>
      <c r="OS15" s="178" t="str">
        <f>IF(COUNT(OG15,OL15,OQ15)=0,"",SUM(OG15,OL15,OQ15)/COUNT(OG15,OL15,OQ15))</f>
        <v/>
      </c>
      <c r="OT15" s="134" t="str">
        <f t="shared" si="95"/>
        <v/>
      </c>
      <c r="OU15" s="156"/>
      <c r="OV15" s="157"/>
      <c r="OW15" s="158"/>
      <c r="OX15" s="108" t="str">
        <f>IFERROR((((COUNTIF('Elève (6ème4)'!OU15:OW15,"A"))*4)+((COUNTIF('Elève (6ème4)'!OU15:OW15,"B"))*3)+((COUNTIF('Elève (6ème4)'!OU15:OW15,"C"))*2)+((COUNTIF('Elève (6ème4)'!OU15:OW15,"D"))*1))/(COUNTA(OU15:OW15)),"")</f>
        <v/>
      </c>
      <c r="OY15" s="109" t="str">
        <f t="shared" si="96"/>
        <v/>
      </c>
      <c r="OZ15" s="81"/>
      <c r="PA15" s="82"/>
      <c r="PB15" s="83"/>
      <c r="PC15" s="108" t="str">
        <f>IFERROR((((COUNTIF('Elève (6ème4)'!OZ15:PB15,"A"))*4)+((COUNTIF('Elève (6ème4)'!OZ15:PB15,"B"))*3)+((COUNTIF('Elève (6ème4)'!OZ15:PB15,"C"))*2)+((COUNTIF('Elève (6ème4)'!OZ15:PB15,"D"))*1))/(COUNTA(OZ15:PB15)),"")</f>
        <v/>
      </c>
      <c r="PD15" s="109" t="str">
        <f t="shared" si="97"/>
        <v/>
      </c>
      <c r="PE15" s="81"/>
      <c r="PF15" s="82"/>
      <c r="PG15" s="83"/>
      <c r="PH15" s="108" t="str">
        <f>IFERROR((((COUNTIF('Elève (6ème4)'!PE15:PG15,"A"))*4)+((COUNTIF('Elève (6ème4)'!PE15:PG15,"B"))*3)+((COUNTIF('Elève (6ème4)'!PE15:PG15,"C"))*2)+((COUNTIF('Elève (6ème4)'!PE15:PG15,"D"))*1))/(COUNTA(PE15:PG15)),"")</f>
        <v/>
      </c>
      <c r="PI15" s="109" t="str">
        <f t="shared" si="98"/>
        <v/>
      </c>
      <c r="PJ15" s="178" t="str">
        <f>IF(COUNT(OX15,PC15,PH15)=0,"",SUM(OX15,PC15,PH15)/COUNT(OX15,PC15,PH15))</f>
        <v/>
      </c>
      <c r="PK15" s="134" t="str">
        <f t="shared" si="99"/>
        <v/>
      </c>
      <c r="PL15" s="156"/>
      <c r="PM15" s="157"/>
      <c r="PN15" s="158"/>
      <c r="PO15" s="108" t="str">
        <f>IFERROR((((COUNTIF('Elève (6ème4)'!PL15:PN15,"A"))*4)+((COUNTIF('Elève (6ème4)'!PL15:PN15,"B"))*3)+((COUNTIF('Elève (6ème4)'!PL15:PN15,"C"))*2)+((COUNTIF('Elève (6ème4)'!PL15:PN15,"D"))*1))/(COUNTA(PL15:PN15)),"")</f>
        <v/>
      </c>
      <c r="PP15" s="109" t="str">
        <f t="shared" si="100"/>
        <v/>
      </c>
      <c r="PQ15" s="81"/>
      <c r="PR15" s="82"/>
      <c r="PS15" s="83"/>
      <c r="PT15" s="108" t="str">
        <f>IFERROR((((COUNTIF('Elève (6ème4)'!PQ15:PS15,"A"))*4)+((COUNTIF('Elève (6ème4)'!PQ15:PS15,"B"))*3)+((COUNTIF('Elève (6ème4)'!PQ15:PS15,"C"))*2)+((COUNTIF('Elève (6ème4)'!PQ15:PS15,"D"))*1))/(COUNTA(PQ15:PS15)),"")</f>
        <v/>
      </c>
      <c r="PU15" s="109" t="str">
        <f t="shared" si="101"/>
        <v/>
      </c>
      <c r="PV15" s="81"/>
      <c r="PW15" s="82"/>
      <c r="PX15" s="83"/>
      <c r="PY15" s="108" t="str">
        <f>IFERROR((((COUNTIF('Elève (6ème4)'!PV15:PX15,"A"))*4)+((COUNTIF('Elève (6ème4)'!PV15:PX15,"B"))*3)+((COUNTIF('Elève (6ème4)'!PV15:PX15,"C"))*2)+((COUNTIF('Elève (6ème4)'!PV15:PX15,"D"))*1))/(COUNTA(PV15:PX15)),"")</f>
        <v/>
      </c>
      <c r="PZ15" s="109" t="str">
        <f t="shared" si="102"/>
        <v/>
      </c>
      <c r="QA15" s="178" t="str">
        <f>IF(COUNT(PO15,PT15,PY15)=0,"",SUM(PO15,PT15,PY15)/COUNT(PO15,PT15,PY15))</f>
        <v/>
      </c>
      <c r="QB15" s="134" t="str">
        <f t="shared" si="103"/>
        <v/>
      </c>
      <c r="QC15" s="156"/>
      <c r="QD15" s="157"/>
      <c r="QE15" s="158"/>
      <c r="QF15" s="108" t="str">
        <f>IFERROR((((COUNTIF('Elève (6ème4)'!QC15:QE15,"A"))*4)+((COUNTIF('Elève (6ème4)'!QC15:QE15,"B"))*3)+((COUNTIF('Elève (6ème4)'!QC15:QE15,"C"))*2)+((COUNTIF('Elève (6ème4)'!QC15:QE15,"D"))*1))/(COUNTA(QC15:QE15)),"")</f>
        <v/>
      </c>
      <c r="QG15" s="109" t="str">
        <f t="shared" si="104"/>
        <v/>
      </c>
      <c r="QH15" s="81"/>
      <c r="QI15" s="82"/>
      <c r="QJ15" s="83"/>
      <c r="QK15" s="108" t="str">
        <f>IFERROR((((COUNTIF('Elève (6ème4)'!QH15:QJ15,"A"))*4)+((COUNTIF('Elève (6ème4)'!QH15:QJ15,"B"))*3)+((COUNTIF('Elève (6ème4)'!QH15:QJ15,"C"))*2)+((COUNTIF('Elève (6ème4)'!QH15:QJ15,"D"))*1))/(COUNTA(QH15:QJ15)),"")</f>
        <v/>
      </c>
      <c r="QL15" s="109" t="str">
        <f t="shared" si="105"/>
        <v/>
      </c>
      <c r="QM15" s="81"/>
      <c r="QN15" s="82"/>
      <c r="QO15" s="83"/>
      <c r="QP15" s="108" t="str">
        <f>IFERROR((((COUNTIF('Elève (6ème4)'!QM15:QO15,"A"))*4)+((COUNTIF('Elève (6ème4)'!QM15:QO15,"B"))*3)+((COUNTIF('Elève (6ème4)'!QM15:QO15,"C"))*2)+((COUNTIF('Elève (6ème4)'!QM15:QO15,"D"))*1))/(COUNTA(QM15:QO15)),"")</f>
        <v/>
      </c>
      <c r="QQ15" s="109" t="str">
        <f t="shared" si="106"/>
        <v/>
      </c>
      <c r="QR15" s="178" t="str">
        <f>IF(COUNT(QF15,QK15,QP15)=0,"",SUM(QF15,QK15,QP15)/COUNT(QF15,QK15,QP15))</f>
        <v/>
      </c>
      <c r="QS15" s="134" t="str">
        <f t="shared" si="107"/>
        <v/>
      </c>
      <c r="QT15" s="156"/>
      <c r="QU15" s="157"/>
      <c r="QV15" s="158"/>
      <c r="QW15" s="108" t="str">
        <f>IFERROR((((COUNTIF('Elève (6ème4)'!QT15:QV15,"A"))*4)+((COUNTIF('Elève (6ème4)'!QT15:QV15,"B"))*3)+((COUNTIF('Elève (6ème4)'!QT15:QV15,"C"))*2)+((COUNTIF('Elève (6ème4)'!QT15:QV15,"D"))*1))/(COUNTA(QT15:QV15)),"")</f>
        <v/>
      </c>
      <c r="QX15" s="109" t="str">
        <f t="shared" si="108"/>
        <v/>
      </c>
      <c r="QY15" s="81"/>
      <c r="QZ15" s="82"/>
      <c r="RA15" s="83"/>
      <c r="RB15" s="108" t="str">
        <f>IFERROR((((COUNTIF('Elève (6ème4)'!QY15:RA15,"A"))*4)+((COUNTIF('Elève (6ème4)'!QY15:RA15,"B"))*3)+((COUNTIF('Elève (6ème4)'!QY15:RA15,"C"))*2)+((COUNTIF('Elève (6ème4)'!QY15:RA15,"D"))*1))/(COUNTA(QY15:RA15)),"")</f>
        <v/>
      </c>
      <c r="RC15" s="109" t="str">
        <f t="shared" si="109"/>
        <v/>
      </c>
      <c r="RD15" s="81"/>
      <c r="RE15" s="82"/>
      <c r="RF15" s="83"/>
      <c r="RG15" s="108" t="str">
        <f>IFERROR((((COUNTIF('Elève (6ème4)'!RD15:RF15,"A"))*4)+((COUNTIF('Elève (6ème4)'!RD15:RF15,"B"))*3)+((COUNTIF('Elève (6ème4)'!RD15:RF15,"C"))*2)+((COUNTIF('Elève (6ème4)'!RD15:RF15,"D"))*1))/(COUNTA(RD15:RF15)),"")</f>
        <v/>
      </c>
      <c r="RH15" s="109" t="str">
        <f t="shared" si="110"/>
        <v/>
      </c>
      <c r="RI15" s="178" t="str">
        <f>IF(COUNT(QW15,RB15,RG15)=0,"",SUM(QW15,RB15,RG15)/COUNT(QW15,RB15,RG15))</f>
        <v/>
      </c>
      <c r="RJ15" s="134" t="str">
        <f t="shared" si="111"/>
        <v/>
      </c>
      <c r="RK15" s="156"/>
      <c r="RL15" s="157"/>
      <c r="RM15" s="158"/>
      <c r="RN15" s="108" t="str">
        <f>IFERROR((((COUNTIF('Elève (6ème4)'!RK15:RM15,"A"))*4)+((COUNTIF('Elève (6ème4)'!RK15:RM15,"B"))*3)+((COUNTIF('Elève (6ème4)'!RK15:RM15,"C"))*2)+((COUNTIF('Elève (6ème4)'!RK15:RM15,"D"))*1))/(COUNTA(RK15:RM15)),"")</f>
        <v/>
      </c>
      <c r="RO15" s="109" t="str">
        <f t="shared" si="112"/>
        <v/>
      </c>
      <c r="RP15" s="81"/>
      <c r="RQ15" s="82"/>
      <c r="RR15" s="83"/>
      <c r="RS15" s="108" t="str">
        <f>IFERROR((((COUNTIF('Elève (6ème4)'!RP15:RR15,"A"))*4)+((COUNTIF('Elève (6ème4)'!RP15:RR15,"B"))*3)+((COUNTIF('Elève (6ème4)'!RP15:RR15,"C"))*2)+((COUNTIF('Elève (6ème4)'!RP15:RR15,"D"))*1))/(COUNTA(RP15:RR15)),"")</f>
        <v/>
      </c>
      <c r="RT15" s="109" t="str">
        <f t="shared" si="113"/>
        <v/>
      </c>
      <c r="RU15" s="81"/>
      <c r="RV15" s="82"/>
      <c r="RW15" s="83"/>
      <c r="RX15" s="108" t="str">
        <f>IFERROR((((COUNTIF('Elève (6ème4)'!RU15:RW15,"A"))*4)+((COUNTIF('Elève (6ème4)'!RU15:RW15,"B"))*3)+((COUNTIF('Elève (6ème4)'!RU15:RW15,"C"))*2)+((COUNTIF('Elève (6ème4)'!RU15:RW15,"D"))*1))/(COUNTA(RU15:RW15)),"")</f>
        <v/>
      </c>
      <c r="RY15" s="109" t="str">
        <f t="shared" si="114"/>
        <v/>
      </c>
      <c r="RZ15" s="178" t="str">
        <f>IF(COUNT(RN15,RS15,RX15)=0,"",SUM(RN15,RS15,RX15)/COUNT(RN15,RS15,RX15))</f>
        <v/>
      </c>
      <c r="SA15" s="134" t="str">
        <f t="shared" si="115"/>
        <v/>
      </c>
      <c r="SB15" s="156"/>
      <c r="SC15" s="157"/>
      <c r="SD15" s="158"/>
      <c r="SE15" s="108" t="str">
        <f>IFERROR((((COUNTIF('Elève (6ème4)'!SB15:SD15,"A"))*4)+((COUNTIF('Elève (6ème4)'!SB15:SD15,"B"))*3)+((COUNTIF('Elève (6ème4)'!SB15:SD15,"C"))*2)+((COUNTIF('Elève (6ème4)'!SB15:SD15,"D"))*1))/(COUNTA(SB15:SD15)),"")</f>
        <v/>
      </c>
      <c r="SF15" s="109" t="str">
        <f t="shared" si="116"/>
        <v/>
      </c>
      <c r="SG15" s="81"/>
      <c r="SH15" s="82"/>
      <c r="SI15" s="83"/>
      <c r="SJ15" s="108" t="str">
        <f>IFERROR((((COUNTIF('Elève (6ème4)'!SG15:SI15,"A"))*4)+((COUNTIF('Elève (6ème4)'!SG15:SI15,"B"))*3)+((COUNTIF('Elève (6ème4)'!SG15:SI15,"C"))*2)+((COUNTIF('Elève (6ème4)'!SG15:SI15,"D"))*1))/(COUNTA(SG15:SI15)),"")</f>
        <v/>
      </c>
      <c r="SK15" s="109" t="str">
        <f t="shared" si="117"/>
        <v/>
      </c>
      <c r="SL15" s="81"/>
      <c r="SM15" s="82"/>
      <c r="SN15" s="83"/>
      <c r="SO15" s="108" t="str">
        <f>IFERROR((((COUNTIF('Elève (6ème4)'!SL15:SN15,"A"))*4)+((COUNTIF('Elève (6ème4)'!SL15:SN15,"B"))*3)+((COUNTIF('Elève (6ème4)'!SL15:SN15,"C"))*2)+((COUNTIF('Elève (6ème4)'!SL15:SN15,"D"))*1))/(COUNTA(SL15:SN15)),"")</f>
        <v/>
      </c>
      <c r="SP15" s="109" t="str">
        <f t="shared" si="118"/>
        <v/>
      </c>
      <c r="SQ15" s="178" t="str">
        <f>IF(COUNT(SE15,SJ15,SO15)=0,"",SUM(SE15,SJ15,SO15)/COUNT(SE15,SJ15,SO15))</f>
        <v/>
      </c>
      <c r="SR15" s="134" t="str">
        <f t="shared" si="119"/>
        <v/>
      </c>
    </row>
    <row r="16" spans="1:512" s="72" customFormat="1" ht="18" customHeight="1" x14ac:dyDescent="0.25">
      <c r="A16" s="242" t="s">
        <v>19</v>
      </c>
      <c r="B16" s="243"/>
      <c r="C16" s="156"/>
      <c r="D16" s="157"/>
      <c r="E16" s="158"/>
      <c r="F16" s="110" t="str">
        <f>IFERROR((((COUNTIF('Elève (6ème4)'!C16:E16,"A"))*4)+((COUNTIF('Elève (6ème4)'!C16:E16,"B"))*3)+((COUNTIF('Elève (6ème4)'!C16:E16,"C"))*2)+((COUNTIF('Elève (6ème4)'!C16:E16,"D"))*1))/(COUNTA(C16:E16)),"")</f>
        <v/>
      </c>
      <c r="G16" s="111" t="str">
        <f t="shared" si="0"/>
        <v/>
      </c>
      <c r="H16" s="81"/>
      <c r="I16" s="82"/>
      <c r="J16" s="83"/>
      <c r="K16" s="110" t="str">
        <f>IFERROR((((COUNTIF('Elève (6ème4)'!H16:J16,"A"))*4)+((COUNTIF('Elève (6ème4)'!H16:J16,"B"))*3)+((COUNTIF('Elève (6ème4)'!H16:J16,"C"))*2)+((COUNTIF('Elève (6ème4)'!H16:J16,"D"))*1))/(COUNTA(H16:J16)),"")</f>
        <v/>
      </c>
      <c r="L16" s="111" t="str">
        <f t="shared" si="1"/>
        <v/>
      </c>
      <c r="M16" s="81"/>
      <c r="N16" s="82"/>
      <c r="O16" s="83"/>
      <c r="P16" s="110" t="str">
        <f>IFERROR((((COUNTIF('Elève (6ème4)'!M16:O16,"A"))*4)+((COUNTIF('Elève (6ème4)'!M16:O16,"B"))*3)+((COUNTIF('Elève (6ème4)'!M16:O16,"C"))*2)+((COUNTIF('Elève (6ème4)'!M16:O16,"D"))*1))/(COUNTA(M16:O16)),"")</f>
        <v/>
      </c>
      <c r="Q16" s="111" t="str">
        <f t="shared" si="2"/>
        <v/>
      </c>
      <c r="R16" s="179" t="str">
        <f>IF(COUNT(F16,K16,P16)=0,"",SUM(F16,K16,P16)/COUNT(F16,K16,P16))</f>
        <v/>
      </c>
      <c r="S16" s="132" t="str">
        <f t="shared" si="3"/>
        <v/>
      </c>
      <c r="T16" s="156"/>
      <c r="U16" s="157"/>
      <c r="V16" s="158"/>
      <c r="W16" s="110" t="str">
        <f>IFERROR((((COUNTIF('Elève (6ème4)'!T16:V16,"A"))*4)+((COUNTIF('Elève (6ème4)'!T16:V16,"B"))*3)+((COUNTIF('Elève (6ème4)'!T16:V16,"C"))*2)+((COUNTIF('Elève (6ème4)'!T16:V16,"D"))*1))/(COUNTA(T16:V16)),"")</f>
        <v/>
      </c>
      <c r="X16" s="111" t="str">
        <f t="shared" si="4"/>
        <v/>
      </c>
      <c r="Y16" s="81"/>
      <c r="Z16" s="82"/>
      <c r="AA16" s="83"/>
      <c r="AB16" s="110" t="str">
        <f>IFERROR((((COUNTIF('Elève (6ème4)'!Y16:AA16,"A"))*4)+((COUNTIF('Elève (6ème4)'!Y16:AA16,"B"))*3)+((COUNTIF('Elève (6ème4)'!Y16:AA16,"C"))*2)+((COUNTIF('Elève (6ème4)'!Y16:AA16,"D"))*1))/(COUNTA(Y16:AA16)),"")</f>
        <v/>
      </c>
      <c r="AC16" s="111" t="str">
        <f t="shared" si="5"/>
        <v/>
      </c>
      <c r="AD16" s="81"/>
      <c r="AE16" s="82"/>
      <c r="AF16" s="83"/>
      <c r="AG16" s="110" t="str">
        <f>IFERROR((((COUNTIF('Elève (6ème4)'!AD16:AF16,"A"))*4)+((COUNTIF('Elève (6ème4)'!AD16:AF16,"B"))*3)+((COUNTIF('Elève (6ème4)'!AD16:AF16,"C"))*2)+((COUNTIF('Elève (6ème4)'!AD16:AF16,"D"))*1))/(COUNTA(AD16:AF16)),"")</f>
        <v/>
      </c>
      <c r="AH16" s="111" t="str">
        <f t="shared" si="6"/>
        <v/>
      </c>
      <c r="AI16" s="179" t="str">
        <f>IF(COUNT(W16,AB16,AG16)=0,"",SUM(W16,AB16,AG16)/COUNT(W16,AB16,AG16))</f>
        <v/>
      </c>
      <c r="AJ16" s="132" t="str">
        <f t="shared" si="7"/>
        <v/>
      </c>
      <c r="AK16" s="156"/>
      <c r="AL16" s="157"/>
      <c r="AM16" s="158"/>
      <c r="AN16" s="110" t="str">
        <f>IFERROR((((COUNTIF('Elève (6ème4)'!AK16:AM16,"A"))*4)+((COUNTIF('Elève (6ème4)'!AK16:AM16,"B"))*3)+((COUNTIF('Elève (6ème4)'!AK16:AM16,"C"))*2)+((COUNTIF('Elève (6ème4)'!AK16:AM16,"D"))*1))/(COUNTA(AK16:AM16)),"")</f>
        <v/>
      </c>
      <c r="AO16" s="111" t="str">
        <f t="shared" si="8"/>
        <v/>
      </c>
      <c r="AP16" s="81"/>
      <c r="AQ16" s="82"/>
      <c r="AR16" s="83"/>
      <c r="AS16" s="110" t="str">
        <f>IFERROR((((COUNTIF('Elève (6ème4)'!AP16:AR16,"A"))*4)+((COUNTIF('Elève (6ème4)'!AP16:AR16,"B"))*3)+((COUNTIF('Elève (6ème4)'!AP16:AR16,"C"))*2)+((COUNTIF('Elève (6ème4)'!AP16:AR16,"D"))*1))/(COUNTA(AP16:AR16)),"")</f>
        <v/>
      </c>
      <c r="AT16" s="111" t="str">
        <f t="shared" si="9"/>
        <v/>
      </c>
      <c r="AU16" s="81"/>
      <c r="AV16" s="82"/>
      <c r="AW16" s="83"/>
      <c r="AX16" s="110" t="str">
        <f>IFERROR((((COUNTIF('Elève (6ème4)'!AU16:AW16,"A"))*4)+((COUNTIF('Elève (6ème4)'!AU16:AW16,"B"))*3)+((COUNTIF('Elève (6ème4)'!AU16:AW16,"C"))*2)+((COUNTIF('Elève (6ème4)'!AU16:AW16,"D"))*1))/(COUNTA(AU16:AW16)),"")</f>
        <v/>
      </c>
      <c r="AY16" s="111" t="str">
        <f t="shared" si="10"/>
        <v/>
      </c>
      <c r="AZ16" s="179" t="str">
        <f>IF(COUNT(AN16,AS16,AX16)=0,"",SUM(AN16,AS16,AX16)/COUNT(AN16,AS16,AX16))</f>
        <v/>
      </c>
      <c r="BA16" s="132" t="str">
        <f t="shared" si="11"/>
        <v/>
      </c>
      <c r="BB16" s="156"/>
      <c r="BC16" s="157"/>
      <c r="BD16" s="158"/>
      <c r="BE16" s="110" t="str">
        <f>IFERROR((((COUNTIF('Elève (6ème4)'!BB16:BD16,"A"))*4)+((COUNTIF('Elève (6ème4)'!BB16:BD16,"B"))*3)+((COUNTIF('Elève (6ème4)'!BB16:BD16,"C"))*2)+((COUNTIF('Elève (6ème4)'!BB16:BD16,"D"))*1))/(COUNTA(BB16:BD16)),"")</f>
        <v/>
      </c>
      <c r="BF16" s="111" t="str">
        <f t="shared" si="12"/>
        <v/>
      </c>
      <c r="BG16" s="81"/>
      <c r="BH16" s="82"/>
      <c r="BI16" s="83"/>
      <c r="BJ16" s="110" t="str">
        <f>IFERROR((((COUNTIF('Elève (6ème4)'!BG16:BI16,"A"))*4)+((COUNTIF('Elève (6ème4)'!BG16:BI16,"B"))*3)+((COUNTIF('Elève (6ème4)'!BG16:BI16,"C"))*2)+((COUNTIF('Elève (6ème4)'!BG16:BI16,"D"))*1))/(COUNTA(BG16:BI16)),"")</f>
        <v/>
      </c>
      <c r="BK16" s="111" t="str">
        <f t="shared" si="13"/>
        <v/>
      </c>
      <c r="BL16" s="81"/>
      <c r="BM16" s="82"/>
      <c r="BN16" s="83"/>
      <c r="BO16" s="110" t="str">
        <f>IFERROR((((COUNTIF('Elève (6ème4)'!BL16:BN16,"A"))*4)+((COUNTIF('Elève (6ème4)'!BL16:BN16,"B"))*3)+((COUNTIF('Elève (6ème4)'!BL16:BN16,"C"))*2)+((COUNTIF('Elève (6ème4)'!BL16:BN16,"D"))*1))/(COUNTA(BL16:BN16)),"")</f>
        <v/>
      </c>
      <c r="BP16" s="111" t="str">
        <f t="shared" si="14"/>
        <v/>
      </c>
      <c r="BQ16" s="179" t="str">
        <f>IF(COUNT(BE16,BJ16,BO16)=0,"",SUM(BE16,BJ16,BO16)/COUNT(BE16,BJ16,BO16))</f>
        <v/>
      </c>
      <c r="BR16" s="132" t="str">
        <f t="shared" si="15"/>
        <v/>
      </c>
      <c r="BS16" s="156"/>
      <c r="BT16" s="157"/>
      <c r="BU16" s="158"/>
      <c r="BV16" s="110" t="str">
        <f>IFERROR((((COUNTIF('Elève (6ème4)'!BS16:BU16,"A"))*4)+((COUNTIF('Elève (6ème4)'!BS16:BU16,"B"))*3)+((COUNTIF('Elève (6ème4)'!BS16:BU16,"C"))*2)+((COUNTIF('Elève (6ème4)'!BS16:BU16,"D"))*1))/(COUNTA(BS16:BU16)),"")</f>
        <v/>
      </c>
      <c r="BW16" s="111" t="str">
        <f t="shared" si="16"/>
        <v/>
      </c>
      <c r="BX16" s="81"/>
      <c r="BY16" s="82"/>
      <c r="BZ16" s="83"/>
      <c r="CA16" s="110" t="str">
        <f>IFERROR((((COUNTIF('Elève (6ème4)'!BX16:BZ16,"A"))*4)+((COUNTIF('Elève (6ème4)'!BX16:BZ16,"B"))*3)+((COUNTIF('Elève (6ème4)'!BX16:BZ16,"C"))*2)+((COUNTIF('Elève (6ème4)'!BX16:BZ16,"D"))*1))/(COUNTA(BX16:BZ16)),"")</f>
        <v/>
      </c>
      <c r="CB16" s="111" t="str">
        <f t="shared" si="17"/>
        <v/>
      </c>
      <c r="CC16" s="81"/>
      <c r="CD16" s="82"/>
      <c r="CE16" s="83"/>
      <c r="CF16" s="110" t="str">
        <f>IFERROR((((COUNTIF('Elève (6ème4)'!CC16:CE16,"A"))*4)+((COUNTIF('Elève (6ème4)'!CC16:CE16,"B"))*3)+((COUNTIF('Elève (6ème4)'!CC16:CE16,"C"))*2)+((COUNTIF('Elève (6ème4)'!CC16:CE16,"D"))*1))/(COUNTA(CC16:CE16)),"")</f>
        <v/>
      </c>
      <c r="CG16" s="111" t="str">
        <f t="shared" si="18"/>
        <v/>
      </c>
      <c r="CH16" s="179" t="str">
        <f>IF(COUNT(BV16,CA16,CF16)=0,"",SUM(BV16,CA16,CF16)/COUNT(BV16,CA16,CF16))</f>
        <v/>
      </c>
      <c r="CI16" s="132" t="str">
        <f t="shared" si="19"/>
        <v/>
      </c>
      <c r="CJ16" s="156"/>
      <c r="CK16" s="157"/>
      <c r="CL16" s="158"/>
      <c r="CM16" s="110" t="str">
        <f>IFERROR((((COUNTIF('Elève (6ème4)'!CJ16:CL16,"A"))*4)+((COUNTIF('Elève (6ème4)'!CJ16:CL16,"B"))*3)+((COUNTIF('Elève (6ème4)'!CJ16:CL16,"C"))*2)+((COUNTIF('Elève (6ème4)'!CJ16:CL16,"D"))*1))/(COUNTA(CJ16:CL16)),"")</f>
        <v/>
      </c>
      <c r="CN16" s="111" t="str">
        <f t="shared" si="20"/>
        <v/>
      </c>
      <c r="CO16" s="81"/>
      <c r="CP16" s="82"/>
      <c r="CQ16" s="83"/>
      <c r="CR16" s="110" t="str">
        <f>IFERROR((((COUNTIF('Elève (6ème4)'!CO16:CQ16,"A"))*4)+((COUNTIF('Elève (6ème4)'!CO16:CQ16,"B"))*3)+((COUNTIF('Elève (6ème4)'!CO16:CQ16,"C"))*2)+((COUNTIF('Elève (6ème4)'!CO16:CQ16,"D"))*1))/(COUNTA(CO16:CQ16)),"")</f>
        <v/>
      </c>
      <c r="CS16" s="111" t="str">
        <f t="shared" si="21"/>
        <v/>
      </c>
      <c r="CT16" s="81"/>
      <c r="CU16" s="82"/>
      <c r="CV16" s="83"/>
      <c r="CW16" s="110" t="str">
        <f>IFERROR((((COUNTIF('Elève (6ème4)'!CT16:CV16,"A"))*4)+((COUNTIF('Elève (6ème4)'!CT16:CV16,"B"))*3)+((COUNTIF('Elève (6ème4)'!CT16:CV16,"C"))*2)+((COUNTIF('Elève (6ème4)'!CT16:CV16,"D"))*1))/(COUNTA(CT16:CV16)),"")</f>
        <v/>
      </c>
      <c r="CX16" s="111" t="str">
        <f t="shared" si="22"/>
        <v/>
      </c>
      <c r="CY16" s="179" t="str">
        <f>IF(COUNT(CM16,CR16,CW16)=0,"",SUM(CM16,CR16,CW16)/COUNT(CM16,CR16,CW16))</f>
        <v/>
      </c>
      <c r="CZ16" s="132" t="str">
        <f t="shared" si="23"/>
        <v/>
      </c>
      <c r="DA16" s="156"/>
      <c r="DB16" s="157"/>
      <c r="DC16" s="158"/>
      <c r="DD16" s="110" t="str">
        <f>IFERROR((((COUNTIF('Elève (6ème4)'!DA16:DC16,"A"))*4)+((COUNTIF('Elève (6ème4)'!DA16:DC16,"B"))*3)+((COUNTIF('Elève (6ème4)'!DA16:DC16,"C"))*2)+((COUNTIF('Elève (6ème4)'!DA16:DC16,"D"))*1))/(COUNTA(DA16:DC16)),"")</f>
        <v/>
      </c>
      <c r="DE16" s="111" t="str">
        <f t="shared" si="24"/>
        <v/>
      </c>
      <c r="DF16" s="81"/>
      <c r="DG16" s="82"/>
      <c r="DH16" s="83"/>
      <c r="DI16" s="110" t="str">
        <f>IFERROR((((COUNTIF('Elève (6ème4)'!DF16:DH16,"A"))*4)+((COUNTIF('Elève (6ème4)'!DF16:DH16,"B"))*3)+((COUNTIF('Elève (6ème4)'!DF16:DH16,"C"))*2)+((COUNTIF('Elève (6ème4)'!DF16:DH16,"D"))*1))/(COUNTA(DF16:DH16)),"")</f>
        <v/>
      </c>
      <c r="DJ16" s="111" t="str">
        <f t="shared" si="25"/>
        <v/>
      </c>
      <c r="DK16" s="81"/>
      <c r="DL16" s="82"/>
      <c r="DM16" s="83"/>
      <c r="DN16" s="110" t="str">
        <f>IFERROR((((COUNTIF('Elève (6ème4)'!DK16:DM16,"A"))*4)+((COUNTIF('Elève (6ème4)'!DK16:DM16,"B"))*3)+((COUNTIF('Elève (6ème4)'!DK16:DM16,"C"))*2)+((COUNTIF('Elève (6ème4)'!DK16:DM16,"D"))*1))/(COUNTA(DK16:DM16)),"")</f>
        <v/>
      </c>
      <c r="DO16" s="111" t="str">
        <f t="shared" si="26"/>
        <v/>
      </c>
      <c r="DP16" s="179" t="str">
        <f>IF(COUNT(DD16,DI16,DN16)=0,"",SUM(DD16,DI16,DN16)/COUNT(DD16,DI16,DN16))</f>
        <v/>
      </c>
      <c r="DQ16" s="132" t="str">
        <f t="shared" si="27"/>
        <v/>
      </c>
      <c r="DR16" s="156"/>
      <c r="DS16" s="157"/>
      <c r="DT16" s="158"/>
      <c r="DU16" s="110" t="str">
        <f>IFERROR((((COUNTIF('Elève (6ème4)'!DR16:DT16,"A"))*4)+((COUNTIF('Elève (6ème4)'!DR16:DT16,"B"))*3)+((COUNTIF('Elève (6ème4)'!DR16:DT16,"C"))*2)+((COUNTIF('Elève (6ème4)'!DR16:DT16,"D"))*1))/(COUNTA(DR16:DT16)),"")</f>
        <v/>
      </c>
      <c r="DV16" s="111" t="str">
        <f t="shared" si="28"/>
        <v/>
      </c>
      <c r="DW16" s="81"/>
      <c r="DX16" s="82"/>
      <c r="DY16" s="83"/>
      <c r="DZ16" s="110" t="str">
        <f>IFERROR((((COUNTIF('Elève (6ème4)'!DW16:DY16,"A"))*4)+((COUNTIF('Elève (6ème4)'!DW16:DY16,"B"))*3)+((COUNTIF('Elève (6ème4)'!DW16:DY16,"C"))*2)+((COUNTIF('Elève (6ème4)'!DW16:DY16,"D"))*1))/(COUNTA(DW16:DY16)),"")</f>
        <v/>
      </c>
      <c r="EA16" s="111" t="str">
        <f t="shared" si="29"/>
        <v/>
      </c>
      <c r="EB16" s="81"/>
      <c r="EC16" s="82"/>
      <c r="ED16" s="83"/>
      <c r="EE16" s="110" t="str">
        <f>IFERROR((((COUNTIF('Elève (6ème4)'!EB16:ED16,"A"))*4)+((COUNTIF('Elève (6ème4)'!EB16:ED16,"B"))*3)+((COUNTIF('Elève (6ème4)'!EB16:ED16,"C"))*2)+((COUNTIF('Elève (6ème4)'!EB16:ED16,"D"))*1))/(COUNTA(EB16:ED16)),"")</f>
        <v/>
      </c>
      <c r="EF16" s="111" t="str">
        <f t="shared" si="30"/>
        <v/>
      </c>
      <c r="EG16" s="179" t="str">
        <f>IF(COUNT(DU16,DZ16,EE16)=0,"",SUM(DU16,DZ16,EE16)/COUNT(DU16,DZ16,EE16))</f>
        <v/>
      </c>
      <c r="EH16" s="132" t="str">
        <f t="shared" si="31"/>
        <v/>
      </c>
      <c r="EI16" s="156"/>
      <c r="EJ16" s="157"/>
      <c r="EK16" s="158"/>
      <c r="EL16" s="110" t="str">
        <f>IFERROR((((COUNTIF('Elève (6ème4)'!EI16:EK16,"A"))*4)+((COUNTIF('Elève (6ème4)'!EI16:EK16,"B"))*3)+((COUNTIF('Elève (6ème4)'!EI16:EK16,"C"))*2)+((COUNTIF('Elève (6ème4)'!EI16:EK16,"D"))*1))/(COUNTA(EI16:EK16)),"")</f>
        <v/>
      </c>
      <c r="EM16" s="111" t="str">
        <f t="shared" si="32"/>
        <v/>
      </c>
      <c r="EN16" s="81"/>
      <c r="EO16" s="82"/>
      <c r="EP16" s="83"/>
      <c r="EQ16" s="110" t="str">
        <f>IFERROR((((COUNTIF('Elève (6ème4)'!EN16:EP16,"A"))*4)+((COUNTIF('Elève (6ème4)'!EN16:EP16,"B"))*3)+((COUNTIF('Elève (6ème4)'!EN16:EP16,"C"))*2)+((COUNTIF('Elève (6ème4)'!EN16:EP16,"D"))*1))/(COUNTA(EN16:EP16)),"")</f>
        <v/>
      </c>
      <c r="ER16" s="111" t="str">
        <f t="shared" si="33"/>
        <v/>
      </c>
      <c r="ES16" s="81"/>
      <c r="ET16" s="82"/>
      <c r="EU16" s="83"/>
      <c r="EV16" s="110" t="str">
        <f>IFERROR((((COUNTIF('Elève (6ème4)'!ES16:EU16,"A"))*4)+((COUNTIF('Elève (6ème4)'!ES16:EU16,"B"))*3)+((COUNTIF('Elève (6ème4)'!ES16:EU16,"C"))*2)+((COUNTIF('Elève (6ème4)'!ES16:EU16,"D"))*1))/(COUNTA(ES16:EU16)),"")</f>
        <v/>
      </c>
      <c r="EW16" s="111" t="str">
        <f t="shared" si="34"/>
        <v/>
      </c>
      <c r="EX16" s="179" t="str">
        <f>IF(COUNT(EL16,EQ16,EV16)=0,"",SUM(EL16,EQ16,EV16)/COUNT(EL16,EQ16,EV16))</f>
        <v/>
      </c>
      <c r="EY16" s="132" t="str">
        <f t="shared" si="35"/>
        <v/>
      </c>
      <c r="EZ16" s="156"/>
      <c r="FA16" s="157"/>
      <c r="FB16" s="158"/>
      <c r="FC16" s="110" t="str">
        <f>IFERROR((((COUNTIF('Elève (6ème4)'!EZ16:FB16,"A"))*4)+((COUNTIF('Elève (6ème4)'!EZ16:FB16,"B"))*3)+((COUNTIF('Elève (6ème4)'!EZ16:FB16,"C"))*2)+((COUNTIF('Elève (6ème4)'!EZ16:FB16,"D"))*1))/(COUNTA(EZ16:FB16)),"")</f>
        <v/>
      </c>
      <c r="FD16" s="111" t="str">
        <f t="shared" si="36"/>
        <v/>
      </c>
      <c r="FE16" s="81"/>
      <c r="FF16" s="82"/>
      <c r="FG16" s="83"/>
      <c r="FH16" s="110" t="str">
        <f>IFERROR((((COUNTIF('Elève (6ème4)'!FE16:FG16,"A"))*4)+((COUNTIF('Elève (6ème4)'!FE16:FG16,"B"))*3)+((COUNTIF('Elève (6ème4)'!FE16:FG16,"C"))*2)+((COUNTIF('Elève (6ème4)'!FE16:FG16,"D"))*1))/(COUNTA(FE16:FG16)),"")</f>
        <v/>
      </c>
      <c r="FI16" s="111" t="str">
        <f t="shared" si="37"/>
        <v/>
      </c>
      <c r="FJ16" s="81"/>
      <c r="FK16" s="82"/>
      <c r="FL16" s="83"/>
      <c r="FM16" s="110" t="str">
        <f>IFERROR((((COUNTIF('Elève (6ème4)'!FJ16:FL16,"A"))*4)+((COUNTIF('Elève (6ème4)'!FJ16:FL16,"B"))*3)+((COUNTIF('Elève (6ème4)'!FJ16:FL16,"C"))*2)+((COUNTIF('Elève (6ème4)'!FJ16:FL16,"D"))*1))/(COUNTA(FJ16:FL16)),"")</f>
        <v/>
      </c>
      <c r="FN16" s="111" t="str">
        <f t="shared" si="38"/>
        <v/>
      </c>
      <c r="FO16" s="179" t="str">
        <f>IF(COUNT(FC16,FH16,FM16)=0,"",SUM(FC16,FH16,FM16)/COUNT(FC16,FH16,FM16))</f>
        <v/>
      </c>
      <c r="FP16" s="132" t="str">
        <f t="shared" si="39"/>
        <v/>
      </c>
      <c r="FQ16" s="156"/>
      <c r="FR16" s="157"/>
      <c r="FS16" s="158"/>
      <c r="FT16" s="110" t="str">
        <f>IFERROR((((COUNTIF('Elève (6ème4)'!FQ16:FS16,"A"))*4)+((COUNTIF('Elève (6ème4)'!FQ16:FS16,"B"))*3)+((COUNTIF('Elève (6ème4)'!FQ16:FS16,"C"))*2)+((COUNTIF('Elève (6ème4)'!FQ16:FS16,"D"))*1))/(COUNTA(FQ16:FS16)),"")</f>
        <v/>
      </c>
      <c r="FU16" s="111" t="str">
        <f t="shared" si="40"/>
        <v/>
      </c>
      <c r="FV16" s="81"/>
      <c r="FW16" s="82"/>
      <c r="FX16" s="83"/>
      <c r="FY16" s="110" t="str">
        <f>IFERROR((((COUNTIF('Elève (6ème4)'!FV16:FX16,"A"))*4)+((COUNTIF('Elève (6ème4)'!FV16:FX16,"B"))*3)+((COUNTIF('Elève (6ème4)'!FV16:FX16,"C"))*2)+((COUNTIF('Elève (6ème4)'!FV16:FX16,"D"))*1))/(COUNTA(FV16:FX16)),"")</f>
        <v/>
      </c>
      <c r="FZ16" s="111" t="str">
        <f t="shared" si="41"/>
        <v/>
      </c>
      <c r="GA16" s="81"/>
      <c r="GB16" s="82"/>
      <c r="GC16" s="83"/>
      <c r="GD16" s="110" t="str">
        <f>IFERROR((((COUNTIF('Elève (6ème4)'!GA16:GC16,"A"))*4)+((COUNTIF('Elève (6ème4)'!GA16:GC16,"B"))*3)+((COUNTIF('Elève (6ème4)'!GA16:GC16,"C"))*2)+((COUNTIF('Elève (6ème4)'!GA16:GC16,"D"))*1))/(COUNTA(GA16:GC16)),"")</f>
        <v/>
      </c>
      <c r="GE16" s="111" t="str">
        <f t="shared" si="42"/>
        <v/>
      </c>
      <c r="GF16" s="179" t="str">
        <f>IF(COUNT(FT16,FY16,GD16)=0,"",SUM(FT16,FY16,GD16)/COUNT(FT16,FY16,GD16))</f>
        <v/>
      </c>
      <c r="GG16" s="132" t="str">
        <f t="shared" si="43"/>
        <v/>
      </c>
      <c r="GH16" s="156"/>
      <c r="GI16" s="157"/>
      <c r="GJ16" s="158"/>
      <c r="GK16" s="110" t="str">
        <f>IFERROR((((COUNTIF('Elève (6ème4)'!GH16:GJ16,"A"))*4)+((COUNTIF('Elève (6ème4)'!GH16:GJ16,"B"))*3)+((COUNTIF('Elève (6ème4)'!GH16:GJ16,"C"))*2)+((COUNTIF('Elève (6ème4)'!GH16:GJ16,"D"))*1))/(COUNTA(GH16:GJ16)),"")</f>
        <v/>
      </c>
      <c r="GL16" s="111" t="str">
        <f t="shared" si="44"/>
        <v/>
      </c>
      <c r="GM16" s="81"/>
      <c r="GN16" s="82"/>
      <c r="GO16" s="83"/>
      <c r="GP16" s="110" t="str">
        <f>IFERROR((((COUNTIF('Elève (6ème4)'!GM16:GO16,"A"))*4)+((COUNTIF('Elève (6ème4)'!GM16:GO16,"B"))*3)+((COUNTIF('Elève (6ème4)'!GM16:GO16,"C"))*2)+((COUNTIF('Elève (6ème4)'!GM16:GO16,"D"))*1))/(COUNTA(GM16:GO16)),"")</f>
        <v/>
      </c>
      <c r="GQ16" s="111" t="str">
        <f t="shared" si="45"/>
        <v/>
      </c>
      <c r="GR16" s="81"/>
      <c r="GS16" s="82"/>
      <c r="GT16" s="83"/>
      <c r="GU16" s="110" t="str">
        <f>IFERROR((((COUNTIF('Elève (6ème4)'!GR16:GT16,"A"))*4)+((COUNTIF('Elève (6ème4)'!GR16:GT16,"B"))*3)+((COUNTIF('Elève (6ème4)'!GR16:GT16,"C"))*2)+((COUNTIF('Elève (6ème4)'!GR16:GT16,"D"))*1))/(COUNTA(GR16:GT16)),"")</f>
        <v/>
      </c>
      <c r="GV16" s="111" t="str">
        <f t="shared" si="46"/>
        <v/>
      </c>
      <c r="GW16" s="179" t="str">
        <f>IF(COUNT(GK16,GP16,GU16)=0,"",SUM(GK16,GP16,GU16)/COUNT(GK16,GP16,GU16))</f>
        <v/>
      </c>
      <c r="GX16" s="132" t="str">
        <f t="shared" si="47"/>
        <v/>
      </c>
      <c r="GY16" s="156"/>
      <c r="GZ16" s="157"/>
      <c r="HA16" s="158"/>
      <c r="HB16" s="110" t="str">
        <f>IFERROR((((COUNTIF('Elève (6ème4)'!GY16:HA16,"A"))*4)+((COUNTIF('Elève (6ème4)'!GY16:HA16,"B"))*3)+((COUNTIF('Elève (6ème4)'!GY16:HA16,"C"))*2)+((COUNTIF('Elève (6ème4)'!GY16:HA16,"D"))*1))/(COUNTA(GY16:HA16)),"")</f>
        <v/>
      </c>
      <c r="HC16" s="111" t="str">
        <f t="shared" si="48"/>
        <v/>
      </c>
      <c r="HD16" s="81"/>
      <c r="HE16" s="82"/>
      <c r="HF16" s="83"/>
      <c r="HG16" s="110" t="str">
        <f>IFERROR((((COUNTIF('Elève (6ème4)'!HD16:HF16,"A"))*4)+((COUNTIF('Elève (6ème4)'!HD16:HF16,"B"))*3)+((COUNTIF('Elève (6ème4)'!HD16:HF16,"C"))*2)+((COUNTIF('Elève (6ème4)'!HD16:HF16,"D"))*1))/(COUNTA(HD16:HF16)),"")</f>
        <v/>
      </c>
      <c r="HH16" s="111" t="str">
        <f t="shared" si="49"/>
        <v/>
      </c>
      <c r="HI16" s="81"/>
      <c r="HJ16" s="82"/>
      <c r="HK16" s="83"/>
      <c r="HL16" s="110" t="str">
        <f>IFERROR((((COUNTIF('Elève (6ème4)'!HI16:HK16,"A"))*4)+((COUNTIF('Elève (6ème4)'!HI16:HK16,"B"))*3)+((COUNTIF('Elève (6ème4)'!HI16:HK16,"C"))*2)+((COUNTIF('Elève (6ème4)'!HI16:HK16,"D"))*1))/(COUNTA(HI16:HK16)),"")</f>
        <v/>
      </c>
      <c r="HM16" s="111" t="str">
        <f t="shared" si="50"/>
        <v/>
      </c>
      <c r="HN16" s="179" t="str">
        <f>IF(COUNT(HB16,HG16,HL16)=0,"",SUM(HB16,HG16,HL16)/COUNT(HB16,HG16,HL16))</f>
        <v/>
      </c>
      <c r="HO16" s="132" t="str">
        <f t="shared" si="51"/>
        <v/>
      </c>
      <c r="HP16" s="156"/>
      <c r="HQ16" s="157"/>
      <c r="HR16" s="158"/>
      <c r="HS16" s="110" t="str">
        <f>IFERROR((((COUNTIF('Elève (6ème4)'!HP16:HR16,"A"))*4)+((COUNTIF('Elève (6ème4)'!HP16:HR16,"B"))*3)+((COUNTIF('Elève (6ème4)'!HP16:HR16,"C"))*2)+((COUNTIF('Elève (6ème4)'!HP16:HR16,"D"))*1))/(COUNTA(HP16:HR16)),"")</f>
        <v/>
      </c>
      <c r="HT16" s="111" t="str">
        <f t="shared" si="52"/>
        <v/>
      </c>
      <c r="HU16" s="81"/>
      <c r="HV16" s="82"/>
      <c r="HW16" s="83"/>
      <c r="HX16" s="110" t="str">
        <f>IFERROR((((COUNTIF('Elève (6ème4)'!HU16:HW16,"A"))*4)+((COUNTIF('Elève (6ème4)'!HU16:HW16,"B"))*3)+((COUNTIF('Elève (6ème4)'!HU16:HW16,"C"))*2)+((COUNTIF('Elève (6ème4)'!HU16:HW16,"D"))*1))/(COUNTA(HU16:HW16)),"")</f>
        <v/>
      </c>
      <c r="HY16" s="111" t="str">
        <f t="shared" si="53"/>
        <v/>
      </c>
      <c r="HZ16" s="81"/>
      <c r="IA16" s="82"/>
      <c r="IB16" s="83"/>
      <c r="IC16" s="110" t="str">
        <f>IFERROR((((COUNTIF('Elève (6ème4)'!HZ16:IB16,"A"))*4)+((COUNTIF('Elève (6ème4)'!HZ16:IB16,"B"))*3)+((COUNTIF('Elève (6ème4)'!HZ16:IB16,"C"))*2)+((COUNTIF('Elève (6ème4)'!HZ16:IB16,"D"))*1))/(COUNTA(HZ16:IB16)),"")</f>
        <v/>
      </c>
      <c r="ID16" s="111" t="str">
        <f t="shared" si="54"/>
        <v/>
      </c>
      <c r="IE16" s="179" t="str">
        <f>IF(COUNT(HS16,HX16,IC16)=0,"",SUM(HS16,HX16,IC16)/COUNT(HS16,HX16,IC16))</f>
        <v/>
      </c>
      <c r="IF16" s="132" t="str">
        <f t="shared" si="55"/>
        <v/>
      </c>
      <c r="IG16" s="156"/>
      <c r="IH16" s="157"/>
      <c r="II16" s="158"/>
      <c r="IJ16" s="110" t="str">
        <f>IFERROR((((COUNTIF('Elève (6ème4)'!IG16:II16,"A"))*4)+((COUNTIF('Elève (6ème4)'!IG16:II16,"B"))*3)+((COUNTIF('Elève (6ème4)'!IG16:II16,"C"))*2)+((COUNTIF('Elève (6ème4)'!IG16:II16,"D"))*1))/(COUNTA(IG16:II16)),"")</f>
        <v/>
      </c>
      <c r="IK16" s="111" t="str">
        <f t="shared" si="56"/>
        <v/>
      </c>
      <c r="IL16" s="81"/>
      <c r="IM16" s="82"/>
      <c r="IN16" s="83"/>
      <c r="IO16" s="110" t="str">
        <f>IFERROR((((COUNTIF('Elève (6ème4)'!IL16:IN16,"A"))*4)+((COUNTIF('Elève (6ème4)'!IL16:IN16,"B"))*3)+((COUNTIF('Elève (6ème4)'!IL16:IN16,"C"))*2)+((COUNTIF('Elève (6ème4)'!IL16:IN16,"D"))*1))/(COUNTA(IL16:IN16)),"")</f>
        <v/>
      </c>
      <c r="IP16" s="111" t="str">
        <f t="shared" si="57"/>
        <v/>
      </c>
      <c r="IQ16" s="81"/>
      <c r="IR16" s="82"/>
      <c r="IS16" s="83"/>
      <c r="IT16" s="110" t="str">
        <f>IFERROR((((COUNTIF('Elève (6ème4)'!IQ16:IS16,"A"))*4)+((COUNTIF('Elève (6ème4)'!IQ16:IS16,"B"))*3)+((COUNTIF('Elève (6ème4)'!IQ16:IS16,"C"))*2)+((COUNTIF('Elève (6ème4)'!IQ16:IS16,"D"))*1))/(COUNTA(IQ16:IS16)),"")</f>
        <v/>
      </c>
      <c r="IU16" s="111" t="str">
        <f t="shared" si="58"/>
        <v/>
      </c>
      <c r="IV16" s="179" t="str">
        <f>IF(COUNT(IJ16,IO16,IT16)=0,"",SUM(IJ16,IO16,IT16)/COUNT(IJ16,IO16,IT16))</f>
        <v/>
      </c>
      <c r="IW16" s="132" t="str">
        <f t="shared" si="59"/>
        <v/>
      </c>
      <c r="IX16" s="156"/>
      <c r="IY16" s="157"/>
      <c r="IZ16" s="158"/>
      <c r="JA16" s="110" t="str">
        <f>IFERROR((((COUNTIF('Elève (6ème4)'!IX16:IZ16,"A"))*4)+((COUNTIF('Elève (6ème4)'!IX16:IZ16,"B"))*3)+((COUNTIF('Elève (6ème4)'!IX16:IZ16,"C"))*2)+((COUNTIF('Elève (6ème4)'!IX16:IZ16,"D"))*1))/(COUNTA(IX16:IZ16)),"")</f>
        <v/>
      </c>
      <c r="JB16" s="111" t="str">
        <f t="shared" si="60"/>
        <v/>
      </c>
      <c r="JC16" s="81"/>
      <c r="JD16" s="82"/>
      <c r="JE16" s="83"/>
      <c r="JF16" s="110" t="str">
        <f>IFERROR((((COUNTIF('Elève (6ème4)'!JC16:JE16,"A"))*4)+((COUNTIF('Elève (6ème4)'!JC16:JE16,"B"))*3)+((COUNTIF('Elève (6ème4)'!JC16:JE16,"C"))*2)+((COUNTIF('Elève (6ème4)'!JC16:JE16,"D"))*1))/(COUNTA(JC16:JE16)),"")</f>
        <v/>
      </c>
      <c r="JG16" s="111" t="str">
        <f t="shared" si="61"/>
        <v/>
      </c>
      <c r="JH16" s="81"/>
      <c r="JI16" s="82"/>
      <c r="JJ16" s="83"/>
      <c r="JK16" s="110" t="str">
        <f>IFERROR((((COUNTIF('Elève (6ème4)'!JH16:JJ16,"A"))*4)+((COUNTIF('Elève (6ème4)'!JH16:JJ16,"B"))*3)+((COUNTIF('Elève (6ème4)'!JH16:JJ16,"C"))*2)+((COUNTIF('Elève (6ème4)'!JH16:JJ16,"D"))*1))/(COUNTA(JH16:JJ16)),"")</f>
        <v/>
      </c>
      <c r="JL16" s="111" t="str">
        <f t="shared" si="62"/>
        <v/>
      </c>
      <c r="JM16" s="179" t="str">
        <f>IF(COUNT(JA16,JF16,JK16)=0,"",SUM(JA16,JF16,JK16)/COUNT(JA16,JF16,JK16))</f>
        <v/>
      </c>
      <c r="JN16" s="132" t="str">
        <f t="shared" si="63"/>
        <v/>
      </c>
      <c r="JO16" s="156"/>
      <c r="JP16" s="157"/>
      <c r="JQ16" s="158"/>
      <c r="JR16" s="110" t="str">
        <f>IFERROR((((COUNTIF('Elève (6ème4)'!JO16:JQ16,"A"))*4)+((COUNTIF('Elève (6ème4)'!JO16:JQ16,"B"))*3)+((COUNTIF('Elève (6ème4)'!JO16:JQ16,"C"))*2)+((COUNTIF('Elève (6ème4)'!JO16:JQ16,"D"))*1))/(COUNTA(JO16:JQ16)),"")</f>
        <v/>
      </c>
      <c r="JS16" s="111" t="str">
        <f t="shared" si="64"/>
        <v/>
      </c>
      <c r="JT16" s="81"/>
      <c r="JU16" s="82"/>
      <c r="JV16" s="83"/>
      <c r="JW16" s="110" t="str">
        <f>IFERROR((((COUNTIF('Elève (6ème4)'!JT16:JV16,"A"))*4)+((COUNTIF('Elève (6ème4)'!JT16:JV16,"B"))*3)+((COUNTIF('Elève (6ème4)'!JT16:JV16,"C"))*2)+((COUNTIF('Elève (6ème4)'!JT16:JV16,"D"))*1))/(COUNTA(JT16:JV16)),"")</f>
        <v/>
      </c>
      <c r="JX16" s="111" t="str">
        <f t="shared" si="65"/>
        <v/>
      </c>
      <c r="JY16" s="81"/>
      <c r="JZ16" s="82"/>
      <c r="KA16" s="83"/>
      <c r="KB16" s="110" t="str">
        <f>IFERROR((((COUNTIF('Elève (6ème4)'!JY16:KA16,"A"))*4)+((COUNTIF('Elève (6ème4)'!JY16:KA16,"B"))*3)+((COUNTIF('Elève (6ème4)'!JY16:KA16,"C"))*2)+((COUNTIF('Elève (6ème4)'!JY16:KA16,"D"))*1))/(COUNTA(JY16:KA16)),"")</f>
        <v/>
      </c>
      <c r="KC16" s="111" t="str">
        <f t="shared" si="66"/>
        <v/>
      </c>
      <c r="KD16" s="179" t="str">
        <f>IF(COUNT(JR16,JW16,KB16)=0,"",SUM(JR16,JW16,KB16)/COUNT(JR16,JW16,KB16))</f>
        <v/>
      </c>
      <c r="KE16" s="132" t="str">
        <f t="shared" si="67"/>
        <v/>
      </c>
      <c r="KF16" s="156"/>
      <c r="KG16" s="157"/>
      <c r="KH16" s="158"/>
      <c r="KI16" s="110" t="str">
        <f>IFERROR((((COUNTIF('Elève (6ème4)'!KF16:KH16,"A"))*4)+((COUNTIF('Elève (6ème4)'!KF16:KH16,"B"))*3)+((COUNTIF('Elève (6ème4)'!KF16:KH16,"C"))*2)+((COUNTIF('Elève (6ème4)'!KF16:KH16,"D"))*1))/(COUNTA(KF16:KH16)),"")</f>
        <v/>
      </c>
      <c r="KJ16" s="111" t="str">
        <f t="shared" si="68"/>
        <v/>
      </c>
      <c r="KK16" s="81"/>
      <c r="KL16" s="82"/>
      <c r="KM16" s="83"/>
      <c r="KN16" s="110" t="str">
        <f>IFERROR((((COUNTIF('Elève (6ème4)'!KK16:KM16,"A"))*4)+((COUNTIF('Elève (6ème4)'!KK16:KM16,"B"))*3)+((COUNTIF('Elève (6ème4)'!KK16:KM16,"C"))*2)+((COUNTIF('Elève (6ème4)'!KK16:KM16,"D"))*1))/(COUNTA(KK16:KM16)),"")</f>
        <v/>
      </c>
      <c r="KO16" s="111" t="str">
        <f t="shared" si="69"/>
        <v/>
      </c>
      <c r="KP16" s="81"/>
      <c r="KQ16" s="82"/>
      <c r="KR16" s="83"/>
      <c r="KS16" s="110" t="str">
        <f>IFERROR((((COUNTIF('Elève (6ème4)'!KP16:KR16,"A"))*4)+((COUNTIF('Elève (6ème4)'!KP16:KR16,"B"))*3)+((COUNTIF('Elève (6ème4)'!KP16:KR16,"C"))*2)+((COUNTIF('Elève (6ème4)'!KP16:KR16,"D"))*1))/(COUNTA(KP16:KR16)),"")</f>
        <v/>
      </c>
      <c r="KT16" s="111" t="str">
        <f t="shared" si="70"/>
        <v/>
      </c>
      <c r="KU16" s="179" t="str">
        <f>IF(COUNT(KI16,KN16,KS16)=0,"",SUM(KI16,KN16,KS16)/COUNT(KI16,KN16,KS16))</f>
        <v/>
      </c>
      <c r="KV16" s="132" t="str">
        <f t="shared" si="71"/>
        <v/>
      </c>
      <c r="KW16" s="156"/>
      <c r="KX16" s="157"/>
      <c r="KY16" s="158"/>
      <c r="KZ16" s="110" t="str">
        <f>IFERROR((((COUNTIF('Elève (6ème4)'!KW16:KY16,"A"))*4)+((COUNTIF('Elève (6ème4)'!KW16:KY16,"B"))*3)+((COUNTIF('Elève (6ème4)'!KW16:KY16,"C"))*2)+((COUNTIF('Elève (6ème4)'!KW16:KY16,"D"))*1))/(COUNTA(KW16:KY16)),"")</f>
        <v/>
      </c>
      <c r="LA16" s="111" t="str">
        <f t="shared" si="72"/>
        <v/>
      </c>
      <c r="LB16" s="81"/>
      <c r="LC16" s="82"/>
      <c r="LD16" s="83"/>
      <c r="LE16" s="110" t="str">
        <f>IFERROR((((COUNTIF('Elève (6ème4)'!LB16:LD16,"A"))*4)+((COUNTIF('Elève (6ème4)'!LB16:LD16,"B"))*3)+((COUNTIF('Elève (6ème4)'!LB16:LD16,"C"))*2)+((COUNTIF('Elève (6ème4)'!LB16:LD16,"D"))*1))/(COUNTA(LB16:LD16)),"")</f>
        <v/>
      </c>
      <c r="LF16" s="111" t="str">
        <f t="shared" si="73"/>
        <v/>
      </c>
      <c r="LG16" s="81"/>
      <c r="LH16" s="82"/>
      <c r="LI16" s="83"/>
      <c r="LJ16" s="110" t="str">
        <f>IFERROR((((COUNTIF('Elève (6ème4)'!LG16:LI16,"A"))*4)+((COUNTIF('Elève (6ème4)'!LG16:LI16,"B"))*3)+((COUNTIF('Elève (6ème4)'!LG16:LI16,"C"))*2)+((COUNTIF('Elève (6ème4)'!LG16:LI16,"D"))*1))/(COUNTA(LG16:LI16)),"")</f>
        <v/>
      </c>
      <c r="LK16" s="111" t="str">
        <f t="shared" si="74"/>
        <v/>
      </c>
      <c r="LL16" s="179" t="str">
        <f>IF(COUNT(KZ16,LE16,LJ16)=0,"",SUM(KZ16,LE16,LJ16)/COUNT(KZ16,LE16,LJ16))</f>
        <v/>
      </c>
      <c r="LM16" s="132" t="str">
        <f t="shared" si="75"/>
        <v/>
      </c>
      <c r="LN16" s="156"/>
      <c r="LO16" s="157"/>
      <c r="LP16" s="158"/>
      <c r="LQ16" s="110" t="str">
        <f>IFERROR((((COUNTIF('Elève (6ème4)'!LN16:LP16,"A"))*4)+((COUNTIF('Elève (6ème4)'!LN16:LP16,"B"))*3)+((COUNTIF('Elève (6ème4)'!LN16:LP16,"C"))*2)+((COUNTIF('Elève (6ème4)'!LN16:LP16,"D"))*1))/(COUNTA(LN16:LP16)),"")</f>
        <v/>
      </c>
      <c r="LR16" s="111" t="str">
        <f t="shared" si="76"/>
        <v/>
      </c>
      <c r="LS16" s="81"/>
      <c r="LT16" s="82"/>
      <c r="LU16" s="83"/>
      <c r="LV16" s="110" t="str">
        <f>IFERROR((((COUNTIF('Elève (6ème4)'!LS16:LU16,"A"))*4)+((COUNTIF('Elève (6ème4)'!LS16:LU16,"B"))*3)+((COUNTIF('Elève (6ème4)'!LS16:LU16,"C"))*2)+((COUNTIF('Elève (6ème4)'!LS16:LU16,"D"))*1))/(COUNTA(LS16:LU16)),"")</f>
        <v/>
      </c>
      <c r="LW16" s="111" t="str">
        <f t="shared" si="77"/>
        <v/>
      </c>
      <c r="LX16" s="81"/>
      <c r="LY16" s="82"/>
      <c r="LZ16" s="83"/>
      <c r="MA16" s="110" t="str">
        <f>IFERROR((((COUNTIF('Elève (6ème4)'!LX16:LZ16,"A"))*4)+((COUNTIF('Elève (6ème4)'!LX16:LZ16,"B"))*3)+((COUNTIF('Elève (6ème4)'!LX16:LZ16,"C"))*2)+((COUNTIF('Elève (6ème4)'!LX16:LZ16,"D"))*1))/(COUNTA(LX16:LZ16)),"")</f>
        <v/>
      </c>
      <c r="MB16" s="111" t="str">
        <f t="shared" si="78"/>
        <v/>
      </c>
      <c r="MC16" s="179" t="str">
        <f>IF(COUNT(LQ16,LV16,MA16)=0,"",SUM(LQ16,LV16,MA16)/COUNT(LQ16,LV16,MA16))</f>
        <v/>
      </c>
      <c r="MD16" s="132" t="str">
        <f t="shared" si="79"/>
        <v/>
      </c>
      <c r="ME16" s="156"/>
      <c r="MF16" s="157"/>
      <c r="MG16" s="158"/>
      <c r="MH16" s="110" t="str">
        <f>IFERROR((((COUNTIF('Elève (6ème4)'!ME16:MG16,"A"))*4)+((COUNTIF('Elève (6ème4)'!ME16:MG16,"B"))*3)+((COUNTIF('Elève (6ème4)'!ME16:MG16,"C"))*2)+((COUNTIF('Elève (6ème4)'!ME16:MG16,"D"))*1))/(COUNTA(ME16:MG16)),"")</f>
        <v/>
      </c>
      <c r="MI16" s="111" t="str">
        <f t="shared" si="80"/>
        <v/>
      </c>
      <c r="MJ16" s="81"/>
      <c r="MK16" s="82"/>
      <c r="ML16" s="83"/>
      <c r="MM16" s="110" t="str">
        <f>IFERROR((((COUNTIF('Elève (6ème4)'!MJ16:ML16,"A"))*4)+((COUNTIF('Elève (6ème4)'!MJ16:ML16,"B"))*3)+((COUNTIF('Elève (6ème4)'!MJ16:ML16,"C"))*2)+((COUNTIF('Elève (6ème4)'!MJ16:ML16,"D"))*1))/(COUNTA(MJ16:ML16)),"")</f>
        <v/>
      </c>
      <c r="MN16" s="111" t="str">
        <f t="shared" si="81"/>
        <v/>
      </c>
      <c r="MO16" s="81"/>
      <c r="MP16" s="82"/>
      <c r="MQ16" s="83"/>
      <c r="MR16" s="110" t="str">
        <f>IFERROR((((COUNTIF('Elève (6ème4)'!MO16:MQ16,"A"))*4)+((COUNTIF('Elève (6ème4)'!MO16:MQ16,"B"))*3)+((COUNTIF('Elève (6ème4)'!MO16:MQ16,"C"))*2)+((COUNTIF('Elève (6ème4)'!MO16:MQ16,"D"))*1))/(COUNTA(MO16:MQ16)),"")</f>
        <v/>
      </c>
      <c r="MS16" s="111" t="str">
        <f t="shared" si="82"/>
        <v/>
      </c>
      <c r="MT16" s="179" t="str">
        <f>IF(COUNT(MH16,MM16,MR16)=0,"",SUM(MH16,MM16,MR16)/COUNT(MH16,MM16,MR16))</f>
        <v/>
      </c>
      <c r="MU16" s="132" t="str">
        <f t="shared" si="83"/>
        <v/>
      </c>
      <c r="MV16" s="156"/>
      <c r="MW16" s="157"/>
      <c r="MX16" s="158"/>
      <c r="MY16" s="110" t="str">
        <f>IFERROR((((COUNTIF('Elève (6ème4)'!MV16:MX16,"A"))*4)+((COUNTIF('Elève (6ème4)'!MV16:MX16,"B"))*3)+((COUNTIF('Elève (6ème4)'!MV16:MX16,"C"))*2)+((COUNTIF('Elève (6ème4)'!MV16:MX16,"D"))*1))/(COUNTA(MV16:MX16)),"")</f>
        <v/>
      </c>
      <c r="MZ16" s="111" t="str">
        <f t="shared" si="84"/>
        <v/>
      </c>
      <c r="NA16" s="81"/>
      <c r="NB16" s="82"/>
      <c r="NC16" s="83"/>
      <c r="ND16" s="110" t="str">
        <f>IFERROR((((COUNTIF('Elève (6ème4)'!NA16:NC16,"A"))*4)+((COUNTIF('Elève (6ème4)'!NA16:NC16,"B"))*3)+((COUNTIF('Elève (6ème4)'!NA16:NC16,"C"))*2)+((COUNTIF('Elève (6ème4)'!NA16:NC16,"D"))*1))/(COUNTA(NA16:NC16)),"")</f>
        <v/>
      </c>
      <c r="NE16" s="111" t="str">
        <f t="shared" si="85"/>
        <v/>
      </c>
      <c r="NF16" s="81"/>
      <c r="NG16" s="82"/>
      <c r="NH16" s="83"/>
      <c r="NI16" s="110" t="str">
        <f>IFERROR((((COUNTIF('Elève (6ème4)'!NF16:NH16,"A"))*4)+((COUNTIF('Elève (6ème4)'!NF16:NH16,"B"))*3)+((COUNTIF('Elève (6ème4)'!NF16:NH16,"C"))*2)+((COUNTIF('Elève (6ème4)'!NF16:NH16,"D"))*1))/(COUNTA(NF16:NH16)),"")</f>
        <v/>
      </c>
      <c r="NJ16" s="111" t="str">
        <f t="shared" si="86"/>
        <v/>
      </c>
      <c r="NK16" s="179" t="str">
        <f>IF(COUNT(MY16,ND16,NI16)=0,"",SUM(MY16,ND16,NI16)/COUNT(MY16,ND16,NI16))</f>
        <v/>
      </c>
      <c r="NL16" s="132" t="str">
        <f t="shared" si="87"/>
        <v/>
      </c>
      <c r="NM16" s="156"/>
      <c r="NN16" s="157"/>
      <c r="NO16" s="158"/>
      <c r="NP16" s="110" t="str">
        <f>IFERROR((((COUNTIF('Elève (6ème4)'!NM16:NO16,"A"))*4)+((COUNTIF('Elève (6ème4)'!NM16:NO16,"B"))*3)+((COUNTIF('Elève (6ème4)'!NM16:NO16,"C"))*2)+((COUNTIF('Elève (6ème4)'!NM16:NO16,"D"))*1))/(COUNTA(NM16:NO16)),"")</f>
        <v/>
      </c>
      <c r="NQ16" s="111" t="str">
        <f t="shared" si="88"/>
        <v/>
      </c>
      <c r="NR16" s="81"/>
      <c r="NS16" s="82"/>
      <c r="NT16" s="83"/>
      <c r="NU16" s="110" t="str">
        <f>IFERROR((((COUNTIF('Elève (6ème4)'!NR16:NT16,"A"))*4)+((COUNTIF('Elève (6ème4)'!NR16:NT16,"B"))*3)+((COUNTIF('Elève (6ème4)'!NR16:NT16,"C"))*2)+((COUNTIF('Elève (6ème4)'!NR16:NT16,"D"))*1))/(COUNTA(NR16:NT16)),"")</f>
        <v/>
      </c>
      <c r="NV16" s="111" t="str">
        <f t="shared" si="89"/>
        <v/>
      </c>
      <c r="NW16" s="81"/>
      <c r="NX16" s="82"/>
      <c r="NY16" s="83"/>
      <c r="NZ16" s="110" t="str">
        <f>IFERROR((((COUNTIF('Elève (6ème4)'!NW16:NY16,"A"))*4)+((COUNTIF('Elève (6ème4)'!NW16:NY16,"B"))*3)+((COUNTIF('Elève (6ème4)'!NW16:NY16,"C"))*2)+((COUNTIF('Elève (6ème4)'!NW16:NY16,"D"))*1))/(COUNTA(NW16:NY16)),"")</f>
        <v/>
      </c>
      <c r="OA16" s="111" t="str">
        <f t="shared" si="90"/>
        <v/>
      </c>
      <c r="OB16" s="179" t="str">
        <f>IF(COUNT(NP16,NU16,NZ16)=0,"",SUM(NP16,NU16,NZ16)/COUNT(NP16,NU16,NZ16))</f>
        <v/>
      </c>
      <c r="OC16" s="132" t="str">
        <f t="shared" si="91"/>
        <v/>
      </c>
      <c r="OD16" s="156"/>
      <c r="OE16" s="157"/>
      <c r="OF16" s="158"/>
      <c r="OG16" s="110" t="str">
        <f>IFERROR((((COUNTIF('Elève (6ème4)'!OD16:OF16,"A"))*4)+((COUNTIF('Elève (6ème4)'!OD16:OF16,"B"))*3)+((COUNTIF('Elève (6ème4)'!OD16:OF16,"C"))*2)+((COUNTIF('Elève (6ème4)'!OD16:OF16,"D"))*1))/(COUNTA(OD16:OF16)),"")</f>
        <v/>
      </c>
      <c r="OH16" s="111" t="str">
        <f t="shared" si="92"/>
        <v/>
      </c>
      <c r="OI16" s="81"/>
      <c r="OJ16" s="82"/>
      <c r="OK16" s="83"/>
      <c r="OL16" s="110" t="str">
        <f>IFERROR((((COUNTIF('Elève (6ème4)'!OI16:OK16,"A"))*4)+((COUNTIF('Elève (6ème4)'!OI16:OK16,"B"))*3)+((COUNTIF('Elève (6ème4)'!OI16:OK16,"C"))*2)+((COUNTIF('Elève (6ème4)'!OI16:OK16,"D"))*1))/(COUNTA(OI16:OK16)),"")</f>
        <v/>
      </c>
      <c r="OM16" s="111" t="str">
        <f t="shared" si="93"/>
        <v/>
      </c>
      <c r="ON16" s="81"/>
      <c r="OO16" s="82"/>
      <c r="OP16" s="83"/>
      <c r="OQ16" s="110" t="str">
        <f>IFERROR((((COUNTIF('Elève (6ème4)'!ON16:OP16,"A"))*4)+((COUNTIF('Elève (6ème4)'!ON16:OP16,"B"))*3)+((COUNTIF('Elève (6ème4)'!ON16:OP16,"C"))*2)+((COUNTIF('Elève (6ème4)'!ON16:OP16,"D"))*1))/(COUNTA(ON16:OP16)),"")</f>
        <v/>
      </c>
      <c r="OR16" s="111" t="str">
        <f t="shared" si="94"/>
        <v/>
      </c>
      <c r="OS16" s="179" t="str">
        <f>IF(COUNT(OG16,OL16,OQ16)=0,"",SUM(OG16,OL16,OQ16)/COUNT(OG16,OL16,OQ16))</f>
        <v/>
      </c>
      <c r="OT16" s="132" t="str">
        <f t="shared" si="95"/>
        <v/>
      </c>
      <c r="OU16" s="156"/>
      <c r="OV16" s="157"/>
      <c r="OW16" s="158"/>
      <c r="OX16" s="110" t="str">
        <f>IFERROR((((COUNTIF('Elève (6ème4)'!OU16:OW16,"A"))*4)+((COUNTIF('Elève (6ème4)'!OU16:OW16,"B"))*3)+((COUNTIF('Elève (6ème4)'!OU16:OW16,"C"))*2)+((COUNTIF('Elève (6ème4)'!OU16:OW16,"D"))*1))/(COUNTA(OU16:OW16)),"")</f>
        <v/>
      </c>
      <c r="OY16" s="111" t="str">
        <f t="shared" si="96"/>
        <v/>
      </c>
      <c r="OZ16" s="81"/>
      <c r="PA16" s="82"/>
      <c r="PB16" s="83"/>
      <c r="PC16" s="110" t="str">
        <f>IFERROR((((COUNTIF('Elève (6ème4)'!OZ16:PB16,"A"))*4)+((COUNTIF('Elève (6ème4)'!OZ16:PB16,"B"))*3)+((COUNTIF('Elève (6ème4)'!OZ16:PB16,"C"))*2)+((COUNTIF('Elève (6ème4)'!OZ16:PB16,"D"))*1))/(COUNTA(OZ16:PB16)),"")</f>
        <v/>
      </c>
      <c r="PD16" s="111" t="str">
        <f t="shared" si="97"/>
        <v/>
      </c>
      <c r="PE16" s="81"/>
      <c r="PF16" s="82"/>
      <c r="PG16" s="83"/>
      <c r="PH16" s="110" t="str">
        <f>IFERROR((((COUNTIF('Elève (6ème4)'!PE16:PG16,"A"))*4)+((COUNTIF('Elève (6ème4)'!PE16:PG16,"B"))*3)+((COUNTIF('Elève (6ème4)'!PE16:PG16,"C"))*2)+((COUNTIF('Elève (6ème4)'!PE16:PG16,"D"))*1))/(COUNTA(PE16:PG16)),"")</f>
        <v/>
      </c>
      <c r="PI16" s="111" t="str">
        <f t="shared" si="98"/>
        <v/>
      </c>
      <c r="PJ16" s="179" t="str">
        <f>IF(COUNT(OX16,PC16,PH16)=0,"",SUM(OX16,PC16,PH16)/COUNT(OX16,PC16,PH16))</f>
        <v/>
      </c>
      <c r="PK16" s="132" t="str">
        <f t="shared" si="99"/>
        <v/>
      </c>
      <c r="PL16" s="156"/>
      <c r="PM16" s="157"/>
      <c r="PN16" s="158"/>
      <c r="PO16" s="110" t="str">
        <f>IFERROR((((COUNTIF('Elève (6ème4)'!PL16:PN16,"A"))*4)+((COUNTIF('Elève (6ème4)'!PL16:PN16,"B"))*3)+((COUNTIF('Elève (6ème4)'!PL16:PN16,"C"))*2)+((COUNTIF('Elève (6ème4)'!PL16:PN16,"D"))*1))/(COUNTA(PL16:PN16)),"")</f>
        <v/>
      </c>
      <c r="PP16" s="111" t="str">
        <f t="shared" si="100"/>
        <v/>
      </c>
      <c r="PQ16" s="81"/>
      <c r="PR16" s="82"/>
      <c r="PS16" s="83"/>
      <c r="PT16" s="110" t="str">
        <f>IFERROR((((COUNTIF('Elève (6ème4)'!PQ16:PS16,"A"))*4)+((COUNTIF('Elève (6ème4)'!PQ16:PS16,"B"))*3)+((COUNTIF('Elève (6ème4)'!PQ16:PS16,"C"))*2)+((COUNTIF('Elève (6ème4)'!PQ16:PS16,"D"))*1))/(COUNTA(PQ16:PS16)),"")</f>
        <v/>
      </c>
      <c r="PU16" s="111" t="str">
        <f t="shared" si="101"/>
        <v/>
      </c>
      <c r="PV16" s="81"/>
      <c r="PW16" s="82"/>
      <c r="PX16" s="83"/>
      <c r="PY16" s="110" t="str">
        <f>IFERROR((((COUNTIF('Elève (6ème4)'!PV16:PX16,"A"))*4)+((COUNTIF('Elève (6ème4)'!PV16:PX16,"B"))*3)+((COUNTIF('Elève (6ème4)'!PV16:PX16,"C"))*2)+((COUNTIF('Elève (6ème4)'!PV16:PX16,"D"))*1))/(COUNTA(PV16:PX16)),"")</f>
        <v/>
      </c>
      <c r="PZ16" s="111" t="str">
        <f t="shared" si="102"/>
        <v/>
      </c>
      <c r="QA16" s="179" t="str">
        <f>IF(COUNT(PO16,PT16,PY16)=0,"",SUM(PO16,PT16,PY16)/COUNT(PO16,PT16,PY16))</f>
        <v/>
      </c>
      <c r="QB16" s="132" t="str">
        <f t="shared" si="103"/>
        <v/>
      </c>
      <c r="QC16" s="156"/>
      <c r="QD16" s="157"/>
      <c r="QE16" s="158"/>
      <c r="QF16" s="110" t="str">
        <f>IFERROR((((COUNTIF('Elève (6ème4)'!QC16:QE16,"A"))*4)+((COUNTIF('Elève (6ème4)'!QC16:QE16,"B"))*3)+((COUNTIF('Elève (6ème4)'!QC16:QE16,"C"))*2)+((COUNTIF('Elève (6ème4)'!QC16:QE16,"D"))*1))/(COUNTA(QC16:QE16)),"")</f>
        <v/>
      </c>
      <c r="QG16" s="111" t="str">
        <f t="shared" si="104"/>
        <v/>
      </c>
      <c r="QH16" s="81"/>
      <c r="QI16" s="82"/>
      <c r="QJ16" s="83"/>
      <c r="QK16" s="110" t="str">
        <f>IFERROR((((COUNTIF('Elève (6ème4)'!QH16:QJ16,"A"))*4)+((COUNTIF('Elève (6ème4)'!QH16:QJ16,"B"))*3)+((COUNTIF('Elève (6ème4)'!QH16:QJ16,"C"))*2)+((COUNTIF('Elève (6ème4)'!QH16:QJ16,"D"))*1))/(COUNTA(QH16:QJ16)),"")</f>
        <v/>
      </c>
      <c r="QL16" s="111" t="str">
        <f t="shared" si="105"/>
        <v/>
      </c>
      <c r="QM16" s="81"/>
      <c r="QN16" s="82"/>
      <c r="QO16" s="83"/>
      <c r="QP16" s="110" t="str">
        <f>IFERROR((((COUNTIF('Elève (6ème4)'!QM16:QO16,"A"))*4)+((COUNTIF('Elève (6ème4)'!QM16:QO16,"B"))*3)+((COUNTIF('Elève (6ème4)'!QM16:QO16,"C"))*2)+((COUNTIF('Elève (6ème4)'!QM16:QO16,"D"))*1))/(COUNTA(QM16:QO16)),"")</f>
        <v/>
      </c>
      <c r="QQ16" s="111" t="str">
        <f t="shared" si="106"/>
        <v/>
      </c>
      <c r="QR16" s="179" t="str">
        <f>IF(COUNT(QF16,QK16,QP16)=0,"",SUM(QF16,QK16,QP16)/COUNT(QF16,QK16,QP16))</f>
        <v/>
      </c>
      <c r="QS16" s="132" t="str">
        <f t="shared" si="107"/>
        <v/>
      </c>
      <c r="QT16" s="156"/>
      <c r="QU16" s="157"/>
      <c r="QV16" s="158"/>
      <c r="QW16" s="110" t="str">
        <f>IFERROR((((COUNTIF('Elève (6ème4)'!QT16:QV16,"A"))*4)+((COUNTIF('Elève (6ème4)'!QT16:QV16,"B"))*3)+((COUNTIF('Elève (6ème4)'!QT16:QV16,"C"))*2)+((COUNTIF('Elève (6ème4)'!QT16:QV16,"D"))*1))/(COUNTA(QT16:QV16)),"")</f>
        <v/>
      </c>
      <c r="QX16" s="111" t="str">
        <f t="shared" si="108"/>
        <v/>
      </c>
      <c r="QY16" s="81"/>
      <c r="QZ16" s="82"/>
      <c r="RA16" s="83"/>
      <c r="RB16" s="110" t="str">
        <f>IFERROR((((COUNTIF('Elève (6ème4)'!QY16:RA16,"A"))*4)+((COUNTIF('Elève (6ème4)'!QY16:RA16,"B"))*3)+((COUNTIF('Elève (6ème4)'!QY16:RA16,"C"))*2)+((COUNTIF('Elève (6ème4)'!QY16:RA16,"D"))*1))/(COUNTA(QY16:RA16)),"")</f>
        <v/>
      </c>
      <c r="RC16" s="111" t="str">
        <f t="shared" si="109"/>
        <v/>
      </c>
      <c r="RD16" s="81"/>
      <c r="RE16" s="82"/>
      <c r="RF16" s="83"/>
      <c r="RG16" s="110" t="str">
        <f>IFERROR((((COUNTIF('Elève (6ème4)'!RD16:RF16,"A"))*4)+((COUNTIF('Elève (6ème4)'!RD16:RF16,"B"))*3)+((COUNTIF('Elève (6ème4)'!RD16:RF16,"C"))*2)+((COUNTIF('Elève (6ème4)'!RD16:RF16,"D"))*1))/(COUNTA(RD16:RF16)),"")</f>
        <v/>
      </c>
      <c r="RH16" s="111" t="str">
        <f t="shared" si="110"/>
        <v/>
      </c>
      <c r="RI16" s="179" t="str">
        <f>IF(COUNT(QW16,RB16,RG16)=0,"",SUM(QW16,RB16,RG16)/COUNT(QW16,RB16,RG16))</f>
        <v/>
      </c>
      <c r="RJ16" s="132" t="str">
        <f t="shared" si="111"/>
        <v/>
      </c>
      <c r="RK16" s="156"/>
      <c r="RL16" s="157"/>
      <c r="RM16" s="158"/>
      <c r="RN16" s="110" t="str">
        <f>IFERROR((((COUNTIF('Elève (6ème4)'!RK16:RM16,"A"))*4)+((COUNTIF('Elève (6ème4)'!RK16:RM16,"B"))*3)+((COUNTIF('Elève (6ème4)'!RK16:RM16,"C"))*2)+((COUNTIF('Elève (6ème4)'!RK16:RM16,"D"))*1))/(COUNTA(RK16:RM16)),"")</f>
        <v/>
      </c>
      <c r="RO16" s="111" t="str">
        <f t="shared" si="112"/>
        <v/>
      </c>
      <c r="RP16" s="81"/>
      <c r="RQ16" s="82"/>
      <c r="RR16" s="83"/>
      <c r="RS16" s="110" t="str">
        <f>IFERROR((((COUNTIF('Elève (6ème4)'!RP16:RR16,"A"))*4)+((COUNTIF('Elève (6ème4)'!RP16:RR16,"B"))*3)+((COUNTIF('Elève (6ème4)'!RP16:RR16,"C"))*2)+((COUNTIF('Elève (6ème4)'!RP16:RR16,"D"))*1))/(COUNTA(RP16:RR16)),"")</f>
        <v/>
      </c>
      <c r="RT16" s="111" t="str">
        <f t="shared" si="113"/>
        <v/>
      </c>
      <c r="RU16" s="81"/>
      <c r="RV16" s="82"/>
      <c r="RW16" s="83"/>
      <c r="RX16" s="110" t="str">
        <f>IFERROR((((COUNTIF('Elève (6ème4)'!RU16:RW16,"A"))*4)+((COUNTIF('Elève (6ème4)'!RU16:RW16,"B"))*3)+((COUNTIF('Elève (6ème4)'!RU16:RW16,"C"))*2)+((COUNTIF('Elève (6ème4)'!RU16:RW16,"D"))*1))/(COUNTA(RU16:RW16)),"")</f>
        <v/>
      </c>
      <c r="RY16" s="111" t="str">
        <f t="shared" si="114"/>
        <v/>
      </c>
      <c r="RZ16" s="179" t="str">
        <f>IF(COUNT(RN16,RS16,RX16)=0,"",SUM(RN16,RS16,RX16)/COUNT(RN16,RS16,RX16))</f>
        <v/>
      </c>
      <c r="SA16" s="132" t="str">
        <f t="shared" si="115"/>
        <v/>
      </c>
      <c r="SB16" s="156"/>
      <c r="SC16" s="157"/>
      <c r="SD16" s="158"/>
      <c r="SE16" s="110" t="str">
        <f>IFERROR((((COUNTIF('Elève (6ème4)'!SB16:SD16,"A"))*4)+((COUNTIF('Elève (6ème4)'!SB16:SD16,"B"))*3)+((COUNTIF('Elève (6ème4)'!SB16:SD16,"C"))*2)+((COUNTIF('Elève (6ème4)'!SB16:SD16,"D"))*1))/(COUNTA(SB16:SD16)),"")</f>
        <v/>
      </c>
      <c r="SF16" s="111" t="str">
        <f t="shared" si="116"/>
        <v/>
      </c>
      <c r="SG16" s="81"/>
      <c r="SH16" s="82"/>
      <c r="SI16" s="83"/>
      <c r="SJ16" s="110" t="str">
        <f>IFERROR((((COUNTIF('Elève (6ème4)'!SG16:SI16,"A"))*4)+((COUNTIF('Elève (6ème4)'!SG16:SI16,"B"))*3)+((COUNTIF('Elève (6ème4)'!SG16:SI16,"C"))*2)+((COUNTIF('Elève (6ème4)'!SG16:SI16,"D"))*1))/(COUNTA(SG16:SI16)),"")</f>
        <v/>
      </c>
      <c r="SK16" s="111" t="str">
        <f t="shared" si="117"/>
        <v/>
      </c>
      <c r="SL16" s="81"/>
      <c r="SM16" s="82"/>
      <c r="SN16" s="83"/>
      <c r="SO16" s="110" t="str">
        <f>IFERROR((((COUNTIF('Elève (6ème4)'!SL16:SN16,"A"))*4)+((COUNTIF('Elève (6ème4)'!SL16:SN16,"B"))*3)+((COUNTIF('Elève (6ème4)'!SL16:SN16,"C"))*2)+((COUNTIF('Elève (6ème4)'!SL16:SN16,"D"))*1))/(COUNTA(SL16:SN16)),"")</f>
        <v/>
      </c>
      <c r="SP16" s="111" t="str">
        <f t="shared" si="118"/>
        <v/>
      </c>
      <c r="SQ16" s="179" t="str">
        <f>IF(COUNT(SE16,SJ16,SO16)=0,"",SUM(SE16,SJ16,SO16)/COUNT(SE16,SJ16,SO16))</f>
        <v/>
      </c>
      <c r="SR16" s="132" t="str">
        <f t="shared" si="119"/>
        <v/>
      </c>
    </row>
    <row r="17" spans="1:512" s="72" customFormat="1" ht="18" customHeight="1" thickBot="1" x14ac:dyDescent="0.3">
      <c r="A17" s="244" t="s">
        <v>20</v>
      </c>
      <c r="B17" s="245"/>
      <c r="C17" s="159"/>
      <c r="D17" s="160"/>
      <c r="E17" s="161"/>
      <c r="F17" s="136" t="str">
        <f>IFERROR((((COUNTIF('Elève (6ème4)'!C17:E17,"A"))*4)+((COUNTIF('Elève (6ème4)'!C17:E17,"B"))*3)+((COUNTIF('Elève (6ème4)'!C17:E17,"C"))*2)+((COUNTIF('Elève (6ème4)'!C17:E17,"D"))*1))/(COUNTA(C17:E17)),"")</f>
        <v/>
      </c>
      <c r="G17" s="137" t="str">
        <f t="shared" si="0"/>
        <v/>
      </c>
      <c r="H17" s="84"/>
      <c r="I17" s="85"/>
      <c r="J17" s="86"/>
      <c r="K17" s="136" t="str">
        <f>IFERROR((((COUNTIF('Elève (6ème4)'!H17:J17,"A"))*4)+((COUNTIF('Elève (6ème4)'!H17:J17,"B"))*3)+((COUNTIF('Elève (6ème4)'!H17:J17,"C"))*2)+((COUNTIF('Elève (6ème4)'!H17:J17,"D"))*1))/(COUNTA(H17:J17)),"")</f>
        <v/>
      </c>
      <c r="L17" s="137" t="str">
        <f t="shared" si="1"/>
        <v/>
      </c>
      <c r="M17" s="84"/>
      <c r="N17" s="85"/>
      <c r="O17" s="86"/>
      <c r="P17" s="136" t="str">
        <f>IFERROR((((COUNTIF('Elève (6ème4)'!M17:O17,"A"))*4)+((COUNTIF('Elève (6ème4)'!M17:O17,"B"))*3)+((COUNTIF('Elève (6ème4)'!M17:O17,"C"))*2)+((COUNTIF('Elève (6ème4)'!M17:O17,"D"))*1))/(COUNTA(M17:O17)),"")</f>
        <v/>
      </c>
      <c r="Q17" s="137" t="str">
        <f t="shared" si="2"/>
        <v/>
      </c>
      <c r="R17" s="180" t="str">
        <f>IF(COUNT(F17,K17,P17)=0,"",SUM(F17,K17,P17)/COUNT(F17,K17,P17))</f>
        <v/>
      </c>
      <c r="S17" s="133" t="str">
        <f t="shared" si="3"/>
        <v/>
      </c>
      <c r="T17" s="159"/>
      <c r="U17" s="160"/>
      <c r="V17" s="161"/>
      <c r="W17" s="136" t="str">
        <f>IFERROR((((COUNTIF('Elève (6ème4)'!T17:V17,"A"))*4)+((COUNTIF('Elève (6ème4)'!T17:V17,"B"))*3)+((COUNTIF('Elève (6ème4)'!T17:V17,"C"))*2)+((COUNTIF('Elève (6ème4)'!T17:V17,"D"))*1))/(COUNTA(T17:V17)),"")</f>
        <v/>
      </c>
      <c r="X17" s="137" t="str">
        <f t="shared" si="4"/>
        <v/>
      </c>
      <c r="Y17" s="84"/>
      <c r="Z17" s="85"/>
      <c r="AA17" s="86"/>
      <c r="AB17" s="136" t="str">
        <f>IFERROR((((COUNTIF('Elève (6ème4)'!Y17:AA17,"A"))*4)+((COUNTIF('Elève (6ème4)'!Y17:AA17,"B"))*3)+((COUNTIF('Elève (6ème4)'!Y17:AA17,"C"))*2)+((COUNTIF('Elève (6ème4)'!Y17:AA17,"D"))*1))/(COUNTA(Y17:AA17)),"")</f>
        <v/>
      </c>
      <c r="AC17" s="137" t="str">
        <f t="shared" si="5"/>
        <v/>
      </c>
      <c r="AD17" s="84"/>
      <c r="AE17" s="85"/>
      <c r="AF17" s="86"/>
      <c r="AG17" s="136" t="str">
        <f>IFERROR((((COUNTIF('Elève (6ème4)'!AD17:AF17,"A"))*4)+((COUNTIF('Elève (6ème4)'!AD17:AF17,"B"))*3)+((COUNTIF('Elève (6ème4)'!AD17:AF17,"C"))*2)+((COUNTIF('Elève (6ème4)'!AD17:AF17,"D"))*1))/(COUNTA(AD17:AF17)),"")</f>
        <v/>
      </c>
      <c r="AH17" s="137" t="str">
        <f t="shared" si="6"/>
        <v/>
      </c>
      <c r="AI17" s="180" t="str">
        <f>IF(COUNT(W17,AB17,AG17)=0,"",SUM(W17,AB17,AG17)/COUNT(W17,AB17,AG17))</f>
        <v/>
      </c>
      <c r="AJ17" s="133" t="str">
        <f t="shared" si="7"/>
        <v/>
      </c>
      <c r="AK17" s="159"/>
      <c r="AL17" s="160"/>
      <c r="AM17" s="161"/>
      <c r="AN17" s="136" t="str">
        <f>IFERROR((((COUNTIF('Elève (6ème4)'!AK17:AM17,"A"))*4)+((COUNTIF('Elève (6ème4)'!AK17:AM17,"B"))*3)+((COUNTIF('Elève (6ème4)'!AK17:AM17,"C"))*2)+((COUNTIF('Elève (6ème4)'!AK17:AM17,"D"))*1))/(COUNTA(AK17:AM17)),"")</f>
        <v/>
      </c>
      <c r="AO17" s="137" t="str">
        <f t="shared" si="8"/>
        <v/>
      </c>
      <c r="AP17" s="84"/>
      <c r="AQ17" s="85"/>
      <c r="AR17" s="86"/>
      <c r="AS17" s="136" t="str">
        <f>IFERROR((((COUNTIF('Elève (6ème4)'!AP17:AR17,"A"))*4)+((COUNTIF('Elève (6ème4)'!AP17:AR17,"B"))*3)+((COUNTIF('Elève (6ème4)'!AP17:AR17,"C"))*2)+((COUNTIF('Elève (6ème4)'!AP17:AR17,"D"))*1))/(COUNTA(AP17:AR17)),"")</f>
        <v/>
      </c>
      <c r="AT17" s="137" t="str">
        <f t="shared" si="9"/>
        <v/>
      </c>
      <c r="AU17" s="84"/>
      <c r="AV17" s="85"/>
      <c r="AW17" s="86"/>
      <c r="AX17" s="136" t="str">
        <f>IFERROR((((COUNTIF('Elève (6ème4)'!AU17:AW17,"A"))*4)+((COUNTIF('Elève (6ème4)'!AU17:AW17,"B"))*3)+((COUNTIF('Elève (6ème4)'!AU17:AW17,"C"))*2)+((COUNTIF('Elève (6ème4)'!AU17:AW17,"D"))*1))/(COUNTA(AU17:AW17)),"")</f>
        <v/>
      </c>
      <c r="AY17" s="137" t="str">
        <f t="shared" si="10"/>
        <v/>
      </c>
      <c r="AZ17" s="180" t="str">
        <f>IF(COUNT(AN17,AS17,AX17)=0,"",SUM(AN17,AS17,AX17)/COUNT(AN17,AS17,AX17))</f>
        <v/>
      </c>
      <c r="BA17" s="133" t="str">
        <f t="shared" si="11"/>
        <v/>
      </c>
      <c r="BB17" s="159"/>
      <c r="BC17" s="160"/>
      <c r="BD17" s="161"/>
      <c r="BE17" s="136" t="str">
        <f>IFERROR((((COUNTIF('Elève (6ème4)'!BB17:BD17,"A"))*4)+((COUNTIF('Elève (6ème4)'!BB17:BD17,"B"))*3)+((COUNTIF('Elève (6ème4)'!BB17:BD17,"C"))*2)+((COUNTIF('Elève (6ème4)'!BB17:BD17,"D"))*1))/(COUNTA(BB17:BD17)),"")</f>
        <v/>
      </c>
      <c r="BF17" s="137" t="str">
        <f t="shared" si="12"/>
        <v/>
      </c>
      <c r="BG17" s="84"/>
      <c r="BH17" s="85"/>
      <c r="BI17" s="86"/>
      <c r="BJ17" s="136" t="str">
        <f>IFERROR((((COUNTIF('Elève (6ème4)'!BG17:BI17,"A"))*4)+((COUNTIF('Elève (6ème4)'!BG17:BI17,"B"))*3)+((COUNTIF('Elève (6ème4)'!BG17:BI17,"C"))*2)+((COUNTIF('Elève (6ème4)'!BG17:BI17,"D"))*1))/(COUNTA(BG17:BI17)),"")</f>
        <v/>
      </c>
      <c r="BK17" s="137" t="str">
        <f t="shared" si="13"/>
        <v/>
      </c>
      <c r="BL17" s="84"/>
      <c r="BM17" s="85"/>
      <c r="BN17" s="86"/>
      <c r="BO17" s="136" t="str">
        <f>IFERROR((((COUNTIF('Elève (6ème4)'!BL17:BN17,"A"))*4)+((COUNTIF('Elève (6ème4)'!BL17:BN17,"B"))*3)+((COUNTIF('Elève (6ème4)'!BL17:BN17,"C"))*2)+((COUNTIF('Elève (6ème4)'!BL17:BN17,"D"))*1))/(COUNTA(BL17:BN17)),"")</f>
        <v/>
      </c>
      <c r="BP17" s="137" t="str">
        <f t="shared" si="14"/>
        <v/>
      </c>
      <c r="BQ17" s="180" t="str">
        <f>IF(COUNT(BE17,BJ17,BO17)=0,"",SUM(BE17,BJ17,BO17)/COUNT(BE17,BJ17,BO17))</f>
        <v/>
      </c>
      <c r="BR17" s="133" t="str">
        <f t="shared" si="15"/>
        <v/>
      </c>
      <c r="BS17" s="159"/>
      <c r="BT17" s="160"/>
      <c r="BU17" s="161"/>
      <c r="BV17" s="136" t="str">
        <f>IFERROR((((COUNTIF('Elève (6ème4)'!BS17:BU17,"A"))*4)+((COUNTIF('Elève (6ème4)'!BS17:BU17,"B"))*3)+((COUNTIF('Elève (6ème4)'!BS17:BU17,"C"))*2)+((COUNTIF('Elève (6ème4)'!BS17:BU17,"D"))*1))/(COUNTA(BS17:BU17)),"")</f>
        <v/>
      </c>
      <c r="BW17" s="137" t="str">
        <f t="shared" si="16"/>
        <v/>
      </c>
      <c r="BX17" s="84"/>
      <c r="BY17" s="85"/>
      <c r="BZ17" s="86"/>
      <c r="CA17" s="136" t="str">
        <f>IFERROR((((COUNTIF('Elève (6ème4)'!BX17:BZ17,"A"))*4)+((COUNTIF('Elève (6ème4)'!BX17:BZ17,"B"))*3)+((COUNTIF('Elève (6ème4)'!BX17:BZ17,"C"))*2)+((COUNTIF('Elève (6ème4)'!BX17:BZ17,"D"))*1))/(COUNTA(BX17:BZ17)),"")</f>
        <v/>
      </c>
      <c r="CB17" s="137" t="str">
        <f t="shared" si="17"/>
        <v/>
      </c>
      <c r="CC17" s="84"/>
      <c r="CD17" s="85"/>
      <c r="CE17" s="86"/>
      <c r="CF17" s="136" t="str">
        <f>IFERROR((((COUNTIF('Elève (6ème4)'!CC17:CE17,"A"))*4)+((COUNTIF('Elève (6ème4)'!CC17:CE17,"B"))*3)+((COUNTIF('Elève (6ème4)'!CC17:CE17,"C"))*2)+((COUNTIF('Elève (6ème4)'!CC17:CE17,"D"))*1))/(COUNTA(CC17:CE17)),"")</f>
        <v/>
      </c>
      <c r="CG17" s="137" t="str">
        <f t="shared" si="18"/>
        <v/>
      </c>
      <c r="CH17" s="180" t="str">
        <f>IF(COUNT(BV17,CA17,CF17)=0,"",SUM(BV17,CA17,CF17)/COUNT(BV17,CA17,CF17))</f>
        <v/>
      </c>
      <c r="CI17" s="133" t="str">
        <f t="shared" si="19"/>
        <v/>
      </c>
      <c r="CJ17" s="159"/>
      <c r="CK17" s="160"/>
      <c r="CL17" s="161"/>
      <c r="CM17" s="136" t="str">
        <f>IFERROR((((COUNTIF('Elève (6ème4)'!CJ17:CL17,"A"))*4)+((COUNTIF('Elève (6ème4)'!CJ17:CL17,"B"))*3)+((COUNTIF('Elève (6ème4)'!CJ17:CL17,"C"))*2)+((COUNTIF('Elève (6ème4)'!CJ17:CL17,"D"))*1))/(COUNTA(CJ17:CL17)),"")</f>
        <v/>
      </c>
      <c r="CN17" s="137" t="str">
        <f t="shared" si="20"/>
        <v/>
      </c>
      <c r="CO17" s="84"/>
      <c r="CP17" s="85"/>
      <c r="CQ17" s="86"/>
      <c r="CR17" s="136" t="str">
        <f>IFERROR((((COUNTIF('Elève (6ème4)'!CO17:CQ17,"A"))*4)+((COUNTIF('Elève (6ème4)'!CO17:CQ17,"B"))*3)+((COUNTIF('Elève (6ème4)'!CO17:CQ17,"C"))*2)+((COUNTIF('Elève (6ème4)'!CO17:CQ17,"D"))*1))/(COUNTA(CO17:CQ17)),"")</f>
        <v/>
      </c>
      <c r="CS17" s="137" t="str">
        <f t="shared" si="21"/>
        <v/>
      </c>
      <c r="CT17" s="84"/>
      <c r="CU17" s="85"/>
      <c r="CV17" s="86"/>
      <c r="CW17" s="136" t="str">
        <f>IFERROR((((COUNTIF('Elève (6ème4)'!CT17:CV17,"A"))*4)+((COUNTIF('Elève (6ème4)'!CT17:CV17,"B"))*3)+((COUNTIF('Elève (6ème4)'!CT17:CV17,"C"))*2)+((COUNTIF('Elève (6ème4)'!CT17:CV17,"D"))*1))/(COUNTA(CT17:CV17)),"")</f>
        <v/>
      </c>
      <c r="CX17" s="137" t="str">
        <f t="shared" si="22"/>
        <v/>
      </c>
      <c r="CY17" s="180" t="str">
        <f>IF(COUNT(CM17,CR17,CW17)=0,"",SUM(CM17,CR17,CW17)/COUNT(CM17,CR17,CW17))</f>
        <v/>
      </c>
      <c r="CZ17" s="133" t="str">
        <f t="shared" si="23"/>
        <v/>
      </c>
      <c r="DA17" s="159"/>
      <c r="DB17" s="160"/>
      <c r="DC17" s="161"/>
      <c r="DD17" s="136" t="str">
        <f>IFERROR((((COUNTIF('Elève (6ème4)'!DA17:DC17,"A"))*4)+((COUNTIF('Elève (6ème4)'!DA17:DC17,"B"))*3)+((COUNTIF('Elève (6ème4)'!DA17:DC17,"C"))*2)+((COUNTIF('Elève (6ème4)'!DA17:DC17,"D"))*1))/(COUNTA(DA17:DC17)),"")</f>
        <v/>
      </c>
      <c r="DE17" s="137" t="str">
        <f t="shared" si="24"/>
        <v/>
      </c>
      <c r="DF17" s="84"/>
      <c r="DG17" s="85"/>
      <c r="DH17" s="86"/>
      <c r="DI17" s="136" t="str">
        <f>IFERROR((((COUNTIF('Elève (6ème4)'!DF17:DH17,"A"))*4)+((COUNTIF('Elève (6ème4)'!DF17:DH17,"B"))*3)+((COUNTIF('Elève (6ème4)'!DF17:DH17,"C"))*2)+((COUNTIF('Elève (6ème4)'!DF17:DH17,"D"))*1))/(COUNTA(DF17:DH17)),"")</f>
        <v/>
      </c>
      <c r="DJ17" s="137" t="str">
        <f t="shared" si="25"/>
        <v/>
      </c>
      <c r="DK17" s="84"/>
      <c r="DL17" s="85"/>
      <c r="DM17" s="86"/>
      <c r="DN17" s="136" t="str">
        <f>IFERROR((((COUNTIF('Elève (6ème4)'!DK17:DM17,"A"))*4)+((COUNTIF('Elève (6ème4)'!DK17:DM17,"B"))*3)+((COUNTIF('Elève (6ème4)'!DK17:DM17,"C"))*2)+((COUNTIF('Elève (6ème4)'!DK17:DM17,"D"))*1))/(COUNTA(DK17:DM17)),"")</f>
        <v/>
      </c>
      <c r="DO17" s="137" t="str">
        <f t="shared" si="26"/>
        <v/>
      </c>
      <c r="DP17" s="180" t="str">
        <f>IF(COUNT(DD17,DI17,DN17)=0,"",SUM(DD17,DI17,DN17)/COUNT(DD17,DI17,DN17))</f>
        <v/>
      </c>
      <c r="DQ17" s="133" t="str">
        <f t="shared" si="27"/>
        <v/>
      </c>
      <c r="DR17" s="159"/>
      <c r="DS17" s="160"/>
      <c r="DT17" s="161"/>
      <c r="DU17" s="136" t="str">
        <f>IFERROR((((COUNTIF('Elève (6ème4)'!DR17:DT17,"A"))*4)+((COUNTIF('Elève (6ème4)'!DR17:DT17,"B"))*3)+((COUNTIF('Elève (6ème4)'!DR17:DT17,"C"))*2)+((COUNTIF('Elève (6ème4)'!DR17:DT17,"D"))*1))/(COUNTA(DR17:DT17)),"")</f>
        <v/>
      </c>
      <c r="DV17" s="137" t="str">
        <f t="shared" si="28"/>
        <v/>
      </c>
      <c r="DW17" s="84"/>
      <c r="DX17" s="85"/>
      <c r="DY17" s="86"/>
      <c r="DZ17" s="136" t="str">
        <f>IFERROR((((COUNTIF('Elève (6ème4)'!DW17:DY17,"A"))*4)+((COUNTIF('Elève (6ème4)'!DW17:DY17,"B"))*3)+((COUNTIF('Elève (6ème4)'!DW17:DY17,"C"))*2)+((COUNTIF('Elève (6ème4)'!DW17:DY17,"D"))*1))/(COUNTA(DW17:DY17)),"")</f>
        <v/>
      </c>
      <c r="EA17" s="137" t="str">
        <f t="shared" si="29"/>
        <v/>
      </c>
      <c r="EB17" s="84"/>
      <c r="EC17" s="85"/>
      <c r="ED17" s="86"/>
      <c r="EE17" s="136" t="str">
        <f>IFERROR((((COUNTIF('Elève (6ème4)'!EB17:ED17,"A"))*4)+((COUNTIF('Elève (6ème4)'!EB17:ED17,"B"))*3)+((COUNTIF('Elève (6ème4)'!EB17:ED17,"C"))*2)+((COUNTIF('Elève (6ème4)'!EB17:ED17,"D"))*1))/(COUNTA(EB17:ED17)),"")</f>
        <v/>
      </c>
      <c r="EF17" s="137" t="str">
        <f t="shared" si="30"/>
        <v/>
      </c>
      <c r="EG17" s="180" t="str">
        <f>IF(COUNT(DU17,DZ17,EE17)=0,"",SUM(DU17,DZ17,EE17)/COUNT(DU17,DZ17,EE17))</f>
        <v/>
      </c>
      <c r="EH17" s="133" t="str">
        <f t="shared" si="31"/>
        <v/>
      </c>
      <c r="EI17" s="159"/>
      <c r="EJ17" s="160"/>
      <c r="EK17" s="161"/>
      <c r="EL17" s="136" t="str">
        <f>IFERROR((((COUNTIF('Elève (6ème4)'!EI17:EK17,"A"))*4)+((COUNTIF('Elève (6ème4)'!EI17:EK17,"B"))*3)+((COUNTIF('Elève (6ème4)'!EI17:EK17,"C"))*2)+((COUNTIF('Elève (6ème4)'!EI17:EK17,"D"))*1))/(COUNTA(EI17:EK17)),"")</f>
        <v/>
      </c>
      <c r="EM17" s="137" t="str">
        <f t="shared" si="32"/>
        <v/>
      </c>
      <c r="EN17" s="84"/>
      <c r="EO17" s="85"/>
      <c r="EP17" s="86"/>
      <c r="EQ17" s="136" t="str">
        <f>IFERROR((((COUNTIF('Elève (6ème4)'!EN17:EP17,"A"))*4)+((COUNTIF('Elève (6ème4)'!EN17:EP17,"B"))*3)+((COUNTIF('Elève (6ème4)'!EN17:EP17,"C"))*2)+((COUNTIF('Elève (6ème4)'!EN17:EP17,"D"))*1))/(COUNTA(EN17:EP17)),"")</f>
        <v/>
      </c>
      <c r="ER17" s="137" t="str">
        <f t="shared" si="33"/>
        <v/>
      </c>
      <c r="ES17" s="84"/>
      <c r="ET17" s="85"/>
      <c r="EU17" s="86"/>
      <c r="EV17" s="136" t="str">
        <f>IFERROR((((COUNTIF('Elève (6ème4)'!ES17:EU17,"A"))*4)+((COUNTIF('Elève (6ème4)'!ES17:EU17,"B"))*3)+((COUNTIF('Elève (6ème4)'!ES17:EU17,"C"))*2)+((COUNTIF('Elève (6ème4)'!ES17:EU17,"D"))*1))/(COUNTA(ES17:EU17)),"")</f>
        <v/>
      </c>
      <c r="EW17" s="137" t="str">
        <f t="shared" si="34"/>
        <v/>
      </c>
      <c r="EX17" s="180" t="str">
        <f>IF(COUNT(EL17,EQ17,EV17)=0,"",SUM(EL17,EQ17,EV17)/COUNT(EL17,EQ17,EV17))</f>
        <v/>
      </c>
      <c r="EY17" s="133" t="str">
        <f t="shared" si="35"/>
        <v/>
      </c>
      <c r="EZ17" s="159"/>
      <c r="FA17" s="160"/>
      <c r="FB17" s="161"/>
      <c r="FC17" s="136" t="str">
        <f>IFERROR((((COUNTIF('Elève (6ème4)'!EZ17:FB17,"A"))*4)+((COUNTIF('Elève (6ème4)'!EZ17:FB17,"B"))*3)+((COUNTIF('Elève (6ème4)'!EZ17:FB17,"C"))*2)+((COUNTIF('Elève (6ème4)'!EZ17:FB17,"D"))*1))/(COUNTA(EZ17:FB17)),"")</f>
        <v/>
      </c>
      <c r="FD17" s="137" t="str">
        <f t="shared" si="36"/>
        <v/>
      </c>
      <c r="FE17" s="84"/>
      <c r="FF17" s="85"/>
      <c r="FG17" s="86"/>
      <c r="FH17" s="136" t="str">
        <f>IFERROR((((COUNTIF('Elève (6ème4)'!FE17:FG17,"A"))*4)+((COUNTIF('Elève (6ème4)'!FE17:FG17,"B"))*3)+((COUNTIF('Elève (6ème4)'!FE17:FG17,"C"))*2)+((COUNTIF('Elève (6ème4)'!FE17:FG17,"D"))*1))/(COUNTA(FE17:FG17)),"")</f>
        <v/>
      </c>
      <c r="FI17" s="137" t="str">
        <f t="shared" si="37"/>
        <v/>
      </c>
      <c r="FJ17" s="84"/>
      <c r="FK17" s="85"/>
      <c r="FL17" s="86"/>
      <c r="FM17" s="136" t="str">
        <f>IFERROR((((COUNTIF('Elève (6ème4)'!FJ17:FL17,"A"))*4)+((COUNTIF('Elève (6ème4)'!FJ17:FL17,"B"))*3)+((COUNTIF('Elève (6ème4)'!FJ17:FL17,"C"))*2)+((COUNTIF('Elève (6ème4)'!FJ17:FL17,"D"))*1))/(COUNTA(FJ17:FL17)),"")</f>
        <v/>
      </c>
      <c r="FN17" s="137" t="str">
        <f t="shared" si="38"/>
        <v/>
      </c>
      <c r="FO17" s="180" t="str">
        <f>IF(COUNT(FC17,FH17,FM17)=0,"",SUM(FC17,FH17,FM17)/COUNT(FC17,FH17,FM17))</f>
        <v/>
      </c>
      <c r="FP17" s="133" t="str">
        <f t="shared" si="39"/>
        <v/>
      </c>
      <c r="FQ17" s="159"/>
      <c r="FR17" s="160"/>
      <c r="FS17" s="161"/>
      <c r="FT17" s="136" t="str">
        <f>IFERROR((((COUNTIF('Elève (6ème4)'!FQ17:FS17,"A"))*4)+((COUNTIF('Elève (6ème4)'!FQ17:FS17,"B"))*3)+((COUNTIF('Elève (6ème4)'!FQ17:FS17,"C"))*2)+((COUNTIF('Elève (6ème4)'!FQ17:FS17,"D"))*1))/(COUNTA(FQ17:FS17)),"")</f>
        <v/>
      </c>
      <c r="FU17" s="137" t="str">
        <f t="shared" si="40"/>
        <v/>
      </c>
      <c r="FV17" s="84"/>
      <c r="FW17" s="85"/>
      <c r="FX17" s="86"/>
      <c r="FY17" s="136" t="str">
        <f>IFERROR((((COUNTIF('Elève (6ème4)'!FV17:FX17,"A"))*4)+((COUNTIF('Elève (6ème4)'!FV17:FX17,"B"))*3)+((COUNTIF('Elève (6ème4)'!FV17:FX17,"C"))*2)+((COUNTIF('Elève (6ème4)'!FV17:FX17,"D"))*1))/(COUNTA(FV17:FX17)),"")</f>
        <v/>
      </c>
      <c r="FZ17" s="137" t="str">
        <f t="shared" si="41"/>
        <v/>
      </c>
      <c r="GA17" s="84"/>
      <c r="GB17" s="85"/>
      <c r="GC17" s="86"/>
      <c r="GD17" s="136" t="str">
        <f>IFERROR((((COUNTIF('Elève (6ème4)'!GA17:GC17,"A"))*4)+((COUNTIF('Elève (6ème4)'!GA17:GC17,"B"))*3)+((COUNTIF('Elève (6ème4)'!GA17:GC17,"C"))*2)+((COUNTIF('Elève (6ème4)'!GA17:GC17,"D"))*1))/(COUNTA(GA17:GC17)),"")</f>
        <v/>
      </c>
      <c r="GE17" s="137" t="str">
        <f t="shared" si="42"/>
        <v/>
      </c>
      <c r="GF17" s="180" t="str">
        <f>IF(COUNT(FT17,FY17,GD17)=0,"",SUM(FT17,FY17,GD17)/COUNT(FT17,FY17,GD17))</f>
        <v/>
      </c>
      <c r="GG17" s="133" t="str">
        <f t="shared" si="43"/>
        <v/>
      </c>
      <c r="GH17" s="159"/>
      <c r="GI17" s="160"/>
      <c r="GJ17" s="161"/>
      <c r="GK17" s="136" t="str">
        <f>IFERROR((((COUNTIF('Elève (6ème4)'!GH17:GJ17,"A"))*4)+((COUNTIF('Elève (6ème4)'!GH17:GJ17,"B"))*3)+((COUNTIF('Elève (6ème4)'!GH17:GJ17,"C"))*2)+((COUNTIF('Elève (6ème4)'!GH17:GJ17,"D"))*1))/(COUNTA(GH17:GJ17)),"")</f>
        <v/>
      </c>
      <c r="GL17" s="137" t="str">
        <f t="shared" si="44"/>
        <v/>
      </c>
      <c r="GM17" s="84"/>
      <c r="GN17" s="85"/>
      <c r="GO17" s="86"/>
      <c r="GP17" s="136" t="str">
        <f>IFERROR((((COUNTIF('Elève (6ème4)'!GM17:GO17,"A"))*4)+((COUNTIF('Elève (6ème4)'!GM17:GO17,"B"))*3)+((COUNTIF('Elève (6ème4)'!GM17:GO17,"C"))*2)+((COUNTIF('Elève (6ème4)'!GM17:GO17,"D"))*1))/(COUNTA(GM17:GO17)),"")</f>
        <v/>
      </c>
      <c r="GQ17" s="137" t="str">
        <f t="shared" si="45"/>
        <v/>
      </c>
      <c r="GR17" s="84"/>
      <c r="GS17" s="85"/>
      <c r="GT17" s="86"/>
      <c r="GU17" s="136" t="str">
        <f>IFERROR((((COUNTIF('Elève (6ème4)'!GR17:GT17,"A"))*4)+((COUNTIF('Elève (6ème4)'!GR17:GT17,"B"))*3)+((COUNTIF('Elève (6ème4)'!GR17:GT17,"C"))*2)+((COUNTIF('Elève (6ème4)'!GR17:GT17,"D"))*1))/(COUNTA(GR17:GT17)),"")</f>
        <v/>
      </c>
      <c r="GV17" s="137" t="str">
        <f t="shared" si="46"/>
        <v/>
      </c>
      <c r="GW17" s="180" t="str">
        <f>IF(COUNT(GK17,GP17,GU17)=0,"",SUM(GK17,GP17,GU17)/COUNT(GK17,GP17,GU17))</f>
        <v/>
      </c>
      <c r="GX17" s="133" t="str">
        <f t="shared" si="47"/>
        <v/>
      </c>
      <c r="GY17" s="159"/>
      <c r="GZ17" s="160"/>
      <c r="HA17" s="161"/>
      <c r="HB17" s="136" t="str">
        <f>IFERROR((((COUNTIF('Elève (6ème4)'!GY17:HA17,"A"))*4)+((COUNTIF('Elève (6ème4)'!GY17:HA17,"B"))*3)+((COUNTIF('Elève (6ème4)'!GY17:HA17,"C"))*2)+((COUNTIF('Elève (6ème4)'!GY17:HA17,"D"))*1))/(COUNTA(GY17:HA17)),"")</f>
        <v/>
      </c>
      <c r="HC17" s="137" t="str">
        <f t="shared" si="48"/>
        <v/>
      </c>
      <c r="HD17" s="84"/>
      <c r="HE17" s="85"/>
      <c r="HF17" s="86"/>
      <c r="HG17" s="136" t="str">
        <f>IFERROR((((COUNTIF('Elève (6ème4)'!HD17:HF17,"A"))*4)+((COUNTIF('Elève (6ème4)'!HD17:HF17,"B"))*3)+((COUNTIF('Elève (6ème4)'!HD17:HF17,"C"))*2)+((COUNTIF('Elève (6ème4)'!HD17:HF17,"D"))*1))/(COUNTA(HD17:HF17)),"")</f>
        <v/>
      </c>
      <c r="HH17" s="137" t="str">
        <f t="shared" si="49"/>
        <v/>
      </c>
      <c r="HI17" s="84"/>
      <c r="HJ17" s="85"/>
      <c r="HK17" s="86"/>
      <c r="HL17" s="136" t="str">
        <f>IFERROR((((COUNTIF('Elève (6ème4)'!HI17:HK17,"A"))*4)+((COUNTIF('Elève (6ème4)'!HI17:HK17,"B"))*3)+((COUNTIF('Elève (6ème4)'!HI17:HK17,"C"))*2)+((COUNTIF('Elève (6ème4)'!HI17:HK17,"D"))*1))/(COUNTA(HI17:HK17)),"")</f>
        <v/>
      </c>
      <c r="HM17" s="137" t="str">
        <f t="shared" si="50"/>
        <v/>
      </c>
      <c r="HN17" s="180" t="str">
        <f>IF(COUNT(HB17,HG17,HL17)=0,"",SUM(HB17,HG17,HL17)/COUNT(HB17,HG17,HL17))</f>
        <v/>
      </c>
      <c r="HO17" s="133" t="str">
        <f t="shared" si="51"/>
        <v/>
      </c>
      <c r="HP17" s="159"/>
      <c r="HQ17" s="160"/>
      <c r="HR17" s="161"/>
      <c r="HS17" s="136" t="str">
        <f>IFERROR((((COUNTIF('Elève (6ème4)'!HP17:HR17,"A"))*4)+((COUNTIF('Elève (6ème4)'!HP17:HR17,"B"))*3)+((COUNTIF('Elève (6ème4)'!HP17:HR17,"C"))*2)+((COUNTIF('Elève (6ème4)'!HP17:HR17,"D"))*1))/(COUNTA(HP17:HR17)),"")</f>
        <v/>
      </c>
      <c r="HT17" s="137" t="str">
        <f t="shared" si="52"/>
        <v/>
      </c>
      <c r="HU17" s="84"/>
      <c r="HV17" s="85"/>
      <c r="HW17" s="86"/>
      <c r="HX17" s="136" t="str">
        <f>IFERROR((((COUNTIF('Elève (6ème4)'!HU17:HW17,"A"))*4)+((COUNTIF('Elève (6ème4)'!HU17:HW17,"B"))*3)+((COUNTIF('Elève (6ème4)'!HU17:HW17,"C"))*2)+((COUNTIF('Elève (6ème4)'!HU17:HW17,"D"))*1))/(COUNTA(HU17:HW17)),"")</f>
        <v/>
      </c>
      <c r="HY17" s="137" t="str">
        <f t="shared" si="53"/>
        <v/>
      </c>
      <c r="HZ17" s="84"/>
      <c r="IA17" s="85"/>
      <c r="IB17" s="86"/>
      <c r="IC17" s="136" t="str">
        <f>IFERROR((((COUNTIF('Elève (6ème4)'!HZ17:IB17,"A"))*4)+((COUNTIF('Elève (6ème4)'!HZ17:IB17,"B"))*3)+((COUNTIF('Elève (6ème4)'!HZ17:IB17,"C"))*2)+((COUNTIF('Elève (6ème4)'!HZ17:IB17,"D"))*1))/(COUNTA(HZ17:IB17)),"")</f>
        <v/>
      </c>
      <c r="ID17" s="137" t="str">
        <f t="shared" si="54"/>
        <v/>
      </c>
      <c r="IE17" s="180" t="str">
        <f>IF(COUNT(HS17,HX17,IC17)=0,"",SUM(HS17,HX17,IC17)/COUNT(HS17,HX17,IC17))</f>
        <v/>
      </c>
      <c r="IF17" s="133" t="str">
        <f t="shared" si="55"/>
        <v/>
      </c>
      <c r="IG17" s="159"/>
      <c r="IH17" s="160"/>
      <c r="II17" s="161"/>
      <c r="IJ17" s="136" t="str">
        <f>IFERROR((((COUNTIF('Elève (6ème4)'!IG17:II17,"A"))*4)+((COUNTIF('Elève (6ème4)'!IG17:II17,"B"))*3)+((COUNTIF('Elève (6ème4)'!IG17:II17,"C"))*2)+((COUNTIF('Elève (6ème4)'!IG17:II17,"D"))*1))/(COUNTA(IG17:II17)),"")</f>
        <v/>
      </c>
      <c r="IK17" s="137" t="str">
        <f t="shared" si="56"/>
        <v/>
      </c>
      <c r="IL17" s="84"/>
      <c r="IM17" s="85"/>
      <c r="IN17" s="86"/>
      <c r="IO17" s="136" t="str">
        <f>IFERROR((((COUNTIF('Elève (6ème4)'!IL17:IN17,"A"))*4)+((COUNTIF('Elève (6ème4)'!IL17:IN17,"B"))*3)+((COUNTIF('Elève (6ème4)'!IL17:IN17,"C"))*2)+((COUNTIF('Elève (6ème4)'!IL17:IN17,"D"))*1))/(COUNTA(IL17:IN17)),"")</f>
        <v/>
      </c>
      <c r="IP17" s="137" t="str">
        <f t="shared" si="57"/>
        <v/>
      </c>
      <c r="IQ17" s="84"/>
      <c r="IR17" s="85"/>
      <c r="IS17" s="86"/>
      <c r="IT17" s="136" t="str">
        <f>IFERROR((((COUNTIF('Elève (6ème4)'!IQ17:IS17,"A"))*4)+((COUNTIF('Elève (6ème4)'!IQ17:IS17,"B"))*3)+((COUNTIF('Elève (6ème4)'!IQ17:IS17,"C"))*2)+((COUNTIF('Elève (6ème4)'!IQ17:IS17,"D"))*1))/(COUNTA(IQ17:IS17)),"")</f>
        <v/>
      </c>
      <c r="IU17" s="137" t="str">
        <f t="shared" si="58"/>
        <v/>
      </c>
      <c r="IV17" s="180" t="str">
        <f>IF(COUNT(IJ17,IO17,IT17)=0,"",SUM(IJ17,IO17,IT17)/COUNT(IJ17,IO17,IT17))</f>
        <v/>
      </c>
      <c r="IW17" s="133" t="str">
        <f t="shared" si="59"/>
        <v/>
      </c>
      <c r="IX17" s="159"/>
      <c r="IY17" s="160"/>
      <c r="IZ17" s="161"/>
      <c r="JA17" s="136" t="str">
        <f>IFERROR((((COUNTIF('Elève (6ème4)'!IX17:IZ17,"A"))*4)+((COUNTIF('Elève (6ème4)'!IX17:IZ17,"B"))*3)+((COUNTIF('Elève (6ème4)'!IX17:IZ17,"C"))*2)+((COUNTIF('Elève (6ème4)'!IX17:IZ17,"D"))*1))/(COUNTA(IX17:IZ17)),"")</f>
        <v/>
      </c>
      <c r="JB17" s="137" t="str">
        <f t="shared" si="60"/>
        <v/>
      </c>
      <c r="JC17" s="84"/>
      <c r="JD17" s="85"/>
      <c r="JE17" s="86"/>
      <c r="JF17" s="136" t="str">
        <f>IFERROR((((COUNTIF('Elève (6ème4)'!JC17:JE17,"A"))*4)+((COUNTIF('Elève (6ème4)'!JC17:JE17,"B"))*3)+((COUNTIF('Elève (6ème4)'!JC17:JE17,"C"))*2)+((COUNTIF('Elève (6ème4)'!JC17:JE17,"D"))*1))/(COUNTA(JC17:JE17)),"")</f>
        <v/>
      </c>
      <c r="JG17" s="137" t="str">
        <f t="shared" si="61"/>
        <v/>
      </c>
      <c r="JH17" s="84"/>
      <c r="JI17" s="85"/>
      <c r="JJ17" s="86"/>
      <c r="JK17" s="136" t="str">
        <f>IFERROR((((COUNTIF('Elève (6ème4)'!JH17:JJ17,"A"))*4)+((COUNTIF('Elève (6ème4)'!JH17:JJ17,"B"))*3)+((COUNTIF('Elève (6ème4)'!JH17:JJ17,"C"))*2)+((COUNTIF('Elève (6ème4)'!JH17:JJ17,"D"))*1))/(COUNTA(JH17:JJ17)),"")</f>
        <v/>
      </c>
      <c r="JL17" s="137" t="str">
        <f t="shared" si="62"/>
        <v/>
      </c>
      <c r="JM17" s="180" t="str">
        <f>IF(COUNT(JA17,JF17,JK17)=0,"",SUM(JA17,JF17,JK17)/COUNT(JA17,JF17,JK17))</f>
        <v/>
      </c>
      <c r="JN17" s="133" t="str">
        <f t="shared" si="63"/>
        <v/>
      </c>
      <c r="JO17" s="159"/>
      <c r="JP17" s="160"/>
      <c r="JQ17" s="161"/>
      <c r="JR17" s="136" t="str">
        <f>IFERROR((((COUNTIF('Elève (6ème4)'!JO17:JQ17,"A"))*4)+((COUNTIF('Elève (6ème4)'!JO17:JQ17,"B"))*3)+((COUNTIF('Elève (6ème4)'!JO17:JQ17,"C"))*2)+((COUNTIF('Elève (6ème4)'!JO17:JQ17,"D"))*1))/(COUNTA(JO17:JQ17)),"")</f>
        <v/>
      </c>
      <c r="JS17" s="137" t="str">
        <f t="shared" si="64"/>
        <v/>
      </c>
      <c r="JT17" s="84"/>
      <c r="JU17" s="85"/>
      <c r="JV17" s="86"/>
      <c r="JW17" s="136" t="str">
        <f>IFERROR((((COUNTIF('Elève (6ème4)'!JT17:JV17,"A"))*4)+((COUNTIF('Elève (6ème4)'!JT17:JV17,"B"))*3)+((COUNTIF('Elève (6ème4)'!JT17:JV17,"C"))*2)+((COUNTIF('Elève (6ème4)'!JT17:JV17,"D"))*1))/(COUNTA(JT17:JV17)),"")</f>
        <v/>
      </c>
      <c r="JX17" s="137" t="str">
        <f t="shared" si="65"/>
        <v/>
      </c>
      <c r="JY17" s="84"/>
      <c r="JZ17" s="85"/>
      <c r="KA17" s="86"/>
      <c r="KB17" s="136" t="str">
        <f>IFERROR((((COUNTIF('Elève (6ème4)'!JY17:KA17,"A"))*4)+((COUNTIF('Elève (6ème4)'!JY17:KA17,"B"))*3)+((COUNTIF('Elève (6ème4)'!JY17:KA17,"C"))*2)+((COUNTIF('Elève (6ème4)'!JY17:KA17,"D"))*1))/(COUNTA(JY17:KA17)),"")</f>
        <v/>
      </c>
      <c r="KC17" s="137" t="str">
        <f t="shared" si="66"/>
        <v/>
      </c>
      <c r="KD17" s="180" t="str">
        <f>IF(COUNT(JR17,JW17,KB17)=0,"",SUM(JR17,JW17,KB17)/COUNT(JR17,JW17,KB17))</f>
        <v/>
      </c>
      <c r="KE17" s="133" t="str">
        <f t="shared" si="67"/>
        <v/>
      </c>
      <c r="KF17" s="159"/>
      <c r="KG17" s="160"/>
      <c r="KH17" s="161"/>
      <c r="KI17" s="136" t="str">
        <f>IFERROR((((COUNTIF('Elève (6ème4)'!KF17:KH17,"A"))*4)+((COUNTIF('Elève (6ème4)'!KF17:KH17,"B"))*3)+((COUNTIF('Elève (6ème4)'!KF17:KH17,"C"))*2)+((COUNTIF('Elève (6ème4)'!KF17:KH17,"D"))*1))/(COUNTA(KF17:KH17)),"")</f>
        <v/>
      </c>
      <c r="KJ17" s="137" t="str">
        <f t="shared" si="68"/>
        <v/>
      </c>
      <c r="KK17" s="84"/>
      <c r="KL17" s="85"/>
      <c r="KM17" s="86"/>
      <c r="KN17" s="136" t="str">
        <f>IFERROR((((COUNTIF('Elève (6ème4)'!KK17:KM17,"A"))*4)+((COUNTIF('Elève (6ème4)'!KK17:KM17,"B"))*3)+((COUNTIF('Elève (6ème4)'!KK17:KM17,"C"))*2)+((COUNTIF('Elève (6ème4)'!KK17:KM17,"D"))*1))/(COUNTA(KK17:KM17)),"")</f>
        <v/>
      </c>
      <c r="KO17" s="137" t="str">
        <f t="shared" si="69"/>
        <v/>
      </c>
      <c r="KP17" s="84"/>
      <c r="KQ17" s="85"/>
      <c r="KR17" s="86"/>
      <c r="KS17" s="136" t="str">
        <f>IFERROR((((COUNTIF('Elève (6ème4)'!KP17:KR17,"A"))*4)+((COUNTIF('Elève (6ème4)'!KP17:KR17,"B"))*3)+((COUNTIF('Elève (6ème4)'!KP17:KR17,"C"))*2)+((COUNTIF('Elève (6ème4)'!KP17:KR17,"D"))*1))/(COUNTA(KP17:KR17)),"")</f>
        <v/>
      </c>
      <c r="KT17" s="137" t="str">
        <f t="shared" si="70"/>
        <v/>
      </c>
      <c r="KU17" s="180" t="str">
        <f>IF(COUNT(KI17,KN17,KS17)=0,"",SUM(KI17,KN17,KS17)/COUNT(KI17,KN17,KS17))</f>
        <v/>
      </c>
      <c r="KV17" s="133" t="str">
        <f t="shared" si="71"/>
        <v/>
      </c>
      <c r="KW17" s="159"/>
      <c r="KX17" s="160"/>
      <c r="KY17" s="161"/>
      <c r="KZ17" s="136" t="str">
        <f>IFERROR((((COUNTIF('Elève (6ème4)'!KW17:KY17,"A"))*4)+((COUNTIF('Elève (6ème4)'!KW17:KY17,"B"))*3)+((COUNTIF('Elève (6ème4)'!KW17:KY17,"C"))*2)+((COUNTIF('Elève (6ème4)'!KW17:KY17,"D"))*1))/(COUNTA(KW17:KY17)),"")</f>
        <v/>
      </c>
      <c r="LA17" s="137" t="str">
        <f t="shared" si="72"/>
        <v/>
      </c>
      <c r="LB17" s="84"/>
      <c r="LC17" s="85"/>
      <c r="LD17" s="86"/>
      <c r="LE17" s="136" t="str">
        <f>IFERROR((((COUNTIF('Elève (6ème4)'!LB17:LD17,"A"))*4)+((COUNTIF('Elève (6ème4)'!LB17:LD17,"B"))*3)+((COUNTIF('Elève (6ème4)'!LB17:LD17,"C"))*2)+((COUNTIF('Elève (6ème4)'!LB17:LD17,"D"))*1))/(COUNTA(LB17:LD17)),"")</f>
        <v/>
      </c>
      <c r="LF17" s="137" t="str">
        <f t="shared" si="73"/>
        <v/>
      </c>
      <c r="LG17" s="84"/>
      <c r="LH17" s="85"/>
      <c r="LI17" s="86"/>
      <c r="LJ17" s="136" t="str">
        <f>IFERROR((((COUNTIF('Elève (6ème4)'!LG17:LI17,"A"))*4)+((COUNTIF('Elève (6ème4)'!LG17:LI17,"B"))*3)+((COUNTIF('Elève (6ème4)'!LG17:LI17,"C"))*2)+((COUNTIF('Elève (6ème4)'!LG17:LI17,"D"))*1))/(COUNTA(LG17:LI17)),"")</f>
        <v/>
      </c>
      <c r="LK17" s="137" t="str">
        <f t="shared" si="74"/>
        <v/>
      </c>
      <c r="LL17" s="180" t="str">
        <f>IF(COUNT(KZ17,LE17,LJ17)=0,"",SUM(KZ17,LE17,LJ17)/COUNT(KZ17,LE17,LJ17))</f>
        <v/>
      </c>
      <c r="LM17" s="133" t="str">
        <f t="shared" si="75"/>
        <v/>
      </c>
      <c r="LN17" s="159"/>
      <c r="LO17" s="160"/>
      <c r="LP17" s="161"/>
      <c r="LQ17" s="136" t="str">
        <f>IFERROR((((COUNTIF('Elève (6ème4)'!LN17:LP17,"A"))*4)+((COUNTIF('Elève (6ème4)'!LN17:LP17,"B"))*3)+((COUNTIF('Elève (6ème4)'!LN17:LP17,"C"))*2)+((COUNTIF('Elève (6ème4)'!LN17:LP17,"D"))*1))/(COUNTA(LN17:LP17)),"")</f>
        <v/>
      </c>
      <c r="LR17" s="137" t="str">
        <f t="shared" si="76"/>
        <v/>
      </c>
      <c r="LS17" s="84"/>
      <c r="LT17" s="85"/>
      <c r="LU17" s="86"/>
      <c r="LV17" s="136" t="str">
        <f>IFERROR((((COUNTIF('Elève (6ème4)'!LS17:LU17,"A"))*4)+((COUNTIF('Elève (6ème4)'!LS17:LU17,"B"))*3)+((COUNTIF('Elève (6ème4)'!LS17:LU17,"C"))*2)+((COUNTIF('Elève (6ème4)'!LS17:LU17,"D"))*1))/(COUNTA(LS17:LU17)),"")</f>
        <v/>
      </c>
      <c r="LW17" s="137" t="str">
        <f t="shared" si="77"/>
        <v/>
      </c>
      <c r="LX17" s="84"/>
      <c r="LY17" s="85"/>
      <c r="LZ17" s="86"/>
      <c r="MA17" s="136" t="str">
        <f>IFERROR((((COUNTIF('Elève (6ème4)'!LX17:LZ17,"A"))*4)+((COUNTIF('Elève (6ème4)'!LX17:LZ17,"B"))*3)+((COUNTIF('Elève (6ème4)'!LX17:LZ17,"C"))*2)+((COUNTIF('Elève (6ème4)'!LX17:LZ17,"D"))*1))/(COUNTA(LX17:LZ17)),"")</f>
        <v/>
      </c>
      <c r="MB17" s="137" t="str">
        <f t="shared" si="78"/>
        <v/>
      </c>
      <c r="MC17" s="180" t="str">
        <f>IF(COUNT(LQ17,LV17,MA17)=0,"",SUM(LQ17,LV17,MA17)/COUNT(LQ17,LV17,MA17))</f>
        <v/>
      </c>
      <c r="MD17" s="133" t="str">
        <f t="shared" si="79"/>
        <v/>
      </c>
      <c r="ME17" s="159"/>
      <c r="MF17" s="160"/>
      <c r="MG17" s="161"/>
      <c r="MH17" s="136" t="str">
        <f>IFERROR((((COUNTIF('Elève (6ème4)'!ME17:MG17,"A"))*4)+((COUNTIF('Elève (6ème4)'!ME17:MG17,"B"))*3)+((COUNTIF('Elève (6ème4)'!ME17:MG17,"C"))*2)+((COUNTIF('Elève (6ème4)'!ME17:MG17,"D"))*1))/(COUNTA(ME17:MG17)),"")</f>
        <v/>
      </c>
      <c r="MI17" s="137" t="str">
        <f t="shared" si="80"/>
        <v/>
      </c>
      <c r="MJ17" s="84"/>
      <c r="MK17" s="85"/>
      <c r="ML17" s="86"/>
      <c r="MM17" s="136" t="str">
        <f>IFERROR((((COUNTIF('Elève (6ème4)'!MJ17:ML17,"A"))*4)+((COUNTIF('Elève (6ème4)'!MJ17:ML17,"B"))*3)+((COUNTIF('Elève (6ème4)'!MJ17:ML17,"C"))*2)+((COUNTIF('Elève (6ème4)'!MJ17:ML17,"D"))*1))/(COUNTA(MJ17:ML17)),"")</f>
        <v/>
      </c>
      <c r="MN17" s="137" t="str">
        <f t="shared" si="81"/>
        <v/>
      </c>
      <c r="MO17" s="84"/>
      <c r="MP17" s="85"/>
      <c r="MQ17" s="86"/>
      <c r="MR17" s="136" t="str">
        <f>IFERROR((((COUNTIF('Elève (6ème4)'!MO17:MQ17,"A"))*4)+((COUNTIF('Elève (6ème4)'!MO17:MQ17,"B"))*3)+((COUNTIF('Elève (6ème4)'!MO17:MQ17,"C"))*2)+((COUNTIF('Elève (6ème4)'!MO17:MQ17,"D"))*1))/(COUNTA(MO17:MQ17)),"")</f>
        <v/>
      </c>
      <c r="MS17" s="137" t="str">
        <f t="shared" si="82"/>
        <v/>
      </c>
      <c r="MT17" s="180" t="str">
        <f>IF(COUNT(MH17,MM17,MR17)=0,"",SUM(MH17,MM17,MR17)/COUNT(MH17,MM17,MR17))</f>
        <v/>
      </c>
      <c r="MU17" s="133" t="str">
        <f t="shared" si="83"/>
        <v/>
      </c>
      <c r="MV17" s="159"/>
      <c r="MW17" s="160"/>
      <c r="MX17" s="161"/>
      <c r="MY17" s="136" t="str">
        <f>IFERROR((((COUNTIF('Elève (6ème4)'!MV17:MX17,"A"))*4)+((COUNTIF('Elève (6ème4)'!MV17:MX17,"B"))*3)+((COUNTIF('Elève (6ème4)'!MV17:MX17,"C"))*2)+((COUNTIF('Elève (6ème4)'!MV17:MX17,"D"))*1))/(COUNTA(MV17:MX17)),"")</f>
        <v/>
      </c>
      <c r="MZ17" s="137" t="str">
        <f t="shared" si="84"/>
        <v/>
      </c>
      <c r="NA17" s="84"/>
      <c r="NB17" s="85"/>
      <c r="NC17" s="86"/>
      <c r="ND17" s="136" t="str">
        <f>IFERROR((((COUNTIF('Elève (6ème4)'!NA17:NC17,"A"))*4)+((COUNTIF('Elève (6ème4)'!NA17:NC17,"B"))*3)+((COUNTIF('Elève (6ème4)'!NA17:NC17,"C"))*2)+((COUNTIF('Elève (6ème4)'!NA17:NC17,"D"))*1))/(COUNTA(NA17:NC17)),"")</f>
        <v/>
      </c>
      <c r="NE17" s="137" t="str">
        <f t="shared" si="85"/>
        <v/>
      </c>
      <c r="NF17" s="84"/>
      <c r="NG17" s="85"/>
      <c r="NH17" s="86"/>
      <c r="NI17" s="136" t="str">
        <f>IFERROR((((COUNTIF('Elève (6ème4)'!NF17:NH17,"A"))*4)+((COUNTIF('Elève (6ème4)'!NF17:NH17,"B"))*3)+((COUNTIF('Elève (6ème4)'!NF17:NH17,"C"))*2)+((COUNTIF('Elève (6ème4)'!NF17:NH17,"D"))*1))/(COUNTA(NF17:NH17)),"")</f>
        <v/>
      </c>
      <c r="NJ17" s="137" t="str">
        <f t="shared" si="86"/>
        <v/>
      </c>
      <c r="NK17" s="180" t="str">
        <f>IF(COUNT(MY17,ND17,NI17)=0,"",SUM(MY17,ND17,NI17)/COUNT(MY17,ND17,NI17))</f>
        <v/>
      </c>
      <c r="NL17" s="133" t="str">
        <f t="shared" si="87"/>
        <v/>
      </c>
      <c r="NM17" s="159"/>
      <c r="NN17" s="160"/>
      <c r="NO17" s="161"/>
      <c r="NP17" s="136" t="str">
        <f>IFERROR((((COUNTIF('Elève (6ème4)'!NM17:NO17,"A"))*4)+((COUNTIF('Elève (6ème4)'!NM17:NO17,"B"))*3)+((COUNTIF('Elève (6ème4)'!NM17:NO17,"C"))*2)+((COUNTIF('Elève (6ème4)'!NM17:NO17,"D"))*1))/(COUNTA(NM17:NO17)),"")</f>
        <v/>
      </c>
      <c r="NQ17" s="137" t="str">
        <f t="shared" si="88"/>
        <v/>
      </c>
      <c r="NR17" s="84"/>
      <c r="NS17" s="85"/>
      <c r="NT17" s="86"/>
      <c r="NU17" s="136" t="str">
        <f>IFERROR((((COUNTIF('Elève (6ème4)'!NR17:NT17,"A"))*4)+((COUNTIF('Elève (6ème4)'!NR17:NT17,"B"))*3)+((COUNTIF('Elève (6ème4)'!NR17:NT17,"C"))*2)+((COUNTIF('Elève (6ème4)'!NR17:NT17,"D"))*1))/(COUNTA(NR17:NT17)),"")</f>
        <v/>
      </c>
      <c r="NV17" s="137" t="str">
        <f t="shared" si="89"/>
        <v/>
      </c>
      <c r="NW17" s="84"/>
      <c r="NX17" s="85"/>
      <c r="NY17" s="86"/>
      <c r="NZ17" s="136" t="str">
        <f>IFERROR((((COUNTIF('Elève (6ème4)'!NW17:NY17,"A"))*4)+((COUNTIF('Elève (6ème4)'!NW17:NY17,"B"))*3)+((COUNTIF('Elève (6ème4)'!NW17:NY17,"C"))*2)+((COUNTIF('Elève (6ème4)'!NW17:NY17,"D"))*1))/(COUNTA(NW17:NY17)),"")</f>
        <v/>
      </c>
      <c r="OA17" s="137" t="str">
        <f t="shared" si="90"/>
        <v/>
      </c>
      <c r="OB17" s="180" t="str">
        <f>IF(COUNT(NP17,NU17,NZ17)=0,"",SUM(NP17,NU17,NZ17)/COUNT(NP17,NU17,NZ17))</f>
        <v/>
      </c>
      <c r="OC17" s="133" t="str">
        <f t="shared" si="91"/>
        <v/>
      </c>
      <c r="OD17" s="159"/>
      <c r="OE17" s="160"/>
      <c r="OF17" s="161"/>
      <c r="OG17" s="136" t="str">
        <f>IFERROR((((COUNTIF('Elève (6ème4)'!OD17:OF17,"A"))*4)+((COUNTIF('Elève (6ème4)'!OD17:OF17,"B"))*3)+((COUNTIF('Elève (6ème4)'!OD17:OF17,"C"))*2)+((COUNTIF('Elève (6ème4)'!OD17:OF17,"D"))*1))/(COUNTA(OD17:OF17)),"")</f>
        <v/>
      </c>
      <c r="OH17" s="137" t="str">
        <f t="shared" si="92"/>
        <v/>
      </c>
      <c r="OI17" s="84"/>
      <c r="OJ17" s="85"/>
      <c r="OK17" s="86"/>
      <c r="OL17" s="136" t="str">
        <f>IFERROR((((COUNTIF('Elève (6ème4)'!OI17:OK17,"A"))*4)+((COUNTIF('Elève (6ème4)'!OI17:OK17,"B"))*3)+((COUNTIF('Elève (6ème4)'!OI17:OK17,"C"))*2)+((COUNTIF('Elève (6ème4)'!OI17:OK17,"D"))*1))/(COUNTA(OI17:OK17)),"")</f>
        <v/>
      </c>
      <c r="OM17" s="137" t="str">
        <f t="shared" si="93"/>
        <v/>
      </c>
      <c r="ON17" s="84"/>
      <c r="OO17" s="85"/>
      <c r="OP17" s="86"/>
      <c r="OQ17" s="136" t="str">
        <f>IFERROR((((COUNTIF('Elève (6ème4)'!ON17:OP17,"A"))*4)+((COUNTIF('Elève (6ème4)'!ON17:OP17,"B"))*3)+((COUNTIF('Elève (6ème4)'!ON17:OP17,"C"))*2)+((COUNTIF('Elève (6ème4)'!ON17:OP17,"D"))*1))/(COUNTA(ON17:OP17)),"")</f>
        <v/>
      </c>
      <c r="OR17" s="137" t="str">
        <f t="shared" si="94"/>
        <v/>
      </c>
      <c r="OS17" s="180" t="str">
        <f>IF(COUNT(OG17,OL17,OQ17)=0,"",SUM(OG17,OL17,OQ17)/COUNT(OG17,OL17,OQ17))</f>
        <v/>
      </c>
      <c r="OT17" s="133" t="str">
        <f t="shared" si="95"/>
        <v/>
      </c>
      <c r="OU17" s="159"/>
      <c r="OV17" s="160"/>
      <c r="OW17" s="161"/>
      <c r="OX17" s="136" t="str">
        <f>IFERROR((((COUNTIF('Elève (6ème4)'!OU17:OW17,"A"))*4)+((COUNTIF('Elève (6ème4)'!OU17:OW17,"B"))*3)+((COUNTIF('Elève (6ème4)'!OU17:OW17,"C"))*2)+((COUNTIF('Elève (6ème4)'!OU17:OW17,"D"))*1))/(COUNTA(OU17:OW17)),"")</f>
        <v/>
      </c>
      <c r="OY17" s="137" t="str">
        <f t="shared" si="96"/>
        <v/>
      </c>
      <c r="OZ17" s="84"/>
      <c r="PA17" s="85"/>
      <c r="PB17" s="86"/>
      <c r="PC17" s="136" t="str">
        <f>IFERROR((((COUNTIF('Elève (6ème4)'!OZ17:PB17,"A"))*4)+((COUNTIF('Elève (6ème4)'!OZ17:PB17,"B"))*3)+((COUNTIF('Elève (6ème4)'!OZ17:PB17,"C"))*2)+((COUNTIF('Elève (6ème4)'!OZ17:PB17,"D"))*1))/(COUNTA(OZ17:PB17)),"")</f>
        <v/>
      </c>
      <c r="PD17" s="137" t="str">
        <f t="shared" si="97"/>
        <v/>
      </c>
      <c r="PE17" s="84"/>
      <c r="PF17" s="85"/>
      <c r="PG17" s="86"/>
      <c r="PH17" s="136" t="str">
        <f>IFERROR((((COUNTIF('Elève (6ème4)'!PE17:PG17,"A"))*4)+((COUNTIF('Elève (6ème4)'!PE17:PG17,"B"))*3)+((COUNTIF('Elève (6ème4)'!PE17:PG17,"C"))*2)+((COUNTIF('Elève (6ème4)'!PE17:PG17,"D"))*1))/(COUNTA(PE17:PG17)),"")</f>
        <v/>
      </c>
      <c r="PI17" s="137" t="str">
        <f t="shared" si="98"/>
        <v/>
      </c>
      <c r="PJ17" s="180" t="str">
        <f>IF(COUNT(OX17,PC17,PH17)=0,"",SUM(OX17,PC17,PH17)/COUNT(OX17,PC17,PH17))</f>
        <v/>
      </c>
      <c r="PK17" s="133" t="str">
        <f t="shared" si="99"/>
        <v/>
      </c>
      <c r="PL17" s="159"/>
      <c r="PM17" s="160"/>
      <c r="PN17" s="161"/>
      <c r="PO17" s="136" t="str">
        <f>IFERROR((((COUNTIF('Elève (6ème4)'!PL17:PN17,"A"))*4)+((COUNTIF('Elève (6ème4)'!PL17:PN17,"B"))*3)+((COUNTIF('Elève (6ème4)'!PL17:PN17,"C"))*2)+((COUNTIF('Elève (6ème4)'!PL17:PN17,"D"))*1))/(COUNTA(PL17:PN17)),"")</f>
        <v/>
      </c>
      <c r="PP17" s="137" t="str">
        <f t="shared" si="100"/>
        <v/>
      </c>
      <c r="PQ17" s="84"/>
      <c r="PR17" s="85"/>
      <c r="PS17" s="86"/>
      <c r="PT17" s="136" t="str">
        <f>IFERROR((((COUNTIF('Elève (6ème4)'!PQ17:PS17,"A"))*4)+((COUNTIF('Elève (6ème4)'!PQ17:PS17,"B"))*3)+((COUNTIF('Elève (6ème4)'!PQ17:PS17,"C"))*2)+((COUNTIF('Elève (6ème4)'!PQ17:PS17,"D"))*1))/(COUNTA(PQ17:PS17)),"")</f>
        <v/>
      </c>
      <c r="PU17" s="137" t="str">
        <f t="shared" si="101"/>
        <v/>
      </c>
      <c r="PV17" s="84"/>
      <c r="PW17" s="85"/>
      <c r="PX17" s="86"/>
      <c r="PY17" s="136" t="str">
        <f>IFERROR((((COUNTIF('Elève (6ème4)'!PV17:PX17,"A"))*4)+((COUNTIF('Elève (6ème4)'!PV17:PX17,"B"))*3)+((COUNTIF('Elève (6ème4)'!PV17:PX17,"C"))*2)+((COUNTIF('Elève (6ème4)'!PV17:PX17,"D"))*1))/(COUNTA(PV17:PX17)),"")</f>
        <v/>
      </c>
      <c r="PZ17" s="137" t="str">
        <f t="shared" si="102"/>
        <v/>
      </c>
      <c r="QA17" s="180" t="str">
        <f>IF(COUNT(PO17,PT17,PY17)=0,"",SUM(PO17,PT17,PY17)/COUNT(PO17,PT17,PY17))</f>
        <v/>
      </c>
      <c r="QB17" s="133" t="str">
        <f t="shared" si="103"/>
        <v/>
      </c>
      <c r="QC17" s="159"/>
      <c r="QD17" s="160"/>
      <c r="QE17" s="161"/>
      <c r="QF17" s="136" t="str">
        <f>IFERROR((((COUNTIF('Elève (6ème4)'!QC17:QE17,"A"))*4)+((COUNTIF('Elève (6ème4)'!QC17:QE17,"B"))*3)+((COUNTIF('Elève (6ème4)'!QC17:QE17,"C"))*2)+((COUNTIF('Elève (6ème4)'!QC17:QE17,"D"))*1))/(COUNTA(QC17:QE17)),"")</f>
        <v/>
      </c>
      <c r="QG17" s="137" t="str">
        <f t="shared" si="104"/>
        <v/>
      </c>
      <c r="QH17" s="84"/>
      <c r="QI17" s="85"/>
      <c r="QJ17" s="86"/>
      <c r="QK17" s="136" t="str">
        <f>IFERROR((((COUNTIF('Elève (6ème4)'!QH17:QJ17,"A"))*4)+((COUNTIF('Elève (6ème4)'!QH17:QJ17,"B"))*3)+((COUNTIF('Elève (6ème4)'!QH17:QJ17,"C"))*2)+((COUNTIF('Elève (6ème4)'!QH17:QJ17,"D"))*1))/(COUNTA(QH17:QJ17)),"")</f>
        <v/>
      </c>
      <c r="QL17" s="137" t="str">
        <f t="shared" si="105"/>
        <v/>
      </c>
      <c r="QM17" s="84"/>
      <c r="QN17" s="85"/>
      <c r="QO17" s="86"/>
      <c r="QP17" s="136" t="str">
        <f>IFERROR((((COUNTIF('Elève (6ème4)'!QM17:QO17,"A"))*4)+((COUNTIF('Elève (6ème4)'!QM17:QO17,"B"))*3)+((COUNTIF('Elève (6ème4)'!QM17:QO17,"C"))*2)+((COUNTIF('Elève (6ème4)'!QM17:QO17,"D"))*1))/(COUNTA(QM17:QO17)),"")</f>
        <v/>
      </c>
      <c r="QQ17" s="137" t="str">
        <f t="shared" si="106"/>
        <v/>
      </c>
      <c r="QR17" s="180" t="str">
        <f>IF(COUNT(QF17,QK17,QP17)=0,"",SUM(QF17,QK17,QP17)/COUNT(QF17,QK17,QP17))</f>
        <v/>
      </c>
      <c r="QS17" s="133" t="str">
        <f t="shared" si="107"/>
        <v/>
      </c>
      <c r="QT17" s="159"/>
      <c r="QU17" s="160"/>
      <c r="QV17" s="161"/>
      <c r="QW17" s="136" t="str">
        <f>IFERROR((((COUNTIF('Elève (6ème4)'!QT17:QV17,"A"))*4)+((COUNTIF('Elève (6ème4)'!QT17:QV17,"B"))*3)+((COUNTIF('Elève (6ème4)'!QT17:QV17,"C"))*2)+((COUNTIF('Elève (6ème4)'!QT17:QV17,"D"))*1))/(COUNTA(QT17:QV17)),"")</f>
        <v/>
      </c>
      <c r="QX17" s="137" t="str">
        <f t="shared" si="108"/>
        <v/>
      </c>
      <c r="QY17" s="84"/>
      <c r="QZ17" s="85"/>
      <c r="RA17" s="86"/>
      <c r="RB17" s="136" t="str">
        <f>IFERROR((((COUNTIF('Elève (6ème4)'!QY17:RA17,"A"))*4)+((COUNTIF('Elève (6ème4)'!QY17:RA17,"B"))*3)+((COUNTIF('Elève (6ème4)'!QY17:RA17,"C"))*2)+((COUNTIF('Elève (6ème4)'!QY17:RA17,"D"))*1))/(COUNTA(QY17:RA17)),"")</f>
        <v/>
      </c>
      <c r="RC17" s="137" t="str">
        <f t="shared" si="109"/>
        <v/>
      </c>
      <c r="RD17" s="84"/>
      <c r="RE17" s="85"/>
      <c r="RF17" s="86"/>
      <c r="RG17" s="136" t="str">
        <f>IFERROR((((COUNTIF('Elève (6ème4)'!RD17:RF17,"A"))*4)+((COUNTIF('Elève (6ème4)'!RD17:RF17,"B"))*3)+((COUNTIF('Elève (6ème4)'!RD17:RF17,"C"))*2)+((COUNTIF('Elève (6ème4)'!RD17:RF17,"D"))*1))/(COUNTA(RD17:RF17)),"")</f>
        <v/>
      </c>
      <c r="RH17" s="137" t="str">
        <f t="shared" si="110"/>
        <v/>
      </c>
      <c r="RI17" s="180" t="str">
        <f>IF(COUNT(QW17,RB17,RG17)=0,"",SUM(QW17,RB17,RG17)/COUNT(QW17,RB17,RG17))</f>
        <v/>
      </c>
      <c r="RJ17" s="133" t="str">
        <f t="shared" si="111"/>
        <v/>
      </c>
      <c r="RK17" s="159"/>
      <c r="RL17" s="160"/>
      <c r="RM17" s="161"/>
      <c r="RN17" s="136" t="str">
        <f>IFERROR((((COUNTIF('Elève (6ème4)'!RK17:RM17,"A"))*4)+((COUNTIF('Elève (6ème4)'!RK17:RM17,"B"))*3)+((COUNTIF('Elève (6ème4)'!RK17:RM17,"C"))*2)+((COUNTIF('Elève (6ème4)'!RK17:RM17,"D"))*1))/(COUNTA(RK17:RM17)),"")</f>
        <v/>
      </c>
      <c r="RO17" s="137" t="str">
        <f t="shared" si="112"/>
        <v/>
      </c>
      <c r="RP17" s="84"/>
      <c r="RQ17" s="85"/>
      <c r="RR17" s="86"/>
      <c r="RS17" s="136" t="str">
        <f>IFERROR((((COUNTIF('Elève (6ème4)'!RP17:RR17,"A"))*4)+((COUNTIF('Elève (6ème4)'!RP17:RR17,"B"))*3)+((COUNTIF('Elève (6ème4)'!RP17:RR17,"C"))*2)+((COUNTIF('Elève (6ème4)'!RP17:RR17,"D"))*1))/(COUNTA(RP17:RR17)),"")</f>
        <v/>
      </c>
      <c r="RT17" s="137" t="str">
        <f t="shared" si="113"/>
        <v/>
      </c>
      <c r="RU17" s="84"/>
      <c r="RV17" s="85"/>
      <c r="RW17" s="86"/>
      <c r="RX17" s="136" t="str">
        <f>IFERROR((((COUNTIF('Elève (6ème4)'!RU17:RW17,"A"))*4)+((COUNTIF('Elève (6ème4)'!RU17:RW17,"B"))*3)+((COUNTIF('Elève (6ème4)'!RU17:RW17,"C"))*2)+((COUNTIF('Elève (6ème4)'!RU17:RW17,"D"))*1))/(COUNTA(RU17:RW17)),"")</f>
        <v/>
      </c>
      <c r="RY17" s="137" t="str">
        <f t="shared" si="114"/>
        <v/>
      </c>
      <c r="RZ17" s="180" t="str">
        <f>IF(COUNT(RN17,RS17,RX17)=0,"",SUM(RN17,RS17,RX17)/COUNT(RN17,RS17,RX17))</f>
        <v/>
      </c>
      <c r="SA17" s="133" t="str">
        <f t="shared" si="115"/>
        <v/>
      </c>
      <c r="SB17" s="159"/>
      <c r="SC17" s="160"/>
      <c r="SD17" s="161"/>
      <c r="SE17" s="136" t="str">
        <f>IFERROR((((COUNTIF('Elève (6ème4)'!SB17:SD17,"A"))*4)+((COUNTIF('Elève (6ème4)'!SB17:SD17,"B"))*3)+((COUNTIF('Elève (6ème4)'!SB17:SD17,"C"))*2)+((COUNTIF('Elève (6ème4)'!SB17:SD17,"D"))*1))/(COUNTA(SB17:SD17)),"")</f>
        <v/>
      </c>
      <c r="SF17" s="137" t="str">
        <f t="shared" si="116"/>
        <v/>
      </c>
      <c r="SG17" s="84"/>
      <c r="SH17" s="85"/>
      <c r="SI17" s="86"/>
      <c r="SJ17" s="136" t="str">
        <f>IFERROR((((COUNTIF('Elève (6ème4)'!SG17:SI17,"A"))*4)+((COUNTIF('Elève (6ème4)'!SG17:SI17,"B"))*3)+((COUNTIF('Elève (6ème4)'!SG17:SI17,"C"))*2)+((COUNTIF('Elève (6ème4)'!SG17:SI17,"D"))*1))/(COUNTA(SG17:SI17)),"")</f>
        <v/>
      </c>
      <c r="SK17" s="137" t="str">
        <f t="shared" si="117"/>
        <v/>
      </c>
      <c r="SL17" s="84"/>
      <c r="SM17" s="85"/>
      <c r="SN17" s="86"/>
      <c r="SO17" s="136" t="str">
        <f>IFERROR((((COUNTIF('Elève (6ème4)'!SL17:SN17,"A"))*4)+((COUNTIF('Elève (6ème4)'!SL17:SN17,"B"))*3)+((COUNTIF('Elève (6ème4)'!SL17:SN17,"C"))*2)+((COUNTIF('Elève (6ème4)'!SL17:SN17,"D"))*1))/(COUNTA(SL17:SN17)),"")</f>
        <v/>
      </c>
      <c r="SP17" s="137" t="str">
        <f t="shared" si="118"/>
        <v/>
      </c>
      <c r="SQ17" s="180" t="str">
        <f>IF(COUNT(SE17,SJ17,SO17)=0,"",SUM(SE17,SJ17,SO17)/COUNT(SE17,SJ17,SO17))</f>
        <v/>
      </c>
      <c r="SR17" s="133" t="str">
        <f t="shared" si="119"/>
        <v/>
      </c>
    </row>
    <row r="18" spans="1:512" s="77" customFormat="1" ht="16.5" customHeight="1" thickBot="1" x14ac:dyDescent="0.3">
      <c r="A18" s="96" t="s">
        <v>21</v>
      </c>
      <c r="B18" s="88">
        <v>1</v>
      </c>
      <c r="C18" s="152"/>
      <c r="D18" s="190"/>
      <c r="E18" s="185"/>
      <c r="F18" s="129">
        <f>IFERROR((((COUNTIF('Elève (6ème4)'!C19:E19,"A"))*4)+((COUNTIF('Elève (6ème4)'!C19:E19,"B"))*3)+((COUNTIF('Elève (6ème4)'!C19:E19,"C"))*2)+((COUNTIF('Elève (6ème4)'!C19:E19,"D"))*1))/(COUNTA(C19:E19)),"")</f>
        <v>4</v>
      </c>
      <c r="G18" s="107" t="str">
        <f t="shared" si="0"/>
        <v>A</v>
      </c>
      <c r="H18" s="204"/>
      <c r="I18" s="186"/>
      <c r="J18" s="205"/>
      <c r="K18" s="129" t="str">
        <f>IFERROR((((COUNTIF('Elève (6ème4)'!H19:J19,"A"))*4)+((COUNTIF('Elève (6ème4)'!H19:J19,"B"))*3)+((COUNTIF('Elève (6ème4)'!H19:J19,"C"))*2)+((COUNTIF('Elève (6ème4)'!H19:J19,"D"))*1))/(COUNTA(H19:J19)),"")</f>
        <v/>
      </c>
      <c r="L18" s="121" t="str">
        <f t="shared" si="1"/>
        <v/>
      </c>
      <c r="M18" s="100"/>
      <c r="N18" s="187"/>
      <c r="O18" s="188"/>
      <c r="P18" s="129" t="str">
        <f>IFERROR((((COUNTIF('Elève (6ème4)'!M19:O19,"A"))*4)+((COUNTIF('Elève (6ème4)'!M19:O19,"B"))*3)+((COUNTIF('Elève (6ème4)'!M19:O19,"C"))*2)+((COUNTIF('Elève (6ème4)'!M19:O19,"D"))*1))/(COUNTA(M19:O19)),"")</f>
        <v/>
      </c>
      <c r="Q18" s="128" t="str">
        <f t="shared" si="2"/>
        <v/>
      </c>
      <c r="R18" s="177">
        <f>IFERROR((((COUNTIF(C19:E19,"A")+COUNTIF(H19:J19,"A")+COUNTIF(M19:O19,"A"))*4)+((COUNTIF(C19:E19,"B")+COUNTIF(H19:J19,"B")+COUNTIF(M19:O19,"B"))*3)+((COUNTIF(C19:E19,"C")+COUNTIF(H19:J19,"C")+COUNTIF(M19:O19,"C"))*2)+((COUNTIF(C19:E19,"D")+COUNTIF(H19:J19,"D")+COUNTIF(M19:O19,"D"))*1))/(COUNTA(C19:E19)+COUNTA(H19:J19)+COUNTA(M19:O19)),"")</f>
        <v>4</v>
      </c>
      <c r="S18" s="130" t="str">
        <f t="shared" si="3"/>
        <v>A</v>
      </c>
      <c r="T18" s="152"/>
      <c r="U18" s="190"/>
      <c r="V18" s="185"/>
      <c r="W18" s="129">
        <f>IFERROR((((COUNTIF('Elève (6ème4)'!T19:V19,"A"))*4)+((COUNTIF('Elève (6ème4)'!T19:V19,"B"))*3)+((COUNTIF('Elève (6ème4)'!T19:V19,"C"))*2)+((COUNTIF('Elève (6ème4)'!T19:V19,"D"))*1))/(COUNTA(T19:V19)),"")</f>
        <v>4</v>
      </c>
      <c r="X18" s="107" t="str">
        <f t="shared" si="4"/>
        <v>A</v>
      </c>
      <c r="Y18" s="204"/>
      <c r="Z18" s="186"/>
      <c r="AA18" s="205"/>
      <c r="AB18" s="129" t="str">
        <f>IFERROR((((COUNTIF('Elève (6ème4)'!Y19:AA19,"A"))*4)+((COUNTIF('Elève (6ème4)'!Y19:AA19,"B"))*3)+((COUNTIF('Elève (6ème4)'!Y19:AA19,"C"))*2)+((COUNTIF('Elève (6ème4)'!Y19:AA19,"D"))*1))/(COUNTA(Y19:AA19)),"")</f>
        <v/>
      </c>
      <c r="AC18" s="121" t="str">
        <f t="shared" si="5"/>
        <v/>
      </c>
      <c r="AD18" s="100"/>
      <c r="AE18" s="187"/>
      <c r="AF18" s="188"/>
      <c r="AG18" s="129" t="str">
        <f>IFERROR((((COUNTIF('Elève (6ème4)'!AD19:AF19,"A"))*4)+((COUNTIF('Elève (6ème4)'!AD19:AF19,"B"))*3)+((COUNTIF('Elève (6ème4)'!AD19:AF19,"C"))*2)+((COUNTIF('Elève (6ème4)'!AD19:AF19,"D"))*1))/(COUNTA(AD19:AF19)),"")</f>
        <v/>
      </c>
      <c r="AH18" s="128" t="str">
        <f t="shared" si="6"/>
        <v/>
      </c>
      <c r="AI18" s="177">
        <f>IFERROR((((COUNTIF(T19:V19,"A")+COUNTIF(Y19:AA19,"A")+COUNTIF(AD19:AF19,"A"))*4)+((COUNTIF(T19:V19,"B")+COUNTIF(Y19:AA19,"B")+COUNTIF(AD19:AF19,"B"))*3)+((COUNTIF(T19:V19,"C")+COUNTIF(Y19:AA19,"C")+COUNTIF(AD19:AF19,"C"))*2)+((COUNTIF(T19:V19,"D")+COUNTIF(Y19:AA19,"D")+COUNTIF(AD19:AF19,"D"))*1))/(COUNTA(T19:V19)+COUNTA(Y19:AA19)+COUNTA(AD19:AF19)),"")</f>
        <v>4</v>
      </c>
      <c r="AJ18" s="130" t="str">
        <f t="shared" si="7"/>
        <v>A</v>
      </c>
      <c r="AK18" s="152"/>
      <c r="AL18" s="190"/>
      <c r="AM18" s="185"/>
      <c r="AN18" s="129">
        <f>IFERROR((((COUNTIF('Elève (6ème4)'!AK19:AM19,"A"))*4)+((COUNTIF('Elève (6ème4)'!AK19:AM19,"B"))*3)+((COUNTIF('Elève (6ème4)'!AK19:AM19,"C"))*2)+((COUNTIF('Elève (6ème4)'!AK19:AM19,"D"))*1))/(COUNTA(AK19:AM19)),"")</f>
        <v>4</v>
      </c>
      <c r="AO18" s="107" t="str">
        <f t="shared" si="8"/>
        <v>A</v>
      </c>
      <c r="AP18" s="204"/>
      <c r="AQ18" s="186"/>
      <c r="AR18" s="205"/>
      <c r="AS18" s="129" t="str">
        <f>IFERROR((((COUNTIF('Elève (6ème4)'!AP19:AR19,"A"))*4)+((COUNTIF('Elève (6ème4)'!AP19:AR19,"B"))*3)+((COUNTIF('Elève (6ème4)'!AP19:AR19,"C"))*2)+((COUNTIF('Elève (6ème4)'!AP19:AR19,"D"))*1))/(COUNTA(AP19:AR19)),"")</f>
        <v/>
      </c>
      <c r="AT18" s="121" t="str">
        <f t="shared" si="9"/>
        <v/>
      </c>
      <c r="AU18" s="100"/>
      <c r="AV18" s="187"/>
      <c r="AW18" s="188"/>
      <c r="AX18" s="129" t="str">
        <f>IFERROR((((COUNTIF('Elève (6ème4)'!AU19:AW19,"A"))*4)+((COUNTIF('Elève (6ème4)'!AU19:AW19,"B"))*3)+((COUNTIF('Elève (6ème4)'!AU19:AW19,"C"))*2)+((COUNTIF('Elève (6ème4)'!AU19:AW19,"D"))*1))/(COUNTA(AU19:AW19)),"")</f>
        <v/>
      </c>
      <c r="AY18" s="128" t="str">
        <f t="shared" si="10"/>
        <v/>
      </c>
      <c r="AZ18" s="177">
        <f>IFERROR((((COUNTIF(AK19:AM19,"A")+COUNTIF(AP19:AR19,"A")+COUNTIF(AU19:AW19,"A"))*4)+((COUNTIF(AK19:AM19,"B")+COUNTIF(AP19:AR19,"B")+COUNTIF(AU19:AW19,"B"))*3)+((COUNTIF(AK19:AM19,"C")+COUNTIF(AP19:AR19,"C")+COUNTIF(AU19:AW19,"C"))*2)+((COUNTIF(AK19:AM19,"D")+COUNTIF(AP19:AR19,"D")+COUNTIF(AU19:AW19,"D"))*1))/(COUNTA(AK19:AM19)+COUNTA(AP19:AR19)+COUNTA(AU19:AW19)),"")</f>
        <v>4</v>
      </c>
      <c r="BA18" s="130" t="str">
        <f t="shared" si="11"/>
        <v>A</v>
      </c>
      <c r="BB18" s="152"/>
      <c r="BC18" s="190"/>
      <c r="BD18" s="185"/>
      <c r="BE18" s="129" t="str">
        <f>IFERROR((((COUNTIF('Elève (6ème4)'!BB19:BD19,"A"))*4)+((COUNTIF('Elève (6ème4)'!BB19:BD19,"B"))*3)+((COUNTIF('Elève (6ème4)'!BB19:BD19,"C"))*2)+((COUNTIF('Elève (6ème4)'!BB19:BD19,"D"))*1))/(COUNTA(BB19:BD19)),"")</f>
        <v/>
      </c>
      <c r="BF18" s="107" t="str">
        <f t="shared" si="12"/>
        <v/>
      </c>
      <c r="BG18" s="204"/>
      <c r="BH18" s="186"/>
      <c r="BI18" s="205"/>
      <c r="BJ18" s="129" t="str">
        <f>IFERROR((((COUNTIF('Elève (6ème4)'!BG19:BI19,"A"))*4)+((COUNTIF('Elève (6ème4)'!BG19:BI19,"B"))*3)+((COUNTIF('Elève (6ème4)'!BG19:BI19,"C"))*2)+((COUNTIF('Elève (6ème4)'!BG19:BI19,"D"))*1))/(COUNTA(BG19:BI19)),"")</f>
        <v/>
      </c>
      <c r="BK18" s="121" t="str">
        <f t="shared" si="13"/>
        <v/>
      </c>
      <c r="BL18" s="100"/>
      <c r="BM18" s="187"/>
      <c r="BN18" s="188"/>
      <c r="BO18" s="129" t="str">
        <f>IFERROR((((COUNTIF('Elève (6ème4)'!BL19:BN19,"A"))*4)+((COUNTIF('Elève (6ème4)'!BL19:BN19,"B"))*3)+((COUNTIF('Elève (6ème4)'!BL19:BN19,"C"))*2)+((COUNTIF('Elève (6ème4)'!BL19:BN19,"D"))*1))/(COUNTA(BL19:BN19)),"")</f>
        <v/>
      </c>
      <c r="BP18" s="128" t="str">
        <f t="shared" si="14"/>
        <v/>
      </c>
      <c r="BQ18" s="177" t="str">
        <f>IFERROR((((COUNTIF(BB19:BD19,"A")+COUNTIF(BG19:BI19,"A")+COUNTIF(BL19:BN19,"A"))*4)+((COUNTIF(BB19:BD19,"B")+COUNTIF(BG19:BI19,"B")+COUNTIF(BL19:BN19,"B"))*3)+((COUNTIF(BB19:BD19,"C")+COUNTIF(BG19:BI19,"C")+COUNTIF(BL19:BN19,"C"))*2)+((COUNTIF(BB19:BD19,"D")+COUNTIF(BG19:BI19,"D")+COUNTIF(BL19:BN19,"D"))*1))/(COUNTA(BB19:BD19)+COUNTA(BG19:BI19)+COUNTA(BL19:BN19)),"")</f>
        <v/>
      </c>
      <c r="BR18" s="130" t="str">
        <f t="shared" si="15"/>
        <v/>
      </c>
      <c r="BS18" s="152"/>
      <c r="BT18" s="190"/>
      <c r="BU18" s="185"/>
      <c r="BV18" s="129">
        <f>IFERROR((((COUNTIF('Elève (6ème4)'!BS19:BU19,"A"))*4)+((COUNTIF('Elève (6ème4)'!BS19:BU19,"B"))*3)+((COUNTIF('Elève (6ème4)'!BS19:BU19,"C"))*2)+((COUNTIF('Elève (6ème4)'!BS19:BU19,"D"))*1))/(COUNTA(BS19:BU19)),"")</f>
        <v>4</v>
      </c>
      <c r="BW18" s="107" t="str">
        <f t="shared" si="16"/>
        <v>A</v>
      </c>
      <c r="BX18" s="204"/>
      <c r="BY18" s="186"/>
      <c r="BZ18" s="205"/>
      <c r="CA18" s="129" t="str">
        <f>IFERROR((((COUNTIF('Elève (6ème4)'!BX19:BZ19,"A"))*4)+((COUNTIF('Elève (6ème4)'!BX19:BZ19,"B"))*3)+((COUNTIF('Elève (6ème4)'!BX19:BZ19,"C"))*2)+((COUNTIF('Elève (6ème4)'!BX19:BZ19,"D"))*1))/(COUNTA(BX19:BZ19)),"")</f>
        <v/>
      </c>
      <c r="CB18" s="121" t="str">
        <f t="shared" si="17"/>
        <v/>
      </c>
      <c r="CC18" s="100"/>
      <c r="CD18" s="187"/>
      <c r="CE18" s="188"/>
      <c r="CF18" s="129" t="str">
        <f>IFERROR((((COUNTIF('Elève (6ème4)'!CC19:CE19,"A"))*4)+((COUNTIF('Elève (6ème4)'!CC19:CE19,"B"))*3)+((COUNTIF('Elève (6ème4)'!CC19:CE19,"C"))*2)+((COUNTIF('Elève (6ème4)'!CC19:CE19,"D"))*1))/(COUNTA(CC19:CE19)),"")</f>
        <v/>
      </c>
      <c r="CG18" s="128" t="str">
        <f t="shared" si="18"/>
        <v/>
      </c>
      <c r="CH18" s="177">
        <f>IFERROR((((COUNTIF(BS19:BU19,"A")+COUNTIF(BX19:BZ19,"A")+COUNTIF(CC19:CE19,"A"))*4)+((COUNTIF(BS19:BU19,"B")+COUNTIF(BX19:BZ19,"B")+COUNTIF(CC19:CE19,"B"))*3)+((COUNTIF(BS19:BU19,"C")+COUNTIF(BX19:BZ19,"C")+COUNTIF(CC19:CE19,"C"))*2)+((COUNTIF(BS19:BU19,"D")+COUNTIF(BX19:BZ19,"D")+COUNTIF(CC19:CE19,"D"))*1))/(COUNTA(BS19:BU19)+COUNTA(BX19:BZ19)+COUNTA(CC19:CE19)),"")</f>
        <v>4</v>
      </c>
      <c r="CI18" s="130" t="str">
        <f t="shared" si="19"/>
        <v>A</v>
      </c>
      <c r="CJ18" s="152"/>
      <c r="CK18" s="190"/>
      <c r="CL18" s="185"/>
      <c r="CM18" s="129" t="str">
        <f>IFERROR((((COUNTIF('Elève (6ème4)'!CJ19:CL19,"A"))*4)+((COUNTIF('Elève (6ème4)'!CJ19:CL19,"B"))*3)+((COUNTIF('Elève (6ème4)'!CJ19:CL19,"C"))*2)+((COUNTIF('Elève (6ème4)'!CJ19:CL19,"D"))*1))/(COUNTA(CJ19:CL19)),"")</f>
        <v/>
      </c>
      <c r="CN18" s="107" t="str">
        <f t="shared" si="20"/>
        <v/>
      </c>
      <c r="CO18" s="204"/>
      <c r="CP18" s="186"/>
      <c r="CQ18" s="205"/>
      <c r="CR18" s="129" t="str">
        <f>IFERROR((((COUNTIF('Elève (6ème4)'!CO19:CQ19,"A"))*4)+((COUNTIF('Elève (6ème4)'!CO19:CQ19,"B"))*3)+((COUNTIF('Elève (6ème4)'!CO19:CQ19,"C"))*2)+((COUNTIF('Elève (6ème4)'!CO19:CQ19,"D"))*1))/(COUNTA(CO19:CQ19)),"")</f>
        <v/>
      </c>
      <c r="CS18" s="121" t="str">
        <f t="shared" si="21"/>
        <v/>
      </c>
      <c r="CT18" s="100"/>
      <c r="CU18" s="187"/>
      <c r="CV18" s="188"/>
      <c r="CW18" s="129" t="str">
        <f>IFERROR((((COUNTIF('Elève (6ème4)'!CT19:CV19,"A"))*4)+((COUNTIF('Elève (6ème4)'!CT19:CV19,"B"))*3)+((COUNTIF('Elève (6ème4)'!CT19:CV19,"C"))*2)+((COUNTIF('Elève (6ème4)'!CT19:CV19,"D"))*1))/(COUNTA(CT19:CV19)),"")</f>
        <v/>
      </c>
      <c r="CX18" s="128" t="str">
        <f t="shared" si="22"/>
        <v/>
      </c>
      <c r="CY18" s="177" t="str">
        <f>IFERROR((((COUNTIF(CJ19:CL19,"A")+COUNTIF(CO19:CQ19,"A")+COUNTIF(CT19:CV19,"A"))*4)+((COUNTIF(CJ19:CL19,"B")+COUNTIF(CO19:CQ19,"B")+COUNTIF(CT19:CV19,"B"))*3)+((COUNTIF(CJ19:CL19,"C")+COUNTIF(CO19:CQ19,"C")+COUNTIF(CT19:CV19,"C"))*2)+((COUNTIF(CJ19:CL19,"D")+COUNTIF(CO19:CQ19,"D")+COUNTIF(CT19:CV19,"D"))*1))/(COUNTA(CJ19:CL19)+COUNTA(CO19:CQ19)+COUNTA(CT19:CV19)),"")</f>
        <v/>
      </c>
      <c r="CZ18" s="130" t="str">
        <f t="shared" si="23"/>
        <v/>
      </c>
      <c r="DA18" s="152"/>
      <c r="DB18" s="190"/>
      <c r="DC18" s="185"/>
      <c r="DD18" s="129" t="str">
        <f>IFERROR((((COUNTIF('Elève (6ème4)'!DA19:DC19,"A"))*4)+((COUNTIF('Elève (6ème4)'!DA19:DC19,"B"))*3)+((COUNTIF('Elève (6ème4)'!DA19:DC19,"C"))*2)+((COUNTIF('Elève (6ème4)'!DA19:DC19,"D"))*1))/(COUNTA(DA19:DC19)),"")</f>
        <v/>
      </c>
      <c r="DE18" s="107" t="str">
        <f t="shared" si="24"/>
        <v/>
      </c>
      <c r="DF18" s="204"/>
      <c r="DG18" s="186"/>
      <c r="DH18" s="205"/>
      <c r="DI18" s="129" t="str">
        <f>IFERROR((((COUNTIF('Elève (6ème4)'!DF19:DH19,"A"))*4)+((COUNTIF('Elève (6ème4)'!DF19:DH19,"B"))*3)+((COUNTIF('Elève (6ème4)'!DF19:DH19,"C"))*2)+((COUNTIF('Elève (6ème4)'!DF19:DH19,"D"))*1))/(COUNTA(DF19:DH19)),"")</f>
        <v/>
      </c>
      <c r="DJ18" s="121" t="str">
        <f t="shared" si="25"/>
        <v/>
      </c>
      <c r="DK18" s="100"/>
      <c r="DL18" s="187"/>
      <c r="DM18" s="188"/>
      <c r="DN18" s="129" t="str">
        <f>IFERROR((((COUNTIF('Elève (6ème4)'!DK19:DM19,"A"))*4)+((COUNTIF('Elève (6ème4)'!DK19:DM19,"B"))*3)+((COUNTIF('Elève (6ème4)'!DK19:DM19,"C"))*2)+((COUNTIF('Elève (6ème4)'!DK19:DM19,"D"))*1))/(COUNTA(DK19:DM19)),"")</f>
        <v/>
      </c>
      <c r="DO18" s="128" t="str">
        <f t="shared" si="26"/>
        <v/>
      </c>
      <c r="DP18" s="177" t="str">
        <f>IFERROR((((COUNTIF(DA19:DC19,"A")+COUNTIF(DF19:DH19,"A")+COUNTIF(DK19:DM19,"A"))*4)+((COUNTIF(DA19:DC19,"B")+COUNTIF(DF19:DH19,"B")+COUNTIF(DK19:DM19,"B"))*3)+((COUNTIF(DA19:DC19,"C")+COUNTIF(DF19:DH19,"C")+COUNTIF(DK19:DM19,"C"))*2)+((COUNTIF(DA19:DC19,"D")+COUNTIF(DF19:DH19,"D")+COUNTIF(DK19:DM19,"D"))*1))/(COUNTA(DA19:DC19)+COUNTA(DF19:DH19)+COUNTA(DK19:DM19)),"")</f>
        <v/>
      </c>
      <c r="DQ18" s="130" t="str">
        <f t="shared" si="27"/>
        <v/>
      </c>
      <c r="DR18" s="152"/>
      <c r="DS18" s="190"/>
      <c r="DT18" s="185"/>
      <c r="DU18" s="129">
        <f>IFERROR((((COUNTIF('Elève (6ème4)'!DR19:DT19,"A"))*4)+((COUNTIF('Elève (6ème4)'!DR19:DT19,"B"))*3)+((COUNTIF('Elève (6ème4)'!DR19:DT19,"C"))*2)+((COUNTIF('Elève (6ème4)'!DR19:DT19,"D"))*1))/(COUNTA(DR19:DT19)),"")</f>
        <v>4</v>
      </c>
      <c r="DV18" s="107" t="str">
        <f t="shared" si="28"/>
        <v>A</v>
      </c>
      <c r="DW18" s="204"/>
      <c r="DX18" s="186"/>
      <c r="DY18" s="205"/>
      <c r="DZ18" s="129" t="str">
        <f>IFERROR((((COUNTIF('Elève (6ème4)'!DW19:DY19,"A"))*4)+((COUNTIF('Elève (6ème4)'!DW19:DY19,"B"))*3)+((COUNTIF('Elève (6ème4)'!DW19:DY19,"C"))*2)+((COUNTIF('Elève (6ème4)'!DW19:DY19,"D"))*1))/(COUNTA(DW19:DY19)),"")</f>
        <v/>
      </c>
      <c r="EA18" s="121" t="str">
        <f t="shared" si="29"/>
        <v/>
      </c>
      <c r="EB18" s="100"/>
      <c r="EC18" s="187"/>
      <c r="ED18" s="188"/>
      <c r="EE18" s="129" t="str">
        <f>IFERROR((((COUNTIF('Elève (6ème4)'!EB19:ED19,"A"))*4)+((COUNTIF('Elève (6ème4)'!EB19:ED19,"B"))*3)+((COUNTIF('Elève (6ème4)'!EB19:ED19,"C"))*2)+((COUNTIF('Elève (6ème4)'!EB19:ED19,"D"))*1))/(COUNTA(EB19:ED19)),"")</f>
        <v/>
      </c>
      <c r="EF18" s="128" t="str">
        <f t="shared" si="30"/>
        <v/>
      </c>
      <c r="EG18" s="177">
        <f>IFERROR((((COUNTIF(DR19:DT19,"A")+COUNTIF(DW19:DY19,"A")+COUNTIF(EB19:ED19,"A"))*4)+((COUNTIF(DR19:DT19,"B")+COUNTIF(DW19:DY19,"B")+COUNTIF(EB19:ED19,"B"))*3)+((COUNTIF(DR19:DT19,"C")+COUNTIF(DW19:DY19,"C")+COUNTIF(EB19:ED19,"C"))*2)+((COUNTIF(DR19:DT19,"D")+COUNTIF(DW19:DY19,"D")+COUNTIF(EB19:ED19,"D"))*1))/(COUNTA(DR19:DT19)+COUNTA(DW19:DY19)+COUNTA(EB19:ED19)),"")</f>
        <v>4</v>
      </c>
      <c r="EH18" s="130" t="str">
        <f t="shared" si="31"/>
        <v>A</v>
      </c>
      <c r="EI18" s="152"/>
      <c r="EJ18" s="190"/>
      <c r="EK18" s="185"/>
      <c r="EL18" s="129">
        <f>IFERROR((((COUNTIF('Elève (6ème4)'!EI19:EK19,"A"))*4)+((COUNTIF('Elève (6ème4)'!EI19:EK19,"B"))*3)+((COUNTIF('Elève (6ème4)'!EI19:EK19,"C"))*2)+((COUNTIF('Elève (6ème4)'!EI19:EK19,"D"))*1))/(COUNTA(EI19:EK19)),"")</f>
        <v>4</v>
      </c>
      <c r="EM18" s="107" t="str">
        <f t="shared" si="32"/>
        <v>A</v>
      </c>
      <c r="EN18" s="204"/>
      <c r="EO18" s="186"/>
      <c r="EP18" s="205"/>
      <c r="EQ18" s="129" t="str">
        <f>IFERROR((((COUNTIF('Elève (6ème4)'!EN19:EP19,"A"))*4)+((COUNTIF('Elève (6ème4)'!EN19:EP19,"B"))*3)+((COUNTIF('Elève (6ème4)'!EN19:EP19,"C"))*2)+((COUNTIF('Elève (6ème4)'!EN19:EP19,"D"))*1))/(COUNTA(EN19:EP19)),"")</f>
        <v/>
      </c>
      <c r="ER18" s="121" t="str">
        <f t="shared" si="33"/>
        <v/>
      </c>
      <c r="ES18" s="100"/>
      <c r="ET18" s="187"/>
      <c r="EU18" s="188"/>
      <c r="EV18" s="129" t="str">
        <f>IFERROR((((COUNTIF('Elève (6ème4)'!ES19:EU19,"A"))*4)+((COUNTIF('Elève (6ème4)'!ES19:EU19,"B"))*3)+((COUNTIF('Elève (6ème4)'!ES19:EU19,"C"))*2)+((COUNTIF('Elève (6ème4)'!ES19:EU19,"D"))*1))/(COUNTA(ES19:EU19)),"")</f>
        <v/>
      </c>
      <c r="EW18" s="128" t="str">
        <f t="shared" si="34"/>
        <v/>
      </c>
      <c r="EX18" s="177">
        <f>IFERROR((((COUNTIF(EI19:EK19,"A")+COUNTIF(EN19:EP19,"A")+COUNTIF(ES19:EU19,"A"))*4)+((COUNTIF(EI19:EK19,"B")+COUNTIF(EN19:EP19,"B")+COUNTIF(ES19:EU19,"B"))*3)+((COUNTIF(EI19:EK19,"C")+COUNTIF(EN19:EP19,"C")+COUNTIF(ES19:EU19,"C"))*2)+((COUNTIF(EI19:EK19,"D")+COUNTIF(EN19:EP19,"D")+COUNTIF(ES19:EU19,"D"))*1))/(COUNTA(EI19:EK19)+COUNTA(EN19:EP19)+COUNTA(ES19:EU19)),"")</f>
        <v>4</v>
      </c>
      <c r="EY18" s="130" t="str">
        <f t="shared" si="35"/>
        <v>A</v>
      </c>
      <c r="EZ18" s="152"/>
      <c r="FA18" s="190"/>
      <c r="FB18" s="185"/>
      <c r="FC18" s="129">
        <f>IFERROR((((COUNTIF('Elève (6ème4)'!EZ19:FB19,"A"))*4)+((COUNTIF('Elève (6ème4)'!EZ19:FB19,"B"))*3)+((COUNTIF('Elève (6ème4)'!EZ19:FB19,"C"))*2)+((COUNTIF('Elève (6ème4)'!EZ19:FB19,"D"))*1))/(COUNTA(EZ19:FB19)),"")</f>
        <v>4</v>
      </c>
      <c r="FD18" s="107" t="str">
        <f t="shared" si="36"/>
        <v>A</v>
      </c>
      <c r="FE18" s="204"/>
      <c r="FF18" s="186"/>
      <c r="FG18" s="205"/>
      <c r="FH18" s="129" t="str">
        <f>IFERROR((((COUNTIF('Elève (6ème4)'!FE19:FG19,"A"))*4)+((COUNTIF('Elève (6ème4)'!FE19:FG19,"B"))*3)+((COUNTIF('Elève (6ème4)'!FE19:FG19,"C"))*2)+((COUNTIF('Elève (6ème4)'!FE19:FG19,"D"))*1))/(COUNTA(FE19:FG19)),"")</f>
        <v/>
      </c>
      <c r="FI18" s="121" t="str">
        <f t="shared" si="37"/>
        <v/>
      </c>
      <c r="FJ18" s="100"/>
      <c r="FK18" s="187"/>
      <c r="FL18" s="188"/>
      <c r="FM18" s="129" t="str">
        <f>IFERROR((((COUNTIF('Elève (6ème4)'!FJ19:FL19,"A"))*4)+((COUNTIF('Elève (6ème4)'!FJ19:FL19,"B"))*3)+((COUNTIF('Elève (6ème4)'!FJ19:FL19,"C"))*2)+((COUNTIF('Elève (6ème4)'!FJ19:FL19,"D"))*1))/(COUNTA(FJ19:FL19)),"")</f>
        <v/>
      </c>
      <c r="FN18" s="128" t="str">
        <f t="shared" si="38"/>
        <v/>
      </c>
      <c r="FO18" s="177">
        <f>IFERROR((((COUNTIF(EZ19:FB19,"A")+COUNTIF(FE19:FG19,"A")+COUNTIF(FJ19:FL19,"A"))*4)+((COUNTIF(EZ19:FB19,"B")+COUNTIF(FE19:FG19,"B")+COUNTIF(FJ19:FL19,"B"))*3)+((COUNTIF(EZ19:FB19,"C")+COUNTIF(FE19:FG19,"C")+COUNTIF(FJ19:FL19,"C"))*2)+((COUNTIF(EZ19:FB19,"D")+COUNTIF(FE19:FG19,"D")+COUNTIF(FJ19:FL19,"D"))*1))/(COUNTA(EZ19:FB19)+COUNTA(FE19:FG19)+COUNTA(FJ19:FL19)),"")</f>
        <v>4</v>
      </c>
      <c r="FP18" s="130" t="str">
        <f t="shared" si="39"/>
        <v>A</v>
      </c>
      <c r="FQ18" s="152"/>
      <c r="FR18" s="190"/>
      <c r="FS18" s="185"/>
      <c r="FT18" s="129">
        <f>IFERROR((((COUNTIF('Elève (6ème4)'!FQ19:FS19,"A"))*4)+((COUNTIF('Elève (6ème4)'!FQ19:FS19,"B"))*3)+((COUNTIF('Elève (6ème4)'!FQ19:FS19,"C"))*2)+((COUNTIF('Elève (6ème4)'!FQ19:FS19,"D"))*1))/(COUNTA(FQ19:FS19)),"")</f>
        <v>4</v>
      </c>
      <c r="FU18" s="107" t="str">
        <f t="shared" si="40"/>
        <v>A</v>
      </c>
      <c r="FV18" s="204"/>
      <c r="FW18" s="186"/>
      <c r="FX18" s="205"/>
      <c r="FY18" s="129" t="str">
        <f>IFERROR((((COUNTIF('Elève (6ème4)'!FV19:FX19,"A"))*4)+((COUNTIF('Elève (6ème4)'!FV19:FX19,"B"))*3)+((COUNTIF('Elève (6ème4)'!FV19:FX19,"C"))*2)+((COUNTIF('Elève (6ème4)'!FV19:FX19,"D"))*1))/(COUNTA(FV19:FX19)),"")</f>
        <v/>
      </c>
      <c r="FZ18" s="121" t="str">
        <f t="shared" si="41"/>
        <v/>
      </c>
      <c r="GA18" s="100"/>
      <c r="GB18" s="187"/>
      <c r="GC18" s="188"/>
      <c r="GD18" s="129" t="str">
        <f>IFERROR((((COUNTIF('Elève (6ème4)'!GA19:GC19,"A"))*4)+((COUNTIF('Elève (6ème4)'!GA19:GC19,"B"))*3)+((COUNTIF('Elève (6ème4)'!GA19:GC19,"C"))*2)+((COUNTIF('Elève (6ème4)'!GA19:GC19,"D"))*1))/(COUNTA(GA19:GC19)),"")</f>
        <v/>
      </c>
      <c r="GE18" s="128" t="str">
        <f t="shared" si="42"/>
        <v/>
      </c>
      <c r="GF18" s="177">
        <f>IFERROR((((COUNTIF(FQ19:FS19,"A")+COUNTIF(FV19:FX19,"A")+COUNTIF(GA19:GC19,"A"))*4)+((COUNTIF(FQ19:FS19,"B")+COUNTIF(FV19:FX19,"B")+COUNTIF(GA19:GC19,"B"))*3)+((COUNTIF(FQ19:FS19,"C")+COUNTIF(FV19:FX19,"C")+COUNTIF(GA19:GC19,"C"))*2)+((COUNTIF(FQ19:FS19,"D")+COUNTIF(FV19:FX19,"D")+COUNTIF(GA19:GC19,"D"))*1))/(COUNTA(FQ19:FS19)+COUNTA(FV19:FX19)+COUNTA(GA19:GC19)),"")</f>
        <v>4</v>
      </c>
      <c r="GG18" s="130" t="str">
        <f t="shared" si="43"/>
        <v>A</v>
      </c>
      <c r="GH18" s="152"/>
      <c r="GI18" s="190"/>
      <c r="GJ18" s="185"/>
      <c r="GK18" s="129">
        <f>IFERROR((((COUNTIF('Elève (6ème4)'!GH19:GJ19,"A"))*4)+((COUNTIF('Elève (6ème4)'!GH19:GJ19,"B"))*3)+((COUNTIF('Elève (6ème4)'!GH19:GJ19,"C"))*2)+((COUNTIF('Elève (6ème4)'!GH19:GJ19,"D"))*1))/(COUNTA(GH19:GJ19)),"")</f>
        <v>4</v>
      </c>
      <c r="GL18" s="107" t="str">
        <f t="shared" si="44"/>
        <v>A</v>
      </c>
      <c r="GM18" s="204"/>
      <c r="GN18" s="186"/>
      <c r="GO18" s="205"/>
      <c r="GP18" s="129" t="str">
        <f>IFERROR((((COUNTIF('Elève (6ème4)'!GM19:GO19,"A"))*4)+((COUNTIF('Elève (6ème4)'!GM19:GO19,"B"))*3)+((COUNTIF('Elève (6ème4)'!GM19:GO19,"C"))*2)+((COUNTIF('Elève (6ème4)'!GM19:GO19,"D"))*1))/(COUNTA(GM19:GO19)),"")</f>
        <v/>
      </c>
      <c r="GQ18" s="121" t="str">
        <f t="shared" si="45"/>
        <v/>
      </c>
      <c r="GR18" s="100"/>
      <c r="GS18" s="187"/>
      <c r="GT18" s="188"/>
      <c r="GU18" s="129" t="str">
        <f>IFERROR((((COUNTIF('Elève (6ème4)'!GR19:GT19,"A"))*4)+((COUNTIF('Elève (6ème4)'!GR19:GT19,"B"))*3)+((COUNTIF('Elève (6ème4)'!GR19:GT19,"C"))*2)+((COUNTIF('Elève (6ème4)'!GR19:GT19,"D"))*1))/(COUNTA(GR19:GT19)),"")</f>
        <v/>
      </c>
      <c r="GV18" s="128" t="str">
        <f t="shared" si="46"/>
        <v/>
      </c>
      <c r="GW18" s="177">
        <f>IFERROR((((COUNTIF(GH19:GJ19,"A")+COUNTIF(GM19:GO19,"A")+COUNTIF(GR19:GT19,"A"))*4)+((COUNTIF(GH19:GJ19,"B")+COUNTIF(GM19:GO19,"B")+COUNTIF(GR19:GT19,"B"))*3)+((COUNTIF(GH19:GJ19,"C")+COUNTIF(GM19:GO19,"C")+COUNTIF(GR19:GT19,"C"))*2)+((COUNTIF(GH19:GJ19,"D")+COUNTIF(GM19:GO19,"D")+COUNTIF(GR19:GT19,"D"))*1))/(COUNTA(GH19:GJ19)+COUNTA(GM19:GO19)+COUNTA(GR19:GT19)),"")</f>
        <v>4</v>
      </c>
      <c r="GX18" s="130" t="str">
        <f t="shared" si="47"/>
        <v>A</v>
      </c>
      <c r="GY18" s="152"/>
      <c r="GZ18" s="190"/>
      <c r="HA18" s="185"/>
      <c r="HB18" s="129">
        <f>IFERROR((((COUNTIF('Elève (6ème4)'!GY19:HA19,"A"))*4)+((COUNTIF('Elève (6ème4)'!GY19:HA19,"B"))*3)+((COUNTIF('Elève (6ème4)'!GY19:HA19,"C"))*2)+((COUNTIF('Elève (6ème4)'!GY19:HA19,"D"))*1))/(COUNTA(GY19:HA19)),"")</f>
        <v>4</v>
      </c>
      <c r="HC18" s="107" t="str">
        <f t="shared" si="48"/>
        <v>A</v>
      </c>
      <c r="HD18" s="204"/>
      <c r="HE18" s="186"/>
      <c r="HF18" s="205"/>
      <c r="HG18" s="129" t="str">
        <f>IFERROR((((COUNTIF('Elève (6ème4)'!HD19:HF19,"A"))*4)+((COUNTIF('Elève (6ème4)'!HD19:HF19,"B"))*3)+((COUNTIF('Elève (6ème4)'!HD19:HF19,"C"))*2)+((COUNTIF('Elève (6ème4)'!HD19:HF19,"D"))*1))/(COUNTA(HD19:HF19)),"")</f>
        <v/>
      </c>
      <c r="HH18" s="121" t="str">
        <f t="shared" si="49"/>
        <v/>
      </c>
      <c r="HI18" s="100"/>
      <c r="HJ18" s="187"/>
      <c r="HK18" s="188"/>
      <c r="HL18" s="129" t="str">
        <f>IFERROR((((COUNTIF('Elève (6ème4)'!HI19:HK19,"A"))*4)+((COUNTIF('Elève (6ème4)'!HI19:HK19,"B"))*3)+((COUNTIF('Elève (6ème4)'!HI19:HK19,"C"))*2)+((COUNTIF('Elève (6ème4)'!HI19:HK19,"D"))*1))/(COUNTA(HI19:HK19)),"")</f>
        <v/>
      </c>
      <c r="HM18" s="128" t="str">
        <f t="shared" si="50"/>
        <v/>
      </c>
      <c r="HN18" s="177">
        <f>IFERROR((((COUNTIF(GY19:HA19,"A")+COUNTIF(HD19:HF19,"A")+COUNTIF(HI19:HK19,"A"))*4)+((COUNTIF(GY19:HA19,"B")+COUNTIF(HD19:HF19,"B")+COUNTIF(HI19:HK19,"B"))*3)+((COUNTIF(GY19:HA19,"C")+COUNTIF(HD19:HF19,"C")+COUNTIF(HI19:HK19,"C"))*2)+((COUNTIF(GY19:HA19,"D")+COUNTIF(HD19:HF19,"D")+COUNTIF(HI19:HK19,"D"))*1))/(COUNTA(GY19:HA19)+COUNTA(HD19:HF19)+COUNTA(HI19:HK19)),"")</f>
        <v>4</v>
      </c>
      <c r="HO18" s="130" t="str">
        <f t="shared" si="51"/>
        <v>A</v>
      </c>
      <c r="HP18" s="152"/>
      <c r="HQ18" s="190"/>
      <c r="HR18" s="185"/>
      <c r="HS18" s="129" t="str">
        <f>IFERROR((((COUNTIF('Elève (6ème4)'!HP19:HR19,"A"))*4)+((COUNTIF('Elève (6ème4)'!HP19:HR19,"B"))*3)+((COUNTIF('Elève (6ème4)'!HP19:HR19,"C"))*2)+((COUNTIF('Elève (6ème4)'!HP19:HR19,"D"))*1))/(COUNTA(HP19:HR19)),"")</f>
        <v/>
      </c>
      <c r="HT18" s="107" t="str">
        <f t="shared" si="52"/>
        <v/>
      </c>
      <c r="HU18" s="204"/>
      <c r="HV18" s="186"/>
      <c r="HW18" s="205"/>
      <c r="HX18" s="129" t="str">
        <f>IFERROR((((COUNTIF('Elève (6ème4)'!HU19:HW19,"A"))*4)+((COUNTIF('Elève (6ème4)'!HU19:HW19,"B"))*3)+((COUNTIF('Elève (6ème4)'!HU19:HW19,"C"))*2)+((COUNTIF('Elève (6ème4)'!HU19:HW19,"D"))*1))/(COUNTA(HU19:HW19)),"")</f>
        <v/>
      </c>
      <c r="HY18" s="121" t="str">
        <f t="shared" si="53"/>
        <v/>
      </c>
      <c r="HZ18" s="100"/>
      <c r="IA18" s="187"/>
      <c r="IB18" s="188"/>
      <c r="IC18" s="129" t="str">
        <f>IFERROR((((COUNTIF('Elève (6ème4)'!HZ19:IB19,"A"))*4)+((COUNTIF('Elève (6ème4)'!HZ19:IB19,"B"))*3)+((COUNTIF('Elève (6ème4)'!HZ19:IB19,"C"))*2)+((COUNTIF('Elève (6ème4)'!HZ19:IB19,"D"))*1))/(COUNTA(HZ19:IB19)),"")</f>
        <v/>
      </c>
      <c r="ID18" s="128" t="str">
        <f t="shared" si="54"/>
        <v/>
      </c>
      <c r="IE18" s="177" t="str">
        <f>IFERROR((((COUNTIF(HP19:HR19,"A")+COUNTIF(HU19:HW19,"A")+COUNTIF(HZ19:IB19,"A"))*4)+((COUNTIF(HP19:HR19,"B")+COUNTIF(HU19:HW19,"B")+COUNTIF(HZ19:IB19,"B"))*3)+((COUNTIF(HP19:HR19,"C")+COUNTIF(HU19:HW19,"C")+COUNTIF(HZ19:IB19,"C"))*2)+((COUNTIF(HP19:HR19,"D")+COUNTIF(HU19:HW19,"D")+COUNTIF(HZ19:IB19,"D"))*1))/(COUNTA(HP19:HR19)+COUNTA(HU19:HW19)+COUNTA(HZ19:IB19)),"")</f>
        <v/>
      </c>
      <c r="IF18" s="130" t="str">
        <f t="shared" si="55"/>
        <v/>
      </c>
      <c r="IG18" s="152"/>
      <c r="IH18" s="190"/>
      <c r="II18" s="185"/>
      <c r="IJ18" s="129">
        <f>IFERROR((((COUNTIF('Elève (6ème4)'!IG19:II19,"A"))*4)+((COUNTIF('Elève (6ème4)'!IG19:II19,"B"))*3)+((COUNTIF('Elève (6ème4)'!IG19:II19,"C"))*2)+((COUNTIF('Elève (6ème4)'!IG19:II19,"D"))*1))/(COUNTA(IG19:II19)),"")</f>
        <v>4</v>
      </c>
      <c r="IK18" s="107" t="str">
        <f t="shared" si="56"/>
        <v>A</v>
      </c>
      <c r="IL18" s="204"/>
      <c r="IM18" s="186"/>
      <c r="IN18" s="205"/>
      <c r="IO18" s="129" t="str">
        <f>IFERROR((((COUNTIF('Elève (6ème4)'!IL19:IN19,"A"))*4)+((COUNTIF('Elève (6ème4)'!IL19:IN19,"B"))*3)+((COUNTIF('Elève (6ème4)'!IL19:IN19,"C"))*2)+((COUNTIF('Elève (6ème4)'!IL19:IN19,"D"))*1))/(COUNTA(IL19:IN19)),"")</f>
        <v/>
      </c>
      <c r="IP18" s="121" t="str">
        <f t="shared" si="57"/>
        <v/>
      </c>
      <c r="IQ18" s="100"/>
      <c r="IR18" s="187"/>
      <c r="IS18" s="188"/>
      <c r="IT18" s="129" t="str">
        <f>IFERROR((((COUNTIF('Elève (6ème4)'!IQ19:IS19,"A"))*4)+((COUNTIF('Elève (6ème4)'!IQ19:IS19,"B"))*3)+((COUNTIF('Elève (6ème4)'!IQ19:IS19,"C"))*2)+((COUNTIF('Elève (6ème4)'!IQ19:IS19,"D"))*1))/(COUNTA(IQ19:IS19)),"")</f>
        <v/>
      </c>
      <c r="IU18" s="128" t="str">
        <f t="shared" si="58"/>
        <v/>
      </c>
      <c r="IV18" s="177">
        <f>IFERROR((((COUNTIF(IG19:II19,"A")+COUNTIF(IL19:IN19,"A")+COUNTIF(IQ19:IS19,"A"))*4)+((COUNTIF(IG19:II19,"B")+COUNTIF(IL19:IN19,"B")+COUNTIF(IQ19:IS19,"B"))*3)+((COUNTIF(IG19:II19,"C")+COUNTIF(IL19:IN19,"C")+COUNTIF(IQ19:IS19,"C"))*2)+((COUNTIF(IG19:II19,"D")+COUNTIF(IL19:IN19,"D")+COUNTIF(IQ19:IS19,"D"))*1))/(COUNTA(IG19:II19)+COUNTA(IL19:IN19)+COUNTA(IQ19:IS19)),"")</f>
        <v>4</v>
      </c>
      <c r="IW18" s="130" t="str">
        <f t="shared" si="59"/>
        <v>A</v>
      </c>
      <c r="IX18" s="152"/>
      <c r="IY18" s="190"/>
      <c r="IZ18" s="185"/>
      <c r="JA18" s="129">
        <f>IFERROR((((COUNTIF('Elève (6ème4)'!IX19:IZ19,"A"))*4)+((COUNTIF('Elève (6ème4)'!IX19:IZ19,"B"))*3)+((COUNTIF('Elève (6ème4)'!IX19:IZ19,"C"))*2)+((COUNTIF('Elève (6ème4)'!IX19:IZ19,"D"))*1))/(COUNTA(IX19:IZ19)),"")</f>
        <v>4</v>
      </c>
      <c r="JB18" s="107" t="str">
        <f t="shared" si="60"/>
        <v>A</v>
      </c>
      <c r="JC18" s="204"/>
      <c r="JD18" s="186"/>
      <c r="JE18" s="205"/>
      <c r="JF18" s="129" t="str">
        <f>IFERROR((((COUNTIF('Elève (6ème4)'!JC19:JE19,"A"))*4)+((COUNTIF('Elève (6ème4)'!JC19:JE19,"B"))*3)+((COUNTIF('Elève (6ème4)'!JC19:JE19,"C"))*2)+((COUNTIF('Elève (6ème4)'!JC19:JE19,"D"))*1))/(COUNTA(JC19:JE19)),"")</f>
        <v/>
      </c>
      <c r="JG18" s="121" t="str">
        <f t="shared" si="61"/>
        <v/>
      </c>
      <c r="JH18" s="100"/>
      <c r="JI18" s="187"/>
      <c r="JJ18" s="188"/>
      <c r="JK18" s="129" t="str">
        <f>IFERROR((((COUNTIF('Elève (6ème4)'!JH19:JJ19,"A"))*4)+((COUNTIF('Elève (6ème4)'!JH19:JJ19,"B"))*3)+((COUNTIF('Elève (6ème4)'!JH19:JJ19,"C"))*2)+((COUNTIF('Elève (6ème4)'!JH19:JJ19,"D"))*1))/(COUNTA(JH19:JJ19)),"")</f>
        <v/>
      </c>
      <c r="JL18" s="128" t="str">
        <f t="shared" si="62"/>
        <v/>
      </c>
      <c r="JM18" s="177">
        <f>IFERROR((((COUNTIF(IX19:IZ19,"A")+COUNTIF(JC19:JE19,"A")+COUNTIF(JH19:JJ19,"A"))*4)+((COUNTIF(IX19:IZ19,"B")+COUNTIF(JC19:JE19,"B")+COUNTIF(JH19:JJ19,"B"))*3)+((COUNTIF(IX19:IZ19,"C")+COUNTIF(JC19:JE19,"C")+COUNTIF(JH19:JJ19,"C"))*2)+((COUNTIF(IX19:IZ19,"D")+COUNTIF(JC19:JE19,"D")+COUNTIF(JH19:JJ19,"D"))*1))/(COUNTA(IX19:IZ19)+COUNTA(JC19:JE19)+COUNTA(JH19:JJ19)),"")</f>
        <v>4</v>
      </c>
      <c r="JN18" s="130" t="str">
        <f t="shared" si="63"/>
        <v>A</v>
      </c>
      <c r="JO18" s="152"/>
      <c r="JP18" s="190"/>
      <c r="JQ18" s="185"/>
      <c r="JR18" s="129">
        <f>IFERROR((((COUNTIF('Elève (6ème4)'!JO19:JQ19,"A"))*4)+((COUNTIF('Elève (6ème4)'!JO19:JQ19,"B"))*3)+((COUNTIF('Elève (6ème4)'!JO19:JQ19,"C"))*2)+((COUNTIF('Elève (6ème4)'!JO19:JQ19,"D"))*1))/(COUNTA(JO19:JQ19)),"")</f>
        <v>4</v>
      </c>
      <c r="JS18" s="107" t="str">
        <f t="shared" si="64"/>
        <v>A</v>
      </c>
      <c r="JT18" s="204"/>
      <c r="JU18" s="186"/>
      <c r="JV18" s="205"/>
      <c r="JW18" s="129" t="str">
        <f>IFERROR((((COUNTIF('Elève (6ème4)'!JT19:JV19,"A"))*4)+((COUNTIF('Elève (6ème4)'!JT19:JV19,"B"))*3)+((COUNTIF('Elève (6ème4)'!JT19:JV19,"C"))*2)+((COUNTIF('Elève (6ème4)'!JT19:JV19,"D"))*1))/(COUNTA(JT19:JV19)),"")</f>
        <v/>
      </c>
      <c r="JX18" s="121" t="str">
        <f t="shared" si="65"/>
        <v/>
      </c>
      <c r="JY18" s="100"/>
      <c r="JZ18" s="187"/>
      <c r="KA18" s="188"/>
      <c r="KB18" s="129" t="str">
        <f>IFERROR((((COUNTIF('Elève (6ème4)'!JY19:KA19,"A"))*4)+((COUNTIF('Elève (6ème4)'!JY19:KA19,"B"))*3)+((COUNTIF('Elève (6ème4)'!JY19:KA19,"C"))*2)+((COUNTIF('Elève (6ème4)'!JY19:KA19,"D"))*1))/(COUNTA(JY19:KA19)),"")</f>
        <v/>
      </c>
      <c r="KC18" s="128" t="str">
        <f t="shared" si="66"/>
        <v/>
      </c>
      <c r="KD18" s="177">
        <f>IFERROR((((COUNTIF(JO19:JQ19,"A")+COUNTIF(JT19:JV19,"A")+COUNTIF(JY19:KA19,"A"))*4)+((COUNTIF(JO19:JQ19,"B")+COUNTIF(JT19:JV19,"B")+COUNTIF(JY19:KA19,"B"))*3)+((COUNTIF(JO19:JQ19,"C")+COUNTIF(JT19:JV19,"C")+COUNTIF(JY19:KA19,"C"))*2)+((COUNTIF(JO19:JQ19,"D")+COUNTIF(JT19:JV19,"D")+COUNTIF(JY19:KA19,"D"))*1))/(COUNTA(JO19:JQ19)+COUNTA(JT19:JV19)+COUNTA(JY19:KA19)),"")</f>
        <v>4</v>
      </c>
      <c r="KE18" s="130" t="str">
        <f t="shared" si="67"/>
        <v>A</v>
      </c>
      <c r="KF18" s="152"/>
      <c r="KG18" s="190"/>
      <c r="KH18" s="185"/>
      <c r="KI18" s="129">
        <f>IFERROR((((COUNTIF('Elève (6ème4)'!KF19:KH19,"A"))*4)+((COUNTIF('Elève (6ème4)'!KF19:KH19,"B"))*3)+((COUNTIF('Elève (6ème4)'!KF19:KH19,"C"))*2)+((COUNTIF('Elève (6ème4)'!KF19:KH19,"D"))*1))/(COUNTA(KF19:KH19)),"")</f>
        <v>4</v>
      </c>
      <c r="KJ18" s="107" t="str">
        <f t="shared" si="68"/>
        <v>A</v>
      </c>
      <c r="KK18" s="204"/>
      <c r="KL18" s="186"/>
      <c r="KM18" s="205"/>
      <c r="KN18" s="129" t="str">
        <f>IFERROR((((COUNTIF('Elève (6ème4)'!KK19:KM19,"A"))*4)+((COUNTIF('Elève (6ème4)'!KK19:KM19,"B"))*3)+((COUNTIF('Elève (6ème4)'!KK19:KM19,"C"))*2)+((COUNTIF('Elève (6ème4)'!KK19:KM19,"D"))*1))/(COUNTA(KK19:KM19)),"")</f>
        <v/>
      </c>
      <c r="KO18" s="121" t="str">
        <f t="shared" si="69"/>
        <v/>
      </c>
      <c r="KP18" s="100"/>
      <c r="KQ18" s="187"/>
      <c r="KR18" s="188"/>
      <c r="KS18" s="129" t="str">
        <f>IFERROR((((COUNTIF('Elève (6ème4)'!KP19:KR19,"A"))*4)+((COUNTIF('Elève (6ème4)'!KP19:KR19,"B"))*3)+((COUNTIF('Elève (6ème4)'!KP19:KR19,"C"))*2)+((COUNTIF('Elève (6ème4)'!KP19:KR19,"D"))*1))/(COUNTA(KP19:KR19)),"")</f>
        <v/>
      </c>
      <c r="KT18" s="128" t="str">
        <f t="shared" si="70"/>
        <v/>
      </c>
      <c r="KU18" s="177">
        <f>IFERROR((((COUNTIF(KF19:KH19,"A")+COUNTIF(KK19:KM19,"A")+COUNTIF(KP19:KR19,"A"))*4)+((COUNTIF(KF19:KH19,"B")+COUNTIF(KK19:KM19,"B")+COUNTIF(KP19:KR19,"B"))*3)+((COUNTIF(KF19:KH19,"C")+COUNTIF(KK19:KM19,"C")+COUNTIF(KP19:KR19,"C"))*2)+((COUNTIF(KF19:KH19,"D")+COUNTIF(KK19:KM19,"D")+COUNTIF(KP19:KR19,"D"))*1))/(COUNTA(KF19:KH19)+COUNTA(KK19:KM19)+COUNTA(KP19:KR19)),"")</f>
        <v>4</v>
      </c>
      <c r="KV18" s="130" t="str">
        <f t="shared" si="71"/>
        <v>A</v>
      </c>
      <c r="KW18" s="152"/>
      <c r="KX18" s="190"/>
      <c r="KY18" s="185"/>
      <c r="KZ18" s="129">
        <f>IFERROR((((COUNTIF('Elève (6ème4)'!KW19:KY19,"A"))*4)+((COUNTIF('Elève (6ème4)'!KW19:KY19,"B"))*3)+((COUNTIF('Elève (6ème4)'!KW19:KY19,"C"))*2)+((COUNTIF('Elève (6ème4)'!KW19:KY19,"D"))*1))/(COUNTA(KW19:KY19)),"")</f>
        <v>4</v>
      </c>
      <c r="LA18" s="107" t="str">
        <f t="shared" si="72"/>
        <v>A</v>
      </c>
      <c r="LB18" s="204"/>
      <c r="LC18" s="186"/>
      <c r="LD18" s="205"/>
      <c r="LE18" s="129" t="str">
        <f>IFERROR((((COUNTIF('Elève (6ème4)'!LB19:LD19,"A"))*4)+((COUNTIF('Elève (6ème4)'!LB19:LD19,"B"))*3)+((COUNTIF('Elève (6ème4)'!LB19:LD19,"C"))*2)+((COUNTIF('Elève (6ème4)'!LB19:LD19,"D"))*1))/(COUNTA(LB19:LD19)),"")</f>
        <v/>
      </c>
      <c r="LF18" s="121" t="str">
        <f t="shared" si="73"/>
        <v/>
      </c>
      <c r="LG18" s="100"/>
      <c r="LH18" s="187"/>
      <c r="LI18" s="188"/>
      <c r="LJ18" s="129" t="str">
        <f>IFERROR((((COUNTIF('Elève (6ème4)'!LG19:LI19,"A"))*4)+((COUNTIF('Elève (6ème4)'!LG19:LI19,"B"))*3)+((COUNTIF('Elève (6ème4)'!LG19:LI19,"C"))*2)+((COUNTIF('Elève (6ème4)'!LG19:LI19,"D"))*1))/(COUNTA(LG19:LI19)),"")</f>
        <v/>
      </c>
      <c r="LK18" s="128" t="str">
        <f t="shared" si="74"/>
        <v/>
      </c>
      <c r="LL18" s="177">
        <f>IFERROR((((COUNTIF(KW19:KY19,"A")+COUNTIF(LB19:LD19,"A")+COUNTIF(LG19:LI19,"A"))*4)+((COUNTIF(KW19:KY19,"B")+COUNTIF(LB19:LD19,"B")+COUNTIF(LG19:LI19,"B"))*3)+((COUNTIF(KW19:KY19,"C")+COUNTIF(LB19:LD19,"C")+COUNTIF(LG19:LI19,"C"))*2)+((COUNTIF(KW19:KY19,"D")+COUNTIF(LB19:LD19,"D")+COUNTIF(LG19:LI19,"D"))*1))/(COUNTA(KW19:KY19)+COUNTA(LB19:LD19)+COUNTA(LG19:LI19)),"")</f>
        <v>4</v>
      </c>
      <c r="LM18" s="130" t="str">
        <f t="shared" si="75"/>
        <v>A</v>
      </c>
      <c r="LN18" s="152"/>
      <c r="LO18" s="190"/>
      <c r="LP18" s="185"/>
      <c r="LQ18" s="129">
        <f>IFERROR((((COUNTIF('Elève (6ème4)'!LN19:LP19,"A"))*4)+((COUNTIF('Elève (6ème4)'!LN19:LP19,"B"))*3)+((COUNTIF('Elève (6ème4)'!LN19:LP19,"C"))*2)+((COUNTIF('Elève (6ème4)'!LN19:LP19,"D"))*1))/(COUNTA(LN19:LP19)),"")</f>
        <v>4</v>
      </c>
      <c r="LR18" s="107" t="str">
        <f t="shared" si="76"/>
        <v>A</v>
      </c>
      <c r="LS18" s="204"/>
      <c r="LT18" s="186"/>
      <c r="LU18" s="205"/>
      <c r="LV18" s="129" t="str">
        <f>IFERROR((((COUNTIF('Elève (6ème4)'!LS19:LU19,"A"))*4)+((COUNTIF('Elève (6ème4)'!LS19:LU19,"B"))*3)+((COUNTIF('Elève (6ème4)'!LS19:LU19,"C"))*2)+((COUNTIF('Elève (6ème4)'!LS19:LU19,"D"))*1))/(COUNTA(LS19:LU19)),"")</f>
        <v/>
      </c>
      <c r="LW18" s="121" t="str">
        <f t="shared" si="77"/>
        <v/>
      </c>
      <c r="LX18" s="100"/>
      <c r="LY18" s="187"/>
      <c r="LZ18" s="188"/>
      <c r="MA18" s="129" t="str">
        <f>IFERROR((((COUNTIF('Elève (6ème4)'!LX19:LZ19,"A"))*4)+((COUNTIF('Elève (6ème4)'!LX19:LZ19,"B"))*3)+((COUNTIF('Elève (6ème4)'!LX19:LZ19,"C"))*2)+((COUNTIF('Elève (6ème4)'!LX19:LZ19,"D"))*1))/(COUNTA(LX19:LZ19)),"")</f>
        <v/>
      </c>
      <c r="MB18" s="128" t="str">
        <f t="shared" si="78"/>
        <v/>
      </c>
      <c r="MC18" s="177">
        <f>IFERROR((((COUNTIF(LN19:LP19,"A")+COUNTIF(LS19:LU19,"A")+COUNTIF(LX19:LZ19,"A"))*4)+((COUNTIF(LN19:LP19,"B")+COUNTIF(LS19:LU19,"B")+COUNTIF(LX19:LZ19,"B"))*3)+((COUNTIF(LN19:LP19,"C")+COUNTIF(LS19:LU19,"C")+COUNTIF(LX19:LZ19,"C"))*2)+((COUNTIF(LN19:LP19,"D")+COUNTIF(LS19:LU19,"D")+COUNTIF(LX19:LZ19,"D"))*1))/(COUNTA(LN19:LP19)+COUNTA(LS19:LU19)+COUNTA(LX19:LZ19)),"")</f>
        <v>4</v>
      </c>
      <c r="MD18" s="130" t="str">
        <f t="shared" si="79"/>
        <v>A</v>
      </c>
      <c r="ME18" s="152"/>
      <c r="MF18" s="190"/>
      <c r="MG18" s="185"/>
      <c r="MH18" s="129">
        <f>IFERROR((((COUNTIF('Elève (6ème4)'!ME19:MG19,"A"))*4)+((COUNTIF('Elève (6ème4)'!ME19:MG19,"B"))*3)+((COUNTIF('Elève (6ème4)'!ME19:MG19,"C"))*2)+((COUNTIF('Elève (6ème4)'!ME19:MG19,"D"))*1))/(COUNTA(ME19:MG19)),"")</f>
        <v>4</v>
      </c>
      <c r="MI18" s="107" t="str">
        <f t="shared" si="80"/>
        <v>A</v>
      </c>
      <c r="MJ18" s="204"/>
      <c r="MK18" s="186"/>
      <c r="ML18" s="205"/>
      <c r="MM18" s="129" t="str">
        <f>IFERROR((((COUNTIF('Elève (6ème4)'!MJ19:ML19,"A"))*4)+((COUNTIF('Elève (6ème4)'!MJ19:ML19,"B"))*3)+((COUNTIF('Elève (6ème4)'!MJ19:ML19,"C"))*2)+((COUNTIF('Elève (6ème4)'!MJ19:ML19,"D"))*1))/(COUNTA(MJ19:ML19)),"")</f>
        <v/>
      </c>
      <c r="MN18" s="121" t="str">
        <f t="shared" si="81"/>
        <v/>
      </c>
      <c r="MO18" s="100"/>
      <c r="MP18" s="187"/>
      <c r="MQ18" s="188"/>
      <c r="MR18" s="129" t="str">
        <f>IFERROR((((COUNTIF('Elève (6ème4)'!MO19:MQ19,"A"))*4)+((COUNTIF('Elève (6ème4)'!MO19:MQ19,"B"))*3)+((COUNTIF('Elève (6ème4)'!MO19:MQ19,"C"))*2)+((COUNTIF('Elève (6ème4)'!MO19:MQ19,"D"))*1))/(COUNTA(MO19:MQ19)),"")</f>
        <v/>
      </c>
      <c r="MS18" s="128" t="str">
        <f t="shared" si="82"/>
        <v/>
      </c>
      <c r="MT18" s="177">
        <f>IFERROR((((COUNTIF(ME19:MG19,"A")+COUNTIF(MJ19:ML19,"A")+COUNTIF(MO19:MQ19,"A"))*4)+((COUNTIF(ME19:MG19,"B")+COUNTIF(MJ19:ML19,"B")+COUNTIF(MO19:MQ19,"B"))*3)+((COUNTIF(ME19:MG19,"C")+COUNTIF(MJ19:ML19,"C")+COUNTIF(MO19:MQ19,"C"))*2)+((COUNTIF(ME19:MG19,"D")+COUNTIF(MJ19:ML19,"D")+COUNTIF(MO19:MQ19,"D"))*1))/(COUNTA(ME19:MG19)+COUNTA(MJ19:ML19)+COUNTA(MO19:MQ19)),"")</f>
        <v>4</v>
      </c>
      <c r="MU18" s="130" t="str">
        <f t="shared" si="83"/>
        <v>A</v>
      </c>
      <c r="MV18" s="152"/>
      <c r="MW18" s="190"/>
      <c r="MX18" s="185"/>
      <c r="MY18" s="129" t="str">
        <f>IFERROR((((COUNTIF('Elève (6ème4)'!MV19:MX19,"A"))*4)+((COUNTIF('Elève (6ème4)'!MV19:MX19,"B"))*3)+((COUNTIF('Elève (6ème4)'!MV19:MX19,"C"))*2)+((COUNTIF('Elève (6ème4)'!MV19:MX19,"D"))*1))/(COUNTA(MV19:MX19)),"")</f>
        <v/>
      </c>
      <c r="MZ18" s="107" t="str">
        <f t="shared" si="84"/>
        <v/>
      </c>
      <c r="NA18" s="204"/>
      <c r="NB18" s="186"/>
      <c r="NC18" s="205"/>
      <c r="ND18" s="129" t="str">
        <f>IFERROR((((COUNTIF('Elève (6ème4)'!NA19:NC19,"A"))*4)+((COUNTIF('Elève (6ème4)'!NA19:NC19,"B"))*3)+((COUNTIF('Elève (6ème4)'!NA19:NC19,"C"))*2)+((COUNTIF('Elève (6ème4)'!NA19:NC19,"D"))*1))/(COUNTA(NA19:NC19)),"")</f>
        <v/>
      </c>
      <c r="NE18" s="121" t="str">
        <f t="shared" si="85"/>
        <v/>
      </c>
      <c r="NF18" s="100"/>
      <c r="NG18" s="187"/>
      <c r="NH18" s="188"/>
      <c r="NI18" s="129" t="str">
        <f>IFERROR((((COUNTIF('Elève (6ème4)'!NF19:NH19,"A"))*4)+((COUNTIF('Elève (6ème4)'!NF19:NH19,"B"))*3)+((COUNTIF('Elève (6ème4)'!NF19:NH19,"C"))*2)+((COUNTIF('Elève (6ème4)'!NF19:NH19,"D"))*1))/(COUNTA(NF19:NH19)),"")</f>
        <v/>
      </c>
      <c r="NJ18" s="128" t="str">
        <f t="shared" si="86"/>
        <v/>
      </c>
      <c r="NK18" s="177" t="str">
        <f>IFERROR((((COUNTIF(MV19:MX19,"A")+COUNTIF(NA19:NC19,"A")+COUNTIF(NF19:NH19,"A"))*4)+((COUNTIF(MV19:MX19,"B")+COUNTIF(NA19:NC19,"B")+COUNTIF(NF19:NH19,"B"))*3)+((COUNTIF(MV19:MX19,"C")+COUNTIF(NA19:NC19,"C")+COUNTIF(NF19:NH19,"C"))*2)+((COUNTIF(MV19:MX19,"D")+COUNTIF(NA19:NC19,"D")+COUNTIF(NF19:NH19,"D"))*1))/(COUNTA(MV19:MX19)+COUNTA(NA19:NC19)+COUNTA(NF19:NH19)),"")</f>
        <v/>
      </c>
      <c r="NL18" s="130" t="str">
        <f t="shared" si="87"/>
        <v/>
      </c>
      <c r="NM18" s="152"/>
      <c r="NN18" s="190"/>
      <c r="NO18" s="185"/>
      <c r="NP18" s="129" t="str">
        <f>IFERROR((((COUNTIF('Elève (6ème4)'!NM19:NO19,"A"))*4)+((COUNTIF('Elève (6ème4)'!NM19:NO19,"B"))*3)+((COUNTIF('Elève (6ème4)'!NM19:NO19,"C"))*2)+((COUNTIF('Elève (6ème4)'!NM19:NO19,"D"))*1))/(COUNTA(NM19:NO19)),"")</f>
        <v/>
      </c>
      <c r="NQ18" s="107" t="str">
        <f t="shared" si="88"/>
        <v/>
      </c>
      <c r="NR18" s="204"/>
      <c r="NS18" s="186"/>
      <c r="NT18" s="205"/>
      <c r="NU18" s="129" t="str">
        <f>IFERROR((((COUNTIF('Elève (6ème4)'!NR19:NT19,"A"))*4)+((COUNTIF('Elève (6ème4)'!NR19:NT19,"B"))*3)+((COUNTIF('Elève (6ème4)'!NR19:NT19,"C"))*2)+((COUNTIF('Elève (6ème4)'!NR19:NT19,"D"))*1))/(COUNTA(NR19:NT19)),"")</f>
        <v/>
      </c>
      <c r="NV18" s="121" t="str">
        <f t="shared" si="89"/>
        <v/>
      </c>
      <c r="NW18" s="100"/>
      <c r="NX18" s="187"/>
      <c r="NY18" s="188"/>
      <c r="NZ18" s="129" t="str">
        <f>IFERROR((((COUNTIF('Elève (6ème4)'!NW19:NY19,"A"))*4)+((COUNTIF('Elève (6ème4)'!NW19:NY19,"B"))*3)+((COUNTIF('Elève (6ème4)'!NW19:NY19,"C"))*2)+((COUNTIF('Elève (6ème4)'!NW19:NY19,"D"))*1))/(COUNTA(NW19:NY19)),"")</f>
        <v/>
      </c>
      <c r="OA18" s="128" t="str">
        <f t="shared" si="90"/>
        <v/>
      </c>
      <c r="OB18" s="177" t="str">
        <f>IFERROR((((COUNTIF(NM19:NO19,"A")+COUNTIF(NR19:NT19,"A")+COUNTIF(NW19:NY19,"A"))*4)+((COUNTIF(NM19:NO19,"B")+COUNTIF(NR19:NT19,"B")+COUNTIF(NW19:NY19,"B"))*3)+((COUNTIF(NM19:NO19,"C")+COUNTIF(NR19:NT19,"C")+COUNTIF(NW19:NY19,"C"))*2)+((COUNTIF(NM19:NO19,"D")+COUNTIF(NR19:NT19,"D")+COUNTIF(NW19:NY19,"D"))*1))/(COUNTA(NM19:NO19)+COUNTA(NR19:NT19)+COUNTA(NW19:NY19)),"")</f>
        <v/>
      </c>
      <c r="OC18" s="130" t="str">
        <f t="shared" si="91"/>
        <v/>
      </c>
      <c r="OD18" s="152"/>
      <c r="OE18" s="190"/>
      <c r="OF18" s="185"/>
      <c r="OG18" s="129">
        <f>IFERROR((((COUNTIF('Elève (6ème4)'!OD19:OF19,"A"))*4)+((COUNTIF('Elève (6ème4)'!OD19:OF19,"B"))*3)+((COUNTIF('Elève (6ème4)'!OD19:OF19,"C"))*2)+((COUNTIF('Elève (6ème4)'!OD19:OF19,"D"))*1))/(COUNTA(OD19:OF19)),"")</f>
        <v>4</v>
      </c>
      <c r="OH18" s="107" t="str">
        <f t="shared" si="92"/>
        <v>A</v>
      </c>
      <c r="OI18" s="204"/>
      <c r="OJ18" s="186"/>
      <c r="OK18" s="205"/>
      <c r="OL18" s="129" t="str">
        <f>IFERROR((((COUNTIF('Elève (6ème4)'!OI19:OK19,"A"))*4)+((COUNTIF('Elève (6ème4)'!OI19:OK19,"B"))*3)+((COUNTIF('Elève (6ème4)'!OI19:OK19,"C"))*2)+((COUNTIF('Elève (6ème4)'!OI19:OK19,"D"))*1))/(COUNTA(OI19:OK19)),"")</f>
        <v/>
      </c>
      <c r="OM18" s="121" t="str">
        <f t="shared" si="93"/>
        <v/>
      </c>
      <c r="ON18" s="100"/>
      <c r="OO18" s="187"/>
      <c r="OP18" s="188"/>
      <c r="OQ18" s="129" t="str">
        <f>IFERROR((((COUNTIF('Elève (6ème4)'!ON19:OP19,"A"))*4)+((COUNTIF('Elève (6ème4)'!ON19:OP19,"B"))*3)+((COUNTIF('Elève (6ème4)'!ON19:OP19,"C"))*2)+((COUNTIF('Elève (6ème4)'!ON19:OP19,"D"))*1))/(COUNTA(ON19:OP19)),"")</f>
        <v/>
      </c>
      <c r="OR18" s="128" t="str">
        <f t="shared" si="94"/>
        <v/>
      </c>
      <c r="OS18" s="177">
        <f>IFERROR((((COUNTIF(OD19:OF19,"A")+COUNTIF(OI19:OK19,"A")+COUNTIF(ON19:OP19,"A"))*4)+((COUNTIF(OD19:OF19,"B")+COUNTIF(OI19:OK19,"B")+COUNTIF(ON19:OP19,"B"))*3)+((COUNTIF(OD19:OF19,"C")+COUNTIF(OI19:OK19,"C")+COUNTIF(ON19:OP19,"C"))*2)+((COUNTIF(OD19:OF19,"D")+COUNTIF(OI19:OK19,"D")+COUNTIF(ON19:OP19,"D"))*1))/(COUNTA(OD19:OF19)+COUNTA(OI19:OK19)+COUNTA(ON19:OP19)),"")</f>
        <v>4</v>
      </c>
      <c r="OT18" s="130" t="str">
        <f t="shared" si="95"/>
        <v>A</v>
      </c>
      <c r="OU18" s="152"/>
      <c r="OV18" s="190"/>
      <c r="OW18" s="185"/>
      <c r="OX18" s="129">
        <f>IFERROR((((COUNTIF('Elève (6ème4)'!OU19:OW19,"A"))*4)+((COUNTIF('Elève (6ème4)'!OU19:OW19,"B"))*3)+((COUNTIF('Elève (6ème4)'!OU19:OW19,"C"))*2)+((COUNTIF('Elève (6ème4)'!OU19:OW19,"D"))*1))/(COUNTA(OU19:OW19)),"")</f>
        <v>4</v>
      </c>
      <c r="OY18" s="107" t="str">
        <f t="shared" si="96"/>
        <v>A</v>
      </c>
      <c r="OZ18" s="204"/>
      <c r="PA18" s="186"/>
      <c r="PB18" s="205"/>
      <c r="PC18" s="129" t="str">
        <f>IFERROR((((COUNTIF('Elève (6ème4)'!OZ19:PB19,"A"))*4)+((COUNTIF('Elève (6ème4)'!OZ19:PB19,"B"))*3)+((COUNTIF('Elève (6ème4)'!OZ19:PB19,"C"))*2)+((COUNTIF('Elève (6ème4)'!OZ19:PB19,"D"))*1))/(COUNTA(OZ19:PB19)),"")</f>
        <v/>
      </c>
      <c r="PD18" s="121" t="str">
        <f t="shared" si="97"/>
        <v/>
      </c>
      <c r="PE18" s="100"/>
      <c r="PF18" s="187"/>
      <c r="PG18" s="188"/>
      <c r="PH18" s="129" t="str">
        <f>IFERROR((((COUNTIF('Elève (6ème4)'!PE19:PG19,"A"))*4)+((COUNTIF('Elève (6ème4)'!PE19:PG19,"B"))*3)+((COUNTIF('Elève (6ème4)'!PE19:PG19,"C"))*2)+((COUNTIF('Elève (6ème4)'!PE19:PG19,"D"))*1))/(COUNTA(PE19:PG19)),"")</f>
        <v/>
      </c>
      <c r="PI18" s="128" t="str">
        <f t="shared" si="98"/>
        <v/>
      </c>
      <c r="PJ18" s="177">
        <f>IFERROR((((COUNTIF(OU19:OW19,"A")+COUNTIF(OZ19:PB19,"A")+COUNTIF(PE19:PG19,"A"))*4)+((COUNTIF(OU19:OW19,"B")+COUNTIF(OZ19:PB19,"B")+COUNTIF(PE19:PG19,"B"))*3)+((COUNTIF(OU19:OW19,"C")+COUNTIF(OZ19:PB19,"C")+COUNTIF(PE19:PG19,"C"))*2)+((COUNTIF(OU19:OW19,"D")+COUNTIF(OZ19:PB19,"D")+COUNTIF(PE19:PG19,"D"))*1))/(COUNTA(OU19:OW19)+COUNTA(OZ19:PB19)+COUNTA(PE19:PG19)),"")</f>
        <v>4</v>
      </c>
      <c r="PK18" s="130" t="str">
        <f t="shared" si="99"/>
        <v>A</v>
      </c>
      <c r="PL18" s="152"/>
      <c r="PM18" s="190"/>
      <c r="PN18" s="185"/>
      <c r="PO18" s="129">
        <f>IFERROR((((COUNTIF('Elève (6ème4)'!PL19:PN19,"A"))*4)+((COUNTIF('Elève (6ème4)'!PL19:PN19,"B"))*3)+((COUNTIF('Elève (6ème4)'!PL19:PN19,"C"))*2)+((COUNTIF('Elève (6ème4)'!PL19:PN19,"D"))*1))/(COUNTA(PL19:PN19)),"")</f>
        <v>4</v>
      </c>
      <c r="PP18" s="107" t="str">
        <f t="shared" si="100"/>
        <v>A</v>
      </c>
      <c r="PQ18" s="204"/>
      <c r="PR18" s="186"/>
      <c r="PS18" s="205"/>
      <c r="PT18" s="129" t="str">
        <f>IFERROR((((COUNTIF('Elève (6ème4)'!PQ19:PS19,"A"))*4)+((COUNTIF('Elève (6ème4)'!PQ19:PS19,"B"))*3)+((COUNTIF('Elève (6ème4)'!PQ19:PS19,"C"))*2)+((COUNTIF('Elève (6ème4)'!PQ19:PS19,"D"))*1))/(COUNTA(PQ19:PS19)),"")</f>
        <v/>
      </c>
      <c r="PU18" s="121" t="str">
        <f t="shared" si="101"/>
        <v/>
      </c>
      <c r="PV18" s="100"/>
      <c r="PW18" s="187"/>
      <c r="PX18" s="188"/>
      <c r="PY18" s="129" t="str">
        <f>IFERROR((((COUNTIF('Elève (6ème4)'!PV19:PX19,"A"))*4)+((COUNTIF('Elève (6ème4)'!PV19:PX19,"B"))*3)+((COUNTIF('Elève (6ème4)'!PV19:PX19,"C"))*2)+((COUNTIF('Elève (6ème4)'!PV19:PX19,"D"))*1))/(COUNTA(PV19:PX19)),"")</f>
        <v/>
      </c>
      <c r="PZ18" s="128" t="str">
        <f t="shared" si="102"/>
        <v/>
      </c>
      <c r="QA18" s="177">
        <f>IFERROR((((COUNTIF(PL19:PN19,"A")+COUNTIF(PQ19:PS19,"A")+COUNTIF(PV19:PX19,"A"))*4)+((COUNTIF(PL19:PN19,"B")+COUNTIF(PQ19:PS19,"B")+COUNTIF(PV19:PX19,"B"))*3)+((COUNTIF(PL19:PN19,"C")+COUNTIF(PQ19:PS19,"C")+COUNTIF(PV19:PX19,"C"))*2)+((COUNTIF(PL19:PN19,"D")+COUNTIF(PQ19:PS19,"D")+COUNTIF(PV19:PX19,"D"))*1))/(COUNTA(PL19:PN19)+COUNTA(PQ19:PS19)+COUNTA(PV19:PX19)),"")</f>
        <v>4</v>
      </c>
      <c r="QB18" s="130" t="str">
        <f t="shared" si="103"/>
        <v>A</v>
      </c>
      <c r="QC18" s="152"/>
      <c r="QD18" s="190"/>
      <c r="QE18" s="185"/>
      <c r="QF18" s="129" t="str">
        <f>IFERROR((((COUNTIF('Elève (6ème4)'!QC19:QE19,"A"))*4)+((COUNTIF('Elève (6ème4)'!QC19:QE19,"B"))*3)+((COUNTIF('Elève (6ème4)'!QC19:QE19,"C"))*2)+((COUNTIF('Elève (6ème4)'!QC19:QE19,"D"))*1))/(COUNTA(QC19:QE19)),"")</f>
        <v/>
      </c>
      <c r="QG18" s="107" t="str">
        <f t="shared" si="104"/>
        <v/>
      </c>
      <c r="QH18" s="204"/>
      <c r="QI18" s="186"/>
      <c r="QJ18" s="205"/>
      <c r="QK18" s="129" t="str">
        <f>IFERROR((((COUNTIF('Elève (6ème4)'!QH19:QJ19,"A"))*4)+((COUNTIF('Elève (6ème4)'!QH19:QJ19,"B"))*3)+((COUNTIF('Elève (6ème4)'!QH19:QJ19,"C"))*2)+((COUNTIF('Elève (6ème4)'!QH19:QJ19,"D"))*1))/(COUNTA(QH19:QJ19)),"")</f>
        <v/>
      </c>
      <c r="QL18" s="121" t="str">
        <f t="shared" si="105"/>
        <v/>
      </c>
      <c r="QM18" s="100"/>
      <c r="QN18" s="187"/>
      <c r="QO18" s="188"/>
      <c r="QP18" s="129" t="str">
        <f>IFERROR((((COUNTIF('Elève (6ème4)'!QM19:QO19,"A"))*4)+((COUNTIF('Elève (6ème4)'!QM19:QO19,"B"))*3)+((COUNTIF('Elève (6ème4)'!QM19:QO19,"C"))*2)+((COUNTIF('Elève (6ème4)'!QM19:QO19,"D"))*1))/(COUNTA(QM19:QO19)),"")</f>
        <v/>
      </c>
      <c r="QQ18" s="128" t="str">
        <f t="shared" si="106"/>
        <v/>
      </c>
      <c r="QR18" s="177" t="str">
        <f>IFERROR((((COUNTIF(QC19:QE19,"A")+COUNTIF(QH19:QJ19,"A")+COUNTIF(QM19:QO19,"A"))*4)+((COUNTIF(QC19:QE19,"B")+COUNTIF(QH19:QJ19,"B")+COUNTIF(QM19:QO19,"B"))*3)+((COUNTIF(QC19:QE19,"C")+COUNTIF(QH19:QJ19,"C")+COUNTIF(QM19:QO19,"C"))*2)+((COUNTIF(QC19:QE19,"D")+COUNTIF(QH19:QJ19,"D")+COUNTIF(QM19:QO19,"D"))*1))/(COUNTA(QC19:QE19)+COUNTA(QH19:QJ19)+COUNTA(QM19:QO19)),"")</f>
        <v/>
      </c>
      <c r="QS18" s="130" t="str">
        <f t="shared" si="107"/>
        <v/>
      </c>
      <c r="QT18" s="152"/>
      <c r="QU18" s="190"/>
      <c r="QV18" s="185"/>
      <c r="QW18" s="129">
        <f>IFERROR((((COUNTIF('Elève (6ème4)'!QT19:QV19,"A"))*4)+((COUNTIF('Elève (6ème4)'!QT19:QV19,"B"))*3)+((COUNTIF('Elève (6ème4)'!QT19:QV19,"C"))*2)+((COUNTIF('Elève (6ème4)'!QT19:QV19,"D"))*1))/(COUNTA(QT19:QV19)),"")</f>
        <v>4</v>
      </c>
      <c r="QX18" s="107" t="str">
        <f t="shared" si="108"/>
        <v>A</v>
      </c>
      <c r="QY18" s="204"/>
      <c r="QZ18" s="186"/>
      <c r="RA18" s="205"/>
      <c r="RB18" s="129" t="str">
        <f>IFERROR((((COUNTIF('Elève (6ème4)'!QY19:RA19,"A"))*4)+((COUNTIF('Elève (6ème4)'!QY19:RA19,"B"))*3)+((COUNTIF('Elève (6ème4)'!QY19:RA19,"C"))*2)+((COUNTIF('Elève (6ème4)'!QY19:RA19,"D"))*1))/(COUNTA(QY19:RA19)),"")</f>
        <v/>
      </c>
      <c r="RC18" s="121" t="str">
        <f t="shared" si="109"/>
        <v/>
      </c>
      <c r="RD18" s="100"/>
      <c r="RE18" s="187"/>
      <c r="RF18" s="188"/>
      <c r="RG18" s="129" t="str">
        <f>IFERROR((((COUNTIF('Elève (6ème4)'!RD19:RF19,"A"))*4)+((COUNTIF('Elève (6ème4)'!RD19:RF19,"B"))*3)+((COUNTIF('Elève (6ème4)'!RD19:RF19,"C"))*2)+((COUNTIF('Elève (6ème4)'!RD19:RF19,"D"))*1))/(COUNTA(RD19:RF19)),"")</f>
        <v/>
      </c>
      <c r="RH18" s="128" t="str">
        <f t="shared" si="110"/>
        <v/>
      </c>
      <c r="RI18" s="177">
        <f>IFERROR((((COUNTIF(QT19:QV19,"A")+COUNTIF(QY19:RA19,"A")+COUNTIF(RD19:RF19,"A"))*4)+((COUNTIF(QT19:QV19,"B")+COUNTIF(QY19:RA19,"B")+COUNTIF(RD19:RF19,"B"))*3)+((COUNTIF(QT19:QV19,"C")+COUNTIF(QY19:RA19,"C")+COUNTIF(RD19:RF19,"C"))*2)+((COUNTIF(QT19:QV19,"D")+COUNTIF(QY19:RA19,"D")+COUNTIF(RD19:RF19,"D"))*1))/(COUNTA(QT19:QV19)+COUNTA(QY19:RA19)+COUNTA(RD19:RF19)),"")</f>
        <v>4</v>
      </c>
      <c r="RJ18" s="130" t="str">
        <f t="shared" si="111"/>
        <v>A</v>
      </c>
      <c r="RK18" s="152"/>
      <c r="RL18" s="190"/>
      <c r="RM18" s="185"/>
      <c r="RN18" s="129">
        <f>IFERROR((((COUNTIF('Elève (6ème4)'!RK19:RM19,"A"))*4)+((COUNTIF('Elève (6ème4)'!RK19:RM19,"B"))*3)+((COUNTIF('Elève (6ème4)'!RK19:RM19,"C"))*2)+((COUNTIF('Elève (6ème4)'!RK19:RM19,"D"))*1))/(COUNTA(RK19:RM19)),"")</f>
        <v>4</v>
      </c>
      <c r="RO18" s="107" t="str">
        <f t="shared" si="112"/>
        <v>A</v>
      </c>
      <c r="RP18" s="204"/>
      <c r="RQ18" s="186"/>
      <c r="RR18" s="205"/>
      <c r="RS18" s="129" t="str">
        <f>IFERROR((((COUNTIF('Elève (6ème4)'!RP19:RR19,"A"))*4)+((COUNTIF('Elève (6ème4)'!RP19:RR19,"B"))*3)+((COUNTIF('Elève (6ème4)'!RP19:RR19,"C"))*2)+((COUNTIF('Elève (6ème4)'!RP19:RR19,"D"))*1))/(COUNTA(RP19:RR19)),"")</f>
        <v/>
      </c>
      <c r="RT18" s="121" t="str">
        <f t="shared" si="113"/>
        <v/>
      </c>
      <c r="RU18" s="100"/>
      <c r="RV18" s="187"/>
      <c r="RW18" s="188"/>
      <c r="RX18" s="129" t="str">
        <f>IFERROR((((COUNTIF('Elève (6ème4)'!RU19:RW19,"A"))*4)+((COUNTIF('Elève (6ème4)'!RU19:RW19,"B"))*3)+((COUNTIF('Elève (6ème4)'!RU19:RW19,"C"))*2)+((COUNTIF('Elève (6ème4)'!RU19:RW19,"D"))*1))/(COUNTA(RU19:RW19)),"")</f>
        <v/>
      </c>
      <c r="RY18" s="128" t="str">
        <f t="shared" si="114"/>
        <v/>
      </c>
      <c r="RZ18" s="177">
        <f>IFERROR((((COUNTIF(RK19:RM19,"A")+COUNTIF(RP19:RR19,"A")+COUNTIF(RU19:RW19,"A"))*4)+((COUNTIF(RK19:RM19,"B")+COUNTIF(RP19:RR19,"B")+COUNTIF(RU19:RW19,"B"))*3)+((COUNTIF(RK19:RM19,"C")+COUNTIF(RP19:RR19,"C")+COUNTIF(RU19:RW19,"C"))*2)+((COUNTIF(RK19:RM19,"D")+COUNTIF(RP19:RR19,"D")+COUNTIF(RU19:RW19,"D"))*1))/(COUNTA(RK19:RM19)+COUNTA(RP19:RR19)+COUNTA(RU19:RW19)),"")</f>
        <v>4</v>
      </c>
      <c r="SA18" s="130" t="str">
        <f t="shared" si="115"/>
        <v>A</v>
      </c>
      <c r="SB18" s="152"/>
      <c r="SC18" s="190"/>
      <c r="SD18" s="185"/>
      <c r="SE18" s="129" t="str">
        <f>IFERROR((((COUNTIF('Elève (6ème4)'!SB19:SD19,"A"))*4)+((COUNTIF('Elève (6ème4)'!SB19:SD19,"B"))*3)+((COUNTIF('Elève (6ème4)'!SB19:SD19,"C"))*2)+((COUNTIF('Elève (6ème4)'!SB19:SD19,"D"))*1))/(COUNTA(SB19:SD19)),"")</f>
        <v/>
      </c>
      <c r="SF18" s="107" t="str">
        <f t="shared" si="116"/>
        <v/>
      </c>
      <c r="SG18" s="204"/>
      <c r="SH18" s="186"/>
      <c r="SI18" s="205"/>
      <c r="SJ18" s="129" t="str">
        <f>IFERROR((((COUNTIF('Elève (6ème4)'!SG19:SI19,"A"))*4)+((COUNTIF('Elève (6ème4)'!SG19:SI19,"B"))*3)+((COUNTIF('Elève (6ème4)'!SG19:SI19,"C"))*2)+((COUNTIF('Elève (6ème4)'!SG19:SI19,"D"))*1))/(COUNTA(SG19:SI19)),"")</f>
        <v/>
      </c>
      <c r="SK18" s="121" t="str">
        <f t="shared" si="117"/>
        <v/>
      </c>
      <c r="SL18" s="100"/>
      <c r="SM18" s="187"/>
      <c r="SN18" s="188"/>
      <c r="SO18" s="129" t="str">
        <f>IFERROR((((COUNTIF('Elève (6ème4)'!SL19:SN19,"A"))*4)+((COUNTIF('Elève (6ème4)'!SL19:SN19,"B"))*3)+((COUNTIF('Elève (6ème4)'!SL19:SN19,"C"))*2)+((COUNTIF('Elève (6ème4)'!SL19:SN19,"D"))*1))/(COUNTA(SL19:SN19)),"")</f>
        <v/>
      </c>
      <c r="SP18" s="128" t="str">
        <f t="shared" si="118"/>
        <v/>
      </c>
      <c r="SQ18" s="177" t="str">
        <f>IFERROR((((COUNTIF(SB19:SD19,"A")+COUNTIF(SG19:SI19,"A")+COUNTIF(SL19:SN19,"A"))*4)+((COUNTIF(SB19:SD19,"B")+COUNTIF(SG19:SI19,"B")+COUNTIF(SL19:SN19,"B"))*3)+((COUNTIF(SB19:SD19,"C")+COUNTIF(SG19:SI19,"C")+COUNTIF(SL19:SN19,"C"))*2)+((COUNTIF(SB19:SD19,"D")+COUNTIF(SG19:SI19,"D")+COUNTIF(SL19:SN19,"D"))*1))/(COUNTA(SB19:SD19)+COUNTA(SG19:SI19)+COUNTA(SL19:SN19)),"")</f>
        <v/>
      </c>
      <c r="SR18" s="130" t="str">
        <f t="shared" si="119"/>
        <v/>
      </c>
    </row>
    <row r="19" spans="1:512" s="72" customFormat="1" ht="18" customHeight="1" thickBot="1" x14ac:dyDescent="0.3">
      <c r="A19" s="236" t="s">
        <v>22</v>
      </c>
      <c r="B19" s="237"/>
      <c r="C19" s="164" t="s">
        <v>24</v>
      </c>
      <c r="D19" s="165"/>
      <c r="E19" s="163"/>
      <c r="F19" s="114">
        <f>IFERROR((((COUNTIF('Elève (6ème4)'!C19:E19,"A"))*4)+((COUNTIF('Elève (6ème4)'!C19:E19,"B"))*3)+((COUNTIF('Elève (6ème4)'!C19:E19,"C"))*2)+((COUNTIF('Elève (6ème4)'!C19:E19,"D"))*1))/(COUNTA(C19:E19)),"")</f>
        <v>4</v>
      </c>
      <c r="G19" s="115" t="str">
        <f t="shared" si="0"/>
        <v>A</v>
      </c>
      <c r="H19" s="166"/>
      <c r="I19" s="90"/>
      <c r="J19" s="138"/>
      <c r="K19" s="114" t="str">
        <f>IFERROR((((COUNTIF('Elève (6ème4)'!H19:J19,"A"))*4)+((COUNTIF('Elève (6ème4)'!H19:J19,"B"))*3)+((COUNTIF('Elève (6ème4)'!H19:J19,"C"))*2)+((COUNTIF('Elève (6ème4)'!H19:J19,"D"))*1))/(COUNTA(H19:J19)),"")</f>
        <v/>
      </c>
      <c r="L19" s="115" t="str">
        <f t="shared" si="1"/>
        <v/>
      </c>
      <c r="M19" s="89"/>
      <c r="N19" s="90"/>
      <c r="O19" s="138"/>
      <c r="P19" s="114" t="str">
        <f>IFERROR((((COUNTIF('Elève (6ème4)'!M19:O19,"A"))*4)+((COUNTIF('Elève (6ème4)'!M19:O19,"B"))*3)+((COUNTIF('Elève (6ème4)'!M19:O19,"C"))*2)+((COUNTIF('Elève (6ème4)'!M19:O19,"D"))*1))/(COUNTA(M19:O19)),"")</f>
        <v/>
      </c>
      <c r="Q19" s="115" t="str">
        <f t="shared" si="2"/>
        <v/>
      </c>
      <c r="R19" s="181">
        <f>IF(COUNT(F19,K19,P19)=0,"",SUM(F19,K19,P19)/COUNT(F19,K19,P19))</f>
        <v>4</v>
      </c>
      <c r="S19" s="140" t="str">
        <f t="shared" si="3"/>
        <v>A</v>
      </c>
      <c r="T19" s="164" t="s">
        <v>24</v>
      </c>
      <c r="U19" s="165"/>
      <c r="V19" s="163"/>
      <c r="W19" s="114">
        <f>IFERROR((((COUNTIF('Elève (6ème4)'!T19:V19,"A"))*4)+((COUNTIF('Elève (6ème4)'!T19:V19,"B"))*3)+((COUNTIF('Elève (6ème4)'!T19:V19,"C"))*2)+((COUNTIF('Elève (6ème4)'!T19:V19,"D"))*1))/(COUNTA(T19:V19)),"")</f>
        <v>4</v>
      </c>
      <c r="X19" s="115" t="str">
        <f t="shared" si="4"/>
        <v>A</v>
      </c>
      <c r="Y19" s="166"/>
      <c r="Z19" s="90"/>
      <c r="AA19" s="138"/>
      <c r="AB19" s="114" t="str">
        <f>IFERROR((((COUNTIF('Elève (6ème4)'!Y19:AA19,"A"))*4)+((COUNTIF('Elève (6ème4)'!Y19:AA19,"B"))*3)+((COUNTIF('Elève (6ème4)'!Y19:AA19,"C"))*2)+((COUNTIF('Elève (6ème4)'!Y19:AA19,"D"))*1))/(COUNTA(Y19:AA19)),"")</f>
        <v/>
      </c>
      <c r="AC19" s="115" t="str">
        <f t="shared" si="5"/>
        <v/>
      </c>
      <c r="AD19" s="89"/>
      <c r="AE19" s="90"/>
      <c r="AF19" s="138"/>
      <c r="AG19" s="114" t="str">
        <f>IFERROR((((COUNTIF('Elève (6ème4)'!AD19:AF19,"A"))*4)+((COUNTIF('Elève (6ème4)'!AD19:AF19,"B"))*3)+((COUNTIF('Elève (6ème4)'!AD19:AF19,"C"))*2)+((COUNTIF('Elève (6ème4)'!AD19:AF19,"D"))*1))/(COUNTA(AD19:AF19)),"")</f>
        <v/>
      </c>
      <c r="AH19" s="115" t="str">
        <f t="shared" si="6"/>
        <v/>
      </c>
      <c r="AI19" s="181">
        <f>IF(COUNT(W19,AB19,AG19)=0,"",SUM(W19,AB19,AG19)/COUNT(W19,AB19,AG19))</f>
        <v>4</v>
      </c>
      <c r="AJ19" s="140" t="str">
        <f t="shared" si="7"/>
        <v>A</v>
      </c>
      <c r="AK19" s="164" t="s">
        <v>24</v>
      </c>
      <c r="AL19" s="165"/>
      <c r="AM19" s="163"/>
      <c r="AN19" s="114">
        <f>IFERROR((((COUNTIF('Elève (6ème4)'!AK19:AM19,"A"))*4)+((COUNTIF('Elève (6ème4)'!AK19:AM19,"B"))*3)+((COUNTIF('Elève (6ème4)'!AK19:AM19,"C"))*2)+((COUNTIF('Elève (6ème4)'!AK19:AM19,"D"))*1))/(COUNTA(AK19:AM19)),"")</f>
        <v>4</v>
      </c>
      <c r="AO19" s="115" t="str">
        <f t="shared" si="8"/>
        <v>A</v>
      </c>
      <c r="AP19" s="166"/>
      <c r="AQ19" s="90"/>
      <c r="AR19" s="138"/>
      <c r="AS19" s="114" t="str">
        <f>IFERROR((((COUNTIF('Elève (6ème4)'!AP19:AR19,"A"))*4)+((COUNTIF('Elève (6ème4)'!AP19:AR19,"B"))*3)+((COUNTIF('Elève (6ème4)'!AP19:AR19,"C"))*2)+((COUNTIF('Elève (6ème4)'!AP19:AR19,"D"))*1))/(COUNTA(AP19:AR19)),"")</f>
        <v/>
      </c>
      <c r="AT19" s="115" t="str">
        <f t="shared" si="9"/>
        <v/>
      </c>
      <c r="AU19" s="89"/>
      <c r="AV19" s="90"/>
      <c r="AW19" s="138"/>
      <c r="AX19" s="114" t="str">
        <f>IFERROR((((COUNTIF('Elève (6ème4)'!AU19:AW19,"A"))*4)+((COUNTIF('Elève (6ème4)'!AU19:AW19,"B"))*3)+((COUNTIF('Elève (6ème4)'!AU19:AW19,"C"))*2)+((COUNTIF('Elève (6ème4)'!AU19:AW19,"D"))*1))/(COUNTA(AU19:AW19)),"")</f>
        <v/>
      </c>
      <c r="AY19" s="115" t="str">
        <f t="shared" si="10"/>
        <v/>
      </c>
      <c r="AZ19" s="181">
        <f>IF(COUNT(AN19,AS19,AX19)=0,"",SUM(AN19,AS19,AX19)/COUNT(AN19,AS19,AX19))</f>
        <v>4</v>
      </c>
      <c r="BA19" s="140" t="str">
        <f t="shared" si="11"/>
        <v>A</v>
      </c>
      <c r="BB19" s="164"/>
      <c r="BC19" s="165"/>
      <c r="BD19" s="163"/>
      <c r="BE19" s="114" t="str">
        <f>IFERROR((((COUNTIF('Elève (6ème4)'!BB19:BD19,"A"))*4)+((COUNTIF('Elève (6ème4)'!BB19:BD19,"B"))*3)+((COUNTIF('Elève (6ème4)'!BB19:BD19,"C"))*2)+((COUNTIF('Elève (6ème4)'!BB19:BD19,"D"))*1))/(COUNTA(BB19:BD19)),"")</f>
        <v/>
      </c>
      <c r="BF19" s="115" t="str">
        <f t="shared" si="12"/>
        <v/>
      </c>
      <c r="BG19" s="166"/>
      <c r="BH19" s="90"/>
      <c r="BI19" s="138"/>
      <c r="BJ19" s="114" t="str">
        <f>IFERROR((((COUNTIF('Elève (6ème4)'!BG19:BI19,"A"))*4)+((COUNTIF('Elève (6ème4)'!BG19:BI19,"B"))*3)+((COUNTIF('Elève (6ème4)'!BG19:BI19,"C"))*2)+((COUNTIF('Elève (6ème4)'!BG19:BI19,"D"))*1))/(COUNTA(BG19:BI19)),"")</f>
        <v/>
      </c>
      <c r="BK19" s="115" t="str">
        <f t="shared" si="13"/>
        <v/>
      </c>
      <c r="BL19" s="89"/>
      <c r="BM19" s="90"/>
      <c r="BN19" s="138"/>
      <c r="BO19" s="114" t="str">
        <f>IFERROR((((COUNTIF('Elève (6ème4)'!BL19:BN19,"A"))*4)+((COUNTIF('Elève (6ème4)'!BL19:BN19,"B"))*3)+((COUNTIF('Elève (6ème4)'!BL19:BN19,"C"))*2)+((COUNTIF('Elève (6ème4)'!BL19:BN19,"D"))*1))/(COUNTA(BL19:BN19)),"")</f>
        <v/>
      </c>
      <c r="BP19" s="115" t="str">
        <f t="shared" si="14"/>
        <v/>
      </c>
      <c r="BQ19" s="181" t="str">
        <f>IF(COUNT(BE19,BJ19,BO19)=0,"",SUM(BE19,BJ19,BO19)/COUNT(BE19,BJ19,BO19))</f>
        <v/>
      </c>
      <c r="BR19" s="140" t="str">
        <f t="shared" si="15"/>
        <v/>
      </c>
      <c r="BS19" s="164" t="s">
        <v>24</v>
      </c>
      <c r="BT19" s="165"/>
      <c r="BU19" s="163"/>
      <c r="BV19" s="114">
        <f>IFERROR((((COUNTIF('Elève (6ème4)'!BS19:BU19,"A"))*4)+((COUNTIF('Elève (6ème4)'!BS19:BU19,"B"))*3)+((COUNTIF('Elève (6ème4)'!BS19:BU19,"C"))*2)+((COUNTIF('Elève (6ème4)'!BS19:BU19,"D"))*1))/(COUNTA(BS19:BU19)),"")</f>
        <v>4</v>
      </c>
      <c r="BW19" s="115" t="str">
        <f t="shared" si="16"/>
        <v>A</v>
      </c>
      <c r="BX19" s="166"/>
      <c r="BY19" s="90"/>
      <c r="BZ19" s="138"/>
      <c r="CA19" s="114" t="str">
        <f>IFERROR((((COUNTIF('Elève (6ème4)'!BX19:BZ19,"A"))*4)+((COUNTIF('Elève (6ème4)'!BX19:BZ19,"B"))*3)+((COUNTIF('Elève (6ème4)'!BX19:BZ19,"C"))*2)+((COUNTIF('Elève (6ème4)'!BX19:BZ19,"D"))*1))/(COUNTA(BX19:BZ19)),"")</f>
        <v/>
      </c>
      <c r="CB19" s="115" t="str">
        <f t="shared" si="17"/>
        <v/>
      </c>
      <c r="CC19" s="89"/>
      <c r="CD19" s="90"/>
      <c r="CE19" s="138"/>
      <c r="CF19" s="114" t="str">
        <f>IFERROR((((COUNTIF('Elève (6ème4)'!CC19:CE19,"A"))*4)+((COUNTIF('Elève (6ème4)'!CC19:CE19,"B"))*3)+((COUNTIF('Elève (6ème4)'!CC19:CE19,"C"))*2)+((COUNTIF('Elève (6ème4)'!CC19:CE19,"D"))*1))/(COUNTA(CC19:CE19)),"")</f>
        <v/>
      </c>
      <c r="CG19" s="115" t="str">
        <f t="shared" si="18"/>
        <v/>
      </c>
      <c r="CH19" s="181">
        <f>IF(COUNT(BV19,CA19,CF19)=0,"",SUM(BV19,CA19,CF19)/COUNT(BV19,CA19,CF19))</f>
        <v>4</v>
      </c>
      <c r="CI19" s="140" t="str">
        <f t="shared" si="19"/>
        <v>A</v>
      </c>
      <c r="CJ19" s="164"/>
      <c r="CK19" s="165"/>
      <c r="CL19" s="163"/>
      <c r="CM19" s="114" t="str">
        <f>IFERROR((((COUNTIF('Elève (6ème4)'!CJ19:CL19,"A"))*4)+((COUNTIF('Elève (6ème4)'!CJ19:CL19,"B"))*3)+((COUNTIF('Elève (6ème4)'!CJ19:CL19,"C"))*2)+((COUNTIF('Elève (6ème4)'!CJ19:CL19,"D"))*1))/(COUNTA(CJ19:CL19)),"")</f>
        <v/>
      </c>
      <c r="CN19" s="115" t="str">
        <f t="shared" si="20"/>
        <v/>
      </c>
      <c r="CO19" s="166"/>
      <c r="CP19" s="90"/>
      <c r="CQ19" s="138"/>
      <c r="CR19" s="114" t="str">
        <f>IFERROR((((COUNTIF('Elève (6ème4)'!CO19:CQ19,"A"))*4)+((COUNTIF('Elève (6ème4)'!CO19:CQ19,"B"))*3)+((COUNTIF('Elève (6ème4)'!CO19:CQ19,"C"))*2)+((COUNTIF('Elève (6ème4)'!CO19:CQ19,"D"))*1))/(COUNTA(CO19:CQ19)),"")</f>
        <v/>
      </c>
      <c r="CS19" s="115" t="str">
        <f t="shared" si="21"/>
        <v/>
      </c>
      <c r="CT19" s="89"/>
      <c r="CU19" s="90"/>
      <c r="CV19" s="138"/>
      <c r="CW19" s="114" t="str">
        <f>IFERROR((((COUNTIF('Elève (6ème4)'!CT19:CV19,"A"))*4)+((COUNTIF('Elève (6ème4)'!CT19:CV19,"B"))*3)+((COUNTIF('Elève (6ème4)'!CT19:CV19,"C"))*2)+((COUNTIF('Elève (6ème4)'!CT19:CV19,"D"))*1))/(COUNTA(CT19:CV19)),"")</f>
        <v/>
      </c>
      <c r="CX19" s="115" t="str">
        <f t="shared" si="22"/>
        <v/>
      </c>
      <c r="CY19" s="181" t="str">
        <f>IF(COUNT(CM19,CR19,CW19)=0,"",SUM(CM19,CR19,CW19)/COUNT(CM19,CR19,CW19))</f>
        <v/>
      </c>
      <c r="CZ19" s="140" t="str">
        <f t="shared" si="23"/>
        <v/>
      </c>
      <c r="DA19" s="164"/>
      <c r="DB19" s="165"/>
      <c r="DC19" s="163"/>
      <c r="DD19" s="114" t="str">
        <f>IFERROR((((COUNTIF('Elève (6ème4)'!DA19:DC19,"A"))*4)+((COUNTIF('Elève (6ème4)'!DA19:DC19,"B"))*3)+((COUNTIF('Elève (6ème4)'!DA19:DC19,"C"))*2)+((COUNTIF('Elève (6ème4)'!DA19:DC19,"D"))*1))/(COUNTA(DA19:DC19)),"")</f>
        <v/>
      </c>
      <c r="DE19" s="115" t="str">
        <f t="shared" si="24"/>
        <v/>
      </c>
      <c r="DF19" s="166"/>
      <c r="DG19" s="90"/>
      <c r="DH19" s="138"/>
      <c r="DI19" s="114" t="str">
        <f>IFERROR((((COUNTIF('Elève (6ème4)'!DF19:DH19,"A"))*4)+((COUNTIF('Elève (6ème4)'!DF19:DH19,"B"))*3)+((COUNTIF('Elève (6ème4)'!DF19:DH19,"C"))*2)+((COUNTIF('Elève (6ème4)'!DF19:DH19,"D"))*1))/(COUNTA(DF19:DH19)),"")</f>
        <v/>
      </c>
      <c r="DJ19" s="115" t="str">
        <f t="shared" si="25"/>
        <v/>
      </c>
      <c r="DK19" s="89"/>
      <c r="DL19" s="90"/>
      <c r="DM19" s="138"/>
      <c r="DN19" s="114" t="str">
        <f>IFERROR((((COUNTIF('Elève (6ème4)'!DK19:DM19,"A"))*4)+((COUNTIF('Elève (6ème4)'!DK19:DM19,"B"))*3)+((COUNTIF('Elève (6ème4)'!DK19:DM19,"C"))*2)+((COUNTIF('Elève (6ème4)'!DK19:DM19,"D"))*1))/(COUNTA(DK19:DM19)),"")</f>
        <v/>
      </c>
      <c r="DO19" s="115" t="str">
        <f t="shared" si="26"/>
        <v/>
      </c>
      <c r="DP19" s="181" t="str">
        <f>IF(COUNT(DD19,DI19,DN19)=0,"",SUM(DD19,DI19,DN19)/COUNT(DD19,DI19,DN19))</f>
        <v/>
      </c>
      <c r="DQ19" s="140" t="str">
        <f t="shared" si="27"/>
        <v/>
      </c>
      <c r="DR19" s="164" t="s">
        <v>24</v>
      </c>
      <c r="DS19" s="165"/>
      <c r="DT19" s="163"/>
      <c r="DU19" s="114">
        <f>IFERROR((((COUNTIF('Elève (6ème4)'!DR19:DT19,"A"))*4)+((COUNTIF('Elève (6ème4)'!DR19:DT19,"B"))*3)+((COUNTIF('Elève (6ème4)'!DR19:DT19,"C"))*2)+((COUNTIF('Elève (6ème4)'!DR19:DT19,"D"))*1))/(COUNTA(DR19:DT19)),"")</f>
        <v>4</v>
      </c>
      <c r="DV19" s="115" t="str">
        <f t="shared" si="28"/>
        <v>A</v>
      </c>
      <c r="DW19" s="166"/>
      <c r="DX19" s="90"/>
      <c r="DY19" s="138"/>
      <c r="DZ19" s="114" t="str">
        <f>IFERROR((((COUNTIF('Elève (6ème4)'!DW19:DY19,"A"))*4)+((COUNTIF('Elève (6ème4)'!DW19:DY19,"B"))*3)+((COUNTIF('Elève (6ème4)'!DW19:DY19,"C"))*2)+((COUNTIF('Elève (6ème4)'!DW19:DY19,"D"))*1))/(COUNTA(DW19:DY19)),"")</f>
        <v/>
      </c>
      <c r="EA19" s="115" t="str">
        <f t="shared" si="29"/>
        <v/>
      </c>
      <c r="EB19" s="89"/>
      <c r="EC19" s="90"/>
      <c r="ED19" s="138"/>
      <c r="EE19" s="114" t="str">
        <f>IFERROR((((COUNTIF('Elève (6ème4)'!EB19:ED19,"A"))*4)+((COUNTIF('Elève (6ème4)'!EB19:ED19,"B"))*3)+((COUNTIF('Elève (6ème4)'!EB19:ED19,"C"))*2)+((COUNTIF('Elève (6ème4)'!EB19:ED19,"D"))*1))/(COUNTA(EB19:ED19)),"")</f>
        <v/>
      </c>
      <c r="EF19" s="115" t="str">
        <f t="shared" si="30"/>
        <v/>
      </c>
      <c r="EG19" s="181">
        <f>IF(COUNT(DU19,DZ19,EE19)=0,"",SUM(DU19,DZ19,EE19)/COUNT(DU19,DZ19,EE19))</f>
        <v>4</v>
      </c>
      <c r="EH19" s="140" t="str">
        <f t="shared" si="31"/>
        <v>A</v>
      </c>
      <c r="EI19" s="164" t="s">
        <v>24</v>
      </c>
      <c r="EJ19" s="165"/>
      <c r="EK19" s="163"/>
      <c r="EL19" s="114">
        <f>IFERROR((((COUNTIF('Elève (6ème4)'!EI19:EK19,"A"))*4)+((COUNTIF('Elève (6ème4)'!EI19:EK19,"B"))*3)+((COUNTIF('Elève (6ème4)'!EI19:EK19,"C"))*2)+((COUNTIF('Elève (6ème4)'!EI19:EK19,"D"))*1))/(COUNTA(EI19:EK19)),"")</f>
        <v>4</v>
      </c>
      <c r="EM19" s="115" t="str">
        <f t="shared" si="32"/>
        <v>A</v>
      </c>
      <c r="EN19" s="166"/>
      <c r="EO19" s="90"/>
      <c r="EP19" s="138"/>
      <c r="EQ19" s="114" t="str">
        <f>IFERROR((((COUNTIF('Elève (6ème4)'!EN19:EP19,"A"))*4)+((COUNTIF('Elève (6ème4)'!EN19:EP19,"B"))*3)+((COUNTIF('Elève (6ème4)'!EN19:EP19,"C"))*2)+((COUNTIF('Elève (6ème4)'!EN19:EP19,"D"))*1))/(COUNTA(EN19:EP19)),"")</f>
        <v/>
      </c>
      <c r="ER19" s="115" t="str">
        <f t="shared" si="33"/>
        <v/>
      </c>
      <c r="ES19" s="89"/>
      <c r="ET19" s="90"/>
      <c r="EU19" s="138"/>
      <c r="EV19" s="114" t="str">
        <f>IFERROR((((COUNTIF('Elève (6ème4)'!ES19:EU19,"A"))*4)+((COUNTIF('Elève (6ème4)'!ES19:EU19,"B"))*3)+((COUNTIF('Elève (6ème4)'!ES19:EU19,"C"))*2)+((COUNTIF('Elève (6ème4)'!ES19:EU19,"D"))*1))/(COUNTA(ES19:EU19)),"")</f>
        <v/>
      </c>
      <c r="EW19" s="115" t="str">
        <f t="shared" si="34"/>
        <v/>
      </c>
      <c r="EX19" s="181">
        <f>IF(COUNT(EL19,EQ19,EV19)=0,"",SUM(EL19,EQ19,EV19)/COUNT(EL19,EQ19,EV19))</f>
        <v>4</v>
      </c>
      <c r="EY19" s="140" t="str">
        <f t="shared" si="35"/>
        <v>A</v>
      </c>
      <c r="EZ19" s="164" t="s">
        <v>24</v>
      </c>
      <c r="FA19" s="165"/>
      <c r="FB19" s="163"/>
      <c r="FC19" s="114">
        <f>IFERROR((((COUNTIF('Elève (6ème4)'!EZ19:FB19,"A"))*4)+((COUNTIF('Elève (6ème4)'!EZ19:FB19,"B"))*3)+((COUNTIF('Elève (6ème4)'!EZ19:FB19,"C"))*2)+((COUNTIF('Elève (6ème4)'!EZ19:FB19,"D"))*1))/(COUNTA(EZ19:FB19)),"")</f>
        <v>4</v>
      </c>
      <c r="FD19" s="115" t="str">
        <f t="shared" si="36"/>
        <v>A</v>
      </c>
      <c r="FE19" s="166"/>
      <c r="FF19" s="90"/>
      <c r="FG19" s="138"/>
      <c r="FH19" s="114" t="str">
        <f>IFERROR((((COUNTIF('Elève (6ème4)'!FE19:FG19,"A"))*4)+((COUNTIF('Elève (6ème4)'!FE19:FG19,"B"))*3)+((COUNTIF('Elève (6ème4)'!FE19:FG19,"C"))*2)+((COUNTIF('Elève (6ème4)'!FE19:FG19,"D"))*1))/(COUNTA(FE19:FG19)),"")</f>
        <v/>
      </c>
      <c r="FI19" s="115" t="str">
        <f t="shared" si="37"/>
        <v/>
      </c>
      <c r="FJ19" s="89"/>
      <c r="FK19" s="90"/>
      <c r="FL19" s="138"/>
      <c r="FM19" s="114" t="str">
        <f>IFERROR((((COUNTIF('Elève (6ème4)'!FJ19:FL19,"A"))*4)+((COUNTIF('Elève (6ème4)'!FJ19:FL19,"B"))*3)+((COUNTIF('Elève (6ème4)'!FJ19:FL19,"C"))*2)+((COUNTIF('Elève (6ème4)'!FJ19:FL19,"D"))*1))/(COUNTA(FJ19:FL19)),"")</f>
        <v/>
      </c>
      <c r="FN19" s="115" t="str">
        <f t="shared" si="38"/>
        <v/>
      </c>
      <c r="FO19" s="181">
        <f>IF(COUNT(FC19,FH19,FM19)=0,"",SUM(FC19,FH19,FM19)/COUNT(FC19,FH19,FM19))</f>
        <v>4</v>
      </c>
      <c r="FP19" s="140" t="str">
        <f t="shared" si="39"/>
        <v>A</v>
      </c>
      <c r="FQ19" s="164" t="s">
        <v>24</v>
      </c>
      <c r="FR19" s="165"/>
      <c r="FS19" s="163"/>
      <c r="FT19" s="114">
        <f>IFERROR((((COUNTIF('Elève (6ème4)'!FQ19:FS19,"A"))*4)+((COUNTIF('Elève (6ème4)'!FQ19:FS19,"B"))*3)+((COUNTIF('Elève (6ème4)'!FQ19:FS19,"C"))*2)+((COUNTIF('Elève (6ème4)'!FQ19:FS19,"D"))*1))/(COUNTA(FQ19:FS19)),"")</f>
        <v>4</v>
      </c>
      <c r="FU19" s="115" t="str">
        <f t="shared" si="40"/>
        <v>A</v>
      </c>
      <c r="FV19" s="166"/>
      <c r="FW19" s="90"/>
      <c r="FX19" s="138"/>
      <c r="FY19" s="114" t="str">
        <f>IFERROR((((COUNTIF('Elève (6ème4)'!FV19:FX19,"A"))*4)+((COUNTIF('Elève (6ème4)'!FV19:FX19,"B"))*3)+((COUNTIF('Elève (6ème4)'!FV19:FX19,"C"))*2)+((COUNTIF('Elève (6ème4)'!FV19:FX19,"D"))*1))/(COUNTA(FV19:FX19)),"")</f>
        <v/>
      </c>
      <c r="FZ19" s="115" t="str">
        <f t="shared" si="41"/>
        <v/>
      </c>
      <c r="GA19" s="89"/>
      <c r="GB19" s="90"/>
      <c r="GC19" s="138"/>
      <c r="GD19" s="114" t="str">
        <f>IFERROR((((COUNTIF('Elève (6ème4)'!GA19:GC19,"A"))*4)+((COUNTIF('Elève (6ème4)'!GA19:GC19,"B"))*3)+((COUNTIF('Elève (6ème4)'!GA19:GC19,"C"))*2)+((COUNTIF('Elève (6ème4)'!GA19:GC19,"D"))*1))/(COUNTA(GA19:GC19)),"")</f>
        <v/>
      </c>
      <c r="GE19" s="115" t="str">
        <f t="shared" si="42"/>
        <v/>
      </c>
      <c r="GF19" s="181">
        <f>IF(COUNT(FT19,FY19,GD19)=0,"",SUM(FT19,FY19,GD19)/COUNT(FT19,FY19,GD19))</f>
        <v>4</v>
      </c>
      <c r="GG19" s="140" t="str">
        <f t="shared" si="43"/>
        <v>A</v>
      </c>
      <c r="GH19" s="164" t="s">
        <v>24</v>
      </c>
      <c r="GI19" s="165"/>
      <c r="GJ19" s="163"/>
      <c r="GK19" s="114">
        <f>IFERROR((((COUNTIF('Elève (6ème4)'!GH19:GJ19,"A"))*4)+((COUNTIF('Elève (6ème4)'!GH19:GJ19,"B"))*3)+((COUNTIF('Elève (6ème4)'!GH19:GJ19,"C"))*2)+((COUNTIF('Elève (6ème4)'!GH19:GJ19,"D"))*1))/(COUNTA(GH19:GJ19)),"")</f>
        <v>4</v>
      </c>
      <c r="GL19" s="115" t="str">
        <f t="shared" si="44"/>
        <v>A</v>
      </c>
      <c r="GM19" s="166"/>
      <c r="GN19" s="90"/>
      <c r="GO19" s="138"/>
      <c r="GP19" s="114" t="str">
        <f>IFERROR((((COUNTIF('Elève (6ème4)'!GM19:GO19,"A"))*4)+((COUNTIF('Elève (6ème4)'!GM19:GO19,"B"))*3)+((COUNTIF('Elève (6ème4)'!GM19:GO19,"C"))*2)+((COUNTIF('Elève (6ème4)'!GM19:GO19,"D"))*1))/(COUNTA(GM19:GO19)),"")</f>
        <v/>
      </c>
      <c r="GQ19" s="115" t="str">
        <f t="shared" si="45"/>
        <v/>
      </c>
      <c r="GR19" s="89"/>
      <c r="GS19" s="90"/>
      <c r="GT19" s="138"/>
      <c r="GU19" s="114" t="str">
        <f>IFERROR((((COUNTIF('Elève (6ème4)'!GR19:GT19,"A"))*4)+((COUNTIF('Elève (6ème4)'!GR19:GT19,"B"))*3)+((COUNTIF('Elève (6ème4)'!GR19:GT19,"C"))*2)+((COUNTIF('Elève (6ème4)'!GR19:GT19,"D"))*1))/(COUNTA(GR19:GT19)),"")</f>
        <v/>
      </c>
      <c r="GV19" s="115" t="str">
        <f t="shared" si="46"/>
        <v/>
      </c>
      <c r="GW19" s="181">
        <f>IF(COUNT(GK19,GP19,GU19)=0,"",SUM(GK19,GP19,GU19)/COUNT(GK19,GP19,GU19))</f>
        <v>4</v>
      </c>
      <c r="GX19" s="140" t="str">
        <f t="shared" si="47"/>
        <v>A</v>
      </c>
      <c r="GY19" s="164" t="s">
        <v>24</v>
      </c>
      <c r="GZ19" s="165"/>
      <c r="HA19" s="163"/>
      <c r="HB19" s="114">
        <f>IFERROR((((COUNTIF('Elève (6ème4)'!GY19:HA19,"A"))*4)+((COUNTIF('Elève (6ème4)'!GY19:HA19,"B"))*3)+((COUNTIF('Elève (6ème4)'!GY19:HA19,"C"))*2)+((COUNTIF('Elève (6ème4)'!GY19:HA19,"D"))*1))/(COUNTA(GY19:HA19)),"")</f>
        <v>4</v>
      </c>
      <c r="HC19" s="115" t="str">
        <f t="shared" si="48"/>
        <v>A</v>
      </c>
      <c r="HD19" s="166"/>
      <c r="HE19" s="90"/>
      <c r="HF19" s="138"/>
      <c r="HG19" s="114" t="str">
        <f>IFERROR((((COUNTIF('Elève (6ème4)'!HD19:HF19,"A"))*4)+((COUNTIF('Elève (6ème4)'!HD19:HF19,"B"))*3)+((COUNTIF('Elève (6ème4)'!HD19:HF19,"C"))*2)+((COUNTIF('Elève (6ème4)'!HD19:HF19,"D"))*1))/(COUNTA(HD19:HF19)),"")</f>
        <v/>
      </c>
      <c r="HH19" s="115" t="str">
        <f t="shared" si="49"/>
        <v/>
      </c>
      <c r="HI19" s="89"/>
      <c r="HJ19" s="90"/>
      <c r="HK19" s="138"/>
      <c r="HL19" s="114" t="str">
        <f>IFERROR((((COUNTIF('Elève (6ème4)'!HI19:HK19,"A"))*4)+((COUNTIF('Elève (6ème4)'!HI19:HK19,"B"))*3)+((COUNTIF('Elève (6ème4)'!HI19:HK19,"C"))*2)+((COUNTIF('Elève (6ème4)'!HI19:HK19,"D"))*1))/(COUNTA(HI19:HK19)),"")</f>
        <v/>
      </c>
      <c r="HM19" s="115" t="str">
        <f t="shared" si="50"/>
        <v/>
      </c>
      <c r="HN19" s="181">
        <f>IF(COUNT(HB19,HG19,HL19)=0,"",SUM(HB19,HG19,HL19)/COUNT(HB19,HG19,HL19))</f>
        <v>4</v>
      </c>
      <c r="HO19" s="140" t="str">
        <f t="shared" si="51"/>
        <v>A</v>
      </c>
      <c r="HP19" s="164"/>
      <c r="HQ19" s="165"/>
      <c r="HR19" s="163"/>
      <c r="HS19" s="114" t="str">
        <f>IFERROR((((COUNTIF('Elève (6ème4)'!HP19:HR19,"A"))*4)+((COUNTIF('Elève (6ème4)'!HP19:HR19,"B"))*3)+((COUNTIF('Elève (6ème4)'!HP19:HR19,"C"))*2)+((COUNTIF('Elève (6ème4)'!HP19:HR19,"D"))*1))/(COUNTA(HP19:HR19)),"")</f>
        <v/>
      </c>
      <c r="HT19" s="115" t="str">
        <f t="shared" si="52"/>
        <v/>
      </c>
      <c r="HU19" s="166"/>
      <c r="HV19" s="90"/>
      <c r="HW19" s="138"/>
      <c r="HX19" s="114" t="str">
        <f>IFERROR((((COUNTIF('Elève (6ème4)'!HU19:HW19,"A"))*4)+((COUNTIF('Elève (6ème4)'!HU19:HW19,"B"))*3)+((COUNTIF('Elève (6ème4)'!HU19:HW19,"C"))*2)+((COUNTIF('Elève (6ème4)'!HU19:HW19,"D"))*1))/(COUNTA(HU19:HW19)),"")</f>
        <v/>
      </c>
      <c r="HY19" s="115" t="str">
        <f t="shared" si="53"/>
        <v/>
      </c>
      <c r="HZ19" s="89"/>
      <c r="IA19" s="90"/>
      <c r="IB19" s="138"/>
      <c r="IC19" s="114" t="str">
        <f>IFERROR((((COUNTIF('Elève (6ème4)'!HZ19:IB19,"A"))*4)+((COUNTIF('Elève (6ème4)'!HZ19:IB19,"B"))*3)+((COUNTIF('Elève (6ème4)'!HZ19:IB19,"C"))*2)+((COUNTIF('Elève (6ème4)'!HZ19:IB19,"D"))*1))/(COUNTA(HZ19:IB19)),"")</f>
        <v/>
      </c>
      <c r="ID19" s="115" t="str">
        <f t="shared" si="54"/>
        <v/>
      </c>
      <c r="IE19" s="181" t="str">
        <f>IF(COUNT(HS19,HX19,IC19)=0,"",SUM(HS19,HX19,IC19)/COUNT(HS19,HX19,IC19))</f>
        <v/>
      </c>
      <c r="IF19" s="140" t="str">
        <f t="shared" si="55"/>
        <v/>
      </c>
      <c r="IG19" s="164" t="s">
        <v>24</v>
      </c>
      <c r="IH19" s="165"/>
      <c r="II19" s="163"/>
      <c r="IJ19" s="114">
        <f>IFERROR((((COUNTIF('Elève (6ème4)'!IG19:II19,"A"))*4)+((COUNTIF('Elève (6ème4)'!IG19:II19,"B"))*3)+((COUNTIF('Elève (6ème4)'!IG19:II19,"C"))*2)+((COUNTIF('Elève (6ème4)'!IG19:II19,"D"))*1))/(COUNTA(IG19:II19)),"")</f>
        <v>4</v>
      </c>
      <c r="IK19" s="115" t="str">
        <f t="shared" si="56"/>
        <v>A</v>
      </c>
      <c r="IL19" s="166"/>
      <c r="IM19" s="90"/>
      <c r="IN19" s="138"/>
      <c r="IO19" s="114" t="str">
        <f>IFERROR((((COUNTIF('Elève (6ème4)'!IL19:IN19,"A"))*4)+((COUNTIF('Elève (6ème4)'!IL19:IN19,"B"))*3)+((COUNTIF('Elève (6ème4)'!IL19:IN19,"C"))*2)+((COUNTIF('Elève (6ème4)'!IL19:IN19,"D"))*1))/(COUNTA(IL19:IN19)),"")</f>
        <v/>
      </c>
      <c r="IP19" s="115" t="str">
        <f t="shared" si="57"/>
        <v/>
      </c>
      <c r="IQ19" s="89"/>
      <c r="IR19" s="90"/>
      <c r="IS19" s="138"/>
      <c r="IT19" s="114" t="str">
        <f>IFERROR((((COUNTIF('Elève (6ème4)'!IQ19:IS19,"A"))*4)+((COUNTIF('Elève (6ème4)'!IQ19:IS19,"B"))*3)+((COUNTIF('Elève (6ème4)'!IQ19:IS19,"C"))*2)+((COUNTIF('Elève (6ème4)'!IQ19:IS19,"D"))*1))/(COUNTA(IQ19:IS19)),"")</f>
        <v/>
      </c>
      <c r="IU19" s="115" t="str">
        <f t="shared" si="58"/>
        <v/>
      </c>
      <c r="IV19" s="181">
        <f>IF(COUNT(IJ19,IO19,IT19)=0,"",SUM(IJ19,IO19,IT19)/COUNT(IJ19,IO19,IT19))</f>
        <v>4</v>
      </c>
      <c r="IW19" s="140" t="str">
        <f t="shared" si="59"/>
        <v>A</v>
      </c>
      <c r="IX19" s="164" t="s">
        <v>24</v>
      </c>
      <c r="IY19" s="165"/>
      <c r="IZ19" s="163"/>
      <c r="JA19" s="114">
        <f>IFERROR((((COUNTIF('Elève (6ème4)'!IX19:IZ19,"A"))*4)+((COUNTIF('Elève (6ème4)'!IX19:IZ19,"B"))*3)+((COUNTIF('Elève (6ème4)'!IX19:IZ19,"C"))*2)+((COUNTIF('Elève (6ème4)'!IX19:IZ19,"D"))*1))/(COUNTA(IX19:IZ19)),"")</f>
        <v>4</v>
      </c>
      <c r="JB19" s="115" t="str">
        <f t="shared" si="60"/>
        <v>A</v>
      </c>
      <c r="JC19" s="166"/>
      <c r="JD19" s="90"/>
      <c r="JE19" s="138"/>
      <c r="JF19" s="114" t="str">
        <f>IFERROR((((COUNTIF('Elève (6ème4)'!JC19:JE19,"A"))*4)+((COUNTIF('Elève (6ème4)'!JC19:JE19,"B"))*3)+((COUNTIF('Elève (6ème4)'!JC19:JE19,"C"))*2)+((COUNTIF('Elève (6ème4)'!JC19:JE19,"D"))*1))/(COUNTA(JC19:JE19)),"")</f>
        <v/>
      </c>
      <c r="JG19" s="115" t="str">
        <f t="shared" si="61"/>
        <v/>
      </c>
      <c r="JH19" s="89"/>
      <c r="JI19" s="90"/>
      <c r="JJ19" s="138"/>
      <c r="JK19" s="114" t="str">
        <f>IFERROR((((COUNTIF('Elève (6ème4)'!JH19:JJ19,"A"))*4)+((COUNTIF('Elève (6ème4)'!JH19:JJ19,"B"))*3)+((COUNTIF('Elève (6ème4)'!JH19:JJ19,"C"))*2)+((COUNTIF('Elève (6ème4)'!JH19:JJ19,"D"))*1))/(COUNTA(JH19:JJ19)),"")</f>
        <v/>
      </c>
      <c r="JL19" s="115" t="str">
        <f t="shared" si="62"/>
        <v/>
      </c>
      <c r="JM19" s="181">
        <f>IF(COUNT(JA19,JF19,JK19)=0,"",SUM(JA19,JF19,JK19)/COUNT(JA19,JF19,JK19))</f>
        <v>4</v>
      </c>
      <c r="JN19" s="140" t="str">
        <f t="shared" si="63"/>
        <v>A</v>
      </c>
      <c r="JO19" s="164" t="s">
        <v>24</v>
      </c>
      <c r="JP19" s="165"/>
      <c r="JQ19" s="163"/>
      <c r="JR19" s="114">
        <f>IFERROR((((COUNTIF('Elève (6ème4)'!JO19:JQ19,"A"))*4)+((COUNTIF('Elève (6ème4)'!JO19:JQ19,"B"))*3)+((COUNTIF('Elève (6ème4)'!JO19:JQ19,"C"))*2)+((COUNTIF('Elève (6ème4)'!JO19:JQ19,"D"))*1))/(COUNTA(JO19:JQ19)),"")</f>
        <v>4</v>
      </c>
      <c r="JS19" s="115" t="str">
        <f t="shared" si="64"/>
        <v>A</v>
      </c>
      <c r="JT19" s="166"/>
      <c r="JU19" s="90"/>
      <c r="JV19" s="138"/>
      <c r="JW19" s="114" t="str">
        <f>IFERROR((((COUNTIF('Elève (6ème4)'!JT19:JV19,"A"))*4)+((COUNTIF('Elève (6ème4)'!JT19:JV19,"B"))*3)+((COUNTIF('Elève (6ème4)'!JT19:JV19,"C"))*2)+((COUNTIF('Elève (6ème4)'!JT19:JV19,"D"))*1))/(COUNTA(JT19:JV19)),"")</f>
        <v/>
      </c>
      <c r="JX19" s="115" t="str">
        <f t="shared" si="65"/>
        <v/>
      </c>
      <c r="JY19" s="89"/>
      <c r="JZ19" s="90"/>
      <c r="KA19" s="138"/>
      <c r="KB19" s="114" t="str">
        <f>IFERROR((((COUNTIF('Elève (6ème4)'!JY19:KA19,"A"))*4)+((COUNTIF('Elève (6ème4)'!JY19:KA19,"B"))*3)+((COUNTIF('Elève (6ème4)'!JY19:KA19,"C"))*2)+((COUNTIF('Elève (6ème4)'!JY19:KA19,"D"))*1))/(COUNTA(JY19:KA19)),"")</f>
        <v/>
      </c>
      <c r="KC19" s="115" t="str">
        <f t="shared" si="66"/>
        <v/>
      </c>
      <c r="KD19" s="181">
        <f>IF(COUNT(JR19,JW19,KB19)=0,"",SUM(JR19,JW19,KB19)/COUNT(JR19,JW19,KB19))</f>
        <v>4</v>
      </c>
      <c r="KE19" s="140" t="str">
        <f t="shared" si="67"/>
        <v>A</v>
      </c>
      <c r="KF19" s="164" t="s">
        <v>24</v>
      </c>
      <c r="KG19" s="165"/>
      <c r="KH19" s="163"/>
      <c r="KI19" s="114">
        <f>IFERROR((((COUNTIF('Elève (6ème4)'!KF19:KH19,"A"))*4)+((COUNTIF('Elève (6ème4)'!KF19:KH19,"B"))*3)+((COUNTIF('Elève (6ème4)'!KF19:KH19,"C"))*2)+((COUNTIF('Elève (6ème4)'!KF19:KH19,"D"))*1))/(COUNTA(KF19:KH19)),"")</f>
        <v>4</v>
      </c>
      <c r="KJ19" s="115" t="str">
        <f t="shared" si="68"/>
        <v>A</v>
      </c>
      <c r="KK19" s="166"/>
      <c r="KL19" s="90"/>
      <c r="KM19" s="138"/>
      <c r="KN19" s="114" t="str">
        <f>IFERROR((((COUNTIF('Elève (6ème4)'!KK19:KM19,"A"))*4)+((COUNTIF('Elève (6ème4)'!KK19:KM19,"B"))*3)+((COUNTIF('Elève (6ème4)'!KK19:KM19,"C"))*2)+((COUNTIF('Elève (6ème4)'!KK19:KM19,"D"))*1))/(COUNTA(KK19:KM19)),"")</f>
        <v/>
      </c>
      <c r="KO19" s="115" t="str">
        <f t="shared" si="69"/>
        <v/>
      </c>
      <c r="KP19" s="89"/>
      <c r="KQ19" s="90"/>
      <c r="KR19" s="138"/>
      <c r="KS19" s="114" t="str">
        <f>IFERROR((((COUNTIF('Elève (6ème4)'!KP19:KR19,"A"))*4)+((COUNTIF('Elève (6ème4)'!KP19:KR19,"B"))*3)+((COUNTIF('Elève (6ème4)'!KP19:KR19,"C"))*2)+((COUNTIF('Elève (6ème4)'!KP19:KR19,"D"))*1))/(COUNTA(KP19:KR19)),"")</f>
        <v/>
      </c>
      <c r="KT19" s="115" t="str">
        <f t="shared" si="70"/>
        <v/>
      </c>
      <c r="KU19" s="181">
        <f>IF(COUNT(KI19,KN19,KS19)=0,"",SUM(KI19,KN19,KS19)/COUNT(KI19,KN19,KS19))</f>
        <v>4</v>
      </c>
      <c r="KV19" s="140" t="str">
        <f t="shared" si="71"/>
        <v>A</v>
      </c>
      <c r="KW19" s="164" t="s">
        <v>24</v>
      </c>
      <c r="KX19" s="165"/>
      <c r="KY19" s="163"/>
      <c r="KZ19" s="114">
        <f>IFERROR((((COUNTIF('Elève (6ème4)'!KW19:KY19,"A"))*4)+((COUNTIF('Elève (6ème4)'!KW19:KY19,"B"))*3)+((COUNTIF('Elève (6ème4)'!KW19:KY19,"C"))*2)+((COUNTIF('Elève (6ème4)'!KW19:KY19,"D"))*1))/(COUNTA(KW19:KY19)),"")</f>
        <v>4</v>
      </c>
      <c r="LA19" s="115" t="str">
        <f t="shared" si="72"/>
        <v>A</v>
      </c>
      <c r="LB19" s="166"/>
      <c r="LC19" s="90"/>
      <c r="LD19" s="138"/>
      <c r="LE19" s="114" t="str">
        <f>IFERROR((((COUNTIF('Elève (6ème4)'!LB19:LD19,"A"))*4)+((COUNTIF('Elève (6ème4)'!LB19:LD19,"B"))*3)+((COUNTIF('Elève (6ème4)'!LB19:LD19,"C"))*2)+((COUNTIF('Elève (6ème4)'!LB19:LD19,"D"))*1))/(COUNTA(LB19:LD19)),"")</f>
        <v/>
      </c>
      <c r="LF19" s="115" t="str">
        <f t="shared" si="73"/>
        <v/>
      </c>
      <c r="LG19" s="89"/>
      <c r="LH19" s="90"/>
      <c r="LI19" s="138"/>
      <c r="LJ19" s="114" t="str">
        <f>IFERROR((((COUNTIF('Elève (6ème4)'!LG19:LI19,"A"))*4)+((COUNTIF('Elève (6ème4)'!LG19:LI19,"B"))*3)+((COUNTIF('Elève (6ème4)'!LG19:LI19,"C"))*2)+((COUNTIF('Elève (6ème4)'!LG19:LI19,"D"))*1))/(COUNTA(LG19:LI19)),"")</f>
        <v/>
      </c>
      <c r="LK19" s="115" t="str">
        <f t="shared" si="74"/>
        <v/>
      </c>
      <c r="LL19" s="181">
        <f>IF(COUNT(KZ19,LE19,LJ19)=0,"",SUM(KZ19,LE19,LJ19)/COUNT(KZ19,LE19,LJ19))</f>
        <v>4</v>
      </c>
      <c r="LM19" s="140" t="str">
        <f t="shared" si="75"/>
        <v>A</v>
      </c>
      <c r="LN19" s="164" t="s">
        <v>24</v>
      </c>
      <c r="LO19" s="165"/>
      <c r="LP19" s="163"/>
      <c r="LQ19" s="114">
        <f>IFERROR((((COUNTIF('Elève (6ème4)'!LN19:LP19,"A"))*4)+((COUNTIF('Elève (6ème4)'!LN19:LP19,"B"))*3)+((COUNTIF('Elève (6ème4)'!LN19:LP19,"C"))*2)+((COUNTIF('Elève (6ème4)'!LN19:LP19,"D"))*1))/(COUNTA(LN19:LP19)),"")</f>
        <v>4</v>
      </c>
      <c r="LR19" s="115" t="str">
        <f t="shared" si="76"/>
        <v>A</v>
      </c>
      <c r="LS19" s="166"/>
      <c r="LT19" s="90"/>
      <c r="LU19" s="138"/>
      <c r="LV19" s="114" t="str">
        <f>IFERROR((((COUNTIF('Elève (6ème4)'!LS19:LU19,"A"))*4)+((COUNTIF('Elève (6ème4)'!LS19:LU19,"B"))*3)+((COUNTIF('Elève (6ème4)'!LS19:LU19,"C"))*2)+((COUNTIF('Elève (6ème4)'!LS19:LU19,"D"))*1))/(COUNTA(LS19:LU19)),"")</f>
        <v/>
      </c>
      <c r="LW19" s="115" t="str">
        <f t="shared" si="77"/>
        <v/>
      </c>
      <c r="LX19" s="89"/>
      <c r="LY19" s="90"/>
      <c r="LZ19" s="138"/>
      <c r="MA19" s="114" t="str">
        <f>IFERROR((((COUNTIF('Elève (6ème4)'!LX19:LZ19,"A"))*4)+((COUNTIF('Elève (6ème4)'!LX19:LZ19,"B"))*3)+((COUNTIF('Elève (6ème4)'!LX19:LZ19,"C"))*2)+((COUNTIF('Elève (6ème4)'!LX19:LZ19,"D"))*1))/(COUNTA(LX19:LZ19)),"")</f>
        <v/>
      </c>
      <c r="MB19" s="115" t="str">
        <f t="shared" si="78"/>
        <v/>
      </c>
      <c r="MC19" s="181">
        <f>IF(COUNT(LQ19,LV19,MA19)=0,"",SUM(LQ19,LV19,MA19)/COUNT(LQ19,LV19,MA19))</f>
        <v>4</v>
      </c>
      <c r="MD19" s="140" t="str">
        <f t="shared" si="79"/>
        <v>A</v>
      </c>
      <c r="ME19" s="164" t="s">
        <v>24</v>
      </c>
      <c r="MF19" s="165"/>
      <c r="MG19" s="163"/>
      <c r="MH19" s="114">
        <f>IFERROR((((COUNTIF('Elève (6ème4)'!ME19:MG19,"A"))*4)+((COUNTIF('Elève (6ème4)'!ME19:MG19,"B"))*3)+((COUNTIF('Elève (6ème4)'!ME19:MG19,"C"))*2)+((COUNTIF('Elève (6ème4)'!ME19:MG19,"D"))*1))/(COUNTA(ME19:MG19)),"")</f>
        <v>4</v>
      </c>
      <c r="MI19" s="115" t="str">
        <f t="shared" si="80"/>
        <v>A</v>
      </c>
      <c r="MJ19" s="166"/>
      <c r="MK19" s="90"/>
      <c r="ML19" s="138"/>
      <c r="MM19" s="114" t="str">
        <f>IFERROR((((COUNTIF('Elève (6ème4)'!MJ19:ML19,"A"))*4)+((COUNTIF('Elève (6ème4)'!MJ19:ML19,"B"))*3)+((COUNTIF('Elève (6ème4)'!MJ19:ML19,"C"))*2)+((COUNTIF('Elève (6ème4)'!MJ19:ML19,"D"))*1))/(COUNTA(MJ19:ML19)),"")</f>
        <v/>
      </c>
      <c r="MN19" s="115" t="str">
        <f t="shared" si="81"/>
        <v/>
      </c>
      <c r="MO19" s="89"/>
      <c r="MP19" s="90"/>
      <c r="MQ19" s="138"/>
      <c r="MR19" s="114" t="str">
        <f>IFERROR((((COUNTIF('Elève (6ème4)'!MO19:MQ19,"A"))*4)+((COUNTIF('Elève (6ème4)'!MO19:MQ19,"B"))*3)+((COUNTIF('Elève (6ème4)'!MO19:MQ19,"C"))*2)+((COUNTIF('Elève (6ème4)'!MO19:MQ19,"D"))*1))/(COUNTA(MO19:MQ19)),"")</f>
        <v/>
      </c>
      <c r="MS19" s="115" t="str">
        <f t="shared" si="82"/>
        <v/>
      </c>
      <c r="MT19" s="181">
        <f>IF(COUNT(MH19,MM19,MR19)=0,"",SUM(MH19,MM19,MR19)/COUNT(MH19,MM19,MR19))</f>
        <v>4</v>
      </c>
      <c r="MU19" s="140" t="str">
        <f t="shared" si="83"/>
        <v>A</v>
      </c>
      <c r="MV19" s="164"/>
      <c r="MW19" s="165"/>
      <c r="MX19" s="163"/>
      <c r="MY19" s="114" t="str">
        <f>IFERROR((((COUNTIF('Elève (6ème4)'!MV19:MX19,"A"))*4)+((COUNTIF('Elève (6ème4)'!MV19:MX19,"B"))*3)+((COUNTIF('Elève (6ème4)'!MV19:MX19,"C"))*2)+((COUNTIF('Elève (6ème4)'!MV19:MX19,"D"))*1))/(COUNTA(MV19:MX19)),"")</f>
        <v/>
      </c>
      <c r="MZ19" s="115" t="str">
        <f t="shared" si="84"/>
        <v/>
      </c>
      <c r="NA19" s="166"/>
      <c r="NB19" s="90"/>
      <c r="NC19" s="138"/>
      <c r="ND19" s="114" t="str">
        <f>IFERROR((((COUNTIF('Elève (6ème4)'!NA19:NC19,"A"))*4)+((COUNTIF('Elève (6ème4)'!NA19:NC19,"B"))*3)+((COUNTIF('Elève (6ème4)'!NA19:NC19,"C"))*2)+((COUNTIF('Elève (6ème4)'!NA19:NC19,"D"))*1))/(COUNTA(NA19:NC19)),"")</f>
        <v/>
      </c>
      <c r="NE19" s="115" t="str">
        <f t="shared" si="85"/>
        <v/>
      </c>
      <c r="NF19" s="89"/>
      <c r="NG19" s="90"/>
      <c r="NH19" s="138"/>
      <c r="NI19" s="114" t="str">
        <f>IFERROR((((COUNTIF('Elève (6ème4)'!NF19:NH19,"A"))*4)+((COUNTIF('Elève (6ème4)'!NF19:NH19,"B"))*3)+((COUNTIF('Elève (6ème4)'!NF19:NH19,"C"))*2)+((COUNTIF('Elève (6ème4)'!NF19:NH19,"D"))*1))/(COUNTA(NF19:NH19)),"")</f>
        <v/>
      </c>
      <c r="NJ19" s="115" t="str">
        <f t="shared" si="86"/>
        <v/>
      </c>
      <c r="NK19" s="181" t="str">
        <f>IF(COUNT(MY19,ND19,NI19)=0,"",SUM(MY19,ND19,NI19)/COUNT(MY19,ND19,NI19))</f>
        <v/>
      </c>
      <c r="NL19" s="140" t="str">
        <f t="shared" si="87"/>
        <v/>
      </c>
      <c r="NM19" s="164"/>
      <c r="NN19" s="165"/>
      <c r="NO19" s="163"/>
      <c r="NP19" s="114" t="str">
        <f>IFERROR((((COUNTIF('Elève (6ème4)'!NM19:NO19,"A"))*4)+((COUNTIF('Elève (6ème4)'!NM19:NO19,"B"))*3)+((COUNTIF('Elève (6ème4)'!NM19:NO19,"C"))*2)+((COUNTIF('Elève (6ème4)'!NM19:NO19,"D"))*1))/(COUNTA(NM19:NO19)),"")</f>
        <v/>
      </c>
      <c r="NQ19" s="115" t="str">
        <f t="shared" si="88"/>
        <v/>
      </c>
      <c r="NR19" s="166"/>
      <c r="NS19" s="90"/>
      <c r="NT19" s="138"/>
      <c r="NU19" s="114" t="str">
        <f>IFERROR((((COUNTIF('Elève (6ème4)'!NR19:NT19,"A"))*4)+((COUNTIF('Elève (6ème4)'!NR19:NT19,"B"))*3)+((COUNTIF('Elève (6ème4)'!NR19:NT19,"C"))*2)+((COUNTIF('Elève (6ème4)'!NR19:NT19,"D"))*1))/(COUNTA(NR19:NT19)),"")</f>
        <v/>
      </c>
      <c r="NV19" s="115" t="str">
        <f t="shared" si="89"/>
        <v/>
      </c>
      <c r="NW19" s="89"/>
      <c r="NX19" s="90"/>
      <c r="NY19" s="138"/>
      <c r="NZ19" s="114" t="str">
        <f>IFERROR((((COUNTIF('Elève (6ème4)'!NW19:NY19,"A"))*4)+((COUNTIF('Elève (6ème4)'!NW19:NY19,"B"))*3)+((COUNTIF('Elève (6ème4)'!NW19:NY19,"C"))*2)+((COUNTIF('Elève (6ème4)'!NW19:NY19,"D"))*1))/(COUNTA(NW19:NY19)),"")</f>
        <v/>
      </c>
      <c r="OA19" s="115" t="str">
        <f t="shared" si="90"/>
        <v/>
      </c>
      <c r="OB19" s="181" t="str">
        <f>IF(COUNT(NP19,NU19,NZ19)=0,"",SUM(NP19,NU19,NZ19)/COUNT(NP19,NU19,NZ19))</f>
        <v/>
      </c>
      <c r="OC19" s="140" t="str">
        <f t="shared" si="91"/>
        <v/>
      </c>
      <c r="OD19" s="164" t="s">
        <v>24</v>
      </c>
      <c r="OE19" s="165"/>
      <c r="OF19" s="163"/>
      <c r="OG19" s="114">
        <f>IFERROR((((COUNTIF('Elève (6ème4)'!OD19:OF19,"A"))*4)+((COUNTIF('Elève (6ème4)'!OD19:OF19,"B"))*3)+((COUNTIF('Elève (6ème4)'!OD19:OF19,"C"))*2)+((COUNTIF('Elève (6ème4)'!OD19:OF19,"D"))*1))/(COUNTA(OD19:OF19)),"")</f>
        <v>4</v>
      </c>
      <c r="OH19" s="115" t="str">
        <f t="shared" si="92"/>
        <v>A</v>
      </c>
      <c r="OI19" s="166"/>
      <c r="OJ19" s="90"/>
      <c r="OK19" s="138"/>
      <c r="OL19" s="114" t="str">
        <f>IFERROR((((COUNTIF('Elève (6ème4)'!OI19:OK19,"A"))*4)+((COUNTIF('Elève (6ème4)'!OI19:OK19,"B"))*3)+((COUNTIF('Elève (6ème4)'!OI19:OK19,"C"))*2)+((COUNTIF('Elève (6ème4)'!OI19:OK19,"D"))*1))/(COUNTA(OI19:OK19)),"")</f>
        <v/>
      </c>
      <c r="OM19" s="115" t="str">
        <f t="shared" si="93"/>
        <v/>
      </c>
      <c r="ON19" s="89"/>
      <c r="OO19" s="90"/>
      <c r="OP19" s="138"/>
      <c r="OQ19" s="114" t="str">
        <f>IFERROR((((COUNTIF('Elève (6ème4)'!ON19:OP19,"A"))*4)+((COUNTIF('Elève (6ème4)'!ON19:OP19,"B"))*3)+((COUNTIF('Elève (6ème4)'!ON19:OP19,"C"))*2)+((COUNTIF('Elève (6ème4)'!ON19:OP19,"D"))*1))/(COUNTA(ON19:OP19)),"")</f>
        <v/>
      </c>
      <c r="OR19" s="115" t="str">
        <f t="shared" si="94"/>
        <v/>
      </c>
      <c r="OS19" s="181">
        <f>IF(COUNT(OG19,OL19,OQ19)=0,"",SUM(OG19,OL19,OQ19)/COUNT(OG19,OL19,OQ19))</f>
        <v>4</v>
      </c>
      <c r="OT19" s="140" t="str">
        <f t="shared" si="95"/>
        <v>A</v>
      </c>
      <c r="OU19" s="164" t="s">
        <v>24</v>
      </c>
      <c r="OV19" s="165"/>
      <c r="OW19" s="163"/>
      <c r="OX19" s="114">
        <f>IFERROR((((COUNTIF('Elève (6ème4)'!OU19:OW19,"A"))*4)+((COUNTIF('Elève (6ème4)'!OU19:OW19,"B"))*3)+((COUNTIF('Elève (6ème4)'!OU19:OW19,"C"))*2)+((COUNTIF('Elève (6ème4)'!OU19:OW19,"D"))*1))/(COUNTA(OU19:OW19)),"")</f>
        <v>4</v>
      </c>
      <c r="OY19" s="115" t="str">
        <f t="shared" si="96"/>
        <v>A</v>
      </c>
      <c r="OZ19" s="166"/>
      <c r="PA19" s="90"/>
      <c r="PB19" s="138"/>
      <c r="PC19" s="114" t="str">
        <f>IFERROR((((COUNTIF('Elève (6ème4)'!OZ19:PB19,"A"))*4)+((COUNTIF('Elève (6ème4)'!OZ19:PB19,"B"))*3)+((COUNTIF('Elève (6ème4)'!OZ19:PB19,"C"))*2)+((COUNTIF('Elève (6ème4)'!OZ19:PB19,"D"))*1))/(COUNTA(OZ19:PB19)),"")</f>
        <v/>
      </c>
      <c r="PD19" s="115" t="str">
        <f t="shared" si="97"/>
        <v/>
      </c>
      <c r="PE19" s="89"/>
      <c r="PF19" s="90"/>
      <c r="PG19" s="138"/>
      <c r="PH19" s="114" t="str">
        <f>IFERROR((((COUNTIF('Elève (6ème4)'!PE19:PG19,"A"))*4)+((COUNTIF('Elève (6ème4)'!PE19:PG19,"B"))*3)+((COUNTIF('Elève (6ème4)'!PE19:PG19,"C"))*2)+((COUNTIF('Elève (6ème4)'!PE19:PG19,"D"))*1))/(COUNTA(PE19:PG19)),"")</f>
        <v/>
      </c>
      <c r="PI19" s="115" t="str">
        <f t="shared" si="98"/>
        <v/>
      </c>
      <c r="PJ19" s="181">
        <f>IF(COUNT(OX19,PC19,PH19)=0,"",SUM(OX19,PC19,PH19)/COUNT(OX19,PC19,PH19))</f>
        <v>4</v>
      </c>
      <c r="PK19" s="140" t="str">
        <f t="shared" si="99"/>
        <v>A</v>
      </c>
      <c r="PL19" s="164" t="s">
        <v>24</v>
      </c>
      <c r="PM19" s="165"/>
      <c r="PN19" s="163"/>
      <c r="PO19" s="114">
        <f>IFERROR((((COUNTIF('Elève (6ème4)'!PL19:PN19,"A"))*4)+((COUNTIF('Elève (6ème4)'!PL19:PN19,"B"))*3)+((COUNTIF('Elève (6ème4)'!PL19:PN19,"C"))*2)+((COUNTIF('Elève (6ème4)'!PL19:PN19,"D"))*1))/(COUNTA(PL19:PN19)),"")</f>
        <v>4</v>
      </c>
      <c r="PP19" s="115" t="str">
        <f t="shared" si="100"/>
        <v>A</v>
      </c>
      <c r="PQ19" s="166"/>
      <c r="PR19" s="90"/>
      <c r="PS19" s="138"/>
      <c r="PT19" s="114" t="str">
        <f>IFERROR((((COUNTIF('Elève (6ème4)'!PQ19:PS19,"A"))*4)+((COUNTIF('Elève (6ème4)'!PQ19:PS19,"B"))*3)+((COUNTIF('Elève (6ème4)'!PQ19:PS19,"C"))*2)+((COUNTIF('Elève (6ème4)'!PQ19:PS19,"D"))*1))/(COUNTA(PQ19:PS19)),"")</f>
        <v/>
      </c>
      <c r="PU19" s="115" t="str">
        <f t="shared" si="101"/>
        <v/>
      </c>
      <c r="PV19" s="89"/>
      <c r="PW19" s="90"/>
      <c r="PX19" s="138"/>
      <c r="PY19" s="114" t="str">
        <f>IFERROR((((COUNTIF('Elève (6ème4)'!PV19:PX19,"A"))*4)+((COUNTIF('Elève (6ème4)'!PV19:PX19,"B"))*3)+((COUNTIF('Elève (6ème4)'!PV19:PX19,"C"))*2)+((COUNTIF('Elève (6ème4)'!PV19:PX19,"D"))*1))/(COUNTA(PV19:PX19)),"")</f>
        <v/>
      </c>
      <c r="PZ19" s="115" t="str">
        <f t="shared" si="102"/>
        <v/>
      </c>
      <c r="QA19" s="181">
        <f>IF(COUNT(PO19,PT19,PY19)=0,"",SUM(PO19,PT19,PY19)/COUNT(PO19,PT19,PY19))</f>
        <v>4</v>
      </c>
      <c r="QB19" s="140" t="str">
        <f t="shared" si="103"/>
        <v>A</v>
      </c>
      <c r="QC19" s="164"/>
      <c r="QD19" s="165"/>
      <c r="QE19" s="163"/>
      <c r="QF19" s="114" t="str">
        <f>IFERROR((((COUNTIF('Elève (6ème4)'!QC19:QE19,"A"))*4)+((COUNTIF('Elève (6ème4)'!QC19:QE19,"B"))*3)+((COUNTIF('Elève (6ème4)'!QC19:QE19,"C"))*2)+((COUNTIF('Elève (6ème4)'!QC19:QE19,"D"))*1))/(COUNTA(QC19:QE19)),"")</f>
        <v/>
      </c>
      <c r="QG19" s="115" t="str">
        <f t="shared" si="104"/>
        <v/>
      </c>
      <c r="QH19" s="166"/>
      <c r="QI19" s="90"/>
      <c r="QJ19" s="138"/>
      <c r="QK19" s="114" t="str">
        <f>IFERROR((((COUNTIF('Elève (6ème4)'!QH19:QJ19,"A"))*4)+((COUNTIF('Elève (6ème4)'!QH19:QJ19,"B"))*3)+((COUNTIF('Elève (6ème4)'!QH19:QJ19,"C"))*2)+((COUNTIF('Elève (6ème4)'!QH19:QJ19,"D"))*1))/(COUNTA(QH19:QJ19)),"")</f>
        <v/>
      </c>
      <c r="QL19" s="115" t="str">
        <f t="shared" si="105"/>
        <v/>
      </c>
      <c r="QM19" s="89"/>
      <c r="QN19" s="90"/>
      <c r="QO19" s="138"/>
      <c r="QP19" s="114" t="str">
        <f>IFERROR((((COUNTIF('Elève (6ème4)'!QM19:QO19,"A"))*4)+((COUNTIF('Elève (6ème4)'!QM19:QO19,"B"))*3)+((COUNTIF('Elève (6ème4)'!QM19:QO19,"C"))*2)+((COUNTIF('Elève (6ème4)'!QM19:QO19,"D"))*1))/(COUNTA(QM19:QO19)),"")</f>
        <v/>
      </c>
      <c r="QQ19" s="115" t="str">
        <f t="shared" si="106"/>
        <v/>
      </c>
      <c r="QR19" s="181" t="str">
        <f>IF(COUNT(QF19,QK19,QP19)=0,"",SUM(QF19,QK19,QP19)/COUNT(QF19,QK19,QP19))</f>
        <v/>
      </c>
      <c r="QS19" s="140" t="str">
        <f t="shared" si="107"/>
        <v/>
      </c>
      <c r="QT19" s="164" t="s">
        <v>24</v>
      </c>
      <c r="QU19" s="165"/>
      <c r="QV19" s="163"/>
      <c r="QW19" s="114">
        <f>IFERROR((((COUNTIF('Elève (6ème4)'!QT19:QV19,"A"))*4)+((COUNTIF('Elève (6ème4)'!QT19:QV19,"B"))*3)+((COUNTIF('Elève (6ème4)'!QT19:QV19,"C"))*2)+((COUNTIF('Elève (6ème4)'!QT19:QV19,"D"))*1))/(COUNTA(QT19:QV19)),"")</f>
        <v>4</v>
      </c>
      <c r="QX19" s="115" t="str">
        <f t="shared" si="108"/>
        <v>A</v>
      </c>
      <c r="QY19" s="166"/>
      <c r="QZ19" s="90"/>
      <c r="RA19" s="138"/>
      <c r="RB19" s="114" t="str">
        <f>IFERROR((((COUNTIF('Elève (6ème4)'!QY19:RA19,"A"))*4)+((COUNTIF('Elève (6ème4)'!QY19:RA19,"B"))*3)+((COUNTIF('Elève (6ème4)'!QY19:RA19,"C"))*2)+((COUNTIF('Elève (6ème4)'!QY19:RA19,"D"))*1))/(COUNTA(QY19:RA19)),"")</f>
        <v/>
      </c>
      <c r="RC19" s="115" t="str">
        <f t="shared" si="109"/>
        <v/>
      </c>
      <c r="RD19" s="89"/>
      <c r="RE19" s="90"/>
      <c r="RF19" s="138"/>
      <c r="RG19" s="114" t="str">
        <f>IFERROR((((COUNTIF('Elève (6ème4)'!RD19:RF19,"A"))*4)+((COUNTIF('Elève (6ème4)'!RD19:RF19,"B"))*3)+((COUNTIF('Elève (6ème4)'!RD19:RF19,"C"))*2)+((COUNTIF('Elève (6ème4)'!RD19:RF19,"D"))*1))/(COUNTA(RD19:RF19)),"")</f>
        <v/>
      </c>
      <c r="RH19" s="115" t="str">
        <f t="shared" si="110"/>
        <v/>
      </c>
      <c r="RI19" s="181">
        <f>IF(COUNT(QW19,RB19,RG19)=0,"",SUM(QW19,RB19,RG19)/COUNT(QW19,RB19,RG19))</f>
        <v>4</v>
      </c>
      <c r="RJ19" s="140" t="str">
        <f t="shared" si="111"/>
        <v>A</v>
      </c>
      <c r="RK19" s="164" t="s">
        <v>24</v>
      </c>
      <c r="RL19" s="165"/>
      <c r="RM19" s="163"/>
      <c r="RN19" s="114">
        <f>IFERROR((((COUNTIF('Elève (6ème4)'!RK19:RM19,"A"))*4)+((COUNTIF('Elève (6ème4)'!RK19:RM19,"B"))*3)+((COUNTIF('Elève (6ème4)'!RK19:RM19,"C"))*2)+((COUNTIF('Elève (6ème4)'!RK19:RM19,"D"))*1))/(COUNTA(RK19:RM19)),"")</f>
        <v>4</v>
      </c>
      <c r="RO19" s="115" t="str">
        <f t="shared" si="112"/>
        <v>A</v>
      </c>
      <c r="RP19" s="166"/>
      <c r="RQ19" s="90"/>
      <c r="RR19" s="138"/>
      <c r="RS19" s="114" t="str">
        <f>IFERROR((((COUNTIF('Elève (6ème4)'!RP19:RR19,"A"))*4)+((COUNTIF('Elève (6ème4)'!RP19:RR19,"B"))*3)+((COUNTIF('Elève (6ème4)'!RP19:RR19,"C"))*2)+((COUNTIF('Elève (6ème4)'!RP19:RR19,"D"))*1))/(COUNTA(RP19:RR19)),"")</f>
        <v/>
      </c>
      <c r="RT19" s="115" t="str">
        <f t="shared" si="113"/>
        <v/>
      </c>
      <c r="RU19" s="89"/>
      <c r="RV19" s="90"/>
      <c r="RW19" s="138"/>
      <c r="RX19" s="114" t="str">
        <f>IFERROR((((COUNTIF('Elève (6ème4)'!RU19:RW19,"A"))*4)+((COUNTIF('Elève (6ème4)'!RU19:RW19,"B"))*3)+((COUNTIF('Elève (6ème4)'!RU19:RW19,"C"))*2)+((COUNTIF('Elève (6ème4)'!RU19:RW19,"D"))*1))/(COUNTA(RU19:RW19)),"")</f>
        <v/>
      </c>
      <c r="RY19" s="115" t="str">
        <f t="shared" si="114"/>
        <v/>
      </c>
      <c r="RZ19" s="181">
        <f>IF(COUNT(RN19,RS19,RX19)=0,"",SUM(RN19,RS19,RX19)/COUNT(RN19,RS19,RX19))</f>
        <v>4</v>
      </c>
      <c r="SA19" s="140" t="str">
        <f t="shared" si="115"/>
        <v>A</v>
      </c>
      <c r="SB19" s="164"/>
      <c r="SC19" s="165"/>
      <c r="SD19" s="163"/>
      <c r="SE19" s="114" t="str">
        <f>IFERROR((((COUNTIF('Elève (6ème4)'!SB19:SD19,"A"))*4)+((COUNTIF('Elève (6ème4)'!SB19:SD19,"B"))*3)+((COUNTIF('Elève (6ème4)'!SB19:SD19,"C"))*2)+((COUNTIF('Elève (6ème4)'!SB19:SD19,"D"))*1))/(COUNTA(SB19:SD19)),"")</f>
        <v/>
      </c>
      <c r="SF19" s="115" t="str">
        <f t="shared" si="116"/>
        <v/>
      </c>
      <c r="SG19" s="166"/>
      <c r="SH19" s="90"/>
      <c r="SI19" s="138"/>
      <c r="SJ19" s="114" t="str">
        <f>IFERROR((((COUNTIF('Elève (6ème4)'!SG19:SI19,"A"))*4)+((COUNTIF('Elève (6ème4)'!SG19:SI19,"B"))*3)+((COUNTIF('Elève (6ème4)'!SG19:SI19,"C"))*2)+((COUNTIF('Elève (6ème4)'!SG19:SI19,"D"))*1))/(COUNTA(SG19:SI19)),"")</f>
        <v/>
      </c>
      <c r="SK19" s="115" t="str">
        <f t="shared" si="117"/>
        <v/>
      </c>
      <c r="SL19" s="89"/>
      <c r="SM19" s="90"/>
      <c r="SN19" s="138"/>
      <c r="SO19" s="114" t="str">
        <f>IFERROR((((COUNTIF('Elève (6ème4)'!SL19:SN19,"A"))*4)+((COUNTIF('Elève (6ème4)'!SL19:SN19,"B"))*3)+((COUNTIF('Elève (6ème4)'!SL19:SN19,"C"))*2)+((COUNTIF('Elève (6ème4)'!SL19:SN19,"D"))*1))/(COUNTA(SL19:SN19)),"")</f>
        <v/>
      </c>
      <c r="SP19" s="115" t="str">
        <f t="shared" si="118"/>
        <v/>
      </c>
      <c r="SQ19" s="181" t="str">
        <f>IF(COUNT(SE19,SJ19,SO19)=0,"",SUM(SE19,SJ19,SO19)/COUNT(SE19,SJ19,SO19))</f>
        <v/>
      </c>
      <c r="SR19" s="140" t="str">
        <f t="shared" si="119"/>
        <v/>
      </c>
    </row>
    <row r="20" spans="1:512" s="72" customFormat="1" ht="17.25" thickBot="1" x14ac:dyDescent="0.3">
      <c r="A20" s="238" t="s">
        <v>23</v>
      </c>
      <c r="B20" s="239"/>
      <c r="C20" s="167">
        <f ca="1">IF(COUNTA(C5:C19)=0,"",5*SUM(IFERROR((((COUNTIF(C5:C6,"A"))*4)+((COUNTIF(C5:C6,"B"))*3)+((COUNTIF(C5:C6,"C"))*2)+((COUNTIF(C5:C6,"D"))*1))*CELL("contenu",$B$4),0),IFERROR((((COUNTIF(C8:C11,"A"))*4)+((COUNTIF(C8:C11,"B"))*3)+((COUNTIF(C8:C11,"C"))*2)+((COUNTIF(C8:C11,"D"))*1))*CELL("contenu",$B$7),0),IFERROR((((COUNTIF(C13:C13,"A"))*4)+((COUNTIF(C13:C13,"B"))*3)+((COUNTIF(C13:C13,"C"))*2)+((COUNTIF(C13:C13,"D"))*1))*CELL("contenu",$B$12),0),IFERROR((((COUNTIF(C15:C17,"A"))*4)+((COUNTIF(C15:C17,"B"))*3)+((COUNTIF(C15:C17,"C"))*2)+((COUNTIF(C15:C17,"D"))*1))*CELL("contenu",$B$14),0),IFERROR((((COUNTIF(C19:C19,"A"))*4)+((COUNTIF(C19:C19,"B"))*3)+((COUNTIF(C19:C19,"C"))*2)+((COUNTIF(C19:C19,"D"))*1))*CELL("contenu",$B$18),0))/IF(SUM(COUNTA(C5:C6)*CELL("contenu",$B$4),COUNTA(C8:C11)*CELL("contenu",$B$7),COUNTA(C13:C13)*CELL("contenu",$B$12),COUNTA(C15:C17)*CELL("contenu",$B$14),COUNTA(C19:C19)*CELL("contenu",$B$18))=0,1,SUM(COUNTA(C5:C6)*CELL("contenu",$B$4),COUNTA(C8:C11)*CELL("contenu",$B$7),COUNTA(C13:C13)*CELL("contenu",$B$12),COUNTA(C15:C17)*CELL("contenu",$B$14),COUNTA(C19:C19)*CELL("contenu",$B$18))))</f>
        <v>18.333333333333332</v>
      </c>
      <c r="D20" s="168" t="str">
        <f ca="1">IF(COUNTA(D5:D19)=0,"",5*SUM(IFERROR((((COUNTIF(D5:D6,"A"))*4)+((COUNTIF(D5:D6,"B"))*3)+((COUNTIF(D5:D6,"C"))*2)+((COUNTIF(D5:D6,"D"))*1))*CELL("contenu",$B$4),0),IFERROR((((COUNTIF(D8:D11,"A"))*4)+((COUNTIF(D8:D11,"B"))*3)+((COUNTIF(D8:D11,"C"))*2)+((COUNTIF(D8:D11,"D"))*1))*CELL("contenu",$B$7),0),IFERROR((((COUNTIF(D13:D13,"A"))*4)+((COUNTIF(D13:D13,"B"))*3)+((COUNTIF(D13:D13,"C"))*2)+((COUNTIF(D13:D13,"D"))*1))*CELL("contenu",$B$12),0),IFERROR((((COUNTIF(D15:D17,"A"))*4)+((COUNTIF(D15:D17,"B"))*3)+((COUNTIF(D15:D17,"C"))*2)+((COUNTIF(D15:D17,"D"))*1))*CELL("contenu",$B$14),0),IFERROR((((COUNTIF(D19:D19,"A"))*4)+((COUNTIF(D19:D19,"B"))*3)+((COUNTIF(D19:D19,"C"))*2)+((COUNTIF(D19:D19,"D"))*1))*CELL("contenu",$B$18),0))/IF(SUM(COUNTA(D5:D6)*CELL("contenu",$B$4),COUNTA(D8:D11)*CELL("contenu",$B$7),COUNTA(D13:D13)*CELL("contenu",$B$12),COUNTA(D15:D17)*CELL("contenu",$B$14),COUNTA(D19:D19)*CELL("contenu",$B$18))=0,1,SUM(COUNTA(D5:D6)*CELL("contenu",$B$4),COUNTA(D8:D11)*CELL("contenu",$B$7),COUNTA(D13:D13)*CELL("contenu",$B$12),COUNTA(D15:D17)*CELL("contenu",$B$14),COUNTA(D19:D19)*CELL("contenu",$B$18))))</f>
        <v/>
      </c>
      <c r="E20" s="169" t="str">
        <f ca="1">IF(COUNTA(E5:E19)=0,"",5*SUM(IFERROR((((COUNTIF(E5:E6,"A"))*4)+((COUNTIF(E5:E6,"B"))*3)+((COUNTIF(E5:E6,"C"))*2)+((COUNTIF(E5:E6,"D"))*1))*CELL("contenu",$B$4),0),IFERROR((((COUNTIF(E8:E11,"A"))*4)+((COUNTIF(E8:E11,"B"))*3)+((COUNTIF(E8:E11,"C"))*2)+((COUNTIF(E8:E11,"D"))*1))*CELL("contenu",$B$7),0),IFERROR((((COUNTIF(E13:E13,"A"))*4)+((COUNTIF(E13:E13,"B"))*3)+((COUNTIF(E13:E13,"C"))*2)+((COUNTIF(E13:E13,"D"))*1))*CELL("contenu",$B$12),0),IFERROR((((COUNTIF(E15:E17,"A"))*4)+((COUNTIF(E15:E17,"B"))*3)+((COUNTIF(E15:E17,"C"))*2)+((COUNTIF(E15:E17,"D"))*1))*CELL("contenu",$B$14),0),IFERROR((((COUNTIF(E19:E19,"A"))*4)+((COUNTIF(E19:E19,"B"))*3)+((COUNTIF(E19:E19,"C"))*2)+((COUNTIF(E19:E19,"D"))*1))*CELL("contenu",$B$18),0))/IF(SUM(COUNTA(E5:E6)*CELL("contenu",$B$4),COUNTA(E8:E11)*CELL("contenu",$B$7),COUNTA(E13:E13)*CELL("contenu",$B$12),COUNTA(E15:E17)*CELL("contenu",$B$14),COUNTA(E19:E19)*CELL("contenu",$B$18))=0,1,SUM(COUNTA(E5:E6)*CELL("contenu",$B$4),COUNTA(E8:E11)*CELL("contenu",$B$7),COUNTA(E13:E13)*CELL("contenu",$B$12),COUNTA(E15:E17)*CELL("contenu",$B$14),COUNTA(E19:E19)*CELL("contenu",$B$18))))</f>
        <v/>
      </c>
      <c r="F20" s="116"/>
      <c r="G20" s="192">
        <f ca="1">IF(COUNTA(C20:E20)-COUNTBLANK(C20:E20)=0,"",SUM(C20:E20)/(COUNTA(C20:E20)-COUNTBLANK(C20:E20)))</f>
        <v>18.333333333333332</v>
      </c>
      <c r="H20" s="182" t="str">
        <f ca="1">IF(COUNTA(H5:H19)=0,"",5*SUM(IFERROR((((COUNTIF(H5:H6,"A"))*4)+((COUNTIF(H5:H6,"B"))*3)+((COUNTIF(H5:H6,"C"))*2)+((COUNTIF(H5:H6,"D"))*1))*CELL("contenu",$B$4),0),IFERROR((((COUNTIF(H8:H11,"A"))*4)+((COUNTIF(H8:H11,"B"))*3)+((COUNTIF(H8:H11,"C"))*2)+((COUNTIF(H8:H11,"D"))*1))*CELL("contenu",$B$7),0),IFERROR((((COUNTIF(H13:H13,"A"))*4)+((COUNTIF(H13:H13,"B"))*3)+((COUNTIF(H13:H13,"C"))*2)+((COUNTIF(H13:H13,"D"))*1))*CELL("contenu",$B$12),0),IFERROR((((COUNTIF(H15:H17,"A"))*4)+((COUNTIF(H15:H17,"B"))*3)+((COUNTIF(H15:H17,"C"))*2)+((COUNTIF(H15:H17,"D"))*1))*CELL("contenu",$B$14),0),IFERROR((((COUNTIF(H19:H19,"A"))*4)+((COUNTIF(H19:H19,"B"))*3)+((COUNTIF(H19:H19,"C"))*2)+((COUNTIF(H19:H19,"D"))*1))*CELL("contenu",$B$18),0))/IF(SUM(COUNTA(H5:H6)*CELL("contenu",$B$4),COUNTA(H8:H11)*CELL("contenu",$B$7),COUNTA(H13:H13)*CELL("contenu",$B$12),COUNTA(H15:H17)*CELL("contenu",$B$14),COUNTA(H19:H19)*CELL("contenu",$B$18))=0,1,SUM(COUNTA(H5:H6)*CELL("contenu",$B$4),COUNTA(H8:H11)*CELL("contenu",$B$7),COUNTA(H13:H13)*CELL("contenu",$B$12),COUNTA(H15:H17)*CELL("contenu",$B$14),COUNTA(H19:H19)*CELL("contenu",$B$18))))</f>
        <v/>
      </c>
      <c r="I20" s="183" t="str">
        <f ca="1">IF(COUNTA(I5:I19)=0,"",5*SUM(IFERROR((((COUNTIF(I5:I6,"A"))*4)+((COUNTIF(I5:I6,"B"))*3)+((COUNTIF(I5:I6,"C"))*2)+((COUNTIF(I5:I6,"D"))*1))*CELL("contenu",$B$4),0),IFERROR((((COUNTIF(I8:I11,"A"))*4)+((COUNTIF(I8:I11,"B"))*3)+((COUNTIF(I8:I11,"C"))*2)+((COUNTIF(I8:I11,"D"))*1))*CELL("contenu",$B$7),0),IFERROR((((COUNTIF(I13:I13,"A"))*4)+((COUNTIF(I13:I13,"B"))*3)+((COUNTIF(I13:I13,"C"))*2)+((COUNTIF(I13:I13,"D"))*1))*CELL("contenu",$B$12),0),IFERROR((((COUNTIF(I15:I17,"A"))*4)+((COUNTIF(I15:I17,"B"))*3)+((COUNTIF(I15:I17,"C"))*2)+((COUNTIF(I15:I17,"D"))*1))*CELL("contenu",$B$14),0),IFERROR((((COUNTIF(I19:I19,"A"))*4)+((COUNTIF(I19:I19,"B"))*3)+((COUNTIF(I19:I19,"C"))*2)+((COUNTIF(I19:I19,"D"))*1))*CELL("contenu",$B$18),0))/IF(SUM(COUNTA(I5:I6)*CELL("contenu",$B$4),COUNTA(I8:I11)*CELL("contenu",$B$7),COUNTA(I13:I13)*CELL("contenu",$B$12),COUNTA(I15:I17)*CELL("contenu",$B$14),COUNTA(I19:I19)*CELL("contenu",$B$18))=0,1,SUM(COUNTA(I5:I6)*CELL("contenu",$B$4),COUNTA(I8:I11)*CELL("contenu",$B$7),COUNTA(I13:I13)*CELL("contenu",$B$12),COUNTA(I15:I17)*CELL("contenu",$B$14),COUNTA(I19:I19)*CELL("contenu",$B$18))))</f>
        <v/>
      </c>
      <c r="J20" s="184" t="str">
        <f ca="1">IF(COUNTA(J5:J19)=0,"",5*SUM(IFERROR((((COUNTIF(J5:J6,"A"))*4)+((COUNTIF(J5:J6,"B"))*3)+((COUNTIF(J5:J6,"C"))*2)+((COUNTIF(J5:J6,"D"))*1))*CELL("contenu",$B$4),0),IFERROR((((COUNTIF(J8:J11,"A"))*4)+((COUNTIF(J8:J11,"B"))*3)+((COUNTIF(J8:J11,"C"))*2)+((COUNTIF(J8:J11,"D"))*1))*CELL("contenu",$B$7),0),IFERROR((((COUNTIF(J13:J13,"A"))*4)+((COUNTIF(J13:J13,"B"))*3)+((COUNTIF(J13:J13,"C"))*2)+((COUNTIF(J13:J13,"D"))*1))*CELL("contenu",$B$12),0),IFERROR((((COUNTIF(J15:J17,"A"))*4)+((COUNTIF(J15:J17,"B"))*3)+((COUNTIF(J15:J17,"C"))*2)+((COUNTIF(J15:J17,"D"))*1))*CELL("contenu",$B$14),0),IFERROR((((COUNTIF(J19:J19,"A"))*4)+((COUNTIF(J19:J19,"B"))*3)+((COUNTIF(J19:J19,"C"))*2)+((COUNTIF(J19:J19,"D"))*1))*CELL("contenu",$B$18),0))/IF(SUM(COUNTA(J5:J6)*CELL("contenu",$B$4),COUNTA(J8:J11)*CELL("contenu",$B$7),COUNTA(J13:J13)*CELL("contenu",$B$12),COUNTA(J15:J17)*CELL("contenu",$B$14),COUNTA(J19:J19)*CELL("contenu",$B$18))=0,1,SUM(COUNTA(J5:J6)*CELL("contenu",$B$4),COUNTA(J8:J11)*CELL("contenu",$B$7),COUNTA(J13:J13)*CELL("contenu",$B$12),COUNTA(J15:J17)*CELL("contenu",$B$14),COUNTA(J19:J19)*CELL("contenu",$B$18))))</f>
        <v/>
      </c>
      <c r="K20" s="176"/>
      <c r="L20" s="175" t="str">
        <f ca="1">IF(COUNTA(H20:J20)-COUNTBLANK(H20:J20)=0,"",SUM(H20:J20)/(COUNTA(H20:J20)-COUNTBLANK(H20:J20)))</f>
        <v/>
      </c>
      <c r="M20" s="182" t="str">
        <f ca="1">IF(COUNTA(M5:M19)=0,"",5*SUM(IFERROR((((COUNTIF(M5:M6,"A"))*4)+((COUNTIF(M5:M6,"B"))*3)+((COUNTIF(M5:M6,"C"))*2)+((COUNTIF(M5:M6,"D"))*1))*CELL("contenu",$B$4),0),IFERROR((((COUNTIF(M8:M11,"A"))*4)+((COUNTIF(M8:M11,"B"))*3)+((COUNTIF(M8:M11,"C"))*2)+((COUNTIF(M8:M11,"D"))*1))*CELL("contenu",$B$7),0),IFERROR((((COUNTIF(M13:M13,"A"))*4)+((COUNTIF(M13:M13,"B"))*3)+((COUNTIF(M13:M13,"C"))*2)+((COUNTIF(M13:M13,"D"))*1))*CELL("contenu",$B$12),0),IFERROR((((COUNTIF(M15:M17,"A"))*4)+((COUNTIF(M15:M17,"B"))*3)+((COUNTIF(M15:M17,"C"))*2)+((COUNTIF(M15:M17,"D"))*1))*CELL("contenu",$B$14),0),IFERROR((((COUNTIF(M19:M19,"A"))*4)+((COUNTIF(M19:M19,"B"))*3)+((COUNTIF(M19:M19,"C"))*2)+((COUNTIF(M19:M19,"D"))*1))*CELL("contenu",$B$18),0))/IF(SUM(COUNTA(M5:M6)*CELL("contenu",$B$4),COUNTA(M8:M11)*CELL("contenu",$B$7),COUNTA(M13:M13)*CELL("contenu",$B$12),COUNTA(M15:M17)*CELL("contenu",$B$14),COUNTA(M19:M19)*CELL("contenu",$B$18))=0,1,SUM(COUNTA(M5:M6)*CELL("contenu",$B$4),COUNTA(M8:M11)*CELL("contenu",$B$7),COUNTA(M13:M13)*CELL("contenu",$B$12),COUNTA(M15:M17)*CELL("contenu",$B$14),COUNTA(M19:M19)*CELL("contenu",$B$18))))</f>
        <v/>
      </c>
      <c r="N20" s="183" t="str">
        <f ca="1">IF(COUNTA(N5:N19)=0,"",5*SUM(IFERROR((((COUNTIF(N5:N6,"A"))*4)+((COUNTIF(N5:N6,"B"))*3)+((COUNTIF(N5:N6,"C"))*2)+((COUNTIF(N5:N6,"D"))*1))*CELL("contenu",$B$4),0),IFERROR((((COUNTIF(N8:N11,"A"))*4)+((COUNTIF(N8:N11,"B"))*3)+((COUNTIF(N8:N11,"C"))*2)+((COUNTIF(N8:N11,"D"))*1))*CELL("contenu",$B$7),0),IFERROR((((COUNTIF(N13:N13,"A"))*4)+((COUNTIF(N13:N13,"B"))*3)+((COUNTIF(N13:N13,"C"))*2)+((COUNTIF(N13:N13,"D"))*1))*CELL("contenu",$B$12),0),IFERROR((((COUNTIF(N15:N17,"A"))*4)+((COUNTIF(N15:N17,"B"))*3)+((COUNTIF(N15:N17,"C"))*2)+((COUNTIF(N15:N17,"D"))*1))*CELL("contenu",$B$14),0),IFERROR((((COUNTIF(N19:N19,"A"))*4)+((COUNTIF(N19:N19,"B"))*3)+((COUNTIF(N19:N19,"C"))*2)+((COUNTIF(N19:N19,"D"))*1))*CELL("contenu",$B$18),0))/IF(SUM(COUNTA(N5:N6)*CELL("contenu",$B$4),COUNTA(N8:N11)*CELL("contenu",$B$7),COUNTA(N13:N13)*CELL("contenu",$B$12),COUNTA(N15:N17)*CELL("contenu",$B$14),COUNTA(N19:N19)*CELL("contenu",$B$18))=0,1,SUM(COUNTA(N5:N6)*CELL("contenu",$B$4),COUNTA(N8:N11)*CELL("contenu",$B$7),COUNTA(N13:N13)*CELL("contenu",$B$12),COUNTA(N15:N17)*CELL("contenu",$B$14),COUNTA(N19:N19)*CELL("contenu",$B$18))))</f>
        <v/>
      </c>
      <c r="O20" s="184" t="str">
        <f ca="1">IF(COUNTA(O5:O19)=0,"",5*SUM(IFERROR((((COUNTIF(O5:O6,"A"))*4)+((COUNTIF(O5:O6,"B"))*3)+((COUNTIF(O5:O6,"C"))*2)+((COUNTIF(O5:O6,"D"))*1))*CELL("contenu",$B$4),0),IFERROR((((COUNTIF(O8:O11,"A"))*4)+((COUNTIF(O8:O11,"B"))*3)+((COUNTIF(O8:O11,"C"))*2)+((COUNTIF(O8:O11,"D"))*1))*CELL("contenu",$B$7),0),IFERROR((((COUNTIF(O13:O13,"A"))*4)+((COUNTIF(O13:O13,"B"))*3)+((COUNTIF(O13:O13,"C"))*2)+((COUNTIF(O13:O13,"D"))*1))*CELL("contenu",$B$12),0),IFERROR((((COUNTIF(O15:O17,"A"))*4)+((COUNTIF(O15:O17,"B"))*3)+((COUNTIF(O15:O17,"C"))*2)+((COUNTIF(O15:O17,"D"))*1))*CELL("contenu",$B$14),0),IFERROR((((COUNTIF(O19:O19,"A"))*4)+((COUNTIF(O19:O19,"B"))*3)+((COUNTIF(O19:O19,"C"))*2)+((COUNTIF(O19:O19,"D"))*1))*CELL("contenu",$B$18),0))/IF(SUM(COUNTA(O5:O6)*CELL("contenu",$B$4),COUNTA(O8:O11)*CELL("contenu",$B$7),COUNTA(O13:O13)*CELL("contenu",$B$12),COUNTA(O15:O17)*CELL("contenu",$B$14),COUNTA(O19:O19)*CELL("contenu",$B$18))=0,1,SUM(COUNTA(O5:O6)*CELL("contenu",$B$4),COUNTA(O8:O11)*CELL("contenu",$B$7),COUNTA(O13:O13)*CELL("contenu",$B$12),COUNTA(O15:O17)*CELL("contenu",$B$14),COUNTA(O19:O19)*CELL("contenu",$B$18))))</f>
        <v/>
      </c>
      <c r="P20" s="176"/>
      <c r="Q20" s="174" t="str">
        <f ca="1">IF(COUNTA(M20:O20)-COUNTBLANK(M20:O20)=0,"",SUM(M20:O20)/(COUNTA(M20:O20)-COUNTBLANK(M20:O20)))</f>
        <v/>
      </c>
      <c r="R20" s="103"/>
      <c r="S20" s="141"/>
      <c r="T20" s="167">
        <f ca="1">IF(COUNTA(T5:T19)=0,"",5*SUM(IFERROR((((COUNTIF(T5:T6,"A"))*4)+((COUNTIF(T5:T6,"B"))*3)+((COUNTIF(T5:T6,"C"))*2)+((COUNTIF(T5:T6,"D"))*1))*CELL("contenu",$B$4),0),IFERROR((((COUNTIF(T8:T11,"A"))*4)+((COUNTIF(T8:T11,"B"))*3)+((COUNTIF(T8:T11,"C"))*2)+((COUNTIF(T8:T11,"D"))*1))*CELL("contenu",$B$7),0),IFERROR((((COUNTIF(T13:T13,"A"))*4)+((COUNTIF(T13:T13,"B"))*3)+((COUNTIF(T13:T13,"C"))*2)+((COUNTIF(T13:T13,"D"))*1))*CELL("contenu",$B$12),0),IFERROR((((COUNTIF(T15:T17,"A"))*4)+((COUNTIF(T15:T17,"B"))*3)+((COUNTIF(T15:T17,"C"))*2)+((COUNTIF(T15:T17,"D"))*1))*CELL("contenu",$B$14),0),IFERROR((((COUNTIF(T19:T19,"A"))*4)+((COUNTIF(T19:T19,"B"))*3)+((COUNTIF(T19:T19,"C"))*2)+((COUNTIF(T19:T19,"D"))*1))*CELL("contenu",$B$18),0))/IF(SUM(COUNTA(T5:T6)*CELL("contenu",$B$4),COUNTA(T8:T11)*CELL("contenu",$B$7),COUNTA(T13:T13)*CELL("contenu",$B$12),COUNTA(T15:T17)*CELL("contenu",$B$14),COUNTA(T19:T19)*CELL("contenu",$B$18))=0,1,SUM(COUNTA(T5:T6)*CELL("contenu",$B$4),COUNTA(T8:T11)*CELL("contenu",$B$7),COUNTA(T13:T13)*CELL("contenu",$B$12),COUNTA(T15:T17)*CELL("contenu",$B$14),COUNTA(T19:T19)*CELL("contenu",$B$18))))</f>
        <v>11.666666666666666</v>
      </c>
      <c r="U20" s="168" t="str">
        <f ca="1">IF(COUNTA(U5:U19)=0,"",5*SUM(IFERROR((((COUNTIF(U5:U6,"A"))*4)+((COUNTIF(U5:U6,"B"))*3)+((COUNTIF(U5:U6,"C"))*2)+((COUNTIF(U5:U6,"D"))*1))*CELL("contenu",$B$4),0),IFERROR((((COUNTIF(U8:U11,"A"))*4)+((COUNTIF(U8:U11,"B"))*3)+((COUNTIF(U8:U11,"C"))*2)+((COUNTIF(U8:U11,"D"))*1))*CELL("contenu",$B$7),0),IFERROR((((COUNTIF(U13:U13,"A"))*4)+((COUNTIF(U13:U13,"B"))*3)+((COUNTIF(U13:U13,"C"))*2)+((COUNTIF(U13:U13,"D"))*1))*CELL("contenu",$B$12),0),IFERROR((((COUNTIF(U15:U17,"A"))*4)+((COUNTIF(U15:U17,"B"))*3)+((COUNTIF(U15:U17,"C"))*2)+((COUNTIF(U15:U17,"D"))*1))*CELL("contenu",$B$14),0),IFERROR((((COUNTIF(U19:U19,"A"))*4)+((COUNTIF(U19:U19,"B"))*3)+((COUNTIF(U19:U19,"C"))*2)+((COUNTIF(U19:U19,"D"))*1))*CELL("contenu",$B$18),0))/IF(SUM(COUNTA(U5:U6)*CELL("contenu",$B$4),COUNTA(U8:U11)*CELL("contenu",$B$7),COUNTA(U13:U13)*CELL("contenu",$B$12),COUNTA(U15:U17)*CELL("contenu",$B$14),COUNTA(U19:U19)*CELL("contenu",$B$18))=0,1,SUM(COUNTA(U5:U6)*CELL("contenu",$B$4),COUNTA(U8:U11)*CELL("contenu",$B$7),COUNTA(U13:U13)*CELL("contenu",$B$12),COUNTA(U15:U17)*CELL("contenu",$B$14),COUNTA(U19:U19)*CELL("contenu",$B$18))))</f>
        <v/>
      </c>
      <c r="V20" s="169" t="str">
        <f ca="1">IF(COUNTA(V5:V19)=0,"",5*SUM(IFERROR((((COUNTIF(V5:V6,"A"))*4)+((COUNTIF(V5:V6,"B"))*3)+((COUNTIF(V5:V6,"C"))*2)+((COUNTIF(V5:V6,"D"))*1))*CELL("contenu",$B$4),0),IFERROR((((COUNTIF(V8:V11,"A"))*4)+((COUNTIF(V8:V11,"B"))*3)+((COUNTIF(V8:V11,"C"))*2)+((COUNTIF(V8:V11,"D"))*1))*CELL("contenu",$B$7),0),IFERROR((((COUNTIF(V13:V13,"A"))*4)+((COUNTIF(V13:V13,"B"))*3)+((COUNTIF(V13:V13,"C"))*2)+((COUNTIF(V13:V13,"D"))*1))*CELL("contenu",$B$12),0),IFERROR((((COUNTIF(V15:V17,"A"))*4)+((COUNTIF(V15:V17,"B"))*3)+((COUNTIF(V15:V17,"C"))*2)+((COUNTIF(V15:V17,"D"))*1))*CELL("contenu",$B$14),0),IFERROR((((COUNTIF(V19:V19,"A"))*4)+((COUNTIF(V19:V19,"B"))*3)+((COUNTIF(V19:V19,"C"))*2)+((COUNTIF(V19:V19,"D"))*1))*CELL("contenu",$B$18),0))/IF(SUM(COUNTA(V5:V6)*CELL("contenu",$B$4),COUNTA(V8:V11)*CELL("contenu",$B$7),COUNTA(V13:V13)*CELL("contenu",$B$12),COUNTA(V15:V17)*CELL("contenu",$B$14),COUNTA(V19:V19)*CELL("contenu",$B$18))=0,1,SUM(COUNTA(V5:V6)*CELL("contenu",$B$4),COUNTA(V8:V11)*CELL("contenu",$B$7),COUNTA(V13:V13)*CELL("contenu",$B$12),COUNTA(V15:V17)*CELL("contenu",$B$14),COUNTA(V19:V19)*CELL("contenu",$B$18))))</f>
        <v/>
      </c>
      <c r="W20" s="116"/>
      <c r="X20" s="192">
        <f ca="1">IF(COUNTA(T20:V20)-COUNTBLANK(T20:V20)=0,"",SUM(T20:V20)/(COUNTA(T20:V20)-COUNTBLANK(T20:V20)))</f>
        <v>11.666666666666666</v>
      </c>
      <c r="Y20" s="182" t="str">
        <f ca="1">IF(COUNTA(Y5:Y19)=0,"",5*SUM(IFERROR((((COUNTIF(Y5:Y6,"A"))*4)+((COUNTIF(Y5:Y6,"B"))*3)+((COUNTIF(Y5:Y6,"C"))*2)+((COUNTIF(Y5:Y6,"D"))*1))*CELL("contenu",$B$4),0),IFERROR((((COUNTIF(Y8:Y11,"A"))*4)+((COUNTIF(Y8:Y11,"B"))*3)+((COUNTIF(Y8:Y11,"C"))*2)+((COUNTIF(Y8:Y11,"D"))*1))*CELL("contenu",$B$7),0),IFERROR((((COUNTIF(Y13:Y13,"A"))*4)+((COUNTIF(Y13:Y13,"B"))*3)+((COUNTIF(Y13:Y13,"C"))*2)+((COUNTIF(Y13:Y13,"D"))*1))*CELL("contenu",$B$12),0),IFERROR((((COUNTIF(Y15:Y17,"A"))*4)+((COUNTIF(Y15:Y17,"B"))*3)+((COUNTIF(Y15:Y17,"C"))*2)+((COUNTIF(Y15:Y17,"D"))*1))*CELL("contenu",$B$14),0),IFERROR((((COUNTIF(Y19:Y19,"A"))*4)+((COUNTIF(Y19:Y19,"B"))*3)+((COUNTIF(Y19:Y19,"C"))*2)+((COUNTIF(Y19:Y19,"D"))*1))*CELL("contenu",$B$18),0))/IF(SUM(COUNTA(Y5:Y6)*CELL("contenu",$B$4),COUNTA(Y8:Y11)*CELL("contenu",$B$7),COUNTA(Y13:Y13)*CELL("contenu",$B$12),COUNTA(Y15:Y17)*CELL("contenu",$B$14),COUNTA(Y19:Y19)*CELL("contenu",$B$18))=0,1,SUM(COUNTA(Y5:Y6)*CELL("contenu",$B$4),COUNTA(Y8:Y11)*CELL("contenu",$B$7),COUNTA(Y13:Y13)*CELL("contenu",$B$12),COUNTA(Y15:Y17)*CELL("contenu",$B$14),COUNTA(Y19:Y19)*CELL("contenu",$B$18))))</f>
        <v/>
      </c>
      <c r="Z20" s="183" t="str">
        <f ca="1">IF(COUNTA(Z5:Z19)=0,"",5*SUM(IFERROR((((COUNTIF(Z5:Z6,"A"))*4)+((COUNTIF(Z5:Z6,"B"))*3)+((COUNTIF(Z5:Z6,"C"))*2)+((COUNTIF(Z5:Z6,"D"))*1))*CELL("contenu",$B$4),0),IFERROR((((COUNTIF(Z8:Z11,"A"))*4)+((COUNTIF(Z8:Z11,"B"))*3)+((COUNTIF(Z8:Z11,"C"))*2)+((COUNTIF(Z8:Z11,"D"))*1))*CELL("contenu",$B$7),0),IFERROR((((COUNTIF(Z13:Z13,"A"))*4)+((COUNTIF(Z13:Z13,"B"))*3)+((COUNTIF(Z13:Z13,"C"))*2)+((COUNTIF(Z13:Z13,"D"))*1))*CELL("contenu",$B$12),0),IFERROR((((COUNTIF(Z15:Z17,"A"))*4)+((COUNTIF(Z15:Z17,"B"))*3)+((COUNTIF(Z15:Z17,"C"))*2)+((COUNTIF(Z15:Z17,"D"))*1))*CELL("contenu",$B$14),0),IFERROR((((COUNTIF(Z19:Z19,"A"))*4)+((COUNTIF(Z19:Z19,"B"))*3)+((COUNTIF(Z19:Z19,"C"))*2)+((COUNTIF(Z19:Z19,"D"))*1))*CELL("contenu",$B$18),0))/IF(SUM(COUNTA(Z5:Z6)*CELL("contenu",$B$4),COUNTA(Z8:Z11)*CELL("contenu",$B$7),COUNTA(Z13:Z13)*CELL("contenu",$B$12),COUNTA(Z15:Z17)*CELL("contenu",$B$14),COUNTA(Z19:Z19)*CELL("contenu",$B$18))=0,1,SUM(COUNTA(Z5:Z6)*CELL("contenu",$B$4),COUNTA(Z8:Z11)*CELL("contenu",$B$7),COUNTA(Z13:Z13)*CELL("contenu",$B$12),COUNTA(Z15:Z17)*CELL("contenu",$B$14),COUNTA(Z19:Z19)*CELL("contenu",$B$18))))</f>
        <v/>
      </c>
      <c r="AA20" s="184" t="str">
        <f ca="1">IF(COUNTA(AA5:AA19)=0,"",5*SUM(IFERROR((((COUNTIF(AA5:AA6,"A"))*4)+((COUNTIF(AA5:AA6,"B"))*3)+((COUNTIF(AA5:AA6,"C"))*2)+((COUNTIF(AA5:AA6,"D"))*1))*CELL("contenu",$B$4),0),IFERROR((((COUNTIF(AA8:AA11,"A"))*4)+((COUNTIF(AA8:AA11,"B"))*3)+((COUNTIF(AA8:AA11,"C"))*2)+((COUNTIF(AA8:AA11,"D"))*1))*CELL("contenu",$B$7),0),IFERROR((((COUNTIF(AA13:AA13,"A"))*4)+((COUNTIF(AA13:AA13,"B"))*3)+((COUNTIF(AA13:AA13,"C"))*2)+((COUNTIF(AA13:AA13,"D"))*1))*CELL("contenu",$B$12),0),IFERROR((((COUNTIF(AA15:AA17,"A"))*4)+((COUNTIF(AA15:AA17,"B"))*3)+((COUNTIF(AA15:AA17,"C"))*2)+((COUNTIF(AA15:AA17,"D"))*1))*CELL("contenu",$B$14),0),IFERROR((((COUNTIF(AA19:AA19,"A"))*4)+((COUNTIF(AA19:AA19,"B"))*3)+((COUNTIF(AA19:AA19,"C"))*2)+((COUNTIF(AA19:AA19,"D"))*1))*CELL("contenu",$B$18),0))/IF(SUM(COUNTA(AA5:AA6)*CELL("contenu",$B$4),COUNTA(AA8:AA11)*CELL("contenu",$B$7),COUNTA(AA13:AA13)*CELL("contenu",$B$12),COUNTA(AA15:AA17)*CELL("contenu",$B$14),COUNTA(AA19:AA19)*CELL("contenu",$B$18))=0,1,SUM(COUNTA(AA5:AA6)*CELL("contenu",$B$4),COUNTA(AA8:AA11)*CELL("contenu",$B$7),COUNTA(AA13:AA13)*CELL("contenu",$B$12),COUNTA(AA15:AA17)*CELL("contenu",$B$14),COUNTA(AA19:AA19)*CELL("contenu",$B$18))))</f>
        <v/>
      </c>
      <c r="AB20" s="176"/>
      <c r="AC20" s="175" t="str">
        <f ca="1">IF(COUNTA(Y20:AA20)-COUNTBLANK(Y20:AA20)=0,"",SUM(Y20:AA20)/(COUNTA(Y20:AA20)-COUNTBLANK(Y20:AA20)))</f>
        <v/>
      </c>
      <c r="AD20" s="182" t="str">
        <f ca="1">IF(COUNTA(AD5:AD19)=0,"",5*SUM(IFERROR((((COUNTIF(AD5:AD6,"A"))*4)+((COUNTIF(AD5:AD6,"B"))*3)+((COUNTIF(AD5:AD6,"C"))*2)+((COUNTIF(AD5:AD6,"D"))*1))*CELL("contenu",$B$4),0),IFERROR((((COUNTIF(AD8:AD11,"A"))*4)+((COUNTIF(AD8:AD11,"B"))*3)+((COUNTIF(AD8:AD11,"C"))*2)+((COUNTIF(AD8:AD11,"D"))*1))*CELL("contenu",$B$7),0),IFERROR((((COUNTIF(AD13:AD13,"A"))*4)+((COUNTIF(AD13:AD13,"B"))*3)+((COUNTIF(AD13:AD13,"C"))*2)+((COUNTIF(AD13:AD13,"D"))*1))*CELL("contenu",$B$12),0),IFERROR((((COUNTIF(AD15:AD17,"A"))*4)+((COUNTIF(AD15:AD17,"B"))*3)+((COUNTIF(AD15:AD17,"C"))*2)+((COUNTIF(AD15:AD17,"D"))*1))*CELL("contenu",$B$14),0),IFERROR((((COUNTIF(AD19:AD19,"A"))*4)+((COUNTIF(AD19:AD19,"B"))*3)+((COUNTIF(AD19:AD19,"C"))*2)+((COUNTIF(AD19:AD19,"D"))*1))*CELL("contenu",$B$18),0))/IF(SUM(COUNTA(AD5:AD6)*CELL("contenu",$B$4),COUNTA(AD8:AD11)*CELL("contenu",$B$7),COUNTA(AD13:AD13)*CELL("contenu",$B$12),COUNTA(AD15:AD17)*CELL("contenu",$B$14),COUNTA(AD19:AD19)*CELL("contenu",$B$18))=0,1,SUM(COUNTA(AD5:AD6)*CELL("contenu",$B$4),COUNTA(AD8:AD11)*CELL("contenu",$B$7),COUNTA(AD13:AD13)*CELL("contenu",$B$12),COUNTA(AD15:AD17)*CELL("contenu",$B$14),COUNTA(AD19:AD19)*CELL("contenu",$B$18))))</f>
        <v/>
      </c>
      <c r="AE20" s="183" t="str">
        <f ca="1">IF(COUNTA(AE5:AE19)=0,"",5*SUM(IFERROR((((COUNTIF(AE5:AE6,"A"))*4)+((COUNTIF(AE5:AE6,"B"))*3)+((COUNTIF(AE5:AE6,"C"))*2)+((COUNTIF(AE5:AE6,"D"))*1))*CELL("contenu",$B$4),0),IFERROR((((COUNTIF(AE8:AE11,"A"))*4)+((COUNTIF(AE8:AE11,"B"))*3)+((COUNTIF(AE8:AE11,"C"))*2)+((COUNTIF(AE8:AE11,"D"))*1))*CELL("contenu",$B$7),0),IFERROR((((COUNTIF(AE13:AE13,"A"))*4)+((COUNTIF(AE13:AE13,"B"))*3)+((COUNTIF(AE13:AE13,"C"))*2)+((COUNTIF(AE13:AE13,"D"))*1))*CELL("contenu",$B$12),0),IFERROR((((COUNTIF(AE15:AE17,"A"))*4)+((COUNTIF(AE15:AE17,"B"))*3)+((COUNTIF(AE15:AE17,"C"))*2)+((COUNTIF(AE15:AE17,"D"))*1))*CELL("contenu",$B$14),0),IFERROR((((COUNTIF(AE19:AE19,"A"))*4)+((COUNTIF(AE19:AE19,"B"))*3)+((COUNTIF(AE19:AE19,"C"))*2)+((COUNTIF(AE19:AE19,"D"))*1))*CELL("contenu",$B$18),0))/IF(SUM(COUNTA(AE5:AE6)*CELL("contenu",$B$4),COUNTA(AE8:AE11)*CELL("contenu",$B$7),COUNTA(AE13:AE13)*CELL("contenu",$B$12),COUNTA(AE15:AE17)*CELL("contenu",$B$14),COUNTA(AE19:AE19)*CELL("contenu",$B$18))=0,1,SUM(COUNTA(AE5:AE6)*CELL("contenu",$B$4),COUNTA(AE8:AE11)*CELL("contenu",$B$7),COUNTA(AE13:AE13)*CELL("contenu",$B$12),COUNTA(AE15:AE17)*CELL("contenu",$B$14),COUNTA(AE19:AE19)*CELL("contenu",$B$18))))</f>
        <v/>
      </c>
      <c r="AF20" s="184" t="str">
        <f ca="1">IF(COUNTA(AF5:AF19)=0,"",5*SUM(IFERROR((((COUNTIF(AF5:AF6,"A"))*4)+((COUNTIF(AF5:AF6,"B"))*3)+((COUNTIF(AF5:AF6,"C"))*2)+((COUNTIF(AF5:AF6,"D"))*1))*CELL("contenu",$B$4),0),IFERROR((((COUNTIF(AF8:AF11,"A"))*4)+((COUNTIF(AF8:AF11,"B"))*3)+((COUNTIF(AF8:AF11,"C"))*2)+((COUNTIF(AF8:AF11,"D"))*1))*CELL("contenu",$B$7),0),IFERROR((((COUNTIF(AF13:AF13,"A"))*4)+((COUNTIF(AF13:AF13,"B"))*3)+((COUNTIF(AF13:AF13,"C"))*2)+((COUNTIF(AF13:AF13,"D"))*1))*CELL("contenu",$B$12),0),IFERROR((((COUNTIF(AF15:AF17,"A"))*4)+((COUNTIF(AF15:AF17,"B"))*3)+((COUNTIF(AF15:AF17,"C"))*2)+((COUNTIF(AF15:AF17,"D"))*1))*CELL("contenu",$B$14),0),IFERROR((((COUNTIF(AF19:AF19,"A"))*4)+((COUNTIF(AF19:AF19,"B"))*3)+((COUNTIF(AF19:AF19,"C"))*2)+((COUNTIF(AF19:AF19,"D"))*1))*CELL("contenu",$B$18),0))/IF(SUM(COUNTA(AF5:AF6)*CELL("contenu",$B$4),COUNTA(AF8:AF11)*CELL("contenu",$B$7),COUNTA(AF13:AF13)*CELL("contenu",$B$12),COUNTA(AF15:AF17)*CELL("contenu",$B$14),COUNTA(AF19:AF19)*CELL("contenu",$B$18))=0,1,SUM(COUNTA(AF5:AF6)*CELL("contenu",$B$4),COUNTA(AF8:AF11)*CELL("contenu",$B$7),COUNTA(AF13:AF13)*CELL("contenu",$B$12),COUNTA(AF15:AF17)*CELL("contenu",$B$14),COUNTA(AF19:AF19)*CELL("contenu",$B$18))))</f>
        <v/>
      </c>
      <c r="AG20" s="176"/>
      <c r="AH20" s="174" t="str">
        <f ca="1">IF(COUNTA(AD20:AF20)-COUNTBLANK(AD20:AF20)=0,"",SUM(AD20:AF20)/(COUNTA(AD20:AF20)-COUNTBLANK(AD20:AF20)))</f>
        <v/>
      </c>
      <c r="AI20" s="103"/>
      <c r="AJ20" s="141"/>
      <c r="AK20" s="167">
        <f ca="1">IF(COUNTA(AK5:AK19)=0,"",5*SUM(IFERROR((((COUNTIF(AK5:AK6,"A"))*4)+((COUNTIF(AK5:AK6,"B"))*3)+((COUNTIF(AK5:AK6,"C"))*2)+((COUNTIF(AK5:AK6,"D"))*1))*CELL("contenu",$B$4),0),IFERROR((((COUNTIF(AK8:AK11,"A"))*4)+((COUNTIF(AK8:AK11,"B"))*3)+((COUNTIF(AK8:AK11,"C"))*2)+((COUNTIF(AK8:AK11,"D"))*1))*CELL("contenu",$B$7),0),IFERROR((((COUNTIF(AK13:AK13,"A"))*4)+((COUNTIF(AK13:AK13,"B"))*3)+((COUNTIF(AK13:AK13,"C"))*2)+((COUNTIF(AK13:AK13,"D"))*1))*CELL("contenu",$B$12),0),IFERROR((((COUNTIF(AK15:AK17,"A"))*4)+((COUNTIF(AK15:AK17,"B"))*3)+((COUNTIF(AK15:AK17,"C"))*2)+((COUNTIF(AK15:AK17,"D"))*1))*CELL("contenu",$B$14),0),IFERROR((((COUNTIF(AK19:AK19,"A"))*4)+((COUNTIF(AK19:AK19,"B"))*3)+((COUNTIF(AK19:AK19,"C"))*2)+((COUNTIF(AK19:AK19,"D"))*1))*CELL("contenu",$B$18),0))/IF(SUM(COUNTA(AK5:AK6)*CELL("contenu",$B$4),COUNTA(AK8:AK11)*CELL("contenu",$B$7),COUNTA(AK13:AK13)*CELL("contenu",$B$12),COUNTA(AK15:AK17)*CELL("contenu",$B$14),COUNTA(AK19:AK19)*CELL("contenu",$B$18))=0,1,SUM(COUNTA(AK5:AK6)*CELL("contenu",$B$4),COUNTA(AK8:AK11)*CELL("contenu",$B$7),COUNTA(AK13:AK13)*CELL("contenu",$B$12),COUNTA(AK15:AK17)*CELL("contenu",$B$14),COUNTA(AK19:AK19)*CELL("contenu",$B$18))))</f>
        <v>11.666666666666666</v>
      </c>
      <c r="AL20" s="168" t="str">
        <f ca="1">IF(COUNTA(AL5:AL19)=0,"",5*SUM(IFERROR((((COUNTIF(AL5:AL6,"A"))*4)+((COUNTIF(AL5:AL6,"B"))*3)+((COUNTIF(AL5:AL6,"C"))*2)+((COUNTIF(AL5:AL6,"D"))*1))*CELL("contenu",$B$4),0),IFERROR((((COUNTIF(AL8:AL11,"A"))*4)+((COUNTIF(AL8:AL11,"B"))*3)+((COUNTIF(AL8:AL11,"C"))*2)+((COUNTIF(AL8:AL11,"D"))*1))*CELL("contenu",$B$7),0),IFERROR((((COUNTIF(AL13:AL13,"A"))*4)+((COUNTIF(AL13:AL13,"B"))*3)+((COUNTIF(AL13:AL13,"C"))*2)+((COUNTIF(AL13:AL13,"D"))*1))*CELL("contenu",$B$12),0),IFERROR((((COUNTIF(AL15:AL17,"A"))*4)+((COUNTIF(AL15:AL17,"B"))*3)+((COUNTIF(AL15:AL17,"C"))*2)+((COUNTIF(AL15:AL17,"D"))*1))*CELL("contenu",$B$14),0),IFERROR((((COUNTIF(AL19:AL19,"A"))*4)+((COUNTIF(AL19:AL19,"B"))*3)+((COUNTIF(AL19:AL19,"C"))*2)+((COUNTIF(AL19:AL19,"D"))*1))*CELL("contenu",$B$18),0))/IF(SUM(COUNTA(AL5:AL6)*CELL("contenu",$B$4),COUNTA(AL8:AL11)*CELL("contenu",$B$7),COUNTA(AL13:AL13)*CELL("contenu",$B$12),COUNTA(AL15:AL17)*CELL("contenu",$B$14),COUNTA(AL19:AL19)*CELL("contenu",$B$18))=0,1,SUM(COUNTA(AL5:AL6)*CELL("contenu",$B$4),COUNTA(AL8:AL11)*CELL("contenu",$B$7),COUNTA(AL13:AL13)*CELL("contenu",$B$12),COUNTA(AL15:AL17)*CELL("contenu",$B$14),COUNTA(AL19:AL19)*CELL("contenu",$B$18))))</f>
        <v/>
      </c>
      <c r="AM20" s="169" t="str">
        <f ca="1">IF(COUNTA(AM5:AM19)=0,"",5*SUM(IFERROR((((COUNTIF(AM5:AM6,"A"))*4)+((COUNTIF(AM5:AM6,"B"))*3)+((COUNTIF(AM5:AM6,"C"))*2)+((COUNTIF(AM5:AM6,"D"))*1))*CELL("contenu",$B$4),0),IFERROR((((COUNTIF(AM8:AM11,"A"))*4)+((COUNTIF(AM8:AM11,"B"))*3)+((COUNTIF(AM8:AM11,"C"))*2)+((COUNTIF(AM8:AM11,"D"))*1))*CELL("contenu",$B$7),0),IFERROR((((COUNTIF(AM13:AM13,"A"))*4)+((COUNTIF(AM13:AM13,"B"))*3)+((COUNTIF(AM13:AM13,"C"))*2)+((COUNTIF(AM13:AM13,"D"))*1))*CELL("contenu",$B$12),0),IFERROR((((COUNTIF(AM15:AM17,"A"))*4)+((COUNTIF(AM15:AM17,"B"))*3)+((COUNTIF(AM15:AM17,"C"))*2)+((COUNTIF(AM15:AM17,"D"))*1))*CELL("contenu",$B$14),0),IFERROR((((COUNTIF(AM19:AM19,"A"))*4)+((COUNTIF(AM19:AM19,"B"))*3)+((COUNTIF(AM19:AM19,"C"))*2)+((COUNTIF(AM19:AM19,"D"))*1))*CELL("contenu",$B$18),0))/IF(SUM(COUNTA(AM5:AM6)*CELL("contenu",$B$4),COUNTA(AM8:AM11)*CELL("contenu",$B$7),COUNTA(AM13:AM13)*CELL("contenu",$B$12),COUNTA(AM15:AM17)*CELL("contenu",$B$14),COUNTA(AM19:AM19)*CELL("contenu",$B$18))=0,1,SUM(COUNTA(AM5:AM6)*CELL("contenu",$B$4),COUNTA(AM8:AM11)*CELL("contenu",$B$7),COUNTA(AM13:AM13)*CELL("contenu",$B$12),COUNTA(AM15:AM17)*CELL("contenu",$B$14),COUNTA(AM19:AM19)*CELL("contenu",$B$18))))</f>
        <v/>
      </c>
      <c r="AN20" s="116"/>
      <c r="AO20" s="192">
        <f ca="1">IF(COUNTA(AK20:AM20)-COUNTBLANK(AK20:AM20)=0,"",SUM(AK20:AM20)/(COUNTA(AK20:AM20)-COUNTBLANK(AK20:AM20)))</f>
        <v>11.666666666666666</v>
      </c>
      <c r="AP20" s="182" t="str">
        <f ca="1">IF(COUNTA(AP5:AP19)=0,"",5*SUM(IFERROR((((COUNTIF(AP5:AP6,"A"))*4)+((COUNTIF(AP5:AP6,"B"))*3)+((COUNTIF(AP5:AP6,"C"))*2)+((COUNTIF(AP5:AP6,"D"))*1))*CELL("contenu",$B$4),0),IFERROR((((COUNTIF(AP8:AP11,"A"))*4)+((COUNTIF(AP8:AP11,"B"))*3)+((COUNTIF(AP8:AP11,"C"))*2)+((COUNTIF(AP8:AP11,"D"))*1))*CELL("contenu",$B$7),0),IFERROR((((COUNTIF(AP13:AP13,"A"))*4)+((COUNTIF(AP13:AP13,"B"))*3)+((COUNTIF(AP13:AP13,"C"))*2)+((COUNTIF(AP13:AP13,"D"))*1))*CELL("contenu",$B$12),0),IFERROR((((COUNTIF(AP15:AP17,"A"))*4)+((COUNTIF(AP15:AP17,"B"))*3)+((COUNTIF(AP15:AP17,"C"))*2)+((COUNTIF(AP15:AP17,"D"))*1))*CELL("contenu",$B$14),0),IFERROR((((COUNTIF(AP19:AP19,"A"))*4)+((COUNTIF(AP19:AP19,"B"))*3)+((COUNTIF(AP19:AP19,"C"))*2)+((COUNTIF(AP19:AP19,"D"))*1))*CELL("contenu",$B$18),0))/IF(SUM(COUNTA(AP5:AP6)*CELL("contenu",$B$4),COUNTA(AP8:AP11)*CELL("contenu",$B$7),COUNTA(AP13:AP13)*CELL("contenu",$B$12),COUNTA(AP15:AP17)*CELL("contenu",$B$14),COUNTA(AP19:AP19)*CELL("contenu",$B$18))=0,1,SUM(COUNTA(AP5:AP6)*CELL("contenu",$B$4),COUNTA(AP8:AP11)*CELL("contenu",$B$7),COUNTA(AP13:AP13)*CELL("contenu",$B$12),COUNTA(AP15:AP17)*CELL("contenu",$B$14),COUNTA(AP19:AP19)*CELL("contenu",$B$18))))</f>
        <v/>
      </c>
      <c r="AQ20" s="183" t="str">
        <f ca="1">IF(COUNTA(AQ5:AQ19)=0,"",5*SUM(IFERROR((((COUNTIF(AQ5:AQ6,"A"))*4)+((COUNTIF(AQ5:AQ6,"B"))*3)+((COUNTIF(AQ5:AQ6,"C"))*2)+((COUNTIF(AQ5:AQ6,"D"))*1))*CELL("contenu",$B$4),0),IFERROR((((COUNTIF(AQ8:AQ11,"A"))*4)+((COUNTIF(AQ8:AQ11,"B"))*3)+((COUNTIF(AQ8:AQ11,"C"))*2)+((COUNTIF(AQ8:AQ11,"D"))*1))*CELL("contenu",$B$7),0),IFERROR((((COUNTIF(AQ13:AQ13,"A"))*4)+((COUNTIF(AQ13:AQ13,"B"))*3)+((COUNTIF(AQ13:AQ13,"C"))*2)+((COUNTIF(AQ13:AQ13,"D"))*1))*CELL("contenu",$B$12),0),IFERROR((((COUNTIF(AQ15:AQ17,"A"))*4)+((COUNTIF(AQ15:AQ17,"B"))*3)+((COUNTIF(AQ15:AQ17,"C"))*2)+((COUNTIF(AQ15:AQ17,"D"))*1))*CELL("contenu",$B$14),0),IFERROR((((COUNTIF(AQ19:AQ19,"A"))*4)+((COUNTIF(AQ19:AQ19,"B"))*3)+((COUNTIF(AQ19:AQ19,"C"))*2)+((COUNTIF(AQ19:AQ19,"D"))*1))*CELL("contenu",$B$18),0))/IF(SUM(COUNTA(AQ5:AQ6)*CELL("contenu",$B$4),COUNTA(AQ8:AQ11)*CELL("contenu",$B$7),COUNTA(AQ13:AQ13)*CELL("contenu",$B$12),COUNTA(AQ15:AQ17)*CELL("contenu",$B$14),COUNTA(AQ19:AQ19)*CELL("contenu",$B$18))=0,1,SUM(COUNTA(AQ5:AQ6)*CELL("contenu",$B$4),COUNTA(AQ8:AQ11)*CELL("contenu",$B$7),COUNTA(AQ13:AQ13)*CELL("contenu",$B$12),COUNTA(AQ15:AQ17)*CELL("contenu",$B$14),COUNTA(AQ19:AQ19)*CELL("contenu",$B$18))))</f>
        <v/>
      </c>
      <c r="AR20" s="184" t="str">
        <f ca="1">IF(COUNTA(AR5:AR19)=0,"",5*SUM(IFERROR((((COUNTIF(AR5:AR6,"A"))*4)+((COUNTIF(AR5:AR6,"B"))*3)+((COUNTIF(AR5:AR6,"C"))*2)+((COUNTIF(AR5:AR6,"D"))*1))*CELL("contenu",$B$4),0),IFERROR((((COUNTIF(AR8:AR11,"A"))*4)+((COUNTIF(AR8:AR11,"B"))*3)+((COUNTIF(AR8:AR11,"C"))*2)+((COUNTIF(AR8:AR11,"D"))*1))*CELL("contenu",$B$7),0),IFERROR((((COUNTIF(AR13:AR13,"A"))*4)+((COUNTIF(AR13:AR13,"B"))*3)+((COUNTIF(AR13:AR13,"C"))*2)+((COUNTIF(AR13:AR13,"D"))*1))*CELL("contenu",$B$12),0),IFERROR((((COUNTIF(AR15:AR17,"A"))*4)+((COUNTIF(AR15:AR17,"B"))*3)+((COUNTIF(AR15:AR17,"C"))*2)+((COUNTIF(AR15:AR17,"D"))*1))*CELL("contenu",$B$14),0),IFERROR((((COUNTIF(AR19:AR19,"A"))*4)+((COUNTIF(AR19:AR19,"B"))*3)+((COUNTIF(AR19:AR19,"C"))*2)+((COUNTIF(AR19:AR19,"D"))*1))*CELL("contenu",$B$18),0))/IF(SUM(COUNTA(AR5:AR6)*CELL("contenu",$B$4),COUNTA(AR8:AR11)*CELL("contenu",$B$7),COUNTA(AR13:AR13)*CELL("contenu",$B$12),COUNTA(AR15:AR17)*CELL("contenu",$B$14),COUNTA(AR19:AR19)*CELL("contenu",$B$18))=0,1,SUM(COUNTA(AR5:AR6)*CELL("contenu",$B$4),COUNTA(AR8:AR11)*CELL("contenu",$B$7),COUNTA(AR13:AR13)*CELL("contenu",$B$12),COUNTA(AR15:AR17)*CELL("contenu",$B$14),COUNTA(AR19:AR19)*CELL("contenu",$B$18))))</f>
        <v/>
      </c>
      <c r="AS20" s="176"/>
      <c r="AT20" s="175" t="str">
        <f ca="1">IF(COUNTA(AP20:AR20)-COUNTBLANK(AP20:AR20)=0,"",SUM(AP20:AR20)/(COUNTA(AP20:AR20)-COUNTBLANK(AP20:AR20)))</f>
        <v/>
      </c>
      <c r="AU20" s="182" t="str">
        <f ca="1">IF(COUNTA(AU5:AU19)=0,"",5*SUM(IFERROR((((COUNTIF(AU5:AU6,"A"))*4)+((COUNTIF(AU5:AU6,"B"))*3)+((COUNTIF(AU5:AU6,"C"))*2)+((COUNTIF(AU5:AU6,"D"))*1))*CELL("contenu",$B$4),0),IFERROR((((COUNTIF(AU8:AU11,"A"))*4)+((COUNTIF(AU8:AU11,"B"))*3)+((COUNTIF(AU8:AU11,"C"))*2)+((COUNTIF(AU8:AU11,"D"))*1))*CELL("contenu",$B$7),0),IFERROR((((COUNTIF(AU13:AU13,"A"))*4)+((COUNTIF(AU13:AU13,"B"))*3)+((COUNTIF(AU13:AU13,"C"))*2)+((COUNTIF(AU13:AU13,"D"))*1))*CELL("contenu",$B$12),0),IFERROR((((COUNTIF(AU15:AU17,"A"))*4)+((COUNTIF(AU15:AU17,"B"))*3)+((COUNTIF(AU15:AU17,"C"))*2)+((COUNTIF(AU15:AU17,"D"))*1))*CELL("contenu",$B$14),0),IFERROR((((COUNTIF(AU19:AU19,"A"))*4)+((COUNTIF(AU19:AU19,"B"))*3)+((COUNTIF(AU19:AU19,"C"))*2)+((COUNTIF(AU19:AU19,"D"))*1))*CELL("contenu",$B$18),0))/IF(SUM(COUNTA(AU5:AU6)*CELL("contenu",$B$4),COUNTA(AU8:AU11)*CELL("contenu",$B$7),COUNTA(AU13:AU13)*CELL("contenu",$B$12),COUNTA(AU15:AU17)*CELL("contenu",$B$14),COUNTA(AU19:AU19)*CELL("contenu",$B$18))=0,1,SUM(COUNTA(AU5:AU6)*CELL("contenu",$B$4),COUNTA(AU8:AU11)*CELL("contenu",$B$7),COUNTA(AU13:AU13)*CELL("contenu",$B$12),COUNTA(AU15:AU17)*CELL("contenu",$B$14),COUNTA(AU19:AU19)*CELL("contenu",$B$18))))</f>
        <v/>
      </c>
      <c r="AV20" s="183" t="str">
        <f ca="1">IF(COUNTA(AV5:AV19)=0,"",5*SUM(IFERROR((((COUNTIF(AV5:AV6,"A"))*4)+((COUNTIF(AV5:AV6,"B"))*3)+((COUNTIF(AV5:AV6,"C"))*2)+((COUNTIF(AV5:AV6,"D"))*1))*CELL("contenu",$B$4),0),IFERROR((((COUNTIF(AV8:AV11,"A"))*4)+((COUNTIF(AV8:AV11,"B"))*3)+((COUNTIF(AV8:AV11,"C"))*2)+((COUNTIF(AV8:AV11,"D"))*1))*CELL("contenu",$B$7),0),IFERROR((((COUNTIF(AV13:AV13,"A"))*4)+((COUNTIF(AV13:AV13,"B"))*3)+((COUNTIF(AV13:AV13,"C"))*2)+((COUNTIF(AV13:AV13,"D"))*1))*CELL("contenu",$B$12),0),IFERROR((((COUNTIF(AV15:AV17,"A"))*4)+((COUNTIF(AV15:AV17,"B"))*3)+((COUNTIF(AV15:AV17,"C"))*2)+((COUNTIF(AV15:AV17,"D"))*1))*CELL("contenu",$B$14),0),IFERROR((((COUNTIF(AV19:AV19,"A"))*4)+((COUNTIF(AV19:AV19,"B"))*3)+((COUNTIF(AV19:AV19,"C"))*2)+((COUNTIF(AV19:AV19,"D"))*1))*CELL("contenu",$B$18),0))/IF(SUM(COUNTA(AV5:AV6)*CELL("contenu",$B$4),COUNTA(AV8:AV11)*CELL("contenu",$B$7),COUNTA(AV13:AV13)*CELL("contenu",$B$12),COUNTA(AV15:AV17)*CELL("contenu",$B$14),COUNTA(AV19:AV19)*CELL("contenu",$B$18))=0,1,SUM(COUNTA(AV5:AV6)*CELL("contenu",$B$4),COUNTA(AV8:AV11)*CELL("contenu",$B$7),COUNTA(AV13:AV13)*CELL("contenu",$B$12),COUNTA(AV15:AV17)*CELL("contenu",$B$14),COUNTA(AV19:AV19)*CELL("contenu",$B$18))))</f>
        <v/>
      </c>
      <c r="AW20" s="184" t="str">
        <f ca="1">IF(COUNTA(AW5:AW19)=0,"",5*SUM(IFERROR((((COUNTIF(AW5:AW6,"A"))*4)+((COUNTIF(AW5:AW6,"B"))*3)+((COUNTIF(AW5:AW6,"C"))*2)+((COUNTIF(AW5:AW6,"D"))*1))*CELL("contenu",$B$4),0),IFERROR((((COUNTIF(AW8:AW11,"A"))*4)+((COUNTIF(AW8:AW11,"B"))*3)+((COUNTIF(AW8:AW11,"C"))*2)+((COUNTIF(AW8:AW11,"D"))*1))*CELL("contenu",$B$7),0),IFERROR((((COUNTIF(AW13:AW13,"A"))*4)+((COUNTIF(AW13:AW13,"B"))*3)+((COUNTIF(AW13:AW13,"C"))*2)+((COUNTIF(AW13:AW13,"D"))*1))*CELL("contenu",$B$12),0),IFERROR((((COUNTIF(AW15:AW17,"A"))*4)+((COUNTIF(AW15:AW17,"B"))*3)+((COUNTIF(AW15:AW17,"C"))*2)+((COUNTIF(AW15:AW17,"D"))*1))*CELL("contenu",$B$14),0),IFERROR((((COUNTIF(AW19:AW19,"A"))*4)+((COUNTIF(AW19:AW19,"B"))*3)+((COUNTIF(AW19:AW19,"C"))*2)+((COUNTIF(AW19:AW19,"D"))*1))*CELL("contenu",$B$18),0))/IF(SUM(COUNTA(AW5:AW6)*CELL("contenu",$B$4),COUNTA(AW8:AW11)*CELL("contenu",$B$7),COUNTA(AW13:AW13)*CELL("contenu",$B$12),COUNTA(AW15:AW17)*CELL("contenu",$B$14),COUNTA(AW19:AW19)*CELL("contenu",$B$18))=0,1,SUM(COUNTA(AW5:AW6)*CELL("contenu",$B$4),COUNTA(AW8:AW11)*CELL("contenu",$B$7),COUNTA(AW13:AW13)*CELL("contenu",$B$12),COUNTA(AW15:AW17)*CELL("contenu",$B$14),COUNTA(AW19:AW19)*CELL("contenu",$B$18))))</f>
        <v/>
      </c>
      <c r="AX20" s="176"/>
      <c r="AY20" s="174" t="str">
        <f ca="1">IF(COUNTA(AU20:AW20)-COUNTBLANK(AU20:AW20)=0,"",SUM(AU20:AW20)/(COUNTA(AU20:AW20)-COUNTBLANK(AU20:AW20)))</f>
        <v/>
      </c>
      <c r="AZ20" s="103"/>
      <c r="BA20" s="141"/>
      <c r="BB20" s="167" t="str">
        <f ca="1">IF(COUNTA(BB5:BB19)=0,"",5*SUM(IFERROR((((COUNTIF(BB5:BB6,"A"))*4)+((COUNTIF(BB5:BB6,"B"))*3)+((COUNTIF(BB5:BB6,"C"))*2)+((COUNTIF(BB5:BB6,"D"))*1))*CELL("contenu",$B$4),0),IFERROR((((COUNTIF(BB8:BB11,"A"))*4)+((COUNTIF(BB8:BB11,"B"))*3)+((COUNTIF(BB8:BB11,"C"))*2)+((COUNTIF(BB8:BB11,"D"))*1))*CELL("contenu",$B$7),0),IFERROR((((COUNTIF(BB13:BB13,"A"))*4)+((COUNTIF(BB13:BB13,"B"))*3)+((COUNTIF(BB13:BB13,"C"))*2)+((COUNTIF(BB13:BB13,"D"))*1))*CELL("contenu",$B$12),0),IFERROR((((COUNTIF(BB15:BB17,"A"))*4)+((COUNTIF(BB15:BB17,"B"))*3)+((COUNTIF(BB15:BB17,"C"))*2)+((COUNTIF(BB15:BB17,"D"))*1))*CELL("contenu",$B$14),0),IFERROR((((COUNTIF(BB19:BB19,"A"))*4)+((COUNTIF(BB19:BB19,"B"))*3)+((COUNTIF(BB19:BB19,"C"))*2)+((COUNTIF(BB19:BB19,"D"))*1))*CELL("contenu",$B$18),0))/IF(SUM(COUNTA(BB5:BB6)*CELL("contenu",$B$4),COUNTA(BB8:BB11)*CELL("contenu",$B$7),COUNTA(BB13:BB13)*CELL("contenu",$B$12),COUNTA(BB15:BB17)*CELL("contenu",$B$14),COUNTA(BB19:BB19)*CELL("contenu",$B$18))=0,1,SUM(COUNTA(BB5:BB6)*CELL("contenu",$B$4),COUNTA(BB8:BB11)*CELL("contenu",$B$7),COUNTA(BB13:BB13)*CELL("contenu",$B$12),COUNTA(BB15:BB17)*CELL("contenu",$B$14),COUNTA(BB19:BB19)*CELL("contenu",$B$18))))</f>
        <v/>
      </c>
      <c r="BC20" s="168" t="str">
        <f ca="1">IF(COUNTA(BC5:BC19)=0,"",5*SUM(IFERROR((((COUNTIF(BC5:BC6,"A"))*4)+((COUNTIF(BC5:BC6,"B"))*3)+((COUNTIF(BC5:BC6,"C"))*2)+((COUNTIF(BC5:BC6,"D"))*1))*CELL("contenu",$B$4),0),IFERROR((((COUNTIF(BC8:BC11,"A"))*4)+((COUNTIF(BC8:BC11,"B"))*3)+((COUNTIF(BC8:BC11,"C"))*2)+((COUNTIF(BC8:BC11,"D"))*1))*CELL("contenu",$B$7),0),IFERROR((((COUNTIF(BC13:BC13,"A"))*4)+((COUNTIF(BC13:BC13,"B"))*3)+((COUNTIF(BC13:BC13,"C"))*2)+((COUNTIF(BC13:BC13,"D"))*1))*CELL("contenu",$B$12),0),IFERROR((((COUNTIF(BC15:BC17,"A"))*4)+((COUNTIF(BC15:BC17,"B"))*3)+((COUNTIF(BC15:BC17,"C"))*2)+((COUNTIF(BC15:BC17,"D"))*1))*CELL("contenu",$B$14),0),IFERROR((((COUNTIF(BC19:BC19,"A"))*4)+((COUNTIF(BC19:BC19,"B"))*3)+((COUNTIF(BC19:BC19,"C"))*2)+((COUNTIF(BC19:BC19,"D"))*1))*CELL("contenu",$B$18),0))/IF(SUM(COUNTA(BC5:BC6)*CELL("contenu",$B$4),COUNTA(BC8:BC11)*CELL("contenu",$B$7),COUNTA(BC13:BC13)*CELL("contenu",$B$12),COUNTA(BC15:BC17)*CELL("contenu",$B$14),COUNTA(BC19:BC19)*CELL("contenu",$B$18))=0,1,SUM(COUNTA(BC5:BC6)*CELL("contenu",$B$4),COUNTA(BC8:BC11)*CELL("contenu",$B$7),COUNTA(BC13:BC13)*CELL("contenu",$B$12),COUNTA(BC15:BC17)*CELL("contenu",$B$14),COUNTA(BC19:BC19)*CELL("contenu",$B$18))))</f>
        <v/>
      </c>
      <c r="BD20" s="169" t="str">
        <f ca="1">IF(COUNTA(BD5:BD19)=0,"",5*SUM(IFERROR((((COUNTIF(BD5:BD6,"A"))*4)+((COUNTIF(BD5:BD6,"B"))*3)+((COUNTIF(BD5:BD6,"C"))*2)+((COUNTIF(BD5:BD6,"D"))*1))*CELL("contenu",$B$4),0),IFERROR((((COUNTIF(BD8:BD11,"A"))*4)+((COUNTIF(BD8:BD11,"B"))*3)+((COUNTIF(BD8:BD11,"C"))*2)+((COUNTIF(BD8:BD11,"D"))*1))*CELL("contenu",$B$7),0),IFERROR((((COUNTIF(BD13:BD13,"A"))*4)+((COUNTIF(BD13:BD13,"B"))*3)+((COUNTIF(BD13:BD13,"C"))*2)+((COUNTIF(BD13:BD13,"D"))*1))*CELL("contenu",$B$12),0),IFERROR((((COUNTIF(BD15:BD17,"A"))*4)+((COUNTIF(BD15:BD17,"B"))*3)+((COUNTIF(BD15:BD17,"C"))*2)+((COUNTIF(BD15:BD17,"D"))*1))*CELL("contenu",$B$14),0),IFERROR((((COUNTIF(BD19:BD19,"A"))*4)+((COUNTIF(BD19:BD19,"B"))*3)+((COUNTIF(BD19:BD19,"C"))*2)+((COUNTIF(BD19:BD19,"D"))*1))*CELL("contenu",$B$18),0))/IF(SUM(COUNTA(BD5:BD6)*CELL("contenu",$B$4),COUNTA(BD8:BD11)*CELL("contenu",$B$7),COUNTA(BD13:BD13)*CELL("contenu",$B$12),COUNTA(BD15:BD17)*CELL("contenu",$B$14),COUNTA(BD19:BD19)*CELL("contenu",$B$18))=0,1,SUM(COUNTA(BD5:BD6)*CELL("contenu",$B$4),COUNTA(BD8:BD11)*CELL("contenu",$B$7),COUNTA(BD13:BD13)*CELL("contenu",$B$12),COUNTA(BD15:BD17)*CELL("contenu",$B$14),COUNTA(BD19:BD19)*CELL("contenu",$B$18))))</f>
        <v/>
      </c>
      <c r="BE20" s="116"/>
      <c r="BF20" s="192" t="str">
        <f ca="1">IF(COUNTA(BB20:BD20)-COUNTBLANK(BB20:BD20)=0,"",SUM(BB20:BD20)/(COUNTA(BB20:BD20)-COUNTBLANK(BB20:BD20)))</f>
        <v/>
      </c>
      <c r="BG20" s="182" t="str">
        <f ca="1">IF(COUNTA(BG5:BG19)=0,"",5*SUM(IFERROR((((COUNTIF(BG5:BG6,"A"))*4)+((COUNTIF(BG5:BG6,"B"))*3)+((COUNTIF(BG5:BG6,"C"))*2)+((COUNTIF(BG5:BG6,"D"))*1))*CELL("contenu",$B$4),0),IFERROR((((COUNTIF(BG8:BG11,"A"))*4)+((COUNTIF(BG8:BG11,"B"))*3)+((COUNTIF(BG8:BG11,"C"))*2)+((COUNTIF(BG8:BG11,"D"))*1))*CELL("contenu",$B$7),0),IFERROR((((COUNTIF(BG13:BG13,"A"))*4)+((COUNTIF(BG13:BG13,"B"))*3)+((COUNTIF(BG13:BG13,"C"))*2)+((COUNTIF(BG13:BG13,"D"))*1))*CELL("contenu",$B$12),0),IFERROR((((COUNTIF(BG15:BG17,"A"))*4)+((COUNTIF(BG15:BG17,"B"))*3)+((COUNTIF(BG15:BG17,"C"))*2)+((COUNTIF(BG15:BG17,"D"))*1))*CELL("contenu",$B$14),0),IFERROR((((COUNTIF(BG19:BG19,"A"))*4)+((COUNTIF(BG19:BG19,"B"))*3)+((COUNTIF(BG19:BG19,"C"))*2)+((COUNTIF(BG19:BG19,"D"))*1))*CELL("contenu",$B$18),0))/IF(SUM(COUNTA(BG5:BG6)*CELL("contenu",$B$4),COUNTA(BG8:BG11)*CELL("contenu",$B$7),COUNTA(BG13:BG13)*CELL("contenu",$B$12),COUNTA(BG15:BG17)*CELL("contenu",$B$14),COUNTA(BG19:BG19)*CELL("contenu",$B$18))=0,1,SUM(COUNTA(BG5:BG6)*CELL("contenu",$B$4),COUNTA(BG8:BG11)*CELL("contenu",$B$7),COUNTA(BG13:BG13)*CELL("contenu",$B$12),COUNTA(BG15:BG17)*CELL("contenu",$B$14),COUNTA(BG19:BG19)*CELL("contenu",$B$18))))</f>
        <v/>
      </c>
      <c r="BH20" s="183" t="str">
        <f ca="1">IF(COUNTA(BH5:BH19)=0,"",5*SUM(IFERROR((((COUNTIF(BH5:BH6,"A"))*4)+((COUNTIF(BH5:BH6,"B"))*3)+((COUNTIF(BH5:BH6,"C"))*2)+((COUNTIF(BH5:BH6,"D"))*1))*CELL("contenu",$B$4),0),IFERROR((((COUNTIF(BH8:BH11,"A"))*4)+((COUNTIF(BH8:BH11,"B"))*3)+((COUNTIF(BH8:BH11,"C"))*2)+((COUNTIF(BH8:BH11,"D"))*1))*CELL("contenu",$B$7),0),IFERROR((((COUNTIF(BH13:BH13,"A"))*4)+((COUNTIF(BH13:BH13,"B"))*3)+((COUNTIF(BH13:BH13,"C"))*2)+((COUNTIF(BH13:BH13,"D"))*1))*CELL("contenu",$B$12),0),IFERROR((((COUNTIF(BH15:BH17,"A"))*4)+((COUNTIF(BH15:BH17,"B"))*3)+((COUNTIF(BH15:BH17,"C"))*2)+((COUNTIF(BH15:BH17,"D"))*1))*CELL("contenu",$B$14),0),IFERROR((((COUNTIF(BH19:BH19,"A"))*4)+((COUNTIF(BH19:BH19,"B"))*3)+((COUNTIF(BH19:BH19,"C"))*2)+((COUNTIF(BH19:BH19,"D"))*1))*CELL("contenu",$B$18),0))/IF(SUM(COUNTA(BH5:BH6)*CELL("contenu",$B$4),COUNTA(BH8:BH11)*CELL("contenu",$B$7),COUNTA(BH13:BH13)*CELL("contenu",$B$12),COUNTA(BH15:BH17)*CELL("contenu",$B$14),COUNTA(BH19:BH19)*CELL("contenu",$B$18))=0,1,SUM(COUNTA(BH5:BH6)*CELL("contenu",$B$4),COUNTA(BH8:BH11)*CELL("contenu",$B$7),COUNTA(BH13:BH13)*CELL("contenu",$B$12),COUNTA(BH15:BH17)*CELL("contenu",$B$14),COUNTA(BH19:BH19)*CELL("contenu",$B$18))))</f>
        <v/>
      </c>
      <c r="BI20" s="184" t="str">
        <f ca="1">IF(COUNTA(BI5:BI19)=0,"",5*SUM(IFERROR((((COUNTIF(BI5:BI6,"A"))*4)+((COUNTIF(BI5:BI6,"B"))*3)+((COUNTIF(BI5:BI6,"C"))*2)+((COUNTIF(BI5:BI6,"D"))*1))*CELL("contenu",$B$4),0),IFERROR((((COUNTIF(BI8:BI11,"A"))*4)+((COUNTIF(BI8:BI11,"B"))*3)+((COUNTIF(BI8:BI11,"C"))*2)+((COUNTIF(BI8:BI11,"D"))*1))*CELL("contenu",$B$7),0),IFERROR((((COUNTIF(BI13:BI13,"A"))*4)+((COUNTIF(BI13:BI13,"B"))*3)+((COUNTIF(BI13:BI13,"C"))*2)+((COUNTIF(BI13:BI13,"D"))*1))*CELL("contenu",$B$12),0),IFERROR((((COUNTIF(BI15:BI17,"A"))*4)+((COUNTIF(BI15:BI17,"B"))*3)+((COUNTIF(BI15:BI17,"C"))*2)+((COUNTIF(BI15:BI17,"D"))*1))*CELL("contenu",$B$14),0),IFERROR((((COUNTIF(BI19:BI19,"A"))*4)+((COUNTIF(BI19:BI19,"B"))*3)+((COUNTIF(BI19:BI19,"C"))*2)+((COUNTIF(BI19:BI19,"D"))*1))*CELL("contenu",$B$18),0))/IF(SUM(COUNTA(BI5:BI6)*CELL("contenu",$B$4),COUNTA(BI8:BI11)*CELL("contenu",$B$7),COUNTA(BI13:BI13)*CELL("contenu",$B$12),COUNTA(BI15:BI17)*CELL("contenu",$B$14),COUNTA(BI19:BI19)*CELL("contenu",$B$18))=0,1,SUM(COUNTA(BI5:BI6)*CELL("contenu",$B$4),COUNTA(BI8:BI11)*CELL("contenu",$B$7),COUNTA(BI13:BI13)*CELL("contenu",$B$12),COUNTA(BI15:BI17)*CELL("contenu",$B$14),COUNTA(BI19:BI19)*CELL("contenu",$B$18))))</f>
        <v/>
      </c>
      <c r="BJ20" s="176"/>
      <c r="BK20" s="175" t="str">
        <f ca="1">IF(COUNTA(BG20:BI20)-COUNTBLANK(BG20:BI20)=0,"",SUM(BG20:BI20)/(COUNTA(BG20:BI20)-COUNTBLANK(BG20:BI20)))</f>
        <v/>
      </c>
      <c r="BL20" s="182" t="str">
        <f ca="1">IF(COUNTA(BL5:BL19)=0,"",5*SUM(IFERROR((((COUNTIF(BL5:BL6,"A"))*4)+((COUNTIF(BL5:BL6,"B"))*3)+((COUNTIF(BL5:BL6,"C"))*2)+((COUNTIF(BL5:BL6,"D"))*1))*CELL("contenu",$B$4),0),IFERROR((((COUNTIF(BL8:BL11,"A"))*4)+((COUNTIF(BL8:BL11,"B"))*3)+((COUNTIF(BL8:BL11,"C"))*2)+((COUNTIF(BL8:BL11,"D"))*1))*CELL("contenu",$B$7),0),IFERROR((((COUNTIF(BL13:BL13,"A"))*4)+((COUNTIF(BL13:BL13,"B"))*3)+((COUNTIF(BL13:BL13,"C"))*2)+((COUNTIF(BL13:BL13,"D"))*1))*CELL("contenu",$B$12),0),IFERROR((((COUNTIF(BL15:BL17,"A"))*4)+((COUNTIF(BL15:BL17,"B"))*3)+((COUNTIF(BL15:BL17,"C"))*2)+((COUNTIF(BL15:BL17,"D"))*1))*CELL("contenu",$B$14),0),IFERROR((((COUNTIF(BL19:BL19,"A"))*4)+((COUNTIF(BL19:BL19,"B"))*3)+((COUNTIF(BL19:BL19,"C"))*2)+((COUNTIF(BL19:BL19,"D"))*1))*CELL("contenu",$B$18),0))/IF(SUM(COUNTA(BL5:BL6)*CELL("contenu",$B$4),COUNTA(BL8:BL11)*CELL("contenu",$B$7),COUNTA(BL13:BL13)*CELL("contenu",$B$12),COUNTA(BL15:BL17)*CELL("contenu",$B$14),COUNTA(BL19:BL19)*CELL("contenu",$B$18))=0,1,SUM(COUNTA(BL5:BL6)*CELL("contenu",$B$4),COUNTA(BL8:BL11)*CELL("contenu",$B$7),COUNTA(BL13:BL13)*CELL("contenu",$B$12),COUNTA(BL15:BL17)*CELL("contenu",$B$14),COUNTA(BL19:BL19)*CELL("contenu",$B$18))))</f>
        <v/>
      </c>
      <c r="BM20" s="183" t="str">
        <f ca="1">IF(COUNTA(BM5:BM19)=0,"",5*SUM(IFERROR((((COUNTIF(BM5:BM6,"A"))*4)+((COUNTIF(BM5:BM6,"B"))*3)+((COUNTIF(BM5:BM6,"C"))*2)+((COUNTIF(BM5:BM6,"D"))*1))*CELL("contenu",$B$4),0),IFERROR((((COUNTIF(BM8:BM11,"A"))*4)+((COUNTIF(BM8:BM11,"B"))*3)+((COUNTIF(BM8:BM11,"C"))*2)+((COUNTIF(BM8:BM11,"D"))*1))*CELL("contenu",$B$7),0),IFERROR((((COUNTIF(BM13:BM13,"A"))*4)+((COUNTIF(BM13:BM13,"B"))*3)+((COUNTIF(BM13:BM13,"C"))*2)+((COUNTIF(BM13:BM13,"D"))*1))*CELL("contenu",$B$12),0),IFERROR((((COUNTIF(BM15:BM17,"A"))*4)+((COUNTIF(BM15:BM17,"B"))*3)+((COUNTIF(BM15:BM17,"C"))*2)+((COUNTIF(BM15:BM17,"D"))*1))*CELL("contenu",$B$14),0),IFERROR((((COUNTIF(BM19:BM19,"A"))*4)+((COUNTIF(BM19:BM19,"B"))*3)+((COUNTIF(BM19:BM19,"C"))*2)+((COUNTIF(BM19:BM19,"D"))*1))*CELL("contenu",$B$18),0))/IF(SUM(COUNTA(BM5:BM6)*CELL("contenu",$B$4),COUNTA(BM8:BM11)*CELL("contenu",$B$7),COUNTA(BM13:BM13)*CELL("contenu",$B$12),COUNTA(BM15:BM17)*CELL("contenu",$B$14),COUNTA(BM19:BM19)*CELL("contenu",$B$18))=0,1,SUM(COUNTA(BM5:BM6)*CELL("contenu",$B$4),COUNTA(BM8:BM11)*CELL("contenu",$B$7),COUNTA(BM13:BM13)*CELL("contenu",$B$12),COUNTA(BM15:BM17)*CELL("contenu",$B$14),COUNTA(BM19:BM19)*CELL("contenu",$B$18))))</f>
        <v/>
      </c>
      <c r="BN20" s="184" t="str">
        <f ca="1">IF(COUNTA(BN5:BN19)=0,"",5*SUM(IFERROR((((COUNTIF(BN5:BN6,"A"))*4)+((COUNTIF(BN5:BN6,"B"))*3)+((COUNTIF(BN5:BN6,"C"))*2)+((COUNTIF(BN5:BN6,"D"))*1))*CELL("contenu",$B$4),0),IFERROR((((COUNTIF(BN8:BN11,"A"))*4)+((COUNTIF(BN8:BN11,"B"))*3)+((COUNTIF(BN8:BN11,"C"))*2)+((COUNTIF(BN8:BN11,"D"))*1))*CELL("contenu",$B$7),0),IFERROR((((COUNTIF(BN13:BN13,"A"))*4)+((COUNTIF(BN13:BN13,"B"))*3)+((COUNTIF(BN13:BN13,"C"))*2)+((COUNTIF(BN13:BN13,"D"))*1))*CELL("contenu",$B$12),0),IFERROR((((COUNTIF(BN15:BN17,"A"))*4)+((COUNTIF(BN15:BN17,"B"))*3)+((COUNTIF(BN15:BN17,"C"))*2)+((COUNTIF(BN15:BN17,"D"))*1))*CELL("contenu",$B$14),0),IFERROR((((COUNTIF(BN19:BN19,"A"))*4)+((COUNTIF(BN19:BN19,"B"))*3)+((COUNTIF(BN19:BN19,"C"))*2)+((COUNTIF(BN19:BN19,"D"))*1))*CELL("contenu",$B$18),0))/IF(SUM(COUNTA(BN5:BN6)*CELL("contenu",$B$4),COUNTA(BN8:BN11)*CELL("contenu",$B$7),COUNTA(BN13:BN13)*CELL("contenu",$B$12),COUNTA(BN15:BN17)*CELL("contenu",$B$14),COUNTA(BN19:BN19)*CELL("contenu",$B$18))=0,1,SUM(COUNTA(BN5:BN6)*CELL("contenu",$B$4),COUNTA(BN8:BN11)*CELL("contenu",$B$7),COUNTA(BN13:BN13)*CELL("contenu",$B$12),COUNTA(BN15:BN17)*CELL("contenu",$B$14),COUNTA(BN19:BN19)*CELL("contenu",$B$18))))</f>
        <v/>
      </c>
      <c r="BO20" s="176"/>
      <c r="BP20" s="174" t="str">
        <f ca="1">IF(COUNTA(BL20:BN20)-COUNTBLANK(BL20:BN20)=0,"",SUM(BL20:BN20)/(COUNTA(BL20:BN20)-COUNTBLANK(BL20:BN20)))</f>
        <v/>
      </c>
      <c r="BQ20" s="103"/>
      <c r="BR20" s="141"/>
      <c r="BS20" s="167">
        <f ca="1">IF(COUNTA(BS5:BS19)=0,"",5*SUM(IFERROR((((COUNTIF(BS5:BS6,"A"))*4)+((COUNTIF(BS5:BS6,"B"))*3)+((COUNTIF(BS5:BS6,"C"))*2)+((COUNTIF(BS5:BS6,"D"))*1))*CELL("contenu",$B$4),0),IFERROR((((COUNTIF(BS8:BS11,"A"))*4)+((COUNTIF(BS8:BS11,"B"))*3)+((COUNTIF(BS8:BS11,"C"))*2)+((COUNTIF(BS8:BS11,"D"))*1))*CELL("contenu",$B$7),0),IFERROR((((COUNTIF(BS13:BS13,"A"))*4)+((COUNTIF(BS13:BS13,"B"))*3)+((COUNTIF(BS13:BS13,"C"))*2)+((COUNTIF(BS13:BS13,"D"))*1))*CELL("contenu",$B$12),0),IFERROR((((COUNTIF(BS15:BS17,"A"))*4)+((COUNTIF(BS15:BS17,"B"))*3)+((COUNTIF(BS15:BS17,"C"))*2)+((COUNTIF(BS15:BS17,"D"))*1))*CELL("contenu",$B$14),0),IFERROR((((COUNTIF(BS19:BS19,"A"))*4)+((COUNTIF(BS19:BS19,"B"))*3)+((COUNTIF(BS19:BS19,"C"))*2)+((COUNTIF(BS19:BS19,"D"))*1))*CELL("contenu",$B$18),0))/IF(SUM(COUNTA(BS5:BS6)*CELL("contenu",$B$4),COUNTA(BS8:BS11)*CELL("contenu",$B$7),COUNTA(BS13:BS13)*CELL("contenu",$B$12),COUNTA(BS15:BS17)*CELL("contenu",$B$14),COUNTA(BS19:BS19)*CELL("contenu",$B$18))=0,1,SUM(COUNTA(BS5:BS6)*CELL("contenu",$B$4),COUNTA(BS8:BS11)*CELL("contenu",$B$7),COUNTA(BS13:BS13)*CELL("contenu",$B$12),COUNTA(BS15:BS17)*CELL("contenu",$B$14),COUNTA(BS19:BS19)*CELL("contenu",$B$18))))</f>
        <v>18.333333333333332</v>
      </c>
      <c r="BT20" s="168" t="str">
        <f ca="1">IF(COUNTA(BT5:BT19)=0,"",5*SUM(IFERROR((((COUNTIF(BT5:BT6,"A"))*4)+((COUNTIF(BT5:BT6,"B"))*3)+((COUNTIF(BT5:BT6,"C"))*2)+((COUNTIF(BT5:BT6,"D"))*1))*CELL("contenu",$B$4),0),IFERROR((((COUNTIF(BT8:BT11,"A"))*4)+((COUNTIF(BT8:BT11,"B"))*3)+((COUNTIF(BT8:BT11,"C"))*2)+((COUNTIF(BT8:BT11,"D"))*1))*CELL("contenu",$B$7),0),IFERROR((((COUNTIF(BT13:BT13,"A"))*4)+((COUNTIF(BT13:BT13,"B"))*3)+((COUNTIF(BT13:BT13,"C"))*2)+((COUNTIF(BT13:BT13,"D"))*1))*CELL("contenu",$B$12),0),IFERROR((((COUNTIF(BT15:BT17,"A"))*4)+((COUNTIF(BT15:BT17,"B"))*3)+((COUNTIF(BT15:BT17,"C"))*2)+((COUNTIF(BT15:BT17,"D"))*1))*CELL("contenu",$B$14),0),IFERROR((((COUNTIF(BT19:BT19,"A"))*4)+((COUNTIF(BT19:BT19,"B"))*3)+((COUNTIF(BT19:BT19,"C"))*2)+((COUNTIF(BT19:BT19,"D"))*1))*CELL("contenu",$B$18),0))/IF(SUM(COUNTA(BT5:BT6)*CELL("contenu",$B$4),COUNTA(BT8:BT11)*CELL("contenu",$B$7),COUNTA(BT13:BT13)*CELL("contenu",$B$12),COUNTA(BT15:BT17)*CELL("contenu",$B$14),COUNTA(BT19:BT19)*CELL("contenu",$B$18))=0,1,SUM(COUNTA(BT5:BT6)*CELL("contenu",$B$4),COUNTA(BT8:BT11)*CELL("contenu",$B$7),COUNTA(BT13:BT13)*CELL("contenu",$B$12),COUNTA(BT15:BT17)*CELL("contenu",$B$14),COUNTA(BT19:BT19)*CELL("contenu",$B$18))))</f>
        <v/>
      </c>
      <c r="BU20" s="169" t="str">
        <f ca="1">IF(COUNTA(BU5:BU19)=0,"",5*SUM(IFERROR((((COUNTIF(BU5:BU6,"A"))*4)+((COUNTIF(BU5:BU6,"B"))*3)+((COUNTIF(BU5:BU6,"C"))*2)+((COUNTIF(BU5:BU6,"D"))*1))*CELL("contenu",$B$4),0),IFERROR((((COUNTIF(BU8:BU11,"A"))*4)+((COUNTIF(BU8:BU11,"B"))*3)+((COUNTIF(BU8:BU11,"C"))*2)+((COUNTIF(BU8:BU11,"D"))*1))*CELL("contenu",$B$7),0),IFERROR((((COUNTIF(BU13:BU13,"A"))*4)+((COUNTIF(BU13:BU13,"B"))*3)+((COUNTIF(BU13:BU13,"C"))*2)+((COUNTIF(BU13:BU13,"D"))*1))*CELL("contenu",$B$12),0),IFERROR((((COUNTIF(BU15:BU17,"A"))*4)+((COUNTIF(BU15:BU17,"B"))*3)+((COUNTIF(BU15:BU17,"C"))*2)+((COUNTIF(BU15:BU17,"D"))*1))*CELL("contenu",$B$14),0),IFERROR((((COUNTIF(BU19:BU19,"A"))*4)+((COUNTIF(BU19:BU19,"B"))*3)+((COUNTIF(BU19:BU19,"C"))*2)+((COUNTIF(BU19:BU19,"D"))*1))*CELL("contenu",$B$18),0))/IF(SUM(COUNTA(BU5:BU6)*CELL("contenu",$B$4),COUNTA(BU8:BU11)*CELL("contenu",$B$7),COUNTA(BU13:BU13)*CELL("contenu",$B$12),COUNTA(BU15:BU17)*CELL("contenu",$B$14),COUNTA(BU19:BU19)*CELL("contenu",$B$18))=0,1,SUM(COUNTA(BU5:BU6)*CELL("contenu",$B$4),COUNTA(BU8:BU11)*CELL("contenu",$B$7),COUNTA(BU13:BU13)*CELL("contenu",$B$12),COUNTA(BU15:BU17)*CELL("contenu",$B$14),COUNTA(BU19:BU19)*CELL("contenu",$B$18))))</f>
        <v/>
      </c>
      <c r="BV20" s="116"/>
      <c r="BW20" s="192">
        <f ca="1">IF(COUNTA(BS20:BU20)-COUNTBLANK(BS20:BU20)=0,"",SUM(BS20:BU20)/(COUNTA(BS20:BU20)-COUNTBLANK(BS20:BU20)))</f>
        <v>18.333333333333332</v>
      </c>
      <c r="BX20" s="182" t="str">
        <f ca="1">IF(COUNTA(BX5:BX19)=0,"",5*SUM(IFERROR((((COUNTIF(BX5:BX6,"A"))*4)+((COUNTIF(BX5:BX6,"B"))*3)+((COUNTIF(BX5:BX6,"C"))*2)+((COUNTIF(BX5:BX6,"D"))*1))*CELL("contenu",$B$4),0),IFERROR((((COUNTIF(BX8:BX11,"A"))*4)+((COUNTIF(BX8:BX11,"B"))*3)+((COUNTIF(BX8:BX11,"C"))*2)+((COUNTIF(BX8:BX11,"D"))*1))*CELL("contenu",$B$7),0),IFERROR((((COUNTIF(BX13:BX13,"A"))*4)+((COUNTIF(BX13:BX13,"B"))*3)+((COUNTIF(BX13:BX13,"C"))*2)+((COUNTIF(BX13:BX13,"D"))*1))*CELL("contenu",$B$12),0),IFERROR((((COUNTIF(BX15:BX17,"A"))*4)+((COUNTIF(BX15:BX17,"B"))*3)+((COUNTIF(BX15:BX17,"C"))*2)+((COUNTIF(BX15:BX17,"D"))*1))*CELL("contenu",$B$14),0),IFERROR((((COUNTIF(BX19:BX19,"A"))*4)+((COUNTIF(BX19:BX19,"B"))*3)+((COUNTIF(BX19:BX19,"C"))*2)+((COUNTIF(BX19:BX19,"D"))*1))*CELL("contenu",$B$18),0))/IF(SUM(COUNTA(BX5:BX6)*CELL("contenu",$B$4),COUNTA(BX8:BX11)*CELL("contenu",$B$7),COUNTA(BX13:BX13)*CELL("contenu",$B$12),COUNTA(BX15:BX17)*CELL("contenu",$B$14),COUNTA(BX19:BX19)*CELL("contenu",$B$18))=0,1,SUM(COUNTA(BX5:BX6)*CELL("contenu",$B$4),COUNTA(BX8:BX11)*CELL("contenu",$B$7),COUNTA(BX13:BX13)*CELL("contenu",$B$12),COUNTA(BX15:BX17)*CELL("contenu",$B$14),COUNTA(BX19:BX19)*CELL("contenu",$B$18))))</f>
        <v/>
      </c>
      <c r="BY20" s="183" t="str">
        <f ca="1">IF(COUNTA(BY5:BY19)=0,"",5*SUM(IFERROR((((COUNTIF(BY5:BY6,"A"))*4)+((COUNTIF(BY5:BY6,"B"))*3)+((COUNTIF(BY5:BY6,"C"))*2)+((COUNTIF(BY5:BY6,"D"))*1))*CELL("contenu",$B$4),0),IFERROR((((COUNTIF(BY8:BY11,"A"))*4)+((COUNTIF(BY8:BY11,"B"))*3)+((COUNTIF(BY8:BY11,"C"))*2)+((COUNTIF(BY8:BY11,"D"))*1))*CELL("contenu",$B$7),0),IFERROR((((COUNTIF(BY13:BY13,"A"))*4)+((COUNTIF(BY13:BY13,"B"))*3)+((COUNTIF(BY13:BY13,"C"))*2)+((COUNTIF(BY13:BY13,"D"))*1))*CELL("contenu",$B$12),0),IFERROR((((COUNTIF(BY15:BY17,"A"))*4)+((COUNTIF(BY15:BY17,"B"))*3)+((COUNTIF(BY15:BY17,"C"))*2)+((COUNTIF(BY15:BY17,"D"))*1))*CELL("contenu",$B$14),0),IFERROR((((COUNTIF(BY19:BY19,"A"))*4)+((COUNTIF(BY19:BY19,"B"))*3)+((COUNTIF(BY19:BY19,"C"))*2)+((COUNTIF(BY19:BY19,"D"))*1))*CELL("contenu",$B$18),0))/IF(SUM(COUNTA(BY5:BY6)*CELL("contenu",$B$4),COUNTA(BY8:BY11)*CELL("contenu",$B$7),COUNTA(BY13:BY13)*CELL("contenu",$B$12),COUNTA(BY15:BY17)*CELL("contenu",$B$14),COUNTA(BY19:BY19)*CELL("contenu",$B$18))=0,1,SUM(COUNTA(BY5:BY6)*CELL("contenu",$B$4),COUNTA(BY8:BY11)*CELL("contenu",$B$7),COUNTA(BY13:BY13)*CELL("contenu",$B$12),COUNTA(BY15:BY17)*CELL("contenu",$B$14),COUNTA(BY19:BY19)*CELL("contenu",$B$18))))</f>
        <v/>
      </c>
      <c r="BZ20" s="184" t="str">
        <f ca="1">IF(COUNTA(BZ5:BZ19)=0,"",5*SUM(IFERROR((((COUNTIF(BZ5:BZ6,"A"))*4)+((COUNTIF(BZ5:BZ6,"B"))*3)+((COUNTIF(BZ5:BZ6,"C"))*2)+((COUNTIF(BZ5:BZ6,"D"))*1))*CELL("contenu",$B$4),0),IFERROR((((COUNTIF(BZ8:BZ11,"A"))*4)+((COUNTIF(BZ8:BZ11,"B"))*3)+((COUNTIF(BZ8:BZ11,"C"))*2)+((COUNTIF(BZ8:BZ11,"D"))*1))*CELL("contenu",$B$7),0),IFERROR((((COUNTIF(BZ13:BZ13,"A"))*4)+((COUNTIF(BZ13:BZ13,"B"))*3)+((COUNTIF(BZ13:BZ13,"C"))*2)+((COUNTIF(BZ13:BZ13,"D"))*1))*CELL("contenu",$B$12),0),IFERROR((((COUNTIF(BZ15:BZ17,"A"))*4)+((COUNTIF(BZ15:BZ17,"B"))*3)+((COUNTIF(BZ15:BZ17,"C"))*2)+((COUNTIF(BZ15:BZ17,"D"))*1))*CELL("contenu",$B$14),0),IFERROR((((COUNTIF(BZ19:BZ19,"A"))*4)+((COUNTIF(BZ19:BZ19,"B"))*3)+((COUNTIF(BZ19:BZ19,"C"))*2)+((COUNTIF(BZ19:BZ19,"D"))*1))*CELL("contenu",$B$18),0))/IF(SUM(COUNTA(BZ5:BZ6)*CELL("contenu",$B$4),COUNTA(BZ8:BZ11)*CELL("contenu",$B$7),COUNTA(BZ13:BZ13)*CELL("contenu",$B$12),COUNTA(BZ15:BZ17)*CELL("contenu",$B$14),COUNTA(BZ19:BZ19)*CELL("contenu",$B$18))=0,1,SUM(COUNTA(BZ5:BZ6)*CELL("contenu",$B$4),COUNTA(BZ8:BZ11)*CELL("contenu",$B$7),COUNTA(BZ13:BZ13)*CELL("contenu",$B$12),COUNTA(BZ15:BZ17)*CELL("contenu",$B$14),COUNTA(BZ19:BZ19)*CELL("contenu",$B$18))))</f>
        <v/>
      </c>
      <c r="CA20" s="176"/>
      <c r="CB20" s="175" t="str">
        <f ca="1">IF(COUNTA(BX20:BZ20)-COUNTBLANK(BX20:BZ20)=0,"",SUM(BX20:BZ20)/(COUNTA(BX20:BZ20)-COUNTBLANK(BX20:BZ20)))</f>
        <v/>
      </c>
      <c r="CC20" s="182" t="str">
        <f ca="1">IF(COUNTA(CC5:CC19)=0,"",5*SUM(IFERROR((((COUNTIF(CC5:CC6,"A"))*4)+((COUNTIF(CC5:CC6,"B"))*3)+((COUNTIF(CC5:CC6,"C"))*2)+((COUNTIF(CC5:CC6,"D"))*1))*CELL("contenu",$B$4),0),IFERROR((((COUNTIF(CC8:CC11,"A"))*4)+((COUNTIF(CC8:CC11,"B"))*3)+((COUNTIF(CC8:CC11,"C"))*2)+((COUNTIF(CC8:CC11,"D"))*1))*CELL("contenu",$B$7),0),IFERROR((((COUNTIF(CC13:CC13,"A"))*4)+((COUNTIF(CC13:CC13,"B"))*3)+((COUNTIF(CC13:CC13,"C"))*2)+((COUNTIF(CC13:CC13,"D"))*1))*CELL("contenu",$B$12),0),IFERROR((((COUNTIF(CC15:CC17,"A"))*4)+((COUNTIF(CC15:CC17,"B"))*3)+((COUNTIF(CC15:CC17,"C"))*2)+((COUNTIF(CC15:CC17,"D"))*1))*CELL("contenu",$B$14),0),IFERROR((((COUNTIF(CC19:CC19,"A"))*4)+((COUNTIF(CC19:CC19,"B"))*3)+((COUNTIF(CC19:CC19,"C"))*2)+((COUNTIF(CC19:CC19,"D"))*1))*CELL("contenu",$B$18),0))/IF(SUM(COUNTA(CC5:CC6)*CELL("contenu",$B$4),COUNTA(CC8:CC11)*CELL("contenu",$B$7),COUNTA(CC13:CC13)*CELL("contenu",$B$12),COUNTA(CC15:CC17)*CELL("contenu",$B$14),COUNTA(CC19:CC19)*CELL("contenu",$B$18))=0,1,SUM(COUNTA(CC5:CC6)*CELL("contenu",$B$4),COUNTA(CC8:CC11)*CELL("contenu",$B$7),COUNTA(CC13:CC13)*CELL("contenu",$B$12),COUNTA(CC15:CC17)*CELL("contenu",$B$14),COUNTA(CC19:CC19)*CELL("contenu",$B$18))))</f>
        <v/>
      </c>
      <c r="CD20" s="183" t="str">
        <f ca="1">IF(COUNTA(CD5:CD19)=0,"",5*SUM(IFERROR((((COUNTIF(CD5:CD6,"A"))*4)+((COUNTIF(CD5:CD6,"B"))*3)+((COUNTIF(CD5:CD6,"C"))*2)+((COUNTIF(CD5:CD6,"D"))*1))*CELL("contenu",$B$4),0),IFERROR((((COUNTIF(CD8:CD11,"A"))*4)+((COUNTIF(CD8:CD11,"B"))*3)+((COUNTIF(CD8:CD11,"C"))*2)+((COUNTIF(CD8:CD11,"D"))*1))*CELL("contenu",$B$7),0),IFERROR((((COUNTIF(CD13:CD13,"A"))*4)+((COUNTIF(CD13:CD13,"B"))*3)+((COUNTIF(CD13:CD13,"C"))*2)+((COUNTIF(CD13:CD13,"D"))*1))*CELL("contenu",$B$12),0),IFERROR((((COUNTIF(CD15:CD17,"A"))*4)+((COUNTIF(CD15:CD17,"B"))*3)+((COUNTIF(CD15:CD17,"C"))*2)+((COUNTIF(CD15:CD17,"D"))*1))*CELL("contenu",$B$14),0),IFERROR((((COUNTIF(CD19:CD19,"A"))*4)+((COUNTIF(CD19:CD19,"B"))*3)+((COUNTIF(CD19:CD19,"C"))*2)+((COUNTIF(CD19:CD19,"D"))*1))*CELL("contenu",$B$18),0))/IF(SUM(COUNTA(CD5:CD6)*CELL("contenu",$B$4),COUNTA(CD8:CD11)*CELL("contenu",$B$7),COUNTA(CD13:CD13)*CELL("contenu",$B$12),COUNTA(CD15:CD17)*CELL("contenu",$B$14),COUNTA(CD19:CD19)*CELL("contenu",$B$18))=0,1,SUM(COUNTA(CD5:CD6)*CELL("contenu",$B$4),COUNTA(CD8:CD11)*CELL("contenu",$B$7),COUNTA(CD13:CD13)*CELL("contenu",$B$12),COUNTA(CD15:CD17)*CELL("contenu",$B$14),COUNTA(CD19:CD19)*CELL("contenu",$B$18))))</f>
        <v/>
      </c>
      <c r="CE20" s="184" t="str">
        <f ca="1">IF(COUNTA(CE5:CE19)=0,"",5*SUM(IFERROR((((COUNTIF(CE5:CE6,"A"))*4)+((COUNTIF(CE5:CE6,"B"))*3)+((COUNTIF(CE5:CE6,"C"))*2)+((COUNTIF(CE5:CE6,"D"))*1))*CELL("contenu",$B$4),0),IFERROR((((COUNTIF(CE8:CE11,"A"))*4)+((COUNTIF(CE8:CE11,"B"))*3)+((COUNTIF(CE8:CE11,"C"))*2)+((COUNTIF(CE8:CE11,"D"))*1))*CELL("contenu",$B$7),0),IFERROR((((COUNTIF(CE13:CE13,"A"))*4)+((COUNTIF(CE13:CE13,"B"))*3)+((COUNTIF(CE13:CE13,"C"))*2)+((COUNTIF(CE13:CE13,"D"))*1))*CELL("contenu",$B$12),0),IFERROR((((COUNTIF(CE15:CE17,"A"))*4)+((COUNTIF(CE15:CE17,"B"))*3)+((COUNTIF(CE15:CE17,"C"))*2)+((COUNTIF(CE15:CE17,"D"))*1))*CELL("contenu",$B$14),0),IFERROR((((COUNTIF(CE19:CE19,"A"))*4)+((COUNTIF(CE19:CE19,"B"))*3)+((COUNTIF(CE19:CE19,"C"))*2)+((COUNTIF(CE19:CE19,"D"))*1))*CELL("contenu",$B$18),0))/IF(SUM(COUNTA(CE5:CE6)*CELL("contenu",$B$4),COUNTA(CE8:CE11)*CELL("contenu",$B$7),COUNTA(CE13:CE13)*CELL("contenu",$B$12),COUNTA(CE15:CE17)*CELL("contenu",$B$14),COUNTA(CE19:CE19)*CELL("contenu",$B$18))=0,1,SUM(COUNTA(CE5:CE6)*CELL("contenu",$B$4),COUNTA(CE8:CE11)*CELL("contenu",$B$7),COUNTA(CE13:CE13)*CELL("contenu",$B$12),COUNTA(CE15:CE17)*CELL("contenu",$B$14),COUNTA(CE19:CE19)*CELL("contenu",$B$18))))</f>
        <v/>
      </c>
      <c r="CF20" s="176"/>
      <c r="CG20" s="174" t="str">
        <f ca="1">IF(COUNTA(CC20:CE20)-COUNTBLANK(CC20:CE20)=0,"",SUM(CC20:CE20)/(COUNTA(CC20:CE20)-COUNTBLANK(CC20:CE20)))</f>
        <v/>
      </c>
      <c r="CH20" s="103"/>
      <c r="CI20" s="141"/>
      <c r="CJ20" s="167" t="str">
        <f ca="1">IF(COUNTA(CJ5:CJ19)=0,"",5*SUM(IFERROR((((COUNTIF(CJ5:CJ6,"A"))*4)+((COUNTIF(CJ5:CJ6,"B"))*3)+((COUNTIF(CJ5:CJ6,"C"))*2)+((COUNTIF(CJ5:CJ6,"D"))*1))*CELL("contenu",$B$4),0),IFERROR((((COUNTIF(CJ8:CJ11,"A"))*4)+((COUNTIF(CJ8:CJ11,"B"))*3)+((COUNTIF(CJ8:CJ11,"C"))*2)+((COUNTIF(CJ8:CJ11,"D"))*1))*CELL("contenu",$B$7),0),IFERROR((((COUNTIF(CJ13:CJ13,"A"))*4)+((COUNTIF(CJ13:CJ13,"B"))*3)+((COUNTIF(CJ13:CJ13,"C"))*2)+((COUNTIF(CJ13:CJ13,"D"))*1))*CELL("contenu",$B$12),0),IFERROR((((COUNTIF(CJ15:CJ17,"A"))*4)+((COUNTIF(CJ15:CJ17,"B"))*3)+((COUNTIF(CJ15:CJ17,"C"))*2)+((COUNTIF(CJ15:CJ17,"D"))*1))*CELL("contenu",$B$14),0),IFERROR((((COUNTIF(CJ19:CJ19,"A"))*4)+((COUNTIF(CJ19:CJ19,"B"))*3)+((COUNTIF(CJ19:CJ19,"C"))*2)+((COUNTIF(CJ19:CJ19,"D"))*1))*CELL("contenu",$B$18),0))/IF(SUM(COUNTA(CJ5:CJ6)*CELL("contenu",$B$4),COUNTA(CJ8:CJ11)*CELL("contenu",$B$7),COUNTA(CJ13:CJ13)*CELL("contenu",$B$12),COUNTA(CJ15:CJ17)*CELL("contenu",$B$14),COUNTA(CJ19:CJ19)*CELL("contenu",$B$18))=0,1,SUM(COUNTA(CJ5:CJ6)*CELL("contenu",$B$4),COUNTA(CJ8:CJ11)*CELL("contenu",$B$7),COUNTA(CJ13:CJ13)*CELL("contenu",$B$12),COUNTA(CJ15:CJ17)*CELL("contenu",$B$14),COUNTA(CJ19:CJ19)*CELL("contenu",$B$18))))</f>
        <v/>
      </c>
      <c r="CK20" s="168" t="str">
        <f ca="1">IF(COUNTA(CK5:CK19)=0,"",5*SUM(IFERROR((((COUNTIF(CK5:CK6,"A"))*4)+((COUNTIF(CK5:CK6,"B"))*3)+((COUNTIF(CK5:CK6,"C"))*2)+((COUNTIF(CK5:CK6,"D"))*1))*CELL("contenu",$B$4),0),IFERROR((((COUNTIF(CK8:CK11,"A"))*4)+((COUNTIF(CK8:CK11,"B"))*3)+((COUNTIF(CK8:CK11,"C"))*2)+((COUNTIF(CK8:CK11,"D"))*1))*CELL("contenu",$B$7),0),IFERROR((((COUNTIF(CK13:CK13,"A"))*4)+((COUNTIF(CK13:CK13,"B"))*3)+((COUNTIF(CK13:CK13,"C"))*2)+((COUNTIF(CK13:CK13,"D"))*1))*CELL("contenu",$B$12),0),IFERROR((((COUNTIF(CK15:CK17,"A"))*4)+((COUNTIF(CK15:CK17,"B"))*3)+((COUNTIF(CK15:CK17,"C"))*2)+((COUNTIF(CK15:CK17,"D"))*1))*CELL("contenu",$B$14),0),IFERROR((((COUNTIF(CK19:CK19,"A"))*4)+((COUNTIF(CK19:CK19,"B"))*3)+((COUNTIF(CK19:CK19,"C"))*2)+((COUNTIF(CK19:CK19,"D"))*1))*CELL("contenu",$B$18),0))/IF(SUM(COUNTA(CK5:CK6)*CELL("contenu",$B$4),COUNTA(CK8:CK11)*CELL("contenu",$B$7),COUNTA(CK13:CK13)*CELL("contenu",$B$12),COUNTA(CK15:CK17)*CELL("contenu",$B$14),COUNTA(CK19:CK19)*CELL("contenu",$B$18))=0,1,SUM(COUNTA(CK5:CK6)*CELL("contenu",$B$4),COUNTA(CK8:CK11)*CELL("contenu",$B$7),COUNTA(CK13:CK13)*CELL("contenu",$B$12),COUNTA(CK15:CK17)*CELL("contenu",$B$14),COUNTA(CK19:CK19)*CELL("contenu",$B$18))))</f>
        <v/>
      </c>
      <c r="CL20" s="169" t="str">
        <f ca="1">IF(COUNTA(CL5:CL19)=0,"",5*SUM(IFERROR((((COUNTIF(CL5:CL6,"A"))*4)+((COUNTIF(CL5:CL6,"B"))*3)+((COUNTIF(CL5:CL6,"C"))*2)+((COUNTIF(CL5:CL6,"D"))*1))*CELL("contenu",$B$4),0),IFERROR((((COUNTIF(CL8:CL11,"A"))*4)+((COUNTIF(CL8:CL11,"B"))*3)+((COUNTIF(CL8:CL11,"C"))*2)+((COUNTIF(CL8:CL11,"D"))*1))*CELL("contenu",$B$7),0),IFERROR((((COUNTIF(CL13:CL13,"A"))*4)+((COUNTIF(CL13:CL13,"B"))*3)+((COUNTIF(CL13:CL13,"C"))*2)+((COUNTIF(CL13:CL13,"D"))*1))*CELL("contenu",$B$12),0),IFERROR((((COUNTIF(CL15:CL17,"A"))*4)+((COUNTIF(CL15:CL17,"B"))*3)+((COUNTIF(CL15:CL17,"C"))*2)+((COUNTIF(CL15:CL17,"D"))*1))*CELL("contenu",$B$14),0),IFERROR((((COUNTIF(CL19:CL19,"A"))*4)+((COUNTIF(CL19:CL19,"B"))*3)+((COUNTIF(CL19:CL19,"C"))*2)+((COUNTIF(CL19:CL19,"D"))*1))*CELL("contenu",$B$18),0))/IF(SUM(COUNTA(CL5:CL6)*CELL("contenu",$B$4),COUNTA(CL8:CL11)*CELL("contenu",$B$7),COUNTA(CL13:CL13)*CELL("contenu",$B$12),COUNTA(CL15:CL17)*CELL("contenu",$B$14),COUNTA(CL19:CL19)*CELL("contenu",$B$18))=0,1,SUM(COUNTA(CL5:CL6)*CELL("contenu",$B$4),COUNTA(CL8:CL11)*CELL("contenu",$B$7),COUNTA(CL13:CL13)*CELL("contenu",$B$12),COUNTA(CL15:CL17)*CELL("contenu",$B$14),COUNTA(CL19:CL19)*CELL("contenu",$B$18))))</f>
        <v/>
      </c>
      <c r="CM20" s="116"/>
      <c r="CN20" s="192" t="str">
        <f ca="1">IF(COUNTA(CJ20:CL20)-COUNTBLANK(CJ20:CL20)=0,"",SUM(CJ20:CL20)/(COUNTA(CJ20:CL20)-COUNTBLANK(CJ20:CL20)))</f>
        <v/>
      </c>
      <c r="CO20" s="182" t="str">
        <f ca="1">IF(COUNTA(CO5:CO19)=0,"",5*SUM(IFERROR((((COUNTIF(CO5:CO6,"A"))*4)+((COUNTIF(CO5:CO6,"B"))*3)+((COUNTIF(CO5:CO6,"C"))*2)+((COUNTIF(CO5:CO6,"D"))*1))*CELL("contenu",$B$4),0),IFERROR((((COUNTIF(CO8:CO11,"A"))*4)+((COUNTIF(CO8:CO11,"B"))*3)+((COUNTIF(CO8:CO11,"C"))*2)+((COUNTIF(CO8:CO11,"D"))*1))*CELL("contenu",$B$7),0),IFERROR((((COUNTIF(CO13:CO13,"A"))*4)+((COUNTIF(CO13:CO13,"B"))*3)+((COUNTIF(CO13:CO13,"C"))*2)+((COUNTIF(CO13:CO13,"D"))*1))*CELL("contenu",$B$12),0),IFERROR((((COUNTIF(CO15:CO17,"A"))*4)+((COUNTIF(CO15:CO17,"B"))*3)+((COUNTIF(CO15:CO17,"C"))*2)+((COUNTIF(CO15:CO17,"D"))*1))*CELL("contenu",$B$14),0),IFERROR((((COUNTIF(CO19:CO19,"A"))*4)+((COUNTIF(CO19:CO19,"B"))*3)+((COUNTIF(CO19:CO19,"C"))*2)+((COUNTIF(CO19:CO19,"D"))*1))*CELL("contenu",$B$18),0))/IF(SUM(COUNTA(CO5:CO6)*CELL("contenu",$B$4),COUNTA(CO8:CO11)*CELL("contenu",$B$7),COUNTA(CO13:CO13)*CELL("contenu",$B$12),COUNTA(CO15:CO17)*CELL("contenu",$B$14),COUNTA(CO19:CO19)*CELL("contenu",$B$18))=0,1,SUM(COUNTA(CO5:CO6)*CELL("contenu",$B$4),COUNTA(CO8:CO11)*CELL("contenu",$B$7),COUNTA(CO13:CO13)*CELL("contenu",$B$12),COUNTA(CO15:CO17)*CELL("contenu",$B$14),COUNTA(CO19:CO19)*CELL("contenu",$B$18))))</f>
        <v/>
      </c>
      <c r="CP20" s="183" t="str">
        <f ca="1">IF(COUNTA(CP5:CP19)=0,"",5*SUM(IFERROR((((COUNTIF(CP5:CP6,"A"))*4)+((COUNTIF(CP5:CP6,"B"))*3)+((COUNTIF(CP5:CP6,"C"))*2)+((COUNTIF(CP5:CP6,"D"))*1))*CELL("contenu",$B$4),0),IFERROR((((COUNTIF(CP8:CP11,"A"))*4)+((COUNTIF(CP8:CP11,"B"))*3)+((COUNTIF(CP8:CP11,"C"))*2)+((COUNTIF(CP8:CP11,"D"))*1))*CELL("contenu",$B$7),0),IFERROR((((COUNTIF(CP13:CP13,"A"))*4)+((COUNTIF(CP13:CP13,"B"))*3)+((COUNTIF(CP13:CP13,"C"))*2)+((COUNTIF(CP13:CP13,"D"))*1))*CELL("contenu",$B$12),0),IFERROR((((COUNTIF(CP15:CP17,"A"))*4)+((COUNTIF(CP15:CP17,"B"))*3)+((COUNTIF(CP15:CP17,"C"))*2)+((COUNTIF(CP15:CP17,"D"))*1))*CELL("contenu",$B$14),0),IFERROR((((COUNTIF(CP19:CP19,"A"))*4)+((COUNTIF(CP19:CP19,"B"))*3)+((COUNTIF(CP19:CP19,"C"))*2)+((COUNTIF(CP19:CP19,"D"))*1))*CELL("contenu",$B$18),0))/IF(SUM(COUNTA(CP5:CP6)*CELL("contenu",$B$4),COUNTA(CP8:CP11)*CELL("contenu",$B$7),COUNTA(CP13:CP13)*CELL("contenu",$B$12),COUNTA(CP15:CP17)*CELL("contenu",$B$14),COUNTA(CP19:CP19)*CELL("contenu",$B$18))=0,1,SUM(COUNTA(CP5:CP6)*CELL("contenu",$B$4),COUNTA(CP8:CP11)*CELL("contenu",$B$7),COUNTA(CP13:CP13)*CELL("contenu",$B$12),COUNTA(CP15:CP17)*CELL("contenu",$B$14),COUNTA(CP19:CP19)*CELL("contenu",$B$18))))</f>
        <v/>
      </c>
      <c r="CQ20" s="184" t="str">
        <f ca="1">IF(COUNTA(CQ5:CQ19)=0,"",5*SUM(IFERROR((((COUNTIF(CQ5:CQ6,"A"))*4)+((COUNTIF(CQ5:CQ6,"B"))*3)+((COUNTIF(CQ5:CQ6,"C"))*2)+((COUNTIF(CQ5:CQ6,"D"))*1))*CELL("contenu",$B$4),0),IFERROR((((COUNTIF(CQ8:CQ11,"A"))*4)+((COUNTIF(CQ8:CQ11,"B"))*3)+((COUNTIF(CQ8:CQ11,"C"))*2)+((COUNTIF(CQ8:CQ11,"D"))*1))*CELL("contenu",$B$7),0),IFERROR((((COUNTIF(CQ13:CQ13,"A"))*4)+((COUNTIF(CQ13:CQ13,"B"))*3)+((COUNTIF(CQ13:CQ13,"C"))*2)+((COUNTIF(CQ13:CQ13,"D"))*1))*CELL("contenu",$B$12),0),IFERROR((((COUNTIF(CQ15:CQ17,"A"))*4)+((COUNTIF(CQ15:CQ17,"B"))*3)+((COUNTIF(CQ15:CQ17,"C"))*2)+((COUNTIF(CQ15:CQ17,"D"))*1))*CELL("contenu",$B$14),0),IFERROR((((COUNTIF(CQ19:CQ19,"A"))*4)+((COUNTIF(CQ19:CQ19,"B"))*3)+((COUNTIF(CQ19:CQ19,"C"))*2)+((COUNTIF(CQ19:CQ19,"D"))*1))*CELL("contenu",$B$18),0))/IF(SUM(COUNTA(CQ5:CQ6)*CELL("contenu",$B$4),COUNTA(CQ8:CQ11)*CELL("contenu",$B$7),COUNTA(CQ13:CQ13)*CELL("contenu",$B$12),COUNTA(CQ15:CQ17)*CELL("contenu",$B$14),COUNTA(CQ19:CQ19)*CELL("contenu",$B$18))=0,1,SUM(COUNTA(CQ5:CQ6)*CELL("contenu",$B$4),COUNTA(CQ8:CQ11)*CELL("contenu",$B$7),COUNTA(CQ13:CQ13)*CELL("contenu",$B$12),COUNTA(CQ15:CQ17)*CELL("contenu",$B$14),COUNTA(CQ19:CQ19)*CELL("contenu",$B$18))))</f>
        <v/>
      </c>
      <c r="CR20" s="176"/>
      <c r="CS20" s="175" t="str">
        <f ca="1">IF(COUNTA(CO20:CQ20)-COUNTBLANK(CO20:CQ20)=0,"",SUM(CO20:CQ20)/(COUNTA(CO20:CQ20)-COUNTBLANK(CO20:CQ20)))</f>
        <v/>
      </c>
      <c r="CT20" s="182" t="str">
        <f ca="1">IF(COUNTA(CT5:CT19)=0,"",5*SUM(IFERROR((((COUNTIF(CT5:CT6,"A"))*4)+((COUNTIF(CT5:CT6,"B"))*3)+((COUNTIF(CT5:CT6,"C"))*2)+((COUNTIF(CT5:CT6,"D"))*1))*CELL("contenu",$B$4),0),IFERROR((((COUNTIF(CT8:CT11,"A"))*4)+((COUNTIF(CT8:CT11,"B"))*3)+((COUNTIF(CT8:CT11,"C"))*2)+((COUNTIF(CT8:CT11,"D"))*1))*CELL("contenu",$B$7),0),IFERROR((((COUNTIF(CT13:CT13,"A"))*4)+((COUNTIF(CT13:CT13,"B"))*3)+((COUNTIF(CT13:CT13,"C"))*2)+((COUNTIF(CT13:CT13,"D"))*1))*CELL("contenu",$B$12),0),IFERROR((((COUNTIF(CT15:CT17,"A"))*4)+((COUNTIF(CT15:CT17,"B"))*3)+((COUNTIF(CT15:CT17,"C"))*2)+((COUNTIF(CT15:CT17,"D"))*1))*CELL("contenu",$B$14),0),IFERROR((((COUNTIF(CT19:CT19,"A"))*4)+((COUNTIF(CT19:CT19,"B"))*3)+((COUNTIF(CT19:CT19,"C"))*2)+((COUNTIF(CT19:CT19,"D"))*1))*CELL("contenu",$B$18),0))/IF(SUM(COUNTA(CT5:CT6)*CELL("contenu",$B$4),COUNTA(CT8:CT11)*CELL("contenu",$B$7),COUNTA(CT13:CT13)*CELL("contenu",$B$12),COUNTA(CT15:CT17)*CELL("contenu",$B$14),COUNTA(CT19:CT19)*CELL("contenu",$B$18))=0,1,SUM(COUNTA(CT5:CT6)*CELL("contenu",$B$4),COUNTA(CT8:CT11)*CELL("contenu",$B$7),COUNTA(CT13:CT13)*CELL("contenu",$B$12),COUNTA(CT15:CT17)*CELL("contenu",$B$14),COUNTA(CT19:CT19)*CELL("contenu",$B$18))))</f>
        <v/>
      </c>
      <c r="CU20" s="183" t="str">
        <f ca="1">IF(COUNTA(CU5:CU19)=0,"",5*SUM(IFERROR((((COUNTIF(CU5:CU6,"A"))*4)+((COUNTIF(CU5:CU6,"B"))*3)+((COUNTIF(CU5:CU6,"C"))*2)+((COUNTIF(CU5:CU6,"D"))*1))*CELL("contenu",$B$4),0),IFERROR((((COUNTIF(CU8:CU11,"A"))*4)+((COUNTIF(CU8:CU11,"B"))*3)+((COUNTIF(CU8:CU11,"C"))*2)+((COUNTIF(CU8:CU11,"D"))*1))*CELL("contenu",$B$7),0),IFERROR((((COUNTIF(CU13:CU13,"A"))*4)+((COUNTIF(CU13:CU13,"B"))*3)+((COUNTIF(CU13:CU13,"C"))*2)+((COUNTIF(CU13:CU13,"D"))*1))*CELL("contenu",$B$12),0),IFERROR((((COUNTIF(CU15:CU17,"A"))*4)+((COUNTIF(CU15:CU17,"B"))*3)+((COUNTIF(CU15:CU17,"C"))*2)+((COUNTIF(CU15:CU17,"D"))*1))*CELL("contenu",$B$14),0),IFERROR((((COUNTIF(CU19:CU19,"A"))*4)+((COUNTIF(CU19:CU19,"B"))*3)+((COUNTIF(CU19:CU19,"C"))*2)+((COUNTIF(CU19:CU19,"D"))*1))*CELL("contenu",$B$18),0))/IF(SUM(COUNTA(CU5:CU6)*CELL("contenu",$B$4),COUNTA(CU8:CU11)*CELL("contenu",$B$7),COUNTA(CU13:CU13)*CELL("contenu",$B$12),COUNTA(CU15:CU17)*CELL("contenu",$B$14),COUNTA(CU19:CU19)*CELL("contenu",$B$18))=0,1,SUM(COUNTA(CU5:CU6)*CELL("contenu",$B$4),COUNTA(CU8:CU11)*CELL("contenu",$B$7),COUNTA(CU13:CU13)*CELL("contenu",$B$12),COUNTA(CU15:CU17)*CELL("contenu",$B$14),COUNTA(CU19:CU19)*CELL("contenu",$B$18))))</f>
        <v/>
      </c>
      <c r="CV20" s="184" t="str">
        <f ca="1">IF(COUNTA(CV5:CV19)=0,"",5*SUM(IFERROR((((COUNTIF(CV5:CV6,"A"))*4)+((COUNTIF(CV5:CV6,"B"))*3)+((COUNTIF(CV5:CV6,"C"))*2)+((COUNTIF(CV5:CV6,"D"))*1))*CELL("contenu",$B$4),0),IFERROR((((COUNTIF(CV8:CV11,"A"))*4)+((COUNTIF(CV8:CV11,"B"))*3)+((COUNTIF(CV8:CV11,"C"))*2)+((COUNTIF(CV8:CV11,"D"))*1))*CELL("contenu",$B$7),0),IFERROR((((COUNTIF(CV13:CV13,"A"))*4)+((COUNTIF(CV13:CV13,"B"))*3)+((COUNTIF(CV13:CV13,"C"))*2)+((COUNTIF(CV13:CV13,"D"))*1))*CELL("contenu",$B$12),0),IFERROR((((COUNTIF(CV15:CV17,"A"))*4)+((COUNTIF(CV15:CV17,"B"))*3)+((COUNTIF(CV15:CV17,"C"))*2)+((COUNTIF(CV15:CV17,"D"))*1))*CELL("contenu",$B$14),0),IFERROR((((COUNTIF(CV19:CV19,"A"))*4)+((COUNTIF(CV19:CV19,"B"))*3)+((COUNTIF(CV19:CV19,"C"))*2)+((COUNTIF(CV19:CV19,"D"))*1))*CELL("contenu",$B$18),0))/IF(SUM(COUNTA(CV5:CV6)*CELL("contenu",$B$4),COUNTA(CV8:CV11)*CELL("contenu",$B$7),COUNTA(CV13:CV13)*CELL("contenu",$B$12),COUNTA(CV15:CV17)*CELL("contenu",$B$14),COUNTA(CV19:CV19)*CELL("contenu",$B$18))=0,1,SUM(COUNTA(CV5:CV6)*CELL("contenu",$B$4),COUNTA(CV8:CV11)*CELL("contenu",$B$7),COUNTA(CV13:CV13)*CELL("contenu",$B$12),COUNTA(CV15:CV17)*CELL("contenu",$B$14),COUNTA(CV19:CV19)*CELL("contenu",$B$18))))</f>
        <v/>
      </c>
      <c r="CW20" s="176"/>
      <c r="CX20" s="174" t="str">
        <f ca="1">IF(COUNTA(CT20:CV20)-COUNTBLANK(CT20:CV20)=0,"",SUM(CT20:CV20)/(COUNTA(CT20:CV20)-COUNTBLANK(CT20:CV20)))</f>
        <v/>
      </c>
      <c r="CY20" s="103"/>
      <c r="CZ20" s="141"/>
      <c r="DA20" s="167" t="str">
        <f ca="1">IF(COUNTA(DA5:DA19)=0,"",5*SUM(IFERROR((((COUNTIF(DA5:DA6,"A"))*4)+((COUNTIF(DA5:DA6,"B"))*3)+((COUNTIF(DA5:DA6,"C"))*2)+((COUNTIF(DA5:DA6,"D"))*1))*CELL("contenu",$B$4),0),IFERROR((((COUNTIF(DA8:DA11,"A"))*4)+((COUNTIF(DA8:DA11,"B"))*3)+((COUNTIF(DA8:DA11,"C"))*2)+((COUNTIF(DA8:DA11,"D"))*1))*CELL("contenu",$B$7),0),IFERROR((((COUNTIF(DA13:DA13,"A"))*4)+((COUNTIF(DA13:DA13,"B"))*3)+((COUNTIF(DA13:DA13,"C"))*2)+((COUNTIF(DA13:DA13,"D"))*1))*CELL("contenu",$B$12),0),IFERROR((((COUNTIF(DA15:DA17,"A"))*4)+((COUNTIF(DA15:DA17,"B"))*3)+((COUNTIF(DA15:DA17,"C"))*2)+((COUNTIF(DA15:DA17,"D"))*1))*CELL("contenu",$B$14),0),IFERROR((((COUNTIF(DA19:DA19,"A"))*4)+((COUNTIF(DA19:DA19,"B"))*3)+((COUNTIF(DA19:DA19,"C"))*2)+((COUNTIF(DA19:DA19,"D"))*1))*CELL("contenu",$B$18),0))/IF(SUM(COUNTA(DA5:DA6)*CELL("contenu",$B$4),COUNTA(DA8:DA11)*CELL("contenu",$B$7),COUNTA(DA13:DA13)*CELL("contenu",$B$12),COUNTA(DA15:DA17)*CELL("contenu",$B$14),COUNTA(DA19:DA19)*CELL("contenu",$B$18))=0,1,SUM(COUNTA(DA5:DA6)*CELL("contenu",$B$4),COUNTA(DA8:DA11)*CELL("contenu",$B$7),COUNTA(DA13:DA13)*CELL("contenu",$B$12),COUNTA(DA15:DA17)*CELL("contenu",$B$14),COUNTA(DA19:DA19)*CELL("contenu",$B$18))))</f>
        <v/>
      </c>
      <c r="DB20" s="168" t="str">
        <f ca="1">IF(COUNTA(DB5:DB19)=0,"",5*SUM(IFERROR((((COUNTIF(DB5:DB6,"A"))*4)+((COUNTIF(DB5:DB6,"B"))*3)+((COUNTIF(DB5:DB6,"C"))*2)+((COUNTIF(DB5:DB6,"D"))*1))*CELL("contenu",$B$4),0),IFERROR((((COUNTIF(DB8:DB11,"A"))*4)+((COUNTIF(DB8:DB11,"B"))*3)+((COUNTIF(DB8:DB11,"C"))*2)+((COUNTIF(DB8:DB11,"D"))*1))*CELL("contenu",$B$7),0),IFERROR((((COUNTIF(DB13:DB13,"A"))*4)+((COUNTIF(DB13:DB13,"B"))*3)+((COUNTIF(DB13:DB13,"C"))*2)+((COUNTIF(DB13:DB13,"D"))*1))*CELL("contenu",$B$12),0),IFERROR((((COUNTIF(DB15:DB17,"A"))*4)+((COUNTIF(DB15:DB17,"B"))*3)+((COUNTIF(DB15:DB17,"C"))*2)+((COUNTIF(DB15:DB17,"D"))*1))*CELL("contenu",$B$14),0),IFERROR((((COUNTIF(DB19:DB19,"A"))*4)+((COUNTIF(DB19:DB19,"B"))*3)+((COUNTIF(DB19:DB19,"C"))*2)+((COUNTIF(DB19:DB19,"D"))*1))*CELL("contenu",$B$18),0))/IF(SUM(COUNTA(DB5:DB6)*CELL("contenu",$B$4),COUNTA(DB8:DB11)*CELL("contenu",$B$7),COUNTA(DB13:DB13)*CELL("contenu",$B$12),COUNTA(DB15:DB17)*CELL("contenu",$B$14),COUNTA(DB19:DB19)*CELL("contenu",$B$18))=0,1,SUM(COUNTA(DB5:DB6)*CELL("contenu",$B$4),COUNTA(DB8:DB11)*CELL("contenu",$B$7),COUNTA(DB13:DB13)*CELL("contenu",$B$12),COUNTA(DB15:DB17)*CELL("contenu",$B$14),COUNTA(DB19:DB19)*CELL("contenu",$B$18))))</f>
        <v/>
      </c>
      <c r="DC20" s="169" t="str">
        <f ca="1">IF(COUNTA(DC5:DC19)=0,"",5*SUM(IFERROR((((COUNTIF(DC5:DC6,"A"))*4)+((COUNTIF(DC5:DC6,"B"))*3)+((COUNTIF(DC5:DC6,"C"))*2)+((COUNTIF(DC5:DC6,"D"))*1))*CELL("contenu",$B$4),0),IFERROR((((COUNTIF(DC8:DC11,"A"))*4)+((COUNTIF(DC8:DC11,"B"))*3)+((COUNTIF(DC8:DC11,"C"))*2)+((COUNTIF(DC8:DC11,"D"))*1))*CELL("contenu",$B$7),0),IFERROR((((COUNTIF(DC13:DC13,"A"))*4)+((COUNTIF(DC13:DC13,"B"))*3)+((COUNTIF(DC13:DC13,"C"))*2)+((COUNTIF(DC13:DC13,"D"))*1))*CELL("contenu",$B$12),0),IFERROR((((COUNTIF(DC15:DC17,"A"))*4)+((COUNTIF(DC15:DC17,"B"))*3)+((COUNTIF(DC15:DC17,"C"))*2)+((COUNTIF(DC15:DC17,"D"))*1))*CELL("contenu",$B$14),0),IFERROR((((COUNTIF(DC19:DC19,"A"))*4)+((COUNTIF(DC19:DC19,"B"))*3)+((COUNTIF(DC19:DC19,"C"))*2)+((COUNTIF(DC19:DC19,"D"))*1))*CELL("contenu",$B$18),0))/IF(SUM(COUNTA(DC5:DC6)*CELL("contenu",$B$4),COUNTA(DC8:DC11)*CELL("contenu",$B$7),COUNTA(DC13:DC13)*CELL("contenu",$B$12),COUNTA(DC15:DC17)*CELL("contenu",$B$14),COUNTA(DC19:DC19)*CELL("contenu",$B$18))=0,1,SUM(COUNTA(DC5:DC6)*CELL("contenu",$B$4),COUNTA(DC8:DC11)*CELL("contenu",$B$7),COUNTA(DC13:DC13)*CELL("contenu",$B$12),COUNTA(DC15:DC17)*CELL("contenu",$B$14),COUNTA(DC19:DC19)*CELL("contenu",$B$18))))</f>
        <v/>
      </c>
      <c r="DD20" s="116"/>
      <c r="DE20" s="192" t="str">
        <f ca="1">IF(COUNTA(DA20:DC20)-COUNTBLANK(DA20:DC20)=0,"",SUM(DA20:DC20)/(COUNTA(DA20:DC20)-COUNTBLANK(DA20:DC20)))</f>
        <v/>
      </c>
      <c r="DF20" s="182" t="str">
        <f ca="1">IF(COUNTA(DF5:DF19)=0,"",5*SUM(IFERROR((((COUNTIF(DF5:DF6,"A"))*4)+((COUNTIF(DF5:DF6,"B"))*3)+((COUNTIF(DF5:DF6,"C"))*2)+((COUNTIF(DF5:DF6,"D"))*1))*CELL("contenu",$B$4),0),IFERROR((((COUNTIF(DF8:DF11,"A"))*4)+((COUNTIF(DF8:DF11,"B"))*3)+((COUNTIF(DF8:DF11,"C"))*2)+((COUNTIF(DF8:DF11,"D"))*1))*CELL("contenu",$B$7),0),IFERROR((((COUNTIF(DF13:DF13,"A"))*4)+((COUNTIF(DF13:DF13,"B"))*3)+((COUNTIF(DF13:DF13,"C"))*2)+((COUNTIF(DF13:DF13,"D"))*1))*CELL("contenu",$B$12),0),IFERROR((((COUNTIF(DF15:DF17,"A"))*4)+((COUNTIF(DF15:DF17,"B"))*3)+((COUNTIF(DF15:DF17,"C"))*2)+((COUNTIF(DF15:DF17,"D"))*1))*CELL("contenu",$B$14),0),IFERROR((((COUNTIF(DF19:DF19,"A"))*4)+((COUNTIF(DF19:DF19,"B"))*3)+((COUNTIF(DF19:DF19,"C"))*2)+((COUNTIF(DF19:DF19,"D"))*1))*CELL("contenu",$B$18),0))/IF(SUM(COUNTA(DF5:DF6)*CELL("contenu",$B$4),COUNTA(DF8:DF11)*CELL("contenu",$B$7),COUNTA(DF13:DF13)*CELL("contenu",$B$12),COUNTA(DF15:DF17)*CELL("contenu",$B$14),COUNTA(DF19:DF19)*CELL("contenu",$B$18))=0,1,SUM(COUNTA(DF5:DF6)*CELL("contenu",$B$4),COUNTA(DF8:DF11)*CELL("contenu",$B$7),COUNTA(DF13:DF13)*CELL("contenu",$B$12),COUNTA(DF15:DF17)*CELL("contenu",$B$14),COUNTA(DF19:DF19)*CELL("contenu",$B$18))))</f>
        <v/>
      </c>
      <c r="DG20" s="183" t="str">
        <f ca="1">IF(COUNTA(DG5:DG19)=0,"",5*SUM(IFERROR((((COUNTIF(DG5:DG6,"A"))*4)+((COUNTIF(DG5:DG6,"B"))*3)+((COUNTIF(DG5:DG6,"C"))*2)+((COUNTIF(DG5:DG6,"D"))*1))*CELL("contenu",$B$4),0),IFERROR((((COUNTIF(DG8:DG11,"A"))*4)+((COUNTIF(DG8:DG11,"B"))*3)+((COUNTIF(DG8:DG11,"C"))*2)+((COUNTIF(DG8:DG11,"D"))*1))*CELL("contenu",$B$7),0),IFERROR((((COUNTIF(DG13:DG13,"A"))*4)+((COUNTIF(DG13:DG13,"B"))*3)+((COUNTIF(DG13:DG13,"C"))*2)+((COUNTIF(DG13:DG13,"D"))*1))*CELL("contenu",$B$12),0),IFERROR((((COUNTIF(DG15:DG17,"A"))*4)+((COUNTIF(DG15:DG17,"B"))*3)+((COUNTIF(DG15:DG17,"C"))*2)+((COUNTIF(DG15:DG17,"D"))*1))*CELL("contenu",$B$14),0),IFERROR((((COUNTIF(DG19:DG19,"A"))*4)+((COUNTIF(DG19:DG19,"B"))*3)+((COUNTIF(DG19:DG19,"C"))*2)+((COUNTIF(DG19:DG19,"D"))*1))*CELL("contenu",$B$18),0))/IF(SUM(COUNTA(DG5:DG6)*CELL("contenu",$B$4),COUNTA(DG8:DG11)*CELL("contenu",$B$7),COUNTA(DG13:DG13)*CELL("contenu",$B$12),COUNTA(DG15:DG17)*CELL("contenu",$B$14),COUNTA(DG19:DG19)*CELL("contenu",$B$18))=0,1,SUM(COUNTA(DG5:DG6)*CELL("contenu",$B$4),COUNTA(DG8:DG11)*CELL("contenu",$B$7),COUNTA(DG13:DG13)*CELL("contenu",$B$12),COUNTA(DG15:DG17)*CELL("contenu",$B$14),COUNTA(DG19:DG19)*CELL("contenu",$B$18))))</f>
        <v/>
      </c>
      <c r="DH20" s="184" t="str">
        <f ca="1">IF(COUNTA(DH5:DH19)=0,"",5*SUM(IFERROR((((COUNTIF(DH5:DH6,"A"))*4)+((COUNTIF(DH5:DH6,"B"))*3)+((COUNTIF(DH5:DH6,"C"))*2)+((COUNTIF(DH5:DH6,"D"))*1))*CELL("contenu",$B$4),0),IFERROR((((COUNTIF(DH8:DH11,"A"))*4)+((COUNTIF(DH8:DH11,"B"))*3)+((COUNTIF(DH8:DH11,"C"))*2)+((COUNTIF(DH8:DH11,"D"))*1))*CELL("contenu",$B$7),0),IFERROR((((COUNTIF(DH13:DH13,"A"))*4)+((COUNTIF(DH13:DH13,"B"))*3)+((COUNTIF(DH13:DH13,"C"))*2)+((COUNTIF(DH13:DH13,"D"))*1))*CELL("contenu",$B$12),0),IFERROR((((COUNTIF(DH15:DH17,"A"))*4)+((COUNTIF(DH15:DH17,"B"))*3)+((COUNTIF(DH15:DH17,"C"))*2)+((COUNTIF(DH15:DH17,"D"))*1))*CELL("contenu",$B$14),0),IFERROR((((COUNTIF(DH19:DH19,"A"))*4)+((COUNTIF(DH19:DH19,"B"))*3)+((COUNTIF(DH19:DH19,"C"))*2)+((COUNTIF(DH19:DH19,"D"))*1))*CELL("contenu",$B$18),0))/IF(SUM(COUNTA(DH5:DH6)*CELL("contenu",$B$4),COUNTA(DH8:DH11)*CELL("contenu",$B$7),COUNTA(DH13:DH13)*CELL("contenu",$B$12),COUNTA(DH15:DH17)*CELL("contenu",$B$14),COUNTA(DH19:DH19)*CELL("contenu",$B$18))=0,1,SUM(COUNTA(DH5:DH6)*CELL("contenu",$B$4),COUNTA(DH8:DH11)*CELL("contenu",$B$7),COUNTA(DH13:DH13)*CELL("contenu",$B$12),COUNTA(DH15:DH17)*CELL("contenu",$B$14),COUNTA(DH19:DH19)*CELL("contenu",$B$18))))</f>
        <v/>
      </c>
      <c r="DI20" s="176"/>
      <c r="DJ20" s="175" t="str">
        <f ca="1">IF(COUNTA(DF20:DH20)-COUNTBLANK(DF20:DH20)=0,"",SUM(DF20:DH20)/(COUNTA(DF20:DH20)-COUNTBLANK(DF20:DH20)))</f>
        <v/>
      </c>
      <c r="DK20" s="182" t="str">
        <f ca="1">IF(COUNTA(DK5:DK19)=0,"",5*SUM(IFERROR((((COUNTIF(DK5:DK6,"A"))*4)+((COUNTIF(DK5:DK6,"B"))*3)+((COUNTIF(DK5:DK6,"C"))*2)+((COUNTIF(DK5:DK6,"D"))*1))*CELL("contenu",$B$4),0),IFERROR((((COUNTIF(DK8:DK11,"A"))*4)+((COUNTIF(DK8:DK11,"B"))*3)+((COUNTIF(DK8:DK11,"C"))*2)+((COUNTIF(DK8:DK11,"D"))*1))*CELL("contenu",$B$7),0),IFERROR((((COUNTIF(DK13:DK13,"A"))*4)+((COUNTIF(DK13:DK13,"B"))*3)+((COUNTIF(DK13:DK13,"C"))*2)+((COUNTIF(DK13:DK13,"D"))*1))*CELL("contenu",$B$12),0),IFERROR((((COUNTIF(DK15:DK17,"A"))*4)+((COUNTIF(DK15:DK17,"B"))*3)+((COUNTIF(DK15:DK17,"C"))*2)+((COUNTIF(DK15:DK17,"D"))*1))*CELL("contenu",$B$14),0),IFERROR((((COUNTIF(DK19:DK19,"A"))*4)+((COUNTIF(DK19:DK19,"B"))*3)+((COUNTIF(DK19:DK19,"C"))*2)+((COUNTIF(DK19:DK19,"D"))*1))*CELL("contenu",$B$18),0))/IF(SUM(COUNTA(DK5:DK6)*CELL("contenu",$B$4),COUNTA(DK8:DK11)*CELL("contenu",$B$7),COUNTA(DK13:DK13)*CELL("contenu",$B$12),COUNTA(DK15:DK17)*CELL("contenu",$B$14),COUNTA(DK19:DK19)*CELL("contenu",$B$18))=0,1,SUM(COUNTA(DK5:DK6)*CELL("contenu",$B$4),COUNTA(DK8:DK11)*CELL("contenu",$B$7),COUNTA(DK13:DK13)*CELL("contenu",$B$12),COUNTA(DK15:DK17)*CELL("contenu",$B$14),COUNTA(DK19:DK19)*CELL("contenu",$B$18))))</f>
        <v/>
      </c>
      <c r="DL20" s="183" t="str">
        <f ca="1">IF(COUNTA(DL5:DL19)=0,"",5*SUM(IFERROR((((COUNTIF(DL5:DL6,"A"))*4)+((COUNTIF(DL5:DL6,"B"))*3)+((COUNTIF(DL5:DL6,"C"))*2)+((COUNTIF(DL5:DL6,"D"))*1))*CELL("contenu",$B$4),0),IFERROR((((COUNTIF(DL8:DL11,"A"))*4)+((COUNTIF(DL8:DL11,"B"))*3)+((COUNTIF(DL8:DL11,"C"))*2)+((COUNTIF(DL8:DL11,"D"))*1))*CELL("contenu",$B$7),0),IFERROR((((COUNTIF(DL13:DL13,"A"))*4)+((COUNTIF(DL13:DL13,"B"))*3)+((COUNTIF(DL13:DL13,"C"))*2)+((COUNTIF(DL13:DL13,"D"))*1))*CELL("contenu",$B$12),0),IFERROR((((COUNTIF(DL15:DL17,"A"))*4)+((COUNTIF(DL15:DL17,"B"))*3)+((COUNTIF(DL15:DL17,"C"))*2)+((COUNTIF(DL15:DL17,"D"))*1))*CELL("contenu",$B$14),0),IFERROR((((COUNTIF(DL19:DL19,"A"))*4)+((COUNTIF(DL19:DL19,"B"))*3)+((COUNTIF(DL19:DL19,"C"))*2)+((COUNTIF(DL19:DL19,"D"))*1))*CELL("contenu",$B$18),0))/IF(SUM(COUNTA(DL5:DL6)*CELL("contenu",$B$4),COUNTA(DL8:DL11)*CELL("contenu",$B$7),COUNTA(DL13:DL13)*CELL("contenu",$B$12),COUNTA(DL15:DL17)*CELL("contenu",$B$14),COUNTA(DL19:DL19)*CELL("contenu",$B$18))=0,1,SUM(COUNTA(DL5:DL6)*CELL("contenu",$B$4),COUNTA(DL8:DL11)*CELL("contenu",$B$7),COUNTA(DL13:DL13)*CELL("contenu",$B$12),COUNTA(DL15:DL17)*CELL("contenu",$B$14),COUNTA(DL19:DL19)*CELL("contenu",$B$18))))</f>
        <v/>
      </c>
      <c r="DM20" s="184" t="str">
        <f ca="1">IF(COUNTA(DM5:DM19)=0,"",5*SUM(IFERROR((((COUNTIF(DM5:DM6,"A"))*4)+((COUNTIF(DM5:DM6,"B"))*3)+((COUNTIF(DM5:DM6,"C"))*2)+((COUNTIF(DM5:DM6,"D"))*1))*CELL("contenu",$B$4),0),IFERROR((((COUNTIF(DM8:DM11,"A"))*4)+((COUNTIF(DM8:DM11,"B"))*3)+((COUNTIF(DM8:DM11,"C"))*2)+((COUNTIF(DM8:DM11,"D"))*1))*CELL("contenu",$B$7),0),IFERROR((((COUNTIF(DM13:DM13,"A"))*4)+((COUNTIF(DM13:DM13,"B"))*3)+((COUNTIF(DM13:DM13,"C"))*2)+((COUNTIF(DM13:DM13,"D"))*1))*CELL("contenu",$B$12),0),IFERROR((((COUNTIF(DM15:DM17,"A"))*4)+((COUNTIF(DM15:DM17,"B"))*3)+((COUNTIF(DM15:DM17,"C"))*2)+((COUNTIF(DM15:DM17,"D"))*1))*CELL("contenu",$B$14),0),IFERROR((((COUNTIF(DM19:DM19,"A"))*4)+((COUNTIF(DM19:DM19,"B"))*3)+((COUNTIF(DM19:DM19,"C"))*2)+((COUNTIF(DM19:DM19,"D"))*1))*CELL("contenu",$B$18),0))/IF(SUM(COUNTA(DM5:DM6)*CELL("contenu",$B$4),COUNTA(DM8:DM11)*CELL("contenu",$B$7),COUNTA(DM13:DM13)*CELL("contenu",$B$12),COUNTA(DM15:DM17)*CELL("contenu",$B$14),COUNTA(DM19:DM19)*CELL("contenu",$B$18))=0,1,SUM(COUNTA(DM5:DM6)*CELL("contenu",$B$4),COUNTA(DM8:DM11)*CELL("contenu",$B$7),COUNTA(DM13:DM13)*CELL("contenu",$B$12),COUNTA(DM15:DM17)*CELL("contenu",$B$14),COUNTA(DM19:DM19)*CELL("contenu",$B$18))))</f>
        <v/>
      </c>
      <c r="DN20" s="176"/>
      <c r="DO20" s="174" t="str">
        <f ca="1">IF(COUNTA(DK20:DM20)-COUNTBLANK(DK20:DM20)=0,"",SUM(DK20:DM20)/(COUNTA(DK20:DM20)-COUNTBLANK(DK20:DM20)))</f>
        <v/>
      </c>
      <c r="DP20" s="103"/>
      <c r="DQ20" s="141"/>
      <c r="DR20" s="167">
        <f ca="1">IF(COUNTA(DR5:DR19)=0,"",5*SUM(IFERROR((((COUNTIF(DR5:DR6,"A"))*4)+((COUNTIF(DR5:DR6,"B"))*3)+((COUNTIF(DR5:DR6,"C"))*2)+((COUNTIF(DR5:DR6,"D"))*1))*CELL("contenu",$B$4),0),IFERROR((((COUNTIF(DR8:DR11,"A"))*4)+((COUNTIF(DR8:DR11,"B"))*3)+((COUNTIF(DR8:DR11,"C"))*2)+((COUNTIF(DR8:DR11,"D"))*1))*CELL("contenu",$B$7),0),IFERROR((((COUNTIF(DR13:DR13,"A"))*4)+((COUNTIF(DR13:DR13,"B"))*3)+((COUNTIF(DR13:DR13,"C"))*2)+((COUNTIF(DR13:DR13,"D"))*1))*CELL("contenu",$B$12),0),IFERROR((((COUNTIF(DR15:DR17,"A"))*4)+((COUNTIF(DR15:DR17,"B"))*3)+((COUNTIF(DR15:DR17,"C"))*2)+((COUNTIF(DR15:DR17,"D"))*1))*CELL("contenu",$B$14),0),IFERROR((((COUNTIF(DR19:DR19,"A"))*4)+((COUNTIF(DR19:DR19,"B"))*3)+((COUNTIF(DR19:DR19,"C"))*2)+((COUNTIF(DR19:DR19,"D"))*1))*CELL("contenu",$B$18),0))/IF(SUM(COUNTA(DR5:DR6)*CELL("contenu",$B$4),COUNTA(DR8:DR11)*CELL("contenu",$B$7),COUNTA(DR13:DR13)*CELL("contenu",$B$12),COUNTA(DR15:DR17)*CELL("contenu",$B$14),COUNTA(DR19:DR19)*CELL("contenu",$B$18))=0,1,SUM(COUNTA(DR5:DR6)*CELL("contenu",$B$4),COUNTA(DR8:DR11)*CELL("contenu",$B$7),COUNTA(DR13:DR13)*CELL("contenu",$B$12),COUNTA(DR15:DR17)*CELL("contenu",$B$14),COUNTA(DR19:DR19)*CELL("contenu",$B$18))))</f>
        <v>20</v>
      </c>
      <c r="DS20" s="168" t="str">
        <f ca="1">IF(COUNTA(DS5:DS19)=0,"",5*SUM(IFERROR((((COUNTIF(DS5:DS6,"A"))*4)+((COUNTIF(DS5:DS6,"B"))*3)+((COUNTIF(DS5:DS6,"C"))*2)+((COUNTIF(DS5:DS6,"D"))*1))*CELL("contenu",$B$4),0),IFERROR((((COUNTIF(DS8:DS11,"A"))*4)+((COUNTIF(DS8:DS11,"B"))*3)+((COUNTIF(DS8:DS11,"C"))*2)+((COUNTIF(DS8:DS11,"D"))*1))*CELL("contenu",$B$7),0),IFERROR((((COUNTIF(DS13:DS13,"A"))*4)+((COUNTIF(DS13:DS13,"B"))*3)+((COUNTIF(DS13:DS13,"C"))*2)+((COUNTIF(DS13:DS13,"D"))*1))*CELL("contenu",$B$12),0),IFERROR((((COUNTIF(DS15:DS17,"A"))*4)+((COUNTIF(DS15:DS17,"B"))*3)+((COUNTIF(DS15:DS17,"C"))*2)+((COUNTIF(DS15:DS17,"D"))*1))*CELL("contenu",$B$14),0),IFERROR((((COUNTIF(DS19:DS19,"A"))*4)+((COUNTIF(DS19:DS19,"B"))*3)+((COUNTIF(DS19:DS19,"C"))*2)+((COUNTIF(DS19:DS19,"D"))*1))*CELL("contenu",$B$18),0))/IF(SUM(COUNTA(DS5:DS6)*CELL("contenu",$B$4),COUNTA(DS8:DS11)*CELL("contenu",$B$7),COUNTA(DS13:DS13)*CELL("contenu",$B$12),COUNTA(DS15:DS17)*CELL("contenu",$B$14),COUNTA(DS19:DS19)*CELL("contenu",$B$18))=0,1,SUM(COUNTA(DS5:DS6)*CELL("contenu",$B$4),COUNTA(DS8:DS11)*CELL("contenu",$B$7),COUNTA(DS13:DS13)*CELL("contenu",$B$12),COUNTA(DS15:DS17)*CELL("contenu",$B$14),COUNTA(DS19:DS19)*CELL("contenu",$B$18))))</f>
        <v/>
      </c>
      <c r="DT20" s="169" t="str">
        <f ca="1">IF(COUNTA(DT5:DT19)=0,"",5*SUM(IFERROR((((COUNTIF(DT5:DT6,"A"))*4)+((COUNTIF(DT5:DT6,"B"))*3)+((COUNTIF(DT5:DT6,"C"))*2)+((COUNTIF(DT5:DT6,"D"))*1))*CELL("contenu",$B$4),0),IFERROR((((COUNTIF(DT8:DT11,"A"))*4)+((COUNTIF(DT8:DT11,"B"))*3)+((COUNTIF(DT8:DT11,"C"))*2)+((COUNTIF(DT8:DT11,"D"))*1))*CELL("contenu",$B$7),0),IFERROR((((COUNTIF(DT13:DT13,"A"))*4)+((COUNTIF(DT13:DT13,"B"))*3)+((COUNTIF(DT13:DT13,"C"))*2)+((COUNTIF(DT13:DT13,"D"))*1))*CELL("contenu",$B$12),0),IFERROR((((COUNTIF(DT15:DT17,"A"))*4)+((COUNTIF(DT15:DT17,"B"))*3)+((COUNTIF(DT15:DT17,"C"))*2)+((COUNTIF(DT15:DT17,"D"))*1))*CELL("contenu",$B$14),0),IFERROR((((COUNTIF(DT19:DT19,"A"))*4)+((COUNTIF(DT19:DT19,"B"))*3)+((COUNTIF(DT19:DT19,"C"))*2)+((COUNTIF(DT19:DT19,"D"))*1))*CELL("contenu",$B$18),0))/IF(SUM(COUNTA(DT5:DT6)*CELL("contenu",$B$4),COUNTA(DT8:DT11)*CELL("contenu",$B$7),COUNTA(DT13:DT13)*CELL("contenu",$B$12),COUNTA(DT15:DT17)*CELL("contenu",$B$14),COUNTA(DT19:DT19)*CELL("contenu",$B$18))=0,1,SUM(COUNTA(DT5:DT6)*CELL("contenu",$B$4),COUNTA(DT8:DT11)*CELL("contenu",$B$7),COUNTA(DT13:DT13)*CELL("contenu",$B$12),COUNTA(DT15:DT17)*CELL("contenu",$B$14),COUNTA(DT19:DT19)*CELL("contenu",$B$18))))</f>
        <v/>
      </c>
      <c r="DU20" s="116"/>
      <c r="DV20" s="192">
        <f ca="1">IF(COUNTA(DR20:DT20)-COUNTBLANK(DR20:DT20)=0,"",SUM(DR20:DT20)/(COUNTA(DR20:DT20)-COUNTBLANK(DR20:DT20)))</f>
        <v>20</v>
      </c>
      <c r="DW20" s="182" t="str">
        <f ca="1">IF(COUNTA(DW5:DW19)=0,"",5*SUM(IFERROR((((COUNTIF(DW5:DW6,"A"))*4)+((COUNTIF(DW5:DW6,"B"))*3)+((COUNTIF(DW5:DW6,"C"))*2)+((COUNTIF(DW5:DW6,"D"))*1))*CELL("contenu",$B$4),0),IFERROR((((COUNTIF(DW8:DW11,"A"))*4)+((COUNTIF(DW8:DW11,"B"))*3)+((COUNTIF(DW8:DW11,"C"))*2)+((COUNTIF(DW8:DW11,"D"))*1))*CELL("contenu",$B$7),0),IFERROR((((COUNTIF(DW13:DW13,"A"))*4)+((COUNTIF(DW13:DW13,"B"))*3)+((COUNTIF(DW13:DW13,"C"))*2)+((COUNTIF(DW13:DW13,"D"))*1))*CELL("contenu",$B$12),0),IFERROR((((COUNTIF(DW15:DW17,"A"))*4)+((COUNTIF(DW15:DW17,"B"))*3)+((COUNTIF(DW15:DW17,"C"))*2)+((COUNTIF(DW15:DW17,"D"))*1))*CELL("contenu",$B$14),0),IFERROR((((COUNTIF(DW19:DW19,"A"))*4)+((COUNTIF(DW19:DW19,"B"))*3)+((COUNTIF(DW19:DW19,"C"))*2)+((COUNTIF(DW19:DW19,"D"))*1))*CELL("contenu",$B$18),0))/IF(SUM(COUNTA(DW5:DW6)*CELL("contenu",$B$4),COUNTA(DW8:DW11)*CELL("contenu",$B$7),COUNTA(DW13:DW13)*CELL("contenu",$B$12),COUNTA(DW15:DW17)*CELL("contenu",$B$14),COUNTA(DW19:DW19)*CELL("contenu",$B$18))=0,1,SUM(COUNTA(DW5:DW6)*CELL("contenu",$B$4),COUNTA(DW8:DW11)*CELL("contenu",$B$7),COUNTA(DW13:DW13)*CELL("contenu",$B$12),COUNTA(DW15:DW17)*CELL("contenu",$B$14),COUNTA(DW19:DW19)*CELL("contenu",$B$18))))</f>
        <v/>
      </c>
      <c r="DX20" s="183" t="str">
        <f ca="1">IF(COUNTA(DX5:DX19)=0,"",5*SUM(IFERROR((((COUNTIF(DX5:DX6,"A"))*4)+((COUNTIF(DX5:DX6,"B"))*3)+((COUNTIF(DX5:DX6,"C"))*2)+((COUNTIF(DX5:DX6,"D"))*1))*CELL("contenu",$B$4),0),IFERROR((((COUNTIF(DX8:DX11,"A"))*4)+((COUNTIF(DX8:DX11,"B"))*3)+((COUNTIF(DX8:DX11,"C"))*2)+((COUNTIF(DX8:DX11,"D"))*1))*CELL("contenu",$B$7),0),IFERROR((((COUNTIF(DX13:DX13,"A"))*4)+((COUNTIF(DX13:DX13,"B"))*3)+((COUNTIF(DX13:DX13,"C"))*2)+((COUNTIF(DX13:DX13,"D"))*1))*CELL("contenu",$B$12),0),IFERROR((((COUNTIF(DX15:DX17,"A"))*4)+((COUNTIF(DX15:DX17,"B"))*3)+((COUNTIF(DX15:DX17,"C"))*2)+((COUNTIF(DX15:DX17,"D"))*1))*CELL("contenu",$B$14),0),IFERROR((((COUNTIF(DX19:DX19,"A"))*4)+((COUNTIF(DX19:DX19,"B"))*3)+((COUNTIF(DX19:DX19,"C"))*2)+((COUNTIF(DX19:DX19,"D"))*1))*CELL("contenu",$B$18),0))/IF(SUM(COUNTA(DX5:DX6)*CELL("contenu",$B$4),COUNTA(DX8:DX11)*CELL("contenu",$B$7),COUNTA(DX13:DX13)*CELL("contenu",$B$12),COUNTA(DX15:DX17)*CELL("contenu",$B$14),COUNTA(DX19:DX19)*CELL("contenu",$B$18))=0,1,SUM(COUNTA(DX5:DX6)*CELL("contenu",$B$4),COUNTA(DX8:DX11)*CELL("contenu",$B$7),COUNTA(DX13:DX13)*CELL("contenu",$B$12),COUNTA(DX15:DX17)*CELL("contenu",$B$14),COUNTA(DX19:DX19)*CELL("contenu",$B$18))))</f>
        <v/>
      </c>
      <c r="DY20" s="184" t="str">
        <f ca="1">IF(COUNTA(DY5:DY19)=0,"",5*SUM(IFERROR((((COUNTIF(DY5:DY6,"A"))*4)+((COUNTIF(DY5:DY6,"B"))*3)+((COUNTIF(DY5:DY6,"C"))*2)+((COUNTIF(DY5:DY6,"D"))*1))*CELL("contenu",$B$4),0),IFERROR((((COUNTIF(DY8:DY11,"A"))*4)+((COUNTIF(DY8:DY11,"B"))*3)+((COUNTIF(DY8:DY11,"C"))*2)+((COUNTIF(DY8:DY11,"D"))*1))*CELL("contenu",$B$7),0),IFERROR((((COUNTIF(DY13:DY13,"A"))*4)+((COUNTIF(DY13:DY13,"B"))*3)+((COUNTIF(DY13:DY13,"C"))*2)+((COUNTIF(DY13:DY13,"D"))*1))*CELL("contenu",$B$12),0),IFERROR((((COUNTIF(DY15:DY17,"A"))*4)+((COUNTIF(DY15:DY17,"B"))*3)+((COUNTIF(DY15:DY17,"C"))*2)+((COUNTIF(DY15:DY17,"D"))*1))*CELL("contenu",$B$14),0),IFERROR((((COUNTIF(DY19:DY19,"A"))*4)+((COUNTIF(DY19:DY19,"B"))*3)+((COUNTIF(DY19:DY19,"C"))*2)+((COUNTIF(DY19:DY19,"D"))*1))*CELL("contenu",$B$18),0))/IF(SUM(COUNTA(DY5:DY6)*CELL("contenu",$B$4),COUNTA(DY8:DY11)*CELL("contenu",$B$7),COUNTA(DY13:DY13)*CELL("contenu",$B$12),COUNTA(DY15:DY17)*CELL("contenu",$B$14),COUNTA(DY19:DY19)*CELL("contenu",$B$18))=0,1,SUM(COUNTA(DY5:DY6)*CELL("contenu",$B$4),COUNTA(DY8:DY11)*CELL("contenu",$B$7),COUNTA(DY13:DY13)*CELL("contenu",$B$12),COUNTA(DY15:DY17)*CELL("contenu",$B$14),COUNTA(DY19:DY19)*CELL("contenu",$B$18))))</f>
        <v/>
      </c>
      <c r="DZ20" s="176"/>
      <c r="EA20" s="175" t="str">
        <f ca="1">IF(COUNTA(DW20:DY20)-COUNTBLANK(DW20:DY20)=0,"",SUM(DW20:DY20)/(COUNTA(DW20:DY20)-COUNTBLANK(DW20:DY20)))</f>
        <v/>
      </c>
      <c r="EB20" s="182" t="str">
        <f ca="1">IF(COUNTA(EB5:EB19)=0,"",5*SUM(IFERROR((((COUNTIF(EB5:EB6,"A"))*4)+((COUNTIF(EB5:EB6,"B"))*3)+((COUNTIF(EB5:EB6,"C"))*2)+((COUNTIF(EB5:EB6,"D"))*1))*CELL("contenu",$B$4),0),IFERROR((((COUNTIF(EB8:EB11,"A"))*4)+((COUNTIF(EB8:EB11,"B"))*3)+((COUNTIF(EB8:EB11,"C"))*2)+((COUNTIF(EB8:EB11,"D"))*1))*CELL("contenu",$B$7),0),IFERROR((((COUNTIF(EB13:EB13,"A"))*4)+((COUNTIF(EB13:EB13,"B"))*3)+((COUNTIF(EB13:EB13,"C"))*2)+((COUNTIF(EB13:EB13,"D"))*1))*CELL("contenu",$B$12),0),IFERROR((((COUNTIF(EB15:EB17,"A"))*4)+((COUNTIF(EB15:EB17,"B"))*3)+((COUNTIF(EB15:EB17,"C"))*2)+((COUNTIF(EB15:EB17,"D"))*1))*CELL("contenu",$B$14),0),IFERROR((((COUNTIF(EB19:EB19,"A"))*4)+((COUNTIF(EB19:EB19,"B"))*3)+((COUNTIF(EB19:EB19,"C"))*2)+((COUNTIF(EB19:EB19,"D"))*1))*CELL("contenu",$B$18),0))/IF(SUM(COUNTA(EB5:EB6)*CELL("contenu",$B$4),COUNTA(EB8:EB11)*CELL("contenu",$B$7),COUNTA(EB13:EB13)*CELL("contenu",$B$12),COUNTA(EB15:EB17)*CELL("contenu",$B$14),COUNTA(EB19:EB19)*CELL("contenu",$B$18))=0,1,SUM(COUNTA(EB5:EB6)*CELL("contenu",$B$4),COUNTA(EB8:EB11)*CELL("contenu",$B$7),COUNTA(EB13:EB13)*CELL("contenu",$B$12),COUNTA(EB15:EB17)*CELL("contenu",$B$14),COUNTA(EB19:EB19)*CELL("contenu",$B$18))))</f>
        <v/>
      </c>
      <c r="EC20" s="183" t="str">
        <f ca="1">IF(COUNTA(EC5:EC19)=0,"",5*SUM(IFERROR((((COUNTIF(EC5:EC6,"A"))*4)+((COUNTIF(EC5:EC6,"B"))*3)+((COUNTIF(EC5:EC6,"C"))*2)+((COUNTIF(EC5:EC6,"D"))*1))*CELL("contenu",$B$4),0),IFERROR((((COUNTIF(EC8:EC11,"A"))*4)+((COUNTIF(EC8:EC11,"B"))*3)+((COUNTIF(EC8:EC11,"C"))*2)+((COUNTIF(EC8:EC11,"D"))*1))*CELL("contenu",$B$7),0),IFERROR((((COUNTIF(EC13:EC13,"A"))*4)+((COUNTIF(EC13:EC13,"B"))*3)+((COUNTIF(EC13:EC13,"C"))*2)+((COUNTIF(EC13:EC13,"D"))*1))*CELL("contenu",$B$12),0),IFERROR((((COUNTIF(EC15:EC17,"A"))*4)+((COUNTIF(EC15:EC17,"B"))*3)+((COUNTIF(EC15:EC17,"C"))*2)+((COUNTIF(EC15:EC17,"D"))*1))*CELL("contenu",$B$14),0),IFERROR((((COUNTIF(EC19:EC19,"A"))*4)+((COUNTIF(EC19:EC19,"B"))*3)+((COUNTIF(EC19:EC19,"C"))*2)+((COUNTIF(EC19:EC19,"D"))*1))*CELL("contenu",$B$18),0))/IF(SUM(COUNTA(EC5:EC6)*CELL("contenu",$B$4),COUNTA(EC8:EC11)*CELL("contenu",$B$7),COUNTA(EC13:EC13)*CELL("contenu",$B$12),COUNTA(EC15:EC17)*CELL("contenu",$B$14),COUNTA(EC19:EC19)*CELL("contenu",$B$18))=0,1,SUM(COUNTA(EC5:EC6)*CELL("contenu",$B$4),COUNTA(EC8:EC11)*CELL("contenu",$B$7),COUNTA(EC13:EC13)*CELL("contenu",$B$12),COUNTA(EC15:EC17)*CELL("contenu",$B$14),COUNTA(EC19:EC19)*CELL("contenu",$B$18))))</f>
        <v/>
      </c>
      <c r="ED20" s="184" t="str">
        <f ca="1">IF(COUNTA(ED5:ED19)=0,"",5*SUM(IFERROR((((COUNTIF(ED5:ED6,"A"))*4)+((COUNTIF(ED5:ED6,"B"))*3)+((COUNTIF(ED5:ED6,"C"))*2)+((COUNTIF(ED5:ED6,"D"))*1))*CELL("contenu",$B$4),0),IFERROR((((COUNTIF(ED8:ED11,"A"))*4)+((COUNTIF(ED8:ED11,"B"))*3)+((COUNTIF(ED8:ED11,"C"))*2)+((COUNTIF(ED8:ED11,"D"))*1))*CELL("contenu",$B$7),0),IFERROR((((COUNTIF(ED13:ED13,"A"))*4)+((COUNTIF(ED13:ED13,"B"))*3)+((COUNTIF(ED13:ED13,"C"))*2)+((COUNTIF(ED13:ED13,"D"))*1))*CELL("contenu",$B$12),0),IFERROR((((COUNTIF(ED15:ED17,"A"))*4)+((COUNTIF(ED15:ED17,"B"))*3)+((COUNTIF(ED15:ED17,"C"))*2)+((COUNTIF(ED15:ED17,"D"))*1))*CELL("contenu",$B$14),0),IFERROR((((COUNTIF(ED19:ED19,"A"))*4)+((COUNTIF(ED19:ED19,"B"))*3)+((COUNTIF(ED19:ED19,"C"))*2)+((COUNTIF(ED19:ED19,"D"))*1))*CELL("contenu",$B$18),0))/IF(SUM(COUNTA(ED5:ED6)*CELL("contenu",$B$4),COUNTA(ED8:ED11)*CELL("contenu",$B$7),COUNTA(ED13:ED13)*CELL("contenu",$B$12),COUNTA(ED15:ED17)*CELL("contenu",$B$14),COUNTA(ED19:ED19)*CELL("contenu",$B$18))=0,1,SUM(COUNTA(ED5:ED6)*CELL("contenu",$B$4),COUNTA(ED8:ED11)*CELL("contenu",$B$7),COUNTA(ED13:ED13)*CELL("contenu",$B$12),COUNTA(ED15:ED17)*CELL("contenu",$B$14),COUNTA(ED19:ED19)*CELL("contenu",$B$18))))</f>
        <v/>
      </c>
      <c r="EE20" s="176"/>
      <c r="EF20" s="174" t="str">
        <f ca="1">IF(COUNTA(EB20:ED20)-COUNTBLANK(EB20:ED20)=0,"",SUM(EB20:ED20)/(COUNTA(EB20:ED20)-COUNTBLANK(EB20:ED20)))</f>
        <v/>
      </c>
      <c r="EG20" s="103"/>
      <c r="EH20" s="141"/>
      <c r="EI20" s="167">
        <f ca="1">IF(COUNTA(EI5:EI19)=0,"",5*SUM(IFERROR((((COUNTIF(EI5:EI6,"A"))*4)+((COUNTIF(EI5:EI6,"B"))*3)+((COUNTIF(EI5:EI6,"C"))*2)+((COUNTIF(EI5:EI6,"D"))*1))*CELL("contenu",$B$4),0),IFERROR((((COUNTIF(EI8:EI11,"A"))*4)+((COUNTIF(EI8:EI11,"B"))*3)+((COUNTIF(EI8:EI11,"C"))*2)+((COUNTIF(EI8:EI11,"D"))*1))*CELL("contenu",$B$7),0),IFERROR((((COUNTIF(EI13:EI13,"A"))*4)+((COUNTIF(EI13:EI13,"B"))*3)+((COUNTIF(EI13:EI13,"C"))*2)+((COUNTIF(EI13:EI13,"D"))*1))*CELL("contenu",$B$12),0),IFERROR((((COUNTIF(EI15:EI17,"A"))*4)+((COUNTIF(EI15:EI17,"B"))*3)+((COUNTIF(EI15:EI17,"C"))*2)+((COUNTIF(EI15:EI17,"D"))*1))*CELL("contenu",$B$14),0),IFERROR((((COUNTIF(EI19:EI19,"A"))*4)+((COUNTIF(EI19:EI19,"B"))*3)+((COUNTIF(EI19:EI19,"C"))*2)+((COUNTIF(EI19:EI19,"D"))*1))*CELL("contenu",$B$18),0))/IF(SUM(COUNTA(EI5:EI6)*CELL("contenu",$B$4),COUNTA(EI8:EI11)*CELL("contenu",$B$7),COUNTA(EI13:EI13)*CELL("contenu",$B$12),COUNTA(EI15:EI17)*CELL("contenu",$B$14),COUNTA(EI19:EI19)*CELL("contenu",$B$18))=0,1,SUM(COUNTA(EI5:EI6)*CELL("contenu",$B$4),COUNTA(EI8:EI11)*CELL("contenu",$B$7),COUNTA(EI13:EI13)*CELL("contenu",$B$12),COUNTA(EI15:EI17)*CELL("contenu",$B$14),COUNTA(EI19:EI19)*CELL("contenu",$B$18))))</f>
        <v>18.333333333333332</v>
      </c>
      <c r="EJ20" s="168" t="str">
        <f ca="1">IF(COUNTA(EJ5:EJ19)=0,"",5*SUM(IFERROR((((COUNTIF(EJ5:EJ6,"A"))*4)+((COUNTIF(EJ5:EJ6,"B"))*3)+((COUNTIF(EJ5:EJ6,"C"))*2)+((COUNTIF(EJ5:EJ6,"D"))*1))*CELL("contenu",$B$4),0),IFERROR((((COUNTIF(EJ8:EJ11,"A"))*4)+((COUNTIF(EJ8:EJ11,"B"))*3)+((COUNTIF(EJ8:EJ11,"C"))*2)+((COUNTIF(EJ8:EJ11,"D"))*1))*CELL("contenu",$B$7),0),IFERROR((((COUNTIF(EJ13:EJ13,"A"))*4)+((COUNTIF(EJ13:EJ13,"B"))*3)+((COUNTIF(EJ13:EJ13,"C"))*2)+((COUNTIF(EJ13:EJ13,"D"))*1))*CELL("contenu",$B$12),0),IFERROR((((COUNTIF(EJ15:EJ17,"A"))*4)+((COUNTIF(EJ15:EJ17,"B"))*3)+((COUNTIF(EJ15:EJ17,"C"))*2)+((COUNTIF(EJ15:EJ17,"D"))*1))*CELL("contenu",$B$14),0),IFERROR((((COUNTIF(EJ19:EJ19,"A"))*4)+((COUNTIF(EJ19:EJ19,"B"))*3)+((COUNTIF(EJ19:EJ19,"C"))*2)+((COUNTIF(EJ19:EJ19,"D"))*1))*CELL("contenu",$B$18),0))/IF(SUM(COUNTA(EJ5:EJ6)*CELL("contenu",$B$4),COUNTA(EJ8:EJ11)*CELL("contenu",$B$7),COUNTA(EJ13:EJ13)*CELL("contenu",$B$12),COUNTA(EJ15:EJ17)*CELL("contenu",$B$14),COUNTA(EJ19:EJ19)*CELL("contenu",$B$18))=0,1,SUM(COUNTA(EJ5:EJ6)*CELL("contenu",$B$4),COUNTA(EJ8:EJ11)*CELL("contenu",$B$7),COUNTA(EJ13:EJ13)*CELL("contenu",$B$12),COUNTA(EJ15:EJ17)*CELL("contenu",$B$14),COUNTA(EJ19:EJ19)*CELL("contenu",$B$18))))</f>
        <v/>
      </c>
      <c r="EK20" s="169" t="str">
        <f ca="1">IF(COUNTA(EK5:EK19)=0,"",5*SUM(IFERROR((((COUNTIF(EK5:EK6,"A"))*4)+((COUNTIF(EK5:EK6,"B"))*3)+((COUNTIF(EK5:EK6,"C"))*2)+((COUNTIF(EK5:EK6,"D"))*1))*CELL("contenu",$B$4),0),IFERROR((((COUNTIF(EK8:EK11,"A"))*4)+((COUNTIF(EK8:EK11,"B"))*3)+((COUNTIF(EK8:EK11,"C"))*2)+((COUNTIF(EK8:EK11,"D"))*1))*CELL("contenu",$B$7),0),IFERROR((((COUNTIF(EK13:EK13,"A"))*4)+((COUNTIF(EK13:EK13,"B"))*3)+((COUNTIF(EK13:EK13,"C"))*2)+((COUNTIF(EK13:EK13,"D"))*1))*CELL("contenu",$B$12),0),IFERROR((((COUNTIF(EK15:EK17,"A"))*4)+((COUNTIF(EK15:EK17,"B"))*3)+((COUNTIF(EK15:EK17,"C"))*2)+((COUNTIF(EK15:EK17,"D"))*1))*CELL("contenu",$B$14),0),IFERROR((((COUNTIF(EK19:EK19,"A"))*4)+((COUNTIF(EK19:EK19,"B"))*3)+((COUNTIF(EK19:EK19,"C"))*2)+((COUNTIF(EK19:EK19,"D"))*1))*CELL("contenu",$B$18),0))/IF(SUM(COUNTA(EK5:EK6)*CELL("contenu",$B$4),COUNTA(EK8:EK11)*CELL("contenu",$B$7),COUNTA(EK13:EK13)*CELL("contenu",$B$12),COUNTA(EK15:EK17)*CELL("contenu",$B$14),COUNTA(EK19:EK19)*CELL("contenu",$B$18))=0,1,SUM(COUNTA(EK5:EK6)*CELL("contenu",$B$4),COUNTA(EK8:EK11)*CELL("contenu",$B$7),COUNTA(EK13:EK13)*CELL("contenu",$B$12),COUNTA(EK15:EK17)*CELL("contenu",$B$14),COUNTA(EK19:EK19)*CELL("contenu",$B$18))))</f>
        <v/>
      </c>
      <c r="EL20" s="116"/>
      <c r="EM20" s="192">
        <f ca="1">IF(COUNTA(EI20:EK20)-COUNTBLANK(EI20:EK20)=0,"",SUM(EI20:EK20)/(COUNTA(EI20:EK20)-COUNTBLANK(EI20:EK20)))</f>
        <v>18.333333333333332</v>
      </c>
      <c r="EN20" s="182" t="str">
        <f ca="1">IF(COUNTA(EN5:EN19)=0,"",5*SUM(IFERROR((((COUNTIF(EN5:EN6,"A"))*4)+((COUNTIF(EN5:EN6,"B"))*3)+((COUNTIF(EN5:EN6,"C"))*2)+((COUNTIF(EN5:EN6,"D"))*1))*CELL("contenu",$B$4),0),IFERROR((((COUNTIF(EN8:EN11,"A"))*4)+((COUNTIF(EN8:EN11,"B"))*3)+((COUNTIF(EN8:EN11,"C"))*2)+((COUNTIF(EN8:EN11,"D"))*1))*CELL("contenu",$B$7),0),IFERROR((((COUNTIF(EN13:EN13,"A"))*4)+((COUNTIF(EN13:EN13,"B"))*3)+((COUNTIF(EN13:EN13,"C"))*2)+((COUNTIF(EN13:EN13,"D"))*1))*CELL("contenu",$B$12),0),IFERROR((((COUNTIF(EN15:EN17,"A"))*4)+((COUNTIF(EN15:EN17,"B"))*3)+((COUNTIF(EN15:EN17,"C"))*2)+((COUNTIF(EN15:EN17,"D"))*1))*CELL("contenu",$B$14),0),IFERROR((((COUNTIF(EN19:EN19,"A"))*4)+((COUNTIF(EN19:EN19,"B"))*3)+((COUNTIF(EN19:EN19,"C"))*2)+((COUNTIF(EN19:EN19,"D"))*1))*CELL("contenu",$B$18),0))/IF(SUM(COUNTA(EN5:EN6)*CELL("contenu",$B$4),COUNTA(EN8:EN11)*CELL("contenu",$B$7),COUNTA(EN13:EN13)*CELL("contenu",$B$12),COUNTA(EN15:EN17)*CELL("contenu",$B$14),COUNTA(EN19:EN19)*CELL("contenu",$B$18))=0,1,SUM(COUNTA(EN5:EN6)*CELL("contenu",$B$4),COUNTA(EN8:EN11)*CELL("contenu",$B$7),COUNTA(EN13:EN13)*CELL("contenu",$B$12),COUNTA(EN15:EN17)*CELL("contenu",$B$14),COUNTA(EN19:EN19)*CELL("contenu",$B$18))))</f>
        <v/>
      </c>
      <c r="EO20" s="183" t="str">
        <f ca="1">IF(COUNTA(EO5:EO19)=0,"",5*SUM(IFERROR((((COUNTIF(EO5:EO6,"A"))*4)+((COUNTIF(EO5:EO6,"B"))*3)+((COUNTIF(EO5:EO6,"C"))*2)+((COUNTIF(EO5:EO6,"D"))*1))*CELL("contenu",$B$4),0),IFERROR((((COUNTIF(EO8:EO11,"A"))*4)+((COUNTIF(EO8:EO11,"B"))*3)+((COUNTIF(EO8:EO11,"C"))*2)+((COUNTIF(EO8:EO11,"D"))*1))*CELL("contenu",$B$7),0),IFERROR((((COUNTIF(EO13:EO13,"A"))*4)+((COUNTIF(EO13:EO13,"B"))*3)+((COUNTIF(EO13:EO13,"C"))*2)+((COUNTIF(EO13:EO13,"D"))*1))*CELL("contenu",$B$12),0),IFERROR((((COUNTIF(EO15:EO17,"A"))*4)+((COUNTIF(EO15:EO17,"B"))*3)+((COUNTIF(EO15:EO17,"C"))*2)+((COUNTIF(EO15:EO17,"D"))*1))*CELL("contenu",$B$14),0),IFERROR((((COUNTIF(EO19:EO19,"A"))*4)+((COUNTIF(EO19:EO19,"B"))*3)+((COUNTIF(EO19:EO19,"C"))*2)+((COUNTIF(EO19:EO19,"D"))*1))*CELL("contenu",$B$18),0))/IF(SUM(COUNTA(EO5:EO6)*CELL("contenu",$B$4),COUNTA(EO8:EO11)*CELL("contenu",$B$7),COUNTA(EO13:EO13)*CELL("contenu",$B$12),COUNTA(EO15:EO17)*CELL("contenu",$B$14),COUNTA(EO19:EO19)*CELL("contenu",$B$18))=0,1,SUM(COUNTA(EO5:EO6)*CELL("contenu",$B$4),COUNTA(EO8:EO11)*CELL("contenu",$B$7),COUNTA(EO13:EO13)*CELL("contenu",$B$12),COUNTA(EO15:EO17)*CELL("contenu",$B$14),COUNTA(EO19:EO19)*CELL("contenu",$B$18))))</f>
        <v/>
      </c>
      <c r="EP20" s="184" t="str">
        <f ca="1">IF(COUNTA(EP5:EP19)=0,"",5*SUM(IFERROR((((COUNTIF(EP5:EP6,"A"))*4)+((COUNTIF(EP5:EP6,"B"))*3)+((COUNTIF(EP5:EP6,"C"))*2)+((COUNTIF(EP5:EP6,"D"))*1))*CELL("contenu",$B$4),0),IFERROR((((COUNTIF(EP8:EP11,"A"))*4)+((COUNTIF(EP8:EP11,"B"))*3)+((COUNTIF(EP8:EP11,"C"))*2)+((COUNTIF(EP8:EP11,"D"))*1))*CELL("contenu",$B$7),0),IFERROR((((COUNTIF(EP13:EP13,"A"))*4)+((COUNTIF(EP13:EP13,"B"))*3)+((COUNTIF(EP13:EP13,"C"))*2)+((COUNTIF(EP13:EP13,"D"))*1))*CELL("contenu",$B$12),0),IFERROR((((COUNTIF(EP15:EP17,"A"))*4)+((COUNTIF(EP15:EP17,"B"))*3)+((COUNTIF(EP15:EP17,"C"))*2)+((COUNTIF(EP15:EP17,"D"))*1))*CELL("contenu",$B$14),0),IFERROR((((COUNTIF(EP19:EP19,"A"))*4)+((COUNTIF(EP19:EP19,"B"))*3)+((COUNTIF(EP19:EP19,"C"))*2)+((COUNTIF(EP19:EP19,"D"))*1))*CELL("contenu",$B$18),0))/IF(SUM(COUNTA(EP5:EP6)*CELL("contenu",$B$4),COUNTA(EP8:EP11)*CELL("contenu",$B$7),COUNTA(EP13:EP13)*CELL("contenu",$B$12),COUNTA(EP15:EP17)*CELL("contenu",$B$14),COUNTA(EP19:EP19)*CELL("contenu",$B$18))=0,1,SUM(COUNTA(EP5:EP6)*CELL("contenu",$B$4),COUNTA(EP8:EP11)*CELL("contenu",$B$7),COUNTA(EP13:EP13)*CELL("contenu",$B$12),COUNTA(EP15:EP17)*CELL("contenu",$B$14),COUNTA(EP19:EP19)*CELL("contenu",$B$18))))</f>
        <v/>
      </c>
      <c r="EQ20" s="176"/>
      <c r="ER20" s="175" t="str">
        <f ca="1">IF(COUNTA(EN20:EP20)-COUNTBLANK(EN20:EP20)=0,"",SUM(EN20:EP20)/(COUNTA(EN20:EP20)-COUNTBLANK(EN20:EP20)))</f>
        <v/>
      </c>
      <c r="ES20" s="182" t="str">
        <f ca="1">IF(COUNTA(ES5:ES19)=0,"",5*SUM(IFERROR((((COUNTIF(ES5:ES6,"A"))*4)+((COUNTIF(ES5:ES6,"B"))*3)+((COUNTIF(ES5:ES6,"C"))*2)+((COUNTIF(ES5:ES6,"D"))*1))*CELL("contenu",$B$4),0),IFERROR((((COUNTIF(ES8:ES11,"A"))*4)+((COUNTIF(ES8:ES11,"B"))*3)+((COUNTIF(ES8:ES11,"C"))*2)+((COUNTIF(ES8:ES11,"D"))*1))*CELL("contenu",$B$7),0),IFERROR((((COUNTIF(ES13:ES13,"A"))*4)+((COUNTIF(ES13:ES13,"B"))*3)+((COUNTIF(ES13:ES13,"C"))*2)+((COUNTIF(ES13:ES13,"D"))*1))*CELL("contenu",$B$12),0),IFERROR((((COUNTIF(ES15:ES17,"A"))*4)+((COUNTIF(ES15:ES17,"B"))*3)+((COUNTIF(ES15:ES17,"C"))*2)+((COUNTIF(ES15:ES17,"D"))*1))*CELL("contenu",$B$14),0),IFERROR((((COUNTIF(ES19:ES19,"A"))*4)+((COUNTIF(ES19:ES19,"B"))*3)+((COUNTIF(ES19:ES19,"C"))*2)+((COUNTIF(ES19:ES19,"D"))*1))*CELL("contenu",$B$18),0))/IF(SUM(COUNTA(ES5:ES6)*CELL("contenu",$B$4),COUNTA(ES8:ES11)*CELL("contenu",$B$7),COUNTA(ES13:ES13)*CELL("contenu",$B$12),COUNTA(ES15:ES17)*CELL("contenu",$B$14),COUNTA(ES19:ES19)*CELL("contenu",$B$18))=0,1,SUM(COUNTA(ES5:ES6)*CELL("contenu",$B$4),COUNTA(ES8:ES11)*CELL("contenu",$B$7),COUNTA(ES13:ES13)*CELL("contenu",$B$12),COUNTA(ES15:ES17)*CELL("contenu",$B$14),COUNTA(ES19:ES19)*CELL("contenu",$B$18))))</f>
        <v/>
      </c>
      <c r="ET20" s="183" t="str">
        <f ca="1">IF(COUNTA(ET5:ET19)=0,"",5*SUM(IFERROR((((COUNTIF(ET5:ET6,"A"))*4)+((COUNTIF(ET5:ET6,"B"))*3)+((COUNTIF(ET5:ET6,"C"))*2)+((COUNTIF(ET5:ET6,"D"))*1))*CELL("contenu",$B$4),0),IFERROR((((COUNTIF(ET8:ET11,"A"))*4)+((COUNTIF(ET8:ET11,"B"))*3)+((COUNTIF(ET8:ET11,"C"))*2)+((COUNTIF(ET8:ET11,"D"))*1))*CELL("contenu",$B$7),0),IFERROR((((COUNTIF(ET13:ET13,"A"))*4)+((COUNTIF(ET13:ET13,"B"))*3)+((COUNTIF(ET13:ET13,"C"))*2)+((COUNTIF(ET13:ET13,"D"))*1))*CELL("contenu",$B$12),0),IFERROR((((COUNTIF(ET15:ET17,"A"))*4)+((COUNTIF(ET15:ET17,"B"))*3)+((COUNTIF(ET15:ET17,"C"))*2)+((COUNTIF(ET15:ET17,"D"))*1))*CELL("contenu",$B$14),0),IFERROR((((COUNTIF(ET19:ET19,"A"))*4)+((COUNTIF(ET19:ET19,"B"))*3)+((COUNTIF(ET19:ET19,"C"))*2)+((COUNTIF(ET19:ET19,"D"))*1))*CELL("contenu",$B$18),0))/IF(SUM(COUNTA(ET5:ET6)*CELL("contenu",$B$4),COUNTA(ET8:ET11)*CELL("contenu",$B$7),COUNTA(ET13:ET13)*CELL("contenu",$B$12),COUNTA(ET15:ET17)*CELL("contenu",$B$14),COUNTA(ET19:ET19)*CELL("contenu",$B$18))=0,1,SUM(COUNTA(ET5:ET6)*CELL("contenu",$B$4),COUNTA(ET8:ET11)*CELL("contenu",$B$7),COUNTA(ET13:ET13)*CELL("contenu",$B$12),COUNTA(ET15:ET17)*CELL("contenu",$B$14),COUNTA(ET19:ET19)*CELL("contenu",$B$18))))</f>
        <v/>
      </c>
      <c r="EU20" s="184" t="str">
        <f ca="1">IF(COUNTA(EU5:EU19)=0,"",5*SUM(IFERROR((((COUNTIF(EU5:EU6,"A"))*4)+((COUNTIF(EU5:EU6,"B"))*3)+((COUNTIF(EU5:EU6,"C"))*2)+((COUNTIF(EU5:EU6,"D"))*1))*CELL("contenu",$B$4),0),IFERROR((((COUNTIF(EU8:EU11,"A"))*4)+((COUNTIF(EU8:EU11,"B"))*3)+((COUNTIF(EU8:EU11,"C"))*2)+((COUNTIF(EU8:EU11,"D"))*1))*CELL("contenu",$B$7),0),IFERROR((((COUNTIF(EU13:EU13,"A"))*4)+((COUNTIF(EU13:EU13,"B"))*3)+((COUNTIF(EU13:EU13,"C"))*2)+((COUNTIF(EU13:EU13,"D"))*1))*CELL("contenu",$B$12),0),IFERROR((((COUNTIF(EU15:EU17,"A"))*4)+((COUNTIF(EU15:EU17,"B"))*3)+((COUNTIF(EU15:EU17,"C"))*2)+((COUNTIF(EU15:EU17,"D"))*1))*CELL("contenu",$B$14),0),IFERROR((((COUNTIF(EU19:EU19,"A"))*4)+((COUNTIF(EU19:EU19,"B"))*3)+((COUNTIF(EU19:EU19,"C"))*2)+((COUNTIF(EU19:EU19,"D"))*1))*CELL("contenu",$B$18),0))/IF(SUM(COUNTA(EU5:EU6)*CELL("contenu",$B$4),COUNTA(EU8:EU11)*CELL("contenu",$B$7),COUNTA(EU13:EU13)*CELL("contenu",$B$12),COUNTA(EU15:EU17)*CELL("contenu",$B$14),COUNTA(EU19:EU19)*CELL("contenu",$B$18))=0,1,SUM(COUNTA(EU5:EU6)*CELL("contenu",$B$4),COUNTA(EU8:EU11)*CELL("contenu",$B$7),COUNTA(EU13:EU13)*CELL("contenu",$B$12),COUNTA(EU15:EU17)*CELL("contenu",$B$14),COUNTA(EU19:EU19)*CELL("contenu",$B$18))))</f>
        <v/>
      </c>
      <c r="EV20" s="176"/>
      <c r="EW20" s="174" t="str">
        <f ca="1">IF(COUNTA(ES20:EU20)-COUNTBLANK(ES20:EU20)=0,"",SUM(ES20:EU20)/(COUNTA(ES20:EU20)-COUNTBLANK(ES20:EU20)))</f>
        <v/>
      </c>
      <c r="EX20" s="103"/>
      <c r="EY20" s="141"/>
      <c r="EZ20" s="167">
        <f ca="1">IF(COUNTA(EZ5:EZ19)=0,"",5*SUM(IFERROR((((COUNTIF(EZ5:EZ6,"A"))*4)+((COUNTIF(EZ5:EZ6,"B"))*3)+((COUNTIF(EZ5:EZ6,"C"))*2)+((COUNTIF(EZ5:EZ6,"D"))*1))*CELL("contenu",$B$4),0),IFERROR((((COUNTIF(EZ8:EZ11,"A"))*4)+((COUNTIF(EZ8:EZ11,"B"))*3)+((COUNTIF(EZ8:EZ11,"C"))*2)+((COUNTIF(EZ8:EZ11,"D"))*1))*CELL("contenu",$B$7),0),IFERROR((((COUNTIF(EZ13:EZ13,"A"))*4)+((COUNTIF(EZ13:EZ13,"B"))*3)+((COUNTIF(EZ13:EZ13,"C"))*2)+((COUNTIF(EZ13:EZ13,"D"))*1))*CELL("contenu",$B$12),0),IFERROR((((COUNTIF(EZ15:EZ17,"A"))*4)+((COUNTIF(EZ15:EZ17,"B"))*3)+((COUNTIF(EZ15:EZ17,"C"))*2)+((COUNTIF(EZ15:EZ17,"D"))*1))*CELL("contenu",$B$14),0),IFERROR((((COUNTIF(EZ19:EZ19,"A"))*4)+((COUNTIF(EZ19:EZ19,"B"))*3)+((COUNTIF(EZ19:EZ19,"C"))*2)+((COUNTIF(EZ19:EZ19,"D"))*1))*CELL("contenu",$B$18),0))/IF(SUM(COUNTA(EZ5:EZ6)*CELL("contenu",$B$4),COUNTA(EZ8:EZ11)*CELL("contenu",$B$7),COUNTA(EZ13:EZ13)*CELL("contenu",$B$12),COUNTA(EZ15:EZ17)*CELL("contenu",$B$14),COUNTA(EZ19:EZ19)*CELL("contenu",$B$18))=0,1,SUM(COUNTA(EZ5:EZ6)*CELL("contenu",$B$4),COUNTA(EZ8:EZ11)*CELL("contenu",$B$7),COUNTA(EZ13:EZ13)*CELL("contenu",$B$12),COUNTA(EZ15:EZ17)*CELL("contenu",$B$14),COUNTA(EZ19:EZ19)*CELL("contenu",$B$18))))</f>
        <v>16.666666666666668</v>
      </c>
      <c r="FA20" s="168" t="str">
        <f ca="1">IF(COUNTA(FA5:FA19)=0,"",5*SUM(IFERROR((((COUNTIF(FA5:FA6,"A"))*4)+((COUNTIF(FA5:FA6,"B"))*3)+((COUNTIF(FA5:FA6,"C"))*2)+((COUNTIF(FA5:FA6,"D"))*1))*CELL("contenu",$B$4),0),IFERROR((((COUNTIF(FA8:FA11,"A"))*4)+((COUNTIF(FA8:FA11,"B"))*3)+((COUNTIF(FA8:FA11,"C"))*2)+((COUNTIF(FA8:FA11,"D"))*1))*CELL("contenu",$B$7),0),IFERROR((((COUNTIF(FA13:FA13,"A"))*4)+((COUNTIF(FA13:FA13,"B"))*3)+((COUNTIF(FA13:FA13,"C"))*2)+((COUNTIF(FA13:FA13,"D"))*1))*CELL("contenu",$B$12),0),IFERROR((((COUNTIF(FA15:FA17,"A"))*4)+((COUNTIF(FA15:FA17,"B"))*3)+((COUNTIF(FA15:FA17,"C"))*2)+((COUNTIF(FA15:FA17,"D"))*1))*CELL("contenu",$B$14),0),IFERROR((((COUNTIF(FA19:FA19,"A"))*4)+((COUNTIF(FA19:FA19,"B"))*3)+((COUNTIF(FA19:FA19,"C"))*2)+((COUNTIF(FA19:FA19,"D"))*1))*CELL("contenu",$B$18),0))/IF(SUM(COUNTA(FA5:FA6)*CELL("contenu",$B$4),COUNTA(FA8:FA11)*CELL("contenu",$B$7),COUNTA(FA13:FA13)*CELL("contenu",$B$12),COUNTA(FA15:FA17)*CELL("contenu",$B$14),COUNTA(FA19:FA19)*CELL("contenu",$B$18))=0,1,SUM(COUNTA(FA5:FA6)*CELL("contenu",$B$4),COUNTA(FA8:FA11)*CELL("contenu",$B$7),COUNTA(FA13:FA13)*CELL("contenu",$B$12),COUNTA(FA15:FA17)*CELL("contenu",$B$14),COUNTA(FA19:FA19)*CELL("contenu",$B$18))))</f>
        <v/>
      </c>
      <c r="FB20" s="169" t="str">
        <f ca="1">IF(COUNTA(FB5:FB19)=0,"",5*SUM(IFERROR((((COUNTIF(FB5:FB6,"A"))*4)+((COUNTIF(FB5:FB6,"B"))*3)+((COUNTIF(FB5:FB6,"C"))*2)+((COUNTIF(FB5:FB6,"D"))*1))*CELL("contenu",$B$4),0),IFERROR((((COUNTIF(FB8:FB11,"A"))*4)+((COUNTIF(FB8:FB11,"B"))*3)+((COUNTIF(FB8:FB11,"C"))*2)+((COUNTIF(FB8:FB11,"D"))*1))*CELL("contenu",$B$7),0),IFERROR((((COUNTIF(FB13:FB13,"A"))*4)+((COUNTIF(FB13:FB13,"B"))*3)+((COUNTIF(FB13:FB13,"C"))*2)+((COUNTIF(FB13:FB13,"D"))*1))*CELL("contenu",$B$12),0),IFERROR((((COUNTIF(FB15:FB17,"A"))*4)+((COUNTIF(FB15:FB17,"B"))*3)+((COUNTIF(FB15:FB17,"C"))*2)+((COUNTIF(FB15:FB17,"D"))*1))*CELL("contenu",$B$14),0),IFERROR((((COUNTIF(FB19:FB19,"A"))*4)+((COUNTIF(FB19:FB19,"B"))*3)+((COUNTIF(FB19:FB19,"C"))*2)+((COUNTIF(FB19:FB19,"D"))*1))*CELL("contenu",$B$18),0))/IF(SUM(COUNTA(FB5:FB6)*CELL("contenu",$B$4),COUNTA(FB8:FB11)*CELL("contenu",$B$7),COUNTA(FB13:FB13)*CELL("contenu",$B$12),COUNTA(FB15:FB17)*CELL("contenu",$B$14),COUNTA(FB19:FB19)*CELL("contenu",$B$18))=0,1,SUM(COUNTA(FB5:FB6)*CELL("contenu",$B$4),COUNTA(FB8:FB11)*CELL("contenu",$B$7),COUNTA(FB13:FB13)*CELL("contenu",$B$12),COUNTA(FB15:FB17)*CELL("contenu",$B$14),COUNTA(FB19:FB19)*CELL("contenu",$B$18))))</f>
        <v/>
      </c>
      <c r="FC20" s="116"/>
      <c r="FD20" s="192">
        <f ca="1">IF(COUNTA(EZ20:FB20)-COUNTBLANK(EZ20:FB20)=0,"",SUM(EZ20:FB20)/(COUNTA(EZ20:FB20)-COUNTBLANK(EZ20:FB20)))</f>
        <v>16.666666666666668</v>
      </c>
      <c r="FE20" s="182" t="str">
        <f ca="1">IF(COUNTA(FE5:FE19)=0,"",5*SUM(IFERROR((((COUNTIF(FE5:FE6,"A"))*4)+((COUNTIF(FE5:FE6,"B"))*3)+((COUNTIF(FE5:FE6,"C"))*2)+((COUNTIF(FE5:FE6,"D"))*1))*CELL("contenu",$B$4),0),IFERROR((((COUNTIF(FE8:FE11,"A"))*4)+((COUNTIF(FE8:FE11,"B"))*3)+((COUNTIF(FE8:FE11,"C"))*2)+((COUNTIF(FE8:FE11,"D"))*1))*CELL("contenu",$B$7),0),IFERROR((((COUNTIF(FE13:FE13,"A"))*4)+((COUNTIF(FE13:FE13,"B"))*3)+((COUNTIF(FE13:FE13,"C"))*2)+((COUNTIF(FE13:FE13,"D"))*1))*CELL("contenu",$B$12),0),IFERROR((((COUNTIF(FE15:FE17,"A"))*4)+((COUNTIF(FE15:FE17,"B"))*3)+((COUNTIF(FE15:FE17,"C"))*2)+((COUNTIF(FE15:FE17,"D"))*1))*CELL("contenu",$B$14),0),IFERROR((((COUNTIF(FE19:FE19,"A"))*4)+((COUNTIF(FE19:FE19,"B"))*3)+((COUNTIF(FE19:FE19,"C"))*2)+((COUNTIF(FE19:FE19,"D"))*1))*CELL("contenu",$B$18),0))/IF(SUM(COUNTA(FE5:FE6)*CELL("contenu",$B$4),COUNTA(FE8:FE11)*CELL("contenu",$B$7),COUNTA(FE13:FE13)*CELL("contenu",$B$12),COUNTA(FE15:FE17)*CELL("contenu",$B$14),COUNTA(FE19:FE19)*CELL("contenu",$B$18))=0,1,SUM(COUNTA(FE5:FE6)*CELL("contenu",$B$4),COUNTA(FE8:FE11)*CELL("contenu",$B$7),COUNTA(FE13:FE13)*CELL("contenu",$B$12),COUNTA(FE15:FE17)*CELL("contenu",$B$14),COUNTA(FE19:FE19)*CELL("contenu",$B$18))))</f>
        <v/>
      </c>
      <c r="FF20" s="183" t="str">
        <f ca="1">IF(COUNTA(FF5:FF19)=0,"",5*SUM(IFERROR((((COUNTIF(FF5:FF6,"A"))*4)+((COUNTIF(FF5:FF6,"B"))*3)+((COUNTIF(FF5:FF6,"C"))*2)+((COUNTIF(FF5:FF6,"D"))*1))*CELL("contenu",$B$4),0),IFERROR((((COUNTIF(FF8:FF11,"A"))*4)+((COUNTIF(FF8:FF11,"B"))*3)+((COUNTIF(FF8:FF11,"C"))*2)+((COUNTIF(FF8:FF11,"D"))*1))*CELL("contenu",$B$7),0),IFERROR((((COUNTIF(FF13:FF13,"A"))*4)+((COUNTIF(FF13:FF13,"B"))*3)+((COUNTIF(FF13:FF13,"C"))*2)+((COUNTIF(FF13:FF13,"D"))*1))*CELL("contenu",$B$12),0),IFERROR((((COUNTIF(FF15:FF17,"A"))*4)+((COUNTIF(FF15:FF17,"B"))*3)+((COUNTIF(FF15:FF17,"C"))*2)+((COUNTIF(FF15:FF17,"D"))*1))*CELL("contenu",$B$14),0),IFERROR((((COUNTIF(FF19:FF19,"A"))*4)+((COUNTIF(FF19:FF19,"B"))*3)+((COUNTIF(FF19:FF19,"C"))*2)+((COUNTIF(FF19:FF19,"D"))*1))*CELL("contenu",$B$18),0))/IF(SUM(COUNTA(FF5:FF6)*CELL("contenu",$B$4),COUNTA(FF8:FF11)*CELL("contenu",$B$7),COUNTA(FF13:FF13)*CELL("contenu",$B$12),COUNTA(FF15:FF17)*CELL("contenu",$B$14),COUNTA(FF19:FF19)*CELL("contenu",$B$18))=0,1,SUM(COUNTA(FF5:FF6)*CELL("contenu",$B$4),COUNTA(FF8:FF11)*CELL("contenu",$B$7),COUNTA(FF13:FF13)*CELL("contenu",$B$12),COUNTA(FF15:FF17)*CELL("contenu",$B$14),COUNTA(FF19:FF19)*CELL("contenu",$B$18))))</f>
        <v/>
      </c>
      <c r="FG20" s="184" t="str">
        <f ca="1">IF(COUNTA(FG5:FG19)=0,"",5*SUM(IFERROR((((COUNTIF(FG5:FG6,"A"))*4)+((COUNTIF(FG5:FG6,"B"))*3)+((COUNTIF(FG5:FG6,"C"))*2)+((COUNTIF(FG5:FG6,"D"))*1))*CELL("contenu",$B$4),0),IFERROR((((COUNTIF(FG8:FG11,"A"))*4)+((COUNTIF(FG8:FG11,"B"))*3)+((COUNTIF(FG8:FG11,"C"))*2)+((COUNTIF(FG8:FG11,"D"))*1))*CELL("contenu",$B$7),0),IFERROR((((COUNTIF(FG13:FG13,"A"))*4)+((COUNTIF(FG13:FG13,"B"))*3)+((COUNTIF(FG13:FG13,"C"))*2)+((COUNTIF(FG13:FG13,"D"))*1))*CELL("contenu",$B$12),0),IFERROR((((COUNTIF(FG15:FG17,"A"))*4)+((COUNTIF(FG15:FG17,"B"))*3)+((COUNTIF(FG15:FG17,"C"))*2)+((COUNTIF(FG15:FG17,"D"))*1))*CELL("contenu",$B$14),0),IFERROR((((COUNTIF(FG19:FG19,"A"))*4)+((COUNTIF(FG19:FG19,"B"))*3)+((COUNTIF(FG19:FG19,"C"))*2)+((COUNTIF(FG19:FG19,"D"))*1))*CELL("contenu",$B$18),0))/IF(SUM(COUNTA(FG5:FG6)*CELL("contenu",$B$4),COUNTA(FG8:FG11)*CELL("contenu",$B$7),COUNTA(FG13:FG13)*CELL("contenu",$B$12),COUNTA(FG15:FG17)*CELL("contenu",$B$14),COUNTA(FG19:FG19)*CELL("contenu",$B$18))=0,1,SUM(COUNTA(FG5:FG6)*CELL("contenu",$B$4),COUNTA(FG8:FG11)*CELL("contenu",$B$7),COUNTA(FG13:FG13)*CELL("contenu",$B$12),COUNTA(FG15:FG17)*CELL("contenu",$B$14),COUNTA(FG19:FG19)*CELL("contenu",$B$18))))</f>
        <v/>
      </c>
      <c r="FH20" s="176"/>
      <c r="FI20" s="175" t="str">
        <f ca="1">IF(COUNTA(FE20:FG20)-COUNTBLANK(FE20:FG20)=0,"",SUM(FE20:FG20)/(COUNTA(FE20:FG20)-COUNTBLANK(FE20:FG20)))</f>
        <v/>
      </c>
      <c r="FJ20" s="182" t="str">
        <f ca="1">IF(COUNTA(FJ5:FJ19)=0,"",5*SUM(IFERROR((((COUNTIF(FJ5:FJ6,"A"))*4)+((COUNTIF(FJ5:FJ6,"B"))*3)+((COUNTIF(FJ5:FJ6,"C"))*2)+((COUNTIF(FJ5:FJ6,"D"))*1))*CELL("contenu",$B$4),0),IFERROR((((COUNTIF(FJ8:FJ11,"A"))*4)+((COUNTIF(FJ8:FJ11,"B"))*3)+((COUNTIF(FJ8:FJ11,"C"))*2)+((COUNTIF(FJ8:FJ11,"D"))*1))*CELL("contenu",$B$7),0),IFERROR((((COUNTIF(FJ13:FJ13,"A"))*4)+((COUNTIF(FJ13:FJ13,"B"))*3)+((COUNTIF(FJ13:FJ13,"C"))*2)+((COUNTIF(FJ13:FJ13,"D"))*1))*CELL("contenu",$B$12),0),IFERROR((((COUNTIF(FJ15:FJ17,"A"))*4)+((COUNTIF(FJ15:FJ17,"B"))*3)+((COUNTIF(FJ15:FJ17,"C"))*2)+((COUNTIF(FJ15:FJ17,"D"))*1))*CELL("contenu",$B$14),0),IFERROR((((COUNTIF(FJ19:FJ19,"A"))*4)+((COUNTIF(FJ19:FJ19,"B"))*3)+((COUNTIF(FJ19:FJ19,"C"))*2)+((COUNTIF(FJ19:FJ19,"D"))*1))*CELL("contenu",$B$18),0))/IF(SUM(COUNTA(FJ5:FJ6)*CELL("contenu",$B$4),COUNTA(FJ8:FJ11)*CELL("contenu",$B$7),COUNTA(FJ13:FJ13)*CELL("contenu",$B$12),COUNTA(FJ15:FJ17)*CELL("contenu",$B$14),COUNTA(FJ19:FJ19)*CELL("contenu",$B$18))=0,1,SUM(COUNTA(FJ5:FJ6)*CELL("contenu",$B$4),COUNTA(FJ8:FJ11)*CELL("contenu",$B$7),COUNTA(FJ13:FJ13)*CELL("contenu",$B$12),COUNTA(FJ15:FJ17)*CELL("contenu",$B$14),COUNTA(FJ19:FJ19)*CELL("contenu",$B$18))))</f>
        <v/>
      </c>
      <c r="FK20" s="183" t="str">
        <f ca="1">IF(COUNTA(FK5:FK19)=0,"",5*SUM(IFERROR((((COUNTIF(FK5:FK6,"A"))*4)+((COUNTIF(FK5:FK6,"B"))*3)+((COUNTIF(FK5:FK6,"C"))*2)+((COUNTIF(FK5:FK6,"D"))*1))*CELL("contenu",$B$4),0),IFERROR((((COUNTIF(FK8:FK11,"A"))*4)+((COUNTIF(FK8:FK11,"B"))*3)+((COUNTIF(FK8:FK11,"C"))*2)+((COUNTIF(FK8:FK11,"D"))*1))*CELL("contenu",$B$7),0),IFERROR((((COUNTIF(FK13:FK13,"A"))*4)+((COUNTIF(FK13:FK13,"B"))*3)+((COUNTIF(FK13:FK13,"C"))*2)+((COUNTIF(FK13:FK13,"D"))*1))*CELL("contenu",$B$12),0),IFERROR((((COUNTIF(FK15:FK17,"A"))*4)+((COUNTIF(FK15:FK17,"B"))*3)+((COUNTIF(FK15:FK17,"C"))*2)+((COUNTIF(FK15:FK17,"D"))*1))*CELL("contenu",$B$14),0),IFERROR((((COUNTIF(FK19:FK19,"A"))*4)+((COUNTIF(FK19:FK19,"B"))*3)+((COUNTIF(FK19:FK19,"C"))*2)+((COUNTIF(FK19:FK19,"D"))*1))*CELL("contenu",$B$18),0))/IF(SUM(COUNTA(FK5:FK6)*CELL("contenu",$B$4),COUNTA(FK8:FK11)*CELL("contenu",$B$7),COUNTA(FK13:FK13)*CELL("contenu",$B$12),COUNTA(FK15:FK17)*CELL("contenu",$B$14),COUNTA(FK19:FK19)*CELL("contenu",$B$18))=0,1,SUM(COUNTA(FK5:FK6)*CELL("contenu",$B$4),COUNTA(FK8:FK11)*CELL("contenu",$B$7),COUNTA(FK13:FK13)*CELL("contenu",$B$12),COUNTA(FK15:FK17)*CELL("contenu",$B$14),COUNTA(FK19:FK19)*CELL("contenu",$B$18))))</f>
        <v/>
      </c>
      <c r="FL20" s="184" t="str">
        <f ca="1">IF(COUNTA(FL5:FL19)=0,"",5*SUM(IFERROR((((COUNTIF(FL5:FL6,"A"))*4)+((COUNTIF(FL5:FL6,"B"))*3)+((COUNTIF(FL5:FL6,"C"))*2)+((COUNTIF(FL5:FL6,"D"))*1))*CELL("contenu",$B$4),0),IFERROR((((COUNTIF(FL8:FL11,"A"))*4)+((COUNTIF(FL8:FL11,"B"))*3)+((COUNTIF(FL8:FL11,"C"))*2)+((COUNTIF(FL8:FL11,"D"))*1))*CELL("contenu",$B$7),0),IFERROR((((COUNTIF(FL13:FL13,"A"))*4)+((COUNTIF(FL13:FL13,"B"))*3)+((COUNTIF(FL13:FL13,"C"))*2)+((COUNTIF(FL13:FL13,"D"))*1))*CELL("contenu",$B$12),0),IFERROR((((COUNTIF(FL15:FL17,"A"))*4)+((COUNTIF(FL15:FL17,"B"))*3)+((COUNTIF(FL15:FL17,"C"))*2)+((COUNTIF(FL15:FL17,"D"))*1))*CELL("contenu",$B$14),0),IFERROR((((COUNTIF(FL19:FL19,"A"))*4)+((COUNTIF(FL19:FL19,"B"))*3)+((COUNTIF(FL19:FL19,"C"))*2)+((COUNTIF(FL19:FL19,"D"))*1))*CELL("contenu",$B$18),0))/IF(SUM(COUNTA(FL5:FL6)*CELL("contenu",$B$4),COUNTA(FL8:FL11)*CELL("contenu",$B$7),COUNTA(FL13:FL13)*CELL("contenu",$B$12),COUNTA(FL15:FL17)*CELL("contenu",$B$14),COUNTA(FL19:FL19)*CELL("contenu",$B$18))=0,1,SUM(COUNTA(FL5:FL6)*CELL("contenu",$B$4),COUNTA(FL8:FL11)*CELL("contenu",$B$7),COUNTA(FL13:FL13)*CELL("contenu",$B$12),COUNTA(FL15:FL17)*CELL("contenu",$B$14),COUNTA(FL19:FL19)*CELL("contenu",$B$18))))</f>
        <v/>
      </c>
      <c r="FM20" s="176"/>
      <c r="FN20" s="174" t="str">
        <f ca="1">IF(COUNTA(FJ20:FL20)-COUNTBLANK(FJ20:FL20)=0,"",SUM(FJ20:FL20)/(COUNTA(FJ20:FL20)-COUNTBLANK(FJ20:FL20)))</f>
        <v/>
      </c>
      <c r="FO20" s="103"/>
      <c r="FP20" s="141"/>
      <c r="FQ20" s="167">
        <f ca="1">IF(COUNTA(FQ5:FQ19)=0,"",5*SUM(IFERROR((((COUNTIF(FQ5:FQ6,"A"))*4)+((COUNTIF(FQ5:FQ6,"B"))*3)+((COUNTIF(FQ5:FQ6,"C"))*2)+((COUNTIF(FQ5:FQ6,"D"))*1))*CELL("contenu",$B$4),0),IFERROR((((COUNTIF(FQ8:FQ11,"A"))*4)+((COUNTIF(FQ8:FQ11,"B"))*3)+((COUNTIF(FQ8:FQ11,"C"))*2)+((COUNTIF(FQ8:FQ11,"D"))*1))*CELL("contenu",$B$7),0),IFERROR((((COUNTIF(FQ13:FQ13,"A"))*4)+((COUNTIF(FQ13:FQ13,"B"))*3)+((COUNTIF(FQ13:FQ13,"C"))*2)+((COUNTIF(FQ13:FQ13,"D"))*1))*CELL("contenu",$B$12),0),IFERROR((((COUNTIF(FQ15:FQ17,"A"))*4)+((COUNTIF(FQ15:FQ17,"B"))*3)+((COUNTIF(FQ15:FQ17,"C"))*2)+((COUNTIF(FQ15:FQ17,"D"))*1))*CELL("contenu",$B$14),0),IFERROR((((COUNTIF(FQ19:FQ19,"A"))*4)+((COUNTIF(FQ19:FQ19,"B"))*3)+((COUNTIF(FQ19:FQ19,"C"))*2)+((COUNTIF(FQ19:FQ19,"D"))*1))*CELL("contenu",$B$18),0))/IF(SUM(COUNTA(FQ5:FQ6)*CELL("contenu",$B$4),COUNTA(FQ8:FQ11)*CELL("contenu",$B$7),COUNTA(FQ13:FQ13)*CELL("contenu",$B$12),COUNTA(FQ15:FQ17)*CELL("contenu",$B$14),COUNTA(FQ19:FQ19)*CELL("contenu",$B$18))=0,1,SUM(COUNTA(FQ5:FQ6)*CELL("contenu",$B$4),COUNTA(FQ8:FQ11)*CELL("contenu",$B$7),COUNTA(FQ13:FQ13)*CELL("contenu",$B$12),COUNTA(FQ15:FQ17)*CELL("contenu",$B$14),COUNTA(FQ19:FQ19)*CELL("contenu",$B$18))))</f>
        <v>16.666666666666668</v>
      </c>
      <c r="FR20" s="168" t="str">
        <f ca="1">IF(COUNTA(FR5:FR19)=0,"",5*SUM(IFERROR((((COUNTIF(FR5:FR6,"A"))*4)+((COUNTIF(FR5:FR6,"B"))*3)+((COUNTIF(FR5:FR6,"C"))*2)+((COUNTIF(FR5:FR6,"D"))*1))*CELL("contenu",$B$4),0),IFERROR((((COUNTIF(FR8:FR11,"A"))*4)+((COUNTIF(FR8:FR11,"B"))*3)+((COUNTIF(FR8:FR11,"C"))*2)+((COUNTIF(FR8:FR11,"D"))*1))*CELL("contenu",$B$7),0),IFERROR((((COUNTIF(FR13:FR13,"A"))*4)+((COUNTIF(FR13:FR13,"B"))*3)+((COUNTIF(FR13:FR13,"C"))*2)+((COUNTIF(FR13:FR13,"D"))*1))*CELL("contenu",$B$12),0),IFERROR((((COUNTIF(FR15:FR17,"A"))*4)+((COUNTIF(FR15:FR17,"B"))*3)+((COUNTIF(FR15:FR17,"C"))*2)+((COUNTIF(FR15:FR17,"D"))*1))*CELL("contenu",$B$14),0),IFERROR((((COUNTIF(FR19:FR19,"A"))*4)+((COUNTIF(FR19:FR19,"B"))*3)+((COUNTIF(FR19:FR19,"C"))*2)+((COUNTIF(FR19:FR19,"D"))*1))*CELL("contenu",$B$18),0))/IF(SUM(COUNTA(FR5:FR6)*CELL("contenu",$B$4),COUNTA(FR8:FR11)*CELL("contenu",$B$7),COUNTA(FR13:FR13)*CELL("contenu",$B$12),COUNTA(FR15:FR17)*CELL("contenu",$B$14),COUNTA(FR19:FR19)*CELL("contenu",$B$18))=0,1,SUM(COUNTA(FR5:FR6)*CELL("contenu",$B$4),COUNTA(FR8:FR11)*CELL("contenu",$B$7),COUNTA(FR13:FR13)*CELL("contenu",$B$12),COUNTA(FR15:FR17)*CELL("contenu",$B$14),COUNTA(FR19:FR19)*CELL("contenu",$B$18))))</f>
        <v/>
      </c>
      <c r="FS20" s="169" t="str">
        <f ca="1">IF(COUNTA(FS5:FS19)=0,"",5*SUM(IFERROR((((COUNTIF(FS5:FS6,"A"))*4)+((COUNTIF(FS5:FS6,"B"))*3)+((COUNTIF(FS5:FS6,"C"))*2)+((COUNTIF(FS5:FS6,"D"))*1))*CELL("contenu",$B$4),0),IFERROR((((COUNTIF(FS8:FS11,"A"))*4)+((COUNTIF(FS8:FS11,"B"))*3)+((COUNTIF(FS8:FS11,"C"))*2)+((COUNTIF(FS8:FS11,"D"))*1))*CELL("contenu",$B$7),0),IFERROR((((COUNTIF(FS13:FS13,"A"))*4)+((COUNTIF(FS13:FS13,"B"))*3)+((COUNTIF(FS13:FS13,"C"))*2)+((COUNTIF(FS13:FS13,"D"))*1))*CELL("contenu",$B$12),0),IFERROR((((COUNTIF(FS15:FS17,"A"))*4)+((COUNTIF(FS15:FS17,"B"))*3)+((COUNTIF(FS15:FS17,"C"))*2)+((COUNTIF(FS15:FS17,"D"))*1))*CELL("contenu",$B$14),0),IFERROR((((COUNTIF(FS19:FS19,"A"))*4)+((COUNTIF(FS19:FS19,"B"))*3)+((COUNTIF(FS19:FS19,"C"))*2)+((COUNTIF(FS19:FS19,"D"))*1))*CELL("contenu",$B$18),0))/IF(SUM(COUNTA(FS5:FS6)*CELL("contenu",$B$4),COUNTA(FS8:FS11)*CELL("contenu",$B$7),COUNTA(FS13:FS13)*CELL("contenu",$B$12),COUNTA(FS15:FS17)*CELL("contenu",$B$14),COUNTA(FS19:FS19)*CELL("contenu",$B$18))=0,1,SUM(COUNTA(FS5:FS6)*CELL("contenu",$B$4),COUNTA(FS8:FS11)*CELL("contenu",$B$7),COUNTA(FS13:FS13)*CELL("contenu",$B$12),COUNTA(FS15:FS17)*CELL("contenu",$B$14),COUNTA(FS19:FS19)*CELL("contenu",$B$18))))</f>
        <v/>
      </c>
      <c r="FT20" s="116"/>
      <c r="FU20" s="192">
        <f ca="1">IF(COUNTA(FQ20:FS20)-COUNTBLANK(FQ20:FS20)=0,"",SUM(FQ20:FS20)/(COUNTA(FQ20:FS20)-COUNTBLANK(FQ20:FS20)))</f>
        <v>16.666666666666668</v>
      </c>
      <c r="FV20" s="182" t="str">
        <f ca="1">IF(COUNTA(FV5:FV19)=0,"",5*SUM(IFERROR((((COUNTIF(FV5:FV6,"A"))*4)+((COUNTIF(FV5:FV6,"B"))*3)+((COUNTIF(FV5:FV6,"C"))*2)+((COUNTIF(FV5:FV6,"D"))*1))*CELL("contenu",$B$4),0),IFERROR((((COUNTIF(FV8:FV11,"A"))*4)+((COUNTIF(FV8:FV11,"B"))*3)+((COUNTIF(FV8:FV11,"C"))*2)+((COUNTIF(FV8:FV11,"D"))*1))*CELL("contenu",$B$7),0),IFERROR((((COUNTIF(FV13:FV13,"A"))*4)+((COUNTIF(FV13:FV13,"B"))*3)+((COUNTIF(FV13:FV13,"C"))*2)+((COUNTIF(FV13:FV13,"D"))*1))*CELL("contenu",$B$12),0),IFERROR((((COUNTIF(FV15:FV17,"A"))*4)+((COUNTIF(FV15:FV17,"B"))*3)+((COUNTIF(FV15:FV17,"C"))*2)+((COUNTIF(FV15:FV17,"D"))*1))*CELL("contenu",$B$14),0),IFERROR((((COUNTIF(FV19:FV19,"A"))*4)+((COUNTIF(FV19:FV19,"B"))*3)+((COUNTIF(FV19:FV19,"C"))*2)+((COUNTIF(FV19:FV19,"D"))*1))*CELL("contenu",$B$18),0))/IF(SUM(COUNTA(FV5:FV6)*CELL("contenu",$B$4),COUNTA(FV8:FV11)*CELL("contenu",$B$7),COUNTA(FV13:FV13)*CELL("contenu",$B$12),COUNTA(FV15:FV17)*CELL("contenu",$B$14),COUNTA(FV19:FV19)*CELL("contenu",$B$18))=0,1,SUM(COUNTA(FV5:FV6)*CELL("contenu",$B$4),COUNTA(FV8:FV11)*CELL("contenu",$B$7),COUNTA(FV13:FV13)*CELL("contenu",$B$12),COUNTA(FV15:FV17)*CELL("contenu",$B$14),COUNTA(FV19:FV19)*CELL("contenu",$B$18))))</f>
        <v/>
      </c>
      <c r="FW20" s="183" t="str">
        <f ca="1">IF(COUNTA(FW5:FW19)=0,"",5*SUM(IFERROR((((COUNTIF(FW5:FW6,"A"))*4)+((COUNTIF(FW5:FW6,"B"))*3)+((COUNTIF(FW5:FW6,"C"))*2)+((COUNTIF(FW5:FW6,"D"))*1))*CELL("contenu",$B$4),0),IFERROR((((COUNTIF(FW8:FW11,"A"))*4)+((COUNTIF(FW8:FW11,"B"))*3)+((COUNTIF(FW8:FW11,"C"))*2)+((COUNTIF(FW8:FW11,"D"))*1))*CELL("contenu",$B$7),0),IFERROR((((COUNTIF(FW13:FW13,"A"))*4)+((COUNTIF(FW13:FW13,"B"))*3)+((COUNTIF(FW13:FW13,"C"))*2)+((COUNTIF(FW13:FW13,"D"))*1))*CELL("contenu",$B$12),0),IFERROR((((COUNTIF(FW15:FW17,"A"))*4)+((COUNTIF(FW15:FW17,"B"))*3)+((COUNTIF(FW15:FW17,"C"))*2)+((COUNTIF(FW15:FW17,"D"))*1))*CELL("contenu",$B$14),0),IFERROR((((COUNTIF(FW19:FW19,"A"))*4)+((COUNTIF(FW19:FW19,"B"))*3)+((COUNTIF(FW19:FW19,"C"))*2)+((COUNTIF(FW19:FW19,"D"))*1))*CELL("contenu",$B$18),0))/IF(SUM(COUNTA(FW5:FW6)*CELL("contenu",$B$4),COUNTA(FW8:FW11)*CELL("contenu",$B$7),COUNTA(FW13:FW13)*CELL("contenu",$B$12),COUNTA(FW15:FW17)*CELL("contenu",$B$14),COUNTA(FW19:FW19)*CELL("contenu",$B$18))=0,1,SUM(COUNTA(FW5:FW6)*CELL("contenu",$B$4),COUNTA(FW8:FW11)*CELL("contenu",$B$7),COUNTA(FW13:FW13)*CELL("contenu",$B$12),COUNTA(FW15:FW17)*CELL("contenu",$B$14),COUNTA(FW19:FW19)*CELL("contenu",$B$18))))</f>
        <v/>
      </c>
      <c r="FX20" s="184" t="str">
        <f ca="1">IF(COUNTA(FX5:FX19)=0,"",5*SUM(IFERROR((((COUNTIF(FX5:FX6,"A"))*4)+((COUNTIF(FX5:FX6,"B"))*3)+((COUNTIF(FX5:FX6,"C"))*2)+((COUNTIF(FX5:FX6,"D"))*1))*CELL("contenu",$B$4),0),IFERROR((((COUNTIF(FX8:FX11,"A"))*4)+((COUNTIF(FX8:FX11,"B"))*3)+((COUNTIF(FX8:FX11,"C"))*2)+((COUNTIF(FX8:FX11,"D"))*1))*CELL("contenu",$B$7),0),IFERROR((((COUNTIF(FX13:FX13,"A"))*4)+((COUNTIF(FX13:FX13,"B"))*3)+((COUNTIF(FX13:FX13,"C"))*2)+((COUNTIF(FX13:FX13,"D"))*1))*CELL("contenu",$B$12),0),IFERROR((((COUNTIF(FX15:FX17,"A"))*4)+((COUNTIF(FX15:FX17,"B"))*3)+((COUNTIF(FX15:FX17,"C"))*2)+((COUNTIF(FX15:FX17,"D"))*1))*CELL("contenu",$B$14),0),IFERROR((((COUNTIF(FX19:FX19,"A"))*4)+((COUNTIF(FX19:FX19,"B"))*3)+((COUNTIF(FX19:FX19,"C"))*2)+((COUNTIF(FX19:FX19,"D"))*1))*CELL("contenu",$B$18),0))/IF(SUM(COUNTA(FX5:FX6)*CELL("contenu",$B$4),COUNTA(FX8:FX11)*CELL("contenu",$B$7),COUNTA(FX13:FX13)*CELL("contenu",$B$12),COUNTA(FX15:FX17)*CELL("contenu",$B$14),COUNTA(FX19:FX19)*CELL("contenu",$B$18))=0,1,SUM(COUNTA(FX5:FX6)*CELL("contenu",$B$4),COUNTA(FX8:FX11)*CELL("contenu",$B$7),COUNTA(FX13:FX13)*CELL("contenu",$B$12),COUNTA(FX15:FX17)*CELL("contenu",$B$14),COUNTA(FX19:FX19)*CELL("contenu",$B$18))))</f>
        <v/>
      </c>
      <c r="FY20" s="176"/>
      <c r="FZ20" s="175" t="str">
        <f ca="1">IF(COUNTA(FV20:FX20)-COUNTBLANK(FV20:FX20)=0,"",SUM(FV20:FX20)/(COUNTA(FV20:FX20)-COUNTBLANK(FV20:FX20)))</f>
        <v/>
      </c>
      <c r="GA20" s="182" t="str">
        <f ca="1">IF(COUNTA(GA5:GA19)=0,"",5*SUM(IFERROR((((COUNTIF(GA5:GA6,"A"))*4)+((COUNTIF(GA5:GA6,"B"))*3)+((COUNTIF(GA5:GA6,"C"))*2)+((COUNTIF(GA5:GA6,"D"))*1))*CELL("contenu",$B$4),0),IFERROR((((COUNTIF(GA8:GA11,"A"))*4)+((COUNTIF(GA8:GA11,"B"))*3)+((COUNTIF(GA8:GA11,"C"))*2)+((COUNTIF(GA8:GA11,"D"))*1))*CELL("contenu",$B$7),0),IFERROR((((COUNTIF(GA13:GA13,"A"))*4)+((COUNTIF(GA13:GA13,"B"))*3)+((COUNTIF(GA13:GA13,"C"))*2)+((COUNTIF(GA13:GA13,"D"))*1))*CELL("contenu",$B$12),0),IFERROR((((COUNTIF(GA15:GA17,"A"))*4)+((COUNTIF(GA15:GA17,"B"))*3)+((COUNTIF(GA15:GA17,"C"))*2)+((COUNTIF(GA15:GA17,"D"))*1))*CELL("contenu",$B$14),0),IFERROR((((COUNTIF(GA19:GA19,"A"))*4)+((COUNTIF(GA19:GA19,"B"))*3)+((COUNTIF(GA19:GA19,"C"))*2)+((COUNTIF(GA19:GA19,"D"))*1))*CELL("contenu",$B$18),0))/IF(SUM(COUNTA(GA5:GA6)*CELL("contenu",$B$4),COUNTA(GA8:GA11)*CELL("contenu",$B$7),COUNTA(GA13:GA13)*CELL("contenu",$B$12),COUNTA(GA15:GA17)*CELL("contenu",$B$14),COUNTA(GA19:GA19)*CELL("contenu",$B$18))=0,1,SUM(COUNTA(GA5:GA6)*CELL("contenu",$B$4),COUNTA(GA8:GA11)*CELL("contenu",$B$7),COUNTA(GA13:GA13)*CELL("contenu",$B$12),COUNTA(GA15:GA17)*CELL("contenu",$B$14),COUNTA(GA19:GA19)*CELL("contenu",$B$18))))</f>
        <v/>
      </c>
      <c r="GB20" s="183" t="str">
        <f ca="1">IF(COUNTA(GB5:GB19)=0,"",5*SUM(IFERROR((((COUNTIF(GB5:GB6,"A"))*4)+((COUNTIF(GB5:GB6,"B"))*3)+((COUNTIF(GB5:GB6,"C"))*2)+((COUNTIF(GB5:GB6,"D"))*1))*CELL("contenu",$B$4),0),IFERROR((((COUNTIF(GB8:GB11,"A"))*4)+((COUNTIF(GB8:GB11,"B"))*3)+((COUNTIF(GB8:GB11,"C"))*2)+((COUNTIF(GB8:GB11,"D"))*1))*CELL("contenu",$B$7),0),IFERROR((((COUNTIF(GB13:GB13,"A"))*4)+((COUNTIF(GB13:GB13,"B"))*3)+((COUNTIF(GB13:GB13,"C"))*2)+((COUNTIF(GB13:GB13,"D"))*1))*CELL("contenu",$B$12),0),IFERROR((((COUNTIF(GB15:GB17,"A"))*4)+((COUNTIF(GB15:GB17,"B"))*3)+((COUNTIF(GB15:GB17,"C"))*2)+((COUNTIF(GB15:GB17,"D"))*1))*CELL("contenu",$B$14),0),IFERROR((((COUNTIF(GB19:GB19,"A"))*4)+((COUNTIF(GB19:GB19,"B"))*3)+((COUNTIF(GB19:GB19,"C"))*2)+((COUNTIF(GB19:GB19,"D"))*1))*CELL("contenu",$B$18),0))/IF(SUM(COUNTA(GB5:GB6)*CELL("contenu",$B$4),COUNTA(GB8:GB11)*CELL("contenu",$B$7),COUNTA(GB13:GB13)*CELL("contenu",$B$12),COUNTA(GB15:GB17)*CELL("contenu",$B$14),COUNTA(GB19:GB19)*CELL("contenu",$B$18))=0,1,SUM(COUNTA(GB5:GB6)*CELL("contenu",$B$4),COUNTA(GB8:GB11)*CELL("contenu",$B$7),COUNTA(GB13:GB13)*CELL("contenu",$B$12),COUNTA(GB15:GB17)*CELL("contenu",$B$14),COUNTA(GB19:GB19)*CELL("contenu",$B$18))))</f>
        <v/>
      </c>
      <c r="GC20" s="184" t="str">
        <f ca="1">IF(COUNTA(GC5:GC19)=0,"",5*SUM(IFERROR((((COUNTIF(GC5:GC6,"A"))*4)+((COUNTIF(GC5:GC6,"B"))*3)+((COUNTIF(GC5:GC6,"C"))*2)+((COUNTIF(GC5:GC6,"D"))*1))*CELL("contenu",$B$4),0),IFERROR((((COUNTIF(GC8:GC11,"A"))*4)+((COUNTIF(GC8:GC11,"B"))*3)+((COUNTIF(GC8:GC11,"C"))*2)+((COUNTIF(GC8:GC11,"D"))*1))*CELL("contenu",$B$7),0),IFERROR((((COUNTIF(GC13:GC13,"A"))*4)+((COUNTIF(GC13:GC13,"B"))*3)+((COUNTIF(GC13:GC13,"C"))*2)+((COUNTIF(GC13:GC13,"D"))*1))*CELL("contenu",$B$12),0),IFERROR((((COUNTIF(GC15:GC17,"A"))*4)+((COUNTIF(GC15:GC17,"B"))*3)+((COUNTIF(GC15:GC17,"C"))*2)+((COUNTIF(GC15:GC17,"D"))*1))*CELL("contenu",$B$14),0),IFERROR((((COUNTIF(GC19:GC19,"A"))*4)+((COUNTIF(GC19:GC19,"B"))*3)+((COUNTIF(GC19:GC19,"C"))*2)+((COUNTIF(GC19:GC19,"D"))*1))*CELL("contenu",$B$18),0))/IF(SUM(COUNTA(GC5:GC6)*CELL("contenu",$B$4),COUNTA(GC8:GC11)*CELL("contenu",$B$7),COUNTA(GC13:GC13)*CELL("contenu",$B$12),COUNTA(GC15:GC17)*CELL("contenu",$B$14),COUNTA(GC19:GC19)*CELL("contenu",$B$18))=0,1,SUM(COUNTA(GC5:GC6)*CELL("contenu",$B$4),COUNTA(GC8:GC11)*CELL("contenu",$B$7),COUNTA(GC13:GC13)*CELL("contenu",$B$12),COUNTA(GC15:GC17)*CELL("contenu",$B$14),COUNTA(GC19:GC19)*CELL("contenu",$B$18))))</f>
        <v/>
      </c>
      <c r="GD20" s="176"/>
      <c r="GE20" s="174" t="str">
        <f ca="1">IF(COUNTA(GA20:GC20)-COUNTBLANK(GA20:GC20)=0,"",SUM(GA20:GC20)/(COUNTA(GA20:GC20)-COUNTBLANK(GA20:GC20)))</f>
        <v/>
      </c>
      <c r="GF20" s="103"/>
      <c r="GG20" s="141"/>
      <c r="GH20" s="167">
        <f ca="1">IF(COUNTA(GH5:GH19)=0,"",5*SUM(IFERROR((((COUNTIF(GH5:GH6,"A"))*4)+((COUNTIF(GH5:GH6,"B"))*3)+((COUNTIF(GH5:GH6,"C"))*2)+((COUNTIF(GH5:GH6,"D"))*1))*CELL("contenu",$B$4),0),IFERROR((((COUNTIF(GH8:GH11,"A"))*4)+((COUNTIF(GH8:GH11,"B"))*3)+((COUNTIF(GH8:GH11,"C"))*2)+((COUNTIF(GH8:GH11,"D"))*1))*CELL("contenu",$B$7),0),IFERROR((((COUNTIF(GH13:GH13,"A"))*4)+((COUNTIF(GH13:GH13,"B"))*3)+((COUNTIF(GH13:GH13,"C"))*2)+((COUNTIF(GH13:GH13,"D"))*1))*CELL("contenu",$B$12),0),IFERROR((((COUNTIF(GH15:GH17,"A"))*4)+((COUNTIF(GH15:GH17,"B"))*3)+((COUNTIF(GH15:GH17,"C"))*2)+((COUNTIF(GH15:GH17,"D"))*1))*CELL("contenu",$B$14),0),IFERROR((((COUNTIF(GH19:GH19,"A"))*4)+((COUNTIF(GH19:GH19,"B"))*3)+((COUNTIF(GH19:GH19,"C"))*2)+((COUNTIF(GH19:GH19,"D"))*1))*CELL("contenu",$B$18),0))/IF(SUM(COUNTA(GH5:GH6)*CELL("contenu",$B$4),COUNTA(GH8:GH11)*CELL("contenu",$B$7),COUNTA(GH13:GH13)*CELL("contenu",$B$12),COUNTA(GH15:GH17)*CELL("contenu",$B$14),COUNTA(GH19:GH19)*CELL("contenu",$B$18))=0,1,SUM(COUNTA(GH5:GH6)*CELL("contenu",$B$4),COUNTA(GH8:GH11)*CELL("contenu",$B$7),COUNTA(GH13:GH13)*CELL("contenu",$B$12),COUNTA(GH15:GH17)*CELL("contenu",$B$14),COUNTA(GH19:GH19)*CELL("contenu",$B$18))))</f>
        <v>18.333333333333332</v>
      </c>
      <c r="GI20" s="168" t="str">
        <f ca="1">IF(COUNTA(GI5:GI19)=0,"",5*SUM(IFERROR((((COUNTIF(GI5:GI6,"A"))*4)+((COUNTIF(GI5:GI6,"B"))*3)+((COUNTIF(GI5:GI6,"C"))*2)+((COUNTIF(GI5:GI6,"D"))*1))*CELL("contenu",$B$4),0),IFERROR((((COUNTIF(GI8:GI11,"A"))*4)+((COUNTIF(GI8:GI11,"B"))*3)+((COUNTIF(GI8:GI11,"C"))*2)+((COUNTIF(GI8:GI11,"D"))*1))*CELL("contenu",$B$7),0),IFERROR((((COUNTIF(GI13:GI13,"A"))*4)+((COUNTIF(GI13:GI13,"B"))*3)+((COUNTIF(GI13:GI13,"C"))*2)+((COUNTIF(GI13:GI13,"D"))*1))*CELL("contenu",$B$12),0),IFERROR((((COUNTIF(GI15:GI17,"A"))*4)+((COUNTIF(GI15:GI17,"B"))*3)+((COUNTIF(GI15:GI17,"C"))*2)+((COUNTIF(GI15:GI17,"D"))*1))*CELL("contenu",$B$14),0),IFERROR((((COUNTIF(GI19:GI19,"A"))*4)+((COUNTIF(GI19:GI19,"B"))*3)+((COUNTIF(GI19:GI19,"C"))*2)+((COUNTIF(GI19:GI19,"D"))*1))*CELL("contenu",$B$18),0))/IF(SUM(COUNTA(GI5:GI6)*CELL("contenu",$B$4),COUNTA(GI8:GI11)*CELL("contenu",$B$7),COUNTA(GI13:GI13)*CELL("contenu",$B$12),COUNTA(GI15:GI17)*CELL("contenu",$B$14),COUNTA(GI19:GI19)*CELL("contenu",$B$18))=0,1,SUM(COUNTA(GI5:GI6)*CELL("contenu",$B$4),COUNTA(GI8:GI11)*CELL("contenu",$B$7),COUNTA(GI13:GI13)*CELL("contenu",$B$12),COUNTA(GI15:GI17)*CELL("contenu",$B$14),COUNTA(GI19:GI19)*CELL("contenu",$B$18))))</f>
        <v/>
      </c>
      <c r="GJ20" s="169" t="str">
        <f ca="1">IF(COUNTA(GJ5:GJ19)=0,"",5*SUM(IFERROR((((COUNTIF(GJ5:GJ6,"A"))*4)+((COUNTIF(GJ5:GJ6,"B"))*3)+((COUNTIF(GJ5:GJ6,"C"))*2)+((COUNTIF(GJ5:GJ6,"D"))*1))*CELL("contenu",$B$4),0),IFERROR((((COUNTIF(GJ8:GJ11,"A"))*4)+((COUNTIF(GJ8:GJ11,"B"))*3)+((COUNTIF(GJ8:GJ11,"C"))*2)+((COUNTIF(GJ8:GJ11,"D"))*1))*CELL("contenu",$B$7),0),IFERROR((((COUNTIF(GJ13:GJ13,"A"))*4)+((COUNTIF(GJ13:GJ13,"B"))*3)+((COUNTIF(GJ13:GJ13,"C"))*2)+((COUNTIF(GJ13:GJ13,"D"))*1))*CELL("contenu",$B$12),0),IFERROR((((COUNTIF(GJ15:GJ17,"A"))*4)+((COUNTIF(GJ15:GJ17,"B"))*3)+((COUNTIF(GJ15:GJ17,"C"))*2)+((COUNTIF(GJ15:GJ17,"D"))*1))*CELL("contenu",$B$14),0),IFERROR((((COUNTIF(GJ19:GJ19,"A"))*4)+((COUNTIF(GJ19:GJ19,"B"))*3)+((COUNTIF(GJ19:GJ19,"C"))*2)+((COUNTIF(GJ19:GJ19,"D"))*1))*CELL("contenu",$B$18),0))/IF(SUM(COUNTA(GJ5:GJ6)*CELL("contenu",$B$4),COUNTA(GJ8:GJ11)*CELL("contenu",$B$7),COUNTA(GJ13:GJ13)*CELL("contenu",$B$12),COUNTA(GJ15:GJ17)*CELL("contenu",$B$14),COUNTA(GJ19:GJ19)*CELL("contenu",$B$18))=0,1,SUM(COUNTA(GJ5:GJ6)*CELL("contenu",$B$4),COUNTA(GJ8:GJ11)*CELL("contenu",$B$7),COUNTA(GJ13:GJ13)*CELL("contenu",$B$12),COUNTA(GJ15:GJ17)*CELL("contenu",$B$14),COUNTA(GJ19:GJ19)*CELL("contenu",$B$18))))</f>
        <v/>
      </c>
      <c r="GK20" s="116"/>
      <c r="GL20" s="192">
        <f ca="1">IF(COUNTA(GH20:GJ20)-COUNTBLANK(GH20:GJ20)=0,"",SUM(GH20:GJ20)/(COUNTA(GH20:GJ20)-COUNTBLANK(GH20:GJ20)))</f>
        <v>18.333333333333332</v>
      </c>
      <c r="GM20" s="182" t="str">
        <f ca="1">IF(COUNTA(GM5:GM19)=0,"",5*SUM(IFERROR((((COUNTIF(GM5:GM6,"A"))*4)+((COUNTIF(GM5:GM6,"B"))*3)+((COUNTIF(GM5:GM6,"C"))*2)+((COUNTIF(GM5:GM6,"D"))*1))*CELL("contenu",$B$4),0),IFERROR((((COUNTIF(GM8:GM11,"A"))*4)+((COUNTIF(GM8:GM11,"B"))*3)+((COUNTIF(GM8:GM11,"C"))*2)+((COUNTIF(GM8:GM11,"D"))*1))*CELL("contenu",$B$7),0),IFERROR((((COUNTIF(GM13:GM13,"A"))*4)+((COUNTIF(GM13:GM13,"B"))*3)+((COUNTIF(GM13:GM13,"C"))*2)+((COUNTIF(GM13:GM13,"D"))*1))*CELL("contenu",$B$12),0),IFERROR((((COUNTIF(GM15:GM17,"A"))*4)+((COUNTIF(GM15:GM17,"B"))*3)+((COUNTIF(GM15:GM17,"C"))*2)+((COUNTIF(GM15:GM17,"D"))*1))*CELL("contenu",$B$14),0),IFERROR((((COUNTIF(GM19:GM19,"A"))*4)+((COUNTIF(GM19:GM19,"B"))*3)+((COUNTIF(GM19:GM19,"C"))*2)+((COUNTIF(GM19:GM19,"D"))*1))*CELL("contenu",$B$18),0))/IF(SUM(COUNTA(GM5:GM6)*CELL("contenu",$B$4),COUNTA(GM8:GM11)*CELL("contenu",$B$7),COUNTA(GM13:GM13)*CELL("contenu",$B$12),COUNTA(GM15:GM17)*CELL("contenu",$B$14),COUNTA(GM19:GM19)*CELL("contenu",$B$18))=0,1,SUM(COUNTA(GM5:GM6)*CELL("contenu",$B$4),COUNTA(GM8:GM11)*CELL("contenu",$B$7),COUNTA(GM13:GM13)*CELL("contenu",$B$12),COUNTA(GM15:GM17)*CELL("contenu",$B$14),COUNTA(GM19:GM19)*CELL("contenu",$B$18))))</f>
        <v/>
      </c>
      <c r="GN20" s="183" t="str">
        <f ca="1">IF(COUNTA(GN5:GN19)=0,"",5*SUM(IFERROR((((COUNTIF(GN5:GN6,"A"))*4)+((COUNTIF(GN5:GN6,"B"))*3)+((COUNTIF(GN5:GN6,"C"))*2)+((COUNTIF(GN5:GN6,"D"))*1))*CELL("contenu",$B$4),0),IFERROR((((COUNTIF(GN8:GN11,"A"))*4)+((COUNTIF(GN8:GN11,"B"))*3)+((COUNTIF(GN8:GN11,"C"))*2)+((COUNTIF(GN8:GN11,"D"))*1))*CELL("contenu",$B$7),0),IFERROR((((COUNTIF(GN13:GN13,"A"))*4)+((COUNTIF(GN13:GN13,"B"))*3)+((COUNTIF(GN13:GN13,"C"))*2)+((COUNTIF(GN13:GN13,"D"))*1))*CELL("contenu",$B$12),0),IFERROR((((COUNTIF(GN15:GN17,"A"))*4)+((COUNTIF(GN15:GN17,"B"))*3)+((COUNTIF(GN15:GN17,"C"))*2)+((COUNTIF(GN15:GN17,"D"))*1))*CELL("contenu",$B$14),0),IFERROR((((COUNTIF(GN19:GN19,"A"))*4)+((COUNTIF(GN19:GN19,"B"))*3)+((COUNTIF(GN19:GN19,"C"))*2)+((COUNTIF(GN19:GN19,"D"))*1))*CELL("contenu",$B$18),0))/IF(SUM(COUNTA(GN5:GN6)*CELL("contenu",$B$4),COUNTA(GN8:GN11)*CELL("contenu",$B$7),COUNTA(GN13:GN13)*CELL("contenu",$B$12),COUNTA(GN15:GN17)*CELL("contenu",$B$14),COUNTA(GN19:GN19)*CELL("contenu",$B$18))=0,1,SUM(COUNTA(GN5:GN6)*CELL("contenu",$B$4),COUNTA(GN8:GN11)*CELL("contenu",$B$7),COUNTA(GN13:GN13)*CELL("contenu",$B$12),COUNTA(GN15:GN17)*CELL("contenu",$B$14),COUNTA(GN19:GN19)*CELL("contenu",$B$18))))</f>
        <v/>
      </c>
      <c r="GO20" s="184" t="str">
        <f ca="1">IF(COUNTA(GO5:GO19)=0,"",5*SUM(IFERROR((((COUNTIF(GO5:GO6,"A"))*4)+((COUNTIF(GO5:GO6,"B"))*3)+((COUNTIF(GO5:GO6,"C"))*2)+((COUNTIF(GO5:GO6,"D"))*1))*CELL("contenu",$B$4),0),IFERROR((((COUNTIF(GO8:GO11,"A"))*4)+((COUNTIF(GO8:GO11,"B"))*3)+((COUNTIF(GO8:GO11,"C"))*2)+((COUNTIF(GO8:GO11,"D"))*1))*CELL("contenu",$B$7),0),IFERROR((((COUNTIF(GO13:GO13,"A"))*4)+((COUNTIF(GO13:GO13,"B"))*3)+((COUNTIF(GO13:GO13,"C"))*2)+((COUNTIF(GO13:GO13,"D"))*1))*CELL("contenu",$B$12),0),IFERROR((((COUNTIF(GO15:GO17,"A"))*4)+((COUNTIF(GO15:GO17,"B"))*3)+((COUNTIF(GO15:GO17,"C"))*2)+((COUNTIF(GO15:GO17,"D"))*1))*CELL("contenu",$B$14),0),IFERROR((((COUNTIF(GO19:GO19,"A"))*4)+((COUNTIF(GO19:GO19,"B"))*3)+((COUNTIF(GO19:GO19,"C"))*2)+((COUNTIF(GO19:GO19,"D"))*1))*CELL("contenu",$B$18),0))/IF(SUM(COUNTA(GO5:GO6)*CELL("contenu",$B$4),COUNTA(GO8:GO11)*CELL("contenu",$B$7),COUNTA(GO13:GO13)*CELL("contenu",$B$12),COUNTA(GO15:GO17)*CELL("contenu",$B$14),COUNTA(GO19:GO19)*CELL("contenu",$B$18))=0,1,SUM(COUNTA(GO5:GO6)*CELL("contenu",$B$4),COUNTA(GO8:GO11)*CELL("contenu",$B$7),COUNTA(GO13:GO13)*CELL("contenu",$B$12),COUNTA(GO15:GO17)*CELL("contenu",$B$14),COUNTA(GO19:GO19)*CELL("contenu",$B$18))))</f>
        <v/>
      </c>
      <c r="GP20" s="176"/>
      <c r="GQ20" s="175" t="str">
        <f ca="1">IF(COUNTA(GM20:GO20)-COUNTBLANK(GM20:GO20)=0,"",SUM(GM20:GO20)/(COUNTA(GM20:GO20)-COUNTBLANK(GM20:GO20)))</f>
        <v/>
      </c>
      <c r="GR20" s="182" t="str">
        <f ca="1">IF(COUNTA(GR5:GR19)=0,"",5*SUM(IFERROR((((COUNTIF(GR5:GR6,"A"))*4)+((COUNTIF(GR5:GR6,"B"))*3)+((COUNTIF(GR5:GR6,"C"))*2)+((COUNTIF(GR5:GR6,"D"))*1))*CELL("contenu",$B$4),0),IFERROR((((COUNTIF(GR8:GR11,"A"))*4)+((COUNTIF(GR8:GR11,"B"))*3)+((COUNTIF(GR8:GR11,"C"))*2)+((COUNTIF(GR8:GR11,"D"))*1))*CELL("contenu",$B$7),0),IFERROR((((COUNTIF(GR13:GR13,"A"))*4)+((COUNTIF(GR13:GR13,"B"))*3)+((COUNTIF(GR13:GR13,"C"))*2)+((COUNTIF(GR13:GR13,"D"))*1))*CELL("contenu",$B$12),0),IFERROR((((COUNTIF(GR15:GR17,"A"))*4)+((COUNTIF(GR15:GR17,"B"))*3)+((COUNTIF(GR15:GR17,"C"))*2)+((COUNTIF(GR15:GR17,"D"))*1))*CELL("contenu",$B$14),0),IFERROR((((COUNTIF(GR19:GR19,"A"))*4)+((COUNTIF(GR19:GR19,"B"))*3)+((COUNTIF(GR19:GR19,"C"))*2)+((COUNTIF(GR19:GR19,"D"))*1))*CELL("contenu",$B$18),0))/IF(SUM(COUNTA(GR5:GR6)*CELL("contenu",$B$4),COUNTA(GR8:GR11)*CELL("contenu",$B$7),COUNTA(GR13:GR13)*CELL("contenu",$B$12),COUNTA(GR15:GR17)*CELL("contenu",$B$14),COUNTA(GR19:GR19)*CELL("contenu",$B$18))=0,1,SUM(COUNTA(GR5:GR6)*CELL("contenu",$B$4),COUNTA(GR8:GR11)*CELL("contenu",$B$7),COUNTA(GR13:GR13)*CELL("contenu",$B$12),COUNTA(GR15:GR17)*CELL("contenu",$B$14),COUNTA(GR19:GR19)*CELL("contenu",$B$18))))</f>
        <v/>
      </c>
      <c r="GS20" s="183" t="str">
        <f ca="1">IF(COUNTA(GS5:GS19)=0,"",5*SUM(IFERROR((((COUNTIF(GS5:GS6,"A"))*4)+((COUNTIF(GS5:GS6,"B"))*3)+((COUNTIF(GS5:GS6,"C"))*2)+((COUNTIF(GS5:GS6,"D"))*1))*CELL("contenu",$B$4),0),IFERROR((((COUNTIF(GS8:GS11,"A"))*4)+((COUNTIF(GS8:GS11,"B"))*3)+((COUNTIF(GS8:GS11,"C"))*2)+((COUNTIF(GS8:GS11,"D"))*1))*CELL("contenu",$B$7),0),IFERROR((((COUNTIF(GS13:GS13,"A"))*4)+((COUNTIF(GS13:GS13,"B"))*3)+((COUNTIF(GS13:GS13,"C"))*2)+((COUNTIF(GS13:GS13,"D"))*1))*CELL("contenu",$B$12),0),IFERROR((((COUNTIF(GS15:GS17,"A"))*4)+((COUNTIF(GS15:GS17,"B"))*3)+((COUNTIF(GS15:GS17,"C"))*2)+((COUNTIF(GS15:GS17,"D"))*1))*CELL("contenu",$B$14),0),IFERROR((((COUNTIF(GS19:GS19,"A"))*4)+((COUNTIF(GS19:GS19,"B"))*3)+((COUNTIF(GS19:GS19,"C"))*2)+((COUNTIF(GS19:GS19,"D"))*1))*CELL("contenu",$B$18),0))/IF(SUM(COUNTA(GS5:GS6)*CELL("contenu",$B$4),COUNTA(GS8:GS11)*CELL("contenu",$B$7),COUNTA(GS13:GS13)*CELL("contenu",$B$12),COUNTA(GS15:GS17)*CELL("contenu",$B$14),COUNTA(GS19:GS19)*CELL("contenu",$B$18))=0,1,SUM(COUNTA(GS5:GS6)*CELL("contenu",$B$4),COUNTA(GS8:GS11)*CELL("contenu",$B$7),COUNTA(GS13:GS13)*CELL("contenu",$B$12),COUNTA(GS15:GS17)*CELL("contenu",$B$14),COUNTA(GS19:GS19)*CELL("contenu",$B$18))))</f>
        <v/>
      </c>
      <c r="GT20" s="184" t="str">
        <f ca="1">IF(COUNTA(GT5:GT19)=0,"",5*SUM(IFERROR((((COUNTIF(GT5:GT6,"A"))*4)+((COUNTIF(GT5:GT6,"B"))*3)+((COUNTIF(GT5:GT6,"C"))*2)+((COUNTIF(GT5:GT6,"D"))*1))*CELL("contenu",$B$4),0),IFERROR((((COUNTIF(GT8:GT11,"A"))*4)+((COUNTIF(GT8:GT11,"B"))*3)+((COUNTIF(GT8:GT11,"C"))*2)+((COUNTIF(GT8:GT11,"D"))*1))*CELL("contenu",$B$7),0),IFERROR((((COUNTIF(GT13:GT13,"A"))*4)+((COUNTIF(GT13:GT13,"B"))*3)+((COUNTIF(GT13:GT13,"C"))*2)+((COUNTIF(GT13:GT13,"D"))*1))*CELL("contenu",$B$12),0),IFERROR((((COUNTIF(GT15:GT17,"A"))*4)+((COUNTIF(GT15:GT17,"B"))*3)+((COUNTIF(GT15:GT17,"C"))*2)+((COUNTIF(GT15:GT17,"D"))*1))*CELL("contenu",$B$14),0),IFERROR((((COUNTIF(GT19:GT19,"A"))*4)+((COUNTIF(GT19:GT19,"B"))*3)+((COUNTIF(GT19:GT19,"C"))*2)+((COUNTIF(GT19:GT19,"D"))*1))*CELL("contenu",$B$18),0))/IF(SUM(COUNTA(GT5:GT6)*CELL("contenu",$B$4),COUNTA(GT8:GT11)*CELL("contenu",$B$7),COUNTA(GT13:GT13)*CELL("contenu",$B$12),COUNTA(GT15:GT17)*CELL("contenu",$B$14),COUNTA(GT19:GT19)*CELL("contenu",$B$18))=0,1,SUM(COUNTA(GT5:GT6)*CELL("contenu",$B$4),COUNTA(GT8:GT11)*CELL("contenu",$B$7),COUNTA(GT13:GT13)*CELL("contenu",$B$12),COUNTA(GT15:GT17)*CELL("contenu",$B$14),COUNTA(GT19:GT19)*CELL("contenu",$B$18))))</f>
        <v/>
      </c>
      <c r="GU20" s="176"/>
      <c r="GV20" s="174" t="str">
        <f ca="1">IF(COUNTA(GR20:GT20)-COUNTBLANK(GR20:GT20)=0,"",SUM(GR20:GT20)/(COUNTA(GR20:GT20)-COUNTBLANK(GR20:GT20)))</f>
        <v/>
      </c>
      <c r="GW20" s="103"/>
      <c r="GX20" s="141"/>
      <c r="GY20" s="167">
        <f ca="1">IF(COUNTA(GY5:GY19)=0,"",5*SUM(IFERROR((((COUNTIF(GY5:GY6,"A"))*4)+((COUNTIF(GY5:GY6,"B"))*3)+((COUNTIF(GY5:GY6,"C"))*2)+((COUNTIF(GY5:GY6,"D"))*1))*CELL("contenu",$B$4),0),IFERROR((((COUNTIF(GY8:GY11,"A"))*4)+((COUNTIF(GY8:GY11,"B"))*3)+((COUNTIF(GY8:GY11,"C"))*2)+((COUNTIF(GY8:GY11,"D"))*1))*CELL("contenu",$B$7),0),IFERROR((((COUNTIF(GY13:GY13,"A"))*4)+((COUNTIF(GY13:GY13,"B"))*3)+((COUNTIF(GY13:GY13,"C"))*2)+((COUNTIF(GY13:GY13,"D"))*1))*CELL("contenu",$B$12),0),IFERROR((((COUNTIF(GY15:GY17,"A"))*4)+((COUNTIF(GY15:GY17,"B"))*3)+((COUNTIF(GY15:GY17,"C"))*2)+((COUNTIF(GY15:GY17,"D"))*1))*CELL("contenu",$B$14),0),IFERROR((((COUNTIF(GY19:GY19,"A"))*4)+((COUNTIF(GY19:GY19,"B"))*3)+((COUNTIF(GY19:GY19,"C"))*2)+((COUNTIF(GY19:GY19,"D"))*1))*CELL("contenu",$B$18),0))/IF(SUM(COUNTA(GY5:GY6)*CELL("contenu",$B$4),COUNTA(GY8:GY11)*CELL("contenu",$B$7),COUNTA(GY13:GY13)*CELL("contenu",$B$12),COUNTA(GY15:GY17)*CELL("contenu",$B$14),COUNTA(GY19:GY19)*CELL("contenu",$B$18))=0,1,SUM(COUNTA(GY5:GY6)*CELL("contenu",$B$4),COUNTA(GY8:GY11)*CELL("contenu",$B$7),COUNTA(GY13:GY13)*CELL("contenu",$B$12),COUNTA(GY15:GY17)*CELL("contenu",$B$14),COUNTA(GY19:GY19)*CELL("contenu",$B$18))))</f>
        <v>16.666666666666668</v>
      </c>
      <c r="GZ20" s="168" t="str">
        <f ca="1">IF(COUNTA(GZ5:GZ19)=0,"",5*SUM(IFERROR((((COUNTIF(GZ5:GZ6,"A"))*4)+((COUNTIF(GZ5:GZ6,"B"))*3)+((COUNTIF(GZ5:GZ6,"C"))*2)+((COUNTIF(GZ5:GZ6,"D"))*1))*CELL("contenu",$B$4),0),IFERROR((((COUNTIF(GZ8:GZ11,"A"))*4)+((COUNTIF(GZ8:GZ11,"B"))*3)+((COUNTIF(GZ8:GZ11,"C"))*2)+((COUNTIF(GZ8:GZ11,"D"))*1))*CELL("contenu",$B$7),0),IFERROR((((COUNTIF(GZ13:GZ13,"A"))*4)+((COUNTIF(GZ13:GZ13,"B"))*3)+((COUNTIF(GZ13:GZ13,"C"))*2)+((COUNTIF(GZ13:GZ13,"D"))*1))*CELL("contenu",$B$12),0),IFERROR((((COUNTIF(GZ15:GZ17,"A"))*4)+((COUNTIF(GZ15:GZ17,"B"))*3)+((COUNTIF(GZ15:GZ17,"C"))*2)+((COUNTIF(GZ15:GZ17,"D"))*1))*CELL("contenu",$B$14),0),IFERROR((((COUNTIF(GZ19:GZ19,"A"))*4)+((COUNTIF(GZ19:GZ19,"B"))*3)+((COUNTIF(GZ19:GZ19,"C"))*2)+((COUNTIF(GZ19:GZ19,"D"))*1))*CELL("contenu",$B$18),0))/IF(SUM(COUNTA(GZ5:GZ6)*CELL("contenu",$B$4),COUNTA(GZ8:GZ11)*CELL("contenu",$B$7),COUNTA(GZ13:GZ13)*CELL("contenu",$B$12),COUNTA(GZ15:GZ17)*CELL("contenu",$B$14),COUNTA(GZ19:GZ19)*CELL("contenu",$B$18))=0,1,SUM(COUNTA(GZ5:GZ6)*CELL("contenu",$B$4),COUNTA(GZ8:GZ11)*CELL("contenu",$B$7),COUNTA(GZ13:GZ13)*CELL("contenu",$B$12),COUNTA(GZ15:GZ17)*CELL("contenu",$B$14),COUNTA(GZ19:GZ19)*CELL("contenu",$B$18))))</f>
        <v/>
      </c>
      <c r="HA20" s="169" t="str">
        <f ca="1">IF(COUNTA(HA5:HA19)=0,"",5*SUM(IFERROR((((COUNTIF(HA5:HA6,"A"))*4)+((COUNTIF(HA5:HA6,"B"))*3)+((COUNTIF(HA5:HA6,"C"))*2)+((COUNTIF(HA5:HA6,"D"))*1))*CELL("contenu",$B$4),0),IFERROR((((COUNTIF(HA8:HA11,"A"))*4)+((COUNTIF(HA8:HA11,"B"))*3)+((COUNTIF(HA8:HA11,"C"))*2)+((COUNTIF(HA8:HA11,"D"))*1))*CELL("contenu",$B$7),0),IFERROR((((COUNTIF(HA13:HA13,"A"))*4)+((COUNTIF(HA13:HA13,"B"))*3)+((COUNTIF(HA13:HA13,"C"))*2)+((COUNTIF(HA13:HA13,"D"))*1))*CELL("contenu",$B$12),0),IFERROR((((COUNTIF(HA15:HA17,"A"))*4)+((COUNTIF(HA15:HA17,"B"))*3)+((COUNTIF(HA15:HA17,"C"))*2)+((COUNTIF(HA15:HA17,"D"))*1))*CELL("contenu",$B$14),0),IFERROR((((COUNTIF(HA19:HA19,"A"))*4)+((COUNTIF(HA19:HA19,"B"))*3)+((COUNTIF(HA19:HA19,"C"))*2)+((COUNTIF(HA19:HA19,"D"))*1))*CELL("contenu",$B$18),0))/IF(SUM(COUNTA(HA5:HA6)*CELL("contenu",$B$4),COUNTA(HA8:HA11)*CELL("contenu",$B$7),COUNTA(HA13:HA13)*CELL("contenu",$B$12),COUNTA(HA15:HA17)*CELL("contenu",$B$14),COUNTA(HA19:HA19)*CELL("contenu",$B$18))=0,1,SUM(COUNTA(HA5:HA6)*CELL("contenu",$B$4),COUNTA(HA8:HA11)*CELL("contenu",$B$7),COUNTA(HA13:HA13)*CELL("contenu",$B$12),COUNTA(HA15:HA17)*CELL("contenu",$B$14),COUNTA(HA19:HA19)*CELL("contenu",$B$18))))</f>
        <v/>
      </c>
      <c r="HB20" s="116"/>
      <c r="HC20" s="192">
        <f ca="1">IF(COUNTA(GY20:HA20)-COUNTBLANK(GY20:HA20)=0,"",SUM(GY20:HA20)/(COUNTA(GY20:HA20)-COUNTBLANK(GY20:HA20)))</f>
        <v>16.666666666666668</v>
      </c>
      <c r="HD20" s="182" t="str">
        <f ca="1">IF(COUNTA(HD5:HD19)=0,"",5*SUM(IFERROR((((COUNTIF(HD5:HD6,"A"))*4)+((COUNTIF(HD5:HD6,"B"))*3)+((COUNTIF(HD5:HD6,"C"))*2)+((COUNTIF(HD5:HD6,"D"))*1))*CELL("contenu",$B$4),0),IFERROR((((COUNTIF(HD8:HD11,"A"))*4)+((COUNTIF(HD8:HD11,"B"))*3)+((COUNTIF(HD8:HD11,"C"))*2)+((COUNTIF(HD8:HD11,"D"))*1))*CELL("contenu",$B$7),0),IFERROR((((COUNTIF(HD13:HD13,"A"))*4)+((COUNTIF(HD13:HD13,"B"))*3)+((COUNTIF(HD13:HD13,"C"))*2)+((COUNTIF(HD13:HD13,"D"))*1))*CELL("contenu",$B$12),0),IFERROR((((COUNTIF(HD15:HD17,"A"))*4)+((COUNTIF(HD15:HD17,"B"))*3)+((COUNTIF(HD15:HD17,"C"))*2)+((COUNTIF(HD15:HD17,"D"))*1))*CELL("contenu",$B$14),0),IFERROR((((COUNTIF(HD19:HD19,"A"))*4)+((COUNTIF(HD19:HD19,"B"))*3)+((COUNTIF(HD19:HD19,"C"))*2)+((COUNTIF(HD19:HD19,"D"))*1))*CELL("contenu",$B$18),0))/IF(SUM(COUNTA(HD5:HD6)*CELL("contenu",$B$4),COUNTA(HD8:HD11)*CELL("contenu",$B$7),COUNTA(HD13:HD13)*CELL("contenu",$B$12),COUNTA(HD15:HD17)*CELL("contenu",$B$14),COUNTA(HD19:HD19)*CELL("contenu",$B$18))=0,1,SUM(COUNTA(HD5:HD6)*CELL("contenu",$B$4),COUNTA(HD8:HD11)*CELL("contenu",$B$7),COUNTA(HD13:HD13)*CELL("contenu",$B$12),COUNTA(HD15:HD17)*CELL("contenu",$B$14),COUNTA(HD19:HD19)*CELL("contenu",$B$18))))</f>
        <v/>
      </c>
      <c r="HE20" s="183" t="str">
        <f ca="1">IF(COUNTA(HE5:HE19)=0,"",5*SUM(IFERROR((((COUNTIF(HE5:HE6,"A"))*4)+((COUNTIF(HE5:HE6,"B"))*3)+((COUNTIF(HE5:HE6,"C"))*2)+((COUNTIF(HE5:HE6,"D"))*1))*CELL("contenu",$B$4),0),IFERROR((((COUNTIF(HE8:HE11,"A"))*4)+((COUNTIF(HE8:HE11,"B"))*3)+((COUNTIF(HE8:HE11,"C"))*2)+((COUNTIF(HE8:HE11,"D"))*1))*CELL("contenu",$B$7),0),IFERROR((((COUNTIF(HE13:HE13,"A"))*4)+((COUNTIF(HE13:HE13,"B"))*3)+((COUNTIF(HE13:HE13,"C"))*2)+((COUNTIF(HE13:HE13,"D"))*1))*CELL("contenu",$B$12),0),IFERROR((((COUNTIF(HE15:HE17,"A"))*4)+((COUNTIF(HE15:HE17,"B"))*3)+((COUNTIF(HE15:HE17,"C"))*2)+((COUNTIF(HE15:HE17,"D"))*1))*CELL("contenu",$B$14),0),IFERROR((((COUNTIF(HE19:HE19,"A"))*4)+((COUNTIF(HE19:HE19,"B"))*3)+((COUNTIF(HE19:HE19,"C"))*2)+((COUNTIF(HE19:HE19,"D"))*1))*CELL("contenu",$B$18),0))/IF(SUM(COUNTA(HE5:HE6)*CELL("contenu",$B$4),COUNTA(HE8:HE11)*CELL("contenu",$B$7),COUNTA(HE13:HE13)*CELL("contenu",$B$12),COUNTA(HE15:HE17)*CELL("contenu",$B$14),COUNTA(HE19:HE19)*CELL("contenu",$B$18))=0,1,SUM(COUNTA(HE5:HE6)*CELL("contenu",$B$4),COUNTA(HE8:HE11)*CELL("contenu",$B$7),COUNTA(HE13:HE13)*CELL("contenu",$B$12),COUNTA(HE15:HE17)*CELL("contenu",$B$14),COUNTA(HE19:HE19)*CELL("contenu",$B$18))))</f>
        <v/>
      </c>
      <c r="HF20" s="184" t="str">
        <f ca="1">IF(COUNTA(HF5:HF19)=0,"",5*SUM(IFERROR((((COUNTIF(HF5:HF6,"A"))*4)+((COUNTIF(HF5:HF6,"B"))*3)+((COUNTIF(HF5:HF6,"C"))*2)+((COUNTIF(HF5:HF6,"D"))*1))*CELL("contenu",$B$4),0),IFERROR((((COUNTIF(HF8:HF11,"A"))*4)+((COUNTIF(HF8:HF11,"B"))*3)+((COUNTIF(HF8:HF11,"C"))*2)+((COUNTIF(HF8:HF11,"D"))*1))*CELL("contenu",$B$7),0),IFERROR((((COUNTIF(HF13:HF13,"A"))*4)+((COUNTIF(HF13:HF13,"B"))*3)+((COUNTIF(HF13:HF13,"C"))*2)+((COUNTIF(HF13:HF13,"D"))*1))*CELL("contenu",$B$12),0),IFERROR((((COUNTIF(HF15:HF17,"A"))*4)+((COUNTIF(HF15:HF17,"B"))*3)+((COUNTIF(HF15:HF17,"C"))*2)+((COUNTIF(HF15:HF17,"D"))*1))*CELL("contenu",$B$14),0),IFERROR((((COUNTIF(HF19:HF19,"A"))*4)+((COUNTIF(HF19:HF19,"B"))*3)+((COUNTIF(HF19:HF19,"C"))*2)+((COUNTIF(HF19:HF19,"D"))*1))*CELL("contenu",$B$18),0))/IF(SUM(COUNTA(HF5:HF6)*CELL("contenu",$B$4),COUNTA(HF8:HF11)*CELL("contenu",$B$7),COUNTA(HF13:HF13)*CELL("contenu",$B$12),COUNTA(HF15:HF17)*CELL("contenu",$B$14),COUNTA(HF19:HF19)*CELL("contenu",$B$18))=0,1,SUM(COUNTA(HF5:HF6)*CELL("contenu",$B$4),COUNTA(HF8:HF11)*CELL("contenu",$B$7),COUNTA(HF13:HF13)*CELL("contenu",$B$12),COUNTA(HF15:HF17)*CELL("contenu",$B$14),COUNTA(HF19:HF19)*CELL("contenu",$B$18))))</f>
        <v/>
      </c>
      <c r="HG20" s="176"/>
      <c r="HH20" s="175" t="str">
        <f ca="1">IF(COUNTA(HD20:HF20)-COUNTBLANK(HD20:HF20)=0,"",SUM(HD20:HF20)/(COUNTA(HD20:HF20)-COUNTBLANK(HD20:HF20)))</f>
        <v/>
      </c>
      <c r="HI20" s="182" t="str">
        <f ca="1">IF(COUNTA(HI5:HI19)=0,"",5*SUM(IFERROR((((COUNTIF(HI5:HI6,"A"))*4)+((COUNTIF(HI5:HI6,"B"))*3)+((COUNTIF(HI5:HI6,"C"))*2)+((COUNTIF(HI5:HI6,"D"))*1))*CELL("contenu",$B$4),0),IFERROR((((COUNTIF(HI8:HI11,"A"))*4)+((COUNTIF(HI8:HI11,"B"))*3)+((COUNTIF(HI8:HI11,"C"))*2)+((COUNTIF(HI8:HI11,"D"))*1))*CELL("contenu",$B$7),0),IFERROR((((COUNTIF(HI13:HI13,"A"))*4)+((COUNTIF(HI13:HI13,"B"))*3)+((COUNTIF(HI13:HI13,"C"))*2)+((COUNTIF(HI13:HI13,"D"))*1))*CELL("contenu",$B$12),0),IFERROR((((COUNTIF(HI15:HI17,"A"))*4)+((COUNTIF(HI15:HI17,"B"))*3)+((COUNTIF(HI15:HI17,"C"))*2)+((COUNTIF(HI15:HI17,"D"))*1))*CELL("contenu",$B$14),0),IFERROR((((COUNTIF(HI19:HI19,"A"))*4)+((COUNTIF(HI19:HI19,"B"))*3)+((COUNTIF(HI19:HI19,"C"))*2)+((COUNTIF(HI19:HI19,"D"))*1))*CELL("contenu",$B$18),0))/IF(SUM(COUNTA(HI5:HI6)*CELL("contenu",$B$4),COUNTA(HI8:HI11)*CELL("contenu",$B$7),COUNTA(HI13:HI13)*CELL("contenu",$B$12),COUNTA(HI15:HI17)*CELL("contenu",$B$14),COUNTA(HI19:HI19)*CELL("contenu",$B$18))=0,1,SUM(COUNTA(HI5:HI6)*CELL("contenu",$B$4),COUNTA(HI8:HI11)*CELL("contenu",$B$7),COUNTA(HI13:HI13)*CELL("contenu",$B$12),COUNTA(HI15:HI17)*CELL("contenu",$B$14),COUNTA(HI19:HI19)*CELL("contenu",$B$18))))</f>
        <v/>
      </c>
      <c r="HJ20" s="183" t="str">
        <f ca="1">IF(COUNTA(HJ5:HJ19)=0,"",5*SUM(IFERROR((((COUNTIF(HJ5:HJ6,"A"))*4)+((COUNTIF(HJ5:HJ6,"B"))*3)+((COUNTIF(HJ5:HJ6,"C"))*2)+((COUNTIF(HJ5:HJ6,"D"))*1))*CELL("contenu",$B$4),0),IFERROR((((COUNTIF(HJ8:HJ11,"A"))*4)+((COUNTIF(HJ8:HJ11,"B"))*3)+((COUNTIF(HJ8:HJ11,"C"))*2)+((COUNTIF(HJ8:HJ11,"D"))*1))*CELL("contenu",$B$7),0),IFERROR((((COUNTIF(HJ13:HJ13,"A"))*4)+((COUNTIF(HJ13:HJ13,"B"))*3)+((COUNTIF(HJ13:HJ13,"C"))*2)+((COUNTIF(HJ13:HJ13,"D"))*1))*CELL("contenu",$B$12),0),IFERROR((((COUNTIF(HJ15:HJ17,"A"))*4)+((COUNTIF(HJ15:HJ17,"B"))*3)+((COUNTIF(HJ15:HJ17,"C"))*2)+((COUNTIF(HJ15:HJ17,"D"))*1))*CELL("contenu",$B$14),0),IFERROR((((COUNTIF(HJ19:HJ19,"A"))*4)+((COUNTIF(HJ19:HJ19,"B"))*3)+((COUNTIF(HJ19:HJ19,"C"))*2)+((COUNTIF(HJ19:HJ19,"D"))*1))*CELL("contenu",$B$18),0))/IF(SUM(COUNTA(HJ5:HJ6)*CELL("contenu",$B$4),COUNTA(HJ8:HJ11)*CELL("contenu",$B$7),COUNTA(HJ13:HJ13)*CELL("contenu",$B$12),COUNTA(HJ15:HJ17)*CELL("contenu",$B$14),COUNTA(HJ19:HJ19)*CELL("contenu",$B$18))=0,1,SUM(COUNTA(HJ5:HJ6)*CELL("contenu",$B$4),COUNTA(HJ8:HJ11)*CELL("contenu",$B$7),COUNTA(HJ13:HJ13)*CELL("contenu",$B$12),COUNTA(HJ15:HJ17)*CELL("contenu",$B$14),COUNTA(HJ19:HJ19)*CELL("contenu",$B$18))))</f>
        <v/>
      </c>
      <c r="HK20" s="184" t="str">
        <f ca="1">IF(COUNTA(HK5:HK19)=0,"",5*SUM(IFERROR((((COUNTIF(HK5:HK6,"A"))*4)+((COUNTIF(HK5:HK6,"B"))*3)+((COUNTIF(HK5:HK6,"C"))*2)+((COUNTIF(HK5:HK6,"D"))*1))*CELL("contenu",$B$4),0),IFERROR((((COUNTIF(HK8:HK11,"A"))*4)+((COUNTIF(HK8:HK11,"B"))*3)+((COUNTIF(HK8:HK11,"C"))*2)+((COUNTIF(HK8:HK11,"D"))*1))*CELL("contenu",$B$7),0),IFERROR((((COUNTIF(HK13:HK13,"A"))*4)+((COUNTIF(HK13:HK13,"B"))*3)+((COUNTIF(HK13:HK13,"C"))*2)+((COUNTIF(HK13:HK13,"D"))*1))*CELL("contenu",$B$12),0),IFERROR((((COUNTIF(HK15:HK17,"A"))*4)+((COUNTIF(HK15:HK17,"B"))*3)+((COUNTIF(HK15:HK17,"C"))*2)+((COUNTIF(HK15:HK17,"D"))*1))*CELL("contenu",$B$14),0),IFERROR((((COUNTIF(HK19:HK19,"A"))*4)+((COUNTIF(HK19:HK19,"B"))*3)+((COUNTIF(HK19:HK19,"C"))*2)+((COUNTIF(HK19:HK19,"D"))*1))*CELL("contenu",$B$18),0))/IF(SUM(COUNTA(HK5:HK6)*CELL("contenu",$B$4),COUNTA(HK8:HK11)*CELL("contenu",$B$7),COUNTA(HK13:HK13)*CELL("contenu",$B$12),COUNTA(HK15:HK17)*CELL("contenu",$B$14),COUNTA(HK19:HK19)*CELL("contenu",$B$18))=0,1,SUM(COUNTA(HK5:HK6)*CELL("contenu",$B$4),COUNTA(HK8:HK11)*CELL("contenu",$B$7),COUNTA(HK13:HK13)*CELL("contenu",$B$12),COUNTA(HK15:HK17)*CELL("contenu",$B$14),COUNTA(HK19:HK19)*CELL("contenu",$B$18))))</f>
        <v/>
      </c>
      <c r="HL20" s="176"/>
      <c r="HM20" s="174" t="str">
        <f ca="1">IF(COUNTA(HI20:HK20)-COUNTBLANK(HI20:HK20)=0,"",SUM(HI20:HK20)/(COUNTA(HI20:HK20)-COUNTBLANK(HI20:HK20)))</f>
        <v/>
      </c>
      <c r="HN20" s="103"/>
      <c r="HO20" s="141"/>
      <c r="HP20" s="167" t="str">
        <f ca="1">IF(COUNTA(HP5:HP19)=0,"",5*SUM(IFERROR((((COUNTIF(HP5:HP6,"A"))*4)+((COUNTIF(HP5:HP6,"B"))*3)+((COUNTIF(HP5:HP6,"C"))*2)+((COUNTIF(HP5:HP6,"D"))*1))*CELL("contenu",$B$4),0),IFERROR((((COUNTIF(HP8:HP11,"A"))*4)+((COUNTIF(HP8:HP11,"B"))*3)+((COUNTIF(HP8:HP11,"C"))*2)+((COUNTIF(HP8:HP11,"D"))*1))*CELL("contenu",$B$7),0),IFERROR((((COUNTIF(HP13:HP13,"A"))*4)+((COUNTIF(HP13:HP13,"B"))*3)+((COUNTIF(HP13:HP13,"C"))*2)+((COUNTIF(HP13:HP13,"D"))*1))*CELL("contenu",$B$12),0),IFERROR((((COUNTIF(HP15:HP17,"A"))*4)+((COUNTIF(HP15:HP17,"B"))*3)+((COUNTIF(HP15:HP17,"C"))*2)+((COUNTIF(HP15:HP17,"D"))*1))*CELL("contenu",$B$14),0),IFERROR((((COUNTIF(HP19:HP19,"A"))*4)+((COUNTIF(HP19:HP19,"B"))*3)+((COUNTIF(HP19:HP19,"C"))*2)+((COUNTIF(HP19:HP19,"D"))*1))*CELL("contenu",$B$18),0))/IF(SUM(COUNTA(HP5:HP6)*CELL("contenu",$B$4),COUNTA(HP8:HP11)*CELL("contenu",$B$7),COUNTA(HP13:HP13)*CELL("contenu",$B$12),COUNTA(HP15:HP17)*CELL("contenu",$B$14),COUNTA(HP19:HP19)*CELL("contenu",$B$18))=0,1,SUM(COUNTA(HP5:HP6)*CELL("contenu",$B$4),COUNTA(HP8:HP11)*CELL("contenu",$B$7),COUNTA(HP13:HP13)*CELL("contenu",$B$12),COUNTA(HP15:HP17)*CELL("contenu",$B$14),COUNTA(HP19:HP19)*CELL("contenu",$B$18))))</f>
        <v/>
      </c>
      <c r="HQ20" s="168" t="str">
        <f ca="1">IF(COUNTA(HQ5:HQ19)=0,"",5*SUM(IFERROR((((COUNTIF(HQ5:HQ6,"A"))*4)+((COUNTIF(HQ5:HQ6,"B"))*3)+((COUNTIF(HQ5:HQ6,"C"))*2)+((COUNTIF(HQ5:HQ6,"D"))*1))*CELL("contenu",$B$4),0),IFERROR((((COUNTIF(HQ8:HQ11,"A"))*4)+((COUNTIF(HQ8:HQ11,"B"))*3)+((COUNTIF(HQ8:HQ11,"C"))*2)+((COUNTIF(HQ8:HQ11,"D"))*1))*CELL("contenu",$B$7),0),IFERROR((((COUNTIF(HQ13:HQ13,"A"))*4)+((COUNTIF(HQ13:HQ13,"B"))*3)+((COUNTIF(HQ13:HQ13,"C"))*2)+((COUNTIF(HQ13:HQ13,"D"))*1))*CELL("contenu",$B$12),0),IFERROR((((COUNTIF(HQ15:HQ17,"A"))*4)+((COUNTIF(HQ15:HQ17,"B"))*3)+((COUNTIF(HQ15:HQ17,"C"))*2)+((COUNTIF(HQ15:HQ17,"D"))*1))*CELL("contenu",$B$14),0),IFERROR((((COUNTIF(HQ19:HQ19,"A"))*4)+((COUNTIF(HQ19:HQ19,"B"))*3)+((COUNTIF(HQ19:HQ19,"C"))*2)+((COUNTIF(HQ19:HQ19,"D"))*1))*CELL("contenu",$B$18),0))/IF(SUM(COUNTA(HQ5:HQ6)*CELL("contenu",$B$4),COUNTA(HQ8:HQ11)*CELL("contenu",$B$7),COUNTA(HQ13:HQ13)*CELL("contenu",$B$12),COUNTA(HQ15:HQ17)*CELL("contenu",$B$14),COUNTA(HQ19:HQ19)*CELL("contenu",$B$18))=0,1,SUM(COUNTA(HQ5:HQ6)*CELL("contenu",$B$4),COUNTA(HQ8:HQ11)*CELL("contenu",$B$7),COUNTA(HQ13:HQ13)*CELL("contenu",$B$12),COUNTA(HQ15:HQ17)*CELL("contenu",$B$14),COUNTA(HQ19:HQ19)*CELL("contenu",$B$18))))</f>
        <v/>
      </c>
      <c r="HR20" s="169" t="str">
        <f ca="1">IF(COUNTA(HR5:HR19)=0,"",5*SUM(IFERROR((((COUNTIF(HR5:HR6,"A"))*4)+((COUNTIF(HR5:HR6,"B"))*3)+((COUNTIF(HR5:HR6,"C"))*2)+((COUNTIF(HR5:HR6,"D"))*1))*CELL("contenu",$B$4),0),IFERROR((((COUNTIF(HR8:HR11,"A"))*4)+((COUNTIF(HR8:HR11,"B"))*3)+((COUNTIF(HR8:HR11,"C"))*2)+((COUNTIF(HR8:HR11,"D"))*1))*CELL("contenu",$B$7),0),IFERROR((((COUNTIF(HR13:HR13,"A"))*4)+((COUNTIF(HR13:HR13,"B"))*3)+((COUNTIF(HR13:HR13,"C"))*2)+((COUNTIF(HR13:HR13,"D"))*1))*CELL("contenu",$B$12),0),IFERROR((((COUNTIF(HR15:HR17,"A"))*4)+((COUNTIF(HR15:HR17,"B"))*3)+((COUNTIF(HR15:HR17,"C"))*2)+((COUNTIF(HR15:HR17,"D"))*1))*CELL("contenu",$B$14),0),IFERROR((((COUNTIF(HR19:HR19,"A"))*4)+((COUNTIF(HR19:HR19,"B"))*3)+((COUNTIF(HR19:HR19,"C"))*2)+((COUNTIF(HR19:HR19,"D"))*1))*CELL("contenu",$B$18),0))/IF(SUM(COUNTA(HR5:HR6)*CELL("contenu",$B$4),COUNTA(HR8:HR11)*CELL("contenu",$B$7),COUNTA(HR13:HR13)*CELL("contenu",$B$12),COUNTA(HR15:HR17)*CELL("contenu",$B$14),COUNTA(HR19:HR19)*CELL("contenu",$B$18))=0,1,SUM(COUNTA(HR5:HR6)*CELL("contenu",$B$4),COUNTA(HR8:HR11)*CELL("contenu",$B$7),COUNTA(HR13:HR13)*CELL("contenu",$B$12),COUNTA(HR15:HR17)*CELL("contenu",$B$14),COUNTA(HR19:HR19)*CELL("contenu",$B$18))))</f>
        <v/>
      </c>
      <c r="HS20" s="116"/>
      <c r="HT20" s="192" t="str">
        <f ca="1">IF(COUNTA(HP20:HR20)-COUNTBLANK(HP20:HR20)=0,"",SUM(HP20:HR20)/(COUNTA(HP20:HR20)-COUNTBLANK(HP20:HR20)))</f>
        <v/>
      </c>
      <c r="HU20" s="182" t="str">
        <f ca="1">IF(COUNTA(HU5:HU19)=0,"",5*SUM(IFERROR((((COUNTIF(HU5:HU6,"A"))*4)+((COUNTIF(HU5:HU6,"B"))*3)+((COUNTIF(HU5:HU6,"C"))*2)+((COUNTIF(HU5:HU6,"D"))*1))*CELL("contenu",$B$4),0),IFERROR((((COUNTIF(HU8:HU11,"A"))*4)+((COUNTIF(HU8:HU11,"B"))*3)+((COUNTIF(HU8:HU11,"C"))*2)+((COUNTIF(HU8:HU11,"D"))*1))*CELL("contenu",$B$7),0),IFERROR((((COUNTIF(HU13:HU13,"A"))*4)+((COUNTIF(HU13:HU13,"B"))*3)+((COUNTIF(HU13:HU13,"C"))*2)+((COUNTIF(HU13:HU13,"D"))*1))*CELL("contenu",$B$12),0),IFERROR((((COUNTIF(HU15:HU17,"A"))*4)+((COUNTIF(HU15:HU17,"B"))*3)+((COUNTIF(HU15:HU17,"C"))*2)+((COUNTIF(HU15:HU17,"D"))*1))*CELL("contenu",$B$14),0),IFERROR((((COUNTIF(HU19:HU19,"A"))*4)+((COUNTIF(HU19:HU19,"B"))*3)+((COUNTIF(HU19:HU19,"C"))*2)+((COUNTIF(HU19:HU19,"D"))*1))*CELL("contenu",$B$18),0))/IF(SUM(COUNTA(HU5:HU6)*CELL("contenu",$B$4),COUNTA(HU8:HU11)*CELL("contenu",$B$7),COUNTA(HU13:HU13)*CELL("contenu",$B$12),COUNTA(HU15:HU17)*CELL("contenu",$B$14),COUNTA(HU19:HU19)*CELL("contenu",$B$18))=0,1,SUM(COUNTA(HU5:HU6)*CELL("contenu",$B$4),COUNTA(HU8:HU11)*CELL("contenu",$B$7),COUNTA(HU13:HU13)*CELL("contenu",$B$12),COUNTA(HU15:HU17)*CELL("contenu",$B$14),COUNTA(HU19:HU19)*CELL("contenu",$B$18))))</f>
        <v/>
      </c>
      <c r="HV20" s="183" t="str">
        <f ca="1">IF(COUNTA(HV5:HV19)=0,"",5*SUM(IFERROR((((COUNTIF(HV5:HV6,"A"))*4)+((COUNTIF(HV5:HV6,"B"))*3)+((COUNTIF(HV5:HV6,"C"))*2)+((COUNTIF(HV5:HV6,"D"))*1))*CELL("contenu",$B$4),0),IFERROR((((COUNTIF(HV8:HV11,"A"))*4)+((COUNTIF(HV8:HV11,"B"))*3)+((COUNTIF(HV8:HV11,"C"))*2)+((COUNTIF(HV8:HV11,"D"))*1))*CELL("contenu",$B$7),0),IFERROR((((COUNTIF(HV13:HV13,"A"))*4)+((COUNTIF(HV13:HV13,"B"))*3)+((COUNTIF(HV13:HV13,"C"))*2)+((COUNTIF(HV13:HV13,"D"))*1))*CELL("contenu",$B$12),0),IFERROR((((COUNTIF(HV15:HV17,"A"))*4)+((COUNTIF(HV15:HV17,"B"))*3)+((COUNTIF(HV15:HV17,"C"))*2)+((COUNTIF(HV15:HV17,"D"))*1))*CELL("contenu",$B$14),0),IFERROR((((COUNTIF(HV19:HV19,"A"))*4)+((COUNTIF(HV19:HV19,"B"))*3)+((COUNTIF(HV19:HV19,"C"))*2)+((COUNTIF(HV19:HV19,"D"))*1))*CELL("contenu",$B$18),0))/IF(SUM(COUNTA(HV5:HV6)*CELL("contenu",$B$4),COUNTA(HV8:HV11)*CELL("contenu",$B$7),COUNTA(HV13:HV13)*CELL("contenu",$B$12),COUNTA(HV15:HV17)*CELL("contenu",$B$14),COUNTA(HV19:HV19)*CELL("contenu",$B$18))=0,1,SUM(COUNTA(HV5:HV6)*CELL("contenu",$B$4),COUNTA(HV8:HV11)*CELL("contenu",$B$7),COUNTA(HV13:HV13)*CELL("contenu",$B$12),COUNTA(HV15:HV17)*CELL("contenu",$B$14),COUNTA(HV19:HV19)*CELL("contenu",$B$18))))</f>
        <v/>
      </c>
      <c r="HW20" s="184" t="str">
        <f ca="1">IF(COUNTA(HW5:HW19)=0,"",5*SUM(IFERROR((((COUNTIF(HW5:HW6,"A"))*4)+((COUNTIF(HW5:HW6,"B"))*3)+((COUNTIF(HW5:HW6,"C"))*2)+((COUNTIF(HW5:HW6,"D"))*1))*CELL("contenu",$B$4),0),IFERROR((((COUNTIF(HW8:HW11,"A"))*4)+((COUNTIF(HW8:HW11,"B"))*3)+((COUNTIF(HW8:HW11,"C"))*2)+((COUNTIF(HW8:HW11,"D"))*1))*CELL("contenu",$B$7),0),IFERROR((((COUNTIF(HW13:HW13,"A"))*4)+((COUNTIF(HW13:HW13,"B"))*3)+((COUNTIF(HW13:HW13,"C"))*2)+((COUNTIF(HW13:HW13,"D"))*1))*CELL("contenu",$B$12),0),IFERROR((((COUNTIF(HW15:HW17,"A"))*4)+((COUNTIF(HW15:HW17,"B"))*3)+((COUNTIF(HW15:HW17,"C"))*2)+((COUNTIF(HW15:HW17,"D"))*1))*CELL("contenu",$B$14),0),IFERROR((((COUNTIF(HW19:HW19,"A"))*4)+((COUNTIF(HW19:HW19,"B"))*3)+((COUNTIF(HW19:HW19,"C"))*2)+((COUNTIF(HW19:HW19,"D"))*1))*CELL("contenu",$B$18),0))/IF(SUM(COUNTA(HW5:HW6)*CELL("contenu",$B$4),COUNTA(HW8:HW11)*CELL("contenu",$B$7),COUNTA(HW13:HW13)*CELL("contenu",$B$12),COUNTA(HW15:HW17)*CELL("contenu",$B$14),COUNTA(HW19:HW19)*CELL("contenu",$B$18))=0,1,SUM(COUNTA(HW5:HW6)*CELL("contenu",$B$4),COUNTA(HW8:HW11)*CELL("contenu",$B$7),COUNTA(HW13:HW13)*CELL("contenu",$B$12),COUNTA(HW15:HW17)*CELL("contenu",$B$14),COUNTA(HW19:HW19)*CELL("contenu",$B$18))))</f>
        <v/>
      </c>
      <c r="HX20" s="176"/>
      <c r="HY20" s="175" t="str">
        <f ca="1">IF(COUNTA(HU20:HW20)-COUNTBLANK(HU20:HW20)=0,"",SUM(HU20:HW20)/(COUNTA(HU20:HW20)-COUNTBLANK(HU20:HW20)))</f>
        <v/>
      </c>
      <c r="HZ20" s="182" t="str">
        <f ca="1">IF(COUNTA(HZ5:HZ19)=0,"",5*SUM(IFERROR((((COUNTIF(HZ5:HZ6,"A"))*4)+((COUNTIF(HZ5:HZ6,"B"))*3)+((COUNTIF(HZ5:HZ6,"C"))*2)+((COUNTIF(HZ5:HZ6,"D"))*1))*CELL("contenu",$B$4),0),IFERROR((((COUNTIF(HZ8:HZ11,"A"))*4)+((COUNTIF(HZ8:HZ11,"B"))*3)+((COUNTIF(HZ8:HZ11,"C"))*2)+((COUNTIF(HZ8:HZ11,"D"))*1))*CELL("contenu",$B$7),0),IFERROR((((COUNTIF(HZ13:HZ13,"A"))*4)+((COUNTIF(HZ13:HZ13,"B"))*3)+((COUNTIF(HZ13:HZ13,"C"))*2)+((COUNTIF(HZ13:HZ13,"D"))*1))*CELL("contenu",$B$12),0),IFERROR((((COUNTIF(HZ15:HZ17,"A"))*4)+((COUNTIF(HZ15:HZ17,"B"))*3)+((COUNTIF(HZ15:HZ17,"C"))*2)+((COUNTIF(HZ15:HZ17,"D"))*1))*CELL("contenu",$B$14),0),IFERROR((((COUNTIF(HZ19:HZ19,"A"))*4)+((COUNTIF(HZ19:HZ19,"B"))*3)+((COUNTIF(HZ19:HZ19,"C"))*2)+((COUNTIF(HZ19:HZ19,"D"))*1))*CELL("contenu",$B$18),0))/IF(SUM(COUNTA(HZ5:HZ6)*CELL("contenu",$B$4),COUNTA(HZ8:HZ11)*CELL("contenu",$B$7),COUNTA(HZ13:HZ13)*CELL("contenu",$B$12),COUNTA(HZ15:HZ17)*CELL("contenu",$B$14),COUNTA(HZ19:HZ19)*CELL("contenu",$B$18))=0,1,SUM(COUNTA(HZ5:HZ6)*CELL("contenu",$B$4),COUNTA(HZ8:HZ11)*CELL("contenu",$B$7),COUNTA(HZ13:HZ13)*CELL("contenu",$B$12),COUNTA(HZ15:HZ17)*CELL("contenu",$B$14),COUNTA(HZ19:HZ19)*CELL("contenu",$B$18))))</f>
        <v/>
      </c>
      <c r="IA20" s="183" t="str">
        <f ca="1">IF(COUNTA(IA5:IA19)=0,"",5*SUM(IFERROR((((COUNTIF(IA5:IA6,"A"))*4)+((COUNTIF(IA5:IA6,"B"))*3)+((COUNTIF(IA5:IA6,"C"))*2)+((COUNTIF(IA5:IA6,"D"))*1))*CELL("contenu",$B$4),0),IFERROR((((COUNTIF(IA8:IA11,"A"))*4)+((COUNTIF(IA8:IA11,"B"))*3)+((COUNTIF(IA8:IA11,"C"))*2)+((COUNTIF(IA8:IA11,"D"))*1))*CELL("contenu",$B$7),0),IFERROR((((COUNTIF(IA13:IA13,"A"))*4)+((COUNTIF(IA13:IA13,"B"))*3)+((COUNTIF(IA13:IA13,"C"))*2)+((COUNTIF(IA13:IA13,"D"))*1))*CELL("contenu",$B$12),0),IFERROR((((COUNTIF(IA15:IA17,"A"))*4)+((COUNTIF(IA15:IA17,"B"))*3)+((COUNTIF(IA15:IA17,"C"))*2)+((COUNTIF(IA15:IA17,"D"))*1))*CELL("contenu",$B$14),0),IFERROR((((COUNTIF(IA19:IA19,"A"))*4)+((COUNTIF(IA19:IA19,"B"))*3)+((COUNTIF(IA19:IA19,"C"))*2)+((COUNTIF(IA19:IA19,"D"))*1))*CELL("contenu",$B$18),0))/IF(SUM(COUNTA(IA5:IA6)*CELL("contenu",$B$4),COUNTA(IA8:IA11)*CELL("contenu",$B$7),COUNTA(IA13:IA13)*CELL("contenu",$B$12),COUNTA(IA15:IA17)*CELL("contenu",$B$14),COUNTA(IA19:IA19)*CELL("contenu",$B$18))=0,1,SUM(COUNTA(IA5:IA6)*CELL("contenu",$B$4),COUNTA(IA8:IA11)*CELL("contenu",$B$7),COUNTA(IA13:IA13)*CELL("contenu",$B$12),COUNTA(IA15:IA17)*CELL("contenu",$B$14),COUNTA(IA19:IA19)*CELL("contenu",$B$18))))</f>
        <v/>
      </c>
      <c r="IB20" s="184" t="str">
        <f ca="1">IF(COUNTA(IB5:IB19)=0,"",5*SUM(IFERROR((((COUNTIF(IB5:IB6,"A"))*4)+((COUNTIF(IB5:IB6,"B"))*3)+((COUNTIF(IB5:IB6,"C"))*2)+((COUNTIF(IB5:IB6,"D"))*1))*CELL("contenu",$B$4),0),IFERROR((((COUNTIF(IB8:IB11,"A"))*4)+((COUNTIF(IB8:IB11,"B"))*3)+((COUNTIF(IB8:IB11,"C"))*2)+((COUNTIF(IB8:IB11,"D"))*1))*CELL("contenu",$B$7),0),IFERROR((((COUNTIF(IB13:IB13,"A"))*4)+((COUNTIF(IB13:IB13,"B"))*3)+((COUNTIF(IB13:IB13,"C"))*2)+((COUNTIF(IB13:IB13,"D"))*1))*CELL("contenu",$B$12),0),IFERROR((((COUNTIF(IB15:IB17,"A"))*4)+((COUNTIF(IB15:IB17,"B"))*3)+((COUNTIF(IB15:IB17,"C"))*2)+((COUNTIF(IB15:IB17,"D"))*1))*CELL("contenu",$B$14),0),IFERROR((((COUNTIF(IB19:IB19,"A"))*4)+((COUNTIF(IB19:IB19,"B"))*3)+((COUNTIF(IB19:IB19,"C"))*2)+((COUNTIF(IB19:IB19,"D"))*1))*CELL("contenu",$B$18),0))/IF(SUM(COUNTA(IB5:IB6)*CELL("contenu",$B$4),COUNTA(IB8:IB11)*CELL("contenu",$B$7),COUNTA(IB13:IB13)*CELL("contenu",$B$12),COUNTA(IB15:IB17)*CELL("contenu",$B$14),COUNTA(IB19:IB19)*CELL("contenu",$B$18))=0,1,SUM(COUNTA(IB5:IB6)*CELL("contenu",$B$4),COUNTA(IB8:IB11)*CELL("contenu",$B$7),COUNTA(IB13:IB13)*CELL("contenu",$B$12),COUNTA(IB15:IB17)*CELL("contenu",$B$14),COUNTA(IB19:IB19)*CELL("contenu",$B$18))))</f>
        <v/>
      </c>
      <c r="IC20" s="176"/>
      <c r="ID20" s="174" t="str">
        <f ca="1">IF(COUNTA(HZ20:IB20)-COUNTBLANK(HZ20:IB20)=0,"",SUM(HZ20:IB20)/(COUNTA(HZ20:IB20)-COUNTBLANK(HZ20:IB20)))</f>
        <v/>
      </c>
      <c r="IE20" s="103"/>
      <c r="IF20" s="141"/>
      <c r="IG20" s="167">
        <f ca="1">IF(COUNTA(IG5:IG19)=0,"",5*SUM(IFERROR((((COUNTIF(IG5:IG6,"A"))*4)+((COUNTIF(IG5:IG6,"B"))*3)+((COUNTIF(IG5:IG6,"C"))*2)+((COUNTIF(IG5:IG6,"D"))*1))*CELL("contenu",$B$4),0),IFERROR((((COUNTIF(IG8:IG11,"A"))*4)+((COUNTIF(IG8:IG11,"B"))*3)+((COUNTIF(IG8:IG11,"C"))*2)+((COUNTIF(IG8:IG11,"D"))*1))*CELL("contenu",$B$7),0),IFERROR((((COUNTIF(IG13:IG13,"A"))*4)+((COUNTIF(IG13:IG13,"B"))*3)+((COUNTIF(IG13:IG13,"C"))*2)+((COUNTIF(IG13:IG13,"D"))*1))*CELL("contenu",$B$12),0),IFERROR((((COUNTIF(IG15:IG17,"A"))*4)+((COUNTIF(IG15:IG17,"B"))*3)+((COUNTIF(IG15:IG17,"C"))*2)+((COUNTIF(IG15:IG17,"D"))*1))*CELL("contenu",$B$14),0),IFERROR((((COUNTIF(IG19:IG19,"A"))*4)+((COUNTIF(IG19:IG19,"B"))*3)+((COUNTIF(IG19:IG19,"C"))*2)+((COUNTIF(IG19:IG19,"D"))*1))*CELL("contenu",$B$18),0))/IF(SUM(COUNTA(IG5:IG6)*CELL("contenu",$B$4),COUNTA(IG8:IG11)*CELL("contenu",$B$7),COUNTA(IG13:IG13)*CELL("contenu",$B$12),COUNTA(IG15:IG17)*CELL("contenu",$B$14),COUNTA(IG19:IG19)*CELL("contenu",$B$18))=0,1,SUM(COUNTA(IG5:IG6)*CELL("contenu",$B$4),COUNTA(IG8:IG11)*CELL("contenu",$B$7),COUNTA(IG13:IG13)*CELL("contenu",$B$12),COUNTA(IG15:IG17)*CELL("contenu",$B$14),COUNTA(IG19:IG19)*CELL("contenu",$B$18))))</f>
        <v>18.333333333333332</v>
      </c>
      <c r="IH20" s="168" t="str">
        <f ca="1">IF(COUNTA(IH5:IH19)=0,"",5*SUM(IFERROR((((COUNTIF(IH5:IH6,"A"))*4)+((COUNTIF(IH5:IH6,"B"))*3)+((COUNTIF(IH5:IH6,"C"))*2)+((COUNTIF(IH5:IH6,"D"))*1))*CELL("contenu",$B$4),0),IFERROR((((COUNTIF(IH8:IH11,"A"))*4)+((COUNTIF(IH8:IH11,"B"))*3)+((COUNTIF(IH8:IH11,"C"))*2)+((COUNTIF(IH8:IH11,"D"))*1))*CELL("contenu",$B$7),0),IFERROR((((COUNTIF(IH13:IH13,"A"))*4)+((COUNTIF(IH13:IH13,"B"))*3)+((COUNTIF(IH13:IH13,"C"))*2)+((COUNTIF(IH13:IH13,"D"))*1))*CELL("contenu",$B$12),0),IFERROR((((COUNTIF(IH15:IH17,"A"))*4)+((COUNTIF(IH15:IH17,"B"))*3)+((COUNTIF(IH15:IH17,"C"))*2)+((COUNTIF(IH15:IH17,"D"))*1))*CELL("contenu",$B$14),0),IFERROR((((COUNTIF(IH19:IH19,"A"))*4)+((COUNTIF(IH19:IH19,"B"))*3)+((COUNTIF(IH19:IH19,"C"))*2)+((COUNTIF(IH19:IH19,"D"))*1))*CELL("contenu",$B$18),0))/IF(SUM(COUNTA(IH5:IH6)*CELL("contenu",$B$4),COUNTA(IH8:IH11)*CELL("contenu",$B$7),COUNTA(IH13:IH13)*CELL("contenu",$B$12),COUNTA(IH15:IH17)*CELL("contenu",$B$14),COUNTA(IH19:IH19)*CELL("contenu",$B$18))=0,1,SUM(COUNTA(IH5:IH6)*CELL("contenu",$B$4),COUNTA(IH8:IH11)*CELL("contenu",$B$7),COUNTA(IH13:IH13)*CELL("contenu",$B$12),COUNTA(IH15:IH17)*CELL("contenu",$B$14),COUNTA(IH19:IH19)*CELL("contenu",$B$18))))</f>
        <v/>
      </c>
      <c r="II20" s="169" t="str">
        <f ca="1">IF(COUNTA(II5:II19)=0,"",5*SUM(IFERROR((((COUNTIF(II5:II6,"A"))*4)+((COUNTIF(II5:II6,"B"))*3)+((COUNTIF(II5:II6,"C"))*2)+((COUNTIF(II5:II6,"D"))*1))*CELL("contenu",$B$4),0),IFERROR((((COUNTIF(II8:II11,"A"))*4)+((COUNTIF(II8:II11,"B"))*3)+((COUNTIF(II8:II11,"C"))*2)+((COUNTIF(II8:II11,"D"))*1))*CELL("contenu",$B$7),0),IFERROR((((COUNTIF(II13:II13,"A"))*4)+((COUNTIF(II13:II13,"B"))*3)+((COUNTIF(II13:II13,"C"))*2)+((COUNTIF(II13:II13,"D"))*1))*CELL("contenu",$B$12),0),IFERROR((((COUNTIF(II15:II17,"A"))*4)+((COUNTIF(II15:II17,"B"))*3)+((COUNTIF(II15:II17,"C"))*2)+((COUNTIF(II15:II17,"D"))*1))*CELL("contenu",$B$14),0),IFERROR((((COUNTIF(II19:II19,"A"))*4)+((COUNTIF(II19:II19,"B"))*3)+((COUNTIF(II19:II19,"C"))*2)+((COUNTIF(II19:II19,"D"))*1))*CELL("contenu",$B$18),0))/IF(SUM(COUNTA(II5:II6)*CELL("contenu",$B$4),COUNTA(II8:II11)*CELL("contenu",$B$7),COUNTA(II13:II13)*CELL("contenu",$B$12),COUNTA(II15:II17)*CELL("contenu",$B$14),COUNTA(II19:II19)*CELL("contenu",$B$18))=0,1,SUM(COUNTA(II5:II6)*CELL("contenu",$B$4),COUNTA(II8:II11)*CELL("contenu",$B$7),COUNTA(II13:II13)*CELL("contenu",$B$12),COUNTA(II15:II17)*CELL("contenu",$B$14),COUNTA(II19:II19)*CELL("contenu",$B$18))))</f>
        <v/>
      </c>
      <c r="IJ20" s="116"/>
      <c r="IK20" s="192">
        <f ca="1">IF(COUNTA(IG20:II20)-COUNTBLANK(IG20:II20)=0,"",SUM(IG20:II20)/(COUNTA(IG20:II20)-COUNTBLANK(IG20:II20)))</f>
        <v>18.333333333333332</v>
      </c>
      <c r="IL20" s="182" t="str">
        <f ca="1">IF(COUNTA(IL5:IL19)=0,"",5*SUM(IFERROR((((COUNTIF(IL5:IL6,"A"))*4)+((COUNTIF(IL5:IL6,"B"))*3)+((COUNTIF(IL5:IL6,"C"))*2)+((COUNTIF(IL5:IL6,"D"))*1))*CELL("contenu",$B$4),0),IFERROR((((COUNTIF(IL8:IL11,"A"))*4)+((COUNTIF(IL8:IL11,"B"))*3)+((COUNTIF(IL8:IL11,"C"))*2)+((COUNTIF(IL8:IL11,"D"))*1))*CELL("contenu",$B$7),0),IFERROR((((COUNTIF(IL13:IL13,"A"))*4)+((COUNTIF(IL13:IL13,"B"))*3)+((COUNTIF(IL13:IL13,"C"))*2)+((COUNTIF(IL13:IL13,"D"))*1))*CELL("contenu",$B$12),0),IFERROR((((COUNTIF(IL15:IL17,"A"))*4)+((COUNTIF(IL15:IL17,"B"))*3)+((COUNTIF(IL15:IL17,"C"))*2)+((COUNTIF(IL15:IL17,"D"))*1))*CELL("contenu",$B$14),0),IFERROR((((COUNTIF(IL19:IL19,"A"))*4)+((COUNTIF(IL19:IL19,"B"))*3)+((COUNTIF(IL19:IL19,"C"))*2)+((COUNTIF(IL19:IL19,"D"))*1))*CELL("contenu",$B$18),0))/IF(SUM(COUNTA(IL5:IL6)*CELL("contenu",$B$4),COUNTA(IL8:IL11)*CELL("contenu",$B$7),COUNTA(IL13:IL13)*CELL("contenu",$B$12),COUNTA(IL15:IL17)*CELL("contenu",$B$14),COUNTA(IL19:IL19)*CELL("contenu",$B$18))=0,1,SUM(COUNTA(IL5:IL6)*CELL("contenu",$B$4),COUNTA(IL8:IL11)*CELL("contenu",$B$7),COUNTA(IL13:IL13)*CELL("contenu",$B$12),COUNTA(IL15:IL17)*CELL("contenu",$B$14),COUNTA(IL19:IL19)*CELL("contenu",$B$18))))</f>
        <v/>
      </c>
      <c r="IM20" s="183" t="str">
        <f ca="1">IF(COUNTA(IM5:IM19)=0,"",5*SUM(IFERROR((((COUNTIF(IM5:IM6,"A"))*4)+((COUNTIF(IM5:IM6,"B"))*3)+((COUNTIF(IM5:IM6,"C"))*2)+((COUNTIF(IM5:IM6,"D"))*1))*CELL("contenu",$B$4),0),IFERROR((((COUNTIF(IM8:IM11,"A"))*4)+((COUNTIF(IM8:IM11,"B"))*3)+((COUNTIF(IM8:IM11,"C"))*2)+((COUNTIF(IM8:IM11,"D"))*1))*CELL("contenu",$B$7),0),IFERROR((((COUNTIF(IM13:IM13,"A"))*4)+((COUNTIF(IM13:IM13,"B"))*3)+((COUNTIF(IM13:IM13,"C"))*2)+((COUNTIF(IM13:IM13,"D"))*1))*CELL("contenu",$B$12),0),IFERROR((((COUNTIF(IM15:IM17,"A"))*4)+((COUNTIF(IM15:IM17,"B"))*3)+((COUNTIF(IM15:IM17,"C"))*2)+((COUNTIF(IM15:IM17,"D"))*1))*CELL("contenu",$B$14),0),IFERROR((((COUNTIF(IM19:IM19,"A"))*4)+((COUNTIF(IM19:IM19,"B"))*3)+((COUNTIF(IM19:IM19,"C"))*2)+((COUNTIF(IM19:IM19,"D"))*1))*CELL("contenu",$B$18),0))/IF(SUM(COUNTA(IM5:IM6)*CELL("contenu",$B$4),COUNTA(IM8:IM11)*CELL("contenu",$B$7),COUNTA(IM13:IM13)*CELL("contenu",$B$12),COUNTA(IM15:IM17)*CELL("contenu",$B$14),COUNTA(IM19:IM19)*CELL("contenu",$B$18))=0,1,SUM(COUNTA(IM5:IM6)*CELL("contenu",$B$4),COUNTA(IM8:IM11)*CELL("contenu",$B$7),COUNTA(IM13:IM13)*CELL("contenu",$B$12),COUNTA(IM15:IM17)*CELL("contenu",$B$14),COUNTA(IM19:IM19)*CELL("contenu",$B$18))))</f>
        <v/>
      </c>
      <c r="IN20" s="184" t="str">
        <f ca="1">IF(COUNTA(IN5:IN19)=0,"",5*SUM(IFERROR((((COUNTIF(IN5:IN6,"A"))*4)+((COUNTIF(IN5:IN6,"B"))*3)+((COUNTIF(IN5:IN6,"C"))*2)+((COUNTIF(IN5:IN6,"D"))*1))*CELL("contenu",$B$4),0),IFERROR((((COUNTIF(IN8:IN11,"A"))*4)+((COUNTIF(IN8:IN11,"B"))*3)+((COUNTIF(IN8:IN11,"C"))*2)+((COUNTIF(IN8:IN11,"D"))*1))*CELL("contenu",$B$7),0),IFERROR((((COUNTIF(IN13:IN13,"A"))*4)+((COUNTIF(IN13:IN13,"B"))*3)+((COUNTIF(IN13:IN13,"C"))*2)+((COUNTIF(IN13:IN13,"D"))*1))*CELL("contenu",$B$12),0),IFERROR((((COUNTIF(IN15:IN17,"A"))*4)+((COUNTIF(IN15:IN17,"B"))*3)+((COUNTIF(IN15:IN17,"C"))*2)+((COUNTIF(IN15:IN17,"D"))*1))*CELL("contenu",$B$14),0),IFERROR((((COUNTIF(IN19:IN19,"A"))*4)+((COUNTIF(IN19:IN19,"B"))*3)+((COUNTIF(IN19:IN19,"C"))*2)+((COUNTIF(IN19:IN19,"D"))*1))*CELL("contenu",$B$18),0))/IF(SUM(COUNTA(IN5:IN6)*CELL("contenu",$B$4),COUNTA(IN8:IN11)*CELL("contenu",$B$7),COUNTA(IN13:IN13)*CELL("contenu",$B$12),COUNTA(IN15:IN17)*CELL("contenu",$B$14),COUNTA(IN19:IN19)*CELL("contenu",$B$18))=0,1,SUM(COUNTA(IN5:IN6)*CELL("contenu",$B$4),COUNTA(IN8:IN11)*CELL("contenu",$B$7),COUNTA(IN13:IN13)*CELL("contenu",$B$12),COUNTA(IN15:IN17)*CELL("contenu",$B$14),COUNTA(IN19:IN19)*CELL("contenu",$B$18))))</f>
        <v/>
      </c>
      <c r="IO20" s="176"/>
      <c r="IP20" s="175" t="str">
        <f ca="1">IF(COUNTA(IL20:IN20)-COUNTBLANK(IL20:IN20)=0,"",SUM(IL20:IN20)/(COUNTA(IL20:IN20)-COUNTBLANK(IL20:IN20)))</f>
        <v/>
      </c>
      <c r="IQ20" s="182" t="str">
        <f ca="1">IF(COUNTA(IQ5:IQ19)=0,"",5*SUM(IFERROR((((COUNTIF(IQ5:IQ6,"A"))*4)+((COUNTIF(IQ5:IQ6,"B"))*3)+((COUNTIF(IQ5:IQ6,"C"))*2)+((COUNTIF(IQ5:IQ6,"D"))*1))*CELL("contenu",$B$4),0),IFERROR((((COUNTIF(IQ8:IQ11,"A"))*4)+((COUNTIF(IQ8:IQ11,"B"))*3)+((COUNTIF(IQ8:IQ11,"C"))*2)+((COUNTIF(IQ8:IQ11,"D"))*1))*CELL("contenu",$B$7),0),IFERROR((((COUNTIF(IQ13:IQ13,"A"))*4)+((COUNTIF(IQ13:IQ13,"B"))*3)+((COUNTIF(IQ13:IQ13,"C"))*2)+((COUNTIF(IQ13:IQ13,"D"))*1))*CELL("contenu",$B$12),0),IFERROR((((COUNTIF(IQ15:IQ17,"A"))*4)+((COUNTIF(IQ15:IQ17,"B"))*3)+((COUNTIF(IQ15:IQ17,"C"))*2)+((COUNTIF(IQ15:IQ17,"D"))*1))*CELL("contenu",$B$14),0),IFERROR((((COUNTIF(IQ19:IQ19,"A"))*4)+((COUNTIF(IQ19:IQ19,"B"))*3)+((COUNTIF(IQ19:IQ19,"C"))*2)+((COUNTIF(IQ19:IQ19,"D"))*1))*CELL("contenu",$B$18),0))/IF(SUM(COUNTA(IQ5:IQ6)*CELL("contenu",$B$4),COUNTA(IQ8:IQ11)*CELL("contenu",$B$7),COUNTA(IQ13:IQ13)*CELL("contenu",$B$12),COUNTA(IQ15:IQ17)*CELL("contenu",$B$14),COUNTA(IQ19:IQ19)*CELL("contenu",$B$18))=0,1,SUM(COUNTA(IQ5:IQ6)*CELL("contenu",$B$4),COUNTA(IQ8:IQ11)*CELL("contenu",$B$7),COUNTA(IQ13:IQ13)*CELL("contenu",$B$12),COUNTA(IQ15:IQ17)*CELL("contenu",$B$14),COUNTA(IQ19:IQ19)*CELL("contenu",$B$18))))</f>
        <v/>
      </c>
      <c r="IR20" s="183" t="str">
        <f ca="1">IF(COUNTA(IR5:IR19)=0,"",5*SUM(IFERROR((((COUNTIF(IR5:IR6,"A"))*4)+((COUNTIF(IR5:IR6,"B"))*3)+((COUNTIF(IR5:IR6,"C"))*2)+((COUNTIF(IR5:IR6,"D"))*1))*CELL("contenu",$B$4),0),IFERROR((((COUNTIF(IR8:IR11,"A"))*4)+((COUNTIF(IR8:IR11,"B"))*3)+((COUNTIF(IR8:IR11,"C"))*2)+((COUNTIF(IR8:IR11,"D"))*1))*CELL("contenu",$B$7),0),IFERROR((((COUNTIF(IR13:IR13,"A"))*4)+((COUNTIF(IR13:IR13,"B"))*3)+((COUNTIF(IR13:IR13,"C"))*2)+((COUNTIF(IR13:IR13,"D"))*1))*CELL("contenu",$B$12),0),IFERROR((((COUNTIF(IR15:IR17,"A"))*4)+((COUNTIF(IR15:IR17,"B"))*3)+((COUNTIF(IR15:IR17,"C"))*2)+((COUNTIF(IR15:IR17,"D"))*1))*CELL("contenu",$B$14),0),IFERROR((((COUNTIF(IR19:IR19,"A"))*4)+((COUNTIF(IR19:IR19,"B"))*3)+((COUNTIF(IR19:IR19,"C"))*2)+((COUNTIF(IR19:IR19,"D"))*1))*CELL("contenu",$B$18),0))/IF(SUM(COUNTA(IR5:IR6)*CELL("contenu",$B$4),COUNTA(IR8:IR11)*CELL("contenu",$B$7),COUNTA(IR13:IR13)*CELL("contenu",$B$12),COUNTA(IR15:IR17)*CELL("contenu",$B$14),COUNTA(IR19:IR19)*CELL("contenu",$B$18))=0,1,SUM(COUNTA(IR5:IR6)*CELL("contenu",$B$4),COUNTA(IR8:IR11)*CELL("contenu",$B$7),COUNTA(IR13:IR13)*CELL("contenu",$B$12),COUNTA(IR15:IR17)*CELL("contenu",$B$14),COUNTA(IR19:IR19)*CELL("contenu",$B$18))))</f>
        <v/>
      </c>
      <c r="IS20" s="184" t="str">
        <f ca="1">IF(COUNTA(IS5:IS19)=0,"",5*SUM(IFERROR((((COUNTIF(IS5:IS6,"A"))*4)+((COUNTIF(IS5:IS6,"B"))*3)+((COUNTIF(IS5:IS6,"C"))*2)+((COUNTIF(IS5:IS6,"D"))*1))*CELL("contenu",$B$4),0),IFERROR((((COUNTIF(IS8:IS11,"A"))*4)+((COUNTIF(IS8:IS11,"B"))*3)+((COUNTIF(IS8:IS11,"C"))*2)+((COUNTIF(IS8:IS11,"D"))*1))*CELL("contenu",$B$7),0),IFERROR((((COUNTIF(IS13:IS13,"A"))*4)+((COUNTIF(IS13:IS13,"B"))*3)+((COUNTIF(IS13:IS13,"C"))*2)+((COUNTIF(IS13:IS13,"D"))*1))*CELL("contenu",$B$12),0),IFERROR((((COUNTIF(IS15:IS17,"A"))*4)+((COUNTIF(IS15:IS17,"B"))*3)+((COUNTIF(IS15:IS17,"C"))*2)+((COUNTIF(IS15:IS17,"D"))*1))*CELL("contenu",$B$14),0),IFERROR((((COUNTIF(IS19:IS19,"A"))*4)+((COUNTIF(IS19:IS19,"B"))*3)+((COUNTIF(IS19:IS19,"C"))*2)+((COUNTIF(IS19:IS19,"D"))*1))*CELL("contenu",$B$18),0))/IF(SUM(COUNTA(IS5:IS6)*CELL("contenu",$B$4),COUNTA(IS8:IS11)*CELL("contenu",$B$7),COUNTA(IS13:IS13)*CELL("contenu",$B$12),COUNTA(IS15:IS17)*CELL("contenu",$B$14),COUNTA(IS19:IS19)*CELL("contenu",$B$18))=0,1,SUM(COUNTA(IS5:IS6)*CELL("contenu",$B$4),COUNTA(IS8:IS11)*CELL("contenu",$B$7),COUNTA(IS13:IS13)*CELL("contenu",$B$12),COUNTA(IS15:IS17)*CELL("contenu",$B$14),COUNTA(IS19:IS19)*CELL("contenu",$B$18))))</f>
        <v/>
      </c>
      <c r="IT20" s="176"/>
      <c r="IU20" s="174" t="str">
        <f ca="1">IF(COUNTA(IQ20:IS20)-COUNTBLANK(IQ20:IS20)=0,"",SUM(IQ20:IS20)/(COUNTA(IQ20:IS20)-COUNTBLANK(IQ20:IS20)))</f>
        <v/>
      </c>
      <c r="IV20" s="103"/>
      <c r="IW20" s="141"/>
      <c r="IX20" s="167">
        <f ca="1">IF(COUNTA(IX5:IX19)=0,"",5*SUM(IFERROR((((COUNTIF(IX5:IX6,"A"))*4)+((COUNTIF(IX5:IX6,"B"))*3)+((COUNTIF(IX5:IX6,"C"))*2)+((COUNTIF(IX5:IX6,"D"))*1))*CELL("contenu",$B$4),0),IFERROR((((COUNTIF(IX8:IX11,"A"))*4)+((COUNTIF(IX8:IX11,"B"))*3)+((COUNTIF(IX8:IX11,"C"))*2)+((COUNTIF(IX8:IX11,"D"))*1))*CELL("contenu",$B$7),0),IFERROR((((COUNTIF(IX13:IX13,"A"))*4)+((COUNTIF(IX13:IX13,"B"))*3)+((COUNTIF(IX13:IX13,"C"))*2)+((COUNTIF(IX13:IX13,"D"))*1))*CELL("contenu",$B$12),0),IFERROR((((COUNTIF(IX15:IX17,"A"))*4)+((COUNTIF(IX15:IX17,"B"))*3)+((COUNTIF(IX15:IX17,"C"))*2)+((COUNTIF(IX15:IX17,"D"))*1))*CELL("contenu",$B$14),0),IFERROR((((COUNTIF(IX19:IX19,"A"))*4)+((COUNTIF(IX19:IX19,"B"))*3)+((COUNTIF(IX19:IX19,"C"))*2)+((COUNTIF(IX19:IX19,"D"))*1))*CELL("contenu",$B$18),0))/IF(SUM(COUNTA(IX5:IX6)*CELL("contenu",$B$4),COUNTA(IX8:IX11)*CELL("contenu",$B$7),COUNTA(IX13:IX13)*CELL("contenu",$B$12),COUNTA(IX15:IX17)*CELL("contenu",$B$14),COUNTA(IX19:IX19)*CELL("contenu",$B$18))=0,1,SUM(COUNTA(IX5:IX6)*CELL("contenu",$B$4),COUNTA(IX8:IX11)*CELL("contenu",$B$7),COUNTA(IX13:IX13)*CELL("contenu",$B$12),COUNTA(IX15:IX17)*CELL("contenu",$B$14),COUNTA(IX19:IX19)*CELL("contenu",$B$18))))</f>
        <v>18.333333333333332</v>
      </c>
      <c r="IY20" s="168" t="str">
        <f ca="1">IF(COUNTA(IY5:IY19)=0,"",5*SUM(IFERROR((((COUNTIF(IY5:IY6,"A"))*4)+((COUNTIF(IY5:IY6,"B"))*3)+((COUNTIF(IY5:IY6,"C"))*2)+((COUNTIF(IY5:IY6,"D"))*1))*CELL("contenu",$B$4),0),IFERROR((((COUNTIF(IY8:IY11,"A"))*4)+((COUNTIF(IY8:IY11,"B"))*3)+((COUNTIF(IY8:IY11,"C"))*2)+((COUNTIF(IY8:IY11,"D"))*1))*CELL("contenu",$B$7),0),IFERROR((((COUNTIF(IY13:IY13,"A"))*4)+((COUNTIF(IY13:IY13,"B"))*3)+((COUNTIF(IY13:IY13,"C"))*2)+((COUNTIF(IY13:IY13,"D"))*1))*CELL("contenu",$B$12),0),IFERROR((((COUNTIF(IY15:IY17,"A"))*4)+((COUNTIF(IY15:IY17,"B"))*3)+((COUNTIF(IY15:IY17,"C"))*2)+((COUNTIF(IY15:IY17,"D"))*1))*CELL("contenu",$B$14),0),IFERROR((((COUNTIF(IY19:IY19,"A"))*4)+((COUNTIF(IY19:IY19,"B"))*3)+((COUNTIF(IY19:IY19,"C"))*2)+((COUNTIF(IY19:IY19,"D"))*1))*CELL("contenu",$B$18),0))/IF(SUM(COUNTA(IY5:IY6)*CELL("contenu",$B$4),COUNTA(IY8:IY11)*CELL("contenu",$B$7),COUNTA(IY13:IY13)*CELL("contenu",$B$12),COUNTA(IY15:IY17)*CELL("contenu",$B$14),COUNTA(IY19:IY19)*CELL("contenu",$B$18))=0,1,SUM(COUNTA(IY5:IY6)*CELL("contenu",$B$4),COUNTA(IY8:IY11)*CELL("contenu",$B$7),COUNTA(IY13:IY13)*CELL("contenu",$B$12),COUNTA(IY15:IY17)*CELL("contenu",$B$14),COUNTA(IY19:IY19)*CELL("contenu",$B$18))))</f>
        <v/>
      </c>
      <c r="IZ20" s="169" t="str">
        <f ca="1">IF(COUNTA(IZ5:IZ19)=0,"",5*SUM(IFERROR((((COUNTIF(IZ5:IZ6,"A"))*4)+((COUNTIF(IZ5:IZ6,"B"))*3)+((COUNTIF(IZ5:IZ6,"C"))*2)+((COUNTIF(IZ5:IZ6,"D"))*1))*CELL("contenu",$B$4),0),IFERROR((((COUNTIF(IZ8:IZ11,"A"))*4)+((COUNTIF(IZ8:IZ11,"B"))*3)+((COUNTIF(IZ8:IZ11,"C"))*2)+((COUNTIF(IZ8:IZ11,"D"))*1))*CELL("contenu",$B$7),0),IFERROR((((COUNTIF(IZ13:IZ13,"A"))*4)+((COUNTIF(IZ13:IZ13,"B"))*3)+((COUNTIF(IZ13:IZ13,"C"))*2)+((COUNTIF(IZ13:IZ13,"D"))*1))*CELL("contenu",$B$12),0),IFERROR((((COUNTIF(IZ15:IZ17,"A"))*4)+((COUNTIF(IZ15:IZ17,"B"))*3)+((COUNTIF(IZ15:IZ17,"C"))*2)+((COUNTIF(IZ15:IZ17,"D"))*1))*CELL("contenu",$B$14),0),IFERROR((((COUNTIF(IZ19:IZ19,"A"))*4)+((COUNTIF(IZ19:IZ19,"B"))*3)+((COUNTIF(IZ19:IZ19,"C"))*2)+((COUNTIF(IZ19:IZ19,"D"))*1))*CELL("contenu",$B$18),0))/IF(SUM(COUNTA(IZ5:IZ6)*CELL("contenu",$B$4),COUNTA(IZ8:IZ11)*CELL("contenu",$B$7),COUNTA(IZ13:IZ13)*CELL("contenu",$B$12),COUNTA(IZ15:IZ17)*CELL("contenu",$B$14),COUNTA(IZ19:IZ19)*CELL("contenu",$B$18))=0,1,SUM(COUNTA(IZ5:IZ6)*CELL("contenu",$B$4),COUNTA(IZ8:IZ11)*CELL("contenu",$B$7),COUNTA(IZ13:IZ13)*CELL("contenu",$B$12),COUNTA(IZ15:IZ17)*CELL("contenu",$B$14),COUNTA(IZ19:IZ19)*CELL("contenu",$B$18))))</f>
        <v/>
      </c>
      <c r="JA20" s="116"/>
      <c r="JB20" s="192">
        <f ca="1">IF(COUNTA(IX20:IZ20)-COUNTBLANK(IX20:IZ20)=0,"",SUM(IX20:IZ20)/(COUNTA(IX20:IZ20)-COUNTBLANK(IX20:IZ20)))</f>
        <v>18.333333333333332</v>
      </c>
      <c r="JC20" s="182" t="str">
        <f ca="1">IF(COUNTA(JC5:JC19)=0,"",5*SUM(IFERROR((((COUNTIF(JC5:JC6,"A"))*4)+((COUNTIF(JC5:JC6,"B"))*3)+((COUNTIF(JC5:JC6,"C"))*2)+((COUNTIF(JC5:JC6,"D"))*1))*CELL("contenu",$B$4),0),IFERROR((((COUNTIF(JC8:JC11,"A"))*4)+((COUNTIF(JC8:JC11,"B"))*3)+((COUNTIF(JC8:JC11,"C"))*2)+((COUNTIF(JC8:JC11,"D"))*1))*CELL("contenu",$B$7),0),IFERROR((((COUNTIF(JC13:JC13,"A"))*4)+((COUNTIF(JC13:JC13,"B"))*3)+((COUNTIF(JC13:JC13,"C"))*2)+((COUNTIF(JC13:JC13,"D"))*1))*CELL("contenu",$B$12),0),IFERROR((((COUNTIF(JC15:JC17,"A"))*4)+((COUNTIF(JC15:JC17,"B"))*3)+((COUNTIF(JC15:JC17,"C"))*2)+((COUNTIF(JC15:JC17,"D"))*1))*CELL("contenu",$B$14),0),IFERROR((((COUNTIF(JC19:JC19,"A"))*4)+((COUNTIF(JC19:JC19,"B"))*3)+((COUNTIF(JC19:JC19,"C"))*2)+((COUNTIF(JC19:JC19,"D"))*1))*CELL("contenu",$B$18),0))/IF(SUM(COUNTA(JC5:JC6)*CELL("contenu",$B$4),COUNTA(JC8:JC11)*CELL("contenu",$B$7),COUNTA(JC13:JC13)*CELL("contenu",$B$12),COUNTA(JC15:JC17)*CELL("contenu",$B$14),COUNTA(JC19:JC19)*CELL("contenu",$B$18))=0,1,SUM(COUNTA(JC5:JC6)*CELL("contenu",$B$4),COUNTA(JC8:JC11)*CELL("contenu",$B$7),COUNTA(JC13:JC13)*CELL("contenu",$B$12),COUNTA(JC15:JC17)*CELL("contenu",$B$14),COUNTA(JC19:JC19)*CELL("contenu",$B$18))))</f>
        <v/>
      </c>
      <c r="JD20" s="183" t="str">
        <f ca="1">IF(COUNTA(JD5:JD19)=0,"",5*SUM(IFERROR((((COUNTIF(JD5:JD6,"A"))*4)+((COUNTIF(JD5:JD6,"B"))*3)+((COUNTIF(JD5:JD6,"C"))*2)+((COUNTIF(JD5:JD6,"D"))*1))*CELL("contenu",$B$4),0),IFERROR((((COUNTIF(JD8:JD11,"A"))*4)+((COUNTIF(JD8:JD11,"B"))*3)+((COUNTIF(JD8:JD11,"C"))*2)+((COUNTIF(JD8:JD11,"D"))*1))*CELL("contenu",$B$7),0),IFERROR((((COUNTIF(JD13:JD13,"A"))*4)+((COUNTIF(JD13:JD13,"B"))*3)+((COUNTIF(JD13:JD13,"C"))*2)+((COUNTIF(JD13:JD13,"D"))*1))*CELL("contenu",$B$12),0),IFERROR((((COUNTIF(JD15:JD17,"A"))*4)+((COUNTIF(JD15:JD17,"B"))*3)+((COUNTIF(JD15:JD17,"C"))*2)+((COUNTIF(JD15:JD17,"D"))*1))*CELL("contenu",$B$14),0),IFERROR((((COUNTIF(JD19:JD19,"A"))*4)+((COUNTIF(JD19:JD19,"B"))*3)+((COUNTIF(JD19:JD19,"C"))*2)+((COUNTIF(JD19:JD19,"D"))*1))*CELL("contenu",$B$18),0))/IF(SUM(COUNTA(JD5:JD6)*CELL("contenu",$B$4),COUNTA(JD8:JD11)*CELL("contenu",$B$7),COUNTA(JD13:JD13)*CELL("contenu",$B$12),COUNTA(JD15:JD17)*CELL("contenu",$B$14),COUNTA(JD19:JD19)*CELL("contenu",$B$18))=0,1,SUM(COUNTA(JD5:JD6)*CELL("contenu",$B$4),COUNTA(JD8:JD11)*CELL("contenu",$B$7),COUNTA(JD13:JD13)*CELL("contenu",$B$12),COUNTA(JD15:JD17)*CELL("contenu",$B$14),COUNTA(JD19:JD19)*CELL("contenu",$B$18))))</f>
        <v/>
      </c>
      <c r="JE20" s="184" t="str">
        <f ca="1">IF(COUNTA(JE5:JE19)=0,"",5*SUM(IFERROR((((COUNTIF(JE5:JE6,"A"))*4)+((COUNTIF(JE5:JE6,"B"))*3)+((COUNTIF(JE5:JE6,"C"))*2)+((COUNTIF(JE5:JE6,"D"))*1))*CELL("contenu",$B$4),0),IFERROR((((COUNTIF(JE8:JE11,"A"))*4)+((COUNTIF(JE8:JE11,"B"))*3)+((COUNTIF(JE8:JE11,"C"))*2)+((COUNTIF(JE8:JE11,"D"))*1))*CELL("contenu",$B$7),0),IFERROR((((COUNTIF(JE13:JE13,"A"))*4)+((COUNTIF(JE13:JE13,"B"))*3)+((COUNTIF(JE13:JE13,"C"))*2)+((COUNTIF(JE13:JE13,"D"))*1))*CELL("contenu",$B$12),0),IFERROR((((COUNTIF(JE15:JE17,"A"))*4)+((COUNTIF(JE15:JE17,"B"))*3)+((COUNTIF(JE15:JE17,"C"))*2)+((COUNTIF(JE15:JE17,"D"))*1))*CELL("contenu",$B$14),0),IFERROR((((COUNTIF(JE19:JE19,"A"))*4)+((COUNTIF(JE19:JE19,"B"))*3)+((COUNTIF(JE19:JE19,"C"))*2)+((COUNTIF(JE19:JE19,"D"))*1))*CELL("contenu",$B$18),0))/IF(SUM(COUNTA(JE5:JE6)*CELL("contenu",$B$4),COUNTA(JE8:JE11)*CELL("contenu",$B$7),COUNTA(JE13:JE13)*CELL("contenu",$B$12),COUNTA(JE15:JE17)*CELL("contenu",$B$14),COUNTA(JE19:JE19)*CELL("contenu",$B$18))=0,1,SUM(COUNTA(JE5:JE6)*CELL("contenu",$B$4),COUNTA(JE8:JE11)*CELL("contenu",$B$7),COUNTA(JE13:JE13)*CELL("contenu",$B$12),COUNTA(JE15:JE17)*CELL("contenu",$B$14),COUNTA(JE19:JE19)*CELL("contenu",$B$18))))</f>
        <v/>
      </c>
      <c r="JF20" s="176"/>
      <c r="JG20" s="175" t="str">
        <f ca="1">IF(COUNTA(JC20:JE20)-COUNTBLANK(JC20:JE20)=0,"",SUM(JC20:JE20)/(COUNTA(JC20:JE20)-COUNTBLANK(JC20:JE20)))</f>
        <v/>
      </c>
      <c r="JH20" s="182" t="str">
        <f ca="1">IF(COUNTA(JH5:JH19)=0,"",5*SUM(IFERROR((((COUNTIF(JH5:JH6,"A"))*4)+((COUNTIF(JH5:JH6,"B"))*3)+((COUNTIF(JH5:JH6,"C"))*2)+((COUNTIF(JH5:JH6,"D"))*1))*CELL("contenu",$B$4),0),IFERROR((((COUNTIF(JH8:JH11,"A"))*4)+((COUNTIF(JH8:JH11,"B"))*3)+((COUNTIF(JH8:JH11,"C"))*2)+((COUNTIF(JH8:JH11,"D"))*1))*CELL("contenu",$B$7),0),IFERROR((((COUNTIF(JH13:JH13,"A"))*4)+((COUNTIF(JH13:JH13,"B"))*3)+((COUNTIF(JH13:JH13,"C"))*2)+((COUNTIF(JH13:JH13,"D"))*1))*CELL("contenu",$B$12),0),IFERROR((((COUNTIF(JH15:JH17,"A"))*4)+((COUNTIF(JH15:JH17,"B"))*3)+((COUNTIF(JH15:JH17,"C"))*2)+((COUNTIF(JH15:JH17,"D"))*1))*CELL("contenu",$B$14),0),IFERROR((((COUNTIF(JH19:JH19,"A"))*4)+((COUNTIF(JH19:JH19,"B"))*3)+((COUNTIF(JH19:JH19,"C"))*2)+((COUNTIF(JH19:JH19,"D"))*1))*CELL("contenu",$B$18),0))/IF(SUM(COUNTA(JH5:JH6)*CELL("contenu",$B$4),COUNTA(JH8:JH11)*CELL("contenu",$B$7),COUNTA(JH13:JH13)*CELL("contenu",$B$12),COUNTA(JH15:JH17)*CELL("contenu",$B$14),COUNTA(JH19:JH19)*CELL("contenu",$B$18))=0,1,SUM(COUNTA(JH5:JH6)*CELL("contenu",$B$4),COUNTA(JH8:JH11)*CELL("contenu",$B$7),COUNTA(JH13:JH13)*CELL("contenu",$B$12),COUNTA(JH15:JH17)*CELL("contenu",$B$14),COUNTA(JH19:JH19)*CELL("contenu",$B$18))))</f>
        <v/>
      </c>
      <c r="JI20" s="183" t="str">
        <f ca="1">IF(COUNTA(JI5:JI19)=0,"",5*SUM(IFERROR((((COUNTIF(JI5:JI6,"A"))*4)+((COUNTIF(JI5:JI6,"B"))*3)+((COUNTIF(JI5:JI6,"C"))*2)+((COUNTIF(JI5:JI6,"D"))*1))*CELL("contenu",$B$4),0),IFERROR((((COUNTIF(JI8:JI11,"A"))*4)+((COUNTIF(JI8:JI11,"B"))*3)+((COUNTIF(JI8:JI11,"C"))*2)+((COUNTIF(JI8:JI11,"D"))*1))*CELL("contenu",$B$7),0),IFERROR((((COUNTIF(JI13:JI13,"A"))*4)+((COUNTIF(JI13:JI13,"B"))*3)+((COUNTIF(JI13:JI13,"C"))*2)+((COUNTIF(JI13:JI13,"D"))*1))*CELL("contenu",$B$12),0),IFERROR((((COUNTIF(JI15:JI17,"A"))*4)+((COUNTIF(JI15:JI17,"B"))*3)+((COUNTIF(JI15:JI17,"C"))*2)+((COUNTIF(JI15:JI17,"D"))*1))*CELL("contenu",$B$14),0),IFERROR((((COUNTIF(JI19:JI19,"A"))*4)+((COUNTIF(JI19:JI19,"B"))*3)+((COUNTIF(JI19:JI19,"C"))*2)+((COUNTIF(JI19:JI19,"D"))*1))*CELL("contenu",$B$18),0))/IF(SUM(COUNTA(JI5:JI6)*CELL("contenu",$B$4),COUNTA(JI8:JI11)*CELL("contenu",$B$7),COUNTA(JI13:JI13)*CELL("contenu",$B$12),COUNTA(JI15:JI17)*CELL("contenu",$B$14),COUNTA(JI19:JI19)*CELL("contenu",$B$18))=0,1,SUM(COUNTA(JI5:JI6)*CELL("contenu",$B$4),COUNTA(JI8:JI11)*CELL("contenu",$B$7),COUNTA(JI13:JI13)*CELL("contenu",$B$12),COUNTA(JI15:JI17)*CELL("contenu",$B$14),COUNTA(JI19:JI19)*CELL("contenu",$B$18))))</f>
        <v/>
      </c>
      <c r="JJ20" s="184" t="str">
        <f ca="1">IF(COUNTA(JJ5:JJ19)=0,"",5*SUM(IFERROR((((COUNTIF(JJ5:JJ6,"A"))*4)+((COUNTIF(JJ5:JJ6,"B"))*3)+((COUNTIF(JJ5:JJ6,"C"))*2)+((COUNTIF(JJ5:JJ6,"D"))*1))*CELL("contenu",$B$4),0),IFERROR((((COUNTIF(JJ8:JJ11,"A"))*4)+((COUNTIF(JJ8:JJ11,"B"))*3)+((COUNTIF(JJ8:JJ11,"C"))*2)+((COUNTIF(JJ8:JJ11,"D"))*1))*CELL("contenu",$B$7),0),IFERROR((((COUNTIF(JJ13:JJ13,"A"))*4)+((COUNTIF(JJ13:JJ13,"B"))*3)+((COUNTIF(JJ13:JJ13,"C"))*2)+((COUNTIF(JJ13:JJ13,"D"))*1))*CELL("contenu",$B$12),0),IFERROR((((COUNTIF(JJ15:JJ17,"A"))*4)+((COUNTIF(JJ15:JJ17,"B"))*3)+((COUNTIF(JJ15:JJ17,"C"))*2)+((COUNTIF(JJ15:JJ17,"D"))*1))*CELL("contenu",$B$14),0),IFERROR((((COUNTIF(JJ19:JJ19,"A"))*4)+((COUNTIF(JJ19:JJ19,"B"))*3)+((COUNTIF(JJ19:JJ19,"C"))*2)+((COUNTIF(JJ19:JJ19,"D"))*1))*CELL("contenu",$B$18),0))/IF(SUM(COUNTA(JJ5:JJ6)*CELL("contenu",$B$4),COUNTA(JJ8:JJ11)*CELL("contenu",$B$7),COUNTA(JJ13:JJ13)*CELL("contenu",$B$12),COUNTA(JJ15:JJ17)*CELL("contenu",$B$14),COUNTA(JJ19:JJ19)*CELL("contenu",$B$18))=0,1,SUM(COUNTA(JJ5:JJ6)*CELL("contenu",$B$4),COUNTA(JJ8:JJ11)*CELL("contenu",$B$7),COUNTA(JJ13:JJ13)*CELL("contenu",$B$12),COUNTA(JJ15:JJ17)*CELL("contenu",$B$14),COUNTA(JJ19:JJ19)*CELL("contenu",$B$18))))</f>
        <v/>
      </c>
      <c r="JK20" s="176"/>
      <c r="JL20" s="174" t="str">
        <f ca="1">IF(COUNTA(JH20:JJ20)-COUNTBLANK(JH20:JJ20)=0,"",SUM(JH20:JJ20)/(COUNTA(JH20:JJ20)-COUNTBLANK(JH20:JJ20)))</f>
        <v/>
      </c>
      <c r="JM20" s="103"/>
      <c r="JN20" s="141"/>
      <c r="JO20" s="167">
        <f ca="1">IF(COUNTA(JO5:JO19)=0,"",5*SUM(IFERROR((((COUNTIF(JO5:JO6,"A"))*4)+((COUNTIF(JO5:JO6,"B"))*3)+((COUNTIF(JO5:JO6,"C"))*2)+((COUNTIF(JO5:JO6,"D"))*1))*CELL("contenu",$B$4),0),IFERROR((((COUNTIF(JO8:JO11,"A"))*4)+((COUNTIF(JO8:JO11,"B"))*3)+((COUNTIF(JO8:JO11,"C"))*2)+((COUNTIF(JO8:JO11,"D"))*1))*CELL("contenu",$B$7),0),IFERROR((((COUNTIF(JO13:JO13,"A"))*4)+((COUNTIF(JO13:JO13,"B"))*3)+((COUNTIF(JO13:JO13,"C"))*2)+((COUNTIF(JO13:JO13,"D"))*1))*CELL("contenu",$B$12),0),IFERROR((((COUNTIF(JO15:JO17,"A"))*4)+((COUNTIF(JO15:JO17,"B"))*3)+((COUNTIF(JO15:JO17,"C"))*2)+((COUNTIF(JO15:JO17,"D"))*1))*CELL("contenu",$B$14),0),IFERROR((((COUNTIF(JO19:JO19,"A"))*4)+((COUNTIF(JO19:JO19,"B"))*3)+((COUNTIF(JO19:JO19,"C"))*2)+((COUNTIF(JO19:JO19,"D"))*1))*CELL("contenu",$B$18),0))/IF(SUM(COUNTA(JO5:JO6)*CELL("contenu",$B$4),COUNTA(JO8:JO11)*CELL("contenu",$B$7),COUNTA(JO13:JO13)*CELL("contenu",$B$12),COUNTA(JO15:JO17)*CELL("contenu",$B$14),COUNTA(JO19:JO19)*CELL("contenu",$B$18))=0,1,SUM(COUNTA(JO5:JO6)*CELL("contenu",$B$4),COUNTA(JO8:JO11)*CELL("contenu",$B$7),COUNTA(JO13:JO13)*CELL("contenu",$B$12),COUNTA(JO15:JO17)*CELL("contenu",$B$14),COUNTA(JO19:JO19)*CELL("contenu",$B$18))))</f>
        <v>18.333333333333332</v>
      </c>
      <c r="JP20" s="168" t="str">
        <f ca="1">IF(COUNTA(JP5:JP19)=0,"",5*SUM(IFERROR((((COUNTIF(JP5:JP6,"A"))*4)+((COUNTIF(JP5:JP6,"B"))*3)+((COUNTIF(JP5:JP6,"C"))*2)+((COUNTIF(JP5:JP6,"D"))*1))*CELL("contenu",$B$4),0),IFERROR((((COUNTIF(JP8:JP11,"A"))*4)+((COUNTIF(JP8:JP11,"B"))*3)+((COUNTIF(JP8:JP11,"C"))*2)+((COUNTIF(JP8:JP11,"D"))*1))*CELL("contenu",$B$7),0),IFERROR((((COUNTIF(JP13:JP13,"A"))*4)+((COUNTIF(JP13:JP13,"B"))*3)+((COUNTIF(JP13:JP13,"C"))*2)+((COUNTIF(JP13:JP13,"D"))*1))*CELL("contenu",$B$12),0),IFERROR((((COUNTIF(JP15:JP17,"A"))*4)+((COUNTIF(JP15:JP17,"B"))*3)+((COUNTIF(JP15:JP17,"C"))*2)+((COUNTIF(JP15:JP17,"D"))*1))*CELL("contenu",$B$14),0),IFERROR((((COUNTIF(JP19:JP19,"A"))*4)+((COUNTIF(JP19:JP19,"B"))*3)+((COUNTIF(JP19:JP19,"C"))*2)+((COUNTIF(JP19:JP19,"D"))*1))*CELL("contenu",$B$18),0))/IF(SUM(COUNTA(JP5:JP6)*CELL("contenu",$B$4),COUNTA(JP8:JP11)*CELL("contenu",$B$7),COUNTA(JP13:JP13)*CELL("contenu",$B$12),COUNTA(JP15:JP17)*CELL("contenu",$B$14),COUNTA(JP19:JP19)*CELL("contenu",$B$18))=0,1,SUM(COUNTA(JP5:JP6)*CELL("contenu",$B$4),COUNTA(JP8:JP11)*CELL("contenu",$B$7),COUNTA(JP13:JP13)*CELL("contenu",$B$12),COUNTA(JP15:JP17)*CELL("contenu",$B$14),COUNTA(JP19:JP19)*CELL("contenu",$B$18))))</f>
        <v/>
      </c>
      <c r="JQ20" s="169" t="str">
        <f ca="1">IF(COUNTA(JQ5:JQ19)=0,"",5*SUM(IFERROR((((COUNTIF(JQ5:JQ6,"A"))*4)+((COUNTIF(JQ5:JQ6,"B"))*3)+((COUNTIF(JQ5:JQ6,"C"))*2)+((COUNTIF(JQ5:JQ6,"D"))*1))*CELL("contenu",$B$4),0),IFERROR((((COUNTIF(JQ8:JQ11,"A"))*4)+((COUNTIF(JQ8:JQ11,"B"))*3)+((COUNTIF(JQ8:JQ11,"C"))*2)+((COUNTIF(JQ8:JQ11,"D"))*1))*CELL("contenu",$B$7),0),IFERROR((((COUNTIF(JQ13:JQ13,"A"))*4)+((COUNTIF(JQ13:JQ13,"B"))*3)+((COUNTIF(JQ13:JQ13,"C"))*2)+((COUNTIF(JQ13:JQ13,"D"))*1))*CELL("contenu",$B$12),0),IFERROR((((COUNTIF(JQ15:JQ17,"A"))*4)+((COUNTIF(JQ15:JQ17,"B"))*3)+((COUNTIF(JQ15:JQ17,"C"))*2)+((COUNTIF(JQ15:JQ17,"D"))*1))*CELL("contenu",$B$14),0),IFERROR((((COUNTIF(JQ19:JQ19,"A"))*4)+((COUNTIF(JQ19:JQ19,"B"))*3)+((COUNTIF(JQ19:JQ19,"C"))*2)+((COUNTIF(JQ19:JQ19,"D"))*1))*CELL("contenu",$B$18),0))/IF(SUM(COUNTA(JQ5:JQ6)*CELL("contenu",$B$4),COUNTA(JQ8:JQ11)*CELL("contenu",$B$7),COUNTA(JQ13:JQ13)*CELL("contenu",$B$12),COUNTA(JQ15:JQ17)*CELL("contenu",$B$14),COUNTA(JQ19:JQ19)*CELL("contenu",$B$18))=0,1,SUM(COUNTA(JQ5:JQ6)*CELL("contenu",$B$4),COUNTA(JQ8:JQ11)*CELL("contenu",$B$7),COUNTA(JQ13:JQ13)*CELL("contenu",$B$12),COUNTA(JQ15:JQ17)*CELL("contenu",$B$14),COUNTA(JQ19:JQ19)*CELL("contenu",$B$18))))</f>
        <v/>
      </c>
      <c r="JR20" s="116"/>
      <c r="JS20" s="192">
        <f ca="1">IF(COUNTA(JO20:JQ20)-COUNTBLANK(JO20:JQ20)=0,"",SUM(JO20:JQ20)/(COUNTA(JO20:JQ20)-COUNTBLANK(JO20:JQ20)))</f>
        <v>18.333333333333332</v>
      </c>
      <c r="JT20" s="182" t="str">
        <f ca="1">IF(COUNTA(JT5:JT19)=0,"",5*SUM(IFERROR((((COUNTIF(JT5:JT6,"A"))*4)+((COUNTIF(JT5:JT6,"B"))*3)+((COUNTIF(JT5:JT6,"C"))*2)+((COUNTIF(JT5:JT6,"D"))*1))*CELL("contenu",$B$4),0),IFERROR((((COUNTIF(JT8:JT11,"A"))*4)+((COUNTIF(JT8:JT11,"B"))*3)+((COUNTIF(JT8:JT11,"C"))*2)+((COUNTIF(JT8:JT11,"D"))*1))*CELL("contenu",$B$7),0),IFERROR((((COUNTIF(JT13:JT13,"A"))*4)+((COUNTIF(JT13:JT13,"B"))*3)+((COUNTIF(JT13:JT13,"C"))*2)+((COUNTIF(JT13:JT13,"D"))*1))*CELL("contenu",$B$12),0),IFERROR((((COUNTIF(JT15:JT17,"A"))*4)+((COUNTIF(JT15:JT17,"B"))*3)+((COUNTIF(JT15:JT17,"C"))*2)+((COUNTIF(JT15:JT17,"D"))*1))*CELL("contenu",$B$14),0),IFERROR((((COUNTIF(JT19:JT19,"A"))*4)+((COUNTIF(JT19:JT19,"B"))*3)+((COUNTIF(JT19:JT19,"C"))*2)+((COUNTIF(JT19:JT19,"D"))*1))*CELL("contenu",$B$18),0))/IF(SUM(COUNTA(JT5:JT6)*CELL("contenu",$B$4),COUNTA(JT8:JT11)*CELL("contenu",$B$7),COUNTA(JT13:JT13)*CELL("contenu",$B$12),COUNTA(JT15:JT17)*CELL("contenu",$B$14),COUNTA(JT19:JT19)*CELL("contenu",$B$18))=0,1,SUM(COUNTA(JT5:JT6)*CELL("contenu",$B$4),COUNTA(JT8:JT11)*CELL("contenu",$B$7),COUNTA(JT13:JT13)*CELL("contenu",$B$12),COUNTA(JT15:JT17)*CELL("contenu",$B$14),COUNTA(JT19:JT19)*CELL("contenu",$B$18))))</f>
        <v/>
      </c>
      <c r="JU20" s="183" t="str">
        <f ca="1">IF(COUNTA(JU5:JU19)=0,"",5*SUM(IFERROR((((COUNTIF(JU5:JU6,"A"))*4)+((COUNTIF(JU5:JU6,"B"))*3)+((COUNTIF(JU5:JU6,"C"))*2)+((COUNTIF(JU5:JU6,"D"))*1))*CELL("contenu",$B$4),0),IFERROR((((COUNTIF(JU8:JU11,"A"))*4)+((COUNTIF(JU8:JU11,"B"))*3)+((COUNTIF(JU8:JU11,"C"))*2)+((COUNTIF(JU8:JU11,"D"))*1))*CELL("contenu",$B$7),0),IFERROR((((COUNTIF(JU13:JU13,"A"))*4)+((COUNTIF(JU13:JU13,"B"))*3)+((COUNTIF(JU13:JU13,"C"))*2)+((COUNTIF(JU13:JU13,"D"))*1))*CELL("contenu",$B$12),0),IFERROR((((COUNTIF(JU15:JU17,"A"))*4)+((COUNTIF(JU15:JU17,"B"))*3)+((COUNTIF(JU15:JU17,"C"))*2)+((COUNTIF(JU15:JU17,"D"))*1))*CELL("contenu",$B$14),0),IFERROR((((COUNTIF(JU19:JU19,"A"))*4)+((COUNTIF(JU19:JU19,"B"))*3)+((COUNTIF(JU19:JU19,"C"))*2)+((COUNTIF(JU19:JU19,"D"))*1))*CELL("contenu",$B$18),0))/IF(SUM(COUNTA(JU5:JU6)*CELL("contenu",$B$4),COUNTA(JU8:JU11)*CELL("contenu",$B$7),COUNTA(JU13:JU13)*CELL("contenu",$B$12),COUNTA(JU15:JU17)*CELL("contenu",$B$14),COUNTA(JU19:JU19)*CELL("contenu",$B$18))=0,1,SUM(COUNTA(JU5:JU6)*CELL("contenu",$B$4),COUNTA(JU8:JU11)*CELL("contenu",$B$7),COUNTA(JU13:JU13)*CELL("contenu",$B$12),COUNTA(JU15:JU17)*CELL("contenu",$B$14),COUNTA(JU19:JU19)*CELL("contenu",$B$18))))</f>
        <v/>
      </c>
      <c r="JV20" s="184" t="str">
        <f ca="1">IF(COUNTA(JV5:JV19)=0,"",5*SUM(IFERROR((((COUNTIF(JV5:JV6,"A"))*4)+((COUNTIF(JV5:JV6,"B"))*3)+((COUNTIF(JV5:JV6,"C"))*2)+((COUNTIF(JV5:JV6,"D"))*1))*CELL("contenu",$B$4),0),IFERROR((((COUNTIF(JV8:JV11,"A"))*4)+((COUNTIF(JV8:JV11,"B"))*3)+((COUNTIF(JV8:JV11,"C"))*2)+((COUNTIF(JV8:JV11,"D"))*1))*CELL("contenu",$B$7),0),IFERROR((((COUNTIF(JV13:JV13,"A"))*4)+((COUNTIF(JV13:JV13,"B"))*3)+((COUNTIF(JV13:JV13,"C"))*2)+((COUNTIF(JV13:JV13,"D"))*1))*CELL("contenu",$B$12),0),IFERROR((((COUNTIF(JV15:JV17,"A"))*4)+((COUNTIF(JV15:JV17,"B"))*3)+((COUNTIF(JV15:JV17,"C"))*2)+((COUNTIF(JV15:JV17,"D"))*1))*CELL("contenu",$B$14),0),IFERROR((((COUNTIF(JV19:JV19,"A"))*4)+((COUNTIF(JV19:JV19,"B"))*3)+((COUNTIF(JV19:JV19,"C"))*2)+((COUNTIF(JV19:JV19,"D"))*1))*CELL("contenu",$B$18),0))/IF(SUM(COUNTA(JV5:JV6)*CELL("contenu",$B$4),COUNTA(JV8:JV11)*CELL("contenu",$B$7),COUNTA(JV13:JV13)*CELL("contenu",$B$12),COUNTA(JV15:JV17)*CELL("contenu",$B$14),COUNTA(JV19:JV19)*CELL("contenu",$B$18))=0,1,SUM(COUNTA(JV5:JV6)*CELL("contenu",$B$4),COUNTA(JV8:JV11)*CELL("contenu",$B$7),COUNTA(JV13:JV13)*CELL("contenu",$B$12),COUNTA(JV15:JV17)*CELL("contenu",$B$14),COUNTA(JV19:JV19)*CELL("contenu",$B$18))))</f>
        <v/>
      </c>
      <c r="JW20" s="176"/>
      <c r="JX20" s="175" t="str">
        <f ca="1">IF(COUNTA(JT20:JV20)-COUNTBLANK(JT20:JV20)=0,"",SUM(JT20:JV20)/(COUNTA(JT20:JV20)-COUNTBLANK(JT20:JV20)))</f>
        <v/>
      </c>
      <c r="JY20" s="182" t="str">
        <f ca="1">IF(COUNTA(JY5:JY19)=0,"",5*SUM(IFERROR((((COUNTIF(JY5:JY6,"A"))*4)+((COUNTIF(JY5:JY6,"B"))*3)+((COUNTIF(JY5:JY6,"C"))*2)+((COUNTIF(JY5:JY6,"D"))*1))*CELL("contenu",$B$4),0),IFERROR((((COUNTIF(JY8:JY11,"A"))*4)+((COUNTIF(JY8:JY11,"B"))*3)+((COUNTIF(JY8:JY11,"C"))*2)+((COUNTIF(JY8:JY11,"D"))*1))*CELL("contenu",$B$7),0),IFERROR((((COUNTIF(JY13:JY13,"A"))*4)+((COUNTIF(JY13:JY13,"B"))*3)+((COUNTIF(JY13:JY13,"C"))*2)+((COUNTIF(JY13:JY13,"D"))*1))*CELL("contenu",$B$12),0),IFERROR((((COUNTIF(JY15:JY17,"A"))*4)+((COUNTIF(JY15:JY17,"B"))*3)+((COUNTIF(JY15:JY17,"C"))*2)+((COUNTIF(JY15:JY17,"D"))*1))*CELL("contenu",$B$14),0),IFERROR((((COUNTIF(JY19:JY19,"A"))*4)+((COUNTIF(JY19:JY19,"B"))*3)+((COUNTIF(JY19:JY19,"C"))*2)+((COUNTIF(JY19:JY19,"D"))*1))*CELL("contenu",$B$18),0))/IF(SUM(COUNTA(JY5:JY6)*CELL("contenu",$B$4),COUNTA(JY8:JY11)*CELL("contenu",$B$7),COUNTA(JY13:JY13)*CELL("contenu",$B$12),COUNTA(JY15:JY17)*CELL("contenu",$B$14),COUNTA(JY19:JY19)*CELL("contenu",$B$18))=0,1,SUM(COUNTA(JY5:JY6)*CELL("contenu",$B$4),COUNTA(JY8:JY11)*CELL("contenu",$B$7),COUNTA(JY13:JY13)*CELL("contenu",$B$12),COUNTA(JY15:JY17)*CELL("contenu",$B$14),COUNTA(JY19:JY19)*CELL("contenu",$B$18))))</f>
        <v/>
      </c>
      <c r="JZ20" s="183" t="str">
        <f ca="1">IF(COUNTA(JZ5:JZ19)=0,"",5*SUM(IFERROR((((COUNTIF(JZ5:JZ6,"A"))*4)+((COUNTIF(JZ5:JZ6,"B"))*3)+((COUNTIF(JZ5:JZ6,"C"))*2)+((COUNTIF(JZ5:JZ6,"D"))*1))*CELL("contenu",$B$4),0),IFERROR((((COUNTIF(JZ8:JZ11,"A"))*4)+((COUNTIF(JZ8:JZ11,"B"))*3)+((COUNTIF(JZ8:JZ11,"C"))*2)+((COUNTIF(JZ8:JZ11,"D"))*1))*CELL("contenu",$B$7),0),IFERROR((((COUNTIF(JZ13:JZ13,"A"))*4)+((COUNTIF(JZ13:JZ13,"B"))*3)+((COUNTIF(JZ13:JZ13,"C"))*2)+((COUNTIF(JZ13:JZ13,"D"))*1))*CELL("contenu",$B$12),0),IFERROR((((COUNTIF(JZ15:JZ17,"A"))*4)+((COUNTIF(JZ15:JZ17,"B"))*3)+((COUNTIF(JZ15:JZ17,"C"))*2)+((COUNTIF(JZ15:JZ17,"D"))*1))*CELL("contenu",$B$14),0),IFERROR((((COUNTIF(JZ19:JZ19,"A"))*4)+((COUNTIF(JZ19:JZ19,"B"))*3)+((COUNTIF(JZ19:JZ19,"C"))*2)+((COUNTIF(JZ19:JZ19,"D"))*1))*CELL("contenu",$B$18),0))/IF(SUM(COUNTA(JZ5:JZ6)*CELL("contenu",$B$4),COUNTA(JZ8:JZ11)*CELL("contenu",$B$7),COUNTA(JZ13:JZ13)*CELL("contenu",$B$12),COUNTA(JZ15:JZ17)*CELL("contenu",$B$14),COUNTA(JZ19:JZ19)*CELL("contenu",$B$18))=0,1,SUM(COUNTA(JZ5:JZ6)*CELL("contenu",$B$4),COUNTA(JZ8:JZ11)*CELL("contenu",$B$7),COUNTA(JZ13:JZ13)*CELL("contenu",$B$12),COUNTA(JZ15:JZ17)*CELL("contenu",$B$14),COUNTA(JZ19:JZ19)*CELL("contenu",$B$18))))</f>
        <v/>
      </c>
      <c r="KA20" s="184" t="str">
        <f ca="1">IF(COUNTA(KA5:KA19)=0,"",5*SUM(IFERROR((((COUNTIF(KA5:KA6,"A"))*4)+((COUNTIF(KA5:KA6,"B"))*3)+((COUNTIF(KA5:KA6,"C"))*2)+((COUNTIF(KA5:KA6,"D"))*1))*CELL("contenu",$B$4),0),IFERROR((((COUNTIF(KA8:KA11,"A"))*4)+((COUNTIF(KA8:KA11,"B"))*3)+((COUNTIF(KA8:KA11,"C"))*2)+((COUNTIF(KA8:KA11,"D"))*1))*CELL("contenu",$B$7),0),IFERROR((((COUNTIF(KA13:KA13,"A"))*4)+((COUNTIF(KA13:KA13,"B"))*3)+((COUNTIF(KA13:KA13,"C"))*2)+((COUNTIF(KA13:KA13,"D"))*1))*CELL("contenu",$B$12),0),IFERROR((((COUNTIF(KA15:KA17,"A"))*4)+((COUNTIF(KA15:KA17,"B"))*3)+((COUNTIF(KA15:KA17,"C"))*2)+((COUNTIF(KA15:KA17,"D"))*1))*CELL("contenu",$B$14),0),IFERROR((((COUNTIF(KA19:KA19,"A"))*4)+((COUNTIF(KA19:KA19,"B"))*3)+((COUNTIF(KA19:KA19,"C"))*2)+((COUNTIF(KA19:KA19,"D"))*1))*CELL("contenu",$B$18),0))/IF(SUM(COUNTA(KA5:KA6)*CELL("contenu",$B$4),COUNTA(KA8:KA11)*CELL("contenu",$B$7),COUNTA(KA13:KA13)*CELL("contenu",$B$12),COUNTA(KA15:KA17)*CELL("contenu",$B$14),COUNTA(KA19:KA19)*CELL("contenu",$B$18))=0,1,SUM(COUNTA(KA5:KA6)*CELL("contenu",$B$4),COUNTA(KA8:KA11)*CELL("contenu",$B$7),COUNTA(KA13:KA13)*CELL("contenu",$B$12),COUNTA(KA15:KA17)*CELL("contenu",$B$14),COUNTA(KA19:KA19)*CELL("contenu",$B$18))))</f>
        <v/>
      </c>
      <c r="KB20" s="176"/>
      <c r="KC20" s="174" t="str">
        <f ca="1">IF(COUNTA(JY20:KA20)-COUNTBLANK(JY20:KA20)=0,"",SUM(JY20:KA20)/(COUNTA(JY20:KA20)-COUNTBLANK(JY20:KA20)))</f>
        <v/>
      </c>
      <c r="KD20" s="103"/>
      <c r="KE20" s="141"/>
      <c r="KF20" s="167">
        <f ca="1">IF(COUNTA(KF5:KF19)=0,"",5*SUM(IFERROR((((COUNTIF(KF5:KF6,"A"))*4)+((COUNTIF(KF5:KF6,"B"))*3)+((COUNTIF(KF5:KF6,"C"))*2)+((COUNTIF(KF5:KF6,"D"))*1))*CELL("contenu",$B$4),0),IFERROR((((COUNTIF(KF8:KF11,"A"))*4)+((COUNTIF(KF8:KF11,"B"))*3)+((COUNTIF(KF8:KF11,"C"))*2)+((COUNTIF(KF8:KF11,"D"))*1))*CELL("contenu",$B$7),0),IFERROR((((COUNTIF(KF13:KF13,"A"))*4)+((COUNTIF(KF13:KF13,"B"))*3)+((COUNTIF(KF13:KF13,"C"))*2)+((COUNTIF(KF13:KF13,"D"))*1))*CELL("contenu",$B$12),0),IFERROR((((COUNTIF(KF15:KF17,"A"))*4)+((COUNTIF(KF15:KF17,"B"))*3)+((COUNTIF(KF15:KF17,"C"))*2)+((COUNTIF(KF15:KF17,"D"))*1))*CELL("contenu",$B$14),0),IFERROR((((COUNTIF(KF19:KF19,"A"))*4)+((COUNTIF(KF19:KF19,"B"))*3)+((COUNTIF(KF19:KF19,"C"))*2)+((COUNTIF(KF19:KF19,"D"))*1))*CELL("contenu",$B$18),0))/IF(SUM(COUNTA(KF5:KF6)*CELL("contenu",$B$4),COUNTA(KF8:KF11)*CELL("contenu",$B$7),COUNTA(KF13:KF13)*CELL("contenu",$B$12),COUNTA(KF15:KF17)*CELL("contenu",$B$14),COUNTA(KF19:KF19)*CELL("contenu",$B$18))=0,1,SUM(COUNTA(KF5:KF6)*CELL("contenu",$B$4),COUNTA(KF8:KF11)*CELL("contenu",$B$7),COUNTA(KF13:KF13)*CELL("contenu",$B$12),COUNTA(KF15:KF17)*CELL("contenu",$B$14),COUNTA(KF19:KF19)*CELL("contenu",$B$18))))</f>
        <v>18.333333333333332</v>
      </c>
      <c r="KG20" s="168" t="str">
        <f ca="1">IF(COUNTA(KG5:KG19)=0,"",5*SUM(IFERROR((((COUNTIF(KG5:KG6,"A"))*4)+((COUNTIF(KG5:KG6,"B"))*3)+((COUNTIF(KG5:KG6,"C"))*2)+((COUNTIF(KG5:KG6,"D"))*1))*CELL("contenu",$B$4),0),IFERROR((((COUNTIF(KG8:KG11,"A"))*4)+((COUNTIF(KG8:KG11,"B"))*3)+((COUNTIF(KG8:KG11,"C"))*2)+((COUNTIF(KG8:KG11,"D"))*1))*CELL("contenu",$B$7),0),IFERROR((((COUNTIF(KG13:KG13,"A"))*4)+((COUNTIF(KG13:KG13,"B"))*3)+((COUNTIF(KG13:KG13,"C"))*2)+((COUNTIF(KG13:KG13,"D"))*1))*CELL("contenu",$B$12),0),IFERROR((((COUNTIF(KG15:KG17,"A"))*4)+((COUNTIF(KG15:KG17,"B"))*3)+((COUNTIF(KG15:KG17,"C"))*2)+((COUNTIF(KG15:KG17,"D"))*1))*CELL("contenu",$B$14),0),IFERROR((((COUNTIF(KG19:KG19,"A"))*4)+((COUNTIF(KG19:KG19,"B"))*3)+((COUNTIF(KG19:KG19,"C"))*2)+((COUNTIF(KG19:KG19,"D"))*1))*CELL("contenu",$B$18),0))/IF(SUM(COUNTA(KG5:KG6)*CELL("contenu",$B$4),COUNTA(KG8:KG11)*CELL("contenu",$B$7),COUNTA(KG13:KG13)*CELL("contenu",$B$12),COUNTA(KG15:KG17)*CELL("contenu",$B$14),COUNTA(KG19:KG19)*CELL("contenu",$B$18))=0,1,SUM(COUNTA(KG5:KG6)*CELL("contenu",$B$4),COUNTA(KG8:KG11)*CELL("contenu",$B$7),COUNTA(KG13:KG13)*CELL("contenu",$B$12),COUNTA(KG15:KG17)*CELL("contenu",$B$14),COUNTA(KG19:KG19)*CELL("contenu",$B$18))))</f>
        <v/>
      </c>
      <c r="KH20" s="169" t="str">
        <f ca="1">IF(COUNTA(KH5:KH19)=0,"",5*SUM(IFERROR((((COUNTIF(KH5:KH6,"A"))*4)+((COUNTIF(KH5:KH6,"B"))*3)+((COUNTIF(KH5:KH6,"C"))*2)+((COUNTIF(KH5:KH6,"D"))*1))*CELL("contenu",$B$4),0),IFERROR((((COUNTIF(KH8:KH11,"A"))*4)+((COUNTIF(KH8:KH11,"B"))*3)+((COUNTIF(KH8:KH11,"C"))*2)+((COUNTIF(KH8:KH11,"D"))*1))*CELL("contenu",$B$7),0),IFERROR((((COUNTIF(KH13:KH13,"A"))*4)+((COUNTIF(KH13:KH13,"B"))*3)+((COUNTIF(KH13:KH13,"C"))*2)+((COUNTIF(KH13:KH13,"D"))*1))*CELL("contenu",$B$12),0),IFERROR((((COUNTIF(KH15:KH17,"A"))*4)+((COUNTIF(KH15:KH17,"B"))*3)+((COUNTIF(KH15:KH17,"C"))*2)+((COUNTIF(KH15:KH17,"D"))*1))*CELL("contenu",$B$14),0),IFERROR((((COUNTIF(KH19:KH19,"A"))*4)+((COUNTIF(KH19:KH19,"B"))*3)+((COUNTIF(KH19:KH19,"C"))*2)+((COUNTIF(KH19:KH19,"D"))*1))*CELL("contenu",$B$18),0))/IF(SUM(COUNTA(KH5:KH6)*CELL("contenu",$B$4),COUNTA(KH8:KH11)*CELL("contenu",$B$7),COUNTA(KH13:KH13)*CELL("contenu",$B$12),COUNTA(KH15:KH17)*CELL("contenu",$B$14),COUNTA(KH19:KH19)*CELL("contenu",$B$18))=0,1,SUM(COUNTA(KH5:KH6)*CELL("contenu",$B$4),COUNTA(KH8:KH11)*CELL("contenu",$B$7),COUNTA(KH13:KH13)*CELL("contenu",$B$12),COUNTA(KH15:KH17)*CELL("contenu",$B$14),COUNTA(KH19:KH19)*CELL("contenu",$B$18))))</f>
        <v/>
      </c>
      <c r="KI20" s="116"/>
      <c r="KJ20" s="192">
        <f ca="1">IF(COUNTA(KF20:KH20)-COUNTBLANK(KF20:KH20)=0,"",SUM(KF20:KH20)/(COUNTA(KF20:KH20)-COUNTBLANK(KF20:KH20)))</f>
        <v>18.333333333333332</v>
      </c>
      <c r="KK20" s="182" t="str">
        <f ca="1">IF(COUNTA(KK5:KK19)=0,"",5*SUM(IFERROR((((COUNTIF(KK5:KK6,"A"))*4)+((COUNTIF(KK5:KK6,"B"))*3)+((COUNTIF(KK5:KK6,"C"))*2)+((COUNTIF(KK5:KK6,"D"))*1))*CELL("contenu",$B$4),0),IFERROR((((COUNTIF(KK8:KK11,"A"))*4)+((COUNTIF(KK8:KK11,"B"))*3)+((COUNTIF(KK8:KK11,"C"))*2)+((COUNTIF(KK8:KK11,"D"))*1))*CELL("contenu",$B$7),0),IFERROR((((COUNTIF(KK13:KK13,"A"))*4)+((COUNTIF(KK13:KK13,"B"))*3)+((COUNTIF(KK13:KK13,"C"))*2)+((COUNTIF(KK13:KK13,"D"))*1))*CELL("contenu",$B$12),0),IFERROR((((COUNTIF(KK15:KK17,"A"))*4)+((COUNTIF(KK15:KK17,"B"))*3)+((COUNTIF(KK15:KK17,"C"))*2)+((COUNTIF(KK15:KK17,"D"))*1))*CELL("contenu",$B$14),0),IFERROR((((COUNTIF(KK19:KK19,"A"))*4)+((COUNTIF(KK19:KK19,"B"))*3)+((COUNTIF(KK19:KK19,"C"))*2)+((COUNTIF(KK19:KK19,"D"))*1))*CELL("contenu",$B$18),0))/IF(SUM(COUNTA(KK5:KK6)*CELL("contenu",$B$4),COUNTA(KK8:KK11)*CELL("contenu",$B$7),COUNTA(KK13:KK13)*CELL("contenu",$B$12),COUNTA(KK15:KK17)*CELL("contenu",$B$14),COUNTA(KK19:KK19)*CELL("contenu",$B$18))=0,1,SUM(COUNTA(KK5:KK6)*CELL("contenu",$B$4),COUNTA(KK8:KK11)*CELL("contenu",$B$7),COUNTA(KK13:KK13)*CELL("contenu",$B$12),COUNTA(KK15:KK17)*CELL("contenu",$B$14),COUNTA(KK19:KK19)*CELL("contenu",$B$18))))</f>
        <v/>
      </c>
      <c r="KL20" s="183" t="str">
        <f ca="1">IF(COUNTA(KL5:KL19)=0,"",5*SUM(IFERROR((((COUNTIF(KL5:KL6,"A"))*4)+((COUNTIF(KL5:KL6,"B"))*3)+((COUNTIF(KL5:KL6,"C"))*2)+((COUNTIF(KL5:KL6,"D"))*1))*CELL("contenu",$B$4),0),IFERROR((((COUNTIF(KL8:KL11,"A"))*4)+((COUNTIF(KL8:KL11,"B"))*3)+((COUNTIF(KL8:KL11,"C"))*2)+((COUNTIF(KL8:KL11,"D"))*1))*CELL("contenu",$B$7),0),IFERROR((((COUNTIF(KL13:KL13,"A"))*4)+((COUNTIF(KL13:KL13,"B"))*3)+((COUNTIF(KL13:KL13,"C"))*2)+((COUNTIF(KL13:KL13,"D"))*1))*CELL("contenu",$B$12),0),IFERROR((((COUNTIF(KL15:KL17,"A"))*4)+((COUNTIF(KL15:KL17,"B"))*3)+((COUNTIF(KL15:KL17,"C"))*2)+((COUNTIF(KL15:KL17,"D"))*1))*CELL("contenu",$B$14),0),IFERROR((((COUNTIF(KL19:KL19,"A"))*4)+((COUNTIF(KL19:KL19,"B"))*3)+((COUNTIF(KL19:KL19,"C"))*2)+((COUNTIF(KL19:KL19,"D"))*1))*CELL("contenu",$B$18),0))/IF(SUM(COUNTA(KL5:KL6)*CELL("contenu",$B$4),COUNTA(KL8:KL11)*CELL("contenu",$B$7),COUNTA(KL13:KL13)*CELL("contenu",$B$12),COUNTA(KL15:KL17)*CELL("contenu",$B$14),COUNTA(KL19:KL19)*CELL("contenu",$B$18))=0,1,SUM(COUNTA(KL5:KL6)*CELL("contenu",$B$4),COUNTA(KL8:KL11)*CELL("contenu",$B$7),COUNTA(KL13:KL13)*CELL("contenu",$B$12),COUNTA(KL15:KL17)*CELL("contenu",$B$14),COUNTA(KL19:KL19)*CELL("contenu",$B$18))))</f>
        <v/>
      </c>
      <c r="KM20" s="184" t="str">
        <f ca="1">IF(COUNTA(KM5:KM19)=0,"",5*SUM(IFERROR((((COUNTIF(KM5:KM6,"A"))*4)+((COUNTIF(KM5:KM6,"B"))*3)+((COUNTIF(KM5:KM6,"C"))*2)+((COUNTIF(KM5:KM6,"D"))*1))*CELL("contenu",$B$4),0),IFERROR((((COUNTIF(KM8:KM11,"A"))*4)+((COUNTIF(KM8:KM11,"B"))*3)+((COUNTIF(KM8:KM11,"C"))*2)+((COUNTIF(KM8:KM11,"D"))*1))*CELL("contenu",$B$7),0),IFERROR((((COUNTIF(KM13:KM13,"A"))*4)+((COUNTIF(KM13:KM13,"B"))*3)+((COUNTIF(KM13:KM13,"C"))*2)+((COUNTIF(KM13:KM13,"D"))*1))*CELL("contenu",$B$12),0),IFERROR((((COUNTIF(KM15:KM17,"A"))*4)+((COUNTIF(KM15:KM17,"B"))*3)+((COUNTIF(KM15:KM17,"C"))*2)+((COUNTIF(KM15:KM17,"D"))*1))*CELL("contenu",$B$14),0),IFERROR((((COUNTIF(KM19:KM19,"A"))*4)+((COUNTIF(KM19:KM19,"B"))*3)+((COUNTIF(KM19:KM19,"C"))*2)+((COUNTIF(KM19:KM19,"D"))*1))*CELL("contenu",$B$18),0))/IF(SUM(COUNTA(KM5:KM6)*CELL("contenu",$B$4),COUNTA(KM8:KM11)*CELL("contenu",$B$7),COUNTA(KM13:KM13)*CELL("contenu",$B$12),COUNTA(KM15:KM17)*CELL("contenu",$B$14),COUNTA(KM19:KM19)*CELL("contenu",$B$18))=0,1,SUM(COUNTA(KM5:KM6)*CELL("contenu",$B$4),COUNTA(KM8:KM11)*CELL("contenu",$B$7),COUNTA(KM13:KM13)*CELL("contenu",$B$12),COUNTA(KM15:KM17)*CELL("contenu",$B$14),COUNTA(KM19:KM19)*CELL("contenu",$B$18))))</f>
        <v/>
      </c>
      <c r="KN20" s="176"/>
      <c r="KO20" s="175" t="str">
        <f ca="1">IF(COUNTA(KK20:KM20)-COUNTBLANK(KK20:KM20)=0,"",SUM(KK20:KM20)/(COUNTA(KK20:KM20)-COUNTBLANK(KK20:KM20)))</f>
        <v/>
      </c>
      <c r="KP20" s="182" t="str">
        <f ca="1">IF(COUNTA(KP5:KP19)=0,"",5*SUM(IFERROR((((COUNTIF(KP5:KP6,"A"))*4)+((COUNTIF(KP5:KP6,"B"))*3)+((COUNTIF(KP5:KP6,"C"))*2)+((COUNTIF(KP5:KP6,"D"))*1))*CELL("contenu",$B$4),0),IFERROR((((COUNTIF(KP8:KP11,"A"))*4)+((COUNTIF(KP8:KP11,"B"))*3)+((COUNTIF(KP8:KP11,"C"))*2)+((COUNTIF(KP8:KP11,"D"))*1))*CELL("contenu",$B$7),0),IFERROR((((COUNTIF(KP13:KP13,"A"))*4)+((COUNTIF(KP13:KP13,"B"))*3)+((COUNTIF(KP13:KP13,"C"))*2)+((COUNTIF(KP13:KP13,"D"))*1))*CELL("contenu",$B$12),0),IFERROR((((COUNTIF(KP15:KP17,"A"))*4)+((COUNTIF(KP15:KP17,"B"))*3)+((COUNTIF(KP15:KP17,"C"))*2)+((COUNTIF(KP15:KP17,"D"))*1))*CELL("contenu",$B$14),0),IFERROR((((COUNTIF(KP19:KP19,"A"))*4)+((COUNTIF(KP19:KP19,"B"))*3)+((COUNTIF(KP19:KP19,"C"))*2)+((COUNTIF(KP19:KP19,"D"))*1))*CELL("contenu",$B$18),0))/IF(SUM(COUNTA(KP5:KP6)*CELL("contenu",$B$4),COUNTA(KP8:KP11)*CELL("contenu",$B$7),COUNTA(KP13:KP13)*CELL("contenu",$B$12),COUNTA(KP15:KP17)*CELL("contenu",$B$14),COUNTA(KP19:KP19)*CELL("contenu",$B$18))=0,1,SUM(COUNTA(KP5:KP6)*CELL("contenu",$B$4),COUNTA(KP8:KP11)*CELL("contenu",$B$7),COUNTA(KP13:KP13)*CELL("contenu",$B$12),COUNTA(KP15:KP17)*CELL("contenu",$B$14),COUNTA(KP19:KP19)*CELL("contenu",$B$18))))</f>
        <v/>
      </c>
      <c r="KQ20" s="183" t="str">
        <f ca="1">IF(COUNTA(KQ5:KQ19)=0,"",5*SUM(IFERROR((((COUNTIF(KQ5:KQ6,"A"))*4)+((COUNTIF(KQ5:KQ6,"B"))*3)+((COUNTIF(KQ5:KQ6,"C"))*2)+((COUNTIF(KQ5:KQ6,"D"))*1))*CELL("contenu",$B$4),0),IFERROR((((COUNTIF(KQ8:KQ11,"A"))*4)+((COUNTIF(KQ8:KQ11,"B"))*3)+((COUNTIF(KQ8:KQ11,"C"))*2)+((COUNTIF(KQ8:KQ11,"D"))*1))*CELL("contenu",$B$7),0),IFERROR((((COUNTIF(KQ13:KQ13,"A"))*4)+((COUNTIF(KQ13:KQ13,"B"))*3)+((COUNTIF(KQ13:KQ13,"C"))*2)+((COUNTIF(KQ13:KQ13,"D"))*1))*CELL("contenu",$B$12),0),IFERROR((((COUNTIF(KQ15:KQ17,"A"))*4)+((COUNTIF(KQ15:KQ17,"B"))*3)+((COUNTIF(KQ15:KQ17,"C"))*2)+((COUNTIF(KQ15:KQ17,"D"))*1))*CELL("contenu",$B$14),0),IFERROR((((COUNTIF(KQ19:KQ19,"A"))*4)+((COUNTIF(KQ19:KQ19,"B"))*3)+((COUNTIF(KQ19:KQ19,"C"))*2)+((COUNTIF(KQ19:KQ19,"D"))*1))*CELL("contenu",$B$18),0))/IF(SUM(COUNTA(KQ5:KQ6)*CELL("contenu",$B$4),COUNTA(KQ8:KQ11)*CELL("contenu",$B$7),COUNTA(KQ13:KQ13)*CELL("contenu",$B$12),COUNTA(KQ15:KQ17)*CELL("contenu",$B$14),COUNTA(KQ19:KQ19)*CELL("contenu",$B$18))=0,1,SUM(COUNTA(KQ5:KQ6)*CELL("contenu",$B$4),COUNTA(KQ8:KQ11)*CELL("contenu",$B$7),COUNTA(KQ13:KQ13)*CELL("contenu",$B$12),COUNTA(KQ15:KQ17)*CELL("contenu",$B$14),COUNTA(KQ19:KQ19)*CELL("contenu",$B$18))))</f>
        <v/>
      </c>
      <c r="KR20" s="184" t="str">
        <f ca="1">IF(COUNTA(KR5:KR19)=0,"",5*SUM(IFERROR((((COUNTIF(KR5:KR6,"A"))*4)+((COUNTIF(KR5:KR6,"B"))*3)+((COUNTIF(KR5:KR6,"C"))*2)+((COUNTIF(KR5:KR6,"D"))*1))*CELL("contenu",$B$4),0),IFERROR((((COUNTIF(KR8:KR11,"A"))*4)+((COUNTIF(KR8:KR11,"B"))*3)+((COUNTIF(KR8:KR11,"C"))*2)+((COUNTIF(KR8:KR11,"D"))*1))*CELL("contenu",$B$7),0),IFERROR((((COUNTIF(KR13:KR13,"A"))*4)+((COUNTIF(KR13:KR13,"B"))*3)+((COUNTIF(KR13:KR13,"C"))*2)+((COUNTIF(KR13:KR13,"D"))*1))*CELL("contenu",$B$12),0),IFERROR((((COUNTIF(KR15:KR17,"A"))*4)+((COUNTIF(KR15:KR17,"B"))*3)+((COUNTIF(KR15:KR17,"C"))*2)+((COUNTIF(KR15:KR17,"D"))*1))*CELL("contenu",$B$14),0),IFERROR((((COUNTIF(KR19:KR19,"A"))*4)+((COUNTIF(KR19:KR19,"B"))*3)+((COUNTIF(KR19:KR19,"C"))*2)+((COUNTIF(KR19:KR19,"D"))*1))*CELL("contenu",$B$18),0))/IF(SUM(COUNTA(KR5:KR6)*CELL("contenu",$B$4),COUNTA(KR8:KR11)*CELL("contenu",$B$7),COUNTA(KR13:KR13)*CELL("contenu",$B$12),COUNTA(KR15:KR17)*CELL("contenu",$B$14),COUNTA(KR19:KR19)*CELL("contenu",$B$18))=0,1,SUM(COUNTA(KR5:KR6)*CELL("contenu",$B$4),COUNTA(KR8:KR11)*CELL("contenu",$B$7),COUNTA(KR13:KR13)*CELL("contenu",$B$12),COUNTA(KR15:KR17)*CELL("contenu",$B$14),COUNTA(KR19:KR19)*CELL("contenu",$B$18))))</f>
        <v/>
      </c>
      <c r="KS20" s="176"/>
      <c r="KT20" s="174" t="str">
        <f ca="1">IF(COUNTA(KP20:KR20)-COUNTBLANK(KP20:KR20)=0,"",SUM(KP20:KR20)/(COUNTA(KP20:KR20)-COUNTBLANK(KP20:KR20)))</f>
        <v/>
      </c>
      <c r="KU20" s="103"/>
      <c r="KV20" s="141"/>
      <c r="KW20" s="167">
        <f ca="1">IF(COUNTA(KW5:KW19)=0,"",5*SUM(IFERROR((((COUNTIF(KW5:KW6,"A"))*4)+((COUNTIF(KW5:KW6,"B"))*3)+((COUNTIF(KW5:KW6,"C"))*2)+((COUNTIF(KW5:KW6,"D"))*1))*CELL("contenu",$B$4),0),IFERROR((((COUNTIF(KW8:KW11,"A"))*4)+((COUNTIF(KW8:KW11,"B"))*3)+((COUNTIF(KW8:KW11,"C"))*2)+((COUNTIF(KW8:KW11,"D"))*1))*CELL("contenu",$B$7),0),IFERROR((((COUNTIF(KW13:KW13,"A"))*4)+((COUNTIF(KW13:KW13,"B"))*3)+((COUNTIF(KW13:KW13,"C"))*2)+((COUNTIF(KW13:KW13,"D"))*1))*CELL("contenu",$B$12),0),IFERROR((((COUNTIF(KW15:KW17,"A"))*4)+((COUNTIF(KW15:KW17,"B"))*3)+((COUNTIF(KW15:KW17,"C"))*2)+((COUNTIF(KW15:KW17,"D"))*1))*CELL("contenu",$B$14),0),IFERROR((((COUNTIF(KW19:KW19,"A"))*4)+((COUNTIF(KW19:KW19,"B"))*3)+((COUNTIF(KW19:KW19,"C"))*2)+((COUNTIF(KW19:KW19,"D"))*1))*CELL("contenu",$B$18),0))/IF(SUM(COUNTA(KW5:KW6)*CELL("contenu",$B$4),COUNTA(KW8:KW11)*CELL("contenu",$B$7),COUNTA(KW13:KW13)*CELL("contenu",$B$12),COUNTA(KW15:KW17)*CELL("contenu",$B$14),COUNTA(KW19:KW19)*CELL("contenu",$B$18))=0,1,SUM(COUNTA(KW5:KW6)*CELL("contenu",$B$4),COUNTA(KW8:KW11)*CELL("contenu",$B$7),COUNTA(KW13:KW13)*CELL("contenu",$B$12),COUNTA(KW15:KW17)*CELL("contenu",$B$14),COUNTA(KW19:KW19)*CELL("contenu",$B$18))))</f>
        <v>13.333333333333334</v>
      </c>
      <c r="KX20" s="168" t="str">
        <f ca="1">IF(COUNTA(KX5:KX19)=0,"",5*SUM(IFERROR((((COUNTIF(KX5:KX6,"A"))*4)+((COUNTIF(KX5:KX6,"B"))*3)+((COUNTIF(KX5:KX6,"C"))*2)+((COUNTIF(KX5:KX6,"D"))*1))*CELL("contenu",$B$4),0),IFERROR((((COUNTIF(KX8:KX11,"A"))*4)+((COUNTIF(KX8:KX11,"B"))*3)+((COUNTIF(KX8:KX11,"C"))*2)+((COUNTIF(KX8:KX11,"D"))*1))*CELL("contenu",$B$7),0),IFERROR((((COUNTIF(KX13:KX13,"A"))*4)+((COUNTIF(KX13:KX13,"B"))*3)+((COUNTIF(KX13:KX13,"C"))*2)+((COUNTIF(KX13:KX13,"D"))*1))*CELL("contenu",$B$12),0),IFERROR((((COUNTIF(KX15:KX17,"A"))*4)+((COUNTIF(KX15:KX17,"B"))*3)+((COUNTIF(KX15:KX17,"C"))*2)+((COUNTIF(KX15:KX17,"D"))*1))*CELL("contenu",$B$14),0),IFERROR((((COUNTIF(KX19:KX19,"A"))*4)+((COUNTIF(KX19:KX19,"B"))*3)+((COUNTIF(KX19:KX19,"C"))*2)+((COUNTIF(KX19:KX19,"D"))*1))*CELL("contenu",$B$18),0))/IF(SUM(COUNTA(KX5:KX6)*CELL("contenu",$B$4),COUNTA(KX8:KX11)*CELL("contenu",$B$7),COUNTA(KX13:KX13)*CELL("contenu",$B$12),COUNTA(KX15:KX17)*CELL("contenu",$B$14),COUNTA(KX19:KX19)*CELL("contenu",$B$18))=0,1,SUM(COUNTA(KX5:KX6)*CELL("contenu",$B$4),COUNTA(KX8:KX11)*CELL("contenu",$B$7),COUNTA(KX13:KX13)*CELL("contenu",$B$12),COUNTA(KX15:KX17)*CELL("contenu",$B$14),COUNTA(KX19:KX19)*CELL("contenu",$B$18))))</f>
        <v/>
      </c>
      <c r="KY20" s="169" t="str">
        <f ca="1">IF(COUNTA(KY5:KY19)=0,"",5*SUM(IFERROR((((COUNTIF(KY5:KY6,"A"))*4)+((COUNTIF(KY5:KY6,"B"))*3)+((COUNTIF(KY5:KY6,"C"))*2)+((COUNTIF(KY5:KY6,"D"))*1))*CELL("contenu",$B$4),0),IFERROR((((COUNTIF(KY8:KY11,"A"))*4)+((COUNTIF(KY8:KY11,"B"))*3)+((COUNTIF(KY8:KY11,"C"))*2)+((COUNTIF(KY8:KY11,"D"))*1))*CELL("contenu",$B$7),0),IFERROR((((COUNTIF(KY13:KY13,"A"))*4)+((COUNTIF(KY13:KY13,"B"))*3)+((COUNTIF(KY13:KY13,"C"))*2)+((COUNTIF(KY13:KY13,"D"))*1))*CELL("contenu",$B$12),0),IFERROR((((COUNTIF(KY15:KY17,"A"))*4)+((COUNTIF(KY15:KY17,"B"))*3)+((COUNTIF(KY15:KY17,"C"))*2)+((COUNTIF(KY15:KY17,"D"))*1))*CELL("contenu",$B$14),0),IFERROR((((COUNTIF(KY19:KY19,"A"))*4)+((COUNTIF(KY19:KY19,"B"))*3)+((COUNTIF(KY19:KY19,"C"))*2)+((COUNTIF(KY19:KY19,"D"))*1))*CELL("contenu",$B$18),0))/IF(SUM(COUNTA(KY5:KY6)*CELL("contenu",$B$4),COUNTA(KY8:KY11)*CELL("contenu",$B$7),COUNTA(KY13:KY13)*CELL("contenu",$B$12),COUNTA(KY15:KY17)*CELL("contenu",$B$14),COUNTA(KY19:KY19)*CELL("contenu",$B$18))=0,1,SUM(COUNTA(KY5:KY6)*CELL("contenu",$B$4),COUNTA(KY8:KY11)*CELL("contenu",$B$7),COUNTA(KY13:KY13)*CELL("contenu",$B$12),COUNTA(KY15:KY17)*CELL("contenu",$B$14),COUNTA(KY19:KY19)*CELL("contenu",$B$18))))</f>
        <v/>
      </c>
      <c r="KZ20" s="116"/>
      <c r="LA20" s="192">
        <f ca="1">IF(COUNTA(KW20:KY20)-COUNTBLANK(KW20:KY20)=0,"",SUM(KW20:KY20)/(COUNTA(KW20:KY20)-COUNTBLANK(KW20:KY20)))</f>
        <v>13.333333333333334</v>
      </c>
      <c r="LB20" s="182" t="str">
        <f ca="1">IF(COUNTA(LB5:LB19)=0,"",5*SUM(IFERROR((((COUNTIF(LB5:LB6,"A"))*4)+((COUNTIF(LB5:LB6,"B"))*3)+((COUNTIF(LB5:LB6,"C"))*2)+((COUNTIF(LB5:LB6,"D"))*1))*CELL("contenu",$B$4),0),IFERROR((((COUNTIF(LB8:LB11,"A"))*4)+((COUNTIF(LB8:LB11,"B"))*3)+((COUNTIF(LB8:LB11,"C"))*2)+((COUNTIF(LB8:LB11,"D"))*1))*CELL("contenu",$B$7),0),IFERROR((((COUNTIF(LB13:LB13,"A"))*4)+((COUNTIF(LB13:LB13,"B"))*3)+((COUNTIF(LB13:LB13,"C"))*2)+((COUNTIF(LB13:LB13,"D"))*1))*CELL("contenu",$B$12),0),IFERROR((((COUNTIF(LB15:LB17,"A"))*4)+((COUNTIF(LB15:LB17,"B"))*3)+((COUNTIF(LB15:LB17,"C"))*2)+((COUNTIF(LB15:LB17,"D"))*1))*CELL("contenu",$B$14),0),IFERROR((((COUNTIF(LB19:LB19,"A"))*4)+((COUNTIF(LB19:LB19,"B"))*3)+((COUNTIF(LB19:LB19,"C"))*2)+((COUNTIF(LB19:LB19,"D"))*1))*CELL("contenu",$B$18),0))/IF(SUM(COUNTA(LB5:LB6)*CELL("contenu",$B$4),COUNTA(LB8:LB11)*CELL("contenu",$B$7),COUNTA(LB13:LB13)*CELL("contenu",$B$12),COUNTA(LB15:LB17)*CELL("contenu",$B$14),COUNTA(LB19:LB19)*CELL("contenu",$B$18))=0,1,SUM(COUNTA(LB5:LB6)*CELL("contenu",$B$4),COUNTA(LB8:LB11)*CELL("contenu",$B$7),COUNTA(LB13:LB13)*CELL("contenu",$B$12),COUNTA(LB15:LB17)*CELL("contenu",$B$14),COUNTA(LB19:LB19)*CELL("contenu",$B$18))))</f>
        <v/>
      </c>
      <c r="LC20" s="183" t="str">
        <f ca="1">IF(COUNTA(LC5:LC19)=0,"",5*SUM(IFERROR((((COUNTIF(LC5:LC6,"A"))*4)+((COUNTIF(LC5:LC6,"B"))*3)+((COUNTIF(LC5:LC6,"C"))*2)+((COUNTIF(LC5:LC6,"D"))*1))*CELL("contenu",$B$4),0),IFERROR((((COUNTIF(LC8:LC11,"A"))*4)+((COUNTIF(LC8:LC11,"B"))*3)+((COUNTIF(LC8:LC11,"C"))*2)+((COUNTIF(LC8:LC11,"D"))*1))*CELL("contenu",$B$7),0),IFERROR((((COUNTIF(LC13:LC13,"A"))*4)+((COUNTIF(LC13:LC13,"B"))*3)+((COUNTIF(LC13:LC13,"C"))*2)+((COUNTIF(LC13:LC13,"D"))*1))*CELL("contenu",$B$12),0),IFERROR((((COUNTIF(LC15:LC17,"A"))*4)+((COUNTIF(LC15:LC17,"B"))*3)+((COUNTIF(LC15:LC17,"C"))*2)+((COUNTIF(LC15:LC17,"D"))*1))*CELL("contenu",$B$14),0),IFERROR((((COUNTIF(LC19:LC19,"A"))*4)+((COUNTIF(LC19:LC19,"B"))*3)+((COUNTIF(LC19:LC19,"C"))*2)+((COUNTIF(LC19:LC19,"D"))*1))*CELL("contenu",$B$18),0))/IF(SUM(COUNTA(LC5:LC6)*CELL("contenu",$B$4),COUNTA(LC8:LC11)*CELL("contenu",$B$7),COUNTA(LC13:LC13)*CELL("contenu",$B$12),COUNTA(LC15:LC17)*CELL("contenu",$B$14),COUNTA(LC19:LC19)*CELL("contenu",$B$18))=0,1,SUM(COUNTA(LC5:LC6)*CELL("contenu",$B$4),COUNTA(LC8:LC11)*CELL("contenu",$B$7),COUNTA(LC13:LC13)*CELL("contenu",$B$12),COUNTA(LC15:LC17)*CELL("contenu",$B$14),COUNTA(LC19:LC19)*CELL("contenu",$B$18))))</f>
        <v/>
      </c>
      <c r="LD20" s="184" t="str">
        <f ca="1">IF(COUNTA(LD5:LD19)=0,"",5*SUM(IFERROR((((COUNTIF(LD5:LD6,"A"))*4)+((COUNTIF(LD5:LD6,"B"))*3)+((COUNTIF(LD5:LD6,"C"))*2)+((COUNTIF(LD5:LD6,"D"))*1))*CELL("contenu",$B$4),0),IFERROR((((COUNTIF(LD8:LD11,"A"))*4)+((COUNTIF(LD8:LD11,"B"))*3)+((COUNTIF(LD8:LD11,"C"))*2)+((COUNTIF(LD8:LD11,"D"))*1))*CELL("contenu",$B$7),0),IFERROR((((COUNTIF(LD13:LD13,"A"))*4)+((COUNTIF(LD13:LD13,"B"))*3)+((COUNTIF(LD13:LD13,"C"))*2)+((COUNTIF(LD13:LD13,"D"))*1))*CELL("contenu",$B$12),0),IFERROR((((COUNTIF(LD15:LD17,"A"))*4)+((COUNTIF(LD15:LD17,"B"))*3)+((COUNTIF(LD15:LD17,"C"))*2)+((COUNTIF(LD15:LD17,"D"))*1))*CELL("contenu",$B$14),0),IFERROR((((COUNTIF(LD19:LD19,"A"))*4)+((COUNTIF(LD19:LD19,"B"))*3)+((COUNTIF(LD19:LD19,"C"))*2)+((COUNTIF(LD19:LD19,"D"))*1))*CELL("contenu",$B$18),0))/IF(SUM(COUNTA(LD5:LD6)*CELL("contenu",$B$4),COUNTA(LD8:LD11)*CELL("contenu",$B$7),COUNTA(LD13:LD13)*CELL("contenu",$B$12),COUNTA(LD15:LD17)*CELL("contenu",$B$14),COUNTA(LD19:LD19)*CELL("contenu",$B$18))=0,1,SUM(COUNTA(LD5:LD6)*CELL("contenu",$B$4),COUNTA(LD8:LD11)*CELL("contenu",$B$7),COUNTA(LD13:LD13)*CELL("contenu",$B$12),COUNTA(LD15:LD17)*CELL("contenu",$B$14),COUNTA(LD19:LD19)*CELL("contenu",$B$18))))</f>
        <v/>
      </c>
      <c r="LE20" s="176"/>
      <c r="LF20" s="175" t="str">
        <f ca="1">IF(COUNTA(LB20:LD20)-COUNTBLANK(LB20:LD20)=0,"",SUM(LB20:LD20)/(COUNTA(LB20:LD20)-COUNTBLANK(LB20:LD20)))</f>
        <v/>
      </c>
      <c r="LG20" s="182" t="str">
        <f ca="1">IF(COUNTA(LG5:LG19)=0,"",5*SUM(IFERROR((((COUNTIF(LG5:LG6,"A"))*4)+((COUNTIF(LG5:LG6,"B"))*3)+((COUNTIF(LG5:LG6,"C"))*2)+((COUNTIF(LG5:LG6,"D"))*1))*CELL("contenu",$B$4),0),IFERROR((((COUNTIF(LG8:LG11,"A"))*4)+((COUNTIF(LG8:LG11,"B"))*3)+((COUNTIF(LG8:LG11,"C"))*2)+((COUNTIF(LG8:LG11,"D"))*1))*CELL("contenu",$B$7),0),IFERROR((((COUNTIF(LG13:LG13,"A"))*4)+((COUNTIF(LG13:LG13,"B"))*3)+((COUNTIF(LG13:LG13,"C"))*2)+((COUNTIF(LG13:LG13,"D"))*1))*CELL("contenu",$B$12),0),IFERROR((((COUNTIF(LG15:LG17,"A"))*4)+((COUNTIF(LG15:LG17,"B"))*3)+((COUNTIF(LG15:LG17,"C"))*2)+((COUNTIF(LG15:LG17,"D"))*1))*CELL("contenu",$B$14),0),IFERROR((((COUNTIF(LG19:LG19,"A"))*4)+((COUNTIF(LG19:LG19,"B"))*3)+((COUNTIF(LG19:LG19,"C"))*2)+((COUNTIF(LG19:LG19,"D"))*1))*CELL("contenu",$B$18),0))/IF(SUM(COUNTA(LG5:LG6)*CELL("contenu",$B$4),COUNTA(LG8:LG11)*CELL("contenu",$B$7),COUNTA(LG13:LG13)*CELL("contenu",$B$12),COUNTA(LG15:LG17)*CELL("contenu",$B$14),COUNTA(LG19:LG19)*CELL("contenu",$B$18))=0,1,SUM(COUNTA(LG5:LG6)*CELL("contenu",$B$4),COUNTA(LG8:LG11)*CELL("contenu",$B$7),COUNTA(LG13:LG13)*CELL("contenu",$B$12),COUNTA(LG15:LG17)*CELL("contenu",$B$14),COUNTA(LG19:LG19)*CELL("contenu",$B$18))))</f>
        <v/>
      </c>
      <c r="LH20" s="183" t="str">
        <f ca="1">IF(COUNTA(LH5:LH19)=0,"",5*SUM(IFERROR((((COUNTIF(LH5:LH6,"A"))*4)+((COUNTIF(LH5:LH6,"B"))*3)+((COUNTIF(LH5:LH6,"C"))*2)+((COUNTIF(LH5:LH6,"D"))*1))*CELL("contenu",$B$4),0),IFERROR((((COUNTIF(LH8:LH11,"A"))*4)+((COUNTIF(LH8:LH11,"B"))*3)+((COUNTIF(LH8:LH11,"C"))*2)+((COUNTIF(LH8:LH11,"D"))*1))*CELL("contenu",$B$7),0),IFERROR((((COUNTIF(LH13:LH13,"A"))*4)+((COUNTIF(LH13:LH13,"B"))*3)+((COUNTIF(LH13:LH13,"C"))*2)+((COUNTIF(LH13:LH13,"D"))*1))*CELL("contenu",$B$12),0),IFERROR((((COUNTIF(LH15:LH17,"A"))*4)+((COUNTIF(LH15:LH17,"B"))*3)+((COUNTIF(LH15:LH17,"C"))*2)+((COUNTIF(LH15:LH17,"D"))*1))*CELL("contenu",$B$14),0),IFERROR((((COUNTIF(LH19:LH19,"A"))*4)+((COUNTIF(LH19:LH19,"B"))*3)+((COUNTIF(LH19:LH19,"C"))*2)+((COUNTIF(LH19:LH19,"D"))*1))*CELL("contenu",$B$18),0))/IF(SUM(COUNTA(LH5:LH6)*CELL("contenu",$B$4),COUNTA(LH8:LH11)*CELL("contenu",$B$7),COUNTA(LH13:LH13)*CELL("contenu",$B$12),COUNTA(LH15:LH17)*CELL("contenu",$B$14),COUNTA(LH19:LH19)*CELL("contenu",$B$18))=0,1,SUM(COUNTA(LH5:LH6)*CELL("contenu",$B$4),COUNTA(LH8:LH11)*CELL("contenu",$B$7),COUNTA(LH13:LH13)*CELL("contenu",$B$12),COUNTA(LH15:LH17)*CELL("contenu",$B$14),COUNTA(LH19:LH19)*CELL("contenu",$B$18))))</f>
        <v/>
      </c>
      <c r="LI20" s="184" t="str">
        <f ca="1">IF(COUNTA(LI5:LI19)=0,"",5*SUM(IFERROR((((COUNTIF(LI5:LI6,"A"))*4)+((COUNTIF(LI5:LI6,"B"))*3)+((COUNTIF(LI5:LI6,"C"))*2)+((COUNTIF(LI5:LI6,"D"))*1))*CELL("contenu",$B$4),0),IFERROR((((COUNTIF(LI8:LI11,"A"))*4)+((COUNTIF(LI8:LI11,"B"))*3)+((COUNTIF(LI8:LI11,"C"))*2)+((COUNTIF(LI8:LI11,"D"))*1))*CELL("contenu",$B$7),0),IFERROR((((COUNTIF(LI13:LI13,"A"))*4)+((COUNTIF(LI13:LI13,"B"))*3)+((COUNTIF(LI13:LI13,"C"))*2)+((COUNTIF(LI13:LI13,"D"))*1))*CELL("contenu",$B$12),0),IFERROR((((COUNTIF(LI15:LI17,"A"))*4)+((COUNTIF(LI15:LI17,"B"))*3)+((COUNTIF(LI15:LI17,"C"))*2)+((COUNTIF(LI15:LI17,"D"))*1))*CELL("contenu",$B$14),0),IFERROR((((COUNTIF(LI19:LI19,"A"))*4)+((COUNTIF(LI19:LI19,"B"))*3)+((COUNTIF(LI19:LI19,"C"))*2)+((COUNTIF(LI19:LI19,"D"))*1))*CELL("contenu",$B$18),0))/IF(SUM(COUNTA(LI5:LI6)*CELL("contenu",$B$4),COUNTA(LI8:LI11)*CELL("contenu",$B$7),COUNTA(LI13:LI13)*CELL("contenu",$B$12),COUNTA(LI15:LI17)*CELL("contenu",$B$14),COUNTA(LI19:LI19)*CELL("contenu",$B$18))=0,1,SUM(COUNTA(LI5:LI6)*CELL("contenu",$B$4),COUNTA(LI8:LI11)*CELL("contenu",$B$7),COUNTA(LI13:LI13)*CELL("contenu",$B$12),COUNTA(LI15:LI17)*CELL("contenu",$B$14),COUNTA(LI19:LI19)*CELL("contenu",$B$18))))</f>
        <v/>
      </c>
      <c r="LJ20" s="176"/>
      <c r="LK20" s="174" t="str">
        <f ca="1">IF(COUNTA(LG20:LI20)-COUNTBLANK(LG20:LI20)=0,"",SUM(LG20:LI20)/(COUNTA(LG20:LI20)-COUNTBLANK(LG20:LI20)))</f>
        <v/>
      </c>
      <c r="LL20" s="103"/>
      <c r="LM20" s="141"/>
      <c r="LN20" s="167">
        <f ca="1">IF(COUNTA(LN5:LN19)=0,"",5*SUM(IFERROR((((COUNTIF(LN5:LN6,"A"))*4)+((COUNTIF(LN5:LN6,"B"))*3)+((COUNTIF(LN5:LN6,"C"))*2)+((COUNTIF(LN5:LN6,"D"))*1))*CELL("contenu",$B$4),0),IFERROR((((COUNTIF(LN8:LN11,"A"))*4)+((COUNTIF(LN8:LN11,"B"))*3)+((COUNTIF(LN8:LN11,"C"))*2)+((COUNTIF(LN8:LN11,"D"))*1))*CELL("contenu",$B$7),0),IFERROR((((COUNTIF(LN13:LN13,"A"))*4)+((COUNTIF(LN13:LN13,"B"))*3)+((COUNTIF(LN13:LN13,"C"))*2)+((COUNTIF(LN13:LN13,"D"))*1))*CELL("contenu",$B$12),0),IFERROR((((COUNTIF(LN15:LN17,"A"))*4)+((COUNTIF(LN15:LN17,"B"))*3)+((COUNTIF(LN15:LN17,"C"))*2)+((COUNTIF(LN15:LN17,"D"))*1))*CELL("contenu",$B$14),0),IFERROR((((COUNTIF(LN19:LN19,"A"))*4)+((COUNTIF(LN19:LN19,"B"))*3)+((COUNTIF(LN19:LN19,"C"))*2)+((COUNTIF(LN19:LN19,"D"))*1))*CELL("contenu",$B$18),0))/IF(SUM(COUNTA(LN5:LN6)*CELL("contenu",$B$4),COUNTA(LN8:LN11)*CELL("contenu",$B$7),COUNTA(LN13:LN13)*CELL("contenu",$B$12),COUNTA(LN15:LN17)*CELL("contenu",$B$14),COUNTA(LN19:LN19)*CELL("contenu",$B$18))=0,1,SUM(COUNTA(LN5:LN6)*CELL("contenu",$B$4),COUNTA(LN8:LN11)*CELL("contenu",$B$7),COUNTA(LN13:LN13)*CELL("contenu",$B$12),COUNTA(LN15:LN17)*CELL("contenu",$B$14),COUNTA(LN19:LN19)*CELL("contenu",$B$18))))</f>
        <v>18.333333333333332</v>
      </c>
      <c r="LO20" s="168" t="str">
        <f ca="1">IF(COUNTA(LO5:LO19)=0,"",5*SUM(IFERROR((((COUNTIF(LO5:LO6,"A"))*4)+((COUNTIF(LO5:LO6,"B"))*3)+((COUNTIF(LO5:LO6,"C"))*2)+((COUNTIF(LO5:LO6,"D"))*1))*CELL("contenu",$B$4),0),IFERROR((((COUNTIF(LO8:LO11,"A"))*4)+((COUNTIF(LO8:LO11,"B"))*3)+((COUNTIF(LO8:LO11,"C"))*2)+((COUNTIF(LO8:LO11,"D"))*1))*CELL("contenu",$B$7),0),IFERROR((((COUNTIF(LO13:LO13,"A"))*4)+((COUNTIF(LO13:LO13,"B"))*3)+((COUNTIF(LO13:LO13,"C"))*2)+((COUNTIF(LO13:LO13,"D"))*1))*CELL("contenu",$B$12),0),IFERROR((((COUNTIF(LO15:LO17,"A"))*4)+((COUNTIF(LO15:LO17,"B"))*3)+((COUNTIF(LO15:LO17,"C"))*2)+((COUNTIF(LO15:LO17,"D"))*1))*CELL("contenu",$B$14),0),IFERROR((((COUNTIF(LO19:LO19,"A"))*4)+((COUNTIF(LO19:LO19,"B"))*3)+((COUNTIF(LO19:LO19,"C"))*2)+((COUNTIF(LO19:LO19,"D"))*1))*CELL("contenu",$B$18),0))/IF(SUM(COUNTA(LO5:LO6)*CELL("contenu",$B$4),COUNTA(LO8:LO11)*CELL("contenu",$B$7),COUNTA(LO13:LO13)*CELL("contenu",$B$12),COUNTA(LO15:LO17)*CELL("contenu",$B$14),COUNTA(LO19:LO19)*CELL("contenu",$B$18))=0,1,SUM(COUNTA(LO5:LO6)*CELL("contenu",$B$4),COUNTA(LO8:LO11)*CELL("contenu",$B$7),COUNTA(LO13:LO13)*CELL("contenu",$B$12),COUNTA(LO15:LO17)*CELL("contenu",$B$14),COUNTA(LO19:LO19)*CELL("contenu",$B$18))))</f>
        <v/>
      </c>
      <c r="LP20" s="169" t="str">
        <f ca="1">IF(COUNTA(LP5:LP19)=0,"",5*SUM(IFERROR((((COUNTIF(LP5:LP6,"A"))*4)+((COUNTIF(LP5:LP6,"B"))*3)+((COUNTIF(LP5:LP6,"C"))*2)+((COUNTIF(LP5:LP6,"D"))*1))*CELL("contenu",$B$4),0),IFERROR((((COUNTIF(LP8:LP11,"A"))*4)+((COUNTIF(LP8:LP11,"B"))*3)+((COUNTIF(LP8:LP11,"C"))*2)+((COUNTIF(LP8:LP11,"D"))*1))*CELL("contenu",$B$7),0),IFERROR((((COUNTIF(LP13:LP13,"A"))*4)+((COUNTIF(LP13:LP13,"B"))*3)+((COUNTIF(LP13:LP13,"C"))*2)+((COUNTIF(LP13:LP13,"D"))*1))*CELL("contenu",$B$12),0),IFERROR((((COUNTIF(LP15:LP17,"A"))*4)+((COUNTIF(LP15:LP17,"B"))*3)+((COUNTIF(LP15:LP17,"C"))*2)+((COUNTIF(LP15:LP17,"D"))*1))*CELL("contenu",$B$14),0),IFERROR((((COUNTIF(LP19:LP19,"A"))*4)+((COUNTIF(LP19:LP19,"B"))*3)+((COUNTIF(LP19:LP19,"C"))*2)+((COUNTIF(LP19:LP19,"D"))*1))*CELL("contenu",$B$18),0))/IF(SUM(COUNTA(LP5:LP6)*CELL("contenu",$B$4),COUNTA(LP8:LP11)*CELL("contenu",$B$7),COUNTA(LP13:LP13)*CELL("contenu",$B$12),COUNTA(LP15:LP17)*CELL("contenu",$B$14),COUNTA(LP19:LP19)*CELL("contenu",$B$18))=0,1,SUM(COUNTA(LP5:LP6)*CELL("contenu",$B$4),COUNTA(LP8:LP11)*CELL("contenu",$B$7),COUNTA(LP13:LP13)*CELL("contenu",$B$12),COUNTA(LP15:LP17)*CELL("contenu",$B$14),COUNTA(LP19:LP19)*CELL("contenu",$B$18))))</f>
        <v/>
      </c>
      <c r="LQ20" s="116"/>
      <c r="LR20" s="192">
        <f ca="1">IF(COUNTA(LN20:LP20)-COUNTBLANK(LN20:LP20)=0,"",SUM(LN20:LP20)/(COUNTA(LN20:LP20)-COUNTBLANK(LN20:LP20)))</f>
        <v>18.333333333333332</v>
      </c>
      <c r="LS20" s="182" t="str">
        <f ca="1">IF(COUNTA(LS5:LS19)=0,"",5*SUM(IFERROR((((COUNTIF(LS5:LS6,"A"))*4)+((COUNTIF(LS5:LS6,"B"))*3)+((COUNTIF(LS5:LS6,"C"))*2)+((COUNTIF(LS5:LS6,"D"))*1))*CELL("contenu",$B$4),0),IFERROR((((COUNTIF(LS8:LS11,"A"))*4)+((COUNTIF(LS8:LS11,"B"))*3)+((COUNTIF(LS8:LS11,"C"))*2)+((COUNTIF(LS8:LS11,"D"))*1))*CELL("contenu",$B$7),0),IFERROR((((COUNTIF(LS13:LS13,"A"))*4)+((COUNTIF(LS13:LS13,"B"))*3)+((COUNTIF(LS13:LS13,"C"))*2)+((COUNTIF(LS13:LS13,"D"))*1))*CELL("contenu",$B$12),0),IFERROR((((COUNTIF(LS15:LS17,"A"))*4)+((COUNTIF(LS15:LS17,"B"))*3)+((COUNTIF(LS15:LS17,"C"))*2)+((COUNTIF(LS15:LS17,"D"))*1))*CELL("contenu",$B$14),0),IFERROR((((COUNTIF(LS19:LS19,"A"))*4)+((COUNTIF(LS19:LS19,"B"))*3)+((COUNTIF(LS19:LS19,"C"))*2)+((COUNTIF(LS19:LS19,"D"))*1))*CELL("contenu",$B$18),0))/IF(SUM(COUNTA(LS5:LS6)*CELL("contenu",$B$4),COUNTA(LS8:LS11)*CELL("contenu",$B$7),COUNTA(LS13:LS13)*CELL("contenu",$B$12),COUNTA(LS15:LS17)*CELL("contenu",$B$14),COUNTA(LS19:LS19)*CELL("contenu",$B$18))=0,1,SUM(COUNTA(LS5:LS6)*CELL("contenu",$B$4),COUNTA(LS8:LS11)*CELL("contenu",$B$7),COUNTA(LS13:LS13)*CELL("contenu",$B$12),COUNTA(LS15:LS17)*CELL("contenu",$B$14),COUNTA(LS19:LS19)*CELL("contenu",$B$18))))</f>
        <v/>
      </c>
      <c r="LT20" s="183" t="str">
        <f ca="1">IF(COUNTA(LT5:LT19)=0,"",5*SUM(IFERROR((((COUNTIF(LT5:LT6,"A"))*4)+((COUNTIF(LT5:LT6,"B"))*3)+((COUNTIF(LT5:LT6,"C"))*2)+((COUNTIF(LT5:LT6,"D"))*1))*CELL("contenu",$B$4),0),IFERROR((((COUNTIF(LT8:LT11,"A"))*4)+((COUNTIF(LT8:LT11,"B"))*3)+((COUNTIF(LT8:LT11,"C"))*2)+((COUNTIF(LT8:LT11,"D"))*1))*CELL("contenu",$B$7),0),IFERROR((((COUNTIF(LT13:LT13,"A"))*4)+((COUNTIF(LT13:LT13,"B"))*3)+((COUNTIF(LT13:LT13,"C"))*2)+((COUNTIF(LT13:LT13,"D"))*1))*CELL("contenu",$B$12),0),IFERROR((((COUNTIF(LT15:LT17,"A"))*4)+((COUNTIF(LT15:LT17,"B"))*3)+((COUNTIF(LT15:LT17,"C"))*2)+((COUNTIF(LT15:LT17,"D"))*1))*CELL("contenu",$B$14),0),IFERROR((((COUNTIF(LT19:LT19,"A"))*4)+((COUNTIF(LT19:LT19,"B"))*3)+((COUNTIF(LT19:LT19,"C"))*2)+((COUNTIF(LT19:LT19,"D"))*1))*CELL("contenu",$B$18),0))/IF(SUM(COUNTA(LT5:LT6)*CELL("contenu",$B$4),COUNTA(LT8:LT11)*CELL("contenu",$B$7),COUNTA(LT13:LT13)*CELL("contenu",$B$12),COUNTA(LT15:LT17)*CELL("contenu",$B$14),COUNTA(LT19:LT19)*CELL("contenu",$B$18))=0,1,SUM(COUNTA(LT5:LT6)*CELL("contenu",$B$4),COUNTA(LT8:LT11)*CELL("contenu",$B$7),COUNTA(LT13:LT13)*CELL("contenu",$B$12),COUNTA(LT15:LT17)*CELL("contenu",$B$14),COUNTA(LT19:LT19)*CELL("contenu",$B$18))))</f>
        <v/>
      </c>
      <c r="LU20" s="184" t="str">
        <f ca="1">IF(COUNTA(LU5:LU19)=0,"",5*SUM(IFERROR((((COUNTIF(LU5:LU6,"A"))*4)+((COUNTIF(LU5:LU6,"B"))*3)+((COUNTIF(LU5:LU6,"C"))*2)+((COUNTIF(LU5:LU6,"D"))*1))*CELL("contenu",$B$4),0),IFERROR((((COUNTIF(LU8:LU11,"A"))*4)+((COUNTIF(LU8:LU11,"B"))*3)+((COUNTIF(LU8:LU11,"C"))*2)+((COUNTIF(LU8:LU11,"D"))*1))*CELL("contenu",$B$7),0),IFERROR((((COUNTIF(LU13:LU13,"A"))*4)+((COUNTIF(LU13:LU13,"B"))*3)+((COUNTIF(LU13:LU13,"C"))*2)+((COUNTIF(LU13:LU13,"D"))*1))*CELL("contenu",$B$12),0),IFERROR((((COUNTIF(LU15:LU17,"A"))*4)+((COUNTIF(LU15:LU17,"B"))*3)+((COUNTIF(LU15:LU17,"C"))*2)+((COUNTIF(LU15:LU17,"D"))*1))*CELL("contenu",$B$14),0),IFERROR((((COUNTIF(LU19:LU19,"A"))*4)+((COUNTIF(LU19:LU19,"B"))*3)+((COUNTIF(LU19:LU19,"C"))*2)+((COUNTIF(LU19:LU19,"D"))*1))*CELL("contenu",$B$18),0))/IF(SUM(COUNTA(LU5:LU6)*CELL("contenu",$B$4),COUNTA(LU8:LU11)*CELL("contenu",$B$7),COUNTA(LU13:LU13)*CELL("contenu",$B$12),COUNTA(LU15:LU17)*CELL("contenu",$B$14),COUNTA(LU19:LU19)*CELL("contenu",$B$18))=0,1,SUM(COUNTA(LU5:LU6)*CELL("contenu",$B$4),COUNTA(LU8:LU11)*CELL("contenu",$B$7),COUNTA(LU13:LU13)*CELL("contenu",$B$12),COUNTA(LU15:LU17)*CELL("contenu",$B$14),COUNTA(LU19:LU19)*CELL("contenu",$B$18))))</f>
        <v/>
      </c>
      <c r="LV20" s="176"/>
      <c r="LW20" s="175" t="str">
        <f ca="1">IF(COUNTA(LS20:LU20)-COUNTBLANK(LS20:LU20)=0,"",SUM(LS20:LU20)/(COUNTA(LS20:LU20)-COUNTBLANK(LS20:LU20)))</f>
        <v/>
      </c>
      <c r="LX20" s="182" t="str">
        <f ca="1">IF(COUNTA(LX5:LX19)=0,"",5*SUM(IFERROR((((COUNTIF(LX5:LX6,"A"))*4)+((COUNTIF(LX5:LX6,"B"))*3)+((COUNTIF(LX5:LX6,"C"))*2)+((COUNTIF(LX5:LX6,"D"))*1))*CELL("contenu",$B$4),0),IFERROR((((COUNTIF(LX8:LX11,"A"))*4)+((COUNTIF(LX8:LX11,"B"))*3)+((COUNTIF(LX8:LX11,"C"))*2)+((COUNTIF(LX8:LX11,"D"))*1))*CELL("contenu",$B$7),0),IFERROR((((COUNTIF(LX13:LX13,"A"))*4)+((COUNTIF(LX13:LX13,"B"))*3)+((COUNTIF(LX13:LX13,"C"))*2)+((COUNTIF(LX13:LX13,"D"))*1))*CELL("contenu",$B$12),0),IFERROR((((COUNTIF(LX15:LX17,"A"))*4)+((COUNTIF(LX15:LX17,"B"))*3)+((COUNTIF(LX15:LX17,"C"))*2)+((COUNTIF(LX15:LX17,"D"))*1))*CELL("contenu",$B$14),0),IFERROR((((COUNTIF(LX19:LX19,"A"))*4)+((COUNTIF(LX19:LX19,"B"))*3)+((COUNTIF(LX19:LX19,"C"))*2)+((COUNTIF(LX19:LX19,"D"))*1))*CELL("contenu",$B$18),0))/IF(SUM(COUNTA(LX5:LX6)*CELL("contenu",$B$4),COUNTA(LX8:LX11)*CELL("contenu",$B$7),COUNTA(LX13:LX13)*CELL("contenu",$B$12),COUNTA(LX15:LX17)*CELL("contenu",$B$14),COUNTA(LX19:LX19)*CELL("contenu",$B$18))=0,1,SUM(COUNTA(LX5:LX6)*CELL("contenu",$B$4),COUNTA(LX8:LX11)*CELL("contenu",$B$7),COUNTA(LX13:LX13)*CELL("contenu",$B$12),COUNTA(LX15:LX17)*CELL("contenu",$B$14),COUNTA(LX19:LX19)*CELL("contenu",$B$18))))</f>
        <v/>
      </c>
      <c r="LY20" s="183" t="str">
        <f ca="1">IF(COUNTA(LY5:LY19)=0,"",5*SUM(IFERROR((((COUNTIF(LY5:LY6,"A"))*4)+((COUNTIF(LY5:LY6,"B"))*3)+((COUNTIF(LY5:LY6,"C"))*2)+((COUNTIF(LY5:LY6,"D"))*1))*CELL("contenu",$B$4),0),IFERROR((((COUNTIF(LY8:LY11,"A"))*4)+((COUNTIF(LY8:LY11,"B"))*3)+((COUNTIF(LY8:LY11,"C"))*2)+((COUNTIF(LY8:LY11,"D"))*1))*CELL("contenu",$B$7),0),IFERROR((((COUNTIF(LY13:LY13,"A"))*4)+((COUNTIF(LY13:LY13,"B"))*3)+((COUNTIF(LY13:LY13,"C"))*2)+((COUNTIF(LY13:LY13,"D"))*1))*CELL("contenu",$B$12),0),IFERROR((((COUNTIF(LY15:LY17,"A"))*4)+((COUNTIF(LY15:LY17,"B"))*3)+((COUNTIF(LY15:LY17,"C"))*2)+((COUNTIF(LY15:LY17,"D"))*1))*CELL("contenu",$B$14),0),IFERROR((((COUNTIF(LY19:LY19,"A"))*4)+((COUNTIF(LY19:LY19,"B"))*3)+((COUNTIF(LY19:LY19,"C"))*2)+((COUNTIF(LY19:LY19,"D"))*1))*CELL("contenu",$B$18),0))/IF(SUM(COUNTA(LY5:LY6)*CELL("contenu",$B$4),COUNTA(LY8:LY11)*CELL("contenu",$B$7),COUNTA(LY13:LY13)*CELL("contenu",$B$12),COUNTA(LY15:LY17)*CELL("contenu",$B$14),COUNTA(LY19:LY19)*CELL("contenu",$B$18))=0,1,SUM(COUNTA(LY5:LY6)*CELL("contenu",$B$4),COUNTA(LY8:LY11)*CELL("contenu",$B$7),COUNTA(LY13:LY13)*CELL("contenu",$B$12),COUNTA(LY15:LY17)*CELL("contenu",$B$14),COUNTA(LY19:LY19)*CELL("contenu",$B$18))))</f>
        <v/>
      </c>
      <c r="LZ20" s="184" t="str">
        <f ca="1">IF(COUNTA(LZ5:LZ19)=0,"",5*SUM(IFERROR((((COUNTIF(LZ5:LZ6,"A"))*4)+((COUNTIF(LZ5:LZ6,"B"))*3)+((COUNTIF(LZ5:LZ6,"C"))*2)+((COUNTIF(LZ5:LZ6,"D"))*1))*CELL("contenu",$B$4),0),IFERROR((((COUNTIF(LZ8:LZ11,"A"))*4)+((COUNTIF(LZ8:LZ11,"B"))*3)+((COUNTIF(LZ8:LZ11,"C"))*2)+((COUNTIF(LZ8:LZ11,"D"))*1))*CELL("contenu",$B$7),0),IFERROR((((COUNTIF(LZ13:LZ13,"A"))*4)+((COUNTIF(LZ13:LZ13,"B"))*3)+((COUNTIF(LZ13:LZ13,"C"))*2)+((COUNTIF(LZ13:LZ13,"D"))*1))*CELL("contenu",$B$12),0),IFERROR((((COUNTIF(LZ15:LZ17,"A"))*4)+((COUNTIF(LZ15:LZ17,"B"))*3)+((COUNTIF(LZ15:LZ17,"C"))*2)+((COUNTIF(LZ15:LZ17,"D"))*1))*CELL("contenu",$B$14),0),IFERROR((((COUNTIF(LZ19:LZ19,"A"))*4)+((COUNTIF(LZ19:LZ19,"B"))*3)+((COUNTIF(LZ19:LZ19,"C"))*2)+((COUNTIF(LZ19:LZ19,"D"))*1))*CELL("contenu",$B$18),0))/IF(SUM(COUNTA(LZ5:LZ6)*CELL("contenu",$B$4),COUNTA(LZ8:LZ11)*CELL("contenu",$B$7),COUNTA(LZ13:LZ13)*CELL("contenu",$B$12),COUNTA(LZ15:LZ17)*CELL("contenu",$B$14),COUNTA(LZ19:LZ19)*CELL("contenu",$B$18))=0,1,SUM(COUNTA(LZ5:LZ6)*CELL("contenu",$B$4),COUNTA(LZ8:LZ11)*CELL("contenu",$B$7),COUNTA(LZ13:LZ13)*CELL("contenu",$B$12),COUNTA(LZ15:LZ17)*CELL("contenu",$B$14),COUNTA(LZ19:LZ19)*CELL("contenu",$B$18))))</f>
        <v/>
      </c>
      <c r="MA20" s="176"/>
      <c r="MB20" s="174" t="str">
        <f ca="1">IF(COUNTA(LX20:LZ20)-COUNTBLANK(LX20:LZ20)=0,"",SUM(LX20:LZ20)/(COUNTA(LX20:LZ20)-COUNTBLANK(LX20:LZ20)))</f>
        <v/>
      </c>
      <c r="MC20" s="103"/>
      <c r="MD20" s="141"/>
      <c r="ME20" s="167">
        <f ca="1">IF(COUNTA(ME5:ME19)=0,"",5*SUM(IFERROR((((COUNTIF(ME5:ME6,"A"))*4)+((COUNTIF(ME5:ME6,"B"))*3)+((COUNTIF(ME5:ME6,"C"))*2)+((COUNTIF(ME5:ME6,"D"))*1))*CELL("contenu",$B$4),0),IFERROR((((COUNTIF(ME8:ME11,"A"))*4)+((COUNTIF(ME8:ME11,"B"))*3)+((COUNTIF(ME8:ME11,"C"))*2)+((COUNTIF(ME8:ME11,"D"))*1))*CELL("contenu",$B$7),0),IFERROR((((COUNTIF(ME13:ME13,"A"))*4)+((COUNTIF(ME13:ME13,"B"))*3)+((COUNTIF(ME13:ME13,"C"))*2)+((COUNTIF(ME13:ME13,"D"))*1))*CELL("contenu",$B$12),0),IFERROR((((COUNTIF(ME15:ME17,"A"))*4)+((COUNTIF(ME15:ME17,"B"))*3)+((COUNTIF(ME15:ME17,"C"))*2)+((COUNTIF(ME15:ME17,"D"))*1))*CELL("contenu",$B$14),0),IFERROR((((COUNTIF(ME19:ME19,"A"))*4)+((COUNTIF(ME19:ME19,"B"))*3)+((COUNTIF(ME19:ME19,"C"))*2)+((COUNTIF(ME19:ME19,"D"))*1))*CELL("contenu",$B$18),0))/IF(SUM(COUNTA(ME5:ME6)*CELL("contenu",$B$4),COUNTA(ME8:ME11)*CELL("contenu",$B$7),COUNTA(ME13:ME13)*CELL("contenu",$B$12),COUNTA(ME15:ME17)*CELL("contenu",$B$14),COUNTA(ME19:ME19)*CELL("contenu",$B$18))=0,1,SUM(COUNTA(ME5:ME6)*CELL("contenu",$B$4),COUNTA(ME8:ME11)*CELL("contenu",$B$7),COUNTA(ME13:ME13)*CELL("contenu",$B$12),COUNTA(ME15:ME17)*CELL("contenu",$B$14),COUNTA(ME19:ME19)*CELL("contenu",$B$18))))</f>
        <v>13.333333333333334</v>
      </c>
      <c r="MF20" s="168" t="str">
        <f ca="1">IF(COUNTA(MF5:MF19)=0,"",5*SUM(IFERROR((((COUNTIF(MF5:MF6,"A"))*4)+((COUNTIF(MF5:MF6,"B"))*3)+((COUNTIF(MF5:MF6,"C"))*2)+((COUNTIF(MF5:MF6,"D"))*1))*CELL("contenu",$B$4),0),IFERROR((((COUNTIF(MF8:MF11,"A"))*4)+((COUNTIF(MF8:MF11,"B"))*3)+((COUNTIF(MF8:MF11,"C"))*2)+((COUNTIF(MF8:MF11,"D"))*1))*CELL("contenu",$B$7),0),IFERROR((((COUNTIF(MF13:MF13,"A"))*4)+((COUNTIF(MF13:MF13,"B"))*3)+((COUNTIF(MF13:MF13,"C"))*2)+((COUNTIF(MF13:MF13,"D"))*1))*CELL("contenu",$B$12),0),IFERROR((((COUNTIF(MF15:MF17,"A"))*4)+((COUNTIF(MF15:MF17,"B"))*3)+((COUNTIF(MF15:MF17,"C"))*2)+((COUNTIF(MF15:MF17,"D"))*1))*CELL("contenu",$B$14),0),IFERROR((((COUNTIF(MF19:MF19,"A"))*4)+((COUNTIF(MF19:MF19,"B"))*3)+((COUNTIF(MF19:MF19,"C"))*2)+((COUNTIF(MF19:MF19,"D"))*1))*CELL("contenu",$B$18),0))/IF(SUM(COUNTA(MF5:MF6)*CELL("contenu",$B$4),COUNTA(MF8:MF11)*CELL("contenu",$B$7),COUNTA(MF13:MF13)*CELL("contenu",$B$12),COUNTA(MF15:MF17)*CELL("contenu",$B$14),COUNTA(MF19:MF19)*CELL("contenu",$B$18))=0,1,SUM(COUNTA(MF5:MF6)*CELL("contenu",$B$4),COUNTA(MF8:MF11)*CELL("contenu",$B$7),COUNTA(MF13:MF13)*CELL("contenu",$B$12),COUNTA(MF15:MF17)*CELL("contenu",$B$14),COUNTA(MF19:MF19)*CELL("contenu",$B$18))))</f>
        <v/>
      </c>
      <c r="MG20" s="169" t="str">
        <f ca="1">IF(COUNTA(MG5:MG19)=0,"",5*SUM(IFERROR((((COUNTIF(MG5:MG6,"A"))*4)+((COUNTIF(MG5:MG6,"B"))*3)+((COUNTIF(MG5:MG6,"C"))*2)+((COUNTIF(MG5:MG6,"D"))*1))*CELL("contenu",$B$4),0),IFERROR((((COUNTIF(MG8:MG11,"A"))*4)+((COUNTIF(MG8:MG11,"B"))*3)+((COUNTIF(MG8:MG11,"C"))*2)+((COUNTIF(MG8:MG11,"D"))*1))*CELL("contenu",$B$7),0),IFERROR((((COUNTIF(MG13:MG13,"A"))*4)+((COUNTIF(MG13:MG13,"B"))*3)+((COUNTIF(MG13:MG13,"C"))*2)+((COUNTIF(MG13:MG13,"D"))*1))*CELL("contenu",$B$12),0),IFERROR((((COUNTIF(MG15:MG17,"A"))*4)+((COUNTIF(MG15:MG17,"B"))*3)+((COUNTIF(MG15:MG17,"C"))*2)+((COUNTIF(MG15:MG17,"D"))*1))*CELL("contenu",$B$14),0),IFERROR((((COUNTIF(MG19:MG19,"A"))*4)+((COUNTIF(MG19:MG19,"B"))*3)+((COUNTIF(MG19:MG19,"C"))*2)+((COUNTIF(MG19:MG19,"D"))*1))*CELL("contenu",$B$18),0))/IF(SUM(COUNTA(MG5:MG6)*CELL("contenu",$B$4),COUNTA(MG8:MG11)*CELL("contenu",$B$7),COUNTA(MG13:MG13)*CELL("contenu",$B$12),COUNTA(MG15:MG17)*CELL("contenu",$B$14),COUNTA(MG19:MG19)*CELL("contenu",$B$18))=0,1,SUM(COUNTA(MG5:MG6)*CELL("contenu",$B$4),COUNTA(MG8:MG11)*CELL("contenu",$B$7),COUNTA(MG13:MG13)*CELL("contenu",$B$12),COUNTA(MG15:MG17)*CELL("contenu",$B$14),COUNTA(MG19:MG19)*CELL("contenu",$B$18))))</f>
        <v/>
      </c>
      <c r="MH20" s="116"/>
      <c r="MI20" s="192">
        <f ca="1">IF(COUNTA(ME20:MG20)-COUNTBLANK(ME20:MG20)=0,"",SUM(ME20:MG20)/(COUNTA(ME20:MG20)-COUNTBLANK(ME20:MG20)))</f>
        <v>13.333333333333334</v>
      </c>
      <c r="MJ20" s="182" t="str">
        <f ca="1">IF(COUNTA(MJ5:MJ19)=0,"",5*SUM(IFERROR((((COUNTIF(MJ5:MJ6,"A"))*4)+((COUNTIF(MJ5:MJ6,"B"))*3)+((COUNTIF(MJ5:MJ6,"C"))*2)+((COUNTIF(MJ5:MJ6,"D"))*1))*CELL("contenu",$B$4),0),IFERROR((((COUNTIF(MJ8:MJ11,"A"))*4)+((COUNTIF(MJ8:MJ11,"B"))*3)+((COUNTIF(MJ8:MJ11,"C"))*2)+((COUNTIF(MJ8:MJ11,"D"))*1))*CELL("contenu",$B$7),0),IFERROR((((COUNTIF(MJ13:MJ13,"A"))*4)+((COUNTIF(MJ13:MJ13,"B"))*3)+((COUNTIF(MJ13:MJ13,"C"))*2)+((COUNTIF(MJ13:MJ13,"D"))*1))*CELL("contenu",$B$12),0),IFERROR((((COUNTIF(MJ15:MJ17,"A"))*4)+((COUNTIF(MJ15:MJ17,"B"))*3)+((COUNTIF(MJ15:MJ17,"C"))*2)+((COUNTIF(MJ15:MJ17,"D"))*1))*CELL("contenu",$B$14),0),IFERROR((((COUNTIF(MJ19:MJ19,"A"))*4)+((COUNTIF(MJ19:MJ19,"B"))*3)+((COUNTIF(MJ19:MJ19,"C"))*2)+((COUNTIF(MJ19:MJ19,"D"))*1))*CELL("contenu",$B$18),0))/IF(SUM(COUNTA(MJ5:MJ6)*CELL("contenu",$B$4),COUNTA(MJ8:MJ11)*CELL("contenu",$B$7),COUNTA(MJ13:MJ13)*CELL("contenu",$B$12),COUNTA(MJ15:MJ17)*CELL("contenu",$B$14),COUNTA(MJ19:MJ19)*CELL("contenu",$B$18))=0,1,SUM(COUNTA(MJ5:MJ6)*CELL("contenu",$B$4),COUNTA(MJ8:MJ11)*CELL("contenu",$B$7),COUNTA(MJ13:MJ13)*CELL("contenu",$B$12),COUNTA(MJ15:MJ17)*CELL("contenu",$B$14),COUNTA(MJ19:MJ19)*CELL("contenu",$B$18))))</f>
        <v/>
      </c>
      <c r="MK20" s="183" t="str">
        <f ca="1">IF(COUNTA(MK5:MK19)=0,"",5*SUM(IFERROR((((COUNTIF(MK5:MK6,"A"))*4)+((COUNTIF(MK5:MK6,"B"))*3)+((COUNTIF(MK5:MK6,"C"))*2)+((COUNTIF(MK5:MK6,"D"))*1))*CELL("contenu",$B$4),0),IFERROR((((COUNTIF(MK8:MK11,"A"))*4)+((COUNTIF(MK8:MK11,"B"))*3)+((COUNTIF(MK8:MK11,"C"))*2)+((COUNTIF(MK8:MK11,"D"))*1))*CELL("contenu",$B$7),0),IFERROR((((COUNTIF(MK13:MK13,"A"))*4)+((COUNTIF(MK13:MK13,"B"))*3)+((COUNTIF(MK13:MK13,"C"))*2)+((COUNTIF(MK13:MK13,"D"))*1))*CELL("contenu",$B$12),0),IFERROR((((COUNTIF(MK15:MK17,"A"))*4)+((COUNTIF(MK15:MK17,"B"))*3)+((COUNTIF(MK15:MK17,"C"))*2)+((COUNTIF(MK15:MK17,"D"))*1))*CELL("contenu",$B$14),0),IFERROR((((COUNTIF(MK19:MK19,"A"))*4)+((COUNTIF(MK19:MK19,"B"))*3)+((COUNTIF(MK19:MK19,"C"))*2)+((COUNTIF(MK19:MK19,"D"))*1))*CELL("contenu",$B$18),0))/IF(SUM(COUNTA(MK5:MK6)*CELL("contenu",$B$4),COUNTA(MK8:MK11)*CELL("contenu",$B$7),COUNTA(MK13:MK13)*CELL("contenu",$B$12),COUNTA(MK15:MK17)*CELL("contenu",$B$14),COUNTA(MK19:MK19)*CELL("contenu",$B$18))=0,1,SUM(COUNTA(MK5:MK6)*CELL("contenu",$B$4),COUNTA(MK8:MK11)*CELL("contenu",$B$7),COUNTA(MK13:MK13)*CELL("contenu",$B$12),COUNTA(MK15:MK17)*CELL("contenu",$B$14),COUNTA(MK19:MK19)*CELL("contenu",$B$18))))</f>
        <v/>
      </c>
      <c r="ML20" s="184" t="str">
        <f ca="1">IF(COUNTA(ML5:ML19)=0,"",5*SUM(IFERROR((((COUNTIF(ML5:ML6,"A"))*4)+((COUNTIF(ML5:ML6,"B"))*3)+((COUNTIF(ML5:ML6,"C"))*2)+((COUNTIF(ML5:ML6,"D"))*1))*CELL("contenu",$B$4),0),IFERROR((((COUNTIF(ML8:ML11,"A"))*4)+((COUNTIF(ML8:ML11,"B"))*3)+((COUNTIF(ML8:ML11,"C"))*2)+((COUNTIF(ML8:ML11,"D"))*1))*CELL("contenu",$B$7),0),IFERROR((((COUNTIF(ML13:ML13,"A"))*4)+((COUNTIF(ML13:ML13,"B"))*3)+((COUNTIF(ML13:ML13,"C"))*2)+((COUNTIF(ML13:ML13,"D"))*1))*CELL("contenu",$B$12),0),IFERROR((((COUNTIF(ML15:ML17,"A"))*4)+((COUNTIF(ML15:ML17,"B"))*3)+((COUNTIF(ML15:ML17,"C"))*2)+((COUNTIF(ML15:ML17,"D"))*1))*CELL("contenu",$B$14),0),IFERROR((((COUNTIF(ML19:ML19,"A"))*4)+((COUNTIF(ML19:ML19,"B"))*3)+((COUNTIF(ML19:ML19,"C"))*2)+((COUNTIF(ML19:ML19,"D"))*1))*CELL("contenu",$B$18),0))/IF(SUM(COUNTA(ML5:ML6)*CELL("contenu",$B$4),COUNTA(ML8:ML11)*CELL("contenu",$B$7),COUNTA(ML13:ML13)*CELL("contenu",$B$12),COUNTA(ML15:ML17)*CELL("contenu",$B$14),COUNTA(ML19:ML19)*CELL("contenu",$B$18))=0,1,SUM(COUNTA(ML5:ML6)*CELL("contenu",$B$4),COUNTA(ML8:ML11)*CELL("contenu",$B$7),COUNTA(ML13:ML13)*CELL("contenu",$B$12),COUNTA(ML15:ML17)*CELL("contenu",$B$14),COUNTA(ML19:ML19)*CELL("contenu",$B$18))))</f>
        <v/>
      </c>
      <c r="MM20" s="176"/>
      <c r="MN20" s="175" t="str">
        <f ca="1">IF(COUNTA(MJ20:ML20)-COUNTBLANK(MJ20:ML20)=0,"",SUM(MJ20:ML20)/(COUNTA(MJ20:ML20)-COUNTBLANK(MJ20:ML20)))</f>
        <v/>
      </c>
      <c r="MO20" s="182" t="str">
        <f ca="1">IF(COUNTA(MO5:MO19)=0,"",5*SUM(IFERROR((((COUNTIF(MO5:MO6,"A"))*4)+((COUNTIF(MO5:MO6,"B"))*3)+((COUNTIF(MO5:MO6,"C"))*2)+((COUNTIF(MO5:MO6,"D"))*1))*CELL("contenu",$B$4),0),IFERROR((((COUNTIF(MO8:MO11,"A"))*4)+((COUNTIF(MO8:MO11,"B"))*3)+((COUNTIF(MO8:MO11,"C"))*2)+((COUNTIF(MO8:MO11,"D"))*1))*CELL("contenu",$B$7),0),IFERROR((((COUNTIF(MO13:MO13,"A"))*4)+((COUNTIF(MO13:MO13,"B"))*3)+((COUNTIF(MO13:MO13,"C"))*2)+((COUNTIF(MO13:MO13,"D"))*1))*CELL("contenu",$B$12),0),IFERROR((((COUNTIF(MO15:MO17,"A"))*4)+((COUNTIF(MO15:MO17,"B"))*3)+((COUNTIF(MO15:MO17,"C"))*2)+((COUNTIF(MO15:MO17,"D"))*1))*CELL("contenu",$B$14),0),IFERROR((((COUNTIF(MO19:MO19,"A"))*4)+((COUNTIF(MO19:MO19,"B"))*3)+((COUNTIF(MO19:MO19,"C"))*2)+((COUNTIF(MO19:MO19,"D"))*1))*CELL("contenu",$B$18),0))/IF(SUM(COUNTA(MO5:MO6)*CELL("contenu",$B$4),COUNTA(MO8:MO11)*CELL("contenu",$B$7),COUNTA(MO13:MO13)*CELL("contenu",$B$12),COUNTA(MO15:MO17)*CELL("contenu",$B$14),COUNTA(MO19:MO19)*CELL("contenu",$B$18))=0,1,SUM(COUNTA(MO5:MO6)*CELL("contenu",$B$4),COUNTA(MO8:MO11)*CELL("contenu",$B$7),COUNTA(MO13:MO13)*CELL("contenu",$B$12),COUNTA(MO15:MO17)*CELL("contenu",$B$14),COUNTA(MO19:MO19)*CELL("contenu",$B$18))))</f>
        <v/>
      </c>
      <c r="MP20" s="183" t="str">
        <f ca="1">IF(COUNTA(MP5:MP19)=0,"",5*SUM(IFERROR((((COUNTIF(MP5:MP6,"A"))*4)+((COUNTIF(MP5:MP6,"B"))*3)+((COUNTIF(MP5:MP6,"C"))*2)+((COUNTIF(MP5:MP6,"D"))*1))*CELL("contenu",$B$4),0),IFERROR((((COUNTIF(MP8:MP11,"A"))*4)+((COUNTIF(MP8:MP11,"B"))*3)+((COUNTIF(MP8:MP11,"C"))*2)+((COUNTIF(MP8:MP11,"D"))*1))*CELL("contenu",$B$7),0),IFERROR((((COUNTIF(MP13:MP13,"A"))*4)+((COUNTIF(MP13:MP13,"B"))*3)+((COUNTIF(MP13:MP13,"C"))*2)+((COUNTIF(MP13:MP13,"D"))*1))*CELL("contenu",$B$12),0),IFERROR((((COUNTIF(MP15:MP17,"A"))*4)+((COUNTIF(MP15:MP17,"B"))*3)+((COUNTIF(MP15:MP17,"C"))*2)+((COUNTIF(MP15:MP17,"D"))*1))*CELL("contenu",$B$14),0),IFERROR((((COUNTIF(MP19:MP19,"A"))*4)+((COUNTIF(MP19:MP19,"B"))*3)+((COUNTIF(MP19:MP19,"C"))*2)+((COUNTIF(MP19:MP19,"D"))*1))*CELL("contenu",$B$18),0))/IF(SUM(COUNTA(MP5:MP6)*CELL("contenu",$B$4),COUNTA(MP8:MP11)*CELL("contenu",$B$7),COUNTA(MP13:MP13)*CELL("contenu",$B$12),COUNTA(MP15:MP17)*CELL("contenu",$B$14),COUNTA(MP19:MP19)*CELL("contenu",$B$18))=0,1,SUM(COUNTA(MP5:MP6)*CELL("contenu",$B$4),COUNTA(MP8:MP11)*CELL("contenu",$B$7),COUNTA(MP13:MP13)*CELL("contenu",$B$12),COUNTA(MP15:MP17)*CELL("contenu",$B$14),COUNTA(MP19:MP19)*CELL("contenu",$B$18))))</f>
        <v/>
      </c>
      <c r="MQ20" s="184" t="str">
        <f ca="1">IF(COUNTA(MQ5:MQ19)=0,"",5*SUM(IFERROR((((COUNTIF(MQ5:MQ6,"A"))*4)+((COUNTIF(MQ5:MQ6,"B"))*3)+((COUNTIF(MQ5:MQ6,"C"))*2)+((COUNTIF(MQ5:MQ6,"D"))*1))*CELL("contenu",$B$4),0),IFERROR((((COUNTIF(MQ8:MQ11,"A"))*4)+((COUNTIF(MQ8:MQ11,"B"))*3)+((COUNTIF(MQ8:MQ11,"C"))*2)+((COUNTIF(MQ8:MQ11,"D"))*1))*CELL("contenu",$B$7),0),IFERROR((((COUNTIF(MQ13:MQ13,"A"))*4)+((COUNTIF(MQ13:MQ13,"B"))*3)+((COUNTIF(MQ13:MQ13,"C"))*2)+((COUNTIF(MQ13:MQ13,"D"))*1))*CELL("contenu",$B$12),0),IFERROR((((COUNTIF(MQ15:MQ17,"A"))*4)+((COUNTIF(MQ15:MQ17,"B"))*3)+((COUNTIF(MQ15:MQ17,"C"))*2)+((COUNTIF(MQ15:MQ17,"D"))*1))*CELL("contenu",$B$14),0),IFERROR((((COUNTIF(MQ19:MQ19,"A"))*4)+((COUNTIF(MQ19:MQ19,"B"))*3)+((COUNTIF(MQ19:MQ19,"C"))*2)+((COUNTIF(MQ19:MQ19,"D"))*1))*CELL("contenu",$B$18),0))/IF(SUM(COUNTA(MQ5:MQ6)*CELL("contenu",$B$4),COUNTA(MQ8:MQ11)*CELL("contenu",$B$7),COUNTA(MQ13:MQ13)*CELL("contenu",$B$12),COUNTA(MQ15:MQ17)*CELL("contenu",$B$14),COUNTA(MQ19:MQ19)*CELL("contenu",$B$18))=0,1,SUM(COUNTA(MQ5:MQ6)*CELL("contenu",$B$4),COUNTA(MQ8:MQ11)*CELL("contenu",$B$7),COUNTA(MQ13:MQ13)*CELL("contenu",$B$12),COUNTA(MQ15:MQ17)*CELL("contenu",$B$14),COUNTA(MQ19:MQ19)*CELL("contenu",$B$18))))</f>
        <v/>
      </c>
      <c r="MR20" s="176"/>
      <c r="MS20" s="174" t="str">
        <f ca="1">IF(COUNTA(MO20:MQ20)-COUNTBLANK(MO20:MQ20)=0,"",SUM(MO20:MQ20)/(COUNTA(MO20:MQ20)-COUNTBLANK(MO20:MQ20)))</f>
        <v/>
      </c>
      <c r="MT20" s="103"/>
      <c r="MU20" s="141"/>
      <c r="MV20" s="167" t="str">
        <f ca="1">IF(COUNTA(MV5:MV19)=0,"",5*SUM(IFERROR((((COUNTIF(MV5:MV6,"A"))*4)+((COUNTIF(MV5:MV6,"B"))*3)+((COUNTIF(MV5:MV6,"C"))*2)+((COUNTIF(MV5:MV6,"D"))*1))*CELL("contenu",$B$4),0),IFERROR((((COUNTIF(MV8:MV11,"A"))*4)+((COUNTIF(MV8:MV11,"B"))*3)+((COUNTIF(MV8:MV11,"C"))*2)+((COUNTIF(MV8:MV11,"D"))*1))*CELL("contenu",$B$7),0),IFERROR((((COUNTIF(MV13:MV13,"A"))*4)+((COUNTIF(MV13:MV13,"B"))*3)+((COUNTIF(MV13:MV13,"C"))*2)+((COUNTIF(MV13:MV13,"D"))*1))*CELL("contenu",$B$12),0),IFERROR((((COUNTIF(MV15:MV17,"A"))*4)+((COUNTIF(MV15:MV17,"B"))*3)+((COUNTIF(MV15:MV17,"C"))*2)+((COUNTIF(MV15:MV17,"D"))*1))*CELL("contenu",$B$14),0),IFERROR((((COUNTIF(MV19:MV19,"A"))*4)+((COUNTIF(MV19:MV19,"B"))*3)+((COUNTIF(MV19:MV19,"C"))*2)+((COUNTIF(MV19:MV19,"D"))*1))*CELL("contenu",$B$18),0))/IF(SUM(COUNTA(MV5:MV6)*CELL("contenu",$B$4),COUNTA(MV8:MV11)*CELL("contenu",$B$7),COUNTA(MV13:MV13)*CELL("contenu",$B$12),COUNTA(MV15:MV17)*CELL("contenu",$B$14),COUNTA(MV19:MV19)*CELL("contenu",$B$18))=0,1,SUM(COUNTA(MV5:MV6)*CELL("contenu",$B$4),COUNTA(MV8:MV11)*CELL("contenu",$B$7),COUNTA(MV13:MV13)*CELL("contenu",$B$12),COUNTA(MV15:MV17)*CELL("contenu",$B$14),COUNTA(MV19:MV19)*CELL("contenu",$B$18))))</f>
        <v/>
      </c>
      <c r="MW20" s="168" t="str">
        <f ca="1">IF(COUNTA(MW5:MW19)=0,"",5*SUM(IFERROR((((COUNTIF(MW5:MW6,"A"))*4)+((COUNTIF(MW5:MW6,"B"))*3)+((COUNTIF(MW5:MW6,"C"))*2)+((COUNTIF(MW5:MW6,"D"))*1))*CELL("contenu",$B$4),0),IFERROR((((COUNTIF(MW8:MW11,"A"))*4)+((COUNTIF(MW8:MW11,"B"))*3)+((COUNTIF(MW8:MW11,"C"))*2)+((COUNTIF(MW8:MW11,"D"))*1))*CELL("contenu",$B$7),0),IFERROR((((COUNTIF(MW13:MW13,"A"))*4)+((COUNTIF(MW13:MW13,"B"))*3)+((COUNTIF(MW13:MW13,"C"))*2)+((COUNTIF(MW13:MW13,"D"))*1))*CELL("contenu",$B$12),0),IFERROR((((COUNTIF(MW15:MW17,"A"))*4)+((COUNTIF(MW15:MW17,"B"))*3)+((COUNTIF(MW15:MW17,"C"))*2)+((COUNTIF(MW15:MW17,"D"))*1))*CELL("contenu",$B$14),0),IFERROR((((COUNTIF(MW19:MW19,"A"))*4)+((COUNTIF(MW19:MW19,"B"))*3)+((COUNTIF(MW19:MW19,"C"))*2)+((COUNTIF(MW19:MW19,"D"))*1))*CELL("contenu",$B$18),0))/IF(SUM(COUNTA(MW5:MW6)*CELL("contenu",$B$4),COUNTA(MW8:MW11)*CELL("contenu",$B$7),COUNTA(MW13:MW13)*CELL("contenu",$B$12),COUNTA(MW15:MW17)*CELL("contenu",$B$14),COUNTA(MW19:MW19)*CELL("contenu",$B$18))=0,1,SUM(COUNTA(MW5:MW6)*CELL("contenu",$B$4),COUNTA(MW8:MW11)*CELL("contenu",$B$7),COUNTA(MW13:MW13)*CELL("contenu",$B$12),COUNTA(MW15:MW17)*CELL("contenu",$B$14),COUNTA(MW19:MW19)*CELL("contenu",$B$18))))</f>
        <v/>
      </c>
      <c r="MX20" s="169" t="str">
        <f ca="1">IF(COUNTA(MX5:MX19)=0,"",5*SUM(IFERROR((((COUNTIF(MX5:MX6,"A"))*4)+((COUNTIF(MX5:MX6,"B"))*3)+((COUNTIF(MX5:MX6,"C"))*2)+((COUNTIF(MX5:MX6,"D"))*1))*CELL("contenu",$B$4),0),IFERROR((((COUNTIF(MX8:MX11,"A"))*4)+((COUNTIF(MX8:MX11,"B"))*3)+((COUNTIF(MX8:MX11,"C"))*2)+((COUNTIF(MX8:MX11,"D"))*1))*CELL("contenu",$B$7),0),IFERROR((((COUNTIF(MX13:MX13,"A"))*4)+((COUNTIF(MX13:MX13,"B"))*3)+((COUNTIF(MX13:MX13,"C"))*2)+((COUNTIF(MX13:MX13,"D"))*1))*CELL("contenu",$B$12),0),IFERROR((((COUNTIF(MX15:MX17,"A"))*4)+((COUNTIF(MX15:MX17,"B"))*3)+((COUNTIF(MX15:MX17,"C"))*2)+((COUNTIF(MX15:MX17,"D"))*1))*CELL("contenu",$B$14),0),IFERROR((((COUNTIF(MX19:MX19,"A"))*4)+((COUNTIF(MX19:MX19,"B"))*3)+((COUNTIF(MX19:MX19,"C"))*2)+((COUNTIF(MX19:MX19,"D"))*1))*CELL("contenu",$B$18),0))/IF(SUM(COUNTA(MX5:MX6)*CELL("contenu",$B$4),COUNTA(MX8:MX11)*CELL("contenu",$B$7),COUNTA(MX13:MX13)*CELL("contenu",$B$12),COUNTA(MX15:MX17)*CELL("contenu",$B$14),COUNTA(MX19:MX19)*CELL("contenu",$B$18))=0,1,SUM(COUNTA(MX5:MX6)*CELL("contenu",$B$4),COUNTA(MX8:MX11)*CELL("contenu",$B$7),COUNTA(MX13:MX13)*CELL("contenu",$B$12),COUNTA(MX15:MX17)*CELL("contenu",$B$14),COUNTA(MX19:MX19)*CELL("contenu",$B$18))))</f>
        <v/>
      </c>
      <c r="MY20" s="116"/>
      <c r="MZ20" s="192" t="str">
        <f ca="1">IF(COUNTA(MV20:MX20)-COUNTBLANK(MV20:MX20)=0,"",SUM(MV20:MX20)/(COUNTA(MV20:MX20)-COUNTBLANK(MV20:MX20)))</f>
        <v/>
      </c>
      <c r="NA20" s="182" t="str">
        <f ca="1">IF(COUNTA(NA5:NA19)=0,"",5*SUM(IFERROR((((COUNTIF(NA5:NA6,"A"))*4)+((COUNTIF(NA5:NA6,"B"))*3)+((COUNTIF(NA5:NA6,"C"))*2)+((COUNTIF(NA5:NA6,"D"))*1))*CELL("contenu",$B$4),0),IFERROR((((COUNTIF(NA8:NA11,"A"))*4)+((COUNTIF(NA8:NA11,"B"))*3)+((COUNTIF(NA8:NA11,"C"))*2)+((COUNTIF(NA8:NA11,"D"))*1))*CELL("contenu",$B$7),0),IFERROR((((COUNTIF(NA13:NA13,"A"))*4)+((COUNTIF(NA13:NA13,"B"))*3)+((COUNTIF(NA13:NA13,"C"))*2)+((COUNTIF(NA13:NA13,"D"))*1))*CELL("contenu",$B$12),0),IFERROR((((COUNTIF(NA15:NA17,"A"))*4)+((COUNTIF(NA15:NA17,"B"))*3)+((COUNTIF(NA15:NA17,"C"))*2)+((COUNTIF(NA15:NA17,"D"))*1))*CELL("contenu",$B$14),0),IFERROR((((COUNTIF(NA19:NA19,"A"))*4)+((COUNTIF(NA19:NA19,"B"))*3)+((COUNTIF(NA19:NA19,"C"))*2)+((COUNTIF(NA19:NA19,"D"))*1))*CELL("contenu",$B$18),0))/IF(SUM(COUNTA(NA5:NA6)*CELL("contenu",$B$4),COUNTA(NA8:NA11)*CELL("contenu",$B$7),COUNTA(NA13:NA13)*CELL("contenu",$B$12),COUNTA(NA15:NA17)*CELL("contenu",$B$14),COUNTA(NA19:NA19)*CELL("contenu",$B$18))=0,1,SUM(COUNTA(NA5:NA6)*CELL("contenu",$B$4),COUNTA(NA8:NA11)*CELL("contenu",$B$7),COUNTA(NA13:NA13)*CELL("contenu",$B$12),COUNTA(NA15:NA17)*CELL("contenu",$B$14),COUNTA(NA19:NA19)*CELL("contenu",$B$18))))</f>
        <v/>
      </c>
      <c r="NB20" s="183" t="str">
        <f ca="1">IF(COUNTA(NB5:NB19)=0,"",5*SUM(IFERROR((((COUNTIF(NB5:NB6,"A"))*4)+((COUNTIF(NB5:NB6,"B"))*3)+((COUNTIF(NB5:NB6,"C"))*2)+((COUNTIF(NB5:NB6,"D"))*1))*CELL("contenu",$B$4),0),IFERROR((((COUNTIF(NB8:NB11,"A"))*4)+((COUNTIF(NB8:NB11,"B"))*3)+((COUNTIF(NB8:NB11,"C"))*2)+((COUNTIF(NB8:NB11,"D"))*1))*CELL("contenu",$B$7),0),IFERROR((((COUNTIF(NB13:NB13,"A"))*4)+((COUNTIF(NB13:NB13,"B"))*3)+((COUNTIF(NB13:NB13,"C"))*2)+((COUNTIF(NB13:NB13,"D"))*1))*CELL("contenu",$B$12),0),IFERROR((((COUNTIF(NB15:NB17,"A"))*4)+((COUNTIF(NB15:NB17,"B"))*3)+((COUNTIF(NB15:NB17,"C"))*2)+((COUNTIF(NB15:NB17,"D"))*1))*CELL("contenu",$B$14),0),IFERROR((((COUNTIF(NB19:NB19,"A"))*4)+((COUNTIF(NB19:NB19,"B"))*3)+((COUNTIF(NB19:NB19,"C"))*2)+((COUNTIF(NB19:NB19,"D"))*1))*CELL("contenu",$B$18),0))/IF(SUM(COUNTA(NB5:NB6)*CELL("contenu",$B$4),COUNTA(NB8:NB11)*CELL("contenu",$B$7),COUNTA(NB13:NB13)*CELL("contenu",$B$12),COUNTA(NB15:NB17)*CELL("contenu",$B$14),COUNTA(NB19:NB19)*CELL("contenu",$B$18))=0,1,SUM(COUNTA(NB5:NB6)*CELL("contenu",$B$4),COUNTA(NB8:NB11)*CELL("contenu",$B$7),COUNTA(NB13:NB13)*CELL("contenu",$B$12),COUNTA(NB15:NB17)*CELL("contenu",$B$14),COUNTA(NB19:NB19)*CELL("contenu",$B$18))))</f>
        <v/>
      </c>
      <c r="NC20" s="184" t="str">
        <f ca="1">IF(COUNTA(NC5:NC19)=0,"",5*SUM(IFERROR((((COUNTIF(NC5:NC6,"A"))*4)+((COUNTIF(NC5:NC6,"B"))*3)+((COUNTIF(NC5:NC6,"C"))*2)+((COUNTIF(NC5:NC6,"D"))*1))*CELL("contenu",$B$4),0),IFERROR((((COUNTIF(NC8:NC11,"A"))*4)+((COUNTIF(NC8:NC11,"B"))*3)+((COUNTIF(NC8:NC11,"C"))*2)+((COUNTIF(NC8:NC11,"D"))*1))*CELL("contenu",$B$7),0),IFERROR((((COUNTIF(NC13:NC13,"A"))*4)+((COUNTIF(NC13:NC13,"B"))*3)+((COUNTIF(NC13:NC13,"C"))*2)+((COUNTIF(NC13:NC13,"D"))*1))*CELL("contenu",$B$12),0),IFERROR((((COUNTIF(NC15:NC17,"A"))*4)+((COUNTIF(NC15:NC17,"B"))*3)+((COUNTIF(NC15:NC17,"C"))*2)+((COUNTIF(NC15:NC17,"D"))*1))*CELL("contenu",$B$14),0),IFERROR((((COUNTIF(NC19:NC19,"A"))*4)+((COUNTIF(NC19:NC19,"B"))*3)+((COUNTIF(NC19:NC19,"C"))*2)+((COUNTIF(NC19:NC19,"D"))*1))*CELL("contenu",$B$18),0))/IF(SUM(COUNTA(NC5:NC6)*CELL("contenu",$B$4),COUNTA(NC8:NC11)*CELL("contenu",$B$7),COUNTA(NC13:NC13)*CELL("contenu",$B$12),COUNTA(NC15:NC17)*CELL("contenu",$B$14),COUNTA(NC19:NC19)*CELL("contenu",$B$18))=0,1,SUM(COUNTA(NC5:NC6)*CELL("contenu",$B$4),COUNTA(NC8:NC11)*CELL("contenu",$B$7),COUNTA(NC13:NC13)*CELL("contenu",$B$12),COUNTA(NC15:NC17)*CELL("contenu",$B$14),COUNTA(NC19:NC19)*CELL("contenu",$B$18))))</f>
        <v/>
      </c>
      <c r="ND20" s="176"/>
      <c r="NE20" s="175" t="str">
        <f ca="1">IF(COUNTA(NA20:NC20)-COUNTBLANK(NA20:NC20)=0,"",SUM(NA20:NC20)/(COUNTA(NA20:NC20)-COUNTBLANK(NA20:NC20)))</f>
        <v/>
      </c>
      <c r="NF20" s="182" t="str">
        <f ca="1">IF(COUNTA(NF5:NF19)=0,"",5*SUM(IFERROR((((COUNTIF(NF5:NF6,"A"))*4)+((COUNTIF(NF5:NF6,"B"))*3)+((COUNTIF(NF5:NF6,"C"))*2)+((COUNTIF(NF5:NF6,"D"))*1))*CELL("contenu",$B$4),0),IFERROR((((COUNTIF(NF8:NF11,"A"))*4)+((COUNTIF(NF8:NF11,"B"))*3)+((COUNTIF(NF8:NF11,"C"))*2)+((COUNTIF(NF8:NF11,"D"))*1))*CELL("contenu",$B$7),0),IFERROR((((COUNTIF(NF13:NF13,"A"))*4)+((COUNTIF(NF13:NF13,"B"))*3)+((COUNTIF(NF13:NF13,"C"))*2)+((COUNTIF(NF13:NF13,"D"))*1))*CELL("contenu",$B$12),0),IFERROR((((COUNTIF(NF15:NF17,"A"))*4)+((COUNTIF(NF15:NF17,"B"))*3)+((COUNTIF(NF15:NF17,"C"))*2)+((COUNTIF(NF15:NF17,"D"))*1))*CELL("contenu",$B$14),0),IFERROR((((COUNTIF(NF19:NF19,"A"))*4)+((COUNTIF(NF19:NF19,"B"))*3)+((COUNTIF(NF19:NF19,"C"))*2)+((COUNTIF(NF19:NF19,"D"))*1))*CELL("contenu",$B$18),0))/IF(SUM(COUNTA(NF5:NF6)*CELL("contenu",$B$4),COUNTA(NF8:NF11)*CELL("contenu",$B$7),COUNTA(NF13:NF13)*CELL("contenu",$B$12),COUNTA(NF15:NF17)*CELL("contenu",$B$14),COUNTA(NF19:NF19)*CELL("contenu",$B$18))=0,1,SUM(COUNTA(NF5:NF6)*CELL("contenu",$B$4),COUNTA(NF8:NF11)*CELL("contenu",$B$7),COUNTA(NF13:NF13)*CELL("contenu",$B$12),COUNTA(NF15:NF17)*CELL("contenu",$B$14),COUNTA(NF19:NF19)*CELL("contenu",$B$18))))</f>
        <v/>
      </c>
      <c r="NG20" s="183" t="str">
        <f ca="1">IF(COUNTA(NG5:NG19)=0,"",5*SUM(IFERROR((((COUNTIF(NG5:NG6,"A"))*4)+((COUNTIF(NG5:NG6,"B"))*3)+((COUNTIF(NG5:NG6,"C"))*2)+((COUNTIF(NG5:NG6,"D"))*1))*CELL("contenu",$B$4),0),IFERROR((((COUNTIF(NG8:NG11,"A"))*4)+((COUNTIF(NG8:NG11,"B"))*3)+((COUNTIF(NG8:NG11,"C"))*2)+((COUNTIF(NG8:NG11,"D"))*1))*CELL("contenu",$B$7),0),IFERROR((((COUNTIF(NG13:NG13,"A"))*4)+((COUNTIF(NG13:NG13,"B"))*3)+((COUNTIF(NG13:NG13,"C"))*2)+((COUNTIF(NG13:NG13,"D"))*1))*CELL("contenu",$B$12),0),IFERROR((((COUNTIF(NG15:NG17,"A"))*4)+((COUNTIF(NG15:NG17,"B"))*3)+((COUNTIF(NG15:NG17,"C"))*2)+((COUNTIF(NG15:NG17,"D"))*1))*CELL("contenu",$B$14),0),IFERROR((((COUNTIF(NG19:NG19,"A"))*4)+((COUNTIF(NG19:NG19,"B"))*3)+((COUNTIF(NG19:NG19,"C"))*2)+((COUNTIF(NG19:NG19,"D"))*1))*CELL("contenu",$B$18),0))/IF(SUM(COUNTA(NG5:NG6)*CELL("contenu",$B$4),COUNTA(NG8:NG11)*CELL("contenu",$B$7),COUNTA(NG13:NG13)*CELL("contenu",$B$12),COUNTA(NG15:NG17)*CELL("contenu",$B$14),COUNTA(NG19:NG19)*CELL("contenu",$B$18))=0,1,SUM(COUNTA(NG5:NG6)*CELL("contenu",$B$4),COUNTA(NG8:NG11)*CELL("contenu",$B$7),COUNTA(NG13:NG13)*CELL("contenu",$B$12),COUNTA(NG15:NG17)*CELL("contenu",$B$14),COUNTA(NG19:NG19)*CELL("contenu",$B$18))))</f>
        <v/>
      </c>
      <c r="NH20" s="184" t="str">
        <f ca="1">IF(COUNTA(NH5:NH19)=0,"",5*SUM(IFERROR((((COUNTIF(NH5:NH6,"A"))*4)+((COUNTIF(NH5:NH6,"B"))*3)+((COUNTIF(NH5:NH6,"C"))*2)+((COUNTIF(NH5:NH6,"D"))*1))*CELL("contenu",$B$4),0),IFERROR((((COUNTIF(NH8:NH11,"A"))*4)+((COUNTIF(NH8:NH11,"B"))*3)+((COUNTIF(NH8:NH11,"C"))*2)+((COUNTIF(NH8:NH11,"D"))*1))*CELL("contenu",$B$7),0),IFERROR((((COUNTIF(NH13:NH13,"A"))*4)+((COUNTIF(NH13:NH13,"B"))*3)+((COUNTIF(NH13:NH13,"C"))*2)+((COUNTIF(NH13:NH13,"D"))*1))*CELL("contenu",$B$12),0),IFERROR((((COUNTIF(NH15:NH17,"A"))*4)+((COUNTIF(NH15:NH17,"B"))*3)+((COUNTIF(NH15:NH17,"C"))*2)+((COUNTIF(NH15:NH17,"D"))*1))*CELL("contenu",$B$14),0),IFERROR((((COUNTIF(NH19:NH19,"A"))*4)+((COUNTIF(NH19:NH19,"B"))*3)+((COUNTIF(NH19:NH19,"C"))*2)+((COUNTIF(NH19:NH19,"D"))*1))*CELL("contenu",$B$18),0))/IF(SUM(COUNTA(NH5:NH6)*CELL("contenu",$B$4),COUNTA(NH8:NH11)*CELL("contenu",$B$7),COUNTA(NH13:NH13)*CELL("contenu",$B$12),COUNTA(NH15:NH17)*CELL("contenu",$B$14),COUNTA(NH19:NH19)*CELL("contenu",$B$18))=0,1,SUM(COUNTA(NH5:NH6)*CELL("contenu",$B$4),COUNTA(NH8:NH11)*CELL("contenu",$B$7),COUNTA(NH13:NH13)*CELL("contenu",$B$12),COUNTA(NH15:NH17)*CELL("contenu",$B$14),COUNTA(NH19:NH19)*CELL("contenu",$B$18))))</f>
        <v/>
      </c>
      <c r="NI20" s="176"/>
      <c r="NJ20" s="174" t="str">
        <f ca="1">IF(COUNTA(NF20:NH20)-COUNTBLANK(NF20:NH20)=0,"",SUM(NF20:NH20)/(COUNTA(NF20:NH20)-COUNTBLANK(NF20:NH20)))</f>
        <v/>
      </c>
      <c r="NK20" s="103"/>
      <c r="NL20" s="141"/>
      <c r="NM20" s="167" t="str">
        <f ca="1">IF(COUNTA(NM5:NM19)=0,"",5*SUM(IFERROR((((COUNTIF(NM5:NM6,"A"))*4)+((COUNTIF(NM5:NM6,"B"))*3)+((COUNTIF(NM5:NM6,"C"))*2)+((COUNTIF(NM5:NM6,"D"))*1))*CELL("contenu",$B$4),0),IFERROR((((COUNTIF(NM8:NM11,"A"))*4)+((COUNTIF(NM8:NM11,"B"))*3)+((COUNTIF(NM8:NM11,"C"))*2)+((COUNTIF(NM8:NM11,"D"))*1))*CELL("contenu",$B$7),0),IFERROR((((COUNTIF(NM13:NM13,"A"))*4)+((COUNTIF(NM13:NM13,"B"))*3)+((COUNTIF(NM13:NM13,"C"))*2)+((COUNTIF(NM13:NM13,"D"))*1))*CELL("contenu",$B$12),0),IFERROR((((COUNTIF(NM15:NM17,"A"))*4)+((COUNTIF(NM15:NM17,"B"))*3)+((COUNTIF(NM15:NM17,"C"))*2)+((COUNTIF(NM15:NM17,"D"))*1))*CELL("contenu",$B$14),0),IFERROR((((COUNTIF(NM19:NM19,"A"))*4)+((COUNTIF(NM19:NM19,"B"))*3)+((COUNTIF(NM19:NM19,"C"))*2)+((COUNTIF(NM19:NM19,"D"))*1))*CELL("contenu",$B$18),0))/IF(SUM(COUNTA(NM5:NM6)*CELL("contenu",$B$4),COUNTA(NM8:NM11)*CELL("contenu",$B$7),COUNTA(NM13:NM13)*CELL("contenu",$B$12),COUNTA(NM15:NM17)*CELL("contenu",$B$14),COUNTA(NM19:NM19)*CELL("contenu",$B$18))=0,1,SUM(COUNTA(NM5:NM6)*CELL("contenu",$B$4),COUNTA(NM8:NM11)*CELL("contenu",$B$7),COUNTA(NM13:NM13)*CELL("contenu",$B$12),COUNTA(NM15:NM17)*CELL("contenu",$B$14),COUNTA(NM19:NM19)*CELL("contenu",$B$18))))</f>
        <v/>
      </c>
      <c r="NN20" s="168" t="str">
        <f ca="1">IF(COUNTA(NN5:NN19)=0,"",5*SUM(IFERROR((((COUNTIF(NN5:NN6,"A"))*4)+((COUNTIF(NN5:NN6,"B"))*3)+((COUNTIF(NN5:NN6,"C"))*2)+((COUNTIF(NN5:NN6,"D"))*1))*CELL("contenu",$B$4),0),IFERROR((((COUNTIF(NN8:NN11,"A"))*4)+((COUNTIF(NN8:NN11,"B"))*3)+((COUNTIF(NN8:NN11,"C"))*2)+((COUNTIF(NN8:NN11,"D"))*1))*CELL("contenu",$B$7),0),IFERROR((((COUNTIF(NN13:NN13,"A"))*4)+((COUNTIF(NN13:NN13,"B"))*3)+((COUNTIF(NN13:NN13,"C"))*2)+((COUNTIF(NN13:NN13,"D"))*1))*CELL("contenu",$B$12),0),IFERROR((((COUNTIF(NN15:NN17,"A"))*4)+((COUNTIF(NN15:NN17,"B"))*3)+((COUNTIF(NN15:NN17,"C"))*2)+((COUNTIF(NN15:NN17,"D"))*1))*CELL("contenu",$B$14),0),IFERROR((((COUNTIF(NN19:NN19,"A"))*4)+((COUNTIF(NN19:NN19,"B"))*3)+((COUNTIF(NN19:NN19,"C"))*2)+((COUNTIF(NN19:NN19,"D"))*1))*CELL("contenu",$B$18),0))/IF(SUM(COUNTA(NN5:NN6)*CELL("contenu",$B$4),COUNTA(NN8:NN11)*CELL("contenu",$B$7),COUNTA(NN13:NN13)*CELL("contenu",$B$12),COUNTA(NN15:NN17)*CELL("contenu",$B$14),COUNTA(NN19:NN19)*CELL("contenu",$B$18))=0,1,SUM(COUNTA(NN5:NN6)*CELL("contenu",$B$4),COUNTA(NN8:NN11)*CELL("contenu",$B$7),COUNTA(NN13:NN13)*CELL("contenu",$B$12),COUNTA(NN15:NN17)*CELL("contenu",$B$14),COUNTA(NN19:NN19)*CELL("contenu",$B$18))))</f>
        <v/>
      </c>
      <c r="NO20" s="169" t="str">
        <f ca="1">IF(COUNTA(NO5:NO19)=0,"",5*SUM(IFERROR((((COUNTIF(NO5:NO6,"A"))*4)+((COUNTIF(NO5:NO6,"B"))*3)+((COUNTIF(NO5:NO6,"C"))*2)+((COUNTIF(NO5:NO6,"D"))*1))*CELL("contenu",$B$4),0),IFERROR((((COUNTIF(NO8:NO11,"A"))*4)+((COUNTIF(NO8:NO11,"B"))*3)+((COUNTIF(NO8:NO11,"C"))*2)+((COUNTIF(NO8:NO11,"D"))*1))*CELL("contenu",$B$7),0),IFERROR((((COUNTIF(NO13:NO13,"A"))*4)+((COUNTIF(NO13:NO13,"B"))*3)+((COUNTIF(NO13:NO13,"C"))*2)+((COUNTIF(NO13:NO13,"D"))*1))*CELL("contenu",$B$12),0),IFERROR((((COUNTIF(NO15:NO17,"A"))*4)+((COUNTIF(NO15:NO17,"B"))*3)+((COUNTIF(NO15:NO17,"C"))*2)+((COUNTIF(NO15:NO17,"D"))*1))*CELL("contenu",$B$14),0),IFERROR((((COUNTIF(NO19:NO19,"A"))*4)+((COUNTIF(NO19:NO19,"B"))*3)+((COUNTIF(NO19:NO19,"C"))*2)+((COUNTIF(NO19:NO19,"D"))*1))*CELL("contenu",$B$18),0))/IF(SUM(COUNTA(NO5:NO6)*CELL("contenu",$B$4),COUNTA(NO8:NO11)*CELL("contenu",$B$7),COUNTA(NO13:NO13)*CELL("contenu",$B$12),COUNTA(NO15:NO17)*CELL("contenu",$B$14),COUNTA(NO19:NO19)*CELL("contenu",$B$18))=0,1,SUM(COUNTA(NO5:NO6)*CELL("contenu",$B$4),COUNTA(NO8:NO11)*CELL("contenu",$B$7),COUNTA(NO13:NO13)*CELL("contenu",$B$12),COUNTA(NO15:NO17)*CELL("contenu",$B$14),COUNTA(NO19:NO19)*CELL("contenu",$B$18))))</f>
        <v/>
      </c>
      <c r="NP20" s="116"/>
      <c r="NQ20" s="192" t="str">
        <f ca="1">IF(COUNTA(NM20:NO20)-COUNTBLANK(NM20:NO20)=0,"",SUM(NM20:NO20)/(COUNTA(NM20:NO20)-COUNTBLANK(NM20:NO20)))</f>
        <v/>
      </c>
      <c r="NR20" s="182" t="str">
        <f ca="1">IF(COUNTA(NR5:NR19)=0,"",5*SUM(IFERROR((((COUNTIF(NR5:NR6,"A"))*4)+((COUNTIF(NR5:NR6,"B"))*3)+((COUNTIF(NR5:NR6,"C"))*2)+((COUNTIF(NR5:NR6,"D"))*1))*CELL("contenu",$B$4),0),IFERROR((((COUNTIF(NR8:NR11,"A"))*4)+((COUNTIF(NR8:NR11,"B"))*3)+((COUNTIF(NR8:NR11,"C"))*2)+((COUNTIF(NR8:NR11,"D"))*1))*CELL("contenu",$B$7),0),IFERROR((((COUNTIF(NR13:NR13,"A"))*4)+((COUNTIF(NR13:NR13,"B"))*3)+((COUNTIF(NR13:NR13,"C"))*2)+((COUNTIF(NR13:NR13,"D"))*1))*CELL("contenu",$B$12),0),IFERROR((((COUNTIF(NR15:NR17,"A"))*4)+((COUNTIF(NR15:NR17,"B"))*3)+((COUNTIF(NR15:NR17,"C"))*2)+((COUNTIF(NR15:NR17,"D"))*1))*CELL("contenu",$B$14),0),IFERROR((((COUNTIF(NR19:NR19,"A"))*4)+((COUNTIF(NR19:NR19,"B"))*3)+((COUNTIF(NR19:NR19,"C"))*2)+((COUNTIF(NR19:NR19,"D"))*1))*CELL("contenu",$B$18),0))/IF(SUM(COUNTA(NR5:NR6)*CELL("contenu",$B$4),COUNTA(NR8:NR11)*CELL("contenu",$B$7),COUNTA(NR13:NR13)*CELL("contenu",$B$12),COUNTA(NR15:NR17)*CELL("contenu",$B$14),COUNTA(NR19:NR19)*CELL("contenu",$B$18))=0,1,SUM(COUNTA(NR5:NR6)*CELL("contenu",$B$4),COUNTA(NR8:NR11)*CELL("contenu",$B$7),COUNTA(NR13:NR13)*CELL("contenu",$B$12),COUNTA(NR15:NR17)*CELL("contenu",$B$14),COUNTA(NR19:NR19)*CELL("contenu",$B$18))))</f>
        <v/>
      </c>
      <c r="NS20" s="183" t="str">
        <f ca="1">IF(COUNTA(NS5:NS19)=0,"",5*SUM(IFERROR((((COUNTIF(NS5:NS6,"A"))*4)+((COUNTIF(NS5:NS6,"B"))*3)+((COUNTIF(NS5:NS6,"C"))*2)+((COUNTIF(NS5:NS6,"D"))*1))*CELL("contenu",$B$4),0),IFERROR((((COUNTIF(NS8:NS11,"A"))*4)+((COUNTIF(NS8:NS11,"B"))*3)+((COUNTIF(NS8:NS11,"C"))*2)+((COUNTIF(NS8:NS11,"D"))*1))*CELL("contenu",$B$7),0),IFERROR((((COUNTIF(NS13:NS13,"A"))*4)+((COUNTIF(NS13:NS13,"B"))*3)+((COUNTIF(NS13:NS13,"C"))*2)+((COUNTIF(NS13:NS13,"D"))*1))*CELL("contenu",$B$12),0),IFERROR((((COUNTIF(NS15:NS17,"A"))*4)+((COUNTIF(NS15:NS17,"B"))*3)+((COUNTIF(NS15:NS17,"C"))*2)+((COUNTIF(NS15:NS17,"D"))*1))*CELL("contenu",$B$14),0),IFERROR((((COUNTIF(NS19:NS19,"A"))*4)+((COUNTIF(NS19:NS19,"B"))*3)+((COUNTIF(NS19:NS19,"C"))*2)+((COUNTIF(NS19:NS19,"D"))*1))*CELL("contenu",$B$18),0))/IF(SUM(COUNTA(NS5:NS6)*CELL("contenu",$B$4),COUNTA(NS8:NS11)*CELL("contenu",$B$7),COUNTA(NS13:NS13)*CELL("contenu",$B$12),COUNTA(NS15:NS17)*CELL("contenu",$B$14),COUNTA(NS19:NS19)*CELL("contenu",$B$18))=0,1,SUM(COUNTA(NS5:NS6)*CELL("contenu",$B$4),COUNTA(NS8:NS11)*CELL("contenu",$B$7),COUNTA(NS13:NS13)*CELL("contenu",$B$12),COUNTA(NS15:NS17)*CELL("contenu",$B$14),COUNTA(NS19:NS19)*CELL("contenu",$B$18))))</f>
        <v/>
      </c>
      <c r="NT20" s="184" t="str">
        <f ca="1">IF(COUNTA(NT5:NT19)=0,"",5*SUM(IFERROR((((COUNTIF(NT5:NT6,"A"))*4)+((COUNTIF(NT5:NT6,"B"))*3)+((COUNTIF(NT5:NT6,"C"))*2)+((COUNTIF(NT5:NT6,"D"))*1))*CELL("contenu",$B$4),0),IFERROR((((COUNTIF(NT8:NT11,"A"))*4)+((COUNTIF(NT8:NT11,"B"))*3)+((COUNTIF(NT8:NT11,"C"))*2)+((COUNTIF(NT8:NT11,"D"))*1))*CELL("contenu",$B$7),0),IFERROR((((COUNTIF(NT13:NT13,"A"))*4)+((COUNTIF(NT13:NT13,"B"))*3)+((COUNTIF(NT13:NT13,"C"))*2)+((COUNTIF(NT13:NT13,"D"))*1))*CELL("contenu",$B$12),0),IFERROR((((COUNTIF(NT15:NT17,"A"))*4)+((COUNTIF(NT15:NT17,"B"))*3)+((COUNTIF(NT15:NT17,"C"))*2)+((COUNTIF(NT15:NT17,"D"))*1))*CELL("contenu",$B$14),0),IFERROR((((COUNTIF(NT19:NT19,"A"))*4)+((COUNTIF(NT19:NT19,"B"))*3)+((COUNTIF(NT19:NT19,"C"))*2)+((COUNTIF(NT19:NT19,"D"))*1))*CELL("contenu",$B$18),0))/IF(SUM(COUNTA(NT5:NT6)*CELL("contenu",$B$4),COUNTA(NT8:NT11)*CELL("contenu",$B$7),COUNTA(NT13:NT13)*CELL("contenu",$B$12),COUNTA(NT15:NT17)*CELL("contenu",$B$14),COUNTA(NT19:NT19)*CELL("contenu",$B$18))=0,1,SUM(COUNTA(NT5:NT6)*CELL("contenu",$B$4),COUNTA(NT8:NT11)*CELL("contenu",$B$7),COUNTA(NT13:NT13)*CELL("contenu",$B$12),COUNTA(NT15:NT17)*CELL("contenu",$B$14),COUNTA(NT19:NT19)*CELL("contenu",$B$18))))</f>
        <v/>
      </c>
      <c r="NU20" s="176"/>
      <c r="NV20" s="175" t="str">
        <f ca="1">IF(COUNTA(NR20:NT20)-COUNTBLANK(NR20:NT20)=0,"",SUM(NR20:NT20)/(COUNTA(NR20:NT20)-COUNTBLANK(NR20:NT20)))</f>
        <v/>
      </c>
      <c r="NW20" s="182" t="str">
        <f ca="1">IF(COUNTA(NW5:NW19)=0,"",5*SUM(IFERROR((((COUNTIF(NW5:NW6,"A"))*4)+((COUNTIF(NW5:NW6,"B"))*3)+((COUNTIF(NW5:NW6,"C"))*2)+((COUNTIF(NW5:NW6,"D"))*1))*CELL("contenu",$B$4),0),IFERROR((((COUNTIF(NW8:NW11,"A"))*4)+((COUNTIF(NW8:NW11,"B"))*3)+((COUNTIF(NW8:NW11,"C"))*2)+((COUNTIF(NW8:NW11,"D"))*1))*CELL("contenu",$B$7),0),IFERROR((((COUNTIF(NW13:NW13,"A"))*4)+((COUNTIF(NW13:NW13,"B"))*3)+((COUNTIF(NW13:NW13,"C"))*2)+((COUNTIF(NW13:NW13,"D"))*1))*CELL("contenu",$B$12),0),IFERROR((((COUNTIF(NW15:NW17,"A"))*4)+((COUNTIF(NW15:NW17,"B"))*3)+((COUNTIF(NW15:NW17,"C"))*2)+((COUNTIF(NW15:NW17,"D"))*1))*CELL("contenu",$B$14),0),IFERROR((((COUNTIF(NW19:NW19,"A"))*4)+((COUNTIF(NW19:NW19,"B"))*3)+((COUNTIF(NW19:NW19,"C"))*2)+((COUNTIF(NW19:NW19,"D"))*1))*CELL("contenu",$B$18),0))/IF(SUM(COUNTA(NW5:NW6)*CELL("contenu",$B$4),COUNTA(NW8:NW11)*CELL("contenu",$B$7),COUNTA(NW13:NW13)*CELL("contenu",$B$12),COUNTA(NW15:NW17)*CELL("contenu",$B$14),COUNTA(NW19:NW19)*CELL("contenu",$B$18))=0,1,SUM(COUNTA(NW5:NW6)*CELL("contenu",$B$4),COUNTA(NW8:NW11)*CELL("contenu",$B$7),COUNTA(NW13:NW13)*CELL("contenu",$B$12),COUNTA(NW15:NW17)*CELL("contenu",$B$14),COUNTA(NW19:NW19)*CELL("contenu",$B$18))))</f>
        <v/>
      </c>
      <c r="NX20" s="183" t="str">
        <f ca="1">IF(COUNTA(NX5:NX19)=0,"",5*SUM(IFERROR((((COUNTIF(NX5:NX6,"A"))*4)+((COUNTIF(NX5:NX6,"B"))*3)+((COUNTIF(NX5:NX6,"C"))*2)+((COUNTIF(NX5:NX6,"D"))*1))*CELL("contenu",$B$4),0),IFERROR((((COUNTIF(NX8:NX11,"A"))*4)+((COUNTIF(NX8:NX11,"B"))*3)+((COUNTIF(NX8:NX11,"C"))*2)+((COUNTIF(NX8:NX11,"D"))*1))*CELL("contenu",$B$7),0),IFERROR((((COUNTIF(NX13:NX13,"A"))*4)+((COUNTIF(NX13:NX13,"B"))*3)+((COUNTIF(NX13:NX13,"C"))*2)+((COUNTIF(NX13:NX13,"D"))*1))*CELL("contenu",$B$12),0),IFERROR((((COUNTIF(NX15:NX17,"A"))*4)+((COUNTIF(NX15:NX17,"B"))*3)+((COUNTIF(NX15:NX17,"C"))*2)+((COUNTIF(NX15:NX17,"D"))*1))*CELL("contenu",$B$14),0),IFERROR((((COUNTIF(NX19:NX19,"A"))*4)+((COUNTIF(NX19:NX19,"B"))*3)+((COUNTIF(NX19:NX19,"C"))*2)+((COUNTIF(NX19:NX19,"D"))*1))*CELL("contenu",$B$18),0))/IF(SUM(COUNTA(NX5:NX6)*CELL("contenu",$B$4),COUNTA(NX8:NX11)*CELL("contenu",$B$7),COUNTA(NX13:NX13)*CELL("contenu",$B$12),COUNTA(NX15:NX17)*CELL("contenu",$B$14),COUNTA(NX19:NX19)*CELL("contenu",$B$18))=0,1,SUM(COUNTA(NX5:NX6)*CELL("contenu",$B$4),COUNTA(NX8:NX11)*CELL("contenu",$B$7),COUNTA(NX13:NX13)*CELL("contenu",$B$12),COUNTA(NX15:NX17)*CELL("contenu",$B$14),COUNTA(NX19:NX19)*CELL("contenu",$B$18))))</f>
        <v/>
      </c>
      <c r="NY20" s="184" t="str">
        <f ca="1">IF(COUNTA(NY5:NY19)=0,"",5*SUM(IFERROR((((COUNTIF(NY5:NY6,"A"))*4)+((COUNTIF(NY5:NY6,"B"))*3)+((COUNTIF(NY5:NY6,"C"))*2)+((COUNTIF(NY5:NY6,"D"))*1))*CELL("contenu",$B$4),0),IFERROR((((COUNTIF(NY8:NY11,"A"))*4)+((COUNTIF(NY8:NY11,"B"))*3)+((COUNTIF(NY8:NY11,"C"))*2)+((COUNTIF(NY8:NY11,"D"))*1))*CELL("contenu",$B$7),0),IFERROR((((COUNTIF(NY13:NY13,"A"))*4)+((COUNTIF(NY13:NY13,"B"))*3)+((COUNTIF(NY13:NY13,"C"))*2)+((COUNTIF(NY13:NY13,"D"))*1))*CELL("contenu",$B$12),0),IFERROR((((COUNTIF(NY15:NY17,"A"))*4)+((COUNTIF(NY15:NY17,"B"))*3)+((COUNTIF(NY15:NY17,"C"))*2)+((COUNTIF(NY15:NY17,"D"))*1))*CELL("contenu",$B$14),0),IFERROR((((COUNTIF(NY19:NY19,"A"))*4)+((COUNTIF(NY19:NY19,"B"))*3)+((COUNTIF(NY19:NY19,"C"))*2)+((COUNTIF(NY19:NY19,"D"))*1))*CELL("contenu",$B$18),0))/IF(SUM(COUNTA(NY5:NY6)*CELL("contenu",$B$4),COUNTA(NY8:NY11)*CELL("contenu",$B$7),COUNTA(NY13:NY13)*CELL("contenu",$B$12),COUNTA(NY15:NY17)*CELL("contenu",$B$14),COUNTA(NY19:NY19)*CELL("contenu",$B$18))=0,1,SUM(COUNTA(NY5:NY6)*CELL("contenu",$B$4),COUNTA(NY8:NY11)*CELL("contenu",$B$7),COUNTA(NY13:NY13)*CELL("contenu",$B$12),COUNTA(NY15:NY17)*CELL("contenu",$B$14),COUNTA(NY19:NY19)*CELL("contenu",$B$18))))</f>
        <v/>
      </c>
      <c r="NZ20" s="176"/>
      <c r="OA20" s="174" t="str">
        <f ca="1">IF(COUNTA(NW20:NY20)-COUNTBLANK(NW20:NY20)=0,"",SUM(NW20:NY20)/(COUNTA(NW20:NY20)-COUNTBLANK(NW20:NY20)))</f>
        <v/>
      </c>
      <c r="OB20" s="103"/>
      <c r="OC20" s="141"/>
      <c r="OD20" s="167">
        <f ca="1">IF(COUNTA(OD5:OD19)=0,"",5*SUM(IFERROR((((COUNTIF(OD5:OD6,"A"))*4)+((COUNTIF(OD5:OD6,"B"))*3)+((COUNTIF(OD5:OD6,"C"))*2)+((COUNTIF(OD5:OD6,"D"))*1))*CELL("contenu",$B$4),0),IFERROR((((COUNTIF(OD8:OD11,"A"))*4)+((COUNTIF(OD8:OD11,"B"))*3)+((COUNTIF(OD8:OD11,"C"))*2)+((COUNTIF(OD8:OD11,"D"))*1))*CELL("contenu",$B$7),0),IFERROR((((COUNTIF(OD13:OD13,"A"))*4)+((COUNTIF(OD13:OD13,"B"))*3)+((COUNTIF(OD13:OD13,"C"))*2)+((COUNTIF(OD13:OD13,"D"))*1))*CELL("contenu",$B$12),0),IFERROR((((COUNTIF(OD15:OD17,"A"))*4)+((COUNTIF(OD15:OD17,"B"))*3)+((COUNTIF(OD15:OD17,"C"))*2)+((COUNTIF(OD15:OD17,"D"))*1))*CELL("contenu",$B$14),0),IFERROR((((COUNTIF(OD19:OD19,"A"))*4)+((COUNTIF(OD19:OD19,"B"))*3)+((COUNTIF(OD19:OD19,"C"))*2)+((COUNTIF(OD19:OD19,"D"))*1))*CELL("contenu",$B$18),0))/IF(SUM(COUNTA(OD5:OD6)*CELL("contenu",$B$4),COUNTA(OD8:OD11)*CELL("contenu",$B$7),COUNTA(OD13:OD13)*CELL("contenu",$B$12),COUNTA(OD15:OD17)*CELL("contenu",$B$14),COUNTA(OD19:OD19)*CELL("contenu",$B$18))=0,1,SUM(COUNTA(OD5:OD6)*CELL("contenu",$B$4),COUNTA(OD8:OD11)*CELL("contenu",$B$7),COUNTA(OD13:OD13)*CELL("contenu",$B$12),COUNTA(OD15:OD17)*CELL("contenu",$B$14),COUNTA(OD19:OD19)*CELL("contenu",$B$18))))</f>
        <v>18.333333333333332</v>
      </c>
      <c r="OE20" s="168" t="str">
        <f ca="1">IF(COUNTA(OE5:OE19)=0,"",5*SUM(IFERROR((((COUNTIF(OE5:OE6,"A"))*4)+((COUNTIF(OE5:OE6,"B"))*3)+((COUNTIF(OE5:OE6,"C"))*2)+((COUNTIF(OE5:OE6,"D"))*1))*CELL("contenu",$B$4),0),IFERROR((((COUNTIF(OE8:OE11,"A"))*4)+((COUNTIF(OE8:OE11,"B"))*3)+((COUNTIF(OE8:OE11,"C"))*2)+((COUNTIF(OE8:OE11,"D"))*1))*CELL("contenu",$B$7),0),IFERROR((((COUNTIF(OE13:OE13,"A"))*4)+((COUNTIF(OE13:OE13,"B"))*3)+((COUNTIF(OE13:OE13,"C"))*2)+((COUNTIF(OE13:OE13,"D"))*1))*CELL("contenu",$B$12),0),IFERROR((((COUNTIF(OE15:OE17,"A"))*4)+((COUNTIF(OE15:OE17,"B"))*3)+((COUNTIF(OE15:OE17,"C"))*2)+((COUNTIF(OE15:OE17,"D"))*1))*CELL("contenu",$B$14),0),IFERROR((((COUNTIF(OE19:OE19,"A"))*4)+((COUNTIF(OE19:OE19,"B"))*3)+((COUNTIF(OE19:OE19,"C"))*2)+((COUNTIF(OE19:OE19,"D"))*1))*CELL("contenu",$B$18),0))/IF(SUM(COUNTA(OE5:OE6)*CELL("contenu",$B$4),COUNTA(OE8:OE11)*CELL("contenu",$B$7),COUNTA(OE13:OE13)*CELL("contenu",$B$12),COUNTA(OE15:OE17)*CELL("contenu",$B$14),COUNTA(OE19:OE19)*CELL("contenu",$B$18))=0,1,SUM(COUNTA(OE5:OE6)*CELL("contenu",$B$4),COUNTA(OE8:OE11)*CELL("contenu",$B$7),COUNTA(OE13:OE13)*CELL("contenu",$B$12),COUNTA(OE15:OE17)*CELL("contenu",$B$14),COUNTA(OE19:OE19)*CELL("contenu",$B$18))))</f>
        <v/>
      </c>
      <c r="OF20" s="169" t="str">
        <f ca="1">IF(COUNTA(OF5:OF19)=0,"",5*SUM(IFERROR((((COUNTIF(OF5:OF6,"A"))*4)+((COUNTIF(OF5:OF6,"B"))*3)+((COUNTIF(OF5:OF6,"C"))*2)+((COUNTIF(OF5:OF6,"D"))*1))*CELL("contenu",$B$4),0),IFERROR((((COUNTIF(OF8:OF11,"A"))*4)+((COUNTIF(OF8:OF11,"B"))*3)+((COUNTIF(OF8:OF11,"C"))*2)+((COUNTIF(OF8:OF11,"D"))*1))*CELL("contenu",$B$7),0),IFERROR((((COUNTIF(OF13:OF13,"A"))*4)+((COUNTIF(OF13:OF13,"B"))*3)+((COUNTIF(OF13:OF13,"C"))*2)+((COUNTIF(OF13:OF13,"D"))*1))*CELL("contenu",$B$12),0),IFERROR((((COUNTIF(OF15:OF17,"A"))*4)+((COUNTIF(OF15:OF17,"B"))*3)+((COUNTIF(OF15:OF17,"C"))*2)+((COUNTIF(OF15:OF17,"D"))*1))*CELL("contenu",$B$14),0),IFERROR((((COUNTIF(OF19:OF19,"A"))*4)+((COUNTIF(OF19:OF19,"B"))*3)+((COUNTIF(OF19:OF19,"C"))*2)+((COUNTIF(OF19:OF19,"D"))*1))*CELL("contenu",$B$18),0))/IF(SUM(COUNTA(OF5:OF6)*CELL("contenu",$B$4),COUNTA(OF8:OF11)*CELL("contenu",$B$7),COUNTA(OF13:OF13)*CELL("contenu",$B$12),COUNTA(OF15:OF17)*CELL("contenu",$B$14),COUNTA(OF19:OF19)*CELL("contenu",$B$18))=0,1,SUM(COUNTA(OF5:OF6)*CELL("contenu",$B$4),COUNTA(OF8:OF11)*CELL("contenu",$B$7),COUNTA(OF13:OF13)*CELL("contenu",$B$12),COUNTA(OF15:OF17)*CELL("contenu",$B$14),COUNTA(OF19:OF19)*CELL("contenu",$B$18))))</f>
        <v/>
      </c>
      <c r="OG20" s="116"/>
      <c r="OH20" s="192">
        <f ca="1">IF(COUNTA(OD20:OF20)-COUNTBLANK(OD20:OF20)=0,"",SUM(OD20:OF20)/(COUNTA(OD20:OF20)-COUNTBLANK(OD20:OF20)))</f>
        <v>18.333333333333332</v>
      </c>
      <c r="OI20" s="182" t="str">
        <f ca="1">IF(COUNTA(OI5:OI19)=0,"",5*SUM(IFERROR((((COUNTIF(OI5:OI6,"A"))*4)+((COUNTIF(OI5:OI6,"B"))*3)+((COUNTIF(OI5:OI6,"C"))*2)+((COUNTIF(OI5:OI6,"D"))*1))*CELL("contenu",$B$4),0),IFERROR((((COUNTIF(OI8:OI11,"A"))*4)+((COUNTIF(OI8:OI11,"B"))*3)+((COUNTIF(OI8:OI11,"C"))*2)+((COUNTIF(OI8:OI11,"D"))*1))*CELL("contenu",$B$7),0),IFERROR((((COUNTIF(OI13:OI13,"A"))*4)+((COUNTIF(OI13:OI13,"B"))*3)+((COUNTIF(OI13:OI13,"C"))*2)+((COUNTIF(OI13:OI13,"D"))*1))*CELL("contenu",$B$12),0),IFERROR((((COUNTIF(OI15:OI17,"A"))*4)+((COUNTIF(OI15:OI17,"B"))*3)+((COUNTIF(OI15:OI17,"C"))*2)+((COUNTIF(OI15:OI17,"D"))*1))*CELL("contenu",$B$14),0),IFERROR((((COUNTIF(OI19:OI19,"A"))*4)+((COUNTIF(OI19:OI19,"B"))*3)+((COUNTIF(OI19:OI19,"C"))*2)+((COUNTIF(OI19:OI19,"D"))*1))*CELL("contenu",$B$18),0))/IF(SUM(COUNTA(OI5:OI6)*CELL("contenu",$B$4),COUNTA(OI8:OI11)*CELL("contenu",$B$7),COUNTA(OI13:OI13)*CELL("contenu",$B$12),COUNTA(OI15:OI17)*CELL("contenu",$B$14),COUNTA(OI19:OI19)*CELL("contenu",$B$18))=0,1,SUM(COUNTA(OI5:OI6)*CELL("contenu",$B$4),COUNTA(OI8:OI11)*CELL("contenu",$B$7),COUNTA(OI13:OI13)*CELL("contenu",$B$12),COUNTA(OI15:OI17)*CELL("contenu",$B$14),COUNTA(OI19:OI19)*CELL("contenu",$B$18))))</f>
        <v/>
      </c>
      <c r="OJ20" s="183" t="str">
        <f ca="1">IF(COUNTA(OJ5:OJ19)=0,"",5*SUM(IFERROR((((COUNTIF(OJ5:OJ6,"A"))*4)+((COUNTIF(OJ5:OJ6,"B"))*3)+((COUNTIF(OJ5:OJ6,"C"))*2)+((COUNTIF(OJ5:OJ6,"D"))*1))*CELL("contenu",$B$4),0),IFERROR((((COUNTIF(OJ8:OJ11,"A"))*4)+((COUNTIF(OJ8:OJ11,"B"))*3)+((COUNTIF(OJ8:OJ11,"C"))*2)+((COUNTIF(OJ8:OJ11,"D"))*1))*CELL("contenu",$B$7),0),IFERROR((((COUNTIF(OJ13:OJ13,"A"))*4)+((COUNTIF(OJ13:OJ13,"B"))*3)+((COUNTIF(OJ13:OJ13,"C"))*2)+((COUNTIF(OJ13:OJ13,"D"))*1))*CELL("contenu",$B$12),0),IFERROR((((COUNTIF(OJ15:OJ17,"A"))*4)+((COUNTIF(OJ15:OJ17,"B"))*3)+((COUNTIF(OJ15:OJ17,"C"))*2)+((COUNTIF(OJ15:OJ17,"D"))*1))*CELL("contenu",$B$14),0),IFERROR((((COUNTIF(OJ19:OJ19,"A"))*4)+((COUNTIF(OJ19:OJ19,"B"))*3)+((COUNTIF(OJ19:OJ19,"C"))*2)+((COUNTIF(OJ19:OJ19,"D"))*1))*CELL("contenu",$B$18),0))/IF(SUM(COUNTA(OJ5:OJ6)*CELL("contenu",$B$4),COUNTA(OJ8:OJ11)*CELL("contenu",$B$7),COUNTA(OJ13:OJ13)*CELL("contenu",$B$12),COUNTA(OJ15:OJ17)*CELL("contenu",$B$14),COUNTA(OJ19:OJ19)*CELL("contenu",$B$18))=0,1,SUM(COUNTA(OJ5:OJ6)*CELL("contenu",$B$4),COUNTA(OJ8:OJ11)*CELL("contenu",$B$7),COUNTA(OJ13:OJ13)*CELL("contenu",$B$12),COUNTA(OJ15:OJ17)*CELL("contenu",$B$14),COUNTA(OJ19:OJ19)*CELL("contenu",$B$18))))</f>
        <v/>
      </c>
      <c r="OK20" s="184" t="str">
        <f ca="1">IF(COUNTA(OK5:OK19)=0,"",5*SUM(IFERROR((((COUNTIF(OK5:OK6,"A"))*4)+((COUNTIF(OK5:OK6,"B"))*3)+((COUNTIF(OK5:OK6,"C"))*2)+((COUNTIF(OK5:OK6,"D"))*1))*CELL("contenu",$B$4),0),IFERROR((((COUNTIF(OK8:OK11,"A"))*4)+((COUNTIF(OK8:OK11,"B"))*3)+((COUNTIF(OK8:OK11,"C"))*2)+((COUNTIF(OK8:OK11,"D"))*1))*CELL("contenu",$B$7),0),IFERROR((((COUNTIF(OK13:OK13,"A"))*4)+((COUNTIF(OK13:OK13,"B"))*3)+((COUNTIF(OK13:OK13,"C"))*2)+((COUNTIF(OK13:OK13,"D"))*1))*CELL("contenu",$B$12),0),IFERROR((((COUNTIF(OK15:OK17,"A"))*4)+((COUNTIF(OK15:OK17,"B"))*3)+((COUNTIF(OK15:OK17,"C"))*2)+((COUNTIF(OK15:OK17,"D"))*1))*CELL("contenu",$B$14),0),IFERROR((((COUNTIF(OK19:OK19,"A"))*4)+((COUNTIF(OK19:OK19,"B"))*3)+((COUNTIF(OK19:OK19,"C"))*2)+((COUNTIF(OK19:OK19,"D"))*1))*CELL("contenu",$B$18),0))/IF(SUM(COUNTA(OK5:OK6)*CELL("contenu",$B$4),COUNTA(OK8:OK11)*CELL("contenu",$B$7),COUNTA(OK13:OK13)*CELL("contenu",$B$12),COUNTA(OK15:OK17)*CELL("contenu",$B$14),COUNTA(OK19:OK19)*CELL("contenu",$B$18))=0,1,SUM(COUNTA(OK5:OK6)*CELL("contenu",$B$4),COUNTA(OK8:OK11)*CELL("contenu",$B$7),COUNTA(OK13:OK13)*CELL("contenu",$B$12),COUNTA(OK15:OK17)*CELL("contenu",$B$14),COUNTA(OK19:OK19)*CELL("contenu",$B$18))))</f>
        <v/>
      </c>
      <c r="OL20" s="176"/>
      <c r="OM20" s="175" t="str">
        <f ca="1">IF(COUNTA(OI20:OK20)-COUNTBLANK(OI20:OK20)=0,"",SUM(OI20:OK20)/(COUNTA(OI20:OK20)-COUNTBLANK(OI20:OK20)))</f>
        <v/>
      </c>
      <c r="ON20" s="182" t="str">
        <f ca="1">IF(COUNTA(ON5:ON19)=0,"",5*SUM(IFERROR((((COUNTIF(ON5:ON6,"A"))*4)+((COUNTIF(ON5:ON6,"B"))*3)+((COUNTIF(ON5:ON6,"C"))*2)+((COUNTIF(ON5:ON6,"D"))*1))*CELL("contenu",$B$4),0),IFERROR((((COUNTIF(ON8:ON11,"A"))*4)+((COUNTIF(ON8:ON11,"B"))*3)+((COUNTIF(ON8:ON11,"C"))*2)+((COUNTIF(ON8:ON11,"D"))*1))*CELL("contenu",$B$7),0),IFERROR((((COUNTIF(ON13:ON13,"A"))*4)+((COUNTIF(ON13:ON13,"B"))*3)+((COUNTIF(ON13:ON13,"C"))*2)+((COUNTIF(ON13:ON13,"D"))*1))*CELL("contenu",$B$12),0),IFERROR((((COUNTIF(ON15:ON17,"A"))*4)+((COUNTIF(ON15:ON17,"B"))*3)+((COUNTIF(ON15:ON17,"C"))*2)+((COUNTIF(ON15:ON17,"D"))*1))*CELL("contenu",$B$14),0),IFERROR((((COUNTIF(ON19:ON19,"A"))*4)+((COUNTIF(ON19:ON19,"B"))*3)+((COUNTIF(ON19:ON19,"C"))*2)+((COUNTIF(ON19:ON19,"D"))*1))*CELL("contenu",$B$18),0))/IF(SUM(COUNTA(ON5:ON6)*CELL("contenu",$B$4),COUNTA(ON8:ON11)*CELL("contenu",$B$7),COUNTA(ON13:ON13)*CELL("contenu",$B$12),COUNTA(ON15:ON17)*CELL("contenu",$B$14),COUNTA(ON19:ON19)*CELL("contenu",$B$18))=0,1,SUM(COUNTA(ON5:ON6)*CELL("contenu",$B$4),COUNTA(ON8:ON11)*CELL("contenu",$B$7),COUNTA(ON13:ON13)*CELL("contenu",$B$12),COUNTA(ON15:ON17)*CELL("contenu",$B$14),COUNTA(ON19:ON19)*CELL("contenu",$B$18))))</f>
        <v/>
      </c>
      <c r="OO20" s="183" t="str">
        <f ca="1">IF(COUNTA(OO5:OO19)=0,"",5*SUM(IFERROR((((COUNTIF(OO5:OO6,"A"))*4)+((COUNTIF(OO5:OO6,"B"))*3)+((COUNTIF(OO5:OO6,"C"))*2)+((COUNTIF(OO5:OO6,"D"))*1))*CELL("contenu",$B$4),0),IFERROR((((COUNTIF(OO8:OO11,"A"))*4)+((COUNTIF(OO8:OO11,"B"))*3)+((COUNTIF(OO8:OO11,"C"))*2)+((COUNTIF(OO8:OO11,"D"))*1))*CELL("contenu",$B$7),0),IFERROR((((COUNTIF(OO13:OO13,"A"))*4)+((COUNTIF(OO13:OO13,"B"))*3)+((COUNTIF(OO13:OO13,"C"))*2)+((COUNTIF(OO13:OO13,"D"))*1))*CELL("contenu",$B$12),0),IFERROR((((COUNTIF(OO15:OO17,"A"))*4)+((COUNTIF(OO15:OO17,"B"))*3)+((COUNTIF(OO15:OO17,"C"))*2)+((COUNTIF(OO15:OO17,"D"))*1))*CELL("contenu",$B$14),0),IFERROR((((COUNTIF(OO19:OO19,"A"))*4)+((COUNTIF(OO19:OO19,"B"))*3)+((COUNTIF(OO19:OO19,"C"))*2)+((COUNTIF(OO19:OO19,"D"))*1))*CELL("contenu",$B$18),0))/IF(SUM(COUNTA(OO5:OO6)*CELL("contenu",$B$4),COUNTA(OO8:OO11)*CELL("contenu",$B$7),COUNTA(OO13:OO13)*CELL("contenu",$B$12),COUNTA(OO15:OO17)*CELL("contenu",$B$14),COUNTA(OO19:OO19)*CELL("contenu",$B$18))=0,1,SUM(COUNTA(OO5:OO6)*CELL("contenu",$B$4),COUNTA(OO8:OO11)*CELL("contenu",$B$7),COUNTA(OO13:OO13)*CELL("contenu",$B$12),COUNTA(OO15:OO17)*CELL("contenu",$B$14),COUNTA(OO19:OO19)*CELL("contenu",$B$18))))</f>
        <v/>
      </c>
      <c r="OP20" s="184" t="str">
        <f ca="1">IF(COUNTA(OP5:OP19)=0,"",5*SUM(IFERROR((((COUNTIF(OP5:OP6,"A"))*4)+((COUNTIF(OP5:OP6,"B"))*3)+((COUNTIF(OP5:OP6,"C"))*2)+((COUNTIF(OP5:OP6,"D"))*1))*CELL("contenu",$B$4),0),IFERROR((((COUNTIF(OP8:OP11,"A"))*4)+((COUNTIF(OP8:OP11,"B"))*3)+((COUNTIF(OP8:OP11,"C"))*2)+((COUNTIF(OP8:OP11,"D"))*1))*CELL("contenu",$B$7),0),IFERROR((((COUNTIF(OP13:OP13,"A"))*4)+((COUNTIF(OP13:OP13,"B"))*3)+((COUNTIF(OP13:OP13,"C"))*2)+((COUNTIF(OP13:OP13,"D"))*1))*CELL("contenu",$B$12),0),IFERROR((((COUNTIF(OP15:OP17,"A"))*4)+((COUNTIF(OP15:OP17,"B"))*3)+((COUNTIF(OP15:OP17,"C"))*2)+((COUNTIF(OP15:OP17,"D"))*1))*CELL("contenu",$B$14),0),IFERROR((((COUNTIF(OP19:OP19,"A"))*4)+((COUNTIF(OP19:OP19,"B"))*3)+((COUNTIF(OP19:OP19,"C"))*2)+((COUNTIF(OP19:OP19,"D"))*1))*CELL("contenu",$B$18),0))/IF(SUM(COUNTA(OP5:OP6)*CELL("contenu",$B$4),COUNTA(OP8:OP11)*CELL("contenu",$B$7),COUNTA(OP13:OP13)*CELL("contenu",$B$12),COUNTA(OP15:OP17)*CELL("contenu",$B$14),COUNTA(OP19:OP19)*CELL("contenu",$B$18))=0,1,SUM(COUNTA(OP5:OP6)*CELL("contenu",$B$4),COUNTA(OP8:OP11)*CELL("contenu",$B$7),COUNTA(OP13:OP13)*CELL("contenu",$B$12),COUNTA(OP15:OP17)*CELL("contenu",$B$14),COUNTA(OP19:OP19)*CELL("contenu",$B$18))))</f>
        <v/>
      </c>
      <c r="OQ20" s="176"/>
      <c r="OR20" s="174" t="str">
        <f ca="1">IF(COUNTA(ON20:OP20)-COUNTBLANK(ON20:OP20)=0,"",SUM(ON20:OP20)/(COUNTA(ON20:OP20)-COUNTBLANK(ON20:OP20)))</f>
        <v/>
      </c>
      <c r="OS20" s="103"/>
      <c r="OT20" s="141"/>
      <c r="OU20" s="167">
        <f ca="1">IF(COUNTA(OU5:OU19)=0,"",5*SUM(IFERROR((((COUNTIF(OU5:OU6,"A"))*4)+((COUNTIF(OU5:OU6,"B"))*3)+((COUNTIF(OU5:OU6,"C"))*2)+((COUNTIF(OU5:OU6,"D"))*1))*CELL("contenu",$B$4),0),IFERROR((((COUNTIF(OU8:OU11,"A"))*4)+((COUNTIF(OU8:OU11,"B"))*3)+((COUNTIF(OU8:OU11,"C"))*2)+((COUNTIF(OU8:OU11,"D"))*1))*CELL("contenu",$B$7),0),IFERROR((((COUNTIF(OU13:OU13,"A"))*4)+((COUNTIF(OU13:OU13,"B"))*3)+((COUNTIF(OU13:OU13,"C"))*2)+((COUNTIF(OU13:OU13,"D"))*1))*CELL("contenu",$B$12),0),IFERROR((((COUNTIF(OU15:OU17,"A"))*4)+((COUNTIF(OU15:OU17,"B"))*3)+((COUNTIF(OU15:OU17,"C"))*2)+((COUNTIF(OU15:OU17,"D"))*1))*CELL("contenu",$B$14),0),IFERROR((((COUNTIF(OU19:OU19,"A"))*4)+((COUNTIF(OU19:OU19,"B"))*3)+((COUNTIF(OU19:OU19,"C"))*2)+((COUNTIF(OU19:OU19,"D"))*1))*CELL("contenu",$B$18),0))/IF(SUM(COUNTA(OU5:OU6)*CELL("contenu",$B$4),COUNTA(OU8:OU11)*CELL("contenu",$B$7),COUNTA(OU13:OU13)*CELL("contenu",$B$12),COUNTA(OU15:OU17)*CELL("contenu",$B$14),COUNTA(OU19:OU19)*CELL("contenu",$B$18))=0,1,SUM(COUNTA(OU5:OU6)*CELL("contenu",$B$4),COUNTA(OU8:OU11)*CELL("contenu",$B$7),COUNTA(OU13:OU13)*CELL("contenu",$B$12),COUNTA(OU15:OU17)*CELL("contenu",$B$14),COUNTA(OU19:OU19)*CELL("contenu",$B$18))))</f>
        <v>18.333333333333332</v>
      </c>
      <c r="OV20" s="168" t="str">
        <f ca="1">IF(COUNTA(OV5:OV19)=0,"",5*SUM(IFERROR((((COUNTIF(OV5:OV6,"A"))*4)+((COUNTIF(OV5:OV6,"B"))*3)+((COUNTIF(OV5:OV6,"C"))*2)+((COUNTIF(OV5:OV6,"D"))*1))*CELL("contenu",$B$4),0),IFERROR((((COUNTIF(OV8:OV11,"A"))*4)+((COUNTIF(OV8:OV11,"B"))*3)+((COUNTIF(OV8:OV11,"C"))*2)+((COUNTIF(OV8:OV11,"D"))*1))*CELL("contenu",$B$7),0),IFERROR((((COUNTIF(OV13:OV13,"A"))*4)+((COUNTIF(OV13:OV13,"B"))*3)+((COUNTIF(OV13:OV13,"C"))*2)+((COUNTIF(OV13:OV13,"D"))*1))*CELL("contenu",$B$12),0),IFERROR((((COUNTIF(OV15:OV17,"A"))*4)+((COUNTIF(OV15:OV17,"B"))*3)+((COUNTIF(OV15:OV17,"C"))*2)+((COUNTIF(OV15:OV17,"D"))*1))*CELL("contenu",$B$14),0),IFERROR((((COUNTIF(OV19:OV19,"A"))*4)+((COUNTIF(OV19:OV19,"B"))*3)+((COUNTIF(OV19:OV19,"C"))*2)+((COUNTIF(OV19:OV19,"D"))*1))*CELL("contenu",$B$18),0))/IF(SUM(COUNTA(OV5:OV6)*CELL("contenu",$B$4),COUNTA(OV8:OV11)*CELL("contenu",$B$7),COUNTA(OV13:OV13)*CELL("contenu",$B$12),COUNTA(OV15:OV17)*CELL("contenu",$B$14),COUNTA(OV19:OV19)*CELL("contenu",$B$18))=0,1,SUM(COUNTA(OV5:OV6)*CELL("contenu",$B$4),COUNTA(OV8:OV11)*CELL("contenu",$B$7),COUNTA(OV13:OV13)*CELL("contenu",$B$12),COUNTA(OV15:OV17)*CELL("contenu",$B$14),COUNTA(OV19:OV19)*CELL("contenu",$B$18))))</f>
        <v/>
      </c>
      <c r="OW20" s="169" t="str">
        <f ca="1">IF(COUNTA(OW5:OW19)=0,"",5*SUM(IFERROR((((COUNTIF(OW5:OW6,"A"))*4)+((COUNTIF(OW5:OW6,"B"))*3)+((COUNTIF(OW5:OW6,"C"))*2)+((COUNTIF(OW5:OW6,"D"))*1))*CELL("contenu",$B$4),0),IFERROR((((COUNTIF(OW8:OW11,"A"))*4)+((COUNTIF(OW8:OW11,"B"))*3)+((COUNTIF(OW8:OW11,"C"))*2)+((COUNTIF(OW8:OW11,"D"))*1))*CELL("contenu",$B$7),0),IFERROR((((COUNTIF(OW13:OW13,"A"))*4)+((COUNTIF(OW13:OW13,"B"))*3)+((COUNTIF(OW13:OW13,"C"))*2)+((COUNTIF(OW13:OW13,"D"))*1))*CELL("contenu",$B$12),0),IFERROR((((COUNTIF(OW15:OW17,"A"))*4)+((COUNTIF(OW15:OW17,"B"))*3)+((COUNTIF(OW15:OW17,"C"))*2)+((COUNTIF(OW15:OW17,"D"))*1))*CELL("contenu",$B$14),0),IFERROR((((COUNTIF(OW19:OW19,"A"))*4)+((COUNTIF(OW19:OW19,"B"))*3)+((COUNTIF(OW19:OW19,"C"))*2)+((COUNTIF(OW19:OW19,"D"))*1))*CELL("contenu",$B$18),0))/IF(SUM(COUNTA(OW5:OW6)*CELL("contenu",$B$4),COUNTA(OW8:OW11)*CELL("contenu",$B$7),COUNTA(OW13:OW13)*CELL("contenu",$B$12),COUNTA(OW15:OW17)*CELL("contenu",$B$14),COUNTA(OW19:OW19)*CELL("contenu",$B$18))=0,1,SUM(COUNTA(OW5:OW6)*CELL("contenu",$B$4),COUNTA(OW8:OW11)*CELL("contenu",$B$7),COUNTA(OW13:OW13)*CELL("contenu",$B$12),COUNTA(OW15:OW17)*CELL("contenu",$B$14),COUNTA(OW19:OW19)*CELL("contenu",$B$18))))</f>
        <v/>
      </c>
      <c r="OX20" s="116"/>
      <c r="OY20" s="192">
        <f ca="1">IF(COUNTA(OU20:OW20)-COUNTBLANK(OU20:OW20)=0,"",SUM(OU20:OW20)/(COUNTA(OU20:OW20)-COUNTBLANK(OU20:OW20)))</f>
        <v>18.333333333333332</v>
      </c>
      <c r="OZ20" s="182" t="str">
        <f ca="1">IF(COUNTA(OZ5:OZ19)=0,"",5*SUM(IFERROR((((COUNTIF(OZ5:OZ6,"A"))*4)+((COUNTIF(OZ5:OZ6,"B"))*3)+((COUNTIF(OZ5:OZ6,"C"))*2)+((COUNTIF(OZ5:OZ6,"D"))*1))*CELL("contenu",$B$4),0),IFERROR((((COUNTIF(OZ8:OZ11,"A"))*4)+((COUNTIF(OZ8:OZ11,"B"))*3)+((COUNTIF(OZ8:OZ11,"C"))*2)+((COUNTIF(OZ8:OZ11,"D"))*1))*CELL("contenu",$B$7),0),IFERROR((((COUNTIF(OZ13:OZ13,"A"))*4)+((COUNTIF(OZ13:OZ13,"B"))*3)+((COUNTIF(OZ13:OZ13,"C"))*2)+((COUNTIF(OZ13:OZ13,"D"))*1))*CELL("contenu",$B$12),0),IFERROR((((COUNTIF(OZ15:OZ17,"A"))*4)+((COUNTIF(OZ15:OZ17,"B"))*3)+((COUNTIF(OZ15:OZ17,"C"))*2)+((COUNTIF(OZ15:OZ17,"D"))*1))*CELL("contenu",$B$14),0),IFERROR((((COUNTIF(OZ19:OZ19,"A"))*4)+((COUNTIF(OZ19:OZ19,"B"))*3)+((COUNTIF(OZ19:OZ19,"C"))*2)+((COUNTIF(OZ19:OZ19,"D"))*1))*CELL("contenu",$B$18),0))/IF(SUM(COUNTA(OZ5:OZ6)*CELL("contenu",$B$4),COUNTA(OZ8:OZ11)*CELL("contenu",$B$7),COUNTA(OZ13:OZ13)*CELL("contenu",$B$12),COUNTA(OZ15:OZ17)*CELL("contenu",$B$14),COUNTA(OZ19:OZ19)*CELL("contenu",$B$18))=0,1,SUM(COUNTA(OZ5:OZ6)*CELL("contenu",$B$4),COUNTA(OZ8:OZ11)*CELL("contenu",$B$7),COUNTA(OZ13:OZ13)*CELL("contenu",$B$12),COUNTA(OZ15:OZ17)*CELL("contenu",$B$14),COUNTA(OZ19:OZ19)*CELL("contenu",$B$18))))</f>
        <v/>
      </c>
      <c r="PA20" s="183" t="str">
        <f ca="1">IF(COUNTA(PA5:PA19)=0,"",5*SUM(IFERROR((((COUNTIF(PA5:PA6,"A"))*4)+((COUNTIF(PA5:PA6,"B"))*3)+((COUNTIF(PA5:PA6,"C"))*2)+((COUNTIF(PA5:PA6,"D"))*1))*CELL("contenu",$B$4),0),IFERROR((((COUNTIF(PA8:PA11,"A"))*4)+((COUNTIF(PA8:PA11,"B"))*3)+((COUNTIF(PA8:PA11,"C"))*2)+((COUNTIF(PA8:PA11,"D"))*1))*CELL("contenu",$B$7),0),IFERROR((((COUNTIF(PA13:PA13,"A"))*4)+((COUNTIF(PA13:PA13,"B"))*3)+((COUNTIF(PA13:PA13,"C"))*2)+((COUNTIF(PA13:PA13,"D"))*1))*CELL("contenu",$B$12),0),IFERROR((((COUNTIF(PA15:PA17,"A"))*4)+((COUNTIF(PA15:PA17,"B"))*3)+((COUNTIF(PA15:PA17,"C"))*2)+((COUNTIF(PA15:PA17,"D"))*1))*CELL("contenu",$B$14),0),IFERROR((((COUNTIF(PA19:PA19,"A"))*4)+((COUNTIF(PA19:PA19,"B"))*3)+((COUNTIF(PA19:PA19,"C"))*2)+((COUNTIF(PA19:PA19,"D"))*1))*CELL("contenu",$B$18),0))/IF(SUM(COUNTA(PA5:PA6)*CELL("contenu",$B$4),COUNTA(PA8:PA11)*CELL("contenu",$B$7),COUNTA(PA13:PA13)*CELL("contenu",$B$12),COUNTA(PA15:PA17)*CELL("contenu",$B$14),COUNTA(PA19:PA19)*CELL("contenu",$B$18))=0,1,SUM(COUNTA(PA5:PA6)*CELL("contenu",$B$4),COUNTA(PA8:PA11)*CELL("contenu",$B$7),COUNTA(PA13:PA13)*CELL("contenu",$B$12),COUNTA(PA15:PA17)*CELL("contenu",$B$14),COUNTA(PA19:PA19)*CELL("contenu",$B$18))))</f>
        <v/>
      </c>
      <c r="PB20" s="184" t="str">
        <f ca="1">IF(COUNTA(PB5:PB19)=0,"",5*SUM(IFERROR((((COUNTIF(PB5:PB6,"A"))*4)+((COUNTIF(PB5:PB6,"B"))*3)+((COUNTIF(PB5:PB6,"C"))*2)+((COUNTIF(PB5:PB6,"D"))*1))*CELL("contenu",$B$4),0),IFERROR((((COUNTIF(PB8:PB11,"A"))*4)+((COUNTIF(PB8:PB11,"B"))*3)+((COUNTIF(PB8:PB11,"C"))*2)+((COUNTIF(PB8:PB11,"D"))*1))*CELL("contenu",$B$7),0),IFERROR((((COUNTIF(PB13:PB13,"A"))*4)+((COUNTIF(PB13:PB13,"B"))*3)+((COUNTIF(PB13:PB13,"C"))*2)+((COUNTIF(PB13:PB13,"D"))*1))*CELL("contenu",$B$12),0),IFERROR((((COUNTIF(PB15:PB17,"A"))*4)+((COUNTIF(PB15:PB17,"B"))*3)+((COUNTIF(PB15:PB17,"C"))*2)+((COUNTIF(PB15:PB17,"D"))*1))*CELL("contenu",$B$14),0),IFERROR((((COUNTIF(PB19:PB19,"A"))*4)+((COUNTIF(PB19:PB19,"B"))*3)+((COUNTIF(PB19:PB19,"C"))*2)+((COUNTIF(PB19:PB19,"D"))*1))*CELL("contenu",$B$18),0))/IF(SUM(COUNTA(PB5:PB6)*CELL("contenu",$B$4),COUNTA(PB8:PB11)*CELL("contenu",$B$7),COUNTA(PB13:PB13)*CELL("contenu",$B$12),COUNTA(PB15:PB17)*CELL("contenu",$B$14),COUNTA(PB19:PB19)*CELL("contenu",$B$18))=0,1,SUM(COUNTA(PB5:PB6)*CELL("contenu",$B$4),COUNTA(PB8:PB11)*CELL("contenu",$B$7),COUNTA(PB13:PB13)*CELL("contenu",$B$12),COUNTA(PB15:PB17)*CELL("contenu",$B$14),COUNTA(PB19:PB19)*CELL("contenu",$B$18))))</f>
        <v/>
      </c>
      <c r="PC20" s="176"/>
      <c r="PD20" s="175" t="str">
        <f ca="1">IF(COUNTA(OZ20:PB20)-COUNTBLANK(OZ20:PB20)=0,"",SUM(OZ20:PB20)/(COUNTA(OZ20:PB20)-COUNTBLANK(OZ20:PB20)))</f>
        <v/>
      </c>
      <c r="PE20" s="182" t="str">
        <f ca="1">IF(COUNTA(PE5:PE19)=0,"",5*SUM(IFERROR((((COUNTIF(PE5:PE6,"A"))*4)+((COUNTIF(PE5:PE6,"B"))*3)+((COUNTIF(PE5:PE6,"C"))*2)+((COUNTIF(PE5:PE6,"D"))*1))*CELL("contenu",$B$4),0),IFERROR((((COUNTIF(PE8:PE11,"A"))*4)+((COUNTIF(PE8:PE11,"B"))*3)+((COUNTIF(PE8:PE11,"C"))*2)+((COUNTIF(PE8:PE11,"D"))*1))*CELL("contenu",$B$7),0),IFERROR((((COUNTIF(PE13:PE13,"A"))*4)+((COUNTIF(PE13:PE13,"B"))*3)+((COUNTIF(PE13:PE13,"C"))*2)+((COUNTIF(PE13:PE13,"D"))*1))*CELL("contenu",$B$12),0),IFERROR((((COUNTIF(PE15:PE17,"A"))*4)+((COUNTIF(PE15:PE17,"B"))*3)+((COUNTIF(PE15:PE17,"C"))*2)+((COUNTIF(PE15:PE17,"D"))*1))*CELL("contenu",$B$14),0),IFERROR((((COUNTIF(PE19:PE19,"A"))*4)+((COUNTIF(PE19:PE19,"B"))*3)+((COUNTIF(PE19:PE19,"C"))*2)+((COUNTIF(PE19:PE19,"D"))*1))*CELL("contenu",$B$18),0))/IF(SUM(COUNTA(PE5:PE6)*CELL("contenu",$B$4),COUNTA(PE8:PE11)*CELL("contenu",$B$7),COUNTA(PE13:PE13)*CELL("contenu",$B$12),COUNTA(PE15:PE17)*CELL("contenu",$B$14),COUNTA(PE19:PE19)*CELL("contenu",$B$18))=0,1,SUM(COUNTA(PE5:PE6)*CELL("contenu",$B$4),COUNTA(PE8:PE11)*CELL("contenu",$B$7),COUNTA(PE13:PE13)*CELL("contenu",$B$12),COUNTA(PE15:PE17)*CELL("contenu",$B$14),COUNTA(PE19:PE19)*CELL("contenu",$B$18))))</f>
        <v/>
      </c>
      <c r="PF20" s="183" t="str">
        <f ca="1">IF(COUNTA(PF5:PF19)=0,"",5*SUM(IFERROR((((COUNTIF(PF5:PF6,"A"))*4)+((COUNTIF(PF5:PF6,"B"))*3)+((COUNTIF(PF5:PF6,"C"))*2)+((COUNTIF(PF5:PF6,"D"))*1))*CELL("contenu",$B$4),0),IFERROR((((COUNTIF(PF8:PF11,"A"))*4)+((COUNTIF(PF8:PF11,"B"))*3)+((COUNTIF(PF8:PF11,"C"))*2)+((COUNTIF(PF8:PF11,"D"))*1))*CELL("contenu",$B$7),0),IFERROR((((COUNTIF(PF13:PF13,"A"))*4)+((COUNTIF(PF13:PF13,"B"))*3)+((COUNTIF(PF13:PF13,"C"))*2)+((COUNTIF(PF13:PF13,"D"))*1))*CELL("contenu",$B$12),0),IFERROR((((COUNTIF(PF15:PF17,"A"))*4)+((COUNTIF(PF15:PF17,"B"))*3)+((COUNTIF(PF15:PF17,"C"))*2)+((COUNTIF(PF15:PF17,"D"))*1))*CELL("contenu",$B$14),0),IFERROR((((COUNTIF(PF19:PF19,"A"))*4)+((COUNTIF(PF19:PF19,"B"))*3)+((COUNTIF(PF19:PF19,"C"))*2)+((COUNTIF(PF19:PF19,"D"))*1))*CELL("contenu",$B$18),0))/IF(SUM(COUNTA(PF5:PF6)*CELL("contenu",$B$4),COUNTA(PF8:PF11)*CELL("contenu",$B$7),COUNTA(PF13:PF13)*CELL("contenu",$B$12),COUNTA(PF15:PF17)*CELL("contenu",$B$14),COUNTA(PF19:PF19)*CELL("contenu",$B$18))=0,1,SUM(COUNTA(PF5:PF6)*CELL("contenu",$B$4),COUNTA(PF8:PF11)*CELL("contenu",$B$7),COUNTA(PF13:PF13)*CELL("contenu",$B$12),COUNTA(PF15:PF17)*CELL("contenu",$B$14),COUNTA(PF19:PF19)*CELL("contenu",$B$18))))</f>
        <v/>
      </c>
      <c r="PG20" s="184" t="str">
        <f ca="1">IF(COUNTA(PG5:PG19)=0,"",5*SUM(IFERROR((((COUNTIF(PG5:PG6,"A"))*4)+((COUNTIF(PG5:PG6,"B"))*3)+((COUNTIF(PG5:PG6,"C"))*2)+((COUNTIF(PG5:PG6,"D"))*1))*CELL("contenu",$B$4),0),IFERROR((((COUNTIF(PG8:PG11,"A"))*4)+((COUNTIF(PG8:PG11,"B"))*3)+((COUNTIF(PG8:PG11,"C"))*2)+((COUNTIF(PG8:PG11,"D"))*1))*CELL("contenu",$B$7),0),IFERROR((((COUNTIF(PG13:PG13,"A"))*4)+((COUNTIF(PG13:PG13,"B"))*3)+((COUNTIF(PG13:PG13,"C"))*2)+((COUNTIF(PG13:PG13,"D"))*1))*CELL("contenu",$B$12),0),IFERROR((((COUNTIF(PG15:PG17,"A"))*4)+((COUNTIF(PG15:PG17,"B"))*3)+((COUNTIF(PG15:PG17,"C"))*2)+((COUNTIF(PG15:PG17,"D"))*1))*CELL("contenu",$B$14),0),IFERROR((((COUNTIF(PG19:PG19,"A"))*4)+((COUNTIF(PG19:PG19,"B"))*3)+((COUNTIF(PG19:PG19,"C"))*2)+((COUNTIF(PG19:PG19,"D"))*1))*CELL("contenu",$B$18),0))/IF(SUM(COUNTA(PG5:PG6)*CELL("contenu",$B$4),COUNTA(PG8:PG11)*CELL("contenu",$B$7),COUNTA(PG13:PG13)*CELL("contenu",$B$12),COUNTA(PG15:PG17)*CELL("contenu",$B$14),COUNTA(PG19:PG19)*CELL("contenu",$B$18))=0,1,SUM(COUNTA(PG5:PG6)*CELL("contenu",$B$4),COUNTA(PG8:PG11)*CELL("contenu",$B$7),COUNTA(PG13:PG13)*CELL("contenu",$B$12),COUNTA(PG15:PG17)*CELL("contenu",$B$14),COUNTA(PG19:PG19)*CELL("contenu",$B$18))))</f>
        <v/>
      </c>
      <c r="PH20" s="176"/>
      <c r="PI20" s="174" t="str">
        <f ca="1">IF(COUNTA(PE20:PG20)-COUNTBLANK(PE20:PG20)=0,"",SUM(PE20:PG20)/(COUNTA(PE20:PG20)-COUNTBLANK(PE20:PG20)))</f>
        <v/>
      </c>
      <c r="PJ20" s="103"/>
      <c r="PK20" s="141"/>
      <c r="PL20" s="167">
        <f ca="1">IF(COUNTA(PL5:PL19)=0,"",5*SUM(IFERROR((((COUNTIF(PL5:PL6,"A"))*4)+((COUNTIF(PL5:PL6,"B"))*3)+((COUNTIF(PL5:PL6,"C"))*2)+((COUNTIF(PL5:PL6,"D"))*1))*CELL("contenu",$B$4),0),IFERROR((((COUNTIF(PL8:PL11,"A"))*4)+((COUNTIF(PL8:PL11,"B"))*3)+((COUNTIF(PL8:PL11,"C"))*2)+((COUNTIF(PL8:PL11,"D"))*1))*CELL("contenu",$B$7),0),IFERROR((((COUNTIF(PL13:PL13,"A"))*4)+((COUNTIF(PL13:PL13,"B"))*3)+((COUNTIF(PL13:PL13,"C"))*2)+((COUNTIF(PL13:PL13,"D"))*1))*CELL("contenu",$B$12),0),IFERROR((((COUNTIF(PL15:PL17,"A"))*4)+((COUNTIF(PL15:PL17,"B"))*3)+((COUNTIF(PL15:PL17,"C"))*2)+((COUNTIF(PL15:PL17,"D"))*1))*CELL("contenu",$B$14),0),IFERROR((((COUNTIF(PL19:PL19,"A"))*4)+((COUNTIF(PL19:PL19,"B"))*3)+((COUNTIF(PL19:PL19,"C"))*2)+((COUNTIF(PL19:PL19,"D"))*1))*CELL("contenu",$B$18),0))/IF(SUM(COUNTA(PL5:PL6)*CELL("contenu",$B$4),COUNTA(PL8:PL11)*CELL("contenu",$B$7),COUNTA(PL13:PL13)*CELL("contenu",$B$12),COUNTA(PL15:PL17)*CELL("contenu",$B$14),COUNTA(PL19:PL19)*CELL("contenu",$B$18))=0,1,SUM(COUNTA(PL5:PL6)*CELL("contenu",$B$4),COUNTA(PL8:PL11)*CELL("contenu",$B$7),COUNTA(PL13:PL13)*CELL("contenu",$B$12),COUNTA(PL15:PL17)*CELL("contenu",$B$14),COUNTA(PL19:PL19)*CELL("contenu",$B$18))))</f>
        <v>18.333333333333332</v>
      </c>
      <c r="PM20" s="168" t="str">
        <f ca="1">IF(COUNTA(PM5:PM19)=0,"",5*SUM(IFERROR((((COUNTIF(PM5:PM6,"A"))*4)+((COUNTIF(PM5:PM6,"B"))*3)+((COUNTIF(PM5:PM6,"C"))*2)+((COUNTIF(PM5:PM6,"D"))*1))*CELL("contenu",$B$4),0),IFERROR((((COUNTIF(PM8:PM11,"A"))*4)+((COUNTIF(PM8:PM11,"B"))*3)+((COUNTIF(PM8:PM11,"C"))*2)+((COUNTIF(PM8:PM11,"D"))*1))*CELL("contenu",$B$7),0),IFERROR((((COUNTIF(PM13:PM13,"A"))*4)+((COUNTIF(PM13:PM13,"B"))*3)+((COUNTIF(PM13:PM13,"C"))*2)+((COUNTIF(PM13:PM13,"D"))*1))*CELL("contenu",$B$12),0),IFERROR((((COUNTIF(PM15:PM17,"A"))*4)+((COUNTIF(PM15:PM17,"B"))*3)+((COUNTIF(PM15:PM17,"C"))*2)+((COUNTIF(PM15:PM17,"D"))*1))*CELL("contenu",$B$14),0),IFERROR((((COUNTIF(PM19:PM19,"A"))*4)+((COUNTIF(PM19:PM19,"B"))*3)+((COUNTIF(PM19:PM19,"C"))*2)+((COUNTIF(PM19:PM19,"D"))*1))*CELL("contenu",$B$18),0))/IF(SUM(COUNTA(PM5:PM6)*CELL("contenu",$B$4),COUNTA(PM8:PM11)*CELL("contenu",$B$7),COUNTA(PM13:PM13)*CELL("contenu",$B$12),COUNTA(PM15:PM17)*CELL("contenu",$B$14),COUNTA(PM19:PM19)*CELL("contenu",$B$18))=0,1,SUM(COUNTA(PM5:PM6)*CELL("contenu",$B$4),COUNTA(PM8:PM11)*CELL("contenu",$B$7),COUNTA(PM13:PM13)*CELL("contenu",$B$12),COUNTA(PM15:PM17)*CELL("contenu",$B$14),COUNTA(PM19:PM19)*CELL("contenu",$B$18))))</f>
        <v/>
      </c>
      <c r="PN20" s="169" t="str">
        <f ca="1">IF(COUNTA(PN5:PN19)=0,"",5*SUM(IFERROR((((COUNTIF(PN5:PN6,"A"))*4)+((COUNTIF(PN5:PN6,"B"))*3)+((COUNTIF(PN5:PN6,"C"))*2)+((COUNTIF(PN5:PN6,"D"))*1))*CELL("contenu",$B$4),0),IFERROR((((COUNTIF(PN8:PN11,"A"))*4)+((COUNTIF(PN8:PN11,"B"))*3)+((COUNTIF(PN8:PN11,"C"))*2)+((COUNTIF(PN8:PN11,"D"))*1))*CELL("contenu",$B$7),0),IFERROR((((COUNTIF(PN13:PN13,"A"))*4)+((COUNTIF(PN13:PN13,"B"))*3)+((COUNTIF(PN13:PN13,"C"))*2)+((COUNTIF(PN13:PN13,"D"))*1))*CELL("contenu",$B$12),0),IFERROR((((COUNTIF(PN15:PN17,"A"))*4)+((COUNTIF(PN15:PN17,"B"))*3)+((COUNTIF(PN15:PN17,"C"))*2)+((COUNTIF(PN15:PN17,"D"))*1))*CELL("contenu",$B$14),0),IFERROR((((COUNTIF(PN19:PN19,"A"))*4)+((COUNTIF(PN19:PN19,"B"))*3)+((COUNTIF(PN19:PN19,"C"))*2)+((COUNTIF(PN19:PN19,"D"))*1))*CELL("contenu",$B$18),0))/IF(SUM(COUNTA(PN5:PN6)*CELL("contenu",$B$4),COUNTA(PN8:PN11)*CELL("contenu",$B$7),COUNTA(PN13:PN13)*CELL("contenu",$B$12),COUNTA(PN15:PN17)*CELL("contenu",$B$14),COUNTA(PN19:PN19)*CELL("contenu",$B$18))=0,1,SUM(COUNTA(PN5:PN6)*CELL("contenu",$B$4),COUNTA(PN8:PN11)*CELL("contenu",$B$7),COUNTA(PN13:PN13)*CELL("contenu",$B$12),COUNTA(PN15:PN17)*CELL("contenu",$B$14),COUNTA(PN19:PN19)*CELL("contenu",$B$18))))</f>
        <v/>
      </c>
      <c r="PO20" s="116"/>
      <c r="PP20" s="192">
        <f ca="1">IF(COUNTA(PL20:PN20)-COUNTBLANK(PL20:PN20)=0,"",SUM(PL20:PN20)/(COUNTA(PL20:PN20)-COUNTBLANK(PL20:PN20)))</f>
        <v>18.333333333333332</v>
      </c>
      <c r="PQ20" s="182" t="str">
        <f ca="1">IF(COUNTA(PQ5:PQ19)=0,"",5*SUM(IFERROR((((COUNTIF(PQ5:PQ6,"A"))*4)+((COUNTIF(PQ5:PQ6,"B"))*3)+((COUNTIF(PQ5:PQ6,"C"))*2)+((COUNTIF(PQ5:PQ6,"D"))*1))*CELL("contenu",$B$4),0),IFERROR((((COUNTIF(PQ8:PQ11,"A"))*4)+((COUNTIF(PQ8:PQ11,"B"))*3)+((COUNTIF(PQ8:PQ11,"C"))*2)+((COUNTIF(PQ8:PQ11,"D"))*1))*CELL("contenu",$B$7),0),IFERROR((((COUNTIF(PQ13:PQ13,"A"))*4)+((COUNTIF(PQ13:PQ13,"B"))*3)+((COUNTIF(PQ13:PQ13,"C"))*2)+((COUNTIF(PQ13:PQ13,"D"))*1))*CELL("contenu",$B$12),0),IFERROR((((COUNTIF(PQ15:PQ17,"A"))*4)+((COUNTIF(PQ15:PQ17,"B"))*3)+((COUNTIF(PQ15:PQ17,"C"))*2)+((COUNTIF(PQ15:PQ17,"D"))*1))*CELL("contenu",$B$14),0),IFERROR((((COUNTIF(PQ19:PQ19,"A"))*4)+((COUNTIF(PQ19:PQ19,"B"))*3)+((COUNTIF(PQ19:PQ19,"C"))*2)+((COUNTIF(PQ19:PQ19,"D"))*1))*CELL("contenu",$B$18),0))/IF(SUM(COUNTA(PQ5:PQ6)*CELL("contenu",$B$4),COUNTA(PQ8:PQ11)*CELL("contenu",$B$7),COUNTA(PQ13:PQ13)*CELL("contenu",$B$12),COUNTA(PQ15:PQ17)*CELL("contenu",$B$14),COUNTA(PQ19:PQ19)*CELL("contenu",$B$18))=0,1,SUM(COUNTA(PQ5:PQ6)*CELL("contenu",$B$4),COUNTA(PQ8:PQ11)*CELL("contenu",$B$7),COUNTA(PQ13:PQ13)*CELL("contenu",$B$12),COUNTA(PQ15:PQ17)*CELL("contenu",$B$14),COUNTA(PQ19:PQ19)*CELL("contenu",$B$18))))</f>
        <v/>
      </c>
      <c r="PR20" s="183" t="str">
        <f ca="1">IF(COUNTA(PR5:PR19)=0,"",5*SUM(IFERROR((((COUNTIF(PR5:PR6,"A"))*4)+((COUNTIF(PR5:PR6,"B"))*3)+((COUNTIF(PR5:PR6,"C"))*2)+((COUNTIF(PR5:PR6,"D"))*1))*CELL("contenu",$B$4),0),IFERROR((((COUNTIF(PR8:PR11,"A"))*4)+((COUNTIF(PR8:PR11,"B"))*3)+((COUNTIF(PR8:PR11,"C"))*2)+((COUNTIF(PR8:PR11,"D"))*1))*CELL("contenu",$B$7),0),IFERROR((((COUNTIF(PR13:PR13,"A"))*4)+((COUNTIF(PR13:PR13,"B"))*3)+((COUNTIF(PR13:PR13,"C"))*2)+((COUNTIF(PR13:PR13,"D"))*1))*CELL("contenu",$B$12),0),IFERROR((((COUNTIF(PR15:PR17,"A"))*4)+((COUNTIF(PR15:PR17,"B"))*3)+((COUNTIF(PR15:PR17,"C"))*2)+((COUNTIF(PR15:PR17,"D"))*1))*CELL("contenu",$B$14),0),IFERROR((((COUNTIF(PR19:PR19,"A"))*4)+((COUNTIF(PR19:PR19,"B"))*3)+((COUNTIF(PR19:PR19,"C"))*2)+((COUNTIF(PR19:PR19,"D"))*1))*CELL("contenu",$B$18),0))/IF(SUM(COUNTA(PR5:PR6)*CELL("contenu",$B$4),COUNTA(PR8:PR11)*CELL("contenu",$B$7),COUNTA(PR13:PR13)*CELL("contenu",$B$12),COUNTA(PR15:PR17)*CELL("contenu",$B$14),COUNTA(PR19:PR19)*CELL("contenu",$B$18))=0,1,SUM(COUNTA(PR5:PR6)*CELL("contenu",$B$4),COUNTA(PR8:PR11)*CELL("contenu",$B$7),COUNTA(PR13:PR13)*CELL("contenu",$B$12),COUNTA(PR15:PR17)*CELL("contenu",$B$14),COUNTA(PR19:PR19)*CELL("contenu",$B$18))))</f>
        <v/>
      </c>
      <c r="PS20" s="184" t="str">
        <f ca="1">IF(COUNTA(PS5:PS19)=0,"",5*SUM(IFERROR((((COUNTIF(PS5:PS6,"A"))*4)+((COUNTIF(PS5:PS6,"B"))*3)+((COUNTIF(PS5:PS6,"C"))*2)+((COUNTIF(PS5:PS6,"D"))*1))*CELL("contenu",$B$4),0),IFERROR((((COUNTIF(PS8:PS11,"A"))*4)+((COUNTIF(PS8:PS11,"B"))*3)+((COUNTIF(PS8:PS11,"C"))*2)+((COUNTIF(PS8:PS11,"D"))*1))*CELL("contenu",$B$7),0),IFERROR((((COUNTIF(PS13:PS13,"A"))*4)+((COUNTIF(PS13:PS13,"B"))*3)+((COUNTIF(PS13:PS13,"C"))*2)+((COUNTIF(PS13:PS13,"D"))*1))*CELL("contenu",$B$12),0),IFERROR((((COUNTIF(PS15:PS17,"A"))*4)+((COUNTIF(PS15:PS17,"B"))*3)+((COUNTIF(PS15:PS17,"C"))*2)+((COUNTIF(PS15:PS17,"D"))*1))*CELL("contenu",$B$14),0),IFERROR((((COUNTIF(PS19:PS19,"A"))*4)+((COUNTIF(PS19:PS19,"B"))*3)+((COUNTIF(PS19:PS19,"C"))*2)+((COUNTIF(PS19:PS19,"D"))*1))*CELL("contenu",$B$18),0))/IF(SUM(COUNTA(PS5:PS6)*CELL("contenu",$B$4),COUNTA(PS8:PS11)*CELL("contenu",$B$7),COUNTA(PS13:PS13)*CELL("contenu",$B$12),COUNTA(PS15:PS17)*CELL("contenu",$B$14),COUNTA(PS19:PS19)*CELL("contenu",$B$18))=0,1,SUM(COUNTA(PS5:PS6)*CELL("contenu",$B$4),COUNTA(PS8:PS11)*CELL("contenu",$B$7),COUNTA(PS13:PS13)*CELL("contenu",$B$12),COUNTA(PS15:PS17)*CELL("contenu",$B$14),COUNTA(PS19:PS19)*CELL("contenu",$B$18))))</f>
        <v/>
      </c>
      <c r="PT20" s="176"/>
      <c r="PU20" s="175" t="str">
        <f ca="1">IF(COUNTA(PQ20:PS20)-COUNTBLANK(PQ20:PS20)=0,"",SUM(PQ20:PS20)/(COUNTA(PQ20:PS20)-COUNTBLANK(PQ20:PS20)))</f>
        <v/>
      </c>
      <c r="PV20" s="182" t="str">
        <f ca="1">IF(COUNTA(PV5:PV19)=0,"",5*SUM(IFERROR((((COUNTIF(PV5:PV6,"A"))*4)+((COUNTIF(PV5:PV6,"B"))*3)+((COUNTIF(PV5:PV6,"C"))*2)+((COUNTIF(PV5:PV6,"D"))*1))*CELL("contenu",$B$4),0),IFERROR((((COUNTIF(PV8:PV11,"A"))*4)+((COUNTIF(PV8:PV11,"B"))*3)+((COUNTIF(PV8:PV11,"C"))*2)+((COUNTIF(PV8:PV11,"D"))*1))*CELL("contenu",$B$7),0),IFERROR((((COUNTIF(PV13:PV13,"A"))*4)+((COUNTIF(PV13:PV13,"B"))*3)+((COUNTIF(PV13:PV13,"C"))*2)+((COUNTIF(PV13:PV13,"D"))*1))*CELL("contenu",$B$12),0),IFERROR((((COUNTIF(PV15:PV17,"A"))*4)+((COUNTIF(PV15:PV17,"B"))*3)+((COUNTIF(PV15:PV17,"C"))*2)+((COUNTIF(PV15:PV17,"D"))*1))*CELL("contenu",$B$14),0),IFERROR((((COUNTIF(PV19:PV19,"A"))*4)+((COUNTIF(PV19:PV19,"B"))*3)+((COUNTIF(PV19:PV19,"C"))*2)+((COUNTIF(PV19:PV19,"D"))*1))*CELL("contenu",$B$18),0))/IF(SUM(COUNTA(PV5:PV6)*CELL("contenu",$B$4),COUNTA(PV8:PV11)*CELL("contenu",$B$7),COUNTA(PV13:PV13)*CELL("contenu",$B$12),COUNTA(PV15:PV17)*CELL("contenu",$B$14),COUNTA(PV19:PV19)*CELL("contenu",$B$18))=0,1,SUM(COUNTA(PV5:PV6)*CELL("contenu",$B$4),COUNTA(PV8:PV11)*CELL("contenu",$B$7),COUNTA(PV13:PV13)*CELL("contenu",$B$12),COUNTA(PV15:PV17)*CELL("contenu",$B$14),COUNTA(PV19:PV19)*CELL("contenu",$B$18))))</f>
        <v/>
      </c>
      <c r="PW20" s="183" t="str">
        <f ca="1">IF(COUNTA(PW5:PW19)=0,"",5*SUM(IFERROR((((COUNTIF(PW5:PW6,"A"))*4)+((COUNTIF(PW5:PW6,"B"))*3)+((COUNTIF(PW5:PW6,"C"))*2)+((COUNTIF(PW5:PW6,"D"))*1))*CELL("contenu",$B$4),0),IFERROR((((COUNTIF(PW8:PW11,"A"))*4)+((COUNTIF(PW8:PW11,"B"))*3)+((COUNTIF(PW8:PW11,"C"))*2)+((COUNTIF(PW8:PW11,"D"))*1))*CELL("contenu",$B$7),0),IFERROR((((COUNTIF(PW13:PW13,"A"))*4)+((COUNTIF(PW13:PW13,"B"))*3)+((COUNTIF(PW13:PW13,"C"))*2)+((COUNTIF(PW13:PW13,"D"))*1))*CELL("contenu",$B$12),0),IFERROR((((COUNTIF(PW15:PW17,"A"))*4)+((COUNTIF(PW15:PW17,"B"))*3)+((COUNTIF(PW15:PW17,"C"))*2)+((COUNTIF(PW15:PW17,"D"))*1))*CELL("contenu",$B$14),0),IFERROR((((COUNTIF(PW19:PW19,"A"))*4)+((COUNTIF(PW19:PW19,"B"))*3)+((COUNTIF(PW19:PW19,"C"))*2)+((COUNTIF(PW19:PW19,"D"))*1))*CELL("contenu",$B$18),0))/IF(SUM(COUNTA(PW5:PW6)*CELL("contenu",$B$4),COUNTA(PW8:PW11)*CELL("contenu",$B$7),COUNTA(PW13:PW13)*CELL("contenu",$B$12),COUNTA(PW15:PW17)*CELL("contenu",$B$14),COUNTA(PW19:PW19)*CELL("contenu",$B$18))=0,1,SUM(COUNTA(PW5:PW6)*CELL("contenu",$B$4),COUNTA(PW8:PW11)*CELL("contenu",$B$7),COUNTA(PW13:PW13)*CELL("contenu",$B$12),COUNTA(PW15:PW17)*CELL("contenu",$B$14),COUNTA(PW19:PW19)*CELL("contenu",$B$18))))</f>
        <v/>
      </c>
      <c r="PX20" s="184" t="str">
        <f ca="1">IF(COUNTA(PX5:PX19)=0,"",5*SUM(IFERROR((((COUNTIF(PX5:PX6,"A"))*4)+((COUNTIF(PX5:PX6,"B"))*3)+((COUNTIF(PX5:PX6,"C"))*2)+((COUNTIF(PX5:PX6,"D"))*1))*CELL("contenu",$B$4),0),IFERROR((((COUNTIF(PX8:PX11,"A"))*4)+((COUNTIF(PX8:PX11,"B"))*3)+((COUNTIF(PX8:PX11,"C"))*2)+((COUNTIF(PX8:PX11,"D"))*1))*CELL("contenu",$B$7),0),IFERROR((((COUNTIF(PX13:PX13,"A"))*4)+((COUNTIF(PX13:PX13,"B"))*3)+((COUNTIF(PX13:PX13,"C"))*2)+((COUNTIF(PX13:PX13,"D"))*1))*CELL("contenu",$B$12),0),IFERROR((((COUNTIF(PX15:PX17,"A"))*4)+((COUNTIF(PX15:PX17,"B"))*3)+((COUNTIF(PX15:PX17,"C"))*2)+((COUNTIF(PX15:PX17,"D"))*1))*CELL("contenu",$B$14),0),IFERROR((((COUNTIF(PX19:PX19,"A"))*4)+((COUNTIF(PX19:PX19,"B"))*3)+((COUNTIF(PX19:PX19,"C"))*2)+((COUNTIF(PX19:PX19,"D"))*1))*CELL("contenu",$B$18),0))/IF(SUM(COUNTA(PX5:PX6)*CELL("contenu",$B$4),COUNTA(PX8:PX11)*CELL("contenu",$B$7),COUNTA(PX13:PX13)*CELL("contenu",$B$12),COUNTA(PX15:PX17)*CELL("contenu",$B$14),COUNTA(PX19:PX19)*CELL("contenu",$B$18))=0,1,SUM(COUNTA(PX5:PX6)*CELL("contenu",$B$4),COUNTA(PX8:PX11)*CELL("contenu",$B$7),COUNTA(PX13:PX13)*CELL("contenu",$B$12),COUNTA(PX15:PX17)*CELL("contenu",$B$14),COUNTA(PX19:PX19)*CELL("contenu",$B$18))))</f>
        <v/>
      </c>
      <c r="PY20" s="176"/>
      <c r="PZ20" s="174" t="str">
        <f ca="1">IF(COUNTA(PV20:PX20)-COUNTBLANK(PV20:PX20)=0,"",SUM(PV20:PX20)/(COUNTA(PV20:PX20)-COUNTBLANK(PV20:PX20)))</f>
        <v/>
      </c>
      <c r="QA20" s="103"/>
      <c r="QB20" s="141"/>
      <c r="QC20" s="167" t="str">
        <f ca="1">IF(COUNTA(QC5:QC19)=0,"",5*SUM(IFERROR((((COUNTIF(QC5:QC6,"A"))*4)+((COUNTIF(QC5:QC6,"B"))*3)+((COUNTIF(QC5:QC6,"C"))*2)+((COUNTIF(QC5:QC6,"D"))*1))*CELL("contenu",$B$4),0),IFERROR((((COUNTIF(QC8:QC11,"A"))*4)+((COUNTIF(QC8:QC11,"B"))*3)+((COUNTIF(QC8:QC11,"C"))*2)+((COUNTIF(QC8:QC11,"D"))*1))*CELL("contenu",$B$7),0),IFERROR((((COUNTIF(QC13:QC13,"A"))*4)+((COUNTIF(QC13:QC13,"B"))*3)+((COUNTIF(QC13:QC13,"C"))*2)+((COUNTIF(QC13:QC13,"D"))*1))*CELL("contenu",$B$12),0),IFERROR((((COUNTIF(QC15:QC17,"A"))*4)+((COUNTIF(QC15:QC17,"B"))*3)+((COUNTIF(QC15:QC17,"C"))*2)+((COUNTIF(QC15:QC17,"D"))*1))*CELL("contenu",$B$14),0),IFERROR((((COUNTIF(QC19:QC19,"A"))*4)+((COUNTIF(QC19:QC19,"B"))*3)+((COUNTIF(QC19:QC19,"C"))*2)+((COUNTIF(QC19:QC19,"D"))*1))*CELL("contenu",$B$18),0))/IF(SUM(COUNTA(QC5:QC6)*CELL("contenu",$B$4),COUNTA(QC8:QC11)*CELL("contenu",$B$7),COUNTA(QC13:QC13)*CELL("contenu",$B$12),COUNTA(QC15:QC17)*CELL("contenu",$B$14),COUNTA(QC19:QC19)*CELL("contenu",$B$18))=0,1,SUM(COUNTA(QC5:QC6)*CELL("contenu",$B$4),COUNTA(QC8:QC11)*CELL("contenu",$B$7),COUNTA(QC13:QC13)*CELL("contenu",$B$12),COUNTA(QC15:QC17)*CELL("contenu",$B$14),COUNTA(QC19:QC19)*CELL("contenu",$B$18))))</f>
        <v/>
      </c>
      <c r="QD20" s="168" t="str">
        <f ca="1">IF(COUNTA(QD5:QD19)=0,"",5*SUM(IFERROR((((COUNTIF(QD5:QD6,"A"))*4)+((COUNTIF(QD5:QD6,"B"))*3)+((COUNTIF(QD5:QD6,"C"))*2)+((COUNTIF(QD5:QD6,"D"))*1))*CELL("contenu",$B$4),0),IFERROR((((COUNTIF(QD8:QD11,"A"))*4)+((COUNTIF(QD8:QD11,"B"))*3)+((COUNTIF(QD8:QD11,"C"))*2)+((COUNTIF(QD8:QD11,"D"))*1))*CELL("contenu",$B$7),0),IFERROR((((COUNTIF(QD13:QD13,"A"))*4)+((COUNTIF(QD13:QD13,"B"))*3)+((COUNTIF(QD13:QD13,"C"))*2)+((COUNTIF(QD13:QD13,"D"))*1))*CELL("contenu",$B$12),0),IFERROR((((COUNTIF(QD15:QD17,"A"))*4)+((COUNTIF(QD15:QD17,"B"))*3)+((COUNTIF(QD15:QD17,"C"))*2)+((COUNTIF(QD15:QD17,"D"))*1))*CELL("contenu",$B$14),0),IFERROR((((COUNTIF(QD19:QD19,"A"))*4)+((COUNTIF(QD19:QD19,"B"))*3)+((COUNTIF(QD19:QD19,"C"))*2)+((COUNTIF(QD19:QD19,"D"))*1))*CELL("contenu",$B$18),0))/IF(SUM(COUNTA(QD5:QD6)*CELL("contenu",$B$4),COUNTA(QD8:QD11)*CELL("contenu",$B$7),COUNTA(QD13:QD13)*CELL("contenu",$B$12),COUNTA(QD15:QD17)*CELL("contenu",$B$14),COUNTA(QD19:QD19)*CELL("contenu",$B$18))=0,1,SUM(COUNTA(QD5:QD6)*CELL("contenu",$B$4),COUNTA(QD8:QD11)*CELL("contenu",$B$7),COUNTA(QD13:QD13)*CELL("contenu",$B$12),COUNTA(QD15:QD17)*CELL("contenu",$B$14),COUNTA(QD19:QD19)*CELL("contenu",$B$18))))</f>
        <v/>
      </c>
      <c r="QE20" s="169" t="str">
        <f ca="1">IF(COUNTA(QE5:QE19)=0,"",5*SUM(IFERROR((((COUNTIF(QE5:QE6,"A"))*4)+((COUNTIF(QE5:QE6,"B"))*3)+((COUNTIF(QE5:QE6,"C"))*2)+((COUNTIF(QE5:QE6,"D"))*1))*CELL("contenu",$B$4),0),IFERROR((((COUNTIF(QE8:QE11,"A"))*4)+((COUNTIF(QE8:QE11,"B"))*3)+((COUNTIF(QE8:QE11,"C"))*2)+((COUNTIF(QE8:QE11,"D"))*1))*CELL("contenu",$B$7),0),IFERROR((((COUNTIF(QE13:QE13,"A"))*4)+((COUNTIF(QE13:QE13,"B"))*3)+((COUNTIF(QE13:QE13,"C"))*2)+((COUNTIF(QE13:QE13,"D"))*1))*CELL("contenu",$B$12),0),IFERROR((((COUNTIF(QE15:QE17,"A"))*4)+((COUNTIF(QE15:QE17,"B"))*3)+((COUNTIF(QE15:QE17,"C"))*2)+((COUNTIF(QE15:QE17,"D"))*1))*CELL("contenu",$B$14),0),IFERROR((((COUNTIF(QE19:QE19,"A"))*4)+((COUNTIF(QE19:QE19,"B"))*3)+((COUNTIF(QE19:QE19,"C"))*2)+((COUNTIF(QE19:QE19,"D"))*1))*CELL("contenu",$B$18),0))/IF(SUM(COUNTA(QE5:QE6)*CELL("contenu",$B$4),COUNTA(QE8:QE11)*CELL("contenu",$B$7),COUNTA(QE13:QE13)*CELL("contenu",$B$12),COUNTA(QE15:QE17)*CELL("contenu",$B$14),COUNTA(QE19:QE19)*CELL("contenu",$B$18))=0,1,SUM(COUNTA(QE5:QE6)*CELL("contenu",$B$4),COUNTA(QE8:QE11)*CELL("contenu",$B$7),COUNTA(QE13:QE13)*CELL("contenu",$B$12),COUNTA(QE15:QE17)*CELL("contenu",$B$14),COUNTA(QE19:QE19)*CELL("contenu",$B$18))))</f>
        <v/>
      </c>
      <c r="QF20" s="116"/>
      <c r="QG20" s="192" t="str">
        <f ca="1">IF(COUNTA(QC20:QE20)-COUNTBLANK(QC20:QE20)=0,"",SUM(QC20:QE20)/(COUNTA(QC20:QE20)-COUNTBLANK(QC20:QE20)))</f>
        <v/>
      </c>
      <c r="QH20" s="182" t="str">
        <f ca="1">IF(COUNTA(QH5:QH19)=0,"",5*SUM(IFERROR((((COUNTIF(QH5:QH6,"A"))*4)+((COUNTIF(QH5:QH6,"B"))*3)+((COUNTIF(QH5:QH6,"C"))*2)+((COUNTIF(QH5:QH6,"D"))*1))*CELL("contenu",$B$4),0),IFERROR((((COUNTIF(QH8:QH11,"A"))*4)+((COUNTIF(QH8:QH11,"B"))*3)+((COUNTIF(QH8:QH11,"C"))*2)+((COUNTIF(QH8:QH11,"D"))*1))*CELL("contenu",$B$7),0),IFERROR((((COUNTIF(QH13:QH13,"A"))*4)+((COUNTIF(QH13:QH13,"B"))*3)+((COUNTIF(QH13:QH13,"C"))*2)+((COUNTIF(QH13:QH13,"D"))*1))*CELL("contenu",$B$12),0),IFERROR((((COUNTIF(QH15:QH17,"A"))*4)+((COUNTIF(QH15:QH17,"B"))*3)+((COUNTIF(QH15:QH17,"C"))*2)+((COUNTIF(QH15:QH17,"D"))*1))*CELL("contenu",$B$14),0),IFERROR((((COUNTIF(QH19:QH19,"A"))*4)+((COUNTIF(QH19:QH19,"B"))*3)+((COUNTIF(QH19:QH19,"C"))*2)+((COUNTIF(QH19:QH19,"D"))*1))*CELL("contenu",$B$18),0))/IF(SUM(COUNTA(QH5:QH6)*CELL("contenu",$B$4),COUNTA(QH8:QH11)*CELL("contenu",$B$7),COUNTA(QH13:QH13)*CELL("contenu",$B$12),COUNTA(QH15:QH17)*CELL("contenu",$B$14),COUNTA(QH19:QH19)*CELL("contenu",$B$18))=0,1,SUM(COUNTA(QH5:QH6)*CELL("contenu",$B$4),COUNTA(QH8:QH11)*CELL("contenu",$B$7),COUNTA(QH13:QH13)*CELL("contenu",$B$12),COUNTA(QH15:QH17)*CELL("contenu",$B$14),COUNTA(QH19:QH19)*CELL("contenu",$B$18))))</f>
        <v/>
      </c>
      <c r="QI20" s="183" t="str">
        <f ca="1">IF(COUNTA(QI5:QI19)=0,"",5*SUM(IFERROR((((COUNTIF(QI5:QI6,"A"))*4)+((COUNTIF(QI5:QI6,"B"))*3)+((COUNTIF(QI5:QI6,"C"))*2)+((COUNTIF(QI5:QI6,"D"))*1))*CELL("contenu",$B$4),0),IFERROR((((COUNTIF(QI8:QI11,"A"))*4)+((COUNTIF(QI8:QI11,"B"))*3)+((COUNTIF(QI8:QI11,"C"))*2)+((COUNTIF(QI8:QI11,"D"))*1))*CELL("contenu",$B$7),0),IFERROR((((COUNTIF(QI13:QI13,"A"))*4)+((COUNTIF(QI13:QI13,"B"))*3)+((COUNTIF(QI13:QI13,"C"))*2)+((COUNTIF(QI13:QI13,"D"))*1))*CELL("contenu",$B$12),0),IFERROR((((COUNTIF(QI15:QI17,"A"))*4)+((COUNTIF(QI15:QI17,"B"))*3)+((COUNTIF(QI15:QI17,"C"))*2)+((COUNTIF(QI15:QI17,"D"))*1))*CELL("contenu",$B$14),0),IFERROR((((COUNTIF(QI19:QI19,"A"))*4)+((COUNTIF(QI19:QI19,"B"))*3)+((COUNTIF(QI19:QI19,"C"))*2)+((COUNTIF(QI19:QI19,"D"))*1))*CELL("contenu",$B$18),0))/IF(SUM(COUNTA(QI5:QI6)*CELL("contenu",$B$4),COUNTA(QI8:QI11)*CELL("contenu",$B$7),COUNTA(QI13:QI13)*CELL("contenu",$B$12),COUNTA(QI15:QI17)*CELL("contenu",$B$14),COUNTA(QI19:QI19)*CELL("contenu",$B$18))=0,1,SUM(COUNTA(QI5:QI6)*CELL("contenu",$B$4),COUNTA(QI8:QI11)*CELL("contenu",$B$7),COUNTA(QI13:QI13)*CELL("contenu",$B$12),COUNTA(QI15:QI17)*CELL("contenu",$B$14),COUNTA(QI19:QI19)*CELL("contenu",$B$18))))</f>
        <v/>
      </c>
      <c r="QJ20" s="184" t="str">
        <f ca="1">IF(COUNTA(QJ5:QJ19)=0,"",5*SUM(IFERROR((((COUNTIF(QJ5:QJ6,"A"))*4)+((COUNTIF(QJ5:QJ6,"B"))*3)+((COUNTIF(QJ5:QJ6,"C"))*2)+((COUNTIF(QJ5:QJ6,"D"))*1))*CELL("contenu",$B$4),0),IFERROR((((COUNTIF(QJ8:QJ11,"A"))*4)+((COUNTIF(QJ8:QJ11,"B"))*3)+((COUNTIF(QJ8:QJ11,"C"))*2)+((COUNTIF(QJ8:QJ11,"D"))*1))*CELL("contenu",$B$7),0),IFERROR((((COUNTIF(QJ13:QJ13,"A"))*4)+((COUNTIF(QJ13:QJ13,"B"))*3)+((COUNTIF(QJ13:QJ13,"C"))*2)+((COUNTIF(QJ13:QJ13,"D"))*1))*CELL("contenu",$B$12),0),IFERROR((((COUNTIF(QJ15:QJ17,"A"))*4)+((COUNTIF(QJ15:QJ17,"B"))*3)+((COUNTIF(QJ15:QJ17,"C"))*2)+((COUNTIF(QJ15:QJ17,"D"))*1))*CELL("contenu",$B$14),0),IFERROR((((COUNTIF(QJ19:QJ19,"A"))*4)+((COUNTIF(QJ19:QJ19,"B"))*3)+((COUNTIF(QJ19:QJ19,"C"))*2)+((COUNTIF(QJ19:QJ19,"D"))*1))*CELL("contenu",$B$18),0))/IF(SUM(COUNTA(QJ5:QJ6)*CELL("contenu",$B$4),COUNTA(QJ8:QJ11)*CELL("contenu",$B$7),COUNTA(QJ13:QJ13)*CELL("contenu",$B$12),COUNTA(QJ15:QJ17)*CELL("contenu",$B$14),COUNTA(QJ19:QJ19)*CELL("contenu",$B$18))=0,1,SUM(COUNTA(QJ5:QJ6)*CELL("contenu",$B$4),COUNTA(QJ8:QJ11)*CELL("contenu",$B$7),COUNTA(QJ13:QJ13)*CELL("contenu",$B$12),COUNTA(QJ15:QJ17)*CELL("contenu",$B$14),COUNTA(QJ19:QJ19)*CELL("contenu",$B$18))))</f>
        <v/>
      </c>
      <c r="QK20" s="176"/>
      <c r="QL20" s="175" t="str">
        <f ca="1">IF(COUNTA(QH20:QJ20)-COUNTBLANK(QH20:QJ20)=0,"",SUM(QH20:QJ20)/(COUNTA(QH20:QJ20)-COUNTBLANK(QH20:QJ20)))</f>
        <v/>
      </c>
      <c r="QM20" s="182" t="str">
        <f ca="1">IF(COUNTA(QM5:QM19)=0,"",5*SUM(IFERROR((((COUNTIF(QM5:QM6,"A"))*4)+((COUNTIF(QM5:QM6,"B"))*3)+((COUNTIF(QM5:QM6,"C"))*2)+((COUNTIF(QM5:QM6,"D"))*1))*CELL("contenu",$B$4),0),IFERROR((((COUNTIF(QM8:QM11,"A"))*4)+((COUNTIF(QM8:QM11,"B"))*3)+((COUNTIF(QM8:QM11,"C"))*2)+((COUNTIF(QM8:QM11,"D"))*1))*CELL("contenu",$B$7),0),IFERROR((((COUNTIF(QM13:QM13,"A"))*4)+((COUNTIF(QM13:QM13,"B"))*3)+((COUNTIF(QM13:QM13,"C"))*2)+((COUNTIF(QM13:QM13,"D"))*1))*CELL("contenu",$B$12),0),IFERROR((((COUNTIF(QM15:QM17,"A"))*4)+((COUNTIF(QM15:QM17,"B"))*3)+((COUNTIF(QM15:QM17,"C"))*2)+((COUNTIF(QM15:QM17,"D"))*1))*CELL("contenu",$B$14),0),IFERROR((((COUNTIF(QM19:QM19,"A"))*4)+((COUNTIF(QM19:QM19,"B"))*3)+((COUNTIF(QM19:QM19,"C"))*2)+((COUNTIF(QM19:QM19,"D"))*1))*CELL("contenu",$B$18),0))/IF(SUM(COUNTA(QM5:QM6)*CELL("contenu",$B$4),COUNTA(QM8:QM11)*CELL("contenu",$B$7),COUNTA(QM13:QM13)*CELL("contenu",$B$12),COUNTA(QM15:QM17)*CELL("contenu",$B$14),COUNTA(QM19:QM19)*CELL("contenu",$B$18))=0,1,SUM(COUNTA(QM5:QM6)*CELL("contenu",$B$4),COUNTA(QM8:QM11)*CELL("contenu",$B$7),COUNTA(QM13:QM13)*CELL("contenu",$B$12),COUNTA(QM15:QM17)*CELL("contenu",$B$14),COUNTA(QM19:QM19)*CELL("contenu",$B$18))))</f>
        <v/>
      </c>
      <c r="QN20" s="183" t="str">
        <f ca="1">IF(COUNTA(QN5:QN19)=0,"",5*SUM(IFERROR((((COUNTIF(QN5:QN6,"A"))*4)+((COUNTIF(QN5:QN6,"B"))*3)+((COUNTIF(QN5:QN6,"C"))*2)+((COUNTIF(QN5:QN6,"D"))*1))*CELL("contenu",$B$4),0),IFERROR((((COUNTIF(QN8:QN11,"A"))*4)+((COUNTIF(QN8:QN11,"B"))*3)+((COUNTIF(QN8:QN11,"C"))*2)+((COUNTIF(QN8:QN11,"D"))*1))*CELL("contenu",$B$7),0),IFERROR((((COUNTIF(QN13:QN13,"A"))*4)+((COUNTIF(QN13:QN13,"B"))*3)+((COUNTIF(QN13:QN13,"C"))*2)+((COUNTIF(QN13:QN13,"D"))*1))*CELL("contenu",$B$12),0),IFERROR((((COUNTIF(QN15:QN17,"A"))*4)+((COUNTIF(QN15:QN17,"B"))*3)+((COUNTIF(QN15:QN17,"C"))*2)+((COUNTIF(QN15:QN17,"D"))*1))*CELL("contenu",$B$14),0),IFERROR((((COUNTIF(QN19:QN19,"A"))*4)+((COUNTIF(QN19:QN19,"B"))*3)+((COUNTIF(QN19:QN19,"C"))*2)+((COUNTIF(QN19:QN19,"D"))*1))*CELL("contenu",$B$18),0))/IF(SUM(COUNTA(QN5:QN6)*CELL("contenu",$B$4),COUNTA(QN8:QN11)*CELL("contenu",$B$7),COUNTA(QN13:QN13)*CELL("contenu",$B$12),COUNTA(QN15:QN17)*CELL("contenu",$B$14),COUNTA(QN19:QN19)*CELL("contenu",$B$18))=0,1,SUM(COUNTA(QN5:QN6)*CELL("contenu",$B$4),COUNTA(QN8:QN11)*CELL("contenu",$B$7),COUNTA(QN13:QN13)*CELL("contenu",$B$12),COUNTA(QN15:QN17)*CELL("contenu",$B$14),COUNTA(QN19:QN19)*CELL("contenu",$B$18))))</f>
        <v/>
      </c>
      <c r="QO20" s="184" t="str">
        <f ca="1">IF(COUNTA(QO5:QO19)=0,"",5*SUM(IFERROR((((COUNTIF(QO5:QO6,"A"))*4)+((COUNTIF(QO5:QO6,"B"))*3)+((COUNTIF(QO5:QO6,"C"))*2)+((COUNTIF(QO5:QO6,"D"))*1))*CELL("contenu",$B$4),0),IFERROR((((COUNTIF(QO8:QO11,"A"))*4)+((COUNTIF(QO8:QO11,"B"))*3)+((COUNTIF(QO8:QO11,"C"))*2)+((COUNTIF(QO8:QO11,"D"))*1))*CELL("contenu",$B$7),0),IFERROR((((COUNTIF(QO13:QO13,"A"))*4)+((COUNTIF(QO13:QO13,"B"))*3)+((COUNTIF(QO13:QO13,"C"))*2)+((COUNTIF(QO13:QO13,"D"))*1))*CELL("contenu",$B$12),0),IFERROR((((COUNTIF(QO15:QO17,"A"))*4)+((COUNTIF(QO15:QO17,"B"))*3)+((COUNTIF(QO15:QO17,"C"))*2)+((COUNTIF(QO15:QO17,"D"))*1))*CELL("contenu",$B$14),0),IFERROR((((COUNTIF(QO19:QO19,"A"))*4)+((COUNTIF(QO19:QO19,"B"))*3)+((COUNTIF(QO19:QO19,"C"))*2)+((COUNTIF(QO19:QO19,"D"))*1))*CELL("contenu",$B$18),0))/IF(SUM(COUNTA(QO5:QO6)*CELL("contenu",$B$4),COUNTA(QO8:QO11)*CELL("contenu",$B$7),COUNTA(QO13:QO13)*CELL("contenu",$B$12),COUNTA(QO15:QO17)*CELL("contenu",$B$14),COUNTA(QO19:QO19)*CELL("contenu",$B$18))=0,1,SUM(COUNTA(QO5:QO6)*CELL("contenu",$B$4),COUNTA(QO8:QO11)*CELL("contenu",$B$7),COUNTA(QO13:QO13)*CELL("contenu",$B$12),COUNTA(QO15:QO17)*CELL("contenu",$B$14),COUNTA(QO19:QO19)*CELL("contenu",$B$18))))</f>
        <v/>
      </c>
      <c r="QP20" s="176"/>
      <c r="QQ20" s="174" t="str">
        <f ca="1">IF(COUNTA(QM20:QO20)-COUNTBLANK(QM20:QO20)=0,"",SUM(QM20:QO20)/(COUNTA(QM20:QO20)-COUNTBLANK(QM20:QO20)))</f>
        <v/>
      </c>
      <c r="QR20" s="103"/>
      <c r="QS20" s="141"/>
      <c r="QT20" s="167">
        <f ca="1">IF(COUNTA(QT5:QT19)=0,"",5*SUM(IFERROR((((COUNTIF(QT5:QT6,"A"))*4)+((COUNTIF(QT5:QT6,"B"))*3)+((COUNTIF(QT5:QT6,"C"))*2)+((COUNTIF(QT5:QT6,"D"))*1))*CELL("contenu",$B$4),0),IFERROR((((COUNTIF(QT8:QT11,"A"))*4)+((COUNTIF(QT8:QT11,"B"))*3)+((COUNTIF(QT8:QT11,"C"))*2)+((COUNTIF(QT8:QT11,"D"))*1))*CELL("contenu",$B$7),0),IFERROR((((COUNTIF(QT13:QT13,"A"))*4)+((COUNTIF(QT13:QT13,"B"))*3)+((COUNTIF(QT13:QT13,"C"))*2)+((COUNTIF(QT13:QT13,"D"))*1))*CELL("contenu",$B$12),0),IFERROR((((COUNTIF(QT15:QT17,"A"))*4)+((COUNTIF(QT15:QT17,"B"))*3)+((COUNTIF(QT15:QT17,"C"))*2)+((COUNTIF(QT15:QT17,"D"))*1))*CELL("contenu",$B$14),0),IFERROR((((COUNTIF(QT19:QT19,"A"))*4)+((COUNTIF(QT19:QT19,"B"))*3)+((COUNTIF(QT19:QT19,"C"))*2)+((COUNTIF(QT19:QT19,"D"))*1))*CELL("contenu",$B$18),0))/IF(SUM(COUNTA(QT5:QT6)*CELL("contenu",$B$4),COUNTA(QT8:QT11)*CELL("contenu",$B$7),COUNTA(QT13:QT13)*CELL("contenu",$B$12),COUNTA(QT15:QT17)*CELL("contenu",$B$14),COUNTA(QT19:QT19)*CELL("contenu",$B$18))=0,1,SUM(COUNTA(QT5:QT6)*CELL("contenu",$B$4),COUNTA(QT8:QT11)*CELL("contenu",$B$7),COUNTA(QT13:QT13)*CELL("contenu",$B$12),COUNTA(QT15:QT17)*CELL("contenu",$B$14),COUNTA(QT19:QT19)*CELL("contenu",$B$18))))</f>
        <v>20</v>
      </c>
      <c r="QU20" s="168" t="str">
        <f ca="1">IF(COUNTA(QU5:QU19)=0,"",5*SUM(IFERROR((((COUNTIF(QU5:QU6,"A"))*4)+((COUNTIF(QU5:QU6,"B"))*3)+((COUNTIF(QU5:QU6,"C"))*2)+((COUNTIF(QU5:QU6,"D"))*1))*CELL("contenu",$B$4),0),IFERROR((((COUNTIF(QU8:QU11,"A"))*4)+((COUNTIF(QU8:QU11,"B"))*3)+((COUNTIF(QU8:QU11,"C"))*2)+((COUNTIF(QU8:QU11,"D"))*1))*CELL("contenu",$B$7),0),IFERROR((((COUNTIF(QU13:QU13,"A"))*4)+((COUNTIF(QU13:QU13,"B"))*3)+((COUNTIF(QU13:QU13,"C"))*2)+((COUNTIF(QU13:QU13,"D"))*1))*CELL("contenu",$B$12),0),IFERROR((((COUNTIF(QU15:QU17,"A"))*4)+((COUNTIF(QU15:QU17,"B"))*3)+((COUNTIF(QU15:QU17,"C"))*2)+((COUNTIF(QU15:QU17,"D"))*1))*CELL("contenu",$B$14),0),IFERROR((((COUNTIF(QU19:QU19,"A"))*4)+((COUNTIF(QU19:QU19,"B"))*3)+((COUNTIF(QU19:QU19,"C"))*2)+((COUNTIF(QU19:QU19,"D"))*1))*CELL("contenu",$B$18),0))/IF(SUM(COUNTA(QU5:QU6)*CELL("contenu",$B$4),COUNTA(QU8:QU11)*CELL("contenu",$B$7),COUNTA(QU13:QU13)*CELL("contenu",$B$12),COUNTA(QU15:QU17)*CELL("contenu",$B$14),COUNTA(QU19:QU19)*CELL("contenu",$B$18))=0,1,SUM(COUNTA(QU5:QU6)*CELL("contenu",$B$4),COUNTA(QU8:QU11)*CELL("contenu",$B$7),COUNTA(QU13:QU13)*CELL("contenu",$B$12),COUNTA(QU15:QU17)*CELL("contenu",$B$14),COUNTA(QU19:QU19)*CELL("contenu",$B$18))))</f>
        <v/>
      </c>
      <c r="QV20" s="169" t="str">
        <f ca="1">IF(COUNTA(QV5:QV19)=0,"",5*SUM(IFERROR((((COUNTIF(QV5:QV6,"A"))*4)+((COUNTIF(QV5:QV6,"B"))*3)+((COUNTIF(QV5:QV6,"C"))*2)+((COUNTIF(QV5:QV6,"D"))*1))*CELL("contenu",$B$4),0),IFERROR((((COUNTIF(QV8:QV11,"A"))*4)+((COUNTIF(QV8:QV11,"B"))*3)+((COUNTIF(QV8:QV11,"C"))*2)+((COUNTIF(QV8:QV11,"D"))*1))*CELL("contenu",$B$7),0),IFERROR((((COUNTIF(QV13:QV13,"A"))*4)+((COUNTIF(QV13:QV13,"B"))*3)+((COUNTIF(QV13:QV13,"C"))*2)+((COUNTIF(QV13:QV13,"D"))*1))*CELL("contenu",$B$12),0),IFERROR((((COUNTIF(QV15:QV17,"A"))*4)+((COUNTIF(QV15:QV17,"B"))*3)+((COUNTIF(QV15:QV17,"C"))*2)+((COUNTIF(QV15:QV17,"D"))*1))*CELL("contenu",$B$14),0),IFERROR((((COUNTIF(QV19:QV19,"A"))*4)+((COUNTIF(QV19:QV19,"B"))*3)+((COUNTIF(QV19:QV19,"C"))*2)+((COUNTIF(QV19:QV19,"D"))*1))*CELL("contenu",$B$18),0))/IF(SUM(COUNTA(QV5:QV6)*CELL("contenu",$B$4),COUNTA(QV8:QV11)*CELL("contenu",$B$7),COUNTA(QV13:QV13)*CELL("contenu",$B$12),COUNTA(QV15:QV17)*CELL("contenu",$B$14),COUNTA(QV19:QV19)*CELL("contenu",$B$18))=0,1,SUM(COUNTA(QV5:QV6)*CELL("contenu",$B$4),COUNTA(QV8:QV11)*CELL("contenu",$B$7),COUNTA(QV13:QV13)*CELL("contenu",$B$12),COUNTA(QV15:QV17)*CELL("contenu",$B$14),COUNTA(QV19:QV19)*CELL("contenu",$B$18))))</f>
        <v/>
      </c>
      <c r="QW20" s="116"/>
      <c r="QX20" s="192">
        <f ca="1">IF(COUNTA(QT20:QV20)-COUNTBLANK(QT20:QV20)=0,"",SUM(QT20:QV20)/(COUNTA(QT20:QV20)-COUNTBLANK(QT20:QV20)))</f>
        <v>20</v>
      </c>
      <c r="QY20" s="182" t="str">
        <f ca="1">IF(COUNTA(QY5:QY19)=0,"",5*SUM(IFERROR((((COUNTIF(QY5:QY6,"A"))*4)+((COUNTIF(QY5:QY6,"B"))*3)+((COUNTIF(QY5:QY6,"C"))*2)+((COUNTIF(QY5:QY6,"D"))*1))*CELL("contenu",$B$4),0),IFERROR((((COUNTIF(QY8:QY11,"A"))*4)+((COUNTIF(QY8:QY11,"B"))*3)+((COUNTIF(QY8:QY11,"C"))*2)+((COUNTIF(QY8:QY11,"D"))*1))*CELL("contenu",$B$7),0),IFERROR((((COUNTIF(QY13:QY13,"A"))*4)+((COUNTIF(QY13:QY13,"B"))*3)+((COUNTIF(QY13:QY13,"C"))*2)+((COUNTIF(QY13:QY13,"D"))*1))*CELL("contenu",$B$12),0),IFERROR((((COUNTIF(QY15:QY17,"A"))*4)+((COUNTIF(QY15:QY17,"B"))*3)+((COUNTIF(QY15:QY17,"C"))*2)+((COUNTIF(QY15:QY17,"D"))*1))*CELL("contenu",$B$14),0),IFERROR((((COUNTIF(QY19:QY19,"A"))*4)+((COUNTIF(QY19:QY19,"B"))*3)+((COUNTIF(QY19:QY19,"C"))*2)+((COUNTIF(QY19:QY19,"D"))*1))*CELL("contenu",$B$18),0))/IF(SUM(COUNTA(QY5:QY6)*CELL("contenu",$B$4),COUNTA(QY8:QY11)*CELL("contenu",$B$7),COUNTA(QY13:QY13)*CELL("contenu",$B$12),COUNTA(QY15:QY17)*CELL("contenu",$B$14),COUNTA(QY19:QY19)*CELL("contenu",$B$18))=0,1,SUM(COUNTA(QY5:QY6)*CELL("contenu",$B$4),COUNTA(QY8:QY11)*CELL("contenu",$B$7),COUNTA(QY13:QY13)*CELL("contenu",$B$12),COUNTA(QY15:QY17)*CELL("contenu",$B$14),COUNTA(QY19:QY19)*CELL("contenu",$B$18))))</f>
        <v/>
      </c>
      <c r="QZ20" s="183" t="str">
        <f ca="1">IF(COUNTA(QZ5:QZ19)=0,"",5*SUM(IFERROR((((COUNTIF(QZ5:QZ6,"A"))*4)+((COUNTIF(QZ5:QZ6,"B"))*3)+((COUNTIF(QZ5:QZ6,"C"))*2)+((COUNTIF(QZ5:QZ6,"D"))*1))*CELL("contenu",$B$4),0),IFERROR((((COUNTIF(QZ8:QZ11,"A"))*4)+((COUNTIF(QZ8:QZ11,"B"))*3)+((COUNTIF(QZ8:QZ11,"C"))*2)+((COUNTIF(QZ8:QZ11,"D"))*1))*CELL("contenu",$B$7),0),IFERROR((((COUNTIF(QZ13:QZ13,"A"))*4)+((COUNTIF(QZ13:QZ13,"B"))*3)+((COUNTIF(QZ13:QZ13,"C"))*2)+((COUNTIF(QZ13:QZ13,"D"))*1))*CELL("contenu",$B$12),0),IFERROR((((COUNTIF(QZ15:QZ17,"A"))*4)+((COUNTIF(QZ15:QZ17,"B"))*3)+((COUNTIF(QZ15:QZ17,"C"))*2)+((COUNTIF(QZ15:QZ17,"D"))*1))*CELL("contenu",$B$14),0),IFERROR((((COUNTIF(QZ19:QZ19,"A"))*4)+((COUNTIF(QZ19:QZ19,"B"))*3)+((COUNTIF(QZ19:QZ19,"C"))*2)+((COUNTIF(QZ19:QZ19,"D"))*1))*CELL("contenu",$B$18),0))/IF(SUM(COUNTA(QZ5:QZ6)*CELL("contenu",$B$4),COUNTA(QZ8:QZ11)*CELL("contenu",$B$7),COUNTA(QZ13:QZ13)*CELL("contenu",$B$12),COUNTA(QZ15:QZ17)*CELL("contenu",$B$14),COUNTA(QZ19:QZ19)*CELL("contenu",$B$18))=0,1,SUM(COUNTA(QZ5:QZ6)*CELL("contenu",$B$4),COUNTA(QZ8:QZ11)*CELL("contenu",$B$7),COUNTA(QZ13:QZ13)*CELL("contenu",$B$12),COUNTA(QZ15:QZ17)*CELL("contenu",$B$14),COUNTA(QZ19:QZ19)*CELL("contenu",$B$18))))</f>
        <v/>
      </c>
      <c r="RA20" s="184" t="str">
        <f ca="1">IF(COUNTA(RA5:RA19)=0,"",5*SUM(IFERROR((((COUNTIF(RA5:RA6,"A"))*4)+((COUNTIF(RA5:RA6,"B"))*3)+((COUNTIF(RA5:RA6,"C"))*2)+((COUNTIF(RA5:RA6,"D"))*1))*CELL("contenu",$B$4),0),IFERROR((((COUNTIF(RA8:RA11,"A"))*4)+((COUNTIF(RA8:RA11,"B"))*3)+((COUNTIF(RA8:RA11,"C"))*2)+((COUNTIF(RA8:RA11,"D"))*1))*CELL("contenu",$B$7),0),IFERROR((((COUNTIF(RA13:RA13,"A"))*4)+((COUNTIF(RA13:RA13,"B"))*3)+((COUNTIF(RA13:RA13,"C"))*2)+((COUNTIF(RA13:RA13,"D"))*1))*CELL("contenu",$B$12),0),IFERROR((((COUNTIF(RA15:RA17,"A"))*4)+((COUNTIF(RA15:RA17,"B"))*3)+((COUNTIF(RA15:RA17,"C"))*2)+((COUNTIF(RA15:RA17,"D"))*1))*CELL("contenu",$B$14),0),IFERROR((((COUNTIF(RA19:RA19,"A"))*4)+((COUNTIF(RA19:RA19,"B"))*3)+((COUNTIF(RA19:RA19,"C"))*2)+((COUNTIF(RA19:RA19,"D"))*1))*CELL("contenu",$B$18),0))/IF(SUM(COUNTA(RA5:RA6)*CELL("contenu",$B$4),COUNTA(RA8:RA11)*CELL("contenu",$B$7),COUNTA(RA13:RA13)*CELL("contenu",$B$12),COUNTA(RA15:RA17)*CELL("contenu",$B$14),COUNTA(RA19:RA19)*CELL("contenu",$B$18))=0,1,SUM(COUNTA(RA5:RA6)*CELL("contenu",$B$4),COUNTA(RA8:RA11)*CELL("contenu",$B$7),COUNTA(RA13:RA13)*CELL("contenu",$B$12),COUNTA(RA15:RA17)*CELL("contenu",$B$14),COUNTA(RA19:RA19)*CELL("contenu",$B$18))))</f>
        <v/>
      </c>
      <c r="RB20" s="176"/>
      <c r="RC20" s="175" t="str">
        <f ca="1">IF(COUNTA(QY20:RA20)-COUNTBLANK(QY20:RA20)=0,"",SUM(QY20:RA20)/(COUNTA(QY20:RA20)-COUNTBLANK(QY20:RA20)))</f>
        <v/>
      </c>
      <c r="RD20" s="182" t="str">
        <f ca="1">IF(COUNTA(RD5:RD19)=0,"",5*SUM(IFERROR((((COUNTIF(RD5:RD6,"A"))*4)+((COUNTIF(RD5:RD6,"B"))*3)+((COUNTIF(RD5:RD6,"C"))*2)+((COUNTIF(RD5:RD6,"D"))*1))*CELL("contenu",$B$4),0),IFERROR((((COUNTIF(RD8:RD11,"A"))*4)+((COUNTIF(RD8:RD11,"B"))*3)+((COUNTIF(RD8:RD11,"C"))*2)+((COUNTIF(RD8:RD11,"D"))*1))*CELL("contenu",$B$7),0),IFERROR((((COUNTIF(RD13:RD13,"A"))*4)+((COUNTIF(RD13:RD13,"B"))*3)+((COUNTIF(RD13:RD13,"C"))*2)+((COUNTIF(RD13:RD13,"D"))*1))*CELL("contenu",$B$12),0),IFERROR((((COUNTIF(RD15:RD17,"A"))*4)+((COUNTIF(RD15:RD17,"B"))*3)+((COUNTIF(RD15:RD17,"C"))*2)+((COUNTIF(RD15:RD17,"D"))*1))*CELL("contenu",$B$14),0),IFERROR((((COUNTIF(RD19:RD19,"A"))*4)+((COUNTIF(RD19:RD19,"B"))*3)+((COUNTIF(RD19:RD19,"C"))*2)+((COUNTIF(RD19:RD19,"D"))*1))*CELL("contenu",$B$18),0))/IF(SUM(COUNTA(RD5:RD6)*CELL("contenu",$B$4),COUNTA(RD8:RD11)*CELL("contenu",$B$7),COUNTA(RD13:RD13)*CELL("contenu",$B$12),COUNTA(RD15:RD17)*CELL("contenu",$B$14),COUNTA(RD19:RD19)*CELL("contenu",$B$18))=0,1,SUM(COUNTA(RD5:RD6)*CELL("contenu",$B$4),COUNTA(RD8:RD11)*CELL("contenu",$B$7),COUNTA(RD13:RD13)*CELL("contenu",$B$12),COUNTA(RD15:RD17)*CELL("contenu",$B$14),COUNTA(RD19:RD19)*CELL("contenu",$B$18))))</f>
        <v/>
      </c>
      <c r="RE20" s="183" t="str">
        <f ca="1">IF(COUNTA(RE5:RE19)=0,"",5*SUM(IFERROR((((COUNTIF(RE5:RE6,"A"))*4)+((COUNTIF(RE5:RE6,"B"))*3)+((COUNTIF(RE5:RE6,"C"))*2)+((COUNTIF(RE5:RE6,"D"))*1))*CELL("contenu",$B$4),0),IFERROR((((COUNTIF(RE8:RE11,"A"))*4)+((COUNTIF(RE8:RE11,"B"))*3)+((COUNTIF(RE8:RE11,"C"))*2)+((COUNTIF(RE8:RE11,"D"))*1))*CELL("contenu",$B$7),0),IFERROR((((COUNTIF(RE13:RE13,"A"))*4)+((COUNTIF(RE13:RE13,"B"))*3)+((COUNTIF(RE13:RE13,"C"))*2)+((COUNTIF(RE13:RE13,"D"))*1))*CELL("contenu",$B$12),0),IFERROR((((COUNTIF(RE15:RE17,"A"))*4)+((COUNTIF(RE15:RE17,"B"))*3)+((COUNTIF(RE15:RE17,"C"))*2)+((COUNTIF(RE15:RE17,"D"))*1))*CELL("contenu",$B$14),0),IFERROR((((COUNTIF(RE19:RE19,"A"))*4)+((COUNTIF(RE19:RE19,"B"))*3)+((COUNTIF(RE19:RE19,"C"))*2)+((COUNTIF(RE19:RE19,"D"))*1))*CELL("contenu",$B$18),0))/IF(SUM(COUNTA(RE5:RE6)*CELL("contenu",$B$4),COUNTA(RE8:RE11)*CELL("contenu",$B$7),COUNTA(RE13:RE13)*CELL("contenu",$B$12),COUNTA(RE15:RE17)*CELL("contenu",$B$14),COUNTA(RE19:RE19)*CELL("contenu",$B$18))=0,1,SUM(COUNTA(RE5:RE6)*CELL("contenu",$B$4),COUNTA(RE8:RE11)*CELL("contenu",$B$7),COUNTA(RE13:RE13)*CELL("contenu",$B$12),COUNTA(RE15:RE17)*CELL("contenu",$B$14),COUNTA(RE19:RE19)*CELL("contenu",$B$18))))</f>
        <v/>
      </c>
      <c r="RF20" s="184" t="str">
        <f ca="1">IF(COUNTA(RF5:RF19)=0,"",5*SUM(IFERROR((((COUNTIF(RF5:RF6,"A"))*4)+((COUNTIF(RF5:RF6,"B"))*3)+((COUNTIF(RF5:RF6,"C"))*2)+((COUNTIF(RF5:RF6,"D"))*1))*CELL("contenu",$B$4),0),IFERROR((((COUNTIF(RF8:RF11,"A"))*4)+((COUNTIF(RF8:RF11,"B"))*3)+((COUNTIF(RF8:RF11,"C"))*2)+((COUNTIF(RF8:RF11,"D"))*1))*CELL("contenu",$B$7),0),IFERROR((((COUNTIF(RF13:RF13,"A"))*4)+((COUNTIF(RF13:RF13,"B"))*3)+((COUNTIF(RF13:RF13,"C"))*2)+((COUNTIF(RF13:RF13,"D"))*1))*CELL("contenu",$B$12),0),IFERROR((((COUNTIF(RF15:RF17,"A"))*4)+((COUNTIF(RF15:RF17,"B"))*3)+((COUNTIF(RF15:RF17,"C"))*2)+((COUNTIF(RF15:RF17,"D"))*1))*CELL("contenu",$B$14),0),IFERROR((((COUNTIF(RF19:RF19,"A"))*4)+((COUNTIF(RF19:RF19,"B"))*3)+((COUNTIF(RF19:RF19,"C"))*2)+((COUNTIF(RF19:RF19,"D"))*1))*CELL("contenu",$B$18),0))/IF(SUM(COUNTA(RF5:RF6)*CELL("contenu",$B$4),COUNTA(RF8:RF11)*CELL("contenu",$B$7),COUNTA(RF13:RF13)*CELL("contenu",$B$12),COUNTA(RF15:RF17)*CELL("contenu",$B$14),COUNTA(RF19:RF19)*CELL("contenu",$B$18))=0,1,SUM(COUNTA(RF5:RF6)*CELL("contenu",$B$4),COUNTA(RF8:RF11)*CELL("contenu",$B$7),COUNTA(RF13:RF13)*CELL("contenu",$B$12),COUNTA(RF15:RF17)*CELL("contenu",$B$14),COUNTA(RF19:RF19)*CELL("contenu",$B$18))))</f>
        <v/>
      </c>
      <c r="RG20" s="176"/>
      <c r="RH20" s="174" t="str">
        <f ca="1">IF(COUNTA(RD20:RF20)-COUNTBLANK(RD20:RF20)=0,"",SUM(RD20:RF20)/(COUNTA(RD20:RF20)-COUNTBLANK(RD20:RF20)))</f>
        <v/>
      </c>
      <c r="RI20" s="103"/>
      <c r="RJ20" s="141"/>
      <c r="RK20" s="167">
        <f ca="1">IF(COUNTA(RK5:RK19)=0,"",5*SUM(IFERROR((((COUNTIF(RK5:RK6,"A"))*4)+((COUNTIF(RK5:RK6,"B"))*3)+((COUNTIF(RK5:RK6,"C"))*2)+((COUNTIF(RK5:RK6,"D"))*1))*CELL("contenu",$B$4),0),IFERROR((((COUNTIF(RK8:RK11,"A"))*4)+((COUNTIF(RK8:RK11,"B"))*3)+((COUNTIF(RK8:RK11,"C"))*2)+((COUNTIF(RK8:RK11,"D"))*1))*CELL("contenu",$B$7),0),IFERROR((((COUNTIF(RK13:RK13,"A"))*4)+((COUNTIF(RK13:RK13,"B"))*3)+((COUNTIF(RK13:RK13,"C"))*2)+((COUNTIF(RK13:RK13,"D"))*1))*CELL("contenu",$B$12),0),IFERROR((((COUNTIF(RK15:RK17,"A"))*4)+((COUNTIF(RK15:RK17,"B"))*3)+((COUNTIF(RK15:RK17,"C"))*2)+((COUNTIF(RK15:RK17,"D"))*1))*CELL("contenu",$B$14),0),IFERROR((((COUNTIF(RK19:RK19,"A"))*4)+((COUNTIF(RK19:RK19,"B"))*3)+((COUNTIF(RK19:RK19,"C"))*2)+((COUNTIF(RK19:RK19,"D"))*1))*CELL("contenu",$B$18),0))/IF(SUM(COUNTA(RK5:RK6)*CELL("contenu",$B$4),COUNTA(RK8:RK11)*CELL("contenu",$B$7),COUNTA(RK13:RK13)*CELL("contenu",$B$12),COUNTA(RK15:RK17)*CELL("contenu",$B$14),COUNTA(RK19:RK19)*CELL("contenu",$B$18))=0,1,SUM(COUNTA(RK5:RK6)*CELL("contenu",$B$4),COUNTA(RK8:RK11)*CELL("contenu",$B$7),COUNTA(RK13:RK13)*CELL("contenu",$B$12),COUNTA(RK15:RK17)*CELL("contenu",$B$14),COUNTA(RK19:RK19)*CELL("contenu",$B$18))))</f>
        <v>13.333333333333334</v>
      </c>
      <c r="RL20" s="168" t="str">
        <f ca="1">IF(COUNTA(RL5:RL19)=0,"",5*SUM(IFERROR((((COUNTIF(RL5:RL6,"A"))*4)+((COUNTIF(RL5:RL6,"B"))*3)+((COUNTIF(RL5:RL6,"C"))*2)+((COUNTIF(RL5:RL6,"D"))*1))*CELL("contenu",$B$4),0),IFERROR((((COUNTIF(RL8:RL11,"A"))*4)+((COUNTIF(RL8:RL11,"B"))*3)+((COUNTIF(RL8:RL11,"C"))*2)+((COUNTIF(RL8:RL11,"D"))*1))*CELL("contenu",$B$7),0),IFERROR((((COUNTIF(RL13:RL13,"A"))*4)+((COUNTIF(RL13:RL13,"B"))*3)+((COUNTIF(RL13:RL13,"C"))*2)+((COUNTIF(RL13:RL13,"D"))*1))*CELL("contenu",$B$12),0),IFERROR((((COUNTIF(RL15:RL17,"A"))*4)+((COUNTIF(RL15:RL17,"B"))*3)+((COUNTIF(RL15:RL17,"C"))*2)+((COUNTIF(RL15:RL17,"D"))*1))*CELL("contenu",$B$14),0),IFERROR((((COUNTIF(RL19:RL19,"A"))*4)+((COUNTIF(RL19:RL19,"B"))*3)+((COUNTIF(RL19:RL19,"C"))*2)+((COUNTIF(RL19:RL19,"D"))*1))*CELL("contenu",$B$18),0))/IF(SUM(COUNTA(RL5:RL6)*CELL("contenu",$B$4),COUNTA(RL8:RL11)*CELL("contenu",$B$7),COUNTA(RL13:RL13)*CELL("contenu",$B$12),COUNTA(RL15:RL17)*CELL("contenu",$B$14),COUNTA(RL19:RL19)*CELL("contenu",$B$18))=0,1,SUM(COUNTA(RL5:RL6)*CELL("contenu",$B$4),COUNTA(RL8:RL11)*CELL("contenu",$B$7),COUNTA(RL13:RL13)*CELL("contenu",$B$12),COUNTA(RL15:RL17)*CELL("contenu",$B$14),COUNTA(RL19:RL19)*CELL("contenu",$B$18))))</f>
        <v/>
      </c>
      <c r="RM20" s="169" t="str">
        <f ca="1">IF(COUNTA(RM5:RM19)=0,"",5*SUM(IFERROR((((COUNTIF(RM5:RM6,"A"))*4)+((COUNTIF(RM5:RM6,"B"))*3)+((COUNTIF(RM5:RM6,"C"))*2)+((COUNTIF(RM5:RM6,"D"))*1))*CELL("contenu",$B$4),0),IFERROR((((COUNTIF(RM8:RM11,"A"))*4)+((COUNTIF(RM8:RM11,"B"))*3)+((COUNTIF(RM8:RM11,"C"))*2)+((COUNTIF(RM8:RM11,"D"))*1))*CELL("contenu",$B$7),0),IFERROR((((COUNTIF(RM13:RM13,"A"))*4)+((COUNTIF(RM13:RM13,"B"))*3)+((COUNTIF(RM13:RM13,"C"))*2)+((COUNTIF(RM13:RM13,"D"))*1))*CELL("contenu",$B$12),0),IFERROR((((COUNTIF(RM15:RM17,"A"))*4)+((COUNTIF(RM15:RM17,"B"))*3)+((COUNTIF(RM15:RM17,"C"))*2)+((COUNTIF(RM15:RM17,"D"))*1))*CELL("contenu",$B$14),0),IFERROR((((COUNTIF(RM19:RM19,"A"))*4)+((COUNTIF(RM19:RM19,"B"))*3)+((COUNTIF(RM19:RM19,"C"))*2)+((COUNTIF(RM19:RM19,"D"))*1))*CELL("contenu",$B$18),0))/IF(SUM(COUNTA(RM5:RM6)*CELL("contenu",$B$4),COUNTA(RM8:RM11)*CELL("contenu",$B$7),COUNTA(RM13:RM13)*CELL("contenu",$B$12),COUNTA(RM15:RM17)*CELL("contenu",$B$14),COUNTA(RM19:RM19)*CELL("contenu",$B$18))=0,1,SUM(COUNTA(RM5:RM6)*CELL("contenu",$B$4),COUNTA(RM8:RM11)*CELL("contenu",$B$7),COUNTA(RM13:RM13)*CELL("contenu",$B$12),COUNTA(RM15:RM17)*CELL("contenu",$B$14),COUNTA(RM19:RM19)*CELL("contenu",$B$18))))</f>
        <v/>
      </c>
      <c r="RN20" s="116"/>
      <c r="RO20" s="192">
        <f ca="1">IF(COUNTA(RK20:RM20)-COUNTBLANK(RK20:RM20)=0,"",SUM(RK20:RM20)/(COUNTA(RK20:RM20)-COUNTBLANK(RK20:RM20)))</f>
        <v>13.333333333333334</v>
      </c>
      <c r="RP20" s="182" t="str">
        <f ca="1">IF(COUNTA(RP5:RP19)=0,"",5*SUM(IFERROR((((COUNTIF(RP5:RP6,"A"))*4)+((COUNTIF(RP5:RP6,"B"))*3)+((COUNTIF(RP5:RP6,"C"))*2)+((COUNTIF(RP5:RP6,"D"))*1))*CELL("contenu",$B$4),0),IFERROR((((COUNTIF(RP8:RP11,"A"))*4)+((COUNTIF(RP8:RP11,"B"))*3)+((COUNTIF(RP8:RP11,"C"))*2)+((COUNTIF(RP8:RP11,"D"))*1))*CELL("contenu",$B$7),0),IFERROR((((COUNTIF(RP13:RP13,"A"))*4)+((COUNTIF(RP13:RP13,"B"))*3)+((COUNTIF(RP13:RP13,"C"))*2)+((COUNTIF(RP13:RP13,"D"))*1))*CELL("contenu",$B$12),0),IFERROR((((COUNTIF(RP15:RP17,"A"))*4)+((COUNTIF(RP15:RP17,"B"))*3)+((COUNTIF(RP15:RP17,"C"))*2)+((COUNTIF(RP15:RP17,"D"))*1))*CELL("contenu",$B$14),0),IFERROR((((COUNTIF(RP19:RP19,"A"))*4)+((COUNTIF(RP19:RP19,"B"))*3)+((COUNTIF(RP19:RP19,"C"))*2)+((COUNTIF(RP19:RP19,"D"))*1))*CELL("contenu",$B$18),0))/IF(SUM(COUNTA(RP5:RP6)*CELL("contenu",$B$4),COUNTA(RP8:RP11)*CELL("contenu",$B$7),COUNTA(RP13:RP13)*CELL("contenu",$B$12),COUNTA(RP15:RP17)*CELL("contenu",$B$14),COUNTA(RP19:RP19)*CELL("contenu",$B$18))=0,1,SUM(COUNTA(RP5:RP6)*CELL("contenu",$B$4),COUNTA(RP8:RP11)*CELL("contenu",$B$7),COUNTA(RP13:RP13)*CELL("contenu",$B$12),COUNTA(RP15:RP17)*CELL("contenu",$B$14),COUNTA(RP19:RP19)*CELL("contenu",$B$18))))</f>
        <v/>
      </c>
      <c r="RQ20" s="183" t="str">
        <f ca="1">IF(COUNTA(RQ5:RQ19)=0,"",5*SUM(IFERROR((((COUNTIF(RQ5:RQ6,"A"))*4)+((COUNTIF(RQ5:RQ6,"B"))*3)+((COUNTIF(RQ5:RQ6,"C"))*2)+((COUNTIF(RQ5:RQ6,"D"))*1))*CELL("contenu",$B$4),0),IFERROR((((COUNTIF(RQ8:RQ11,"A"))*4)+((COUNTIF(RQ8:RQ11,"B"))*3)+((COUNTIF(RQ8:RQ11,"C"))*2)+((COUNTIF(RQ8:RQ11,"D"))*1))*CELL("contenu",$B$7),0),IFERROR((((COUNTIF(RQ13:RQ13,"A"))*4)+((COUNTIF(RQ13:RQ13,"B"))*3)+((COUNTIF(RQ13:RQ13,"C"))*2)+((COUNTIF(RQ13:RQ13,"D"))*1))*CELL("contenu",$B$12),0),IFERROR((((COUNTIF(RQ15:RQ17,"A"))*4)+((COUNTIF(RQ15:RQ17,"B"))*3)+((COUNTIF(RQ15:RQ17,"C"))*2)+((COUNTIF(RQ15:RQ17,"D"))*1))*CELL("contenu",$B$14),0),IFERROR((((COUNTIF(RQ19:RQ19,"A"))*4)+((COUNTIF(RQ19:RQ19,"B"))*3)+((COUNTIF(RQ19:RQ19,"C"))*2)+((COUNTIF(RQ19:RQ19,"D"))*1))*CELL("contenu",$B$18),0))/IF(SUM(COUNTA(RQ5:RQ6)*CELL("contenu",$B$4),COUNTA(RQ8:RQ11)*CELL("contenu",$B$7),COUNTA(RQ13:RQ13)*CELL("contenu",$B$12),COUNTA(RQ15:RQ17)*CELL("contenu",$B$14),COUNTA(RQ19:RQ19)*CELL("contenu",$B$18))=0,1,SUM(COUNTA(RQ5:RQ6)*CELL("contenu",$B$4),COUNTA(RQ8:RQ11)*CELL("contenu",$B$7),COUNTA(RQ13:RQ13)*CELL("contenu",$B$12),COUNTA(RQ15:RQ17)*CELL("contenu",$B$14),COUNTA(RQ19:RQ19)*CELL("contenu",$B$18))))</f>
        <v/>
      </c>
      <c r="RR20" s="184" t="str">
        <f ca="1">IF(COUNTA(RR5:RR19)=0,"",5*SUM(IFERROR((((COUNTIF(RR5:RR6,"A"))*4)+((COUNTIF(RR5:RR6,"B"))*3)+((COUNTIF(RR5:RR6,"C"))*2)+((COUNTIF(RR5:RR6,"D"))*1))*CELL("contenu",$B$4),0),IFERROR((((COUNTIF(RR8:RR11,"A"))*4)+((COUNTIF(RR8:RR11,"B"))*3)+((COUNTIF(RR8:RR11,"C"))*2)+((COUNTIF(RR8:RR11,"D"))*1))*CELL("contenu",$B$7),0),IFERROR((((COUNTIF(RR13:RR13,"A"))*4)+((COUNTIF(RR13:RR13,"B"))*3)+((COUNTIF(RR13:RR13,"C"))*2)+((COUNTIF(RR13:RR13,"D"))*1))*CELL("contenu",$B$12),0),IFERROR((((COUNTIF(RR15:RR17,"A"))*4)+((COUNTIF(RR15:RR17,"B"))*3)+((COUNTIF(RR15:RR17,"C"))*2)+((COUNTIF(RR15:RR17,"D"))*1))*CELL("contenu",$B$14),0),IFERROR((((COUNTIF(RR19:RR19,"A"))*4)+((COUNTIF(RR19:RR19,"B"))*3)+((COUNTIF(RR19:RR19,"C"))*2)+((COUNTIF(RR19:RR19,"D"))*1))*CELL("contenu",$B$18),0))/IF(SUM(COUNTA(RR5:RR6)*CELL("contenu",$B$4),COUNTA(RR8:RR11)*CELL("contenu",$B$7),COUNTA(RR13:RR13)*CELL("contenu",$B$12),COUNTA(RR15:RR17)*CELL("contenu",$B$14),COUNTA(RR19:RR19)*CELL("contenu",$B$18))=0,1,SUM(COUNTA(RR5:RR6)*CELL("contenu",$B$4),COUNTA(RR8:RR11)*CELL("contenu",$B$7),COUNTA(RR13:RR13)*CELL("contenu",$B$12),COUNTA(RR15:RR17)*CELL("contenu",$B$14),COUNTA(RR19:RR19)*CELL("contenu",$B$18))))</f>
        <v/>
      </c>
      <c r="RS20" s="176"/>
      <c r="RT20" s="175" t="str">
        <f ca="1">IF(COUNTA(RP20:RR20)-COUNTBLANK(RP20:RR20)=0,"",SUM(RP20:RR20)/(COUNTA(RP20:RR20)-COUNTBLANK(RP20:RR20)))</f>
        <v/>
      </c>
      <c r="RU20" s="182" t="str">
        <f ca="1">IF(COUNTA(RU5:RU19)=0,"",5*SUM(IFERROR((((COUNTIF(RU5:RU6,"A"))*4)+((COUNTIF(RU5:RU6,"B"))*3)+((COUNTIF(RU5:RU6,"C"))*2)+((COUNTIF(RU5:RU6,"D"))*1))*CELL("contenu",$B$4),0),IFERROR((((COUNTIF(RU8:RU11,"A"))*4)+((COUNTIF(RU8:RU11,"B"))*3)+((COUNTIF(RU8:RU11,"C"))*2)+((COUNTIF(RU8:RU11,"D"))*1))*CELL("contenu",$B$7),0),IFERROR((((COUNTIF(RU13:RU13,"A"))*4)+((COUNTIF(RU13:RU13,"B"))*3)+((COUNTIF(RU13:RU13,"C"))*2)+((COUNTIF(RU13:RU13,"D"))*1))*CELL("contenu",$B$12),0),IFERROR((((COUNTIF(RU15:RU17,"A"))*4)+((COUNTIF(RU15:RU17,"B"))*3)+((COUNTIF(RU15:RU17,"C"))*2)+((COUNTIF(RU15:RU17,"D"))*1))*CELL("contenu",$B$14),0),IFERROR((((COUNTIF(RU19:RU19,"A"))*4)+((COUNTIF(RU19:RU19,"B"))*3)+((COUNTIF(RU19:RU19,"C"))*2)+((COUNTIF(RU19:RU19,"D"))*1))*CELL("contenu",$B$18),0))/IF(SUM(COUNTA(RU5:RU6)*CELL("contenu",$B$4),COUNTA(RU8:RU11)*CELL("contenu",$B$7),COUNTA(RU13:RU13)*CELL("contenu",$B$12),COUNTA(RU15:RU17)*CELL("contenu",$B$14),COUNTA(RU19:RU19)*CELL("contenu",$B$18))=0,1,SUM(COUNTA(RU5:RU6)*CELL("contenu",$B$4),COUNTA(RU8:RU11)*CELL("contenu",$B$7),COUNTA(RU13:RU13)*CELL("contenu",$B$12),COUNTA(RU15:RU17)*CELL("contenu",$B$14),COUNTA(RU19:RU19)*CELL("contenu",$B$18))))</f>
        <v/>
      </c>
      <c r="RV20" s="183" t="str">
        <f ca="1">IF(COUNTA(RV5:RV19)=0,"",5*SUM(IFERROR((((COUNTIF(RV5:RV6,"A"))*4)+((COUNTIF(RV5:RV6,"B"))*3)+((COUNTIF(RV5:RV6,"C"))*2)+((COUNTIF(RV5:RV6,"D"))*1))*CELL("contenu",$B$4),0),IFERROR((((COUNTIF(RV8:RV11,"A"))*4)+((COUNTIF(RV8:RV11,"B"))*3)+((COUNTIF(RV8:RV11,"C"))*2)+((COUNTIF(RV8:RV11,"D"))*1))*CELL("contenu",$B$7),0),IFERROR((((COUNTIF(RV13:RV13,"A"))*4)+((COUNTIF(RV13:RV13,"B"))*3)+((COUNTIF(RV13:RV13,"C"))*2)+((COUNTIF(RV13:RV13,"D"))*1))*CELL("contenu",$B$12),0),IFERROR((((COUNTIF(RV15:RV17,"A"))*4)+((COUNTIF(RV15:RV17,"B"))*3)+((COUNTIF(RV15:RV17,"C"))*2)+((COUNTIF(RV15:RV17,"D"))*1))*CELL("contenu",$B$14),0),IFERROR((((COUNTIF(RV19:RV19,"A"))*4)+((COUNTIF(RV19:RV19,"B"))*3)+((COUNTIF(RV19:RV19,"C"))*2)+((COUNTIF(RV19:RV19,"D"))*1))*CELL("contenu",$B$18),0))/IF(SUM(COUNTA(RV5:RV6)*CELL("contenu",$B$4),COUNTA(RV8:RV11)*CELL("contenu",$B$7),COUNTA(RV13:RV13)*CELL("contenu",$B$12),COUNTA(RV15:RV17)*CELL("contenu",$B$14),COUNTA(RV19:RV19)*CELL("contenu",$B$18))=0,1,SUM(COUNTA(RV5:RV6)*CELL("contenu",$B$4),COUNTA(RV8:RV11)*CELL("contenu",$B$7),COUNTA(RV13:RV13)*CELL("contenu",$B$12),COUNTA(RV15:RV17)*CELL("contenu",$B$14),COUNTA(RV19:RV19)*CELL("contenu",$B$18))))</f>
        <v/>
      </c>
      <c r="RW20" s="184" t="str">
        <f ca="1">IF(COUNTA(RW5:RW19)=0,"",5*SUM(IFERROR((((COUNTIF(RW5:RW6,"A"))*4)+((COUNTIF(RW5:RW6,"B"))*3)+((COUNTIF(RW5:RW6,"C"))*2)+((COUNTIF(RW5:RW6,"D"))*1))*CELL("contenu",$B$4),0),IFERROR((((COUNTIF(RW8:RW11,"A"))*4)+((COUNTIF(RW8:RW11,"B"))*3)+((COUNTIF(RW8:RW11,"C"))*2)+((COUNTIF(RW8:RW11,"D"))*1))*CELL("contenu",$B$7),0),IFERROR((((COUNTIF(RW13:RW13,"A"))*4)+((COUNTIF(RW13:RW13,"B"))*3)+((COUNTIF(RW13:RW13,"C"))*2)+((COUNTIF(RW13:RW13,"D"))*1))*CELL("contenu",$B$12),0),IFERROR((((COUNTIF(RW15:RW17,"A"))*4)+((COUNTIF(RW15:RW17,"B"))*3)+((COUNTIF(RW15:RW17,"C"))*2)+((COUNTIF(RW15:RW17,"D"))*1))*CELL("contenu",$B$14),0),IFERROR((((COUNTIF(RW19:RW19,"A"))*4)+((COUNTIF(RW19:RW19,"B"))*3)+((COUNTIF(RW19:RW19,"C"))*2)+((COUNTIF(RW19:RW19,"D"))*1))*CELL("contenu",$B$18),0))/IF(SUM(COUNTA(RW5:RW6)*CELL("contenu",$B$4),COUNTA(RW8:RW11)*CELL("contenu",$B$7),COUNTA(RW13:RW13)*CELL("contenu",$B$12),COUNTA(RW15:RW17)*CELL("contenu",$B$14),COUNTA(RW19:RW19)*CELL("contenu",$B$18))=0,1,SUM(COUNTA(RW5:RW6)*CELL("contenu",$B$4),COUNTA(RW8:RW11)*CELL("contenu",$B$7),COUNTA(RW13:RW13)*CELL("contenu",$B$12),COUNTA(RW15:RW17)*CELL("contenu",$B$14),COUNTA(RW19:RW19)*CELL("contenu",$B$18))))</f>
        <v/>
      </c>
      <c r="RX20" s="176"/>
      <c r="RY20" s="174" t="str">
        <f ca="1">IF(COUNTA(RU20:RW20)-COUNTBLANK(RU20:RW20)=0,"",SUM(RU20:RW20)/(COUNTA(RU20:RW20)-COUNTBLANK(RU20:RW20)))</f>
        <v/>
      </c>
      <c r="RZ20" s="103"/>
      <c r="SA20" s="141"/>
      <c r="SB20" s="167" t="str">
        <f ca="1">IF(COUNTA(SB5:SB19)=0,"",5*SUM(IFERROR((((COUNTIF(SB5:SB6,"A"))*4)+((COUNTIF(SB5:SB6,"B"))*3)+((COUNTIF(SB5:SB6,"C"))*2)+((COUNTIF(SB5:SB6,"D"))*1))*CELL("contenu",$B$4),0),IFERROR((((COUNTIF(SB8:SB11,"A"))*4)+((COUNTIF(SB8:SB11,"B"))*3)+((COUNTIF(SB8:SB11,"C"))*2)+((COUNTIF(SB8:SB11,"D"))*1))*CELL("contenu",$B$7),0),IFERROR((((COUNTIF(SB13:SB13,"A"))*4)+((COUNTIF(SB13:SB13,"B"))*3)+((COUNTIF(SB13:SB13,"C"))*2)+((COUNTIF(SB13:SB13,"D"))*1))*CELL("contenu",$B$12),0),IFERROR((((COUNTIF(SB15:SB17,"A"))*4)+((COUNTIF(SB15:SB17,"B"))*3)+((COUNTIF(SB15:SB17,"C"))*2)+((COUNTIF(SB15:SB17,"D"))*1))*CELL("contenu",$B$14),0),IFERROR((((COUNTIF(SB19:SB19,"A"))*4)+((COUNTIF(SB19:SB19,"B"))*3)+((COUNTIF(SB19:SB19,"C"))*2)+((COUNTIF(SB19:SB19,"D"))*1))*CELL("contenu",$B$18),0))/IF(SUM(COUNTA(SB5:SB6)*CELL("contenu",$B$4),COUNTA(SB8:SB11)*CELL("contenu",$B$7),COUNTA(SB13:SB13)*CELL("contenu",$B$12),COUNTA(SB15:SB17)*CELL("contenu",$B$14),COUNTA(SB19:SB19)*CELL("contenu",$B$18))=0,1,SUM(COUNTA(SB5:SB6)*CELL("contenu",$B$4),COUNTA(SB8:SB11)*CELL("contenu",$B$7),COUNTA(SB13:SB13)*CELL("contenu",$B$12),COUNTA(SB15:SB17)*CELL("contenu",$B$14),COUNTA(SB19:SB19)*CELL("contenu",$B$18))))</f>
        <v/>
      </c>
      <c r="SC20" s="168" t="str">
        <f ca="1">IF(COUNTA(SC5:SC19)=0,"",5*SUM(IFERROR((((COUNTIF(SC5:SC6,"A"))*4)+((COUNTIF(SC5:SC6,"B"))*3)+((COUNTIF(SC5:SC6,"C"))*2)+((COUNTIF(SC5:SC6,"D"))*1))*CELL("contenu",$B$4),0),IFERROR((((COUNTIF(SC8:SC11,"A"))*4)+((COUNTIF(SC8:SC11,"B"))*3)+((COUNTIF(SC8:SC11,"C"))*2)+((COUNTIF(SC8:SC11,"D"))*1))*CELL("contenu",$B$7),0),IFERROR((((COUNTIF(SC13:SC13,"A"))*4)+((COUNTIF(SC13:SC13,"B"))*3)+((COUNTIF(SC13:SC13,"C"))*2)+((COUNTIF(SC13:SC13,"D"))*1))*CELL("contenu",$B$12),0),IFERROR((((COUNTIF(SC15:SC17,"A"))*4)+((COUNTIF(SC15:SC17,"B"))*3)+((COUNTIF(SC15:SC17,"C"))*2)+((COUNTIF(SC15:SC17,"D"))*1))*CELL("contenu",$B$14),0),IFERROR((((COUNTIF(SC19:SC19,"A"))*4)+((COUNTIF(SC19:SC19,"B"))*3)+((COUNTIF(SC19:SC19,"C"))*2)+((COUNTIF(SC19:SC19,"D"))*1))*CELL("contenu",$B$18),0))/IF(SUM(COUNTA(SC5:SC6)*CELL("contenu",$B$4),COUNTA(SC8:SC11)*CELL("contenu",$B$7),COUNTA(SC13:SC13)*CELL("contenu",$B$12),COUNTA(SC15:SC17)*CELL("contenu",$B$14),COUNTA(SC19:SC19)*CELL("contenu",$B$18))=0,1,SUM(COUNTA(SC5:SC6)*CELL("contenu",$B$4),COUNTA(SC8:SC11)*CELL("contenu",$B$7),COUNTA(SC13:SC13)*CELL("contenu",$B$12),COUNTA(SC15:SC17)*CELL("contenu",$B$14),COUNTA(SC19:SC19)*CELL("contenu",$B$18))))</f>
        <v/>
      </c>
      <c r="SD20" s="169" t="str">
        <f ca="1">IF(COUNTA(SD5:SD19)=0,"",5*SUM(IFERROR((((COUNTIF(SD5:SD6,"A"))*4)+((COUNTIF(SD5:SD6,"B"))*3)+((COUNTIF(SD5:SD6,"C"))*2)+((COUNTIF(SD5:SD6,"D"))*1))*CELL("contenu",$B$4),0),IFERROR((((COUNTIF(SD8:SD11,"A"))*4)+((COUNTIF(SD8:SD11,"B"))*3)+((COUNTIF(SD8:SD11,"C"))*2)+((COUNTIF(SD8:SD11,"D"))*1))*CELL("contenu",$B$7),0),IFERROR((((COUNTIF(SD13:SD13,"A"))*4)+((COUNTIF(SD13:SD13,"B"))*3)+((COUNTIF(SD13:SD13,"C"))*2)+((COUNTIF(SD13:SD13,"D"))*1))*CELL("contenu",$B$12),0),IFERROR((((COUNTIF(SD15:SD17,"A"))*4)+((COUNTIF(SD15:SD17,"B"))*3)+((COUNTIF(SD15:SD17,"C"))*2)+((COUNTIF(SD15:SD17,"D"))*1))*CELL("contenu",$B$14),0),IFERROR((((COUNTIF(SD19:SD19,"A"))*4)+((COUNTIF(SD19:SD19,"B"))*3)+((COUNTIF(SD19:SD19,"C"))*2)+((COUNTIF(SD19:SD19,"D"))*1))*CELL("contenu",$B$18),0))/IF(SUM(COUNTA(SD5:SD6)*CELL("contenu",$B$4),COUNTA(SD8:SD11)*CELL("contenu",$B$7),COUNTA(SD13:SD13)*CELL("contenu",$B$12),COUNTA(SD15:SD17)*CELL("contenu",$B$14),COUNTA(SD19:SD19)*CELL("contenu",$B$18))=0,1,SUM(COUNTA(SD5:SD6)*CELL("contenu",$B$4),COUNTA(SD8:SD11)*CELL("contenu",$B$7),COUNTA(SD13:SD13)*CELL("contenu",$B$12),COUNTA(SD15:SD17)*CELL("contenu",$B$14),COUNTA(SD19:SD19)*CELL("contenu",$B$18))))</f>
        <v/>
      </c>
      <c r="SE20" s="116"/>
      <c r="SF20" s="192" t="str">
        <f ca="1">IF(COUNTA(SB20:SD20)-COUNTBLANK(SB20:SD20)=0,"",SUM(SB20:SD20)/(COUNTA(SB20:SD20)-COUNTBLANK(SB20:SD20)))</f>
        <v/>
      </c>
      <c r="SG20" s="182" t="str">
        <f ca="1">IF(COUNTA(SG5:SG19)=0,"",5*SUM(IFERROR((((COUNTIF(SG5:SG6,"A"))*4)+((COUNTIF(SG5:SG6,"B"))*3)+((COUNTIF(SG5:SG6,"C"))*2)+((COUNTIF(SG5:SG6,"D"))*1))*CELL("contenu",$B$4),0),IFERROR((((COUNTIF(SG8:SG11,"A"))*4)+((COUNTIF(SG8:SG11,"B"))*3)+((COUNTIF(SG8:SG11,"C"))*2)+((COUNTIF(SG8:SG11,"D"))*1))*CELL("contenu",$B$7),0),IFERROR((((COUNTIF(SG13:SG13,"A"))*4)+((COUNTIF(SG13:SG13,"B"))*3)+((COUNTIF(SG13:SG13,"C"))*2)+((COUNTIF(SG13:SG13,"D"))*1))*CELL("contenu",$B$12),0),IFERROR((((COUNTIF(SG15:SG17,"A"))*4)+((COUNTIF(SG15:SG17,"B"))*3)+((COUNTIF(SG15:SG17,"C"))*2)+((COUNTIF(SG15:SG17,"D"))*1))*CELL("contenu",$B$14),0),IFERROR((((COUNTIF(SG19:SG19,"A"))*4)+((COUNTIF(SG19:SG19,"B"))*3)+((COUNTIF(SG19:SG19,"C"))*2)+((COUNTIF(SG19:SG19,"D"))*1))*CELL("contenu",$B$18),0))/IF(SUM(COUNTA(SG5:SG6)*CELL("contenu",$B$4),COUNTA(SG8:SG11)*CELL("contenu",$B$7),COUNTA(SG13:SG13)*CELL("contenu",$B$12),COUNTA(SG15:SG17)*CELL("contenu",$B$14),COUNTA(SG19:SG19)*CELL("contenu",$B$18))=0,1,SUM(COUNTA(SG5:SG6)*CELL("contenu",$B$4),COUNTA(SG8:SG11)*CELL("contenu",$B$7),COUNTA(SG13:SG13)*CELL("contenu",$B$12),COUNTA(SG15:SG17)*CELL("contenu",$B$14),COUNTA(SG19:SG19)*CELL("contenu",$B$18))))</f>
        <v/>
      </c>
      <c r="SH20" s="183" t="str">
        <f ca="1">IF(COUNTA(SH5:SH19)=0,"",5*SUM(IFERROR((((COUNTIF(SH5:SH6,"A"))*4)+((COUNTIF(SH5:SH6,"B"))*3)+((COUNTIF(SH5:SH6,"C"))*2)+((COUNTIF(SH5:SH6,"D"))*1))*CELL("contenu",$B$4),0),IFERROR((((COUNTIF(SH8:SH11,"A"))*4)+((COUNTIF(SH8:SH11,"B"))*3)+((COUNTIF(SH8:SH11,"C"))*2)+((COUNTIF(SH8:SH11,"D"))*1))*CELL("contenu",$B$7),0),IFERROR((((COUNTIF(SH13:SH13,"A"))*4)+((COUNTIF(SH13:SH13,"B"))*3)+((COUNTIF(SH13:SH13,"C"))*2)+((COUNTIF(SH13:SH13,"D"))*1))*CELL("contenu",$B$12),0),IFERROR((((COUNTIF(SH15:SH17,"A"))*4)+((COUNTIF(SH15:SH17,"B"))*3)+((COUNTIF(SH15:SH17,"C"))*2)+((COUNTIF(SH15:SH17,"D"))*1))*CELL("contenu",$B$14),0),IFERROR((((COUNTIF(SH19:SH19,"A"))*4)+((COUNTIF(SH19:SH19,"B"))*3)+((COUNTIF(SH19:SH19,"C"))*2)+((COUNTIF(SH19:SH19,"D"))*1))*CELL("contenu",$B$18),0))/IF(SUM(COUNTA(SH5:SH6)*CELL("contenu",$B$4),COUNTA(SH8:SH11)*CELL("contenu",$B$7),COUNTA(SH13:SH13)*CELL("contenu",$B$12),COUNTA(SH15:SH17)*CELL("contenu",$B$14),COUNTA(SH19:SH19)*CELL("contenu",$B$18))=0,1,SUM(COUNTA(SH5:SH6)*CELL("contenu",$B$4),COUNTA(SH8:SH11)*CELL("contenu",$B$7),COUNTA(SH13:SH13)*CELL("contenu",$B$12),COUNTA(SH15:SH17)*CELL("contenu",$B$14),COUNTA(SH19:SH19)*CELL("contenu",$B$18))))</f>
        <v/>
      </c>
      <c r="SI20" s="184" t="str">
        <f ca="1">IF(COUNTA(SI5:SI19)=0,"",5*SUM(IFERROR((((COUNTIF(SI5:SI6,"A"))*4)+((COUNTIF(SI5:SI6,"B"))*3)+((COUNTIF(SI5:SI6,"C"))*2)+((COUNTIF(SI5:SI6,"D"))*1))*CELL("contenu",$B$4),0),IFERROR((((COUNTIF(SI8:SI11,"A"))*4)+((COUNTIF(SI8:SI11,"B"))*3)+((COUNTIF(SI8:SI11,"C"))*2)+((COUNTIF(SI8:SI11,"D"))*1))*CELL("contenu",$B$7),0),IFERROR((((COUNTIF(SI13:SI13,"A"))*4)+((COUNTIF(SI13:SI13,"B"))*3)+((COUNTIF(SI13:SI13,"C"))*2)+((COUNTIF(SI13:SI13,"D"))*1))*CELL("contenu",$B$12),0),IFERROR((((COUNTIF(SI15:SI17,"A"))*4)+((COUNTIF(SI15:SI17,"B"))*3)+((COUNTIF(SI15:SI17,"C"))*2)+((COUNTIF(SI15:SI17,"D"))*1))*CELL("contenu",$B$14),0),IFERROR((((COUNTIF(SI19:SI19,"A"))*4)+((COUNTIF(SI19:SI19,"B"))*3)+((COUNTIF(SI19:SI19,"C"))*2)+((COUNTIF(SI19:SI19,"D"))*1))*CELL("contenu",$B$18),0))/IF(SUM(COUNTA(SI5:SI6)*CELL("contenu",$B$4),COUNTA(SI8:SI11)*CELL("contenu",$B$7),COUNTA(SI13:SI13)*CELL("contenu",$B$12),COUNTA(SI15:SI17)*CELL("contenu",$B$14),COUNTA(SI19:SI19)*CELL("contenu",$B$18))=0,1,SUM(COUNTA(SI5:SI6)*CELL("contenu",$B$4),COUNTA(SI8:SI11)*CELL("contenu",$B$7),COUNTA(SI13:SI13)*CELL("contenu",$B$12),COUNTA(SI15:SI17)*CELL("contenu",$B$14),COUNTA(SI19:SI19)*CELL("contenu",$B$18))))</f>
        <v/>
      </c>
      <c r="SJ20" s="176"/>
      <c r="SK20" s="175" t="str">
        <f ca="1">IF(COUNTA(SG20:SI20)-COUNTBLANK(SG20:SI20)=0,"",SUM(SG20:SI20)/(COUNTA(SG20:SI20)-COUNTBLANK(SG20:SI20)))</f>
        <v/>
      </c>
      <c r="SL20" s="182" t="str">
        <f ca="1">IF(COUNTA(SL5:SL19)=0,"",5*SUM(IFERROR((((COUNTIF(SL5:SL6,"A"))*4)+((COUNTIF(SL5:SL6,"B"))*3)+((COUNTIF(SL5:SL6,"C"))*2)+((COUNTIF(SL5:SL6,"D"))*1))*CELL("contenu",$B$4),0),IFERROR((((COUNTIF(SL8:SL11,"A"))*4)+((COUNTIF(SL8:SL11,"B"))*3)+((COUNTIF(SL8:SL11,"C"))*2)+((COUNTIF(SL8:SL11,"D"))*1))*CELL("contenu",$B$7),0),IFERROR((((COUNTIF(SL13:SL13,"A"))*4)+((COUNTIF(SL13:SL13,"B"))*3)+((COUNTIF(SL13:SL13,"C"))*2)+((COUNTIF(SL13:SL13,"D"))*1))*CELL("contenu",$B$12),0),IFERROR((((COUNTIF(SL15:SL17,"A"))*4)+((COUNTIF(SL15:SL17,"B"))*3)+((COUNTIF(SL15:SL17,"C"))*2)+((COUNTIF(SL15:SL17,"D"))*1))*CELL("contenu",$B$14),0),IFERROR((((COUNTIF(SL19:SL19,"A"))*4)+((COUNTIF(SL19:SL19,"B"))*3)+((COUNTIF(SL19:SL19,"C"))*2)+((COUNTIF(SL19:SL19,"D"))*1))*CELL("contenu",$B$18),0))/IF(SUM(COUNTA(SL5:SL6)*CELL("contenu",$B$4),COUNTA(SL8:SL11)*CELL("contenu",$B$7),COUNTA(SL13:SL13)*CELL("contenu",$B$12),COUNTA(SL15:SL17)*CELL("contenu",$B$14),COUNTA(SL19:SL19)*CELL("contenu",$B$18))=0,1,SUM(COUNTA(SL5:SL6)*CELL("contenu",$B$4),COUNTA(SL8:SL11)*CELL("contenu",$B$7),COUNTA(SL13:SL13)*CELL("contenu",$B$12),COUNTA(SL15:SL17)*CELL("contenu",$B$14),COUNTA(SL19:SL19)*CELL("contenu",$B$18))))</f>
        <v/>
      </c>
      <c r="SM20" s="183" t="str">
        <f ca="1">IF(COUNTA(SM5:SM19)=0,"",5*SUM(IFERROR((((COUNTIF(SM5:SM6,"A"))*4)+((COUNTIF(SM5:SM6,"B"))*3)+((COUNTIF(SM5:SM6,"C"))*2)+((COUNTIF(SM5:SM6,"D"))*1))*CELL("contenu",$B$4),0),IFERROR((((COUNTIF(SM8:SM11,"A"))*4)+((COUNTIF(SM8:SM11,"B"))*3)+((COUNTIF(SM8:SM11,"C"))*2)+((COUNTIF(SM8:SM11,"D"))*1))*CELL("contenu",$B$7),0),IFERROR((((COUNTIF(SM13:SM13,"A"))*4)+((COUNTIF(SM13:SM13,"B"))*3)+((COUNTIF(SM13:SM13,"C"))*2)+((COUNTIF(SM13:SM13,"D"))*1))*CELL("contenu",$B$12),0),IFERROR((((COUNTIF(SM15:SM17,"A"))*4)+((COUNTIF(SM15:SM17,"B"))*3)+((COUNTIF(SM15:SM17,"C"))*2)+((COUNTIF(SM15:SM17,"D"))*1))*CELL("contenu",$B$14),0),IFERROR((((COUNTIF(SM19:SM19,"A"))*4)+((COUNTIF(SM19:SM19,"B"))*3)+((COUNTIF(SM19:SM19,"C"))*2)+((COUNTIF(SM19:SM19,"D"))*1))*CELL("contenu",$B$18),0))/IF(SUM(COUNTA(SM5:SM6)*CELL("contenu",$B$4),COUNTA(SM8:SM11)*CELL("contenu",$B$7),COUNTA(SM13:SM13)*CELL("contenu",$B$12),COUNTA(SM15:SM17)*CELL("contenu",$B$14),COUNTA(SM19:SM19)*CELL("contenu",$B$18))=0,1,SUM(COUNTA(SM5:SM6)*CELL("contenu",$B$4),COUNTA(SM8:SM11)*CELL("contenu",$B$7),COUNTA(SM13:SM13)*CELL("contenu",$B$12),COUNTA(SM15:SM17)*CELL("contenu",$B$14),COUNTA(SM19:SM19)*CELL("contenu",$B$18))))</f>
        <v/>
      </c>
      <c r="SN20" s="184" t="str">
        <f ca="1">IF(COUNTA(SN5:SN19)=0,"",5*SUM(IFERROR((((COUNTIF(SN5:SN6,"A"))*4)+((COUNTIF(SN5:SN6,"B"))*3)+((COUNTIF(SN5:SN6,"C"))*2)+((COUNTIF(SN5:SN6,"D"))*1))*CELL("contenu",$B$4),0),IFERROR((((COUNTIF(SN8:SN11,"A"))*4)+((COUNTIF(SN8:SN11,"B"))*3)+((COUNTIF(SN8:SN11,"C"))*2)+((COUNTIF(SN8:SN11,"D"))*1))*CELL("contenu",$B$7),0),IFERROR((((COUNTIF(SN13:SN13,"A"))*4)+((COUNTIF(SN13:SN13,"B"))*3)+((COUNTIF(SN13:SN13,"C"))*2)+((COUNTIF(SN13:SN13,"D"))*1))*CELL("contenu",$B$12),0),IFERROR((((COUNTIF(SN15:SN17,"A"))*4)+((COUNTIF(SN15:SN17,"B"))*3)+((COUNTIF(SN15:SN17,"C"))*2)+((COUNTIF(SN15:SN17,"D"))*1))*CELL("contenu",$B$14),0),IFERROR((((COUNTIF(SN19:SN19,"A"))*4)+((COUNTIF(SN19:SN19,"B"))*3)+((COUNTIF(SN19:SN19,"C"))*2)+((COUNTIF(SN19:SN19,"D"))*1))*CELL("contenu",$B$18),0))/IF(SUM(COUNTA(SN5:SN6)*CELL("contenu",$B$4),COUNTA(SN8:SN11)*CELL("contenu",$B$7),COUNTA(SN13:SN13)*CELL("contenu",$B$12),COUNTA(SN15:SN17)*CELL("contenu",$B$14),COUNTA(SN19:SN19)*CELL("contenu",$B$18))=0,1,SUM(COUNTA(SN5:SN6)*CELL("contenu",$B$4),COUNTA(SN8:SN11)*CELL("contenu",$B$7),COUNTA(SN13:SN13)*CELL("contenu",$B$12),COUNTA(SN15:SN17)*CELL("contenu",$B$14),COUNTA(SN19:SN19)*CELL("contenu",$B$18))))</f>
        <v/>
      </c>
      <c r="SO20" s="176"/>
      <c r="SP20" s="174" t="str">
        <f ca="1">IF(COUNTA(SL20:SN20)-COUNTBLANK(SL20:SN20)=0,"",SUM(SL20:SN20)/(COUNTA(SL20:SN20)-COUNTBLANK(SL20:SN20)))</f>
        <v/>
      </c>
      <c r="SQ20" s="103"/>
      <c r="SR20" s="141"/>
    </row>
    <row r="21" spans="1:512" s="142" customFormat="1" ht="16.5" x14ac:dyDescent="0.3">
      <c r="A21" s="170"/>
      <c r="B21" s="170"/>
      <c r="C21" s="199"/>
      <c r="D21" s="199"/>
      <c r="E21" s="199"/>
      <c r="F21" s="170"/>
      <c r="G21" s="170"/>
      <c r="R21" s="143"/>
      <c r="S21" s="143"/>
      <c r="AI21" s="143"/>
      <c r="AJ21" s="143"/>
      <c r="AZ21" s="143"/>
      <c r="BA21" s="143"/>
      <c r="BQ21" s="143"/>
      <c r="BR21" s="143"/>
      <c r="CH21" s="143"/>
      <c r="CI21" s="143"/>
      <c r="CY21" s="143"/>
      <c r="CZ21" s="143"/>
      <c r="DP21" s="143"/>
      <c r="DQ21" s="143"/>
      <c r="EG21" s="143"/>
      <c r="EH21" s="143"/>
      <c r="EX21" s="143"/>
      <c r="EY21" s="143"/>
      <c r="FO21" s="143"/>
      <c r="FP21" s="143"/>
      <c r="GF21" s="143"/>
      <c r="GG21" s="143"/>
      <c r="GW21" s="143"/>
      <c r="GX21" s="143"/>
      <c r="HN21" s="143"/>
      <c r="HO21" s="143"/>
      <c r="IE21" s="143"/>
      <c r="IF21" s="143"/>
      <c r="IV21" s="143"/>
      <c r="IW21" s="143"/>
      <c r="JM21" s="143"/>
      <c r="JN21" s="143"/>
      <c r="KD21" s="143"/>
      <c r="KE21" s="143"/>
      <c r="KU21" s="143"/>
      <c r="KV21" s="143"/>
      <c r="LL21" s="143"/>
      <c r="LM21" s="143"/>
      <c r="MC21" s="143"/>
      <c r="MD21" s="143"/>
      <c r="MT21" s="143"/>
      <c r="MU21" s="143"/>
      <c r="NK21" s="143"/>
      <c r="NL21" s="143"/>
      <c r="OB21" s="143"/>
      <c r="OC21" s="143"/>
      <c r="OS21" s="143"/>
      <c r="OT21" s="143"/>
      <c r="PJ21" s="143"/>
      <c r="PK21" s="143"/>
      <c r="QA21" s="143"/>
      <c r="QB21" s="143"/>
      <c r="QR21" s="143"/>
      <c r="QS21" s="143"/>
      <c r="RI21" s="143"/>
      <c r="RJ21" s="143"/>
      <c r="RZ21" s="143"/>
      <c r="SA21" s="143"/>
      <c r="SQ21" s="143"/>
      <c r="SR21" s="143"/>
    </row>
    <row r="22" spans="1:512" s="144" customFormat="1" ht="16.5" x14ac:dyDescent="0.25">
      <c r="A22" s="171"/>
      <c r="B22" s="171"/>
      <c r="C22" s="200"/>
      <c r="D22" s="200"/>
      <c r="E22" s="200"/>
      <c r="F22" s="172"/>
      <c r="G22" s="173"/>
      <c r="H22" s="201"/>
      <c r="I22" s="201"/>
      <c r="J22" s="201"/>
      <c r="K22" s="143"/>
      <c r="L22" s="143"/>
      <c r="M22" s="201"/>
      <c r="N22" s="201"/>
      <c r="O22" s="201"/>
      <c r="P22" s="143"/>
      <c r="Q22" s="143"/>
      <c r="R22" s="143" t="str">
        <f>IFERROR((((COUNTIF(C5:E6,"A")+COUNTIF(H5:J6,"A")+COUNTIF(M5:O6,"A"))*4)+((COUNTIF(C5:E6,"B")+COUNTIF(H5:J6,"B")+COUNTIF(M5:O6,"B"))*3)+((COUNTIF(C5:E6,"C")+COUNTIF(H5:J6,"C")+COUNTIF(M5:O6,"C"))*2)+((COUNTIF(C5:E6,"D")+COUNTIF(H5:J6,"D")+COUNTIF(M5:O6,"D"))*1))/(COUNTA(C5:E6)+COUNTA(H5:J6)+COUNTA(M5:O6)),"")</f>
        <v/>
      </c>
      <c r="S22" s="143"/>
      <c r="T22" s="102"/>
      <c r="U22" s="102"/>
      <c r="V22" s="102"/>
      <c r="W22" s="102"/>
      <c r="X22" s="143"/>
      <c r="Y22" s="201"/>
      <c r="Z22" s="201"/>
      <c r="AA22" s="201"/>
      <c r="AB22" s="143"/>
      <c r="AC22" s="143"/>
      <c r="AD22" s="201"/>
      <c r="AE22" s="201"/>
      <c r="AF22" s="201"/>
      <c r="AG22" s="143"/>
      <c r="AH22" s="143"/>
      <c r="AI22" s="143"/>
      <c r="AJ22" s="143"/>
      <c r="AK22" s="102"/>
      <c r="AL22" s="102"/>
      <c r="AM22" s="102"/>
      <c r="AN22" s="102"/>
      <c r="AO22" s="143"/>
      <c r="AP22" s="201"/>
      <c r="AQ22" s="201"/>
      <c r="AR22" s="201"/>
      <c r="AS22" s="143"/>
      <c r="AT22" s="143"/>
      <c r="AU22" s="201"/>
      <c r="AV22" s="201"/>
      <c r="AW22" s="201"/>
      <c r="AX22" s="143"/>
      <c r="AY22" s="143"/>
      <c r="AZ22" s="143"/>
      <c r="BA22" s="143"/>
      <c r="BB22" s="102"/>
      <c r="BC22" s="102"/>
      <c r="BD22" s="102"/>
      <c r="BE22" s="102"/>
      <c r="BF22" s="143"/>
      <c r="BG22" s="201"/>
      <c r="BH22" s="201"/>
      <c r="BI22" s="201"/>
      <c r="BJ22" s="143"/>
      <c r="BK22" s="143"/>
      <c r="BL22" s="201"/>
      <c r="BM22" s="201"/>
      <c r="BN22" s="201"/>
      <c r="BO22" s="143"/>
      <c r="BP22" s="143"/>
      <c r="BQ22" s="143"/>
      <c r="BR22" s="143"/>
      <c r="BS22" s="102"/>
      <c r="BT22" s="102"/>
      <c r="BU22" s="102"/>
      <c r="BV22" s="102"/>
      <c r="BW22" s="143"/>
      <c r="BX22" s="201"/>
      <c r="BY22" s="201"/>
      <c r="BZ22" s="201"/>
      <c r="CA22" s="143"/>
      <c r="CB22" s="143"/>
      <c r="CC22" s="201"/>
      <c r="CD22" s="201"/>
      <c r="CE22" s="201"/>
      <c r="CF22" s="143"/>
      <c r="CG22" s="143"/>
      <c r="CH22" s="143"/>
      <c r="CI22" s="143"/>
      <c r="CJ22" s="102"/>
      <c r="CK22" s="102"/>
      <c r="CL22" s="102"/>
      <c r="CM22" s="102"/>
      <c r="CN22" s="143"/>
      <c r="CO22" s="201"/>
      <c r="CP22" s="201"/>
      <c r="CQ22" s="201"/>
      <c r="CR22" s="143"/>
      <c r="CS22" s="143"/>
      <c r="CT22" s="201"/>
      <c r="CU22" s="201"/>
      <c r="CV22" s="201"/>
      <c r="CW22" s="143"/>
      <c r="CX22" s="143"/>
      <c r="CY22" s="143"/>
      <c r="CZ22" s="143"/>
      <c r="DA22" s="102"/>
      <c r="DB22" s="102"/>
      <c r="DC22" s="102"/>
      <c r="DD22" s="102"/>
      <c r="DE22" s="143"/>
      <c r="DF22" s="201"/>
      <c r="DG22" s="201"/>
      <c r="DH22" s="201"/>
      <c r="DI22" s="143"/>
      <c r="DJ22" s="143"/>
      <c r="DK22" s="201"/>
      <c r="DL22" s="201"/>
      <c r="DM22" s="201"/>
      <c r="DN22" s="143"/>
      <c r="DO22" s="143"/>
      <c r="DP22" s="143"/>
      <c r="DQ22" s="143"/>
      <c r="DR22" s="102"/>
      <c r="DS22" s="102"/>
      <c r="DT22" s="102"/>
      <c r="DU22" s="102"/>
      <c r="DV22" s="143"/>
      <c r="DW22" s="201"/>
      <c r="DX22" s="201"/>
      <c r="DY22" s="201"/>
      <c r="DZ22" s="143"/>
      <c r="EA22" s="143"/>
      <c r="EB22" s="201"/>
      <c r="EC22" s="201"/>
      <c r="ED22" s="201"/>
      <c r="EE22" s="143"/>
      <c r="EF22" s="143"/>
      <c r="EG22" s="143"/>
      <c r="EH22" s="143"/>
      <c r="EI22" s="102"/>
      <c r="EJ22" s="102"/>
      <c r="EK22" s="102"/>
      <c r="EL22" s="102"/>
      <c r="EM22" s="143"/>
      <c r="EN22" s="201"/>
      <c r="EO22" s="201"/>
      <c r="EP22" s="201"/>
      <c r="EQ22" s="143"/>
      <c r="ER22" s="143"/>
      <c r="ES22" s="201"/>
      <c r="ET22" s="201"/>
      <c r="EU22" s="201"/>
      <c r="EV22" s="143"/>
      <c r="EW22" s="143"/>
      <c r="EX22" s="143"/>
      <c r="EY22" s="143"/>
      <c r="EZ22" s="102"/>
      <c r="FA22" s="102"/>
      <c r="FB22" s="102"/>
      <c r="FC22" s="102"/>
      <c r="FD22" s="143"/>
      <c r="FE22" s="201"/>
      <c r="FF22" s="201"/>
      <c r="FG22" s="201"/>
      <c r="FH22" s="143"/>
      <c r="FI22" s="143"/>
      <c r="FJ22" s="201"/>
      <c r="FK22" s="201"/>
      <c r="FL22" s="201"/>
      <c r="FM22" s="143"/>
      <c r="FN22" s="143"/>
      <c r="FO22" s="143"/>
      <c r="FP22" s="143"/>
      <c r="FQ22" s="102"/>
      <c r="FR22" s="102"/>
      <c r="FS22" s="102"/>
      <c r="FT22" s="102"/>
      <c r="FU22" s="143"/>
      <c r="FV22" s="201"/>
      <c r="FW22" s="201"/>
      <c r="FX22" s="201"/>
      <c r="FY22" s="143"/>
      <c r="FZ22" s="143"/>
      <c r="GA22" s="201"/>
      <c r="GB22" s="201"/>
      <c r="GC22" s="201"/>
      <c r="GD22" s="143"/>
      <c r="GE22" s="143"/>
      <c r="GF22" s="143"/>
      <c r="GG22" s="143"/>
      <c r="GH22" s="102"/>
      <c r="GI22" s="102"/>
      <c r="GJ22" s="102"/>
      <c r="GK22" s="102"/>
      <c r="GL22" s="143"/>
      <c r="GM22" s="201"/>
      <c r="GN22" s="201"/>
      <c r="GO22" s="201"/>
      <c r="GP22" s="143"/>
      <c r="GQ22" s="143"/>
      <c r="GR22" s="201"/>
      <c r="GS22" s="201"/>
      <c r="GT22" s="201"/>
      <c r="GU22" s="143"/>
      <c r="GV22" s="143"/>
      <c r="GW22" s="143"/>
      <c r="GX22" s="143"/>
      <c r="GY22" s="102"/>
      <c r="GZ22" s="102"/>
      <c r="HA22" s="102"/>
      <c r="HB22" s="102"/>
      <c r="HC22" s="143"/>
      <c r="HD22" s="201"/>
      <c r="HE22" s="201"/>
      <c r="HF22" s="201"/>
      <c r="HG22" s="143"/>
      <c r="HH22" s="143"/>
      <c r="HI22" s="201"/>
      <c r="HJ22" s="201"/>
      <c r="HK22" s="201"/>
      <c r="HL22" s="143"/>
      <c r="HM22" s="143"/>
      <c r="HN22" s="143"/>
      <c r="HO22" s="143"/>
      <c r="HP22" s="102"/>
      <c r="HQ22" s="102"/>
      <c r="HR22" s="102"/>
      <c r="HS22" s="102"/>
      <c r="HT22" s="143"/>
      <c r="HU22" s="201"/>
      <c r="HV22" s="201"/>
      <c r="HW22" s="201"/>
      <c r="HX22" s="143"/>
      <c r="HY22" s="143"/>
      <c r="HZ22" s="201"/>
      <c r="IA22" s="201"/>
      <c r="IB22" s="201"/>
      <c r="IC22" s="143"/>
      <c r="ID22" s="143"/>
      <c r="IE22" s="143"/>
      <c r="IF22" s="143"/>
      <c r="IG22" s="102"/>
      <c r="IH22" s="102"/>
      <c r="II22" s="102"/>
      <c r="IJ22" s="102"/>
      <c r="IK22" s="143"/>
      <c r="IL22" s="201"/>
      <c r="IM22" s="201"/>
      <c r="IN22" s="201"/>
      <c r="IO22" s="143"/>
      <c r="IP22" s="143"/>
      <c r="IQ22" s="201"/>
      <c r="IR22" s="201"/>
      <c r="IS22" s="201"/>
      <c r="IT22" s="143"/>
      <c r="IU22" s="143"/>
      <c r="IV22" s="143"/>
      <c r="IW22" s="143"/>
      <c r="IX22" s="102"/>
      <c r="IY22" s="102"/>
      <c r="IZ22" s="102"/>
      <c r="JA22" s="102"/>
      <c r="JB22" s="143"/>
      <c r="JC22" s="201"/>
      <c r="JD22" s="201"/>
      <c r="JE22" s="201"/>
      <c r="JF22" s="143"/>
      <c r="JG22" s="143"/>
      <c r="JH22" s="201"/>
      <c r="JI22" s="201"/>
      <c r="JJ22" s="201"/>
      <c r="JK22" s="143"/>
      <c r="JL22" s="143"/>
      <c r="JM22" s="143"/>
      <c r="JN22" s="143"/>
      <c r="JO22" s="102"/>
      <c r="JP22" s="102"/>
      <c r="JQ22" s="102"/>
      <c r="JR22" s="102"/>
      <c r="JS22" s="143"/>
      <c r="JT22" s="201"/>
      <c r="JU22" s="201"/>
      <c r="JV22" s="201"/>
      <c r="JW22" s="143"/>
      <c r="JX22" s="143"/>
      <c r="JY22" s="201"/>
      <c r="JZ22" s="201"/>
      <c r="KA22" s="201"/>
      <c r="KB22" s="143"/>
      <c r="KC22" s="143"/>
      <c r="KD22" s="143"/>
      <c r="KE22" s="143"/>
      <c r="KF22" s="102"/>
      <c r="KG22" s="102"/>
      <c r="KH22" s="102"/>
      <c r="KI22" s="102"/>
      <c r="KJ22" s="143"/>
      <c r="KK22" s="201"/>
      <c r="KL22" s="201"/>
      <c r="KM22" s="201"/>
      <c r="KN22" s="143"/>
      <c r="KO22" s="143"/>
      <c r="KP22" s="201"/>
      <c r="KQ22" s="201"/>
      <c r="KR22" s="201"/>
      <c r="KS22" s="143"/>
      <c r="KT22" s="143"/>
      <c r="KU22" s="143"/>
      <c r="KV22" s="143"/>
      <c r="KW22" s="102"/>
      <c r="KX22" s="102"/>
      <c r="KY22" s="102"/>
      <c r="KZ22" s="102"/>
      <c r="LA22" s="143"/>
      <c r="LB22" s="201"/>
      <c r="LC22" s="201"/>
      <c r="LD22" s="201"/>
      <c r="LE22" s="143"/>
      <c r="LF22" s="143"/>
      <c r="LG22" s="201"/>
      <c r="LH22" s="201"/>
      <c r="LI22" s="201"/>
      <c r="LJ22" s="143"/>
      <c r="LK22" s="143"/>
      <c r="LL22" s="143"/>
      <c r="LM22" s="143"/>
      <c r="LN22" s="102"/>
      <c r="LO22" s="102"/>
      <c r="LP22" s="102"/>
      <c r="LQ22" s="102"/>
      <c r="LR22" s="143"/>
      <c r="LS22" s="201"/>
      <c r="LT22" s="201"/>
      <c r="LU22" s="201"/>
      <c r="LV22" s="143"/>
      <c r="LW22" s="143"/>
      <c r="LX22" s="201"/>
      <c r="LY22" s="201"/>
      <c r="LZ22" s="201"/>
      <c r="MA22" s="143"/>
      <c r="MB22" s="143"/>
      <c r="MC22" s="143"/>
      <c r="MD22" s="143"/>
      <c r="ME22" s="102"/>
      <c r="MF22" s="102"/>
      <c r="MG22" s="102"/>
      <c r="MH22" s="102"/>
      <c r="MI22" s="143"/>
      <c r="MJ22" s="201"/>
      <c r="MK22" s="201"/>
      <c r="ML22" s="201"/>
      <c r="MM22" s="143"/>
      <c r="MN22" s="143"/>
      <c r="MO22" s="201"/>
      <c r="MP22" s="201"/>
      <c r="MQ22" s="201"/>
      <c r="MR22" s="143"/>
      <c r="MS22" s="143"/>
      <c r="MT22" s="143"/>
      <c r="MU22" s="143"/>
      <c r="MV22" s="102"/>
      <c r="MW22" s="102"/>
      <c r="MX22" s="102"/>
      <c r="MY22" s="102"/>
      <c r="MZ22" s="143"/>
      <c r="NA22" s="201"/>
      <c r="NB22" s="201"/>
      <c r="NC22" s="201"/>
      <c r="ND22" s="143"/>
      <c r="NE22" s="143"/>
      <c r="NF22" s="201"/>
      <c r="NG22" s="201"/>
      <c r="NH22" s="201"/>
      <c r="NI22" s="143"/>
      <c r="NJ22" s="143"/>
      <c r="NK22" s="143"/>
      <c r="NL22" s="143"/>
      <c r="NM22" s="102"/>
      <c r="NN22" s="102"/>
      <c r="NO22" s="102"/>
      <c r="NP22" s="102"/>
      <c r="NQ22" s="143"/>
      <c r="NR22" s="201"/>
      <c r="NS22" s="201"/>
      <c r="NT22" s="201"/>
      <c r="NU22" s="143"/>
      <c r="NV22" s="143"/>
      <c r="NW22" s="201"/>
      <c r="NX22" s="201"/>
      <c r="NY22" s="201"/>
      <c r="NZ22" s="143"/>
      <c r="OA22" s="143"/>
      <c r="OB22" s="143"/>
      <c r="OC22" s="143"/>
      <c r="OD22" s="102"/>
      <c r="OE22" s="102"/>
      <c r="OF22" s="102"/>
      <c r="OG22" s="102"/>
      <c r="OH22" s="143"/>
      <c r="OI22" s="201"/>
      <c r="OJ22" s="201"/>
      <c r="OK22" s="201"/>
      <c r="OL22" s="143"/>
      <c r="OM22" s="143"/>
      <c r="ON22" s="201"/>
      <c r="OO22" s="201"/>
      <c r="OP22" s="201"/>
      <c r="OQ22" s="143"/>
      <c r="OR22" s="143"/>
      <c r="OS22" s="143"/>
      <c r="OT22" s="143"/>
      <c r="OU22" s="102"/>
      <c r="OV22" s="102"/>
      <c r="OW22" s="102"/>
      <c r="OX22" s="102"/>
      <c r="OY22" s="143"/>
      <c r="OZ22" s="201"/>
      <c r="PA22" s="201"/>
      <c r="PB22" s="201"/>
      <c r="PC22" s="143"/>
      <c r="PD22" s="143"/>
      <c r="PE22" s="201"/>
      <c r="PF22" s="201"/>
      <c r="PG22" s="201"/>
      <c r="PH22" s="143"/>
      <c r="PI22" s="143"/>
      <c r="PJ22" s="143"/>
      <c r="PK22" s="143"/>
      <c r="PL22" s="102"/>
      <c r="PM22" s="102"/>
      <c r="PN22" s="102"/>
      <c r="PO22" s="102"/>
      <c r="PP22" s="143"/>
      <c r="PQ22" s="201"/>
      <c r="PR22" s="201"/>
      <c r="PS22" s="201"/>
      <c r="PT22" s="143"/>
      <c r="PU22" s="143"/>
      <c r="PV22" s="201"/>
      <c r="PW22" s="201"/>
      <c r="PX22" s="201"/>
      <c r="PY22" s="143"/>
      <c r="PZ22" s="143"/>
      <c r="QA22" s="143"/>
      <c r="QB22" s="143"/>
      <c r="QC22" s="102"/>
      <c r="QD22" s="102"/>
      <c r="QE22" s="102"/>
      <c r="QF22" s="102"/>
      <c r="QG22" s="143"/>
      <c r="QH22" s="201"/>
      <c r="QI22" s="201"/>
      <c r="QJ22" s="201"/>
      <c r="QK22" s="143"/>
      <c r="QL22" s="143"/>
      <c r="QM22" s="201"/>
      <c r="QN22" s="201"/>
      <c r="QO22" s="201"/>
      <c r="QP22" s="143"/>
      <c r="QQ22" s="143"/>
      <c r="QR22" s="143"/>
      <c r="QS22" s="143"/>
      <c r="QT22" s="102"/>
      <c r="QU22" s="102"/>
      <c r="QV22" s="102"/>
      <c r="QW22" s="102"/>
      <c r="QX22" s="143"/>
      <c r="QY22" s="201"/>
      <c r="QZ22" s="201"/>
      <c r="RA22" s="201"/>
      <c r="RB22" s="143"/>
      <c r="RC22" s="143"/>
      <c r="RD22" s="201"/>
      <c r="RE22" s="201"/>
      <c r="RF22" s="201"/>
      <c r="RG22" s="143"/>
      <c r="RH22" s="143"/>
      <c r="RI22" s="143"/>
      <c r="RJ22" s="143"/>
      <c r="RK22" s="102"/>
      <c r="RL22" s="102"/>
      <c r="RM22" s="102"/>
      <c r="RN22" s="102"/>
      <c r="RO22" s="143"/>
      <c r="RP22" s="201"/>
      <c r="RQ22" s="201"/>
      <c r="RR22" s="201"/>
      <c r="RS22" s="143"/>
      <c r="RT22" s="143"/>
      <c r="RU22" s="201"/>
      <c r="RV22" s="201"/>
      <c r="RW22" s="201"/>
      <c r="RX22" s="143"/>
      <c r="RY22" s="143"/>
      <c r="RZ22" s="143"/>
      <c r="SA22" s="143"/>
      <c r="SB22" s="102"/>
      <c r="SC22" s="102"/>
      <c r="SD22" s="102"/>
      <c r="SE22" s="102"/>
      <c r="SF22" s="143"/>
      <c r="SG22" s="201"/>
      <c r="SH22" s="201"/>
      <c r="SI22" s="201"/>
      <c r="SJ22" s="143"/>
      <c r="SK22" s="143"/>
      <c r="SL22" s="201"/>
      <c r="SM22" s="201"/>
      <c r="SN22" s="201"/>
      <c r="SO22" s="143"/>
      <c r="SP22" s="143"/>
      <c r="SQ22" s="143"/>
      <c r="SR22" s="143"/>
    </row>
    <row r="23" spans="1:512" s="144" customFormat="1" ht="16.5" x14ac:dyDescent="0.25">
      <c r="A23" s="171"/>
      <c r="B23" s="171"/>
      <c r="C23" s="200"/>
      <c r="D23" s="200"/>
      <c r="E23" s="200"/>
      <c r="F23" s="172"/>
      <c r="G23" s="173"/>
      <c r="H23" s="201"/>
      <c r="I23" s="201"/>
      <c r="J23" s="201"/>
      <c r="K23" s="143"/>
      <c r="L23" s="143"/>
      <c r="M23" s="201"/>
      <c r="N23" s="201"/>
      <c r="O23" s="201"/>
      <c r="P23" s="143"/>
      <c r="Q23" s="143"/>
      <c r="R23" s="143"/>
      <c r="S23" s="143"/>
      <c r="T23" s="102"/>
      <c r="U23" s="102"/>
      <c r="V23" s="102"/>
      <c r="W23" s="102"/>
      <c r="X23" s="143"/>
      <c r="Y23" s="201"/>
      <c r="Z23" s="201"/>
      <c r="AA23" s="201"/>
      <c r="AB23" s="143"/>
      <c r="AC23" s="143"/>
      <c r="AD23" s="201"/>
      <c r="AE23" s="201"/>
      <c r="AF23" s="201"/>
      <c r="AG23" s="143"/>
      <c r="AH23" s="143"/>
      <c r="AI23" s="143"/>
      <c r="AJ23" s="143"/>
      <c r="AK23" s="102"/>
      <c r="AL23" s="102"/>
      <c r="AM23" s="102"/>
      <c r="AN23" s="102"/>
      <c r="AO23" s="143"/>
      <c r="AP23" s="201"/>
      <c r="AQ23" s="201"/>
      <c r="AR23" s="201"/>
      <c r="AS23" s="143"/>
      <c r="AT23" s="143"/>
      <c r="AU23" s="201"/>
      <c r="AV23" s="201"/>
      <c r="AW23" s="201"/>
      <c r="AX23" s="143"/>
      <c r="AY23" s="143"/>
      <c r="AZ23" s="143"/>
      <c r="BA23" s="143"/>
      <c r="BB23" s="102"/>
      <c r="BC23" s="102"/>
      <c r="BD23" s="102"/>
      <c r="BE23" s="102"/>
      <c r="BF23" s="143"/>
      <c r="BG23" s="201"/>
      <c r="BH23" s="201"/>
      <c r="BI23" s="201"/>
      <c r="BJ23" s="143"/>
      <c r="BK23" s="143"/>
      <c r="BL23" s="201"/>
      <c r="BM23" s="201"/>
      <c r="BN23" s="201"/>
      <c r="BO23" s="143"/>
      <c r="BP23" s="143"/>
      <c r="BQ23" s="143"/>
      <c r="BR23" s="143"/>
      <c r="BS23" s="102"/>
      <c r="BT23" s="102"/>
      <c r="BU23" s="102"/>
      <c r="BV23" s="102"/>
      <c r="BW23" s="143"/>
      <c r="BX23" s="201"/>
      <c r="BY23" s="201"/>
      <c r="BZ23" s="201"/>
      <c r="CA23" s="143"/>
      <c r="CB23" s="143"/>
      <c r="CC23" s="201"/>
      <c r="CD23" s="201"/>
      <c r="CE23" s="201"/>
      <c r="CF23" s="143"/>
      <c r="CG23" s="143"/>
      <c r="CH23" s="143"/>
      <c r="CI23" s="143"/>
      <c r="CJ23" s="102"/>
      <c r="CK23" s="102"/>
      <c r="CL23" s="102"/>
      <c r="CM23" s="102"/>
      <c r="CN23" s="143"/>
      <c r="CO23" s="201"/>
      <c r="CP23" s="201"/>
      <c r="CQ23" s="201"/>
      <c r="CR23" s="143"/>
      <c r="CS23" s="143"/>
      <c r="CT23" s="201"/>
      <c r="CU23" s="201"/>
      <c r="CV23" s="201"/>
      <c r="CW23" s="143"/>
      <c r="CX23" s="143"/>
      <c r="CY23" s="143"/>
      <c r="CZ23" s="143"/>
      <c r="DA23" s="102"/>
      <c r="DB23" s="102"/>
      <c r="DC23" s="102"/>
      <c r="DD23" s="102"/>
      <c r="DE23" s="143"/>
      <c r="DF23" s="201"/>
      <c r="DG23" s="201"/>
      <c r="DH23" s="201"/>
      <c r="DI23" s="143"/>
      <c r="DJ23" s="143"/>
      <c r="DK23" s="201"/>
      <c r="DL23" s="201"/>
      <c r="DM23" s="201"/>
      <c r="DN23" s="143"/>
      <c r="DO23" s="143"/>
      <c r="DP23" s="143"/>
      <c r="DQ23" s="143"/>
      <c r="DR23" s="102"/>
      <c r="DS23" s="102"/>
      <c r="DT23" s="102"/>
      <c r="DU23" s="102"/>
      <c r="DV23" s="143"/>
      <c r="DW23" s="201"/>
      <c r="DX23" s="201"/>
      <c r="DY23" s="201"/>
      <c r="DZ23" s="143"/>
      <c r="EA23" s="143"/>
      <c r="EB23" s="201"/>
      <c r="EC23" s="201"/>
      <c r="ED23" s="201"/>
      <c r="EE23" s="143"/>
      <c r="EF23" s="143"/>
      <c r="EG23" s="143"/>
      <c r="EH23" s="143"/>
      <c r="EI23" s="102"/>
      <c r="EJ23" s="102"/>
      <c r="EK23" s="102"/>
      <c r="EL23" s="102"/>
      <c r="EM23" s="143"/>
      <c r="EN23" s="201"/>
      <c r="EO23" s="201"/>
      <c r="EP23" s="201"/>
      <c r="EQ23" s="143"/>
      <c r="ER23" s="143"/>
      <c r="ES23" s="201"/>
      <c r="ET23" s="201"/>
      <c r="EU23" s="201"/>
      <c r="EV23" s="143"/>
      <c r="EW23" s="143"/>
      <c r="EX23" s="143"/>
      <c r="EY23" s="143"/>
      <c r="EZ23" s="102"/>
      <c r="FA23" s="102"/>
      <c r="FB23" s="102"/>
      <c r="FC23" s="102"/>
      <c r="FD23" s="143"/>
      <c r="FE23" s="201"/>
      <c r="FF23" s="201"/>
      <c r="FG23" s="201"/>
      <c r="FH23" s="143"/>
      <c r="FI23" s="143"/>
      <c r="FJ23" s="201"/>
      <c r="FK23" s="201"/>
      <c r="FL23" s="201"/>
      <c r="FM23" s="143"/>
      <c r="FN23" s="143"/>
      <c r="FO23" s="143"/>
      <c r="FP23" s="143"/>
      <c r="FQ23" s="102"/>
      <c r="FR23" s="102"/>
      <c r="FS23" s="102"/>
      <c r="FT23" s="102"/>
      <c r="FU23" s="143"/>
      <c r="FV23" s="201"/>
      <c r="FW23" s="201"/>
      <c r="FX23" s="201"/>
      <c r="FY23" s="143"/>
      <c r="FZ23" s="143"/>
      <c r="GA23" s="201"/>
      <c r="GB23" s="201"/>
      <c r="GC23" s="201"/>
      <c r="GD23" s="143"/>
      <c r="GE23" s="143"/>
      <c r="GF23" s="143"/>
      <c r="GG23" s="143"/>
      <c r="GH23" s="102"/>
      <c r="GI23" s="102"/>
      <c r="GJ23" s="102"/>
      <c r="GK23" s="102"/>
      <c r="GL23" s="143"/>
      <c r="GM23" s="201"/>
      <c r="GN23" s="201"/>
      <c r="GO23" s="201"/>
      <c r="GP23" s="143"/>
      <c r="GQ23" s="143"/>
      <c r="GR23" s="201"/>
      <c r="GS23" s="201"/>
      <c r="GT23" s="201"/>
      <c r="GU23" s="143"/>
      <c r="GV23" s="143"/>
      <c r="GW23" s="143"/>
      <c r="GX23" s="143"/>
      <c r="GY23" s="102"/>
      <c r="GZ23" s="102"/>
      <c r="HA23" s="102"/>
      <c r="HB23" s="102"/>
      <c r="HC23" s="143"/>
      <c r="HD23" s="201"/>
      <c r="HE23" s="201"/>
      <c r="HF23" s="201"/>
      <c r="HG23" s="143"/>
      <c r="HH23" s="143"/>
      <c r="HI23" s="201"/>
      <c r="HJ23" s="201"/>
      <c r="HK23" s="201"/>
      <c r="HL23" s="143"/>
      <c r="HM23" s="143"/>
      <c r="HN23" s="143"/>
      <c r="HO23" s="143"/>
      <c r="HP23" s="102"/>
      <c r="HQ23" s="102"/>
      <c r="HR23" s="102"/>
      <c r="HS23" s="102"/>
      <c r="HT23" s="143"/>
      <c r="HU23" s="201"/>
      <c r="HV23" s="201"/>
      <c r="HW23" s="201"/>
      <c r="HX23" s="143"/>
      <c r="HY23" s="143"/>
      <c r="HZ23" s="201"/>
      <c r="IA23" s="201"/>
      <c r="IB23" s="201"/>
      <c r="IC23" s="143"/>
      <c r="ID23" s="143"/>
      <c r="IE23" s="143"/>
      <c r="IF23" s="143"/>
      <c r="IG23" s="102"/>
      <c r="IH23" s="102"/>
      <c r="II23" s="102"/>
      <c r="IJ23" s="102"/>
      <c r="IK23" s="143"/>
      <c r="IL23" s="201"/>
      <c r="IM23" s="201"/>
      <c r="IN23" s="201"/>
      <c r="IO23" s="143"/>
      <c r="IP23" s="143"/>
      <c r="IQ23" s="201"/>
      <c r="IR23" s="201"/>
      <c r="IS23" s="201"/>
      <c r="IT23" s="143"/>
      <c r="IU23" s="143"/>
      <c r="IV23" s="143"/>
      <c r="IW23" s="143"/>
      <c r="IX23" s="102"/>
      <c r="IY23" s="102"/>
      <c r="IZ23" s="102"/>
      <c r="JA23" s="102"/>
      <c r="JB23" s="143"/>
      <c r="JC23" s="201"/>
      <c r="JD23" s="201"/>
      <c r="JE23" s="201"/>
      <c r="JF23" s="143"/>
      <c r="JG23" s="143"/>
      <c r="JH23" s="201"/>
      <c r="JI23" s="201"/>
      <c r="JJ23" s="201"/>
      <c r="JK23" s="143"/>
      <c r="JL23" s="143"/>
      <c r="JM23" s="143"/>
      <c r="JN23" s="143"/>
      <c r="JO23" s="102"/>
      <c r="JP23" s="102"/>
      <c r="JQ23" s="102"/>
      <c r="JR23" s="102"/>
      <c r="JS23" s="143"/>
      <c r="JT23" s="201"/>
      <c r="JU23" s="201"/>
      <c r="JV23" s="201"/>
      <c r="JW23" s="143"/>
      <c r="JX23" s="143"/>
      <c r="JY23" s="201"/>
      <c r="JZ23" s="201"/>
      <c r="KA23" s="201"/>
      <c r="KB23" s="143"/>
      <c r="KC23" s="143"/>
      <c r="KD23" s="143"/>
      <c r="KE23" s="143"/>
      <c r="KF23" s="102"/>
      <c r="KG23" s="102"/>
      <c r="KH23" s="102"/>
      <c r="KI23" s="102"/>
      <c r="KJ23" s="143"/>
      <c r="KK23" s="201"/>
      <c r="KL23" s="201"/>
      <c r="KM23" s="201"/>
      <c r="KN23" s="143"/>
      <c r="KO23" s="143"/>
      <c r="KP23" s="201"/>
      <c r="KQ23" s="201"/>
      <c r="KR23" s="201"/>
      <c r="KS23" s="143"/>
      <c r="KT23" s="143"/>
      <c r="KU23" s="143"/>
      <c r="KV23" s="143"/>
      <c r="KW23" s="102"/>
      <c r="KX23" s="102"/>
      <c r="KY23" s="102"/>
      <c r="KZ23" s="102"/>
      <c r="LA23" s="143"/>
      <c r="LB23" s="201"/>
      <c r="LC23" s="201"/>
      <c r="LD23" s="201"/>
      <c r="LE23" s="143"/>
      <c r="LF23" s="143"/>
      <c r="LG23" s="201"/>
      <c r="LH23" s="201"/>
      <c r="LI23" s="201"/>
      <c r="LJ23" s="143"/>
      <c r="LK23" s="143"/>
      <c r="LL23" s="143"/>
      <c r="LM23" s="143"/>
      <c r="LN23" s="102"/>
      <c r="LO23" s="102"/>
      <c r="LP23" s="102"/>
      <c r="LQ23" s="102"/>
      <c r="LR23" s="143"/>
      <c r="LS23" s="201"/>
      <c r="LT23" s="201"/>
      <c r="LU23" s="201"/>
      <c r="LV23" s="143"/>
      <c r="LW23" s="143"/>
      <c r="LX23" s="201"/>
      <c r="LY23" s="201"/>
      <c r="LZ23" s="201"/>
      <c r="MA23" s="143"/>
      <c r="MB23" s="143"/>
      <c r="MC23" s="143"/>
      <c r="MD23" s="143"/>
      <c r="ME23" s="102"/>
      <c r="MF23" s="102"/>
      <c r="MG23" s="102"/>
      <c r="MH23" s="102"/>
      <c r="MI23" s="143"/>
      <c r="MJ23" s="201"/>
      <c r="MK23" s="201"/>
      <c r="ML23" s="201"/>
      <c r="MM23" s="143"/>
      <c r="MN23" s="143"/>
      <c r="MO23" s="201"/>
      <c r="MP23" s="201"/>
      <c r="MQ23" s="201"/>
      <c r="MR23" s="143"/>
      <c r="MS23" s="143"/>
      <c r="MT23" s="143"/>
      <c r="MU23" s="143"/>
      <c r="MV23" s="102"/>
      <c r="MW23" s="102"/>
      <c r="MX23" s="102"/>
      <c r="MY23" s="102"/>
      <c r="MZ23" s="143"/>
      <c r="NA23" s="201"/>
      <c r="NB23" s="201"/>
      <c r="NC23" s="201"/>
      <c r="ND23" s="143"/>
      <c r="NE23" s="143"/>
      <c r="NF23" s="201"/>
      <c r="NG23" s="201"/>
      <c r="NH23" s="201"/>
      <c r="NI23" s="143"/>
      <c r="NJ23" s="143"/>
      <c r="NK23" s="143"/>
      <c r="NL23" s="143"/>
      <c r="NM23" s="102"/>
      <c r="NN23" s="102"/>
      <c r="NO23" s="102"/>
      <c r="NP23" s="102"/>
      <c r="NQ23" s="143"/>
      <c r="NR23" s="201"/>
      <c r="NS23" s="201"/>
      <c r="NT23" s="201"/>
      <c r="NU23" s="143"/>
      <c r="NV23" s="143"/>
      <c r="NW23" s="201"/>
      <c r="NX23" s="201"/>
      <c r="NY23" s="201"/>
      <c r="NZ23" s="143"/>
      <c r="OA23" s="143"/>
      <c r="OB23" s="143"/>
      <c r="OC23" s="143"/>
      <c r="OD23" s="102"/>
      <c r="OE23" s="102"/>
      <c r="OF23" s="102"/>
      <c r="OG23" s="102"/>
      <c r="OH23" s="143"/>
      <c r="OI23" s="201"/>
      <c r="OJ23" s="201"/>
      <c r="OK23" s="201"/>
      <c r="OL23" s="143"/>
      <c r="OM23" s="143"/>
      <c r="ON23" s="201"/>
      <c r="OO23" s="201"/>
      <c r="OP23" s="201"/>
      <c r="OQ23" s="143"/>
      <c r="OR23" s="143"/>
      <c r="OS23" s="143"/>
      <c r="OT23" s="143"/>
      <c r="OU23" s="102"/>
      <c r="OV23" s="102"/>
      <c r="OW23" s="102"/>
      <c r="OX23" s="102"/>
      <c r="OY23" s="143"/>
      <c r="OZ23" s="201"/>
      <c r="PA23" s="201"/>
      <c r="PB23" s="201"/>
      <c r="PC23" s="143"/>
      <c r="PD23" s="143"/>
      <c r="PE23" s="201"/>
      <c r="PF23" s="201"/>
      <c r="PG23" s="201"/>
      <c r="PH23" s="143"/>
      <c r="PI23" s="143"/>
      <c r="PJ23" s="143"/>
      <c r="PK23" s="143"/>
      <c r="PL23" s="102"/>
      <c r="PM23" s="102"/>
      <c r="PN23" s="102"/>
      <c r="PO23" s="102"/>
      <c r="PP23" s="143"/>
      <c r="PQ23" s="201"/>
      <c r="PR23" s="201"/>
      <c r="PS23" s="201"/>
      <c r="PT23" s="143"/>
      <c r="PU23" s="143"/>
      <c r="PV23" s="201"/>
      <c r="PW23" s="201"/>
      <c r="PX23" s="201"/>
      <c r="PY23" s="143"/>
      <c r="PZ23" s="143"/>
      <c r="QA23" s="143"/>
      <c r="QB23" s="143"/>
      <c r="QC23" s="102"/>
      <c r="QD23" s="102"/>
      <c r="QE23" s="102"/>
      <c r="QF23" s="102"/>
      <c r="QG23" s="143"/>
      <c r="QH23" s="201"/>
      <c r="QI23" s="201"/>
      <c r="QJ23" s="201"/>
      <c r="QK23" s="143"/>
      <c r="QL23" s="143"/>
      <c r="QM23" s="201"/>
      <c r="QN23" s="201"/>
      <c r="QO23" s="201"/>
      <c r="QP23" s="143"/>
      <c r="QQ23" s="143"/>
      <c r="QR23" s="143"/>
      <c r="QS23" s="143"/>
      <c r="QT23" s="102"/>
      <c r="QU23" s="102"/>
      <c r="QV23" s="102"/>
      <c r="QW23" s="102"/>
      <c r="QX23" s="143"/>
      <c r="QY23" s="201"/>
      <c r="QZ23" s="201"/>
      <c r="RA23" s="201"/>
      <c r="RB23" s="143"/>
      <c r="RC23" s="143"/>
      <c r="RD23" s="201"/>
      <c r="RE23" s="201"/>
      <c r="RF23" s="201"/>
      <c r="RG23" s="143"/>
      <c r="RH23" s="143"/>
      <c r="RI23" s="143"/>
      <c r="RJ23" s="143"/>
      <c r="RK23" s="102"/>
      <c r="RL23" s="102"/>
      <c r="RM23" s="102"/>
      <c r="RN23" s="102"/>
      <c r="RO23" s="143"/>
      <c r="RP23" s="201"/>
      <c r="RQ23" s="201"/>
      <c r="RR23" s="201"/>
      <c r="RS23" s="143"/>
      <c r="RT23" s="143"/>
      <c r="RU23" s="201"/>
      <c r="RV23" s="201"/>
      <c r="RW23" s="201"/>
      <c r="RX23" s="143"/>
      <c r="RY23" s="143"/>
      <c r="RZ23" s="143"/>
      <c r="SA23" s="143"/>
      <c r="SB23" s="102"/>
      <c r="SC23" s="102"/>
      <c r="SD23" s="102"/>
      <c r="SE23" s="102"/>
      <c r="SF23" s="143"/>
      <c r="SG23" s="201"/>
      <c r="SH23" s="201"/>
      <c r="SI23" s="201"/>
      <c r="SJ23" s="143"/>
      <c r="SK23" s="143"/>
      <c r="SL23" s="201"/>
      <c r="SM23" s="201"/>
      <c r="SN23" s="201"/>
      <c r="SO23" s="143"/>
      <c r="SP23" s="143"/>
      <c r="SQ23" s="143"/>
      <c r="SR23" s="143"/>
    </row>
    <row r="24" spans="1:512" s="144" customFormat="1" ht="16.5" x14ac:dyDescent="0.25">
      <c r="C24" s="191"/>
      <c r="D24" s="191"/>
      <c r="E24" s="191"/>
      <c r="F24" s="102"/>
      <c r="G24" s="143"/>
      <c r="H24" s="201"/>
      <c r="I24" s="201"/>
      <c r="J24" s="201"/>
      <c r="K24" s="143"/>
      <c r="L24" s="143"/>
      <c r="M24" s="201"/>
      <c r="N24" s="201"/>
      <c r="O24" s="201"/>
      <c r="P24" s="143"/>
      <c r="Q24" s="143"/>
      <c r="R24" s="143"/>
      <c r="S24" s="143"/>
      <c r="T24" s="102"/>
      <c r="U24" s="102"/>
      <c r="V24" s="102"/>
      <c r="W24" s="102"/>
      <c r="X24" s="143"/>
      <c r="Y24" s="201"/>
      <c r="Z24" s="201"/>
      <c r="AA24" s="201"/>
      <c r="AB24" s="143"/>
      <c r="AC24" s="143"/>
      <c r="AD24" s="201"/>
      <c r="AE24" s="201"/>
      <c r="AF24" s="201"/>
      <c r="AG24" s="143"/>
      <c r="AH24" s="143"/>
      <c r="AI24" s="143"/>
      <c r="AJ24" s="143"/>
      <c r="AK24" s="102"/>
      <c r="AL24" s="102"/>
      <c r="AM24" s="102"/>
      <c r="AN24" s="102"/>
      <c r="AO24" s="143"/>
      <c r="AP24" s="201"/>
      <c r="AQ24" s="201"/>
      <c r="AR24" s="201"/>
      <c r="AS24" s="143"/>
      <c r="AT24" s="143"/>
      <c r="AU24" s="201"/>
      <c r="AV24" s="201"/>
      <c r="AW24" s="201"/>
      <c r="AX24" s="143"/>
      <c r="AY24" s="143"/>
      <c r="AZ24" s="143"/>
      <c r="BA24" s="143"/>
      <c r="BB24" s="102"/>
      <c r="BC24" s="102"/>
      <c r="BD24" s="102"/>
      <c r="BE24" s="102"/>
      <c r="BF24" s="143"/>
      <c r="BG24" s="201"/>
      <c r="BH24" s="201"/>
      <c r="BI24" s="201"/>
      <c r="BJ24" s="143"/>
      <c r="BK24" s="143"/>
      <c r="BL24" s="201"/>
      <c r="BM24" s="201"/>
      <c r="BN24" s="201"/>
      <c r="BO24" s="143"/>
      <c r="BP24" s="143"/>
      <c r="BQ24" s="143"/>
      <c r="BR24" s="143"/>
      <c r="BS24" s="102"/>
      <c r="BT24" s="102"/>
      <c r="BU24" s="102"/>
      <c r="BV24" s="102"/>
      <c r="BW24" s="143"/>
      <c r="BX24" s="201"/>
      <c r="BY24" s="201"/>
      <c r="BZ24" s="201"/>
      <c r="CA24" s="143"/>
      <c r="CB24" s="143"/>
      <c r="CC24" s="201"/>
      <c r="CD24" s="201"/>
      <c r="CE24" s="201"/>
      <c r="CF24" s="143"/>
      <c r="CG24" s="143"/>
      <c r="CH24" s="143"/>
      <c r="CI24" s="143"/>
      <c r="CJ24" s="102"/>
      <c r="CK24" s="102"/>
      <c r="CL24" s="102"/>
      <c r="CM24" s="102"/>
      <c r="CN24" s="143"/>
      <c r="CO24" s="201"/>
      <c r="CP24" s="201"/>
      <c r="CQ24" s="201"/>
      <c r="CR24" s="143"/>
      <c r="CS24" s="143"/>
      <c r="CT24" s="201"/>
      <c r="CU24" s="201"/>
      <c r="CV24" s="201"/>
      <c r="CW24" s="143"/>
      <c r="CX24" s="143"/>
      <c r="CY24" s="143"/>
      <c r="CZ24" s="143"/>
      <c r="DA24" s="102"/>
      <c r="DB24" s="102"/>
      <c r="DC24" s="102"/>
      <c r="DD24" s="102"/>
      <c r="DE24" s="143"/>
      <c r="DF24" s="201"/>
      <c r="DG24" s="201"/>
      <c r="DH24" s="201"/>
      <c r="DI24" s="143"/>
      <c r="DJ24" s="143"/>
      <c r="DK24" s="201"/>
      <c r="DL24" s="201"/>
      <c r="DM24" s="201"/>
      <c r="DN24" s="143"/>
      <c r="DO24" s="143"/>
      <c r="DP24" s="143"/>
      <c r="DQ24" s="143"/>
      <c r="DR24" s="102"/>
      <c r="DS24" s="102"/>
      <c r="DT24" s="102"/>
      <c r="DU24" s="102"/>
      <c r="DV24" s="143"/>
      <c r="DW24" s="201"/>
      <c r="DX24" s="201"/>
      <c r="DY24" s="201"/>
      <c r="DZ24" s="143"/>
      <c r="EA24" s="143"/>
      <c r="EB24" s="201"/>
      <c r="EC24" s="201"/>
      <c r="ED24" s="201"/>
      <c r="EE24" s="143"/>
      <c r="EF24" s="143"/>
      <c r="EG24" s="143"/>
      <c r="EH24" s="143"/>
      <c r="EI24" s="102"/>
      <c r="EJ24" s="102"/>
      <c r="EK24" s="102"/>
      <c r="EL24" s="102"/>
      <c r="EM24" s="143"/>
      <c r="EN24" s="201"/>
      <c r="EO24" s="201"/>
      <c r="EP24" s="201"/>
      <c r="EQ24" s="143"/>
      <c r="ER24" s="143"/>
      <c r="ES24" s="201"/>
      <c r="ET24" s="201"/>
      <c r="EU24" s="201"/>
      <c r="EV24" s="143"/>
      <c r="EW24" s="143"/>
      <c r="EX24" s="143"/>
      <c r="EY24" s="143"/>
      <c r="EZ24" s="102"/>
      <c r="FA24" s="102"/>
      <c r="FB24" s="102"/>
      <c r="FC24" s="102"/>
      <c r="FD24" s="143"/>
      <c r="FE24" s="201"/>
      <c r="FF24" s="201"/>
      <c r="FG24" s="201"/>
      <c r="FH24" s="143"/>
      <c r="FI24" s="143"/>
      <c r="FJ24" s="201"/>
      <c r="FK24" s="201"/>
      <c r="FL24" s="201"/>
      <c r="FM24" s="143"/>
      <c r="FN24" s="143"/>
      <c r="FO24" s="143"/>
      <c r="FP24" s="143"/>
      <c r="FQ24" s="102"/>
      <c r="FR24" s="102"/>
      <c r="FS24" s="102"/>
      <c r="FT24" s="102"/>
      <c r="FU24" s="143"/>
      <c r="FV24" s="201"/>
      <c r="FW24" s="201"/>
      <c r="FX24" s="201"/>
      <c r="FY24" s="143"/>
      <c r="FZ24" s="143"/>
      <c r="GA24" s="201"/>
      <c r="GB24" s="201"/>
      <c r="GC24" s="201"/>
      <c r="GD24" s="143"/>
      <c r="GE24" s="143"/>
      <c r="GF24" s="143"/>
      <c r="GG24" s="143"/>
      <c r="GH24" s="102"/>
      <c r="GI24" s="102"/>
      <c r="GJ24" s="102"/>
      <c r="GK24" s="102"/>
      <c r="GL24" s="143"/>
      <c r="GM24" s="201"/>
      <c r="GN24" s="201"/>
      <c r="GO24" s="201"/>
      <c r="GP24" s="143"/>
      <c r="GQ24" s="143"/>
      <c r="GR24" s="201"/>
      <c r="GS24" s="201"/>
      <c r="GT24" s="201"/>
      <c r="GU24" s="143"/>
      <c r="GV24" s="143"/>
      <c r="GW24" s="143"/>
      <c r="GX24" s="143"/>
      <c r="GY24" s="102"/>
      <c r="GZ24" s="102"/>
      <c r="HA24" s="102"/>
      <c r="HB24" s="102"/>
      <c r="HC24" s="143"/>
      <c r="HD24" s="201"/>
      <c r="HE24" s="201"/>
      <c r="HF24" s="201"/>
      <c r="HG24" s="143"/>
      <c r="HH24" s="143"/>
      <c r="HI24" s="201"/>
      <c r="HJ24" s="201"/>
      <c r="HK24" s="201"/>
      <c r="HL24" s="143"/>
      <c r="HM24" s="143"/>
      <c r="HN24" s="143"/>
      <c r="HO24" s="143"/>
      <c r="HP24" s="102"/>
      <c r="HQ24" s="102"/>
      <c r="HR24" s="102"/>
      <c r="HS24" s="102"/>
      <c r="HT24" s="143"/>
      <c r="HU24" s="201"/>
      <c r="HV24" s="201"/>
      <c r="HW24" s="201"/>
      <c r="HX24" s="143"/>
      <c r="HY24" s="143"/>
      <c r="HZ24" s="201"/>
      <c r="IA24" s="201"/>
      <c r="IB24" s="201"/>
      <c r="IC24" s="143"/>
      <c r="ID24" s="143"/>
      <c r="IE24" s="143"/>
      <c r="IF24" s="143"/>
      <c r="IG24" s="102"/>
      <c r="IH24" s="102"/>
      <c r="II24" s="102"/>
      <c r="IJ24" s="102"/>
      <c r="IK24" s="143"/>
      <c r="IL24" s="201"/>
      <c r="IM24" s="201"/>
      <c r="IN24" s="201"/>
      <c r="IO24" s="143"/>
      <c r="IP24" s="143"/>
      <c r="IQ24" s="201"/>
      <c r="IR24" s="201"/>
      <c r="IS24" s="201"/>
      <c r="IT24" s="143"/>
      <c r="IU24" s="143"/>
      <c r="IV24" s="143"/>
      <c r="IW24" s="143"/>
      <c r="IX24" s="102"/>
      <c r="IY24" s="102"/>
      <c r="IZ24" s="102"/>
      <c r="JA24" s="102"/>
      <c r="JB24" s="143"/>
      <c r="JC24" s="201"/>
      <c r="JD24" s="201"/>
      <c r="JE24" s="201"/>
      <c r="JF24" s="143"/>
      <c r="JG24" s="143"/>
      <c r="JH24" s="201"/>
      <c r="JI24" s="201"/>
      <c r="JJ24" s="201"/>
      <c r="JK24" s="143"/>
      <c r="JL24" s="143"/>
      <c r="JM24" s="143"/>
      <c r="JN24" s="143"/>
      <c r="JO24" s="102"/>
      <c r="JP24" s="102"/>
      <c r="JQ24" s="102"/>
      <c r="JR24" s="102"/>
      <c r="JS24" s="143"/>
      <c r="JT24" s="201"/>
      <c r="JU24" s="201"/>
      <c r="JV24" s="201"/>
      <c r="JW24" s="143"/>
      <c r="JX24" s="143"/>
      <c r="JY24" s="201"/>
      <c r="JZ24" s="201"/>
      <c r="KA24" s="201"/>
      <c r="KB24" s="143"/>
      <c r="KC24" s="143"/>
      <c r="KD24" s="143"/>
      <c r="KE24" s="143"/>
      <c r="KF24" s="102"/>
      <c r="KG24" s="102"/>
      <c r="KH24" s="102"/>
      <c r="KI24" s="102"/>
      <c r="KJ24" s="143"/>
      <c r="KK24" s="201"/>
      <c r="KL24" s="201"/>
      <c r="KM24" s="201"/>
      <c r="KN24" s="143"/>
      <c r="KO24" s="143"/>
      <c r="KP24" s="201"/>
      <c r="KQ24" s="201"/>
      <c r="KR24" s="201"/>
      <c r="KS24" s="143"/>
      <c r="KT24" s="143"/>
      <c r="KU24" s="143"/>
      <c r="KV24" s="143"/>
      <c r="KW24" s="102"/>
      <c r="KX24" s="102"/>
      <c r="KY24" s="102"/>
      <c r="KZ24" s="102"/>
      <c r="LA24" s="143"/>
      <c r="LB24" s="201"/>
      <c r="LC24" s="201"/>
      <c r="LD24" s="201"/>
      <c r="LE24" s="143"/>
      <c r="LF24" s="143"/>
      <c r="LG24" s="201"/>
      <c r="LH24" s="201"/>
      <c r="LI24" s="201"/>
      <c r="LJ24" s="143"/>
      <c r="LK24" s="143"/>
      <c r="LL24" s="143"/>
      <c r="LM24" s="143"/>
      <c r="LN24" s="102"/>
      <c r="LO24" s="102"/>
      <c r="LP24" s="102"/>
      <c r="LQ24" s="102"/>
      <c r="LR24" s="143"/>
      <c r="LS24" s="201"/>
      <c r="LT24" s="201"/>
      <c r="LU24" s="201"/>
      <c r="LV24" s="143"/>
      <c r="LW24" s="143"/>
      <c r="LX24" s="201"/>
      <c r="LY24" s="201"/>
      <c r="LZ24" s="201"/>
      <c r="MA24" s="143"/>
      <c r="MB24" s="143"/>
      <c r="MC24" s="143"/>
      <c r="MD24" s="143"/>
      <c r="ME24" s="102"/>
      <c r="MF24" s="102"/>
      <c r="MG24" s="102"/>
      <c r="MH24" s="102"/>
      <c r="MI24" s="143"/>
      <c r="MJ24" s="201"/>
      <c r="MK24" s="201"/>
      <c r="ML24" s="201"/>
      <c r="MM24" s="143"/>
      <c r="MN24" s="143"/>
      <c r="MO24" s="201"/>
      <c r="MP24" s="201"/>
      <c r="MQ24" s="201"/>
      <c r="MR24" s="143"/>
      <c r="MS24" s="143"/>
      <c r="MT24" s="143"/>
      <c r="MU24" s="143"/>
      <c r="MV24" s="102"/>
      <c r="MW24" s="102"/>
      <c r="MX24" s="102"/>
      <c r="MY24" s="102"/>
      <c r="MZ24" s="143"/>
      <c r="NA24" s="201"/>
      <c r="NB24" s="201"/>
      <c r="NC24" s="201"/>
      <c r="ND24" s="143"/>
      <c r="NE24" s="143"/>
      <c r="NF24" s="201"/>
      <c r="NG24" s="201"/>
      <c r="NH24" s="201"/>
      <c r="NI24" s="143"/>
      <c r="NJ24" s="143"/>
      <c r="NK24" s="143"/>
      <c r="NL24" s="143"/>
      <c r="NM24" s="102"/>
      <c r="NN24" s="102"/>
      <c r="NO24" s="102"/>
      <c r="NP24" s="102"/>
      <c r="NQ24" s="143"/>
      <c r="NR24" s="201"/>
      <c r="NS24" s="201"/>
      <c r="NT24" s="201"/>
      <c r="NU24" s="143"/>
      <c r="NV24" s="143"/>
      <c r="NW24" s="201"/>
      <c r="NX24" s="201"/>
      <c r="NY24" s="201"/>
      <c r="NZ24" s="143"/>
      <c r="OA24" s="143"/>
      <c r="OB24" s="143"/>
      <c r="OC24" s="143"/>
      <c r="OD24" s="102"/>
      <c r="OE24" s="102"/>
      <c r="OF24" s="102"/>
      <c r="OG24" s="102"/>
      <c r="OH24" s="143"/>
      <c r="OI24" s="201"/>
      <c r="OJ24" s="201"/>
      <c r="OK24" s="201"/>
      <c r="OL24" s="143"/>
      <c r="OM24" s="143"/>
      <c r="ON24" s="201"/>
      <c r="OO24" s="201"/>
      <c r="OP24" s="201"/>
      <c r="OQ24" s="143"/>
      <c r="OR24" s="143"/>
      <c r="OS24" s="143"/>
      <c r="OT24" s="143"/>
      <c r="OU24" s="102"/>
      <c r="OV24" s="102"/>
      <c r="OW24" s="102"/>
      <c r="OX24" s="102"/>
      <c r="OY24" s="143"/>
      <c r="OZ24" s="201"/>
      <c r="PA24" s="201"/>
      <c r="PB24" s="201"/>
      <c r="PC24" s="143"/>
      <c r="PD24" s="143"/>
      <c r="PE24" s="201"/>
      <c r="PF24" s="201"/>
      <c r="PG24" s="201"/>
      <c r="PH24" s="143"/>
      <c r="PI24" s="143"/>
      <c r="PJ24" s="143"/>
      <c r="PK24" s="143"/>
      <c r="PL24" s="102"/>
      <c r="PM24" s="102"/>
      <c r="PN24" s="102"/>
      <c r="PO24" s="102"/>
      <c r="PP24" s="143"/>
      <c r="PQ24" s="201"/>
      <c r="PR24" s="201"/>
      <c r="PS24" s="201"/>
      <c r="PT24" s="143"/>
      <c r="PU24" s="143"/>
      <c r="PV24" s="201"/>
      <c r="PW24" s="201"/>
      <c r="PX24" s="201"/>
      <c r="PY24" s="143"/>
      <c r="PZ24" s="143"/>
      <c r="QA24" s="143"/>
      <c r="QB24" s="143"/>
      <c r="QC24" s="102"/>
      <c r="QD24" s="102"/>
      <c r="QE24" s="102"/>
      <c r="QF24" s="102"/>
      <c r="QG24" s="143"/>
      <c r="QH24" s="201"/>
      <c r="QI24" s="201"/>
      <c r="QJ24" s="201"/>
      <c r="QK24" s="143"/>
      <c r="QL24" s="143"/>
      <c r="QM24" s="201"/>
      <c r="QN24" s="201"/>
      <c r="QO24" s="201"/>
      <c r="QP24" s="143"/>
      <c r="QQ24" s="143"/>
      <c r="QR24" s="143"/>
      <c r="QS24" s="143"/>
      <c r="QT24" s="102"/>
      <c r="QU24" s="102"/>
      <c r="QV24" s="102"/>
      <c r="QW24" s="102"/>
      <c r="QX24" s="143"/>
      <c r="QY24" s="201"/>
      <c r="QZ24" s="201"/>
      <c r="RA24" s="201"/>
      <c r="RB24" s="143"/>
      <c r="RC24" s="143"/>
      <c r="RD24" s="201"/>
      <c r="RE24" s="201"/>
      <c r="RF24" s="201"/>
      <c r="RG24" s="143"/>
      <c r="RH24" s="143"/>
      <c r="RI24" s="143"/>
      <c r="RJ24" s="143"/>
      <c r="RK24" s="102"/>
      <c r="RL24" s="102"/>
      <c r="RM24" s="102"/>
      <c r="RN24" s="102"/>
      <c r="RO24" s="143"/>
      <c r="RP24" s="201"/>
      <c r="RQ24" s="201"/>
      <c r="RR24" s="201"/>
      <c r="RS24" s="143"/>
      <c r="RT24" s="143"/>
      <c r="RU24" s="201"/>
      <c r="RV24" s="201"/>
      <c r="RW24" s="201"/>
      <c r="RX24" s="143"/>
      <c r="RY24" s="143"/>
      <c r="RZ24" s="143"/>
      <c r="SA24" s="143"/>
      <c r="SB24" s="102"/>
      <c r="SC24" s="102"/>
      <c r="SD24" s="102"/>
      <c r="SE24" s="102"/>
      <c r="SF24" s="143"/>
      <c r="SG24" s="201"/>
      <c r="SH24" s="201"/>
      <c r="SI24" s="201"/>
      <c r="SJ24" s="143"/>
      <c r="SK24" s="143"/>
      <c r="SL24" s="201"/>
      <c r="SM24" s="201"/>
      <c r="SN24" s="201"/>
      <c r="SO24" s="143"/>
      <c r="SP24" s="143"/>
      <c r="SQ24" s="143"/>
      <c r="SR24" s="143"/>
    </row>
    <row r="25" spans="1:512" s="144" customFormat="1" ht="16.5" x14ac:dyDescent="0.25">
      <c r="C25" s="191"/>
      <c r="D25" s="191"/>
      <c r="E25" s="191"/>
      <c r="F25" s="102"/>
      <c r="G25" s="143"/>
      <c r="H25" s="201"/>
      <c r="I25" s="201"/>
      <c r="J25" s="201"/>
      <c r="K25" s="143"/>
      <c r="L25" s="143"/>
      <c r="M25" s="201"/>
      <c r="N25" s="201"/>
      <c r="O25" s="201"/>
      <c r="P25" s="143"/>
      <c r="Q25" s="143"/>
      <c r="R25" s="143"/>
      <c r="S25" s="143"/>
      <c r="T25" s="102"/>
      <c r="U25" s="102"/>
      <c r="V25" s="102"/>
      <c r="W25" s="102"/>
      <c r="X25" s="143"/>
      <c r="Y25" s="201"/>
      <c r="Z25" s="201"/>
      <c r="AA25" s="201"/>
      <c r="AB25" s="143"/>
      <c r="AC25" s="143"/>
      <c r="AD25" s="201"/>
      <c r="AE25" s="201"/>
      <c r="AF25" s="201"/>
      <c r="AG25" s="143"/>
      <c r="AH25" s="143"/>
      <c r="AI25" s="143"/>
      <c r="AJ25" s="143"/>
      <c r="AK25" s="102"/>
      <c r="AL25" s="102"/>
      <c r="AM25" s="102"/>
      <c r="AN25" s="102"/>
      <c r="AO25" s="143"/>
      <c r="AP25" s="201"/>
      <c r="AQ25" s="201"/>
      <c r="AR25" s="201"/>
      <c r="AS25" s="143"/>
      <c r="AT25" s="143"/>
      <c r="AU25" s="201"/>
      <c r="AV25" s="201"/>
      <c r="AW25" s="201"/>
      <c r="AX25" s="143"/>
      <c r="AY25" s="143"/>
      <c r="AZ25" s="143"/>
      <c r="BA25" s="143"/>
      <c r="BB25" s="102"/>
      <c r="BC25" s="102"/>
      <c r="BD25" s="102"/>
      <c r="BE25" s="102"/>
      <c r="BF25" s="143"/>
      <c r="BG25" s="201"/>
      <c r="BH25" s="201"/>
      <c r="BI25" s="201"/>
      <c r="BJ25" s="143"/>
      <c r="BK25" s="143"/>
      <c r="BL25" s="201"/>
      <c r="BM25" s="201"/>
      <c r="BN25" s="201"/>
      <c r="BO25" s="143"/>
      <c r="BP25" s="143"/>
      <c r="BQ25" s="143"/>
      <c r="BR25" s="143"/>
      <c r="BS25" s="102"/>
      <c r="BT25" s="102"/>
      <c r="BU25" s="102"/>
      <c r="BV25" s="102"/>
      <c r="BW25" s="143"/>
      <c r="BX25" s="201"/>
      <c r="BY25" s="201"/>
      <c r="BZ25" s="201"/>
      <c r="CA25" s="143"/>
      <c r="CB25" s="143"/>
      <c r="CC25" s="201"/>
      <c r="CD25" s="201"/>
      <c r="CE25" s="201"/>
      <c r="CF25" s="143"/>
      <c r="CG25" s="143"/>
      <c r="CH25" s="143"/>
      <c r="CI25" s="143"/>
      <c r="CJ25" s="102"/>
      <c r="CK25" s="102"/>
      <c r="CL25" s="102"/>
      <c r="CM25" s="102"/>
      <c r="CN25" s="143"/>
      <c r="CO25" s="201"/>
      <c r="CP25" s="201"/>
      <c r="CQ25" s="201"/>
      <c r="CR25" s="143"/>
      <c r="CS25" s="143"/>
      <c r="CT25" s="201"/>
      <c r="CU25" s="201"/>
      <c r="CV25" s="201"/>
      <c r="CW25" s="143"/>
      <c r="CX25" s="143"/>
      <c r="CY25" s="143"/>
      <c r="CZ25" s="143"/>
      <c r="DA25" s="102"/>
      <c r="DB25" s="102"/>
      <c r="DC25" s="102"/>
      <c r="DD25" s="102"/>
      <c r="DE25" s="143"/>
      <c r="DF25" s="201"/>
      <c r="DG25" s="201"/>
      <c r="DH25" s="201"/>
      <c r="DI25" s="143"/>
      <c r="DJ25" s="143"/>
      <c r="DK25" s="201"/>
      <c r="DL25" s="201"/>
      <c r="DM25" s="201"/>
      <c r="DN25" s="143"/>
      <c r="DO25" s="143"/>
      <c r="DP25" s="143"/>
      <c r="DQ25" s="143"/>
      <c r="DR25" s="102"/>
      <c r="DS25" s="102"/>
      <c r="DT25" s="102"/>
      <c r="DU25" s="102"/>
      <c r="DV25" s="143"/>
      <c r="DW25" s="201"/>
      <c r="DX25" s="201"/>
      <c r="DY25" s="201"/>
      <c r="DZ25" s="143"/>
      <c r="EA25" s="143"/>
      <c r="EB25" s="201"/>
      <c r="EC25" s="201"/>
      <c r="ED25" s="201"/>
      <c r="EE25" s="143"/>
      <c r="EF25" s="143"/>
      <c r="EG25" s="143"/>
      <c r="EH25" s="143"/>
      <c r="EI25" s="102"/>
      <c r="EJ25" s="102"/>
      <c r="EK25" s="102"/>
      <c r="EL25" s="102"/>
      <c r="EM25" s="143"/>
      <c r="EN25" s="201"/>
      <c r="EO25" s="201"/>
      <c r="EP25" s="201"/>
      <c r="EQ25" s="143"/>
      <c r="ER25" s="143"/>
      <c r="ES25" s="201"/>
      <c r="ET25" s="201"/>
      <c r="EU25" s="201"/>
      <c r="EV25" s="143"/>
      <c r="EW25" s="143"/>
      <c r="EX25" s="143"/>
      <c r="EY25" s="143"/>
      <c r="EZ25" s="102"/>
      <c r="FA25" s="102"/>
      <c r="FB25" s="102"/>
      <c r="FC25" s="102"/>
      <c r="FD25" s="143"/>
      <c r="FE25" s="201"/>
      <c r="FF25" s="201"/>
      <c r="FG25" s="201"/>
      <c r="FH25" s="143"/>
      <c r="FI25" s="143"/>
      <c r="FJ25" s="201"/>
      <c r="FK25" s="201"/>
      <c r="FL25" s="201"/>
      <c r="FM25" s="143"/>
      <c r="FN25" s="143"/>
      <c r="FO25" s="143"/>
      <c r="FP25" s="143"/>
      <c r="FQ25" s="102"/>
      <c r="FR25" s="102"/>
      <c r="FS25" s="102"/>
      <c r="FT25" s="102"/>
      <c r="FU25" s="143"/>
      <c r="FV25" s="201"/>
      <c r="FW25" s="201"/>
      <c r="FX25" s="201"/>
      <c r="FY25" s="143"/>
      <c r="FZ25" s="143"/>
      <c r="GA25" s="201"/>
      <c r="GB25" s="201"/>
      <c r="GC25" s="201"/>
      <c r="GD25" s="143"/>
      <c r="GE25" s="143"/>
      <c r="GF25" s="143"/>
      <c r="GG25" s="143"/>
      <c r="GH25" s="102"/>
      <c r="GI25" s="102"/>
      <c r="GJ25" s="102"/>
      <c r="GK25" s="102"/>
      <c r="GL25" s="143"/>
      <c r="GM25" s="201"/>
      <c r="GN25" s="201"/>
      <c r="GO25" s="201"/>
      <c r="GP25" s="143"/>
      <c r="GQ25" s="143"/>
      <c r="GR25" s="201"/>
      <c r="GS25" s="201"/>
      <c r="GT25" s="201"/>
      <c r="GU25" s="143"/>
      <c r="GV25" s="143"/>
      <c r="GW25" s="143"/>
      <c r="GX25" s="143"/>
      <c r="GY25" s="102"/>
      <c r="GZ25" s="102"/>
      <c r="HA25" s="102"/>
      <c r="HB25" s="102"/>
      <c r="HC25" s="143"/>
      <c r="HD25" s="201"/>
      <c r="HE25" s="201"/>
      <c r="HF25" s="201"/>
      <c r="HG25" s="143"/>
      <c r="HH25" s="143"/>
      <c r="HI25" s="201"/>
      <c r="HJ25" s="201"/>
      <c r="HK25" s="201"/>
      <c r="HL25" s="143"/>
      <c r="HM25" s="143"/>
      <c r="HN25" s="143"/>
      <c r="HO25" s="143"/>
      <c r="HP25" s="102"/>
      <c r="HQ25" s="102"/>
      <c r="HR25" s="102"/>
      <c r="HS25" s="102"/>
      <c r="HT25" s="143"/>
      <c r="HU25" s="201"/>
      <c r="HV25" s="201"/>
      <c r="HW25" s="201"/>
      <c r="HX25" s="143"/>
      <c r="HY25" s="143"/>
      <c r="HZ25" s="201"/>
      <c r="IA25" s="201"/>
      <c r="IB25" s="201"/>
      <c r="IC25" s="143"/>
      <c r="ID25" s="143"/>
      <c r="IE25" s="143"/>
      <c r="IF25" s="143"/>
      <c r="IG25" s="102"/>
      <c r="IH25" s="102"/>
      <c r="II25" s="102"/>
      <c r="IJ25" s="102"/>
      <c r="IK25" s="143"/>
      <c r="IL25" s="201"/>
      <c r="IM25" s="201"/>
      <c r="IN25" s="201"/>
      <c r="IO25" s="143"/>
      <c r="IP25" s="143"/>
      <c r="IQ25" s="201"/>
      <c r="IR25" s="201"/>
      <c r="IS25" s="201"/>
      <c r="IT25" s="143"/>
      <c r="IU25" s="143"/>
      <c r="IV25" s="143"/>
      <c r="IW25" s="143"/>
      <c r="IX25" s="102"/>
      <c r="IY25" s="102"/>
      <c r="IZ25" s="102"/>
      <c r="JA25" s="102"/>
      <c r="JB25" s="143"/>
      <c r="JC25" s="201"/>
      <c r="JD25" s="201"/>
      <c r="JE25" s="201"/>
      <c r="JF25" s="143"/>
      <c r="JG25" s="143"/>
      <c r="JH25" s="201"/>
      <c r="JI25" s="201"/>
      <c r="JJ25" s="201"/>
      <c r="JK25" s="143"/>
      <c r="JL25" s="143"/>
      <c r="JM25" s="143"/>
      <c r="JN25" s="143"/>
      <c r="JO25" s="102"/>
      <c r="JP25" s="102"/>
      <c r="JQ25" s="102"/>
      <c r="JR25" s="102"/>
      <c r="JS25" s="143"/>
      <c r="JT25" s="201"/>
      <c r="JU25" s="201"/>
      <c r="JV25" s="201"/>
      <c r="JW25" s="143"/>
      <c r="JX25" s="143"/>
      <c r="JY25" s="201"/>
      <c r="JZ25" s="201"/>
      <c r="KA25" s="201"/>
      <c r="KB25" s="143"/>
      <c r="KC25" s="143"/>
      <c r="KD25" s="143"/>
      <c r="KE25" s="143"/>
      <c r="KF25" s="102"/>
      <c r="KG25" s="102"/>
      <c r="KH25" s="102"/>
      <c r="KI25" s="102"/>
      <c r="KJ25" s="143"/>
      <c r="KK25" s="201"/>
      <c r="KL25" s="201"/>
      <c r="KM25" s="201"/>
      <c r="KN25" s="143"/>
      <c r="KO25" s="143"/>
      <c r="KP25" s="201"/>
      <c r="KQ25" s="201"/>
      <c r="KR25" s="201"/>
      <c r="KS25" s="143"/>
      <c r="KT25" s="143"/>
      <c r="KU25" s="143"/>
      <c r="KV25" s="143"/>
      <c r="KW25" s="102"/>
      <c r="KX25" s="102"/>
      <c r="KY25" s="102"/>
      <c r="KZ25" s="102"/>
      <c r="LA25" s="143"/>
      <c r="LB25" s="201"/>
      <c r="LC25" s="201"/>
      <c r="LD25" s="201"/>
      <c r="LE25" s="143"/>
      <c r="LF25" s="143"/>
      <c r="LG25" s="201"/>
      <c r="LH25" s="201"/>
      <c r="LI25" s="201"/>
      <c r="LJ25" s="143"/>
      <c r="LK25" s="143"/>
      <c r="LL25" s="143"/>
      <c r="LM25" s="143"/>
      <c r="LN25" s="102"/>
      <c r="LO25" s="102"/>
      <c r="LP25" s="102"/>
      <c r="LQ25" s="102"/>
      <c r="LR25" s="143"/>
      <c r="LS25" s="201"/>
      <c r="LT25" s="201"/>
      <c r="LU25" s="201"/>
      <c r="LV25" s="143"/>
      <c r="LW25" s="143"/>
      <c r="LX25" s="201"/>
      <c r="LY25" s="201"/>
      <c r="LZ25" s="201"/>
      <c r="MA25" s="143"/>
      <c r="MB25" s="143"/>
      <c r="MC25" s="143"/>
      <c r="MD25" s="143"/>
      <c r="ME25" s="102"/>
      <c r="MF25" s="102"/>
      <c r="MG25" s="102"/>
      <c r="MH25" s="102"/>
      <c r="MI25" s="143"/>
      <c r="MJ25" s="201"/>
      <c r="MK25" s="201"/>
      <c r="ML25" s="201"/>
      <c r="MM25" s="143"/>
      <c r="MN25" s="143"/>
      <c r="MO25" s="201"/>
      <c r="MP25" s="201"/>
      <c r="MQ25" s="201"/>
      <c r="MR25" s="143"/>
      <c r="MS25" s="143"/>
      <c r="MT25" s="143"/>
      <c r="MU25" s="143"/>
      <c r="MV25" s="102"/>
      <c r="MW25" s="102"/>
      <c r="MX25" s="102"/>
      <c r="MY25" s="102"/>
      <c r="MZ25" s="143"/>
      <c r="NA25" s="201"/>
      <c r="NB25" s="201"/>
      <c r="NC25" s="201"/>
      <c r="ND25" s="143"/>
      <c r="NE25" s="143"/>
      <c r="NF25" s="201"/>
      <c r="NG25" s="201"/>
      <c r="NH25" s="201"/>
      <c r="NI25" s="143"/>
      <c r="NJ25" s="143"/>
      <c r="NK25" s="143"/>
      <c r="NL25" s="143"/>
      <c r="NM25" s="102"/>
      <c r="NN25" s="102"/>
      <c r="NO25" s="102"/>
      <c r="NP25" s="102"/>
      <c r="NQ25" s="143"/>
      <c r="NR25" s="201"/>
      <c r="NS25" s="201"/>
      <c r="NT25" s="201"/>
      <c r="NU25" s="143"/>
      <c r="NV25" s="143"/>
      <c r="NW25" s="201"/>
      <c r="NX25" s="201"/>
      <c r="NY25" s="201"/>
      <c r="NZ25" s="143"/>
      <c r="OA25" s="143"/>
      <c r="OB25" s="143"/>
      <c r="OC25" s="143"/>
      <c r="OD25" s="102"/>
      <c r="OE25" s="102"/>
      <c r="OF25" s="102"/>
      <c r="OG25" s="102"/>
      <c r="OH25" s="143"/>
      <c r="OI25" s="201"/>
      <c r="OJ25" s="201"/>
      <c r="OK25" s="201"/>
      <c r="OL25" s="143"/>
      <c r="OM25" s="143"/>
      <c r="ON25" s="201"/>
      <c r="OO25" s="201"/>
      <c r="OP25" s="201"/>
      <c r="OQ25" s="143"/>
      <c r="OR25" s="143"/>
      <c r="OS25" s="143"/>
      <c r="OT25" s="143"/>
      <c r="OU25" s="102"/>
      <c r="OV25" s="102"/>
      <c r="OW25" s="102"/>
      <c r="OX25" s="102"/>
      <c r="OY25" s="143"/>
      <c r="OZ25" s="201"/>
      <c r="PA25" s="201"/>
      <c r="PB25" s="201"/>
      <c r="PC25" s="143"/>
      <c r="PD25" s="143"/>
      <c r="PE25" s="201"/>
      <c r="PF25" s="201"/>
      <c r="PG25" s="201"/>
      <c r="PH25" s="143"/>
      <c r="PI25" s="143"/>
      <c r="PJ25" s="143"/>
      <c r="PK25" s="143"/>
      <c r="PL25" s="102"/>
      <c r="PM25" s="102"/>
      <c r="PN25" s="102"/>
      <c r="PO25" s="102"/>
      <c r="PP25" s="143"/>
      <c r="PQ25" s="201"/>
      <c r="PR25" s="201"/>
      <c r="PS25" s="201"/>
      <c r="PT25" s="143"/>
      <c r="PU25" s="143"/>
      <c r="PV25" s="201"/>
      <c r="PW25" s="201"/>
      <c r="PX25" s="201"/>
      <c r="PY25" s="143"/>
      <c r="PZ25" s="143"/>
      <c r="QA25" s="143"/>
      <c r="QB25" s="143"/>
      <c r="QC25" s="102"/>
      <c r="QD25" s="102"/>
      <c r="QE25" s="102"/>
      <c r="QF25" s="102"/>
      <c r="QG25" s="143"/>
      <c r="QH25" s="201"/>
      <c r="QI25" s="201"/>
      <c r="QJ25" s="201"/>
      <c r="QK25" s="143"/>
      <c r="QL25" s="143"/>
      <c r="QM25" s="201"/>
      <c r="QN25" s="201"/>
      <c r="QO25" s="201"/>
      <c r="QP25" s="143"/>
      <c r="QQ25" s="143"/>
      <c r="QR25" s="143"/>
      <c r="QS25" s="143"/>
      <c r="QT25" s="102"/>
      <c r="QU25" s="102"/>
      <c r="QV25" s="102"/>
      <c r="QW25" s="102"/>
      <c r="QX25" s="143"/>
      <c r="QY25" s="201"/>
      <c r="QZ25" s="201"/>
      <c r="RA25" s="201"/>
      <c r="RB25" s="143"/>
      <c r="RC25" s="143"/>
      <c r="RD25" s="201"/>
      <c r="RE25" s="201"/>
      <c r="RF25" s="201"/>
      <c r="RG25" s="143"/>
      <c r="RH25" s="143"/>
      <c r="RI25" s="143"/>
      <c r="RJ25" s="143"/>
      <c r="RK25" s="102"/>
      <c r="RL25" s="102"/>
      <c r="RM25" s="102"/>
      <c r="RN25" s="102"/>
      <c r="RO25" s="143"/>
      <c r="RP25" s="201"/>
      <c r="RQ25" s="201"/>
      <c r="RR25" s="201"/>
      <c r="RS25" s="143"/>
      <c r="RT25" s="143"/>
      <c r="RU25" s="201"/>
      <c r="RV25" s="201"/>
      <c r="RW25" s="201"/>
      <c r="RX25" s="143"/>
      <c r="RY25" s="143"/>
      <c r="RZ25" s="143"/>
      <c r="SA25" s="143"/>
      <c r="SB25" s="102"/>
      <c r="SC25" s="102"/>
      <c r="SD25" s="102"/>
      <c r="SE25" s="102"/>
      <c r="SF25" s="143"/>
      <c r="SG25" s="201"/>
      <c r="SH25" s="201"/>
      <c r="SI25" s="201"/>
      <c r="SJ25" s="143"/>
      <c r="SK25" s="143"/>
      <c r="SL25" s="201"/>
      <c r="SM25" s="201"/>
      <c r="SN25" s="201"/>
      <c r="SO25" s="143"/>
      <c r="SP25" s="143"/>
      <c r="SQ25" s="143"/>
      <c r="SR25" s="143"/>
    </row>
  </sheetData>
  <sheetProtection algorithmName="SHA-512" hashValue="uhoj/FMLIEYsysOpJ0ySkoFbmEQ/BHcqr7nqNmAkn6dATI2iPTMiEEjs1CkrRnWsCMCgJ/wrVMBfRpnBW3PG7w==" saltValue="IOoqNb4KN7ezB2R5sPIowg==" spinCount="100000" sheet="1" insertColumns="0" deleteColumns="0" selectLockedCells="1"/>
  <dataConsolidate/>
  <mergeCells count="13">
    <mergeCell ref="A20:B20"/>
    <mergeCell ref="A11:B11"/>
    <mergeCell ref="A13:B13"/>
    <mergeCell ref="A15:B15"/>
    <mergeCell ref="A16:B16"/>
    <mergeCell ref="A17:B17"/>
    <mergeCell ref="A19:B19"/>
    <mergeCell ref="A10:B10"/>
    <mergeCell ref="A1:B1"/>
    <mergeCell ref="A5:B5"/>
    <mergeCell ref="A6:B6"/>
    <mergeCell ref="A8:B8"/>
    <mergeCell ref="A9:B9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ref!$B$3:$B$6</xm:f>
          </x14:formula1>
          <xm:sqref>H5:J6 C5:E6 M5:O6 QM8:QO11 QH8:QJ11 QC8:QE11 C13:E13 H13:J13 M13:O13 PE8:PG11 OZ8:PB11 OU8:OW11 C15:E17 H15:J17 M15:O17 ON8:OP11 OI8:OK11 OD8:OF11 C19:E19 H19:J19 M19:O19 M8:O11 H8:J11 C8:E11 OD5:OF6 OI5:OK6 ON5:OP6 OD13:OF13 OI13:OK13 ON13:OP13 OD15:OF17 OI15:OK17 ON15:OP17 OD19:OF19 OI19:OK19 ON19:OP19 OU5:OW6 OZ5:PB6 PE5:PG6 OU13:OW13 OZ13:PB13 PE13:PG13 OU15:OW17 OZ15:PB17 PE15:PG17 OU19:OW19 OZ19:PB19 PE19:PG19 QC5:QE6 QH5:QJ6 QM5:QO6 QC13:QE13 QH13:QJ13 QM13:QO13 QC15:QE17 QH15:QJ17 QM15:QO17 QC19:QE19 QH19:QJ19 QM19:QO19 PL5:PN6 PQ5:PS6 PV5:PX6 PL13:PN13 PQ13:PS13 PV13:PX13 PL15:PN17 PQ15:PS17 PV15:PX17 PL19:PN19 PQ19:PS19 PV19:PX19 QT5:QV6 QY5:RA6 RD5:RF6 QT13:QV13 QY13:RA13 RD13:RF13 QT15:QV17 QY15:RA17 RD15:RF17 QT19:QV19 QY19:RA19 RD19:RF19 RK5:RM6 RP5:RR6 RU5:RW6 RK13:RM13 RP13:RR13 RU13:RW13 RK15:RM17 RP15:RR17 RU15:RW17 RK19:RM19 RP19:RR19 RU19:RW19 Y5:AA6 T5:V6 AD5:AF6 T13:V13 Y13:AA13 AD13:AF13 T15:V17 Y15:AA17 AD15:AF17 T19:V19 Y19:AA19 AD19:AF19 BB5:BD6 BG5:BI6 BL5:BN6 BB13:BD13 BG13:BI13 BL13:BN13 BB15:BD17 BG15:BI17 BL15:BN17 BB19:BD19 BG19:BI19 BL19:BN19 BS5:BU6 BX5:BZ6 CC5:CE6 BS13:BU13 BX13:BZ13 CC13:CE13 BS15:BU17 BX15:BZ17 CC15:CE17 BS19:BU19 BX19:BZ19 CC19:CE19 CJ5:CL6 CO5:CQ6 CT5:CV6 CJ13:CL13 CO13:CQ13 CT13:CV13 CJ15:CL17 CO15:CQ17 CT15:CV17 CJ19:CL19 CO19:CQ19 CT19:CV19 DA5:DC6 DF5:DH6 DK5:DM6 DA13:DC13 DF13:DH13 DK13:DM13 DA15:DC17 DF15:DH17 DK15:DM17 DA19:DC19 DF19:DH19 DK19:DM19 DR5:DT6 DW5:DY6 EB5:ED6 DR13:DT13 DW13:DY13 EB13:ED13 DR15:DT17 DW15:DY17 EB15:ED17 DR19:DT19 DW19:DY19 EB19:ED19 EI5:EK6 EN5:EP6 ES5:EU6 EI13:EK13 EN13:EP13 ES13:EU13 EI15:EK17 EN15:EP17 ES15:EU17 EI19:EK19 EN19:EP19 ES19:EU19 EZ5:FB6 FE5:FG6 FJ5:FL6 EZ13:FB13 FE13:FG13 FJ13:FL13 EZ15:FB17 FE15:FG17 FJ15:FL17 EZ19:FB19 FE19:FG19 FJ19:FL19 FQ5:FS6 FV5:FX6 GA5:GC6 FQ13:FS13 FV13:FX13 GA13:GC13 FQ15:FS17 FV15:FX17 GA15:GC17 FQ19:FS19 FV19:FX19 GA19:GC19 GH5:GJ6 GM5:GO6 GR5:GT6 GH13:GJ13 GM13:GO13 GR13:GT13 GH15:GJ17 GM15:GO17 GR15:GT17 GH19:GJ19 GM19:GO19 GR19:GT19 GY5:HA6 HD5:HF6 HI5:HK6 GY13:HA13 HD13:HF13 HI13:HK13 GY15:HA17 HD15:HF17 HI15:HK17 GY19:HA19 HD19:HF19 HI19:HK19 HP5:HR6 HU5:HW6 HZ5:IB6 HP13:HR13 HU13:HW13 HZ13:IB13 HP15:HR17 HU15:HW17 HZ15:IB17 HP19:HR19 HU19:HW19 HZ19:IB19 IG5:II6 IL5:IN6 IQ5:IS6 IG13:II13 IL13:IN13 IQ13:IS13 IG15:II17 IL15:IN17 IQ15:IS17 IG19:II19 IL19:IN19 IQ19:IS19 IX5:IZ6 JC5:JE6 JH5:JJ6 IX13:IZ13 JC13:JE13 JH13:JJ13 IX15:IZ17 JC15:JE17 JH15:JJ17 IX19:IZ19 JC19:JE19 JH19:JJ19 JO5:JQ6 JT5:JV6 JY5:KA6 JO13:JQ13 JT13:JV13 JY13:KA13 JO15:JQ17 JT15:JV17 JY15:KA17 JO19:JQ19 JT19:JV19 JY19:KA19 KF5:KH6 KK5:KM6 KP5:KR6 KF13:KH13 KK13:KM13 KP13:KR13 KF15:KH17 KK15:KM17 KP15:KR17 KF19:KH19 KK19:KM19 KP19:KR19 KW5:KY6 LB5:LD6 LG5:LI6 KW13:KY13 LB13:LD13 LG13:LI13 KW15:KY17 LB15:LD17 LG15:LI17 KW19:KY19 LB19:LD19 LG19:LI19 LN5:LP6 LS5:LU6 LX5:LZ6 LN13:LP13 LS13:LU13 LX13:LZ13 LN15:LP17 LS15:LU17 LX15:LZ17 LN19:LP19 LS19:LU19 LX19:LZ19 ME5:MG6 MJ5:ML6 MO5:MQ6 ME13:MG13 MJ13:ML13 MO13:MQ13 ME15:MG17 MJ15:ML17 MO15:MQ17 ME19:MG19 MJ19:ML19 MO19:MQ19 MV5:MX6 NA5:NC6 NF5:NH6 MV13:MX13 NA13:NC13 NF13:NH13 MV15:MX17 NA15:NC17 NF15:NH17 MV19:MX19 NA19:NC19 NF19:NH19 NM5:NO6 NR5:NT6 NW5:NY6 NM13:NO13 NR13:NT13 NW13:NY13 NM15:NO17 NR15:NT17 NW15:NY17 NM19:NO19 NR19:NT19 NW19:NY19 SB5:SD6 SG5:SI6 SL5:SN6 SB13:SD13 SG13:SI13 SL13:SN13 SB15:SD17 SG15:SI17 SL15:SN17 SB19:SD19 SG19:SI19 SL19:SN19 SL8:SN11 SG8:SI11 SB8:SD11 NW8:NY11 NR8:NT11 NM8:NO11 NF8:NH11 NA8:NC11 MV8:MX11 MO8:MQ11 MJ8:ML11 ME8:MG11 LX8:LZ11 LS8:LU11 LN8:LP11 LG8:LI11 LB8:LD11 KW8:KY11 KP8:KR11 KK8:KM11 KF8:KH11 JY8:KA11 JT8:JV11 JO8:JQ11 JH8:JJ11 JC8:JE11 IX8:IZ11 IQ8:IS11 IL8:IN11 IG8:II11 HZ8:IB11 HU8:HW11 HP8:HR11 HI8:HK11 HD8:HF11 GY8:HA11 GR8:GT11 GM8:GO11 GH8:GJ11 GA8:GC11 FV8:FX11 FQ8:FS11 FJ8:FL11 FE8:FG11 EZ8:FB11 ES8:EU11 EN8:EP11 EI8:EK11 EB8:ED11 DW8:DY11 DR8:DT11 DK8:DM11 DF8:DH11 DA8:DC11 CT8:CV11 CO8:CQ11 CJ8:CL11 CC8:CE11 BX8:BZ11 BS8:BU11 BL8:BN11 BG8:BI11 BB8:BD11 AD8:AF11 Y8:AA11 T8:V11 RU8:RW11 RP8:RR11 RK8:RM11 RD8:RF11 QY8:RA11 QT8:QV11 PV8:PX11 PQ8:PS11 PL8:PN11 AP5:AR6 AK5:AM6 AU5:AW6 AK13:AM13 AP13:AR13 AU13:AW13 AK15:AM17 AP15:AR17 AU15:AW17 AK19:AM19 AP19:AR19 AU19:AW19 AU8:AW11 AP8:AR11 AK8:AM11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13"/>
  <dimension ref="A1:AC33"/>
  <sheetViews>
    <sheetView zoomScale="90" zoomScaleNormal="90" workbookViewId="0">
      <selection activeCell="A2" sqref="A2:A3"/>
    </sheetView>
  </sheetViews>
  <sheetFormatPr baseColWidth="10" defaultRowHeight="15" x14ac:dyDescent="0.25"/>
  <cols>
    <col min="1" max="1" width="30.7109375" style="48" customWidth="1"/>
    <col min="2" max="27" width="6.7109375" style="48" customWidth="1"/>
    <col min="28" max="28" width="3" style="48" customWidth="1"/>
    <col min="29" max="29" width="20.140625" style="48" customWidth="1"/>
    <col min="30" max="16384" width="11.42578125" style="48"/>
  </cols>
  <sheetData>
    <row r="1" spans="1:29" ht="31.5" customHeight="1" thickBot="1" x14ac:dyDescent="0.3">
      <c r="A1" s="37" t="s">
        <v>206</v>
      </c>
      <c r="B1" s="221" t="s">
        <v>0</v>
      </c>
      <c r="C1" s="221"/>
      <c r="D1" s="221"/>
      <c r="E1" s="221"/>
      <c r="F1" s="221"/>
      <c r="G1" s="221"/>
      <c r="H1" s="221"/>
      <c r="I1" s="221"/>
      <c r="J1" s="221"/>
      <c r="K1" s="221"/>
      <c r="L1" s="221"/>
      <c r="M1" s="221"/>
      <c r="N1" s="221"/>
      <c r="O1" s="221"/>
      <c r="P1" s="221"/>
      <c r="Q1" s="221"/>
      <c r="R1" s="221"/>
      <c r="S1" s="221"/>
      <c r="T1" s="221"/>
      <c r="U1" s="221"/>
      <c r="V1" s="221"/>
      <c r="W1" s="221"/>
      <c r="X1" s="221"/>
      <c r="Y1" s="221"/>
      <c r="Z1" s="221"/>
      <c r="AA1" s="222"/>
      <c r="AC1" s="38" t="s">
        <v>36</v>
      </c>
    </row>
    <row r="2" spans="1:29" ht="24.95" customHeight="1" thickTop="1" x14ac:dyDescent="0.25">
      <c r="A2" s="223" t="s">
        <v>1</v>
      </c>
      <c r="B2" s="225" t="s">
        <v>2</v>
      </c>
      <c r="C2" s="225"/>
      <c r="D2" s="225"/>
      <c r="E2" s="226"/>
      <c r="F2" s="227" t="s">
        <v>3</v>
      </c>
      <c r="G2" s="228"/>
      <c r="H2" s="228"/>
      <c r="I2" s="229"/>
      <c r="J2" s="227" t="s">
        <v>4</v>
      </c>
      <c r="K2" s="228"/>
      <c r="L2" s="228"/>
      <c r="M2" s="229"/>
      <c r="N2" s="227" t="s">
        <v>5</v>
      </c>
      <c r="O2" s="228"/>
      <c r="P2" s="228"/>
      <c r="Q2" s="229"/>
      <c r="R2" s="227" t="s">
        <v>6</v>
      </c>
      <c r="S2" s="228"/>
      <c r="T2" s="228"/>
      <c r="U2" s="229"/>
      <c r="V2" s="230" t="s">
        <v>34</v>
      </c>
      <c r="W2" s="231"/>
      <c r="X2" s="232"/>
      <c r="Y2" s="233" t="s">
        <v>33</v>
      </c>
      <c r="Z2" s="234"/>
      <c r="AA2" s="235"/>
      <c r="AC2" s="47" t="s">
        <v>205</v>
      </c>
    </row>
    <row r="3" spans="1:29" ht="24.95" customHeight="1" thickBot="1" x14ac:dyDescent="0.3">
      <c r="A3" s="224"/>
      <c r="B3" s="18" t="s">
        <v>28</v>
      </c>
      <c r="C3" s="19" t="s">
        <v>29</v>
      </c>
      <c r="D3" s="18" t="s">
        <v>30</v>
      </c>
      <c r="E3" s="20" t="s">
        <v>10</v>
      </c>
      <c r="F3" s="21" t="s">
        <v>28</v>
      </c>
      <c r="G3" s="22" t="s">
        <v>29</v>
      </c>
      <c r="H3" s="23" t="s">
        <v>30</v>
      </c>
      <c r="I3" s="24" t="s">
        <v>10</v>
      </c>
      <c r="J3" s="25" t="s">
        <v>28</v>
      </c>
      <c r="K3" s="26" t="s">
        <v>29</v>
      </c>
      <c r="L3" s="23" t="s">
        <v>30</v>
      </c>
      <c r="M3" s="24" t="s">
        <v>10</v>
      </c>
      <c r="N3" s="21" t="s">
        <v>28</v>
      </c>
      <c r="O3" s="27" t="s">
        <v>29</v>
      </c>
      <c r="P3" s="23" t="s">
        <v>30</v>
      </c>
      <c r="Q3" s="24" t="s">
        <v>10</v>
      </c>
      <c r="R3" s="21" t="s">
        <v>28</v>
      </c>
      <c r="S3" s="27" t="s">
        <v>29</v>
      </c>
      <c r="T3" s="23" t="s">
        <v>30</v>
      </c>
      <c r="U3" s="24" t="s">
        <v>10</v>
      </c>
      <c r="V3" s="16" t="s">
        <v>28</v>
      </c>
      <c r="W3" s="17" t="s">
        <v>29</v>
      </c>
      <c r="X3" s="17" t="s">
        <v>30</v>
      </c>
      <c r="Y3" s="40"/>
      <c r="Z3" s="41"/>
      <c r="AA3" s="42"/>
      <c r="AB3" s="43"/>
      <c r="AC3" s="39" t="s">
        <v>194</v>
      </c>
    </row>
    <row r="4" spans="1:29" ht="15.75" customHeight="1" thickTop="1" x14ac:dyDescent="0.25">
      <c r="A4" s="44" t="str">
        <f ca="1">CELL("contenu",INDIRECT(ADDRESS(ROW()-2,9,1,,CELL("contenu",$AC$3))))</f>
        <v>BERNARD DE DOMPSURE Anais</v>
      </c>
      <c r="B4" s="1" t="str">
        <f ca="1">CELL("contenu",INDIRECT(ADDRESS(ref!$K$3,ref!E3,1,,CELL("contenu",$AC$2))))</f>
        <v/>
      </c>
      <c r="C4" s="2" t="str">
        <f ca="1">CELL("contenu",INDIRECT(ADDRESS(ref!$K$3,ref!F3,1,,CELL("contenu",$AC$2))))</f>
        <v/>
      </c>
      <c r="D4" s="3" t="str">
        <f ca="1">CELL("contenu",INDIRECT(ADDRESS(ref!$K$3,ref!G3,1,,CELL("contenu",$AC$2))))</f>
        <v/>
      </c>
      <c r="E4" s="4" t="str">
        <f ca="1">CELL("contenu",INDIRECT(ADDRESS(ref!$K$3,ref!H3,1,,CELL("contenu",$AC$2))))</f>
        <v/>
      </c>
      <c r="F4" s="5" t="str">
        <f ca="1">CELL("contenu",INDIRECT(ADDRESS(ref!$K$4,ref!E3,1,,CELL("contenu",$AC$2))))</f>
        <v>B</v>
      </c>
      <c r="G4" s="2" t="str">
        <f ca="1">CELL("contenu",INDIRECT(ADDRESS(ref!$K$4,ref!F3,1,,CELL("contenu",$AC$2))))</f>
        <v/>
      </c>
      <c r="H4" s="3" t="str">
        <f ca="1">CELL("contenu",INDIRECT(ADDRESS(ref!$K$4,ref!G3,1,,CELL("contenu",$AC$2))))</f>
        <v/>
      </c>
      <c r="I4" s="4" t="str">
        <f ca="1">CELL("contenu",INDIRECT(ADDRESS(ref!$K$4,ref!H3,1,,CELL("contenu",$AC$2))))</f>
        <v>B</v>
      </c>
      <c r="J4" s="5" t="str">
        <f ca="1">CELL("contenu",INDIRECT(ADDRESS(ref!$K$5,ref!E3,1,,CELL("contenu",$AC$2))))</f>
        <v>A</v>
      </c>
      <c r="K4" s="2" t="str">
        <f ca="1">CELL("contenu",INDIRECT(ADDRESS(ref!$K$5,ref!F3,1,,CELL("contenu",$AC$2))))</f>
        <v/>
      </c>
      <c r="L4" s="3" t="str">
        <f ca="1">CELL("contenu",INDIRECT(ADDRESS(ref!$K$5,ref!G3,1,,CELL("contenu",$AC$2))))</f>
        <v/>
      </c>
      <c r="M4" s="4" t="str">
        <f ca="1">CELL("contenu",INDIRECT(ADDRESS(ref!$K$5,ref!H3,1,,CELL("contenu",$AC$2))))</f>
        <v>A</v>
      </c>
      <c r="N4" s="5" t="str">
        <f ca="1">CELL("contenu",INDIRECT(ADDRESS(ref!$K$6,ref!E3,1,,CELL("contenu",$AC$2))))</f>
        <v>B</v>
      </c>
      <c r="O4" s="2" t="str">
        <f ca="1">CELL("contenu",INDIRECT(ADDRESS(ref!$K$6,ref!F3,1,,CELL("contenu",$AC$2))))</f>
        <v/>
      </c>
      <c r="P4" s="3" t="str">
        <f ca="1">CELL("contenu",INDIRECT(ADDRESS(ref!$K$6,ref!G3,1,,CELL("contenu",$AC$2))))</f>
        <v/>
      </c>
      <c r="Q4" s="4" t="str">
        <f ca="1">CELL("contenu",INDIRECT(ADDRESS(ref!$K$6,ref!H3,1,,CELL("contenu",$AC$2))))</f>
        <v>B</v>
      </c>
      <c r="R4" s="5" t="str">
        <f ca="1">CELL("contenu",INDIRECT(ADDRESS(ref!$K$7,ref!E3,1,,CELL("contenu",$AC$2))))</f>
        <v>A</v>
      </c>
      <c r="S4" s="2" t="str">
        <f ca="1">CELL("contenu",INDIRECT(ADDRESS(ref!$K$7,ref!F3,1,,CELL("contenu",$AC$2))))</f>
        <v/>
      </c>
      <c r="T4" s="3" t="str">
        <f ca="1">CELL("contenu",INDIRECT(ADDRESS(ref!$K$7,ref!G3,1,,CELL("contenu",$AC$2))))</f>
        <v/>
      </c>
      <c r="U4" s="4" t="str">
        <f ca="1">CELL("contenu",INDIRECT(ADDRESS(ref!$K$7,ref!H3,1,,CELL("contenu",$AC$2))))</f>
        <v>A</v>
      </c>
      <c r="V4" s="28">
        <f ca="1">CELL("contenu",INDIRECT(ADDRESS(ref!$K$8,ref!E3,1,,CELL("contenu",$AC$2))))</f>
        <v>16.666666666666668</v>
      </c>
      <c r="W4" s="29" t="str">
        <f ca="1">CELL("contenu",INDIRECT(ADDRESS(ref!$K$8,ref!F3,1,,CELL("contenu",$AC$2))))</f>
        <v/>
      </c>
      <c r="X4" s="30" t="str">
        <f ca="1">CELL("contenu",INDIRECT(ADDRESS(ref!$K$8,ref!G3,1,,CELL("contenu",$AC$2))))</f>
        <v/>
      </c>
      <c r="Y4" s="6" t="str">
        <f ca="1">CELL("contenu",INDIRECT(ADDRESS(ref!$K$9,ref!H3,1,,CELL("contenu",$AC$2))))</f>
        <v/>
      </c>
      <c r="Z4" s="3" t="str">
        <f ca="1">CELL("contenu",INDIRECT(ADDRESS(ref!$K$10,ref!H3,1,,CELL("contenu",$AC$2))))</f>
        <v>A</v>
      </c>
      <c r="AA4" s="7" t="str">
        <f ca="1">CELL("contenu",INDIRECT(ADDRESS(ref!$K$11,ref!H3,1,,CELL("contenu",$AC$2))))</f>
        <v>B</v>
      </c>
    </row>
    <row r="5" spans="1:29" x14ac:dyDescent="0.25">
      <c r="A5" s="44" t="str">
        <f t="shared" ref="A5:A33" ca="1" si="0">CELL("contenu",INDIRECT(ADDRESS(ROW()-2,9,1,,CELL("contenu",$AC$3))))</f>
        <v>BIARDEAU Arthur</v>
      </c>
      <c r="B5" s="1" t="str">
        <f ca="1">CELL("contenu",INDIRECT(ADDRESS(ref!$K$3,ref!E4,1,,CELL("contenu",$AC$2))))</f>
        <v/>
      </c>
      <c r="C5" s="2" t="str">
        <f ca="1">CELL("contenu",INDIRECT(ADDRESS(ref!$K$3,ref!F4,1,,CELL("contenu",$AC$2))))</f>
        <v/>
      </c>
      <c r="D5" s="3" t="str">
        <f ca="1">CELL("contenu",INDIRECT(ADDRESS(ref!$K$3,ref!G4,1,,CELL("contenu",$AC$2))))</f>
        <v/>
      </c>
      <c r="E5" s="4" t="str">
        <f ca="1">CELL("contenu",INDIRECT(ADDRESS(ref!$K$3,ref!H4,1,,CELL("contenu",$AC$2))))</f>
        <v/>
      </c>
      <c r="F5" s="5" t="str">
        <f ca="1">CELL("contenu",INDIRECT(ADDRESS(ref!$K$4,ref!E4,1,,CELL("contenu",$AC$2))))</f>
        <v>D</v>
      </c>
      <c r="G5" s="2" t="str">
        <f ca="1">CELL("contenu",INDIRECT(ADDRESS(ref!$K$4,ref!F4,1,,CELL("contenu",$AC$2))))</f>
        <v/>
      </c>
      <c r="H5" s="3" t="str">
        <f ca="1">CELL("contenu",INDIRECT(ADDRESS(ref!$K$4,ref!G4,1,,CELL("contenu",$AC$2))))</f>
        <v/>
      </c>
      <c r="I5" s="4" t="str">
        <f ca="1">CELL("contenu",INDIRECT(ADDRESS(ref!$K$4,ref!H4,1,,CELL("contenu",$AC$2))))</f>
        <v>D</v>
      </c>
      <c r="J5" s="5" t="str">
        <f ca="1">CELL("contenu",INDIRECT(ADDRESS(ref!$K$5,ref!E4,1,,CELL("contenu",$AC$2))))</f>
        <v>A</v>
      </c>
      <c r="K5" s="2" t="str">
        <f ca="1">CELL("contenu",INDIRECT(ADDRESS(ref!$K$5,ref!F4,1,,CELL("contenu",$AC$2))))</f>
        <v/>
      </c>
      <c r="L5" s="3" t="str">
        <f ca="1">CELL("contenu",INDIRECT(ADDRESS(ref!$K$5,ref!G4,1,,CELL("contenu",$AC$2))))</f>
        <v/>
      </c>
      <c r="M5" s="4" t="str">
        <f ca="1">CELL("contenu",INDIRECT(ADDRESS(ref!$K$5,ref!H4,1,,CELL("contenu",$AC$2))))</f>
        <v>A</v>
      </c>
      <c r="N5" s="5" t="str">
        <f ca="1">CELL("contenu",INDIRECT(ADDRESS(ref!$K$6,ref!E4,1,,CELL("contenu",$AC$2))))</f>
        <v>C</v>
      </c>
      <c r="O5" s="2" t="str">
        <f ca="1">CELL("contenu",INDIRECT(ADDRESS(ref!$K$6,ref!F4,1,,CELL("contenu",$AC$2))))</f>
        <v/>
      </c>
      <c r="P5" s="3" t="str">
        <f ca="1">CELL("contenu",INDIRECT(ADDRESS(ref!$K$6,ref!G4,1,,CELL("contenu",$AC$2))))</f>
        <v/>
      </c>
      <c r="Q5" s="4" t="str">
        <f ca="1">CELL("contenu",INDIRECT(ADDRESS(ref!$K$6,ref!H4,1,,CELL("contenu",$AC$2))))</f>
        <v>C</v>
      </c>
      <c r="R5" s="5" t="str">
        <f ca="1">CELL("contenu",INDIRECT(ADDRESS(ref!$K$7,ref!E4,1,,CELL("contenu",$AC$2))))</f>
        <v>A</v>
      </c>
      <c r="S5" s="2" t="str">
        <f ca="1">CELL("contenu",INDIRECT(ADDRESS(ref!$K$7,ref!F4,1,,CELL("contenu",$AC$2))))</f>
        <v/>
      </c>
      <c r="T5" s="3" t="str">
        <f ca="1">CELL("contenu",INDIRECT(ADDRESS(ref!$K$7,ref!G4,1,,CELL("contenu",$AC$2))))</f>
        <v/>
      </c>
      <c r="U5" s="4" t="str">
        <f ca="1">CELL("contenu",INDIRECT(ADDRESS(ref!$K$7,ref!H4,1,,CELL("contenu",$AC$2))))</f>
        <v>A</v>
      </c>
      <c r="V5" s="28">
        <f ca="1">CELL("contenu",INDIRECT(ADDRESS(ref!$K$8,ref!E4,1,,CELL("contenu",$AC$2))))</f>
        <v>12.5</v>
      </c>
      <c r="W5" s="29" t="str">
        <f ca="1">CELL("contenu",INDIRECT(ADDRESS(ref!$K$8,ref!F4,1,,CELL("contenu",$AC$2))))</f>
        <v/>
      </c>
      <c r="X5" s="30" t="str">
        <f ca="1">CELL("contenu",INDIRECT(ADDRESS(ref!$K$8,ref!G4,1,,CELL("contenu",$AC$2))))</f>
        <v/>
      </c>
      <c r="Y5" s="6" t="str">
        <f ca="1">CELL("contenu",INDIRECT(ADDRESS(ref!$K$9,ref!H4,1,,CELL("contenu",$AC$2))))</f>
        <v/>
      </c>
      <c r="Z5" s="3" t="str">
        <f ca="1">CELL("contenu",INDIRECT(ADDRESS(ref!$K$10,ref!H4,1,,CELL("contenu",$AC$2))))</f>
        <v>A</v>
      </c>
      <c r="AA5" s="7" t="str">
        <f ca="1">CELL("contenu",INDIRECT(ADDRESS(ref!$K$11,ref!H4,1,,CELL("contenu",$AC$2))))</f>
        <v>C</v>
      </c>
    </row>
    <row r="6" spans="1:29" x14ac:dyDescent="0.25">
      <c r="A6" s="44" t="str">
        <f t="shared" ca="1" si="0"/>
        <v>BOUCHET Julie</v>
      </c>
      <c r="B6" s="1" t="str">
        <f ca="1">CELL("contenu",INDIRECT(ADDRESS(ref!$K$3,ref!E5,1,,CELL("contenu",$AC$2))))</f>
        <v/>
      </c>
      <c r="C6" s="2" t="str">
        <f ca="1">CELL("contenu",INDIRECT(ADDRESS(ref!$K$3,ref!F5,1,,CELL("contenu",$AC$2))))</f>
        <v/>
      </c>
      <c r="D6" s="3" t="str">
        <f ca="1">CELL("contenu",INDIRECT(ADDRESS(ref!$K$3,ref!G5,1,,CELL("contenu",$AC$2))))</f>
        <v/>
      </c>
      <c r="E6" s="4" t="str">
        <f ca="1">CELL("contenu",INDIRECT(ADDRESS(ref!$K$3,ref!H5,1,,CELL("contenu",$AC$2))))</f>
        <v/>
      </c>
      <c r="F6" s="5" t="str">
        <f ca="1">CELL("contenu",INDIRECT(ADDRESS(ref!$K$4,ref!E5,1,,CELL("contenu",$AC$2))))</f>
        <v>B</v>
      </c>
      <c r="G6" s="2" t="str">
        <f ca="1">CELL("contenu",INDIRECT(ADDRESS(ref!$K$4,ref!F5,1,,CELL("contenu",$AC$2))))</f>
        <v/>
      </c>
      <c r="H6" s="3" t="str">
        <f ca="1">CELL("contenu",INDIRECT(ADDRESS(ref!$K$4,ref!G5,1,,CELL("contenu",$AC$2))))</f>
        <v/>
      </c>
      <c r="I6" s="4" t="str">
        <f ca="1">CELL("contenu",INDIRECT(ADDRESS(ref!$K$4,ref!H5,1,,CELL("contenu",$AC$2))))</f>
        <v>B</v>
      </c>
      <c r="J6" s="5" t="str">
        <f ca="1">CELL("contenu",INDIRECT(ADDRESS(ref!$K$5,ref!E5,1,,CELL("contenu",$AC$2))))</f>
        <v>A</v>
      </c>
      <c r="K6" s="2" t="str">
        <f ca="1">CELL("contenu",INDIRECT(ADDRESS(ref!$K$5,ref!F5,1,,CELL("contenu",$AC$2))))</f>
        <v/>
      </c>
      <c r="L6" s="3" t="str">
        <f ca="1">CELL("contenu",INDIRECT(ADDRESS(ref!$K$5,ref!G5,1,,CELL("contenu",$AC$2))))</f>
        <v/>
      </c>
      <c r="M6" s="4" t="str">
        <f ca="1">CELL("contenu",INDIRECT(ADDRESS(ref!$K$5,ref!H5,1,,CELL("contenu",$AC$2))))</f>
        <v>A</v>
      </c>
      <c r="N6" s="5" t="str">
        <f ca="1">CELL("contenu",INDIRECT(ADDRESS(ref!$K$6,ref!E5,1,,CELL("contenu",$AC$2))))</f>
        <v>A</v>
      </c>
      <c r="O6" s="2" t="str">
        <f ca="1">CELL("contenu",INDIRECT(ADDRESS(ref!$K$6,ref!F5,1,,CELL("contenu",$AC$2))))</f>
        <v/>
      </c>
      <c r="P6" s="3" t="str">
        <f ca="1">CELL("contenu",INDIRECT(ADDRESS(ref!$K$6,ref!G5,1,,CELL("contenu",$AC$2))))</f>
        <v/>
      </c>
      <c r="Q6" s="4" t="str">
        <f ca="1">CELL("contenu",INDIRECT(ADDRESS(ref!$K$6,ref!H5,1,,CELL("contenu",$AC$2))))</f>
        <v>A</v>
      </c>
      <c r="R6" s="5" t="str">
        <f ca="1">CELL("contenu",INDIRECT(ADDRESS(ref!$K$7,ref!E5,1,,CELL("contenu",$AC$2))))</f>
        <v>A</v>
      </c>
      <c r="S6" s="2" t="str">
        <f ca="1">CELL("contenu",INDIRECT(ADDRESS(ref!$K$7,ref!F5,1,,CELL("contenu",$AC$2))))</f>
        <v/>
      </c>
      <c r="T6" s="3" t="str">
        <f ca="1">CELL("contenu",INDIRECT(ADDRESS(ref!$K$7,ref!G5,1,,CELL("contenu",$AC$2))))</f>
        <v/>
      </c>
      <c r="U6" s="4" t="str">
        <f ca="1">CELL("contenu",INDIRECT(ADDRESS(ref!$K$7,ref!H5,1,,CELL("contenu",$AC$2))))</f>
        <v>A</v>
      </c>
      <c r="V6" s="28">
        <f ca="1">CELL("contenu",INDIRECT(ADDRESS(ref!$K$8,ref!E5,1,,CELL("contenu",$AC$2))))</f>
        <v>19.166666666666664</v>
      </c>
      <c r="W6" s="29" t="str">
        <f ca="1">CELL("contenu",INDIRECT(ADDRESS(ref!$K$8,ref!F5,1,,CELL("contenu",$AC$2))))</f>
        <v/>
      </c>
      <c r="X6" s="30" t="str">
        <f ca="1">CELL("contenu",INDIRECT(ADDRESS(ref!$K$8,ref!G5,1,,CELL("contenu",$AC$2))))</f>
        <v/>
      </c>
      <c r="Y6" s="6" t="str">
        <f ca="1">CELL("contenu",INDIRECT(ADDRESS(ref!$K$9,ref!H5,1,,CELL("contenu",$AC$2))))</f>
        <v/>
      </c>
      <c r="Z6" s="3" t="str">
        <f ca="1">CELL("contenu",INDIRECT(ADDRESS(ref!$K$10,ref!H5,1,,CELL("contenu",$AC$2))))</f>
        <v>A</v>
      </c>
      <c r="AA6" s="7" t="str">
        <f ca="1">CELL("contenu",INDIRECT(ADDRESS(ref!$K$11,ref!H5,1,,CELL("contenu",$AC$2))))</f>
        <v>A</v>
      </c>
    </row>
    <row r="7" spans="1:29" x14ac:dyDescent="0.25">
      <c r="A7" s="44" t="str">
        <f t="shared" ca="1" si="0"/>
        <v>BRABANT Louise</v>
      </c>
      <c r="B7" s="1" t="str">
        <f ca="1">CELL("contenu",INDIRECT(ADDRESS(ref!$K$3,ref!E6,1,,CELL("contenu",$AC$2))))</f>
        <v/>
      </c>
      <c r="C7" s="2" t="str">
        <f ca="1">CELL("contenu",INDIRECT(ADDRESS(ref!$K$3,ref!F6,1,,CELL("contenu",$AC$2))))</f>
        <v/>
      </c>
      <c r="D7" s="3" t="str">
        <f ca="1">CELL("contenu",INDIRECT(ADDRESS(ref!$K$3,ref!G6,1,,CELL("contenu",$AC$2))))</f>
        <v/>
      </c>
      <c r="E7" s="4" t="str">
        <f ca="1">CELL("contenu",INDIRECT(ADDRESS(ref!$K$3,ref!H6,1,,CELL("contenu",$AC$2))))</f>
        <v/>
      </c>
      <c r="F7" s="5" t="str">
        <f ca="1">CELL("contenu",INDIRECT(ADDRESS(ref!$K$4,ref!E6,1,,CELL("contenu",$AC$2))))</f>
        <v>C</v>
      </c>
      <c r="G7" s="2" t="str">
        <f ca="1">CELL("contenu",INDIRECT(ADDRESS(ref!$K$4,ref!F6,1,,CELL("contenu",$AC$2))))</f>
        <v/>
      </c>
      <c r="H7" s="3" t="str">
        <f ca="1">CELL("contenu",INDIRECT(ADDRESS(ref!$K$4,ref!G6,1,,CELL("contenu",$AC$2))))</f>
        <v/>
      </c>
      <c r="I7" s="4" t="str">
        <f ca="1">CELL("contenu",INDIRECT(ADDRESS(ref!$K$4,ref!H6,1,,CELL("contenu",$AC$2))))</f>
        <v>C</v>
      </c>
      <c r="J7" s="5" t="str">
        <f ca="1">CELL("contenu",INDIRECT(ADDRESS(ref!$K$5,ref!E6,1,,CELL("contenu",$AC$2))))</f>
        <v>A</v>
      </c>
      <c r="K7" s="2" t="str">
        <f ca="1">CELL("contenu",INDIRECT(ADDRESS(ref!$K$5,ref!F6,1,,CELL("contenu",$AC$2))))</f>
        <v/>
      </c>
      <c r="L7" s="3" t="str">
        <f ca="1">CELL("contenu",INDIRECT(ADDRESS(ref!$K$5,ref!G6,1,,CELL("contenu",$AC$2))))</f>
        <v/>
      </c>
      <c r="M7" s="4" t="str">
        <f ca="1">CELL("contenu",INDIRECT(ADDRESS(ref!$K$5,ref!H6,1,,CELL("contenu",$AC$2))))</f>
        <v>A</v>
      </c>
      <c r="N7" s="5" t="str">
        <f ca="1">CELL("contenu",INDIRECT(ADDRESS(ref!$K$6,ref!E6,1,,CELL("contenu",$AC$2))))</f>
        <v>C</v>
      </c>
      <c r="O7" s="2" t="str">
        <f ca="1">CELL("contenu",INDIRECT(ADDRESS(ref!$K$6,ref!F6,1,,CELL("contenu",$AC$2))))</f>
        <v/>
      </c>
      <c r="P7" s="3" t="str">
        <f ca="1">CELL("contenu",INDIRECT(ADDRESS(ref!$K$6,ref!G6,1,,CELL("contenu",$AC$2))))</f>
        <v/>
      </c>
      <c r="Q7" s="4" t="str">
        <f ca="1">CELL("contenu",INDIRECT(ADDRESS(ref!$K$6,ref!H6,1,,CELL("contenu",$AC$2))))</f>
        <v>C</v>
      </c>
      <c r="R7" s="5" t="str">
        <f ca="1">CELL("contenu",INDIRECT(ADDRESS(ref!$K$7,ref!E6,1,,CELL("contenu",$AC$2))))</f>
        <v>A</v>
      </c>
      <c r="S7" s="2" t="str">
        <f ca="1">CELL("contenu",INDIRECT(ADDRESS(ref!$K$7,ref!F6,1,,CELL("contenu",$AC$2))))</f>
        <v/>
      </c>
      <c r="T7" s="3" t="str">
        <f ca="1">CELL("contenu",INDIRECT(ADDRESS(ref!$K$7,ref!G6,1,,CELL("contenu",$AC$2))))</f>
        <v/>
      </c>
      <c r="U7" s="4" t="str">
        <f ca="1">CELL("contenu",INDIRECT(ADDRESS(ref!$K$7,ref!H6,1,,CELL("contenu",$AC$2))))</f>
        <v>A</v>
      </c>
      <c r="V7" s="28">
        <f ca="1">CELL("contenu",INDIRECT(ADDRESS(ref!$K$8,ref!E6,1,,CELL("contenu",$AC$2))))</f>
        <v>13.333333333333334</v>
      </c>
      <c r="W7" s="29" t="str">
        <f ca="1">CELL("contenu",INDIRECT(ADDRESS(ref!$K$8,ref!F6,1,,CELL("contenu",$AC$2))))</f>
        <v/>
      </c>
      <c r="X7" s="30" t="str">
        <f ca="1">CELL("contenu",INDIRECT(ADDRESS(ref!$K$8,ref!G6,1,,CELL("contenu",$AC$2))))</f>
        <v/>
      </c>
      <c r="Y7" s="6" t="str">
        <f ca="1">CELL("contenu",INDIRECT(ADDRESS(ref!$K$9,ref!H6,1,,CELL("contenu",$AC$2))))</f>
        <v/>
      </c>
      <c r="Z7" s="3" t="str">
        <f ca="1">CELL("contenu",INDIRECT(ADDRESS(ref!$K$10,ref!H6,1,,CELL("contenu",$AC$2))))</f>
        <v>A</v>
      </c>
      <c r="AA7" s="7" t="str">
        <f ca="1">CELL("contenu",INDIRECT(ADDRESS(ref!$K$11,ref!H6,1,,CELL("contenu",$AC$2))))</f>
        <v>C</v>
      </c>
    </row>
    <row r="8" spans="1:29" x14ac:dyDescent="0.25">
      <c r="A8" s="44" t="str">
        <f t="shared" ca="1" si="0"/>
        <v>BRUN Vahitua</v>
      </c>
      <c r="B8" s="1" t="str">
        <f ca="1">CELL("contenu",INDIRECT(ADDRESS(ref!$K$3,ref!E7,1,,CELL("contenu",$AC$2))))</f>
        <v/>
      </c>
      <c r="C8" s="2" t="str">
        <f ca="1">CELL("contenu",INDIRECT(ADDRESS(ref!$K$3,ref!F7,1,,CELL("contenu",$AC$2))))</f>
        <v/>
      </c>
      <c r="D8" s="3" t="str">
        <f ca="1">CELL("contenu",INDIRECT(ADDRESS(ref!$K$3,ref!G7,1,,CELL("contenu",$AC$2))))</f>
        <v/>
      </c>
      <c r="E8" s="4" t="str">
        <f ca="1">CELL("contenu",INDIRECT(ADDRESS(ref!$K$3,ref!H7,1,,CELL("contenu",$AC$2))))</f>
        <v/>
      </c>
      <c r="F8" s="5" t="str">
        <f ca="1">CELL("contenu",INDIRECT(ADDRESS(ref!$K$4,ref!E7,1,,CELL("contenu",$AC$2))))</f>
        <v>B</v>
      </c>
      <c r="G8" s="2" t="str">
        <f ca="1">CELL("contenu",INDIRECT(ADDRESS(ref!$K$4,ref!F7,1,,CELL("contenu",$AC$2))))</f>
        <v/>
      </c>
      <c r="H8" s="3" t="str">
        <f ca="1">CELL("contenu",INDIRECT(ADDRESS(ref!$K$4,ref!G7,1,,CELL("contenu",$AC$2))))</f>
        <v/>
      </c>
      <c r="I8" s="4" t="str">
        <f ca="1">CELL("contenu",INDIRECT(ADDRESS(ref!$K$4,ref!H7,1,,CELL("contenu",$AC$2))))</f>
        <v>B</v>
      </c>
      <c r="J8" s="5" t="str">
        <f ca="1">CELL("contenu",INDIRECT(ADDRESS(ref!$K$5,ref!E7,1,,CELL("contenu",$AC$2))))</f>
        <v>A</v>
      </c>
      <c r="K8" s="2" t="str">
        <f ca="1">CELL("contenu",INDIRECT(ADDRESS(ref!$K$5,ref!F7,1,,CELL("contenu",$AC$2))))</f>
        <v/>
      </c>
      <c r="L8" s="3" t="str">
        <f ca="1">CELL("contenu",INDIRECT(ADDRESS(ref!$K$5,ref!G7,1,,CELL("contenu",$AC$2))))</f>
        <v/>
      </c>
      <c r="M8" s="4" t="str">
        <f ca="1">CELL("contenu",INDIRECT(ADDRESS(ref!$K$5,ref!H7,1,,CELL("contenu",$AC$2))))</f>
        <v>A</v>
      </c>
      <c r="N8" s="5" t="str">
        <f ca="1">CELL("contenu",INDIRECT(ADDRESS(ref!$K$6,ref!E7,1,,CELL("contenu",$AC$2))))</f>
        <v>B</v>
      </c>
      <c r="O8" s="2" t="str">
        <f ca="1">CELL("contenu",INDIRECT(ADDRESS(ref!$K$6,ref!F7,1,,CELL("contenu",$AC$2))))</f>
        <v/>
      </c>
      <c r="P8" s="3" t="str">
        <f ca="1">CELL("contenu",INDIRECT(ADDRESS(ref!$K$6,ref!G7,1,,CELL("contenu",$AC$2))))</f>
        <v/>
      </c>
      <c r="Q8" s="4" t="str">
        <f ca="1">CELL("contenu",INDIRECT(ADDRESS(ref!$K$6,ref!H7,1,,CELL("contenu",$AC$2))))</f>
        <v>B</v>
      </c>
      <c r="R8" s="5" t="str">
        <f ca="1">CELL("contenu",INDIRECT(ADDRESS(ref!$K$7,ref!E7,1,,CELL("contenu",$AC$2))))</f>
        <v>A</v>
      </c>
      <c r="S8" s="2" t="str">
        <f ca="1">CELL("contenu",INDIRECT(ADDRESS(ref!$K$7,ref!F7,1,,CELL("contenu",$AC$2))))</f>
        <v/>
      </c>
      <c r="T8" s="3" t="str">
        <f ca="1">CELL("contenu",INDIRECT(ADDRESS(ref!$K$7,ref!G7,1,,CELL("contenu",$AC$2))))</f>
        <v/>
      </c>
      <c r="U8" s="4" t="str">
        <f ca="1">CELL("contenu",INDIRECT(ADDRESS(ref!$K$7,ref!H7,1,,CELL("contenu",$AC$2))))</f>
        <v>A</v>
      </c>
      <c r="V8" s="28">
        <f ca="1">CELL("contenu",INDIRECT(ADDRESS(ref!$K$8,ref!E7,1,,CELL("contenu",$AC$2))))</f>
        <v>16.666666666666668</v>
      </c>
      <c r="W8" s="29" t="str">
        <f ca="1">CELL("contenu",INDIRECT(ADDRESS(ref!$K$8,ref!F7,1,,CELL("contenu",$AC$2))))</f>
        <v/>
      </c>
      <c r="X8" s="30" t="str">
        <f ca="1">CELL("contenu",INDIRECT(ADDRESS(ref!$K$8,ref!G7,1,,CELL("contenu",$AC$2))))</f>
        <v/>
      </c>
      <c r="Y8" s="6" t="str">
        <f ca="1">CELL("contenu",INDIRECT(ADDRESS(ref!$K$9,ref!H7,1,,CELL("contenu",$AC$2))))</f>
        <v/>
      </c>
      <c r="Z8" s="3" t="str">
        <f ca="1">CELL("contenu",INDIRECT(ADDRESS(ref!$K$10,ref!H7,1,,CELL("contenu",$AC$2))))</f>
        <v>A</v>
      </c>
      <c r="AA8" s="7" t="str">
        <f ca="1">CELL("contenu",INDIRECT(ADDRESS(ref!$K$11,ref!H7,1,,CELL("contenu",$AC$2))))</f>
        <v>B</v>
      </c>
    </row>
    <row r="9" spans="1:29" x14ac:dyDescent="0.25">
      <c r="A9" s="44" t="str">
        <f t="shared" ca="1" si="0"/>
        <v>DE KERHOR Marie-Lys</v>
      </c>
      <c r="B9" s="1" t="str">
        <f ca="1">CELL("contenu",INDIRECT(ADDRESS(ref!$K$3,ref!E8,1,,CELL("contenu",$AC$2))))</f>
        <v/>
      </c>
      <c r="C9" s="2" t="str">
        <f ca="1">CELL("contenu",INDIRECT(ADDRESS(ref!$K$3,ref!F8,1,,CELL("contenu",$AC$2))))</f>
        <v/>
      </c>
      <c r="D9" s="3" t="str">
        <f ca="1">CELL("contenu",INDIRECT(ADDRESS(ref!$K$3,ref!G8,1,,CELL("contenu",$AC$2))))</f>
        <v/>
      </c>
      <c r="E9" s="4" t="str">
        <f ca="1">CELL("contenu",INDIRECT(ADDRESS(ref!$K$3,ref!H8,1,,CELL("contenu",$AC$2))))</f>
        <v/>
      </c>
      <c r="F9" s="5" t="str">
        <f ca="1">CELL("contenu",INDIRECT(ADDRESS(ref!$K$4,ref!E8,1,,CELL("contenu",$AC$2))))</f>
        <v>C</v>
      </c>
      <c r="G9" s="2" t="str">
        <f ca="1">CELL("contenu",INDIRECT(ADDRESS(ref!$K$4,ref!F8,1,,CELL("contenu",$AC$2))))</f>
        <v/>
      </c>
      <c r="H9" s="3" t="str">
        <f ca="1">CELL("contenu",INDIRECT(ADDRESS(ref!$K$4,ref!G8,1,,CELL("contenu",$AC$2))))</f>
        <v/>
      </c>
      <c r="I9" s="4" t="str">
        <f ca="1">CELL("contenu",INDIRECT(ADDRESS(ref!$K$4,ref!H8,1,,CELL("contenu",$AC$2))))</f>
        <v>C</v>
      </c>
      <c r="J9" s="5" t="str">
        <f ca="1">CELL("contenu",INDIRECT(ADDRESS(ref!$K$5,ref!E8,1,,CELL("contenu",$AC$2))))</f>
        <v>A</v>
      </c>
      <c r="K9" s="2" t="str">
        <f ca="1">CELL("contenu",INDIRECT(ADDRESS(ref!$K$5,ref!F8,1,,CELL("contenu",$AC$2))))</f>
        <v/>
      </c>
      <c r="L9" s="3" t="str">
        <f ca="1">CELL("contenu",INDIRECT(ADDRESS(ref!$K$5,ref!G8,1,,CELL("contenu",$AC$2))))</f>
        <v/>
      </c>
      <c r="M9" s="4" t="str">
        <f ca="1">CELL("contenu",INDIRECT(ADDRESS(ref!$K$5,ref!H8,1,,CELL("contenu",$AC$2))))</f>
        <v>A</v>
      </c>
      <c r="N9" s="5" t="str">
        <f ca="1">CELL("contenu",INDIRECT(ADDRESS(ref!$K$6,ref!E8,1,,CELL("contenu",$AC$2))))</f>
        <v>D</v>
      </c>
      <c r="O9" s="2" t="str">
        <f ca="1">CELL("contenu",INDIRECT(ADDRESS(ref!$K$6,ref!F8,1,,CELL("contenu",$AC$2))))</f>
        <v/>
      </c>
      <c r="P9" s="3" t="str">
        <f ca="1">CELL("contenu",INDIRECT(ADDRESS(ref!$K$6,ref!G8,1,,CELL("contenu",$AC$2))))</f>
        <v/>
      </c>
      <c r="Q9" s="4" t="str">
        <f ca="1">CELL("contenu",INDIRECT(ADDRESS(ref!$K$6,ref!H8,1,,CELL("contenu",$AC$2))))</f>
        <v>D</v>
      </c>
      <c r="R9" s="5" t="str">
        <f ca="1">CELL("contenu",INDIRECT(ADDRESS(ref!$K$7,ref!E8,1,,CELL("contenu",$AC$2))))</f>
        <v>A</v>
      </c>
      <c r="S9" s="2" t="str">
        <f ca="1">CELL("contenu",INDIRECT(ADDRESS(ref!$K$7,ref!F8,1,,CELL("contenu",$AC$2))))</f>
        <v/>
      </c>
      <c r="T9" s="3" t="str">
        <f ca="1">CELL("contenu",INDIRECT(ADDRESS(ref!$K$7,ref!G8,1,,CELL("contenu",$AC$2))))</f>
        <v/>
      </c>
      <c r="U9" s="4" t="str">
        <f ca="1">CELL("contenu",INDIRECT(ADDRESS(ref!$K$7,ref!H8,1,,CELL("contenu",$AC$2))))</f>
        <v>A</v>
      </c>
      <c r="V9" s="28">
        <f ca="1">CELL("contenu",INDIRECT(ADDRESS(ref!$K$8,ref!E8,1,,CELL("contenu",$AC$2))))</f>
        <v>11.666666666666668</v>
      </c>
      <c r="W9" s="29" t="str">
        <f ca="1">CELL("contenu",INDIRECT(ADDRESS(ref!$K$8,ref!F8,1,,CELL("contenu",$AC$2))))</f>
        <v/>
      </c>
      <c r="X9" s="30" t="str">
        <f ca="1">CELL("contenu",INDIRECT(ADDRESS(ref!$K$8,ref!G8,1,,CELL("contenu",$AC$2))))</f>
        <v/>
      </c>
      <c r="Y9" s="6" t="str">
        <f ca="1">CELL("contenu",INDIRECT(ADDRESS(ref!$K$9,ref!H8,1,,CELL("contenu",$AC$2))))</f>
        <v/>
      </c>
      <c r="Z9" s="3" t="str">
        <f ca="1">CELL("contenu",INDIRECT(ADDRESS(ref!$K$10,ref!H8,1,,CELL("contenu",$AC$2))))</f>
        <v>A</v>
      </c>
      <c r="AA9" s="7" t="str">
        <f ca="1">CELL("contenu",INDIRECT(ADDRESS(ref!$K$11,ref!H8,1,,CELL("contenu",$AC$2))))</f>
        <v>D</v>
      </c>
    </row>
    <row r="10" spans="1:29" x14ac:dyDescent="0.25">
      <c r="A10" s="44" t="str">
        <f t="shared" ca="1" si="0"/>
        <v>FAHLGREN Alice</v>
      </c>
      <c r="B10" s="1" t="str">
        <f ca="1">CELL("contenu",INDIRECT(ADDRESS(ref!$K$3,ref!E9,1,,CELL("contenu",$AC$2))))</f>
        <v/>
      </c>
      <c r="C10" s="2" t="str">
        <f ca="1">CELL("contenu",INDIRECT(ADDRESS(ref!$K$3,ref!F9,1,,CELL("contenu",$AC$2))))</f>
        <v/>
      </c>
      <c r="D10" s="3" t="str">
        <f ca="1">CELL("contenu",INDIRECT(ADDRESS(ref!$K$3,ref!G9,1,,CELL("contenu",$AC$2))))</f>
        <v/>
      </c>
      <c r="E10" s="4" t="str">
        <f ca="1">CELL("contenu",INDIRECT(ADDRESS(ref!$K$3,ref!H9,1,,CELL("contenu",$AC$2))))</f>
        <v/>
      </c>
      <c r="F10" s="5" t="str">
        <f ca="1">CELL("contenu",INDIRECT(ADDRESS(ref!$K$4,ref!E9,1,,CELL("contenu",$AC$2))))</f>
        <v>B</v>
      </c>
      <c r="G10" s="2" t="str">
        <f ca="1">CELL("contenu",INDIRECT(ADDRESS(ref!$K$4,ref!F9,1,,CELL("contenu",$AC$2))))</f>
        <v/>
      </c>
      <c r="H10" s="3" t="str">
        <f ca="1">CELL("contenu",INDIRECT(ADDRESS(ref!$K$4,ref!G9,1,,CELL("contenu",$AC$2))))</f>
        <v/>
      </c>
      <c r="I10" s="4" t="str">
        <f ca="1">CELL("contenu",INDIRECT(ADDRESS(ref!$K$4,ref!H9,1,,CELL("contenu",$AC$2))))</f>
        <v>B</v>
      </c>
      <c r="J10" s="5" t="str">
        <f ca="1">CELL("contenu",INDIRECT(ADDRESS(ref!$K$5,ref!E9,1,,CELL("contenu",$AC$2))))</f>
        <v>A</v>
      </c>
      <c r="K10" s="2" t="str">
        <f ca="1">CELL("contenu",INDIRECT(ADDRESS(ref!$K$5,ref!F9,1,,CELL("contenu",$AC$2))))</f>
        <v/>
      </c>
      <c r="L10" s="3" t="str">
        <f ca="1">CELL("contenu",INDIRECT(ADDRESS(ref!$K$5,ref!G9,1,,CELL("contenu",$AC$2))))</f>
        <v/>
      </c>
      <c r="M10" s="4" t="str">
        <f ca="1">CELL("contenu",INDIRECT(ADDRESS(ref!$K$5,ref!H9,1,,CELL("contenu",$AC$2))))</f>
        <v>A</v>
      </c>
      <c r="N10" s="5" t="str">
        <f ca="1">CELL("contenu",INDIRECT(ADDRESS(ref!$K$6,ref!E9,1,,CELL("contenu",$AC$2))))</f>
        <v>C</v>
      </c>
      <c r="O10" s="2" t="str">
        <f ca="1">CELL("contenu",INDIRECT(ADDRESS(ref!$K$6,ref!F9,1,,CELL("contenu",$AC$2))))</f>
        <v/>
      </c>
      <c r="P10" s="3" t="str">
        <f ca="1">CELL("contenu",INDIRECT(ADDRESS(ref!$K$6,ref!G9,1,,CELL("contenu",$AC$2))))</f>
        <v/>
      </c>
      <c r="Q10" s="4" t="str">
        <f ca="1">CELL("contenu",INDIRECT(ADDRESS(ref!$K$6,ref!H9,1,,CELL("contenu",$AC$2))))</f>
        <v>C</v>
      </c>
      <c r="R10" s="5" t="str">
        <f ca="1">CELL("contenu",INDIRECT(ADDRESS(ref!$K$7,ref!E9,1,,CELL("contenu",$AC$2))))</f>
        <v>A</v>
      </c>
      <c r="S10" s="2" t="str">
        <f ca="1">CELL("contenu",INDIRECT(ADDRESS(ref!$K$7,ref!F9,1,,CELL("contenu",$AC$2))))</f>
        <v/>
      </c>
      <c r="T10" s="3" t="str">
        <f ca="1">CELL("contenu",INDIRECT(ADDRESS(ref!$K$7,ref!G9,1,,CELL("contenu",$AC$2))))</f>
        <v/>
      </c>
      <c r="U10" s="4" t="str">
        <f ca="1">CELL("contenu",INDIRECT(ADDRESS(ref!$K$7,ref!H9,1,,CELL("contenu",$AC$2))))</f>
        <v>A</v>
      </c>
      <c r="V10" s="28">
        <f ca="1">CELL("contenu",INDIRECT(ADDRESS(ref!$K$8,ref!E9,1,,CELL("contenu",$AC$2))))</f>
        <v>15.833333333333332</v>
      </c>
      <c r="W10" s="29" t="str">
        <f ca="1">CELL("contenu",INDIRECT(ADDRESS(ref!$K$8,ref!F9,1,,CELL("contenu",$AC$2))))</f>
        <v/>
      </c>
      <c r="X10" s="30" t="str">
        <f ca="1">CELL("contenu",INDIRECT(ADDRESS(ref!$K$8,ref!G9,1,,CELL("contenu",$AC$2))))</f>
        <v/>
      </c>
      <c r="Y10" s="6" t="str">
        <f ca="1">CELL("contenu",INDIRECT(ADDRESS(ref!$K$9,ref!H9,1,,CELL("contenu",$AC$2))))</f>
        <v/>
      </c>
      <c r="Z10" s="3" t="str">
        <f ca="1">CELL("contenu",INDIRECT(ADDRESS(ref!$K$10,ref!H9,1,,CELL("contenu",$AC$2))))</f>
        <v>A</v>
      </c>
      <c r="AA10" s="7" t="str">
        <f ca="1">CELL("contenu",INDIRECT(ADDRESS(ref!$K$11,ref!H9,1,,CELL("contenu",$AC$2))))</f>
        <v>C</v>
      </c>
    </row>
    <row r="11" spans="1:29" x14ac:dyDescent="0.25">
      <c r="A11" s="44" t="str">
        <f t="shared" ca="1" si="0"/>
        <v>FROUX Clement</v>
      </c>
      <c r="B11" s="1" t="str">
        <f ca="1">CELL("contenu",INDIRECT(ADDRESS(ref!$K$3,ref!E10,1,,CELL("contenu",$AC$2))))</f>
        <v/>
      </c>
      <c r="C11" s="2" t="str">
        <f ca="1">CELL("contenu",INDIRECT(ADDRESS(ref!$K$3,ref!F10,1,,CELL("contenu",$AC$2))))</f>
        <v/>
      </c>
      <c r="D11" s="3" t="str">
        <f ca="1">CELL("contenu",INDIRECT(ADDRESS(ref!$K$3,ref!G10,1,,CELL("contenu",$AC$2))))</f>
        <v/>
      </c>
      <c r="E11" s="4" t="str">
        <f ca="1">CELL("contenu",INDIRECT(ADDRESS(ref!$K$3,ref!H10,1,,CELL("contenu",$AC$2))))</f>
        <v/>
      </c>
      <c r="F11" s="5" t="str">
        <f ca="1">CELL("contenu",INDIRECT(ADDRESS(ref!$K$4,ref!E10,1,,CELL("contenu",$AC$2))))</f>
        <v>A</v>
      </c>
      <c r="G11" s="2" t="str">
        <f ca="1">CELL("contenu",INDIRECT(ADDRESS(ref!$K$4,ref!F10,1,,CELL("contenu",$AC$2))))</f>
        <v/>
      </c>
      <c r="H11" s="3" t="str">
        <f ca="1">CELL("contenu",INDIRECT(ADDRESS(ref!$K$4,ref!G10,1,,CELL("contenu",$AC$2))))</f>
        <v/>
      </c>
      <c r="I11" s="4" t="str">
        <f ca="1">CELL("contenu",INDIRECT(ADDRESS(ref!$K$4,ref!H10,1,,CELL("contenu",$AC$2))))</f>
        <v>A</v>
      </c>
      <c r="J11" s="5" t="str">
        <f ca="1">CELL("contenu",INDIRECT(ADDRESS(ref!$K$5,ref!E10,1,,CELL("contenu",$AC$2))))</f>
        <v>A</v>
      </c>
      <c r="K11" s="2" t="str">
        <f ca="1">CELL("contenu",INDIRECT(ADDRESS(ref!$K$5,ref!F10,1,,CELL("contenu",$AC$2))))</f>
        <v/>
      </c>
      <c r="L11" s="3" t="str">
        <f ca="1">CELL("contenu",INDIRECT(ADDRESS(ref!$K$5,ref!G10,1,,CELL("contenu",$AC$2))))</f>
        <v/>
      </c>
      <c r="M11" s="4" t="str">
        <f ca="1">CELL("contenu",INDIRECT(ADDRESS(ref!$K$5,ref!H10,1,,CELL("contenu",$AC$2))))</f>
        <v>A</v>
      </c>
      <c r="N11" s="5" t="str">
        <f ca="1">CELL("contenu",INDIRECT(ADDRESS(ref!$K$6,ref!E10,1,,CELL("contenu",$AC$2))))</f>
        <v>C</v>
      </c>
      <c r="O11" s="2" t="str">
        <f ca="1">CELL("contenu",INDIRECT(ADDRESS(ref!$K$6,ref!F10,1,,CELL("contenu",$AC$2))))</f>
        <v/>
      </c>
      <c r="P11" s="3" t="str">
        <f ca="1">CELL("contenu",INDIRECT(ADDRESS(ref!$K$6,ref!G10,1,,CELL("contenu",$AC$2))))</f>
        <v/>
      </c>
      <c r="Q11" s="4" t="str">
        <f ca="1">CELL("contenu",INDIRECT(ADDRESS(ref!$K$6,ref!H10,1,,CELL("contenu",$AC$2))))</f>
        <v>C</v>
      </c>
      <c r="R11" s="5" t="str">
        <f ca="1">CELL("contenu",INDIRECT(ADDRESS(ref!$K$7,ref!E10,1,,CELL("contenu",$AC$2))))</f>
        <v>A</v>
      </c>
      <c r="S11" s="2" t="str">
        <f ca="1">CELL("contenu",INDIRECT(ADDRESS(ref!$K$7,ref!F10,1,,CELL("contenu",$AC$2))))</f>
        <v/>
      </c>
      <c r="T11" s="3" t="str">
        <f ca="1">CELL("contenu",INDIRECT(ADDRESS(ref!$K$7,ref!G10,1,,CELL("contenu",$AC$2))))</f>
        <v/>
      </c>
      <c r="U11" s="4" t="str">
        <f ca="1">CELL("contenu",INDIRECT(ADDRESS(ref!$K$7,ref!H10,1,,CELL("contenu",$AC$2))))</f>
        <v>A</v>
      </c>
      <c r="V11" s="28">
        <f ca="1">CELL("contenu",INDIRECT(ADDRESS(ref!$K$8,ref!E10,1,,CELL("contenu",$AC$2))))</f>
        <v>16.666666666666668</v>
      </c>
      <c r="W11" s="29" t="str">
        <f ca="1">CELL("contenu",INDIRECT(ADDRESS(ref!$K$8,ref!F10,1,,CELL("contenu",$AC$2))))</f>
        <v/>
      </c>
      <c r="X11" s="30" t="str">
        <f ca="1">CELL("contenu",INDIRECT(ADDRESS(ref!$K$8,ref!G10,1,,CELL("contenu",$AC$2))))</f>
        <v/>
      </c>
      <c r="Y11" s="6" t="str">
        <f ca="1">CELL("contenu",INDIRECT(ADDRESS(ref!$K$9,ref!H10,1,,CELL("contenu",$AC$2))))</f>
        <v/>
      </c>
      <c r="Z11" s="3" t="str">
        <f ca="1">CELL("contenu",INDIRECT(ADDRESS(ref!$K$10,ref!H10,1,,CELL("contenu",$AC$2))))</f>
        <v>A</v>
      </c>
      <c r="AA11" s="7" t="str">
        <f ca="1">CELL("contenu",INDIRECT(ADDRESS(ref!$K$11,ref!H10,1,,CELL("contenu",$AC$2))))</f>
        <v>C</v>
      </c>
    </row>
    <row r="12" spans="1:29" x14ac:dyDescent="0.25">
      <c r="A12" s="44" t="str">
        <f t="shared" ca="1" si="0"/>
        <v>GEROLT Esther</v>
      </c>
      <c r="B12" s="1" t="str">
        <f ca="1">CELL("contenu",INDIRECT(ADDRESS(ref!$K$3,ref!E11,1,,CELL("contenu",$AC$2))))</f>
        <v/>
      </c>
      <c r="C12" s="2" t="str">
        <f ca="1">CELL("contenu",INDIRECT(ADDRESS(ref!$K$3,ref!F11,1,,CELL("contenu",$AC$2))))</f>
        <v/>
      </c>
      <c r="D12" s="3" t="str">
        <f ca="1">CELL("contenu",INDIRECT(ADDRESS(ref!$K$3,ref!G11,1,,CELL("contenu",$AC$2))))</f>
        <v/>
      </c>
      <c r="E12" s="4" t="str">
        <f ca="1">CELL("contenu",INDIRECT(ADDRESS(ref!$K$3,ref!H11,1,,CELL("contenu",$AC$2))))</f>
        <v/>
      </c>
      <c r="F12" s="5" t="str">
        <f ca="1">CELL("contenu",INDIRECT(ADDRESS(ref!$K$4,ref!E11,1,,CELL("contenu",$AC$2))))</f>
        <v>B</v>
      </c>
      <c r="G12" s="2" t="str">
        <f ca="1">CELL("contenu",INDIRECT(ADDRESS(ref!$K$4,ref!F11,1,,CELL("contenu",$AC$2))))</f>
        <v/>
      </c>
      <c r="H12" s="3" t="str">
        <f ca="1">CELL("contenu",INDIRECT(ADDRESS(ref!$K$4,ref!G11,1,,CELL("contenu",$AC$2))))</f>
        <v/>
      </c>
      <c r="I12" s="4" t="str">
        <f ca="1">CELL("contenu",INDIRECT(ADDRESS(ref!$K$4,ref!H11,1,,CELL("contenu",$AC$2))))</f>
        <v>B</v>
      </c>
      <c r="J12" s="5" t="str">
        <f ca="1">CELL("contenu",INDIRECT(ADDRESS(ref!$K$5,ref!E11,1,,CELL("contenu",$AC$2))))</f>
        <v>A</v>
      </c>
      <c r="K12" s="2" t="str">
        <f ca="1">CELL("contenu",INDIRECT(ADDRESS(ref!$K$5,ref!F11,1,,CELL("contenu",$AC$2))))</f>
        <v/>
      </c>
      <c r="L12" s="3" t="str">
        <f ca="1">CELL("contenu",INDIRECT(ADDRESS(ref!$K$5,ref!G11,1,,CELL("contenu",$AC$2))))</f>
        <v/>
      </c>
      <c r="M12" s="4" t="str">
        <f ca="1">CELL("contenu",INDIRECT(ADDRESS(ref!$K$5,ref!H11,1,,CELL("contenu",$AC$2))))</f>
        <v>A</v>
      </c>
      <c r="N12" s="5" t="str">
        <f ca="1">CELL("contenu",INDIRECT(ADDRESS(ref!$K$6,ref!E11,1,,CELL("contenu",$AC$2))))</f>
        <v>B</v>
      </c>
      <c r="O12" s="2" t="str">
        <f ca="1">CELL("contenu",INDIRECT(ADDRESS(ref!$K$6,ref!F11,1,,CELL("contenu",$AC$2))))</f>
        <v/>
      </c>
      <c r="P12" s="3" t="str">
        <f ca="1">CELL("contenu",INDIRECT(ADDRESS(ref!$K$6,ref!G11,1,,CELL("contenu",$AC$2))))</f>
        <v/>
      </c>
      <c r="Q12" s="4" t="str">
        <f ca="1">CELL("contenu",INDIRECT(ADDRESS(ref!$K$6,ref!H11,1,,CELL("contenu",$AC$2))))</f>
        <v>B</v>
      </c>
      <c r="R12" s="5" t="str">
        <f ca="1">CELL("contenu",INDIRECT(ADDRESS(ref!$K$7,ref!E11,1,,CELL("contenu",$AC$2))))</f>
        <v>A</v>
      </c>
      <c r="S12" s="2" t="str">
        <f ca="1">CELL("contenu",INDIRECT(ADDRESS(ref!$K$7,ref!F11,1,,CELL("contenu",$AC$2))))</f>
        <v/>
      </c>
      <c r="T12" s="3" t="str">
        <f ca="1">CELL("contenu",INDIRECT(ADDRESS(ref!$K$7,ref!G11,1,,CELL("contenu",$AC$2))))</f>
        <v/>
      </c>
      <c r="U12" s="4" t="str">
        <f ca="1">CELL("contenu",INDIRECT(ADDRESS(ref!$K$7,ref!H11,1,,CELL("contenu",$AC$2))))</f>
        <v>A</v>
      </c>
      <c r="V12" s="28">
        <f ca="1">CELL("contenu",INDIRECT(ADDRESS(ref!$K$8,ref!E11,1,,CELL("contenu",$AC$2))))</f>
        <v>17.5</v>
      </c>
      <c r="W12" s="29" t="str">
        <f ca="1">CELL("contenu",INDIRECT(ADDRESS(ref!$K$8,ref!F11,1,,CELL("contenu",$AC$2))))</f>
        <v/>
      </c>
      <c r="X12" s="30" t="str">
        <f ca="1">CELL("contenu",INDIRECT(ADDRESS(ref!$K$8,ref!G11,1,,CELL("contenu",$AC$2))))</f>
        <v/>
      </c>
      <c r="Y12" s="6" t="str">
        <f ca="1">CELL("contenu",INDIRECT(ADDRESS(ref!$K$9,ref!H11,1,,CELL("contenu",$AC$2))))</f>
        <v/>
      </c>
      <c r="Z12" s="3" t="str">
        <f ca="1">CELL("contenu",INDIRECT(ADDRESS(ref!$K$10,ref!H11,1,,CELL("contenu",$AC$2))))</f>
        <v>A</v>
      </c>
      <c r="AA12" s="7" t="str">
        <f ca="1">CELL("contenu",INDIRECT(ADDRESS(ref!$K$11,ref!H11,1,,CELL("contenu",$AC$2))))</f>
        <v>B</v>
      </c>
    </row>
    <row r="13" spans="1:29" x14ac:dyDescent="0.25">
      <c r="A13" s="44" t="str">
        <f t="shared" ca="1" si="0"/>
        <v>GLAUME Clementine</v>
      </c>
      <c r="B13" s="1" t="str">
        <f ca="1">CELL("contenu",INDIRECT(ADDRESS(ref!$K$3,ref!E12,1,,CELL("contenu",$AC$2))))</f>
        <v/>
      </c>
      <c r="C13" s="2" t="str">
        <f ca="1">CELL("contenu",INDIRECT(ADDRESS(ref!$K$3,ref!F12,1,,CELL("contenu",$AC$2))))</f>
        <v/>
      </c>
      <c r="D13" s="3" t="str">
        <f ca="1">CELL("contenu",INDIRECT(ADDRESS(ref!$K$3,ref!G12,1,,CELL("contenu",$AC$2))))</f>
        <v/>
      </c>
      <c r="E13" s="4" t="str">
        <f ca="1">CELL("contenu",INDIRECT(ADDRESS(ref!$K$3,ref!H12,1,,CELL("contenu",$AC$2))))</f>
        <v/>
      </c>
      <c r="F13" s="5" t="str">
        <f ca="1">CELL("contenu",INDIRECT(ADDRESS(ref!$K$4,ref!E12,1,,CELL("contenu",$AC$2))))</f>
        <v>B</v>
      </c>
      <c r="G13" s="2" t="str">
        <f ca="1">CELL("contenu",INDIRECT(ADDRESS(ref!$K$4,ref!F12,1,,CELL("contenu",$AC$2))))</f>
        <v/>
      </c>
      <c r="H13" s="3" t="str">
        <f ca="1">CELL("contenu",INDIRECT(ADDRESS(ref!$K$4,ref!G12,1,,CELL("contenu",$AC$2))))</f>
        <v/>
      </c>
      <c r="I13" s="4" t="str">
        <f ca="1">CELL("contenu",INDIRECT(ADDRESS(ref!$K$4,ref!H12,1,,CELL("contenu",$AC$2))))</f>
        <v>B</v>
      </c>
      <c r="J13" s="5" t="str">
        <f ca="1">CELL("contenu",INDIRECT(ADDRESS(ref!$K$5,ref!E12,1,,CELL("contenu",$AC$2))))</f>
        <v>A</v>
      </c>
      <c r="K13" s="2" t="str">
        <f ca="1">CELL("contenu",INDIRECT(ADDRESS(ref!$K$5,ref!F12,1,,CELL("contenu",$AC$2))))</f>
        <v/>
      </c>
      <c r="L13" s="3" t="str">
        <f ca="1">CELL("contenu",INDIRECT(ADDRESS(ref!$K$5,ref!G12,1,,CELL("contenu",$AC$2))))</f>
        <v/>
      </c>
      <c r="M13" s="4" t="str">
        <f ca="1">CELL("contenu",INDIRECT(ADDRESS(ref!$K$5,ref!H12,1,,CELL("contenu",$AC$2))))</f>
        <v>A</v>
      </c>
      <c r="N13" s="5" t="str">
        <f ca="1">CELL("contenu",INDIRECT(ADDRESS(ref!$K$6,ref!E12,1,,CELL("contenu",$AC$2))))</f>
        <v>A</v>
      </c>
      <c r="O13" s="2" t="str">
        <f ca="1">CELL("contenu",INDIRECT(ADDRESS(ref!$K$6,ref!F12,1,,CELL("contenu",$AC$2))))</f>
        <v/>
      </c>
      <c r="P13" s="3" t="str">
        <f ca="1">CELL("contenu",INDIRECT(ADDRESS(ref!$K$6,ref!G12,1,,CELL("contenu",$AC$2))))</f>
        <v/>
      </c>
      <c r="Q13" s="4" t="str">
        <f ca="1">CELL("contenu",INDIRECT(ADDRESS(ref!$K$6,ref!H12,1,,CELL("contenu",$AC$2))))</f>
        <v>A</v>
      </c>
      <c r="R13" s="5" t="str">
        <f ca="1">CELL("contenu",INDIRECT(ADDRESS(ref!$K$7,ref!E12,1,,CELL("contenu",$AC$2))))</f>
        <v>A</v>
      </c>
      <c r="S13" s="2" t="str">
        <f ca="1">CELL("contenu",INDIRECT(ADDRESS(ref!$K$7,ref!F12,1,,CELL("contenu",$AC$2))))</f>
        <v/>
      </c>
      <c r="T13" s="3" t="str">
        <f ca="1">CELL("contenu",INDIRECT(ADDRESS(ref!$K$7,ref!G12,1,,CELL("contenu",$AC$2))))</f>
        <v/>
      </c>
      <c r="U13" s="4" t="str">
        <f ca="1">CELL("contenu",INDIRECT(ADDRESS(ref!$K$7,ref!H12,1,,CELL("contenu",$AC$2))))</f>
        <v>A</v>
      </c>
      <c r="V13" s="28">
        <f ca="1">CELL("contenu",INDIRECT(ADDRESS(ref!$K$8,ref!E12,1,,CELL("contenu",$AC$2))))</f>
        <v>19.166666666666664</v>
      </c>
      <c r="W13" s="29" t="str">
        <f ca="1">CELL("contenu",INDIRECT(ADDRESS(ref!$K$8,ref!F12,1,,CELL("contenu",$AC$2))))</f>
        <v/>
      </c>
      <c r="X13" s="30" t="str">
        <f ca="1">CELL("contenu",INDIRECT(ADDRESS(ref!$K$8,ref!G12,1,,CELL("contenu",$AC$2))))</f>
        <v/>
      </c>
      <c r="Y13" s="6" t="str">
        <f ca="1">CELL("contenu",INDIRECT(ADDRESS(ref!$K$9,ref!H12,1,,CELL("contenu",$AC$2))))</f>
        <v/>
      </c>
      <c r="Z13" s="3" t="str">
        <f ca="1">CELL("contenu",INDIRECT(ADDRESS(ref!$K$10,ref!H12,1,,CELL("contenu",$AC$2))))</f>
        <v>A</v>
      </c>
      <c r="AA13" s="7" t="str">
        <f ca="1">CELL("contenu",INDIRECT(ADDRESS(ref!$K$11,ref!H12,1,,CELL("contenu",$AC$2))))</f>
        <v>A</v>
      </c>
    </row>
    <row r="14" spans="1:29" x14ac:dyDescent="0.25">
      <c r="A14" s="44" t="str">
        <f t="shared" ca="1" si="0"/>
        <v>GUIBERT Hortense</v>
      </c>
      <c r="B14" s="1" t="str">
        <f ca="1">CELL("contenu",INDIRECT(ADDRESS(ref!$K$3,ref!E13,1,,CELL("contenu",$AC$2))))</f>
        <v/>
      </c>
      <c r="C14" s="2" t="str">
        <f ca="1">CELL("contenu",INDIRECT(ADDRESS(ref!$K$3,ref!F13,1,,CELL("contenu",$AC$2))))</f>
        <v/>
      </c>
      <c r="D14" s="3" t="str">
        <f ca="1">CELL("contenu",INDIRECT(ADDRESS(ref!$K$3,ref!G13,1,,CELL("contenu",$AC$2))))</f>
        <v/>
      </c>
      <c r="E14" s="4" t="str">
        <f ca="1">CELL("contenu",INDIRECT(ADDRESS(ref!$K$3,ref!H13,1,,CELL("contenu",$AC$2))))</f>
        <v/>
      </c>
      <c r="F14" s="5" t="str">
        <f ca="1">CELL("contenu",INDIRECT(ADDRESS(ref!$K$4,ref!E13,1,,CELL("contenu",$AC$2))))</f>
        <v>B</v>
      </c>
      <c r="G14" s="2" t="str">
        <f ca="1">CELL("contenu",INDIRECT(ADDRESS(ref!$K$4,ref!F13,1,,CELL("contenu",$AC$2))))</f>
        <v/>
      </c>
      <c r="H14" s="3" t="str">
        <f ca="1">CELL("contenu",INDIRECT(ADDRESS(ref!$K$4,ref!G13,1,,CELL("contenu",$AC$2))))</f>
        <v/>
      </c>
      <c r="I14" s="4" t="str">
        <f ca="1">CELL("contenu",INDIRECT(ADDRESS(ref!$K$4,ref!H13,1,,CELL("contenu",$AC$2))))</f>
        <v>B</v>
      </c>
      <c r="J14" s="5" t="str">
        <f ca="1">CELL("contenu",INDIRECT(ADDRESS(ref!$K$5,ref!E13,1,,CELL("contenu",$AC$2))))</f>
        <v>A</v>
      </c>
      <c r="K14" s="2" t="str">
        <f ca="1">CELL("contenu",INDIRECT(ADDRESS(ref!$K$5,ref!F13,1,,CELL("contenu",$AC$2))))</f>
        <v/>
      </c>
      <c r="L14" s="3" t="str">
        <f ca="1">CELL("contenu",INDIRECT(ADDRESS(ref!$K$5,ref!G13,1,,CELL("contenu",$AC$2))))</f>
        <v/>
      </c>
      <c r="M14" s="4" t="str">
        <f ca="1">CELL("contenu",INDIRECT(ADDRESS(ref!$K$5,ref!H13,1,,CELL("contenu",$AC$2))))</f>
        <v>A</v>
      </c>
      <c r="N14" s="5" t="str">
        <f ca="1">CELL("contenu",INDIRECT(ADDRESS(ref!$K$6,ref!E13,1,,CELL("contenu",$AC$2))))</f>
        <v>C</v>
      </c>
      <c r="O14" s="2" t="str">
        <f ca="1">CELL("contenu",INDIRECT(ADDRESS(ref!$K$6,ref!F13,1,,CELL("contenu",$AC$2))))</f>
        <v/>
      </c>
      <c r="P14" s="3" t="str">
        <f ca="1">CELL("contenu",INDIRECT(ADDRESS(ref!$K$6,ref!G13,1,,CELL("contenu",$AC$2))))</f>
        <v/>
      </c>
      <c r="Q14" s="4" t="str">
        <f ca="1">CELL("contenu",INDIRECT(ADDRESS(ref!$K$6,ref!H13,1,,CELL("contenu",$AC$2))))</f>
        <v>C</v>
      </c>
      <c r="R14" s="5" t="str">
        <f ca="1">CELL("contenu",INDIRECT(ADDRESS(ref!$K$7,ref!E13,1,,CELL("contenu",$AC$2))))</f>
        <v>A</v>
      </c>
      <c r="S14" s="2" t="str">
        <f ca="1">CELL("contenu",INDIRECT(ADDRESS(ref!$K$7,ref!F13,1,,CELL("contenu",$AC$2))))</f>
        <v/>
      </c>
      <c r="T14" s="3" t="str">
        <f ca="1">CELL("contenu",INDIRECT(ADDRESS(ref!$K$7,ref!G13,1,,CELL("contenu",$AC$2))))</f>
        <v/>
      </c>
      <c r="U14" s="4" t="str">
        <f ca="1">CELL("contenu",INDIRECT(ADDRESS(ref!$K$7,ref!H13,1,,CELL("contenu",$AC$2))))</f>
        <v>A</v>
      </c>
      <c r="V14" s="28">
        <f ca="1">CELL("contenu",INDIRECT(ADDRESS(ref!$K$8,ref!E13,1,,CELL("contenu",$AC$2))))</f>
        <v>15.833333333333332</v>
      </c>
      <c r="W14" s="29" t="str">
        <f ca="1">CELL("contenu",INDIRECT(ADDRESS(ref!$K$8,ref!F13,1,,CELL("contenu",$AC$2))))</f>
        <v/>
      </c>
      <c r="X14" s="30" t="str">
        <f ca="1">CELL("contenu",INDIRECT(ADDRESS(ref!$K$8,ref!G13,1,,CELL("contenu",$AC$2))))</f>
        <v/>
      </c>
      <c r="Y14" s="6" t="str">
        <f ca="1">CELL("contenu",INDIRECT(ADDRESS(ref!$K$9,ref!H13,1,,CELL("contenu",$AC$2))))</f>
        <v/>
      </c>
      <c r="Z14" s="3" t="str">
        <f ca="1">CELL("contenu",INDIRECT(ADDRESS(ref!$K$10,ref!H13,1,,CELL("contenu",$AC$2))))</f>
        <v>A</v>
      </c>
      <c r="AA14" s="7" t="str">
        <f ca="1">CELL("contenu",INDIRECT(ADDRESS(ref!$K$11,ref!H13,1,,CELL("contenu",$AC$2))))</f>
        <v>C</v>
      </c>
    </row>
    <row r="15" spans="1:29" x14ac:dyDescent="0.25">
      <c r="A15" s="44" t="str">
        <f t="shared" ca="1" si="0"/>
        <v>GUILLEMAIN Apolline</v>
      </c>
      <c r="B15" s="1" t="str">
        <f ca="1">CELL("contenu",INDIRECT(ADDRESS(ref!$K$3,ref!E14,1,,CELL("contenu",$AC$2))))</f>
        <v/>
      </c>
      <c r="C15" s="2" t="str">
        <f ca="1">CELL("contenu",INDIRECT(ADDRESS(ref!$K$3,ref!F14,1,,CELL("contenu",$AC$2))))</f>
        <v/>
      </c>
      <c r="D15" s="3" t="str">
        <f ca="1">CELL("contenu",INDIRECT(ADDRESS(ref!$K$3,ref!G14,1,,CELL("contenu",$AC$2))))</f>
        <v/>
      </c>
      <c r="E15" s="4" t="str">
        <f ca="1">CELL("contenu",INDIRECT(ADDRESS(ref!$K$3,ref!H14,1,,CELL("contenu",$AC$2))))</f>
        <v/>
      </c>
      <c r="F15" s="5" t="str">
        <f ca="1">CELL("contenu",INDIRECT(ADDRESS(ref!$K$4,ref!E14,1,,CELL("contenu",$AC$2))))</f>
        <v>C</v>
      </c>
      <c r="G15" s="2" t="str">
        <f ca="1">CELL("contenu",INDIRECT(ADDRESS(ref!$K$4,ref!F14,1,,CELL("contenu",$AC$2))))</f>
        <v/>
      </c>
      <c r="H15" s="3" t="str">
        <f ca="1">CELL("contenu",INDIRECT(ADDRESS(ref!$K$4,ref!G14,1,,CELL("contenu",$AC$2))))</f>
        <v/>
      </c>
      <c r="I15" s="4" t="str">
        <f ca="1">CELL("contenu",INDIRECT(ADDRESS(ref!$K$4,ref!H14,1,,CELL("contenu",$AC$2))))</f>
        <v>C</v>
      </c>
      <c r="J15" s="5" t="str">
        <f ca="1">CELL("contenu",INDIRECT(ADDRESS(ref!$K$5,ref!E14,1,,CELL("contenu",$AC$2))))</f>
        <v>A</v>
      </c>
      <c r="K15" s="2" t="str">
        <f ca="1">CELL("contenu",INDIRECT(ADDRESS(ref!$K$5,ref!F14,1,,CELL("contenu",$AC$2))))</f>
        <v/>
      </c>
      <c r="L15" s="3" t="str">
        <f ca="1">CELL("contenu",INDIRECT(ADDRESS(ref!$K$5,ref!G14,1,,CELL("contenu",$AC$2))))</f>
        <v/>
      </c>
      <c r="M15" s="4" t="str">
        <f ca="1">CELL("contenu",INDIRECT(ADDRESS(ref!$K$5,ref!H14,1,,CELL("contenu",$AC$2))))</f>
        <v>A</v>
      </c>
      <c r="N15" s="5" t="str">
        <f ca="1">CELL("contenu",INDIRECT(ADDRESS(ref!$K$6,ref!E14,1,,CELL("contenu",$AC$2))))</f>
        <v>B</v>
      </c>
      <c r="O15" s="2" t="str">
        <f ca="1">CELL("contenu",INDIRECT(ADDRESS(ref!$K$6,ref!F14,1,,CELL("contenu",$AC$2))))</f>
        <v/>
      </c>
      <c r="P15" s="3" t="str">
        <f ca="1">CELL("contenu",INDIRECT(ADDRESS(ref!$K$6,ref!G14,1,,CELL("contenu",$AC$2))))</f>
        <v/>
      </c>
      <c r="Q15" s="4" t="str">
        <f ca="1">CELL("contenu",INDIRECT(ADDRESS(ref!$K$6,ref!H14,1,,CELL("contenu",$AC$2))))</f>
        <v>B</v>
      </c>
      <c r="R15" s="5" t="str">
        <f ca="1">CELL("contenu",INDIRECT(ADDRESS(ref!$K$7,ref!E14,1,,CELL("contenu",$AC$2))))</f>
        <v>A</v>
      </c>
      <c r="S15" s="2" t="str">
        <f ca="1">CELL("contenu",INDIRECT(ADDRESS(ref!$K$7,ref!F14,1,,CELL("contenu",$AC$2))))</f>
        <v/>
      </c>
      <c r="T15" s="3" t="str">
        <f ca="1">CELL("contenu",INDIRECT(ADDRESS(ref!$K$7,ref!G14,1,,CELL("contenu",$AC$2))))</f>
        <v/>
      </c>
      <c r="U15" s="4" t="str">
        <f ca="1">CELL("contenu",INDIRECT(ADDRESS(ref!$K$7,ref!H14,1,,CELL("contenu",$AC$2))))</f>
        <v>A</v>
      </c>
      <c r="V15" s="28">
        <f ca="1">CELL("contenu",INDIRECT(ADDRESS(ref!$K$8,ref!E14,1,,CELL("contenu",$AC$2))))</f>
        <v>15</v>
      </c>
      <c r="W15" s="29" t="str">
        <f ca="1">CELL("contenu",INDIRECT(ADDRESS(ref!$K$8,ref!F14,1,,CELL("contenu",$AC$2))))</f>
        <v/>
      </c>
      <c r="X15" s="30" t="str">
        <f ca="1">CELL("contenu",INDIRECT(ADDRESS(ref!$K$8,ref!G14,1,,CELL("contenu",$AC$2))))</f>
        <v/>
      </c>
      <c r="Y15" s="6" t="str">
        <f ca="1">CELL("contenu",INDIRECT(ADDRESS(ref!$K$9,ref!H14,1,,CELL("contenu",$AC$2))))</f>
        <v/>
      </c>
      <c r="Z15" s="3" t="str">
        <f ca="1">CELL("contenu",INDIRECT(ADDRESS(ref!$K$10,ref!H14,1,,CELL("contenu",$AC$2))))</f>
        <v>A</v>
      </c>
      <c r="AA15" s="7" t="str">
        <f ca="1">CELL("contenu",INDIRECT(ADDRESS(ref!$K$11,ref!H14,1,,CELL("contenu",$AC$2))))</f>
        <v>B</v>
      </c>
    </row>
    <row r="16" spans="1:29" x14ac:dyDescent="0.25">
      <c r="A16" s="44" t="str">
        <f t="shared" ca="1" si="0"/>
        <v>HESLOIN Madeleine</v>
      </c>
      <c r="B16" s="1" t="str">
        <f ca="1">CELL("contenu",INDIRECT(ADDRESS(ref!$K$3,ref!E15,1,,CELL("contenu",$AC$2))))</f>
        <v/>
      </c>
      <c r="C16" s="2" t="str">
        <f ca="1">CELL("contenu",INDIRECT(ADDRESS(ref!$K$3,ref!F15,1,,CELL("contenu",$AC$2))))</f>
        <v/>
      </c>
      <c r="D16" s="3" t="str">
        <f ca="1">CELL("contenu",INDIRECT(ADDRESS(ref!$K$3,ref!G15,1,,CELL("contenu",$AC$2))))</f>
        <v/>
      </c>
      <c r="E16" s="4" t="str">
        <f ca="1">CELL("contenu",INDIRECT(ADDRESS(ref!$K$3,ref!H15,1,,CELL("contenu",$AC$2))))</f>
        <v/>
      </c>
      <c r="F16" s="5" t="str">
        <f ca="1">CELL("contenu",INDIRECT(ADDRESS(ref!$K$4,ref!E15,1,,CELL("contenu",$AC$2))))</f>
        <v>B</v>
      </c>
      <c r="G16" s="2" t="str">
        <f ca="1">CELL("contenu",INDIRECT(ADDRESS(ref!$K$4,ref!F15,1,,CELL("contenu",$AC$2))))</f>
        <v/>
      </c>
      <c r="H16" s="3" t="str">
        <f ca="1">CELL("contenu",INDIRECT(ADDRESS(ref!$K$4,ref!G15,1,,CELL("contenu",$AC$2))))</f>
        <v/>
      </c>
      <c r="I16" s="4" t="str">
        <f ca="1">CELL("contenu",INDIRECT(ADDRESS(ref!$K$4,ref!H15,1,,CELL("contenu",$AC$2))))</f>
        <v>B</v>
      </c>
      <c r="J16" s="5" t="str">
        <f ca="1">CELL("contenu",INDIRECT(ADDRESS(ref!$K$5,ref!E15,1,,CELL("contenu",$AC$2))))</f>
        <v>A</v>
      </c>
      <c r="K16" s="2" t="str">
        <f ca="1">CELL("contenu",INDIRECT(ADDRESS(ref!$K$5,ref!F15,1,,CELL("contenu",$AC$2))))</f>
        <v/>
      </c>
      <c r="L16" s="3" t="str">
        <f ca="1">CELL("contenu",INDIRECT(ADDRESS(ref!$K$5,ref!G15,1,,CELL("contenu",$AC$2))))</f>
        <v/>
      </c>
      <c r="M16" s="4" t="str">
        <f ca="1">CELL("contenu",INDIRECT(ADDRESS(ref!$K$5,ref!H15,1,,CELL("contenu",$AC$2))))</f>
        <v>A</v>
      </c>
      <c r="N16" s="5" t="str">
        <f ca="1">CELL("contenu",INDIRECT(ADDRESS(ref!$K$6,ref!E15,1,,CELL("contenu",$AC$2))))</f>
        <v>A</v>
      </c>
      <c r="O16" s="2" t="str">
        <f ca="1">CELL("contenu",INDIRECT(ADDRESS(ref!$K$6,ref!F15,1,,CELL("contenu",$AC$2))))</f>
        <v/>
      </c>
      <c r="P16" s="3" t="str">
        <f ca="1">CELL("contenu",INDIRECT(ADDRESS(ref!$K$6,ref!G15,1,,CELL("contenu",$AC$2))))</f>
        <v/>
      </c>
      <c r="Q16" s="4" t="str">
        <f ca="1">CELL("contenu",INDIRECT(ADDRESS(ref!$K$6,ref!H15,1,,CELL("contenu",$AC$2))))</f>
        <v>A</v>
      </c>
      <c r="R16" s="5" t="str">
        <f ca="1">CELL("contenu",INDIRECT(ADDRESS(ref!$K$7,ref!E15,1,,CELL("contenu",$AC$2))))</f>
        <v>A</v>
      </c>
      <c r="S16" s="2" t="str">
        <f ca="1">CELL("contenu",INDIRECT(ADDRESS(ref!$K$7,ref!F15,1,,CELL("contenu",$AC$2))))</f>
        <v/>
      </c>
      <c r="T16" s="3" t="str">
        <f ca="1">CELL("contenu",INDIRECT(ADDRESS(ref!$K$7,ref!G15,1,,CELL("contenu",$AC$2))))</f>
        <v/>
      </c>
      <c r="U16" s="4" t="str">
        <f ca="1">CELL("contenu",INDIRECT(ADDRESS(ref!$K$7,ref!H15,1,,CELL("contenu",$AC$2))))</f>
        <v>A</v>
      </c>
      <c r="V16" s="28">
        <f ca="1">CELL("contenu",INDIRECT(ADDRESS(ref!$K$8,ref!E15,1,,CELL("contenu",$AC$2))))</f>
        <v>19.166666666666664</v>
      </c>
      <c r="W16" s="29" t="str">
        <f ca="1">CELL("contenu",INDIRECT(ADDRESS(ref!$K$8,ref!F15,1,,CELL("contenu",$AC$2))))</f>
        <v/>
      </c>
      <c r="X16" s="30" t="str">
        <f ca="1">CELL("contenu",INDIRECT(ADDRESS(ref!$K$8,ref!G15,1,,CELL("contenu",$AC$2))))</f>
        <v/>
      </c>
      <c r="Y16" s="6" t="str">
        <f ca="1">CELL("contenu",INDIRECT(ADDRESS(ref!$K$9,ref!H15,1,,CELL("contenu",$AC$2))))</f>
        <v/>
      </c>
      <c r="Z16" s="3" t="str">
        <f ca="1">CELL("contenu",INDIRECT(ADDRESS(ref!$K$10,ref!H15,1,,CELL("contenu",$AC$2))))</f>
        <v>A</v>
      </c>
      <c r="AA16" s="7" t="str">
        <f ca="1">CELL("contenu",INDIRECT(ADDRESS(ref!$K$11,ref!H15,1,,CELL("contenu",$AC$2))))</f>
        <v>A</v>
      </c>
    </row>
    <row r="17" spans="1:27" x14ac:dyDescent="0.25">
      <c r="A17" s="44" t="str">
        <f t="shared" ca="1" si="0"/>
        <v>HURE Anne-Dauphine</v>
      </c>
      <c r="B17" s="1" t="str">
        <f ca="1">CELL("contenu",INDIRECT(ADDRESS(ref!$K$3,ref!E16,1,,CELL("contenu",$AC$2))))</f>
        <v/>
      </c>
      <c r="C17" s="2" t="str">
        <f ca="1">CELL("contenu",INDIRECT(ADDRESS(ref!$K$3,ref!F16,1,,CELL("contenu",$AC$2))))</f>
        <v/>
      </c>
      <c r="D17" s="3" t="str">
        <f ca="1">CELL("contenu",INDIRECT(ADDRESS(ref!$K$3,ref!G16,1,,CELL("contenu",$AC$2))))</f>
        <v/>
      </c>
      <c r="E17" s="4" t="str">
        <f ca="1">CELL("contenu",INDIRECT(ADDRESS(ref!$K$3,ref!H16,1,,CELL("contenu",$AC$2))))</f>
        <v/>
      </c>
      <c r="F17" s="5" t="str">
        <f ca="1">CELL("contenu",INDIRECT(ADDRESS(ref!$K$4,ref!E16,1,,CELL("contenu",$AC$2))))</f>
        <v/>
      </c>
      <c r="G17" s="2" t="str">
        <f ca="1">CELL("contenu",INDIRECT(ADDRESS(ref!$K$4,ref!F16,1,,CELL("contenu",$AC$2))))</f>
        <v/>
      </c>
      <c r="H17" s="3" t="str">
        <f ca="1">CELL("contenu",INDIRECT(ADDRESS(ref!$K$4,ref!G16,1,,CELL("contenu",$AC$2))))</f>
        <v/>
      </c>
      <c r="I17" s="4" t="str">
        <f ca="1">CELL("contenu",INDIRECT(ADDRESS(ref!$K$4,ref!H16,1,,CELL("contenu",$AC$2))))</f>
        <v/>
      </c>
      <c r="J17" s="5" t="str">
        <f ca="1">CELL("contenu",INDIRECT(ADDRESS(ref!$K$5,ref!E16,1,,CELL("contenu",$AC$2))))</f>
        <v>A</v>
      </c>
      <c r="K17" s="2" t="str">
        <f ca="1">CELL("contenu",INDIRECT(ADDRESS(ref!$K$5,ref!F16,1,,CELL("contenu",$AC$2))))</f>
        <v/>
      </c>
      <c r="L17" s="3" t="str">
        <f ca="1">CELL("contenu",INDIRECT(ADDRESS(ref!$K$5,ref!G16,1,,CELL("contenu",$AC$2))))</f>
        <v/>
      </c>
      <c r="M17" s="4" t="str">
        <f ca="1">CELL("contenu",INDIRECT(ADDRESS(ref!$K$5,ref!H16,1,,CELL("contenu",$AC$2))))</f>
        <v>A</v>
      </c>
      <c r="N17" s="5" t="str">
        <f ca="1">CELL("contenu",INDIRECT(ADDRESS(ref!$K$6,ref!E16,1,,CELL("contenu",$AC$2))))</f>
        <v>B</v>
      </c>
      <c r="O17" s="2" t="str">
        <f ca="1">CELL("contenu",INDIRECT(ADDRESS(ref!$K$6,ref!F16,1,,CELL("contenu",$AC$2))))</f>
        <v/>
      </c>
      <c r="P17" s="3" t="str">
        <f ca="1">CELL("contenu",INDIRECT(ADDRESS(ref!$K$6,ref!G16,1,,CELL("contenu",$AC$2))))</f>
        <v/>
      </c>
      <c r="Q17" s="4" t="str">
        <f ca="1">CELL("contenu",INDIRECT(ADDRESS(ref!$K$6,ref!H16,1,,CELL("contenu",$AC$2))))</f>
        <v>B</v>
      </c>
      <c r="R17" s="5" t="str">
        <f ca="1">CELL("contenu",INDIRECT(ADDRESS(ref!$K$7,ref!E16,1,,CELL("contenu",$AC$2))))</f>
        <v/>
      </c>
      <c r="S17" s="2" t="str">
        <f ca="1">CELL("contenu",INDIRECT(ADDRESS(ref!$K$7,ref!F16,1,,CELL("contenu",$AC$2))))</f>
        <v/>
      </c>
      <c r="T17" s="3" t="str">
        <f ca="1">CELL("contenu",INDIRECT(ADDRESS(ref!$K$7,ref!G16,1,,CELL("contenu",$AC$2))))</f>
        <v/>
      </c>
      <c r="U17" s="4" t="str">
        <f ca="1">CELL("contenu",INDIRECT(ADDRESS(ref!$K$7,ref!H16,1,,CELL("contenu",$AC$2))))</f>
        <v/>
      </c>
      <c r="V17" s="28">
        <f ca="1">CELL("contenu",INDIRECT(ADDRESS(ref!$K$8,ref!E16,1,,CELL("contenu",$AC$2))))</f>
        <v>16.666666666666668</v>
      </c>
      <c r="W17" s="29" t="str">
        <f ca="1">CELL("contenu",INDIRECT(ADDRESS(ref!$K$8,ref!F16,1,,CELL("contenu",$AC$2))))</f>
        <v/>
      </c>
      <c r="X17" s="30" t="str">
        <f ca="1">CELL("contenu",INDIRECT(ADDRESS(ref!$K$8,ref!G16,1,,CELL("contenu",$AC$2))))</f>
        <v/>
      </c>
      <c r="Y17" s="6" t="str">
        <f ca="1">CELL("contenu",INDIRECT(ADDRESS(ref!$K$9,ref!H16,1,,CELL("contenu",$AC$2))))</f>
        <v/>
      </c>
      <c r="Z17" s="3" t="str">
        <f ca="1">CELL("contenu",INDIRECT(ADDRESS(ref!$K$10,ref!H16,1,,CELL("contenu",$AC$2))))</f>
        <v>A</v>
      </c>
      <c r="AA17" s="7" t="str">
        <f ca="1">CELL("contenu",INDIRECT(ADDRESS(ref!$K$11,ref!H16,1,,CELL("contenu",$AC$2))))</f>
        <v>B</v>
      </c>
    </row>
    <row r="18" spans="1:27" x14ac:dyDescent="0.25">
      <c r="A18" s="44" t="str">
        <f t="shared" ca="1" si="0"/>
        <v>LALLEMENT Pierre</v>
      </c>
      <c r="B18" s="1" t="str">
        <f ca="1">CELL("contenu",INDIRECT(ADDRESS(ref!$K$3,ref!E17,1,,CELL("contenu",$AC$2))))</f>
        <v/>
      </c>
      <c r="C18" s="2" t="str">
        <f ca="1">CELL("contenu",INDIRECT(ADDRESS(ref!$K$3,ref!F17,1,,CELL("contenu",$AC$2))))</f>
        <v/>
      </c>
      <c r="D18" s="3" t="str">
        <f ca="1">CELL("contenu",INDIRECT(ADDRESS(ref!$K$3,ref!G17,1,,CELL("contenu",$AC$2))))</f>
        <v/>
      </c>
      <c r="E18" s="4" t="str">
        <f ca="1">CELL("contenu",INDIRECT(ADDRESS(ref!$K$3,ref!H17,1,,CELL("contenu",$AC$2))))</f>
        <v/>
      </c>
      <c r="F18" s="5" t="str">
        <f ca="1">CELL("contenu",INDIRECT(ADDRESS(ref!$K$4,ref!E17,1,,CELL("contenu",$AC$2))))</f>
        <v>B</v>
      </c>
      <c r="G18" s="2" t="str">
        <f ca="1">CELL("contenu",INDIRECT(ADDRESS(ref!$K$4,ref!F17,1,,CELL("contenu",$AC$2))))</f>
        <v/>
      </c>
      <c r="H18" s="3" t="str">
        <f ca="1">CELL("contenu",INDIRECT(ADDRESS(ref!$K$4,ref!G17,1,,CELL("contenu",$AC$2))))</f>
        <v/>
      </c>
      <c r="I18" s="4" t="str">
        <f ca="1">CELL("contenu",INDIRECT(ADDRESS(ref!$K$4,ref!H17,1,,CELL("contenu",$AC$2))))</f>
        <v>B</v>
      </c>
      <c r="J18" s="5" t="str">
        <f ca="1">CELL("contenu",INDIRECT(ADDRESS(ref!$K$5,ref!E17,1,,CELL("contenu",$AC$2))))</f>
        <v>A</v>
      </c>
      <c r="K18" s="2" t="str">
        <f ca="1">CELL("contenu",INDIRECT(ADDRESS(ref!$K$5,ref!F17,1,,CELL("contenu",$AC$2))))</f>
        <v/>
      </c>
      <c r="L18" s="3" t="str">
        <f ca="1">CELL("contenu",INDIRECT(ADDRESS(ref!$K$5,ref!G17,1,,CELL("contenu",$AC$2))))</f>
        <v/>
      </c>
      <c r="M18" s="4" t="str">
        <f ca="1">CELL("contenu",INDIRECT(ADDRESS(ref!$K$5,ref!H17,1,,CELL("contenu",$AC$2))))</f>
        <v>A</v>
      </c>
      <c r="N18" s="5" t="str">
        <f ca="1">CELL("contenu",INDIRECT(ADDRESS(ref!$K$6,ref!E17,1,,CELL("contenu",$AC$2))))</f>
        <v>B</v>
      </c>
      <c r="O18" s="2" t="str">
        <f ca="1">CELL("contenu",INDIRECT(ADDRESS(ref!$K$6,ref!F17,1,,CELL("contenu",$AC$2))))</f>
        <v/>
      </c>
      <c r="P18" s="3" t="str">
        <f ca="1">CELL("contenu",INDIRECT(ADDRESS(ref!$K$6,ref!G17,1,,CELL("contenu",$AC$2))))</f>
        <v/>
      </c>
      <c r="Q18" s="4" t="str">
        <f ca="1">CELL("contenu",INDIRECT(ADDRESS(ref!$K$6,ref!H17,1,,CELL("contenu",$AC$2))))</f>
        <v>B</v>
      </c>
      <c r="R18" s="5" t="str">
        <f ca="1">CELL("contenu",INDIRECT(ADDRESS(ref!$K$7,ref!E17,1,,CELL("contenu",$AC$2))))</f>
        <v>A</v>
      </c>
      <c r="S18" s="2" t="str">
        <f ca="1">CELL("contenu",INDIRECT(ADDRESS(ref!$K$7,ref!F17,1,,CELL("contenu",$AC$2))))</f>
        <v/>
      </c>
      <c r="T18" s="3" t="str">
        <f ca="1">CELL("contenu",INDIRECT(ADDRESS(ref!$K$7,ref!G17,1,,CELL("contenu",$AC$2))))</f>
        <v/>
      </c>
      <c r="U18" s="4" t="str">
        <f ca="1">CELL("contenu",INDIRECT(ADDRESS(ref!$K$7,ref!H17,1,,CELL("contenu",$AC$2))))</f>
        <v>A</v>
      </c>
      <c r="V18" s="28">
        <f ca="1">CELL("contenu",INDIRECT(ADDRESS(ref!$K$8,ref!E17,1,,CELL("contenu",$AC$2))))</f>
        <v>17.5</v>
      </c>
      <c r="W18" s="29" t="str">
        <f ca="1">CELL("contenu",INDIRECT(ADDRESS(ref!$K$8,ref!F17,1,,CELL("contenu",$AC$2))))</f>
        <v/>
      </c>
      <c r="X18" s="30" t="str">
        <f ca="1">CELL("contenu",INDIRECT(ADDRESS(ref!$K$8,ref!G17,1,,CELL("contenu",$AC$2))))</f>
        <v/>
      </c>
      <c r="Y18" s="6" t="str">
        <f ca="1">CELL("contenu",INDIRECT(ADDRESS(ref!$K$9,ref!H17,1,,CELL("contenu",$AC$2))))</f>
        <v/>
      </c>
      <c r="Z18" s="3" t="str">
        <f ca="1">CELL("contenu",INDIRECT(ADDRESS(ref!$K$10,ref!H17,1,,CELL("contenu",$AC$2))))</f>
        <v>A</v>
      </c>
      <c r="AA18" s="7" t="str">
        <f ca="1">CELL("contenu",INDIRECT(ADDRESS(ref!$K$11,ref!H17,1,,CELL("contenu",$AC$2))))</f>
        <v>B</v>
      </c>
    </row>
    <row r="19" spans="1:27" x14ac:dyDescent="0.25">
      <c r="A19" s="44" t="str">
        <f t="shared" ca="1" si="0"/>
        <v>LE DIEU DE VILLE Mathilde</v>
      </c>
      <c r="B19" s="1" t="str">
        <f ca="1">CELL("contenu",INDIRECT(ADDRESS(ref!$K$3,ref!E18,1,,CELL("contenu",$AC$2))))</f>
        <v/>
      </c>
      <c r="C19" s="2" t="str">
        <f ca="1">CELL("contenu",INDIRECT(ADDRESS(ref!$K$3,ref!F18,1,,CELL("contenu",$AC$2))))</f>
        <v/>
      </c>
      <c r="D19" s="3" t="str">
        <f ca="1">CELL("contenu",INDIRECT(ADDRESS(ref!$K$3,ref!G18,1,,CELL("contenu",$AC$2))))</f>
        <v/>
      </c>
      <c r="E19" s="4" t="str">
        <f ca="1">CELL("contenu",INDIRECT(ADDRESS(ref!$K$3,ref!H18,1,,CELL("contenu",$AC$2))))</f>
        <v/>
      </c>
      <c r="F19" s="5" t="str">
        <f ca="1">CELL("contenu",INDIRECT(ADDRESS(ref!$K$4,ref!E18,1,,CELL("contenu",$AC$2))))</f>
        <v>B</v>
      </c>
      <c r="G19" s="2" t="str">
        <f ca="1">CELL("contenu",INDIRECT(ADDRESS(ref!$K$4,ref!F18,1,,CELL("contenu",$AC$2))))</f>
        <v/>
      </c>
      <c r="H19" s="3" t="str">
        <f ca="1">CELL("contenu",INDIRECT(ADDRESS(ref!$K$4,ref!G18,1,,CELL("contenu",$AC$2))))</f>
        <v/>
      </c>
      <c r="I19" s="4" t="str">
        <f ca="1">CELL("contenu",INDIRECT(ADDRESS(ref!$K$4,ref!H18,1,,CELL("contenu",$AC$2))))</f>
        <v>B</v>
      </c>
      <c r="J19" s="5" t="str">
        <f ca="1">CELL("contenu",INDIRECT(ADDRESS(ref!$K$5,ref!E18,1,,CELL("contenu",$AC$2))))</f>
        <v>A</v>
      </c>
      <c r="K19" s="2" t="str">
        <f ca="1">CELL("contenu",INDIRECT(ADDRESS(ref!$K$5,ref!F18,1,,CELL("contenu",$AC$2))))</f>
        <v/>
      </c>
      <c r="L19" s="3" t="str">
        <f ca="1">CELL("contenu",INDIRECT(ADDRESS(ref!$K$5,ref!G18,1,,CELL("contenu",$AC$2))))</f>
        <v/>
      </c>
      <c r="M19" s="4" t="str">
        <f ca="1">CELL("contenu",INDIRECT(ADDRESS(ref!$K$5,ref!H18,1,,CELL("contenu",$AC$2))))</f>
        <v>A</v>
      </c>
      <c r="N19" s="5" t="str">
        <f ca="1">CELL("contenu",INDIRECT(ADDRESS(ref!$K$6,ref!E18,1,,CELL("contenu",$AC$2))))</f>
        <v>A</v>
      </c>
      <c r="O19" s="2" t="str">
        <f ca="1">CELL("contenu",INDIRECT(ADDRESS(ref!$K$6,ref!F18,1,,CELL("contenu",$AC$2))))</f>
        <v/>
      </c>
      <c r="P19" s="3" t="str">
        <f ca="1">CELL("contenu",INDIRECT(ADDRESS(ref!$K$6,ref!G18,1,,CELL("contenu",$AC$2))))</f>
        <v/>
      </c>
      <c r="Q19" s="4" t="str">
        <f ca="1">CELL("contenu",INDIRECT(ADDRESS(ref!$K$6,ref!H18,1,,CELL("contenu",$AC$2))))</f>
        <v>A</v>
      </c>
      <c r="R19" s="5" t="str">
        <f ca="1">CELL("contenu",INDIRECT(ADDRESS(ref!$K$7,ref!E18,1,,CELL("contenu",$AC$2))))</f>
        <v>A</v>
      </c>
      <c r="S19" s="2" t="str">
        <f ca="1">CELL("contenu",INDIRECT(ADDRESS(ref!$K$7,ref!F18,1,,CELL("contenu",$AC$2))))</f>
        <v/>
      </c>
      <c r="T19" s="3" t="str">
        <f ca="1">CELL("contenu",INDIRECT(ADDRESS(ref!$K$7,ref!G18,1,,CELL("contenu",$AC$2))))</f>
        <v/>
      </c>
      <c r="U19" s="4" t="str">
        <f ca="1">CELL("contenu",INDIRECT(ADDRESS(ref!$K$7,ref!H18,1,,CELL("contenu",$AC$2))))</f>
        <v>A</v>
      </c>
      <c r="V19" s="28">
        <f ca="1">CELL("contenu",INDIRECT(ADDRESS(ref!$K$8,ref!E18,1,,CELL("contenu",$AC$2))))</f>
        <v>19.166666666666664</v>
      </c>
      <c r="W19" s="29" t="str">
        <f ca="1">CELL("contenu",INDIRECT(ADDRESS(ref!$K$8,ref!F18,1,,CELL("contenu",$AC$2))))</f>
        <v/>
      </c>
      <c r="X19" s="30" t="str">
        <f ca="1">CELL("contenu",INDIRECT(ADDRESS(ref!$K$8,ref!G18,1,,CELL("contenu",$AC$2))))</f>
        <v/>
      </c>
      <c r="Y19" s="6" t="str">
        <f ca="1">CELL("contenu",INDIRECT(ADDRESS(ref!$K$9,ref!H18,1,,CELL("contenu",$AC$2))))</f>
        <v/>
      </c>
      <c r="Z19" s="3" t="str">
        <f ca="1">CELL("contenu",INDIRECT(ADDRESS(ref!$K$10,ref!H18,1,,CELL("contenu",$AC$2))))</f>
        <v>A</v>
      </c>
      <c r="AA19" s="7" t="str">
        <f ca="1">CELL("contenu",INDIRECT(ADDRESS(ref!$K$11,ref!H18,1,,CELL("contenu",$AC$2))))</f>
        <v>A</v>
      </c>
    </row>
    <row r="20" spans="1:27" x14ac:dyDescent="0.25">
      <c r="A20" s="44" t="str">
        <f t="shared" ca="1" si="0"/>
        <v>LEPINOY--FAVRON Agathe</v>
      </c>
      <c r="B20" s="1" t="str">
        <f ca="1">CELL("contenu",INDIRECT(ADDRESS(ref!$K$3,ref!E19,1,,CELL("contenu",$AC$2))))</f>
        <v/>
      </c>
      <c r="C20" s="2" t="str">
        <f ca="1">CELL("contenu",INDIRECT(ADDRESS(ref!$K$3,ref!F19,1,,CELL("contenu",$AC$2))))</f>
        <v/>
      </c>
      <c r="D20" s="3" t="str">
        <f ca="1">CELL("contenu",INDIRECT(ADDRESS(ref!$K$3,ref!G19,1,,CELL("contenu",$AC$2))))</f>
        <v/>
      </c>
      <c r="E20" s="4" t="str">
        <f ca="1">CELL("contenu",INDIRECT(ADDRESS(ref!$K$3,ref!H19,1,,CELL("contenu",$AC$2))))</f>
        <v/>
      </c>
      <c r="F20" s="5" t="str">
        <f ca="1">CELL("contenu",INDIRECT(ADDRESS(ref!$K$4,ref!E19,1,,CELL("contenu",$AC$2))))</f>
        <v/>
      </c>
      <c r="G20" s="2" t="str">
        <f ca="1">CELL("contenu",INDIRECT(ADDRESS(ref!$K$4,ref!F19,1,,CELL("contenu",$AC$2))))</f>
        <v/>
      </c>
      <c r="H20" s="3" t="str">
        <f ca="1">CELL("contenu",INDIRECT(ADDRESS(ref!$K$4,ref!G19,1,,CELL("contenu",$AC$2))))</f>
        <v/>
      </c>
      <c r="I20" s="4" t="str">
        <f ca="1">CELL("contenu",INDIRECT(ADDRESS(ref!$K$4,ref!H19,1,,CELL("contenu",$AC$2))))</f>
        <v/>
      </c>
      <c r="J20" s="5" t="str">
        <f ca="1">CELL("contenu",INDIRECT(ADDRESS(ref!$K$5,ref!E19,1,,CELL("contenu",$AC$2))))</f>
        <v>B</v>
      </c>
      <c r="K20" s="2" t="str">
        <f ca="1">CELL("contenu",INDIRECT(ADDRESS(ref!$K$5,ref!F19,1,,CELL("contenu",$AC$2))))</f>
        <v/>
      </c>
      <c r="L20" s="3" t="str">
        <f ca="1">CELL("contenu",INDIRECT(ADDRESS(ref!$K$5,ref!G19,1,,CELL("contenu",$AC$2))))</f>
        <v/>
      </c>
      <c r="M20" s="4" t="str">
        <f ca="1">CELL("contenu",INDIRECT(ADDRESS(ref!$K$5,ref!H19,1,,CELL("contenu",$AC$2))))</f>
        <v>B</v>
      </c>
      <c r="N20" s="5" t="str">
        <f ca="1">CELL("contenu",INDIRECT(ADDRESS(ref!$K$6,ref!E19,1,,CELL("contenu",$AC$2))))</f>
        <v>C</v>
      </c>
      <c r="O20" s="2" t="str">
        <f ca="1">CELL("contenu",INDIRECT(ADDRESS(ref!$K$6,ref!F19,1,,CELL("contenu",$AC$2))))</f>
        <v/>
      </c>
      <c r="P20" s="3" t="str">
        <f ca="1">CELL("contenu",INDIRECT(ADDRESS(ref!$K$6,ref!G19,1,,CELL("contenu",$AC$2))))</f>
        <v/>
      </c>
      <c r="Q20" s="4" t="str">
        <f ca="1">CELL("contenu",INDIRECT(ADDRESS(ref!$K$6,ref!H19,1,,CELL("contenu",$AC$2))))</f>
        <v>C</v>
      </c>
      <c r="R20" s="5" t="str">
        <f ca="1">CELL("contenu",INDIRECT(ADDRESS(ref!$K$7,ref!E19,1,,CELL("contenu",$AC$2))))</f>
        <v/>
      </c>
      <c r="S20" s="2" t="str">
        <f ca="1">CELL("contenu",INDIRECT(ADDRESS(ref!$K$7,ref!F19,1,,CELL("contenu",$AC$2))))</f>
        <v/>
      </c>
      <c r="T20" s="3" t="str">
        <f ca="1">CELL("contenu",INDIRECT(ADDRESS(ref!$K$7,ref!G19,1,,CELL("contenu",$AC$2))))</f>
        <v/>
      </c>
      <c r="U20" s="4" t="str">
        <f ca="1">CELL("contenu",INDIRECT(ADDRESS(ref!$K$7,ref!H19,1,,CELL("contenu",$AC$2))))</f>
        <v/>
      </c>
      <c r="V20" s="28">
        <f ca="1">CELL("contenu",INDIRECT(ADDRESS(ref!$K$8,ref!E19,1,,CELL("contenu",$AC$2))))</f>
        <v>11.666666666666666</v>
      </c>
      <c r="W20" s="29" t="str">
        <f ca="1">CELL("contenu",INDIRECT(ADDRESS(ref!$K$8,ref!F19,1,,CELL("contenu",$AC$2))))</f>
        <v/>
      </c>
      <c r="X20" s="30" t="str">
        <f ca="1">CELL("contenu",INDIRECT(ADDRESS(ref!$K$8,ref!G19,1,,CELL("contenu",$AC$2))))</f>
        <v/>
      </c>
      <c r="Y20" s="6" t="str">
        <f ca="1">CELL("contenu",INDIRECT(ADDRESS(ref!$K$9,ref!H19,1,,CELL("contenu",$AC$2))))</f>
        <v/>
      </c>
      <c r="Z20" s="3" t="str">
        <f ca="1">CELL("contenu",INDIRECT(ADDRESS(ref!$K$10,ref!H19,1,,CELL("contenu",$AC$2))))</f>
        <v>B</v>
      </c>
      <c r="AA20" s="7" t="str">
        <f ca="1">CELL("contenu",INDIRECT(ADDRESS(ref!$K$11,ref!H19,1,,CELL("contenu",$AC$2))))</f>
        <v>C</v>
      </c>
    </row>
    <row r="21" spans="1:27" x14ac:dyDescent="0.25">
      <c r="A21" s="44" t="str">
        <f t="shared" ca="1" si="0"/>
        <v>LEPRINCE Charlotte</v>
      </c>
      <c r="B21" s="1" t="str">
        <f ca="1">CELL("contenu",INDIRECT(ADDRESS(ref!$K$3,ref!E20,1,,CELL("contenu",$AC$2))))</f>
        <v/>
      </c>
      <c r="C21" s="2" t="str">
        <f ca="1">CELL("contenu",INDIRECT(ADDRESS(ref!$K$3,ref!F20,1,,CELL("contenu",$AC$2))))</f>
        <v/>
      </c>
      <c r="D21" s="3" t="str">
        <f ca="1">CELL("contenu",INDIRECT(ADDRESS(ref!$K$3,ref!G20,1,,CELL("contenu",$AC$2))))</f>
        <v/>
      </c>
      <c r="E21" s="4" t="str">
        <f ca="1">CELL("contenu",INDIRECT(ADDRESS(ref!$K$3,ref!H20,1,,CELL("contenu",$AC$2))))</f>
        <v/>
      </c>
      <c r="F21" s="5" t="str">
        <f ca="1">CELL("contenu",INDIRECT(ADDRESS(ref!$K$4,ref!E20,1,,CELL("contenu",$AC$2))))</f>
        <v/>
      </c>
      <c r="G21" s="2" t="str">
        <f ca="1">CELL("contenu",INDIRECT(ADDRESS(ref!$K$4,ref!F20,1,,CELL("contenu",$AC$2))))</f>
        <v/>
      </c>
      <c r="H21" s="3" t="str">
        <f ca="1">CELL("contenu",INDIRECT(ADDRESS(ref!$K$4,ref!G20,1,,CELL("contenu",$AC$2))))</f>
        <v/>
      </c>
      <c r="I21" s="4" t="str">
        <f ca="1">CELL("contenu",INDIRECT(ADDRESS(ref!$K$4,ref!H20,1,,CELL("contenu",$AC$2))))</f>
        <v/>
      </c>
      <c r="J21" s="5" t="str">
        <f ca="1">CELL("contenu",INDIRECT(ADDRESS(ref!$K$5,ref!E20,1,,CELL("contenu",$AC$2))))</f>
        <v>A</v>
      </c>
      <c r="K21" s="2" t="str">
        <f ca="1">CELL("contenu",INDIRECT(ADDRESS(ref!$K$5,ref!F20,1,,CELL("contenu",$AC$2))))</f>
        <v/>
      </c>
      <c r="L21" s="3" t="str">
        <f ca="1">CELL("contenu",INDIRECT(ADDRESS(ref!$K$5,ref!G20,1,,CELL("contenu",$AC$2))))</f>
        <v/>
      </c>
      <c r="M21" s="4" t="str">
        <f ca="1">CELL("contenu",INDIRECT(ADDRESS(ref!$K$5,ref!H20,1,,CELL("contenu",$AC$2))))</f>
        <v>A</v>
      </c>
      <c r="N21" s="5" t="str">
        <f ca="1">CELL("contenu",INDIRECT(ADDRESS(ref!$K$6,ref!E20,1,,CELL("contenu",$AC$2))))</f>
        <v>C</v>
      </c>
      <c r="O21" s="2" t="str">
        <f ca="1">CELL("contenu",INDIRECT(ADDRESS(ref!$K$6,ref!F20,1,,CELL("contenu",$AC$2))))</f>
        <v/>
      </c>
      <c r="P21" s="3" t="str">
        <f ca="1">CELL("contenu",INDIRECT(ADDRESS(ref!$K$6,ref!G20,1,,CELL("contenu",$AC$2))))</f>
        <v/>
      </c>
      <c r="Q21" s="4" t="str">
        <f ca="1">CELL("contenu",INDIRECT(ADDRESS(ref!$K$6,ref!H20,1,,CELL("contenu",$AC$2))))</f>
        <v>C</v>
      </c>
      <c r="R21" s="5" t="str">
        <f ca="1">CELL("contenu",INDIRECT(ADDRESS(ref!$K$7,ref!E20,1,,CELL("contenu",$AC$2))))</f>
        <v/>
      </c>
      <c r="S21" s="2" t="str">
        <f ca="1">CELL("contenu",INDIRECT(ADDRESS(ref!$K$7,ref!F20,1,,CELL("contenu",$AC$2))))</f>
        <v/>
      </c>
      <c r="T21" s="3" t="str">
        <f ca="1">CELL("contenu",INDIRECT(ADDRESS(ref!$K$7,ref!G20,1,,CELL("contenu",$AC$2))))</f>
        <v/>
      </c>
      <c r="U21" s="4" t="str">
        <f ca="1">CELL("contenu",INDIRECT(ADDRESS(ref!$K$7,ref!H20,1,,CELL("contenu",$AC$2))))</f>
        <v/>
      </c>
      <c r="V21" s="28">
        <f ca="1">CELL("contenu",INDIRECT(ADDRESS(ref!$K$8,ref!E20,1,,CELL("contenu",$AC$2))))</f>
        <v>13.333333333333334</v>
      </c>
      <c r="W21" s="29" t="str">
        <f ca="1">CELL("contenu",INDIRECT(ADDRESS(ref!$K$8,ref!F20,1,,CELL("contenu",$AC$2))))</f>
        <v/>
      </c>
      <c r="X21" s="30" t="str">
        <f ca="1">CELL("contenu",INDIRECT(ADDRESS(ref!$K$8,ref!G20,1,,CELL("contenu",$AC$2))))</f>
        <v/>
      </c>
      <c r="Y21" s="6" t="str">
        <f ca="1">CELL("contenu",INDIRECT(ADDRESS(ref!$K$9,ref!H20,1,,CELL("contenu",$AC$2))))</f>
        <v/>
      </c>
      <c r="Z21" s="3" t="str">
        <f ca="1">CELL("contenu",INDIRECT(ADDRESS(ref!$K$10,ref!H20,1,,CELL("contenu",$AC$2))))</f>
        <v>A</v>
      </c>
      <c r="AA21" s="7" t="str">
        <f ca="1">CELL("contenu",INDIRECT(ADDRESS(ref!$K$11,ref!H20,1,,CELL("contenu",$AC$2))))</f>
        <v>C</v>
      </c>
    </row>
    <row r="22" spans="1:27" x14ac:dyDescent="0.25">
      <c r="A22" s="44" t="str">
        <f t="shared" ca="1" si="0"/>
        <v>MOUNIROU DEEN Kemi</v>
      </c>
      <c r="B22" s="1" t="str">
        <f ca="1">CELL("contenu",INDIRECT(ADDRESS(ref!$K$3,ref!E21,1,,CELL("contenu",$AC$2))))</f>
        <v/>
      </c>
      <c r="C22" s="2" t="str">
        <f ca="1">CELL("contenu",INDIRECT(ADDRESS(ref!$K$3,ref!F21,1,,CELL("contenu",$AC$2))))</f>
        <v/>
      </c>
      <c r="D22" s="3" t="str">
        <f ca="1">CELL("contenu",INDIRECT(ADDRESS(ref!$K$3,ref!G21,1,,CELL("contenu",$AC$2))))</f>
        <v/>
      </c>
      <c r="E22" s="4" t="str">
        <f ca="1">CELL("contenu",INDIRECT(ADDRESS(ref!$K$3,ref!H21,1,,CELL("contenu",$AC$2))))</f>
        <v/>
      </c>
      <c r="F22" s="5" t="str">
        <f ca="1">CELL("contenu",INDIRECT(ADDRESS(ref!$K$4,ref!E21,1,,CELL("contenu",$AC$2))))</f>
        <v>C</v>
      </c>
      <c r="G22" s="2" t="str">
        <f ca="1">CELL("contenu",INDIRECT(ADDRESS(ref!$K$4,ref!F21,1,,CELL("contenu",$AC$2))))</f>
        <v/>
      </c>
      <c r="H22" s="3" t="str">
        <f ca="1">CELL("contenu",INDIRECT(ADDRESS(ref!$K$4,ref!G21,1,,CELL("contenu",$AC$2))))</f>
        <v/>
      </c>
      <c r="I22" s="4" t="str">
        <f ca="1">CELL("contenu",INDIRECT(ADDRESS(ref!$K$4,ref!H21,1,,CELL("contenu",$AC$2))))</f>
        <v>C</v>
      </c>
      <c r="J22" s="5" t="str">
        <f ca="1">CELL("contenu",INDIRECT(ADDRESS(ref!$K$5,ref!E21,1,,CELL("contenu",$AC$2))))</f>
        <v>B</v>
      </c>
      <c r="K22" s="2" t="str">
        <f ca="1">CELL("contenu",INDIRECT(ADDRESS(ref!$K$5,ref!F21,1,,CELL("contenu",$AC$2))))</f>
        <v/>
      </c>
      <c r="L22" s="3" t="str">
        <f ca="1">CELL("contenu",INDIRECT(ADDRESS(ref!$K$5,ref!G21,1,,CELL("contenu",$AC$2))))</f>
        <v/>
      </c>
      <c r="M22" s="4" t="str">
        <f ca="1">CELL("contenu",INDIRECT(ADDRESS(ref!$K$5,ref!H21,1,,CELL("contenu",$AC$2))))</f>
        <v>B</v>
      </c>
      <c r="N22" s="5" t="str">
        <f ca="1">CELL("contenu",INDIRECT(ADDRESS(ref!$K$6,ref!E21,1,,CELL("contenu",$AC$2))))</f>
        <v>C</v>
      </c>
      <c r="O22" s="2" t="str">
        <f ca="1">CELL("contenu",INDIRECT(ADDRESS(ref!$K$6,ref!F21,1,,CELL("contenu",$AC$2))))</f>
        <v/>
      </c>
      <c r="P22" s="3" t="str">
        <f ca="1">CELL("contenu",INDIRECT(ADDRESS(ref!$K$6,ref!G21,1,,CELL("contenu",$AC$2))))</f>
        <v/>
      </c>
      <c r="Q22" s="4" t="str">
        <f ca="1">CELL("contenu",INDIRECT(ADDRESS(ref!$K$6,ref!H21,1,,CELL("contenu",$AC$2))))</f>
        <v>C</v>
      </c>
      <c r="R22" s="5" t="str">
        <f ca="1">CELL("contenu",INDIRECT(ADDRESS(ref!$K$7,ref!E21,1,,CELL("contenu",$AC$2))))</f>
        <v>A</v>
      </c>
      <c r="S22" s="2" t="str">
        <f ca="1">CELL("contenu",INDIRECT(ADDRESS(ref!$K$7,ref!F21,1,,CELL("contenu",$AC$2))))</f>
        <v/>
      </c>
      <c r="T22" s="3" t="str">
        <f ca="1">CELL("contenu",INDIRECT(ADDRESS(ref!$K$7,ref!G21,1,,CELL("contenu",$AC$2))))</f>
        <v/>
      </c>
      <c r="U22" s="4" t="str">
        <f ca="1">CELL("contenu",INDIRECT(ADDRESS(ref!$K$7,ref!H21,1,,CELL("contenu",$AC$2))))</f>
        <v>A</v>
      </c>
      <c r="V22" s="28">
        <f ca="1">CELL("contenu",INDIRECT(ADDRESS(ref!$K$8,ref!E21,1,,CELL("contenu",$AC$2))))</f>
        <v>12.5</v>
      </c>
      <c r="W22" s="29" t="str">
        <f ca="1">CELL("contenu",INDIRECT(ADDRESS(ref!$K$8,ref!F21,1,,CELL("contenu",$AC$2))))</f>
        <v/>
      </c>
      <c r="X22" s="30" t="str">
        <f ca="1">CELL("contenu",INDIRECT(ADDRESS(ref!$K$8,ref!G21,1,,CELL("contenu",$AC$2))))</f>
        <v/>
      </c>
      <c r="Y22" s="6" t="str">
        <f ca="1">CELL("contenu",INDIRECT(ADDRESS(ref!$K$9,ref!H21,1,,CELL("contenu",$AC$2))))</f>
        <v/>
      </c>
      <c r="Z22" s="3" t="str">
        <f ca="1">CELL("contenu",INDIRECT(ADDRESS(ref!$K$10,ref!H21,1,,CELL("contenu",$AC$2))))</f>
        <v>B</v>
      </c>
      <c r="AA22" s="7" t="str">
        <f ca="1">CELL("contenu",INDIRECT(ADDRESS(ref!$K$11,ref!H21,1,,CELL("contenu",$AC$2))))</f>
        <v>C</v>
      </c>
    </row>
    <row r="23" spans="1:27" x14ac:dyDescent="0.25">
      <c r="A23" s="44" t="str">
        <f t="shared" ca="1" si="0"/>
        <v>OUDIN Gustave</v>
      </c>
      <c r="B23" s="1" t="str">
        <f ca="1">CELL("contenu",INDIRECT(ADDRESS(ref!$K$3,ref!E22,1,,CELL("contenu",$AC$2))))</f>
        <v/>
      </c>
      <c r="C23" s="2" t="str">
        <f ca="1">CELL("contenu",INDIRECT(ADDRESS(ref!$K$3,ref!F22,1,,CELL("contenu",$AC$2))))</f>
        <v/>
      </c>
      <c r="D23" s="3" t="str">
        <f ca="1">CELL("contenu",INDIRECT(ADDRESS(ref!$K$3,ref!G22,1,,CELL("contenu",$AC$2))))</f>
        <v/>
      </c>
      <c r="E23" s="4" t="str">
        <f ca="1">CELL("contenu",INDIRECT(ADDRESS(ref!$K$3,ref!H22,1,,CELL("contenu",$AC$2))))</f>
        <v/>
      </c>
      <c r="F23" s="5" t="str">
        <f ca="1">CELL("contenu",INDIRECT(ADDRESS(ref!$K$4,ref!E22,1,,CELL("contenu",$AC$2))))</f>
        <v>B</v>
      </c>
      <c r="G23" s="2" t="str">
        <f ca="1">CELL("contenu",INDIRECT(ADDRESS(ref!$K$4,ref!F22,1,,CELL("contenu",$AC$2))))</f>
        <v/>
      </c>
      <c r="H23" s="3" t="str">
        <f ca="1">CELL("contenu",INDIRECT(ADDRESS(ref!$K$4,ref!G22,1,,CELL("contenu",$AC$2))))</f>
        <v/>
      </c>
      <c r="I23" s="4" t="str">
        <f ca="1">CELL("contenu",INDIRECT(ADDRESS(ref!$K$4,ref!H22,1,,CELL("contenu",$AC$2))))</f>
        <v>B</v>
      </c>
      <c r="J23" s="5" t="str">
        <f ca="1">CELL("contenu",INDIRECT(ADDRESS(ref!$K$5,ref!E22,1,,CELL("contenu",$AC$2))))</f>
        <v>A</v>
      </c>
      <c r="K23" s="2" t="str">
        <f ca="1">CELL("contenu",INDIRECT(ADDRESS(ref!$K$5,ref!F22,1,,CELL("contenu",$AC$2))))</f>
        <v/>
      </c>
      <c r="L23" s="3" t="str">
        <f ca="1">CELL("contenu",INDIRECT(ADDRESS(ref!$K$5,ref!G22,1,,CELL("contenu",$AC$2))))</f>
        <v/>
      </c>
      <c r="M23" s="4" t="str">
        <f ca="1">CELL("contenu",INDIRECT(ADDRESS(ref!$K$5,ref!H22,1,,CELL("contenu",$AC$2))))</f>
        <v>A</v>
      </c>
      <c r="N23" s="5" t="str">
        <f ca="1">CELL("contenu",INDIRECT(ADDRESS(ref!$K$6,ref!E22,1,,CELL("contenu",$AC$2))))</f>
        <v>B</v>
      </c>
      <c r="O23" s="2" t="str">
        <f ca="1">CELL("contenu",INDIRECT(ADDRESS(ref!$K$6,ref!F22,1,,CELL("contenu",$AC$2))))</f>
        <v/>
      </c>
      <c r="P23" s="3" t="str">
        <f ca="1">CELL("contenu",INDIRECT(ADDRESS(ref!$K$6,ref!G22,1,,CELL("contenu",$AC$2))))</f>
        <v/>
      </c>
      <c r="Q23" s="4" t="str">
        <f ca="1">CELL("contenu",INDIRECT(ADDRESS(ref!$K$6,ref!H22,1,,CELL("contenu",$AC$2))))</f>
        <v>B</v>
      </c>
      <c r="R23" s="5" t="str">
        <f ca="1">CELL("contenu",INDIRECT(ADDRESS(ref!$K$7,ref!E22,1,,CELL("contenu",$AC$2))))</f>
        <v>A</v>
      </c>
      <c r="S23" s="2" t="str">
        <f ca="1">CELL("contenu",INDIRECT(ADDRESS(ref!$K$7,ref!F22,1,,CELL("contenu",$AC$2))))</f>
        <v/>
      </c>
      <c r="T23" s="3" t="str">
        <f ca="1">CELL("contenu",INDIRECT(ADDRESS(ref!$K$7,ref!G22,1,,CELL("contenu",$AC$2))))</f>
        <v/>
      </c>
      <c r="U23" s="4" t="str">
        <f ca="1">CELL("contenu",INDIRECT(ADDRESS(ref!$K$7,ref!H22,1,,CELL("contenu",$AC$2))))</f>
        <v>A</v>
      </c>
      <c r="V23" s="28">
        <f ca="1">CELL("contenu",INDIRECT(ADDRESS(ref!$K$8,ref!E22,1,,CELL("contenu",$AC$2))))</f>
        <v>17.5</v>
      </c>
      <c r="W23" s="29" t="str">
        <f ca="1">CELL("contenu",INDIRECT(ADDRESS(ref!$K$8,ref!F22,1,,CELL("contenu",$AC$2))))</f>
        <v/>
      </c>
      <c r="X23" s="30" t="str">
        <f ca="1">CELL("contenu",INDIRECT(ADDRESS(ref!$K$8,ref!G22,1,,CELL("contenu",$AC$2))))</f>
        <v/>
      </c>
      <c r="Y23" s="6" t="str">
        <f ca="1">CELL("contenu",INDIRECT(ADDRESS(ref!$K$9,ref!H22,1,,CELL("contenu",$AC$2))))</f>
        <v/>
      </c>
      <c r="Z23" s="3" t="str">
        <f ca="1">CELL("contenu",INDIRECT(ADDRESS(ref!$K$10,ref!H22,1,,CELL("contenu",$AC$2))))</f>
        <v>A</v>
      </c>
      <c r="AA23" s="7" t="str">
        <f ca="1">CELL("contenu",INDIRECT(ADDRESS(ref!$K$11,ref!H22,1,,CELL("contenu",$AC$2))))</f>
        <v>B</v>
      </c>
    </row>
    <row r="24" spans="1:27" x14ac:dyDescent="0.25">
      <c r="A24" s="44" t="str">
        <f t="shared" ca="1" si="0"/>
        <v>POIGNET Théotime</v>
      </c>
      <c r="B24" s="1" t="str">
        <f ca="1">CELL("contenu",INDIRECT(ADDRESS(ref!$K$3,ref!E23,1,,CELL("contenu",$AC$2))))</f>
        <v/>
      </c>
      <c r="C24" s="2" t="str">
        <f ca="1">CELL("contenu",INDIRECT(ADDRESS(ref!$K$3,ref!F23,1,,CELL("contenu",$AC$2))))</f>
        <v/>
      </c>
      <c r="D24" s="3" t="str">
        <f ca="1">CELL("contenu",INDIRECT(ADDRESS(ref!$K$3,ref!G23,1,,CELL("contenu",$AC$2))))</f>
        <v/>
      </c>
      <c r="E24" s="4" t="str">
        <f ca="1">CELL("contenu",INDIRECT(ADDRESS(ref!$K$3,ref!H23,1,,CELL("contenu",$AC$2))))</f>
        <v/>
      </c>
      <c r="F24" s="5" t="str">
        <f ca="1">CELL("contenu",INDIRECT(ADDRESS(ref!$K$4,ref!E23,1,,CELL("contenu",$AC$2))))</f>
        <v>B</v>
      </c>
      <c r="G24" s="2" t="str">
        <f ca="1">CELL("contenu",INDIRECT(ADDRESS(ref!$K$4,ref!F23,1,,CELL("contenu",$AC$2))))</f>
        <v/>
      </c>
      <c r="H24" s="3" t="str">
        <f ca="1">CELL("contenu",INDIRECT(ADDRESS(ref!$K$4,ref!G23,1,,CELL("contenu",$AC$2))))</f>
        <v/>
      </c>
      <c r="I24" s="4" t="str">
        <f ca="1">CELL("contenu",INDIRECT(ADDRESS(ref!$K$4,ref!H23,1,,CELL("contenu",$AC$2))))</f>
        <v>B</v>
      </c>
      <c r="J24" s="5" t="str">
        <f ca="1">CELL("contenu",INDIRECT(ADDRESS(ref!$K$5,ref!E23,1,,CELL("contenu",$AC$2))))</f>
        <v>A</v>
      </c>
      <c r="K24" s="2" t="str">
        <f ca="1">CELL("contenu",INDIRECT(ADDRESS(ref!$K$5,ref!F23,1,,CELL("contenu",$AC$2))))</f>
        <v/>
      </c>
      <c r="L24" s="3" t="str">
        <f ca="1">CELL("contenu",INDIRECT(ADDRESS(ref!$K$5,ref!G23,1,,CELL("contenu",$AC$2))))</f>
        <v/>
      </c>
      <c r="M24" s="4" t="str">
        <f ca="1">CELL("contenu",INDIRECT(ADDRESS(ref!$K$5,ref!H23,1,,CELL("contenu",$AC$2))))</f>
        <v>A</v>
      </c>
      <c r="N24" s="5" t="str">
        <f ca="1">CELL("contenu",INDIRECT(ADDRESS(ref!$K$6,ref!E23,1,,CELL("contenu",$AC$2))))</f>
        <v>A</v>
      </c>
      <c r="O24" s="2" t="str">
        <f ca="1">CELL("contenu",INDIRECT(ADDRESS(ref!$K$6,ref!F23,1,,CELL("contenu",$AC$2))))</f>
        <v/>
      </c>
      <c r="P24" s="3" t="str">
        <f ca="1">CELL("contenu",INDIRECT(ADDRESS(ref!$K$6,ref!G23,1,,CELL("contenu",$AC$2))))</f>
        <v/>
      </c>
      <c r="Q24" s="4" t="str">
        <f ca="1">CELL("contenu",INDIRECT(ADDRESS(ref!$K$6,ref!H23,1,,CELL("contenu",$AC$2))))</f>
        <v>A</v>
      </c>
      <c r="R24" s="5" t="str">
        <f ca="1">CELL("contenu",INDIRECT(ADDRESS(ref!$K$7,ref!E23,1,,CELL("contenu",$AC$2))))</f>
        <v>A</v>
      </c>
      <c r="S24" s="2" t="str">
        <f ca="1">CELL("contenu",INDIRECT(ADDRESS(ref!$K$7,ref!F23,1,,CELL("contenu",$AC$2))))</f>
        <v/>
      </c>
      <c r="T24" s="3" t="str">
        <f ca="1">CELL("contenu",INDIRECT(ADDRESS(ref!$K$7,ref!G23,1,,CELL("contenu",$AC$2))))</f>
        <v/>
      </c>
      <c r="U24" s="4" t="str">
        <f ca="1">CELL("contenu",INDIRECT(ADDRESS(ref!$K$7,ref!H23,1,,CELL("contenu",$AC$2))))</f>
        <v>A</v>
      </c>
      <c r="V24" s="28">
        <f ca="1">CELL("contenu",INDIRECT(ADDRESS(ref!$K$8,ref!E23,1,,CELL("contenu",$AC$2))))</f>
        <v>19.166666666666664</v>
      </c>
      <c r="W24" s="29" t="str">
        <f ca="1">CELL("contenu",INDIRECT(ADDRESS(ref!$K$8,ref!F23,1,,CELL("contenu",$AC$2))))</f>
        <v/>
      </c>
      <c r="X24" s="30" t="str">
        <f ca="1">CELL("contenu",INDIRECT(ADDRESS(ref!$K$8,ref!G23,1,,CELL("contenu",$AC$2))))</f>
        <v/>
      </c>
      <c r="Y24" s="6" t="str">
        <f ca="1">CELL("contenu",INDIRECT(ADDRESS(ref!$K$9,ref!H23,1,,CELL("contenu",$AC$2))))</f>
        <v/>
      </c>
      <c r="Z24" s="3" t="str">
        <f ca="1">CELL("contenu",INDIRECT(ADDRESS(ref!$K$10,ref!H23,1,,CELL("contenu",$AC$2))))</f>
        <v>A</v>
      </c>
      <c r="AA24" s="7" t="str">
        <f ca="1">CELL("contenu",INDIRECT(ADDRESS(ref!$K$11,ref!H23,1,,CELL("contenu",$AC$2))))</f>
        <v>A</v>
      </c>
    </row>
    <row r="25" spans="1:27" x14ac:dyDescent="0.25">
      <c r="A25" s="44" t="str">
        <f t="shared" ca="1" si="0"/>
        <v>RANDU Jeanne</v>
      </c>
      <c r="B25" s="1" t="str">
        <f ca="1">CELL("contenu",INDIRECT(ADDRESS(ref!$K$3,ref!E24,1,,CELL("contenu",$AC$2))))</f>
        <v/>
      </c>
      <c r="C25" s="2" t="str">
        <f ca="1">CELL("contenu",INDIRECT(ADDRESS(ref!$K$3,ref!F24,1,,CELL("contenu",$AC$2))))</f>
        <v/>
      </c>
      <c r="D25" s="3" t="str">
        <f ca="1">CELL("contenu",INDIRECT(ADDRESS(ref!$K$3,ref!G24,1,,CELL("contenu",$AC$2))))</f>
        <v/>
      </c>
      <c r="E25" s="4" t="str">
        <f ca="1">CELL("contenu",INDIRECT(ADDRESS(ref!$K$3,ref!H24,1,,CELL("contenu",$AC$2))))</f>
        <v/>
      </c>
      <c r="F25" s="5" t="str">
        <f ca="1">CELL("contenu",INDIRECT(ADDRESS(ref!$K$4,ref!E24,1,,CELL("contenu",$AC$2))))</f>
        <v>B</v>
      </c>
      <c r="G25" s="2" t="str">
        <f ca="1">CELL("contenu",INDIRECT(ADDRESS(ref!$K$4,ref!F24,1,,CELL("contenu",$AC$2))))</f>
        <v/>
      </c>
      <c r="H25" s="3" t="str">
        <f ca="1">CELL("contenu",INDIRECT(ADDRESS(ref!$K$4,ref!G24,1,,CELL("contenu",$AC$2))))</f>
        <v/>
      </c>
      <c r="I25" s="4" t="str">
        <f ca="1">CELL("contenu",INDIRECT(ADDRESS(ref!$K$4,ref!H24,1,,CELL("contenu",$AC$2))))</f>
        <v>B</v>
      </c>
      <c r="J25" s="5" t="str">
        <f ca="1">CELL("contenu",INDIRECT(ADDRESS(ref!$K$5,ref!E24,1,,CELL("contenu",$AC$2))))</f>
        <v>A</v>
      </c>
      <c r="K25" s="2" t="str">
        <f ca="1">CELL("contenu",INDIRECT(ADDRESS(ref!$K$5,ref!F24,1,,CELL("contenu",$AC$2))))</f>
        <v/>
      </c>
      <c r="L25" s="3" t="str">
        <f ca="1">CELL("contenu",INDIRECT(ADDRESS(ref!$K$5,ref!G24,1,,CELL("contenu",$AC$2))))</f>
        <v/>
      </c>
      <c r="M25" s="4" t="str">
        <f ca="1">CELL("contenu",INDIRECT(ADDRESS(ref!$K$5,ref!H24,1,,CELL("contenu",$AC$2))))</f>
        <v>A</v>
      </c>
      <c r="N25" s="5" t="str">
        <f ca="1">CELL("contenu",INDIRECT(ADDRESS(ref!$K$6,ref!E24,1,,CELL("contenu",$AC$2))))</f>
        <v>C</v>
      </c>
      <c r="O25" s="2" t="str">
        <f ca="1">CELL("contenu",INDIRECT(ADDRESS(ref!$K$6,ref!F24,1,,CELL("contenu",$AC$2))))</f>
        <v/>
      </c>
      <c r="P25" s="3" t="str">
        <f ca="1">CELL("contenu",INDIRECT(ADDRESS(ref!$K$6,ref!G24,1,,CELL("contenu",$AC$2))))</f>
        <v/>
      </c>
      <c r="Q25" s="4" t="str">
        <f ca="1">CELL("contenu",INDIRECT(ADDRESS(ref!$K$6,ref!H24,1,,CELL("contenu",$AC$2))))</f>
        <v>C</v>
      </c>
      <c r="R25" s="5" t="str">
        <f ca="1">CELL("contenu",INDIRECT(ADDRESS(ref!$K$7,ref!E24,1,,CELL("contenu",$AC$2))))</f>
        <v>A</v>
      </c>
      <c r="S25" s="2" t="str">
        <f ca="1">CELL("contenu",INDIRECT(ADDRESS(ref!$K$7,ref!F24,1,,CELL("contenu",$AC$2))))</f>
        <v/>
      </c>
      <c r="T25" s="3" t="str">
        <f ca="1">CELL("contenu",INDIRECT(ADDRESS(ref!$K$7,ref!G24,1,,CELL("contenu",$AC$2))))</f>
        <v/>
      </c>
      <c r="U25" s="4" t="str">
        <f ca="1">CELL("contenu",INDIRECT(ADDRESS(ref!$K$7,ref!H24,1,,CELL("contenu",$AC$2))))</f>
        <v>A</v>
      </c>
      <c r="V25" s="28">
        <f ca="1">CELL("contenu",INDIRECT(ADDRESS(ref!$K$8,ref!E24,1,,CELL("contenu",$AC$2))))</f>
        <v>15.833333333333332</v>
      </c>
      <c r="W25" s="29" t="str">
        <f ca="1">CELL("contenu",INDIRECT(ADDRESS(ref!$K$8,ref!F24,1,,CELL("contenu",$AC$2))))</f>
        <v/>
      </c>
      <c r="X25" s="30" t="str">
        <f ca="1">CELL("contenu",INDIRECT(ADDRESS(ref!$K$8,ref!G24,1,,CELL("contenu",$AC$2))))</f>
        <v/>
      </c>
      <c r="Y25" s="6" t="str">
        <f ca="1">CELL("contenu",INDIRECT(ADDRESS(ref!$K$9,ref!H24,1,,CELL("contenu",$AC$2))))</f>
        <v/>
      </c>
      <c r="Z25" s="3" t="str">
        <f ca="1">CELL("contenu",INDIRECT(ADDRESS(ref!$K$10,ref!H24,1,,CELL("contenu",$AC$2))))</f>
        <v>A</v>
      </c>
      <c r="AA25" s="7" t="str">
        <f ca="1">CELL("contenu",INDIRECT(ADDRESS(ref!$K$11,ref!H24,1,,CELL("contenu",$AC$2))))</f>
        <v>C</v>
      </c>
    </row>
    <row r="26" spans="1:27" x14ac:dyDescent="0.25">
      <c r="A26" s="44" t="str">
        <f t="shared" ca="1" si="0"/>
        <v>RIBOULEAU Juliette</v>
      </c>
      <c r="B26" s="1" t="str">
        <f ca="1">CELL("contenu",INDIRECT(ADDRESS(ref!$K$3,ref!E25,1,,CELL("contenu",$AC$2))))</f>
        <v/>
      </c>
      <c r="C26" s="2" t="str">
        <f ca="1">CELL("contenu",INDIRECT(ADDRESS(ref!$K$3,ref!F25,1,,CELL("contenu",$AC$2))))</f>
        <v/>
      </c>
      <c r="D26" s="3" t="str">
        <f ca="1">CELL("contenu",INDIRECT(ADDRESS(ref!$K$3,ref!G25,1,,CELL("contenu",$AC$2))))</f>
        <v/>
      </c>
      <c r="E26" s="4" t="str">
        <f ca="1">CELL("contenu",INDIRECT(ADDRESS(ref!$K$3,ref!H25,1,,CELL("contenu",$AC$2))))</f>
        <v/>
      </c>
      <c r="F26" s="5" t="str">
        <f ca="1">CELL("contenu",INDIRECT(ADDRESS(ref!$K$4,ref!E25,1,,CELL("contenu",$AC$2))))</f>
        <v/>
      </c>
      <c r="G26" s="2" t="str">
        <f ca="1">CELL("contenu",INDIRECT(ADDRESS(ref!$K$4,ref!F25,1,,CELL("contenu",$AC$2))))</f>
        <v/>
      </c>
      <c r="H26" s="3" t="str">
        <f ca="1">CELL("contenu",INDIRECT(ADDRESS(ref!$K$4,ref!G25,1,,CELL("contenu",$AC$2))))</f>
        <v/>
      </c>
      <c r="I26" s="4" t="str">
        <f ca="1">CELL("contenu",INDIRECT(ADDRESS(ref!$K$4,ref!H25,1,,CELL("contenu",$AC$2))))</f>
        <v/>
      </c>
      <c r="J26" s="5" t="str">
        <f ca="1">CELL("contenu",INDIRECT(ADDRESS(ref!$K$5,ref!E25,1,,CELL("contenu",$AC$2))))</f>
        <v>A</v>
      </c>
      <c r="K26" s="2" t="str">
        <f ca="1">CELL("contenu",INDIRECT(ADDRESS(ref!$K$5,ref!F25,1,,CELL("contenu",$AC$2))))</f>
        <v/>
      </c>
      <c r="L26" s="3" t="str">
        <f ca="1">CELL("contenu",INDIRECT(ADDRESS(ref!$K$5,ref!G25,1,,CELL("contenu",$AC$2))))</f>
        <v/>
      </c>
      <c r="M26" s="4" t="str">
        <f ca="1">CELL("contenu",INDIRECT(ADDRESS(ref!$K$5,ref!H25,1,,CELL("contenu",$AC$2))))</f>
        <v>A</v>
      </c>
      <c r="N26" s="5" t="str">
        <f ca="1">CELL("contenu",INDIRECT(ADDRESS(ref!$K$6,ref!E25,1,,CELL("contenu",$AC$2))))</f>
        <v>A</v>
      </c>
      <c r="O26" s="2" t="str">
        <f ca="1">CELL("contenu",INDIRECT(ADDRESS(ref!$K$6,ref!F25,1,,CELL("contenu",$AC$2))))</f>
        <v/>
      </c>
      <c r="P26" s="3" t="str">
        <f ca="1">CELL("contenu",INDIRECT(ADDRESS(ref!$K$6,ref!G25,1,,CELL("contenu",$AC$2))))</f>
        <v/>
      </c>
      <c r="Q26" s="4" t="str">
        <f ca="1">CELL("contenu",INDIRECT(ADDRESS(ref!$K$6,ref!H25,1,,CELL("contenu",$AC$2))))</f>
        <v>A</v>
      </c>
      <c r="R26" s="5" t="str">
        <f ca="1">CELL("contenu",INDIRECT(ADDRESS(ref!$K$7,ref!E25,1,,CELL("contenu",$AC$2))))</f>
        <v/>
      </c>
      <c r="S26" s="2" t="str">
        <f ca="1">CELL("contenu",INDIRECT(ADDRESS(ref!$K$7,ref!F25,1,,CELL("contenu",$AC$2))))</f>
        <v/>
      </c>
      <c r="T26" s="3" t="str">
        <f ca="1">CELL("contenu",INDIRECT(ADDRESS(ref!$K$7,ref!G25,1,,CELL("contenu",$AC$2))))</f>
        <v/>
      </c>
      <c r="U26" s="4" t="str">
        <f ca="1">CELL("contenu",INDIRECT(ADDRESS(ref!$K$7,ref!H25,1,,CELL("contenu",$AC$2))))</f>
        <v/>
      </c>
      <c r="V26" s="28">
        <f ca="1">CELL("contenu",INDIRECT(ADDRESS(ref!$K$8,ref!E25,1,,CELL("contenu",$AC$2))))</f>
        <v>20</v>
      </c>
      <c r="W26" s="29" t="str">
        <f ca="1">CELL("contenu",INDIRECT(ADDRESS(ref!$K$8,ref!F25,1,,CELL("contenu",$AC$2))))</f>
        <v/>
      </c>
      <c r="X26" s="30" t="str">
        <f ca="1">CELL("contenu",INDIRECT(ADDRESS(ref!$K$8,ref!G25,1,,CELL("contenu",$AC$2))))</f>
        <v/>
      </c>
      <c r="Y26" s="6" t="str">
        <f ca="1">CELL("contenu",INDIRECT(ADDRESS(ref!$K$9,ref!H25,1,,CELL("contenu",$AC$2))))</f>
        <v/>
      </c>
      <c r="Z26" s="3" t="str">
        <f ca="1">CELL("contenu",INDIRECT(ADDRESS(ref!$K$10,ref!H25,1,,CELL("contenu",$AC$2))))</f>
        <v>A</v>
      </c>
      <c r="AA26" s="7" t="str">
        <f ca="1">CELL("contenu",INDIRECT(ADDRESS(ref!$K$11,ref!H25,1,,CELL("contenu",$AC$2))))</f>
        <v>A</v>
      </c>
    </row>
    <row r="27" spans="1:27" x14ac:dyDescent="0.25">
      <c r="A27" s="44" t="str">
        <f t="shared" ca="1" si="0"/>
        <v>SAMUZEAU--LARDANT Jules</v>
      </c>
      <c r="B27" s="1" t="str">
        <f ca="1">CELL("contenu",INDIRECT(ADDRESS(ref!$K$3,ref!E26,1,,CELL("contenu",$AC$2))))</f>
        <v/>
      </c>
      <c r="C27" s="2" t="str">
        <f ca="1">CELL("contenu",INDIRECT(ADDRESS(ref!$K$3,ref!F26,1,,CELL("contenu",$AC$2))))</f>
        <v/>
      </c>
      <c r="D27" s="3" t="str">
        <f ca="1">CELL("contenu",INDIRECT(ADDRESS(ref!$K$3,ref!G26,1,,CELL("contenu",$AC$2))))</f>
        <v/>
      </c>
      <c r="E27" s="4" t="str">
        <f ca="1">CELL("contenu",INDIRECT(ADDRESS(ref!$K$3,ref!H26,1,,CELL("contenu",$AC$2))))</f>
        <v/>
      </c>
      <c r="F27" s="5" t="str">
        <f ca="1">CELL("contenu",INDIRECT(ADDRESS(ref!$K$4,ref!E26,1,,CELL("contenu",$AC$2))))</f>
        <v/>
      </c>
      <c r="G27" s="2" t="str">
        <f ca="1">CELL("contenu",INDIRECT(ADDRESS(ref!$K$4,ref!F26,1,,CELL("contenu",$AC$2))))</f>
        <v/>
      </c>
      <c r="H27" s="3" t="str">
        <f ca="1">CELL("contenu",INDIRECT(ADDRESS(ref!$K$4,ref!G26,1,,CELL("contenu",$AC$2))))</f>
        <v/>
      </c>
      <c r="I27" s="4" t="str">
        <f ca="1">CELL("contenu",INDIRECT(ADDRESS(ref!$K$4,ref!H26,1,,CELL("contenu",$AC$2))))</f>
        <v/>
      </c>
      <c r="J27" s="5" t="str">
        <f ca="1">CELL("contenu",INDIRECT(ADDRESS(ref!$K$5,ref!E26,1,,CELL("contenu",$AC$2))))</f>
        <v/>
      </c>
      <c r="K27" s="2" t="str">
        <f ca="1">CELL("contenu",INDIRECT(ADDRESS(ref!$K$5,ref!F26,1,,CELL("contenu",$AC$2))))</f>
        <v/>
      </c>
      <c r="L27" s="3" t="str">
        <f ca="1">CELL("contenu",INDIRECT(ADDRESS(ref!$K$5,ref!G26,1,,CELL("contenu",$AC$2))))</f>
        <v/>
      </c>
      <c r="M27" s="4" t="str">
        <f ca="1">CELL("contenu",INDIRECT(ADDRESS(ref!$K$5,ref!H26,1,,CELL("contenu",$AC$2))))</f>
        <v/>
      </c>
      <c r="N27" s="5" t="str">
        <f ca="1">CELL("contenu",INDIRECT(ADDRESS(ref!$K$6,ref!E26,1,,CELL("contenu",$AC$2))))</f>
        <v/>
      </c>
      <c r="O27" s="2" t="str">
        <f ca="1">CELL("contenu",INDIRECT(ADDRESS(ref!$K$6,ref!F26,1,,CELL("contenu",$AC$2))))</f>
        <v/>
      </c>
      <c r="P27" s="3" t="str">
        <f ca="1">CELL("contenu",INDIRECT(ADDRESS(ref!$K$6,ref!G26,1,,CELL("contenu",$AC$2))))</f>
        <v/>
      </c>
      <c r="Q27" s="4" t="str">
        <f ca="1">CELL("contenu",INDIRECT(ADDRESS(ref!$K$6,ref!H26,1,,CELL("contenu",$AC$2))))</f>
        <v/>
      </c>
      <c r="R27" s="5" t="str">
        <f ca="1">CELL("contenu",INDIRECT(ADDRESS(ref!$K$7,ref!E26,1,,CELL("contenu",$AC$2))))</f>
        <v/>
      </c>
      <c r="S27" s="2" t="str">
        <f ca="1">CELL("contenu",INDIRECT(ADDRESS(ref!$K$7,ref!F26,1,,CELL("contenu",$AC$2))))</f>
        <v/>
      </c>
      <c r="T27" s="3" t="str">
        <f ca="1">CELL("contenu",INDIRECT(ADDRESS(ref!$K$7,ref!G26,1,,CELL("contenu",$AC$2))))</f>
        <v/>
      </c>
      <c r="U27" s="4" t="str">
        <f ca="1">CELL("contenu",INDIRECT(ADDRESS(ref!$K$7,ref!H26,1,,CELL("contenu",$AC$2))))</f>
        <v/>
      </c>
      <c r="V27" s="28" t="str">
        <f ca="1">CELL("contenu",INDIRECT(ADDRESS(ref!$K$8,ref!E26,1,,CELL("contenu",$AC$2))))</f>
        <v/>
      </c>
      <c r="W27" s="29" t="str">
        <f ca="1">CELL("contenu",INDIRECT(ADDRESS(ref!$K$8,ref!F26,1,,CELL("contenu",$AC$2))))</f>
        <v/>
      </c>
      <c r="X27" s="30" t="str">
        <f ca="1">CELL("contenu",INDIRECT(ADDRESS(ref!$K$8,ref!G26,1,,CELL("contenu",$AC$2))))</f>
        <v/>
      </c>
      <c r="Y27" s="6" t="str">
        <f ca="1">CELL("contenu",INDIRECT(ADDRESS(ref!$K$9,ref!H26,1,,CELL("contenu",$AC$2))))</f>
        <v/>
      </c>
      <c r="Z27" s="3" t="str">
        <f ca="1">CELL("contenu",INDIRECT(ADDRESS(ref!$K$10,ref!H26,1,,CELL("contenu",$AC$2))))</f>
        <v/>
      </c>
      <c r="AA27" s="7" t="str">
        <f ca="1">CELL("contenu",INDIRECT(ADDRESS(ref!$K$11,ref!H26,1,,CELL("contenu",$AC$2))))</f>
        <v/>
      </c>
    </row>
    <row r="28" spans="1:27" x14ac:dyDescent="0.25">
      <c r="A28" s="44" t="str">
        <f t="shared" ca="1" si="0"/>
        <v>SERIZAY Pierre</v>
      </c>
      <c r="B28" s="1" t="str">
        <f ca="1">CELL("contenu",INDIRECT(ADDRESS(ref!$K$3,ref!E27,1,,CELL("contenu",$AC$2))))</f>
        <v/>
      </c>
      <c r="C28" s="2" t="str">
        <f ca="1">CELL("contenu",INDIRECT(ADDRESS(ref!$K$3,ref!F27,1,,CELL("contenu",$AC$2))))</f>
        <v/>
      </c>
      <c r="D28" s="3" t="str">
        <f ca="1">CELL("contenu",INDIRECT(ADDRESS(ref!$K$3,ref!G27,1,,CELL("contenu",$AC$2))))</f>
        <v/>
      </c>
      <c r="E28" s="4" t="str">
        <f ca="1">CELL("contenu",INDIRECT(ADDRESS(ref!$K$3,ref!H27,1,,CELL("contenu",$AC$2))))</f>
        <v/>
      </c>
      <c r="F28" s="5" t="str">
        <f ca="1">CELL("contenu",INDIRECT(ADDRESS(ref!$K$4,ref!E27,1,,CELL("contenu",$AC$2))))</f>
        <v>B</v>
      </c>
      <c r="G28" s="2" t="str">
        <f ca="1">CELL("contenu",INDIRECT(ADDRESS(ref!$K$4,ref!F27,1,,CELL("contenu",$AC$2))))</f>
        <v/>
      </c>
      <c r="H28" s="3" t="str">
        <f ca="1">CELL("contenu",INDIRECT(ADDRESS(ref!$K$4,ref!G27,1,,CELL("contenu",$AC$2))))</f>
        <v/>
      </c>
      <c r="I28" s="4" t="str">
        <f ca="1">CELL("contenu",INDIRECT(ADDRESS(ref!$K$4,ref!H27,1,,CELL("contenu",$AC$2))))</f>
        <v>B</v>
      </c>
      <c r="J28" s="5" t="str">
        <f ca="1">CELL("contenu",INDIRECT(ADDRESS(ref!$K$5,ref!E27,1,,CELL("contenu",$AC$2))))</f>
        <v>A</v>
      </c>
      <c r="K28" s="2" t="str">
        <f ca="1">CELL("contenu",INDIRECT(ADDRESS(ref!$K$5,ref!F27,1,,CELL("contenu",$AC$2))))</f>
        <v/>
      </c>
      <c r="L28" s="3" t="str">
        <f ca="1">CELL("contenu",INDIRECT(ADDRESS(ref!$K$5,ref!G27,1,,CELL("contenu",$AC$2))))</f>
        <v/>
      </c>
      <c r="M28" s="4" t="str">
        <f ca="1">CELL("contenu",INDIRECT(ADDRESS(ref!$K$5,ref!H27,1,,CELL("contenu",$AC$2))))</f>
        <v>A</v>
      </c>
      <c r="N28" s="5" t="str">
        <f ca="1">CELL("contenu",INDIRECT(ADDRESS(ref!$K$6,ref!E27,1,,CELL("contenu",$AC$2))))</f>
        <v>B</v>
      </c>
      <c r="O28" s="2" t="str">
        <f ca="1">CELL("contenu",INDIRECT(ADDRESS(ref!$K$6,ref!F27,1,,CELL("contenu",$AC$2))))</f>
        <v/>
      </c>
      <c r="P28" s="3" t="str">
        <f ca="1">CELL("contenu",INDIRECT(ADDRESS(ref!$K$6,ref!G27,1,,CELL("contenu",$AC$2))))</f>
        <v/>
      </c>
      <c r="Q28" s="4" t="str">
        <f ca="1">CELL("contenu",INDIRECT(ADDRESS(ref!$K$6,ref!H27,1,,CELL("contenu",$AC$2))))</f>
        <v>B</v>
      </c>
      <c r="R28" s="5" t="str">
        <f ca="1">CELL("contenu",INDIRECT(ADDRESS(ref!$K$7,ref!E27,1,,CELL("contenu",$AC$2))))</f>
        <v>A</v>
      </c>
      <c r="S28" s="2" t="str">
        <f ca="1">CELL("contenu",INDIRECT(ADDRESS(ref!$K$7,ref!F27,1,,CELL("contenu",$AC$2))))</f>
        <v/>
      </c>
      <c r="T28" s="3" t="str">
        <f ca="1">CELL("contenu",INDIRECT(ADDRESS(ref!$K$7,ref!G27,1,,CELL("contenu",$AC$2))))</f>
        <v/>
      </c>
      <c r="U28" s="4" t="str">
        <f ca="1">CELL("contenu",INDIRECT(ADDRESS(ref!$K$7,ref!H27,1,,CELL("contenu",$AC$2))))</f>
        <v>A</v>
      </c>
      <c r="V28" s="28">
        <f ca="1">CELL("contenu",INDIRECT(ADDRESS(ref!$K$8,ref!E27,1,,CELL("contenu",$AC$2))))</f>
        <v>17.5</v>
      </c>
      <c r="W28" s="29" t="str">
        <f ca="1">CELL("contenu",INDIRECT(ADDRESS(ref!$K$8,ref!F27,1,,CELL("contenu",$AC$2))))</f>
        <v/>
      </c>
      <c r="X28" s="30" t="str">
        <f ca="1">CELL("contenu",INDIRECT(ADDRESS(ref!$K$8,ref!G27,1,,CELL("contenu",$AC$2))))</f>
        <v/>
      </c>
      <c r="Y28" s="6" t="str">
        <f ca="1">CELL("contenu",INDIRECT(ADDRESS(ref!$K$9,ref!H27,1,,CELL("contenu",$AC$2))))</f>
        <v/>
      </c>
      <c r="Z28" s="3" t="str">
        <f ca="1">CELL("contenu",INDIRECT(ADDRESS(ref!$K$10,ref!H27,1,,CELL("contenu",$AC$2))))</f>
        <v>A</v>
      </c>
      <c r="AA28" s="7" t="str">
        <f ca="1">CELL("contenu",INDIRECT(ADDRESS(ref!$K$11,ref!H27,1,,CELL("contenu",$AC$2))))</f>
        <v>B</v>
      </c>
    </row>
    <row r="29" spans="1:27" x14ac:dyDescent="0.25">
      <c r="A29" s="44" t="str">
        <f t="shared" ca="1" si="0"/>
        <v>THIBAUD Alexandre</v>
      </c>
      <c r="B29" s="1" t="str">
        <f ca="1">CELL("contenu",INDIRECT(ADDRESS(ref!$K$3,ref!E28,1,,CELL("contenu",$AC$2))))</f>
        <v/>
      </c>
      <c r="C29" s="2" t="str">
        <f ca="1">CELL("contenu",INDIRECT(ADDRESS(ref!$K$3,ref!F28,1,,CELL("contenu",$AC$2))))</f>
        <v/>
      </c>
      <c r="D29" s="3" t="str">
        <f ca="1">CELL("contenu",INDIRECT(ADDRESS(ref!$K$3,ref!G28,1,,CELL("contenu",$AC$2))))</f>
        <v/>
      </c>
      <c r="E29" s="4" t="str">
        <f ca="1">CELL("contenu",INDIRECT(ADDRESS(ref!$K$3,ref!H28,1,,CELL("contenu",$AC$2))))</f>
        <v/>
      </c>
      <c r="F29" s="5" t="str">
        <f ca="1">CELL("contenu",INDIRECT(ADDRESS(ref!$K$4,ref!E28,1,,CELL("contenu",$AC$2))))</f>
        <v/>
      </c>
      <c r="G29" s="2" t="str">
        <f ca="1">CELL("contenu",INDIRECT(ADDRESS(ref!$K$4,ref!F28,1,,CELL("contenu",$AC$2))))</f>
        <v/>
      </c>
      <c r="H29" s="3" t="str">
        <f ca="1">CELL("contenu",INDIRECT(ADDRESS(ref!$K$4,ref!G28,1,,CELL("contenu",$AC$2))))</f>
        <v/>
      </c>
      <c r="I29" s="4" t="str">
        <f ca="1">CELL("contenu",INDIRECT(ADDRESS(ref!$K$4,ref!H28,1,,CELL("contenu",$AC$2))))</f>
        <v/>
      </c>
      <c r="J29" s="5" t="str">
        <f ca="1">CELL("contenu",INDIRECT(ADDRESS(ref!$K$5,ref!E28,1,,CELL("contenu",$AC$2))))</f>
        <v>B</v>
      </c>
      <c r="K29" s="2" t="str">
        <f ca="1">CELL("contenu",INDIRECT(ADDRESS(ref!$K$5,ref!F28,1,,CELL("contenu",$AC$2))))</f>
        <v/>
      </c>
      <c r="L29" s="3" t="str">
        <f ca="1">CELL("contenu",INDIRECT(ADDRESS(ref!$K$5,ref!G28,1,,CELL("contenu",$AC$2))))</f>
        <v/>
      </c>
      <c r="M29" s="4" t="str">
        <f ca="1">CELL("contenu",INDIRECT(ADDRESS(ref!$K$5,ref!H28,1,,CELL("contenu",$AC$2))))</f>
        <v>B</v>
      </c>
      <c r="N29" s="5" t="str">
        <f ca="1">CELL("contenu",INDIRECT(ADDRESS(ref!$K$6,ref!E28,1,,CELL("contenu",$AC$2))))</f>
        <v>C</v>
      </c>
      <c r="O29" s="2" t="str">
        <f ca="1">CELL("contenu",INDIRECT(ADDRESS(ref!$K$6,ref!F28,1,,CELL("contenu",$AC$2))))</f>
        <v/>
      </c>
      <c r="P29" s="3" t="str">
        <f ca="1">CELL("contenu",INDIRECT(ADDRESS(ref!$K$6,ref!G28,1,,CELL("contenu",$AC$2))))</f>
        <v/>
      </c>
      <c r="Q29" s="4" t="str">
        <f ca="1">CELL("contenu",INDIRECT(ADDRESS(ref!$K$6,ref!H28,1,,CELL("contenu",$AC$2))))</f>
        <v>C</v>
      </c>
      <c r="R29" s="5" t="str">
        <f ca="1">CELL("contenu",INDIRECT(ADDRESS(ref!$K$7,ref!E28,1,,CELL("contenu",$AC$2))))</f>
        <v/>
      </c>
      <c r="S29" s="2" t="str">
        <f ca="1">CELL("contenu",INDIRECT(ADDRESS(ref!$K$7,ref!F28,1,,CELL("contenu",$AC$2))))</f>
        <v/>
      </c>
      <c r="T29" s="3" t="str">
        <f ca="1">CELL("contenu",INDIRECT(ADDRESS(ref!$K$7,ref!G28,1,,CELL("contenu",$AC$2))))</f>
        <v/>
      </c>
      <c r="U29" s="4" t="str">
        <f ca="1">CELL("contenu",INDIRECT(ADDRESS(ref!$K$7,ref!H28,1,,CELL("contenu",$AC$2))))</f>
        <v/>
      </c>
      <c r="V29" s="28">
        <f ca="1">CELL("contenu",INDIRECT(ADDRESS(ref!$K$8,ref!E28,1,,CELL("contenu",$AC$2))))</f>
        <v>11.666666666666666</v>
      </c>
      <c r="W29" s="29" t="str">
        <f ca="1">CELL("contenu",INDIRECT(ADDRESS(ref!$K$8,ref!F28,1,,CELL("contenu",$AC$2))))</f>
        <v/>
      </c>
      <c r="X29" s="30" t="str">
        <f ca="1">CELL("contenu",INDIRECT(ADDRESS(ref!$K$8,ref!G28,1,,CELL("contenu",$AC$2))))</f>
        <v/>
      </c>
      <c r="Y29" s="6" t="str">
        <f ca="1">CELL("contenu",INDIRECT(ADDRESS(ref!$K$9,ref!H28,1,,CELL("contenu",$AC$2))))</f>
        <v/>
      </c>
      <c r="Z29" s="3" t="str">
        <f ca="1">CELL("contenu",INDIRECT(ADDRESS(ref!$K$10,ref!H28,1,,CELL("contenu",$AC$2))))</f>
        <v>B</v>
      </c>
      <c r="AA29" s="7" t="str">
        <f ca="1">CELL("contenu",INDIRECT(ADDRESS(ref!$K$11,ref!H28,1,,CELL("contenu",$AC$2))))</f>
        <v>C</v>
      </c>
    </row>
    <row r="30" spans="1:27" x14ac:dyDescent="0.25">
      <c r="A30" s="44" t="str">
        <f t="shared" ca="1" si="0"/>
        <v>TOSTIVINT Eliott</v>
      </c>
      <c r="B30" s="1" t="str">
        <f ca="1">CELL("contenu",INDIRECT(ADDRESS(ref!$K$3,ref!E29,1,,CELL("contenu",$AC$2))))</f>
        <v/>
      </c>
      <c r="C30" s="2" t="str">
        <f ca="1">CELL("contenu",INDIRECT(ADDRESS(ref!$K$3,ref!F29,1,,CELL("contenu",$AC$2))))</f>
        <v/>
      </c>
      <c r="D30" s="3" t="str">
        <f ca="1">CELL("contenu",INDIRECT(ADDRESS(ref!$K$3,ref!G29,1,,CELL("contenu",$AC$2))))</f>
        <v/>
      </c>
      <c r="E30" s="4" t="str">
        <f ca="1">CELL("contenu",INDIRECT(ADDRESS(ref!$K$3,ref!H29,1,,CELL("contenu",$AC$2))))</f>
        <v/>
      </c>
      <c r="F30" s="5" t="str">
        <f ca="1">CELL("contenu",INDIRECT(ADDRESS(ref!$K$4,ref!E29,1,,CELL("contenu",$AC$2))))</f>
        <v>A</v>
      </c>
      <c r="G30" s="2" t="str">
        <f ca="1">CELL("contenu",INDIRECT(ADDRESS(ref!$K$4,ref!F29,1,,CELL("contenu",$AC$2))))</f>
        <v/>
      </c>
      <c r="H30" s="3" t="str">
        <f ca="1">CELL("contenu",INDIRECT(ADDRESS(ref!$K$4,ref!G29,1,,CELL("contenu",$AC$2))))</f>
        <v/>
      </c>
      <c r="I30" s="4" t="str">
        <f ca="1">CELL("contenu",INDIRECT(ADDRESS(ref!$K$4,ref!H29,1,,CELL("contenu",$AC$2))))</f>
        <v>A</v>
      </c>
      <c r="J30" s="5" t="str">
        <f ca="1">CELL("contenu",INDIRECT(ADDRESS(ref!$K$5,ref!E29,1,,CELL("contenu",$AC$2))))</f>
        <v>A</v>
      </c>
      <c r="K30" s="2" t="str">
        <f ca="1">CELL("contenu",INDIRECT(ADDRESS(ref!$K$5,ref!F29,1,,CELL("contenu",$AC$2))))</f>
        <v/>
      </c>
      <c r="L30" s="3" t="str">
        <f ca="1">CELL("contenu",INDIRECT(ADDRESS(ref!$K$5,ref!G29,1,,CELL("contenu",$AC$2))))</f>
        <v/>
      </c>
      <c r="M30" s="4" t="str">
        <f ca="1">CELL("contenu",INDIRECT(ADDRESS(ref!$K$5,ref!H29,1,,CELL("contenu",$AC$2))))</f>
        <v>A</v>
      </c>
      <c r="N30" s="5" t="str">
        <f ca="1">CELL("contenu",INDIRECT(ADDRESS(ref!$K$6,ref!E29,1,,CELL("contenu",$AC$2))))</f>
        <v>A</v>
      </c>
      <c r="O30" s="2" t="str">
        <f ca="1">CELL("contenu",INDIRECT(ADDRESS(ref!$K$6,ref!F29,1,,CELL("contenu",$AC$2))))</f>
        <v/>
      </c>
      <c r="P30" s="3" t="str">
        <f ca="1">CELL("contenu",INDIRECT(ADDRESS(ref!$K$6,ref!G29,1,,CELL("contenu",$AC$2))))</f>
        <v/>
      </c>
      <c r="Q30" s="4" t="str">
        <f ca="1">CELL("contenu",INDIRECT(ADDRESS(ref!$K$6,ref!H29,1,,CELL("contenu",$AC$2))))</f>
        <v>A</v>
      </c>
      <c r="R30" s="5" t="str">
        <f ca="1">CELL("contenu",INDIRECT(ADDRESS(ref!$K$7,ref!E29,1,,CELL("contenu",$AC$2))))</f>
        <v>A</v>
      </c>
      <c r="S30" s="2" t="str">
        <f ca="1">CELL("contenu",INDIRECT(ADDRESS(ref!$K$7,ref!F29,1,,CELL("contenu",$AC$2))))</f>
        <v/>
      </c>
      <c r="T30" s="3" t="str">
        <f ca="1">CELL("contenu",INDIRECT(ADDRESS(ref!$K$7,ref!G29,1,,CELL("contenu",$AC$2))))</f>
        <v/>
      </c>
      <c r="U30" s="4" t="str">
        <f ca="1">CELL("contenu",INDIRECT(ADDRESS(ref!$K$7,ref!H29,1,,CELL("contenu",$AC$2))))</f>
        <v>A</v>
      </c>
      <c r="V30" s="28">
        <f ca="1">CELL("contenu",INDIRECT(ADDRESS(ref!$K$8,ref!E29,1,,CELL("contenu",$AC$2))))</f>
        <v>20</v>
      </c>
      <c r="W30" s="29" t="str">
        <f ca="1">CELL("contenu",INDIRECT(ADDRESS(ref!$K$8,ref!F29,1,,CELL("contenu",$AC$2))))</f>
        <v/>
      </c>
      <c r="X30" s="30" t="str">
        <f ca="1">CELL("contenu",INDIRECT(ADDRESS(ref!$K$8,ref!G29,1,,CELL("contenu",$AC$2))))</f>
        <v/>
      </c>
      <c r="Y30" s="6" t="str">
        <f ca="1">CELL("contenu",INDIRECT(ADDRESS(ref!$K$9,ref!H29,1,,CELL("contenu",$AC$2))))</f>
        <v/>
      </c>
      <c r="Z30" s="3" t="str">
        <f ca="1">CELL("contenu",INDIRECT(ADDRESS(ref!$K$10,ref!H29,1,,CELL("contenu",$AC$2))))</f>
        <v>A</v>
      </c>
      <c r="AA30" s="7" t="str">
        <f ca="1">CELL("contenu",INDIRECT(ADDRESS(ref!$K$11,ref!H29,1,,CELL("contenu",$AC$2))))</f>
        <v>A</v>
      </c>
    </row>
    <row r="31" spans="1:27" x14ac:dyDescent="0.25">
      <c r="A31" s="44" t="str">
        <f t="shared" ca="1" si="0"/>
        <v>TOUZE Clemence</v>
      </c>
      <c r="B31" s="1" t="str">
        <f ca="1">CELL("contenu",INDIRECT(ADDRESS(ref!$K$3,ref!E30,1,,CELL("contenu",$AC$2))))</f>
        <v/>
      </c>
      <c r="C31" s="2" t="str">
        <f ca="1">CELL("contenu",INDIRECT(ADDRESS(ref!$K$3,ref!F30,1,,CELL("contenu",$AC$2))))</f>
        <v/>
      </c>
      <c r="D31" s="3" t="str">
        <f ca="1">CELL("contenu",INDIRECT(ADDRESS(ref!$K$3,ref!G30,1,,CELL("contenu",$AC$2))))</f>
        <v/>
      </c>
      <c r="E31" s="4" t="str">
        <f ca="1">CELL("contenu",INDIRECT(ADDRESS(ref!$K$3,ref!H30,1,,CELL("contenu",$AC$2))))</f>
        <v/>
      </c>
      <c r="F31" s="5" t="str">
        <f ca="1">CELL("contenu",INDIRECT(ADDRESS(ref!$K$4,ref!E30,1,,CELL("contenu",$AC$2))))</f>
        <v/>
      </c>
      <c r="G31" s="2" t="str">
        <f ca="1">CELL("contenu",INDIRECT(ADDRESS(ref!$K$4,ref!F30,1,,CELL("contenu",$AC$2))))</f>
        <v/>
      </c>
      <c r="H31" s="3" t="str">
        <f ca="1">CELL("contenu",INDIRECT(ADDRESS(ref!$K$4,ref!G30,1,,CELL("contenu",$AC$2))))</f>
        <v/>
      </c>
      <c r="I31" s="4" t="str">
        <f ca="1">CELL("contenu",INDIRECT(ADDRESS(ref!$K$4,ref!H30,1,,CELL("contenu",$AC$2))))</f>
        <v/>
      </c>
      <c r="J31" s="5" t="str">
        <f ca="1">CELL("contenu",INDIRECT(ADDRESS(ref!$K$5,ref!E30,1,,CELL("contenu",$AC$2))))</f>
        <v>A</v>
      </c>
      <c r="K31" s="2" t="str">
        <f ca="1">CELL("contenu",INDIRECT(ADDRESS(ref!$K$5,ref!F30,1,,CELL("contenu",$AC$2))))</f>
        <v/>
      </c>
      <c r="L31" s="3" t="str">
        <f ca="1">CELL("contenu",INDIRECT(ADDRESS(ref!$K$5,ref!G30,1,,CELL("contenu",$AC$2))))</f>
        <v/>
      </c>
      <c r="M31" s="4" t="str">
        <f ca="1">CELL("contenu",INDIRECT(ADDRESS(ref!$K$5,ref!H30,1,,CELL("contenu",$AC$2))))</f>
        <v>A</v>
      </c>
      <c r="N31" s="5" t="str">
        <f ca="1">CELL("contenu",INDIRECT(ADDRESS(ref!$K$6,ref!E30,1,,CELL("contenu",$AC$2))))</f>
        <v>C</v>
      </c>
      <c r="O31" s="2" t="str">
        <f ca="1">CELL("contenu",INDIRECT(ADDRESS(ref!$K$6,ref!F30,1,,CELL("contenu",$AC$2))))</f>
        <v/>
      </c>
      <c r="P31" s="3" t="str">
        <f ca="1">CELL("contenu",INDIRECT(ADDRESS(ref!$K$6,ref!G30,1,,CELL("contenu",$AC$2))))</f>
        <v/>
      </c>
      <c r="Q31" s="4" t="str">
        <f ca="1">CELL("contenu",INDIRECT(ADDRESS(ref!$K$6,ref!H30,1,,CELL("contenu",$AC$2))))</f>
        <v>C</v>
      </c>
      <c r="R31" s="5" t="str">
        <f ca="1">CELL("contenu",INDIRECT(ADDRESS(ref!$K$7,ref!E30,1,,CELL("contenu",$AC$2))))</f>
        <v/>
      </c>
      <c r="S31" s="2" t="str">
        <f ca="1">CELL("contenu",INDIRECT(ADDRESS(ref!$K$7,ref!F30,1,,CELL("contenu",$AC$2))))</f>
        <v/>
      </c>
      <c r="T31" s="3" t="str">
        <f ca="1">CELL("contenu",INDIRECT(ADDRESS(ref!$K$7,ref!G30,1,,CELL("contenu",$AC$2))))</f>
        <v/>
      </c>
      <c r="U31" s="4" t="str">
        <f ca="1">CELL("contenu",INDIRECT(ADDRESS(ref!$K$7,ref!H30,1,,CELL("contenu",$AC$2))))</f>
        <v/>
      </c>
      <c r="V31" s="28">
        <f ca="1">CELL("contenu",INDIRECT(ADDRESS(ref!$K$8,ref!E30,1,,CELL("contenu",$AC$2))))</f>
        <v>13.333333333333334</v>
      </c>
      <c r="W31" s="29" t="str">
        <f ca="1">CELL("contenu",INDIRECT(ADDRESS(ref!$K$8,ref!F30,1,,CELL("contenu",$AC$2))))</f>
        <v/>
      </c>
      <c r="X31" s="30" t="str">
        <f ca="1">CELL("contenu",INDIRECT(ADDRESS(ref!$K$8,ref!G30,1,,CELL("contenu",$AC$2))))</f>
        <v/>
      </c>
      <c r="Y31" s="6" t="str">
        <f ca="1">CELL("contenu",INDIRECT(ADDRESS(ref!$K$9,ref!H30,1,,CELL("contenu",$AC$2))))</f>
        <v/>
      </c>
      <c r="Z31" s="3" t="str">
        <f ca="1">CELL("contenu",INDIRECT(ADDRESS(ref!$K$10,ref!H30,1,,CELL("contenu",$AC$2))))</f>
        <v>A</v>
      </c>
      <c r="AA31" s="7" t="str">
        <f ca="1">CELL("contenu",INDIRECT(ADDRESS(ref!$K$11,ref!H30,1,,CELL("contenu",$AC$2))))</f>
        <v>C</v>
      </c>
    </row>
    <row r="32" spans="1:27" x14ac:dyDescent="0.25">
      <c r="A32" s="44">
        <f t="shared" ca="1" si="0"/>
        <v>0</v>
      </c>
      <c r="B32" s="1" t="str">
        <f ca="1">CELL("contenu",INDIRECT(ADDRESS(ref!$K$3,ref!E31,1,,CELL("contenu",$AC$2))))</f>
        <v/>
      </c>
      <c r="C32" s="2" t="str">
        <f ca="1">CELL("contenu",INDIRECT(ADDRESS(ref!$K$3,ref!F31,1,,CELL("contenu",$AC$2))))</f>
        <v/>
      </c>
      <c r="D32" s="3" t="str">
        <f ca="1">CELL("contenu",INDIRECT(ADDRESS(ref!$K$3,ref!G31,1,,CELL("contenu",$AC$2))))</f>
        <v/>
      </c>
      <c r="E32" s="4" t="str">
        <f ca="1">CELL("contenu",INDIRECT(ADDRESS(ref!$K$3,ref!H31,1,,CELL("contenu",$AC$2))))</f>
        <v/>
      </c>
      <c r="F32" s="5" t="str">
        <f ca="1">CELL("contenu",INDIRECT(ADDRESS(ref!$K$4,ref!E31,1,,CELL("contenu",$AC$2))))</f>
        <v/>
      </c>
      <c r="G32" s="2" t="str">
        <f ca="1">CELL("contenu",INDIRECT(ADDRESS(ref!$K$4,ref!F31,1,,CELL("contenu",$AC$2))))</f>
        <v/>
      </c>
      <c r="H32" s="3" t="str">
        <f ca="1">CELL("contenu",INDIRECT(ADDRESS(ref!$K$4,ref!G31,1,,CELL("contenu",$AC$2))))</f>
        <v/>
      </c>
      <c r="I32" s="4" t="str">
        <f ca="1">CELL("contenu",INDIRECT(ADDRESS(ref!$K$4,ref!H31,1,,CELL("contenu",$AC$2))))</f>
        <v/>
      </c>
      <c r="J32" s="5" t="str">
        <f ca="1">CELL("contenu",INDIRECT(ADDRESS(ref!$K$5,ref!E31,1,,CELL("contenu",$AC$2))))</f>
        <v/>
      </c>
      <c r="K32" s="2" t="str">
        <f ca="1">CELL("contenu",INDIRECT(ADDRESS(ref!$K$5,ref!F31,1,,CELL("contenu",$AC$2))))</f>
        <v/>
      </c>
      <c r="L32" s="3" t="str">
        <f ca="1">CELL("contenu",INDIRECT(ADDRESS(ref!$K$5,ref!G31,1,,CELL("contenu",$AC$2))))</f>
        <v/>
      </c>
      <c r="M32" s="4" t="str">
        <f ca="1">CELL("contenu",INDIRECT(ADDRESS(ref!$K$5,ref!H31,1,,CELL("contenu",$AC$2))))</f>
        <v/>
      </c>
      <c r="N32" s="5" t="str">
        <f ca="1">CELL("contenu",INDIRECT(ADDRESS(ref!$K$6,ref!E31,1,,CELL("contenu",$AC$2))))</f>
        <v/>
      </c>
      <c r="O32" s="2" t="str">
        <f ca="1">CELL("contenu",INDIRECT(ADDRESS(ref!$K$6,ref!F31,1,,CELL("contenu",$AC$2))))</f>
        <v/>
      </c>
      <c r="P32" s="3" t="str">
        <f ca="1">CELL("contenu",INDIRECT(ADDRESS(ref!$K$6,ref!G31,1,,CELL("contenu",$AC$2))))</f>
        <v/>
      </c>
      <c r="Q32" s="4" t="str">
        <f ca="1">CELL("contenu",INDIRECT(ADDRESS(ref!$K$6,ref!H31,1,,CELL("contenu",$AC$2))))</f>
        <v/>
      </c>
      <c r="R32" s="5" t="str">
        <f ca="1">CELL("contenu",INDIRECT(ADDRESS(ref!$K$7,ref!E31,1,,CELL("contenu",$AC$2))))</f>
        <v/>
      </c>
      <c r="S32" s="2" t="str">
        <f ca="1">CELL("contenu",INDIRECT(ADDRESS(ref!$K$7,ref!F31,1,,CELL("contenu",$AC$2))))</f>
        <v/>
      </c>
      <c r="T32" s="3" t="str">
        <f ca="1">CELL("contenu",INDIRECT(ADDRESS(ref!$K$7,ref!G31,1,,CELL("contenu",$AC$2))))</f>
        <v/>
      </c>
      <c r="U32" s="4" t="str">
        <f ca="1">CELL("contenu",INDIRECT(ADDRESS(ref!$K$7,ref!H31,1,,CELL("contenu",$AC$2))))</f>
        <v/>
      </c>
      <c r="V32" s="28" t="str">
        <f ca="1">CELL("contenu",INDIRECT(ADDRESS(ref!$K$8,ref!E31,1,,CELL("contenu",$AC$2))))</f>
        <v/>
      </c>
      <c r="W32" s="29" t="str">
        <f ca="1">CELL("contenu",INDIRECT(ADDRESS(ref!$K$8,ref!F31,1,,CELL("contenu",$AC$2))))</f>
        <v/>
      </c>
      <c r="X32" s="30" t="str">
        <f ca="1">CELL("contenu",INDIRECT(ADDRESS(ref!$K$8,ref!G31,1,,CELL("contenu",$AC$2))))</f>
        <v/>
      </c>
      <c r="Y32" s="6" t="str">
        <f ca="1">CELL("contenu",INDIRECT(ADDRESS(ref!$K$9,ref!H31,1,,CELL("contenu",$AC$2))))</f>
        <v/>
      </c>
      <c r="Z32" s="3" t="str">
        <f ca="1">CELL("contenu",INDIRECT(ADDRESS(ref!$K$10,ref!H31,1,,CELL("contenu",$AC$2))))</f>
        <v/>
      </c>
      <c r="AA32" s="7" t="str">
        <f ca="1">CELL("contenu",INDIRECT(ADDRESS(ref!$K$11,ref!H31,1,,CELL("contenu",$AC$2))))</f>
        <v/>
      </c>
    </row>
    <row r="33" spans="1:27" ht="15.75" thickBot="1" x14ac:dyDescent="0.3">
      <c r="A33" s="44">
        <f t="shared" ca="1" si="0"/>
        <v>0</v>
      </c>
      <c r="B33" s="15" t="str">
        <f ca="1">CELL("contenu",INDIRECT(ADDRESS(ref!$K$3,ref!E32,1,,CELL("contenu",$AC$2))))</f>
        <v/>
      </c>
      <c r="C33" s="8" t="str">
        <f ca="1">CELL("contenu",INDIRECT(ADDRESS(ref!$K$3,ref!F32,1,,CELL("contenu",$AC$2))))</f>
        <v/>
      </c>
      <c r="D33" s="9" t="str">
        <f ca="1">CELL("contenu",INDIRECT(ADDRESS(ref!$K$3,ref!G32,1,,CELL("contenu",$AC$2))))</f>
        <v/>
      </c>
      <c r="E33" s="10" t="str">
        <f ca="1">CELL("contenu",INDIRECT(ADDRESS(ref!$K$3,ref!H32,1,,CELL("contenu",$AC$2))))</f>
        <v/>
      </c>
      <c r="F33" s="11" t="str">
        <f ca="1">CELL("contenu",INDIRECT(ADDRESS(ref!$K$4,ref!E32,1,,CELL("contenu",$AC$2))))</f>
        <v/>
      </c>
      <c r="G33" s="8" t="str">
        <f ca="1">CELL("contenu",INDIRECT(ADDRESS(ref!$K$4,ref!F32,1,,CELL("contenu",$AC$2))))</f>
        <v/>
      </c>
      <c r="H33" s="9" t="str">
        <f ca="1">CELL("contenu",INDIRECT(ADDRESS(ref!$K$4,ref!G32,1,,CELL("contenu",$AC$2))))</f>
        <v/>
      </c>
      <c r="I33" s="10" t="str">
        <f ca="1">CELL("contenu",INDIRECT(ADDRESS(ref!$K$4,ref!H32,1,,CELL("contenu",$AC$2))))</f>
        <v/>
      </c>
      <c r="J33" s="11" t="str">
        <f ca="1">CELL("contenu",INDIRECT(ADDRESS(ref!$K$5,ref!E32,1,,CELL("contenu",$AC$2))))</f>
        <v/>
      </c>
      <c r="K33" s="8" t="str">
        <f ca="1">CELL("contenu",INDIRECT(ADDRESS(ref!$K$5,ref!F32,1,,CELL("contenu",$AC$2))))</f>
        <v/>
      </c>
      <c r="L33" s="9" t="str">
        <f ca="1">CELL("contenu",INDIRECT(ADDRESS(ref!$K$5,ref!G32,1,,CELL("contenu",$AC$2))))</f>
        <v/>
      </c>
      <c r="M33" s="10" t="str">
        <f ca="1">CELL("contenu",INDIRECT(ADDRESS(ref!$K$5,ref!H32,1,,CELL("contenu",$AC$2))))</f>
        <v/>
      </c>
      <c r="N33" s="11" t="str">
        <f ca="1">CELL("contenu",INDIRECT(ADDRESS(ref!$K$6,ref!E32,1,,CELL("contenu",$AC$2))))</f>
        <v/>
      </c>
      <c r="O33" s="8" t="str">
        <f ca="1">CELL("contenu",INDIRECT(ADDRESS(ref!$K$6,ref!F32,1,,CELL("contenu",$AC$2))))</f>
        <v/>
      </c>
      <c r="P33" s="9" t="str">
        <f ca="1">CELL("contenu",INDIRECT(ADDRESS(ref!$K$6,ref!G32,1,,CELL("contenu",$AC$2))))</f>
        <v/>
      </c>
      <c r="Q33" s="10" t="str">
        <f ca="1">CELL("contenu",INDIRECT(ADDRESS(ref!$K$6,ref!H32,1,,CELL("contenu",$AC$2))))</f>
        <v/>
      </c>
      <c r="R33" s="11" t="str">
        <f ca="1">CELL("contenu",INDIRECT(ADDRESS(ref!$K$7,ref!E32,1,,CELL("contenu",$AC$2))))</f>
        <v/>
      </c>
      <c r="S33" s="8" t="str">
        <f ca="1">CELL("contenu",INDIRECT(ADDRESS(ref!$K$7,ref!F32,1,,CELL("contenu",$AC$2))))</f>
        <v/>
      </c>
      <c r="T33" s="9" t="str">
        <f ca="1">CELL("contenu",INDIRECT(ADDRESS(ref!$K$7,ref!G32,1,,CELL("contenu",$AC$2))))</f>
        <v/>
      </c>
      <c r="U33" s="10" t="str">
        <f ca="1">CELL("contenu",INDIRECT(ADDRESS(ref!$K$7,ref!H32,1,,CELL("contenu",$AC$2))))</f>
        <v/>
      </c>
      <c r="V33" s="31" t="str">
        <f ca="1">CELL("contenu",INDIRECT(ADDRESS(ref!$K$8,ref!E32,1,,CELL("contenu",$AC$2))))</f>
        <v/>
      </c>
      <c r="W33" s="32" t="str">
        <f ca="1">CELL("contenu",INDIRECT(ADDRESS(ref!$K$8,ref!F32,1,,CELL("contenu",$AC$2))))</f>
        <v/>
      </c>
      <c r="X33" s="33" t="str">
        <f ca="1">CELL("contenu",INDIRECT(ADDRESS(ref!$K$8,ref!G32,1,,CELL("contenu",$AC$2))))</f>
        <v/>
      </c>
      <c r="Y33" s="12" t="str">
        <f ca="1">CELL("contenu",INDIRECT(ADDRESS(ref!$K$9,ref!H32,1,,CELL("contenu",$AC$2))))</f>
        <v/>
      </c>
      <c r="Z33" s="9" t="str">
        <f ca="1">CELL("contenu",INDIRECT(ADDRESS(ref!$K$10,ref!H32,1,,CELL("contenu",$AC$2))))</f>
        <v/>
      </c>
      <c r="AA33" s="13" t="str">
        <f ca="1">CELL("contenu",INDIRECT(ADDRESS(ref!$K$11,ref!H32,1,,CELL("contenu",$AC$2))))</f>
        <v/>
      </c>
    </row>
  </sheetData>
  <sheetProtection algorithmName="SHA-512" hashValue="tkei5OaXrPIKBxMWM7WeTYvamaz9seJ42dX1r+lwM+15M4bE+cwBcS8DE6h/v5yKPJZv6T9DfeEBjx+qHvZZrA==" saltValue="IGcbjv7JwpsOeeWXqITQCw==" spinCount="100000" sheet="1" selectLockedCells="1" selectUn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4"/>
  <dimension ref="A1:SR25"/>
  <sheetViews>
    <sheetView zoomScale="60" zoomScaleNormal="70" workbookViewId="0">
      <pane xSplit="2" topLeftCell="PL1" activePane="topRight" state="frozen"/>
      <selection activeCell="Y3" sqref="Y3:AA3"/>
      <selection pane="topRight" activeCell="QU16" sqref="QU16"/>
    </sheetView>
  </sheetViews>
  <sheetFormatPr baseColWidth="10" defaultColWidth="5.7109375" defaultRowHeight="15" x14ac:dyDescent="0.25"/>
  <cols>
    <col min="1" max="1" width="17.7109375" style="98" customWidth="1"/>
    <col min="2" max="2" width="13.7109375" style="98" customWidth="1"/>
    <col min="3" max="5" width="4.7109375" style="202" customWidth="1"/>
    <col min="6" max="6" width="4.7109375" style="117" customWidth="1"/>
    <col min="7" max="7" width="8.7109375" style="118" customWidth="1"/>
    <col min="8" max="10" width="4.7109375" style="97" customWidth="1"/>
    <col min="11" max="11" width="4.7109375" style="118" customWidth="1"/>
    <col min="12" max="12" width="8.7109375" style="118" customWidth="1"/>
    <col min="13" max="15" width="4.7109375" style="97" customWidth="1"/>
    <col min="16" max="16" width="4.7109375" style="118" customWidth="1"/>
    <col min="17" max="17" width="8.7109375" style="118" customWidth="1"/>
    <col min="18" max="18" width="4.7109375" style="118" customWidth="1"/>
    <col min="19" max="19" width="8.7109375" style="118" customWidth="1"/>
    <col min="20" max="23" width="4.7109375" style="117" customWidth="1"/>
    <col min="24" max="24" width="8.7109375" style="118" customWidth="1"/>
    <col min="25" max="27" width="4.7109375" style="97" customWidth="1"/>
    <col min="28" max="28" width="4.7109375" style="118" customWidth="1"/>
    <col min="29" max="29" width="8.7109375" style="118" customWidth="1"/>
    <col min="30" max="32" width="4.7109375" style="97" customWidth="1"/>
    <col min="33" max="33" width="4.7109375" style="118" customWidth="1"/>
    <col min="34" max="34" width="8.7109375" style="118" customWidth="1"/>
    <col min="35" max="35" width="4.7109375" style="118" customWidth="1"/>
    <col min="36" max="36" width="8.7109375" style="118" customWidth="1"/>
    <col min="37" max="40" width="4.7109375" style="117" customWidth="1"/>
    <col min="41" max="41" width="8.7109375" style="118" customWidth="1"/>
    <col min="42" max="44" width="4.7109375" style="97" customWidth="1"/>
    <col min="45" max="45" width="4.7109375" style="118" customWidth="1"/>
    <col min="46" max="46" width="8.7109375" style="118" customWidth="1"/>
    <col min="47" max="49" width="4.7109375" style="97" customWidth="1"/>
    <col min="50" max="50" width="4.7109375" style="118" customWidth="1"/>
    <col min="51" max="51" width="8.7109375" style="118" customWidth="1"/>
    <col min="52" max="52" width="4.7109375" style="118" customWidth="1"/>
    <col min="53" max="53" width="8.7109375" style="118" customWidth="1"/>
    <col min="54" max="57" width="4.7109375" style="117" customWidth="1"/>
    <col min="58" max="58" width="8.7109375" style="118" customWidth="1"/>
    <col min="59" max="61" width="4.7109375" style="97" customWidth="1"/>
    <col min="62" max="62" width="4.7109375" style="118" customWidth="1"/>
    <col min="63" max="63" width="8.7109375" style="118" customWidth="1"/>
    <col min="64" max="66" width="4.7109375" style="97" customWidth="1"/>
    <col min="67" max="67" width="4.7109375" style="118" customWidth="1"/>
    <col min="68" max="68" width="8.7109375" style="118" customWidth="1"/>
    <col min="69" max="69" width="4.7109375" style="118" customWidth="1"/>
    <col min="70" max="70" width="8.7109375" style="118" customWidth="1"/>
    <col min="71" max="74" width="4.7109375" style="117" customWidth="1"/>
    <col min="75" max="75" width="8.7109375" style="118" customWidth="1"/>
    <col min="76" max="78" width="4.7109375" style="97" customWidth="1"/>
    <col min="79" max="79" width="4.7109375" style="118" customWidth="1"/>
    <col min="80" max="80" width="8.7109375" style="118" customWidth="1"/>
    <col min="81" max="83" width="4.7109375" style="97" customWidth="1"/>
    <col min="84" max="84" width="4.7109375" style="118" customWidth="1"/>
    <col min="85" max="85" width="8.7109375" style="118" customWidth="1"/>
    <col min="86" max="86" width="4.7109375" style="118" customWidth="1"/>
    <col min="87" max="87" width="8.7109375" style="118" customWidth="1"/>
    <col min="88" max="91" width="4.7109375" style="117" customWidth="1"/>
    <col min="92" max="92" width="8.7109375" style="118" customWidth="1"/>
    <col min="93" max="95" width="4.7109375" style="97" customWidth="1"/>
    <col min="96" max="96" width="4.7109375" style="118" customWidth="1"/>
    <col min="97" max="97" width="8.7109375" style="118" customWidth="1"/>
    <col min="98" max="100" width="4.7109375" style="97" customWidth="1"/>
    <col min="101" max="101" width="4.7109375" style="118" customWidth="1"/>
    <col min="102" max="102" width="8.7109375" style="118" customWidth="1"/>
    <col min="103" max="103" width="4.7109375" style="118" customWidth="1"/>
    <col min="104" max="104" width="8.7109375" style="118" customWidth="1"/>
    <col min="105" max="108" width="4.7109375" style="117" customWidth="1"/>
    <col min="109" max="109" width="8.7109375" style="118" customWidth="1"/>
    <col min="110" max="112" width="4.7109375" style="97" customWidth="1"/>
    <col min="113" max="113" width="4.7109375" style="118" customWidth="1"/>
    <col min="114" max="114" width="8.7109375" style="118" customWidth="1"/>
    <col min="115" max="117" width="4.7109375" style="97" customWidth="1"/>
    <col min="118" max="118" width="4.7109375" style="118" customWidth="1"/>
    <col min="119" max="119" width="8.7109375" style="118" customWidth="1"/>
    <col min="120" max="120" width="4.7109375" style="118" customWidth="1"/>
    <col min="121" max="121" width="8.7109375" style="118" customWidth="1"/>
    <col min="122" max="125" width="4.7109375" style="117" customWidth="1"/>
    <col min="126" max="126" width="8.7109375" style="118" customWidth="1"/>
    <col min="127" max="129" width="4.7109375" style="97" customWidth="1"/>
    <col min="130" max="130" width="4.7109375" style="118" customWidth="1"/>
    <col min="131" max="131" width="8.7109375" style="118" customWidth="1"/>
    <col min="132" max="134" width="4.7109375" style="97" customWidth="1"/>
    <col min="135" max="135" width="4.7109375" style="118" customWidth="1"/>
    <col min="136" max="136" width="8.7109375" style="118" customWidth="1"/>
    <col min="137" max="137" width="4.7109375" style="118" customWidth="1"/>
    <col min="138" max="138" width="8.7109375" style="118" customWidth="1"/>
    <col min="139" max="142" width="4.7109375" style="117" customWidth="1"/>
    <col min="143" max="143" width="8.7109375" style="118" customWidth="1"/>
    <col min="144" max="146" width="4.7109375" style="97" customWidth="1"/>
    <col min="147" max="147" width="4.7109375" style="118" customWidth="1"/>
    <col min="148" max="148" width="8.7109375" style="118" customWidth="1"/>
    <col min="149" max="151" width="4.7109375" style="97" customWidth="1"/>
    <col min="152" max="152" width="4.7109375" style="118" customWidth="1"/>
    <col min="153" max="153" width="8.7109375" style="118" customWidth="1"/>
    <col min="154" max="154" width="4.7109375" style="118" customWidth="1"/>
    <col min="155" max="155" width="8.7109375" style="118" customWidth="1"/>
    <col min="156" max="159" width="4.7109375" style="117" customWidth="1"/>
    <col min="160" max="160" width="8.7109375" style="118" customWidth="1"/>
    <col min="161" max="163" width="4.7109375" style="97" customWidth="1"/>
    <col min="164" max="164" width="4.7109375" style="118" customWidth="1"/>
    <col min="165" max="165" width="8.7109375" style="118" customWidth="1"/>
    <col min="166" max="168" width="4.7109375" style="97" customWidth="1"/>
    <col min="169" max="169" width="4.7109375" style="118" customWidth="1"/>
    <col min="170" max="170" width="8.7109375" style="118" customWidth="1"/>
    <col min="171" max="171" width="4.7109375" style="118" customWidth="1"/>
    <col min="172" max="172" width="8.7109375" style="118" customWidth="1"/>
    <col min="173" max="176" width="4.7109375" style="117" customWidth="1"/>
    <col min="177" max="177" width="8.7109375" style="118" customWidth="1"/>
    <col min="178" max="180" width="4.7109375" style="97" customWidth="1"/>
    <col min="181" max="181" width="4.7109375" style="118" customWidth="1"/>
    <col min="182" max="182" width="8.7109375" style="118" customWidth="1"/>
    <col min="183" max="185" width="4.7109375" style="97" customWidth="1"/>
    <col min="186" max="186" width="4.7109375" style="118" customWidth="1"/>
    <col min="187" max="187" width="8.7109375" style="118" customWidth="1"/>
    <col min="188" max="188" width="4.7109375" style="118" customWidth="1"/>
    <col min="189" max="189" width="8.7109375" style="118" customWidth="1"/>
    <col min="190" max="193" width="4.7109375" style="117" customWidth="1"/>
    <col min="194" max="194" width="8.7109375" style="118" customWidth="1"/>
    <col min="195" max="197" width="4.7109375" style="97" customWidth="1"/>
    <col min="198" max="198" width="4.7109375" style="118" customWidth="1"/>
    <col min="199" max="199" width="8.7109375" style="118" customWidth="1"/>
    <col min="200" max="202" width="4.7109375" style="97" customWidth="1"/>
    <col min="203" max="203" width="4.7109375" style="118" customWidth="1"/>
    <col min="204" max="204" width="8.7109375" style="118" customWidth="1"/>
    <col min="205" max="205" width="4.7109375" style="118" customWidth="1"/>
    <col min="206" max="206" width="8.7109375" style="118" customWidth="1"/>
    <col min="207" max="210" width="4.7109375" style="117" customWidth="1"/>
    <col min="211" max="211" width="8.7109375" style="118" customWidth="1"/>
    <col min="212" max="214" width="4.7109375" style="97" customWidth="1"/>
    <col min="215" max="215" width="4.7109375" style="118" customWidth="1"/>
    <col min="216" max="216" width="8.7109375" style="118" customWidth="1"/>
    <col min="217" max="219" width="4.7109375" style="97" customWidth="1"/>
    <col min="220" max="220" width="4.7109375" style="118" customWidth="1"/>
    <col min="221" max="221" width="8.7109375" style="118" customWidth="1"/>
    <col min="222" max="222" width="4.7109375" style="118" customWidth="1"/>
    <col min="223" max="223" width="8.7109375" style="118" customWidth="1"/>
    <col min="224" max="227" width="4.7109375" style="117" customWidth="1"/>
    <col min="228" max="228" width="8.7109375" style="118" customWidth="1"/>
    <col min="229" max="231" width="4.7109375" style="97" customWidth="1"/>
    <col min="232" max="232" width="4.7109375" style="118" customWidth="1"/>
    <col min="233" max="233" width="8.7109375" style="118" customWidth="1"/>
    <col min="234" max="236" width="4.7109375" style="97" customWidth="1"/>
    <col min="237" max="237" width="4.7109375" style="118" customWidth="1"/>
    <col min="238" max="238" width="8.7109375" style="118" customWidth="1"/>
    <col min="239" max="239" width="4.7109375" style="118" customWidth="1"/>
    <col min="240" max="240" width="8.7109375" style="118" customWidth="1"/>
    <col min="241" max="244" width="4.7109375" style="117" customWidth="1"/>
    <col min="245" max="245" width="8.7109375" style="118" customWidth="1"/>
    <col min="246" max="248" width="4.7109375" style="97" customWidth="1"/>
    <col min="249" max="249" width="4.7109375" style="118" customWidth="1"/>
    <col min="250" max="250" width="8.7109375" style="118" customWidth="1"/>
    <col min="251" max="253" width="4.7109375" style="97" customWidth="1"/>
    <col min="254" max="254" width="4.7109375" style="118" customWidth="1"/>
    <col min="255" max="255" width="8.7109375" style="118" customWidth="1"/>
    <col min="256" max="256" width="4.7109375" style="118" customWidth="1"/>
    <col min="257" max="257" width="8.7109375" style="118" customWidth="1"/>
    <col min="258" max="261" width="4.7109375" style="117" customWidth="1"/>
    <col min="262" max="262" width="8.7109375" style="118" customWidth="1"/>
    <col min="263" max="265" width="4.7109375" style="97" customWidth="1"/>
    <col min="266" max="266" width="4.7109375" style="118" customWidth="1"/>
    <col min="267" max="267" width="8.7109375" style="118" customWidth="1"/>
    <col min="268" max="270" width="4.7109375" style="97" customWidth="1"/>
    <col min="271" max="271" width="4.7109375" style="118" customWidth="1"/>
    <col min="272" max="272" width="8.7109375" style="118" customWidth="1"/>
    <col min="273" max="273" width="4.7109375" style="118" customWidth="1"/>
    <col min="274" max="274" width="8.7109375" style="118" customWidth="1"/>
    <col min="275" max="278" width="4.7109375" style="117" customWidth="1"/>
    <col min="279" max="279" width="8.7109375" style="118" customWidth="1"/>
    <col min="280" max="282" width="4.7109375" style="97" customWidth="1"/>
    <col min="283" max="283" width="4.7109375" style="118" customWidth="1"/>
    <col min="284" max="284" width="8.7109375" style="118" customWidth="1"/>
    <col min="285" max="287" width="4.7109375" style="97" customWidth="1"/>
    <col min="288" max="288" width="4.7109375" style="118" customWidth="1"/>
    <col min="289" max="289" width="8.7109375" style="118" customWidth="1"/>
    <col min="290" max="290" width="4.7109375" style="118" customWidth="1"/>
    <col min="291" max="291" width="8.7109375" style="118" customWidth="1"/>
    <col min="292" max="295" width="4.7109375" style="117" customWidth="1"/>
    <col min="296" max="296" width="8.7109375" style="118" customWidth="1"/>
    <col min="297" max="299" width="4.7109375" style="97" customWidth="1"/>
    <col min="300" max="300" width="4.7109375" style="118" customWidth="1"/>
    <col min="301" max="301" width="8.7109375" style="118" customWidth="1"/>
    <col min="302" max="304" width="4.7109375" style="97" customWidth="1"/>
    <col min="305" max="305" width="4.7109375" style="118" customWidth="1"/>
    <col min="306" max="306" width="8.7109375" style="118" customWidth="1"/>
    <col min="307" max="307" width="4.7109375" style="118" customWidth="1"/>
    <col min="308" max="308" width="8.7109375" style="118" customWidth="1"/>
    <col min="309" max="312" width="4.7109375" style="117" customWidth="1"/>
    <col min="313" max="313" width="8.7109375" style="118" customWidth="1"/>
    <col min="314" max="316" width="4.7109375" style="97" customWidth="1"/>
    <col min="317" max="317" width="4.7109375" style="118" customWidth="1"/>
    <col min="318" max="318" width="8.7109375" style="118" customWidth="1"/>
    <col min="319" max="321" width="4.7109375" style="97" customWidth="1"/>
    <col min="322" max="322" width="4.7109375" style="118" customWidth="1"/>
    <col min="323" max="323" width="8.7109375" style="118" customWidth="1"/>
    <col min="324" max="324" width="4.7109375" style="118" customWidth="1"/>
    <col min="325" max="325" width="8.7109375" style="118" customWidth="1"/>
    <col min="326" max="329" width="4.7109375" style="117" customWidth="1"/>
    <col min="330" max="330" width="8.7109375" style="118" customWidth="1"/>
    <col min="331" max="333" width="4.7109375" style="97" customWidth="1"/>
    <col min="334" max="334" width="4.7109375" style="118" customWidth="1"/>
    <col min="335" max="335" width="8.7109375" style="118" customWidth="1"/>
    <col min="336" max="338" width="4.7109375" style="97" customWidth="1"/>
    <col min="339" max="339" width="4.7109375" style="118" customWidth="1"/>
    <col min="340" max="340" width="8.7109375" style="118" customWidth="1"/>
    <col min="341" max="341" width="4.7109375" style="118" customWidth="1"/>
    <col min="342" max="342" width="8.7109375" style="118" customWidth="1"/>
    <col min="343" max="346" width="4.7109375" style="117" customWidth="1"/>
    <col min="347" max="347" width="8.7109375" style="118" customWidth="1"/>
    <col min="348" max="350" width="4.7109375" style="97" customWidth="1"/>
    <col min="351" max="351" width="4.7109375" style="118" customWidth="1"/>
    <col min="352" max="352" width="8.7109375" style="118" customWidth="1"/>
    <col min="353" max="355" width="4.7109375" style="97" customWidth="1"/>
    <col min="356" max="356" width="4.7109375" style="118" customWidth="1"/>
    <col min="357" max="357" width="8.7109375" style="118" customWidth="1"/>
    <col min="358" max="358" width="4.7109375" style="118" customWidth="1"/>
    <col min="359" max="359" width="8.7109375" style="118" customWidth="1"/>
    <col min="360" max="363" width="4.7109375" style="117" customWidth="1"/>
    <col min="364" max="364" width="8.7109375" style="118" customWidth="1"/>
    <col min="365" max="367" width="4.7109375" style="97" customWidth="1"/>
    <col min="368" max="368" width="4.7109375" style="118" customWidth="1"/>
    <col min="369" max="369" width="8.7109375" style="118" customWidth="1"/>
    <col min="370" max="372" width="4.7109375" style="97" customWidth="1"/>
    <col min="373" max="373" width="4.7109375" style="118" customWidth="1"/>
    <col min="374" max="374" width="8.7109375" style="118" customWidth="1"/>
    <col min="375" max="375" width="4.7109375" style="118" customWidth="1"/>
    <col min="376" max="376" width="8.7109375" style="118" customWidth="1"/>
    <col min="377" max="380" width="4.7109375" style="117" customWidth="1"/>
    <col min="381" max="381" width="8.7109375" style="118" customWidth="1"/>
    <col min="382" max="384" width="4.7109375" style="97" customWidth="1"/>
    <col min="385" max="385" width="4.7109375" style="118" customWidth="1"/>
    <col min="386" max="386" width="8.7109375" style="118" customWidth="1"/>
    <col min="387" max="389" width="4.7109375" style="97" customWidth="1"/>
    <col min="390" max="390" width="4.7109375" style="118" customWidth="1"/>
    <col min="391" max="391" width="8.7109375" style="118" customWidth="1"/>
    <col min="392" max="392" width="4.7109375" style="118" customWidth="1"/>
    <col min="393" max="393" width="8.7109375" style="118" customWidth="1"/>
    <col min="394" max="397" width="4.7109375" style="117" customWidth="1"/>
    <col min="398" max="398" width="8.7109375" style="118" customWidth="1"/>
    <col min="399" max="401" width="4.7109375" style="97" customWidth="1"/>
    <col min="402" max="402" width="4.7109375" style="118" customWidth="1"/>
    <col min="403" max="403" width="8.7109375" style="118" customWidth="1"/>
    <col min="404" max="406" width="4.7109375" style="97" customWidth="1"/>
    <col min="407" max="407" width="4.7109375" style="118" customWidth="1"/>
    <col min="408" max="408" width="8.7109375" style="118" customWidth="1"/>
    <col min="409" max="409" width="4.7109375" style="118" customWidth="1"/>
    <col min="410" max="410" width="8.7109375" style="118" customWidth="1"/>
    <col min="411" max="414" width="4.7109375" style="117" customWidth="1"/>
    <col min="415" max="415" width="8.7109375" style="118" customWidth="1"/>
    <col min="416" max="418" width="4.7109375" style="97" customWidth="1"/>
    <col min="419" max="419" width="4.7109375" style="118" customWidth="1"/>
    <col min="420" max="420" width="8.7109375" style="118" customWidth="1"/>
    <col min="421" max="423" width="4.7109375" style="97" customWidth="1"/>
    <col min="424" max="424" width="4.7109375" style="118" customWidth="1"/>
    <col min="425" max="425" width="8.7109375" style="118" customWidth="1"/>
    <col min="426" max="426" width="4.7109375" style="118" customWidth="1"/>
    <col min="427" max="427" width="8.7109375" style="118" customWidth="1"/>
    <col min="428" max="431" width="4.7109375" style="117" customWidth="1"/>
    <col min="432" max="432" width="8.7109375" style="118" customWidth="1"/>
    <col min="433" max="435" width="4.7109375" style="97" customWidth="1"/>
    <col min="436" max="436" width="4.7109375" style="118" customWidth="1"/>
    <col min="437" max="437" width="8.7109375" style="118" customWidth="1"/>
    <col min="438" max="440" width="4.7109375" style="97" customWidth="1"/>
    <col min="441" max="441" width="4.7109375" style="118" customWidth="1"/>
    <col min="442" max="442" width="8.7109375" style="118" customWidth="1"/>
    <col min="443" max="443" width="4.7109375" style="118" customWidth="1"/>
    <col min="444" max="444" width="8.7109375" style="118" customWidth="1"/>
    <col min="445" max="448" width="4.7109375" style="117" customWidth="1"/>
    <col min="449" max="449" width="8.7109375" style="118" customWidth="1"/>
    <col min="450" max="452" width="4.7109375" style="97" customWidth="1"/>
    <col min="453" max="453" width="4.7109375" style="118" customWidth="1"/>
    <col min="454" max="454" width="8.7109375" style="118" customWidth="1"/>
    <col min="455" max="457" width="4.7109375" style="97" customWidth="1"/>
    <col min="458" max="458" width="4.7109375" style="118" customWidth="1"/>
    <col min="459" max="459" width="8.7109375" style="118" customWidth="1"/>
    <col min="460" max="460" width="4.7109375" style="118" customWidth="1"/>
    <col min="461" max="461" width="8.7109375" style="118" customWidth="1"/>
    <col min="462" max="465" width="4.7109375" style="117" customWidth="1"/>
    <col min="466" max="466" width="8.7109375" style="118" customWidth="1"/>
    <col min="467" max="469" width="4.7109375" style="97" customWidth="1"/>
    <col min="470" max="470" width="4.7109375" style="118" customWidth="1"/>
    <col min="471" max="471" width="8.7109375" style="118" customWidth="1"/>
    <col min="472" max="474" width="4.7109375" style="97" customWidth="1"/>
    <col min="475" max="475" width="4.7109375" style="118" customWidth="1"/>
    <col min="476" max="476" width="8.7109375" style="118" customWidth="1"/>
    <col min="477" max="477" width="4.7109375" style="118" customWidth="1"/>
    <col min="478" max="478" width="8.7109375" style="118" customWidth="1"/>
    <col min="479" max="482" width="4.7109375" style="117" customWidth="1"/>
    <col min="483" max="483" width="8.7109375" style="118" customWidth="1"/>
    <col min="484" max="486" width="4.7109375" style="97" customWidth="1"/>
    <col min="487" max="487" width="4.7109375" style="118" customWidth="1"/>
    <col min="488" max="488" width="8.7109375" style="118" customWidth="1"/>
    <col min="489" max="491" width="4.7109375" style="97" customWidth="1"/>
    <col min="492" max="492" width="4.7109375" style="118" customWidth="1"/>
    <col min="493" max="493" width="8.7109375" style="118" customWidth="1"/>
    <col min="494" max="494" width="4.7109375" style="118" customWidth="1"/>
    <col min="495" max="495" width="8.7109375" style="118" customWidth="1"/>
    <col min="496" max="499" width="4.7109375" style="117" customWidth="1"/>
    <col min="500" max="500" width="8.7109375" style="118" customWidth="1"/>
    <col min="501" max="503" width="4.7109375" style="97" customWidth="1"/>
    <col min="504" max="504" width="4.7109375" style="118" customWidth="1"/>
    <col min="505" max="505" width="8.7109375" style="118" customWidth="1"/>
    <col min="506" max="508" width="4.7109375" style="97" customWidth="1"/>
    <col min="509" max="509" width="4.7109375" style="118" customWidth="1"/>
    <col min="510" max="510" width="8.7109375" style="118" customWidth="1"/>
    <col min="511" max="511" width="4.7109375" style="118" customWidth="1"/>
    <col min="512" max="512" width="8.7109375" style="118" customWidth="1"/>
    <col min="513" max="16384" width="5.7109375" style="98"/>
  </cols>
  <sheetData>
    <row r="1" spans="1:512" ht="18" customHeight="1" thickBot="1" x14ac:dyDescent="0.3">
      <c r="A1" s="246" t="s">
        <v>37</v>
      </c>
      <c r="B1" s="247"/>
      <c r="C1" s="147">
        <v>4</v>
      </c>
      <c r="D1" s="191"/>
      <c r="E1" s="191"/>
      <c r="F1" s="102"/>
      <c r="G1" s="103"/>
      <c r="H1" s="101"/>
      <c r="I1" s="101"/>
      <c r="J1" s="101"/>
      <c r="K1" s="103"/>
      <c r="L1" s="103"/>
      <c r="M1" s="101"/>
      <c r="N1" s="101"/>
      <c r="O1" s="101"/>
      <c r="P1" s="103"/>
      <c r="Q1" s="103"/>
      <c r="R1" s="103"/>
      <c r="S1" s="122"/>
      <c r="T1" s="135">
        <f>C1+1</f>
        <v>5</v>
      </c>
      <c r="U1" s="102"/>
      <c r="V1" s="102"/>
      <c r="W1" s="102"/>
      <c r="X1" s="103"/>
      <c r="Y1" s="101"/>
      <c r="Z1" s="101"/>
      <c r="AA1" s="101"/>
      <c r="AB1" s="103"/>
      <c r="AC1" s="103"/>
      <c r="AD1" s="101"/>
      <c r="AE1" s="101"/>
      <c r="AF1" s="101"/>
      <c r="AG1" s="103"/>
      <c r="AH1" s="103"/>
      <c r="AI1" s="103"/>
      <c r="AJ1" s="103"/>
      <c r="AK1" s="135">
        <f>T1+1</f>
        <v>6</v>
      </c>
      <c r="AL1" s="102"/>
      <c r="AM1" s="102"/>
      <c r="AN1" s="102"/>
      <c r="AO1" s="103"/>
      <c r="AP1" s="101"/>
      <c r="AQ1" s="101"/>
      <c r="AR1" s="101"/>
      <c r="AS1" s="103"/>
      <c r="AT1" s="103"/>
      <c r="AU1" s="101"/>
      <c r="AV1" s="101"/>
      <c r="AW1" s="101"/>
      <c r="AX1" s="103"/>
      <c r="AY1" s="103"/>
      <c r="AZ1" s="103"/>
      <c r="BA1" s="103"/>
      <c r="BB1" s="135">
        <f>AK1+1</f>
        <v>7</v>
      </c>
      <c r="BC1" s="102"/>
      <c r="BD1" s="102"/>
      <c r="BE1" s="102"/>
      <c r="BF1" s="103"/>
      <c r="BG1" s="101"/>
      <c r="BH1" s="101"/>
      <c r="BI1" s="101"/>
      <c r="BJ1" s="103"/>
      <c r="BK1" s="103"/>
      <c r="BL1" s="101"/>
      <c r="BM1" s="101"/>
      <c r="BN1" s="101"/>
      <c r="BO1" s="103"/>
      <c r="BP1" s="103"/>
      <c r="BQ1" s="103"/>
      <c r="BR1" s="103"/>
      <c r="BS1" s="135">
        <f>BB1+1</f>
        <v>8</v>
      </c>
      <c r="BT1" s="102"/>
      <c r="BU1" s="102"/>
      <c r="BV1" s="102"/>
      <c r="BW1" s="103"/>
      <c r="BX1" s="101"/>
      <c r="BY1" s="101"/>
      <c r="BZ1" s="101"/>
      <c r="CA1" s="103"/>
      <c r="CB1" s="103"/>
      <c r="CC1" s="101"/>
      <c r="CD1" s="101"/>
      <c r="CE1" s="101"/>
      <c r="CF1" s="103"/>
      <c r="CG1" s="103"/>
      <c r="CH1" s="103"/>
      <c r="CI1" s="103"/>
      <c r="CJ1" s="135">
        <f>BS1+1</f>
        <v>9</v>
      </c>
      <c r="CK1" s="102"/>
      <c r="CL1" s="102"/>
      <c r="CM1" s="102"/>
      <c r="CN1" s="103"/>
      <c r="CO1" s="101"/>
      <c r="CP1" s="101"/>
      <c r="CQ1" s="101"/>
      <c r="CR1" s="103"/>
      <c r="CS1" s="103"/>
      <c r="CT1" s="101"/>
      <c r="CU1" s="101"/>
      <c r="CV1" s="101"/>
      <c r="CW1" s="103"/>
      <c r="CX1" s="103"/>
      <c r="CY1" s="103"/>
      <c r="CZ1" s="103"/>
      <c r="DA1" s="135">
        <f>CJ1+1</f>
        <v>10</v>
      </c>
      <c r="DB1" s="102"/>
      <c r="DC1" s="102"/>
      <c r="DD1" s="102"/>
      <c r="DE1" s="103"/>
      <c r="DF1" s="101"/>
      <c r="DG1" s="101"/>
      <c r="DH1" s="101"/>
      <c r="DI1" s="103"/>
      <c r="DJ1" s="103"/>
      <c r="DK1" s="101"/>
      <c r="DL1" s="101"/>
      <c r="DM1" s="101"/>
      <c r="DN1" s="103"/>
      <c r="DO1" s="103"/>
      <c r="DP1" s="103"/>
      <c r="DQ1" s="103"/>
      <c r="DR1" s="135">
        <f>DA1+1</f>
        <v>11</v>
      </c>
      <c r="DS1" s="102"/>
      <c r="DT1" s="102"/>
      <c r="DU1" s="102"/>
      <c r="DV1" s="103"/>
      <c r="DW1" s="101"/>
      <c r="DX1" s="101"/>
      <c r="DY1" s="101"/>
      <c r="DZ1" s="103"/>
      <c r="EA1" s="103"/>
      <c r="EB1" s="101"/>
      <c r="EC1" s="101"/>
      <c r="ED1" s="101"/>
      <c r="EE1" s="103"/>
      <c r="EF1" s="103"/>
      <c r="EG1" s="103"/>
      <c r="EH1" s="103"/>
      <c r="EI1" s="135">
        <f>DR1+1</f>
        <v>12</v>
      </c>
      <c r="EJ1" s="102"/>
      <c r="EK1" s="102"/>
      <c r="EL1" s="102"/>
      <c r="EM1" s="103"/>
      <c r="EN1" s="101"/>
      <c r="EO1" s="101"/>
      <c r="EP1" s="101"/>
      <c r="EQ1" s="103"/>
      <c r="ER1" s="103"/>
      <c r="ES1" s="101"/>
      <c r="ET1" s="101"/>
      <c r="EU1" s="101"/>
      <c r="EV1" s="103"/>
      <c r="EW1" s="103"/>
      <c r="EX1" s="103"/>
      <c r="EY1" s="103"/>
      <c r="EZ1" s="135">
        <f>EI1+1</f>
        <v>13</v>
      </c>
      <c r="FA1" s="102"/>
      <c r="FB1" s="102"/>
      <c r="FC1" s="102"/>
      <c r="FD1" s="103"/>
      <c r="FE1" s="101"/>
      <c r="FF1" s="101"/>
      <c r="FG1" s="101"/>
      <c r="FH1" s="103"/>
      <c r="FI1" s="103"/>
      <c r="FJ1" s="101"/>
      <c r="FK1" s="101"/>
      <c r="FL1" s="101"/>
      <c r="FM1" s="103"/>
      <c r="FN1" s="103"/>
      <c r="FO1" s="103"/>
      <c r="FP1" s="103"/>
      <c r="FQ1" s="135">
        <f>EZ1+1</f>
        <v>14</v>
      </c>
      <c r="FR1" s="102"/>
      <c r="FS1" s="102"/>
      <c r="FT1" s="102"/>
      <c r="FU1" s="103"/>
      <c r="FV1" s="101"/>
      <c r="FW1" s="101"/>
      <c r="FX1" s="101"/>
      <c r="FY1" s="103"/>
      <c r="FZ1" s="103"/>
      <c r="GA1" s="101"/>
      <c r="GB1" s="101"/>
      <c r="GC1" s="101"/>
      <c r="GD1" s="103"/>
      <c r="GE1" s="103"/>
      <c r="GF1" s="103"/>
      <c r="GG1" s="103"/>
      <c r="GH1" s="135">
        <f>FQ1+1</f>
        <v>15</v>
      </c>
      <c r="GI1" s="102"/>
      <c r="GJ1" s="102"/>
      <c r="GK1" s="102"/>
      <c r="GL1" s="103"/>
      <c r="GM1" s="101"/>
      <c r="GN1" s="101"/>
      <c r="GO1" s="101"/>
      <c r="GP1" s="103"/>
      <c r="GQ1" s="103"/>
      <c r="GR1" s="101"/>
      <c r="GS1" s="101"/>
      <c r="GT1" s="101"/>
      <c r="GU1" s="103"/>
      <c r="GV1" s="103"/>
      <c r="GW1" s="103"/>
      <c r="GX1" s="103"/>
      <c r="GY1" s="135">
        <f>GH1+1</f>
        <v>16</v>
      </c>
      <c r="GZ1" s="102"/>
      <c r="HA1" s="102"/>
      <c r="HB1" s="102"/>
      <c r="HC1" s="103"/>
      <c r="HD1" s="101"/>
      <c r="HE1" s="101"/>
      <c r="HF1" s="101"/>
      <c r="HG1" s="103"/>
      <c r="HH1" s="103"/>
      <c r="HI1" s="101"/>
      <c r="HJ1" s="101"/>
      <c r="HK1" s="101"/>
      <c r="HL1" s="103"/>
      <c r="HM1" s="103"/>
      <c r="HN1" s="103"/>
      <c r="HO1" s="103"/>
      <c r="HP1" s="135">
        <f>GY1+1</f>
        <v>17</v>
      </c>
      <c r="HQ1" s="102"/>
      <c r="HR1" s="102"/>
      <c r="HS1" s="102"/>
      <c r="HT1" s="103"/>
      <c r="HU1" s="101"/>
      <c r="HV1" s="101"/>
      <c r="HW1" s="101"/>
      <c r="HX1" s="103"/>
      <c r="HY1" s="103"/>
      <c r="HZ1" s="101"/>
      <c r="IA1" s="101"/>
      <c r="IB1" s="101"/>
      <c r="IC1" s="103"/>
      <c r="ID1" s="103"/>
      <c r="IE1" s="103"/>
      <c r="IF1" s="103"/>
      <c r="IG1" s="135">
        <f>HP1+1</f>
        <v>18</v>
      </c>
      <c r="IH1" s="102"/>
      <c r="II1" s="102"/>
      <c r="IJ1" s="102"/>
      <c r="IK1" s="103"/>
      <c r="IL1" s="101"/>
      <c r="IM1" s="101"/>
      <c r="IN1" s="101"/>
      <c r="IO1" s="103"/>
      <c r="IP1" s="103"/>
      <c r="IQ1" s="101"/>
      <c r="IR1" s="101"/>
      <c r="IS1" s="101"/>
      <c r="IT1" s="103"/>
      <c r="IU1" s="103"/>
      <c r="IV1" s="103"/>
      <c r="IW1" s="103"/>
      <c r="IX1" s="135">
        <f>IG1+1</f>
        <v>19</v>
      </c>
      <c r="IY1" s="102"/>
      <c r="IZ1" s="102"/>
      <c r="JA1" s="102"/>
      <c r="JB1" s="103"/>
      <c r="JC1" s="101"/>
      <c r="JD1" s="101"/>
      <c r="JE1" s="101"/>
      <c r="JF1" s="103"/>
      <c r="JG1" s="103"/>
      <c r="JH1" s="101"/>
      <c r="JI1" s="101"/>
      <c r="JJ1" s="101"/>
      <c r="JK1" s="103"/>
      <c r="JL1" s="103"/>
      <c r="JM1" s="103"/>
      <c r="JN1" s="103"/>
      <c r="JO1" s="135">
        <f>IX1+1</f>
        <v>20</v>
      </c>
      <c r="JP1" s="102"/>
      <c r="JQ1" s="102"/>
      <c r="JR1" s="102"/>
      <c r="JS1" s="103"/>
      <c r="JT1" s="101"/>
      <c r="JU1" s="101"/>
      <c r="JV1" s="101"/>
      <c r="JW1" s="103"/>
      <c r="JX1" s="103"/>
      <c r="JY1" s="101"/>
      <c r="JZ1" s="101"/>
      <c r="KA1" s="101"/>
      <c r="KB1" s="103"/>
      <c r="KC1" s="103"/>
      <c r="KD1" s="103"/>
      <c r="KE1" s="103"/>
      <c r="KF1" s="135">
        <f>JO1+1</f>
        <v>21</v>
      </c>
      <c r="KG1" s="102"/>
      <c r="KH1" s="102"/>
      <c r="KI1" s="102"/>
      <c r="KJ1" s="103"/>
      <c r="KK1" s="101"/>
      <c r="KL1" s="101"/>
      <c r="KM1" s="101"/>
      <c r="KN1" s="103"/>
      <c r="KO1" s="103"/>
      <c r="KP1" s="101"/>
      <c r="KQ1" s="101"/>
      <c r="KR1" s="101"/>
      <c r="KS1" s="103"/>
      <c r="KT1" s="103"/>
      <c r="KU1" s="103"/>
      <c r="KV1" s="103"/>
      <c r="KW1" s="135">
        <f>KF1+1</f>
        <v>22</v>
      </c>
      <c r="KX1" s="102"/>
      <c r="KY1" s="102"/>
      <c r="KZ1" s="102"/>
      <c r="LA1" s="103"/>
      <c r="LB1" s="101"/>
      <c r="LC1" s="101"/>
      <c r="LD1" s="101"/>
      <c r="LE1" s="103"/>
      <c r="LF1" s="103"/>
      <c r="LG1" s="101"/>
      <c r="LH1" s="101"/>
      <c r="LI1" s="101"/>
      <c r="LJ1" s="103"/>
      <c r="LK1" s="103"/>
      <c r="LL1" s="103"/>
      <c r="LM1" s="103"/>
      <c r="LN1" s="135">
        <f>KW1+1</f>
        <v>23</v>
      </c>
      <c r="LO1" s="102"/>
      <c r="LP1" s="102"/>
      <c r="LQ1" s="102"/>
      <c r="LR1" s="103"/>
      <c r="LS1" s="101"/>
      <c r="LT1" s="101"/>
      <c r="LU1" s="101"/>
      <c r="LV1" s="103"/>
      <c r="LW1" s="103"/>
      <c r="LX1" s="101"/>
      <c r="LY1" s="101"/>
      <c r="LZ1" s="101"/>
      <c r="MA1" s="103"/>
      <c r="MB1" s="103"/>
      <c r="MC1" s="103"/>
      <c r="MD1" s="103"/>
      <c r="ME1" s="135">
        <f>LN1+1</f>
        <v>24</v>
      </c>
      <c r="MF1" s="102"/>
      <c r="MG1" s="102"/>
      <c r="MH1" s="102"/>
      <c r="MI1" s="103"/>
      <c r="MJ1" s="101"/>
      <c r="MK1" s="101"/>
      <c r="ML1" s="101"/>
      <c r="MM1" s="103"/>
      <c r="MN1" s="103"/>
      <c r="MO1" s="101"/>
      <c r="MP1" s="101"/>
      <c r="MQ1" s="101"/>
      <c r="MR1" s="103"/>
      <c r="MS1" s="103"/>
      <c r="MT1" s="103"/>
      <c r="MU1" s="103"/>
      <c r="MV1" s="135">
        <f>ME1+1</f>
        <v>25</v>
      </c>
      <c r="MW1" s="102"/>
      <c r="MX1" s="102"/>
      <c r="MY1" s="102"/>
      <c r="MZ1" s="103"/>
      <c r="NA1" s="101"/>
      <c r="NB1" s="101"/>
      <c r="NC1" s="101"/>
      <c r="ND1" s="103"/>
      <c r="NE1" s="103"/>
      <c r="NF1" s="101"/>
      <c r="NG1" s="101"/>
      <c r="NH1" s="101"/>
      <c r="NI1" s="103"/>
      <c r="NJ1" s="103"/>
      <c r="NK1" s="103"/>
      <c r="NL1" s="103"/>
      <c r="NM1" s="135">
        <f>MV1+1</f>
        <v>26</v>
      </c>
      <c r="NN1" s="102"/>
      <c r="NO1" s="102"/>
      <c r="NP1" s="102"/>
      <c r="NQ1" s="103"/>
      <c r="NR1" s="101"/>
      <c r="NS1" s="101"/>
      <c r="NT1" s="101"/>
      <c r="NU1" s="103"/>
      <c r="NV1" s="103"/>
      <c r="NW1" s="101"/>
      <c r="NX1" s="101"/>
      <c r="NY1" s="101"/>
      <c r="NZ1" s="103"/>
      <c r="OA1" s="103"/>
      <c r="OB1" s="103"/>
      <c r="OC1" s="103"/>
      <c r="OD1" s="135">
        <f>NM1+1</f>
        <v>27</v>
      </c>
      <c r="OE1" s="102"/>
      <c r="OF1" s="102"/>
      <c r="OG1" s="102"/>
      <c r="OH1" s="103"/>
      <c r="OI1" s="101"/>
      <c r="OJ1" s="101"/>
      <c r="OK1" s="101"/>
      <c r="OL1" s="103"/>
      <c r="OM1" s="103"/>
      <c r="ON1" s="101"/>
      <c r="OO1" s="101"/>
      <c r="OP1" s="101"/>
      <c r="OQ1" s="103"/>
      <c r="OR1" s="103"/>
      <c r="OS1" s="103"/>
      <c r="OT1" s="103"/>
      <c r="OU1" s="135">
        <f>OD1+1</f>
        <v>28</v>
      </c>
      <c r="OV1" s="102"/>
      <c r="OW1" s="102"/>
      <c r="OX1" s="102"/>
      <c r="OY1" s="103"/>
      <c r="OZ1" s="101"/>
      <c r="PA1" s="101"/>
      <c r="PB1" s="101"/>
      <c r="PC1" s="103"/>
      <c r="PD1" s="103"/>
      <c r="PE1" s="101"/>
      <c r="PF1" s="101"/>
      <c r="PG1" s="101"/>
      <c r="PH1" s="103"/>
      <c r="PI1" s="103"/>
      <c r="PJ1" s="103"/>
      <c r="PK1" s="103"/>
      <c r="PL1" s="135">
        <f>OU1+1</f>
        <v>29</v>
      </c>
      <c r="PM1" s="102"/>
      <c r="PN1" s="102"/>
      <c r="PO1" s="102"/>
      <c r="PP1" s="103"/>
      <c r="PQ1" s="101"/>
      <c r="PR1" s="101"/>
      <c r="PS1" s="101"/>
      <c r="PT1" s="103"/>
      <c r="PU1" s="103"/>
      <c r="PV1" s="101"/>
      <c r="PW1" s="101"/>
      <c r="PX1" s="101"/>
      <c r="PY1" s="103"/>
      <c r="PZ1" s="103"/>
      <c r="QA1" s="103"/>
      <c r="QB1" s="103"/>
      <c r="QC1" s="135">
        <f>PL1+1</f>
        <v>30</v>
      </c>
      <c r="QD1" s="102"/>
      <c r="QE1" s="102"/>
      <c r="QF1" s="102"/>
      <c r="QG1" s="103"/>
      <c r="QH1" s="101"/>
      <c r="QI1" s="101"/>
      <c r="QJ1" s="101"/>
      <c r="QK1" s="103"/>
      <c r="QL1" s="103"/>
      <c r="QM1" s="101"/>
      <c r="QN1" s="101"/>
      <c r="QO1" s="101"/>
      <c r="QP1" s="103"/>
      <c r="QQ1" s="103"/>
      <c r="QR1" s="103"/>
      <c r="QS1" s="103"/>
      <c r="QT1" s="135">
        <f>QC1+1</f>
        <v>31</v>
      </c>
      <c r="QU1" s="102"/>
      <c r="QV1" s="102"/>
      <c r="QW1" s="102"/>
      <c r="QX1" s="103"/>
      <c r="QY1" s="101"/>
      <c r="QZ1" s="101"/>
      <c r="RA1" s="101"/>
      <c r="RB1" s="103"/>
      <c r="RC1" s="103"/>
      <c r="RD1" s="101"/>
      <c r="RE1" s="101"/>
      <c r="RF1" s="101"/>
      <c r="RG1" s="103"/>
      <c r="RH1" s="103"/>
      <c r="RI1" s="103"/>
      <c r="RJ1" s="103"/>
      <c r="RK1" s="135">
        <f>QT1+1</f>
        <v>32</v>
      </c>
      <c r="RL1" s="102"/>
      <c r="RM1" s="102"/>
      <c r="RN1" s="102"/>
      <c r="RO1" s="103"/>
      <c r="RP1" s="101"/>
      <c r="RQ1" s="101"/>
      <c r="RR1" s="101"/>
      <c r="RS1" s="103"/>
      <c r="RT1" s="103"/>
      <c r="RU1" s="101"/>
      <c r="RV1" s="101"/>
      <c r="RW1" s="101"/>
      <c r="RX1" s="103"/>
      <c r="RY1" s="103"/>
      <c r="RZ1" s="103"/>
      <c r="SA1" s="103"/>
      <c r="SB1" s="135">
        <f>RK1+1</f>
        <v>33</v>
      </c>
      <c r="SC1" s="102"/>
      <c r="SD1" s="102"/>
      <c r="SE1" s="102"/>
      <c r="SF1" s="103"/>
      <c r="SG1" s="101"/>
      <c r="SH1" s="101"/>
      <c r="SI1" s="101"/>
      <c r="SJ1" s="103"/>
      <c r="SK1" s="103"/>
      <c r="SL1" s="101"/>
      <c r="SM1" s="101"/>
      <c r="SN1" s="101"/>
      <c r="SO1" s="103"/>
      <c r="SP1" s="103"/>
      <c r="SQ1" s="103"/>
      <c r="SR1" s="103"/>
    </row>
    <row r="2" spans="1:512" ht="60" customHeight="1" thickBot="1" x14ac:dyDescent="0.3">
      <c r="A2" s="91" t="s">
        <v>36</v>
      </c>
      <c r="B2" s="92" t="s">
        <v>207</v>
      </c>
      <c r="C2" s="148" t="str">
        <f ca="1">IF(CELL("contenu",INDIRECT(ADDRESS(C1,1,1,1,CELL("contenu",$B$2))))="","----",CELL("contenu",INDIRECT(ADDRESS(C1,1,1,1,CELL("contenu",$B$2)))))</f>
        <v>BERNARD DE DOMPSURE Anais</v>
      </c>
      <c r="D2" s="148"/>
      <c r="E2" s="148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123"/>
      <c r="T2" s="99" t="str">
        <f ca="1">IF(CELL("contenu",INDIRECT(ADDRESS(T1,1,1,1,CELL("contenu",$B$2))))="","----",CELL("contenu",INDIRECT(ADDRESS(T1,1,1,1,CELL("contenu",$B$2)))))</f>
        <v>BIARDEAU Arthur</v>
      </c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123"/>
      <c r="AK2" s="99" t="str">
        <f ca="1">IF(CELL("contenu",INDIRECT(ADDRESS(AK1,1,1,1,CELL("contenu",$B$2))))="","----",CELL("contenu",INDIRECT(ADDRESS(AK1,1,1,1,CELL("contenu",$B$2)))))</f>
        <v>BOUCHET Julie</v>
      </c>
      <c r="AL2" s="99"/>
      <c r="AM2" s="99"/>
      <c r="AN2" s="99"/>
      <c r="AO2" s="99"/>
      <c r="AP2" s="99"/>
      <c r="AQ2" s="99"/>
      <c r="AR2" s="99"/>
      <c r="AS2" s="99"/>
      <c r="AT2" s="99"/>
      <c r="AU2" s="99"/>
      <c r="AV2" s="99"/>
      <c r="AW2" s="99"/>
      <c r="AX2" s="99"/>
      <c r="AY2" s="99"/>
      <c r="AZ2" s="99"/>
      <c r="BA2" s="123"/>
      <c r="BB2" s="99" t="str">
        <f ca="1">IF(CELL("contenu",INDIRECT(ADDRESS(BB1,1,1,1,CELL("contenu",$B$2))))="","----",CELL("contenu",INDIRECT(ADDRESS(BB1,1,1,1,CELL("contenu",$B$2)))))</f>
        <v>BRABANT Louise</v>
      </c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99"/>
      <c r="BP2" s="99"/>
      <c r="BQ2" s="99"/>
      <c r="BR2" s="123"/>
      <c r="BS2" s="99" t="str">
        <f ca="1">IF(CELL("contenu",INDIRECT(ADDRESS(BS1,1,1,1,CELL("contenu",$B$2))))="","----",CELL("contenu",INDIRECT(ADDRESS(BS1,1,1,1,CELL("contenu",$B$2)))))</f>
        <v>BRUN Vahitua</v>
      </c>
      <c r="BT2" s="99"/>
      <c r="BU2" s="99"/>
      <c r="BV2" s="99"/>
      <c r="BW2" s="99"/>
      <c r="BX2" s="99"/>
      <c r="BY2" s="99"/>
      <c r="BZ2" s="99"/>
      <c r="CA2" s="99"/>
      <c r="CB2" s="99"/>
      <c r="CC2" s="99"/>
      <c r="CD2" s="99"/>
      <c r="CE2" s="99"/>
      <c r="CF2" s="99"/>
      <c r="CG2" s="99"/>
      <c r="CH2" s="99"/>
      <c r="CI2" s="123"/>
      <c r="CJ2" s="99" t="str">
        <f ca="1">IF(CELL("contenu",INDIRECT(ADDRESS(CJ1,1,1,1,CELL("contenu",$B$2))))="","----",CELL("contenu",INDIRECT(ADDRESS(CJ1,1,1,1,CELL("contenu",$B$2)))))</f>
        <v>DE KERHOR Marie-Lys</v>
      </c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99"/>
      <c r="CV2" s="99"/>
      <c r="CW2" s="99"/>
      <c r="CX2" s="99"/>
      <c r="CY2" s="99"/>
      <c r="CZ2" s="123"/>
      <c r="DA2" s="99" t="str">
        <f ca="1">IF(CELL("contenu",INDIRECT(ADDRESS(DA1,1,1,1,CELL("contenu",$B$2))))="","----",CELL("contenu",INDIRECT(ADDRESS(DA1,1,1,1,CELL("contenu",$B$2)))))</f>
        <v>FAHLGREN Alice</v>
      </c>
      <c r="DB2" s="99"/>
      <c r="DC2" s="99"/>
      <c r="DD2" s="99"/>
      <c r="DE2" s="99"/>
      <c r="DF2" s="99"/>
      <c r="DG2" s="99"/>
      <c r="DH2" s="99"/>
      <c r="DI2" s="99"/>
      <c r="DJ2" s="99"/>
      <c r="DK2" s="99"/>
      <c r="DL2" s="99"/>
      <c r="DM2" s="99"/>
      <c r="DN2" s="99"/>
      <c r="DO2" s="99"/>
      <c r="DP2" s="99"/>
      <c r="DQ2" s="123"/>
      <c r="DR2" s="99" t="str">
        <f ca="1">IF(CELL("contenu",INDIRECT(ADDRESS(DR1,1,1,1,CELL("contenu",$B$2))))="","----",CELL("contenu",INDIRECT(ADDRESS(DR1,1,1,1,CELL("contenu",$B$2)))))</f>
        <v>FROUX Clement</v>
      </c>
      <c r="DS2" s="99"/>
      <c r="DT2" s="99"/>
      <c r="DU2" s="99"/>
      <c r="DV2" s="99"/>
      <c r="DW2" s="99"/>
      <c r="DX2" s="99"/>
      <c r="DY2" s="99"/>
      <c r="DZ2" s="99"/>
      <c r="EA2" s="99"/>
      <c r="EB2" s="99"/>
      <c r="EC2" s="99"/>
      <c r="ED2" s="99"/>
      <c r="EE2" s="99"/>
      <c r="EF2" s="99"/>
      <c r="EG2" s="99"/>
      <c r="EH2" s="123"/>
      <c r="EI2" s="99" t="str">
        <f ca="1">IF(CELL("contenu",INDIRECT(ADDRESS(EI1,1,1,1,CELL("contenu",$B$2))))="","----",CELL("contenu",INDIRECT(ADDRESS(EI1,1,1,1,CELL("contenu",$B$2)))))</f>
        <v>GEROLT Esther</v>
      </c>
      <c r="EJ2" s="99"/>
      <c r="EK2" s="99"/>
      <c r="EL2" s="99"/>
      <c r="EM2" s="99"/>
      <c r="EN2" s="99"/>
      <c r="EO2" s="99"/>
      <c r="EP2" s="99"/>
      <c r="EQ2" s="99"/>
      <c r="ER2" s="99"/>
      <c r="ES2" s="99"/>
      <c r="ET2" s="99"/>
      <c r="EU2" s="99"/>
      <c r="EV2" s="99"/>
      <c r="EW2" s="99"/>
      <c r="EX2" s="99"/>
      <c r="EY2" s="123"/>
      <c r="EZ2" s="99" t="str">
        <f ca="1">IF(CELL("contenu",INDIRECT(ADDRESS(EZ1,1,1,1,CELL("contenu",$B$2))))="","----",CELL("contenu",INDIRECT(ADDRESS(EZ1,1,1,1,CELL("contenu",$B$2)))))</f>
        <v>GLAUME Clementine</v>
      </c>
      <c r="FA2" s="99"/>
      <c r="FB2" s="99"/>
      <c r="FC2" s="99"/>
      <c r="FD2" s="99"/>
      <c r="FE2" s="99"/>
      <c r="FF2" s="99"/>
      <c r="FG2" s="99"/>
      <c r="FH2" s="99"/>
      <c r="FI2" s="99"/>
      <c r="FJ2" s="99"/>
      <c r="FK2" s="99"/>
      <c r="FL2" s="99"/>
      <c r="FM2" s="99"/>
      <c r="FN2" s="99"/>
      <c r="FO2" s="99"/>
      <c r="FP2" s="123"/>
      <c r="FQ2" s="99" t="str">
        <f ca="1">IF(CELL("contenu",INDIRECT(ADDRESS(FQ1,1,1,1,CELL("contenu",$B$2))))="","----",CELL("contenu",INDIRECT(ADDRESS(FQ1,1,1,1,CELL("contenu",$B$2)))))</f>
        <v>GUIBERT Hortense</v>
      </c>
      <c r="FR2" s="99"/>
      <c r="FS2" s="99"/>
      <c r="FT2" s="99"/>
      <c r="FU2" s="99"/>
      <c r="FV2" s="99"/>
      <c r="FW2" s="99"/>
      <c r="FX2" s="99"/>
      <c r="FY2" s="99"/>
      <c r="FZ2" s="99"/>
      <c r="GA2" s="99"/>
      <c r="GB2" s="99"/>
      <c r="GC2" s="99"/>
      <c r="GD2" s="99"/>
      <c r="GE2" s="99"/>
      <c r="GF2" s="99"/>
      <c r="GG2" s="123"/>
      <c r="GH2" s="99" t="str">
        <f ca="1">IF(CELL("contenu",INDIRECT(ADDRESS(GH1,1,1,1,CELL("contenu",$B$2))))="","----",CELL("contenu",INDIRECT(ADDRESS(GH1,1,1,1,CELL("contenu",$B$2)))))</f>
        <v>GUILLEMAIN Apolline</v>
      </c>
      <c r="GI2" s="99"/>
      <c r="GJ2" s="99"/>
      <c r="GK2" s="99"/>
      <c r="GL2" s="99"/>
      <c r="GM2" s="99"/>
      <c r="GN2" s="99"/>
      <c r="GO2" s="99"/>
      <c r="GP2" s="99"/>
      <c r="GQ2" s="99"/>
      <c r="GR2" s="99"/>
      <c r="GS2" s="99"/>
      <c r="GT2" s="99"/>
      <c r="GU2" s="99"/>
      <c r="GV2" s="99"/>
      <c r="GW2" s="99"/>
      <c r="GX2" s="123"/>
      <c r="GY2" s="99" t="str">
        <f ca="1">IF(CELL("contenu",INDIRECT(ADDRESS(GY1,1,1,1,CELL("contenu",$B$2))))="","----",CELL("contenu",INDIRECT(ADDRESS(GY1,1,1,1,CELL("contenu",$B$2)))))</f>
        <v>HESLOIN Madeleine</v>
      </c>
      <c r="GZ2" s="99"/>
      <c r="HA2" s="99"/>
      <c r="HB2" s="99"/>
      <c r="HC2" s="99"/>
      <c r="HD2" s="99"/>
      <c r="HE2" s="99"/>
      <c r="HF2" s="99"/>
      <c r="HG2" s="99"/>
      <c r="HH2" s="99"/>
      <c r="HI2" s="99"/>
      <c r="HJ2" s="99"/>
      <c r="HK2" s="99"/>
      <c r="HL2" s="99"/>
      <c r="HM2" s="99"/>
      <c r="HN2" s="99"/>
      <c r="HO2" s="123"/>
      <c r="HP2" s="99" t="str">
        <f ca="1">IF(CELL("contenu",INDIRECT(ADDRESS(HP1,1,1,1,CELL("contenu",$B$2))))="","----",CELL("contenu",INDIRECT(ADDRESS(HP1,1,1,1,CELL("contenu",$B$2)))))</f>
        <v>HURE Anne-Dauphine</v>
      </c>
      <c r="HQ2" s="99"/>
      <c r="HR2" s="99"/>
      <c r="HS2" s="99"/>
      <c r="HT2" s="99"/>
      <c r="HU2" s="99"/>
      <c r="HV2" s="99"/>
      <c r="HW2" s="99"/>
      <c r="HX2" s="99"/>
      <c r="HY2" s="99"/>
      <c r="HZ2" s="99"/>
      <c r="IA2" s="99"/>
      <c r="IB2" s="99"/>
      <c r="IC2" s="99"/>
      <c r="ID2" s="99"/>
      <c r="IE2" s="99"/>
      <c r="IF2" s="123"/>
      <c r="IG2" s="99" t="str">
        <f ca="1">IF(CELL("contenu",INDIRECT(ADDRESS(IG1,1,1,1,CELL("contenu",$B$2))))="","----",CELL("contenu",INDIRECT(ADDRESS(IG1,1,1,1,CELL("contenu",$B$2)))))</f>
        <v>LALLEMENT Pierre</v>
      </c>
      <c r="IH2" s="99"/>
      <c r="II2" s="99"/>
      <c r="IJ2" s="99"/>
      <c r="IK2" s="99"/>
      <c r="IL2" s="99"/>
      <c r="IM2" s="99"/>
      <c r="IN2" s="99"/>
      <c r="IO2" s="99"/>
      <c r="IP2" s="99"/>
      <c r="IQ2" s="99"/>
      <c r="IR2" s="99"/>
      <c r="IS2" s="99"/>
      <c r="IT2" s="99"/>
      <c r="IU2" s="99"/>
      <c r="IV2" s="99"/>
      <c r="IW2" s="123"/>
      <c r="IX2" s="99" t="str">
        <f ca="1">IF(CELL("contenu",INDIRECT(ADDRESS(IX1,1,1,1,CELL("contenu",$B$2))))="","----",CELL("contenu",INDIRECT(ADDRESS(IX1,1,1,1,CELL("contenu",$B$2)))))</f>
        <v>LE DIEU DE VILLE Mathilde</v>
      </c>
      <c r="IY2" s="99"/>
      <c r="IZ2" s="99"/>
      <c r="JA2" s="99"/>
      <c r="JB2" s="99"/>
      <c r="JC2" s="99"/>
      <c r="JD2" s="99"/>
      <c r="JE2" s="99"/>
      <c r="JF2" s="99"/>
      <c r="JG2" s="99"/>
      <c r="JH2" s="99"/>
      <c r="JI2" s="99"/>
      <c r="JJ2" s="99"/>
      <c r="JK2" s="99"/>
      <c r="JL2" s="99"/>
      <c r="JM2" s="99"/>
      <c r="JN2" s="123"/>
      <c r="JO2" s="99" t="str">
        <f ca="1">IF(CELL("contenu",INDIRECT(ADDRESS(JO1,1,1,1,CELL("contenu",$B$2))))="","----",CELL("contenu",INDIRECT(ADDRESS(JO1,1,1,1,CELL("contenu",$B$2)))))</f>
        <v>LEPINOY--FAVRON Agathe</v>
      </c>
      <c r="JP2" s="99"/>
      <c r="JQ2" s="99"/>
      <c r="JR2" s="99"/>
      <c r="JS2" s="99"/>
      <c r="JT2" s="99"/>
      <c r="JU2" s="99"/>
      <c r="JV2" s="99"/>
      <c r="JW2" s="99"/>
      <c r="JX2" s="99"/>
      <c r="JY2" s="99"/>
      <c r="JZ2" s="99"/>
      <c r="KA2" s="99"/>
      <c r="KB2" s="99"/>
      <c r="KC2" s="99"/>
      <c r="KD2" s="99"/>
      <c r="KE2" s="123"/>
      <c r="KF2" s="99" t="str">
        <f ca="1">IF(CELL("contenu",INDIRECT(ADDRESS(KF1,1,1,1,CELL("contenu",$B$2))))="","----",CELL("contenu",INDIRECT(ADDRESS(KF1,1,1,1,CELL("contenu",$B$2)))))</f>
        <v>LEPRINCE Charlotte</v>
      </c>
      <c r="KG2" s="99"/>
      <c r="KH2" s="99"/>
      <c r="KI2" s="99"/>
      <c r="KJ2" s="99"/>
      <c r="KK2" s="99"/>
      <c r="KL2" s="99"/>
      <c r="KM2" s="99"/>
      <c r="KN2" s="99"/>
      <c r="KO2" s="99"/>
      <c r="KP2" s="99"/>
      <c r="KQ2" s="99"/>
      <c r="KR2" s="99"/>
      <c r="KS2" s="99"/>
      <c r="KT2" s="99"/>
      <c r="KU2" s="99"/>
      <c r="KV2" s="123"/>
      <c r="KW2" s="99" t="str">
        <f ca="1">IF(CELL("contenu",INDIRECT(ADDRESS(KW1,1,1,1,CELL("contenu",$B$2))))="","----",CELL("contenu",INDIRECT(ADDRESS(KW1,1,1,1,CELL("contenu",$B$2)))))</f>
        <v>MOUNIROU DEEN Kemi</v>
      </c>
      <c r="KX2" s="99"/>
      <c r="KY2" s="99"/>
      <c r="KZ2" s="99"/>
      <c r="LA2" s="99"/>
      <c r="LB2" s="99"/>
      <c r="LC2" s="99"/>
      <c r="LD2" s="99"/>
      <c r="LE2" s="99"/>
      <c r="LF2" s="99"/>
      <c r="LG2" s="99"/>
      <c r="LH2" s="99"/>
      <c r="LI2" s="99"/>
      <c r="LJ2" s="99"/>
      <c r="LK2" s="99"/>
      <c r="LL2" s="99"/>
      <c r="LM2" s="123"/>
      <c r="LN2" s="99" t="str">
        <f ca="1">IF(CELL("contenu",INDIRECT(ADDRESS(LN1,1,1,1,CELL("contenu",$B$2))))="","----",CELL("contenu",INDIRECT(ADDRESS(LN1,1,1,1,CELL("contenu",$B$2)))))</f>
        <v>OUDIN Gustave</v>
      </c>
      <c r="LO2" s="99"/>
      <c r="LP2" s="99"/>
      <c r="LQ2" s="99"/>
      <c r="LR2" s="99"/>
      <c r="LS2" s="99"/>
      <c r="LT2" s="99"/>
      <c r="LU2" s="99"/>
      <c r="LV2" s="99"/>
      <c r="LW2" s="99"/>
      <c r="LX2" s="99"/>
      <c r="LY2" s="99"/>
      <c r="LZ2" s="99"/>
      <c r="MA2" s="99"/>
      <c r="MB2" s="99"/>
      <c r="MC2" s="99"/>
      <c r="MD2" s="123"/>
      <c r="ME2" s="99" t="str">
        <f ca="1">IF(CELL("contenu",INDIRECT(ADDRESS(ME1,1,1,1,CELL("contenu",$B$2))))="","----",CELL("contenu",INDIRECT(ADDRESS(ME1,1,1,1,CELL("contenu",$B$2)))))</f>
        <v>POIGNET Théotime</v>
      </c>
      <c r="MF2" s="99"/>
      <c r="MG2" s="99"/>
      <c r="MH2" s="99"/>
      <c r="MI2" s="99"/>
      <c r="MJ2" s="99"/>
      <c r="MK2" s="99"/>
      <c r="ML2" s="99"/>
      <c r="MM2" s="99"/>
      <c r="MN2" s="99"/>
      <c r="MO2" s="99"/>
      <c r="MP2" s="99"/>
      <c r="MQ2" s="99"/>
      <c r="MR2" s="99"/>
      <c r="MS2" s="99"/>
      <c r="MT2" s="99"/>
      <c r="MU2" s="123"/>
      <c r="MV2" s="99" t="str">
        <f ca="1">IF(CELL("contenu",INDIRECT(ADDRESS(MV1,1,1,1,CELL("contenu",$B$2))))="","----",CELL("contenu",INDIRECT(ADDRESS(MV1,1,1,1,CELL("contenu",$B$2)))))</f>
        <v>RANDU Jeanne</v>
      </c>
      <c r="MW2" s="99"/>
      <c r="MX2" s="99"/>
      <c r="MY2" s="99"/>
      <c r="MZ2" s="99"/>
      <c r="NA2" s="99"/>
      <c r="NB2" s="99"/>
      <c r="NC2" s="99"/>
      <c r="ND2" s="99"/>
      <c r="NE2" s="99"/>
      <c r="NF2" s="99"/>
      <c r="NG2" s="99"/>
      <c r="NH2" s="99"/>
      <c r="NI2" s="99"/>
      <c r="NJ2" s="99"/>
      <c r="NK2" s="99"/>
      <c r="NL2" s="123"/>
      <c r="NM2" s="99" t="str">
        <f ca="1">IF(CELL("contenu",INDIRECT(ADDRESS(NM1,1,1,1,CELL("contenu",$B$2))))="","----",CELL("contenu",INDIRECT(ADDRESS(NM1,1,1,1,CELL("contenu",$B$2)))))</f>
        <v>RIBOULEAU Juliette</v>
      </c>
      <c r="NN2" s="99"/>
      <c r="NO2" s="99"/>
      <c r="NP2" s="99"/>
      <c r="NQ2" s="99"/>
      <c r="NR2" s="99"/>
      <c r="NS2" s="99"/>
      <c r="NT2" s="99"/>
      <c r="NU2" s="99"/>
      <c r="NV2" s="99"/>
      <c r="NW2" s="99"/>
      <c r="NX2" s="99"/>
      <c r="NY2" s="99"/>
      <c r="NZ2" s="99"/>
      <c r="OA2" s="99"/>
      <c r="OB2" s="99"/>
      <c r="OC2" s="123"/>
      <c r="OD2" s="99" t="str">
        <f ca="1">IF(CELL("contenu",INDIRECT(ADDRESS(OD1,1,1,1,CELL("contenu",$B$2))))="","----",CELL("contenu",INDIRECT(ADDRESS(OD1,1,1,1,CELL("contenu",$B$2)))))</f>
        <v>SAMUZEAU--LARDANT Jules</v>
      </c>
      <c r="OE2" s="99"/>
      <c r="OF2" s="99"/>
      <c r="OG2" s="99"/>
      <c r="OH2" s="99"/>
      <c r="OI2" s="99"/>
      <c r="OJ2" s="99"/>
      <c r="OK2" s="99"/>
      <c r="OL2" s="99"/>
      <c r="OM2" s="99"/>
      <c r="ON2" s="99"/>
      <c r="OO2" s="99"/>
      <c r="OP2" s="99"/>
      <c r="OQ2" s="99"/>
      <c r="OR2" s="99"/>
      <c r="OS2" s="99"/>
      <c r="OT2" s="123"/>
      <c r="OU2" s="99" t="str">
        <f ca="1">IF(CELL("contenu",INDIRECT(ADDRESS(OU1,1,1,1,CELL("contenu",$B$2))))="","----",CELL("contenu",INDIRECT(ADDRESS(OU1,1,1,1,CELL("contenu",$B$2)))))</f>
        <v>SERIZAY Pierre</v>
      </c>
      <c r="OV2" s="99"/>
      <c r="OW2" s="99"/>
      <c r="OX2" s="99"/>
      <c r="OY2" s="99"/>
      <c r="OZ2" s="99"/>
      <c r="PA2" s="99"/>
      <c r="PB2" s="99"/>
      <c r="PC2" s="99"/>
      <c r="PD2" s="99"/>
      <c r="PE2" s="99"/>
      <c r="PF2" s="99"/>
      <c r="PG2" s="99"/>
      <c r="PH2" s="99"/>
      <c r="PI2" s="99"/>
      <c r="PJ2" s="99"/>
      <c r="PK2" s="123"/>
      <c r="PL2" s="99" t="str">
        <f ca="1">IF(CELL("contenu",INDIRECT(ADDRESS(PL1,1,1,1,CELL("contenu",$B$2))))="","----",CELL("contenu",INDIRECT(ADDRESS(PL1,1,1,1,CELL("contenu",$B$2)))))</f>
        <v>THIBAUD Alexandre</v>
      </c>
      <c r="PM2" s="99"/>
      <c r="PN2" s="99"/>
      <c r="PO2" s="99"/>
      <c r="PP2" s="99"/>
      <c r="PQ2" s="99"/>
      <c r="PR2" s="99"/>
      <c r="PS2" s="99"/>
      <c r="PT2" s="99"/>
      <c r="PU2" s="99"/>
      <c r="PV2" s="99"/>
      <c r="PW2" s="99"/>
      <c r="PX2" s="99"/>
      <c r="PY2" s="99"/>
      <c r="PZ2" s="99"/>
      <c r="QA2" s="99"/>
      <c r="QB2" s="123"/>
      <c r="QC2" s="99" t="str">
        <f ca="1">IF(CELL("contenu",INDIRECT(ADDRESS(QC1,1,1,1,CELL("contenu",$B$2))))="","----",CELL("contenu",INDIRECT(ADDRESS(QC1,1,1,1,CELL("contenu",$B$2)))))</f>
        <v>TOSTIVINT Eliott</v>
      </c>
      <c r="QD2" s="99"/>
      <c r="QE2" s="99"/>
      <c r="QF2" s="99"/>
      <c r="QG2" s="99"/>
      <c r="QH2" s="99"/>
      <c r="QI2" s="99"/>
      <c r="QJ2" s="99"/>
      <c r="QK2" s="99"/>
      <c r="QL2" s="99"/>
      <c r="QM2" s="99"/>
      <c r="QN2" s="99"/>
      <c r="QO2" s="99"/>
      <c r="QP2" s="99"/>
      <c r="QQ2" s="99"/>
      <c r="QR2" s="99"/>
      <c r="QS2" s="123"/>
      <c r="QT2" s="99" t="str">
        <f ca="1">IF(CELL("contenu",INDIRECT(ADDRESS(QT1,1,1,1,CELL("contenu",$B$2))))="","----",CELL("contenu",INDIRECT(ADDRESS(QT1,1,1,1,CELL("contenu",$B$2)))))</f>
        <v>TOUZE Clemence</v>
      </c>
      <c r="QU2" s="99"/>
      <c r="QV2" s="99"/>
      <c r="QW2" s="99"/>
      <c r="QX2" s="99"/>
      <c r="QY2" s="99"/>
      <c r="QZ2" s="99"/>
      <c r="RA2" s="99"/>
      <c r="RB2" s="99"/>
      <c r="RC2" s="99"/>
      <c r="RD2" s="99"/>
      <c r="RE2" s="99"/>
      <c r="RF2" s="99"/>
      <c r="RG2" s="99"/>
      <c r="RH2" s="99"/>
      <c r="RI2" s="99"/>
      <c r="RJ2" s="123"/>
      <c r="RK2" s="99">
        <f ca="1">IF(CELL("contenu",INDIRECT(ADDRESS(RK1,1,1,1,CELL("contenu",$B$2))))="","----",CELL("contenu",INDIRECT(ADDRESS(RK1,1,1,1,CELL("contenu",$B$2)))))</f>
        <v>0</v>
      </c>
      <c r="RL2" s="99"/>
      <c r="RM2" s="99"/>
      <c r="RN2" s="99"/>
      <c r="RO2" s="99"/>
      <c r="RP2" s="99"/>
      <c r="RQ2" s="99"/>
      <c r="RR2" s="99"/>
      <c r="RS2" s="99"/>
      <c r="RT2" s="99"/>
      <c r="RU2" s="99"/>
      <c r="RV2" s="99"/>
      <c r="RW2" s="99"/>
      <c r="RX2" s="99"/>
      <c r="RY2" s="99"/>
      <c r="RZ2" s="99"/>
      <c r="SA2" s="123"/>
      <c r="SB2" s="99">
        <f ca="1">IF(CELL("contenu",INDIRECT(ADDRESS(SB1,1,1,1,CELL("contenu",$B$2))))="","----",CELL("contenu",INDIRECT(ADDRESS(SB1,1,1,1,CELL("contenu",$B$2)))))</f>
        <v>0</v>
      </c>
      <c r="SC2" s="99"/>
      <c r="SD2" s="99"/>
      <c r="SE2" s="99"/>
      <c r="SF2" s="99"/>
      <c r="SG2" s="99"/>
      <c r="SH2" s="99"/>
      <c r="SI2" s="99"/>
      <c r="SJ2" s="99"/>
      <c r="SK2" s="99"/>
      <c r="SL2" s="99"/>
      <c r="SM2" s="99"/>
      <c r="SN2" s="99"/>
      <c r="SO2" s="99"/>
      <c r="SP2" s="99"/>
      <c r="SQ2" s="99"/>
      <c r="SR2" s="123"/>
    </row>
    <row r="3" spans="1:512" ht="60" customHeight="1" thickBot="1" x14ac:dyDescent="0.3">
      <c r="A3" s="93"/>
      <c r="B3" s="94" t="s">
        <v>31</v>
      </c>
      <c r="C3" s="149" t="s">
        <v>208</v>
      </c>
      <c r="D3" s="150" t="s">
        <v>211</v>
      </c>
      <c r="E3" s="151"/>
      <c r="F3" s="104" t="s">
        <v>7</v>
      </c>
      <c r="G3" s="105"/>
      <c r="H3" s="73"/>
      <c r="I3" s="75"/>
      <c r="J3" s="74"/>
      <c r="K3" s="119" t="s">
        <v>8</v>
      </c>
      <c r="L3" s="120"/>
      <c r="M3" s="73"/>
      <c r="N3" s="75"/>
      <c r="O3" s="74"/>
      <c r="P3" s="124" t="s">
        <v>9</v>
      </c>
      <c r="Q3" s="125"/>
      <c r="R3" s="126" t="s">
        <v>10</v>
      </c>
      <c r="S3" s="127"/>
      <c r="T3" s="193" t="str">
        <f>IF(C3="","",C3)</f>
        <v>CH1/1</v>
      </c>
      <c r="U3" s="194" t="str">
        <f>IF(D3="","",D3)</f>
        <v>EVAL</v>
      </c>
      <c r="V3" s="195" t="str">
        <f>IF(E3="","",E3)</f>
        <v/>
      </c>
      <c r="W3" s="104" t="s">
        <v>7</v>
      </c>
      <c r="X3" s="105"/>
      <c r="Y3" s="196" t="str">
        <f>IF(H3="","",H3)</f>
        <v/>
      </c>
      <c r="Z3" s="194" t="str">
        <f>IF(I3="","",I3)</f>
        <v/>
      </c>
      <c r="AA3" s="197" t="str">
        <f>IF(J3="","",J3)</f>
        <v/>
      </c>
      <c r="AB3" s="119" t="s">
        <v>8</v>
      </c>
      <c r="AC3" s="120"/>
      <c r="AD3" s="196" t="str">
        <f>IF(M3="","",M3)</f>
        <v/>
      </c>
      <c r="AE3" s="194" t="str">
        <f>IF(N3="","",N3)</f>
        <v/>
      </c>
      <c r="AF3" s="197" t="str">
        <f>IF(O3="","",O3)</f>
        <v/>
      </c>
      <c r="AG3" s="124" t="s">
        <v>9</v>
      </c>
      <c r="AH3" s="125"/>
      <c r="AI3" s="126" t="s">
        <v>10</v>
      </c>
      <c r="AJ3" s="127"/>
      <c r="AK3" s="193" t="str">
        <f>IF(T3="","",T3)</f>
        <v>CH1/1</v>
      </c>
      <c r="AL3" s="194" t="str">
        <f>IF(U3="","",U3)</f>
        <v>EVAL</v>
      </c>
      <c r="AM3" s="195" t="str">
        <f>IF(V3="","",V3)</f>
        <v/>
      </c>
      <c r="AN3" s="104" t="s">
        <v>7</v>
      </c>
      <c r="AO3" s="105"/>
      <c r="AP3" s="196" t="str">
        <f>IF(Y3="","",Y3)</f>
        <v/>
      </c>
      <c r="AQ3" s="194" t="str">
        <f>IF(Z3="","",Z3)</f>
        <v/>
      </c>
      <c r="AR3" s="197" t="str">
        <f>IF(AA3="","",AA3)</f>
        <v/>
      </c>
      <c r="AS3" s="119" t="s">
        <v>8</v>
      </c>
      <c r="AT3" s="120"/>
      <c r="AU3" s="196" t="str">
        <f>IF(AD3="","",AD3)</f>
        <v/>
      </c>
      <c r="AV3" s="194" t="str">
        <f>IF(AE3="","",AE3)</f>
        <v/>
      </c>
      <c r="AW3" s="197" t="str">
        <f>IF(AF3="","",AF3)</f>
        <v/>
      </c>
      <c r="AX3" s="124" t="s">
        <v>9</v>
      </c>
      <c r="AY3" s="125"/>
      <c r="AZ3" s="126" t="s">
        <v>10</v>
      </c>
      <c r="BA3" s="127"/>
      <c r="BB3" s="193" t="str">
        <f>IF(AK3="","",AK3)</f>
        <v>CH1/1</v>
      </c>
      <c r="BC3" s="194" t="str">
        <f>IF(AL3="","",AL3)</f>
        <v>EVAL</v>
      </c>
      <c r="BD3" s="195" t="str">
        <f>IF(AM3="","",AM3)</f>
        <v/>
      </c>
      <c r="BE3" s="104" t="s">
        <v>7</v>
      </c>
      <c r="BF3" s="105"/>
      <c r="BG3" s="196" t="str">
        <f>IF(AP3="","",AP3)</f>
        <v/>
      </c>
      <c r="BH3" s="194" t="str">
        <f>IF(AQ3="","",AQ3)</f>
        <v/>
      </c>
      <c r="BI3" s="197" t="str">
        <f>IF(AR3="","",AR3)</f>
        <v/>
      </c>
      <c r="BJ3" s="119" t="s">
        <v>8</v>
      </c>
      <c r="BK3" s="120"/>
      <c r="BL3" s="196" t="str">
        <f>IF(AU3="","",AU3)</f>
        <v/>
      </c>
      <c r="BM3" s="194" t="str">
        <f>IF(AV3="","",AV3)</f>
        <v/>
      </c>
      <c r="BN3" s="197" t="str">
        <f>IF(AW3="","",AW3)</f>
        <v/>
      </c>
      <c r="BO3" s="124" t="s">
        <v>9</v>
      </c>
      <c r="BP3" s="125"/>
      <c r="BQ3" s="126" t="s">
        <v>10</v>
      </c>
      <c r="BR3" s="127"/>
      <c r="BS3" s="193" t="str">
        <f>IF(BB3="","",BB3)</f>
        <v>CH1/1</v>
      </c>
      <c r="BT3" s="194" t="str">
        <f>IF(BC3="","",BC3)</f>
        <v>EVAL</v>
      </c>
      <c r="BU3" s="195" t="str">
        <f>IF(BD3="","",BD3)</f>
        <v/>
      </c>
      <c r="BV3" s="104" t="s">
        <v>7</v>
      </c>
      <c r="BW3" s="105"/>
      <c r="BX3" s="196" t="str">
        <f>IF(BG3="","",BG3)</f>
        <v/>
      </c>
      <c r="BY3" s="194" t="str">
        <f>IF(BH3="","",BH3)</f>
        <v/>
      </c>
      <c r="BZ3" s="197" t="str">
        <f>IF(BI3="","",BI3)</f>
        <v/>
      </c>
      <c r="CA3" s="119" t="s">
        <v>8</v>
      </c>
      <c r="CB3" s="120"/>
      <c r="CC3" s="196" t="str">
        <f>IF(BL3="","",BL3)</f>
        <v/>
      </c>
      <c r="CD3" s="194" t="str">
        <f>IF(BM3="","",BM3)</f>
        <v/>
      </c>
      <c r="CE3" s="197" t="str">
        <f>IF(BN3="","",BN3)</f>
        <v/>
      </c>
      <c r="CF3" s="124" t="s">
        <v>9</v>
      </c>
      <c r="CG3" s="125"/>
      <c r="CH3" s="126" t="s">
        <v>10</v>
      </c>
      <c r="CI3" s="127"/>
      <c r="CJ3" s="193" t="str">
        <f>IF(BS3="","",BS3)</f>
        <v>CH1/1</v>
      </c>
      <c r="CK3" s="194" t="str">
        <f>IF(BT3="","",BT3)</f>
        <v>EVAL</v>
      </c>
      <c r="CL3" s="195" t="str">
        <f>IF(BU3="","",BU3)</f>
        <v/>
      </c>
      <c r="CM3" s="104" t="s">
        <v>7</v>
      </c>
      <c r="CN3" s="105"/>
      <c r="CO3" s="196" t="str">
        <f>IF(BX3="","",BX3)</f>
        <v/>
      </c>
      <c r="CP3" s="194" t="str">
        <f>IF(BY3="","",BY3)</f>
        <v/>
      </c>
      <c r="CQ3" s="197" t="str">
        <f>IF(BZ3="","",BZ3)</f>
        <v/>
      </c>
      <c r="CR3" s="119" t="s">
        <v>8</v>
      </c>
      <c r="CS3" s="120"/>
      <c r="CT3" s="196" t="str">
        <f>IF(CC3="","",CC3)</f>
        <v/>
      </c>
      <c r="CU3" s="194" t="str">
        <f>IF(CD3="","",CD3)</f>
        <v/>
      </c>
      <c r="CV3" s="197" t="str">
        <f>IF(CE3="","",CE3)</f>
        <v/>
      </c>
      <c r="CW3" s="124" t="s">
        <v>9</v>
      </c>
      <c r="CX3" s="125"/>
      <c r="CY3" s="126" t="s">
        <v>10</v>
      </c>
      <c r="CZ3" s="127"/>
      <c r="DA3" s="193" t="str">
        <f>IF(CJ3="","",CJ3)</f>
        <v>CH1/1</v>
      </c>
      <c r="DB3" s="194" t="str">
        <f>IF(CK3="","",CK3)</f>
        <v>EVAL</v>
      </c>
      <c r="DC3" s="195" t="str">
        <f>IF(CL3="","",CL3)</f>
        <v/>
      </c>
      <c r="DD3" s="104" t="s">
        <v>7</v>
      </c>
      <c r="DE3" s="105"/>
      <c r="DF3" s="196" t="str">
        <f>IF(CO3="","",CO3)</f>
        <v/>
      </c>
      <c r="DG3" s="194" t="str">
        <f>IF(CP3="","",CP3)</f>
        <v/>
      </c>
      <c r="DH3" s="197" t="str">
        <f>IF(CQ3="","",CQ3)</f>
        <v/>
      </c>
      <c r="DI3" s="119" t="s">
        <v>8</v>
      </c>
      <c r="DJ3" s="120"/>
      <c r="DK3" s="196" t="str">
        <f>IF(CT3="","",CT3)</f>
        <v/>
      </c>
      <c r="DL3" s="194" t="str">
        <f>IF(CU3="","",CU3)</f>
        <v/>
      </c>
      <c r="DM3" s="197" t="str">
        <f>IF(CV3="","",CV3)</f>
        <v/>
      </c>
      <c r="DN3" s="124" t="s">
        <v>9</v>
      </c>
      <c r="DO3" s="125"/>
      <c r="DP3" s="126" t="s">
        <v>10</v>
      </c>
      <c r="DQ3" s="127"/>
      <c r="DR3" s="193" t="str">
        <f>IF(DA3="","",DA3)</f>
        <v>CH1/1</v>
      </c>
      <c r="DS3" s="194" t="str">
        <f>IF(DB3="","",DB3)</f>
        <v>EVAL</v>
      </c>
      <c r="DT3" s="195" t="str">
        <f>IF(DC3="","",DC3)</f>
        <v/>
      </c>
      <c r="DU3" s="104" t="s">
        <v>7</v>
      </c>
      <c r="DV3" s="105"/>
      <c r="DW3" s="196" t="str">
        <f>IF(DF3="","",DF3)</f>
        <v/>
      </c>
      <c r="DX3" s="194" t="str">
        <f>IF(DG3="","",DG3)</f>
        <v/>
      </c>
      <c r="DY3" s="197" t="str">
        <f>IF(DH3="","",DH3)</f>
        <v/>
      </c>
      <c r="DZ3" s="119" t="s">
        <v>8</v>
      </c>
      <c r="EA3" s="120"/>
      <c r="EB3" s="196" t="str">
        <f>IF(DK3="","",DK3)</f>
        <v/>
      </c>
      <c r="EC3" s="194" t="str">
        <f>IF(DL3="","",DL3)</f>
        <v/>
      </c>
      <c r="ED3" s="197" t="str">
        <f>IF(DM3="","",DM3)</f>
        <v/>
      </c>
      <c r="EE3" s="124" t="s">
        <v>9</v>
      </c>
      <c r="EF3" s="125"/>
      <c r="EG3" s="126" t="s">
        <v>10</v>
      </c>
      <c r="EH3" s="127"/>
      <c r="EI3" s="193" t="str">
        <f>IF(DR3="","",DR3)</f>
        <v>CH1/1</v>
      </c>
      <c r="EJ3" s="194" t="str">
        <f>IF(DS3="","",DS3)</f>
        <v>EVAL</v>
      </c>
      <c r="EK3" s="195" t="str">
        <f>IF(DT3="","",DT3)</f>
        <v/>
      </c>
      <c r="EL3" s="104" t="s">
        <v>7</v>
      </c>
      <c r="EM3" s="105"/>
      <c r="EN3" s="196" t="str">
        <f>IF(DW3="","",DW3)</f>
        <v/>
      </c>
      <c r="EO3" s="194" t="str">
        <f>IF(DX3="","",DX3)</f>
        <v/>
      </c>
      <c r="EP3" s="197" t="str">
        <f>IF(DY3="","",DY3)</f>
        <v/>
      </c>
      <c r="EQ3" s="119" t="s">
        <v>8</v>
      </c>
      <c r="ER3" s="120"/>
      <c r="ES3" s="196" t="str">
        <f>IF(EB3="","",EB3)</f>
        <v/>
      </c>
      <c r="ET3" s="194" t="str">
        <f>IF(EC3="","",EC3)</f>
        <v/>
      </c>
      <c r="EU3" s="197" t="str">
        <f>IF(ED3="","",ED3)</f>
        <v/>
      </c>
      <c r="EV3" s="124" t="s">
        <v>9</v>
      </c>
      <c r="EW3" s="125"/>
      <c r="EX3" s="126" t="s">
        <v>10</v>
      </c>
      <c r="EY3" s="127"/>
      <c r="EZ3" s="193" t="str">
        <f>IF(EI3="","",EI3)</f>
        <v>CH1/1</v>
      </c>
      <c r="FA3" s="194" t="str">
        <f>IF(EJ3="","",EJ3)</f>
        <v>EVAL</v>
      </c>
      <c r="FB3" s="195" t="str">
        <f>IF(EK3="","",EK3)</f>
        <v/>
      </c>
      <c r="FC3" s="104" t="s">
        <v>7</v>
      </c>
      <c r="FD3" s="105"/>
      <c r="FE3" s="196" t="str">
        <f>IF(EN3="","",EN3)</f>
        <v/>
      </c>
      <c r="FF3" s="194" t="str">
        <f>IF(EO3="","",EO3)</f>
        <v/>
      </c>
      <c r="FG3" s="197" t="str">
        <f>IF(EP3="","",EP3)</f>
        <v/>
      </c>
      <c r="FH3" s="119" t="s">
        <v>8</v>
      </c>
      <c r="FI3" s="120"/>
      <c r="FJ3" s="196" t="str">
        <f>IF(ES3="","",ES3)</f>
        <v/>
      </c>
      <c r="FK3" s="194" t="str">
        <f>IF(ET3="","",ET3)</f>
        <v/>
      </c>
      <c r="FL3" s="197" t="str">
        <f>IF(EU3="","",EU3)</f>
        <v/>
      </c>
      <c r="FM3" s="124" t="s">
        <v>9</v>
      </c>
      <c r="FN3" s="125"/>
      <c r="FO3" s="126" t="s">
        <v>10</v>
      </c>
      <c r="FP3" s="127"/>
      <c r="FQ3" s="193" t="str">
        <f>IF(EZ3="","",EZ3)</f>
        <v>CH1/1</v>
      </c>
      <c r="FR3" s="194" t="str">
        <f>IF(FA3="","",FA3)</f>
        <v>EVAL</v>
      </c>
      <c r="FS3" s="195" t="str">
        <f>IF(FB3="","",FB3)</f>
        <v/>
      </c>
      <c r="FT3" s="104" t="s">
        <v>7</v>
      </c>
      <c r="FU3" s="105"/>
      <c r="FV3" s="196" t="str">
        <f>IF(FE3="","",FE3)</f>
        <v/>
      </c>
      <c r="FW3" s="194" t="str">
        <f>IF(FF3="","",FF3)</f>
        <v/>
      </c>
      <c r="FX3" s="197" t="str">
        <f>IF(FG3="","",FG3)</f>
        <v/>
      </c>
      <c r="FY3" s="119" t="s">
        <v>8</v>
      </c>
      <c r="FZ3" s="120"/>
      <c r="GA3" s="196" t="str">
        <f>IF(FJ3="","",FJ3)</f>
        <v/>
      </c>
      <c r="GB3" s="194" t="str">
        <f>IF(FK3="","",FK3)</f>
        <v/>
      </c>
      <c r="GC3" s="197" t="str">
        <f>IF(FL3="","",FL3)</f>
        <v/>
      </c>
      <c r="GD3" s="124" t="s">
        <v>9</v>
      </c>
      <c r="GE3" s="125"/>
      <c r="GF3" s="126" t="s">
        <v>10</v>
      </c>
      <c r="GG3" s="127"/>
      <c r="GH3" s="193" t="str">
        <f>IF(FQ3="","",FQ3)</f>
        <v>CH1/1</v>
      </c>
      <c r="GI3" s="194" t="str">
        <f>IF(FR3="","",FR3)</f>
        <v>EVAL</v>
      </c>
      <c r="GJ3" s="195" t="str">
        <f>IF(FS3="","",FS3)</f>
        <v/>
      </c>
      <c r="GK3" s="104" t="s">
        <v>7</v>
      </c>
      <c r="GL3" s="105"/>
      <c r="GM3" s="196" t="str">
        <f>IF(FV3="","",FV3)</f>
        <v/>
      </c>
      <c r="GN3" s="194" t="str">
        <f>IF(FW3="","",FW3)</f>
        <v/>
      </c>
      <c r="GO3" s="197" t="str">
        <f>IF(FX3="","",FX3)</f>
        <v/>
      </c>
      <c r="GP3" s="119" t="s">
        <v>8</v>
      </c>
      <c r="GQ3" s="120"/>
      <c r="GR3" s="196" t="str">
        <f>IF(GA3="","",GA3)</f>
        <v/>
      </c>
      <c r="GS3" s="194" t="str">
        <f>IF(GB3="","",GB3)</f>
        <v/>
      </c>
      <c r="GT3" s="197" t="str">
        <f>IF(GC3="","",GC3)</f>
        <v/>
      </c>
      <c r="GU3" s="124" t="s">
        <v>9</v>
      </c>
      <c r="GV3" s="125"/>
      <c r="GW3" s="126" t="s">
        <v>10</v>
      </c>
      <c r="GX3" s="127"/>
      <c r="GY3" s="193" t="str">
        <f>IF(GH3="","",GH3)</f>
        <v>CH1/1</v>
      </c>
      <c r="GZ3" s="194" t="str">
        <f>IF(GI3="","",GI3)</f>
        <v>EVAL</v>
      </c>
      <c r="HA3" s="195" t="str">
        <f>IF(GJ3="","",GJ3)</f>
        <v/>
      </c>
      <c r="HB3" s="104" t="s">
        <v>7</v>
      </c>
      <c r="HC3" s="105"/>
      <c r="HD3" s="196" t="str">
        <f>IF(GM3="","",GM3)</f>
        <v/>
      </c>
      <c r="HE3" s="194" t="str">
        <f>IF(GN3="","",GN3)</f>
        <v/>
      </c>
      <c r="HF3" s="197" t="str">
        <f>IF(GO3="","",GO3)</f>
        <v/>
      </c>
      <c r="HG3" s="119" t="s">
        <v>8</v>
      </c>
      <c r="HH3" s="120"/>
      <c r="HI3" s="196" t="str">
        <f>IF(GR3="","",GR3)</f>
        <v/>
      </c>
      <c r="HJ3" s="194" t="str">
        <f>IF(GS3="","",GS3)</f>
        <v/>
      </c>
      <c r="HK3" s="197" t="str">
        <f>IF(GT3="","",GT3)</f>
        <v/>
      </c>
      <c r="HL3" s="124" t="s">
        <v>9</v>
      </c>
      <c r="HM3" s="125"/>
      <c r="HN3" s="126" t="s">
        <v>10</v>
      </c>
      <c r="HO3" s="127"/>
      <c r="HP3" s="193" t="str">
        <f>IF(GY3="","",GY3)</f>
        <v>CH1/1</v>
      </c>
      <c r="HQ3" s="194" t="str">
        <f>IF(GZ3="","",GZ3)</f>
        <v>EVAL</v>
      </c>
      <c r="HR3" s="195" t="str">
        <f>IF(HA3="","",HA3)</f>
        <v/>
      </c>
      <c r="HS3" s="104" t="s">
        <v>7</v>
      </c>
      <c r="HT3" s="105"/>
      <c r="HU3" s="196" t="str">
        <f>IF(HD3="","",HD3)</f>
        <v/>
      </c>
      <c r="HV3" s="194" t="str">
        <f>IF(HE3="","",HE3)</f>
        <v/>
      </c>
      <c r="HW3" s="197" t="str">
        <f>IF(HF3="","",HF3)</f>
        <v/>
      </c>
      <c r="HX3" s="119" t="s">
        <v>8</v>
      </c>
      <c r="HY3" s="120"/>
      <c r="HZ3" s="196" t="str">
        <f>IF(HI3="","",HI3)</f>
        <v/>
      </c>
      <c r="IA3" s="194" t="str">
        <f>IF(HJ3="","",HJ3)</f>
        <v/>
      </c>
      <c r="IB3" s="197" t="str">
        <f>IF(HK3="","",HK3)</f>
        <v/>
      </c>
      <c r="IC3" s="124" t="s">
        <v>9</v>
      </c>
      <c r="ID3" s="125"/>
      <c r="IE3" s="126" t="s">
        <v>10</v>
      </c>
      <c r="IF3" s="127"/>
      <c r="IG3" s="193" t="str">
        <f>IF(HP3="","",HP3)</f>
        <v>CH1/1</v>
      </c>
      <c r="IH3" s="194" t="str">
        <f>IF(HQ3="","",HQ3)</f>
        <v>EVAL</v>
      </c>
      <c r="II3" s="195" t="str">
        <f>IF(HR3="","",HR3)</f>
        <v/>
      </c>
      <c r="IJ3" s="104" t="s">
        <v>7</v>
      </c>
      <c r="IK3" s="105"/>
      <c r="IL3" s="196" t="str">
        <f>IF(HU3="","",HU3)</f>
        <v/>
      </c>
      <c r="IM3" s="194" t="str">
        <f>IF(HV3="","",HV3)</f>
        <v/>
      </c>
      <c r="IN3" s="197" t="str">
        <f>IF(HW3="","",HW3)</f>
        <v/>
      </c>
      <c r="IO3" s="119" t="s">
        <v>8</v>
      </c>
      <c r="IP3" s="120"/>
      <c r="IQ3" s="196" t="str">
        <f>IF(HZ3="","",HZ3)</f>
        <v/>
      </c>
      <c r="IR3" s="194" t="str">
        <f>IF(IA3="","",IA3)</f>
        <v/>
      </c>
      <c r="IS3" s="197" t="str">
        <f>IF(IB3="","",IB3)</f>
        <v/>
      </c>
      <c r="IT3" s="124" t="s">
        <v>9</v>
      </c>
      <c r="IU3" s="125"/>
      <c r="IV3" s="126" t="s">
        <v>10</v>
      </c>
      <c r="IW3" s="127"/>
      <c r="IX3" s="193" t="str">
        <f>IF(IG3="","",IG3)</f>
        <v>CH1/1</v>
      </c>
      <c r="IY3" s="194" t="str">
        <f>IF(IH3="","",IH3)</f>
        <v>EVAL</v>
      </c>
      <c r="IZ3" s="195" t="str">
        <f>IF(II3="","",II3)</f>
        <v/>
      </c>
      <c r="JA3" s="104" t="s">
        <v>7</v>
      </c>
      <c r="JB3" s="105"/>
      <c r="JC3" s="196" t="str">
        <f>IF(IL3="","",IL3)</f>
        <v/>
      </c>
      <c r="JD3" s="194" t="str">
        <f>IF(IM3="","",IM3)</f>
        <v/>
      </c>
      <c r="JE3" s="197" t="str">
        <f>IF(IN3="","",IN3)</f>
        <v/>
      </c>
      <c r="JF3" s="119" t="s">
        <v>8</v>
      </c>
      <c r="JG3" s="120"/>
      <c r="JH3" s="196" t="str">
        <f>IF(IQ3="","",IQ3)</f>
        <v/>
      </c>
      <c r="JI3" s="194" t="str">
        <f>IF(IR3="","",IR3)</f>
        <v/>
      </c>
      <c r="JJ3" s="197" t="str">
        <f>IF(IS3="","",IS3)</f>
        <v/>
      </c>
      <c r="JK3" s="124" t="s">
        <v>9</v>
      </c>
      <c r="JL3" s="125"/>
      <c r="JM3" s="126" t="s">
        <v>10</v>
      </c>
      <c r="JN3" s="127"/>
      <c r="JO3" s="193" t="str">
        <f>IF(IX3="","",IX3)</f>
        <v>CH1/1</v>
      </c>
      <c r="JP3" s="194" t="str">
        <f>IF(IY3="","",IY3)</f>
        <v>EVAL</v>
      </c>
      <c r="JQ3" s="195" t="str">
        <f>IF(IZ3="","",IZ3)</f>
        <v/>
      </c>
      <c r="JR3" s="104" t="s">
        <v>7</v>
      </c>
      <c r="JS3" s="105"/>
      <c r="JT3" s="196" t="str">
        <f>IF(JC3="","",JC3)</f>
        <v/>
      </c>
      <c r="JU3" s="194" t="str">
        <f>IF(JD3="","",JD3)</f>
        <v/>
      </c>
      <c r="JV3" s="197" t="str">
        <f>IF(JE3="","",JE3)</f>
        <v/>
      </c>
      <c r="JW3" s="119" t="s">
        <v>8</v>
      </c>
      <c r="JX3" s="120"/>
      <c r="JY3" s="196" t="str">
        <f>IF(JH3="","",JH3)</f>
        <v/>
      </c>
      <c r="JZ3" s="194" t="str">
        <f>IF(JI3="","",JI3)</f>
        <v/>
      </c>
      <c r="KA3" s="197" t="str">
        <f>IF(JJ3="","",JJ3)</f>
        <v/>
      </c>
      <c r="KB3" s="124" t="s">
        <v>9</v>
      </c>
      <c r="KC3" s="125"/>
      <c r="KD3" s="126" t="s">
        <v>10</v>
      </c>
      <c r="KE3" s="127"/>
      <c r="KF3" s="193" t="str">
        <f>IF(JO3="","",JO3)</f>
        <v>CH1/1</v>
      </c>
      <c r="KG3" s="194" t="str">
        <f>IF(JP3="","",JP3)</f>
        <v>EVAL</v>
      </c>
      <c r="KH3" s="195" t="str">
        <f>IF(JQ3="","",JQ3)</f>
        <v/>
      </c>
      <c r="KI3" s="104" t="s">
        <v>7</v>
      </c>
      <c r="KJ3" s="105"/>
      <c r="KK3" s="196" t="str">
        <f>IF(JT3="","",JT3)</f>
        <v/>
      </c>
      <c r="KL3" s="194" t="str">
        <f>IF(JU3="","",JU3)</f>
        <v/>
      </c>
      <c r="KM3" s="197" t="str">
        <f>IF(JV3="","",JV3)</f>
        <v/>
      </c>
      <c r="KN3" s="119" t="s">
        <v>8</v>
      </c>
      <c r="KO3" s="120"/>
      <c r="KP3" s="196" t="str">
        <f>IF(JY3="","",JY3)</f>
        <v/>
      </c>
      <c r="KQ3" s="194" t="str">
        <f>IF(JZ3="","",JZ3)</f>
        <v/>
      </c>
      <c r="KR3" s="197" t="str">
        <f>IF(KA3="","",KA3)</f>
        <v/>
      </c>
      <c r="KS3" s="124" t="s">
        <v>9</v>
      </c>
      <c r="KT3" s="125"/>
      <c r="KU3" s="126" t="s">
        <v>10</v>
      </c>
      <c r="KV3" s="127"/>
      <c r="KW3" s="193" t="str">
        <f>IF(KF3="","",KF3)</f>
        <v>CH1/1</v>
      </c>
      <c r="KX3" s="194" t="str">
        <f>IF(KG3="","",KG3)</f>
        <v>EVAL</v>
      </c>
      <c r="KY3" s="195" t="str">
        <f>IF(KH3="","",KH3)</f>
        <v/>
      </c>
      <c r="KZ3" s="104" t="s">
        <v>7</v>
      </c>
      <c r="LA3" s="105"/>
      <c r="LB3" s="196" t="str">
        <f>IF(KK3="","",KK3)</f>
        <v/>
      </c>
      <c r="LC3" s="194" t="str">
        <f>IF(KL3="","",KL3)</f>
        <v/>
      </c>
      <c r="LD3" s="197" t="str">
        <f>IF(KM3="","",KM3)</f>
        <v/>
      </c>
      <c r="LE3" s="119" t="s">
        <v>8</v>
      </c>
      <c r="LF3" s="120"/>
      <c r="LG3" s="196" t="str">
        <f>IF(KP3="","",KP3)</f>
        <v/>
      </c>
      <c r="LH3" s="194" t="str">
        <f>IF(KQ3="","",KQ3)</f>
        <v/>
      </c>
      <c r="LI3" s="197" t="str">
        <f>IF(KR3="","",KR3)</f>
        <v/>
      </c>
      <c r="LJ3" s="124" t="s">
        <v>9</v>
      </c>
      <c r="LK3" s="125"/>
      <c r="LL3" s="126" t="s">
        <v>10</v>
      </c>
      <c r="LM3" s="127"/>
      <c r="LN3" s="193" t="str">
        <f>IF(KW3="","",KW3)</f>
        <v>CH1/1</v>
      </c>
      <c r="LO3" s="194" t="str">
        <f>IF(KX3="","",KX3)</f>
        <v>EVAL</v>
      </c>
      <c r="LP3" s="195" t="str">
        <f>IF(KY3="","",KY3)</f>
        <v/>
      </c>
      <c r="LQ3" s="104" t="s">
        <v>7</v>
      </c>
      <c r="LR3" s="105"/>
      <c r="LS3" s="196" t="str">
        <f>IF(LB3="","",LB3)</f>
        <v/>
      </c>
      <c r="LT3" s="194" t="str">
        <f>IF(LC3="","",LC3)</f>
        <v/>
      </c>
      <c r="LU3" s="197" t="str">
        <f>IF(LD3="","",LD3)</f>
        <v/>
      </c>
      <c r="LV3" s="119" t="s">
        <v>8</v>
      </c>
      <c r="LW3" s="120"/>
      <c r="LX3" s="196" t="str">
        <f>IF(LG3="","",LG3)</f>
        <v/>
      </c>
      <c r="LY3" s="194" t="str">
        <f>IF(LH3="","",LH3)</f>
        <v/>
      </c>
      <c r="LZ3" s="197" t="str">
        <f>IF(LI3="","",LI3)</f>
        <v/>
      </c>
      <c r="MA3" s="124" t="s">
        <v>9</v>
      </c>
      <c r="MB3" s="125"/>
      <c r="MC3" s="126" t="s">
        <v>10</v>
      </c>
      <c r="MD3" s="127"/>
      <c r="ME3" s="193" t="str">
        <f>IF(LN3="","",LN3)</f>
        <v>CH1/1</v>
      </c>
      <c r="MF3" s="194" t="str">
        <f>IF(LO3="","",LO3)</f>
        <v>EVAL</v>
      </c>
      <c r="MG3" s="195" t="str">
        <f>IF(LP3="","",LP3)</f>
        <v/>
      </c>
      <c r="MH3" s="104" t="s">
        <v>7</v>
      </c>
      <c r="MI3" s="105"/>
      <c r="MJ3" s="196" t="str">
        <f>IF(LS3="","",LS3)</f>
        <v/>
      </c>
      <c r="MK3" s="194" t="str">
        <f>IF(LT3="","",LT3)</f>
        <v/>
      </c>
      <c r="ML3" s="197" t="str">
        <f>IF(LU3="","",LU3)</f>
        <v/>
      </c>
      <c r="MM3" s="119" t="s">
        <v>8</v>
      </c>
      <c r="MN3" s="120"/>
      <c r="MO3" s="196" t="str">
        <f>IF(LX3="","",LX3)</f>
        <v/>
      </c>
      <c r="MP3" s="194" t="str">
        <f>IF(LY3="","",LY3)</f>
        <v/>
      </c>
      <c r="MQ3" s="197" t="str">
        <f>IF(LZ3="","",LZ3)</f>
        <v/>
      </c>
      <c r="MR3" s="124" t="s">
        <v>9</v>
      </c>
      <c r="MS3" s="125"/>
      <c r="MT3" s="126" t="s">
        <v>10</v>
      </c>
      <c r="MU3" s="127"/>
      <c r="MV3" s="193" t="str">
        <f>IF(ME3="","",ME3)</f>
        <v>CH1/1</v>
      </c>
      <c r="MW3" s="194" t="str">
        <f>IF(MF3="","",MF3)</f>
        <v>EVAL</v>
      </c>
      <c r="MX3" s="195" t="str">
        <f>IF(MG3="","",MG3)</f>
        <v/>
      </c>
      <c r="MY3" s="104" t="s">
        <v>7</v>
      </c>
      <c r="MZ3" s="105"/>
      <c r="NA3" s="196" t="str">
        <f>IF(MJ3="","",MJ3)</f>
        <v/>
      </c>
      <c r="NB3" s="194" t="str">
        <f>IF(MK3="","",MK3)</f>
        <v/>
      </c>
      <c r="NC3" s="197" t="str">
        <f>IF(ML3="","",ML3)</f>
        <v/>
      </c>
      <c r="ND3" s="119" t="s">
        <v>8</v>
      </c>
      <c r="NE3" s="120"/>
      <c r="NF3" s="196" t="str">
        <f>IF(MO3="","",MO3)</f>
        <v/>
      </c>
      <c r="NG3" s="194" t="str">
        <f>IF(MP3="","",MP3)</f>
        <v/>
      </c>
      <c r="NH3" s="197" t="str">
        <f>IF(MQ3="","",MQ3)</f>
        <v/>
      </c>
      <c r="NI3" s="124" t="s">
        <v>9</v>
      </c>
      <c r="NJ3" s="125"/>
      <c r="NK3" s="126" t="s">
        <v>10</v>
      </c>
      <c r="NL3" s="127"/>
      <c r="NM3" s="193" t="str">
        <f>IF(MV3="","",MV3)</f>
        <v>CH1/1</v>
      </c>
      <c r="NN3" s="194" t="str">
        <f>IF(MW3="","",MW3)</f>
        <v>EVAL</v>
      </c>
      <c r="NO3" s="195" t="str">
        <f>IF(MX3="","",MX3)</f>
        <v/>
      </c>
      <c r="NP3" s="104" t="s">
        <v>7</v>
      </c>
      <c r="NQ3" s="105"/>
      <c r="NR3" s="196" t="str">
        <f>IF(NA3="","",NA3)</f>
        <v/>
      </c>
      <c r="NS3" s="194" t="str">
        <f>IF(NB3="","",NB3)</f>
        <v/>
      </c>
      <c r="NT3" s="197" t="str">
        <f>IF(NC3="","",NC3)</f>
        <v/>
      </c>
      <c r="NU3" s="119" t="s">
        <v>8</v>
      </c>
      <c r="NV3" s="120"/>
      <c r="NW3" s="196" t="str">
        <f>IF(NF3="","",NF3)</f>
        <v/>
      </c>
      <c r="NX3" s="194" t="str">
        <f>IF(NG3="","",NG3)</f>
        <v/>
      </c>
      <c r="NY3" s="197" t="str">
        <f>IF(NH3="","",NH3)</f>
        <v/>
      </c>
      <c r="NZ3" s="124" t="s">
        <v>9</v>
      </c>
      <c r="OA3" s="125"/>
      <c r="OB3" s="126" t="s">
        <v>10</v>
      </c>
      <c r="OC3" s="127"/>
      <c r="OD3" s="193" t="str">
        <f>IF(NM3="","",NM3)</f>
        <v>CH1/1</v>
      </c>
      <c r="OE3" s="194" t="str">
        <f>IF(NN3="","",NN3)</f>
        <v>EVAL</v>
      </c>
      <c r="OF3" s="195" t="str">
        <f>IF(NO3="","",NO3)</f>
        <v/>
      </c>
      <c r="OG3" s="104" t="s">
        <v>7</v>
      </c>
      <c r="OH3" s="105"/>
      <c r="OI3" s="196" t="str">
        <f>IF(NR3="","",NR3)</f>
        <v/>
      </c>
      <c r="OJ3" s="194" t="str">
        <f>IF(NS3="","",NS3)</f>
        <v/>
      </c>
      <c r="OK3" s="197" t="str">
        <f>IF(NT3="","",NT3)</f>
        <v/>
      </c>
      <c r="OL3" s="119" t="s">
        <v>8</v>
      </c>
      <c r="OM3" s="120"/>
      <c r="ON3" s="196" t="str">
        <f>IF(NW3="","",NW3)</f>
        <v/>
      </c>
      <c r="OO3" s="194" t="str">
        <f>IF(NX3="","",NX3)</f>
        <v/>
      </c>
      <c r="OP3" s="197" t="str">
        <f>IF(NY3="","",NY3)</f>
        <v/>
      </c>
      <c r="OQ3" s="124" t="s">
        <v>9</v>
      </c>
      <c r="OR3" s="125"/>
      <c r="OS3" s="126" t="s">
        <v>10</v>
      </c>
      <c r="OT3" s="127"/>
      <c r="OU3" s="193" t="str">
        <f>IF(OD3="","",OD3)</f>
        <v>CH1/1</v>
      </c>
      <c r="OV3" s="194" t="str">
        <f>IF(OE3="","",OE3)</f>
        <v>EVAL</v>
      </c>
      <c r="OW3" s="195" t="str">
        <f>IF(OF3="","",OF3)</f>
        <v/>
      </c>
      <c r="OX3" s="104" t="s">
        <v>7</v>
      </c>
      <c r="OY3" s="105"/>
      <c r="OZ3" s="196" t="str">
        <f>IF(OI3="","",OI3)</f>
        <v/>
      </c>
      <c r="PA3" s="194" t="str">
        <f>IF(OJ3="","",OJ3)</f>
        <v/>
      </c>
      <c r="PB3" s="197" t="str">
        <f>IF(OK3="","",OK3)</f>
        <v/>
      </c>
      <c r="PC3" s="119" t="s">
        <v>8</v>
      </c>
      <c r="PD3" s="120"/>
      <c r="PE3" s="196" t="str">
        <f>IF(ON3="","",ON3)</f>
        <v/>
      </c>
      <c r="PF3" s="194" t="str">
        <f>IF(OO3="","",OO3)</f>
        <v/>
      </c>
      <c r="PG3" s="197" t="str">
        <f>IF(OP3="","",OP3)</f>
        <v/>
      </c>
      <c r="PH3" s="124" t="s">
        <v>9</v>
      </c>
      <c r="PI3" s="125"/>
      <c r="PJ3" s="126" t="s">
        <v>10</v>
      </c>
      <c r="PK3" s="127"/>
      <c r="PL3" s="193" t="str">
        <f>IF(OU3="","",OU3)</f>
        <v>CH1/1</v>
      </c>
      <c r="PM3" s="194" t="str">
        <f>IF(OV3="","",OV3)</f>
        <v>EVAL</v>
      </c>
      <c r="PN3" s="195" t="str">
        <f>IF(OW3="","",OW3)</f>
        <v/>
      </c>
      <c r="PO3" s="104" t="s">
        <v>7</v>
      </c>
      <c r="PP3" s="105"/>
      <c r="PQ3" s="196" t="str">
        <f>IF(OZ3="","",OZ3)</f>
        <v/>
      </c>
      <c r="PR3" s="194" t="str">
        <f>IF(PA3="","",PA3)</f>
        <v/>
      </c>
      <c r="PS3" s="197" t="str">
        <f>IF(PB3="","",PB3)</f>
        <v/>
      </c>
      <c r="PT3" s="119" t="s">
        <v>8</v>
      </c>
      <c r="PU3" s="120"/>
      <c r="PV3" s="196" t="str">
        <f>IF(PE3="","",PE3)</f>
        <v/>
      </c>
      <c r="PW3" s="194" t="str">
        <f>IF(PF3="","",PF3)</f>
        <v/>
      </c>
      <c r="PX3" s="197" t="str">
        <f>IF(PG3="","",PG3)</f>
        <v/>
      </c>
      <c r="PY3" s="124" t="s">
        <v>9</v>
      </c>
      <c r="PZ3" s="125"/>
      <c r="QA3" s="126" t="s">
        <v>10</v>
      </c>
      <c r="QB3" s="127"/>
      <c r="QC3" s="193" t="str">
        <f>IF(PL3="","",PL3)</f>
        <v>CH1/1</v>
      </c>
      <c r="QD3" s="194" t="str">
        <f>IF(PM3="","",PM3)</f>
        <v>EVAL</v>
      </c>
      <c r="QE3" s="195" t="str">
        <f>IF(PN3="","",PN3)</f>
        <v/>
      </c>
      <c r="QF3" s="104" t="s">
        <v>7</v>
      </c>
      <c r="QG3" s="105"/>
      <c r="QH3" s="196" t="str">
        <f>IF(PQ3="","",PQ3)</f>
        <v/>
      </c>
      <c r="QI3" s="194" t="str">
        <f>IF(PR3="","",PR3)</f>
        <v/>
      </c>
      <c r="QJ3" s="197" t="str">
        <f>IF(PS3="","",PS3)</f>
        <v/>
      </c>
      <c r="QK3" s="119" t="s">
        <v>8</v>
      </c>
      <c r="QL3" s="120"/>
      <c r="QM3" s="196" t="str">
        <f>IF(PV3="","",PV3)</f>
        <v/>
      </c>
      <c r="QN3" s="194" t="str">
        <f>IF(PW3="","",PW3)</f>
        <v/>
      </c>
      <c r="QO3" s="197" t="str">
        <f>IF(PX3="","",PX3)</f>
        <v/>
      </c>
      <c r="QP3" s="124" t="s">
        <v>9</v>
      </c>
      <c r="QQ3" s="125"/>
      <c r="QR3" s="126" t="s">
        <v>10</v>
      </c>
      <c r="QS3" s="127"/>
      <c r="QT3" s="193" t="str">
        <f>IF(QC3="","",QC3)</f>
        <v>CH1/1</v>
      </c>
      <c r="QU3" s="194" t="str">
        <f>IF(QD3="","",QD3)</f>
        <v>EVAL</v>
      </c>
      <c r="QV3" s="195" t="str">
        <f>IF(QE3="","",QE3)</f>
        <v/>
      </c>
      <c r="QW3" s="104" t="s">
        <v>7</v>
      </c>
      <c r="QX3" s="105"/>
      <c r="QY3" s="196" t="str">
        <f>IF(QH3="","",QH3)</f>
        <v/>
      </c>
      <c r="QZ3" s="194" t="str">
        <f>IF(QI3="","",QI3)</f>
        <v/>
      </c>
      <c r="RA3" s="197" t="str">
        <f>IF(QJ3="","",QJ3)</f>
        <v/>
      </c>
      <c r="RB3" s="119" t="s">
        <v>8</v>
      </c>
      <c r="RC3" s="120"/>
      <c r="RD3" s="196" t="str">
        <f>IF(QM3="","",QM3)</f>
        <v/>
      </c>
      <c r="RE3" s="194" t="str">
        <f>IF(QN3="","",QN3)</f>
        <v/>
      </c>
      <c r="RF3" s="197" t="str">
        <f>IF(QO3="","",QO3)</f>
        <v/>
      </c>
      <c r="RG3" s="124" t="s">
        <v>9</v>
      </c>
      <c r="RH3" s="125"/>
      <c r="RI3" s="126" t="s">
        <v>10</v>
      </c>
      <c r="RJ3" s="127"/>
      <c r="RK3" s="193" t="str">
        <f>IF(QT3="","",QT3)</f>
        <v>CH1/1</v>
      </c>
      <c r="RL3" s="194" t="str">
        <f>IF(QU3="","",QU3)</f>
        <v>EVAL</v>
      </c>
      <c r="RM3" s="195" t="str">
        <f>IF(QV3="","",QV3)</f>
        <v/>
      </c>
      <c r="RN3" s="104" t="s">
        <v>7</v>
      </c>
      <c r="RO3" s="105"/>
      <c r="RP3" s="196" t="str">
        <f>IF(QY3="","",QY3)</f>
        <v/>
      </c>
      <c r="RQ3" s="194" t="str">
        <f>IF(QZ3="","",QZ3)</f>
        <v/>
      </c>
      <c r="RR3" s="197" t="str">
        <f>IF(RA3="","",RA3)</f>
        <v/>
      </c>
      <c r="RS3" s="119" t="s">
        <v>8</v>
      </c>
      <c r="RT3" s="120"/>
      <c r="RU3" s="196" t="str">
        <f>IF(RD3="","",RD3)</f>
        <v/>
      </c>
      <c r="RV3" s="194" t="str">
        <f>IF(RE3="","",RE3)</f>
        <v/>
      </c>
      <c r="RW3" s="197" t="str">
        <f>IF(RF3="","",RF3)</f>
        <v/>
      </c>
      <c r="RX3" s="124" t="s">
        <v>9</v>
      </c>
      <c r="RY3" s="125"/>
      <c r="RZ3" s="126" t="s">
        <v>10</v>
      </c>
      <c r="SA3" s="127"/>
      <c r="SB3" s="193" t="str">
        <f>IF(RK3="","",RK3)</f>
        <v>CH1/1</v>
      </c>
      <c r="SC3" s="194" t="str">
        <f>IF(RL3="","",RL3)</f>
        <v>EVAL</v>
      </c>
      <c r="SD3" s="195" t="str">
        <f>IF(RM3="","",RM3)</f>
        <v/>
      </c>
      <c r="SE3" s="104" t="s">
        <v>7</v>
      </c>
      <c r="SF3" s="105"/>
      <c r="SG3" s="196" t="str">
        <f>IF(RP3="","",RP3)</f>
        <v/>
      </c>
      <c r="SH3" s="194" t="str">
        <f>IF(RQ3="","",RQ3)</f>
        <v/>
      </c>
      <c r="SI3" s="197" t="str">
        <f>IF(RR3="","",RR3)</f>
        <v/>
      </c>
      <c r="SJ3" s="119" t="s">
        <v>8</v>
      </c>
      <c r="SK3" s="120"/>
      <c r="SL3" s="196" t="str">
        <f>IF(RU3="","",RU3)</f>
        <v/>
      </c>
      <c r="SM3" s="194" t="str">
        <f>IF(RV3="","",RV3)</f>
        <v/>
      </c>
      <c r="SN3" s="197" t="str">
        <f>IF(RW3="","",RW3)</f>
        <v/>
      </c>
      <c r="SO3" s="124" t="s">
        <v>9</v>
      </c>
      <c r="SP3" s="125"/>
      <c r="SQ3" s="126" t="s">
        <v>10</v>
      </c>
      <c r="SR3" s="127"/>
    </row>
    <row r="4" spans="1:512" s="198" customFormat="1" ht="30" customHeight="1" thickBot="1" x14ac:dyDescent="0.3">
      <c r="A4" s="95" t="s">
        <v>11</v>
      </c>
      <c r="B4" s="76">
        <v>2</v>
      </c>
      <c r="C4" s="152"/>
      <c r="D4" s="185"/>
      <c r="E4" s="185"/>
      <c r="F4" s="106" t="str">
        <f>IFERROR((((COUNTIF('Elève (6ème5)'!C5:E6,"A"))*4)+((COUNTIF('Elève (6ème5)'!C5:E6,"B"))*3)+((COUNTIF('Elève (6ème5)'!C5:E6,"C"))*2)+((COUNTIF('Elève (6ème5)'!C5:E6,"D"))*1))/(COUNTA(C5:E6)),"")</f>
        <v/>
      </c>
      <c r="G4" s="107" t="str">
        <f t="shared" ref="G4:G19" si="0">IF(F4="","",IF(F4&gt;3.7,"A",IF(F4&gt;2.8,"B",IF(F4&gt;1.5,"C",IF(F4&gt;0,"D",IF(F4=0,""))))))</f>
        <v/>
      </c>
      <c r="H4" s="204"/>
      <c r="I4" s="186"/>
      <c r="J4" s="205"/>
      <c r="K4" s="106" t="str">
        <f>IFERROR((((COUNTIF('Elève (6ème5)'!H5:J6,"A"))*4)+((COUNTIF('Elève (6ème5)'!H5:J6,"B"))*3)+((COUNTIF('Elève (6ème5)'!H5:J6,"C"))*2)+((COUNTIF('Elève (6ème5)'!H5:J6,"D"))*1))/(COUNTA(H5:J6)),"")</f>
        <v/>
      </c>
      <c r="L4" s="121" t="str">
        <f t="shared" ref="L4:L19" si="1">IF(K4="","",IF(K4&gt;3.7,"A",IF(K4&gt;2.8,"B",IF(K4&gt;1.5,"C",IF(K4&gt;0,"D",IF(K4=0,""))))))</f>
        <v/>
      </c>
      <c r="M4" s="100"/>
      <c r="N4" s="187"/>
      <c r="O4" s="188"/>
      <c r="P4" s="106" t="str">
        <f>IFERROR((((COUNTIF('Elève (6ème5)'!M5:O6,"A"))*4)+((COUNTIF('Elève (6ème5)'!M5:O6,"B"))*3)+((COUNTIF('Elève (6ème5)'!M5:O6,"C"))*2)+((COUNTIF('Elève (6ème5)'!M5:O6,"D"))*1))/(COUNTA(M5:O6)),"")</f>
        <v/>
      </c>
      <c r="Q4" s="128" t="str">
        <f t="shared" ref="Q4:Q19" si="2">IF(P4="","",IF(P4&gt;3.7,"A",IF(P4&gt;2.8,"B",IF(P4&gt;1.5,"C",IF(P4&gt;0,"D",IF(P4=0,""))))))</f>
        <v/>
      </c>
      <c r="R4" s="177" t="str">
        <f>IFERROR((((COUNTIF(C5:E6,"A")+COUNTIF(H5:J6,"A")+COUNTIF(M5:O6,"A"))*4)+((COUNTIF(C5:E6,"B")+COUNTIF(H5:J6,"B")+COUNTIF(M5:O6,"B"))*3)+((COUNTIF(C5:E6,"C")+COUNTIF(H5:J6,"C")+COUNTIF(M5:O6,"C"))*2)+((COUNTIF(C5:E6,"D")+COUNTIF(H5:J6,"D")+COUNTIF(M5:O6,"D"))*1))/(COUNTA(C5:E6)+COUNTA(H5:J6)+COUNTA(M5:O6)),"")</f>
        <v/>
      </c>
      <c r="S4" s="130" t="str">
        <f t="shared" ref="S4:S19" si="3">IF(R4="","",IF(R4&gt;3.7,"A",IF(R4&gt;2.8,"B",IF(R4&gt;1.5,"C",IF(R4&gt;0,"D",IF(R4=0,""))))))</f>
        <v/>
      </c>
      <c r="T4" s="152"/>
      <c r="U4" s="185"/>
      <c r="V4" s="185"/>
      <c r="W4" s="106" t="str">
        <f>IFERROR((((COUNTIF('Elève (6ème5)'!T5:V6,"A"))*4)+((COUNTIF('Elève (6ème5)'!T5:V6,"B"))*3)+((COUNTIF('Elève (6ème5)'!T5:V6,"C"))*2)+((COUNTIF('Elève (6ème5)'!T5:V6,"D"))*1))/(COUNTA(T5:V6)),"")</f>
        <v/>
      </c>
      <c r="X4" s="107" t="str">
        <f t="shared" ref="X4:X19" si="4">IF(W4="","",IF(W4&gt;3.7,"A",IF(W4&gt;2.8,"B",IF(W4&gt;1.5,"C",IF(W4&gt;0,"D",IF(W4=0,""))))))</f>
        <v/>
      </c>
      <c r="Y4" s="204"/>
      <c r="Z4" s="186"/>
      <c r="AA4" s="205"/>
      <c r="AB4" s="106" t="str">
        <f>IFERROR((((COUNTIF('Elève (6ème5)'!Y5:AA6,"A"))*4)+((COUNTIF('Elève (6ème5)'!Y5:AA6,"B"))*3)+((COUNTIF('Elève (6ème5)'!Y5:AA6,"C"))*2)+((COUNTIF('Elève (6ème5)'!Y5:AA6,"D"))*1))/(COUNTA(Y5:AA6)),"")</f>
        <v/>
      </c>
      <c r="AC4" s="121" t="str">
        <f t="shared" ref="AC4:AC19" si="5">IF(AB4="","",IF(AB4&gt;3.7,"A",IF(AB4&gt;2.8,"B",IF(AB4&gt;1.5,"C",IF(AB4&gt;0,"D",IF(AB4=0,""))))))</f>
        <v/>
      </c>
      <c r="AD4" s="100"/>
      <c r="AE4" s="187"/>
      <c r="AF4" s="188"/>
      <c r="AG4" s="106" t="str">
        <f>IFERROR((((COUNTIF('Elève (6ème5)'!AD5:AF6,"A"))*4)+((COUNTIF('Elève (6ème5)'!AD5:AF6,"B"))*3)+((COUNTIF('Elève (6ème5)'!AD5:AF6,"C"))*2)+((COUNTIF('Elève (6ème5)'!AD5:AF6,"D"))*1))/(COUNTA(AD5:AF6)),"")</f>
        <v/>
      </c>
      <c r="AH4" s="128" t="str">
        <f t="shared" ref="AH4:AH19" si="6">IF(AG4="","",IF(AG4&gt;3.7,"A",IF(AG4&gt;2.8,"B",IF(AG4&gt;1.5,"C",IF(AG4&gt;0,"D",IF(AG4=0,""))))))</f>
        <v/>
      </c>
      <c r="AI4" s="177" t="str">
        <f>IFERROR((((COUNTIF(T5:V6,"A")+COUNTIF(Y5:AA6,"A")+COUNTIF(AD5:AF6,"A"))*4)+((COUNTIF(T5:V6,"B")+COUNTIF(Y5:AA6,"B")+COUNTIF(AD5:AF6,"B"))*3)+((COUNTIF(T5:V6,"C")+COUNTIF(Y5:AA6,"C")+COUNTIF(AD5:AF6,"C"))*2)+((COUNTIF(T5:V6,"D")+COUNTIF(Y5:AA6,"D")+COUNTIF(AD5:AF6,"D"))*1))/(COUNTA(T5:V6)+COUNTA(Y5:AA6)+COUNTA(AD5:AF6)),"")</f>
        <v/>
      </c>
      <c r="AJ4" s="130" t="str">
        <f t="shared" ref="AJ4:AJ19" si="7">IF(AI4="","",IF(AI4&gt;3.7,"A",IF(AI4&gt;2.8,"B",IF(AI4&gt;1.5,"C",IF(AI4&gt;0,"D",IF(AI4=0,""))))))</f>
        <v/>
      </c>
      <c r="AK4" s="152"/>
      <c r="AL4" s="185"/>
      <c r="AM4" s="185"/>
      <c r="AN4" s="106" t="str">
        <f>IFERROR((((COUNTIF('Elève (6ème5)'!AK5:AM6,"A"))*4)+((COUNTIF('Elève (6ème5)'!AK5:AM6,"B"))*3)+((COUNTIF('Elève (6ème5)'!AK5:AM6,"C"))*2)+((COUNTIF('Elève (6ème5)'!AK5:AM6,"D"))*1))/(COUNTA(AK5:AM6)),"")</f>
        <v/>
      </c>
      <c r="AO4" s="107" t="str">
        <f t="shared" ref="AO4:AO19" si="8">IF(AN4="","",IF(AN4&gt;3.7,"A",IF(AN4&gt;2.8,"B",IF(AN4&gt;1.5,"C",IF(AN4&gt;0,"D",IF(AN4=0,""))))))</f>
        <v/>
      </c>
      <c r="AP4" s="204"/>
      <c r="AQ4" s="186"/>
      <c r="AR4" s="205"/>
      <c r="AS4" s="106" t="str">
        <f>IFERROR((((COUNTIF('Elève (6ème5)'!AP5:AR6,"A"))*4)+((COUNTIF('Elève (6ème5)'!AP5:AR6,"B"))*3)+((COUNTIF('Elève (6ème5)'!AP5:AR6,"C"))*2)+((COUNTIF('Elève (6ème5)'!AP5:AR6,"D"))*1))/(COUNTA(AP5:AR6)),"")</f>
        <v/>
      </c>
      <c r="AT4" s="121" t="str">
        <f t="shared" ref="AT4:AT19" si="9">IF(AS4="","",IF(AS4&gt;3.7,"A",IF(AS4&gt;2.8,"B",IF(AS4&gt;1.5,"C",IF(AS4&gt;0,"D",IF(AS4=0,""))))))</f>
        <v/>
      </c>
      <c r="AU4" s="100"/>
      <c r="AV4" s="187"/>
      <c r="AW4" s="188"/>
      <c r="AX4" s="106" t="str">
        <f>IFERROR((((COUNTIF('Elève (6ème5)'!AU5:AW6,"A"))*4)+((COUNTIF('Elève (6ème5)'!AU5:AW6,"B"))*3)+((COUNTIF('Elève (6ème5)'!AU5:AW6,"C"))*2)+((COUNTIF('Elève (6ème5)'!AU5:AW6,"D"))*1))/(COUNTA(AU5:AW6)),"")</f>
        <v/>
      </c>
      <c r="AY4" s="128" t="str">
        <f t="shared" ref="AY4:AY19" si="10">IF(AX4="","",IF(AX4&gt;3.7,"A",IF(AX4&gt;2.8,"B",IF(AX4&gt;1.5,"C",IF(AX4&gt;0,"D",IF(AX4=0,""))))))</f>
        <v/>
      </c>
      <c r="AZ4" s="177" t="str">
        <f>IFERROR((((COUNTIF(AK5:AM6,"A")+COUNTIF(AP5:AR6,"A")+COUNTIF(AU5:AW6,"A"))*4)+((COUNTIF(AK5:AM6,"B")+COUNTIF(AP5:AR6,"B")+COUNTIF(AU5:AW6,"B"))*3)+((COUNTIF(AK5:AM6,"C")+COUNTIF(AP5:AR6,"C")+COUNTIF(AU5:AW6,"C"))*2)+((COUNTIF(AK5:AM6,"D")+COUNTIF(AP5:AR6,"D")+COUNTIF(AU5:AW6,"D"))*1))/(COUNTA(AK5:AM6)+COUNTA(AP5:AR6)+COUNTA(AU5:AW6)),"")</f>
        <v/>
      </c>
      <c r="BA4" s="130" t="str">
        <f t="shared" ref="BA4:BA19" si="11">IF(AZ4="","",IF(AZ4&gt;3.7,"A",IF(AZ4&gt;2.8,"B",IF(AZ4&gt;1.5,"C",IF(AZ4&gt;0,"D",IF(AZ4=0,""))))))</f>
        <v/>
      </c>
      <c r="BB4" s="152"/>
      <c r="BC4" s="185"/>
      <c r="BD4" s="185"/>
      <c r="BE4" s="106" t="str">
        <f>IFERROR((((COUNTIF('Elève (6ème5)'!BB5:BD6,"A"))*4)+((COUNTIF('Elève (6ème5)'!BB5:BD6,"B"))*3)+((COUNTIF('Elève (6ème5)'!BB5:BD6,"C"))*2)+((COUNTIF('Elève (6ème5)'!BB5:BD6,"D"))*1))/(COUNTA(BB5:BD6)),"")</f>
        <v/>
      </c>
      <c r="BF4" s="107" t="str">
        <f t="shared" ref="BF4:BF19" si="12">IF(BE4="","",IF(BE4&gt;3.7,"A",IF(BE4&gt;2.8,"B",IF(BE4&gt;1.5,"C",IF(BE4&gt;0,"D",IF(BE4=0,""))))))</f>
        <v/>
      </c>
      <c r="BG4" s="204"/>
      <c r="BH4" s="186"/>
      <c r="BI4" s="205"/>
      <c r="BJ4" s="106" t="str">
        <f>IFERROR((((COUNTIF('Elève (6ème5)'!BG5:BI6,"A"))*4)+((COUNTIF('Elève (6ème5)'!BG5:BI6,"B"))*3)+((COUNTIF('Elève (6ème5)'!BG5:BI6,"C"))*2)+((COUNTIF('Elève (6ème5)'!BG5:BI6,"D"))*1))/(COUNTA(BG5:BI6)),"")</f>
        <v/>
      </c>
      <c r="BK4" s="121" t="str">
        <f t="shared" ref="BK4:BK19" si="13">IF(BJ4="","",IF(BJ4&gt;3.7,"A",IF(BJ4&gt;2.8,"B",IF(BJ4&gt;1.5,"C",IF(BJ4&gt;0,"D",IF(BJ4=0,""))))))</f>
        <v/>
      </c>
      <c r="BL4" s="100"/>
      <c r="BM4" s="187"/>
      <c r="BN4" s="188"/>
      <c r="BO4" s="106" t="str">
        <f>IFERROR((((COUNTIF('Elève (6ème5)'!BL5:BN6,"A"))*4)+((COUNTIF('Elève (6ème5)'!BL5:BN6,"B"))*3)+((COUNTIF('Elève (6ème5)'!BL5:BN6,"C"))*2)+((COUNTIF('Elève (6ème5)'!BL5:BN6,"D"))*1))/(COUNTA(BL5:BN6)),"")</f>
        <v/>
      </c>
      <c r="BP4" s="128" t="str">
        <f t="shared" ref="BP4:BP19" si="14">IF(BO4="","",IF(BO4&gt;3.7,"A",IF(BO4&gt;2.8,"B",IF(BO4&gt;1.5,"C",IF(BO4&gt;0,"D",IF(BO4=0,""))))))</f>
        <v/>
      </c>
      <c r="BQ4" s="177" t="str">
        <f>IFERROR((((COUNTIF(BB5:BD6,"A")+COUNTIF(BG5:BI6,"A")+COUNTIF(BL5:BN6,"A"))*4)+((COUNTIF(BB5:BD6,"B")+COUNTIF(BG5:BI6,"B")+COUNTIF(BL5:BN6,"B"))*3)+((COUNTIF(BB5:BD6,"C")+COUNTIF(BG5:BI6,"C")+COUNTIF(BL5:BN6,"C"))*2)+((COUNTIF(BB5:BD6,"D")+COUNTIF(BG5:BI6,"D")+COUNTIF(BL5:BN6,"D"))*1))/(COUNTA(BB5:BD6)+COUNTA(BG5:BI6)+COUNTA(BL5:BN6)),"")</f>
        <v/>
      </c>
      <c r="BR4" s="130" t="str">
        <f t="shared" ref="BR4:BR19" si="15">IF(BQ4="","",IF(BQ4&gt;3.7,"A",IF(BQ4&gt;2.8,"B",IF(BQ4&gt;1.5,"C",IF(BQ4&gt;0,"D",IF(BQ4=0,""))))))</f>
        <v/>
      </c>
      <c r="BS4" s="152"/>
      <c r="BT4" s="185"/>
      <c r="BU4" s="185"/>
      <c r="BV4" s="106" t="str">
        <f>IFERROR((((COUNTIF('Elève (6ème5)'!BS5:BU6,"A"))*4)+((COUNTIF('Elève (6ème5)'!BS5:BU6,"B"))*3)+((COUNTIF('Elève (6ème5)'!BS5:BU6,"C"))*2)+((COUNTIF('Elève (6ème5)'!BS5:BU6,"D"))*1))/(COUNTA(BS5:BU6)),"")</f>
        <v/>
      </c>
      <c r="BW4" s="107" t="str">
        <f t="shared" ref="BW4:BW19" si="16">IF(BV4="","",IF(BV4&gt;3.7,"A",IF(BV4&gt;2.8,"B",IF(BV4&gt;1.5,"C",IF(BV4&gt;0,"D",IF(BV4=0,""))))))</f>
        <v/>
      </c>
      <c r="BX4" s="204"/>
      <c r="BY4" s="186"/>
      <c r="BZ4" s="205"/>
      <c r="CA4" s="106" t="str">
        <f>IFERROR((((COUNTIF('Elève (6ème5)'!BX5:BZ6,"A"))*4)+((COUNTIF('Elève (6ème5)'!BX5:BZ6,"B"))*3)+((COUNTIF('Elève (6ème5)'!BX5:BZ6,"C"))*2)+((COUNTIF('Elève (6ème5)'!BX5:BZ6,"D"))*1))/(COUNTA(BX5:BZ6)),"")</f>
        <v/>
      </c>
      <c r="CB4" s="121" t="str">
        <f t="shared" ref="CB4:CB19" si="17">IF(CA4="","",IF(CA4&gt;3.7,"A",IF(CA4&gt;2.8,"B",IF(CA4&gt;1.5,"C",IF(CA4&gt;0,"D",IF(CA4=0,""))))))</f>
        <v/>
      </c>
      <c r="CC4" s="100"/>
      <c r="CD4" s="187"/>
      <c r="CE4" s="188"/>
      <c r="CF4" s="106" t="str">
        <f>IFERROR((((COUNTIF('Elève (6ème5)'!CC5:CE6,"A"))*4)+((COUNTIF('Elève (6ème5)'!CC5:CE6,"B"))*3)+((COUNTIF('Elève (6ème5)'!CC5:CE6,"C"))*2)+((COUNTIF('Elève (6ème5)'!CC5:CE6,"D"))*1))/(COUNTA(CC5:CE6)),"")</f>
        <v/>
      </c>
      <c r="CG4" s="128" t="str">
        <f t="shared" ref="CG4:CG19" si="18">IF(CF4="","",IF(CF4&gt;3.7,"A",IF(CF4&gt;2.8,"B",IF(CF4&gt;1.5,"C",IF(CF4&gt;0,"D",IF(CF4=0,""))))))</f>
        <v/>
      </c>
      <c r="CH4" s="177" t="str">
        <f>IFERROR((((COUNTIF(BS5:BU6,"A")+COUNTIF(BX5:BZ6,"A")+COUNTIF(CC5:CE6,"A"))*4)+((COUNTIF(BS5:BU6,"B")+COUNTIF(BX5:BZ6,"B")+COUNTIF(CC5:CE6,"B"))*3)+((COUNTIF(BS5:BU6,"C")+COUNTIF(BX5:BZ6,"C")+COUNTIF(CC5:CE6,"C"))*2)+((COUNTIF(BS5:BU6,"D")+COUNTIF(BX5:BZ6,"D")+COUNTIF(CC5:CE6,"D"))*1))/(COUNTA(BS5:BU6)+COUNTA(BX5:BZ6)+COUNTA(CC5:CE6)),"")</f>
        <v/>
      </c>
      <c r="CI4" s="130" t="str">
        <f t="shared" ref="CI4:CI19" si="19">IF(CH4="","",IF(CH4&gt;3.7,"A",IF(CH4&gt;2.8,"B",IF(CH4&gt;1.5,"C",IF(CH4&gt;0,"D",IF(CH4=0,""))))))</f>
        <v/>
      </c>
      <c r="CJ4" s="152"/>
      <c r="CK4" s="185"/>
      <c r="CL4" s="185"/>
      <c r="CM4" s="106" t="str">
        <f>IFERROR((((COUNTIF('Elève (6ème5)'!CJ5:CL6,"A"))*4)+((COUNTIF('Elève (6ème5)'!CJ5:CL6,"B"))*3)+((COUNTIF('Elève (6ème5)'!CJ5:CL6,"C"))*2)+((COUNTIF('Elève (6ème5)'!CJ5:CL6,"D"))*1))/(COUNTA(CJ5:CL6)),"")</f>
        <v/>
      </c>
      <c r="CN4" s="107" t="str">
        <f t="shared" ref="CN4:CN19" si="20">IF(CM4="","",IF(CM4&gt;3.7,"A",IF(CM4&gt;2.8,"B",IF(CM4&gt;1.5,"C",IF(CM4&gt;0,"D",IF(CM4=0,""))))))</f>
        <v/>
      </c>
      <c r="CO4" s="204"/>
      <c r="CP4" s="186"/>
      <c r="CQ4" s="205"/>
      <c r="CR4" s="106" t="str">
        <f>IFERROR((((COUNTIF('Elève (6ème5)'!CO5:CQ6,"A"))*4)+((COUNTIF('Elève (6ème5)'!CO5:CQ6,"B"))*3)+((COUNTIF('Elève (6ème5)'!CO5:CQ6,"C"))*2)+((COUNTIF('Elève (6ème5)'!CO5:CQ6,"D"))*1))/(COUNTA(CO5:CQ6)),"")</f>
        <v/>
      </c>
      <c r="CS4" s="121" t="str">
        <f t="shared" ref="CS4:CS19" si="21">IF(CR4="","",IF(CR4&gt;3.7,"A",IF(CR4&gt;2.8,"B",IF(CR4&gt;1.5,"C",IF(CR4&gt;0,"D",IF(CR4=0,""))))))</f>
        <v/>
      </c>
      <c r="CT4" s="100"/>
      <c r="CU4" s="187"/>
      <c r="CV4" s="188"/>
      <c r="CW4" s="106" t="str">
        <f>IFERROR((((COUNTIF('Elève (6ème5)'!CT5:CV6,"A"))*4)+((COUNTIF('Elève (6ème5)'!CT5:CV6,"B"))*3)+((COUNTIF('Elève (6ème5)'!CT5:CV6,"C"))*2)+((COUNTIF('Elève (6ème5)'!CT5:CV6,"D"))*1))/(COUNTA(CT5:CV6)),"")</f>
        <v/>
      </c>
      <c r="CX4" s="128" t="str">
        <f t="shared" ref="CX4:CX19" si="22">IF(CW4="","",IF(CW4&gt;3.7,"A",IF(CW4&gt;2.8,"B",IF(CW4&gt;1.5,"C",IF(CW4&gt;0,"D",IF(CW4=0,""))))))</f>
        <v/>
      </c>
      <c r="CY4" s="177" t="str">
        <f>IFERROR((((COUNTIF(CJ5:CL6,"A")+COUNTIF(CO5:CQ6,"A")+COUNTIF(CT5:CV6,"A"))*4)+((COUNTIF(CJ5:CL6,"B")+COUNTIF(CO5:CQ6,"B")+COUNTIF(CT5:CV6,"B"))*3)+((COUNTIF(CJ5:CL6,"C")+COUNTIF(CO5:CQ6,"C")+COUNTIF(CT5:CV6,"C"))*2)+((COUNTIF(CJ5:CL6,"D")+COUNTIF(CO5:CQ6,"D")+COUNTIF(CT5:CV6,"D"))*1))/(COUNTA(CJ5:CL6)+COUNTA(CO5:CQ6)+COUNTA(CT5:CV6)),"")</f>
        <v/>
      </c>
      <c r="CZ4" s="130" t="str">
        <f t="shared" ref="CZ4:CZ19" si="23">IF(CY4="","",IF(CY4&gt;3.7,"A",IF(CY4&gt;2.8,"B",IF(CY4&gt;1.5,"C",IF(CY4&gt;0,"D",IF(CY4=0,""))))))</f>
        <v/>
      </c>
      <c r="DA4" s="152"/>
      <c r="DB4" s="185"/>
      <c r="DC4" s="185"/>
      <c r="DD4" s="106" t="str">
        <f>IFERROR((((COUNTIF('Elève (6ème5)'!DA5:DC6,"A"))*4)+((COUNTIF('Elève (6ème5)'!DA5:DC6,"B"))*3)+((COUNTIF('Elève (6ème5)'!DA5:DC6,"C"))*2)+((COUNTIF('Elève (6ème5)'!DA5:DC6,"D"))*1))/(COUNTA(DA5:DC6)),"")</f>
        <v/>
      </c>
      <c r="DE4" s="107" t="str">
        <f t="shared" ref="DE4:DE19" si="24">IF(DD4="","",IF(DD4&gt;3.7,"A",IF(DD4&gt;2.8,"B",IF(DD4&gt;1.5,"C",IF(DD4&gt;0,"D",IF(DD4=0,""))))))</f>
        <v/>
      </c>
      <c r="DF4" s="204"/>
      <c r="DG4" s="186"/>
      <c r="DH4" s="205"/>
      <c r="DI4" s="106" t="str">
        <f>IFERROR((((COUNTIF('Elève (6ème5)'!DF5:DH6,"A"))*4)+((COUNTIF('Elève (6ème5)'!DF5:DH6,"B"))*3)+((COUNTIF('Elève (6ème5)'!DF5:DH6,"C"))*2)+((COUNTIF('Elève (6ème5)'!DF5:DH6,"D"))*1))/(COUNTA(DF5:DH6)),"")</f>
        <v/>
      </c>
      <c r="DJ4" s="121" t="str">
        <f t="shared" ref="DJ4:DJ19" si="25">IF(DI4="","",IF(DI4&gt;3.7,"A",IF(DI4&gt;2.8,"B",IF(DI4&gt;1.5,"C",IF(DI4&gt;0,"D",IF(DI4=0,""))))))</f>
        <v/>
      </c>
      <c r="DK4" s="100"/>
      <c r="DL4" s="187"/>
      <c r="DM4" s="188"/>
      <c r="DN4" s="106" t="str">
        <f>IFERROR((((COUNTIF('Elève (6ème5)'!DK5:DM6,"A"))*4)+((COUNTIF('Elève (6ème5)'!DK5:DM6,"B"))*3)+((COUNTIF('Elève (6ème5)'!DK5:DM6,"C"))*2)+((COUNTIF('Elève (6ème5)'!DK5:DM6,"D"))*1))/(COUNTA(DK5:DM6)),"")</f>
        <v/>
      </c>
      <c r="DO4" s="128" t="str">
        <f t="shared" ref="DO4:DO19" si="26">IF(DN4="","",IF(DN4&gt;3.7,"A",IF(DN4&gt;2.8,"B",IF(DN4&gt;1.5,"C",IF(DN4&gt;0,"D",IF(DN4=0,""))))))</f>
        <v/>
      </c>
      <c r="DP4" s="177" t="str">
        <f>IFERROR((((COUNTIF(DA5:DC6,"A")+COUNTIF(DF5:DH6,"A")+COUNTIF(DK5:DM6,"A"))*4)+((COUNTIF(DA5:DC6,"B")+COUNTIF(DF5:DH6,"B")+COUNTIF(DK5:DM6,"B"))*3)+((COUNTIF(DA5:DC6,"C")+COUNTIF(DF5:DH6,"C")+COUNTIF(DK5:DM6,"C"))*2)+((COUNTIF(DA5:DC6,"D")+COUNTIF(DF5:DH6,"D")+COUNTIF(DK5:DM6,"D"))*1))/(COUNTA(DA5:DC6)+COUNTA(DF5:DH6)+COUNTA(DK5:DM6)),"")</f>
        <v/>
      </c>
      <c r="DQ4" s="130" t="str">
        <f t="shared" ref="DQ4:DQ19" si="27">IF(DP4="","",IF(DP4&gt;3.7,"A",IF(DP4&gt;2.8,"B",IF(DP4&gt;1.5,"C",IF(DP4&gt;0,"D",IF(DP4=0,""))))))</f>
        <v/>
      </c>
      <c r="DR4" s="152"/>
      <c r="DS4" s="185"/>
      <c r="DT4" s="185"/>
      <c r="DU4" s="106" t="str">
        <f>IFERROR((((COUNTIF('Elève (6ème5)'!DR5:DT6,"A"))*4)+((COUNTIF('Elève (6ème5)'!DR5:DT6,"B"))*3)+((COUNTIF('Elève (6ème5)'!DR5:DT6,"C"))*2)+((COUNTIF('Elève (6ème5)'!DR5:DT6,"D"))*1))/(COUNTA(DR5:DT6)),"")</f>
        <v/>
      </c>
      <c r="DV4" s="107" t="str">
        <f t="shared" ref="DV4:DV19" si="28">IF(DU4="","",IF(DU4&gt;3.7,"A",IF(DU4&gt;2.8,"B",IF(DU4&gt;1.5,"C",IF(DU4&gt;0,"D",IF(DU4=0,""))))))</f>
        <v/>
      </c>
      <c r="DW4" s="204"/>
      <c r="DX4" s="186"/>
      <c r="DY4" s="205"/>
      <c r="DZ4" s="106" t="str">
        <f>IFERROR((((COUNTIF('Elève (6ème5)'!DW5:DY6,"A"))*4)+((COUNTIF('Elève (6ème5)'!DW5:DY6,"B"))*3)+((COUNTIF('Elève (6ème5)'!DW5:DY6,"C"))*2)+((COUNTIF('Elève (6ème5)'!DW5:DY6,"D"))*1))/(COUNTA(DW5:DY6)),"")</f>
        <v/>
      </c>
      <c r="EA4" s="121" t="str">
        <f t="shared" ref="EA4:EA19" si="29">IF(DZ4="","",IF(DZ4&gt;3.7,"A",IF(DZ4&gt;2.8,"B",IF(DZ4&gt;1.5,"C",IF(DZ4&gt;0,"D",IF(DZ4=0,""))))))</f>
        <v/>
      </c>
      <c r="EB4" s="100"/>
      <c r="EC4" s="187"/>
      <c r="ED4" s="188"/>
      <c r="EE4" s="106" t="str">
        <f>IFERROR((((COUNTIF('Elève (6ème5)'!EB5:ED6,"A"))*4)+((COUNTIF('Elève (6ème5)'!EB5:ED6,"B"))*3)+((COUNTIF('Elève (6ème5)'!EB5:ED6,"C"))*2)+((COUNTIF('Elève (6ème5)'!EB5:ED6,"D"))*1))/(COUNTA(EB5:ED6)),"")</f>
        <v/>
      </c>
      <c r="EF4" s="128" t="str">
        <f t="shared" ref="EF4:EF19" si="30">IF(EE4="","",IF(EE4&gt;3.7,"A",IF(EE4&gt;2.8,"B",IF(EE4&gt;1.5,"C",IF(EE4&gt;0,"D",IF(EE4=0,""))))))</f>
        <v/>
      </c>
      <c r="EG4" s="177" t="str">
        <f>IFERROR((((COUNTIF(DR5:DT6,"A")+COUNTIF(DW5:DY6,"A")+COUNTIF(EB5:ED6,"A"))*4)+((COUNTIF(DR5:DT6,"B")+COUNTIF(DW5:DY6,"B")+COUNTIF(EB5:ED6,"B"))*3)+((COUNTIF(DR5:DT6,"C")+COUNTIF(DW5:DY6,"C")+COUNTIF(EB5:ED6,"C"))*2)+((COUNTIF(DR5:DT6,"D")+COUNTIF(DW5:DY6,"D")+COUNTIF(EB5:ED6,"D"))*1))/(COUNTA(DR5:DT6)+COUNTA(DW5:DY6)+COUNTA(EB5:ED6)),"")</f>
        <v/>
      </c>
      <c r="EH4" s="130" t="str">
        <f t="shared" ref="EH4:EH19" si="31">IF(EG4="","",IF(EG4&gt;3.7,"A",IF(EG4&gt;2.8,"B",IF(EG4&gt;1.5,"C",IF(EG4&gt;0,"D",IF(EG4=0,""))))))</f>
        <v/>
      </c>
      <c r="EI4" s="152"/>
      <c r="EJ4" s="185"/>
      <c r="EK4" s="185"/>
      <c r="EL4" s="106" t="str">
        <f>IFERROR((((COUNTIF('Elève (6ème5)'!EI5:EK6,"A"))*4)+((COUNTIF('Elève (6ème5)'!EI5:EK6,"B"))*3)+((COUNTIF('Elève (6ème5)'!EI5:EK6,"C"))*2)+((COUNTIF('Elève (6ème5)'!EI5:EK6,"D"))*1))/(COUNTA(EI5:EK6)),"")</f>
        <v/>
      </c>
      <c r="EM4" s="107" t="str">
        <f t="shared" ref="EM4:EM19" si="32">IF(EL4="","",IF(EL4&gt;3.7,"A",IF(EL4&gt;2.8,"B",IF(EL4&gt;1.5,"C",IF(EL4&gt;0,"D",IF(EL4=0,""))))))</f>
        <v/>
      </c>
      <c r="EN4" s="204"/>
      <c r="EO4" s="186"/>
      <c r="EP4" s="205"/>
      <c r="EQ4" s="106" t="str">
        <f>IFERROR((((COUNTIF('Elève (6ème5)'!EN5:EP6,"A"))*4)+((COUNTIF('Elève (6ème5)'!EN5:EP6,"B"))*3)+((COUNTIF('Elève (6ème5)'!EN5:EP6,"C"))*2)+((COUNTIF('Elève (6ème5)'!EN5:EP6,"D"))*1))/(COUNTA(EN5:EP6)),"")</f>
        <v/>
      </c>
      <c r="ER4" s="121" t="str">
        <f t="shared" ref="ER4:ER19" si="33">IF(EQ4="","",IF(EQ4&gt;3.7,"A",IF(EQ4&gt;2.8,"B",IF(EQ4&gt;1.5,"C",IF(EQ4&gt;0,"D",IF(EQ4=0,""))))))</f>
        <v/>
      </c>
      <c r="ES4" s="100"/>
      <c r="ET4" s="187"/>
      <c r="EU4" s="188"/>
      <c r="EV4" s="106" t="str">
        <f>IFERROR((((COUNTIF('Elève (6ème5)'!ES5:EU6,"A"))*4)+((COUNTIF('Elève (6ème5)'!ES5:EU6,"B"))*3)+((COUNTIF('Elève (6ème5)'!ES5:EU6,"C"))*2)+((COUNTIF('Elève (6ème5)'!ES5:EU6,"D"))*1))/(COUNTA(ES5:EU6)),"")</f>
        <v/>
      </c>
      <c r="EW4" s="128" t="str">
        <f t="shared" ref="EW4:EW19" si="34">IF(EV4="","",IF(EV4&gt;3.7,"A",IF(EV4&gt;2.8,"B",IF(EV4&gt;1.5,"C",IF(EV4&gt;0,"D",IF(EV4=0,""))))))</f>
        <v/>
      </c>
      <c r="EX4" s="177" t="str">
        <f>IFERROR((((COUNTIF(EI5:EK6,"A")+COUNTIF(EN5:EP6,"A")+COUNTIF(ES5:EU6,"A"))*4)+((COUNTIF(EI5:EK6,"B")+COUNTIF(EN5:EP6,"B")+COUNTIF(ES5:EU6,"B"))*3)+((COUNTIF(EI5:EK6,"C")+COUNTIF(EN5:EP6,"C")+COUNTIF(ES5:EU6,"C"))*2)+((COUNTIF(EI5:EK6,"D")+COUNTIF(EN5:EP6,"D")+COUNTIF(ES5:EU6,"D"))*1))/(COUNTA(EI5:EK6)+COUNTA(EN5:EP6)+COUNTA(ES5:EU6)),"")</f>
        <v/>
      </c>
      <c r="EY4" s="130" t="str">
        <f t="shared" ref="EY4:EY19" si="35">IF(EX4="","",IF(EX4&gt;3.7,"A",IF(EX4&gt;2.8,"B",IF(EX4&gt;1.5,"C",IF(EX4&gt;0,"D",IF(EX4=0,""))))))</f>
        <v/>
      </c>
      <c r="EZ4" s="152"/>
      <c r="FA4" s="185"/>
      <c r="FB4" s="185"/>
      <c r="FC4" s="106" t="str">
        <f>IFERROR((((COUNTIF('Elève (6ème5)'!EZ5:FB6,"A"))*4)+((COUNTIF('Elève (6ème5)'!EZ5:FB6,"B"))*3)+((COUNTIF('Elève (6ème5)'!EZ5:FB6,"C"))*2)+((COUNTIF('Elève (6ème5)'!EZ5:FB6,"D"))*1))/(COUNTA(EZ5:FB6)),"")</f>
        <v/>
      </c>
      <c r="FD4" s="107" t="str">
        <f t="shared" ref="FD4:FD19" si="36">IF(FC4="","",IF(FC4&gt;3.7,"A",IF(FC4&gt;2.8,"B",IF(FC4&gt;1.5,"C",IF(FC4&gt;0,"D",IF(FC4=0,""))))))</f>
        <v/>
      </c>
      <c r="FE4" s="204"/>
      <c r="FF4" s="186"/>
      <c r="FG4" s="205"/>
      <c r="FH4" s="106" t="str">
        <f>IFERROR((((COUNTIF('Elève (6ème5)'!FE5:FG6,"A"))*4)+((COUNTIF('Elève (6ème5)'!FE5:FG6,"B"))*3)+((COUNTIF('Elève (6ème5)'!FE5:FG6,"C"))*2)+((COUNTIF('Elève (6ème5)'!FE5:FG6,"D"))*1))/(COUNTA(FE5:FG6)),"")</f>
        <v/>
      </c>
      <c r="FI4" s="121" t="str">
        <f t="shared" ref="FI4:FI19" si="37">IF(FH4="","",IF(FH4&gt;3.7,"A",IF(FH4&gt;2.8,"B",IF(FH4&gt;1.5,"C",IF(FH4&gt;0,"D",IF(FH4=0,""))))))</f>
        <v/>
      </c>
      <c r="FJ4" s="100"/>
      <c r="FK4" s="187"/>
      <c r="FL4" s="188"/>
      <c r="FM4" s="106" t="str">
        <f>IFERROR((((COUNTIF('Elève (6ème5)'!FJ5:FL6,"A"))*4)+((COUNTIF('Elève (6ème5)'!FJ5:FL6,"B"))*3)+((COUNTIF('Elève (6ème5)'!FJ5:FL6,"C"))*2)+((COUNTIF('Elève (6ème5)'!FJ5:FL6,"D"))*1))/(COUNTA(FJ5:FL6)),"")</f>
        <v/>
      </c>
      <c r="FN4" s="128" t="str">
        <f t="shared" ref="FN4:FN19" si="38">IF(FM4="","",IF(FM4&gt;3.7,"A",IF(FM4&gt;2.8,"B",IF(FM4&gt;1.5,"C",IF(FM4&gt;0,"D",IF(FM4=0,""))))))</f>
        <v/>
      </c>
      <c r="FO4" s="177" t="str">
        <f>IFERROR((((COUNTIF(EZ5:FB6,"A")+COUNTIF(FE5:FG6,"A")+COUNTIF(FJ5:FL6,"A"))*4)+((COUNTIF(EZ5:FB6,"B")+COUNTIF(FE5:FG6,"B")+COUNTIF(FJ5:FL6,"B"))*3)+((COUNTIF(EZ5:FB6,"C")+COUNTIF(FE5:FG6,"C")+COUNTIF(FJ5:FL6,"C"))*2)+((COUNTIF(EZ5:FB6,"D")+COUNTIF(FE5:FG6,"D")+COUNTIF(FJ5:FL6,"D"))*1))/(COUNTA(EZ5:FB6)+COUNTA(FE5:FG6)+COUNTA(FJ5:FL6)),"")</f>
        <v/>
      </c>
      <c r="FP4" s="130" t="str">
        <f t="shared" ref="FP4:FP19" si="39">IF(FO4="","",IF(FO4&gt;3.7,"A",IF(FO4&gt;2.8,"B",IF(FO4&gt;1.5,"C",IF(FO4&gt;0,"D",IF(FO4=0,""))))))</f>
        <v/>
      </c>
      <c r="FQ4" s="152"/>
      <c r="FR4" s="185"/>
      <c r="FS4" s="185"/>
      <c r="FT4" s="106" t="str">
        <f>IFERROR((((COUNTIF('Elève (6ème5)'!FQ5:FS6,"A"))*4)+((COUNTIF('Elève (6ème5)'!FQ5:FS6,"B"))*3)+((COUNTIF('Elève (6ème5)'!FQ5:FS6,"C"))*2)+((COUNTIF('Elève (6ème5)'!FQ5:FS6,"D"))*1))/(COUNTA(FQ5:FS6)),"")</f>
        <v/>
      </c>
      <c r="FU4" s="107" t="str">
        <f t="shared" ref="FU4:FU19" si="40">IF(FT4="","",IF(FT4&gt;3.7,"A",IF(FT4&gt;2.8,"B",IF(FT4&gt;1.5,"C",IF(FT4&gt;0,"D",IF(FT4=0,""))))))</f>
        <v/>
      </c>
      <c r="FV4" s="204"/>
      <c r="FW4" s="186"/>
      <c r="FX4" s="205"/>
      <c r="FY4" s="106" t="str">
        <f>IFERROR((((COUNTIF('Elève (6ème5)'!FV5:FX6,"A"))*4)+((COUNTIF('Elève (6ème5)'!FV5:FX6,"B"))*3)+((COUNTIF('Elève (6ème5)'!FV5:FX6,"C"))*2)+((COUNTIF('Elève (6ème5)'!FV5:FX6,"D"))*1))/(COUNTA(FV5:FX6)),"")</f>
        <v/>
      </c>
      <c r="FZ4" s="121" t="str">
        <f t="shared" ref="FZ4:FZ19" si="41">IF(FY4="","",IF(FY4&gt;3.7,"A",IF(FY4&gt;2.8,"B",IF(FY4&gt;1.5,"C",IF(FY4&gt;0,"D",IF(FY4=0,""))))))</f>
        <v/>
      </c>
      <c r="GA4" s="100"/>
      <c r="GB4" s="187"/>
      <c r="GC4" s="188"/>
      <c r="GD4" s="106" t="str">
        <f>IFERROR((((COUNTIF('Elève (6ème5)'!GA5:GC6,"A"))*4)+((COUNTIF('Elève (6ème5)'!GA5:GC6,"B"))*3)+((COUNTIF('Elève (6ème5)'!GA5:GC6,"C"))*2)+((COUNTIF('Elève (6ème5)'!GA5:GC6,"D"))*1))/(COUNTA(GA5:GC6)),"")</f>
        <v/>
      </c>
      <c r="GE4" s="128" t="str">
        <f t="shared" ref="GE4:GE19" si="42">IF(GD4="","",IF(GD4&gt;3.7,"A",IF(GD4&gt;2.8,"B",IF(GD4&gt;1.5,"C",IF(GD4&gt;0,"D",IF(GD4=0,""))))))</f>
        <v/>
      </c>
      <c r="GF4" s="177" t="str">
        <f>IFERROR((((COUNTIF(FQ5:FS6,"A")+COUNTIF(FV5:FX6,"A")+COUNTIF(GA5:GC6,"A"))*4)+((COUNTIF(FQ5:FS6,"B")+COUNTIF(FV5:FX6,"B")+COUNTIF(GA5:GC6,"B"))*3)+((COUNTIF(FQ5:FS6,"C")+COUNTIF(FV5:FX6,"C")+COUNTIF(GA5:GC6,"C"))*2)+((COUNTIF(FQ5:FS6,"D")+COUNTIF(FV5:FX6,"D")+COUNTIF(GA5:GC6,"D"))*1))/(COUNTA(FQ5:FS6)+COUNTA(FV5:FX6)+COUNTA(GA5:GC6)),"")</f>
        <v/>
      </c>
      <c r="GG4" s="130" t="str">
        <f t="shared" ref="GG4:GG19" si="43">IF(GF4="","",IF(GF4&gt;3.7,"A",IF(GF4&gt;2.8,"B",IF(GF4&gt;1.5,"C",IF(GF4&gt;0,"D",IF(GF4=0,""))))))</f>
        <v/>
      </c>
      <c r="GH4" s="152"/>
      <c r="GI4" s="185"/>
      <c r="GJ4" s="185"/>
      <c r="GK4" s="106" t="str">
        <f>IFERROR((((COUNTIF('Elève (6ème5)'!GH5:GJ6,"A"))*4)+((COUNTIF('Elève (6ème5)'!GH5:GJ6,"B"))*3)+((COUNTIF('Elève (6ème5)'!GH5:GJ6,"C"))*2)+((COUNTIF('Elève (6ème5)'!GH5:GJ6,"D"))*1))/(COUNTA(GH5:GJ6)),"")</f>
        <v/>
      </c>
      <c r="GL4" s="107" t="str">
        <f t="shared" ref="GL4:GL19" si="44">IF(GK4="","",IF(GK4&gt;3.7,"A",IF(GK4&gt;2.8,"B",IF(GK4&gt;1.5,"C",IF(GK4&gt;0,"D",IF(GK4=0,""))))))</f>
        <v/>
      </c>
      <c r="GM4" s="204"/>
      <c r="GN4" s="186"/>
      <c r="GO4" s="205"/>
      <c r="GP4" s="106" t="str">
        <f>IFERROR((((COUNTIF('Elève (6ème5)'!GM5:GO6,"A"))*4)+((COUNTIF('Elève (6ème5)'!GM5:GO6,"B"))*3)+((COUNTIF('Elève (6ème5)'!GM5:GO6,"C"))*2)+((COUNTIF('Elève (6ème5)'!GM5:GO6,"D"))*1))/(COUNTA(GM5:GO6)),"")</f>
        <v/>
      </c>
      <c r="GQ4" s="121" t="str">
        <f t="shared" ref="GQ4:GQ19" si="45">IF(GP4="","",IF(GP4&gt;3.7,"A",IF(GP4&gt;2.8,"B",IF(GP4&gt;1.5,"C",IF(GP4&gt;0,"D",IF(GP4=0,""))))))</f>
        <v/>
      </c>
      <c r="GR4" s="100"/>
      <c r="GS4" s="187"/>
      <c r="GT4" s="188"/>
      <c r="GU4" s="106" t="str">
        <f>IFERROR((((COUNTIF('Elève (6ème5)'!GR5:GT6,"A"))*4)+((COUNTIF('Elève (6ème5)'!GR5:GT6,"B"))*3)+((COUNTIF('Elève (6ème5)'!GR5:GT6,"C"))*2)+((COUNTIF('Elève (6ème5)'!GR5:GT6,"D"))*1))/(COUNTA(GR5:GT6)),"")</f>
        <v/>
      </c>
      <c r="GV4" s="128" t="str">
        <f t="shared" ref="GV4:GV19" si="46">IF(GU4="","",IF(GU4&gt;3.7,"A",IF(GU4&gt;2.8,"B",IF(GU4&gt;1.5,"C",IF(GU4&gt;0,"D",IF(GU4=0,""))))))</f>
        <v/>
      </c>
      <c r="GW4" s="177" t="str">
        <f>IFERROR((((COUNTIF(GH5:GJ6,"A")+COUNTIF(GM5:GO6,"A")+COUNTIF(GR5:GT6,"A"))*4)+((COUNTIF(GH5:GJ6,"B")+COUNTIF(GM5:GO6,"B")+COUNTIF(GR5:GT6,"B"))*3)+((COUNTIF(GH5:GJ6,"C")+COUNTIF(GM5:GO6,"C")+COUNTIF(GR5:GT6,"C"))*2)+((COUNTIF(GH5:GJ6,"D")+COUNTIF(GM5:GO6,"D")+COUNTIF(GR5:GT6,"D"))*1))/(COUNTA(GH5:GJ6)+COUNTA(GM5:GO6)+COUNTA(GR5:GT6)),"")</f>
        <v/>
      </c>
      <c r="GX4" s="130" t="str">
        <f t="shared" ref="GX4:GX19" si="47">IF(GW4="","",IF(GW4&gt;3.7,"A",IF(GW4&gt;2.8,"B",IF(GW4&gt;1.5,"C",IF(GW4&gt;0,"D",IF(GW4=0,""))))))</f>
        <v/>
      </c>
      <c r="GY4" s="152"/>
      <c r="GZ4" s="185"/>
      <c r="HA4" s="185"/>
      <c r="HB4" s="106" t="str">
        <f>IFERROR((((COUNTIF('Elève (6ème5)'!GY5:HA6,"A"))*4)+((COUNTIF('Elève (6ème5)'!GY5:HA6,"B"))*3)+((COUNTIF('Elève (6ème5)'!GY5:HA6,"C"))*2)+((COUNTIF('Elève (6ème5)'!GY5:HA6,"D"))*1))/(COUNTA(GY5:HA6)),"")</f>
        <v/>
      </c>
      <c r="HC4" s="107" t="str">
        <f t="shared" ref="HC4:HC19" si="48">IF(HB4="","",IF(HB4&gt;3.7,"A",IF(HB4&gt;2.8,"B",IF(HB4&gt;1.5,"C",IF(HB4&gt;0,"D",IF(HB4=0,""))))))</f>
        <v/>
      </c>
      <c r="HD4" s="204"/>
      <c r="HE4" s="186"/>
      <c r="HF4" s="205"/>
      <c r="HG4" s="106" t="str">
        <f>IFERROR((((COUNTIF('Elève (6ème5)'!HD5:HF6,"A"))*4)+((COUNTIF('Elève (6ème5)'!HD5:HF6,"B"))*3)+((COUNTIF('Elève (6ème5)'!HD5:HF6,"C"))*2)+((COUNTIF('Elève (6ème5)'!HD5:HF6,"D"))*1))/(COUNTA(HD5:HF6)),"")</f>
        <v/>
      </c>
      <c r="HH4" s="121" t="str">
        <f t="shared" ref="HH4:HH19" si="49">IF(HG4="","",IF(HG4&gt;3.7,"A",IF(HG4&gt;2.8,"B",IF(HG4&gt;1.5,"C",IF(HG4&gt;0,"D",IF(HG4=0,""))))))</f>
        <v/>
      </c>
      <c r="HI4" s="100"/>
      <c r="HJ4" s="187"/>
      <c r="HK4" s="188"/>
      <c r="HL4" s="106" t="str">
        <f>IFERROR((((COUNTIF('Elève (6ème5)'!HI5:HK6,"A"))*4)+((COUNTIF('Elève (6ème5)'!HI5:HK6,"B"))*3)+((COUNTIF('Elève (6ème5)'!HI5:HK6,"C"))*2)+((COUNTIF('Elève (6ème5)'!HI5:HK6,"D"))*1))/(COUNTA(HI5:HK6)),"")</f>
        <v/>
      </c>
      <c r="HM4" s="128" t="str">
        <f t="shared" ref="HM4:HM19" si="50">IF(HL4="","",IF(HL4&gt;3.7,"A",IF(HL4&gt;2.8,"B",IF(HL4&gt;1.5,"C",IF(HL4&gt;0,"D",IF(HL4=0,""))))))</f>
        <v/>
      </c>
      <c r="HN4" s="177" t="str">
        <f>IFERROR((((COUNTIF(GY5:HA6,"A")+COUNTIF(HD5:HF6,"A")+COUNTIF(HI5:HK6,"A"))*4)+((COUNTIF(GY5:HA6,"B")+COUNTIF(HD5:HF6,"B")+COUNTIF(HI5:HK6,"B"))*3)+((COUNTIF(GY5:HA6,"C")+COUNTIF(HD5:HF6,"C")+COUNTIF(HI5:HK6,"C"))*2)+((COUNTIF(GY5:HA6,"D")+COUNTIF(HD5:HF6,"D")+COUNTIF(HI5:HK6,"D"))*1))/(COUNTA(GY5:HA6)+COUNTA(HD5:HF6)+COUNTA(HI5:HK6)),"")</f>
        <v/>
      </c>
      <c r="HO4" s="130" t="str">
        <f t="shared" ref="HO4:HO19" si="51">IF(HN4="","",IF(HN4&gt;3.7,"A",IF(HN4&gt;2.8,"B",IF(HN4&gt;1.5,"C",IF(HN4&gt;0,"D",IF(HN4=0,""))))))</f>
        <v/>
      </c>
      <c r="HP4" s="152"/>
      <c r="HQ4" s="185"/>
      <c r="HR4" s="185"/>
      <c r="HS4" s="106" t="str">
        <f>IFERROR((((COUNTIF('Elève (6ème5)'!HP5:HR6,"A"))*4)+((COUNTIF('Elève (6ème5)'!HP5:HR6,"B"))*3)+((COUNTIF('Elève (6ème5)'!HP5:HR6,"C"))*2)+((COUNTIF('Elève (6ème5)'!HP5:HR6,"D"))*1))/(COUNTA(HP5:HR6)),"")</f>
        <v/>
      </c>
      <c r="HT4" s="107" t="str">
        <f t="shared" ref="HT4:HT19" si="52">IF(HS4="","",IF(HS4&gt;3.7,"A",IF(HS4&gt;2.8,"B",IF(HS4&gt;1.5,"C",IF(HS4&gt;0,"D",IF(HS4=0,""))))))</f>
        <v/>
      </c>
      <c r="HU4" s="204"/>
      <c r="HV4" s="186"/>
      <c r="HW4" s="205"/>
      <c r="HX4" s="106" t="str">
        <f>IFERROR((((COUNTIF('Elève (6ème5)'!HU5:HW6,"A"))*4)+((COUNTIF('Elève (6ème5)'!HU5:HW6,"B"))*3)+((COUNTIF('Elève (6ème5)'!HU5:HW6,"C"))*2)+((COUNTIF('Elève (6ème5)'!HU5:HW6,"D"))*1))/(COUNTA(HU5:HW6)),"")</f>
        <v/>
      </c>
      <c r="HY4" s="121" t="str">
        <f t="shared" ref="HY4:HY19" si="53">IF(HX4="","",IF(HX4&gt;3.7,"A",IF(HX4&gt;2.8,"B",IF(HX4&gt;1.5,"C",IF(HX4&gt;0,"D",IF(HX4=0,""))))))</f>
        <v/>
      </c>
      <c r="HZ4" s="100"/>
      <c r="IA4" s="187"/>
      <c r="IB4" s="188"/>
      <c r="IC4" s="106" t="str">
        <f>IFERROR((((COUNTIF('Elève (6ème5)'!HZ5:IB6,"A"))*4)+((COUNTIF('Elève (6ème5)'!HZ5:IB6,"B"))*3)+((COUNTIF('Elève (6ème5)'!HZ5:IB6,"C"))*2)+((COUNTIF('Elève (6ème5)'!HZ5:IB6,"D"))*1))/(COUNTA(HZ5:IB6)),"")</f>
        <v/>
      </c>
      <c r="ID4" s="128" t="str">
        <f t="shared" ref="ID4:ID19" si="54">IF(IC4="","",IF(IC4&gt;3.7,"A",IF(IC4&gt;2.8,"B",IF(IC4&gt;1.5,"C",IF(IC4&gt;0,"D",IF(IC4=0,""))))))</f>
        <v/>
      </c>
      <c r="IE4" s="177" t="str">
        <f>IFERROR((((COUNTIF(HP5:HR6,"A")+COUNTIF(HU5:HW6,"A")+COUNTIF(HZ5:IB6,"A"))*4)+((COUNTIF(HP5:HR6,"B")+COUNTIF(HU5:HW6,"B")+COUNTIF(HZ5:IB6,"B"))*3)+((COUNTIF(HP5:HR6,"C")+COUNTIF(HU5:HW6,"C")+COUNTIF(HZ5:IB6,"C"))*2)+((COUNTIF(HP5:HR6,"D")+COUNTIF(HU5:HW6,"D")+COUNTIF(HZ5:IB6,"D"))*1))/(COUNTA(HP5:HR6)+COUNTA(HU5:HW6)+COUNTA(HZ5:IB6)),"")</f>
        <v/>
      </c>
      <c r="IF4" s="130" t="str">
        <f t="shared" ref="IF4:IF19" si="55">IF(IE4="","",IF(IE4&gt;3.7,"A",IF(IE4&gt;2.8,"B",IF(IE4&gt;1.5,"C",IF(IE4&gt;0,"D",IF(IE4=0,""))))))</f>
        <v/>
      </c>
      <c r="IG4" s="152"/>
      <c r="IH4" s="185"/>
      <c r="II4" s="185"/>
      <c r="IJ4" s="106" t="str">
        <f>IFERROR((((COUNTIF('Elève (6ème5)'!IG5:II6,"A"))*4)+((COUNTIF('Elève (6ème5)'!IG5:II6,"B"))*3)+((COUNTIF('Elève (6ème5)'!IG5:II6,"C"))*2)+((COUNTIF('Elève (6ème5)'!IG5:II6,"D"))*1))/(COUNTA(IG5:II6)),"")</f>
        <v/>
      </c>
      <c r="IK4" s="107" t="str">
        <f t="shared" ref="IK4:IK19" si="56">IF(IJ4="","",IF(IJ4&gt;3.7,"A",IF(IJ4&gt;2.8,"B",IF(IJ4&gt;1.5,"C",IF(IJ4&gt;0,"D",IF(IJ4=0,""))))))</f>
        <v/>
      </c>
      <c r="IL4" s="204"/>
      <c r="IM4" s="186"/>
      <c r="IN4" s="205"/>
      <c r="IO4" s="106" t="str">
        <f>IFERROR((((COUNTIF('Elève (6ème5)'!IL5:IN6,"A"))*4)+((COUNTIF('Elève (6ème5)'!IL5:IN6,"B"))*3)+((COUNTIF('Elève (6ème5)'!IL5:IN6,"C"))*2)+((COUNTIF('Elève (6ème5)'!IL5:IN6,"D"))*1))/(COUNTA(IL5:IN6)),"")</f>
        <v/>
      </c>
      <c r="IP4" s="121" t="str">
        <f t="shared" ref="IP4:IP19" si="57">IF(IO4="","",IF(IO4&gt;3.7,"A",IF(IO4&gt;2.8,"B",IF(IO4&gt;1.5,"C",IF(IO4&gt;0,"D",IF(IO4=0,""))))))</f>
        <v/>
      </c>
      <c r="IQ4" s="100"/>
      <c r="IR4" s="187"/>
      <c r="IS4" s="188"/>
      <c r="IT4" s="106" t="str">
        <f>IFERROR((((COUNTIF('Elève (6ème5)'!IQ5:IS6,"A"))*4)+((COUNTIF('Elève (6ème5)'!IQ5:IS6,"B"))*3)+((COUNTIF('Elève (6ème5)'!IQ5:IS6,"C"))*2)+((COUNTIF('Elève (6ème5)'!IQ5:IS6,"D"))*1))/(COUNTA(IQ5:IS6)),"")</f>
        <v/>
      </c>
      <c r="IU4" s="128" t="str">
        <f t="shared" ref="IU4:IU19" si="58">IF(IT4="","",IF(IT4&gt;3.7,"A",IF(IT4&gt;2.8,"B",IF(IT4&gt;1.5,"C",IF(IT4&gt;0,"D",IF(IT4=0,""))))))</f>
        <v/>
      </c>
      <c r="IV4" s="177" t="str">
        <f>IFERROR((((COUNTIF(IG5:II6,"A")+COUNTIF(IL5:IN6,"A")+COUNTIF(IQ5:IS6,"A"))*4)+((COUNTIF(IG5:II6,"B")+COUNTIF(IL5:IN6,"B")+COUNTIF(IQ5:IS6,"B"))*3)+((COUNTIF(IG5:II6,"C")+COUNTIF(IL5:IN6,"C")+COUNTIF(IQ5:IS6,"C"))*2)+((COUNTIF(IG5:II6,"D")+COUNTIF(IL5:IN6,"D")+COUNTIF(IQ5:IS6,"D"))*1))/(COUNTA(IG5:II6)+COUNTA(IL5:IN6)+COUNTA(IQ5:IS6)),"")</f>
        <v/>
      </c>
      <c r="IW4" s="130" t="str">
        <f t="shared" ref="IW4:IW19" si="59">IF(IV4="","",IF(IV4&gt;3.7,"A",IF(IV4&gt;2.8,"B",IF(IV4&gt;1.5,"C",IF(IV4&gt;0,"D",IF(IV4=0,""))))))</f>
        <v/>
      </c>
      <c r="IX4" s="152"/>
      <c r="IY4" s="185"/>
      <c r="IZ4" s="185"/>
      <c r="JA4" s="106" t="str">
        <f>IFERROR((((COUNTIF('Elève (6ème5)'!IX5:IZ6,"A"))*4)+((COUNTIF('Elève (6ème5)'!IX5:IZ6,"B"))*3)+((COUNTIF('Elève (6ème5)'!IX5:IZ6,"C"))*2)+((COUNTIF('Elève (6ème5)'!IX5:IZ6,"D"))*1))/(COUNTA(IX5:IZ6)),"")</f>
        <v/>
      </c>
      <c r="JB4" s="107" t="str">
        <f t="shared" ref="JB4:JB19" si="60">IF(JA4="","",IF(JA4&gt;3.7,"A",IF(JA4&gt;2.8,"B",IF(JA4&gt;1.5,"C",IF(JA4&gt;0,"D",IF(JA4=0,""))))))</f>
        <v/>
      </c>
      <c r="JC4" s="204"/>
      <c r="JD4" s="186"/>
      <c r="JE4" s="205"/>
      <c r="JF4" s="106" t="str">
        <f>IFERROR((((COUNTIF('Elève (6ème5)'!JC5:JE6,"A"))*4)+((COUNTIF('Elève (6ème5)'!JC5:JE6,"B"))*3)+((COUNTIF('Elève (6ème5)'!JC5:JE6,"C"))*2)+((COUNTIF('Elève (6ème5)'!JC5:JE6,"D"))*1))/(COUNTA(JC5:JE6)),"")</f>
        <v/>
      </c>
      <c r="JG4" s="121" t="str">
        <f t="shared" ref="JG4:JG19" si="61">IF(JF4="","",IF(JF4&gt;3.7,"A",IF(JF4&gt;2.8,"B",IF(JF4&gt;1.5,"C",IF(JF4&gt;0,"D",IF(JF4=0,""))))))</f>
        <v/>
      </c>
      <c r="JH4" s="100"/>
      <c r="JI4" s="187"/>
      <c r="JJ4" s="188"/>
      <c r="JK4" s="106" t="str">
        <f>IFERROR((((COUNTIF('Elève (6ème5)'!JH5:JJ6,"A"))*4)+((COUNTIF('Elève (6ème5)'!JH5:JJ6,"B"))*3)+((COUNTIF('Elève (6ème5)'!JH5:JJ6,"C"))*2)+((COUNTIF('Elève (6ème5)'!JH5:JJ6,"D"))*1))/(COUNTA(JH5:JJ6)),"")</f>
        <v/>
      </c>
      <c r="JL4" s="128" t="str">
        <f t="shared" ref="JL4:JL19" si="62">IF(JK4="","",IF(JK4&gt;3.7,"A",IF(JK4&gt;2.8,"B",IF(JK4&gt;1.5,"C",IF(JK4&gt;0,"D",IF(JK4=0,""))))))</f>
        <v/>
      </c>
      <c r="JM4" s="177" t="str">
        <f>IFERROR((((COUNTIF(IX5:IZ6,"A")+COUNTIF(JC5:JE6,"A")+COUNTIF(JH5:JJ6,"A"))*4)+((COUNTIF(IX5:IZ6,"B")+COUNTIF(JC5:JE6,"B")+COUNTIF(JH5:JJ6,"B"))*3)+((COUNTIF(IX5:IZ6,"C")+COUNTIF(JC5:JE6,"C")+COUNTIF(JH5:JJ6,"C"))*2)+((COUNTIF(IX5:IZ6,"D")+COUNTIF(JC5:JE6,"D")+COUNTIF(JH5:JJ6,"D"))*1))/(COUNTA(IX5:IZ6)+COUNTA(JC5:JE6)+COUNTA(JH5:JJ6)),"")</f>
        <v/>
      </c>
      <c r="JN4" s="130" t="str">
        <f t="shared" ref="JN4:JN19" si="63">IF(JM4="","",IF(JM4&gt;3.7,"A",IF(JM4&gt;2.8,"B",IF(JM4&gt;1.5,"C",IF(JM4&gt;0,"D",IF(JM4=0,""))))))</f>
        <v/>
      </c>
      <c r="JO4" s="152"/>
      <c r="JP4" s="185"/>
      <c r="JQ4" s="185"/>
      <c r="JR4" s="106" t="str">
        <f>IFERROR((((COUNTIF('Elève (6ème5)'!JO5:JQ6,"A"))*4)+((COUNTIF('Elève (6ème5)'!JO5:JQ6,"B"))*3)+((COUNTIF('Elève (6ème5)'!JO5:JQ6,"C"))*2)+((COUNTIF('Elève (6ème5)'!JO5:JQ6,"D"))*1))/(COUNTA(JO5:JQ6)),"")</f>
        <v/>
      </c>
      <c r="JS4" s="107" t="str">
        <f t="shared" ref="JS4:JS19" si="64">IF(JR4="","",IF(JR4&gt;3.7,"A",IF(JR4&gt;2.8,"B",IF(JR4&gt;1.5,"C",IF(JR4&gt;0,"D",IF(JR4=0,""))))))</f>
        <v/>
      </c>
      <c r="JT4" s="204"/>
      <c r="JU4" s="186"/>
      <c r="JV4" s="205"/>
      <c r="JW4" s="106" t="str">
        <f>IFERROR((((COUNTIF('Elève (6ème5)'!JT5:JV6,"A"))*4)+((COUNTIF('Elève (6ème5)'!JT5:JV6,"B"))*3)+((COUNTIF('Elève (6ème5)'!JT5:JV6,"C"))*2)+((COUNTIF('Elève (6ème5)'!JT5:JV6,"D"))*1))/(COUNTA(JT5:JV6)),"")</f>
        <v/>
      </c>
      <c r="JX4" s="121" t="str">
        <f t="shared" ref="JX4:JX19" si="65">IF(JW4="","",IF(JW4&gt;3.7,"A",IF(JW4&gt;2.8,"B",IF(JW4&gt;1.5,"C",IF(JW4&gt;0,"D",IF(JW4=0,""))))))</f>
        <v/>
      </c>
      <c r="JY4" s="100"/>
      <c r="JZ4" s="187"/>
      <c r="KA4" s="188"/>
      <c r="KB4" s="106" t="str">
        <f>IFERROR((((COUNTIF('Elève (6ème5)'!JY5:KA6,"A"))*4)+((COUNTIF('Elève (6ème5)'!JY5:KA6,"B"))*3)+((COUNTIF('Elève (6ème5)'!JY5:KA6,"C"))*2)+((COUNTIF('Elève (6ème5)'!JY5:KA6,"D"))*1))/(COUNTA(JY5:KA6)),"")</f>
        <v/>
      </c>
      <c r="KC4" s="128" t="str">
        <f t="shared" ref="KC4:KC19" si="66">IF(KB4="","",IF(KB4&gt;3.7,"A",IF(KB4&gt;2.8,"B",IF(KB4&gt;1.5,"C",IF(KB4&gt;0,"D",IF(KB4=0,""))))))</f>
        <v/>
      </c>
      <c r="KD4" s="177" t="str">
        <f>IFERROR((((COUNTIF(JO5:JQ6,"A")+COUNTIF(JT5:JV6,"A")+COUNTIF(JY5:KA6,"A"))*4)+((COUNTIF(JO5:JQ6,"B")+COUNTIF(JT5:JV6,"B")+COUNTIF(JY5:KA6,"B"))*3)+((COUNTIF(JO5:JQ6,"C")+COUNTIF(JT5:JV6,"C")+COUNTIF(JY5:KA6,"C"))*2)+((COUNTIF(JO5:JQ6,"D")+COUNTIF(JT5:JV6,"D")+COUNTIF(JY5:KA6,"D"))*1))/(COUNTA(JO5:JQ6)+COUNTA(JT5:JV6)+COUNTA(JY5:KA6)),"")</f>
        <v/>
      </c>
      <c r="KE4" s="130" t="str">
        <f t="shared" ref="KE4:KE19" si="67">IF(KD4="","",IF(KD4&gt;3.7,"A",IF(KD4&gt;2.8,"B",IF(KD4&gt;1.5,"C",IF(KD4&gt;0,"D",IF(KD4=0,""))))))</f>
        <v/>
      </c>
      <c r="KF4" s="152"/>
      <c r="KG4" s="185"/>
      <c r="KH4" s="185"/>
      <c r="KI4" s="106" t="str">
        <f>IFERROR((((COUNTIF('Elève (6ème5)'!KF5:KH6,"A"))*4)+((COUNTIF('Elève (6ème5)'!KF5:KH6,"B"))*3)+((COUNTIF('Elève (6ème5)'!KF5:KH6,"C"))*2)+((COUNTIF('Elève (6ème5)'!KF5:KH6,"D"))*1))/(COUNTA(KF5:KH6)),"")</f>
        <v/>
      </c>
      <c r="KJ4" s="107" t="str">
        <f t="shared" ref="KJ4:KJ19" si="68">IF(KI4="","",IF(KI4&gt;3.7,"A",IF(KI4&gt;2.8,"B",IF(KI4&gt;1.5,"C",IF(KI4&gt;0,"D",IF(KI4=0,""))))))</f>
        <v/>
      </c>
      <c r="KK4" s="204"/>
      <c r="KL4" s="186"/>
      <c r="KM4" s="205"/>
      <c r="KN4" s="106" t="str">
        <f>IFERROR((((COUNTIF('Elève (6ème5)'!KK5:KM6,"A"))*4)+((COUNTIF('Elève (6ème5)'!KK5:KM6,"B"))*3)+((COUNTIF('Elève (6ème5)'!KK5:KM6,"C"))*2)+((COUNTIF('Elève (6ème5)'!KK5:KM6,"D"))*1))/(COUNTA(KK5:KM6)),"")</f>
        <v/>
      </c>
      <c r="KO4" s="121" t="str">
        <f t="shared" ref="KO4:KO19" si="69">IF(KN4="","",IF(KN4&gt;3.7,"A",IF(KN4&gt;2.8,"B",IF(KN4&gt;1.5,"C",IF(KN4&gt;0,"D",IF(KN4=0,""))))))</f>
        <v/>
      </c>
      <c r="KP4" s="100"/>
      <c r="KQ4" s="187"/>
      <c r="KR4" s="188"/>
      <c r="KS4" s="106" t="str">
        <f>IFERROR((((COUNTIF('Elève (6ème5)'!KP5:KR6,"A"))*4)+((COUNTIF('Elève (6ème5)'!KP5:KR6,"B"))*3)+((COUNTIF('Elève (6ème5)'!KP5:KR6,"C"))*2)+((COUNTIF('Elève (6ème5)'!KP5:KR6,"D"))*1))/(COUNTA(KP5:KR6)),"")</f>
        <v/>
      </c>
      <c r="KT4" s="128" t="str">
        <f t="shared" ref="KT4:KT19" si="70">IF(KS4="","",IF(KS4&gt;3.7,"A",IF(KS4&gt;2.8,"B",IF(KS4&gt;1.5,"C",IF(KS4&gt;0,"D",IF(KS4=0,""))))))</f>
        <v/>
      </c>
      <c r="KU4" s="177" t="str">
        <f>IFERROR((((COUNTIF(KF5:KH6,"A")+COUNTIF(KK5:KM6,"A")+COUNTIF(KP5:KR6,"A"))*4)+((COUNTIF(KF5:KH6,"B")+COUNTIF(KK5:KM6,"B")+COUNTIF(KP5:KR6,"B"))*3)+((COUNTIF(KF5:KH6,"C")+COUNTIF(KK5:KM6,"C")+COUNTIF(KP5:KR6,"C"))*2)+((COUNTIF(KF5:KH6,"D")+COUNTIF(KK5:KM6,"D")+COUNTIF(KP5:KR6,"D"))*1))/(COUNTA(KF5:KH6)+COUNTA(KK5:KM6)+COUNTA(KP5:KR6)),"")</f>
        <v/>
      </c>
      <c r="KV4" s="130" t="str">
        <f t="shared" ref="KV4:KV19" si="71">IF(KU4="","",IF(KU4&gt;3.7,"A",IF(KU4&gt;2.8,"B",IF(KU4&gt;1.5,"C",IF(KU4&gt;0,"D",IF(KU4=0,""))))))</f>
        <v/>
      </c>
      <c r="KW4" s="152"/>
      <c r="KX4" s="185"/>
      <c r="KY4" s="185"/>
      <c r="KZ4" s="106" t="str">
        <f>IFERROR((((COUNTIF('Elève (6ème5)'!KW5:KY6,"A"))*4)+((COUNTIF('Elève (6ème5)'!KW5:KY6,"B"))*3)+((COUNTIF('Elève (6ème5)'!KW5:KY6,"C"))*2)+((COUNTIF('Elève (6ème5)'!KW5:KY6,"D"))*1))/(COUNTA(KW5:KY6)),"")</f>
        <v/>
      </c>
      <c r="LA4" s="107" t="str">
        <f t="shared" ref="LA4:LA19" si="72">IF(KZ4="","",IF(KZ4&gt;3.7,"A",IF(KZ4&gt;2.8,"B",IF(KZ4&gt;1.5,"C",IF(KZ4&gt;0,"D",IF(KZ4=0,""))))))</f>
        <v/>
      </c>
      <c r="LB4" s="204"/>
      <c r="LC4" s="186"/>
      <c r="LD4" s="205"/>
      <c r="LE4" s="106" t="str">
        <f>IFERROR((((COUNTIF('Elève (6ème5)'!LB5:LD6,"A"))*4)+((COUNTIF('Elève (6ème5)'!LB5:LD6,"B"))*3)+((COUNTIF('Elève (6ème5)'!LB5:LD6,"C"))*2)+((COUNTIF('Elève (6ème5)'!LB5:LD6,"D"))*1))/(COUNTA(LB5:LD6)),"")</f>
        <v/>
      </c>
      <c r="LF4" s="121" t="str">
        <f t="shared" ref="LF4:LF19" si="73">IF(LE4="","",IF(LE4&gt;3.7,"A",IF(LE4&gt;2.8,"B",IF(LE4&gt;1.5,"C",IF(LE4&gt;0,"D",IF(LE4=0,""))))))</f>
        <v/>
      </c>
      <c r="LG4" s="100"/>
      <c r="LH4" s="187"/>
      <c r="LI4" s="188"/>
      <c r="LJ4" s="106" t="str">
        <f>IFERROR((((COUNTIF('Elève (6ème5)'!LG5:LI6,"A"))*4)+((COUNTIF('Elève (6ème5)'!LG5:LI6,"B"))*3)+((COUNTIF('Elève (6ème5)'!LG5:LI6,"C"))*2)+((COUNTIF('Elève (6ème5)'!LG5:LI6,"D"))*1))/(COUNTA(LG5:LI6)),"")</f>
        <v/>
      </c>
      <c r="LK4" s="128" t="str">
        <f t="shared" ref="LK4:LK19" si="74">IF(LJ4="","",IF(LJ4&gt;3.7,"A",IF(LJ4&gt;2.8,"B",IF(LJ4&gt;1.5,"C",IF(LJ4&gt;0,"D",IF(LJ4=0,""))))))</f>
        <v/>
      </c>
      <c r="LL4" s="177" t="str">
        <f>IFERROR((((COUNTIF(KW5:KY6,"A")+COUNTIF(LB5:LD6,"A")+COUNTIF(LG5:LI6,"A"))*4)+((COUNTIF(KW5:KY6,"B")+COUNTIF(LB5:LD6,"B")+COUNTIF(LG5:LI6,"B"))*3)+((COUNTIF(KW5:KY6,"C")+COUNTIF(LB5:LD6,"C")+COUNTIF(LG5:LI6,"C"))*2)+((COUNTIF(KW5:KY6,"D")+COUNTIF(LB5:LD6,"D")+COUNTIF(LG5:LI6,"D"))*1))/(COUNTA(KW5:KY6)+COUNTA(LB5:LD6)+COUNTA(LG5:LI6)),"")</f>
        <v/>
      </c>
      <c r="LM4" s="130" t="str">
        <f t="shared" ref="LM4:LM19" si="75">IF(LL4="","",IF(LL4&gt;3.7,"A",IF(LL4&gt;2.8,"B",IF(LL4&gt;1.5,"C",IF(LL4&gt;0,"D",IF(LL4=0,""))))))</f>
        <v/>
      </c>
      <c r="LN4" s="152"/>
      <c r="LO4" s="185"/>
      <c r="LP4" s="185"/>
      <c r="LQ4" s="106" t="str">
        <f>IFERROR((((COUNTIF('Elève (6ème5)'!LN5:LP6,"A"))*4)+((COUNTIF('Elève (6ème5)'!LN5:LP6,"B"))*3)+((COUNTIF('Elève (6ème5)'!LN5:LP6,"C"))*2)+((COUNTIF('Elève (6ème5)'!LN5:LP6,"D"))*1))/(COUNTA(LN5:LP6)),"")</f>
        <v/>
      </c>
      <c r="LR4" s="107" t="str">
        <f t="shared" ref="LR4:LR19" si="76">IF(LQ4="","",IF(LQ4&gt;3.7,"A",IF(LQ4&gt;2.8,"B",IF(LQ4&gt;1.5,"C",IF(LQ4&gt;0,"D",IF(LQ4=0,""))))))</f>
        <v/>
      </c>
      <c r="LS4" s="204"/>
      <c r="LT4" s="186"/>
      <c r="LU4" s="205"/>
      <c r="LV4" s="106" t="str">
        <f>IFERROR((((COUNTIF('Elève (6ème5)'!LS5:LU6,"A"))*4)+((COUNTIF('Elève (6ème5)'!LS5:LU6,"B"))*3)+((COUNTIF('Elève (6ème5)'!LS5:LU6,"C"))*2)+((COUNTIF('Elève (6ème5)'!LS5:LU6,"D"))*1))/(COUNTA(LS5:LU6)),"")</f>
        <v/>
      </c>
      <c r="LW4" s="121" t="str">
        <f t="shared" ref="LW4:LW19" si="77">IF(LV4="","",IF(LV4&gt;3.7,"A",IF(LV4&gt;2.8,"B",IF(LV4&gt;1.5,"C",IF(LV4&gt;0,"D",IF(LV4=0,""))))))</f>
        <v/>
      </c>
      <c r="LX4" s="100"/>
      <c r="LY4" s="187"/>
      <c r="LZ4" s="188"/>
      <c r="MA4" s="106" t="str">
        <f>IFERROR((((COUNTIF('Elève (6ème5)'!LX5:LZ6,"A"))*4)+((COUNTIF('Elève (6ème5)'!LX5:LZ6,"B"))*3)+((COUNTIF('Elève (6ème5)'!LX5:LZ6,"C"))*2)+((COUNTIF('Elève (6ème5)'!LX5:LZ6,"D"))*1))/(COUNTA(LX5:LZ6)),"")</f>
        <v/>
      </c>
      <c r="MB4" s="128" t="str">
        <f t="shared" ref="MB4:MB19" si="78">IF(MA4="","",IF(MA4&gt;3.7,"A",IF(MA4&gt;2.8,"B",IF(MA4&gt;1.5,"C",IF(MA4&gt;0,"D",IF(MA4=0,""))))))</f>
        <v/>
      </c>
      <c r="MC4" s="177" t="str">
        <f>IFERROR((((COUNTIF(LN5:LP6,"A")+COUNTIF(LS5:LU6,"A")+COUNTIF(LX5:LZ6,"A"))*4)+((COUNTIF(LN5:LP6,"B")+COUNTIF(LS5:LU6,"B")+COUNTIF(LX5:LZ6,"B"))*3)+((COUNTIF(LN5:LP6,"C")+COUNTIF(LS5:LU6,"C")+COUNTIF(LX5:LZ6,"C"))*2)+((COUNTIF(LN5:LP6,"D")+COUNTIF(LS5:LU6,"D")+COUNTIF(LX5:LZ6,"D"))*1))/(COUNTA(LN5:LP6)+COUNTA(LS5:LU6)+COUNTA(LX5:LZ6)),"")</f>
        <v/>
      </c>
      <c r="MD4" s="130" t="str">
        <f t="shared" ref="MD4:MD19" si="79">IF(MC4="","",IF(MC4&gt;3.7,"A",IF(MC4&gt;2.8,"B",IF(MC4&gt;1.5,"C",IF(MC4&gt;0,"D",IF(MC4=0,""))))))</f>
        <v/>
      </c>
      <c r="ME4" s="152"/>
      <c r="MF4" s="185"/>
      <c r="MG4" s="185"/>
      <c r="MH4" s="106" t="str">
        <f>IFERROR((((COUNTIF('Elève (6ème5)'!ME5:MG6,"A"))*4)+((COUNTIF('Elève (6ème5)'!ME5:MG6,"B"))*3)+((COUNTIF('Elève (6ème5)'!ME5:MG6,"C"))*2)+((COUNTIF('Elève (6ème5)'!ME5:MG6,"D"))*1))/(COUNTA(ME5:MG6)),"")</f>
        <v/>
      </c>
      <c r="MI4" s="107" t="str">
        <f t="shared" ref="MI4:MI19" si="80">IF(MH4="","",IF(MH4&gt;3.7,"A",IF(MH4&gt;2.8,"B",IF(MH4&gt;1.5,"C",IF(MH4&gt;0,"D",IF(MH4=0,""))))))</f>
        <v/>
      </c>
      <c r="MJ4" s="204"/>
      <c r="MK4" s="186"/>
      <c r="ML4" s="205"/>
      <c r="MM4" s="106" t="str">
        <f>IFERROR((((COUNTIF('Elève (6ème5)'!MJ5:ML6,"A"))*4)+((COUNTIF('Elève (6ème5)'!MJ5:ML6,"B"))*3)+((COUNTIF('Elève (6ème5)'!MJ5:ML6,"C"))*2)+((COUNTIF('Elève (6ème5)'!MJ5:ML6,"D"))*1))/(COUNTA(MJ5:ML6)),"")</f>
        <v/>
      </c>
      <c r="MN4" s="121" t="str">
        <f t="shared" ref="MN4:MN19" si="81">IF(MM4="","",IF(MM4&gt;3.7,"A",IF(MM4&gt;2.8,"B",IF(MM4&gt;1.5,"C",IF(MM4&gt;0,"D",IF(MM4=0,""))))))</f>
        <v/>
      </c>
      <c r="MO4" s="100"/>
      <c r="MP4" s="187"/>
      <c r="MQ4" s="188"/>
      <c r="MR4" s="106" t="str">
        <f>IFERROR((((COUNTIF('Elève (6ème5)'!MO5:MQ6,"A"))*4)+((COUNTIF('Elève (6ème5)'!MO5:MQ6,"B"))*3)+((COUNTIF('Elève (6ème5)'!MO5:MQ6,"C"))*2)+((COUNTIF('Elève (6ème5)'!MO5:MQ6,"D"))*1))/(COUNTA(MO5:MQ6)),"")</f>
        <v/>
      </c>
      <c r="MS4" s="128" t="str">
        <f t="shared" ref="MS4:MS19" si="82">IF(MR4="","",IF(MR4&gt;3.7,"A",IF(MR4&gt;2.8,"B",IF(MR4&gt;1.5,"C",IF(MR4&gt;0,"D",IF(MR4=0,""))))))</f>
        <v/>
      </c>
      <c r="MT4" s="177" t="str">
        <f>IFERROR((((COUNTIF(ME5:MG6,"A")+COUNTIF(MJ5:ML6,"A")+COUNTIF(MO5:MQ6,"A"))*4)+((COUNTIF(ME5:MG6,"B")+COUNTIF(MJ5:ML6,"B")+COUNTIF(MO5:MQ6,"B"))*3)+((COUNTIF(ME5:MG6,"C")+COUNTIF(MJ5:ML6,"C")+COUNTIF(MO5:MQ6,"C"))*2)+((COUNTIF(ME5:MG6,"D")+COUNTIF(MJ5:ML6,"D")+COUNTIF(MO5:MQ6,"D"))*1))/(COUNTA(ME5:MG6)+COUNTA(MJ5:ML6)+COUNTA(MO5:MQ6)),"")</f>
        <v/>
      </c>
      <c r="MU4" s="130" t="str">
        <f t="shared" ref="MU4:MU19" si="83">IF(MT4="","",IF(MT4&gt;3.7,"A",IF(MT4&gt;2.8,"B",IF(MT4&gt;1.5,"C",IF(MT4&gt;0,"D",IF(MT4=0,""))))))</f>
        <v/>
      </c>
      <c r="MV4" s="152"/>
      <c r="MW4" s="185"/>
      <c r="MX4" s="185"/>
      <c r="MY4" s="106" t="str">
        <f>IFERROR((((COUNTIF('Elève (6ème5)'!MV5:MX6,"A"))*4)+((COUNTIF('Elève (6ème5)'!MV5:MX6,"B"))*3)+((COUNTIF('Elève (6ème5)'!MV5:MX6,"C"))*2)+((COUNTIF('Elève (6ème5)'!MV5:MX6,"D"))*1))/(COUNTA(MV5:MX6)),"")</f>
        <v/>
      </c>
      <c r="MZ4" s="107" t="str">
        <f t="shared" ref="MZ4:MZ19" si="84">IF(MY4="","",IF(MY4&gt;3.7,"A",IF(MY4&gt;2.8,"B",IF(MY4&gt;1.5,"C",IF(MY4&gt;0,"D",IF(MY4=0,""))))))</f>
        <v/>
      </c>
      <c r="NA4" s="204"/>
      <c r="NB4" s="186"/>
      <c r="NC4" s="205"/>
      <c r="ND4" s="106" t="str">
        <f>IFERROR((((COUNTIF('Elève (6ème5)'!NA5:NC6,"A"))*4)+((COUNTIF('Elève (6ème5)'!NA5:NC6,"B"))*3)+((COUNTIF('Elève (6ème5)'!NA5:NC6,"C"))*2)+((COUNTIF('Elève (6ème5)'!NA5:NC6,"D"))*1))/(COUNTA(NA5:NC6)),"")</f>
        <v/>
      </c>
      <c r="NE4" s="121" t="str">
        <f t="shared" ref="NE4:NE19" si="85">IF(ND4="","",IF(ND4&gt;3.7,"A",IF(ND4&gt;2.8,"B",IF(ND4&gt;1.5,"C",IF(ND4&gt;0,"D",IF(ND4=0,""))))))</f>
        <v/>
      </c>
      <c r="NF4" s="100"/>
      <c r="NG4" s="187"/>
      <c r="NH4" s="188"/>
      <c r="NI4" s="106" t="str">
        <f>IFERROR((((COUNTIF('Elève (6ème5)'!NF5:NH6,"A"))*4)+((COUNTIF('Elève (6ème5)'!NF5:NH6,"B"))*3)+((COUNTIF('Elève (6ème5)'!NF5:NH6,"C"))*2)+((COUNTIF('Elève (6ème5)'!NF5:NH6,"D"))*1))/(COUNTA(NF5:NH6)),"")</f>
        <v/>
      </c>
      <c r="NJ4" s="128" t="str">
        <f t="shared" ref="NJ4:NJ19" si="86">IF(NI4="","",IF(NI4&gt;3.7,"A",IF(NI4&gt;2.8,"B",IF(NI4&gt;1.5,"C",IF(NI4&gt;0,"D",IF(NI4=0,""))))))</f>
        <v/>
      </c>
      <c r="NK4" s="177" t="str">
        <f>IFERROR((((COUNTIF(MV5:MX6,"A")+COUNTIF(NA5:NC6,"A")+COUNTIF(NF5:NH6,"A"))*4)+((COUNTIF(MV5:MX6,"B")+COUNTIF(NA5:NC6,"B")+COUNTIF(NF5:NH6,"B"))*3)+((COUNTIF(MV5:MX6,"C")+COUNTIF(NA5:NC6,"C")+COUNTIF(NF5:NH6,"C"))*2)+((COUNTIF(MV5:MX6,"D")+COUNTIF(NA5:NC6,"D")+COUNTIF(NF5:NH6,"D"))*1))/(COUNTA(MV5:MX6)+COUNTA(NA5:NC6)+COUNTA(NF5:NH6)),"")</f>
        <v/>
      </c>
      <c r="NL4" s="130" t="str">
        <f t="shared" ref="NL4:NL19" si="87">IF(NK4="","",IF(NK4&gt;3.7,"A",IF(NK4&gt;2.8,"B",IF(NK4&gt;1.5,"C",IF(NK4&gt;0,"D",IF(NK4=0,""))))))</f>
        <v/>
      </c>
      <c r="NM4" s="152"/>
      <c r="NN4" s="185"/>
      <c r="NO4" s="185"/>
      <c r="NP4" s="106" t="str">
        <f>IFERROR((((COUNTIF('Elève (6ème5)'!NM5:NO6,"A"))*4)+((COUNTIF('Elève (6ème5)'!NM5:NO6,"B"))*3)+((COUNTIF('Elève (6ème5)'!NM5:NO6,"C"))*2)+((COUNTIF('Elève (6ème5)'!NM5:NO6,"D"))*1))/(COUNTA(NM5:NO6)),"")</f>
        <v/>
      </c>
      <c r="NQ4" s="107" t="str">
        <f t="shared" ref="NQ4:NQ19" si="88">IF(NP4="","",IF(NP4&gt;3.7,"A",IF(NP4&gt;2.8,"B",IF(NP4&gt;1.5,"C",IF(NP4&gt;0,"D",IF(NP4=0,""))))))</f>
        <v/>
      </c>
      <c r="NR4" s="204"/>
      <c r="NS4" s="186"/>
      <c r="NT4" s="205"/>
      <c r="NU4" s="106" t="str">
        <f>IFERROR((((COUNTIF('Elève (6ème5)'!NR5:NT6,"A"))*4)+((COUNTIF('Elève (6ème5)'!NR5:NT6,"B"))*3)+((COUNTIF('Elève (6ème5)'!NR5:NT6,"C"))*2)+((COUNTIF('Elève (6ème5)'!NR5:NT6,"D"))*1))/(COUNTA(NR5:NT6)),"")</f>
        <v/>
      </c>
      <c r="NV4" s="121" t="str">
        <f t="shared" ref="NV4:NV19" si="89">IF(NU4="","",IF(NU4&gt;3.7,"A",IF(NU4&gt;2.8,"B",IF(NU4&gt;1.5,"C",IF(NU4&gt;0,"D",IF(NU4=0,""))))))</f>
        <v/>
      </c>
      <c r="NW4" s="100"/>
      <c r="NX4" s="187"/>
      <c r="NY4" s="188"/>
      <c r="NZ4" s="106" t="str">
        <f>IFERROR((((COUNTIF('Elève (6ème5)'!NW5:NY6,"A"))*4)+((COUNTIF('Elève (6ème5)'!NW5:NY6,"B"))*3)+((COUNTIF('Elève (6ème5)'!NW5:NY6,"C"))*2)+((COUNTIF('Elève (6ème5)'!NW5:NY6,"D"))*1))/(COUNTA(NW5:NY6)),"")</f>
        <v/>
      </c>
      <c r="OA4" s="128" t="str">
        <f t="shared" ref="OA4:OA19" si="90">IF(NZ4="","",IF(NZ4&gt;3.7,"A",IF(NZ4&gt;2.8,"B",IF(NZ4&gt;1.5,"C",IF(NZ4&gt;0,"D",IF(NZ4=0,""))))))</f>
        <v/>
      </c>
      <c r="OB4" s="177" t="str">
        <f>IFERROR((((COUNTIF(NM5:NO6,"A")+COUNTIF(NR5:NT6,"A")+COUNTIF(NW5:NY6,"A"))*4)+((COUNTIF(NM5:NO6,"B")+COUNTIF(NR5:NT6,"B")+COUNTIF(NW5:NY6,"B"))*3)+((COUNTIF(NM5:NO6,"C")+COUNTIF(NR5:NT6,"C")+COUNTIF(NW5:NY6,"C"))*2)+((COUNTIF(NM5:NO6,"D")+COUNTIF(NR5:NT6,"D")+COUNTIF(NW5:NY6,"D"))*1))/(COUNTA(NM5:NO6)+COUNTA(NR5:NT6)+COUNTA(NW5:NY6)),"")</f>
        <v/>
      </c>
      <c r="OC4" s="130" t="str">
        <f t="shared" ref="OC4:OC19" si="91">IF(OB4="","",IF(OB4&gt;3.7,"A",IF(OB4&gt;2.8,"B",IF(OB4&gt;1.5,"C",IF(OB4&gt;0,"D",IF(OB4=0,""))))))</f>
        <v/>
      </c>
      <c r="OD4" s="152"/>
      <c r="OE4" s="185"/>
      <c r="OF4" s="185"/>
      <c r="OG4" s="106" t="str">
        <f>IFERROR((((COUNTIF('Elève (6ème5)'!OD5:OF6,"A"))*4)+((COUNTIF('Elève (6ème5)'!OD5:OF6,"B"))*3)+((COUNTIF('Elève (6ème5)'!OD5:OF6,"C"))*2)+((COUNTIF('Elève (6ème5)'!OD5:OF6,"D"))*1))/(COUNTA(OD5:OF6)),"")</f>
        <v/>
      </c>
      <c r="OH4" s="107" t="str">
        <f t="shared" ref="OH4:OH19" si="92">IF(OG4="","",IF(OG4&gt;3.7,"A",IF(OG4&gt;2.8,"B",IF(OG4&gt;1.5,"C",IF(OG4&gt;0,"D",IF(OG4=0,""))))))</f>
        <v/>
      </c>
      <c r="OI4" s="204"/>
      <c r="OJ4" s="186"/>
      <c r="OK4" s="205"/>
      <c r="OL4" s="106" t="str">
        <f>IFERROR((((COUNTIF('Elève (6ème5)'!OI5:OK6,"A"))*4)+((COUNTIF('Elève (6ème5)'!OI5:OK6,"B"))*3)+((COUNTIF('Elève (6ème5)'!OI5:OK6,"C"))*2)+((COUNTIF('Elève (6ème5)'!OI5:OK6,"D"))*1))/(COUNTA(OI5:OK6)),"")</f>
        <v/>
      </c>
      <c r="OM4" s="121" t="str">
        <f t="shared" ref="OM4:OM19" si="93">IF(OL4="","",IF(OL4&gt;3.7,"A",IF(OL4&gt;2.8,"B",IF(OL4&gt;1.5,"C",IF(OL4&gt;0,"D",IF(OL4=0,""))))))</f>
        <v/>
      </c>
      <c r="ON4" s="100"/>
      <c r="OO4" s="187"/>
      <c r="OP4" s="188"/>
      <c r="OQ4" s="106" t="str">
        <f>IFERROR((((COUNTIF('Elève (6ème5)'!ON5:OP6,"A"))*4)+((COUNTIF('Elève (6ème5)'!ON5:OP6,"B"))*3)+((COUNTIF('Elève (6ème5)'!ON5:OP6,"C"))*2)+((COUNTIF('Elève (6ème5)'!ON5:OP6,"D"))*1))/(COUNTA(ON5:OP6)),"")</f>
        <v/>
      </c>
      <c r="OR4" s="128" t="str">
        <f t="shared" ref="OR4:OR19" si="94">IF(OQ4="","",IF(OQ4&gt;3.7,"A",IF(OQ4&gt;2.8,"B",IF(OQ4&gt;1.5,"C",IF(OQ4&gt;0,"D",IF(OQ4=0,""))))))</f>
        <v/>
      </c>
      <c r="OS4" s="177" t="str">
        <f>IFERROR((((COUNTIF(OD5:OF6,"A")+COUNTIF(OI5:OK6,"A")+COUNTIF(ON5:OP6,"A"))*4)+((COUNTIF(OD5:OF6,"B")+COUNTIF(OI5:OK6,"B")+COUNTIF(ON5:OP6,"B"))*3)+((COUNTIF(OD5:OF6,"C")+COUNTIF(OI5:OK6,"C")+COUNTIF(ON5:OP6,"C"))*2)+((COUNTIF(OD5:OF6,"D")+COUNTIF(OI5:OK6,"D")+COUNTIF(ON5:OP6,"D"))*1))/(COUNTA(OD5:OF6)+COUNTA(OI5:OK6)+COUNTA(ON5:OP6)),"")</f>
        <v/>
      </c>
      <c r="OT4" s="130" t="str">
        <f t="shared" ref="OT4:OT19" si="95">IF(OS4="","",IF(OS4&gt;3.7,"A",IF(OS4&gt;2.8,"B",IF(OS4&gt;1.5,"C",IF(OS4&gt;0,"D",IF(OS4=0,""))))))</f>
        <v/>
      </c>
      <c r="OU4" s="152"/>
      <c r="OV4" s="185"/>
      <c r="OW4" s="185"/>
      <c r="OX4" s="106" t="str">
        <f>IFERROR((((COUNTIF('Elève (6ème5)'!OU5:OW6,"A"))*4)+((COUNTIF('Elève (6ème5)'!OU5:OW6,"B"))*3)+((COUNTIF('Elève (6ème5)'!OU5:OW6,"C"))*2)+((COUNTIF('Elève (6ème5)'!OU5:OW6,"D"))*1))/(COUNTA(OU5:OW6)),"")</f>
        <v/>
      </c>
      <c r="OY4" s="107" t="str">
        <f t="shared" ref="OY4:OY19" si="96">IF(OX4="","",IF(OX4&gt;3.7,"A",IF(OX4&gt;2.8,"B",IF(OX4&gt;1.5,"C",IF(OX4&gt;0,"D",IF(OX4=0,""))))))</f>
        <v/>
      </c>
      <c r="OZ4" s="204"/>
      <c r="PA4" s="186"/>
      <c r="PB4" s="205"/>
      <c r="PC4" s="106" t="str">
        <f>IFERROR((((COUNTIF('Elève (6ème5)'!OZ5:PB6,"A"))*4)+((COUNTIF('Elève (6ème5)'!OZ5:PB6,"B"))*3)+((COUNTIF('Elève (6ème5)'!OZ5:PB6,"C"))*2)+((COUNTIF('Elève (6ème5)'!OZ5:PB6,"D"))*1))/(COUNTA(OZ5:PB6)),"")</f>
        <v/>
      </c>
      <c r="PD4" s="121" t="str">
        <f t="shared" ref="PD4:PD19" si="97">IF(PC4="","",IF(PC4&gt;3.7,"A",IF(PC4&gt;2.8,"B",IF(PC4&gt;1.5,"C",IF(PC4&gt;0,"D",IF(PC4=0,""))))))</f>
        <v/>
      </c>
      <c r="PE4" s="100"/>
      <c r="PF4" s="187"/>
      <c r="PG4" s="188"/>
      <c r="PH4" s="106" t="str">
        <f>IFERROR((((COUNTIF('Elève (6ème5)'!PE5:PG6,"A"))*4)+((COUNTIF('Elève (6ème5)'!PE5:PG6,"B"))*3)+((COUNTIF('Elève (6ème5)'!PE5:PG6,"C"))*2)+((COUNTIF('Elève (6ème5)'!PE5:PG6,"D"))*1))/(COUNTA(PE5:PG6)),"")</f>
        <v/>
      </c>
      <c r="PI4" s="128" t="str">
        <f t="shared" ref="PI4:PI19" si="98">IF(PH4="","",IF(PH4&gt;3.7,"A",IF(PH4&gt;2.8,"B",IF(PH4&gt;1.5,"C",IF(PH4&gt;0,"D",IF(PH4=0,""))))))</f>
        <v/>
      </c>
      <c r="PJ4" s="177" t="str">
        <f>IFERROR((((COUNTIF(OU5:OW6,"A")+COUNTIF(OZ5:PB6,"A")+COUNTIF(PE5:PG6,"A"))*4)+((COUNTIF(OU5:OW6,"B")+COUNTIF(OZ5:PB6,"B")+COUNTIF(PE5:PG6,"B"))*3)+((COUNTIF(OU5:OW6,"C")+COUNTIF(OZ5:PB6,"C")+COUNTIF(PE5:PG6,"C"))*2)+((COUNTIF(OU5:OW6,"D")+COUNTIF(OZ5:PB6,"D")+COUNTIF(PE5:PG6,"D"))*1))/(COUNTA(OU5:OW6)+COUNTA(OZ5:PB6)+COUNTA(PE5:PG6)),"")</f>
        <v/>
      </c>
      <c r="PK4" s="130" t="str">
        <f t="shared" ref="PK4:PK19" si="99">IF(PJ4="","",IF(PJ4&gt;3.7,"A",IF(PJ4&gt;2.8,"B",IF(PJ4&gt;1.5,"C",IF(PJ4&gt;0,"D",IF(PJ4=0,""))))))</f>
        <v/>
      </c>
      <c r="PL4" s="152"/>
      <c r="PM4" s="185"/>
      <c r="PN4" s="185"/>
      <c r="PO4" s="106" t="str">
        <f>IFERROR((((COUNTIF('Elève (6ème5)'!PL5:PN6,"A"))*4)+((COUNTIF('Elève (6ème5)'!PL5:PN6,"B"))*3)+((COUNTIF('Elève (6ème5)'!PL5:PN6,"C"))*2)+((COUNTIF('Elève (6ème5)'!PL5:PN6,"D"))*1))/(COUNTA(PL5:PN6)),"")</f>
        <v/>
      </c>
      <c r="PP4" s="107" t="str">
        <f t="shared" ref="PP4:PP19" si="100">IF(PO4="","",IF(PO4&gt;3.7,"A",IF(PO4&gt;2.8,"B",IF(PO4&gt;1.5,"C",IF(PO4&gt;0,"D",IF(PO4=0,""))))))</f>
        <v/>
      </c>
      <c r="PQ4" s="204"/>
      <c r="PR4" s="186"/>
      <c r="PS4" s="205"/>
      <c r="PT4" s="106" t="str">
        <f>IFERROR((((COUNTIF('Elève (6ème5)'!PQ5:PS6,"A"))*4)+((COUNTIF('Elève (6ème5)'!PQ5:PS6,"B"))*3)+((COUNTIF('Elève (6ème5)'!PQ5:PS6,"C"))*2)+((COUNTIF('Elève (6ème5)'!PQ5:PS6,"D"))*1))/(COUNTA(PQ5:PS6)),"")</f>
        <v/>
      </c>
      <c r="PU4" s="121" t="str">
        <f t="shared" ref="PU4:PU19" si="101">IF(PT4="","",IF(PT4&gt;3.7,"A",IF(PT4&gt;2.8,"B",IF(PT4&gt;1.5,"C",IF(PT4&gt;0,"D",IF(PT4=0,""))))))</f>
        <v/>
      </c>
      <c r="PV4" s="100"/>
      <c r="PW4" s="187"/>
      <c r="PX4" s="188"/>
      <c r="PY4" s="106" t="str">
        <f>IFERROR((((COUNTIF('Elève (6ème5)'!PV5:PX6,"A"))*4)+((COUNTIF('Elève (6ème5)'!PV5:PX6,"B"))*3)+((COUNTIF('Elève (6ème5)'!PV5:PX6,"C"))*2)+((COUNTIF('Elève (6ème5)'!PV5:PX6,"D"))*1))/(COUNTA(PV5:PX6)),"")</f>
        <v/>
      </c>
      <c r="PZ4" s="128" t="str">
        <f t="shared" ref="PZ4:PZ19" si="102">IF(PY4="","",IF(PY4&gt;3.7,"A",IF(PY4&gt;2.8,"B",IF(PY4&gt;1.5,"C",IF(PY4&gt;0,"D",IF(PY4=0,""))))))</f>
        <v/>
      </c>
      <c r="QA4" s="177" t="str">
        <f>IFERROR((((COUNTIF(PL5:PN6,"A")+COUNTIF(PQ5:PS6,"A")+COUNTIF(PV5:PX6,"A"))*4)+((COUNTIF(PL5:PN6,"B")+COUNTIF(PQ5:PS6,"B")+COUNTIF(PV5:PX6,"B"))*3)+((COUNTIF(PL5:PN6,"C")+COUNTIF(PQ5:PS6,"C")+COUNTIF(PV5:PX6,"C"))*2)+((COUNTIF(PL5:PN6,"D")+COUNTIF(PQ5:PS6,"D")+COUNTIF(PV5:PX6,"D"))*1))/(COUNTA(PL5:PN6)+COUNTA(PQ5:PS6)+COUNTA(PV5:PX6)),"")</f>
        <v/>
      </c>
      <c r="QB4" s="130" t="str">
        <f t="shared" ref="QB4:QB19" si="103">IF(QA4="","",IF(QA4&gt;3.7,"A",IF(QA4&gt;2.8,"B",IF(QA4&gt;1.5,"C",IF(QA4&gt;0,"D",IF(QA4=0,""))))))</f>
        <v/>
      </c>
      <c r="QC4" s="152"/>
      <c r="QD4" s="185"/>
      <c r="QE4" s="185"/>
      <c r="QF4" s="106" t="str">
        <f>IFERROR((((COUNTIF('Elève (6ème5)'!QC5:QE6,"A"))*4)+((COUNTIF('Elève (6ème5)'!QC5:QE6,"B"))*3)+((COUNTIF('Elève (6ème5)'!QC5:QE6,"C"))*2)+((COUNTIF('Elève (6ème5)'!QC5:QE6,"D"))*1))/(COUNTA(QC5:QE6)),"")</f>
        <v/>
      </c>
      <c r="QG4" s="107" t="str">
        <f t="shared" ref="QG4:QG19" si="104">IF(QF4="","",IF(QF4&gt;3.7,"A",IF(QF4&gt;2.8,"B",IF(QF4&gt;1.5,"C",IF(QF4&gt;0,"D",IF(QF4=0,""))))))</f>
        <v/>
      </c>
      <c r="QH4" s="204"/>
      <c r="QI4" s="186"/>
      <c r="QJ4" s="205"/>
      <c r="QK4" s="106" t="str">
        <f>IFERROR((((COUNTIF('Elève (6ème5)'!QH5:QJ6,"A"))*4)+((COUNTIF('Elève (6ème5)'!QH5:QJ6,"B"))*3)+((COUNTIF('Elève (6ème5)'!QH5:QJ6,"C"))*2)+((COUNTIF('Elève (6ème5)'!QH5:QJ6,"D"))*1))/(COUNTA(QH5:QJ6)),"")</f>
        <v/>
      </c>
      <c r="QL4" s="121" t="str">
        <f t="shared" ref="QL4:QL19" si="105">IF(QK4="","",IF(QK4&gt;3.7,"A",IF(QK4&gt;2.8,"B",IF(QK4&gt;1.5,"C",IF(QK4&gt;0,"D",IF(QK4=0,""))))))</f>
        <v/>
      </c>
      <c r="QM4" s="100"/>
      <c r="QN4" s="187"/>
      <c r="QO4" s="188"/>
      <c r="QP4" s="106" t="str">
        <f>IFERROR((((COUNTIF('Elève (6ème5)'!QM5:QO6,"A"))*4)+((COUNTIF('Elève (6ème5)'!QM5:QO6,"B"))*3)+((COUNTIF('Elève (6ème5)'!QM5:QO6,"C"))*2)+((COUNTIF('Elève (6ème5)'!QM5:QO6,"D"))*1))/(COUNTA(QM5:QO6)),"")</f>
        <v/>
      </c>
      <c r="QQ4" s="128" t="str">
        <f t="shared" ref="QQ4:QQ19" si="106">IF(QP4="","",IF(QP4&gt;3.7,"A",IF(QP4&gt;2.8,"B",IF(QP4&gt;1.5,"C",IF(QP4&gt;0,"D",IF(QP4=0,""))))))</f>
        <v/>
      </c>
      <c r="QR4" s="177" t="str">
        <f>IFERROR((((COUNTIF(QC5:QE6,"A")+COUNTIF(QH5:QJ6,"A")+COUNTIF(QM5:QO6,"A"))*4)+((COUNTIF(QC5:QE6,"B")+COUNTIF(QH5:QJ6,"B")+COUNTIF(QM5:QO6,"B"))*3)+((COUNTIF(QC5:QE6,"C")+COUNTIF(QH5:QJ6,"C")+COUNTIF(QM5:QO6,"C"))*2)+((COUNTIF(QC5:QE6,"D")+COUNTIF(QH5:QJ6,"D")+COUNTIF(QM5:QO6,"D"))*1))/(COUNTA(QC5:QE6)+COUNTA(QH5:QJ6)+COUNTA(QM5:QO6)),"")</f>
        <v/>
      </c>
      <c r="QS4" s="130" t="str">
        <f t="shared" ref="QS4:QS19" si="107">IF(QR4="","",IF(QR4&gt;3.7,"A",IF(QR4&gt;2.8,"B",IF(QR4&gt;1.5,"C",IF(QR4&gt;0,"D",IF(QR4=0,""))))))</f>
        <v/>
      </c>
      <c r="QT4" s="152"/>
      <c r="QU4" s="185"/>
      <c r="QV4" s="185"/>
      <c r="QW4" s="106" t="str">
        <f>IFERROR((((COUNTIF('Elève (6ème5)'!QT5:QV6,"A"))*4)+((COUNTIF('Elève (6ème5)'!QT5:QV6,"B"))*3)+((COUNTIF('Elève (6ème5)'!QT5:QV6,"C"))*2)+((COUNTIF('Elève (6ème5)'!QT5:QV6,"D"))*1))/(COUNTA(QT5:QV6)),"")</f>
        <v/>
      </c>
      <c r="QX4" s="107" t="str">
        <f t="shared" ref="QX4:QX19" si="108">IF(QW4="","",IF(QW4&gt;3.7,"A",IF(QW4&gt;2.8,"B",IF(QW4&gt;1.5,"C",IF(QW4&gt;0,"D",IF(QW4=0,""))))))</f>
        <v/>
      </c>
      <c r="QY4" s="204"/>
      <c r="QZ4" s="186"/>
      <c r="RA4" s="205"/>
      <c r="RB4" s="106" t="str">
        <f>IFERROR((((COUNTIF('Elève (6ème5)'!QY5:RA6,"A"))*4)+((COUNTIF('Elève (6ème5)'!QY5:RA6,"B"))*3)+((COUNTIF('Elève (6ème5)'!QY5:RA6,"C"))*2)+((COUNTIF('Elève (6ème5)'!QY5:RA6,"D"))*1))/(COUNTA(QY5:RA6)),"")</f>
        <v/>
      </c>
      <c r="RC4" s="121" t="str">
        <f t="shared" ref="RC4:RC19" si="109">IF(RB4="","",IF(RB4&gt;3.7,"A",IF(RB4&gt;2.8,"B",IF(RB4&gt;1.5,"C",IF(RB4&gt;0,"D",IF(RB4=0,""))))))</f>
        <v/>
      </c>
      <c r="RD4" s="100"/>
      <c r="RE4" s="187"/>
      <c r="RF4" s="188"/>
      <c r="RG4" s="106" t="str">
        <f>IFERROR((((COUNTIF('Elève (6ème5)'!RD5:RF6,"A"))*4)+((COUNTIF('Elève (6ème5)'!RD5:RF6,"B"))*3)+((COUNTIF('Elève (6ème5)'!RD5:RF6,"C"))*2)+((COUNTIF('Elève (6ème5)'!RD5:RF6,"D"))*1))/(COUNTA(RD5:RF6)),"")</f>
        <v/>
      </c>
      <c r="RH4" s="128" t="str">
        <f t="shared" ref="RH4:RH19" si="110">IF(RG4="","",IF(RG4&gt;3.7,"A",IF(RG4&gt;2.8,"B",IF(RG4&gt;1.5,"C",IF(RG4&gt;0,"D",IF(RG4=0,""))))))</f>
        <v/>
      </c>
      <c r="RI4" s="177" t="str">
        <f>IFERROR((((COUNTIF(QT5:QV6,"A")+COUNTIF(QY5:RA6,"A")+COUNTIF(RD5:RF6,"A"))*4)+((COUNTIF(QT5:QV6,"B")+COUNTIF(QY5:RA6,"B")+COUNTIF(RD5:RF6,"B"))*3)+((COUNTIF(QT5:QV6,"C")+COUNTIF(QY5:RA6,"C")+COUNTIF(RD5:RF6,"C"))*2)+((COUNTIF(QT5:QV6,"D")+COUNTIF(QY5:RA6,"D")+COUNTIF(RD5:RF6,"D"))*1))/(COUNTA(QT5:QV6)+COUNTA(QY5:RA6)+COUNTA(RD5:RF6)),"")</f>
        <v/>
      </c>
      <c r="RJ4" s="130" t="str">
        <f t="shared" ref="RJ4:RJ19" si="111">IF(RI4="","",IF(RI4&gt;3.7,"A",IF(RI4&gt;2.8,"B",IF(RI4&gt;1.5,"C",IF(RI4&gt;0,"D",IF(RI4=0,""))))))</f>
        <v/>
      </c>
      <c r="RK4" s="152"/>
      <c r="RL4" s="185"/>
      <c r="RM4" s="185"/>
      <c r="RN4" s="106" t="str">
        <f>IFERROR((((COUNTIF('Elève (6ème5)'!RK5:RM6,"A"))*4)+((COUNTIF('Elève (6ème5)'!RK5:RM6,"B"))*3)+((COUNTIF('Elève (6ème5)'!RK5:RM6,"C"))*2)+((COUNTIF('Elève (6ème5)'!RK5:RM6,"D"))*1))/(COUNTA(RK5:RM6)),"")</f>
        <v/>
      </c>
      <c r="RO4" s="107" t="str">
        <f t="shared" ref="RO4:RO19" si="112">IF(RN4="","",IF(RN4&gt;3.7,"A",IF(RN4&gt;2.8,"B",IF(RN4&gt;1.5,"C",IF(RN4&gt;0,"D",IF(RN4=0,""))))))</f>
        <v/>
      </c>
      <c r="RP4" s="204"/>
      <c r="RQ4" s="186"/>
      <c r="RR4" s="205"/>
      <c r="RS4" s="106" t="str">
        <f>IFERROR((((COUNTIF('Elève (6ème5)'!RP5:RR6,"A"))*4)+((COUNTIF('Elève (6ème5)'!RP5:RR6,"B"))*3)+((COUNTIF('Elève (6ème5)'!RP5:RR6,"C"))*2)+((COUNTIF('Elève (6ème5)'!RP5:RR6,"D"))*1))/(COUNTA(RP5:RR6)),"")</f>
        <v/>
      </c>
      <c r="RT4" s="121" t="str">
        <f t="shared" ref="RT4:RT19" si="113">IF(RS4="","",IF(RS4&gt;3.7,"A",IF(RS4&gt;2.8,"B",IF(RS4&gt;1.5,"C",IF(RS4&gt;0,"D",IF(RS4=0,""))))))</f>
        <v/>
      </c>
      <c r="RU4" s="100"/>
      <c r="RV4" s="187"/>
      <c r="RW4" s="188"/>
      <c r="RX4" s="106" t="str">
        <f>IFERROR((((COUNTIF('Elève (6ème5)'!RU5:RW6,"A"))*4)+((COUNTIF('Elève (6ème5)'!RU5:RW6,"B"))*3)+((COUNTIF('Elève (6ème5)'!RU5:RW6,"C"))*2)+((COUNTIF('Elève (6ème5)'!RU5:RW6,"D"))*1))/(COUNTA(RU5:RW6)),"")</f>
        <v/>
      </c>
      <c r="RY4" s="128" t="str">
        <f t="shared" ref="RY4:RY19" si="114">IF(RX4="","",IF(RX4&gt;3.7,"A",IF(RX4&gt;2.8,"B",IF(RX4&gt;1.5,"C",IF(RX4&gt;0,"D",IF(RX4=0,""))))))</f>
        <v/>
      </c>
      <c r="RZ4" s="177" t="str">
        <f>IFERROR((((COUNTIF(RK5:RM6,"A")+COUNTIF(RP5:RR6,"A")+COUNTIF(RU5:RW6,"A"))*4)+((COUNTIF(RK5:RM6,"B")+COUNTIF(RP5:RR6,"B")+COUNTIF(RU5:RW6,"B"))*3)+((COUNTIF(RK5:RM6,"C")+COUNTIF(RP5:RR6,"C")+COUNTIF(RU5:RW6,"C"))*2)+((COUNTIF(RK5:RM6,"D")+COUNTIF(RP5:RR6,"D")+COUNTIF(RU5:RW6,"D"))*1))/(COUNTA(RK5:RM6)+COUNTA(RP5:RR6)+COUNTA(RU5:RW6)),"")</f>
        <v/>
      </c>
      <c r="SA4" s="130" t="str">
        <f t="shared" ref="SA4:SA19" si="115">IF(RZ4="","",IF(RZ4&gt;3.7,"A",IF(RZ4&gt;2.8,"B",IF(RZ4&gt;1.5,"C",IF(RZ4&gt;0,"D",IF(RZ4=0,""))))))</f>
        <v/>
      </c>
      <c r="SB4" s="152"/>
      <c r="SC4" s="185"/>
      <c r="SD4" s="185"/>
      <c r="SE4" s="106" t="str">
        <f>IFERROR((((COUNTIF('Elève (6ème5)'!SB5:SD6,"A"))*4)+((COUNTIF('Elève (6ème5)'!SB5:SD6,"B"))*3)+((COUNTIF('Elève (6ème5)'!SB5:SD6,"C"))*2)+((COUNTIF('Elève (6ème5)'!SB5:SD6,"D"))*1))/(COUNTA(SB5:SD6)),"")</f>
        <v/>
      </c>
      <c r="SF4" s="107" t="str">
        <f t="shared" ref="SF4:SF19" si="116">IF(SE4="","",IF(SE4&gt;3.7,"A",IF(SE4&gt;2.8,"B",IF(SE4&gt;1.5,"C",IF(SE4&gt;0,"D",IF(SE4=0,""))))))</f>
        <v/>
      </c>
      <c r="SG4" s="204"/>
      <c r="SH4" s="186"/>
      <c r="SI4" s="205"/>
      <c r="SJ4" s="106" t="str">
        <f>IFERROR((((COUNTIF('Elève (6ème5)'!SG5:SI6,"A"))*4)+((COUNTIF('Elève (6ème5)'!SG5:SI6,"B"))*3)+((COUNTIF('Elève (6ème5)'!SG5:SI6,"C"))*2)+((COUNTIF('Elève (6ème5)'!SG5:SI6,"D"))*1))/(COUNTA(SG5:SI6)),"")</f>
        <v/>
      </c>
      <c r="SK4" s="121" t="str">
        <f t="shared" ref="SK4:SK19" si="117">IF(SJ4="","",IF(SJ4&gt;3.7,"A",IF(SJ4&gt;2.8,"B",IF(SJ4&gt;1.5,"C",IF(SJ4&gt;0,"D",IF(SJ4=0,""))))))</f>
        <v/>
      </c>
      <c r="SL4" s="100"/>
      <c r="SM4" s="187"/>
      <c r="SN4" s="188"/>
      <c r="SO4" s="106" t="str">
        <f>IFERROR((((COUNTIF('Elève (6ème5)'!SL5:SN6,"A"))*4)+((COUNTIF('Elève (6ème5)'!SL5:SN6,"B"))*3)+((COUNTIF('Elève (6ème5)'!SL5:SN6,"C"))*2)+((COUNTIF('Elève (6ème5)'!SL5:SN6,"D"))*1))/(COUNTA(SL5:SN6)),"")</f>
        <v/>
      </c>
      <c r="SP4" s="128" t="str">
        <f t="shared" ref="SP4:SP19" si="118">IF(SO4="","",IF(SO4&gt;3.7,"A",IF(SO4&gt;2.8,"B",IF(SO4&gt;1.5,"C",IF(SO4&gt;0,"D",IF(SO4=0,""))))))</f>
        <v/>
      </c>
      <c r="SQ4" s="177" t="str">
        <f>IFERROR((((COUNTIF(SB5:SD6,"A")+COUNTIF(SG5:SI6,"A")+COUNTIF(SL5:SN6,"A"))*4)+((COUNTIF(SB5:SD6,"B")+COUNTIF(SG5:SI6,"B")+COUNTIF(SL5:SN6,"B"))*3)+((COUNTIF(SB5:SD6,"C")+COUNTIF(SG5:SI6,"C")+COUNTIF(SL5:SN6,"C"))*2)+((COUNTIF(SB5:SD6,"D")+COUNTIF(SG5:SI6,"D")+COUNTIF(SL5:SN6,"D"))*1))/(COUNTA(SB5:SD6)+COUNTA(SG5:SI6)+COUNTA(SL5:SN6)),"")</f>
        <v/>
      </c>
      <c r="SR4" s="130" t="str">
        <f t="shared" ref="SR4:SR19" si="119">IF(SQ4="","",IF(SQ4&gt;3.7,"A",IF(SQ4&gt;2.8,"B",IF(SQ4&gt;1.5,"C",IF(SQ4&gt;0,"D",IF(SQ4=0,""))))))</f>
        <v/>
      </c>
    </row>
    <row r="5" spans="1:512" s="72" customFormat="1" ht="18" customHeight="1" x14ac:dyDescent="0.25">
      <c r="A5" s="240" t="s">
        <v>12</v>
      </c>
      <c r="B5" s="241"/>
      <c r="C5" s="153"/>
      <c r="D5" s="154"/>
      <c r="E5" s="155"/>
      <c r="F5" s="108" t="str">
        <f>IFERROR((((COUNTIF('Elève (6ème5)'!C5:E5,"A"))*4)+((COUNTIF('Elève (6ème5)'!C5:E5,"B"))*3)+((COUNTIF('Elève (6ème5)'!C5:E5,"C"))*2)+((COUNTIF('Elève (6ème5)'!C5:E5,"D"))*1))/(COUNTA(C5:E5)),"")</f>
        <v/>
      </c>
      <c r="G5" s="109" t="str">
        <f t="shared" si="0"/>
        <v/>
      </c>
      <c r="H5" s="78"/>
      <c r="I5" s="79"/>
      <c r="J5" s="80"/>
      <c r="K5" s="108" t="str">
        <f>IFERROR((((COUNTIF('Elève (6ème5)'!H5:J5,"A"))*4)+((COUNTIF('Elève (6ème5)'!H5:J5,"B"))*3)+((COUNTIF('Elève (6ème5)'!H5:J5,"C"))*2)+((COUNTIF('Elève (6ème5)'!H5:J5,"D"))*1))/(COUNTA(H5:J5)),"")</f>
        <v/>
      </c>
      <c r="L5" s="109" t="str">
        <f t="shared" si="1"/>
        <v/>
      </c>
      <c r="M5" s="78"/>
      <c r="N5" s="79"/>
      <c r="O5" s="80"/>
      <c r="P5" s="108" t="str">
        <f>IFERROR((((COUNTIF('Elève (6ème5)'!M5:O5,"A"))*4)+((COUNTIF('Elève (6ème5)'!M5:O5,"B"))*3)+((COUNTIF('Elève (6ème5)'!M5:O5,"C"))*2)+((COUNTIF('Elève (6ème5)'!M5:O5,"D"))*1))/(COUNTA(M5:O5)),"")</f>
        <v/>
      </c>
      <c r="Q5" s="109" t="str">
        <f t="shared" si="2"/>
        <v/>
      </c>
      <c r="R5" s="178" t="str">
        <f>IF(COUNT(F5,K5,P5)=0,"",SUM(F5,K5,P5)/COUNT(F5,K5,P5))</f>
        <v/>
      </c>
      <c r="S5" s="131" t="str">
        <f t="shared" si="3"/>
        <v/>
      </c>
      <c r="T5" s="153"/>
      <c r="U5" s="154"/>
      <c r="V5" s="155"/>
      <c r="W5" s="108" t="str">
        <f>IFERROR((((COUNTIF('Elève (6ème5)'!T5:V5,"A"))*4)+((COUNTIF('Elève (6ème5)'!T5:V5,"B"))*3)+((COUNTIF('Elève (6ème5)'!T5:V5,"C"))*2)+((COUNTIF('Elève (6ème5)'!T5:V5,"D"))*1))/(COUNTA(T5:V5)),"")</f>
        <v/>
      </c>
      <c r="X5" s="109" t="str">
        <f t="shared" si="4"/>
        <v/>
      </c>
      <c r="Y5" s="78"/>
      <c r="Z5" s="79"/>
      <c r="AA5" s="80"/>
      <c r="AB5" s="108" t="str">
        <f>IFERROR((((COUNTIF('Elève (6ème5)'!Y5:AA5,"A"))*4)+((COUNTIF('Elève (6ème5)'!Y5:AA5,"B"))*3)+((COUNTIF('Elève (6ème5)'!Y5:AA5,"C"))*2)+((COUNTIF('Elève (6ème5)'!Y5:AA5,"D"))*1))/(COUNTA(Y5:AA5)),"")</f>
        <v/>
      </c>
      <c r="AC5" s="109" t="str">
        <f t="shared" si="5"/>
        <v/>
      </c>
      <c r="AD5" s="78"/>
      <c r="AE5" s="79"/>
      <c r="AF5" s="80"/>
      <c r="AG5" s="108" t="str">
        <f>IFERROR((((COUNTIF('Elève (6ème5)'!AD5:AF5,"A"))*4)+((COUNTIF('Elève (6ème5)'!AD5:AF5,"B"))*3)+((COUNTIF('Elève (6ème5)'!AD5:AF5,"C"))*2)+((COUNTIF('Elève (6ème5)'!AD5:AF5,"D"))*1))/(COUNTA(AD5:AF5)),"")</f>
        <v/>
      </c>
      <c r="AH5" s="109" t="str">
        <f t="shared" si="6"/>
        <v/>
      </c>
      <c r="AI5" s="178" t="str">
        <f>IF(COUNT(W5,AB5,AG5)=0,"",SUM(W5,AB5,AG5)/COUNT(W5,AB5,AG5))</f>
        <v/>
      </c>
      <c r="AJ5" s="131" t="str">
        <f t="shared" si="7"/>
        <v/>
      </c>
      <c r="AK5" s="153"/>
      <c r="AL5" s="154"/>
      <c r="AM5" s="155"/>
      <c r="AN5" s="108" t="str">
        <f>IFERROR((((COUNTIF('Elève (6ème5)'!AK5:AM5,"A"))*4)+((COUNTIF('Elève (6ème5)'!AK5:AM5,"B"))*3)+((COUNTIF('Elève (6ème5)'!AK5:AM5,"C"))*2)+((COUNTIF('Elève (6ème5)'!AK5:AM5,"D"))*1))/(COUNTA(AK5:AM5)),"")</f>
        <v/>
      </c>
      <c r="AO5" s="109" t="str">
        <f t="shared" si="8"/>
        <v/>
      </c>
      <c r="AP5" s="78"/>
      <c r="AQ5" s="79"/>
      <c r="AR5" s="80"/>
      <c r="AS5" s="108" t="str">
        <f>IFERROR((((COUNTIF('Elève (6ème5)'!AP5:AR5,"A"))*4)+((COUNTIF('Elève (6ème5)'!AP5:AR5,"B"))*3)+((COUNTIF('Elève (6ème5)'!AP5:AR5,"C"))*2)+((COUNTIF('Elève (6ème5)'!AP5:AR5,"D"))*1))/(COUNTA(AP5:AR5)),"")</f>
        <v/>
      </c>
      <c r="AT5" s="109" t="str">
        <f t="shared" si="9"/>
        <v/>
      </c>
      <c r="AU5" s="78"/>
      <c r="AV5" s="79"/>
      <c r="AW5" s="80"/>
      <c r="AX5" s="108" t="str">
        <f>IFERROR((((COUNTIF('Elève (6ème5)'!AU5:AW5,"A"))*4)+((COUNTIF('Elève (6ème5)'!AU5:AW5,"B"))*3)+((COUNTIF('Elève (6ème5)'!AU5:AW5,"C"))*2)+((COUNTIF('Elève (6ème5)'!AU5:AW5,"D"))*1))/(COUNTA(AU5:AW5)),"")</f>
        <v/>
      </c>
      <c r="AY5" s="109" t="str">
        <f t="shared" si="10"/>
        <v/>
      </c>
      <c r="AZ5" s="178" t="str">
        <f>IF(COUNT(AN5,AS5,AX5)=0,"",SUM(AN5,AS5,AX5)/COUNT(AN5,AS5,AX5))</f>
        <v/>
      </c>
      <c r="BA5" s="131" t="str">
        <f t="shared" si="11"/>
        <v/>
      </c>
      <c r="BB5" s="153"/>
      <c r="BC5" s="154"/>
      <c r="BD5" s="155"/>
      <c r="BE5" s="108" t="str">
        <f>IFERROR((((COUNTIF('Elève (6ème5)'!BB5:BD5,"A"))*4)+((COUNTIF('Elève (6ème5)'!BB5:BD5,"B"))*3)+((COUNTIF('Elève (6ème5)'!BB5:BD5,"C"))*2)+((COUNTIF('Elève (6ème5)'!BB5:BD5,"D"))*1))/(COUNTA(BB5:BD5)),"")</f>
        <v/>
      </c>
      <c r="BF5" s="109" t="str">
        <f t="shared" si="12"/>
        <v/>
      </c>
      <c r="BG5" s="78"/>
      <c r="BH5" s="79"/>
      <c r="BI5" s="80"/>
      <c r="BJ5" s="108" t="str">
        <f>IFERROR((((COUNTIF('Elève (6ème5)'!BG5:BI5,"A"))*4)+((COUNTIF('Elève (6ème5)'!BG5:BI5,"B"))*3)+((COUNTIF('Elève (6ème5)'!BG5:BI5,"C"))*2)+((COUNTIF('Elève (6ème5)'!BG5:BI5,"D"))*1))/(COUNTA(BG5:BI5)),"")</f>
        <v/>
      </c>
      <c r="BK5" s="109" t="str">
        <f t="shared" si="13"/>
        <v/>
      </c>
      <c r="BL5" s="78"/>
      <c r="BM5" s="79"/>
      <c r="BN5" s="80"/>
      <c r="BO5" s="108" t="str">
        <f>IFERROR((((COUNTIF('Elève (6ème5)'!BL5:BN5,"A"))*4)+((COUNTIF('Elève (6ème5)'!BL5:BN5,"B"))*3)+((COUNTIF('Elève (6ème5)'!BL5:BN5,"C"))*2)+((COUNTIF('Elève (6ème5)'!BL5:BN5,"D"))*1))/(COUNTA(BL5:BN5)),"")</f>
        <v/>
      </c>
      <c r="BP5" s="109" t="str">
        <f t="shared" si="14"/>
        <v/>
      </c>
      <c r="BQ5" s="178" t="str">
        <f>IF(COUNT(BE5,BJ5,BO5)=0,"",SUM(BE5,BJ5,BO5)/COUNT(BE5,BJ5,BO5))</f>
        <v/>
      </c>
      <c r="BR5" s="131" t="str">
        <f t="shared" si="15"/>
        <v/>
      </c>
      <c r="BS5" s="153"/>
      <c r="BT5" s="154"/>
      <c r="BU5" s="155"/>
      <c r="BV5" s="108" t="str">
        <f>IFERROR((((COUNTIF('Elève (6ème5)'!BS5:BU5,"A"))*4)+((COUNTIF('Elève (6ème5)'!BS5:BU5,"B"))*3)+((COUNTIF('Elève (6ème5)'!BS5:BU5,"C"))*2)+((COUNTIF('Elève (6ème5)'!BS5:BU5,"D"))*1))/(COUNTA(BS5:BU5)),"")</f>
        <v/>
      </c>
      <c r="BW5" s="109" t="str">
        <f t="shared" si="16"/>
        <v/>
      </c>
      <c r="BX5" s="78"/>
      <c r="BY5" s="79"/>
      <c r="BZ5" s="80"/>
      <c r="CA5" s="108" t="str">
        <f>IFERROR((((COUNTIF('Elève (6ème5)'!BX5:BZ5,"A"))*4)+((COUNTIF('Elève (6ème5)'!BX5:BZ5,"B"))*3)+((COUNTIF('Elève (6ème5)'!BX5:BZ5,"C"))*2)+((COUNTIF('Elève (6ème5)'!BX5:BZ5,"D"))*1))/(COUNTA(BX5:BZ5)),"")</f>
        <v/>
      </c>
      <c r="CB5" s="109" t="str">
        <f t="shared" si="17"/>
        <v/>
      </c>
      <c r="CC5" s="78"/>
      <c r="CD5" s="79"/>
      <c r="CE5" s="80"/>
      <c r="CF5" s="108" t="str">
        <f>IFERROR((((COUNTIF('Elève (6ème5)'!CC5:CE5,"A"))*4)+((COUNTIF('Elève (6ème5)'!CC5:CE5,"B"))*3)+((COUNTIF('Elève (6ème5)'!CC5:CE5,"C"))*2)+((COUNTIF('Elève (6ème5)'!CC5:CE5,"D"))*1))/(COUNTA(CC5:CE5)),"")</f>
        <v/>
      </c>
      <c r="CG5" s="109" t="str">
        <f t="shared" si="18"/>
        <v/>
      </c>
      <c r="CH5" s="178" t="str">
        <f>IF(COUNT(BV5,CA5,CF5)=0,"",SUM(BV5,CA5,CF5)/COUNT(BV5,CA5,CF5))</f>
        <v/>
      </c>
      <c r="CI5" s="131" t="str">
        <f t="shared" si="19"/>
        <v/>
      </c>
      <c r="CJ5" s="153"/>
      <c r="CK5" s="154"/>
      <c r="CL5" s="155"/>
      <c r="CM5" s="108" t="str">
        <f>IFERROR((((COUNTIF('Elève (6ème5)'!CJ5:CL5,"A"))*4)+((COUNTIF('Elève (6ème5)'!CJ5:CL5,"B"))*3)+((COUNTIF('Elève (6ème5)'!CJ5:CL5,"C"))*2)+((COUNTIF('Elève (6ème5)'!CJ5:CL5,"D"))*1))/(COUNTA(CJ5:CL5)),"")</f>
        <v/>
      </c>
      <c r="CN5" s="109" t="str">
        <f t="shared" si="20"/>
        <v/>
      </c>
      <c r="CO5" s="78"/>
      <c r="CP5" s="79"/>
      <c r="CQ5" s="80"/>
      <c r="CR5" s="108" t="str">
        <f>IFERROR((((COUNTIF('Elève (6ème5)'!CO5:CQ5,"A"))*4)+((COUNTIF('Elève (6ème5)'!CO5:CQ5,"B"))*3)+((COUNTIF('Elève (6ème5)'!CO5:CQ5,"C"))*2)+((COUNTIF('Elève (6ème5)'!CO5:CQ5,"D"))*1))/(COUNTA(CO5:CQ5)),"")</f>
        <v/>
      </c>
      <c r="CS5" s="109" t="str">
        <f t="shared" si="21"/>
        <v/>
      </c>
      <c r="CT5" s="78"/>
      <c r="CU5" s="79"/>
      <c r="CV5" s="80"/>
      <c r="CW5" s="108" t="str">
        <f>IFERROR((((COUNTIF('Elève (6ème5)'!CT5:CV5,"A"))*4)+((COUNTIF('Elève (6ème5)'!CT5:CV5,"B"))*3)+((COUNTIF('Elève (6ème5)'!CT5:CV5,"C"))*2)+((COUNTIF('Elève (6ème5)'!CT5:CV5,"D"))*1))/(COUNTA(CT5:CV5)),"")</f>
        <v/>
      </c>
      <c r="CX5" s="109" t="str">
        <f t="shared" si="22"/>
        <v/>
      </c>
      <c r="CY5" s="178" t="str">
        <f>IF(COUNT(CM5,CR5,CW5)=0,"",SUM(CM5,CR5,CW5)/COUNT(CM5,CR5,CW5))</f>
        <v/>
      </c>
      <c r="CZ5" s="131" t="str">
        <f t="shared" si="23"/>
        <v/>
      </c>
      <c r="DA5" s="153"/>
      <c r="DB5" s="154"/>
      <c r="DC5" s="155"/>
      <c r="DD5" s="108" t="str">
        <f>IFERROR((((COUNTIF('Elève (6ème5)'!DA5:DC5,"A"))*4)+((COUNTIF('Elève (6ème5)'!DA5:DC5,"B"))*3)+((COUNTIF('Elève (6ème5)'!DA5:DC5,"C"))*2)+((COUNTIF('Elève (6ème5)'!DA5:DC5,"D"))*1))/(COUNTA(DA5:DC5)),"")</f>
        <v/>
      </c>
      <c r="DE5" s="109" t="str">
        <f t="shared" si="24"/>
        <v/>
      </c>
      <c r="DF5" s="78"/>
      <c r="DG5" s="79"/>
      <c r="DH5" s="80"/>
      <c r="DI5" s="108" t="str">
        <f>IFERROR((((COUNTIF('Elève (6ème5)'!DF5:DH5,"A"))*4)+((COUNTIF('Elève (6ème5)'!DF5:DH5,"B"))*3)+((COUNTIF('Elève (6ème5)'!DF5:DH5,"C"))*2)+((COUNTIF('Elève (6ème5)'!DF5:DH5,"D"))*1))/(COUNTA(DF5:DH5)),"")</f>
        <v/>
      </c>
      <c r="DJ5" s="109" t="str">
        <f t="shared" si="25"/>
        <v/>
      </c>
      <c r="DK5" s="78"/>
      <c r="DL5" s="79"/>
      <c r="DM5" s="80"/>
      <c r="DN5" s="108" t="str">
        <f>IFERROR((((COUNTIF('Elève (6ème5)'!DK5:DM5,"A"))*4)+((COUNTIF('Elève (6ème5)'!DK5:DM5,"B"))*3)+((COUNTIF('Elève (6ème5)'!DK5:DM5,"C"))*2)+((COUNTIF('Elève (6ème5)'!DK5:DM5,"D"))*1))/(COUNTA(DK5:DM5)),"")</f>
        <v/>
      </c>
      <c r="DO5" s="109" t="str">
        <f t="shared" si="26"/>
        <v/>
      </c>
      <c r="DP5" s="178" t="str">
        <f>IF(COUNT(DD5,DI5,DN5)=0,"",SUM(DD5,DI5,DN5)/COUNT(DD5,DI5,DN5))</f>
        <v/>
      </c>
      <c r="DQ5" s="131" t="str">
        <f t="shared" si="27"/>
        <v/>
      </c>
      <c r="DR5" s="153"/>
      <c r="DS5" s="154"/>
      <c r="DT5" s="155"/>
      <c r="DU5" s="108" t="str">
        <f>IFERROR((((COUNTIF('Elève (6ème5)'!DR5:DT5,"A"))*4)+((COUNTIF('Elève (6ème5)'!DR5:DT5,"B"))*3)+((COUNTIF('Elève (6ème5)'!DR5:DT5,"C"))*2)+((COUNTIF('Elève (6ème5)'!DR5:DT5,"D"))*1))/(COUNTA(DR5:DT5)),"")</f>
        <v/>
      </c>
      <c r="DV5" s="109" t="str">
        <f t="shared" si="28"/>
        <v/>
      </c>
      <c r="DW5" s="78"/>
      <c r="DX5" s="79"/>
      <c r="DY5" s="80"/>
      <c r="DZ5" s="108" t="str">
        <f>IFERROR((((COUNTIF('Elève (6ème5)'!DW5:DY5,"A"))*4)+((COUNTIF('Elève (6ème5)'!DW5:DY5,"B"))*3)+((COUNTIF('Elève (6ème5)'!DW5:DY5,"C"))*2)+((COUNTIF('Elève (6ème5)'!DW5:DY5,"D"))*1))/(COUNTA(DW5:DY5)),"")</f>
        <v/>
      </c>
      <c r="EA5" s="109" t="str">
        <f t="shared" si="29"/>
        <v/>
      </c>
      <c r="EB5" s="78"/>
      <c r="EC5" s="79"/>
      <c r="ED5" s="80"/>
      <c r="EE5" s="108" t="str">
        <f>IFERROR((((COUNTIF('Elève (6ème5)'!EB5:ED5,"A"))*4)+((COUNTIF('Elève (6ème5)'!EB5:ED5,"B"))*3)+((COUNTIF('Elève (6ème5)'!EB5:ED5,"C"))*2)+((COUNTIF('Elève (6ème5)'!EB5:ED5,"D"))*1))/(COUNTA(EB5:ED5)),"")</f>
        <v/>
      </c>
      <c r="EF5" s="109" t="str">
        <f t="shared" si="30"/>
        <v/>
      </c>
      <c r="EG5" s="178" t="str">
        <f>IF(COUNT(DU5,DZ5,EE5)=0,"",SUM(DU5,DZ5,EE5)/COUNT(DU5,DZ5,EE5))</f>
        <v/>
      </c>
      <c r="EH5" s="131" t="str">
        <f t="shared" si="31"/>
        <v/>
      </c>
      <c r="EI5" s="153"/>
      <c r="EJ5" s="154"/>
      <c r="EK5" s="155"/>
      <c r="EL5" s="108" t="str">
        <f>IFERROR((((COUNTIF('Elève (6ème5)'!EI5:EK5,"A"))*4)+((COUNTIF('Elève (6ème5)'!EI5:EK5,"B"))*3)+((COUNTIF('Elève (6ème5)'!EI5:EK5,"C"))*2)+((COUNTIF('Elève (6ème5)'!EI5:EK5,"D"))*1))/(COUNTA(EI5:EK5)),"")</f>
        <v/>
      </c>
      <c r="EM5" s="109" t="str">
        <f t="shared" si="32"/>
        <v/>
      </c>
      <c r="EN5" s="78"/>
      <c r="EO5" s="79"/>
      <c r="EP5" s="80"/>
      <c r="EQ5" s="108" t="str">
        <f>IFERROR((((COUNTIF('Elève (6ème5)'!EN5:EP5,"A"))*4)+((COUNTIF('Elève (6ème5)'!EN5:EP5,"B"))*3)+((COUNTIF('Elève (6ème5)'!EN5:EP5,"C"))*2)+((COUNTIF('Elève (6ème5)'!EN5:EP5,"D"))*1))/(COUNTA(EN5:EP5)),"")</f>
        <v/>
      </c>
      <c r="ER5" s="109" t="str">
        <f t="shared" si="33"/>
        <v/>
      </c>
      <c r="ES5" s="78"/>
      <c r="ET5" s="79"/>
      <c r="EU5" s="80"/>
      <c r="EV5" s="108" t="str">
        <f>IFERROR((((COUNTIF('Elève (6ème5)'!ES5:EU5,"A"))*4)+((COUNTIF('Elève (6ème5)'!ES5:EU5,"B"))*3)+((COUNTIF('Elève (6ème5)'!ES5:EU5,"C"))*2)+((COUNTIF('Elève (6ème5)'!ES5:EU5,"D"))*1))/(COUNTA(ES5:EU5)),"")</f>
        <v/>
      </c>
      <c r="EW5" s="109" t="str">
        <f t="shared" si="34"/>
        <v/>
      </c>
      <c r="EX5" s="178" t="str">
        <f>IF(COUNT(EL5,EQ5,EV5)=0,"",SUM(EL5,EQ5,EV5)/COUNT(EL5,EQ5,EV5))</f>
        <v/>
      </c>
      <c r="EY5" s="131" t="str">
        <f t="shared" si="35"/>
        <v/>
      </c>
      <c r="EZ5" s="153"/>
      <c r="FA5" s="154"/>
      <c r="FB5" s="155"/>
      <c r="FC5" s="108" t="str">
        <f>IFERROR((((COUNTIF('Elève (6ème5)'!EZ5:FB5,"A"))*4)+((COUNTIF('Elève (6ème5)'!EZ5:FB5,"B"))*3)+((COUNTIF('Elève (6ème5)'!EZ5:FB5,"C"))*2)+((COUNTIF('Elève (6ème5)'!EZ5:FB5,"D"))*1))/(COUNTA(EZ5:FB5)),"")</f>
        <v/>
      </c>
      <c r="FD5" s="109" t="str">
        <f t="shared" si="36"/>
        <v/>
      </c>
      <c r="FE5" s="78"/>
      <c r="FF5" s="79"/>
      <c r="FG5" s="80"/>
      <c r="FH5" s="108" t="str">
        <f>IFERROR((((COUNTIF('Elève (6ème5)'!FE5:FG5,"A"))*4)+((COUNTIF('Elève (6ème5)'!FE5:FG5,"B"))*3)+((COUNTIF('Elève (6ème5)'!FE5:FG5,"C"))*2)+((COUNTIF('Elève (6ème5)'!FE5:FG5,"D"))*1))/(COUNTA(FE5:FG5)),"")</f>
        <v/>
      </c>
      <c r="FI5" s="109" t="str">
        <f t="shared" si="37"/>
        <v/>
      </c>
      <c r="FJ5" s="78"/>
      <c r="FK5" s="79"/>
      <c r="FL5" s="80"/>
      <c r="FM5" s="108" t="str">
        <f>IFERROR((((COUNTIF('Elève (6ème5)'!FJ5:FL5,"A"))*4)+((COUNTIF('Elève (6ème5)'!FJ5:FL5,"B"))*3)+((COUNTIF('Elève (6ème5)'!FJ5:FL5,"C"))*2)+((COUNTIF('Elève (6ème5)'!FJ5:FL5,"D"))*1))/(COUNTA(FJ5:FL5)),"")</f>
        <v/>
      </c>
      <c r="FN5" s="109" t="str">
        <f t="shared" si="38"/>
        <v/>
      </c>
      <c r="FO5" s="178" t="str">
        <f>IF(COUNT(FC5,FH5,FM5)=0,"",SUM(FC5,FH5,FM5)/COUNT(FC5,FH5,FM5))</f>
        <v/>
      </c>
      <c r="FP5" s="131" t="str">
        <f t="shared" si="39"/>
        <v/>
      </c>
      <c r="FQ5" s="153"/>
      <c r="FR5" s="154"/>
      <c r="FS5" s="155"/>
      <c r="FT5" s="108" t="str">
        <f>IFERROR((((COUNTIF('Elève (6ème5)'!FQ5:FS5,"A"))*4)+((COUNTIF('Elève (6ème5)'!FQ5:FS5,"B"))*3)+((COUNTIF('Elève (6ème5)'!FQ5:FS5,"C"))*2)+((COUNTIF('Elève (6ème5)'!FQ5:FS5,"D"))*1))/(COUNTA(FQ5:FS5)),"")</f>
        <v/>
      </c>
      <c r="FU5" s="109" t="str">
        <f t="shared" si="40"/>
        <v/>
      </c>
      <c r="FV5" s="78"/>
      <c r="FW5" s="79"/>
      <c r="FX5" s="80"/>
      <c r="FY5" s="108" t="str">
        <f>IFERROR((((COUNTIF('Elève (6ème5)'!FV5:FX5,"A"))*4)+((COUNTIF('Elève (6ème5)'!FV5:FX5,"B"))*3)+((COUNTIF('Elève (6ème5)'!FV5:FX5,"C"))*2)+((COUNTIF('Elève (6ème5)'!FV5:FX5,"D"))*1))/(COUNTA(FV5:FX5)),"")</f>
        <v/>
      </c>
      <c r="FZ5" s="109" t="str">
        <f t="shared" si="41"/>
        <v/>
      </c>
      <c r="GA5" s="78"/>
      <c r="GB5" s="79"/>
      <c r="GC5" s="80"/>
      <c r="GD5" s="108" t="str">
        <f>IFERROR((((COUNTIF('Elève (6ème5)'!GA5:GC5,"A"))*4)+((COUNTIF('Elève (6ème5)'!GA5:GC5,"B"))*3)+((COUNTIF('Elève (6ème5)'!GA5:GC5,"C"))*2)+((COUNTIF('Elève (6ème5)'!GA5:GC5,"D"))*1))/(COUNTA(GA5:GC5)),"")</f>
        <v/>
      </c>
      <c r="GE5" s="109" t="str">
        <f t="shared" si="42"/>
        <v/>
      </c>
      <c r="GF5" s="178" t="str">
        <f>IF(COUNT(FT5,FY5,GD5)=0,"",SUM(FT5,FY5,GD5)/COUNT(FT5,FY5,GD5))</f>
        <v/>
      </c>
      <c r="GG5" s="131" t="str">
        <f t="shared" si="43"/>
        <v/>
      </c>
      <c r="GH5" s="153"/>
      <c r="GI5" s="154"/>
      <c r="GJ5" s="155"/>
      <c r="GK5" s="108" t="str">
        <f>IFERROR((((COUNTIF('Elève (6ème5)'!GH5:GJ5,"A"))*4)+((COUNTIF('Elève (6ème5)'!GH5:GJ5,"B"))*3)+((COUNTIF('Elève (6ème5)'!GH5:GJ5,"C"))*2)+((COUNTIF('Elève (6ème5)'!GH5:GJ5,"D"))*1))/(COUNTA(GH5:GJ5)),"")</f>
        <v/>
      </c>
      <c r="GL5" s="109" t="str">
        <f t="shared" si="44"/>
        <v/>
      </c>
      <c r="GM5" s="78"/>
      <c r="GN5" s="79"/>
      <c r="GO5" s="80"/>
      <c r="GP5" s="108" t="str">
        <f>IFERROR((((COUNTIF('Elève (6ème5)'!GM5:GO5,"A"))*4)+((COUNTIF('Elève (6ème5)'!GM5:GO5,"B"))*3)+((COUNTIF('Elève (6ème5)'!GM5:GO5,"C"))*2)+((COUNTIF('Elève (6ème5)'!GM5:GO5,"D"))*1))/(COUNTA(GM5:GO5)),"")</f>
        <v/>
      </c>
      <c r="GQ5" s="109" t="str">
        <f t="shared" si="45"/>
        <v/>
      </c>
      <c r="GR5" s="78"/>
      <c r="GS5" s="79"/>
      <c r="GT5" s="80"/>
      <c r="GU5" s="108" t="str">
        <f>IFERROR((((COUNTIF('Elève (6ème5)'!GR5:GT5,"A"))*4)+((COUNTIF('Elève (6ème5)'!GR5:GT5,"B"))*3)+((COUNTIF('Elève (6ème5)'!GR5:GT5,"C"))*2)+((COUNTIF('Elève (6ème5)'!GR5:GT5,"D"))*1))/(COUNTA(GR5:GT5)),"")</f>
        <v/>
      </c>
      <c r="GV5" s="109" t="str">
        <f t="shared" si="46"/>
        <v/>
      </c>
      <c r="GW5" s="178" t="str">
        <f>IF(COUNT(GK5,GP5,GU5)=0,"",SUM(GK5,GP5,GU5)/COUNT(GK5,GP5,GU5))</f>
        <v/>
      </c>
      <c r="GX5" s="131" t="str">
        <f t="shared" si="47"/>
        <v/>
      </c>
      <c r="GY5" s="153"/>
      <c r="GZ5" s="154"/>
      <c r="HA5" s="155"/>
      <c r="HB5" s="108" t="str">
        <f>IFERROR((((COUNTIF('Elève (6ème5)'!GY5:HA5,"A"))*4)+((COUNTIF('Elève (6ème5)'!GY5:HA5,"B"))*3)+((COUNTIF('Elève (6ème5)'!GY5:HA5,"C"))*2)+((COUNTIF('Elève (6ème5)'!GY5:HA5,"D"))*1))/(COUNTA(GY5:HA5)),"")</f>
        <v/>
      </c>
      <c r="HC5" s="109" t="str">
        <f t="shared" si="48"/>
        <v/>
      </c>
      <c r="HD5" s="78"/>
      <c r="HE5" s="79"/>
      <c r="HF5" s="80"/>
      <c r="HG5" s="108" t="str">
        <f>IFERROR((((COUNTIF('Elève (6ème5)'!HD5:HF5,"A"))*4)+((COUNTIF('Elève (6ème5)'!HD5:HF5,"B"))*3)+((COUNTIF('Elève (6ème5)'!HD5:HF5,"C"))*2)+((COUNTIF('Elève (6ème5)'!HD5:HF5,"D"))*1))/(COUNTA(HD5:HF5)),"")</f>
        <v/>
      </c>
      <c r="HH5" s="109" t="str">
        <f t="shared" si="49"/>
        <v/>
      </c>
      <c r="HI5" s="78"/>
      <c r="HJ5" s="79"/>
      <c r="HK5" s="80"/>
      <c r="HL5" s="108" t="str">
        <f>IFERROR((((COUNTIF('Elève (6ème5)'!HI5:HK5,"A"))*4)+((COUNTIF('Elève (6ème5)'!HI5:HK5,"B"))*3)+((COUNTIF('Elève (6ème5)'!HI5:HK5,"C"))*2)+((COUNTIF('Elève (6ème5)'!HI5:HK5,"D"))*1))/(COUNTA(HI5:HK5)),"")</f>
        <v/>
      </c>
      <c r="HM5" s="109" t="str">
        <f t="shared" si="50"/>
        <v/>
      </c>
      <c r="HN5" s="178" t="str">
        <f>IF(COUNT(HB5,HG5,HL5)=0,"",SUM(HB5,HG5,HL5)/COUNT(HB5,HG5,HL5))</f>
        <v/>
      </c>
      <c r="HO5" s="131" t="str">
        <f t="shared" si="51"/>
        <v/>
      </c>
      <c r="HP5" s="153"/>
      <c r="HQ5" s="154"/>
      <c r="HR5" s="155"/>
      <c r="HS5" s="108" t="str">
        <f>IFERROR((((COUNTIF('Elève (6ème5)'!HP5:HR5,"A"))*4)+((COUNTIF('Elève (6ème5)'!HP5:HR5,"B"))*3)+((COUNTIF('Elève (6ème5)'!HP5:HR5,"C"))*2)+((COUNTIF('Elève (6ème5)'!HP5:HR5,"D"))*1))/(COUNTA(HP5:HR5)),"")</f>
        <v/>
      </c>
      <c r="HT5" s="109" t="str">
        <f t="shared" si="52"/>
        <v/>
      </c>
      <c r="HU5" s="78"/>
      <c r="HV5" s="79"/>
      <c r="HW5" s="80"/>
      <c r="HX5" s="108" t="str">
        <f>IFERROR((((COUNTIF('Elève (6ème5)'!HU5:HW5,"A"))*4)+((COUNTIF('Elève (6ème5)'!HU5:HW5,"B"))*3)+((COUNTIF('Elève (6ème5)'!HU5:HW5,"C"))*2)+((COUNTIF('Elève (6ème5)'!HU5:HW5,"D"))*1))/(COUNTA(HU5:HW5)),"")</f>
        <v/>
      </c>
      <c r="HY5" s="109" t="str">
        <f t="shared" si="53"/>
        <v/>
      </c>
      <c r="HZ5" s="78"/>
      <c r="IA5" s="79"/>
      <c r="IB5" s="80"/>
      <c r="IC5" s="108" t="str">
        <f>IFERROR((((COUNTIF('Elève (6ème5)'!HZ5:IB5,"A"))*4)+((COUNTIF('Elève (6ème5)'!HZ5:IB5,"B"))*3)+((COUNTIF('Elève (6ème5)'!HZ5:IB5,"C"))*2)+((COUNTIF('Elève (6ème5)'!HZ5:IB5,"D"))*1))/(COUNTA(HZ5:IB5)),"")</f>
        <v/>
      </c>
      <c r="ID5" s="109" t="str">
        <f t="shared" si="54"/>
        <v/>
      </c>
      <c r="IE5" s="178" t="str">
        <f>IF(COUNT(HS5,HX5,IC5)=0,"",SUM(HS5,HX5,IC5)/COUNT(HS5,HX5,IC5))</f>
        <v/>
      </c>
      <c r="IF5" s="131" t="str">
        <f t="shared" si="55"/>
        <v/>
      </c>
      <c r="IG5" s="153"/>
      <c r="IH5" s="154"/>
      <c r="II5" s="155"/>
      <c r="IJ5" s="108" t="str">
        <f>IFERROR((((COUNTIF('Elève (6ème5)'!IG5:II5,"A"))*4)+((COUNTIF('Elève (6ème5)'!IG5:II5,"B"))*3)+((COUNTIF('Elève (6ème5)'!IG5:II5,"C"))*2)+((COUNTIF('Elève (6ème5)'!IG5:II5,"D"))*1))/(COUNTA(IG5:II5)),"")</f>
        <v/>
      </c>
      <c r="IK5" s="109" t="str">
        <f t="shared" si="56"/>
        <v/>
      </c>
      <c r="IL5" s="78"/>
      <c r="IM5" s="79"/>
      <c r="IN5" s="80"/>
      <c r="IO5" s="108" t="str">
        <f>IFERROR((((COUNTIF('Elève (6ème5)'!IL5:IN5,"A"))*4)+((COUNTIF('Elève (6ème5)'!IL5:IN5,"B"))*3)+((COUNTIF('Elève (6ème5)'!IL5:IN5,"C"))*2)+((COUNTIF('Elève (6ème5)'!IL5:IN5,"D"))*1))/(COUNTA(IL5:IN5)),"")</f>
        <v/>
      </c>
      <c r="IP5" s="109" t="str">
        <f t="shared" si="57"/>
        <v/>
      </c>
      <c r="IQ5" s="78"/>
      <c r="IR5" s="79"/>
      <c r="IS5" s="80"/>
      <c r="IT5" s="108" t="str">
        <f>IFERROR((((COUNTIF('Elève (6ème5)'!IQ5:IS5,"A"))*4)+((COUNTIF('Elève (6ème5)'!IQ5:IS5,"B"))*3)+((COUNTIF('Elève (6ème5)'!IQ5:IS5,"C"))*2)+((COUNTIF('Elève (6ème5)'!IQ5:IS5,"D"))*1))/(COUNTA(IQ5:IS5)),"")</f>
        <v/>
      </c>
      <c r="IU5" s="109" t="str">
        <f t="shared" si="58"/>
        <v/>
      </c>
      <c r="IV5" s="178" t="str">
        <f>IF(COUNT(IJ5,IO5,IT5)=0,"",SUM(IJ5,IO5,IT5)/COUNT(IJ5,IO5,IT5))</f>
        <v/>
      </c>
      <c r="IW5" s="131" t="str">
        <f t="shared" si="59"/>
        <v/>
      </c>
      <c r="IX5" s="153"/>
      <c r="IY5" s="154"/>
      <c r="IZ5" s="155"/>
      <c r="JA5" s="108" t="str">
        <f>IFERROR((((COUNTIF('Elève (6ème5)'!IX5:IZ5,"A"))*4)+((COUNTIF('Elève (6ème5)'!IX5:IZ5,"B"))*3)+((COUNTIF('Elève (6ème5)'!IX5:IZ5,"C"))*2)+((COUNTIF('Elève (6ème5)'!IX5:IZ5,"D"))*1))/(COUNTA(IX5:IZ5)),"")</f>
        <v/>
      </c>
      <c r="JB5" s="109" t="str">
        <f t="shared" si="60"/>
        <v/>
      </c>
      <c r="JC5" s="78"/>
      <c r="JD5" s="79"/>
      <c r="JE5" s="80"/>
      <c r="JF5" s="108" t="str">
        <f>IFERROR((((COUNTIF('Elève (6ème5)'!JC5:JE5,"A"))*4)+((COUNTIF('Elève (6ème5)'!JC5:JE5,"B"))*3)+((COUNTIF('Elève (6ème5)'!JC5:JE5,"C"))*2)+((COUNTIF('Elève (6ème5)'!JC5:JE5,"D"))*1))/(COUNTA(JC5:JE5)),"")</f>
        <v/>
      </c>
      <c r="JG5" s="109" t="str">
        <f t="shared" si="61"/>
        <v/>
      </c>
      <c r="JH5" s="78"/>
      <c r="JI5" s="79"/>
      <c r="JJ5" s="80"/>
      <c r="JK5" s="108" t="str">
        <f>IFERROR((((COUNTIF('Elève (6ème5)'!JH5:JJ5,"A"))*4)+((COUNTIF('Elève (6ème5)'!JH5:JJ5,"B"))*3)+((COUNTIF('Elève (6ème5)'!JH5:JJ5,"C"))*2)+((COUNTIF('Elève (6ème5)'!JH5:JJ5,"D"))*1))/(COUNTA(JH5:JJ5)),"")</f>
        <v/>
      </c>
      <c r="JL5" s="109" t="str">
        <f t="shared" si="62"/>
        <v/>
      </c>
      <c r="JM5" s="178" t="str">
        <f>IF(COUNT(JA5,JF5,JK5)=0,"",SUM(JA5,JF5,JK5)/COUNT(JA5,JF5,JK5))</f>
        <v/>
      </c>
      <c r="JN5" s="131" t="str">
        <f t="shared" si="63"/>
        <v/>
      </c>
      <c r="JO5" s="153"/>
      <c r="JP5" s="154"/>
      <c r="JQ5" s="155"/>
      <c r="JR5" s="108" t="str">
        <f>IFERROR((((COUNTIF('Elève (6ème5)'!JO5:JQ5,"A"))*4)+((COUNTIF('Elève (6ème5)'!JO5:JQ5,"B"))*3)+((COUNTIF('Elève (6ème5)'!JO5:JQ5,"C"))*2)+((COUNTIF('Elève (6ème5)'!JO5:JQ5,"D"))*1))/(COUNTA(JO5:JQ5)),"")</f>
        <v/>
      </c>
      <c r="JS5" s="109" t="str">
        <f t="shared" si="64"/>
        <v/>
      </c>
      <c r="JT5" s="78"/>
      <c r="JU5" s="79"/>
      <c r="JV5" s="80"/>
      <c r="JW5" s="108" t="str">
        <f>IFERROR((((COUNTIF('Elève (6ème5)'!JT5:JV5,"A"))*4)+((COUNTIF('Elève (6ème5)'!JT5:JV5,"B"))*3)+((COUNTIF('Elève (6ème5)'!JT5:JV5,"C"))*2)+((COUNTIF('Elève (6ème5)'!JT5:JV5,"D"))*1))/(COUNTA(JT5:JV5)),"")</f>
        <v/>
      </c>
      <c r="JX5" s="109" t="str">
        <f t="shared" si="65"/>
        <v/>
      </c>
      <c r="JY5" s="78"/>
      <c r="JZ5" s="79"/>
      <c r="KA5" s="80"/>
      <c r="KB5" s="108" t="str">
        <f>IFERROR((((COUNTIF('Elève (6ème5)'!JY5:KA5,"A"))*4)+((COUNTIF('Elève (6ème5)'!JY5:KA5,"B"))*3)+((COUNTIF('Elève (6ème5)'!JY5:KA5,"C"))*2)+((COUNTIF('Elève (6ème5)'!JY5:KA5,"D"))*1))/(COUNTA(JY5:KA5)),"")</f>
        <v/>
      </c>
      <c r="KC5" s="109" t="str">
        <f t="shared" si="66"/>
        <v/>
      </c>
      <c r="KD5" s="178" t="str">
        <f>IF(COUNT(JR5,JW5,KB5)=0,"",SUM(JR5,JW5,KB5)/COUNT(JR5,JW5,KB5))</f>
        <v/>
      </c>
      <c r="KE5" s="131" t="str">
        <f t="shared" si="67"/>
        <v/>
      </c>
      <c r="KF5" s="153"/>
      <c r="KG5" s="154"/>
      <c r="KH5" s="155"/>
      <c r="KI5" s="108" t="str">
        <f>IFERROR((((COUNTIF('Elève (6ème5)'!KF5:KH5,"A"))*4)+((COUNTIF('Elève (6ème5)'!KF5:KH5,"B"))*3)+((COUNTIF('Elève (6ème5)'!KF5:KH5,"C"))*2)+((COUNTIF('Elève (6ème5)'!KF5:KH5,"D"))*1))/(COUNTA(KF5:KH5)),"")</f>
        <v/>
      </c>
      <c r="KJ5" s="109" t="str">
        <f t="shared" si="68"/>
        <v/>
      </c>
      <c r="KK5" s="78"/>
      <c r="KL5" s="79"/>
      <c r="KM5" s="80"/>
      <c r="KN5" s="108" t="str">
        <f>IFERROR((((COUNTIF('Elève (6ème5)'!KK5:KM5,"A"))*4)+((COUNTIF('Elève (6ème5)'!KK5:KM5,"B"))*3)+((COUNTIF('Elève (6ème5)'!KK5:KM5,"C"))*2)+((COUNTIF('Elève (6ème5)'!KK5:KM5,"D"))*1))/(COUNTA(KK5:KM5)),"")</f>
        <v/>
      </c>
      <c r="KO5" s="109" t="str">
        <f t="shared" si="69"/>
        <v/>
      </c>
      <c r="KP5" s="78"/>
      <c r="KQ5" s="79"/>
      <c r="KR5" s="80"/>
      <c r="KS5" s="108" t="str">
        <f>IFERROR((((COUNTIF('Elève (6ème5)'!KP5:KR5,"A"))*4)+((COUNTIF('Elève (6ème5)'!KP5:KR5,"B"))*3)+((COUNTIF('Elève (6ème5)'!KP5:KR5,"C"))*2)+((COUNTIF('Elève (6ème5)'!KP5:KR5,"D"))*1))/(COUNTA(KP5:KR5)),"")</f>
        <v/>
      </c>
      <c r="KT5" s="109" t="str">
        <f t="shared" si="70"/>
        <v/>
      </c>
      <c r="KU5" s="178" t="str">
        <f>IF(COUNT(KI5,KN5,KS5)=0,"",SUM(KI5,KN5,KS5)/COUNT(KI5,KN5,KS5))</f>
        <v/>
      </c>
      <c r="KV5" s="131" t="str">
        <f t="shared" si="71"/>
        <v/>
      </c>
      <c r="KW5" s="153"/>
      <c r="KX5" s="154"/>
      <c r="KY5" s="155"/>
      <c r="KZ5" s="108" t="str">
        <f>IFERROR((((COUNTIF('Elève (6ème5)'!KW5:KY5,"A"))*4)+((COUNTIF('Elève (6ème5)'!KW5:KY5,"B"))*3)+((COUNTIF('Elève (6ème5)'!KW5:KY5,"C"))*2)+((COUNTIF('Elève (6ème5)'!KW5:KY5,"D"))*1))/(COUNTA(KW5:KY5)),"")</f>
        <v/>
      </c>
      <c r="LA5" s="109" t="str">
        <f t="shared" si="72"/>
        <v/>
      </c>
      <c r="LB5" s="78"/>
      <c r="LC5" s="79"/>
      <c r="LD5" s="80"/>
      <c r="LE5" s="108" t="str">
        <f>IFERROR((((COUNTIF('Elève (6ème5)'!LB5:LD5,"A"))*4)+((COUNTIF('Elève (6ème5)'!LB5:LD5,"B"))*3)+((COUNTIF('Elève (6ème5)'!LB5:LD5,"C"))*2)+((COUNTIF('Elève (6ème5)'!LB5:LD5,"D"))*1))/(COUNTA(LB5:LD5)),"")</f>
        <v/>
      </c>
      <c r="LF5" s="109" t="str">
        <f t="shared" si="73"/>
        <v/>
      </c>
      <c r="LG5" s="78"/>
      <c r="LH5" s="79"/>
      <c r="LI5" s="80"/>
      <c r="LJ5" s="108" t="str">
        <f>IFERROR((((COUNTIF('Elève (6ème5)'!LG5:LI5,"A"))*4)+((COUNTIF('Elève (6ème5)'!LG5:LI5,"B"))*3)+((COUNTIF('Elève (6ème5)'!LG5:LI5,"C"))*2)+((COUNTIF('Elève (6ème5)'!LG5:LI5,"D"))*1))/(COUNTA(LG5:LI5)),"")</f>
        <v/>
      </c>
      <c r="LK5" s="109" t="str">
        <f t="shared" si="74"/>
        <v/>
      </c>
      <c r="LL5" s="178" t="str">
        <f>IF(COUNT(KZ5,LE5,LJ5)=0,"",SUM(KZ5,LE5,LJ5)/COUNT(KZ5,LE5,LJ5))</f>
        <v/>
      </c>
      <c r="LM5" s="131" t="str">
        <f t="shared" si="75"/>
        <v/>
      </c>
      <c r="LN5" s="153"/>
      <c r="LO5" s="154"/>
      <c r="LP5" s="155"/>
      <c r="LQ5" s="108" t="str">
        <f>IFERROR((((COUNTIF('Elève (6ème5)'!LN5:LP5,"A"))*4)+((COUNTIF('Elève (6ème5)'!LN5:LP5,"B"))*3)+((COUNTIF('Elève (6ème5)'!LN5:LP5,"C"))*2)+((COUNTIF('Elève (6ème5)'!LN5:LP5,"D"))*1))/(COUNTA(LN5:LP5)),"")</f>
        <v/>
      </c>
      <c r="LR5" s="109" t="str">
        <f t="shared" si="76"/>
        <v/>
      </c>
      <c r="LS5" s="78"/>
      <c r="LT5" s="79"/>
      <c r="LU5" s="80"/>
      <c r="LV5" s="108" t="str">
        <f>IFERROR((((COUNTIF('Elève (6ème5)'!LS5:LU5,"A"))*4)+((COUNTIF('Elève (6ème5)'!LS5:LU5,"B"))*3)+((COUNTIF('Elève (6ème5)'!LS5:LU5,"C"))*2)+((COUNTIF('Elève (6ème5)'!LS5:LU5,"D"))*1))/(COUNTA(LS5:LU5)),"")</f>
        <v/>
      </c>
      <c r="LW5" s="109" t="str">
        <f t="shared" si="77"/>
        <v/>
      </c>
      <c r="LX5" s="78"/>
      <c r="LY5" s="79"/>
      <c r="LZ5" s="80"/>
      <c r="MA5" s="108" t="str">
        <f>IFERROR((((COUNTIF('Elève (6ème5)'!LX5:LZ5,"A"))*4)+((COUNTIF('Elève (6ème5)'!LX5:LZ5,"B"))*3)+((COUNTIF('Elève (6ème5)'!LX5:LZ5,"C"))*2)+((COUNTIF('Elève (6ème5)'!LX5:LZ5,"D"))*1))/(COUNTA(LX5:LZ5)),"")</f>
        <v/>
      </c>
      <c r="MB5" s="109" t="str">
        <f t="shared" si="78"/>
        <v/>
      </c>
      <c r="MC5" s="178" t="str">
        <f>IF(COUNT(LQ5,LV5,MA5)=0,"",SUM(LQ5,LV5,MA5)/COUNT(LQ5,LV5,MA5))</f>
        <v/>
      </c>
      <c r="MD5" s="131" t="str">
        <f t="shared" si="79"/>
        <v/>
      </c>
      <c r="ME5" s="153"/>
      <c r="MF5" s="154"/>
      <c r="MG5" s="155"/>
      <c r="MH5" s="108" t="str">
        <f>IFERROR((((COUNTIF('Elève (6ème5)'!ME5:MG5,"A"))*4)+((COUNTIF('Elève (6ème5)'!ME5:MG5,"B"))*3)+((COUNTIF('Elève (6ème5)'!ME5:MG5,"C"))*2)+((COUNTIF('Elève (6ème5)'!ME5:MG5,"D"))*1))/(COUNTA(ME5:MG5)),"")</f>
        <v/>
      </c>
      <c r="MI5" s="109" t="str">
        <f t="shared" si="80"/>
        <v/>
      </c>
      <c r="MJ5" s="78"/>
      <c r="MK5" s="79"/>
      <c r="ML5" s="80"/>
      <c r="MM5" s="108" t="str">
        <f>IFERROR((((COUNTIF('Elève (6ème5)'!MJ5:ML5,"A"))*4)+((COUNTIF('Elève (6ème5)'!MJ5:ML5,"B"))*3)+((COUNTIF('Elève (6ème5)'!MJ5:ML5,"C"))*2)+((COUNTIF('Elève (6ème5)'!MJ5:ML5,"D"))*1))/(COUNTA(MJ5:ML5)),"")</f>
        <v/>
      </c>
      <c r="MN5" s="109" t="str">
        <f t="shared" si="81"/>
        <v/>
      </c>
      <c r="MO5" s="78"/>
      <c r="MP5" s="79"/>
      <c r="MQ5" s="80"/>
      <c r="MR5" s="108" t="str">
        <f>IFERROR((((COUNTIF('Elève (6ème5)'!MO5:MQ5,"A"))*4)+((COUNTIF('Elève (6ème5)'!MO5:MQ5,"B"))*3)+((COUNTIF('Elève (6ème5)'!MO5:MQ5,"C"))*2)+((COUNTIF('Elève (6ème5)'!MO5:MQ5,"D"))*1))/(COUNTA(MO5:MQ5)),"")</f>
        <v/>
      </c>
      <c r="MS5" s="109" t="str">
        <f t="shared" si="82"/>
        <v/>
      </c>
      <c r="MT5" s="178" t="str">
        <f>IF(COUNT(MH5,MM5,MR5)=0,"",SUM(MH5,MM5,MR5)/COUNT(MH5,MM5,MR5))</f>
        <v/>
      </c>
      <c r="MU5" s="131" t="str">
        <f t="shared" si="83"/>
        <v/>
      </c>
      <c r="MV5" s="153"/>
      <c r="MW5" s="154"/>
      <c r="MX5" s="155"/>
      <c r="MY5" s="108" t="str">
        <f>IFERROR((((COUNTIF('Elève (6ème5)'!MV5:MX5,"A"))*4)+((COUNTIF('Elève (6ème5)'!MV5:MX5,"B"))*3)+((COUNTIF('Elève (6ème5)'!MV5:MX5,"C"))*2)+((COUNTIF('Elève (6ème5)'!MV5:MX5,"D"))*1))/(COUNTA(MV5:MX5)),"")</f>
        <v/>
      </c>
      <c r="MZ5" s="109" t="str">
        <f t="shared" si="84"/>
        <v/>
      </c>
      <c r="NA5" s="78"/>
      <c r="NB5" s="79"/>
      <c r="NC5" s="80"/>
      <c r="ND5" s="108" t="str">
        <f>IFERROR((((COUNTIF('Elève (6ème5)'!NA5:NC5,"A"))*4)+((COUNTIF('Elève (6ème5)'!NA5:NC5,"B"))*3)+((COUNTIF('Elève (6ème5)'!NA5:NC5,"C"))*2)+((COUNTIF('Elève (6ème5)'!NA5:NC5,"D"))*1))/(COUNTA(NA5:NC5)),"")</f>
        <v/>
      </c>
      <c r="NE5" s="109" t="str">
        <f t="shared" si="85"/>
        <v/>
      </c>
      <c r="NF5" s="78"/>
      <c r="NG5" s="79"/>
      <c r="NH5" s="80"/>
      <c r="NI5" s="108" t="str">
        <f>IFERROR((((COUNTIF('Elève (6ème5)'!NF5:NH5,"A"))*4)+((COUNTIF('Elève (6ème5)'!NF5:NH5,"B"))*3)+((COUNTIF('Elève (6ème5)'!NF5:NH5,"C"))*2)+((COUNTIF('Elève (6ème5)'!NF5:NH5,"D"))*1))/(COUNTA(NF5:NH5)),"")</f>
        <v/>
      </c>
      <c r="NJ5" s="109" t="str">
        <f t="shared" si="86"/>
        <v/>
      </c>
      <c r="NK5" s="178" t="str">
        <f>IF(COUNT(MY5,ND5,NI5)=0,"",SUM(MY5,ND5,NI5)/COUNT(MY5,ND5,NI5))</f>
        <v/>
      </c>
      <c r="NL5" s="131" t="str">
        <f t="shared" si="87"/>
        <v/>
      </c>
      <c r="NM5" s="153"/>
      <c r="NN5" s="154"/>
      <c r="NO5" s="155"/>
      <c r="NP5" s="108" t="str">
        <f>IFERROR((((COUNTIF('Elève (6ème5)'!NM5:NO5,"A"))*4)+((COUNTIF('Elève (6ème5)'!NM5:NO5,"B"))*3)+((COUNTIF('Elève (6ème5)'!NM5:NO5,"C"))*2)+((COUNTIF('Elève (6ème5)'!NM5:NO5,"D"))*1))/(COUNTA(NM5:NO5)),"")</f>
        <v/>
      </c>
      <c r="NQ5" s="109" t="str">
        <f t="shared" si="88"/>
        <v/>
      </c>
      <c r="NR5" s="78"/>
      <c r="NS5" s="79"/>
      <c r="NT5" s="80"/>
      <c r="NU5" s="108" t="str">
        <f>IFERROR((((COUNTIF('Elève (6ème5)'!NR5:NT5,"A"))*4)+((COUNTIF('Elève (6ème5)'!NR5:NT5,"B"))*3)+((COUNTIF('Elève (6ème5)'!NR5:NT5,"C"))*2)+((COUNTIF('Elève (6ème5)'!NR5:NT5,"D"))*1))/(COUNTA(NR5:NT5)),"")</f>
        <v/>
      </c>
      <c r="NV5" s="109" t="str">
        <f t="shared" si="89"/>
        <v/>
      </c>
      <c r="NW5" s="78"/>
      <c r="NX5" s="79"/>
      <c r="NY5" s="80"/>
      <c r="NZ5" s="108" t="str">
        <f>IFERROR((((COUNTIF('Elève (6ème5)'!NW5:NY5,"A"))*4)+((COUNTIF('Elève (6ème5)'!NW5:NY5,"B"))*3)+((COUNTIF('Elève (6ème5)'!NW5:NY5,"C"))*2)+((COUNTIF('Elève (6ème5)'!NW5:NY5,"D"))*1))/(COUNTA(NW5:NY5)),"")</f>
        <v/>
      </c>
      <c r="OA5" s="109" t="str">
        <f t="shared" si="90"/>
        <v/>
      </c>
      <c r="OB5" s="178" t="str">
        <f>IF(COUNT(NP5,NU5,NZ5)=0,"",SUM(NP5,NU5,NZ5)/COUNT(NP5,NU5,NZ5))</f>
        <v/>
      </c>
      <c r="OC5" s="131" t="str">
        <f t="shared" si="91"/>
        <v/>
      </c>
      <c r="OD5" s="153"/>
      <c r="OE5" s="154"/>
      <c r="OF5" s="155"/>
      <c r="OG5" s="108" t="str">
        <f>IFERROR((((COUNTIF('Elève (6ème5)'!OD5:OF5,"A"))*4)+((COUNTIF('Elève (6ème5)'!OD5:OF5,"B"))*3)+((COUNTIF('Elève (6ème5)'!OD5:OF5,"C"))*2)+((COUNTIF('Elève (6ème5)'!OD5:OF5,"D"))*1))/(COUNTA(OD5:OF5)),"")</f>
        <v/>
      </c>
      <c r="OH5" s="109" t="str">
        <f t="shared" si="92"/>
        <v/>
      </c>
      <c r="OI5" s="78"/>
      <c r="OJ5" s="79"/>
      <c r="OK5" s="80"/>
      <c r="OL5" s="108" t="str">
        <f>IFERROR((((COUNTIF('Elève (6ème5)'!OI5:OK5,"A"))*4)+((COUNTIF('Elève (6ème5)'!OI5:OK5,"B"))*3)+((COUNTIF('Elève (6ème5)'!OI5:OK5,"C"))*2)+((COUNTIF('Elève (6ème5)'!OI5:OK5,"D"))*1))/(COUNTA(OI5:OK5)),"")</f>
        <v/>
      </c>
      <c r="OM5" s="109" t="str">
        <f t="shared" si="93"/>
        <v/>
      </c>
      <c r="ON5" s="78"/>
      <c r="OO5" s="79"/>
      <c r="OP5" s="80"/>
      <c r="OQ5" s="108" t="str">
        <f>IFERROR((((COUNTIF('Elève (6ème5)'!ON5:OP5,"A"))*4)+((COUNTIF('Elève (6ème5)'!ON5:OP5,"B"))*3)+((COUNTIF('Elève (6ème5)'!ON5:OP5,"C"))*2)+((COUNTIF('Elève (6ème5)'!ON5:OP5,"D"))*1))/(COUNTA(ON5:OP5)),"")</f>
        <v/>
      </c>
      <c r="OR5" s="109" t="str">
        <f t="shared" si="94"/>
        <v/>
      </c>
      <c r="OS5" s="178" t="str">
        <f>IF(COUNT(OG5,OL5,OQ5)=0,"",SUM(OG5,OL5,OQ5)/COUNT(OG5,OL5,OQ5))</f>
        <v/>
      </c>
      <c r="OT5" s="131" t="str">
        <f t="shared" si="95"/>
        <v/>
      </c>
      <c r="OU5" s="153"/>
      <c r="OV5" s="154"/>
      <c r="OW5" s="155"/>
      <c r="OX5" s="108" t="str">
        <f>IFERROR((((COUNTIF('Elève (6ème5)'!OU5:OW5,"A"))*4)+((COUNTIF('Elève (6ème5)'!OU5:OW5,"B"))*3)+((COUNTIF('Elève (6ème5)'!OU5:OW5,"C"))*2)+((COUNTIF('Elève (6ème5)'!OU5:OW5,"D"))*1))/(COUNTA(OU5:OW5)),"")</f>
        <v/>
      </c>
      <c r="OY5" s="109" t="str">
        <f t="shared" si="96"/>
        <v/>
      </c>
      <c r="OZ5" s="78"/>
      <c r="PA5" s="79"/>
      <c r="PB5" s="80"/>
      <c r="PC5" s="108" t="str">
        <f>IFERROR((((COUNTIF('Elève (6ème5)'!OZ5:PB5,"A"))*4)+((COUNTIF('Elève (6ème5)'!OZ5:PB5,"B"))*3)+((COUNTIF('Elève (6ème5)'!OZ5:PB5,"C"))*2)+((COUNTIF('Elève (6ème5)'!OZ5:PB5,"D"))*1))/(COUNTA(OZ5:PB5)),"")</f>
        <v/>
      </c>
      <c r="PD5" s="109" t="str">
        <f t="shared" si="97"/>
        <v/>
      </c>
      <c r="PE5" s="78"/>
      <c r="PF5" s="79"/>
      <c r="PG5" s="80"/>
      <c r="PH5" s="108" t="str">
        <f>IFERROR((((COUNTIF('Elève (6ème5)'!PE5:PG5,"A"))*4)+((COUNTIF('Elève (6ème5)'!PE5:PG5,"B"))*3)+((COUNTIF('Elève (6ème5)'!PE5:PG5,"C"))*2)+((COUNTIF('Elève (6ème5)'!PE5:PG5,"D"))*1))/(COUNTA(PE5:PG5)),"")</f>
        <v/>
      </c>
      <c r="PI5" s="109" t="str">
        <f t="shared" si="98"/>
        <v/>
      </c>
      <c r="PJ5" s="178" t="str">
        <f>IF(COUNT(OX5,PC5,PH5)=0,"",SUM(OX5,PC5,PH5)/COUNT(OX5,PC5,PH5))</f>
        <v/>
      </c>
      <c r="PK5" s="131" t="str">
        <f t="shared" si="99"/>
        <v/>
      </c>
      <c r="PL5" s="153"/>
      <c r="PM5" s="154"/>
      <c r="PN5" s="155"/>
      <c r="PO5" s="108" t="str">
        <f>IFERROR((((COUNTIF('Elève (6ème5)'!PL5:PN5,"A"))*4)+((COUNTIF('Elève (6ème5)'!PL5:PN5,"B"))*3)+((COUNTIF('Elève (6ème5)'!PL5:PN5,"C"))*2)+((COUNTIF('Elève (6ème5)'!PL5:PN5,"D"))*1))/(COUNTA(PL5:PN5)),"")</f>
        <v/>
      </c>
      <c r="PP5" s="109" t="str">
        <f t="shared" si="100"/>
        <v/>
      </c>
      <c r="PQ5" s="78"/>
      <c r="PR5" s="79"/>
      <c r="PS5" s="80"/>
      <c r="PT5" s="108" t="str">
        <f>IFERROR((((COUNTIF('Elève (6ème5)'!PQ5:PS5,"A"))*4)+((COUNTIF('Elève (6ème5)'!PQ5:PS5,"B"))*3)+((COUNTIF('Elève (6ème5)'!PQ5:PS5,"C"))*2)+((COUNTIF('Elève (6ème5)'!PQ5:PS5,"D"))*1))/(COUNTA(PQ5:PS5)),"")</f>
        <v/>
      </c>
      <c r="PU5" s="109" t="str">
        <f t="shared" si="101"/>
        <v/>
      </c>
      <c r="PV5" s="78"/>
      <c r="PW5" s="79"/>
      <c r="PX5" s="80"/>
      <c r="PY5" s="108" t="str">
        <f>IFERROR((((COUNTIF('Elève (6ème5)'!PV5:PX5,"A"))*4)+((COUNTIF('Elève (6ème5)'!PV5:PX5,"B"))*3)+((COUNTIF('Elève (6ème5)'!PV5:PX5,"C"))*2)+((COUNTIF('Elève (6ème5)'!PV5:PX5,"D"))*1))/(COUNTA(PV5:PX5)),"")</f>
        <v/>
      </c>
      <c r="PZ5" s="109" t="str">
        <f t="shared" si="102"/>
        <v/>
      </c>
      <c r="QA5" s="178" t="str">
        <f>IF(COUNT(PO5,PT5,PY5)=0,"",SUM(PO5,PT5,PY5)/COUNT(PO5,PT5,PY5))</f>
        <v/>
      </c>
      <c r="QB5" s="131" t="str">
        <f t="shared" si="103"/>
        <v/>
      </c>
      <c r="QC5" s="153"/>
      <c r="QD5" s="154"/>
      <c r="QE5" s="155"/>
      <c r="QF5" s="108" t="str">
        <f>IFERROR((((COUNTIF('Elève (6ème5)'!QC5:QE5,"A"))*4)+((COUNTIF('Elève (6ème5)'!QC5:QE5,"B"))*3)+((COUNTIF('Elève (6ème5)'!QC5:QE5,"C"))*2)+((COUNTIF('Elève (6ème5)'!QC5:QE5,"D"))*1))/(COUNTA(QC5:QE5)),"")</f>
        <v/>
      </c>
      <c r="QG5" s="109" t="str">
        <f t="shared" si="104"/>
        <v/>
      </c>
      <c r="QH5" s="78"/>
      <c r="QI5" s="79"/>
      <c r="QJ5" s="80"/>
      <c r="QK5" s="108" t="str">
        <f>IFERROR((((COUNTIF('Elève (6ème5)'!QH5:QJ5,"A"))*4)+((COUNTIF('Elève (6ème5)'!QH5:QJ5,"B"))*3)+((COUNTIF('Elève (6ème5)'!QH5:QJ5,"C"))*2)+((COUNTIF('Elève (6ème5)'!QH5:QJ5,"D"))*1))/(COUNTA(QH5:QJ5)),"")</f>
        <v/>
      </c>
      <c r="QL5" s="109" t="str">
        <f t="shared" si="105"/>
        <v/>
      </c>
      <c r="QM5" s="78"/>
      <c r="QN5" s="79"/>
      <c r="QO5" s="80"/>
      <c r="QP5" s="108" t="str">
        <f>IFERROR((((COUNTIF('Elève (6ème5)'!QM5:QO5,"A"))*4)+((COUNTIF('Elève (6ème5)'!QM5:QO5,"B"))*3)+((COUNTIF('Elève (6ème5)'!QM5:QO5,"C"))*2)+((COUNTIF('Elève (6ème5)'!QM5:QO5,"D"))*1))/(COUNTA(QM5:QO5)),"")</f>
        <v/>
      </c>
      <c r="QQ5" s="109" t="str">
        <f t="shared" si="106"/>
        <v/>
      </c>
      <c r="QR5" s="178" t="str">
        <f>IF(COUNT(QF5,QK5,QP5)=0,"",SUM(QF5,QK5,QP5)/COUNT(QF5,QK5,QP5))</f>
        <v/>
      </c>
      <c r="QS5" s="131" t="str">
        <f t="shared" si="107"/>
        <v/>
      </c>
      <c r="QT5" s="153"/>
      <c r="QU5" s="154"/>
      <c r="QV5" s="155"/>
      <c r="QW5" s="108" t="str">
        <f>IFERROR((((COUNTIF('Elève (6ème5)'!QT5:QV5,"A"))*4)+((COUNTIF('Elève (6ème5)'!QT5:QV5,"B"))*3)+((COUNTIF('Elève (6ème5)'!QT5:QV5,"C"))*2)+((COUNTIF('Elève (6ème5)'!QT5:QV5,"D"))*1))/(COUNTA(QT5:QV5)),"")</f>
        <v/>
      </c>
      <c r="QX5" s="109" t="str">
        <f t="shared" si="108"/>
        <v/>
      </c>
      <c r="QY5" s="78"/>
      <c r="QZ5" s="79"/>
      <c r="RA5" s="80"/>
      <c r="RB5" s="108" t="str">
        <f>IFERROR((((COUNTIF('Elève (6ème5)'!QY5:RA5,"A"))*4)+((COUNTIF('Elève (6ème5)'!QY5:RA5,"B"))*3)+((COUNTIF('Elève (6ème5)'!QY5:RA5,"C"))*2)+((COUNTIF('Elève (6ème5)'!QY5:RA5,"D"))*1))/(COUNTA(QY5:RA5)),"")</f>
        <v/>
      </c>
      <c r="RC5" s="109" t="str">
        <f t="shared" si="109"/>
        <v/>
      </c>
      <c r="RD5" s="78"/>
      <c r="RE5" s="79"/>
      <c r="RF5" s="80"/>
      <c r="RG5" s="108" t="str">
        <f>IFERROR((((COUNTIF('Elève (6ème5)'!RD5:RF5,"A"))*4)+((COUNTIF('Elève (6ème5)'!RD5:RF5,"B"))*3)+((COUNTIF('Elève (6ème5)'!RD5:RF5,"C"))*2)+((COUNTIF('Elève (6ème5)'!RD5:RF5,"D"))*1))/(COUNTA(RD5:RF5)),"")</f>
        <v/>
      </c>
      <c r="RH5" s="109" t="str">
        <f t="shared" si="110"/>
        <v/>
      </c>
      <c r="RI5" s="178" t="str">
        <f>IF(COUNT(QW5,RB5,RG5)=0,"",SUM(QW5,RB5,RG5)/COUNT(QW5,RB5,RG5))</f>
        <v/>
      </c>
      <c r="RJ5" s="131" t="str">
        <f t="shared" si="111"/>
        <v/>
      </c>
      <c r="RK5" s="153"/>
      <c r="RL5" s="154"/>
      <c r="RM5" s="155"/>
      <c r="RN5" s="108" t="str">
        <f>IFERROR((((COUNTIF('Elève (6ème5)'!RK5:RM5,"A"))*4)+((COUNTIF('Elève (6ème5)'!RK5:RM5,"B"))*3)+((COUNTIF('Elève (6ème5)'!RK5:RM5,"C"))*2)+((COUNTIF('Elève (6ème5)'!RK5:RM5,"D"))*1))/(COUNTA(RK5:RM5)),"")</f>
        <v/>
      </c>
      <c r="RO5" s="109" t="str">
        <f t="shared" si="112"/>
        <v/>
      </c>
      <c r="RP5" s="78"/>
      <c r="RQ5" s="79"/>
      <c r="RR5" s="80"/>
      <c r="RS5" s="108" t="str">
        <f>IFERROR((((COUNTIF('Elève (6ème5)'!RP5:RR5,"A"))*4)+((COUNTIF('Elève (6ème5)'!RP5:RR5,"B"))*3)+((COUNTIF('Elève (6ème5)'!RP5:RR5,"C"))*2)+((COUNTIF('Elève (6ème5)'!RP5:RR5,"D"))*1))/(COUNTA(RP5:RR5)),"")</f>
        <v/>
      </c>
      <c r="RT5" s="109" t="str">
        <f t="shared" si="113"/>
        <v/>
      </c>
      <c r="RU5" s="78"/>
      <c r="RV5" s="79"/>
      <c r="RW5" s="80"/>
      <c r="RX5" s="108" t="str">
        <f>IFERROR((((COUNTIF('Elève (6ème5)'!RU5:RW5,"A"))*4)+((COUNTIF('Elève (6ème5)'!RU5:RW5,"B"))*3)+((COUNTIF('Elève (6ème5)'!RU5:RW5,"C"))*2)+((COUNTIF('Elève (6ème5)'!RU5:RW5,"D"))*1))/(COUNTA(RU5:RW5)),"")</f>
        <v/>
      </c>
      <c r="RY5" s="109" t="str">
        <f t="shared" si="114"/>
        <v/>
      </c>
      <c r="RZ5" s="178" t="str">
        <f>IF(COUNT(RN5,RS5,RX5)=0,"",SUM(RN5,RS5,RX5)/COUNT(RN5,RS5,RX5))</f>
        <v/>
      </c>
      <c r="SA5" s="131" t="str">
        <f t="shared" si="115"/>
        <v/>
      </c>
      <c r="SB5" s="153"/>
      <c r="SC5" s="154"/>
      <c r="SD5" s="155"/>
      <c r="SE5" s="108" t="str">
        <f>IFERROR((((COUNTIF('Elève (6ème5)'!SB5:SD5,"A"))*4)+((COUNTIF('Elève (6ème5)'!SB5:SD5,"B"))*3)+((COUNTIF('Elève (6ème5)'!SB5:SD5,"C"))*2)+((COUNTIF('Elève (6ème5)'!SB5:SD5,"D"))*1))/(COUNTA(SB5:SD5)),"")</f>
        <v/>
      </c>
      <c r="SF5" s="109" t="str">
        <f t="shared" si="116"/>
        <v/>
      </c>
      <c r="SG5" s="78"/>
      <c r="SH5" s="79"/>
      <c r="SI5" s="80"/>
      <c r="SJ5" s="108" t="str">
        <f>IFERROR((((COUNTIF('Elève (6ème5)'!SG5:SI5,"A"))*4)+((COUNTIF('Elève (6ème5)'!SG5:SI5,"B"))*3)+((COUNTIF('Elève (6ème5)'!SG5:SI5,"C"))*2)+((COUNTIF('Elève (6ème5)'!SG5:SI5,"D"))*1))/(COUNTA(SG5:SI5)),"")</f>
        <v/>
      </c>
      <c r="SK5" s="109" t="str">
        <f t="shared" si="117"/>
        <v/>
      </c>
      <c r="SL5" s="78"/>
      <c r="SM5" s="79"/>
      <c r="SN5" s="80"/>
      <c r="SO5" s="108" t="str">
        <f>IFERROR((((COUNTIF('Elève (6ème5)'!SL5:SN5,"A"))*4)+((COUNTIF('Elève (6ème5)'!SL5:SN5,"B"))*3)+((COUNTIF('Elève (6ème5)'!SL5:SN5,"C"))*2)+((COUNTIF('Elève (6ème5)'!SL5:SN5,"D"))*1))/(COUNTA(SL5:SN5)),"")</f>
        <v/>
      </c>
      <c r="SP5" s="109" t="str">
        <f t="shared" si="118"/>
        <v/>
      </c>
      <c r="SQ5" s="178" t="str">
        <f>IF(COUNT(SE5,SJ5,SO5)=0,"",SUM(SE5,SJ5,SO5)/COUNT(SE5,SJ5,SO5))</f>
        <v/>
      </c>
      <c r="SR5" s="131" t="str">
        <f t="shared" si="119"/>
        <v/>
      </c>
    </row>
    <row r="6" spans="1:512" s="72" customFormat="1" ht="18" customHeight="1" thickBot="1" x14ac:dyDescent="0.3">
      <c r="A6" s="242" t="s">
        <v>13</v>
      </c>
      <c r="B6" s="243"/>
      <c r="C6" s="156"/>
      <c r="D6" s="157"/>
      <c r="E6" s="158"/>
      <c r="F6" s="110" t="str">
        <f>IFERROR((((COUNTIF('Elève (6ème5)'!C6:E6,"A"))*4)+((COUNTIF('Elève (6ème5)'!C6:E6,"B"))*3)+((COUNTIF('Elève (6ème5)'!C6:E6,"C"))*2)+((COUNTIF('Elève (6ème5)'!C6:E6,"D"))*1))/(COUNTA(C6:E6)),"")</f>
        <v/>
      </c>
      <c r="G6" s="111" t="str">
        <f t="shared" si="0"/>
        <v/>
      </c>
      <c r="H6" s="81"/>
      <c r="I6" s="82"/>
      <c r="J6" s="83"/>
      <c r="K6" s="110" t="str">
        <f>IFERROR((((COUNTIF('Elève (6ème5)'!H6:J6,"A"))*4)+((COUNTIF('Elève (6ème5)'!H6:J6,"B"))*3)+((COUNTIF('Elève (6ème5)'!H6:J6,"C"))*2)+((COUNTIF('Elève (6ème5)'!H6:J6,"D"))*1))/(COUNTA(H6:J6)),"")</f>
        <v/>
      </c>
      <c r="L6" s="111" t="str">
        <f t="shared" si="1"/>
        <v/>
      </c>
      <c r="M6" s="81"/>
      <c r="N6" s="82"/>
      <c r="O6" s="83"/>
      <c r="P6" s="110" t="str">
        <f>IFERROR((((COUNTIF('Elève (6ème5)'!M6:O6,"A"))*4)+((COUNTIF('Elève (6ème5)'!M6:O6,"B"))*3)+((COUNTIF('Elève (6ème5)'!M6:O6,"C"))*2)+((COUNTIF('Elève (6ème5)'!M6:O6,"D"))*1))/(COUNTA(M6:O6)),"")</f>
        <v/>
      </c>
      <c r="Q6" s="111" t="str">
        <f t="shared" si="2"/>
        <v/>
      </c>
      <c r="R6" s="179" t="str">
        <f>IF(COUNT(F6,K6,P6)=0,"",SUM(F6,K6,P6)/COUNT(F6,K6,P6))</f>
        <v/>
      </c>
      <c r="S6" s="132" t="str">
        <f t="shared" si="3"/>
        <v/>
      </c>
      <c r="T6" s="156"/>
      <c r="U6" s="157"/>
      <c r="V6" s="158"/>
      <c r="W6" s="110" t="str">
        <f>IFERROR((((COUNTIF('Elève (6ème5)'!T6:V6,"A"))*4)+((COUNTIF('Elève (6ème5)'!T6:V6,"B"))*3)+((COUNTIF('Elève (6ème5)'!T6:V6,"C"))*2)+((COUNTIF('Elève (6ème5)'!T6:V6,"D"))*1))/(COUNTA(T6:V6)),"")</f>
        <v/>
      </c>
      <c r="X6" s="111" t="str">
        <f t="shared" si="4"/>
        <v/>
      </c>
      <c r="Y6" s="81"/>
      <c r="Z6" s="82"/>
      <c r="AA6" s="83"/>
      <c r="AB6" s="110" t="str">
        <f>IFERROR((((COUNTIF('Elève (6ème5)'!Y6:AA6,"A"))*4)+((COUNTIF('Elève (6ème5)'!Y6:AA6,"B"))*3)+((COUNTIF('Elève (6ème5)'!Y6:AA6,"C"))*2)+((COUNTIF('Elève (6ème5)'!Y6:AA6,"D"))*1))/(COUNTA(Y6:AA6)),"")</f>
        <v/>
      </c>
      <c r="AC6" s="111" t="str">
        <f t="shared" si="5"/>
        <v/>
      </c>
      <c r="AD6" s="81"/>
      <c r="AE6" s="82"/>
      <c r="AF6" s="83"/>
      <c r="AG6" s="110" t="str">
        <f>IFERROR((((COUNTIF('Elève (6ème5)'!AD6:AF6,"A"))*4)+((COUNTIF('Elève (6ème5)'!AD6:AF6,"B"))*3)+((COUNTIF('Elève (6ème5)'!AD6:AF6,"C"))*2)+((COUNTIF('Elève (6ème5)'!AD6:AF6,"D"))*1))/(COUNTA(AD6:AF6)),"")</f>
        <v/>
      </c>
      <c r="AH6" s="111" t="str">
        <f t="shared" si="6"/>
        <v/>
      </c>
      <c r="AI6" s="179" t="str">
        <f>IF(COUNT(W6,AB6,AG6)=0,"",SUM(W6,AB6,AG6)/COUNT(W6,AB6,AG6))</f>
        <v/>
      </c>
      <c r="AJ6" s="132" t="str">
        <f t="shared" si="7"/>
        <v/>
      </c>
      <c r="AK6" s="156"/>
      <c r="AL6" s="157"/>
      <c r="AM6" s="158"/>
      <c r="AN6" s="110" t="str">
        <f>IFERROR((((COUNTIF('Elève (6ème5)'!AK6:AM6,"A"))*4)+((COUNTIF('Elève (6ème5)'!AK6:AM6,"B"))*3)+((COUNTIF('Elève (6ème5)'!AK6:AM6,"C"))*2)+((COUNTIF('Elève (6ème5)'!AK6:AM6,"D"))*1))/(COUNTA(AK6:AM6)),"")</f>
        <v/>
      </c>
      <c r="AO6" s="111" t="str">
        <f t="shared" si="8"/>
        <v/>
      </c>
      <c r="AP6" s="81"/>
      <c r="AQ6" s="82"/>
      <c r="AR6" s="83"/>
      <c r="AS6" s="110" t="str">
        <f>IFERROR((((COUNTIF('Elève (6ème5)'!AP6:AR6,"A"))*4)+((COUNTIF('Elève (6ème5)'!AP6:AR6,"B"))*3)+((COUNTIF('Elève (6ème5)'!AP6:AR6,"C"))*2)+((COUNTIF('Elève (6ème5)'!AP6:AR6,"D"))*1))/(COUNTA(AP6:AR6)),"")</f>
        <v/>
      </c>
      <c r="AT6" s="111" t="str">
        <f t="shared" si="9"/>
        <v/>
      </c>
      <c r="AU6" s="81"/>
      <c r="AV6" s="82"/>
      <c r="AW6" s="83"/>
      <c r="AX6" s="110" t="str">
        <f>IFERROR((((COUNTIF('Elève (6ème5)'!AU6:AW6,"A"))*4)+((COUNTIF('Elève (6ème5)'!AU6:AW6,"B"))*3)+((COUNTIF('Elève (6ème5)'!AU6:AW6,"C"))*2)+((COUNTIF('Elève (6ème5)'!AU6:AW6,"D"))*1))/(COUNTA(AU6:AW6)),"")</f>
        <v/>
      </c>
      <c r="AY6" s="111" t="str">
        <f t="shared" si="10"/>
        <v/>
      </c>
      <c r="AZ6" s="179" t="str">
        <f>IF(COUNT(AN6,AS6,AX6)=0,"",SUM(AN6,AS6,AX6)/COUNT(AN6,AS6,AX6))</f>
        <v/>
      </c>
      <c r="BA6" s="132" t="str">
        <f t="shared" si="11"/>
        <v/>
      </c>
      <c r="BB6" s="156"/>
      <c r="BC6" s="157"/>
      <c r="BD6" s="158"/>
      <c r="BE6" s="110" t="str">
        <f>IFERROR((((COUNTIF('Elève (6ème5)'!BB6:BD6,"A"))*4)+((COUNTIF('Elève (6ème5)'!BB6:BD6,"B"))*3)+((COUNTIF('Elève (6ème5)'!BB6:BD6,"C"))*2)+((COUNTIF('Elève (6ème5)'!BB6:BD6,"D"))*1))/(COUNTA(BB6:BD6)),"")</f>
        <v/>
      </c>
      <c r="BF6" s="111" t="str">
        <f t="shared" si="12"/>
        <v/>
      </c>
      <c r="BG6" s="81"/>
      <c r="BH6" s="82"/>
      <c r="BI6" s="83"/>
      <c r="BJ6" s="110" t="str">
        <f>IFERROR((((COUNTIF('Elève (6ème5)'!BG6:BI6,"A"))*4)+((COUNTIF('Elève (6ème5)'!BG6:BI6,"B"))*3)+((COUNTIF('Elève (6ème5)'!BG6:BI6,"C"))*2)+((COUNTIF('Elève (6ème5)'!BG6:BI6,"D"))*1))/(COUNTA(BG6:BI6)),"")</f>
        <v/>
      </c>
      <c r="BK6" s="111" t="str">
        <f t="shared" si="13"/>
        <v/>
      </c>
      <c r="BL6" s="81"/>
      <c r="BM6" s="82"/>
      <c r="BN6" s="83"/>
      <c r="BO6" s="110" t="str">
        <f>IFERROR((((COUNTIF('Elève (6ème5)'!BL6:BN6,"A"))*4)+((COUNTIF('Elève (6ème5)'!BL6:BN6,"B"))*3)+((COUNTIF('Elève (6ème5)'!BL6:BN6,"C"))*2)+((COUNTIF('Elève (6ème5)'!BL6:BN6,"D"))*1))/(COUNTA(BL6:BN6)),"")</f>
        <v/>
      </c>
      <c r="BP6" s="111" t="str">
        <f t="shared" si="14"/>
        <v/>
      </c>
      <c r="BQ6" s="179" t="str">
        <f>IF(COUNT(BE6,BJ6,BO6)=0,"",SUM(BE6,BJ6,BO6)/COUNT(BE6,BJ6,BO6))</f>
        <v/>
      </c>
      <c r="BR6" s="132" t="str">
        <f t="shared" si="15"/>
        <v/>
      </c>
      <c r="BS6" s="156"/>
      <c r="BT6" s="157"/>
      <c r="BU6" s="158"/>
      <c r="BV6" s="110" t="str">
        <f>IFERROR((((COUNTIF('Elève (6ème5)'!BS6:BU6,"A"))*4)+((COUNTIF('Elève (6ème5)'!BS6:BU6,"B"))*3)+((COUNTIF('Elève (6ème5)'!BS6:BU6,"C"))*2)+((COUNTIF('Elève (6ème5)'!BS6:BU6,"D"))*1))/(COUNTA(BS6:BU6)),"")</f>
        <v/>
      </c>
      <c r="BW6" s="111" t="str">
        <f t="shared" si="16"/>
        <v/>
      </c>
      <c r="BX6" s="81"/>
      <c r="BY6" s="82"/>
      <c r="BZ6" s="83"/>
      <c r="CA6" s="110" t="str">
        <f>IFERROR((((COUNTIF('Elève (6ème5)'!BX6:BZ6,"A"))*4)+((COUNTIF('Elève (6ème5)'!BX6:BZ6,"B"))*3)+((COUNTIF('Elève (6ème5)'!BX6:BZ6,"C"))*2)+((COUNTIF('Elève (6ème5)'!BX6:BZ6,"D"))*1))/(COUNTA(BX6:BZ6)),"")</f>
        <v/>
      </c>
      <c r="CB6" s="111" t="str">
        <f t="shared" si="17"/>
        <v/>
      </c>
      <c r="CC6" s="81"/>
      <c r="CD6" s="82"/>
      <c r="CE6" s="83"/>
      <c r="CF6" s="110" t="str">
        <f>IFERROR((((COUNTIF('Elève (6ème5)'!CC6:CE6,"A"))*4)+((COUNTIF('Elève (6ème5)'!CC6:CE6,"B"))*3)+((COUNTIF('Elève (6ème5)'!CC6:CE6,"C"))*2)+((COUNTIF('Elève (6ème5)'!CC6:CE6,"D"))*1))/(COUNTA(CC6:CE6)),"")</f>
        <v/>
      </c>
      <c r="CG6" s="111" t="str">
        <f t="shared" si="18"/>
        <v/>
      </c>
      <c r="CH6" s="179" t="str">
        <f>IF(COUNT(BV6,CA6,CF6)=0,"",SUM(BV6,CA6,CF6)/COUNT(BV6,CA6,CF6))</f>
        <v/>
      </c>
      <c r="CI6" s="132" t="str">
        <f t="shared" si="19"/>
        <v/>
      </c>
      <c r="CJ6" s="156"/>
      <c r="CK6" s="157"/>
      <c r="CL6" s="158"/>
      <c r="CM6" s="110" t="str">
        <f>IFERROR((((COUNTIF('Elève (6ème5)'!CJ6:CL6,"A"))*4)+((COUNTIF('Elève (6ème5)'!CJ6:CL6,"B"))*3)+((COUNTIF('Elève (6ème5)'!CJ6:CL6,"C"))*2)+((COUNTIF('Elève (6ème5)'!CJ6:CL6,"D"))*1))/(COUNTA(CJ6:CL6)),"")</f>
        <v/>
      </c>
      <c r="CN6" s="111" t="str">
        <f t="shared" si="20"/>
        <v/>
      </c>
      <c r="CO6" s="81"/>
      <c r="CP6" s="82"/>
      <c r="CQ6" s="83"/>
      <c r="CR6" s="110" t="str">
        <f>IFERROR((((COUNTIF('Elève (6ème5)'!CO6:CQ6,"A"))*4)+((COUNTIF('Elève (6ème5)'!CO6:CQ6,"B"))*3)+((COUNTIF('Elève (6ème5)'!CO6:CQ6,"C"))*2)+((COUNTIF('Elève (6ème5)'!CO6:CQ6,"D"))*1))/(COUNTA(CO6:CQ6)),"")</f>
        <v/>
      </c>
      <c r="CS6" s="111" t="str">
        <f t="shared" si="21"/>
        <v/>
      </c>
      <c r="CT6" s="81"/>
      <c r="CU6" s="82"/>
      <c r="CV6" s="83"/>
      <c r="CW6" s="110" t="str">
        <f>IFERROR((((COUNTIF('Elève (6ème5)'!CT6:CV6,"A"))*4)+((COUNTIF('Elève (6ème5)'!CT6:CV6,"B"))*3)+((COUNTIF('Elève (6ème5)'!CT6:CV6,"C"))*2)+((COUNTIF('Elève (6ème5)'!CT6:CV6,"D"))*1))/(COUNTA(CT6:CV6)),"")</f>
        <v/>
      </c>
      <c r="CX6" s="111" t="str">
        <f t="shared" si="22"/>
        <v/>
      </c>
      <c r="CY6" s="179" t="str">
        <f>IF(COUNT(CM6,CR6,CW6)=0,"",SUM(CM6,CR6,CW6)/COUNT(CM6,CR6,CW6))</f>
        <v/>
      </c>
      <c r="CZ6" s="132" t="str">
        <f t="shared" si="23"/>
        <v/>
      </c>
      <c r="DA6" s="156"/>
      <c r="DB6" s="157"/>
      <c r="DC6" s="158"/>
      <c r="DD6" s="110" t="str">
        <f>IFERROR((((COUNTIF('Elève (6ème5)'!DA6:DC6,"A"))*4)+((COUNTIF('Elève (6ème5)'!DA6:DC6,"B"))*3)+((COUNTIF('Elève (6ème5)'!DA6:DC6,"C"))*2)+((COUNTIF('Elève (6ème5)'!DA6:DC6,"D"))*1))/(COUNTA(DA6:DC6)),"")</f>
        <v/>
      </c>
      <c r="DE6" s="111" t="str">
        <f t="shared" si="24"/>
        <v/>
      </c>
      <c r="DF6" s="81"/>
      <c r="DG6" s="82"/>
      <c r="DH6" s="83"/>
      <c r="DI6" s="110" t="str">
        <f>IFERROR((((COUNTIF('Elève (6ème5)'!DF6:DH6,"A"))*4)+((COUNTIF('Elève (6ème5)'!DF6:DH6,"B"))*3)+((COUNTIF('Elève (6ème5)'!DF6:DH6,"C"))*2)+((COUNTIF('Elève (6ème5)'!DF6:DH6,"D"))*1))/(COUNTA(DF6:DH6)),"")</f>
        <v/>
      </c>
      <c r="DJ6" s="111" t="str">
        <f t="shared" si="25"/>
        <v/>
      </c>
      <c r="DK6" s="81"/>
      <c r="DL6" s="82"/>
      <c r="DM6" s="83"/>
      <c r="DN6" s="110" t="str">
        <f>IFERROR((((COUNTIF('Elève (6ème5)'!DK6:DM6,"A"))*4)+((COUNTIF('Elève (6ème5)'!DK6:DM6,"B"))*3)+((COUNTIF('Elève (6ème5)'!DK6:DM6,"C"))*2)+((COUNTIF('Elève (6ème5)'!DK6:DM6,"D"))*1))/(COUNTA(DK6:DM6)),"")</f>
        <v/>
      </c>
      <c r="DO6" s="111" t="str">
        <f t="shared" si="26"/>
        <v/>
      </c>
      <c r="DP6" s="179" t="str">
        <f>IF(COUNT(DD6,DI6,DN6)=0,"",SUM(DD6,DI6,DN6)/COUNT(DD6,DI6,DN6))</f>
        <v/>
      </c>
      <c r="DQ6" s="132" t="str">
        <f t="shared" si="27"/>
        <v/>
      </c>
      <c r="DR6" s="156"/>
      <c r="DS6" s="157"/>
      <c r="DT6" s="158"/>
      <c r="DU6" s="110" t="str">
        <f>IFERROR((((COUNTIF('Elève (6ème5)'!DR6:DT6,"A"))*4)+((COUNTIF('Elève (6ème5)'!DR6:DT6,"B"))*3)+((COUNTIF('Elève (6ème5)'!DR6:DT6,"C"))*2)+((COUNTIF('Elève (6ème5)'!DR6:DT6,"D"))*1))/(COUNTA(DR6:DT6)),"")</f>
        <v/>
      </c>
      <c r="DV6" s="111" t="str">
        <f t="shared" si="28"/>
        <v/>
      </c>
      <c r="DW6" s="81"/>
      <c r="DX6" s="82"/>
      <c r="DY6" s="83"/>
      <c r="DZ6" s="110" t="str">
        <f>IFERROR((((COUNTIF('Elève (6ème5)'!DW6:DY6,"A"))*4)+((COUNTIF('Elève (6ème5)'!DW6:DY6,"B"))*3)+((COUNTIF('Elève (6ème5)'!DW6:DY6,"C"))*2)+((COUNTIF('Elève (6ème5)'!DW6:DY6,"D"))*1))/(COUNTA(DW6:DY6)),"")</f>
        <v/>
      </c>
      <c r="EA6" s="111" t="str">
        <f t="shared" si="29"/>
        <v/>
      </c>
      <c r="EB6" s="81"/>
      <c r="EC6" s="82"/>
      <c r="ED6" s="83"/>
      <c r="EE6" s="110" t="str">
        <f>IFERROR((((COUNTIF('Elève (6ème5)'!EB6:ED6,"A"))*4)+((COUNTIF('Elève (6ème5)'!EB6:ED6,"B"))*3)+((COUNTIF('Elève (6ème5)'!EB6:ED6,"C"))*2)+((COUNTIF('Elève (6ème5)'!EB6:ED6,"D"))*1))/(COUNTA(EB6:ED6)),"")</f>
        <v/>
      </c>
      <c r="EF6" s="111" t="str">
        <f t="shared" si="30"/>
        <v/>
      </c>
      <c r="EG6" s="179" t="str">
        <f>IF(COUNT(DU6,DZ6,EE6)=0,"",SUM(DU6,DZ6,EE6)/COUNT(DU6,DZ6,EE6))</f>
        <v/>
      </c>
      <c r="EH6" s="132" t="str">
        <f t="shared" si="31"/>
        <v/>
      </c>
      <c r="EI6" s="156"/>
      <c r="EJ6" s="157"/>
      <c r="EK6" s="158"/>
      <c r="EL6" s="110" t="str">
        <f>IFERROR((((COUNTIF('Elève (6ème5)'!EI6:EK6,"A"))*4)+((COUNTIF('Elève (6ème5)'!EI6:EK6,"B"))*3)+((COUNTIF('Elève (6ème5)'!EI6:EK6,"C"))*2)+((COUNTIF('Elève (6ème5)'!EI6:EK6,"D"))*1))/(COUNTA(EI6:EK6)),"")</f>
        <v/>
      </c>
      <c r="EM6" s="111" t="str">
        <f t="shared" si="32"/>
        <v/>
      </c>
      <c r="EN6" s="81"/>
      <c r="EO6" s="82"/>
      <c r="EP6" s="83"/>
      <c r="EQ6" s="110" t="str">
        <f>IFERROR((((COUNTIF('Elève (6ème5)'!EN6:EP6,"A"))*4)+((COUNTIF('Elève (6ème5)'!EN6:EP6,"B"))*3)+((COUNTIF('Elève (6ème5)'!EN6:EP6,"C"))*2)+((COUNTIF('Elève (6ème5)'!EN6:EP6,"D"))*1))/(COUNTA(EN6:EP6)),"")</f>
        <v/>
      </c>
      <c r="ER6" s="111" t="str">
        <f t="shared" si="33"/>
        <v/>
      </c>
      <c r="ES6" s="81"/>
      <c r="ET6" s="82"/>
      <c r="EU6" s="83"/>
      <c r="EV6" s="110" t="str">
        <f>IFERROR((((COUNTIF('Elève (6ème5)'!ES6:EU6,"A"))*4)+((COUNTIF('Elève (6ème5)'!ES6:EU6,"B"))*3)+((COUNTIF('Elève (6ème5)'!ES6:EU6,"C"))*2)+((COUNTIF('Elève (6ème5)'!ES6:EU6,"D"))*1))/(COUNTA(ES6:EU6)),"")</f>
        <v/>
      </c>
      <c r="EW6" s="111" t="str">
        <f t="shared" si="34"/>
        <v/>
      </c>
      <c r="EX6" s="179" t="str">
        <f>IF(COUNT(EL6,EQ6,EV6)=0,"",SUM(EL6,EQ6,EV6)/COUNT(EL6,EQ6,EV6))</f>
        <v/>
      </c>
      <c r="EY6" s="132" t="str">
        <f t="shared" si="35"/>
        <v/>
      </c>
      <c r="EZ6" s="156"/>
      <c r="FA6" s="157"/>
      <c r="FB6" s="158"/>
      <c r="FC6" s="110" t="str">
        <f>IFERROR((((COUNTIF('Elève (6ème5)'!EZ6:FB6,"A"))*4)+((COUNTIF('Elève (6ème5)'!EZ6:FB6,"B"))*3)+((COUNTIF('Elève (6ème5)'!EZ6:FB6,"C"))*2)+((COUNTIF('Elève (6ème5)'!EZ6:FB6,"D"))*1))/(COUNTA(EZ6:FB6)),"")</f>
        <v/>
      </c>
      <c r="FD6" s="111" t="str">
        <f t="shared" si="36"/>
        <v/>
      </c>
      <c r="FE6" s="81"/>
      <c r="FF6" s="82"/>
      <c r="FG6" s="83"/>
      <c r="FH6" s="110" t="str">
        <f>IFERROR((((COUNTIF('Elève (6ème5)'!FE6:FG6,"A"))*4)+((COUNTIF('Elève (6ème5)'!FE6:FG6,"B"))*3)+((COUNTIF('Elève (6ème5)'!FE6:FG6,"C"))*2)+((COUNTIF('Elève (6ème5)'!FE6:FG6,"D"))*1))/(COUNTA(FE6:FG6)),"")</f>
        <v/>
      </c>
      <c r="FI6" s="111" t="str">
        <f t="shared" si="37"/>
        <v/>
      </c>
      <c r="FJ6" s="81"/>
      <c r="FK6" s="82"/>
      <c r="FL6" s="83"/>
      <c r="FM6" s="110" t="str">
        <f>IFERROR((((COUNTIF('Elève (6ème5)'!FJ6:FL6,"A"))*4)+((COUNTIF('Elève (6ème5)'!FJ6:FL6,"B"))*3)+((COUNTIF('Elève (6ème5)'!FJ6:FL6,"C"))*2)+((COUNTIF('Elève (6ème5)'!FJ6:FL6,"D"))*1))/(COUNTA(FJ6:FL6)),"")</f>
        <v/>
      </c>
      <c r="FN6" s="111" t="str">
        <f t="shared" si="38"/>
        <v/>
      </c>
      <c r="FO6" s="179" t="str">
        <f>IF(COUNT(FC6,FH6,FM6)=0,"",SUM(FC6,FH6,FM6)/COUNT(FC6,FH6,FM6))</f>
        <v/>
      </c>
      <c r="FP6" s="132" t="str">
        <f t="shared" si="39"/>
        <v/>
      </c>
      <c r="FQ6" s="156"/>
      <c r="FR6" s="157"/>
      <c r="FS6" s="158"/>
      <c r="FT6" s="110" t="str">
        <f>IFERROR((((COUNTIF('Elève (6ème5)'!FQ6:FS6,"A"))*4)+((COUNTIF('Elève (6ème5)'!FQ6:FS6,"B"))*3)+((COUNTIF('Elève (6ème5)'!FQ6:FS6,"C"))*2)+((COUNTIF('Elève (6ème5)'!FQ6:FS6,"D"))*1))/(COUNTA(FQ6:FS6)),"")</f>
        <v/>
      </c>
      <c r="FU6" s="111" t="str">
        <f t="shared" si="40"/>
        <v/>
      </c>
      <c r="FV6" s="81"/>
      <c r="FW6" s="82"/>
      <c r="FX6" s="83"/>
      <c r="FY6" s="110" t="str">
        <f>IFERROR((((COUNTIF('Elève (6ème5)'!FV6:FX6,"A"))*4)+((COUNTIF('Elève (6ème5)'!FV6:FX6,"B"))*3)+((COUNTIF('Elève (6ème5)'!FV6:FX6,"C"))*2)+((COUNTIF('Elève (6ème5)'!FV6:FX6,"D"))*1))/(COUNTA(FV6:FX6)),"")</f>
        <v/>
      </c>
      <c r="FZ6" s="111" t="str">
        <f t="shared" si="41"/>
        <v/>
      </c>
      <c r="GA6" s="81"/>
      <c r="GB6" s="82"/>
      <c r="GC6" s="83"/>
      <c r="GD6" s="110" t="str">
        <f>IFERROR((((COUNTIF('Elève (6ème5)'!GA6:GC6,"A"))*4)+((COUNTIF('Elève (6ème5)'!GA6:GC6,"B"))*3)+((COUNTIF('Elève (6ème5)'!GA6:GC6,"C"))*2)+((COUNTIF('Elève (6ème5)'!GA6:GC6,"D"))*1))/(COUNTA(GA6:GC6)),"")</f>
        <v/>
      </c>
      <c r="GE6" s="111" t="str">
        <f t="shared" si="42"/>
        <v/>
      </c>
      <c r="GF6" s="179" t="str">
        <f>IF(COUNT(FT6,FY6,GD6)=0,"",SUM(FT6,FY6,GD6)/COUNT(FT6,FY6,GD6))</f>
        <v/>
      </c>
      <c r="GG6" s="132" t="str">
        <f t="shared" si="43"/>
        <v/>
      </c>
      <c r="GH6" s="156"/>
      <c r="GI6" s="157"/>
      <c r="GJ6" s="158"/>
      <c r="GK6" s="110" t="str">
        <f>IFERROR((((COUNTIF('Elève (6ème5)'!GH6:GJ6,"A"))*4)+((COUNTIF('Elève (6ème5)'!GH6:GJ6,"B"))*3)+((COUNTIF('Elève (6ème5)'!GH6:GJ6,"C"))*2)+((COUNTIF('Elève (6ème5)'!GH6:GJ6,"D"))*1))/(COUNTA(GH6:GJ6)),"")</f>
        <v/>
      </c>
      <c r="GL6" s="111" t="str">
        <f t="shared" si="44"/>
        <v/>
      </c>
      <c r="GM6" s="81"/>
      <c r="GN6" s="82"/>
      <c r="GO6" s="83"/>
      <c r="GP6" s="110" t="str">
        <f>IFERROR((((COUNTIF('Elève (6ème5)'!GM6:GO6,"A"))*4)+((COUNTIF('Elève (6ème5)'!GM6:GO6,"B"))*3)+((COUNTIF('Elève (6ème5)'!GM6:GO6,"C"))*2)+((COUNTIF('Elève (6ème5)'!GM6:GO6,"D"))*1))/(COUNTA(GM6:GO6)),"")</f>
        <v/>
      </c>
      <c r="GQ6" s="111" t="str">
        <f t="shared" si="45"/>
        <v/>
      </c>
      <c r="GR6" s="81"/>
      <c r="GS6" s="82"/>
      <c r="GT6" s="83"/>
      <c r="GU6" s="110" t="str">
        <f>IFERROR((((COUNTIF('Elève (6ème5)'!GR6:GT6,"A"))*4)+((COUNTIF('Elève (6ème5)'!GR6:GT6,"B"))*3)+((COUNTIF('Elève (6ème5)'!GR6:GT6,"C"))*2)+((COUNTIF('Elève (6ème5)'!GR6:GT6,"D"))*1))/(COUNTA(GR6:GT6)),"")</f>
        <v/>
      </c>
      <c r="GV6" s="111" t="str">
        <f t="shared" si="46"/>
        <v/>
      </c>
      <c r="GW6" s="179" t="str">
        <f>IF(COUNT(GK6,GP6,GU6)=0,"",SUM(GK6,GP6,GU6)/COUNT(GK6,GP6,GU6))</f>
        <v/>
      </c>
      <c r="GX6" s="132" t="str">
        <f t="shared" si="47"/>
        <v/>
      </c>
      <c r="GY6" s="156"/>
      <c r="GZ6" s="157"/>
      <c r="HA6" s="158"/>
      <c r="HB6" s="110" t="str">
        <f>IFERROR((((COUNTIF('Elève (6ème5)'!GY6:HA6,"A"))*4)+((COUNTIF('Elève (6ème5)'!GY6:HA6,"B"))*3)+((COUNTIF('Elève (6ème5)'!GY6:HA6,"C"))*2)+((COUNTIF('Elève (6ème5)'!GY6:HA6,"D"))*1))/(COUNTA(GY6:HA6)),"")</f>
        <v/>
      </c>
      <c r="HC6" s="111" t="str">
        <f t="shared" si="48"/>
        <v/>
      </c>
      <c r="HD6" s="81"/>
      <c r="HE6" s="82"/>
      <c r="HF6" s="83"/>
      <c r="HG6" s="110" t="str">
        <f>IFERROR((((COUNTIF('Elève (6ème5)'!HD6:HF6,"A"))*4)+((COUNTIF('Elève (6ème5)'!HD6:HF6,"B"))*3)+((COUNTIF('Elève (6ème5)'!HD6:HF6,"C"))*2)+((COUNTIF('Elève (6ème5)'!HD6:HF6,"D"))*1))/(COUNTA(HD6:HF6)),"")</f>
        <v/>
      </c>
      <c r="HH6" s="111" t="str">
        <f t="shared" si="49"/>
        <v/>
      </c>
      <c r="HI6" s="81"/>
      <c r="HJ6" s="82"/>
      <c r="HK6" s="83"/>
      <c r="HL6" s="110" t="str">
        <f>IFERROR((((COUNTIF('Elève (6ème5)'!HI6:HK6,"A"))*4)+((COUNTIF('Elève (6ème5)'!HI6:HK6,"B"))*3)+((COUNTIF('Elève (6ème5)'!HI6:HK6,"C"))*2)+((COUNTIF('Elève (6ème5)'!HI6:HK6,"D"))*1))/(COUNTA(HI6:HK6)),"")</f>
        <v/>
      </c>
      <c r="HM6" s="111" t="str">
        <f t="shared" si="50"/>
        <v/>
      </c>
      <c r="HN6" s="179" t="str">
        <f>IF(COUNT(HB6,HG6,HL6)=0,"",SUM(HB6,HG6,HL6)/COUNT(HB6,HG6,HL6))</f>
        <v/>
      </c>
      <c r="HO6" s="132" t="str">
        <f t="shared" si="51"/>
        <v/>
      </c>
      <c r="HP6" s="156"/>
      <c r="HQ6" s="157"/>
      <c r="HR6" s="158"/>
      <c r="HS6" s="110" t="str">
        <f>IFERROR((((COUNTIF('Elève (6ème5)'!HP6:HR6,"A"))*4)+((COUNTIF('Elève (6ème5)'!HP6:HR6,"B"))*3)+((COUNTIF('Elève (6ème5)'!HP6:HR6,"C"))*2)+((COUNTIF('Elève (6ème5)'!HP6:HR6,"D"))*1))/(COUNTA(HP6:HR6)),"")</f>
        <v/>
      </c>
      <c r="HT6" s="111" t="str">
        <f t="shared" si="52"/>
        <v/>
      </c>
      <c r="HU6" s="81"/>
      <c r="HV6" s="82"/>
      <c r="HW6" s="83"/>
      <c r="HX6" s="110" t="str">
        <f>IFERROR((((COUNTIF('Elève (6ème5)'!HU6:HW6,"A"))*4)+((COUNTIF('Elève (6ème5)'!HU6:HW6,"B"))*3)+((COUNTIF('Elève (6ème5)'!HU6:HW6,"C"))*2)+((COUNTIF('Elève (6ème5)'!HU6:HW6,"D"))*1))/(COUNTA(HU6:HW6)),"")</f>
        <v/>
      </c>
      <c r="HY6" s="111" t="str">
        <f t="shared" si="53"/>
        <v/>
      </c>
      <c r="HZ6" s="81"/>
      <c r="IA6" s="82"/>
      <c r="IB6" s="83"/>
      <c r="IC6" s="110" t="str">
        <f>IFERROR((((COUNTIF('Elève (6ème5)'!HZ6:IB6,"A"))*4)+((COUNTIF('Elève (6ème5)'!HZ6:IB6,"B"))*3)+((COUNTIF('Elève (6ème5)'!HZ6:IB6,"C"))*2)+((COUNTIF('Elève (6ème5)'!HZ6:IB6,"D"))*1))/(COUNTA(HZ6:IB6)),"")</f>
        <v/>
      </c>
      <c r="ID6" s="111" t="str">
        <f t="shared" si="54"/>
        <v/>
      </c>
      <c r="IE6" s="179" t="str">
        <f>IF(COUNT(HS6,HX6,IC6)=0,"",SUM(HS6,HX6,IC6)/COUNT(HS6,HX6,IC6))</f>
        <v/>
      </c>
      <c r="IF6" s="132" t="str">
        <f t="shared" si="55"/>
        <v/>
      </c>
      <c r="IG6" s="156"/>
      <c r="IH6" s="157"/>
      <c r="II6" s="158"/>
      <c r="IJ6" s="110" t="str">
        <f>IFERROR((((COUNTIF('Elève (6ème5)'!IG6:II6,"A"))*4)+((COUNTIF('Elève (6ème5)'!IG6:II6,"B"))*3)+((COUNTIF('Elève (6ème5)'!IG6:II6,"C"))*2)+((COUNTIF('Elève (6ème5)'!IG6:II6,"D"))*1))/(COUNTA(IG6:II6)),"")</f>
        <v/>
      </c>
      <c r="IK6" s="111" t="str">
        <f t="shared" si="56"/>
        <v/>
      </c>
      <c r="IL6" s="81"/>
      <c r="IM6" s="82"/>
      <c r="IN6" s="83"/>
      <c r="IO6" s="110" t="str">
        <f>IFERROR((((COUNTIF('Elève (6ème5)'!IL6:IN6,"A"))*4)+((COUNTIF('Elève (6ème5)'!IL6:IN6,"B"))*3)+((COUNTIF('Elève (6ème5)'!IL6:IN6,"C"))*2)+((COUNTIF('Elève (6ème5)'!IL6:IN6,"D"))*1))/(COUNTA(IL6:IN6)),"")</f>
        <v/>
      </c>
      <c r="IP6" s="111" t="str">
        <f t="shared" si="57"/>
        <v/>
      </c>
      <c r="IQ6" s="81"/>
      <c r="IR6" s="82"/>
      <c r="IS6" s="83"/>
      <c r="IT6" s="110" t="str">
        <f>IFERROR((((COUNTIF('Elève (6ème5)'!IQ6:IS6,"A"))*4)+((COUNTIF('Elève (6ème5)'!IQ6:IS6,"B"))*3)+((COUNTIF('Elève (6ème5)'!IQ6:IS6,"C"))*2)+((COUNTIF('Elève (6ème5)'!IQ6:IS6,"D"))*1))/(COUNTA(IQ6:IS6)),"")</f>
        <v/>
      </c>
      <c r="IU6" s="111" t="str">
        <f t="shared" si="58"/>
        <v/>
      </c>
      <c r="IV6" s="179" t="str">
        <f>IF(COUNT(IJ6,IO6,IT6)=0,"",SUM(IJ6,IO6,IT6)/COUNT(IJ6,IO6,IT6))</f>
        <v/>
      </c>
      <c r="IW6" s="132" t="str">
        <f t="shared" si="59"/>
        <v/>
      </c>
      <c r="IX6" s="156"/>
      <c r="IY6" s="157"/>
      <c r="IZ6" s="158"/>
      <c r="JA6" s="110" t="str">
        <f>IFERROR((((COUNTIF('Elève (6ème5)'!IX6:IZ6,"A"))*4)+((COUNTIF('Elève (6ème5)'!IX6:IZ6,"B"))*3)+((COUNTIF('Elève (6ème5)'!IX6:IZ6,"C"))*2)+((COUNTIF('Elève (6ème5)'!IX6:IZ6,"D"))*1))/(COUNTA(IX6:IZ6)),"")</f>
        <v/>
      </c>
      <c r="JB6" s="111" t="str">
        <f t="shared" si="60"/>
        <v/>
      </c>
      <c r="JC6" s="81"/>
      <c r="JD6" s="82"/>
      <c r="JE6" s="83"/>
      <c r="JF6" s="110" t="str">
        <f>IFERROR((((COUNTIF('Elève (6ème5)'!JC6:JE6,"A"))*4)+((COUNTIF('Elève (6ème5)'!JC6:JE6,"B"))*3)+((COUNTIF('Elève (6ème5)'!JC6:JE6,"C"))*2)+((COUNTIF('Elève (6ème5)'!JC6:JE6,"D"))*1))/(COUNTA(JC6:JE6)),"")</f>
        <v/>
      </c>
      <c r="JG6" s="111" t="str">
        <f t="shared" si="61"/>
        <v/>
      </c>
      <c r="JH6" s="81"/>
      <c r="JI6" s="82"/>
      <c r="JJ6" s="83"/>
      <c r="JK6" s="110" t="str">
        <f>IFERROR((((COUNTIF('Elève (6ème5)'!JH6:JJ6,"A"))*4)+((COUNTIF('Elève (6ème5)'!JH6:JJ6,"B"))*3)+((COUNTIF('Elève (6ème5)'!JH6:JJ6,"C"))*2)+((COUNTIF('Elève (6ème5)'!JH6:JJ6,"D"))*1))/(COUNTA(JH6:JJ6)),"")</f>
        <v/>
      </c>
      <c r="JL6" s="111" t="str">
        <f t="shared" si="62"/>
        <v/>
      </c>
      <c r="JM6" s="179" t="str">
        <f>IF(COUNT(JA6,JF6,JK6)=0,"",SUM(JA6,JF6,JK6)/COUNT(JA6,JF6,JK6))</f>
        <v/>
      </c>
      <c r="JN6" s="132" t="str">
        <f t="shared" si="63"/>
        <v/>
      </c>
      <c r="JO6" s="156"/>
      <c r="JP6" s="157"/>
      <c r="JQ6" s="158"/>
      <c r="JR6" s="110" t="str">
        <f>IFERROR((((COUNTIF('Elève (6ème5)'!JO6:JQ6,"A"))*4)+((COUNTIF('Elève (6ème5)'!JO6:JQ6,"B"))*3)+((COUNTIF('Elève (6ème5)'!JO6:JQ6,"C"))*2)+((COUNTIF('Elève (6ème5)'!JO6:JQ6,"D"))*1))/(COUNTA(JO6:JQ6)),"")</f>
        <v/>
      </c>
      <c r="JS6" s="111" t="str">
        <f t="shared" si="64"/>
        <v/>
      </c>
      <c r="JT6" s="81"/>
      <c r="JU6" s="82"/>
      <c r="JV6" s="83"/>
      <c r="JW6" s="110" t="str">
        <f>IFERROR((((COUNTIF('Elève (6ème5)'!JT6:JV6,"A"))*4)+((COUNTIF('Elève (6ème5)'!JT6:JV6,"B"))*3)+((COUNTIF('Elève (6ème5)'!JT6:JV6,"C"))*2)+((COUNTIF('Elève (6ème5)'!JT6:JV6,"D"))*1))/(COUNTA(JT6:JV6)),"")</f>
        <v/>
      </c>
      <c r="JX6" s="111" t="str">
        <f t="shared" si="65"/>
        <v/>
      </c>
      <c r="JY6" s="81"/>
      <c r="JZ6" s="82"/>
      <c r="KA6" s="83"/>
      <c r="KB6" s="110" t="str">
        <f>IFERROR((((COUNTIF('Elève (6ème5)'!JY6:KA6,"A"))*4)+((COUNTIF('Elève (6ème5)'!JY6:KA6,"B"))*3)+((COUNTIF('Elève (6ème5)'!JY6:KA6,"C"))*2)+((COUNTIF('Elève (6ème5)'!JY6:KA6,"D"))*1))/(COUNTA(JY6:KA6)),"")</f>
        <v/>
      </c>
      <c r="KC6" s="111" t="str">
        <f t="shared" si="66"/>
        <v/>
      </c>
      <c r="KD6" s="179" t="str">
        <f>IF(COUNT(JR6,JW6,KB6)=0,"",SUM(JR6,JW6,KB6)/COUNT(JR6,JW6,KB6))</f>
        <v/>
      </c>
      <c r="KE6" s="132" t="str">
        <f t="shared" si="67"/>
        <v/>
      </c>
      <c r="KF6" s="156"/>
      <c r="KG6" s="157"/>
      <c r="KH6" s="158"/>
      <c r="KI6" s="110" t="str">
        <f>IFERROR((((COUNTIF('Elève (6ème5)'!KF6:KH6,"A"))*4)+((COUNTIF('Elève (6ème5)'!KF6:KH6,"B"))*3)+((COUNTIF('Elève (6ème5)'!KF6:KH6,"C"))*2)+((COUNTIF('Elève (6ème5)'!KF6:KH6,"D"))*1))/(COUNTA(KF6:KH6)),"")</f>
        <v/>
      </c>
      <c r="KJ6" s="111" t="str">
        <f t="shared" si="68"/>
        <v/>
      </c>
      <c r="KK6" s="81"/>
      <c r="KL6" s="82"/>
      <c r="KM6" s="83"/>
      <c r="KN6" s="110" t="str">
        <f>IFERROR((((COUNTIF('Elève (6ème5)'!KK6:KM6,"A"))*4)+((COUNTIF('Elève (6ème5)'!KK6:KM6,"B"))*3)+((COUNTIF('Elève (6ème5)'!KK6:KM6,"C"))*2)+((COUNTIF('Elève (6ème5)'!KK6:KM6,"D"))*1))/(COUNTA(KK6:KM6)),"")</f>
        <v/>
      </c>
      <c r="KO6" s="111" t="str">
        <f t="shared" si="69"/>
        <v/>
      </c>
      <c r="KP6" s="81"/>
      <c r="KQ6" s="82"/>
      <c r="KR6" s="83"/>
      <c r="KS6" s="110" t="str">
        <f>IFERROR((((COUNTIF('Elève (6ème5)'!KP6:KR6,"A"))*4)+((COUNTIF('Elève (6ème5)'!KP6:KR6,"B"))*3)+((COUNTIF('Elève (6ème5)'!KP6:KR6,"C"))*2)+((COUNTIF('Elève (6ème5)'!KP6:KR6,"D"))*1))/(COUNTA(KP6:KR6)),"")</f>
        <v/>
      </c>
      <c r="KT6" s="111" t="str">
        <f t="shared" si="70"/>
        <v/>
      </c>
      <c r="KU6" s="179" t="str">
        <f>IF(COUNT(KI6,KN6,KS6)=0,"",SUM(KI6,KN6,KS6)/COUNT(KI6,KN6,KS6))</f>
        <v/>
      </c>
      <c r="KV6" s="132" t="str">
        <f t="shared" si="71"/>
        <v/>
      </c>
      <c r="KW6" s="156"/>
      <c r="KX6" s="157"/>
      <c r="KY6" s="158"/>
      <c r="KZ6" s="110" t="str">
        <f>IFERROR((((COUNTIF('Elève (6ème5)'!KW6:KY6,"A"))*4)+((COUNTIF('Elève (6ème5)'!KW6:KY6,"B"))*3)+((COUNTIF('Elève (6ème5)'!KW6:KY6,"C"))*2)+((COUNTIF('Elève (6ème5)'!KW6:KY6,"D"))*1))/(COUNTA(KW6:KY6)),"")</f>
        <v/>
      </c>
      <c r="LA6" s="111" t="str">
        <f t="shared" si="72"/>
        <v/>
      </c>
      <c r="LB6" s="81"/>
      <c r="LC6" s="82"/>
      <c r="LD6" s="83"/>
      <c r="LE6" s="110" t="str">
        <f>IFERROR((((COUNTIF('Elève (6ème5)'!LB6:LD6,"A"))*4)+((COUNTIF('Elève (6ème5)'!LB6:LD6,"B"))*3)+((COUNTIF('Elève (6ème5)'!LB6:LD6,"C"))*2)+((COUNTIF('Elève (6ème5)'!LB6:LD6,"D"))*1))/(COUNTA(LB6:LD6)),"")</f>
        <v/>
      </c>
      <c r="LF6" s="111" t="str">
        <f t="shared" si="73"/>
        <v/>
      </c>
      <c r="LG6" s="81"/>
      <c r="LH6" s="82"/>
      <c r="LI6" s="83"/>
      <c r="LJ6" s="110" t="str">
        <f>IFERROR((((COUNTIF('Elève (6ème5)'!LG6:LI6,"A"))*4)+((COUNTIF('Elève (6ème5)'!LG6:LI6,"B"))*3)+((COUNTIF('Elève (6ème5)'!LG6:LI6,"C"))*2)+((COUNTIF('Elève (6ème5)'!LG6:LI6,"D"))*1))/(COUNTA(LG6:LI6)),"")</f>
        <v/>
      </c>
      <c r="LK6" s="111" t="str">
        <f t="shared" si="74"/>
        <v/>
      </c>
      <c r="LL6" s="179" t="str">
        <f>IF(COUNT(KZ6,LE6,LJ6)=0,"",SUM(KZ6,LE6,LJ6)/COUNT(KZ6,LE6,LJ6))</f>
        <v/>
      </c>
      <c r="LM6" s="132" t="str">
        <f t="shared" si="75"/>
        <v/>
      </c>
      <c r="LN6" s="156"/>
      <c r="LO6" s="157"/>
      <c r="LP6" s="158"/>
      <c r="LQ6" s="110" t="str">
        <f>IFERROR((((COUNTIF('Elève (6ème5)'!LN6:LP6,"A"))*4)+((COUNTIF('Elève (6ème5)'!LN6:LP6,"B"))*3)+((COUNTIF('Elève (6ème5)'!LN6:LP6,"C"))*2)+((COUNTIF('Elève (6ème5)'!LN6:LP6,"D"))*1))/(COUNTA(LN6:LP6)),"")</f>
        <v/>
      </c>
      <c r="LR6" s="111" t="str">
        <f t="shared" si="76"/>
        <v/>
      </c>
      <c r="LS6" s="81"/>
      <c r="LT6" s="82"/>
      <c r="LU6" s="83"/>
      <c r="LV6" s="110" t="str">
        <f>IFERROR((((COUNTIF('Elève (6ème5)'!LS6:LU6,"A"))*4)+((COUNTIF('Elève (6ème5)'!LS6:LU6,"B"))*3)+((COUNTIF('Elève (6ème5)'!LS6:LU6,"C"))*2)+((COUNTIF('Elève (6ème5)'!LS6:LU6,"D"))*1))/(COUNTA(LS6:LU6)),"")</f>
        <v/>
      </c>
      <c r="LW6" s="111" t="str">
        <f t="shared" si="77"/>
        <v/>
      </c>
      <c r="LX6" s="81"/>
      <c r="LY6" s="82"/>
      <c r="LZ6" s="83"/>
      <c r="MA6" s="110" t="str">
        <f>IFERROR((((COUNTIF('Elève (6ème5)'!LX6:LZ6,"A"))*4)+((COUNTIF('Elève (6ème5)'!LX6:LZ6,"B"))*3)+((COUNTIF('Elève (6ème5)'!LX6:LZ6,"C"))*2)+((COUNTIF('Elève (6ème5)'!LX6:LZ6,"D"))*1))/(COUNTA(LX6:LZ6)),"")</f>
        <v/>
      </c>
      <c r="MB6" s="111" t="str">
        <f t="shared" si="78"/>
        <v/>
      </c>
      <c r="MC6" s="179" t="str">
        <f>IF(COUNT(LQ6,LV6,MA6)=0,"",SUM(LQ6,LV6,MA6)/COUNT(LQ6,LV6,MA6))</f>
        <v/>
      </c>
      <c r="MD6" s="132" t="str">
        <f t="shared" si="79"/>
        <v/>
      </c>
      <c r="ME6" s="156"/>
      <c r="MF6" s="157"/>
      <c r="MG6" s="158"/>
      <c r="MH6" s="110" t="str">
        <f>IFERROR((((COUNTIF('Elève (6ème5)'!ME6:MG6,"A"))*4)+((COUNTIF('Elève (6ème5)'!ME6:MG6,"B"))*3)+((COUNTIF('Elève (6ème5)'!ME6:MG6,"C"))*2)+((COUNTIF('Elève (6ème5)'!ME6:MG6,"D"))*1))/(COUNTA(ME6:MG6)),"")</f>
        <v/>
      </c>
      <c r="MI6" s="111" t="str">
        <f t="shared" si="80"/>
        <v/>
      </c>
      <c r="MJ6" s="81"/>
      <c r="MK6" s="82"/>
      <c r="ML6" s="83"/>
      <c r="MM6" s="110" t="str">
        <f>IFERROR((((COUNTIF('Elève (6ème5)'!MJ6:ML6,"A"))*4)+((COUNTIF('Elève (6ème5)'!MJ6:ML6,"B"))*3)+((COUNTIF('Elève (6ème5)'!MJ6:ML6,"C"))*2)+((COUNTIF('Elève (6ème5)'!MJ6:ML6,"D"))*1))/(COUNTA(MJ6:ML6)),"")</f>
        <v/>
      </c>
      <c r="MN6" s="111" t="str">
        <f t="shared" si="81"/>
        <v/>
      </c>
      <c r="MO6" s="81"/>
      <c r="MP6" s="82"/>
      <c r="MQ6" s="83"/>
      <c r="MR6" s="110" t="str">
        <f>IFERROR((((COUNTIF('Elève (6ème5)'!MO6:MQ6,"A"))*4)+((COUNTIF('Elève (6ème5)'!MO6:MQ6,"B"))*3)+((COUNTIF('Elève (6ème5)'!MO6:MQ6,"C"))*2)+((COUNTIF('Elève (6ème5)'!MO6:MQ6,"D"))*1))/(COUNTA(MO6:MQ6)),"")</f>
        <v/>
      </c>
      <c r="MS6" s="111" t="str">
        <f t="shared" si="82"/>
        <v/>
      </c>
      <c r="MT6" s="179" t="str">
        <f>IF(COUNT(MH6,MM6,MR6)=0,"",SUM(MH6,MM6,MR6)/COUNT(MH6,MM6,MR6))</f>
        <v/>
      </c>
      <c r="MU6" s="132" t="str">
        <f t="shared" si="83"/>
        <v/>
      </c>
      <c r="MV6" s="156"/>
      <c r="MW6" s="157"/>
      <c r="MX6" s="158"/>
      <c r="MY6" s="110" t="str">
        <f>IFERROR((((COUNTIF('Elève (6ème5)'!MV6:MX6,"A"))*4)+((COUNTIF('Elève (6ème5)'!MV6:MX6,"B"))*3)+((COUNTIF('Elève (6ème5)'!MV6:MX6,"C"))*2)+((COUNTIF('Elève (6ème5)'!MV6:MX6,"D"))*1))/(COUNTA(MV6:MX6)),"")</f>
        <v/>
      </c>
      <c r="MZ6" s="111" t="str">
        <f t="shared" si="84"/>
        <v/>
      </c>
      <c r="NA6" s="81"/>
      <c r="NB6" s="82"/>
      <c r="NC6" s="83"/>
      <c r="ND6" s="110" t="str">
        <f>IFERROR((((COUNTIF('Elève (6ème5)'!NA6:NC6,"A"))*4)+((COUNTIF('Elève (6ème5)'!NA6:NC6,"B"))*3)+((COUNTIF('Elève (6ème5)'!NA6:NC6,"C"))*2)+((COUNTIF('Elève (6ème5)'!NA6:NC6,"D"))*1))/(COUNTA(NA6:NC6)),"")</f>
        <v/>
      </c>
      <c r="NE6" s="111" t="str">
        <f t="shared" si="85"/>
        <v/>
      </c>
      <c r="NF6" s="81"/>
      <c r="NG6" s="82"/>
      <c r="NH6" s="83"/>
      <c r="NI6" s="110" t="str">
        <f>IFERROR((((COUNTIF('Elève (6ème5)'!NF6:NH6,"A"))*4)+((COUNTIF('Elève (6ème5)'!NF6:NH6,"B"))*3)+((COUNTIF('Elève (6ème5)'!NF6:NH6,"C"))*2)+((COUNTIF('Elève (6ème5)'!NF6:NH6,"D"))*1))/(COUNTA(NF6:NH6)),"")</f>
        <v/>
      </c>
      <c r="NJ6" s="111" t="str">
        <f t="shared" si="86"/>
        <v/>
      </c>
      <c r="NK6" s="179" t="str">
        <f>IF(COUNT(MY6,ND6,NI6)=0,"",SUM(MY6,ND6,NI6)/COUNT(MY6,ND6,NI6))</f>
        <v/>
      </c>
      <c r="NL6" s="132" t="str">
        <f t="shared" si="87"/>
        <v/>
      </c>
      <c r="NM6" s="156"/>
      <c r="NN6" s="157"/>
      <c r="NO6" s="158"/>
      <c r="NP6" s="110" t="str">
        <f>IFERROR((((COUNTIF('Elève (6ème5)'!NM6:NO6,"A"))*4)+((COUNTIF('Elève (6ème5)'!NM6:NO6,"B"))*3)+((COUNTIF('Elève (6ème5)'!NM6:NO6,"C"))*2)+((COUNTIF('Elève (6ème5)'!NM6:NO6,"D"))*1))/(COUNTA(NM6:NO6)),"")</f>
        <v/>
      </c>
      <c r="NQ6" s="111" t="str">
        <f t="shared" si="88"/>
        <v/>
      </c>
      <c r="NR6" s="81"/>
      <c r="NS6" s="82"/>
      <c r="NT6" s="83"/>
      <c r="NU6" s="110" t="str">
        <f>IFERROR((((COUNTIF('Elève (6ème5)'!NR6:NT6,"A"))*4)+((COUNTIF('Elève (6ème5)'!NR6:NT6,"B"))*3)+((COUNTIF('Elève (6ème5)'!NR6:NT6,"C"))*2)+((COUNTIF('Elève (6ème5)'!NR6:NT6,"D"))*1))/(COUNTA(NR6:NT6)),"")</f>
        <v/>
      </c>
      <c r="NV6" s="111" t="str">
        <f t="shared" si="89"/>
        <v/>
      </c>
      <c r="NW6" s="81"/>
      <c r="NX6" s="82"/>
      <c r="NY6" s="83"/>
      <c r="NZ6" s="110" t="str">
        <f>IFERROR((((COUNTIF('Elève (6ème5)'!NW6:NY6,"A"))*4)+((COUNTIF('Elève (6ème5)'!NW6:NY6,"B"))*3)+((COUNTIF('Elève (6ème5)'!NW6:NY6,"C"))*2)+((COUNTIF('Elève (6ème5)'!NW6:NY6,"D"))*1))/(COUNTA(NW6:NY6)),"")</f>
        <v/>
      </c>
      <c r="OA6" s="111" t="str">
        <f t="shared" si="90"/>
        <v/>
      </c>
      <c r="OB6" s="179" t="str">
        <f>IF(COUNT(NP6,NU6,NZ6)=0,"",SUM(NP6,NU6,NZ6)/COUNT(NP6,NU6,NZ6))</f>
        <v/>
      </c>
      <c r="OC6" s="132" t="str">
        <f t="shared" si="91"/>
        <v/>
      </c>
      <c r="OD6" s="156"/>
      <c r="OE6" s="157"/>
      <c r="OF6" s="158"/>
      <c r="OG6" s="110" t="str">
        <f>IFERROR((((COUNTIF('Elève (6ème5)'!OD6:OF6,"A"))*4)+((COUNTIF('Elève (6ème5)'!OD6:OF6,"B"))*3)+((COUNTIF('Elève (6ème5)'!OD6:OF6,"C"))*2)+((COUNTIF('Elève (6ème5)'!OD6:OF6,"D"))*1))/(COUNTA(OD6:OF6)),"")</f>
        <v/>
      </c>
      <c r="OH6" s="111" t="str">
        <f t="shared" si="92"/>
        <v/>
      </c>
      <c r="OI6" s="81"/>
      <c r="OJ6" s="82"/>
      <c r="OK6" s="83"/>
      <c r="OL6" s="110" t="str">
        <f>IFERROR((((COUNTIF('Elève (6ème5)'!OI6:OK6,"A"))*4)+((COUNTIF('Elève (6ème5)'!OI6:OK6,"B"))*3)+((COUNTIF('Elève (6ème5)'!OI6:OK6,"C"))*2)+((COUNTIF('Elève (6ème5)'!OI6:OK6,"D"))*1))/(COUNTA(OI6:OK6)),"")</f>
        <v/>
      </c>
      <c r="OM6" s="111" t="str">
        <f t="shared" si="93"/>
        <v/>
      </c>
      <c r="ON6" s="81"/>
      <c r="OO6" s="82"/>
      <c r="OP6" s="83"/>
      <c r="OQ6" s="110" t="str">
        <f>IFERROR((((COUNTIF('Elève (6ème5)'!ON6:OP6,"A"))*4)+((COUNTIF('Elève (6ème5)'!ON6:OP6,"B"))*3)+((COUNTIF('Elève (6ème5)'!ON6:OP6,"C"))*2)+((COUNTIF('Elève (6ème5)'!ON6:OP6,"D"))*1))/(COUNTA(ON6:OP6)),"")</f>
        <v/>
      </c>
      <c r="OR6" s="111" t="str">
        <f t="shared" si="94"/>
        <v/>
      </c>
      <c r="OS6" s="179" t="str">
        <f>IF(COUNT(OG6,OL6,OQ6)=0,"",SUM(OG6,OL6,OQ6)/COUNT(OG6,OL6,OQ6))</f>
        <v/>
      </c>
      <c r="OT6" s="132" t="str">
        <f t="shared" si="95"/>
        <v/>
      </c>
      <c r="OU6" s="156"/>
      <c r="OV6" s="157"/>
      <c r="OW6" s="158"/>
      <c r="OX6" s="110" t="str">
        <f>IFERROR((((COUNTIF('Elève (6ème5)'!OU6:OW6,"A"))*4)+((COUNTIF('Elève (6ème5)'!OU6:OW6,"B"))*3)+((COUNTIF('Elève (6ème5)'!OU6:OW6,"C"))*2)+((COUNTIF('Elève (6ème5)'!OU6:OW6,"D"))*1))/(COUNTA(OU6:OW6)),"")</f>
        <v/>
      </c>
      <c r="OY6" s="111" t="str">
        <f t="shared" si="96"/>
        <v/>
      </c>
      <c r="OZ6" s="81"/>
      <c r="PA6" s="82"/>
      <c r="PB6" s="83"/>
      <c r="PC6" s="110" t="str">
        <f>IFERROR((((COUNTIF('Elève (6ème5)'!OZ6:PB6,"A"))*4)+((COUNTIF('Elève (6ème5)'!OZ6:PB6,"B"))*3)+((COUNTIF('Elève (6ème5)'!OZ6:PB6,"C"))*2)+((COUNTIF('Elève (6ème5)'!OZ6:PB6,"D"))*1))/(COUNTA(OZ6:PB6)),"")</f>
        <v/>
      </c>
      <c r="PD6" s="111" t="str">
        <f t="shared" si="97"/>
        <v/>
      </c>
      <c r="PE6" s="81"/>
      <c r="PF6" s="82"/>
      <c r="PG6" s="83"/>
      <c r="PH6" s="110" t="str">
        <f>IFERROR((((COUNTIF('Elève (6ème5)'!PE6:PG6,"A"))*4)+((COUNTIF('Elève (6ème5)'!PE6:PG6,"B"))*3)+((COUNTIF('Elève (6ème5)'!PE6:PG6,"C"))*2)+((COUNTIF('Elève (6ème5)'!PE6:PG6,"D"))*1))/(COUNTA(PE6:PG6)),"")</f>
        <v/>
      </c>
      <c r="PI6" s="111" t="str">
        <f t="shared" si="98"/>
        <v/>
      </c>
      <c r="PJ6" s="179" t="str">
        <f>IF(COUNT(OX6,PC6,PH6)=0,"",SUM(OX6,PC6,PH6)/COUNT(OX6,PC6,PH6))</f>
        <v/>
      </c>
      <c r="PK6" s="132" t="str">
        <f t="shared" si="99"/>
        <v/>
      </c>
      <c r="PL6" s="156"/>
      <c r="PM6" s="157"/>
      <c r="PN6" s="158"/>
      <c r="PO6" s="110" t="str">
        <f>IFERROR((((COUNTIF('Elève (6ème5)'!PL6:PN6,"A"))*4)+((COUNTIF('Elève (6ème5)'!PL6:PN6,"B"))*3)+((COUNTIF('Elève (6ème5)'!PL6:PN6,"C"))*2)+((COUNTIF('Elève (6ème5)'!PL6:PN6,"D"))*1))/(COUNTA(PL6:PN6)),"")</f>
        <v/>
      </c>
      <c r="PP6" s="111" t="str">
        <f t="shared" si="100"/>
        <v/>
      </c>
      <c r="PQ6" s="81"/>
      <c r="PR6" s="82"/>
      <c r="PS6" s="83"/>
      <c r="PT6" s="110" t="str">
        <f>IFERROR((((COUNTIF('Elève (6ème5)'!PQ6:PS6,"A"))*4)+((COUNTIF('Elève (6ème5)'!PQ6:PS6,"B"))*3)+((COUNTIF('Elève (6ème5)'!PQ6:PS6,"C"))*2)+((COUNTIF('Elève (6ème5)'!PQ6:PS6,"D"))*1))/(COUNTA(PQ6:PS6)),"")</f>
        <v/>
      </c>
      <c r="PU6" s="111" t="str">
        <f t="shared" si="101"/>
        <v/>
      </c>
      <c r="PV6" s="81"/>
      <c r="PW6" s="82"/>
      <c r="PX6" s="83"/>
      <c r="PY6" s="110" t="str">
        <f>IFERROR((((COUNTIF('Elève (6ème5)'!PV6:PX6,"A"))*4)+((COUNTIF('Elève (6ème5)'!PV6:PX6,"B"))*3)+((COUNTIF('Elève (6ème5)'!PV6:PX6,"C"))*2)+((COUNTIF('Elève (6ème5)'!PV6:PX6,"D"))*1))/(COUNTA(PV6:PX6)),"")</f>
        <v/>
      </c>
      <c r="PZ6" s="111" t="str">
        <f t="shared" si="102"/>
        <v/>
      </c>
      <c r="QA6" s="179" t="str">
        <f>IF(COUNT(PO6,PT6,PY6)=0,"",SUM(PO6,PT6,PY6)/COUNT(PO6,PT6,PY6))</f>
        <v/>
      </c>
      <c r="QB6" s="132" t="str">
        <f t="shared" si="103"/>
        <v/>
      </c>
      <c r="QC6" s="156"/>
      <c r="QD6" s="157"/>
      <c r="QE6" s="158"/>
      <c r="QF6" s="110" t="str">
        <f>IFERROR((((COUNTIF('Elève (6ème5)'!QC6:QE6,"A"))*4)+((COUNTIF('Elève (6ème5)'!QC6:QE6,"B"))*3)+((COUNTIF('Elève (6ème5)'!QC6:QE6,"C"))*2)+((COUNTIF('Elève (6ème5)'!QC6:QE6,"D"))*1))/(COUNTA(QC6:QE6)),"")</f>
        <v/>
      </c>
      <c r="QG6" s="111" t="str">
        <f t="shared" si="104"/>
        <v/>
      </c>
      <c r="QH6" s="81"/>
      <c r="QI6" s="82"/>
      <c r="QJ6" s="83"/>
      <c r="QK6" s="110" t="str">
        <f>IFERROR((((COUNTIF('Elève (6ème5)'!QH6:QJ6,"A"))*4)+((COUNTIF('Elève (6ème5)'!QH6:QJ6,"B"))*3)+((COUNTIF('Elève (6ème5)'!QH6:QJ6,"C"))*2)+((COUNTIF('Elève (6ème5)'!QH6:QJ6,"D"))*1))/(COUNTA(QH6:QJ6)),"")</f>
        <v/>
      </c>
      <c r="QL6" s="111" t="str">
        <f t="shared" si="105"/>
        <v/>
      </c>
      <c r="QM6" s="81"/>
      <c r="QN6" s="82"/>
      <c r="QO6" s="83"/>
      <c r="QP6" s="110" t="str">
        <f>IFERROR((((COUNTIF('Elève (6ème5)'!QM6:QO6,"A"))*4)+((COUNTIF('Elève (6ème5)'!QM6:QO6,"B"))*3)+((COUNTIF('Elève (6ème5)'!QM6:QO6,"C"))*2)+((COUNTIF('Elève (6ème5)'!QM6:QO6,"D"))*1))/(COUNTA(QM6:QO6)),"")</f>
        <v/>
      </c>
      <c r="QQ6" s="111" t="str">
        <f t="shared" si="106"/>
        <v/>
      </c>
      <c r="QR6" s="179" t="str">
        <f>IF(COUNT(QF6,QK6,QP6)=0,"",SUM(QF6,QK6,QP6)/COUNT(QF6,QK6,QP6))</f>
        <v/>
      </c>
      <c r="QS6" s="132" t="str">
        <f t="shared" si="107"/>
        <v/>
      </c>
      <c r="QT6" s="156"/>
      <c r="QU6" s="157"/>
      <c r="QV6" s="158"/>
      <c r="QW6" s="110" t="str">
        <f>IFERROR((((COUNTIF('Elève (6ème5)'!QT6:QV6,"A"))*4)+((COUNTIF('Elève (6ème5)'!QT6:QV6,"B"))*3)+((COUNTIF('Elève (6ème5)'!QT6:QV6,"C"))*2)+((COUNTIF('Elève (6ème5)'!QT6:QV6,"D"))*1))/(COUNTA(QT6:QV6)),"")</f>
        <v/>
      </c>
      <c r="QX6" s="111" t="str">
        <f t="shared" si="108"/>
        <v/>
      </c>
      <c r="QY6" s="81"/>
      <c r="QZ6" s="82"/>
      <c r="RA6" s="83"/>
      <c r="RB6" s="110" t="str">
        <f>IFERROR((((COUNTIF('Elève (6ème5)'!QY6:RA6,"A"))*4)+((COUNTIF('Elève (6ème5)'!QY6:RA6,"B"))*3)+((COUNTIF('Elève (6ème5)'!QY6:RA6,"C"))*2)+((COUNTIF('Elève (6ème5)'!QY6:RA6,"D"))*1))/(COUNTA(QY6:RA6)),"")</f>
        <v/>
      </c>
      <c r="RC6" s="111" t="str">
        <f t="shared" si="109"/>
        <v/>
      </c>
      <c r="RD6" s="81"/>
      <c r="RE6" s="82"/>
      <c r="RF6" s="83"/>
      <c r="RG6" s="110" t="str">
        <f>IFERROR((((COUNTIF('Elève (6ème5)'!RD6:RF6,"A"))*4)+((COUNTIF('Elève (6ème5)'!RD6:RF6,"B"))*3)+((COUNTIF('Elève (6ème5)'!RD6:RF6,"C"))*2)+((COUNTIF('Elève (6ème5)'!RD6:RF6,"D"))*1))/(COUNTA(RD6:RF6)),"")</f>
        <v/>
      </c>
      <c r="RH6" s="111" t="str">
        <f t="shared" si="110"/>
        <v/>
      </c>
      <c r="RI6" s="179" t="str">
        <f>IF(COUNT(QW6,RB6,RG6)=0,"",SUM(QW6,RB6,RG6)/COUNT(QW6,RB6,RG6))</f>
        <v/>
      </c>
      <c r="RJ6" s="132" t="str">
        <f t="shared" si="111"/>
        <v/>
      </c>
      <c r="RK6" s="156"/>
      <c r="RL6" s="157"/>
      <c r="RM6" s="158"/>
      <c r="RN6" s="110" t="str">
        <f>IFERROR((((COUNTIF('Elève (6ème5)'!RK6:RM6,"A"))*4)+((COUNTIF('Elève (6ème5)'!RK6:RM6,"B"))*3)+((COUNTIF('Elève (6ème5)'!RK6:RM6,"C"))*2)+((COUNTIF('Elève (6ème5)'!RK6:RM6,"D"))*1))/(COUNTA(RK6:RM6)),"")</f>
        <v/>
      </c>
      <c r="RO6" s="111" t="str">
        <f t="shared" si="112"/>
        <v/>
      </c>
      <c r="RP6" s="81"/>
      <c r="RQ6" s="82"/>
      <c r="RR6" s="83"/>
      <c r="RS6" s="110" t="str">
        <f>IFERROR((((COUNTIF('Elève (6ème5)'!RP6:RR6,"A"))*4)+((COUNTIF('Elève (6ème5)'!RP6:RR6,"B"))*3)+((COUNTIF('Elève (6ème5)'!RP6:RR6,"C"))*2)+((COUNTIF('Elève (6ème5)'!RP6:RR6,"D"))*1))/(COUNTA(RP6:RR6)),"")</f>
        <v/>
      </c>
      <c r="RT6" s="111" t="str">
        <f t="shared" si="113"/>
        <v/>
      </c>
      <c r="RU6" s="81"/>
      <c r="RV6" s="82"/>
      <c r="RW6" s="83"/>
      <c r="RX6" s="110" t="str">
        <f>IFERROR((((COUNTIF('Elève (6ème5)'!RU6:RW6,"A"))*4)+((COUNTIF('Elève (6ème5)'!RU6:RW6,"B"))*3)+((COUNTIF('Elève (6ème5)'!RU6:RW6,"C"))*2)+((COUNTIF('Elève (6ème5)'!RU6:RW6,"D"))*1))/(COUNTA(RU6:RW6)),"")</f>
        <v/>
      </c>
      <c r="RY6" s="111" t="str">
        <f t="shared" si="114"/>
        <v/>
      </c>
      <c r="RZ6" s="179" t="str">
        <f>IF(COUNT(RN6,RS6,RX6)=0,"",SUM(RN6,RS6,RX6)/COUNT(RN6,RS6,RX6))</f>
        <v/>
      </c>
      <c r="SA6" s="132" t="str">
        <f t="shared" si="115"/>
        <v/>
      </c>
      <c r="SB6" s="156"/>
      <c r="SC6" s="157"/>
      <c r="SD6" s="158"/>
      <c r="SE6" s="110" t="str">
        <f>IFERROR((((COUNTIF('Elève (6ème5)'!SB6:SD6,"A"))*4)+((COUNTIF('Elève (6ème5)'!SB6:SD6,"B"))*3)+((COUNTIF('Elève (6ème5)'!SB6:SD6,"C"))*2)+((COUNTIF('Elève (6ème5)'!SB6:SD6,"D"))*1))/(COUNTA(SB6:SD6)),"")</f>
        <v/>
      </c>
      <c r="SF6" s="111" t="str">
        <f t="shared" si="116"/>
        <v/>
      </c>
      <c r="SG6" s="81"/>
      <c r="SH6" s="82"/>
      <c r="SI6" s="83"/>
      <c r="SJ6" s="110" t="str">
        <f>IFERROR((((COUNTIF('Elève (6ème5)'!SG6:SI6,"A"))*4)+((COUNTIF('Elève (6ème5)'!SG6:SI6,"B"))*3)+((COUNTIF('Elève (6ème5)'!SG6:SI6,"C"))*2)+((COUNTIF('Elève (6ème5)'!SG6:SI6,"D"))*1))/(COUNTA(SG6:SI6)),"")</f>
        <v/>
      </c>
      <c r="SK6" s="111" t="str">
        <f t="shared" si="117"/>
        <v/>
      </c>
      <c r="SL6" s="81"/>
      <c r="SM6" s="82"/>
      <c r="SN6" s="83"/>
      <c r="SO6" s="110" t="str">
        <f>IFERROR((((COUNTIF('Elève (6ème5)'!SL6:SN6,"A"))*4)+((COUNTIF('Elève (6ème5)'!SL6:SN6,"B"))*3)+((COUNTIF('Elève (6ème5)'!SL6:SN6,"C"))*2)+((COUNTIF('Elève (6ème5)'!SL6:SN6,"D"))*1))/(COUNTA(SL6:SN6)),"")</f>
        <v/>
      </c>
      <c r="SP6" s="111" t="str">
        <f t="shared" si="118"/>
        <v/>
      </c>
      <c r="SQ6" s="179" t="str">
        <f>IF(COUNT(SE6,SJ6,SO6)=0,"",SUM(SE6,SJ6,SO6)/COUNT(SE6,SJ6,SO6))</f>
        <v/>
      </c>
      <c r="SR6" s="132" t="str">
        <f t="shared" si="119"/>
        <v/>
      </c>
    </row>
    <row r="7" spans="1:512" s="87" customFormat="1" ht="17.25" customHeight="1" thickBot="1" x14ac:dyDescent="0.3">
      <c r="A7" s="95" t="s">
        <v>14</v>
      </c>
      <c r="B7" s="76">
        <v>1</v>
      </c>
      <c r="C7" s="162"/>
      <c r="D7" s="189"/>
      <c r="E7" s="189"/>
      <c r="F7" s="106">
        <f>IFERROR((((COUNTIF('Elève (6ème5)'!C8:E11,"A"))*4)+((COUNTIF('Elève (6ème5)'!C8:E11,"B"))*3)+((COUNTIF('Elève (6ème5)'!C8:E11,"C"))*2)+((COUNTIF('Elève (6ème5)'!C8:E11,"D"))*1))/(COUNTA(C8:E11)),"")</f>
        <v>3</v>
      </c>
      <c r="G7" s="107" t="str">
        <f t="shared" si="0"/>
        <v>B</v>
      </c>
      <c r="H7" s="100"/>
      <c r="I7" s="187"/>
      <c r="J7" s="188"/>
      <c r="K7" s="106" t="str">
        <f>IFERROR((((COUNTIF('Elève (6ème5)'!H8:J11,"A"))*4)+((COUNTIF('Elève (6ème5)'!H8:J11,"B"))*3)+((COUNTIF('Elève (6ème5)'!H8:J11,"C"))*2)+((COUNTIF('Elève (6ème5)'!H8:J11,"D"))*1))/(COUNTA(H8:J11)),"")</f>
        <v/>
      </c>
      <c r="L7" s="121" t="str">
        <f t="shared" si="1"/>
        <v/>
      </c>
      <c r="M7" s="100"/>
      <c r="N7" s="187"/>
      <c r="O7" s="188"/>
      <c r="P7" s="106" t="str">
        <f>IFERROR((((COUNTIF('Elève (6ème5)'!M8:O11,"A"))*4)+((COUNTIF('Elève (6ème5)'!M8:O11,"B"))*3)+((COUNTIF('Elève (6ème5)'!M8:O11,"C"))*2)+((COUNTIF('Elève (6ème5)'!M8:O11,"D"))*1))/(COUNTA(M8:O11)),"")</f>
        <v/>
      </c>
      <c r="Q7" s="128" t="str">
        <f t="shared" si="2"/>
        <v/>
      </c>
      <c r="R7" s="177">
        <f>IFERROR((((COUNTIF(C8:E11,"A")+COUNTIF(H8:J11,"A")+COUNTIF(M8:O11,"A"))*4)+((COUNTIF(C8:E11,"B")+COUNTIF(H8:J11,"B")+COUNTIF(M8:O11,"B"))*3)+((COUNTIF(C8:E11,"C")+COUNTIF(H8:J11,"C")+COUNTIF(M8:O11,"C"))*2)+((COUNTIF(C8:E11,"D")+COUNTIF(H8:J11,"D")+COUNTIF(M8:O11,"D"))*1))/(COUNTA(C8:E11)+COUNTA(H8:J11)+COUNTA(M8:O11)),"")</f>
        <v>3</v>
      </c>
      <c r="S7" s="130" t="str">
        <f t="shared" si="3"/>
        <v>B</v>
      </c>
      <c r="T7" s="162"/>
      <c r="U7" s="189"/>
      <c r="V7" s="189"/>
      <c r="W7" s="106">
        <f>IFERROR((((COUNTIF('Elève (6ème5)'!T8:V11,"A"))*4)+((COUNTIF('Elève (6ème5)'!T8:V11,"B"))*3)+((COUNTIF('Elève (6ème5)'!T8:V11,"C"))*2)+((COUNTIF('Elève (6ème5)'!T8:V11,"D"))*1))/(COUNTA(T8:V11)),"")</f>
        <v>1.5</v>
      </c>
      <c r="X7" s="107" t="str">
        <f t="shared" si="4"/>
        <v>D</v>
      </c>
      <c r="Y7" s="100"/>
      <c r="Z7" s="187"/>
      <c r="AA7" s="188"/>
      <c r="AB7" s="106" t="str">
        <f>IFERROR((((COUNTIF('Elève (6ème5)'!Y8:AA11,"A"))*4)+((COUNTIF('Elève (6ème5)'!Y8:AA11,"B"))*3)+((COUNTIF('Elève (6ème5)'!Y8:AA11,"C"))*2)+((COUNTIF('Elève (6ème5)'!Y8:AA11,"D"))*1))/(COUNTA(Y8:AA11)),"")</f>
        <v/>
      </c>
      <c r="AC7" s="121" t="str">
        <f t="shared" si="5"/>
        <v/>
      </c>
      <c r="AD7" s="100"/>
      <c r="AE7" s="187"/>
      <c r="AF7" s="188"/>
      <c r="AG7" s="106" t="str">
        <f>IFERROR((((COUNTIF('Elève (6ème5)'!AD8:AF11,"A"))*4)+((COUNTIF('Elève (6ème5)'!AD8:AF11,"B"))*3)+((COUNTIF('Elève (6ème5)'!AD8:AF11,"C"))*2)+((COUNTIF('Elève (6ème5)'!AD8:AF11,"D"))*1))/(COUNTA(AD8:AF11)),"")</f>
        <v/>
      </c>
      <c r="AH7" s="128" t="str">
        <f t="shared" si="6"/>
        <v/>
      </c>
      <c r="AI7" s="177">
        <f>IFERROR((((COUNTIF(T8:V11,"A")+COUNTIF(Y8:AA11,"A")+COUNTIF(AD8:AF11,"A"))*4)+((COUNTIF(T8:V11,"B")+COUNTIF(Y8:AA11,"B")+COUNTIF(AD8:AF11,"B"))*3)+((COUNTIF(T8:V11,"C")+COUNTIF(Y8:AA11,"C")+COUNTIF(AD8:AF11,"C"))*2)+((COUNTIF(T8:V11,"D")+COUNTIF(Y8:AA11,"D")+COUNTIF(AD8:AF11,"D"))*1))/(COUNTA(T8:V11)+COUNTA(Y8:AA11)+COUNTA(AD8:AF11)),"")</f>
        <v>1.5</v>
      </c>
      <c r="AJ7" s="130" t="str">
        <f t="shared" si="7"/>
        <v>D</v>
      </c>
      <c r="AK7" s="162"/>
      <c r="AL7" s="189"/>
      <c r="AM7" s="189"/>
      <c r="AN7" s="106">
        <f>IFERROR((((COUNTIF('Elève (6ème5)'!AK8:AM11,"A"))*4)+((COUNTIF('Elève (6ème5)'!AK8:AM11,"B"))*3)+((COUNTIF('Elève (6ème5)'!AK8:AM11,"C"))*2)+((COUNTIF('Elève (6ème5)'!AK8:AM11,"D"))*1))/(COUNTA(AK8:AM11)),"")</f>
        <v>3.5</v>
      </c>
      <c r="AO7" s="107" t="str">
        <f t="shared" si="8"/>
        <v>B</v>
      </c>
      <c r="AP7" s="100"/>
      <c r="AQ7" s="187"/>
      <c r="AR7" s="188"/>
      <c r="AS7" s="106" t="str">
        <f>IFERROR((((COUNTIF('Elève (6ème5)'!AP8:AR11,"A"))*4)+((COUNTIF('Elève (6ème5)'!AP8:AR11,"B"))*3)+((COUNTIF('Elève (6ème5)'!AP8:AR11,"C"))*2)+((COUNTIF('Elève (6ème5)'!AP8:AR11,"D"))*1))/(COUNTA(AP8:AR11)),"")</f>
        <v/>
      </c>
      <c r="AT7" s="121" t="str">
        <f t="shared" si="9"/>
        <v/>
      </c>
      <c r="AU7" s="100"/>
      <c r="AV7" s="187"/>
      <c r="AW7" s="188"/>
      <c r="AX7" s="106" t="str">
        <f>IFERROR((((COUNTIF('Elève (6ème5)'!AU8:AW11,"A"))*4)+((COUNTIF('Elève (6ème5)'!AU8:AW11,"B"))*3)+((COUNTIF('Elève (6ème5)'!AU8:AW11,"C"))*2)+((COUNTIF('Elève (6ème5)'!AU8:AW11,"D"))*1))/(COUNTA(AU8:AW11)),"")</f>
        <v/>
      </c>
      <c r="AY7" s="128" t="str">
        <f t="shared" si="10"/>
        <v/>
      </c>
      <c r="AZ7" s="177">
        <f>IFERROR((((COUNTIF(AK8:AM11,"A")+COUNTIF(AP8:AR11,"A")+COUNTIF(AU8:AW11,"A"))*4)+((COUNTIF(AK8:AM11,"B")+COUNTIF(AP8:AR11,"B")+COUNTIF(AU8:AW11,"B"))*3)+((COUNTIF(AK8:AM11,"C")+COUNTIF(AP8:AR11,"C")+COUNTIF(AU8:AW11,"C"))*2)+((COUNTIF(AK8:AM11,"D")+COUNTIF(AP8:AR11,"D")+COUNTIF(AU8:AW11,"D"))*1))/(COUNTA(AK8:AM11)+COUNTA(AP8:AR11)+COUNTA(AU8:AW11)),"")</f>
        <v>3.5</v>
      </c>
      <c r="BA7" s="130" t="str">
        <f t="shared" si="11"/>
        <v>B</v>
      </c>
      <c r="BB7" s="162"/>
      <c r="BC7" s="189"/>
      <c r="BD7" s="189"/>
      <c r="BE7" s="106">
        <f>IFERROR((((COUNTIF('Elève (6ème5)'!BB8:BD11,"A"))*4)+((COUNTIF('Elève (6ème5)'!BB8:BD11,"B"))*3)+((COUNTIF('Elève (6ème5)'!BB8:BD11,"C"))*2)+((COUNTIF('Elève (6ème5)'!BB8:BD11,"D"))*1))/(COUNTA(BB8:BD11)),"")</f>
        <v>2</v>
      </c>
      <c r="BF7" s="107" t="str">
        <f t="shared" si="12"/>
        <v>C</v>
      </c>
      <c r="BG7" s="100"/>
      <c r="BH7" s="187"/>
      <c r="BI7" s="188"/>
      <c r="BJ7" s="106" t="str">
        <f>IFERROR((((COUNTIF('Elève (6ème5)'!BG8:BI11,"A"))*4)+((COUNTIF('Elève (6ème5)'!BG8:BI11,"B"))*3)+((COUNTIF('Elève (6ème5)'!BG8:BI11,"C"))*2)+((COUNTIF('Elève (6ème5)'!BG8:BI11,"D"))*1))/(COUNTA(BG8:BI11)),"")</f>
        <v/>
      </c>
      <c r="BK7" s="121" t="str">
        <f t="shared" si="13"/>
        <v/>
      </c>
      <c r="BL7" s="100"/>
      <c r="BM7" s="187"/>
      <c r="BN7" s="188"/>
      <c r="BO7" s="106" t="str">
        <f>IFERROR((((COUNTIF('Elève (6ème5)'!BL8:BN11,"A"))*4)+((COUNTIF('Elève (6ème5)'!BL8:BN11,"B"))*3)+((COUNTIF('Elève (6ème5)'!BL8:BN11,"C"))*2)+((COUNTIF('Elève (6ème5)'!BL8:BN11,"D"))*1))/(COUNTA(BL8:BN11)),"")</f>
        <v/>
      </c>
      <c r="BP7" s="128" t="str">
        <f t="shared" si="14"/>
        <v/>
      </c>
      <c r="BQ7" s="177">
        <f>IFERROR((((COUNTIF(BB8:BD11,"A")+COUNTIF(BG8:BI11,"A")+COUNTIF(BL8:BN11,"A"))*4)+((COUNTIF(BB8:BD11,"B")+COUNTIF(BG8:BI11,"B")+COUNTIF(BL8:BN11,"B"))*3)+((COUNTIF(BB8:BD11,"C")+COUNTIF(BG8:BI11,"C")+COUNTIF(BL8:BN11,"C"))*2)+((COUNTIF(BB8:BD11,"D")+COUNTIF(BG8:BI11,"D")+COUNTIF(BL8:BN11,"D"))*1))/(COUNTA(BB8:BD11)+COUNTA(BG8:BI11)+COUNTA(BL8:BN11)),"")</f>
        <v>2</v>
      </c>
      <c r="BR7" s="130" t="str">
        <f t="shared" si="15"/>
        <v>C</v>
      </c>
      <c r="BS7" s="162"/>
      <c r="BT7" s="189"/>
      <c r="BU7" s="189"/>
      <c r="BV7" s="106">
        <f>IFERROR((((COUNTIF('Elève (6ème5)'!BS8:BU11,"A"))*4)+((COUNTIF('Elève (6ème5)'!BS8:BU11,"B"))*3)+((COUNTIF('Elève (6ème5)'!BS8:BU11,"C"))*2)+((COUNTIF('Elève (6ème5)'!BS8:BU11,"D"))*1))/(COUNTA(BS8:BU11)),"")</f>
        <v>3</v>
      </c>
      <c r="BW7" s="107" t="str">
        <f t="shared" si="16"/>
        <v>B</v>
      </c>
      <c r="BX7" s="100"/>
      <c r="BY7" s="187"/>
      <c r="BZ7" s="188"/>
      <c r="CA7" s="106" t="str">
        <f>IFERROR((((COUNTIF('Elève (6ème5)'!BX8:BZ11,"A"))*4)+((COUNTIF('Elève (6ème5)'!BX8:BZ11,"B"))*3)+((COUNTIF('Elève (6ème5)'!BX8:BZ11,"C"))*2)+((COUNTIF('Elève (6ème5)'!BX8:BZ11,"D"))*1))/(COUNTA(BX8:BZ11)),"")</f>
        <v/>
      </c>
      <c r="CB7" s="121" t="str">
        <f t="shared" si="17"/>
        <v/>
      </c>
      <c r="CC7" s="100"/>
      <c r="CD7" s="187"/>
      <c r="CE7" s="188"/>
      <c r="CF7" s="106" t="str">
        <f>IFERROR((((COUNTIF('Elève (6ème5)'!CC8:CE11,"A"))*4)+((COUNTIF('Elève (6ème5)'!CC8:CE11,"B"))*3)+((COUNTIF('Elève (6ème5)'!CC8:CE11,"C"))*2)+((COUNTIF('Elève (6ème5)'!CC8:CE11,"D"))*1))/(COUNTA(CC8:CE11)),"")</f>
        <v/>
      </c>
      <c r="CG7" s="128" t="str">
        <f t="shared" si="18"/>
        <v/>
      </c>
      <c r="CH7" s="177">
        <f>IFERROR((((COUNTIF(BS8:BU11,"A")+COUNTIF(BX8:BZ11,"A")+COUNTIF(CC8:CE11,"A"))*4)+((COUNTIF(BS8:BU11,"B")+COUNTIF(BX8:BZ11,"B")+COUNTIF(CC8:CE11,"B"))*3)+((COUNTIF(BS8:BU11,"C")+COUNTIF(BX8:BZ11,"C")+COUNTIF(CC8:CE11,"C"))*2)+((COUNTIF(BS8:BU11,"D")+COUNTIF(BX8:BZ11,"D")+COUNTIF(CC8:CE11,"D"))*1))/(COUNTA(BS8:BU11)+COUNTA(BX8:BZ11)+COUNTA(CC8:CE11)),"")</f>
        <v>3</v>
      </c>
      <c r="CI7" s="130" t="str">
        <f t="shared" si="19"/>
        <v>B</v>
      </c>
      <c r="CJ7" s="162"/>
      <c r="CK7" s="189"/>
      <c r="CL7" s="189"/>
      <c r="CM7" s="106">
        <f>IFERROR((((COUNTIF('Elève (6ème5)'!CJ8:CL11,"A"))*4)+((COUNTIF('Elève (6ème5)'!CJ8:CL11,"B"))*3)+((COUNTIF('Elève (6ème5)'!CJ8:CL11,"C"))*2)+((COUNTIF('Elève (6ème5)'!CJ8:CL11,"D"))*1))/(COUNTA(CJ8:CL11)),"")</f>
        <v>2</v>
      </c>
      <c r="CN7" s="107" t="str">
        <f t="shared" si="20"/>
        <v>C</v>
      </c>
      <c r="CO7" s="100"/>
      <c r="CP7" s="187"/>
      <c r="CQ7" s="188"/>
      <c r="CR7" s="106" t="str">
        <f>IFERROR((((COUNTIF('Elève (6ème5)'!CO8:CQ11,"A"))*4)+((COUNTIF('Elève (6ème5)'!CO8:CQ11,"B"))*3)+((COUNTIF('Elève (6ème5)'!CO8:CQ11,"C"))*2)+((COUNTIF('Elève (6ème5)'!CO8:CQ11,"D"))*1))/(COUNTA(CO8:CQ11)),"")</f>
        <v/>
      </c>
      <c r="CS7" s="121" t="str">
        <f t="shared" si="21"/>
        <v/>
      </c>
      <c r="CT7" s="100"/>
      <c r="CU7" s="187"/>
      <c r="CV7" s="188"/>
      <c r="CW7" s="106" t="str">
        <f>IFERROR((((COUNTIF('Elève (6ème5)'!CT8:CV11,"A"))*4)+((COUNTIF('Elève (6ème5)'!CT8:CV11,"B"))*3)+((COUNTIF('Elève (6ème5)'!CT8:CV11,"C"))*2)+((COUNTIF('Elève (6ème5)'!CT8:CV11,"D"))*1))/(COUNTA(CT8:CV11)),"")</f>
        <v/>
      </c>
      <c r="CX7" s="128" t="str">
        <f t="shared" si="22"/>
        <v/>
      </c>
      <c r="CY7" s="177">
        <f>IFERROR((((COUNTIF(CJ8:CL11,"A")+COUNTIF(CO8:CQ11,"A")+COUNTIF(CT8:CV11,"A"))*4)+((COUNTIF(CJ8:CL11,"B")+COUNTIF(CO8:CQ11,"B")+COUNTIF(CT8:CV11,"B"))*3)+((COUNTIF(CJ8:CL11,"C")+COUNTIF(CO8:CQ11,"C")+COUNTIF(CT8:CV11,"C"))*2)+((COUNTIF(CJ8:CL11,"D")+COUNTIF(CO8:CQ11,"D")+COUNTIF(CT8:CV11,"D"))*1))/(COUNTA(CJ8:CL11)+COUNTA(CO8:CQ11)+COUNTA(CT8:CV11)),"")</f>
        <v>2</v>
      </c>
      <c r="CZ7" s="130" t="str">
        <f t="shared" si="23"/>
        <v>C</v>
      </c>
      <c r="DA7" s="162"/>
      <c r="DB7" s="189"/>
      <c r="DC7" s="189"/>
      <c r="DD7" s="106">
        <f>IFERROR((((COUNTIF('Elève (6ème5)'!DA8:DC11,"A"))*4)+((COUNTIF('Elève (6ème5)'!DA8:DC11,"B"))*3)+((COUNTIF('Elève (6ème5)'!DA8:DC11,"C"))*2)+((COUNTIF('Elève (6ème5)'!DA8:DC11,"D"))*1))/(COUNTA(DA8:DC11)),"")</f>
        <v>3.5</v>
      </c>
      <c r="DE7" s="107" t="str">
        <f t="shared" si="24"/>
        <v>B</v>
      </c>
      <c r="DF7" s="100"/>
      <c r="DG7" s="187"/>
      <c r="DH7" s="188"/>
      <c r="DI7" s="106" t="str">
        <f>IFERROR((((COUNTIF('Elève (6ème5)'!DF8:DH11,"A"))*4)+((COUNTIF('Elève (6ème5)'!DF8:DH11,"B"))*3)+((COUNTIF('Elève (6ème5)'!DF8:DH11,"C"))*2)+((COUNTIF('Elève (6ème5)'!DF8:DH11,"D"))*1))/(COUNTA(DF8:DH11)),"")</f>
        <v/>
      </c>
      <c r="DJ7" s="121" t="str">
        <f t="shared" si="25"/>
        <v/>
      </c>
      <c r="DK7" s="100"/>
      <c r="DL7" s="187"/>
      <c r="DM7" s="188"/>
      <c r="DN7" s="106" t="str">
        <f>IFERROR((((COUNTIF('Elève (6ème5)'!DK8:DM11,"A"))*4)+((COUNTIF('Elève (6ème5)'!DK8:DM11,"B"))*3)+((COUNTIF('Elève (6ème5)'!DK8:DM11,"C"))*2)+((COUNTIF('Elève (6ème5)'!DK8:DM11,"D"))*1))/(COUNTA(DK8:DM11)),"")</f>
        <v/>
      </c>
      <c r="DO7" s="128" t="str">
        <f t="shared" si="26"/>
        <v/>
      </c>
      <c r="DP7" s="177">
        <f>IFERROR((((COUNTIF(DA8:DC11,"A")+COUNTIF(DF8:DH11,"A")+COUNTIF(DK8:DM11,"A"))*4)+((COUNTIF(DA8:DC11,"B")+COUNTIF(DF8:DH11,"B")+COUNTIF(DK8:DM11,"B"))*3)+((COUNTIF(DA8:DC11,"C")+COUNTIF(DF8:DH11,"C")+COUNTIF(DK8:DM11,"C"))*2)+((COUNTIF(DA8:DC11,"D")+COUNTIF(DF8:DH11,"D")+COUNTIF(DK8:DM11,"D"))*1))/(COUNTA(DA8:DC11)+COUNTA(DF8:DH11)+COUNTA(DK8:DM11)),"")</f>
        <v>3.5</v>
      </c>
      <c r="DQ7" s="130" t="str">
        <f t="shared" si="27"/>
        <v>B</v>
      </c>
      <c r="DR7" s="162"/>
      <c r="DS7" s="189"/>
      <c r="DT7" s="189"/>
      <c r="DU7" s="106">
        <f>IFERROR((((COUNTIF('Elève (6ème5)'!DR8:DT11,"A"))*4)+((COUNTIF('Elève (6ème5)'!DR8:DT11,"B"))*3)+((COUNTIF('Elève (6ème5)'!DR8:DT11,"C"))*2)+((COUNTIF('Elève (6ème5)'!DR8:DT11,"D"))*1))/(COUNTA(DR8:DT11)),"")</f>
        <v>4</v>
      </c>
      <c r="DV7" s="107" t="str">
        <f t="shared" si="28"/>
        <v>A</v>
      </c>
      <c r="DW7" s="100"/>
      <c r="DX7" s="187"/>
      <c r="DY7" s="188"/>
      <c r="DZ7" s="106" t="str">
        <f>IFERROR((((COUNTIF('Elève (6ème5)'!DW8:DY11,"A"))*4)+((COUNTIF('Elève (6ème5)'!DW8:DY11,"B"))*3)+((COUNTIF('Elève (6ème5)'!DW8:DY11,"C"))*2)+((COUNTIF('Elève (6ème5)'!DW8:DY11,"D"))*1))/(COUNTA(DW8:DY11)),"")</f>
        <v/>
      </c>
      <c r="EA7" s="121" t="str">
        <f t="shared" si="29"/>
        <v/>
      </c>
      <c r="EB7" s="100"/>
      <c r="EC7" s="187"/>
      <c r="ED7" s="188"/>
      <c r="EE7" s="106" t="str">
        <f>IFERROR((((COUNTIF('Elève (6ème5)'!EB8:ED11,"A"))*4)+((COUNTIF('Elève (6ème5)'!EB8:ED11,"B"))*3)+((COUNTIF('Elève (6ème5)'!EB8:ED11,"C"))*2)+((COUNTIF('Elève (6ème5)'!EB8:ED11,"D"))*1))/(COUNTA(EB8:ED11)),"")</f>
        <v/>
      </c>
      <c r="EF7" s="128" t="str">
        <f t="shared" si="30"/>
        <v/>
      </c>
      <c r="EG7" s="177">
        <f>IFERROR((((COUNTIF(DR8:DT11,"A")+COUNTIF(DW8:DY11,"A")+COUNTIF(EB8:ED11,"A"))*4)+((COUNTIF(DR8:DT11,"B")+COUNTIF(DW8:DY11,"B")+COUNTIF(EB8:ED11,"B"))*3)+((COUNTIF(DR8:DT11,"C")+COUNTIF(DW8:DY11,"C")+COUNTIF(EB8:ED11,"C"))*2)+((COUNTIF(DR8:DT11,"D")+COUNTIF(DW8:DY11,"D")+COUNTIF(EB8:ED11,"D"))*1))/(COUNTA(DR8:DT11)+COUNTA(DW8:DY11)+COUNTA(EB8:ED11)),"")</f>
        <v>4</v>
      </c>
      <c r="EH7" s="130" t="str">
        <f t="shared" si="31"/>
        <v>A</v>
      </c>
      <c r="EI7" s="162"/>
      <c r="EJ7" s="189"/>
      <c r="EK7" s="189"/>
      <c r="EL7" s="106">
        <f>IFERROR((((COUNTIF('Elève (6ème5)'!EI8:EK11,"A"))*4)+((COUNTIF('Elève (6ème5)'!EI8:EK11,"B"))*3)+((COUNTIF('Elève (6ème5)'!EI8:EK11,"C"))*2)+((COUNTIF('Elève (6ème5)'!EI8:EK11,"D"))*1))/(COUNTA(EI8:EK11)),"")</f>
        <v>3.5</v>
      </c>
      <c r="EM7" s="107" t="str">
        <f t="shared" si="32"/>
        <v>B</v>
      </c>
      <c r="EN7" s="100"/>
      <c r="EO7" s="187"/>
      <c r="EP7" s="188"/>
      <c r="EQ7" s="106" t="str">
        <f>IFERROR((((COUNTIF('Elève (6ème5)'!EN8:EP11,"A"))*4)+((COUNTIF('Elève (6ème5)'!EN8:EP11,"B"))*3)+((COUNTIF('Elève (6ème5)'!EN8:EP11,"C"))*2)+((COUNTIF('Elève (6ème5)'!EN8:EP11,"D"))*1))/(COUNTA(EN8:EP11)),"")</f>
        <v/>
      </c>
      <c r="ER7" s="121" t="str">
        <f t="shared" si="33"/>
        <v/>
      </c>
      <c r="ES7" s="100"/>
      <c r="ET7" s="187"/>
      <c r="EU7" s="188"/>
      <c r="EV7" s="106" t="str">
        <f>IFERROR((((COUNTIF('Elève (6ème5)'!ES8:EU11,"A"))*4)+((COUNTIF('Elève (6ème5)'!ES8:EU11,"B"))*3)+((COUNTIF('Elève (6ème5)'!ES8:EU11,"C"))*2)+((COUNTIF('Elève (6ème5)'!ES8:EU11,"D"))*1))/(COUNTA(ES8:EU11)),"")</f>
        <v/>
      </c>
      <c r="EW7" s="128" t="str">
        <f t="shared" si="34"/>
        <v/>
      </c>
      <c r="EX7" s="177">
        <f>IFERROR((((COUNTIF(EI8:EK11,"A")+COUNTIF(EN8:EP11,"A")+COUNTIF(ES8:EU11,"A"))*4)+((COUNTIF(EI8:EK11,"B")+COUNTIF(EN8:EP11,"B")+COUNTIF(ES8:EU11,"B"))*3)+((COUNTIF(EI8:EK11,"C")+COUNTIF(EN8:EP11,"C")+COUNTIF(ES8:EU11,"C"))*2)+((COUNTIF(EI8:EK11,"D")+COUNTIF(EN8:EP11,"D")+COUNTIF(ES8:EU11,"D"))*1))/(COUNTA(EI8:EK11)+COUNTA(EN8:EP11)+COUNTA(ES8:EU11)),"")</f>
        <v>3.5</v>
      </c>
      <c r="EY7" s="130" t="str">
        <f t="shared" si="35"/>
        <v>B</v>
      </c>
      <c r="EZ7" s="162"/>
      <c r="FA7" s="189"/>
      <c r="FB7" s="189"/>
      <c r="FC7" s="106">
        <f>IFERROR((((COUNTIF('Elève (6ème5)'!EZ8:FB11,"A"))*4)+((COUNTIF('Elève (6ème5)'!EZ8:FB11,"B"))*3)+((COUNTIF('Elève (6ème5)'!EZ8:FB11,"C"))*2)+((COUNTIF('Elève (6ème5)'!EZ8:FB11,"D"))*1))/(COUNTA(EZ8:FB11)),"")</f>
        <v>3.5</v>
      </c>
      <c r="FD7" s="107" t="str">
        <f t="shared" si="36"/>
        <v>B</v>
      </c>
      <c r="FE7" s="100"/>
      <c r="FF7" s="187"/>
      <c r="FG7" s="188"/>
      <c r="FH7" s="106" t="str">
        <f>IFERROR((((COUNTIF('Elève (6ème5)'!FE8:FG11,"A"))*4)+((COUNTIF('Elève (6ème5)'!FE8:FG11,"B"))*3)+((COUNTIF('Elève (6ème5)'!FE8:FG11,"C"))*2)+((COUNTIF('Elève (6ème5)'!FE8:FG11,"D"))*1))/(COUNTA(FE8:FG11)),"")</f>
        <v/>
      </c>
      <c r="FI7" s="121" t="str">
        <f t="shared" si="37"/>
        <v/>
      </c>
      <c r="FJ7" s="100"/>
      <c r="FK7" s="187"/>
      <c r="FL7" s="188"/>
      <c r="FM7" s="106" t="str">
        <f>IFERROR((((COUNTIF('Elève (6ème5)'!FJ8:FL11,"A"))*4)+((COUNTIF('Elève (6ème5)'!FJ8:FL11,"B"))*3)+((COUNTIF('Elève (6ème5)'!FJ8:FL11,"C"))*2)+((COUNTIF('Elève (6ème5)'!FJ8:FL11,"D"))*1))/(COUNTA(FJ8:FL11)),"")</f>
        <v/>
      </c>
      <c r="FN7" s="128" t="str">
        <f t="shared" si="38"/>
        <v/>
      </c>
      <c r="FO7" s="177">
        <f>IFERROR((((COUNTIF(EZ8:FB11,"A")+COUNTIF(FE8:FG11,"A")+COUNTIF(FJ8:FL11,"A"))*4)+((COUNTIF(EZ8:FB11,"B")+COUNTIF(FE8:FG11,"B")+COUNTIF(FJ8:FL11,"B"))*3)+((COUNTIF(EZ8:FB11,"C")+COUNTIF(FE8:FG11,"C")+COUNTIF(FJ8:FL11,"C"))*2)+((COUNTIF(EZ8:FB11,"D")+COUNTIF(FE8:FG11,"D")+COUNTIF(FJ8:FL11,"D"))*1))/(COUNTA(EZ8:FB11)+COUNTA(FE8:FG11)+COUNTA(FJ8:FL11)),"")</f>
        <v>3.5</v>
      </c>
      <c r="FP7" s="130" t="str">
        <f t="shared" si="39"/>
        <v>B</v>
      </c>
      <c r="FQ7" s="162"/>
      <c r="FR7" s="189"/>
      <c r="FS7" s="189"/>
      <c r="FT7" s="106">
        <f>IFERROR((((COUNTIF('Elève (6ème5)'!FQ8:FS11,"A"))*4)+((COUNTIF('Elève (6ème5)'!FQ8:FS11,"B"))*3)+((COUNTIF('Elève (6ème5)'!FQ8:FS11,"C"))*2)+((COUNTIF('Elève (6ème5)'!FQ8:FS11,"D"))*1))/(COUNTA(FQ8:FS11)),"")</f>
        <v>3.5</v>
      </c>
      <c r="FU7" s="107" t="str">
        <f t="shared" si="40"/>
        <v>B</v>
      </c>
      <c r="FV7" s="100"/>
      <c r="FW7" s="187"/>
      <c r="FX7" s="188"/>
      <c r="FY7" s="106" t="str">
        <f>IFERROR((((COUNTIF('Elève (6ème5)'!FV8:FX11,"A"))*4)+((COUNTIF('Elève (6ème5)'!FV8:FX11,"B"))*3)+((COUNTIF('Elève (6ème5)'!FV8:FX11,"C"))*2)+((COUNTIF('Elève (6ème5)'!FV8:FX11,"D"))*1))/(COUNTA(FV8:FX11)),"")</f>
        <v/>
      </c>
      <c r="FZ7" s="121" t="str">
        <f t="shared" si="41"/>
        <v/>
      </c>
      <c r="GA7" s="100"/>
      <c r="GB7" s="187"/>
      <c r="GC7" s="188"/>
      <c r="GD7" s="106" t="str">
        <f>IFERROR((((COUNTIF('Elève (6ème5)'!GA8:GC11,"A"))*4)+((COUNTIF('Elève (6ème5)'!GA8:GC11,"B"))*3)+((COUNTIF('Elève (6ème5)'!GA8:GC11,"C"))*2)+((COUNTIF('Elève (6ème5)'!GA8:GC11,"D"))*1))/(COUNTA(GA8:GC11)),"")</f>
        <v/>
      </c>
      <c r="GE7" s="128" t="str">
        <f t="shared" si="42"/>
        <v/>
      </c>
      <c r="GF7" s="177">
        <f>IFERROR((((COUNTIF(FQ8:FS11,"A")+COUNTIF(FV8:FX11,"A")+COUNTIF(GA8:GC11,"A"))*4)+((COUNTIF(FQ8:FS11,"B")+COUNTIF(FV8:FX11,"B")+COUNTIF(GA8:GC11,"B"))*3)+((COUNTIF(FQ8:FS11,"C")+COUNTIF(FV8:FX11,"C")+COUNTIF(GA8:GC11,"C"))*2)+((COUNTIF(FQ8:FS11,"D")+COUNTIF(FV8:FX11,"D")+COUNTIF(GA8:GC11,"D"))*1))/(COUNTA(FQ8:FS11)+COUNTA(FV8:FX11)+COUNTA(GA8:GC11)),"")</f>
        <v>3.5</v>
      </c>
      <c r="GG7" s="130" t="str">
        <f t="shared" si="43"/>
        <v>B</v>
      </c>
      <c r="GH7" s="162"/>
      <c r="GI7" s="189"/>
      <c r="GJ7" s="189"/>
      <c r="GK7" s="106">
        <f>IFERROR((((COUNTIF('Elève (6ème5)'!GH8:GJ11,"A"))*4)+((COUNTIF('Elève (6ème5)'!GH8:GJ11,"B"))*3)+((COUNTIF('Elève (6ème5)'!GH8:GJ11,"C"))*2)+((COUNTIF('Elève (6ème5)'!GH8:GJ11,"D"))*1))/(COUNTA(GH8:GJ11)),"")</f>
        <v>2</v>
      </c>
      <c r="GL7" s="107" t="str">
        <f t="shared" si="44"/>
        <v>C</v>
      </c>
      <c r="GM7" s="100"/>
      <c r="GN7" s="187"/>
      <c r="GO7" s="188"/>
      <c r="GP7" s="106" t="str">
        <f>IFERROR((((COUNTIF('Elève (6ème5)'!GM8:GO11,"A"))*4)+((COUNTIF('Elève (6ème5)'!GM8:GO11,"B"))*3)+((COUNTIF('Elève (6ème5)'!GM8:GO11,"C"))*2)+((COUNTIF('Elève (6ème5)'!GM8:GO11,"D"))*1))/(COUNTA(GM8:GO11)),"")</f>
        <v/>
      </c>
      <c r="GQ7" s="121" t="str">
        <f t="shared" si="45"/>
        <v/>
      </c>
      <c r="GR7" s="100"/>
      <c r="GS7" s="187"/>
      <c r="GT7" s="188"/>
      <c r="GU7" s="106" t="str">
        <f>IFERROR((((COUNTIF('Elève (6ème5)'!GR8:GT11,"A"))*4)+((COUNTIF('Elève (6ème5)'!GR8:GT11,"B"))*3)+((COUNTIF('Elève (6ème5)'!GR8:GT11,"C"))*2)+((COUNTIF('Elève (6ème5)'!GR8:GT11,"D"))*1))/(COUNTA(GR8:GT11)),"")</f>
        <v/>
      </c>
      <c r="GV7" s="128" t="str">
        <f t="shared" si="46"/>
        <v/>
      </c>
      <c r="GW7" s="177">
        <f>IFERROR((((COUNTIF(GH8:GJ11,"A")+COUNTIF(GM8:GO11,"A")+COUNTIF(GR8:GT11,"A"))*4)+((COUNTIF(GH8:GJ11,"B")+COUNTIF(GM8:GO11,"B")+COUNTIF(GR8:GT11,"B"))*3)+((COUNTIF(GH8:GJ11,"C")+COUNTIF(GM8:GO11,"C")+COUNTIF(GR8:GT11,"C"))*2)+((COUNTIF(GH8:GJ11,"D")+COUNTIF(GM8:GO11,"D")+COUNTIF(GR8:GT11,"D"))*1))/(COUNTA(GH8:GJ11)+COUNTA(GM8:GO11)+COUNTA(GR8:GT11)),"")</f>
        <v>2</v>
      </c>
      <c r="GX7" s="130" t="str">
        <f t="shared" si="47"/>
        <v>C</v>
      </c>
      <c r="GY7" s="162"/>
      <c r="GZ7" s="189"/>
      <c r="HA7" s="189"/>
      <c r="HB7" s="106">
        <f>IFERROR((((COUNTIF('Elève (6ème5)'!GY8:HA11,"A"))*4)+((COUNTIF('Elève (6ème5)'!GY8:HA11,"B"))*3)+((COUNTIF('Elève (6ème5)'!GY8:HA11,"C"))*2)+((COUNTIF('Elève (6ème5)'!GY8:HA11,"D"))*1))/(COUNTA(GY8:HA11)),"")</f>
        <v>3.5</v>
      </c>
      <c r="HC7" s="107" t="str">
        <f t="shared" si="48"/>
        <v>B</v>
      </c>
      <c r="HD7" s="100"/>
      <c r="HE7" s="187"/>
      <c r="HF7" s="188"/>
      <c r="HG7" s="106" t="str">
        <f>IFERROR((((COUNTIF('Elève (6ème5)'!HD8:HF11,"A"))*4)+((COUNTIF('Elève (6ème5)'!HD8:HF11,"B"))*3)+((COUNTIF('Elève (6ème5)'!HD8:HF11,"C"))*2)+((COUNTIF('Elève (6ème5)'!HD8:HF11,"D"))*1))/(COUNTA(HD8:HF11)),"")</f>
        <v/>
      </c>
      <c r="HH7" s="121" t="str">
        <f t="shared" si="49"/>
        <v/>
      </c>
      <c r="HI7" s="100"/>
      <c r="HJ7" s="187"/>
      <c r="HK7" s="188"/>
      <c r="HL7" s="106" t="str">
        <f>IFERROR((((COUNTIF('Elève (6ème5)'!HI8:HK11,"A"))*4)+((COUNTIF('Elève (6ème5)'!HI8:HK11,"B"))*3)+((COUNTIF('Elève (6ème5)'!HI8:HK11,"C"))*2)+((COUNTIF('Elève (6ème5)'!HI8:HK11,"D"))*1))/(COUNTA(HI8:HK11)),"")</f>
        <v/>
      </c>
      <c r="HM7" s="128" t="str">
        <f t="shared" si="50"/>
        <v/>
      </c>
      <c r="HN7" s="177">
        <f>IFERROR((((COUNTIF(GY8:HA11,"A")+COUNTIF(HD8:HF11,"A")+COUNTIF(HI8:HK11,"A"))*4)+((COUNTIF(GY8:HA11,"B")+COUNTIF(HD8:HF11,"B")+COUNTIF(HI8:HK11,"B"))*3)+((COUNTIF(GY8:HA11,"C")+COUNTIF(HD8:HF11,"C")+COUNTIF(HI8:HK11,"C"))*2)+((COUNTIF(GY8:HA11,"D")+COUNTIF(HD8:HF11,"D")+COUNTIF(HI8:HK11,"D"))*1))/(COUNTA(GY8:HA11)+COUNTA(HD8:HF11)+COUNTA(HI8:HK11)),"")</f>
        <v>3.5</v>
      </c>
      <c r="HO7" s="130" t="str">
        <f t="shared" si="51"/>
        <v>B</v>
      </c>
      <c r="HP7" s="162"/>
      <c r="HQ7" s="189"/>
      <c r="HR7" s="189"/>
      <c r="HS7" s="106" t="str">
        <f>IFERROR((((COUNTIF('Elève (6ème5)'!HP8:HR11,"A"))*4)+((COUNTIF('Elève (6ème5)'!HP8:HR11,"B"))*3)+((COUNTIF('Elève (6ème5)'!HP8:HR11,"C"))*2)+((COUNTIF('Elève (6ème5)'!HP8:HR11,"D"))*1))/(COUNTA(HP8:HR11)),"")</f>
        <v/>
      </c>
      <c r="HT7" s="107" t="str">
        <f t="shared" si="52"/>
        <v/>
      </c>
      <c r="HU7" s="100"/>
      <c r="HV7" s="187"/>
      <c r="HW7" s="188"/>
      <c r="HX7" s="106" t="str">
        <f>IFERROR((((COUNTIF('Elève (6ème5)'!HU8:HW11,"A"))*4)+((COUNTIF('Elève (6ème5)'!HU8:HW11,"B"))*3)+((COUNTIF('Elève (6ème5)'!HU8:HW11,"C"))*2)+((COUNTIF('Elève (6ème5)'!HU8:HW11,"D"))*1))/(COUNTA(HU8:HW11)),"")</f>
        <v/>
      </c>
      <c r="HY7" s="121" t="str">
        <f t="shared" si="53"/>
        <v/>
      </c>
      <c r="HZ7" s="100"/>
      <c r="IA7" s="187"/>
      <c r="IB7" s="188"/>
      <c r="IC7" s="106" t="str">
        <f>IFERROR((((COUNTIF('Elève (6ème5)'!HZ8:IB11,"A"))*4)+((COUNTIF('Elève (6ème5)'!HZ8:IB11,"B"))*3)+((COUNTIF('Elève (6ème5)'!HZ8:IB11,"C"))*2)+((COUNTIF('Elève (6ème5)'!HZ8:IB11,"D"))*1))/(COUNTA(HZ8:IB11)),"")</f>
        <v/>
      </c>
      <c r="ID7" s="128" t="str">
        <f t="shared" si="54"/>
        <v/>
      </c>
      <c r="IE7" s="177" t="str">
        <f>IFERROR((((COUNTIF(HP8:HR11,"A")+COUNTIF(HU8:HW11,"A")+COUNTIF(HZ8:IB11,"A"))*4)+((COUNTIF(HP8:HR11,"B")+COUNTIF(HU8:HW11,"B")+COUNTIF(HZ8:IB11,"B"))*3)+((COUNTIF(HP8:HR11,"C")+COUNTIF(HU8:HW11,"C")+COUNTIF(HZ8:IB11,"C"))*2)+((COUNTIF(HP8:HR11,"D")+COUNTIF(HU8:HW11,"D")+COUNTIF(HZ8:IB11,"D"))*1))/(COUNTA(HP8:HR11)+COUNTA(HU8:HW11)+COUNTA(HZ8:IB11)),"")</f>
        <v/>
      </c>
      <c r="IF7" s="130" t="str">
        <f t="shared" si="55"/>
        <v/>
      </c>
      <c r="IG7" s="162"/>
      <c r="IH7" s="189"/>
      <c r="II7" s="189"/>
      <c r="IJ7" s="106">
        <f>IFERROR((((COUNTIF('Elève (6ème5)'!IG8:II11,"A"))*4)+((COUNTIF('Elève (6ème5)'!IG8:II11,"B"))*3)+((COUNTIF('Elève (6ème5)'!IG8:II11,"C"))*2)+((COUNTIF('Elève (6ème5)'!IG8:II11,"D"))*1))/(COUNTA(IG8:II11)),"")</f>
        <v>3.5</v>
      </c>
      <c r="IK7" s="107" t="str">
        <f t="shared" si="56"/>
        <v>B</v>
      </c>
      <c r="IL7" s="100"/>
      <c r="IM7" s="187"/>
      <c r="IN7" s="188"/>
      <c r="IO7" s="106" t="str">
        <f>IFERROR((((COUNTIF('Elève (6ème5)'!IL8:IN11,"A"))*4)+((COUNTIF('Elève (6ème5)'!IL8:IN11,"B"))*3)+((COUNTIF('Elève (6ème5)'!IL8:IN11,"C"))*2)+((COUNTIF('Elève (6ème5)'!IL8:IN11,"D"))*1))/(COUNTA(IL8:IN11)),"")</f>
        <v/>
      </c>
      <c r="IP7" s="121" t="str">
        <f t="shared" si="57"/>
        <v/>
      </c>
      <c r="IQ7" s="100"/>
      <c r="IR7" s="187"/>
      <c r="IS7" s="188"/>
      <c r="IT7" s="106" t="str">
        <f>IFERROR((((COUNTIF('Elève (6ème5)'!IQ8:IS11,"A"))*4)+((COUNTIF('Elève (6ème5)'!IQ8:IS11,"B"))*3)+((COUNTIF('Elève (6ème5)'!IQ8:IS11,"C"))*2)+((COUNTIF('Elève (6ème5)'!IQ8:IS11,"D"))*1))/(COUNTA(IQ8:IS11)),"")</f>
        <v/>
      </c>
      <c r="IU7" s="128" t="str">
        <f t="shared" si="58"/>
        <v/>
      </c>
      <c r="IV7" s="177">
        <f>IFERROR((((COUNTIF(IG8:II11,"A")+COUNTIF(IL8:IN11,"A")+COUNTIF(IQ8:IS11,"A"))*4)+((COUNTIF(IG8:II11,"B")+COUNTIF(IL8:IN11,"B")+COUNTIF(IQ8:IS11,"B"))*3)+((COUNTIF(IG8:II11,"C")+COUNTIF(IL8:IN11,"C")+COUNTIF(IQ8:IS11,"C"))*2)+((COUNTIF(IG8:II11,"D")+COUNTIF(IL8:IN11,"D")+COUNTIF(IQ8:IS11,"D"))*1))/(COUNTA(IG8:II11)+COUNTA(IL8:IN11)+COUNTA(IQ8:IS11)),"")</f>
        <v>3.5</v>
      </c>
      <c r="IW7" s="130" t="str">
        <f t="shared" si="59"/>
        <v>B</v>
      </c>
      <c r="IX7" s="162"/>
      <c r="IY7" s="189"/>
      <c r="IZ7" s="189"/>
      <c r="JA7" s="106">
        <f>IFERROR((((COUNTIF('Elève (6ème5)'!IX8:IZ11,"A"))*4)+((COUNTIF('Elève (6ème5)'!IX8:IZ11,"B"))*3)+((COUNTIF('Elève (6ème5)'!IX8:IZ11,"C"))*2)+((COUNTIF('Elève (6ème5)'!IX8:IZ11,"D"))*1))/(COUNTA(IX8:IZ11)),"")</f>
        <v>3.5</v>
      </c>
      <c r="JB7" s="107" t="str">
        <f t="shared" si="60"/>
        <v>B</v>
      </c>
      <c r="JC7" s="100"/>
      <c r="JD7" s="187"/>
      <c r="JE7" s="188"/>
      <c r="JF7" s="106" t="str">
        <f>IFERROR((((COUNTIF('Elève (6ème5)'!JC8:JE11,"A"))*4)+((COUNTIF('Elève (6ème5)'!JC8:JE11,"B"))*3)+((COUNTIF('Elève (6ème5)'!JC8:JE11,"C"))*2)+((COUNTIF('Elève (6ème5)'!JC8:JE11,"D"))*1))/(COUNTA(JC8:JE11)),"")</f>
        <v/>
      </c>
      <c r="JG7" s="121" t="str">
        <f t="shared" si="61"/>
        <v/>
      </c>
      <c r="JH7" s="100"/>
      <c r="JI7" s="187"/>
      <c r="JJ7" s="188"/>
      <c r="JK7" s="106" t="str">
        <f>IFERROR((((COUNTIF('Elève (6ème5)'!JH8:JJ11,"A"))*4)+((COUNTIF('Elève (6ème5)'!JH8:JJ11,"B"))*3)+((COUNTIF('Elève (6ème5)'!JH8:JJ11,"C"))*2)+((COUNTIF('Elève (6ème5)'!JH8:JJ11,"D"))*1))/(COUNTA(JH8:JJ11)),"")</f>
        <v/>
      </c>
      <c r="JL7" s="128" t="str">
        <f t="shared" si="62"/>
        <v/>
      </c>
      <c r="JM7" s="177">
        <f>IFERROR((((COUNTIF(IX8:IZ11,"A")+COUNTIF(JC8:JE11,"A")+COUNTIF(JH8:JJ11,"A"))*4)+((COUNTIF(IX8:IZ11,"B")+COUNTIF(JC8:JE11,"B")+COUNTIF(JH8:JJ11,"B"))*3)+((COUNTIF(IX8:IZ11,"C")+COUNTIF(JC8:JE11,"C")+COUNTIF(JH8:JJ11,"C"))*2)+((COUNTIF(IX8:IZ11,"D")+COUNTIF(JC8:JE11,"D")+COUNTIF(JH8:JJ11,"D"))*1))/(COUNTA(IX8:IZ11)+COUNTA(JC8:JE11)+COUNTA(JH8:JJ11)),"")</f>
        <v>3.5</v>
      </c>
      <c r="JN7" s="130" t="str">
        <f t="shared" si="63"/>
        <v>B</v>
      </c>
      <c r="JO7" s="162"/>
      <c r="JP7" s="189"/>
      <c r="JQ7" s="189"/>
      <c r="JR7" s="106" t="str">
        <f>IFERROR((((COUNTIF('Elève (6ème5)'!JO8:JQ11,"A"))*4)+((COUNTIF('Elève (6ème5)'!JO8:JQ11,"B"))*3)+((COUNTIF('Elève (6ème5)'!JO8:JQ11,"C"))*2)+((COUNTIF('Elève (6ème5)'!JO8:JQ11,"D"))*1))/(COUNTA(JO8:JQ11)),"")</f>
        <v/>
      </c>
      <c r="JS7" s="107" t="str">
        <f t="shared" si="64"/>
        <v/>
      </c>
      <c r="JT7" s="100"/>
      <c r="JU7" s="187"/>
      <c r="JV7" s="188"/>
      <c r="JW7" s="106" t="str">
        <f>IFERROR((((COUNTIF('Elève (6ème5)'!JT8:JV11,"A"))*4)+((COUNTIF('Elève (6ème5)'!JT8:JV11,"B"))*3)+((COUNTIF('Elève (6ème5)'!JT8:JV11,"C"))*2)+((COUNTIF('Elève (6ème5)'!JT8:JV11,"D"))*1))/(COUNTA(JT8:JV11)),"")</f>
        <v/>
      </c>
      <c r="JX7" s="121" t="str">
        <f t="shared" si="65"/>
        <v/>
      </c>
      <c r="JY7" s="100"/>
      <c r="JZ7" s="187"/>
      <c r="KA7" s="188"/>
      <c r="KB7" s="106" t="str">
        <f>IFERROR((((COUNTIF('Elève (6ème5)'!JY8:KA11,"A"))*4)+((COUNTIF('Elève (6ème5)'!JY8:KA11,"B"))*3)+((COUNTIF('Elève (6ème5)'!JY8:KA11,"C"))*2)+((COUNTIF('Elève (6ème5)'!JY8:KA11,"D"))*1))/(COUNTA(JY8:KA11)),"")</f>
        <v/>
      </c>
      <c r="KC7" s="128" t="str">
        <f t="shared" si="66"/>
        <v/>
      </c>
      <c r="KD7" s="177" t="str">
        <f>IFERROR((((COUNTIF(JO8:JQ11,"A")+COUNTIF(JT8:JV11,"A")+COUNTIF(JY8:KA11,"A"))*4)+((COUNTIF(JO8:JQ11,"B")+COUNTIF(JT8:JV11,"B")+COUNTIF(JY8:KA11,"B"))*3)+((COUNTIF(JO8:JQ11,"C")+COUNTIF(JT8:JV11,"C")+COUNTIF(JY8:KA11,"C"))*2)+((COUNTIF(JO8:JQ11,"D")+COUNTIF(JT8:JV11,"D")+COUNTIF(JY8:KA11,"D"))*1))/(COUNTA(JO8:JQ11)+COUNTA(JT8:JV11)+COUNTA(JY8:KA11)),"")</f>
        <v/>
      </c>
      <c r="KE7" s="130" t="str">
        <f t="shared" si="67"/>
        <v/>
      </c>
      <c r="KF7" s="162"/>
      <c r="KG7" s="189"/>
      <c r="KH7" s="189"/>
      <c r="KI7" s="106" t="str">
        <f>IFERROR((((COUNTIF('Elève (6ème5)'!KF8:KH11,"A"))*4)+((COUNTIF('Elève (6ème5)'!KF8:KH11,"B"))*3)+((COUNTIF('Elève (6ème5)'!KF8:KH11,"C"))*2)+((COUNTIF('Elève (6ème5)'!KF8:KH11,"D"))*1))/(COUNTA(KF8:KH11)),"")</f>
        <v/>
      </c>
      <c r="KJ7" s="107" t="str">
        <f t="shared" si="68"/>
        <v/>
      </c>
      <c r="KK7" s="100"/>
      <c r="KL7" s="187"/>
      <c r="KM7" s="188"/>
      <c r="KN7" s="106" t="str">
        <f>IFERROR((((COUNTIF('Elève (6ème5)'!KK8:KM11,"A"))*4)+((COUNTIF('Elève (6ème5)'!KK8:KM11,"B"))*3)+((COUNTIF('Elève (6ème5)'!KK8:KM11,"C"))*2)+((COUNTIF('Elève (6ème5)'!KK8:KM11,"D"))*1))/(COUNTA(KK8:KM11)),"")</f>
        <v/>
      </c>
      <c r="KO7" s="121" t="str">
        <f t="shared" si="69"/>
        <v/>
      </c>
      <c r="KP7" s="100"/>
      <c r="KQ7" s="187"/>
      <c r="KR7" s="188"/>
      <c r="KS7" s="106" t="str">
        <f>IFERROR((((COUNTIF('Elève (6ème5)'!KP8:KR11,"A"))*4)+((COUNTIF('Elève (6ème5)'!KP8:KR11,"B"))*3)+((COUNTIF('Elève (6ème5)'!KP8:KR11,"C"))*2)+((COUNTIF('Elève (6ème5)'!KP8:KR11,"D"))*1))/(COUNTA(KP8:KR11)),"")</f>
        <v/>
      </c>
      <c r="KT7" s="128" t="str">
        <f t="shared" si="70"/>
        <v/>
      </c>
      <c r="KU7" s="177" t="str">
        <f>IFERROR((((COUNTIF(KF8:KH11,"A")+COUNTIF(KK8:KM11,"A")+COUNTIF(KP8:KR11,"A"))*4)+((COUNTIF(KF8:KH11,"B")+COUNTIF(KK8:KM11,"B")+COUNTIF(KP8:KR11,"B"))*3)+((COUNTIF(KF8:KH11,"C")+COUNTIF(KK8:KM11,"C")+COUNTIF(KP8:KR11,"C"))*2)+((COUNTIF(KF8:KH11,"D")+COUNTIF(KK8:KM11,"D")+COUNTIF(KP8:KR11,"D"))*1))/(COUNTA(KF8:KH11)+COUNTA(KK8:KM11)+COUNTA(KP8:KR11)),"")</f>
        <v/>
      </c>
      <c r="KV7" s="130" t="str">
        <f t="shared" si="71"/>
        <v/>
      </c>
      <c r="KW7" s="162"/>
      <c r="KX7" s="189"/>
      <c r="KY7" s="189"/>
      <c r="KZ7" s="106">
        <f>IFERROR((((COUNTIF('Elève (6ème5)'!KW8:KY11,"A"))*4)+((COUNTIF('Elève (6ème5)'!KW8:KY11,"B"))*3)+((COUNTIF('Elève (6ème5)'!KW8:KY11,"C"))*2)+((COUNTIF('Elève (6ème5)'!KW8:KY11,"D"))*1))/(COUNTA(KW8:KY11)),"")</f>
        <v>2</v>
      </c>
      <c r="LA7" s="107" t="str">
        <f t="shared" si="72"/>
        <v>C</v>
      </c>
      <c r="LB7" s="100"/>
      <c r="LC7" s="187"/>
      <c r="LD7" s="188"/>
      <c r="LE7" s="106" t="str">
        <f>IFERROR((((COUNTIF('Elève (6ème5)'!LB8:LD11,"A"))*4)+((COUNTIF('Elève (6ème5)'!LB8:LD11,"B"))*3)+((COUNTIF('Elève (6ème5)'!LB8:LD11,"C"))*2)+((COUNTIF('Elève (6ème5)'!LB8:LD11,"D"))*1))/(COUNTA(LB8:LD11)),"")</f>
        <v/>
      </c>
      <c r="LF7" s="121" t="str">
        <f t="shared" si="73"/>
        <v/>
      </c>
      <c r="LG7" s="100"/>
      <c r="LH7" s="187"/>
      <c r="LI7" s="188"/>
      <c r="LJ7" s="106" t="str">
        <f>IFERROR((((COUNTIF('Elève (6ème5)'!LG8:LI11,"A"))*4)+((COUNTIF('Elève (6ème5)'!LG8:LI11,"B"))*3)+((COUNTIF('Elève (6ème5)'!LG8:LI11,"C"))*2)+((COUNTIF('Elève (6ème5)'!LG8:LI11,"D"))*1))/(COUNTA(LG8:LI11)),"")</f>
        <v/>
      </c>
      <c r="LK7" s="128" t="str">
        <f t="shared" si="74"/>
        <v/>
      </c>
      <c r="LL7" s="177">
        <f>IFERROR((((COUNTIF(KW8:KY11,"A")+COUNTIF(LB8:LD11,"A")+COUNTIF(LG8:LI11,"A"))*4)+((COUNTIF(KW8:KY11,"B")+COUNTIF(LB8:LD11,"B")+COUNTIF(LG8:LI11,"B"))*3)+((COUNTIF(KW8:KY11,"C")+COUNTIF(LB8:LD11,"C")+COUNTIF(LG8:LI11,"C"))*2)+((COUNTIF(KW8:KY11,"D")+COUNTIF(LB8:LD11,"D")+COUNTIF(LG8:LI11,"D"))*1))/(COUNTA(KW8:KY11)+COUNTA(LB8:LD11)+COUNTA(LG8:LI11)),"")</f>
        <v>2</v>
      </c>
      <c r="LM7" s="130" t="str">
        <f t="shared" si="75"/>
        <v>C</v>
      </c>
      <c r="LN7" s="162"/>
      <c r="LO7" s="189"/>
      <c r="LP7" s="189"/>
      <c r="LQ7" s="106">
        <f>IFERROR((((COUNTIF('Elève (6ème5)'!LN8:LP11,"A"))*4)+((COUNTIF('Elève (6ème5)'!LN8:LP11,"B"))*3)+((COUNTIF('Elève (6ème5)'!LN8:LP11,"C"))*2)+((COUNTIF('Elève (6ème5)'!LN8:LP11,"D"))*1))/(COUNTA(LN8:LP11)),"")</f>
        <v>3.5</v>
      </c>
      <c r="LR7" s="107" t="str">
        <f t="shared" si="76"/>
        <v>B</v>
      </c>
      <c r="LS7" s="100"/>
      <c r="LT7" s="187"/>
      <c r="LU7" s="188"/>
      <c r="LV7" s="106" t="str">
        <f>IFERROR((((COUNTIF('Elève (6ème5)'!LS8:LU11,"A"))*4)+((COUNTIF('Elève (6ème5)'!LS8:LU11,"B"))*3)+((COUNTIF('Elève (6ème5)'!LS8:LU11,"C"))*2)+((COUNTIF('Elève (6ème5)'!LS8:LU11,"D"))*1))/(COUNTA(LS8:LU11)),"")</f>
        <v/>
      </c>
      <c r="LW7" s="121" t="str">
        <f t="shared" si="77"/>
        <v/>
      </c>
      <c r="LX7" s="100"/>
      <c r="LY7" s="187"/>
      <c r="LZ7" s="188"/>
      <c r="MA7" s="106" t="str">
        <f>IFERROR((((COUNTIF('Elève (6ème5)'!LX8:LZ11,"A"))*4)+((COUNTIF('Elève (6ème5)'!LX8:LZ11,"B"))*3)+((COUNTIF('Elève (6ème5)'!LX8:LZ11,"C"))*2)+((COUNTIF('Elève (6ème5)'!LX8:LZ11,"D"))*1))/(COUNTA(LX8:LZ11)),"")</f>
        <v/>
      </c>
      <c r="MB7" s="128" t="str">
        <f t="shared" si="78"/>
        <v/>
      </c>
      <c r="MC7" s="177">
        <f>IFERROR((((COUNTIF(LN8:LP11,"A")+COUNTIF(LS8:LU11,"A")+COUNTIF(LX8:LZ11,"A"))*4)+((COUNTIF(LN8:LP11,"B")+COUNTIF(LS8:LU11,"B")+COUNTIF(LX8:LZ11,"B"))*3)+((COUNTIF(LN8:LP11,"C")+COUNTIF(LS8:LU11,"C")+COUNTIF(LX8:LZ11,"C"))*2)+((COUNTIF(LN8:LP11,"D")+COUNTIF(LS8:LU11,"D")+COUNTIF(LX8:LZ11,"D"))*1))/(COUNTA(LN8:LP11)+COUNTA(LS8:LU11)+COUNTA(LX8:LZ11)),"")</f>
        <v>3.5</v>
      </c>
      <c r="MD7" s="130" t="str">
        <f t="shared" si="79"/>
        <v>B</v>
      </c>
      <c r="ME7" s="162"/>
      <c r="MF7" s="189"/>
      <c r="MG7" s="189"/>
      <c r="MH7" s="106">
        <f>IFERROR((((COUNTIF('Elève (6ème5)'!ME8:MG11,"A"))*4)+((COUNTIF('Elève (6ème5)'!ME8:MG11,"B"))*3)+((COUNTIF('Elève (6ème5)'!ME8:MG11,"C"))*2)+((COUNTIF('Elève (6ème5)'!ME8:MG11,"D"))*1))/(COUNTA(ME8:MG11)),"")</f>
        <v>3.5</v>
      </c>
      <c r="MI7" s="107" t="str">
        <f t="shared" si="80"/>
        <v>B</v>
      </c>
      <c r="MJ7" s="100"/>
      <c r="MK7" s="187"/>
      <c r="ML7" s="188"/>
      <c r="MM7" s="106" t="str">
        <f>IFERROR((((COUNTIF('Elève (6ème5)'!MJ8:ML11,"A"))*4)+((COUNTIF('Elève (6ème5)'!MJ8:ML11,"B"))*3)+((COUNTIF('Elève (6ème5)'!MJ8:ML11,"C"))*2)+((COUNTIF('Elève (6ème5)'!MJ8:ML11,"D"))*1))/(COUNTA(MJ8:ML11)),"")</f>
        <v/>
      </c>
      <c r="MN7" s="121" t="str">
        <f t="shared" si="81"/>
        <v/>
      </c>
      <c r="MO7" s="100"/>
      <c r="MP7" s="187"/>
      <c r="MQ7" s="188"/>
      <c r="MR7" s="106" t="str">
        <f>IFERROR((((COUNTIF('Elève (6ème5)'!MO8:MQ11,"A"))*4)+((COUNTIF('Elève (6ème5)'!MO8:MQ11,"B"))*3)+((COUNTIF('Elève (6ème5)'!MO8:MQ11,"C"))*2)+((COUNTIF('Elève (6ème5)'!MO8:MQ11,"D"))*1))/(COUNTA(MO8:MQ11)),"")</f>
        <v/>
      </c>
      <c r="MS7" s="128" t="str">
        <f t="shared" si="82"/>
        <v/>
      </c>
      <c r="MT7" s="177">
        <f>IFERROR((((COUNTIF(ME8:MG11,"A")+COUNTIF(MJ8:ML11,"A")+COUNTIF(MO8:MQ11,"A"))*4)+((COUNTIF(ME8:MG11,"B")+COUNTIF(MJ8:ML11,"B")+COUNTIF(MO8:MQ11,"B"))*3)+((COUNTIF(ME8:MG11,"C")+COUNTIF(MJ8:ML11,"C")+COUNTIF(MO8:MQ11,"C"))*2)+((COUNTIF(ME8:MG11,"D")+COUNTIF(MJ8:ML11,"D")+COUNTIF(MO8:MQ11,"D"))*1))/(COUNTA(ME8:MG11)+COUNTA(MJ8:ML11)+COUNTA(MO8:MQ11)),"")</f>
        <v>3.5</v>
      </c>
      <c r="MU7" s="130" t="str">
        <f t="shared" si="83"/>
        <v>B</v>
      </c>
      <c r="MV7" s="162"/>
      <c r="MW7" s="189"/>
      <c r="MX7" s="189"/>
      <c r="MY7" s="106">
        <f>IFERROR((((COUNTIF('Elève (6ème5)'!MV8:MX11,"A"))*4)+((COUNTIF('Elève (6ème5)'!MV8:MX11,"B"))*3)+((COUNTIF('Elève (6ème5)'!MV8:MX11,"C"))*2)+((COUNTIF('Elève (6ème5)'!MV8:MX11,"D"))*1))/(COUNTA(MV8:MX11)),"")</f>
        <v>3.5</v>
      </c>
      <c r="MZ7" s="107" t="str">
        <f t="shared" si="84"/>
        <v>B</v>
      </c>
      <c r="NA7" s="100"/>
      <c r="NB7" s="187"/>
      <c r="NC7" s="188"/>
      <c r="ND7" s="106" t="str">
        <f>IFERROR((((COUNTIF('Elève (6ème5)'!NA8:NC11,"A"))*4)+((COUNTIF('Elève (6ème5)'!NA8:NC11,"B"))*3)+((COUNTIF('Elève (6ème5)'!NA8:NC11,"C"))*2)+((COUNTIF('Elève (6ème5)'!NA8:NC11,"D"))*1))/(COUNTA(NA8:NC11)),"")</f>
        <v/>
      </c>
      <c r="NE7" s="121" t="str">
        <f t="shared" si="85"/>
        <v/>
      </c>
      <c r="NF7" s="100"/>
      <c r="NG7" s="187"/>
      <c r="NH7" s="188"/>
      <c r="NI7" s="106" t="str">
        <f>IFERROR((((COUNTIF('Elève (6ème5)'!NF8:NH11,"A"))*4)+((COUNTIF('Elève (6ème5)'!NF8:NH11,"B"))*3)+((COUNTIF('Elève (6ème5)'!NF8:NH11,"C"))*2)+((COUNTIF('Elève (6ème5)'!NF8:NH11,"D"))*1))/(COUNTA(NF8:NH11)),"")</f>
        <v/>
      </c>
      <c r="NJ7" s="128" t="str">
        <f t="shared" si="86"/>
        <v/>
      </c>
      <c r="NK7" s="177">
        <f>IFERROR((((COUNTIF(MV8:MX11,"A")+COUNTIF(NA8:NC11,"A")+COUNTIF(NF8:NH11,"A"))*4)+((COUNTIF(MV8:MX11,"B")+COUNTIF(NA8:NC11,"B")+COUNTIF(NF8:NH11,"B"))*3)+((COUNTIF(MV8:MX11,"C")+COUNTIF(NA8:NC11,"C")+COUNTIF(NF8:NH11,"C"))*2)+((COUNTIF(MV8:MX11,"D")+COUNTIF(NA8:NC11,"D")+COUNTIF(NF8:NH11,"D"))*1))/(COUNTA(MV8:MX11)+COUNTA(NA8:NC11)+COUNTA(NF8:NH11)),"")</f>
        <v>3.5</v>
      </c>
      <c r="NL7" s="130" t="str">
        <f t="shared" si="87"/>
        <v>B</v>
      </c>
      <c r="NM7" s="162"/>
      <c r="NN7" s="189"/>
      <c r="NO7" s="189"/>
      <c r="NP7" s="106" t="str">
        <f>IFERROR((((COUNTIF('Elève (6ème5)'!NM8:NO11,"A"))*4)+((COUNTIF('Elève (6ème5)'!NM8:NO11,"B"))*3)+((COUNTIF('Elève (6ème5)'!NM8:NO11,"C"))*2)+((COUNTIF('Elève (6ème5)'!NM8:NO11,"D"))*1))/(COUNTA(NM8:NO11)),"")</f>
        <v/>
      </c>
      <c r="NQ7" s="107" t="str">
        <f t="shared" si="88"/>
        <v/>
      </c>
      <c r="NR7" s="100"/>
      <c r="NS7" s="187"/>
      <c r="NT7" s="188"/>
      <c r="NU7" s="106" t="str">
        <f>IFERROR((((COUNTIF('Elève (6ème5)'!NR8:NT11,"A"))*4)+((COUNTIF('Elève (6ème5)'!NR8:NT11,"B"))*3)+((COUNTIF('Elève (6ème5)'!NR8:NT11,"C"))*2)+((COUNTIF('Elève (6ème5)'!NR8:NT11,"D"))*1))/(COUNTA(NR8:NT11)),"")</f>
        <v/>
      </c>
      <c r="NV7" s="121" t="str">
        <f t="shared" si="89"/>
        <v/>
      </c>
      <c r="NW7" s="100"/>
      <c r="NX7" s="187"/>
      <c r="NY7" s="188"/>
      <c r="NZ7" s="106" t="str">
        <f>IFERROR((((COUNTIF('Elève (6ème5)'!NW8:NY11,"A"))*4)+((COUNTIF('Elève (6ème5)'!NW8:NY11,"B"))*3)+((COUNTIF('Elève (6ème5)'!NW8:NY11,"C"))*2)+((COUNTIF('Elève (6ème5)'!NW8:NY11,"D"))*1))/(COUNTA(NW8:NY11)),"")</f>
        <v/>
      </c>
      <c r="OA7" s="128" t="str">
        <f t="shared" si="90"/>
        <v/>
      </c>
      <c r="OB7" s="177" t="str">
        <f>IFERROR((((COUNTIF(NM8:NO11,"A")+COUNTIF(NR8:NT11,"A")+COUNTIF(NW8:NY11,"A"))*4)+((COUNTIF(NM8:NO11,"B")+COUNTIF(NR8:NT11,"B")+COUNTIF(NW8:NY11,"B"))*3)+((COUNTIF(NM8:NO11,"C")+COUNTIF(NR8:NT11,"C")+COUNTIF(NW8:NY11,"C"))*2)+((COUNTIF(NM8:NO11,"D")+COUNTIF(NR8:NT11,"D")+COUNTIF(NW8:NY11,"D"))*1))/(COUNTA(NM8:NO11)+COUNTA(NR8:NT11)+COUNTA(NW8:NY11)),"")</f>
        <v/>
      </c>
      <c r="OC7" s="130" t="str">
        <f t="shared" si="91"/>
        <v/>
      </c>
      <c r="OD7" s="162"/>
      <c r="OE7" s="189"/>
      <c r="OF7" s="189"/>
      <c r="OG7" s="106" t="str">
        <f>IFERROR((((COUNTIF('Elève (6ème5)'!OD8:OF11,"A"))*4)+((COUNTIF('Elève (6ème5)'!OD8:OF11,"B"))*3)+((COUNTIF('Elève (6ème5)'!OD8:OF11,"C"))*2)+((COUNTIF('Elève (6ème5)'!OD8:OF11,"D"))*1))/(COUNTA(OD8:OF11)),"")</f>
        <v/>
      </c>
      <c r="OH7" s="107" t="str">
        <f t="shared" si="92"/>
        <v/>
      </c>
      <c r="OI7" s="100"/>
      <c r="OJ7" s="187"/>
      <c r="OK7" s="188"/>
      <c r="OL7" s="106" t="str">
        <f>IFERROR((((COUNTIF('Elève (6ème5)'!OI8:OK11,"A"))*4)+((COUNTIF('Elève (6ème5)'!OI8:OK11,"B"))*3)+((COUNTIF('Elève (6ème5)'!OI8:OK11,"C"))*2)+((COUNTIF('Elève (6ème5)'!OI8:OK11,"D"))*1))/(COUNTA(OI8:OK11)),"")</f>
        <v/>
      </c>
      <c r="OM7" s="121" t="str">
        <f t="shared" si="93"/>
        <v/>
      </c>
      <c r="ON7" s="100"/>
      <c r="OO7" s="187"/>
      <c r="OP7" s="188"/>
      <c r="OQ7" s="106" t="str">
        <f>IFERROR((((COUNTIF('Elève (6ème5)'!ON8:OP11,"A"))*4)+((COUNTIF('Elève (6ème5)'!ON8:OP11,"B"))*3)+((COUNTIF('Elève (6ème5)'!ON8:OP11,"C"))*2)+((COUNTIF('Elève (6ème5)'!ON8:OP11,"D"))*1))/(COUNTA(ON8:OP11)),"")</f>
        <v/>
      </c>
      <c r="OR7" s="128" t="str">
        <f t="shared" si="94"/>
        <v/>
      </c>
      <c r="OS7" s="177" t="str">
        <f>IFERROR((((COUNTIF(OD8:OF11,"A")+COUNTIF(OI8:OK11,"A")+COUNTIF(ON8:OP11,"A"))*4)+((COUNTIF(OD8:OF11,"B")+COUNTIF(OI8:OK11,"B")+COUNTIF(ON8:OP11,"B"))*3)+((COUNTIF(OD8:OF11,"C")+COUNTIF(OI8:OK11,"C")+COUNTIF(ON8:OP11,"C"))*2)+((COUNTIF(OD8:OF11,"D")+COUNTIF(OI8:OK11,"D")+COUNTIF(ON8:OP11,"D"))*1))/(COUNTA(OD8:OF11)+COUNTA(OI8:OK11)+COUNTA(ON8:OP11)),"")</f>
        <v/>
      </c>
      <c r="OT7" s="130" t="str">
        <f t="shared" si="95"/>
        <v/>
      </c>
      <c r="OU7" s="162"/>
      <c r="OV7" s="189"/>
      <c r="OW7" s="189"/>
      <c r="OX7" s="106">
        <f>IFERROR((((COUNTIF('Elève (6ème5)'!OU8:OW11,"A"))*4)+((COUNTIF('Elève (6ème5)'!OU8:OW11,"B"))*3)+((COUNTIF('Elève (6ème5)'!OU8:OW11,"C"))*2)+((COUNTIF('Elève (6ème5)'!OU8:OW11,"D"))*1))/(COUNTA(OU8:OW11)),"")</f>
        <v>3.5</v>
      </c>
      <c r="OY7" s="107" t="str">
        <f t="shared" si="96"/>
        <v>B</v>
      </c>
      <c r="OZ7" s="100"/>
      <c r="PA7" s="187"/>
      <c r="PB7" s="188"/>
      <c r="PC7" s="106" t="str">
        <f>IFERROR((((COUNTIF('Elève (6ème5)'!OZ8:PB11,"A"))*4)+((COUNTIF('Elève (6ème5)'!OZ8:PB11,"B"))*3)+((COUNTIF('Elève (6ème5)'!OZ8:PB11,"C"))*2)+((COUNTIF('Elève (6ème5)'!OZ8:PB11,"D"))*1))/(COUNTA(OZ8:PB11)),"")</f>
        <v/>
      </c>
      <c r="PD7" s="121" t="str">
        <f t="shared" si="97"/>
        <v/>
      </c>
      <c r="PE7" s="100"/>
      <c r="PF7" s="187"/>
      <c r="PG7" s="188"/>
      <c r="PH7" s="106" t="str">
        <f>IFERROR((((COUNTIF('Elève (6ème5)'!PE8:PG11,"A"))*4)+((COUNTIF('Elève (6ème5)'!PE8:PG11,"B"))*3)+((COUNTIF('Elève (6ème5)'!PE8:PG11,"C"))*2)+((COUNTIF('Elève (6ème5)'!PE8:PG11,"D"))*1))/(COUNTA(PE8:PG11)),"")</f>
        <v/>
      </c>
      <c r="PI7" s="128" t="str">
        <f t="shared" si="98"/>
        <v/>
      </c>
      <c r="PJ7" s="177">
        <f>IFERROR((((COUNTIF(OU8:OW11,"A")+COUNTIF(OZ8:PB11,"A")+COUNTIF(PE8:PG11,"A"))*4)+((COUNTIF(OU8:OW11,"B")+COUNTIF(OZ8:PB11,"B")+COUNTIF(PE8:PG11,"B"))*3)+((COUNTIF(OU8:OW11,"C")+COUNTIF(OZ8:PB11,"C")+COUNTIF(PE8:PG11,"C"))*2)+((COUNTIF(OU8:OW11,"D")+COUNTIF(OZ8:PB11,"D")+COUNTIF(PE8:PG11,"D"))*1))/(COUNTA(OU8:OW11)+COUNTA(OZ8:PB11)+COUNTA(PE8:PG11)),"")</f>
        <v>3.5</v>
      </c>
      <c r="PK7" s="130" t="str">
        <f t="shared" si="99"/>
        <v>B</v>
      </c>
      <c r="PL7" s="162"/>
      <c r="PM7" s="189"/>
      <c r="PN7" s="189"/>
      <c r="PO7" s="106" t="str">
        <f>IFERROR((((COUNTIF('Elève (6ème5)'!PL8:PN11,"A"))*4)+((COUNTIF('Elève (6ème5)'!PL8:PN11,"B"))*3)+((COUNTIF('Elève (6ème5)'!PL8:PN11,"C"))*2)+((COUNTIF('Elève (6ème5)'!PL8:PN11,"D"))*1))/(COUNTA(PL8:PN11)),"")</f>
        <v/>
      </c>
      <c r="PP7" s="107" t="str">
        <f t="shared" si="100"/>
        <v/>
      </c>
      <c r="PQ7" s="100"/>
      <c r="PR7" s="187"/>
      <c r="PS7" s="188"/>
      <c r="PT7" s="106" t="str">
        <f>IFERROR((((COUNTIF('Elève (6ème5)'!PQ8:PS11,"A"))*4)+((COUNTIF('Elève (6ème5)'!PQ8:PS11,"B"))*3)+((COUNTIF('Elève (6ème5)'!PQ8:PS11,"C"))*2)+((COUNTIF('Elève (6ème5)'!PQ8:PS11,"D"))*1))/(COUNTA(PQ8:PS11)),"")</f>
        <v/>
      </c>
      <c r="PU7" s="121" t="str">
        <f t="shared" si="101"/>
        <v/>
      </c>
      <c r="PV7" s="100"/>
      <c r="PW7" s="187"/>
      <c r="PX7" s="188"/>
      <c r="PY7" s="106" t="str">
        <f>IFERROR((((COUNTIF('Elève (6ème5)'!PV8:PX11,"A"))*4)+((COUNTIF('Elève (6ème5)'!PV8:PX11,"B"))*3)+((COUNTIF('Elève (6ème5)'!PV8:PX11,"C"))*2)+((COUNTIF('Elève (6ème5)'!PV8:PX11,"D"))*1))/(COUNTA(PV8:PX11)),"")</f>
        <v/>
      </c>
      <c r="PZ7" s="128" t="str">
        <f t="shared" si="102"/>
        <v/>
      </c>
      <c r="QA7" s="177" t="str">
        <f>IFERROR((((COUNTIF(PL8:PN11,"A")+COUNTIF(PQ8:PS11,"A")+COUNTIF(PV8:PX11,"A"))*4)+((COUNTIF(PL8:PN11,"B")+COUNTIF(PQ8:PS11,"B")+COUNTIF(PV8:PX11,"B"))*3)+((COUNTIF(PL8:PN11,"C")+COUNTIF(PQ8:PS11,"C")+COUNTIF(PV8:PX11,"C"))*2)+((COUNTIF(PL8:PN11,"D")+COUNTIF(PQ8:PS11,"D")+COUNTIF(PV8:PX11,"D"))*1))/(COUNTA(PL8:PN11)+COUNTA(PQ8:PS11)+COUNTA(PV8:PX11)),"")</f>
        <v/>
      </c>
      <c r="QB7" s="130" t="str">
        <f t="shared" si="103"/>
        <v/>
      </c>
      <c r="QC7" s="162"/>
      <c r="QD7" s="189"/>
      <c r="QE7" s="189"/>
      <c r="QF7" s="106">
        <f>IFERROR((((COUNTIF('Elève (6ème5)'!QC8:QE11,"A"))*4)+((COUNTIF('Elève (6ème5)'!QC8:QE11,"B"))*3)+((COUNTIF('Elève (6ème5)'!QC8:QE11,"C"))*2)+((COUNTIF('Elève (6ème5)'!QC8:QE11,"D"))*1))/(COUNTA(QC8:QE11)),"")</f>
        <v>4</v>
      </c>
      <c r="QG7" s="107" t="str">
        <f t="shared" si="104"/>
        <v>A</v>
      </c>
      <c r="QH7" s="100"/>
      <c r="QI7" s="187"/>
      <c r="QJ7" s="188"/>
      <c r="QK7" s="106" t="str">
        <f>IFERROR((((COUNTIF('Elève (6ème5)'!QH8:QJ11,"A"))*4)+((COUNTIF('Elève (6ème5)'!QH8:QJ11,"B"))*3)+((COUNTIF('Elève (6ème5)'!QH8:QJ11,"C"))*2)+((COUNTIF('Elève (6ème5)'!QH8:QJ11,"D"))*1))/(COUNTA(QH8:QJ11)),"")</f>
        <v/>
      </c>
      <c r="QL7" s="121" t="str">
        <f t="shared" si="105"/>
        <v/>
      </c>
      <c r="QM7" s="100"/>
      <c r="QN7" s="187"/>
      <c r="QO7" s="188"/>
      <c r="QP7" s="106" t="str">
        <f>IFERROR((((COUNTIF('Elève (6ème5)'!QM8:QO11,"A"))*4)+((COUNTIF('Elève (6ème5)'!QM8:QO11,"B"))*3)+((COUNTIF('Elève (6ème5)'!QM8:QO11,"C"))*2)+((COUNTIF('Elève (6ème5)'!QM8:QO11,"D"))*1))/(COUNTA(QM8:QO11)),"")</f>
        <v/>
      </c>
      <c r="QQ7" s="128" t="str">
        <f t="shared" si="106"/>
        <v/>
      </c>
      <c r="QR7" s="177">
        <f>IFERROR((((COUNTIF(QC8:QE11,"A")+COUNTIF(QH8:QJ11,"A")+COUNTIF(QM8:QO11,"A"))*4)+((COUNTIF(QC8:QE11,"B")+COUNTIF(QH8:QJ11,"B")+COUNTIF(QM8:QO11,"B"))*3)+((COUNTIF(QC8:QE11,"C")+COUNTIF(QH8:QJ11,"C")+COUNTIF(QM8:QO11,"C"))*2)+((COUNTIF(QC8:QE11,"D")+COUNTIF(QH8:QJ11,"D")+COUNTIF(QM8:QO11,"D"))*1))/(COUNTA(QC8:QE11)+COUNTA(QH8:QJ11)+COUNTA(QM8:QO11)),"")</f>
        <v>4</v>
      </c>
      <c r="QS7" s="130" t="str">
        <f t="shared" si="107"/>
        <v>A</v>
      </c>
      <c r="QT7" s="162"/>
      <c r="QU7" s="189"/>
      <c r="QV7" s="189"/>
      <c r="QW7" s="106" t="str">
        <f>IFERROR((((COUNTIF('Elève (6ème5)'!QT8:QV11,"A"))*4)+((COUNTIF('Elève (6ème5)'!QT8:QV11,"B"))*3)+((COUNTIF('Elève (6ème5)'!QT8:QV11,"C"))*2)+((COUNTIF('Elève (6ème5)'!QT8:QV11,"D"))*1))/(COUNTA(QT8:QV11)),"")</f>
        <v/>
      </c>
      <c r="QX7" s="107" t="str">
        <f t="shared" si="108"/>
        <v/>
      </c>
      <c r="QY7" s="100"/>
      <c r="QZ7" s="187"/>
      <c r="RA7" s="188"/>
      <c r="RB7" s="106" t="str">
        <f>IFERROR((((COUNTIF('Elève (6ème5)'!QY8:RA11,"A"))*4)+((COUNTIF('Elève (6ème5)'!QY8:RA11,"B"))*3)+((COUNTIF('Elève (6ème5)'!QY8:RA11,"C"))*2)+((COUNTIF('Elève (6ème5)'!QY8:RA11,"D"))*1))/(COUNTA(QY8:RA11)),"")</f>
        <v/>
      </c>
      <c r="RC7" s="121" t="str">
        <f t="shared" si="109"/>
        <v/>
      </c>
      <c r="RD7" s="100"/>
      <c r="RE7" s="187"/>
      <c r="RF7" s="188"/>
      <c r="RG7" s="106" t="str">
        <f>IFERROR((((COUNTIF('Elève (6ème5)'!RD8:RF11,"A"))*4)+((COUNTIF('Elève (6ème5)'!RD8:RF11,"B"))*3)+((COUNTIF('Elève (6ème5)'!RD8:RF11,"C"))*2)+((COUNTIF('Elève (6ème5)'!RD8:RF11,"D"))*1))/(COUNTA(RD8:RF11)),"")</f>
        <v/>
      </c>
      <c r="RH7" s="128" t="str">
        <f t="shared" si="110"/>
        <v/>
      </c>
      <c r="RI7" s="177" t="str">
        <f>IFERROR((((COUNTIF(QT8:QV11,"A")+COUNTIF(QY8:RA11,"A")+COUNTIF(RD8:RF11,"A"))*4)+((COUNTIF(QT8:QV11,"B")+COUNTIF(QY8:RA11,"B")+COUNTIF(RD8:RF11,"B"))*3)+((COUNTIF(QT8:QV11,"C")+COUNTIF(QY8:RA11,"C")+COUNTIF(RD8:RF11,"C"))*2)+((COUNTIF(QT8:QV11,"D")+COUNTIF(QY8:RA11,"D")+COUNTIF(RD8:RF11,"D"))*1))/(COUNTA(QT8:QV11)+COUNTA(QY8:RA11)+COUNTA(RD8:RF11)),"")</f>
        <v/>
      </c>
      <c r="RJ7" s="130" t="str">
        <f t="shared" si="111"/>
        <v/>
      </c>
      <c r="RK7" s="162"/>
      <c r="RL7" s="189"/>
      <c r="RM7" s="189"/>
      <c r="RN7" s="106" t="str">
        <f>IFERROR((((COUNTIF('Elève (6ème5)'!RK8:RM11,"A"))*4)+((COUNTIF('Elève (6ème5)'!RK8:RM11,"B"))*3)+((COUNTIF('Elève (6ème5)'!RK8:RM11,"C"))*2)+((COUNTIF('Elève (6ème5)'!RK8:RM11,"D"))*1))/(COUNTA(RK8:RM11)),"")</f>
        <v/>
      </c>
      <c r="RO7" s="107" t="str">
        <f t="shared" si="112"/>
        <v/>
      </c>
      <c r="RP7" s="100"/>
      <c r="RQ7" s="187"/>
      <c r="RR7" s="188"/>
      <c r="RS7" s="106" t="str">
        <f>IFERROR((((COUNTIF('Elève (6ème5)'!RP8:RR11,"A"))*4)+((COUNTIF('Elève (6ème5)'!RP8:RR11,"B"))*3)+((COUNTIF('Elève (6ème5)'!RP8:RR11,"C"))*2)+((COUNTIF('Elève (6ème5)'!RP8:RR11,"D"))*1))/(COUNTA(RP8:RR11)),"")</f>
        <v/>
      </c>
      <c r="RT7" s="121" t="str">
        <f t="shared" si="113"/>
        <v/>
      </c>
      <c r="RU7" s="100"/>
      <c r="RV7" s="187"/>
      <c r="RW7" s="188"/>
      <c r="RX7" s="106" t="str">
        <f>IFERROR((((COUNTIF('Elève (6ème5)'!RU8:RW11,"A"))*4)+((COUNTIF('Elève (6ème5)'!RU8:RW11,"B"))*3)+((COUNTIF('Elève (6ème5)'!RU8:RW11,"C"))*2)+((COUNTIF('Elève (6ème5)'!RU8:RW11,"D"))*1))/(COUNTA(RU8:RW11)),"")</f>
        <v/>
      </c>
      <c r="RY7" s="128" t="str">
        <f t="shared" si="114"/>
        <v/>
      </c>
      <c r="RZ7" s="177" t="str">
        <f>IFERROR((((COUNTIF(RK8:RM11,"A")+COUNTIF(RP8:RR11,"A")+COUNTIF(RU8:RW11,"A"))*4)+((COUNTIF(RK8:RM11,"B")+COUNTIF(RP8:RR11,"B")+COUNTIF(RU8:RW11,"B"))*3)+((COUNTIF(RK8:RM11,"C")+COUNTIF(RP8:RR11,"C")+COUNTIF(RU8:RW11,"C"))*2)+((COUNTIF(RK8:RM11,"D")+COUNTIF(RP8:RR11,"D")+COUNTIF(RU8:RW11,"D"))*1))/(COUNTA(RK8:RM11)+COUNTA(RP8:RR11)+COUNTA(RU8:RW11)),"")</f>
        <v/>
      </c>
      <c r="SA7" s="130" t="str">
        <f t="shared" si="115"/>
        <v/>
      </c>
      <c r="SB7" s="162"/>
      <c r="SC7" s="189"/>
      <c r="SD7" s="189"/>
      <c r="SE7" s="106" t="str">
        <f>IFERROR((((COUNTIF('Elève (6ème5)'!SB8:SD11,"A"))*4)+((COUNTIF('Elève (6ème5)'!SB8:SD11,"B"))*3)+((COUNTIF('Elève (6ème5)'!SB8:SD11,"C"))*2)+((COUNTIF('Elève (6ème5)'!SB8:SD11,"D"))*1))/(COUNTA(SB8:SD11)),"")</f>
        <v/>
      </c>
      <c r="SF7" s="107" t="str">
        <f t="shared" si="116"/>
        <v/>
      </c>
      <c r="SG7" s="100"/>
      <c r="SH7" s="187"/>
      <c r="SI7" s="188"/>
      <c r="SJ7" s="106" t="str">
        <f>IFERROR((((COUNTIF('Elève (6ème5)'!SG8:SI11,"A"))*4)+((COUNTIF('Elève (6ème5)'!SG8:SI11,"B"))*3)+((COUNTIF('Elève (6ème5)'!SG8:SI11,"C"))*2)+((COUNTIF('Elève (6ème5)'!SG8:SI11,"D"))*1))/(COUNTA(SG8:SI11)),"")</f>
        <v/>
      </c>
      <c r="SK7" s="121" t="str">
        <f t="shared" si="117"/>
        <v/>
      </c>
      <c r="SL7" s="100"/>
      <c r="SM7" s="187"/>
      <c r="SN7" s="188"/>
      <c r="SO7" s="106" t="str">
        <f>IFERROR((((COUNTIF('Elève (6ème5)'!SL8:SN11,"A"))*4)+((COUNTIF('Elève (6ème5)'!SL8:SN11,"B"))*3)+((COUNTIF('Elève (6ème5)'!SL8:SN11,"C"))*2)+((COUNTIF('Elève (6ème5)'!SL8:SN11,"D"))*1))/(COUNTA(SL8:SN11)),"")</f>
        <v/>
      </c>
      <c r="SP7" s="128" t="str">
        <f t="shared" si="118"/>
        <v/>
      </c>
      <c r="SQ7" s="177" t="str">
        <f>IFERROR((((COUNTIF(SB8:SD11,"A")+COUNTIF(SG8:SI11,"A")+COUNTIF(SL8:SN11,"A"))*4)+((COUNTIF(SB8:SD11,"B")+COUNTIF(SG8:SI11,"B")+COUNTIF(SL8:SN11,"B"))*3)+((COUNTIF(SB8:SD11,"C")+COUNTIF(SG8:SI11,"C")+COUNTIF(SL8:SN11,"C"))*2)+((COUNTIF(SB8:SD11,"D")+COUNTIF(SG8:SI11,"D")+COUNTIF(SL8:SN11,"D"))*1))/(COUNTA(SB8:SD11)+COUNTA(SG8:SI11)+COUNTA(SL8:SN11)),"")</f>
        <v/>
      </c>
      <c r="SR7" s="130" t="str">
        <f t="shared" si="119"/>
        <v/>
      </c>
    </row>
    <row r="8" spans="1:512" s="72" customFormat="1" ht="18" customHeight="1" x14ac:dyDescent="0.25">
      <c r="A8" s="240" t="s">
        <v>40</v>
      </c>
      <c r="B8" s="241"/>
      <c r="C8" s="156" t="s">
        <v>24</v>
      </c>
      <c r="D8" s="157"/>
      <c r="E8" s="158"/>
      <c r="F8" s="108">
        <f>IFERROR((((COUNTIF('Elève (6ème5)'!C8:E8,"A"))*4)+((COUNTIF('Elève (6ème5)'!C8:E8,"B"))*3)+((COUNTIF('Elève (6ème5)'!C8:E8,"C"))*2)+((COUNTIF('Elève (6ème5)'!C8:E8,"D"))*1))/(COUNTA(C8:E8)),"")</f>
        <v>4</v>
      </c>
      <c r="G8" s="109" t="str">
        <f t="shared" si="0"/>
        <v>A</v>
      </c>
      <c r="H8" s="81"/>
      <c r="I8" s="82"/>
      <c r="J8" s="83"/>
      <c r="K8" s="108" t="str">
        <f>IFERROR((((COUNTIF('Elève (6ème5)'!H8:J8,"A"))*4)+((COUNTIF('Elève (6ème5)'!H8:J8,"B"))*3)+((COUNTIF('Elève (6ème5)'!H8:J8,"C"))*2)+((COUNTIF('Elève (6ème5)'!H8:J8,"D"))*1))/(COUNTA(H8:J8)),"")</f>
        <v/>
      </c>
      <c r="L8" s="109" t="str">
        <f t="shared" si="1"/>
        <v/>
      </c>
      <c r="M8" s="81"/>
      <c r="N8" s="82"/>
      <c r="O8" s="83"/>
      <c r="P8" s="108" t="str">
        <f>IFERROR((((COUNTIF('Elève (6ème5)'!M8:O8,"A"))*4)+((COUNTIF('Elève (6ème5)'!M8:O8,"B"))*3)+((COUNTIF('Elève (6ème5)'!M8:O8,"C"))*2)+((COUNTIF('Elève (6ème5)'!M8:O8,"D"))*1))/(COUNTA(M8:O8)),"")</f>
        <v/>
      </c>
      <c r="Q8" s="109" t="str">
        <f t="shared" si="2"/>
        <v/>
      </c>
      <c r="R8" s="178">
        <f>IF(COUNT(F8,K8,P8)=0,"",SUM(F8,K8,P8)/COUNT(F8,K8,P8))</f>
        <v>4</v>
      </c>
      <c r="S8" s="131" t="str">
        <f t="shared" si="3"/>
        <v>A</v>
      </c>
      <c r="T8" s="156" t="s">
        <v>26</v>
      </c>
      <c r="U8" s="157"/>
      <c r="V8" s="158"/>
      <c r="W8" s="108">
        <f>IFERROR((((COUNTIF('Elève (6ème5)'!T8:V8,"A"))*4)+((COUNTIF('Elève (6ème5)'!T8:V8,"B"))*3)+((COUNTIF('Elève (6ème5)'!T8:V8,"C"))*2)+((COUNTIF('Elève (6ème5)'!T8:V8,"D"))*1))/(COUNTA(T8:V8)),"")</f>
        <v>2</v>
      </c>
      <c r="X8" s="109" t="str">
        <f t="shared" si="4"/>
        <v>C</v>
      </c>
      <c r="Y8" s="81"/>
      <c r="Z8" s="82"/>
      <c r="AA8" s="83"/>
      <c r="AB8" s="108" t="str">
        <f>IFERROR((((COUNTIF('Elève (6ème5)'!Y8:AA8,"A"))*4)+((COUNTIF('Elève (6ème5)'!Y8:AA8,"B"))*3)+((COUNTIF('Elève (6ème5)'!Y8:AA8,"C"))*2)+((COUNTIF('Elève (6ème5)'!Y8:AA8,"D"))*1))/(COUNTA(Y8:AA8)),"")</f>
        <v/>
      </c>
      <c r="AC8" s="109" t="str">
        <f t="shared" si="5"/>
        <v/>
      </c>
      <c r="AD8" s="81"/>
      <c r="AE8" s="82"/>
      <c r="AF8" s="83"/>
      <c r="AG8" s="108" t="str">
        <f>IFERROR((((COUNTIF('Elève (6ème5)'!AD8:AF8,"A"))*4)+((COUNTIF('Elève (6ème5)'!AD8:AF8,"B"))*3)+((COUNTIF('Elève (6ème5)'!AD8:AF8,"C"))*2)+((COUNTIF('Elève (6ème5)'!AD8:AF8,"D"))*1))/(COUNTA(AD8:AF8)),"")</f>
        <v/>
      </c>
      <c r="AH8" s="109" t="str">
        <f t="shared" si="6"/>
        <v/>
      </c>
      <c r="AI8" s="178">
        <f>IF(COUNT(W8,AB8,AG8)=0,"",SUM(W8,AB8,AG8)/COUNT(W8,AB8,AG8))</f>
        <v>2</v>
      </c>
      <c r="AJ8" s="131" t="str">
        <f t="shared" si="7"/>
        <v>C</v>
      </c>
      <c r="AK8" s="156" t="s">
        <v>24</v>
      </c>
      <c r="AL8" s="157"/>
      <c r="AM8" s="158"/>
      <c r="AN8" s="108">
        <f>IFERROR((((COUNTIF('Elève (6ème5)'!AK8:AM8,"A"))*4)+((COUNTIF('Elève (6ème5)'!AK8:AM8,"B"))*3)+((COUNTIF('Elève (6ème5)'!AK8:AM8,"C"))*2)+((COUNTIF('Elève (6ème5)'!AK8:AM8,"D"))*1))/(COUNTA(AK8:AM8)),"")</f>
        <v>4</v>
      </c>
      <c r="AO8" s="109" t="str">
        <f t="shared" si="8"/>
        <v>A</v>
      </c>
      <c r="AP8" s="81"/>
      <c r="AQ8" s="82"/>
      <c r="AR8" s="83"/>
      <c r="AS8" s="108" t="str">
        <f>IFERROR((((COUNTIF('Elève (6ème5)'!AP8:AR8,"A"))*4)+((COUNTIF('Elève (6ème5)'!AP8:AR8,"B"))*3)+((COUNTIF('Elève (6ème5)'!AP8:AR8,"C"))*2)+((COUNTIF('Elève (6ème5)'!AP8:AR8,"D"))*1))/(COUNTA(AP8:AR8)),"")</f>
        <v/>
      </c>
      <c r="AT8" s="109" t="str">
        <f t="shared" si="9"/>
        <v/>
      </c>
      <c r="AU8" s="81"/>
      <c r="AV8" s="82"/>
      <c r="AW8" s="83"/>
      <c r="AX8" s="108" t="str">
        <f>IFERROR((((COUNTIF('Elève (6ème5)'!AU8:AW8,"A"))*4)+((COUNTIF('Elève (6ème5)'!AU8:AW8,"B"))*3)+((COUNTIF('Elève (6ème5)'!AU8:AW8,"C"))*2)+((COUNTIF('Elève (6ème5)'!AU8:AW8,"D"))*1))/(COUNTA(AU8:AW8)),"")</f>
        <v/>
      </c>
      <c r="AY8" s="109" t="str">
        <f t="shared" si="10"/>
        <v/>
      </c>
      <c r="AZ8" s="178">
        <f>IF(COUNT(AN8,AS8,AX8)=0,"",SUM(AN8,AS8,AX8)/COUNT(AN8,AS8,AX8))</f>
        <v>4</v>
      </c>
      <c r="BA8" s="131" t="str">
        <f t="shared" si="11"/>
        <v>A</v>
      </c>
      <c r="BB8" s="156" t="s">
        <v>25</v>
      </c>
      <c r="BC8" s="157"/>
      <c r="BD8" s="158"/>
      <c r="BE8" s="108">
        <f>IFERROR((((COUNTIF('Elève (6ème5)'!BB8:BD8,"A"))*4)+((COUNTIF('Elève (6ème5)'!BB8:BD8,"B"))*3)+((COUNTIF('Elève (6ème5)'!BB8:BD8,"C"))*2)+((COUNTIF('Elève (6ème5)'!BB8:BD8,"D"))*1))/(COUNTA(BB8:BD8)),"")</f>
        <v>3</v>
      </c>
      <c r="BF8" s="109" t="str">
        <f t="shared" si="12"/>
        <v>B</v>
      </c>
      <c r="BG8" s="81"/>
      <c r="BH8" s="82"/>
      <c r="BI8" s="83"/>
      <c r="BJ8" s="108" t="str">
        <f>IFERROR((((COUNTIF('Elève (6ème5)'!BG8:BI8,"A"))*4)+((COUNTIF('Elève (6ème5)'!BG8:BI8,"B"))*3)+((COUNTIF('Elève (6ème5)'!BG8:BI8,"C"))*2)+((COUNTIF('Elève (6ème5)'!BG8:BI8,"D"))*1))/(COUNTA(BG8:BI8)),"")</f>
        <v/>
      </c>
      <c r="BK8" s="109" t="str">
        <f t="shared" si="13"/>
        <v/>
      </c>
      <c r="BL8" s="81"/>
      <c r="BM8" s="82"/>
      <c r="BN8" s="83"/>
      <c r="BO8" s="108" t="str">
        <f>IFERROR((((COUNTIF('Elève (6ème5)'!BL8:BN8,"A"))*4)+((COUNTIF('Elève (6ème5)'!BL8:BN8,"B"))*3)+((COUNTIF('Elève (6ème5)'!BL8:BN8,"C"))*2)+((COUNTIF('Elève (6ème5)'!BL8:BN8,"D"))*1))/(COUNTA(BL8:BN8)),"")</f>
        <v/>
      </c>
      <c r="BP8" s="109" t="str">
        <f t="shared" si="14"/>
        <v/>
      </c>
      <c r="BQ8" s="178">
        <f>IF(COUNT(BE8,BJ8,BO8)=0,"",SUM(BE8,BJ8,BO8)/COUNT(BE8,BJ8,BO8))</f>
        <v>3</v>
      </c>
      <c r="BR8" s="131" t="str">
        <f t="shared" si="15"/>
        <v>B</v>
      </c>
      <c r="BS8" s="156" t="s">
        <v>25</v>
      </c>
      <c r="BT8" s="157"/>
      <c r="BU8" s="158"/>
      <c r="BV8" s="108">
        <f>IFERROR((((COUNTIF('Elève (6ème5)'!BS8:BU8,"A"))*4)+((COUNTIF('Elève (6ème5)'!BS8:BU8,"B"))*3)+((COUNTIF('Elève (6ème5)'!BS8:BU8,"C"))*2)+((COUNTIF('Elève (6ème5)'!BS8:BU8,"D"))*1))/(COUNTA(BS8:BU8)),"")</f>
        <v>3</v>
      </c>
      <c r="BW8" s="109" t="str">
        <f t="shared" si="16"/>
        <v>B</v>
      </c>
      <c r="BX8" s="81"/>
      <c r="BY8" s="82"/>
      <c r="BZ8" s="83"/>
      <c r="CA8" s="108" t="str">
        <f>IFERROR((((COUNTIF('Elève (6ème5)'!BX8:BZ8,"A"))*4)+((COUNTIF('Elève (6ème5)'!BX8:BZ8,"B"))*3)+((COUNTIF('Elève (6ème5)'!BX8:BZ8,"C"))*2)+((COUNTIF('Elève (6ème5)'!BX8:BZ8,"D"))*1))/(COUNTA(BX8:BZ8)),"")</f>
        <v/>
      </c>
      <c r="CB8" s="109" t="str">
        <f t="shared" si="17"/>
        <v/>
      </c>
      <c r="CC8" s="81"/>
      <c r="CD8" s="82"/>
      <c r="CE8" s="83"/>
      <c r="CF8" s="108" t="str">
        <f>IFERROR((((COUNTIF('Elève (6ème5)'!CC8:CE8,"A"))*4)+((COUNTIF('Elève (6ème5)'!CC8:CE8,"B"))*3)+((COUNTIF('Elève (6ème5)'!CC8:CE8,"C"))*2)+((COUNTIF('Elève (6ème5)'!CC8:CE8,"D"))*1))/(COUNTA(CC8:CE8)),"")</f>
        <v/>
      </c>
      <c r="CG8" s="109" t="str">
        <f t="shared" si="18"/>
        <v/>
      </c>
      <c r="CH8" s="178">
        <f>IF(COUNT(BV8,CA8,CF8)=0,"",SUM(BV8,CA8,CF8)/COUNT(BV8,CA8,CF8))</f>
        <v>3</v>
      </c>
      <c r="CI8" s="131" t="str">
        <f t="shared" si="19"/>
        <v>B</v>
      </c>
      <c r="CJ8" s="156" t="s">
        <v>25</v>
      </c>
      <c r="CK8" s="157"/>
      <c r="CL8" s="158"/>
      <c r="CM8" s="108">
        <f>IFERROR((((COUNTIF('Elève (6ème5)'!CJ8:CL8,"A"))*4)+((COUNTIF('Elève (6ème5)'!CJ8:CL8,"B"))*3)+((COUNTIF('Elève (6ème5)'!CJ8:CL8,"C"))*2)+((COUNTIF('Elève (6ème5)'!CJ8:CL8,"D"))*1))/(COUNTA(CJ8:CL8)),"")</f>
        <v>3</v>
      </c>
      <c r="CN8" s="109" t="str">
        <f t="shared" si="20"/>
        <v>B</v>
      </c>
      <c r="CO8" s="81"/>
      <c r="CP8" s="82"/>
      <c r="CQ8" s="83"/>
      <c r="CR8" s="108" t="str">
        <f>IFERROR((((COUNTIF('Elève (6ème5)'!CO8:CQ8,"A"))*4)+((COUNTIF('Elève (6ème5)'!CO8:CQ8,"B"))*3)+((COUNTIF('Elève (6ème5)'!CO8:CQ8,"C"))*2)+((COUNTIF('Elève (6ème5)'!CO8:CQ8,"D"))*1))/(COUNTA(CO8:CQ8)),"")</f>
        <v/>
      </c>
      <c r="CS8" s="109" t="str">
        <f t="shared" si="21"/>
        <v/>
      </c>
      <c r="CT8" s="81"/>
      <c r="CU8" s="82"/>
      <c r="CV8" s="83"/>
      <c r="CW8" s="108" t="str">
        <f>IFERROR((((COUNTIF('Elève (6ème5)'!CT8:CV8,"A"))*4)+((COUNTIF('Elève (6ème5)'!CT8:CV8,"B"))*3)+((COUNTIF('Elève (6ème5)'!CT8:CV8,"C"))*2)+((COUNTIF('Elève (6ème5)'!CT8:CV8,"D"))*1))/(COUNTA(CT8:CV8)),"")</f>
        <v/>
      </c>
      <c r="CX8" s="109" t="str">
        <f t="shared" si="22"/>
        <v/>
      </c>
      <c r="CY8" s="178">
        <f>IF(COUNT(CM8,CR8,CW8)=0,"",SUM(CM8,CR8,CW8)/COUNT(CM8,CR8,CW8))</f>
        <v>3</v>
      </c>
      <c r="CZ8" s="131" t="str">
        <f t="shared" si="23"/>
        <v>B</v>
      </c>
      <c r="DA8" s="156" t="s">
        <v>24</v>
      </c>
      <c r="DB8" s="157"/>
      <c r="DC8" s="158"/>
      <c r="DD8" s="108">
        <f>IFERROR((((COUNTIF('Elève (6ème5)'!DA8:DC8,"A"))*4)+((COUNTIF('Elève (6ème5)'!DA8:DC8,"B"))*3)+((COUNTIF('Elève (6ème5)'!DA8:DC8,"C"))*2)+((COUNTIF('Elève (6ème5)'!DA8:DC8,"D"))*1))/(COUNTA(DA8:DC8)),"")</f>
        <v>4</v>
      </c>
      <c r="DE8" s="109" t="str">
        <f t="shared" si="24"/>
        <v>A</v>
      </c>
      <c r="DF8" s="81"/>
      <c r="DG8" s="82"/>
      <c r="DH8" s="83"/>
      <c r="DI8" s="108" t="str">
        <f>IFERROR((((COUNTIF('Elève (6ème5)'!DF8:DH8,"A"))*4)+((COUNTIF('Elève (6ème5)'!DF8:DH8,"B"))*3)+((COUNTIF('Elève (6ème5)'!DF8:DH8,"C"))*2)+((COUNTIF('Elève (6ème5)'!DF8:DH8,"D"))*1))/(COUNTA(DF8:DH8)),"")</f>
        <v/>
      </c>
      <c r="DJ8" s="109" t="str">
        <f t="shared" si="25"/>
        <v/>
      </c>
      <c r="DK8" s="81"/>
      <c r="DL8" s="82"/>
      <c r="DM8" s="83"/>
      <c r="DN8" s="108" t="str">
        <f>IFERROR((((COUNTIF('Elève (6ème5)'!DK8:DM8,"A"))*4)+((COUNTIF('Elève (6ème5)'!DK8:DM8,"B"))*3)+((COUNTIF('Elève (6ème5)'!DK8:DM8,"C"))*2)+((COUNTIF('Elève (6ème5)'!DK8:DM8,"D"))*1))/(COUNTA(DK8:DM8)),"")</f>
        <v/>
      </c>
      <c r="DO8" s="109" t="str">
        <f t="shared" si="26"/>
        <v/>
      </c>
      <c r="DP8" s="178">
        <f>IF(COUNT(DD8,DI8,DN8)=0,"",SUM(DD8,DI8,DN8)/COUNT(DD8,DI8,DN8))</f>
        <v>4</v>
      </c>
      <c r="DQ8" s="131" t="str">
        <f t="shared" si="27"/>
        <v>A</v>
      </c>
      <c r="DR8" s="156" t="s">
        <v>24</v>
      </c>
      <c r="DS8" s="157"/>
      <c r="DT8" s="158"/>
      <c r="DU8" s="108">
        <f>IFERROR((((COUNTIF('Elève (6ème5)'!DR8:DT8,"A"))*4)+((COUNTIF('Elève (6ème5)'!DR8:DT8,"B"))*3)+((COUNTIF('Elève (6ème5)'!DR8:DT8,"C"))*2)+((COUNTIF('Elève (6ème5)'!DR8:DT8,"D"))*1))/(COUNTA(DR8:DT8)),"")</f>
        <v>4</v>
      </c>
      <c r="DV8" s="109" t="str">
        <f t="shared" si="28"/>
        <v>A</v>
      </c>
      <c r="DW8" s="81"/>
      <c r="DX8" s="82"/>
      <c r="DY8" s="83"/>
      <c r="DZ8" s="108" t="str">
        <f>IFERROR((((COUNTIF('Elève (6ème5)'!DW8:DY8,"A"))*4)+((COUNTIF('Elève (6ème5)'!DW8:DY8,"B"))*3)+((COUNTIF('Elève (6ème5)'!DW8:DY8,"C"))*2)+((COUNTIF('Elève (6ème5)'!DW8:DY8,"D"))*1))/(COUNTA(DW8:DY8)),"")</f>
        <v/>
      </c>
      <c r="EA8" s="109" t="str">
        <f t="shared" si="29"/>
        <v/>
      </c>
      <c r="EB8" s="81"/>
      <c r="EC8" s="82"/>
      <c r="ED8" s="83"/>
      <c r="EE8" s="108" t="str">
        <f>IFERROR((((COUNTIF('Elève (6ème5)'!EB8:ED8,"A"))*4)+((COUNTIF('Elève (6ème5)'!EB8:ED8,"B"))*3)+((COUNTIF('Elève (6ème5)'!EB8:ED8,"C"))*2)+((COUNTIF('Elève (6ème5)'!EB8:ED8,"D"))*1))/(COUNTA(EB8:ED8)),"")</f>
        <v/>
      </c>
      <c r="EF8" s="109" t="str">
        <f t="shared" si="30"/>
        <v/>
      </c>
      <c r="EG8" s="178">
        <f>IF(COUNT(DU8,DZ8,EE8)=0,"",SUM(DU8,DZ8,EE8)/COUNT(DU8,DZ8,EE8))</f>
        <v>4</v>
      </c>
      <c r="EH8" s="131" t="str">
        <f t="shared" si="31"/>
        <v>A</v>
      </c>
      <c r="EI8" s="156" t="s">
        <v>24</v>
      </c>
      <c r="EJ8" s="157"/>
      <c r="EK8" s="158"/>
      <c r="EL8" s="108">
        <f>IFERROR((((COUNTIF('Elève (6ème5)'!EI8:EK8,"A"))*4)+((COUNTIF('Elève (6ème5)'!EI8:EK8,"B"))*3)+((COUNTIF('Elève (6ème5)'!EI8:EK8,"C"))*2)+((COUNTIF('Elève (6ème5)'!EI8:EK8,"D"))*1))/(COUNTA(EI8:EK8)),"")</f>
        <v>4</v>
      </c>
      <c r="EM8" s="109" t="str">
        <f t="shared" si="32"/>
        <v>A</v>
      </c>
      <c r="EN8" s="81"/>
      <c r="EO8" s="82"/>
      <c r="EP8" s="83"/>
      <c r="EQ8" s="108" t="str">
        <f>IFERROR((((COUNTIF('Elève (6ème5)'!EN8:EP8,"A"))*4)+((COUNTIF('Elève (6ème5)'!EN8:EP8,"B"))*3)+((COUNTIF('Elève (6ème5)'!EN8:EP8,"C"))*2)+((COUNTIF('Elève (6ème5)'!EN8:EP8,"D"))*1))/(COUNTA(EN8:EP8)),"")</f>
        <v/>
      </c>
      <c r="ER8" s="109" t="str">
        <f t="shared" si="33"/>
        <v/>
      </c>
      <c r="ES8" s="81"/>
      <c r="ET8" s="82"/>
      <c r="EU8" s="83"/>
      <c r="EV8" s="108" t="str">
        <f>IFERROR((((COUNTIF('Elève (6ème5)'!ES8:EU8,"A"))*4)+((COUNTIF('Elève (6ème5)'!ES8:EU8,"B"))*3)+((COUNTIF('Elève (6ème5)'!ES8:EU8,"C"))*2)+((COUNTIF('Elève (6ème5)'!ES8:EU8,"D"))*1))/(COUNTA(ES8:EU8)),"")</f>
        <v/>
      </c>
      <c r="EW8" s="109" t="str">
        <f t="shared" si="34"/>
        <v/>
      </c>
      <c r="EX8" s="178">
        <f>IF(COUNT(EL8,EQ8,EV8)=0,"",SUM(EL8,EQ8,EV8)/COUNT(EL8,EQ8,EV8))</f>
        <v>4</v>
      </c>
      <c r="EY8" s="131" t="str">
        <f t="shared" si="35"/>
        <v>A</v>
      </c>
      <c r="EZ8" s="156" t="s">
        <v>24</v>
      </c>
      <c r="FA8" s="157"/>
      <c r="FB8" s="158"/>
      <c r="FC8" s="108">
        <f>IFERROR((((COUNTIF('Elève (6ème5)'!EZ8:FB8,"A"))*4)+((COUNTIF('Elève (6ème5)'!EZ8:FB8,"B"))*3)+((COUNTIF('Elève (6ème5)'!EZ8:FB8,"C"))*2)+((COUNTIF('Elève (6ème5)'!EZ8:FB8,"D"))*1))/(COUNTA(EZ8:FB8)),"")</f>
        <v>4</v>
      </c>
      <c r="FD8" s="109" t="str">
        <f t="shared" si="36"/>
        <v>A</v>
      </c>
      <c r="FE8" s="81"/>
      <c r="FF8" s="82"/>
      <c r="FG8" s="83"/>
      <c r="FH8" s="108" t="str">
        <f>IFERROR((((COUNTIF('Elève (6ème5)'!FE8:FG8,"A"))*4)+((COUNTIF('Elève (6ème5)'!FE8:FG8,"B"))*3)+((COUNTIF('Elève (6ème5)'!FE8:FG8,"C"))*2)+((COUNTIF('Elève (6ème5)'!FE8:FG8,"D"))*1))/(COUNTA(FE8:FG8)),"")</f>
        <v/>
      </c>
      <c r="FI8" s="109" t="str">
        <f t="shared" si="37"/>
        <v/>
      </c>
      <c r="FJ8" s="81"/>
      <c r="FK8" s="82"/>
      <c r="FL8" s="83"/>
      <c r="FM8" s="108" t="str">
        <f>IFERROR((((COUNTIF('Elève (6ème5)'!FJ8:FL8,"A"))*4)+((COUNTIF('Elève (6ème5)'!FJ8:FL8,"B"))*3)+((COUNTIF('Elève (6ème5)'!FJ8:FL8,"C"))*2)+((COUNTIF('Elève (6ème5)'!FJ8:FL8,"D"))*1))/(COUNTA(FJ8:FL8)),"")</f>
        <v/>
      </c>
      <c r="FN8" s="109" t="str">
        <f t="shared" si="38"/>
        <v/>
      </c>
      <c r="FO8" s="178">
        <f>IF(COUNT(FC8,FH8,FM8)=0,"",SUM(FC8,FH8,FM8)/COUNT(FC8,FH8,FM8))</f>
        <v>4</v>
      </c>
      <c r="FP8" s="131" t="str">
        <f t="shared" si="39"/>
        <v>A</v>
      </c>
      <c r="FQ8" s="156" t="s">
        <v>24</v>
      </c>
      <c r="FR8" s="157"/>
      <c r="FS8" s="158"/>
      <c r="FT8" s="108">
        <f>IFERROR((((COUNTIF('Elève (6ème5)'!FQ8:FS8,"A"))*4)+((COUNTIF('Elève (6ème5)'!FQ8:FS8,"B"))*3)+((COUNTIF('Elève (6ème5)'!FQ8:FS8,"C"))*2)+((COUNTIF('Elève (6ème5)'!FQ8:FS8,"D"))*1))/(COUNTA(FQ8:FS8)),"")</f>
        <v>4</v>
      </c>
      <c r="FU8" s="109" t="str">
        <f t="shared" si="40"/>
        <v>A</v>
      </c>
      <c r="FV8" s="81"/>
      <c r="FW8" s="82"/>
      <c r="FX8" s="83"/>
      <c r="FY8" s="108" t="str">
        <f>IFERROR((((COUNTIF('Elève (6ème5)'!FV8:FX8,"A"))*4)+((COUNTIF('Elève (6ème5)'!FV8:FX8,"B"))*3)+((COUNTIF('Elève (6ème5)'!FV8:FX8,"C"))*2)+((COUNTIF('Elève (6ème5)'!FV8:FX8,"D"))*1))/(COUNTA(FV8:FX8)),"")</f>
        <v/>
      </c>
      <c r="FZ8" s="109" t="str">
        <f t="shared" si="41"/>
        <v/>
      </c>
      <c r="GA8" s="81"/>
      <c r="GB8" s="82"/>
      <c r="GC8" s="83"/>
      <c r="GD8" s="108" t="str">
        <f>IFERROR((((COUNTIF('Elève (6ème5)'!GA8:GC8,"A"))*4)+((COUNTIF('Elève (6ème5)'!GA8:GC8,"B"))*3)+((COUNTIF('Elève (6ème5)'!GA8:GC8,"C"))*2)+((COUNTIF('Elève (6ème5)'!GA8:GC8,"D"))*1))/(COUNTA(GA8:GC8)),"")</f>
        <v/>
      </c>
      <c r="GE8" s="109" t="str">
        <f t="shared" si="42"/>
        <v/>
      </c>
      <c r="GF8" s="178">
        <f>IF(COUNT(FT8,FY8,GD8)=0,"",SUM(FT8,FY8,GD8)/COUNT(FT8,FY8,GD8))</f>
        <v>4</v>
      </c>
      <c r="GG8" s="131" t="str">
        <f t="shared" si="43"/>
        <v>A</v>
      </c>
      <c r="GH8" s="156" t="s">
        <v>25</v>
      </c>
      <c r="GI8" s="157"/>
      <c r="GJ8" s="158"/>
      <c r="GK8" s="108">
        <f>IFERROR((((COUNTIF('Elève (6ème5)'!GH8:GJ8,"A"))*4)+((COUNTIF('Elève (6ème5)'!GH8:GJ8,"B"))*3)+((COUNTIF('Elève (6ème5)'!GH8:GJ8,"C"))*2)+((COUNTIF('Elève (6ème5)'!GH8:GJ8,"D"))*1))/(COUNTA(GH8:GJ8)),"")</f>
        <v>3</v>
      </c>
      <c r="GL8" s="109" t="str">
        <f t="shared" si="44"/>
        <v>B</v>
      </c>
      <c r="GM8" s="81"/>
      <c r="GN8" s="82"/>
      <c r="GO8" s="83"/>
      <c r="GP8" s="108" t="str">
        <f>IFERROR((((COUNTIF('Elève (6ème5)'!GM8:GO8,"A"))*4)+((COUNTIF('Elève (6ème5)'!GM8:GO8,"B"))*3)+((COUNTIF('Elève (6ème5)'!GM8:GO8,"C"))*2)+((COUNTIF('Elève (6ème5)'!GM8:GO8,"D"))*1))/(COUNTA(GM8:GO8)),"")</f>
        <v/>
      </c>
      <c r="GQ8" s="109" t="str">
        <f t="shared" si="45"/>
        <v/>
      </c>
      <c r="GR8" s="81"/>
      <c r="GS8" s="82"/>
      <c r="GT8" s="83"/>
      <c r="GU8" s="108" t="str">
        <f>IFERROR((((COUNTIF('Elève (6ème5)'!GR8:GT8,"A"))*4)+((COUNTIF('Elève (6ème5)'!GR8:GT8,"B"))*3)+((COUNTIF('Elève (6ème5)'!GR8:GT8,"C"))*2)+((COUNTIF('Elève (6ème5)'!GR8:GT8,"D"))*1))/(COUNTA(GR8:GT8)),"")</f>
        <v/>
      </c>
      <c r="GV8" s="109" t="str">
        <f t="shared" si="46"/>
        <v/>
      </c>
      <c r="GW8" s="178">
        <f>IF(COUNT(GK8,GP8,GU8)=0,"",SUM(GK8,GP8,GU8)/COUNT(GK8,GP8,GU8))</f>
        <v>3</v>
      </c>
      <c r="GX8" s="131" t="str">
        <f t="shared" si="47"/>
        <v>B</v>
      </c>
      <c r="GY8" s="156" t="s">
        <v>24</v>
      </c>
      <c r="GZ8" s="157"/>
      <c r="HA8" s="158"/>
      <c r="HB8" s="108">
        <f>IFERROR((((COUNTIF('Elève (6ème5)'!GY8:HA8,"A"))*4)+((COUNTIF('Elève (6ème5)'!GY8:HA8,"B"))*3)+((COUNTIF('Elève (6ème5)'!GY8:HA8,"C"))*2)+((COUNTIF('Elève (6ème5)'!GY8:HA8,"D"))*1))/(COUNTA(GY8:HA8)),"")</f>
        <v>4</v>
      </c>
      <c r="HC8" s="109" t="str">
        <f t="shared" si="48"/>
        <v>A</v>
      </c>
      <c r="HD8" s="81"/>
      <c r="HE8" s="82"/>
      <c r="HF8" s="83"/>
      <c r="HG8" s="108" t="str">
        <f>IFERROR((((COUNTIF('Elève (6ème5)'!HD8:HF8,"A"))*4)+((COUNTIF('Elève (6ème5)'!HD8:HF8,"B"))*3)+((COUNTIF('Elève (6ème5)'!HD8:HF8,"C"))*2)+((COUNTIF('Elève (6ème5)'!HD8:HF8,"D"))*1))/(COUNTA(HD8:HF8)),"")</f>
        <v/>
      </c>
      <c r="HH8" s="109" t="str">
        <f t="shared" si="49"/>
        <v/>
      </c>
      <c r="HI8" s="81"/>
      <c r="HJ8" s="82"/>
      <c r="HK8" s="83"/>
      <c r="HL8" s="108" t="str">
        <f>IFERROR((((COUNTIF('Elève (6ème5)'!HI8:HK8,"A"))*4)+((COUNTIF('Elève (6ème5)'!HI8:HK8,"B"))*3)+((COUNTIF('Elève (6ème5)'!HI8:HK8,"C"))*2)+((COUNTIF('Elève (6ème5)'!HI8:HK8,"D"))*1))/(COUNTA(HI8:HK8)),"")</f>
        <v/>
      </c>
      <c r="HM8" s="109" t="str">
        <f t="shared" si="50"/>
        <v/>
      </c>
      <c r="HN8" s="178">
        <f>IF(COUNT(HB8,HG8,HL8)=0,"",SUM(HB8,HG8,HL8)/COUNT(HB8,HG8,HL8))</f>
        <v>4</v>
      </c>
      <c r="HO8" s="131" t="str">
        <f t="shared" si="51"/>
        <v>A</v>
      </c>
      <c r="HP8" s="156"/>
      <c r="HQ8" s="157"/>
      <c r="HR8" s="158"/>
      <c r="HS8" s="108" t="str">
        <f>IFERROR((((COUNTIF('Elève (6ème5)'!HP8:HR8,"A"))*4)+((COUNTIF('Elève (6ème5)'!HP8:HR8,"B"))*3)+((COUNTIF('Elève (6ème5)'!HP8:HR8,"C"))*2)+((COUNTIF('Elève (6ème5)'!HP8:HR8,"D"))*1))/(COUNTA(HP8:HR8)),"")</f>
        <v/>
      </c>
      <c r="HT8" s="109" t="str">
        <f t="shared" si="52"/>
        <v/>
      </c>
      <c r="HU8" s="81"/>
      <c r="HV8" s="82"/>
      <c r="HW8" s="83"/>
      <c r="HX8" s="108" t="str">
        <f>IFERROR((((COUNTIF('Elève (6ème5)'!HU8:HW8,"A"))*4)+((COUNTIF('Elève (6ème5)'!HU8:HW8,"B"))*3)+((COUNTIF('Elève (6ème5)'!HU8:HW8,"C"))*2)+((COUNTIF('Elève (6ème5)'!HU8:HW8,"D"))*1))/(COUNTA(HU8:HW8)),"")</f>
        <v/>
      </c>
      <c r="HY8" s="109" t="str">
        <f t="shared" si="53"/>
        <v/>
      </c>
      <c r="HZ8" s="81"/>
      <c r="IA8" s="82"/>
      <c r="IB8" s="83"/>
      <c r="IC8" s="108" t="str">
        <f>IFERROR((((COUNTIF('Elève (6ème5)'!HZ8:IB8,"A"))*4)+((COUNTIF('Elève (6ème5)'!HZ8:IB8,"B"))*3)+((COUNTIF('Elève (6ème5)'!HZ8:IB8,"C"))*2)+((COUNTIF('Elève (6ème5)'!HZ8:IB8,"D"))*1))/(COUNTA(HZ8:IB8)),"")</f>
        <v/>
      </c>
      <c r="ID8" s="109" t="str">
        <f t="shared" si="54"/>
        <v/>
      </c>
      <c r="IE8" s="178" t="str">
        <f>IF(COUNT(HS8,HX8,IC8)=0,"",SUM(HS8,HX8,IC8)/COUNT(HS8,HX8,IC8))</f>
        <v/>
      </c>
      <c r="IF8" s="131" t="str">
        <f t="shared" si="55"/>
        <v/>
      </c>
      <c r="IG8" s="156" t="s">
        <v>24</v>
      </c>
      <c r="IH8" s="157"/>
      <c r="II8" s="158"/>
      <c r="IJ8" s="108">
        <f>IFERROR((((COUNTIF('Elève (6ème5)'!IG8:II8,"A"))*4)+((COUNTIF('Elève (6ème5)'!IG8:II8,"B"))*3)+((COUNTIF('Elève (6ème5)'!IG8:II8,"C"))*2)+((COUNTIF('Elève (6ème5)'!IG8:II8,"D"))*1))/(COUNTA(IG8:II8)),"")</f>
        <v>4</v>
      </c>
      <c r="IK8" s="109" t="str">
        <f t="shared" si="56"/>
        <v>A</v>
      </c>
      <c r="IL8" s="81"/>
      <c r="IM8" s="82"/>
      <c r="IN8" s="83"/>
      <c r="IO8" s="108" t="str">
        <f>IFERROR((((COUNTIF('Elève (6ème5)'!IL8:IN8,"A"))*4)+((COUNTIF('Elève (6ème5)'!IL8:IN8,"B"))*3)+((COUNTIF('Elève (6ème5)'!IL8:IN8,"C"))*2)+((COUNTIF('Elève (6ème5)'!IL8:IN8,"D"))*1))/(COUNTA(IL8:IN8)),"")</f>
        <v/>
      </c>
      <c r="IP8" s="109" t="str">
        <f t="shared" si="57"/>
        <v/>
      </c>
      <c r="IQ8" s="81"/>
      <c r="IR8" s="82"/>
      <c r="IS8" s="83"/>
      <c r="IT8" s="108" t="str">
        <f>IFERROR((((COUNTIF('Elève (6ème5)'!IQ8:IS8,"A"))*4)+((COUNTIF('Elève (6ème5)'!IQ8:IS8,"B"))*3)+((COUNTIF('Elève (6ème5)'!IQ8:IS8,"C"))*2)+((COUNTIF('Elève (6ème5)'!IQ8:IS8,"D"))*1))/(COUNTA(IQ8:IS8)),"")</f>
        <v/>
      </c>
      <c r="IU8" s="109" t="str">
        <f t="shared" si="58"/>
        <v/>
      </c>
      <c r="IV8" s="178">
        <f>IF(COUNT(IJ8,IO8,IT8)=0,"",SUM(IJ8,IO8,IT8)/COUNT(IJ8,IO8,IT8))</f>
        <v>4</v>
      </c>
      <c r="IW8" s="131" t="str">
        <f t="shared" si="59"/>
        <v>A</v>
      </c>
      <c r="IX8" s="156" t="s">
        <v>24</v>
      </c>
      <c r="IY8" s="157"/>
      <c r="IZ8" s="158"/>
      <c r="JA8" s="108">
        <f>IFERROR((((COUNTIF('Elève (6ème5)'!IX8:IZ8,"A"))*4)+((COUNTIF('Elève (6ème5)'!IX8:IZ8,"B"))*3)+((COUNTIF('Elève (6ème5)'!IX8:IZ8,"C"))*2)+((COUNTIF('Elève (6ème5)'!IX8:IZ8,"D"))*1))/(COUNTA(IX8:IZ8)),"")</f>
        <v>4</v>
      </c>
      <c r="JB8" s="109" t="str">
        <f t="shared" si="60"/>
        <v>A</v>
      </c>
      <c r="JC8" s="81"/>
      <c r="JD8" s="82"/>
      <c r="JE8" s="83"/>
      <c r="JF8" s="108" t="str">
        <f>IFERROR((((COUNTIF('Elève (6ème5)'!JC8:JE8,"A"))*4)+((COUNTIF('Elève (6ème5)'!JC8:JE8,"B"))*3)+((COUNTIF('Elève (6ème5)'!JC8:JE8,"C"))*2)+((COUNTIF('Elève (6ème5)'!JC8:JE8,"D"))*1))/(COUNTA(JC8:JE8)),"")</f>
        <v/>
      </c>
      <c r="JG8" s="109" t="str">
        <f t="shared" si="61"/>
        <v/>
      </c>
      <c r="JH8" s="81"/>
      <c r="JI8" s="82"/>
      <c r="JJ8" s="83"/>
      <c r="JK8" s="108" t="str">
        <f>IFERROR((((COUNTIF('Elève (6ème5)'!JH8:JJ8,"A"))*4)+((COUNTIF('Elève (6ème5)'!JH8:JJ8,"B"))*3)+((COUNTIF('Elève (6ème5)'!JH8:JJ8,"C"))*2)+((COUNTIF('Elève (6ème5)'!JH8:JJ8,"D"))*1))/(COUNTA(JH8:JJ8)),"")</f>
        <v/>
      </c>
      <c r="JL8" s="109" t="str">
        <f t="shared" si="62"/>
        <v/>
      </c>
      <c r="JM8" s="178">
        <f>IF(COUNT(JA8,JF8,JK8)=0,"",SUM(JA8,JF8,JK8)/COUNT(JA8,JF8,JK8))</f>
        <v>4</v>
      </c>
      <c r="JN8" s="131" t="str">
        <f t="shared" si="63"/>
        <v>A</v>
      </c>
      <c r="JO8" s="156"/>
      <c r="JP8" s="157"/>
      <c r="JQ8" s="158"/>
      <c r="JR8" s="108" t="str">
        <f>IFERROR((((COUNTIF('Elève (6ème5)'!JO8:JQ8,"A"))*4)+((COUNTIF('Elève (6ème5)'!JO8:JQ8,"B"))*3)+((COUNTIF('Elève (6ème5)'!JO8:JQ8,"C"))*2)+((COUNTIF('Elève (6ème5)'!JO8:JQ8,"D"))*1))/(COUNTA(JO8:JQ8)),"")</f>
        <v/>
      </c>
      <c r="JS8" s="109" t="str">
        <f t="shared" si="64"/>
        <v/>
      </c>
      <c r="JT8" s="81"/>
      <c r="JU8" s="82"/>
      <c r="JV8" s="83"/>
      <c r="JW8" s="108" t="str">
        <f>IFERROR((((COUNTIF('Elève (6ème5)'!JT8:JV8,"A"))*4)+((COUNTIF('Elève (6ème5)'!JT8:JV8,"B"))*3)+((COUNTIF('Elève (6ème5)'!JT8:JV8,"C"))*2)+((COUNTIF('Elève (6ème5)'!JT8:JV8,"D"))*1))/(COUNTA(JT8:JV8)),"")</f>
        <v/>
      </c>
      <c r="JX8" s="109" t="str">
        <f t="shared" si="65"/>
        <v/>
      </c>
      <c r="JY8" s="81"/>
      <c r="JZ8" s="82"/>
      <c r="KA8" s="83"/>
      <c r="KB8" s="108" t="str">
        <f>IFERROR((((COUNTIF('Elève (6ème5)'!JY8:KA8,"A"))*4)+((COUNTIF('Elève (6ème5)'!JY8:KA8,"B"))*3)+((COUNTIF('Elève (6ème5)'!JY8:KA8,"C"))*2)+((COUNTIF('Elève (6ème5)'!JY8:KA8,"D"))*1))/(COUNTA(JY8:KA8)),"")</f>
        <v/>
      </c>
      <c r="KC8" s="109" t="str">
        <f t="shared" si="66"/>
        <v/>
      </c>
      <c r="KD8" s="178" t="str">
        <f>IF(COUNT(JR8,JW8,KB8)=0,"",SUM(JR8,JW8,KB8)/COUNT(JR8,JW8,KB8))</f>
        <v/>
      </c>
      <c r="KE8" s="131" t="str">
        <f t="shared" si="67"/>
        <v/>
      </c>
      <c r="KF8" s="156"/>
      <c r="KG8" s="157"/>
      <c r="KH8" s="158"/>
      <c r="KI8" s="108" t="str">
        <f>IFERROR((((COUNTIF('Elève (6ème5)'!KF8:KH8,"A"))*4)+((COUNTIF('Elève (6ème5)'!KF8:KH8,"B"))*3)+((COUNTIF('Elève (6ème5)'!KF8:KH8,"C"))*2)+((COUNTIF('Elève (6ème5)'!KF8:KH8,"D"))*1))/(COUNTA(KF8:KH8)),"")</f>
        <v/>
      </c>
      <c r="KJ8" s="109" t="str">
        <f t="shared" si="68"/>
        <v/>
      </c>
      <c r="KK8" s="81"/>
      <c r="KL8" s="82"/>
      <c r="KM8" s="83"/>
      <c r="KN8" s="108" t="str">
        <f>IFERROR((((COUNTIF('Elève (6ème5)'!KK8:KM8,"A"))*4)+((COUNTIF('Elève (6ème5)'!KK8:KM8,"B"))*3)+((COUNTIF('Elève (6ème5)'!KK8:KM8,"C"))*2)+((COUNTIF('Elève (6ème5)'!KK8:KM8,"D"))*1))/(COUNTA(KK8:KM8)),"")</f>
        <v/>
      </c>
      <c r="KO8" s="109" t="str">
        <f t="shared" si="69"/>
        <v/>
      </c>
      <c r="KP8" s="81"/>
      <c r="KQ8" s="82"/>
      <c r="KR8" s="83"/>
      <c r="KS8" s="108" t="str">
        <f>IFERROR((((COUNTIF('Elève (6ème5)'!KP8:KR8,"A"))*4)+((COUNTIF('Elève (6ème5)'!KP8:KR8,"B"))*3)+((COUNTIF('Elève (6ème5)'!KP8:KR8,"C"))*2)+((COUNTIF('Elève (6ème5)'!KP8:KR8,"D"))*1))/(COUNTA(KP8:KR8)),"")</f>
        <v/>
      </c>
      <c r="KT8" s="109" t="str">
        <f t="shared" si="70"/>
        <v/>
      </c>
      <c r="KU8" s="178" t="str">
        <f>IF(COUNT(KI8,KN8,KS8)=0,"",SUM(KI8,KN8,KS8)/COUNT(KI8,KN8,KS8))</f>
        <v/>
      </c>
      <c r="KV8" s="131" t="str">
        <f t="shared" si="71"/>
        <v/>
      </c>
      <c r="KW8" s="156" t="s">
        <v>25</v>
      </c>
      <c r="KX8" s="157"/>
      <c r="KY8" s="158"/>
      <c r="KZ8" s="108">
        <f>IFERROR((((COUNTIF('Elève (6ème5)'!KW8:KY8,"A"))*4)+((COUNTIF('Elève (6ème5)'!KW8:KY8,"B"))*3)+((COUNTIF('Elève (6ème5)'!KW8:KY8,"C"))*2)+((COUNTIF('Elève (6ème5)'!KW8:KY8,"D"))*1))/(COUNTA(KW8:KY8)),"")</f>
        <v>3</v>
      </c>
      <c r="LA8" s="109" t="str">
        <f t="shared" si="72"/>
        <v>B</v>
      </c>
      <c r="LB8" s="81"/>
      <c r="LC8" s="82"/>
      <c r="LD8" s="83"/>
      <c r="LE8" s="108" t="str">
        <f>IFERROR((((COUNTIF('Elève (6ème5)'!LB8:LD8,"A"))*4)+((COUNTIF('Elève (6ème5)'!LB8:LD8,"B"))*3)+((COUNTIF('Elève (6ème5)'!LB8:LD8,"C"))*2)+((COUNTIF('Elève (6ème5)'!LB8:LD8,"D"))*1))/(COUNTA(LB8:LD8)),"")</f>
        <v/>
      </c>
      <c r="LF8" s="109" t="str">
        <f t="shared" si="73"/>
        <v/>
      </c>
      <c r="LG8" s="81"/>
      <c r="LH8" s="82"/>
      <c r="LI8" s="83"/>
      <c r="LJ8" s="108" t="str">
        <f>IFERROR((((COUNTIF('Elève (6ème5)'!LG8:LI8,"A"))*4)+((COUNTIF('Elève (6ème5)'!LG8:LI8,"B"))*3)+((COUNTIF('Elève (6ème5)'!LG8:LI8,"C"))*2)+((COUNTIF('Elève (6ème5)'!LG8:LI8,"D"))*1))/(COUNTA(LG8:LI8)),"")</f>
        <v/>
      </c>
      <c r="LK8" s="109" t="str">
        <f t="shared" si="74"/>
        <v/>
      </c>
      <c r="LL8" s="178">
        <f>IF(COUNT(KZ8,LE8,LJ8)=0,"",SUM(KZ8,LE8,LJ8)/COUNT(KZ8,LE8,LJ8))</f>
        <v>3</v>
      </c>
      <c r="LM8" s="131" t="str">
        <f t="shared" si="75"/>
        <v>B</v>
      </c>
      <c r="LN8" s="156" t="s">
        <v>24</v>
      </c>
      <c r="LO8" s="157"/>
      <c r="LP8" s="158"/>
      <c r="LQ8" s="108">
        <f>IFERROR((((COUNTIF('Elève (6ème5)'!LN8:LP8,"A"))*4)+((COUNTIF('Elève (6ème5)'!LN8:LP8,"B"))*3)+((COUNTIF('Elève (6ème5)'!LN8:LP8,"C"))*2)+((COUNTIF('Elève (6ème5)'!LN8:LP8,"D"))*1))/(COUNTA(LN8:LP8)),"")</f>
        <v>4</v>
      </c>
      <c r="LR8" s="109" t="str">
        <f t="shared" si="76"/>
        <v>A</v>
      </c>
      <c r="LS8" s="81"/>
      <c r="LT8" s="82"/>
      <c r="LU8" s="83"/>
      <c r="LV8" s="108" t="str">
        <f>IFERROR((((COUNTIF('Elève (6ème5)'!LS8:LU8,"A"))*4)+((COUNTIF('Elève (6ème5)'!LS8:LU8,"B"))*3)+((COUNTIF('Elève (6ème5)'!LS8:LU8,"C"))*2)+((COUNTIF('Elève (6ème5)'!LS8:LU8,"D"))*1))/(COUNTA(LS8:LU8)),"")</f>
        <v/>
      </c>
      <c r="LW8" s="109" t="str">
        <f t="shared" si="77"/>
        <v/>
      </c>
      <c r="LX8" s="81"/>
      <c r="LY8" s="82"/>
      <c r="LZ8" s="83"/>
      <c r="MA8" s="108" t="str">
        <f>IFERROR((((COUNTIF('Elève (6ème5)'!LX8:LZ8,"A"))*4)+((COUNTIF('Elève (6ème5)'!LX8:LZ8,"B"))*3)+((COUNTIF('Elève (6ème5)'!LX8:LZ8,"C"))*2)+((COUNTIF('Elève (6ème5)'!LX8:LZ8,"D"))*1))/(COUNTA(LX8:LZ8)),"")</f>
        <v/>
      </c>
      <c r="MB8" s="109" t="str">
        <f t="shared" si="78"/>
        <v/>
      </c>
      <c r="MC8" s="178">
        <f>IF(COUNT(LQ8,LV8,MA8)=0,"",SUM(LQ8,LV8,MA8)/COUNT(LQ8,LV8,MA8))</f>
        <v>4</v>
      </c>
      <c r="MD8" s="131" t="str">
        <f t="shared" si="79"/>
        <v>A</v>
      </c>
      <c r="ME8" s="156" t="s">
        <v>24</v>
      </c>
      <c r="MF8" s="157"/>
      <c r="MG8" s="158"/>
      <c r="MH8" s="108">
        <f>IFERROR((((COUNTIF('Elève (6ème5)'!ME8:MG8,"A"))*4)+((COUNTIF('Elève (6ème5)'!ME8:MG8,"B"))*3)+((COUNTIF('Elève (6ème5)'!ME8:MG8,"C"))*2)+((COUNTIF('Elève (6ème5)'!ME8:MG8,"D"))*1))/(COUNTA(ME8:MG8)),"")</f>
        <v>4</v>
      </c>
      <c r="MI8" s="109" t="str">
        <f t="shared" si="80"/>
        <v>A</v>
      </c>
      <c r="MJ8" s="81"/>
      <c r="MK8" s="82"/>
      <c r="ML8" s="83"/>
      <c r="MM8" s="108" t="str">
        <f>IFERROR((((COUNTIF('Elève (6ème5)'!MJ8:ML8,"A"))*4)+((COUNTIF('Elève (6ème5)'!MJ8:ML8,"B"))*3)+((COUNTIF('Elève (6ème5)'!MJ8:ML8,"C"))*2)+((COUNTIF('Elève (6ème5)'!MJ8:ML8,"D"))*1))/(COUNTA(MJ8:ML8)),"")</f>
        <v/>
      </c>
      <c r="MN8" s="109" t="str">
        <f t="shared" si="81"/>
        <v/>
      </c>
      <c r="MO8" s="81"/>
      <c r="MP8" s="82"/>
      <c r="MQ8" s="83"/>
      <c r="MR8" s="108" t="str">
        <f>IFERROR((((COUNTIF('Elève (6ème5)'!MO8:MQ8,"A"))*4)+((COUNTIF('Elève (6ème5)'!MO8:MQ8,"B"))*3)+((COUNTIF('Elève (6ème5)'!MO8:MQ8,"C"))*2)+((COUNTIF('Elève (6ème5)'!MO8:MQ8,"D"))*1))/(COUNTA(MO8:MQ8)),"")</f>
        <v/>
      </c>
      <c r="MS8" s="109" t="str">
        <f t="shared" si="82"/>
        <v/>
      </c>
      <c r="MT8" s="178">
        <f>IF(COUNT(MH8,MM8,MR8)=0,"",SUM(MH8,MM8,MR8)/COUNT(MH8,MM8,MR8))</f>
        <v>4</v>
      </c>
      <c r="MU8" s="131" t="str">
        <f t="shared" si="83"/>
        <v>A</v>
      </c>
      <c r="MV8" s="156" t="s">
        <v>24</v>
      </c>
      <c r="MW8" s="157"/>
      <c r="MX8" s="158"/>
      <c r="MY8" s="108">
        <f>IFERROR((((COUNTIF('Elève (6ème5)'!MV8:MX8,"A"))*4)+((COUNTIF('Elève (6ème5)'!MV8:MX8,"B"))*3)+((COUNTIF('Elève (6ème5)'!MV8:MX8,"C"))*2)+((COUNTIF('Elève (6ème5)'!MV8:MX8,"D"))*1))/(COUNTA(MV8:MX8)),"")</f>
        <v>4</v>
      </c>
      <c r="MZ8" s="109" t="str">
        <f t="shared" si="84"/>
        <v>A</v>
      </c>
      <c r="NA8" s="81"/>
      <c r="NB8" s="82"/>
      <c r="NC8" s="83"/>
      <c r="ND8" s="108" t="str">
        <f>IFERROR((((COUNTIF('Elève (6ème5)'!NA8:NC8,"A"))*4)+((COUNTIF('Elève (6ème5)'!NA8:NC8,"B"))*3)+((COUNTIF('Elève (6ème5)'!NA8:NC8,"C"))*2)+((COUNTIF('Elève (6ème5)'!NA8:NC8,"D"))*1))/(COUNTA(NA8:NC8)),"")</f>
        <v/>
      </c>
      <c r="NE8" s="109" t="str">
        <f t="shared" si="85"/>
        <v/>
      </c>
      <c r="NF8" s="81"/>
      <c r="NG8" s="82"/>
      <c r="NH8" s="83"/>
      <c r="NI8" s="108" t="str">
        <f>IFERROR((((COUNTIF('Elève (6ème5)'!NF8:NH8,"A"))*4)+((COUNTIF('Elève (6ème5)'!NF8:NH8,"B"))*3)+((COUNTIF('Elève (6ème5)'!NF8:NH8,"C"))*2)+((COUNTIF('Elève (6ème5)'!NF8:NH8,"D"))*1))/(COUNTA(NF8:NH8)),"")</f>
        <v/>
      </c>
      <c r="NJ8" s="109" t="str">
        <f t="shared" si="86"/>
        <v/>
      </c>
      <c r="NK8" s="178">
        <f>IF(COUNT(MY8,ND8,NI8)=0,"",SUM(MY8,ND8,NI8)/COUNT(MY8,ND8,NI8))</f>
        <v>4</v>
      </c>
      <c r="NL8" s="131" t="str">
        <f t="shared" si="87"/>
        <v>A</v>
      </c>
      <c r="NM8" s="156"/>
      <c r="NN8" s="157"/>
      <c r="NO8" s="158"/>
      <c r="NP8" s="108" t="str">
        <f>IFERROR((((COUNTIF('Elève (6ème5)'!NM8:NO8,"A"))*4)+((COUNTIF('Elève (6ème5)'!NM8:NO8,"B"))*3)+((COUNTIF('Elève (6ème5)'!NM8:NO8,"C"))*2)+((COUNTIF('Elève (6ème5)'!NM8:NO8,"D"))*1))/(COUNTA(NM8:NO8)),"")</f>
        <v/>
      </c>
      <c r="NQ8" s="109" t="str">
        <f t="shared" si="88"/>
        <v/>
      </c>
      <c r="NR8" s="81"/>
      <c r="NS8" s="82"/>
      <c r="NT8" s="83"/>
      <c r="NU8" s="108" t="str">
        <f>IFERROR((((COUNTIF('Elève (6ème5)'!NR8:NT8,"A"))*4)+((COUNTIF('Elève (6ème5)'!NR8:NT8,"B"))*3)+((COUNTIF('Elève (6ème5)'!NR8:NT8,"C"))*2)+((COUNTIF('Elève (6ème5)'!NR8:NT8,"D"))*1))/(COUNTA(NR8:NT8)),"")</f>
        <v/>
      </c>
      <c r="NV8" s="109" t="str">
        <f t="shared" si="89"/>
        <v/>
      </c>
      <c r="NW8" s="81"/>
      <c r="NX8" s="82"/>
      <c r="NY8" s="83"/>
      <c r="NZ8" s="108" t="str">
        <f>IFERROR((((COUNTIF('Elève (6ème5)'!NW8:NY8,"A"))*4)+((COUNTIF('Elève (6ème5)'!NW8:NY8,"B"))*3)+((COUNTIF('Elève (6ème5)'!NW8:NY8,"C"))*2)+((COUNTIF('Elève (6ème5)'!NW8:NY8,"D"))*1))/(COUNTA(NW8:NY8)),"")</f>
        <v/>
      </c>
      <c r="OA8" s="109" t="str">
        <f t="shared" si="90"/>
        <v/>
      </c>
      <c r="OB8" s="178" t="str">
        <f>IF(COUNT(NP8,NU8,NZ8)=0,"",SUM(NP8,NU8,NZ8)/COUNT(NP8,NU8,NZ8))</f>
        <v/>
      </c>
      <c r="OC8" s="131" t="str">
        <f t="shared" si="91"/>
        <v/>
      </c>
      <c r="OD8" s="156"/>
      <c r="OE8" s="157"/>
      <c r="OF8" s="158"/>
      <c r="OG8" s="108" t="str">
        <f>IFERROR((((COUNTIF('Elève (6ème5)'!OD8:OF8,"A"))*4)+((COUNTIF('Elève (6ème5)'!OD8:OF8,"B"))*3)+((COUNTIF('Elève (6ème5)'!OD8:OF8,"C"))*2)+((COUNTIF('Elève (6ème5)'!OD8:OF8,"D"))*1))/(COUNTA(OD8:OF8)),"")</f>
        <v/>
      </c>
      <c r="OH8" s="109" t="str">
        <f t="shared" si="92"/>
        <v/>
      </c>
      <c r="OI8" s="81"/>
      <c r="OJ8" s="82"/>
      <c r="OK8" s="83"/>
      <c r="OL8" s="108" t="str">
        <f>IFERROR((((COUNTIF('Elève (6ème5)'!OI8:OK8,"A"))*4)+((COUNTIF('Elève (6ème5)'!OI8:OK8,"B"))*3)+((COUNTIF('Elève (6ème5)'!OI8:OK8,"C"))*2)+((COUNTIF('Elève (6ème5)'!OI8:OK8,"D"))*1))/(COUNTA(OI8:OK8)),"")</f>
        <v/>
      </c>
      <c r="OM8" s="109" t="str">
        <f t="shared" si="93"/>
        <v/>
      </c>
      <c r="ON8" s="81"/>
      <c r="OO8" s="82"/>
      <c r="OP8" s="83"/>
      <c r="OQ8" s="108" t="str">
        <f>IFERROR((((COUNTIF('Elève (6ème5)'!ON8:OP8,"A"))*4)+((COUNTIF('Elève (6ème5)'!ON8:OP8,"B"))*3)+((COUNTIF('Elève (6ème5)'!ON8:OP8,"C"))*2)+((COUNTIF('Elève (6ème5)'!ON8:OP8,"D"))*1))/(COUNTA(ON8:OP8)),"")</f>
        <v/>
      </c>
      <c r="OR8" s="109" t="str">
        <f t="shared" si="94"/>
        <v/>
      </c>
      <c r="OS8" s="178" t="str">
        <f>IF(COUNT(OG8,OL8,OQ8)=0,"",SUM(OG8,OL8,OQ8)/COUNT(OG8,OL8,OQ8))</f>
        <v/>
      </c>
      <c r="OT8" s="131" t="str">
        <f t="shared" si="95"/>
        <v/>
      </c>
      <c r="OU8" s="156" t="s">
        <v>24</v>
      </c>
      <c r="OV8" s="157"/>
      <c r="OW8" s="158"/>
      <c r="OX8" s="108">
        <f>IFERROR((((COUNTIF('Elève (6ème5)'!OU8:OW8,"A"))*4)+((COUNTIF('Elève (6ème5)'!OU8:OW8,"B"))*3)+((COUNTIF('Elève (6ème5)'!OU8:OW8,"C"))*2)+((COUNTIF('Elève (6ème5)'!OU8:OW8,"D"))*1))/(COUNTA(OU8:OW8)),"")</f>
        <v>4</v>
      </c>
      <c r="OY8" s="109" t="str">
        <f t="shared" si="96"/>
        <v>A</v>
      </c>
      <c r="OZ8" s="81"/>
      <c r="PA8" s="82"/>
      <c r="PB8" s="83"/>
      <c r="PC8" s="108" t="str">
        <f>IFERROR((((COUNTIF('Elève (6ème5)'!OZ8:PB8,"A"))*4)+((COUNTIF('Elève (6ème5)'!OZ8:PB8,"B"))*3)+((COUNTIF('Elève (6ème5)'!OZ8:PB8,"C"))*2)+((COUNTIF('Elève (6ème5)'!OZ8:PB8,"D"))*1))/(COUNTA(OZ8:PB8)),"")</f>
        <v/>
      </c>
      <c r="PD8" s="109" t="str">
        <f t="shared" si="97"/>
        <v/>
      </c>
      <c r="PE8" s="81"/>
      <c r="PF8" s="82"/>
      <c r="PG8" s="83"/>
      <c r="PH8" s="108" t="str">
        <f>IFERROR((((COUNTIF('Elève (6ème5)'!PE8:PG8,"A"))*4)+((COUNTIF('Elève (6ème5)'!PE8:PG8,"B"))*3)+((COUNTIF('Elève (6ème5)'!PE8:PG8,"C"))*2)+((COUNTIF('Elève (6ème5)'!PE8:PG8,"D"))*1))/(COUNTA(PE8:PG8)),"")</f>
        <v/>
      </c>
      <c r="PI8" s="109" t="str">
        <f t="shared" si="98"/>
        <v/>
      </c>
      <c r="PJ8" s="178">
        <f>IF(COUNT(OX8,PC8,PH8)=0,"",SUM(OX8,PC8,PH8)/COUNT(OX8,PC8,PH8))</f>
        <v>4</v>
      </c>
      <c r="PK8" s="131" t="str">
        <f t="shared" si="99"/>
        <v>A</v>
      </c>
      <c r="PL8" s="156"/>
      <c r="PM8" s="157"/>
      <c r="PN8" s="158"/>
      <c r="PO8" s="108" t="str">
        <f>IFERROR((((COUNTIF('Elève (6ème5)'!PL8:PN8,"A"))*4)+((COUNTIF('Elève (6ème5)'!PL8:PN8,"B"))*3)+((COUNTIF('Elève (6ème5)'!PL8:PN8,"C"))*2)+((COUNTIF('Elève (6ème5)'!PL8:PN8,"D"))*1))/(COUNTA(PL8:PN8)),"")</f>
        <v/>
      </c>
      <c r="PP8" s="109" t="str">
        <f t="shared" si="100"/>
        <v/>
      </c>
      <c r="PQ8" s="81"/>
      <c r="PR8" s="82"/>
      <c r="PS8" s="83"/>
      <c r="PT8" s="108" t="str">
        <f>IFERROR((((COUNTIF('Elève (6ème5)'!PQ8:PS8,"A"))*4)+((COUNTIF('Elève (6ème5)'!PQ8:PS8,"B"))*3)+((COUNTIF('Elève (6ème5)'!PQ8:PS8,"C"))*2)+((COUNTIF('Elève (6ème5)'!PQ8:PS8,"D"))*1))/(COUNTA(PQ8:PS8)),"")</f>
        <v/>
      </c>
      <c r="PU8" s="109" t="str">
        <f t="shared" si="101"/>
        <v/>
      </c>
      <c r="PV8" s="81"/>
      <c r="PW8" s="82"/>
      <c r="PX8" s="83"/>
      <c r="PY8" s="108" t="str">
        <f>IFERROR((((COUNTIF('Elève (6ème5)'!PV8:PX8,"A"))*4)+((COUNTIF('Elève (6ème5)'!PV8:PX8,"B"))*3)+((COUNTIF('Elève (6ème5)'!PV8:PX8,"C"))*2)+((COUNTIF('Elève (6ème5)'!PV8:PX8,"D"))*1))/(COUNTA(PV8:PX8)),"")</f>
        <v/>
      </c>
      <c r="PZ8" s="109" t="str">
        <f t="shared" si="102"/>
        <v/>
      </c>
      <c r="QA8" s="178" t="str">
        <f>IF(COUNT(PO8,PT8,PY8)=0,"",SUM(PO8,PT8,PY8)/COUNT(PO8,PT8,PY8))</f>
        <v/>
      </c>
      <c r="QB8" s="131" t="str">
        <f t="shared" si="103"/>
        <v/>
      </c>
      <c r="QC8" s="156" t="s">
        <v>24</v>
      </c>
      <c r="QD8" s="157"/>
      <c r="QE8" s="158"/>
      <c r="QF8" s="108">
        <f>IFERROR((((COUNTIF('Elève (6ème5)'!QC8:QE8,"A"))*4)+((COUNTIF('Elève (6ème5)'!QC8:QE8,"B"))*3)+((COUNTIF('Elève (6ème5)'!QC8:QE8,"C"))*2)+((COUNTIF('Elève (6ème5)'!QC8:QE8,"D"))*1))/(COUNTA(QC8:QE8)),"")</f>
        <v>4</v>
      </c>
      <c r="QG8" s="109" t="str">
        <f t="shared" si="104"/>
        <v>A</v>
      </c>
      <c r="QH8" s="81"/>
      <c r="QI8" s="82"/>
      <c r="QJ8" s="83"/>
      <c r="QK8" s="108" t="str">
        <f>IFERROR((((COUNTIF('Elève (6ème5)'!QH8:QJ8,"A"))*4)+((COUNTIF('Elève (6ème5)'!QH8:QJ8,"B"))*3)+((COUNTIF('Elève (6ème5)'!QH8:QJ8,"C"))*2)+((COUNTIF('Elève (6ème5)'!QH8:QJ8,"D"))*1))/(COUNTA(QH8:QJ8)),"")</f>
        <v/>
      </c>
      <c r="QL8" s="109" t="str">
        <f t="shared" si="105"/>
        <v/>
      </c>
      <c r="QM8" s="81"/>
      <c r="QN8" s="82"/>
      <c r="QO8" s="83"/>
      <c r="QP8" s="108" t="str">
        <f>IFERROR((((COUNTIF('Elève (6ème5)'!QM8:QO8,"A"))*4)+((COUNTIF('Elève (6ème5)'!QM8:QO8,"B"))*3)+((COUNTIF('Elève (6ème5)'!QM8:QO8,"C"))*2)+((COUNTIF('Elève (6ème5)'!QM8:QO8,"D"))*1))/(COUNTA(QM8:QO8)),"")</f>
        <v/>
      </c>
      <c r="QQ8" s="109" t="str">
        <f t="shared" si="106"/>
        <v/>
      </c>
      <c r="QR8" s="178">
        <f>IF(COUNT(QF8,QK8,QP8)=0,"",SUM(QF8,QK8,QP8)/COUNT(QF8,QK8,QP8))</f>
        <v>4</v>
      </c>
      <c r="QS8" s="131" t="str">
        <f t="shared" si="107"/>
        <v>A</v>
      </c>
      <c r="QT8" s="156"/>
      <c r="QU8" s="157"/>
      <c r="QV8" s="158"/>
      <c r="QW8" s="108" t="str">
        <f>IFERROR((((COUNTIF('Elève (6ème5)'!QT8:QV8,"A"))*4)+((COUNTIF('Elève (6ème5)'!QT8:QV8,"B"))*3)+((COUNTIF('Elève (6ème5)'!QT8:QV8,"C"))*2)+((COUNTIF('Elève (6ème5)'!QT8:QV8,"D"))*1))/(COUNTA(QT8:QV8)),"")</f>
        <v/>
      </c>
      <c r="QX8" s="109" t="str">
        <f t="shared" si="108"/>
        <v/>
      </c>
      <c r="QY8" s="81"/>
      <c r="QZ8" s="82"/>
      <c r="RA8" s="83"/>
      <c r="RB8" s="108" t="str">
        <f>IFERROR((((COUNTIF('Elève (6ème5)'!QY8:RA8,"A"))*4)+((COUNTIF('Elève (6ème5)'!QY8:RA8,"B"))*3)+((COUNTIF('Elève (6ème5)'!QY8:RA8,"C"))*2)+((COUNTIF('Elève (6ème5)'!QY8:RA8,"D"))*1))/(COUNTA(QY8:RA8)),"")</f>
        <v/>
      </c>
      <c r="RC8" s="109" t="str">
        <f t="shared" si="109"/>
        <v/>
      </c>
      <c r="RD8" s="81"/>
      <c r="RE8" s="82"/>
      <c r="RF8" s="83"/>
      <c r="RG8" s="108" t="str">
        <f>IFERROR((((COUNTIF('Elève (6ème5)'!RD8:RF8,"A"))*4)+((COUNTIF('Elève (6ème5)'!RD8:RF8,"B"))*3)+((COUNTIF('Elève (6ème5)'!RD8:RF8,"C"))*2)+((COUNTIF('Elève (6ème5)'!RD8:RF8,"D"))*1))/(COUNTA(RD8:RF8)),"")</f>
        <v/>
      </c>
      <c r="RH8" s="109" t="str">
        <f t="shared" si="110"/>
        <v/>
      </c>
      <c r="RI8" s="178" t="str">
        <f>IF(COUNT(QW8,RB8,RG8)=0,"",SUM(QW8,RB8,RG8)/COUNT(QW8,RB8,RG8))</f>
        <v/>
      </c>
      <c r="RJ8" s="131" t="str">
        <f t="shared" si="111"/>
        <v/>
      </c>
      <c r="RK8" s="156"/>
      <c r="RL8" s="157"/>
      <c r="RM8" s="158"/>
      <c r="RN8" s="108" t="str">
        <f>IFERROR((((COUNTIF('Elève (6ème5)'!RK8:RM8,"A"))*4)+((COUNTIF('Elève (6ème5)'!RK8:RM8,"B"))*3)+((COUNTIF('Elève (6ème5)'!RK8:RM8,"C"))*2)+((COUNTIF('Elève (6ème5)'!RK8:RM8,"D"))*1))/(COUNTA(RK8:RM8)),"")</f>
        <v/>
      </c>
      <c r="RO8" s="109" t="str">
        <f t="shared" si="112"/>
        <v/>
      </c>
      <c r="RP8" s="81"/>
      <c r="RQ8" s="82"/>
      <c r="RR8" s="83"/>
      <c r="RS8" s="108" t="str">
        <f>IFERROR((((COUNTIF('Elève (6ème5)'!RP8:RR8,"A"))*4)+((COUNTIF('Elève (6ème5)'!RP8:RR8,"B"))*3)+((COUNTIF('Elève (6ème5)'!RP8:RR8,"C"))*2)+((COUNTIF('Elève (6ème5)'!RP8:RR8,"D"))*1))/(COUNTA(RP8:RR8)),"")</f>
        <v/>
      </c>
      <c r="RT8" s="109" t="str">
        <f t="shared" si="113"/>
        <v/>
      </c>
      <c r="RU8" s="81"/>
      <c r="RV8" s="82"/>
      <c r="RW8" s="83"/>
      <c r="RX8" s="108" t="str">
        <f>IFERROR((((COUNTIF('Elève (6ème5)'!RU8:RW8,"A"))*4)+((COUNTIF('Elève (6ème5)'!RU8:RW8,"B"))*3)+((COUNTIF('Elève (6ème5)'!RU8:RW8,"C"))*2)+((COUNTIF('Elève (6ème5)'!RU8:RW8,"D"))*1))/(COUNTA(RU8:RW8)),"")</f>
        <v/>
      </c>
      <c r="RY8" s="109" t="str">
        <f t="shared" si="114"/>
        <v/>
      </c>
      <c r="RZ8" s="178" t="str">
        <f>IF(COUNT(RN8,RS8,RX8)=0,"",SUM(RN8,RS8,RX8)/COUNT(RN8,RS8,RX8))</f>
        <v/>
      </c>
      <c r="SA8" s="131" t="str">
        <f t="shared" si="115"/>
        <v/>
      </c>
      <c r="SB8" s="156"/>
      <c r="SC8" s="157"/>
      <c r="SD8" s="158"/>
      <c r="SE8" s="108" t="str">
        <f>IFERROR((((COUNTIF('Elève (6ème5)'!SB8:SD8,"A"))*4)+((COUNTIF('Elève (6ème5)'!SB8:SD8,"B"))*3)+((COUNTIF('Elève (6ème5)'!SB8:SD8,"C"))*2)+((COUNTIF('Elève (6ème5)'!SB8:SD8,"D"))*1))/(COUNTA(SB8:SD8)),"")</f>
        <v/>
      </c>
      <c r="SF8" s="109" t="str">
        <f t="shared" si="116"/>
        <v/>
      </c>
      <c r="SG8" s="81"/>
      <c r="SH8" s="82"/>
      <c r="SI8" s="83"/>
      <c r="SJ8" s="108" t="str">
        <f>IFERROR((((COUNTIF('Elève (6ème5)'!SG8:SI8,"A"))*4)+((COUNTIF('Elève (6ème5)'!SG8:SI8,"B"))*3)+((COUNTIF('Elève (6ème5)'!SG8:SI8,"C"))*2)+((COUNTIF('Elève (6ème5)'!SG8:SI8,"D"))*1))/(COUNTA(SG8:SI8)),"")</f>
        <v/>
      </c>
      <c r="SK8" s="109" t="str">
        <f t="shared" si="117"/>
        <v/>
      </c>
      <c r="SL8" s="81"/>
      <c r="SM8" s="82"/>
      <c r="SN8" s="83"/>
      <c r="SO8" s="108" t="str">
        <f>IFERROR((((COUNTIF('Elève (6ème5)'!SL8:SN8,"A"))*4)+((COUNTIF('Elève (6ème5)'!SL8:SN8,"B"))*3)+((COUNTIF('Elève (6ème5)'!SL8:SN8,"C"))*2)+((COUNTIF('Elève (6ème5)'!SL8:SN8,"D"))*1))/(COUNTA(SL8:SN8)),"")</f>
        <v/>
      </c>
      <c r="SP8" s="109" t="str">
        <f t="shared" si="118"/>
        <v/>
      </c>
      <c r="SQ8" s="178" t="str">
        <f>IF(COUNT(SE8,SJ8,SO8)=0,"",SUM(SE8,SJ8,SO8)/COUNT(SE8,SJ8,SO8))</f>
        <v/>
      </c>
      <c r="SR8" s="131" t="str">
        <f t="shared" si="119"/>
        <v/>
      </c>
    </row>
    <row r="9" spans="1:512" s="72" customFormat="1" ht="18" customHeight="1" x14ac:dyDescent="0.25">
      <c r="A9" s="242" t="s">
        <v>46</v>
      </c>
      <c r="B9" s="243"/>
      <c r="C9" s="156"/>
      <c r="D9" s="157"/>
      <c r="E9" s="158"/>
      <c r="F9" s="110"/>
      <c r="G9" s="111"/>
      <c r="H9" s="81"/>
      <c r="I9" s="82"/>
      <c r="J9" s="83"/>
      <c r="K9" s="110"/>
      <c r="L9" s="111"/>
      <c r="M9" s="81"/>
      <c r="N9" s="82"/>
      <c r="O9" s="83"/>
      <c r="P9" s="110"/>
      <c r="Q9" s="111"/>
      <c r="R9" s="179"/>
      <c r="S9" s="132"/>
      <c r="T9" s="156"/>
      <c r="U9" s="157"/>
      <c r="V9" s="158"/>
      <c r="W9" s="110"/>
      <c r="X9" s="111"/>
      <c r="Y9" s="81"/>
      <c r="Z9" s="82"/>
      <c r="AA9" s="83"/>
      <c r="AB9" s="110"/>
      <c r="AC9" s="111"/>
      <c r="AD9" s="81"/>
      <c r="AE9" s="82"/>
      <c r="AF9" s="83"/>
      <c r="AG9" s="110"/>
      <c r="AH9" s="111"/>
      <c r="AI9" s="179"/>
      <c r="AJ9" s="132"/>
      <c r="AK9" s="156"/>
      <c r="AL9" s="157"/>
      <c r="AM9" s="158"/>
      <c r="AN9" s="110"/>
      <c r="AO9" s="111"/>
      <c r="AP9" s="81"/>
      <c r="AQ9" s="82"/>
      <c r="AR9" s="83"/>
      <c r="AS9" s="110"/>
      <c r="AT9" s="111"/>
      <c r="AU9" s="81"/>
      <c r="AV9" s="82"/>
      <c r="AW9" s="83"/>
      <c r="AX9" s="110"/>
      <c r="AY9" s="111"/>
      <c r="AZ9" s="179"/>
      <c r="BA9" s="132"/>
      <c r="BB9" s="156"/>
      <c r="BC9" s="157"/>
      <c r="BD9" s="158"/>
      <c r="BE9" s="110"/>
      <c r="BF9" s="111"/>
      <c r="BG9" s="81"/>
      <c r="BH9" s="82"/>
      <c r="BI9" s="83"/>
      <c r="BJ9" s="110"/>
      <c r="BK9" s="111"/>
      <c r="BL9" s="81"/>
      <c r="BM9" s="82"/>
      <c r="BN9" s="83"/>
      <c r="BO9" s="110"/>
      <c r="BP9" s="111"/>
      <c r="BQ9" s="179"/>
      <c r="BR9" s="132"/>
      <c r="BS9" s="156"/>
      <c r="BT9" s="157"/>
      <c r="BU9" s="158"/>
      <c r="BV9" s="110"/>
      <c r="BW9" s="111"/>
      <c r="BX9" s="81"/>
      <c r="BY9" s="82"/>
      <c r="BZ9" s="83"/>
      <c r="CA9" s="110"/>
      <c r="CB9" s="111"/>
      <c r="CC9" s="81"/>
      <c r="CD9" s="82"/>
      <c r="CE9" s="83"/>
      <c r="CF9" s="110"/>
      <c r="CG9" s="111"/>
      <c r="CH9" s="179"/>
      <c r="CI9" s="132"/>
      <c r="CJ9" s="156"/>
      <c r="CK9" s="157"/>
      <c r="CL9" s="158"/>
      <c r="CM9" s="110"/>
      <c r="CN9" s="111"/>
      <c r="CO9" s="81"/>
      <c r="CP9" s="82"/>
      <c r="CQ9" s="83"/>
      <c r="CR9" s="110"/>
      <c r="CS9" s="111"/>
      <c r="CT9" s="81"/>
      <c r="CU9" s="82"/>
      <c r="CV9" s="83"/>
      <c r="CW9" s="110"/>
      <c r="CX9" s="111"/>
      <c r="CY9" s="179"/>
      <c r="CZ9" s="132"/>
      <c r="DA9" s="156"/>
      <c r="DB9" s="157"/>
      <c r="DC9" s="158"/>
      <c r="DD9" s="110"/>
      <c r="DE9" s="111"/>
      <c r="DF9" s="81"/>
      <c r="DG9" s="82"/>
      <c r="DH9" s="83"/>
      <c r="DI9" s="110"/>
      <c r="DJ9" s="111"/>
      <c r="DK9" s="81"/>
      <c r="DL9" s="82"/>
      <c r="DM9" s="83"/>
      <c r="DN9" s="110"/>
      <c r="DO9" s="111"/>
      <c r="DP9" s="179"/>
      <c r="DQ9" s="132"/>
      <c r="DR9" s="156"/>
      <c r="DS9" s="157"/>
      <c r="DT9" s="158"/>
      <c r="DU9" s="110"/>
      <c r="DV9" s="111"/>
      <c r="DW9" s="81"/>
      <c r="DX9" s="82"/>
      <c r="DY9" s="83"/>
      <c r="DZ9" s="110"/>
      <c r="EA9" s="111"/>
      <c r="EB9" s="81"/>
      <c r="EC9" s="82"/>
      <c r="ED9" s="83"/>
      <c r="EE9" s="110"/>
      <c r="EF9" s="111"/>
      <c r="EG9" s="179"/>
      <c r="EH9" s="132"/>
      <c r="EI9" s="156"/>
      <c r="EJ9" s="157"/>
      <c r="EK9" s="158"/>
      <c r="EL9" s="110"/>
      <c r="EM9" s="111"/>
      <c r="EN9" s="81"/>
      <c r="EO9" s="82"/>
      <c r="EP9" s="83"/>
      <c r="EQ9" s="110"/>
      <c r="ER9" s="111"/>
      <c r="ES9" s="81"/>
      <c r="ET9" s="82"/>
      <c r="EU9" s="83"/>
      <c r="EV9" s="110"/>
      <c r="EW9" s="111"/>
      <c r="EX9" s="179"/>
      <c r="EY9" s="132"/>
      <c r="EZ9" s="156"/>
      <c r="FA9" s="157"/>
      <c r="FB9" s="158"/>
      <c r="FC9" s="110"/>
      <c r="FD9" s="111"/>
      <c r="FE9" s="81"/>
      <c r="FF9" s="82"/>
      <c r="FG9" s="83"/>
      <c r="FH9" s="110"/>
      <c r="FI9" s="111"/>
      <c r="FJ9" s="81"/>
      <c r="FK9" s="82"/>
      <c r="FL9" s="83"/>
      <c r="FM9" s="110"/>
      <c r="FN9" s="111"/>
      <c r="FO9" s="179"/>
      <c r="FP9" s="132"/>
      <c r="FQ9" s="156"/>
      <c r="FR9" s="157"/>
      <c r="FS9" s="158"/>
      <c r="FT9" s="110"/>
      <c r="FU9" s="111"/>
      <c r="FV9" s="81"/>
      <c r="FW9" s="82"/>
      <c r="FX9" s="83"/>
      <c r="FY9" s="110"/>
      <c r="FZ9" s="111"/>
      <c r="GA9" s="81"/>
      <c r="GB9" s="82"/>
      <c r="GC9" s="83"/>
      <c r="GD9" s="110"/>
      <c r="GE9" s="111"/>
      <c r="GF9" s="179"/>
      <c r="GG9" s="132"/>
      <c r="GH9" s="156"/>
      <c r="GI9" s="157"/>
      <c r="GJ9" s="158"/>
      <c r="GK9" s="110"/>
      <c r="GL9" s="111"/>
      <c r="GM9" s="81"/>
      <c r="GN9" s="82"/>
      <c r="GO9" s="83"/>
      <c r="GP9" s="110"/>
      <c r="GQ9" s="111"/>
      <c r="GR9" s="81"/>
      <c r="GS9" s="82"/>
      <c r="GT9" s="83"/>
      <c r="GU9" s="110"/>
      <c r="GV9" s="111"/>
      <c r="GW9" s="179"/>
      <c r="GX9" s="132"/>
      <c r="GY9" s="156"/>
      <c r="GZ9" s="157"/>
      <c r="HA9" s="158"/>
      <c r="HB9" s="110"/>
      <c r="HC9" s="111"/>
      <c r="HD9" s="81"/>
      <c r="HE9" s="82"/>
      <c r="HF9" s="83"/>
      <c r="HG9" s="110"/>
      <c r="HH9" s="111"/>
      <c r="HI9" s="81"/>
      <c r="HJ9" s="82"/>
      <c r="HK9" s="83"/>
      <c r="HL9" s="110"/>
      <c r="HM9" s="111"/>
      <c r="HN9" s="179"/>
      <c r="HO9" s="132"/>
      <c r="HP9" s="156"/>
      <c r="HQ9" s="157"/>
      <c r="HR9" s="158"/>
      <c r="HS9" s="110"/>
      <c r="HT9" s="111"/>
      <c r="HU9" s="81"/>
      <c r="HV9" s="82"/>
      <c r="HW9" s="83"/>
      <c r="HX9" s="110"/>
      <c r="HY9" s="111"/>
      <c r="HZ9" s="81"/>
      <c r="IA9" s="82"/>
      <c r="IB9" s="83"/>
      <c r="IC9" s="110"/>
      <c r="ID9" s="111"/>
      <c r="IE9" s="179"/>
      <c r="IF9" s="132"/>
      <c r="IG9" s="156"/>
      <c r="IH9" s="157"/>
      <c r="II9" s="158"/>
      <c r="IJ9" s="110"/>
      <c r="IK9" s="111"/>
      <c r="IL9" s="81"/>
      <c r="IM9" s="82"/>
      <c r="IN9" s="83"/>
      <c r="IO9" s="110"/>
      <c r="IP9" s="111"/>
      <c r="IQ9" s="81"/>
      <c r="IR9" s="82"/>
      <c r="IS9" s="83"/>
      <c r="IT9" s="110"/>
      <c r="IU9" s="111"/>
      <c r="IV9" s="179"/>
      <c r="IW9" s="132"/>
      <c r="IX9" s="156"/>
      <c r="IY9" s="157"/>
      <c r="IZ9" s="158"/>
      <c r="JA9" s="110"/>
      <c r="JB9" s="111"/>
      <c r="JC9" s="81"/>
      <c r="JD9" s="82"/>
      <c r="JE9" s="83"/>
      <c r="JF9" s="110"/>
      <c r="JG9" s="111"/>
      <c r="JH9" s="81"/>
      <c r="JI9" s="82"/>
      <c r="JJ9" s="83"/>
      <c r="JK9" s="110"/>
      <c r="JL9" s="111"/>
      <c r="JM9" s="179"/>
      <c r="JN9" s="132"/>
      <c r="JO9" s="156"/>
      <c r="JP9" s="157"/>
      <c r="JQ9" s="158"/>
      <c r="JR9" s="110"/>
      <c r="JS9" s="111"/>
      <c r="JT9" s="81"/>
      <c r="JU9" s="82"/>
      <c r="JV9" s="83"/>
      <c r="JW9" s="110"/>
      <c r="JX9" s="111"/>
      <c r="JY9" s="81"/>
      <c r="JZ9" s="82"/>
      <c r="KA9" s="83"/>
      <c r="KB9" s="110"/>
      <c r="KC9" s="111"/>
      <c r="KD9" s="179"/>
      <c r="KE9" s="132"/>
      <c r="KF9" s="156"/>
      <c r="KG9" s="157"/>
      <c r="KH9" s="158"/>
      <c r="KI9" s="110"/>
      <c r="KJ9" s="111"/>
      <c r="KK9" s="81"/>
      <c r="KL9" s="82"/>
      <c r="KM9" s="83"/>
      <c r="KN9" s="110"/>
      <c r="KO9" s="111"/>
      <c r="KP9" s="81"/>
      <c r="KQ9" s="82"/>
      <c r="KR9" s="83"/>
      <c r="KS9" s="110"/>
      <c r="KT9" s="111"/>
      <c r="KU9" s="179"/>
      <c r="KV9" s="132"/>
      <c r="KW9" s="156"/>
      <c r="KX9" s="157"/>
      <c r="KY9" s="158"/>
      <c r="KZ9" s="110"/>
      <c r="LA9" s="111"/>
      <c r="LB9" s="81"/>
      <c r="LC9" s="82"/>
      <c r="LD9" s="83"/>
      <c r="LE9" s="110"/>
      <c r="LF9" s="111"/>
      <c r="LG9" s="81"/>
      <c r="LH9" s="82"/>
      <c r="LI9" s="83"/>
      <c r="LJ9" s="110"/>
      <c r="LK9" s="111"/>
      <c r="LL9" s="179"/>
      <c r="LM9" s="132"/>
      <c r="LN9" s="156"/>
      <c r="LO9" s="157"/>
      <c r="LP9" s="158"/>
      <c r="LQ9" s="110"/>
      <c r="LR9" s="111"/>
      <c r="LS9" s="81"/>
      <c r="LT9" s="82"/>
      <c r="LU9" s="83"/>
      <c r="LV9" s="110"/>
      <c r="LW9" s="111"/>
      <c r="LX9" s="81"/>
      <c r="LY9" s="82"/>
      <c r="LZ9" s="83"/>
      <c r="MA9" s="110"/>
      <c r="MB9" s="111"/>
      <c r="MC9" s="179"/>
      <c r="MD9" s="132"/>
      <c r="ME9" s="156"/>
      <c r="MF9" s="157"/>
      <c r="MG9" s="158"/>
      <c r="MH9" s="110"/>
      <c r="MI9" s="111"/>
      <c r="MJ9" s="81"/>
      <c r="MK9" s="82"/>
      <c r="ML9" s="83"/>
      <c r="MM9" s="110"/>
      <c r="MN9" s="111"/>
      <c r="MO9" s="81"/>
      <c r="MP9" s="82"/>
      <c r="MQ9" s="83"/>
      <c r="MR9" s="110"/>
      <c r="MS9" s="111"/>
      <c r="MT9" s="179"/>
      <c r="MU9" s="132"/>
      <c r="MV9" s="156"/>
      <c r="MW9" s="157"/>
      <c r="MX9" s="158"/>
      <c r="MY9" s="110"/>
      <c r="MZ9" s="111"/>
      <c r="NA9" s="81"/>
      <c r="NB9" s="82"/>
      <c r="NC9" s="83"/>
      <c r="ND9" s="110"/>
      <c r="NE9" s="111"/>
      <c r="NF9" s="81"/>
      <c r="NG9" s="82"/>
      <c r="NH9" s="83"/>
      <c r="NI9" s="110"/>
      <c r="NJ9" s="111"/>
      <c r="NK9" s="179"/>
      <c r="NL9" s="132"/>
      <c r="NM9" s="156"/>
      <c r="NN9" s="157"/>
      <c r="NO9" s="158"/>
      <c r="NP9" s="110"/>
      <c r="NQ9" s="111"/>
      <c r="NR9" s="81"/>
      <c r="NS9" s="82"/>
      <c r="NT9" s="83"/>
      <c r="NU9" s="110"/>
      <c r="NV9" s="111"/>
      <c r="NW9" s="81"/>
      <c r="NX9" s="82"/>
      <c r="NY9" s="83"/>
      <c r="NZ9" s="110"/>
      <c r="OA9" s="111"/>
      <c r="OB9" s="179"/>
      <c r="OC9" s="132"/>
      <c r="OD9" s="156"/>
      <c r="OE9" s="157"/>
      <c r="OF9" s="158"/>
      <c r="OG9" s="110"/>
      <c r="OH9" s="111"/>
      <c r="OI9" s="81"/>
      <c r="OJ9" s="82"/>
      <c r="OK9" s="83"/>
      <c r="OL9" s="110"/>
      <c r="OM9" s="111"/>
      <c r="ON9" s="81"/>
      <c r="OO9" s="82"/>
      <c r="OP9" s="83"/>
      <c r="OQ9" s="110"/>
      <c r="OR9" s="111"/>
      <c r="OS9" s="179"/>
      <c r="OT9" s="132"/>
      <c r="OU9" s="156"/>
      <c r="OV9" s="157"/>
      <c r="OW9" s="158"/>
      <c r="OX9" s="110"/>
      <c r="OY9" s="111"/>
      <c r="OZ9" s="81"/>
      <c r="PA9" s="82"/>
      <c r="PB9" s="83"/>
      <c r="PC9" s="110"/>
      <c r="PD9" s="111"/>
      <c r="PE9" s="81"/>
      <c r="PF9" s="82"/>
      <c r="PG9" s="83"/>
      <c r="PH9" s="110"/>
      <c r="PI9" s="111"/>
      <c r="PJ9" s="179"/>
      <c r="PK9" s="132"/>
      <c r="PL9" s="156"/>
      <c r="PM9" s="157"/>
      <c r="PN9" s="158"/>
      <c r="PO9" s="110"/>
      <c r="PP9" s="111"/>
      <c r="PQ9" s="81"/>
      <c r="PR9" s="82"/>
      <c r="PS9" s="83"/>
      <c r="PT9" s="110"/>
      <c r="PU9" s="111"/>
      <c r="PV9" s="81"/>
      <c r="PW9" s="82"/>
      <c r="PX9" s="83"/>
      <c r="PY9" s="110"/>
      <c r="PZ9" s="111"/>
      <c r="QA9" s="179"/>
      <c r="QB9" s="132"/>
      <c r="QC9" s="156"/>
      <c r="QD9" s="157"/>
      <c r="QE9" s="158"/>
      <c r="QF9" s="110"/>
      <c r="QG9" s="111"/>
      <c r="QH9" s="81"/>
      <c r="QI9" s="82"/>
      <c r="QJ9" s="83"/>
      <c r="QK9" s="110"/>
      <c r="QL9" s="111"/>
      <c r="QM9" s="81"/>
      <c r="QN9" s="82"/>
      <c r="QO9" s="83"/>
      <c r="QP9" s="110"/>
      <c r="QQ9" s="111"/>
      <c r="QR9" s="179"/>
      <c r="QS9" s="132"/>
      <c r="QT9" s="156"/>
      <c r="QU9" s="157"/>
      <c r="QV9" s="158"/>
      <c r="QW9" s="110"/>
      <c r="QX9" s="111"/>
      <c r="QY9" s="81"/>
      <c r="QZ9" s="82"/>
      <c r="RA9" s="83"/>
      <c r="RB9" s="110"/>
      <c r="RC9" s="111"/>
      <c r="RD9" s="81"/>
      <c r="RE9" s="82"/>
      <c r="RF9" s="83"/>
      <c r="RG9" s="110"/>
      <c r="RH9" s="111"/>
      <c r="RI9" s="179"/>
      <c r="RJ9" s="132"/>
      <c r="RK9" s="156"/>
      <c r="RL9" s="157"/>
      <c r="RM9" s="158"/>
      <c r="RN9" s="110"/>
      <c r="RO9" s="111"/>
      <c r="RP9" s="81"/>
      <c r="RQ9" s="82"/>
      <c r="RR9" s="83"/>
      <c r="RS9" s="110"/>
      <c r="RT9" s="111"/>
      <c r="RU9" s="81"/>
      <c r="RV9" s="82"/>
      <c r="RW9" s="83"/>
      <c r="RX9" s="110"/>
      <c r="RY9" s="111"/>
      <c r="RZ9" s="179"/>
      <c r="SA9" s="132"/>
      <c r="SB9" s="156"/>
      <c r="SC9" s="157"/>
      <c r="SD9" s="158"/>
      <c r="SE9" s="110"/>
      <c r="SF9" s="111"/>
      <c r="SG9" s="81"/>
      <c r="SH9" s="82"/>
      <c r="SI9" s="83"/>
      <c r="SJ9" s="110"/>
      <c r="SK9" s="111"/>
      <c r="SL9" s="81"/>
      <c r="SM9" s="82"/>
      <c r="SN9" s="83"/>
      <c r="SO9" s="110"/>
      <c r="SP9" s="111"/>
      <c r="SQ9" s="179"/>
      <c r="SR9" s="132"/>
    </row>
    <row r="10" spans="1:512" s="72" customFormat="1" ht="18" customHeight="1" x14ac:dyDescent="0.25">
      <c r="A10" s="250" t="s">
        <v>47</v>
      </c>
      <c r="B10" s="251"/>
      <c r="C10" s="215" t="s">
        <v>26</v>
      </c>
      <c r="D10" s="216"/>
      <c r="E10" s="217"/>
      <c r="F10" s="206"/>
      <c r="G10" s="207"/>
      <c r="H10" s="218"/>
      <c r="I10" s="219"/>
      <c r="J10" s="220"/>
      <c r="K10" s="206"/>
      <c r="L10" s="207"/>
      <c r="M10" s="218"/>
      <c r="N10" s="219"/>
      <c r="O10" s="220"/>
      <c r="P10" s="206"/>
      <c r="Q10" s="207"/>
      <c r="R10" s="208"/>
      <c r="S10" s="209"/>
      <c r="T10" s="215" t="s">
        <v>27</v>
      </c>
      <c r="U10" s="216"/>
      <c r="V10" s="217"/>
      <c r="W10" s="206"/>
      <c r="X10" s="207"/>
      <c r="Y10" s="218"/>
      <c r="Z10" s="219"/>
      <c r="AA10" s="220"/>
      <c r="AB10" s="206"/>
      <c r="AC10" s="207"/>
      <c r="AD10" s="218"/>
      <c r="AE10" s="219"/>
      <c r="AF10" s="220"/>
      <c r="AG10" s="206"/>
      <c r="AH10" s="207"/>
      <c r="AI10" s="208"/>
      <c r="AJ10" s="209"/>
      <c r="AK10" s="215" t="s">
        <v>25</v>
      </c>
      <c r="AL10" s="216"/>
      <c r="AM10" s="217"/>
      <c r="AN10" s="206"/>
      <c r="AO10" s="207"/>
      <c r="AP10" s="218"/>
      <c r="AQ10" s="219"/>
      <c r="AR10" s="220"/>
      <c r="AS10" s="206"/>
      <c r="AT10" s="207"/>
      <c r="AU10" s="218"/>
      <c r="AV10" s="219"/>
      <c r="AW10" s="220"/>
      <c r="AX10" s="206"/>
      <c r="AY10" s="207"/>
      <c r="AZ10" s="208"/>
      <c r="BA10" s="209"/>
      <c r="BB10" s="215" t="s">
        <v>27</v>
      </c>
      <c r="BC10" s="216"/>
      <c r="BD10" s="217"/>
      <c r="BE10" s="206"/>
      <c r="BF10" s="207"/>
      <c r="BG10" s="218"/>
      <c r="BH10" s="219"/>
      <c r="BI10" s="220"/>
      <c r="BJ10" s="206"/>
      <c r="BK10" s="207"/>
      <c r="BL10" s="218"/>
      <c r="BM10" s="219"/>
      <c r="BN10" s="220"/>
      <c r="BO10" s="206"/>
      <c r="BP10" s="207"/>
      <c r="BQ10" s="208"/>
      <c r="BR10" s="209"/>
      <c r="BS10" s="215" t="s">
        <v>25</v>
      </c>
      <c r="BT10" s="216"/>
      <c r="BU10" s="217"/>
      <c r="BV10" s="206"/>
      <c r="BW10" s="207"/>
      <c r="BX10" s="218"/>
      <c r="BY10" s="219"/>
      <c r="BZ10" s="220"/>
      <c r="CA10" s="206"/>
      <c r="CB10" s="207"/>
      <c r="CC10" s="218"/>
      <c r="CD10" s="219"/>
      <c r="CE10" s="220"/>
      <c r="CF10" s="206"/>
      <c r="CG10" s="207"/>
      <c r="CH10" s="208"/>
      <c r="CI10" s="209"/>
      <c r="CJ10" s="215" t="s">
        <v>27</v>
      </c>
      <c r="CK10" s="216"/>
      <c r="CL10" s="217"/>
      <c r="CM10" s="206"/>
      <c r="CN10" s="207"/>
      <c r="CO10" s="218"/>
      <c r="CP10" s="219"/>
      <c r="CQ10" s="220"/>
      <c r="CR10" s="206"/>
      <c r="CS10" s="207"/>
      <c r="CT10" s="218"/>
      <c r="CU10" s="219"/>
      <c r="CV10" s="220"/>
      <c r="CW10" s="206"/>
      <c r="CX10" s="207"/>
      <c r="CY10" s="208"/>
      <c r="CZ10" s="209"/>
      <c r="DA10" s="215" t="s">
        <v>25</v>
      </c>
      <c r="DB10" s="216"/>
      <c r="DC10" s="217"/>
      <c r="DD10" s="206"/>
      <c r="DE10" s="207"/>
      <c r="DF10" s="218"/>
      <c r="DG10" s="219"/>
      <c r="DH10" s="220"/>
      <c r="DI10" s="206"/>
      <c r="DJ10" s="207"/>
      <c r="DK10" s="218"/>
      <c r="DL10" s="219"/>
      <c r="DM10" s="220"/>
      <c r="DN10" s="206"/>
      <c r="DO10" s="207"/>
      <c r="DP10" s="208"/>
      <c r="DQ10" s="209"/>
      <c r="DR10" s="215" t="s">
        <v>24</v>
      </c>
      <c r="DS10" s="216"/>
      <c r="DT10" s="217"/>
      <c r="DU10" s="206"/>
      <c r="DV10" s="207"/>
      <c r="DW10" s="218"/>
      <c r="DX10" s="219"/>
      <c r="DY10" s="220"/>
      <c r="DZ10" s="206"/>
      <c r="EA10" s="207"/>
      <c r="EB10" s="218"/>
      <c r="EC10" s="219"/>
      <c r="ED10" s="220"/>
      <c r="EE10" s="206"/>
      <c r="EF10" s="207"/>
      <c r="EG10" s="208"/>
      <c r="EH10" s="209"/>
      <c r="EI10" s="215" t="s">
        <v>25</v>
      </c>
      <c r="EJ10" s="216"/>
      <c r="EK10" s="217"/>
      <c r="EL10" s="206"/>
      <c r="EM10" s="207"/>
      <c r="EN10" s="218"/>
      <c r="EO10" s="219"/>
      <c r="EP10" s="220"/>
      <c r="EQ10" s="206"/>
      <c r="ER10" s="207"/>
      <c r="ES10" s="218"/>
      <c r="ET10" s="219"/>
      <c r="EU10" s="220"/>
      <c r="EV10" s="206"/>
      <c r="EW10" s="207"/>
      <c r="EX10" s="208"/>
      <c r="EY10" s="209"/>
      <c r="EZ10" s="215" t="s">
        <v>25</v>
      </c>
      <c r="FA10" s="216"/>
      <c r="FB10" s="217"/>
      <c r="FC10" s="206"/>
      <c r="FD10" s="207"/>
      <c r="FE10" s="218"/>
      <c r="FF10" s="219"/>
      <c r="FG10" s="220"/>
      <c r="FH10" s="206"/>
      <c r="FI10" s="207"/>
      <c r="FJ10" s="218"/>
      <c r="FK10" s="219"/>
      <c r="FL10" s="220"/>
      <c r="FM10" s="206"/>
      <c r="FN10" s="207"/>
      <c r="FO10" s="208"/>
      <c r="FP10" s="209"/>
      <c r="FQ10" s="215" t="s">
        <v>25</v>
      </c>
      <c r="FR10" s="216"/>
      <c r="FS10" s="217"/>
      <c r="FT10" s="206"/>
      <c r="FU10" s="207"/>
      <c r="FV10" s="218"/>
      <c r="FW10" s="219"/>
      <c r="FX10" s="220"/>
      <c r="FY10" s="206"/>
      <c r="FZ10" s="207"/>
      <c r="GA10" s="218"/>
      <c r="GB10" s="219"/>
      <c r="GC10" s="220"/>
      <c r="GD10" s="206"/>
      <c r="GE10" s="207"/>
      <c r="GF10" s="208"/>
      <c r="GG10" s="209"/>
      <c r="GH10" s="215" t="s">
        <v>27</v>
      </c>
      <c r="GI10" s="216"/>
      <c r="GJ10" s="217"/>
      <c r="GK10" s="206"/>
      <c r="GL10" s="207"/>
      <c r="GM10" s="218"/>
      <c r="GN10" s="219"/>
      <c r="GO10" s="220"/>
      <c r="GP10" s="206"/>
      <c r="GQ10" s="207"/>
      <c r="GR10" s="218"/>
      <c r="GS10" s="219"/>
      <c r="GT10" s="220"/>
      <c r="GU10" s="206"/>
      <c r="GV10" s="207"/>
      <c r="GW10" s="208"/>
      <c r="GX10" s="209"/>
      <c r="GY10" s="215" t="s">
        <v>25</v>
      </c>
      <c r="GZ10" s="216"/>
      <c r="HA10" s="217"/>
      <c r="HB10" s="206"/>
      <c r="HC10" s="207"/>
      <c r="HD10" s="218"/>
      <c r="HE10" s="219"/>
      <c r="HF10" s="220"/>
      <c r="HG10" s="206"/>
      <c r="HH10" s="207"/>
      <c r="HI10" s="218"/>
      <c r="HJ10" s="219"/>
      <c r="HK10" s="220"/>
      <c r="HL10" s="206"/>
      <c r="HM10" s="207"/>
      <c r="HN10" s="208"/>
      <c r="HO10" s="209"/>
      <c r="HP10" s="215"/>
      <c r="HQ10" s="216"/>
      <c r="HR10" s="217"/>
      <c r="HS10" s="206"/>
      <c r="HT10" s="207"/>
      <c r="HU10" s="218"/>
      <c r="HV10" s="219"/>
      <c r="HW10" s="220"/>
      <c r="HX10" s="206"/>
      <c r="HY10" s="207"/>
      <c r="HZ10" s="218"/>
      <c r="IA10" s="219"/>
      <c r="IB10" s="220"/>
      <c r="IC10" s="206"/>
      <c r="ID10" s="207"/>
      <c r="IE10" s="208"/>
      <c r="IF10" s="209"/>
      <c r="IG10" s="215" t="s">
        <v>25</v>
      </c>
      <c r="IH10" s="216"/>
      <c r="II10" s="217"/>
      <c r="IJ10" s="206"/>
      <c r="IK10" s="207"/>
      <c r="IL10" s="218"/>
      <c r="IM10" s="219"/>
      <c r="IN10" s="220"/>
      <c r="IO10" s="206"/>
      <c r="IP10" s="207"/>
      <c r="IQ10" s="218"/>
      <c r="IR10" s="219"/>
      <c r="IS10" s="220"/>
      <c r="IT10" s="206"/>
      <c r="IU10" s="207"/>
      <c r="IV10" s="208"/>
      <c r="IW10" s="209"/>
      <c r="IX10" s="215" t="s">
        <v>25</v>
      </c>
      <c r="IY10" s="216"/>
      <c r="IZ10" s="217"/>
      <c r="JA10" s="206"/>
      <c r="JB10" s="207"/>
      <c r="JC10" s="218"/>
      <c r="JD10" s="219"/>
      <c r="JE10" s="220"/>
      <c r="JF10" s="206"/>
      <c r="JG10" s="207"/>
      <c r="JH10" s="218"/>
      <c r="JI10" s="219"/>
      <c r="JJ10" s="220"/>
      <c r="JK10" s="206"/>
      <c r="JL10" s="207"/>
      <c r="JM10" s="208"/>
      <c r="JN10" s="209"/>
      <c r="JO10" s="215"/>
      <c r="JP10" s="216"/>
      <c r="JQ10" s="217"/>
      <c r="JR10" s="206"/>
      <c r="JS10" s="207"/>
      <c r="JT10" s="218"/>
      <c r="JU10" s="219"/>
      <c r="JV10" s="220"/>
      <c r="JW10" s="206"/>
      <c r="JX10" s="207"/>
      <c r="JY10" s="218"/>
      <c r="JZ10" s="219"/>
      <c r="KA10" s="220"/>
      <c r="KB10" s="206"/>
      <c r="KC10" s="207"/>
      <c r="KD10" s="208"/>
      <c r="KE10" s="209"/>
      <c r="KF10" s="215"/>
      <c r="KG10" s="216"/>
      <c r="KH10" s="217"/>
      <c r="KI10" s="206"/>
      <c r="KJ10" s="207"/>
      <c r="KK10" s="218"/>
      <c r="KL10" s="219"/>
      <c r="KM10" s="220"/>
      <c r="KN10" s="206"/>
      <c r="KO10" s="207"/>
      <c r="KP10" s="218"/>
      <c r="KQ10" s="219"/>
      <c r="KR10" s="220"/>
      <c r="KS10" s="206"/>
      <c r="KT10" s="207"/>
      <c r="KU10" s="208"/>
      <c r="KV10" s="209"/>
      <c r="KW10" s="215" t="s">
        <v>27</v>
      </c>
      <c r="KX10" s="216"/>
      <c r="KY10" s="217"/>
      <c r="KZ10" s="206"/>
      <c r="LA10" s="207"/>
      <c r="LB10" s="218"/>
      <c r="LC10" s="219"/>
      <c r="LD10" s="220"/>
      <c r="LE10" s="206"/>
      <c r="LF10" s="207"/>
      <c r="LG10" s="218"/>
      <c r="LH10" s="219"/>
      <c r="LI10" s="220"/>
      <c r="LJ10" s="206"/>
      <c r="LK10" s="207"/>
      <c r="LL10" s="208"/>
      <c r="LM10" s="209"/>
      <c r="LN10" s="215" t="s">
        <v>25</v>
      </c>
      <c r="LO10" s="216"/>
      <c r="LP10" s="217"/>
      <c r="LQ10" s="206"/>
      <c r="LR10" s="207"/>
      <c r="LS10" s="218"/>
      <c r="LT10" s="219"/>
      <c r="LU10" s="220"/>
      <c r="LV10" s="206"/>
      <c r="LW10" s="207"/>
      <c r="LX10" s="218"/>
      <c r="LY10" s="219"/>
      <c r="LZ10" s="220"/>
      <c r="MA10" s="206"/>
      <c r="MB10" s="207"/>
      <c r="MC10" s="208"/>
      <c r="MD10" s="209"/>
      <c r="ME10" s="215" t="s">
        <v>25</v>
      </c>
      <c r="MF10" s="216"/>
      <c r="MG10" s="217"/>
      <c r="MH10" s="206"/>
      <c r="MI10" s="207"/>
      <c r="MJ10" s="218"/>
      <c r="MK10" s="219"/>
      <c r="ML10" s="220"/>
      <c r="MM10" s="206"/>
      <c r="MN10" s="207"/>
      <c r="MO10" s="218"/>
      <c r="MP10" s="219"/>
      <c r="MQ10" s="220"/>
      <c r="MR10" s="206"/>
      <c r="MS10" s="207"/>
      <c r="MT10" s="208"/>
      <c r="MU10" s="209"/>
      <c r="MV10" s="215" t="s">
        <v>25</v>
      </c>
      <c r="MW10" s="216"/>
      <c r="MX10" s="217"/>
      <c r="MY10" s="206"/>
      <c r="MZ10" s="207"/>
      <c r="NA10" s="218"/>
      <c r="NB10" s="219"/>
      <c r="NC10" s="220"/>
      <c r="ND10" s="206"/>
      <c r="NE10" s="207"/>
      <c r="NF10" s="218"/>
      <c r="NG10" s="219"/>
      <c r="NH10" s="220"/>
      <c r="NI10" s="206"/>
      <c r="NJ10" s="207"/>
      <c r="NK10" s="208"/>
      <c r="NL10" s="209"/>
      <c r="NM10" s="215"/>
      <c r="NN10" s="216"/>
      <c r="NO10" s="217"/>
      <c r="NP10" s="206"/>
      <c r="NQ10" s="207"/>
      <c r="NR10" s="218"/>
      <c r="NS10" s="219"/>
      <c r="NT10" s="220"/>
      <c r="NU10" s="206"/>
      <c r="NV10" s="207"/>
      <c r="NW10" s="218"/>
      <c r="NX10" s="219"/>
      <c r="NY10" s="220"/>
      <c r="NZ10" s="206"/>
      <c r="OA10" s="207"/>
      <c r="OB10" s="208"/>
      <c r="OC10" s="209"/>
      <c r="OD10" s="215"/>
      <c r="OE10" s="216"/>
      <c r="OF10" s="217"/>
      <c r="OG10" s="206"/>
      <c r="OH10" s="207"/>
      <c r="OI10" s="218"/>
      <c r="OJ10" s="219"/>
      <c r="OK10" s="220"/>
      <c r="OL10" s="206"/>
      <c r="OM10" s="207"/>
      <c r="ON10" s="218"/>
      <c r="OO10" s="219"/>
      <c r="OP10" s="220"/>
      <c r="OQ10" s="206"/>
      <c r="OR10" s="207"/>
      <c r="OS10" s="208"/>
      <c r="OT10" s="209"/>
      <c r="OU10" s="215" t="s">
        <v>25</v>
      </c>
      <c r="OV10" s="216"/>
      <c r="OW10" s="217"/>
      <c r="OX10" s="206"/>
      <c r="OY10" s="207"/>
      <c r="OZ10" s="218"/>
      <c r="PA10" s="219"/>
      <c r="PB10" s="220"/>
      <c r="PC10" s="206"/>
      <c r="PD10" s="207"/>
      <c r="PE10" s="218"/>
      <c r="PF10" s="219"/>
      <c r="PG10" s="220"/>
      <c r="PH10" s="206"/>
      <c r="PI10" s="207"/>
      <c r="PJ10" s="208"/>
      <c r="PK10" s="209"/>
      <c r="PL10" s="215"/>
      <c r="PM10" s="216"/>
      <c r="PN10" s="217"/>
      <c r="PO10" s="206"/>
      <c r="PP10" s="207"/>
      <c r="PQ10" s="218"/>
      <c r="PR10" s="219"/>
      <c r="PS10" s="220"/>
      <c r="PT10" s="206"/>
      <c r="PU10" s="207"/>
      <c r="PV10" s="218"/>
      <c r="PW10" s="219"/>
      <c r="PX10" s="220"/>
      <c r="PY10" s="206"/>
      <c r="PZ10" s="207"/>
      <c r="QA10" s="208"/>
      <c r="QB10" s="209"/>
      <c r="QC10" s="215" t="s">
        <v>24</v>
      </c>
      <c r="QD10" s="216"/>
      <c r="QE10" s="217"/>
      <c r="QF10" s="206"/>
      <c r="QG10" s="207"/>
      <c r="QH10" s="218"/>
      <c r="QI10" s="219"/>
      <c r="QJ10" s="220"/>
      <c r="QK10" s="206"/>
      <c r="QL10" s="207"/>
      <c r="QM10" s="218"/>
      <c r="QN10" s="219"/>
      <c r="QO10" s="220"/>
      <c r="QP10" s="206"/>
      <c r="QQ10" s="207"/>
      <c r="QR10" s="208"/>
      <c r="QS10" s="209"/>
      <c r="QT10" s="215"/>
      <c r="QU10" s="216"/>
      <c r="QV10" s="217"/>
      <c r="QW10" s="206"/>
      <c r="QX10" s="207"/>
      <c r="QY10" s="218"/>
      <c r="QZ10" s="219"/>
      <c r="RA10" s="220"/>
      <c r="RB10" s="206"/>
      <c r="RC10" s="207"/>
      <c r="RD10" s="218"/>
      <c r="RE10" s="219"/>
      <c r="RF10" s="220"/>
      <c r="RG10" s="206"/>
      <c r="RH10" s="207"/>
      <c r="RI10" s="208"/>
      <c r="RJ10" s="209"/>
      <c r="RK10" s="215"/>
      <c r="RL10" s="216"/>
      <c r="RM10" s="217"/>
      <c r="RN10" s="206"/>
      <c r="RO10" s="207"/>
      <c r="RP10" s="218"/>
      <c r="RQ10" s="219"/>
      <c r="RR10" s="220"/>
      <c r="RS10" s="206"/>
      <c r="RT10" s="207"/>
      <c r="RU10" s="218"/>
      <c r="RV10" s="219"/>
      <c r="RW10" s="220"/>
      <c r="RX10" s="206"/>
      <c r="RY10" s="207"/>
      <c r="RZ10" s="208"/>
      <c r="SA10" s="209"/>
      <c r="SB10" s="215"/>
      <c r="SC10" s="216"/>
      <c r="SD10" s="217"/>
      <c r="SE10" s="206"/>
      <c r="SF10" s="207"/>
      <c r="SG10" s="218"/>
      <c r="SH10" s="219"/>
      <c r="SI10" s="220"/>
      <c r="SJ10" s="206"/>
      <c r="SK10" s="207"/>
      <c r="SL10" s="218"/>
      <c r="SM10" s="219"/>
      <c r="SN10" s="220"/>
      <c r="SO10" s="206"/>
      <c r="SP10" s="207"/>
      <c r="SQ10" s="208"/>
      <c r="SR10" s="209"/>
    </row>
    <row r="11" spans="1:512" s="72" customFormat="1" ht="18" customHeight="1" thickBot="1" x14ac:dyDescent="0.3">
      <c r="A11" s="248" t="s">
        <v>48</v>
      </c>
      <c r="B11" s="249"/>
      <c r="C11" s="159"/>
      <c r="D11" s="160"/>
      <c r="E11" s="161"/>
      <c r="F11" s="112" t="str">
        <f>IFERROR((((COUNTIF('Elève (6ème5)'!C11:E11,"A"))*4)+((COUNTIF('Elève (6ème5)'!C11:E11,"B"))*3)+((COUNTIF('Elève (6ème5)'!C11:E11,"C"))*2)+((COUNTIF('Elève (6ème5)'!C11:E11,"D"))*1))/(COUNTA(C11:E11)),"")</f>
        <v/>
      </c>
      <c r="G11" s="113" t="str">
        <f t="shared" si="0"/>
        <v/>
      </c>
      <c r="H11" s="84"/>
      <c r="I11" s="85"/>
      <c r="J11" s="86"/>
      <c r="K11" s="112" t="str">
        <f>IFERROR((((COUNTIF('Elève (6ème5)'!H11:J11,"A"))*4)+((COUNTIF('Elève (6ème5)'!H11:J11,"B"))*3)+((COUNTIF('Elève (6ème5)'!H11:J11,"C"))*2)+((COUNTIF('Elève (6ème5)'!H11:J11,"D"))*1))/(COUNTA(H11:J11)),"")</f>
        <v/>
      </c>
      <c r="L11" s="113" t="str">
        <f t="shared" si="1"/>
        <v/>
      </c>
      <c r="M11" s="84"/>
      <c r="N11" s="85"/>
      <c r="O11" s="86"/>
      <c r="P11" s="112" t="str">
        <f>IFERROR((((COUNTIF('Elève (6ème5)'!M11:O11,"A"))*4)+((COUNTIF('Elève (6ème5)'!M11:O11,"B"))*3)+((COUNTIF('Elève (6ème5)'!M11:O11,"C"))*2)+((COUNTIF('Elève (6ème5)'!M11:O11,"D"))*1))/(COUNTA(M11:O11)),"")</f>
        <v/>
      </c>
      <c r="Q11" s="113" t="str">
        <f t="shared" si="2"/>
        <v/>
      </c>
      <c r="R11" s="180" t="str">
        <f>IF(COUNT(F11,K11,P11)=0,"",SUM(F11,K11,P11)/COUNT(F11,K11,P11))</f>
        <v/>
      </c>
      <c r="S11" s="133" t="str">
        <f t="shared" si="3"/>
        <v/>
      </c>
      <c r="T11" s="159"/>
      <c r="U11" s="160"/>
      <c r="V11" s="161"/>
      <c r="W11" s="112" t="str">
        <f>IFERROR((((COUNTIF('Elève (6ème5)'!T11:V11,"A"))*4)+((COUNTIF('Elève (6ème5)'!T11:V11,"B"))*3)+((COUNTIF('Elève (6ème5)'!T11:V11,"C"))*2)+((COUNTIF('Elève (6ème5)'!T11:V11,"D"))*1))/(COUNTA(T11:V11)),"")</f>
        <v/>
      </c>
      <c r="X11" s="113" t="str">
        <f t="shared" si="4"/>
        <v/>
      </c>
      <c r="Y11" s="84"/>
      <c r="Z11" s="85"/>
      <c r="AA11" s="86"/>
      <c r="AB11" s="112" t="str">
        <f>IFERROR((((COUNTIF('Elève (6ème5)'!Y11:AA11,"A"))*4)+((COUNTIF('Elève (6ème5)'!Y11:AA11,"B"))*3)+((COUNTIF('Elève (6ème5)'!Y11:AA11,"C"))*2)+((COUNTIF('Elève (6ème5)'!Y11:AA11,"D"))*1))/(COUNTA(Y11:AA11)),"")</f>
        <v/>
      </c>
      <c r="AC11" s="113" t="str">
        <f t="shared" si="5"/>
        <v/>
      </c>
      <c r="AD11" s="84"/>
      <c r="AE11" s="85"/>
      <c r="AF11" s="86"/>
      <c r="AG11" s="112" t="str">
        <f>IFERROR((((COUNTIF('Elève (6ème5)'!AD11:AF11,"A"))*4)+((COUNTIF('Elève (6ème5)'!AD11:AF11,"B"))*3)+((COUNTIF('Elève (6ème5)'!AD11:AF11,"C"))*2)+((COUNTIF('Elève (6ème5)'!AD11:AF11,"D"))*1))/(COUNTA(AD11:AF11)),"")</f>
        <v/>
      </c>
      <c r="AH11" s="113" t="str">
        <f t="shared" si="6"/>
        <v/>
      </c>
      <c r="AI11" s="180" t="str">
        <f>IF(COUNT(W11,AB11,AG11)=0,"",SUM(W11,AB11,AG11)/COUNT(W11,AB11,AG11))</f>
        <v/>
      </c>
      <c r="AJ11" s="133" t="str">
        <f t="shared" si="7"/>
        <v/>
      </c>
      <c r="AK11" s="159"/>
      <c r="AL11" s="160"/>
      <c r="AM11" s="161"/>
      <c r="AN11" s="112" t="str">
        <f>IFERROR((((COUNTIF('Elève (6ème5)'!AK11:AM11,"A"))*4)+((COUNTIF('Elève (6ème5)'!AK11:AM11,"B"))*3)+((COUNTIF('Elève (6ème5)'!AK11:AM11,"C"))*2)+((COUNTIF('Elève (6ème5)'!AK11:AM11,"D"))*1))/(COUNTA(AK11:AM11)),"")</f>
        <v/>
      </c>
      <c r="AO11" s="113" t="str">
        <f t="shared" si="8"/>
        <v/>
      </c>
      <c r="AP11" s="84"/>
      <c r="AQ11" s="85"/>
      <c r="AR11" s="86"/>
      <c r="AS11" s="112" t="str">
        <f>IFERROR((((COUNTIF('Elève (6ème5)'!AP11:AR11,"A"))*4)+((COUNTIF('Elève (6ème5)'!AP11:AR11,"B"))*3)+((COUNTIF('Elève (6ème5)'!AP11:AR11,"C"))*2)+((COUNTIF('Elève (6ème5)'!AP11:AR11,"D"))*1))/(COUNTA(AP11:AR11)),"")</f>
        <v/>
      </c>
      <c r="AT11" s="113" t="str">
        <f t="shared" si="9"/>
        <v/>
      </c>
      <c r="AU11" s="84"/>
      <c r="AV11" s="85"/>
      <c r="AW11" s="86"/>
      <c r="AX11" s="112" t="str">
        <f>IFERROR((((COUNTIF('Elève (6ème5)'!AU11:AW11,"A"))*4)+((COUNTIF('Elève (6ème5)'!AU11:AW11,"B"))*3)+((COUNTIF('Elève (6ème5)'!AU11:AW11,"C"))*2)+((COUNTIF('Elève (6ème5)'!AU11:AW11,"D"))*1))/(COUNTA(AU11:AW11)),"")</f>
        <v/>
      </c>
      <c r="AY11" s="113" t="str">
        <f t="shared" si="10"/>
        <v/>
      </c>
      <c r="AZ11" s="180" t="str">
        <f>IF(COUNT(AN11,AS11,AX11)=0,"",SUM(AN11,AS11,AX11)/COUNT(AN11,AS11,AX11))</f>
        <v/>
      </c>
      <c r="BA11" s="133" t="str">
        <f t="shared" si="11"/>
        <v/>
      </c>
      <c r="BB11" s="159"/>
      <c r="BC11" s="160"/>
      <c r="BD11" s="161"/>
      <c r="BE11" s="112" t="str">
        <f>IFERROR((((COUNTIF('Elève (6ème5)'!BB11:BD11,"A"))*4)+((COUNTIF('Elève (6ème5)'!BB11:BD11,"B"))*3)+((COUNTIF('Elève (6ème5)'!BB11:BD11,"C"))*2)+((COUNTIF('Elève (6ème5)'!BB11:BD11,"D"))*1))/(COUNTA(BB11:BD11)),"")</f>
        <v/>
      </c>
      <c r="BF11" s="113" t="str">
        <f t="shared" si="12"/>
        <v/>
      </c>
      <c r="BG11" s="84"/>
      <c r="BH11" s="85"/>
      <c r="BI11" s="86"/>
      <c r="BJ11" s="112" t="str">
        <f>IFERROR((((COUNTIF('Elève (6ème5)'!BG11:BI11,"A"))*4)+((COUNTIF('Elève (6ème5)'!BG11:BI11,"B"))*3)+((COUNTIF('Elève (6ème5)'!BG11:BI11,"C"))*2)+((COUNTIF('Elève (6ème5)'!BG11:BI11,"D"))*1))/(COUNTA(BG11:BI11)),"")</f>
        <v/>
      </c>
      <c r="BK11" s="113" t="str">
        <f t="shared" si="13"/>
        <v/>
      </c>
      <c r="BL11" s="84"/>
      <c r="BM11" s="85"/>
      <c r="BN11" s="86"/>
      <c r="BO11" s="112" t="str">
        <f>IFERROR((((COUNTIF('Elève (6ème5)'!BL11:BN11,"A"))*4)+((COUNTIF('Elève (6ème5)'!BL11:BN11,"B"))*3)+((COUNTIF('Elève (6ème5)'!BL11:BN11,"C"))*2)+((COUNTIF('Elève (6ème5)'!BL11:BN11,"D"))*1))/(COUNTA(BL11:BN11)),"")</f>
        <v/>
      </c>
      <c r="BP11" s="113" t="str">
        <f t="shared" si="14"/>
        <v/>
      </c>
      <c r="BQ11" s="180" t="str">
        <f>IF(COUNT(BE11,BJ11,BO11)=0,"",SUM(BE11,BJ11,BO11)/COUNT(BE11,BJ11,BO11))</f>
        <v/>
      </c>
      <c r="BR11" s="133" t="str">
        <f t="shared" si="15"/>
        <v/>
      </c>
      <c r="BS11" s="159"/>
      <c r="BT11" s="160"/>
      <c r="BU11" s="161"/>
      <c r="BV11" s="112" t="str">
        <f>IFERROR((((COUNTIF('Elève (6ème5)'!BS11:BU11,"A"))*4)+((COUNTIF('Elève (6ème5)'!BS11:BU11,"B"))*3)+((COUNTIF('Elève (6ème5)'!BS11:BU11,"C"))*2)+((COUNTIF('Elève (6ème5)'!BS11:BU11,"D"))*1))/(COUNTA(BS11:BU11)),"")</f>
        <v/>
      </c>
      <c r="BW11" s="113" t="str">
        <f t="shared" si="16"/>
        <v/>
      </c>
      <c r="BX11" s="84"/>
      <c r="BY11" s="85"/>
      <c r="BZ11" s="86"/>
      <c r="CA11" s="112" t="str">
        <f>IFERROR((((COUNTIF('Elève (6ème5)'!BX11:BZ11,"A"))*4)+((COUNTIF('Elève (6ème5)'!BX11:BZ11,"B"))*3)+((COUNTIF('Elève (6ème5)'!BX11:BZ11,"C"))*2)+((COUNTIF('Elève (6ème5)'!BX11:BZ11,"D"))*1))/(COUNTA(BX11:BZ11)),"")</f>
        <v/>
      </c>
      <c r="CB11" s="113" t="str">
        <f t="shared" si="17"/>
        <v/>
      </c>
      <c r="CC11" s="84"/>
      <c r="CD11" s="85"/>
      <c r="CE11" s="86"/>
      <c r="CF11" s="112" t="str">
        <f>IFERROR((((COUNTIF('Elève (6ème5)'!CC11:CE11,"A"))*4)+((COUNTIF('Elève (6ème5)'!CC11:CE11,"B"))*3)+((COUNTIF('Elève (6ème5)'!CC11:CE11,"C"))*2)+((COUNTIF('Elève (6ème5)'!CC11:CE11,"D"))*1))/(COUNTA(CC11:CE11)),"")</f>
        <v/>
      </c>
      <c r="CG11" s="113" t="str">
        <f t="shared" si="18"/>
        <v/>
      </c>
      <c r="CH11" s="180" t="str">
        <f>IF(COUNT(BV11,CA11,CF11)=0,"",SUM(BV11,CA11,CF11)/COUNT(BV11,CA11,CF11))</f>
        <v/>
      </c>
      <c r="CI11" s="133" t="str">
        <f t="shared" si="19"/>
        <v/>
      </c>
      <c r="CJ11" s="159"/>
      <c r="CK11" s="160"/>
      <c r="CL11" s="161"/>
      <c r="CM11" s="112" t="str">
        <f>IFERROR((((COUNTIF('Elève (6ème5)'!CJ11:CL11,"A"))*4)+((COUNTIF('Elève (6ème5)'!CJ11:CL11,"B"))*3)+((COUNTIF('Elève (6ème5)'!CJ11:CL11,"C"))*2)+((COUNTIF('Elève (6ème5)'!CJ11:CL11,"D"))*1))/(COUNTA(CJ11:CL11)),"")</f>
        <v/>
      </c>
      <c r="CN11" s="113" t="str">
        <f t="shared" si="20"/>
        <v/>
      </c>
      <c r="CO11" s="84"/>
      <c r="CP11" s="85"/>
      <c r="CQ11" s="86"/>
      <c r="CR11" s="112" t="str">
        <f>IFERROR((((COUNTIF('Elève (6ème5)'!CO11:CQ11,"A"))*4)+((COUNTIF('Elève (6ème5)'!CO11:CQ11,"B"))*3)+((COUNTIF('Elève (6ème5)'!CO11:CQ11,"C"))*2)+((COUNTIF('Elève (6ème5)'!CO11:CQ11,"D"))*1))/(COUNTA(CO11:CQ11)),"")</f>
        <v/>
      </c>
      <c r="CS11" s="113" t="str">
        <f t="shared" si="21"/>
        <v/>
      </c>
      <c r="CT11" s="84"/>
      <c r="CU11" s="85"/>
      <c r="CV11" s="86"/>
      <c r="CW11" s="112" t="str">
        <f>IFERROR((((COUNTIF('Elève (6ème5)'!CT11:CV11,"A"))*4)+((COUNTIF('Elève (6ème5)'!CT11:CV11,"B"))*3)+((COUNTIF('Elève (6ème5)'!CT11:CV11,"C"))*2)+((COUNTIF('Elève (6ème5)'!CT11:CV11,"D"))*1))/(COUNTA(CT11:CV11)),"")</f>
        <v/>
      </c>
      <c r="CX11" s="113" t="str">
        <f t="shared" si="22"/>
        <v/>
      </c>
      <c r="CY11" s="180" t="str">
        <f>IF(COUNT(CM11,CR11,CW11)=0,"",SUM(CM11,CR11,CW11)/COUNT(CM11,CR11,CW11))</f>
        <v/>
      </c>
      <c r="CZ11" s="133" t="str">
        <f t="shared" si="23"/>
        <v/>
      </c>
      <c r="DA11" s="159"/>
      <c r="DB11" s="160"/>
      <c r="DC11" s="161"/>
      <c r="DD11" s="112" t="str">
        <f>IFERROR((((COUNTIF('Elève (6ème5)'!DA11:DC11,"A"))*4)+((COUNTIF('Elève (6ème5)'!DA11:DC11,"B"))*3)+((COUNTIF('Elève (6ème5)'!DA11:DC11,"C"))*2)+((COUNTIF('Elève (6ème5)'!DA11:DC11,"D"))*1))/(COUNTA(DA11:DC11)),"")</f>
        <v/>
      </c>
      <c r="DE11" s="113" t="str">
        <f t="shared" si="24"/>
        <v/>
      </c>
      <c r="DF11" s="84"/>
      <c r="DG11" s="85"/>
      <c r="DH11" s="86"/>
      <c r="DI11" s="112" t="str">
        <f>IFERROR((((COUNTIF('Elève (6ème5)'!DF11:DH11,"A"))*4)+((COUNTIF('Elève (6ème5)'!DF11:DH11,"B"))*3)+((COUNTIF('Elève (6ème5)'!DF11:DH11,"C"))*2)+((COUNTIF('Elève (6ème5)'!DF11:DH11,"D"))*1))/(COUNTA(DF11:DH11)),"")</f>
        <v/>
      </c>
      <c r="DJ11" s="113" t="str">
        <f t="shared" si="25"/>
        <v/>
      </c>
      <c r="DK11" s="84"/>
      <c r="DL11" s="85"/>
      <c r="DM11" s="86"/>
      <c r="DN11" s="112" t="str">
        <f>IFERROR((((COUNTIF('Elève (6ème5)'!DK11:DM11,"A"))*4)+((COUNTIF('Elève (6ème5)'!DK11:DM11,"B"))*3)+((COUNTIF('Elève (6ème5)'!DK11:DM11,"C"))*2)+((COUNTIF('Elève (6ème5)'!DK11:DM11,"D"))*1))/(COUNTA(DK11:DM11)),"")</f>
        <v/>
      </c>
      <c r="DO11" s="113" t="str">
        <f t="shared" si="26"/>
        <v/>
      </c>
      <c r="DP11" s="180" t="str">
        <f>IF(COUNT(DD11,DI11,DN11)=0,"",SUM(DD11,DI11,DN11)/COUNT(DD11,DI11,DN11))</f>
        <v/>
      </c>
      <c r="DQ11" s="133" t="str">
        <f t="shared" si="27"/>
        <v/>
      </c>
      <c r="DR11" s="159"/>
      <c r="DS11" s="160"/>
      <c r="DT11" s="161"/>
      <c r="DU11" s="112" t="str">
        <f>IFERROR((((COUNTIF('Elève (6ème5)'!DR11:DT11,"A"))*4)+((COUNTIF('Elève (6ème5)'!DR11:DT11,"B"))*3)+((COUNTIF('Elève (6ème5)'!DR11:DT11,"C"))*2)+((COUNTIF('Elève (6ème5)'!DR11:DT11,"D"))*1))/(COUNTA(DR11:DT11)),"")</f>
        <v/>
      </c>
      <c r="DV11" s="113" t="str">
        <f t="shared" si="28"/>
        <v/>
      </c>
      <c r="DW11" s="84"/>
      <c r="DX11" s="85"/>
      <c r="DY11" s="86"/>
      <c r="DZ11" s="112" t="str">
        <f>IFERROR((((COUNTIF('Elève (6ème5)'!DW11:DY11,"A"))*4)+((COUNTIF('Elève (6ème5)'!DW11:DY11,"B"))*3)+((COUNTIF('Elève (6ème5)'!DW11:DY11,"C"))*2)+((COUNTIF('Elève (6ème5)'!DW11:DY11,"D"))*1))/(COUNTA(DW11:DY11)),"")</f>
        <v/>
      </c>
      <c r="EA11" s="113" t="str">
        <f t="shared" si="29"/>
        <v/>
      </c>
      <c r="EB11" s="84"/>
      <c r="EC11" s="85"/>
      <c r="ED11" s="86"/>
      <c r="EE11" s="112" t="str">
        <f>IFERROR((((COUNTIF('Elève (6ème5)'!EB11:ED11,"A"))*4)+((COUNTIF('Elève (6ème5)'!EB11:ED11,"B"))*3)+((COUNTIF('Elève (6ème5)'!EB11:ED11,"C"))*2)+((COUNTIF('Elève (6ème5)'!EB11:ED11,"D"))*1))/(COUNTA(EB11:ED11)),"")</f>
        <v/>
      </c>
      <c r="EF11" s="113" t="str">
        <f t="shared" si="30"/>
        <v/>
      </c>
      <c r="EG11" s="180" t="str">
        <f>IF(COUNT(DU11,DZ11,EE11)=0,"",SUM(DU11,DZ11,EE11)/COUNT(DU11,DZ11,EE11))</f>
        <v/>
      </c>
      <c r="EH11" s="133" t="str">
        <f t="shared" si="31"/>
        <v/>
      </c>
      <c r="EI11" s="159"/>
      <c r="EJ11" s="160"/>
      <c r="EK11" s="161"/>
      <c r="EL11" s="112" t="str">
        <f>IFERROR((((COUNTIF('Elève (6ème5)'!EI11:EK11,"A"))*4)+((COUNTIF('Elève (6ème5)'!EI11:EK11,"B"))*3)+((COUNTIF('Elève (6ème5)'!EI11:EK11,"C"))*2)+((COUNTIF('Elève (6ème5)'!EI11:EK11,"D"))*1))/(COUNTA(EI11:EK11)),"")</f>
        <v/>
      </c>
      <c r="EM11" s="113" t="str">
        <f t="shared" si="32"/>
        <v/>
      </c>
      <c r="EN11" s="84"/>
      <c r="EO11" s="85"/>
      <c r="EP11" s="86"/>
      <c r="EQ11" s="112" t="str">
        <f>IFERROR((((COUNTIF('Elève (6ème5)'!EN11:EP11,"A"))*4)+((COUNTIF('Elève (6ème5)'!EN11:EP11,"B"))*3)+((COUNTIF('Elève (6ème5)'!EN11:EP11,"C"))*2)+((COUNTIF('Elève (6ème5)'!EN11:EP11,"D"))*1))/(COUNTA(EN11:EP11)),"")</f>
        <v/>
      </c>
      <c r="ER11" s="113" t="str">
        <f t="shared" si="33"/>
        <v/>
      </c>
      <c r="ES11" s="84"/>
      <c r="ET11" s="85"/>
      <c r="EU11" s="86"/>
      <c r="EV11" s="112" t="str">
        <f>IFERROR((((COUNTIF('Elève (6ème5)'!ES11:EU11,"A"))*4)+((COUNTIF('Elève (6ème5)'!ES11:EU11,"B"))*3)+((COUNTIF('Elève (6ème5)'!ES11:EU11,"C"))*2)+((COUNTIF('Elève (6ème5)'!ES11:EU11,"D"))*1))/(COUNTA(ES11:EU11)),"")</f>
        <v/>
      </c>
      <c r="EW11" s="113" t="str">
        <f t="shared" si="34"/>
        <v/>
      </c>
      <c r="EX11" s="180" t="str">
        <f>IF(COUNT(EL11,EQ11,EV11)=0,"",SUM(EL11,EQ11,EV11)/COUNT(EL11,EQ11,EV11))</f>
        <v/>
      </c>
      <c r="EY11" s="133" t="str">
        <f t="shared" si="35"/>
        <v/>
      </c>
      <c r="EZ11" s="159"/>
      <c r="FA11" s="160"/>
      <c r="FB11" s="161"/>
      <c r="FC11" s="112" t="str">
        <f>IFERROR((((COUNTIF('Elève (6ème5)'!EZ11:FB11,"A"))*4)+((COUNTIF('Elève (6ème5)'!EZ11:FB11,"B"))*3)+((COUNTIF('Elève (6ème5)'!EZ11:FB11,"C"))*2)+((COUNTIF('Elève (6ème5)'!EZ11:FB11,"D"))*1))/(COUNTA(EZ11:FB11)),"")</f>
        <v/>
      </c>
      <c r="FD11" s="113" t="str">
        <f t="shared" si="36"/>
        <v/>
      </c>
      <c r="FE11" s="84"/>
      <c r="FF11" s="85"/>
      <c r="FG11" s="86"/>
      <c r="FH11" s="112" t="str">
        <f>IFERROR((((COUNTIF('Elève (6ème5)'!FE11:FG11,"A"))*4)+((COUNTIF('Elève (6ème5)'!FE11:FG11,"B"))*3)+((COUNTIF('Elève (6ème5)'!FE11:FG11,"C"))*2)+((COUNTIF('Elève (6ème5)'!FE11:FG11,"D"))*1))/(COUNTA(FE11:FG11)),"")</f>
        <v/>
      </c>
      <c r="FI11" s="113" t="str">
        <f t="shared" si="37"/>
        <v/>
      </c>
      <c r="FJ11" s="84"/>
      <c r="FK11" s="85"/>
      <c r="FL11" s="86"/>
      <c r="FM11" s="112" t="str">
        <f>IFERROR((((COUNTIF('Elève (6ème5)'!FJ11:FL11,"A"))*4)+((COUNTIF('Elève (6ème5)'!FJ11:FL11,"B"))*3)+((COUNTIF('Elève (6ème5)'!FJ11:FL11,"C"))*2)+((COUNTIF('Elève (6ème5)'!FJ11:FL11,"D"))*1))/(COUNTA(FJ11:FL11)),"")</f>
        <v/>
      </c>
      <c r="FN11" s="113" t="str">
        <f t="shared" si="38"/>
        <v/>
      </c>
      <c r="FO11" s="180" t="str">
        <f>IF(COUNT(FC11,FH11,FM11)=0,"",SUM(FC11,FH11,FM11)/COUNT(FC11,FH11,FM11))</f>
        <v/>
      </c>
      <c r="FP11" s="133" t="str">
        <f t="shared" si="39"/>
        <v/>
      </c>
      <c r="FQ11" s="159"/>
      <c r="FR11" s="160"/>
      <c r="FS11" s="161"/>
      <c r="FT11" s="112" t="str">
        <f>IFERROR((((COUNTIF('Elève (6ème5)'!FQ11:FS11,"A"))*4)+((COUNTIF('Elève (6ème5)'!FQ11:FS11,"B"))*3)+((COUNTIF('Elève (6ème5)'!FQ11:FS11,"C"))*2)+((COUNTIF('Elève (6ème5)'!FQ11:FS11,"D"))*1))/(COUNTA(FQ11:FS11)),"")</f>
        <v/>
      </c>
      <c r="FU11" s="113" t="str">
        <f t="shared" si="40"/>
        <v/>
      </c>
      <c r="FV11" s="84"/>
      <c r="FW11" s="85"/>
      <c r="FX11" s="86"/>
      <c r="FY11" s="112" t="str">
        <f>IFERROR((((COUNTIF('Elève (6ème5)'!FV11:FX11,"A"))*4)+((COUNTIF('Elève (6ème5)'!FV11:FX11,"B"))*3)+((COUNTIF('Elève (6ème5)'!FV11:FX11,"C"))*2)+((COUNTIF('Elève (6ème5)'!FV11:FX11,"D"))*1))/(COUNTA(FV11:FX11)),"")</f>
        <v/>
      </c>
      <c r="FZ11" s="113" t="str">
        <f t="shared" si="41"/>
        <v/>
      </c>
      <c r="GA11" s="84"/>
      <c r="GB11" s="85"/>
      <c r="GC11" s="86"/>
      <c r="GD11" s="112" t="str">
        <f>IFERROR((((COUNTIF('Elève (6ème5)'!GA11:GC11,"A"))*4)+((COUNTIF('Elève (6ème5)'!GA11:GC11,"B"))*3)+((COUNTIF('Elève (6ème5)'!GA11:GC11,"C"))*2)+((COUNTIF('Elève (6ème5)'!GA11:GC11,"D"))*1))/(COUNTA(GA11:GC11)),"")</f>
        <v/>
      </c>
      <c r="GE11" s="113" t="str">
        <f t="shared" si="42"/>
        <v/>
      </c>
      <c r="GF11" s="180" t="str">
        <f>IF(COUNT(FT11,FY11,GD11)=0,"",SUM(FT11,FY11,GD11)/COUNT(FT11,FY11,GD11))</f>
        <v/>
      </c>
      <c r="GG11" s="133" t="str">
        <f t="shared" si="43"/>
        <v/>
      </c>
      <c r="GH11" s="159"/>
      <c r="GI11" s="160"/>
      <c r="GJ11" s="161"/>
      <c r="GK11" s="112" t="str">
        <f>IFERROR((((COUNTIF('Elève (6ème5)'!GH11:GJ11,"A"))*4)+((COUNTIF('Elève (6ème5)'!GH11:GJ11,"B"))*3)+((COUNTIF('Elève (6ème5)'!GH11:GJ11,"C"))*2)+((COUNTIF('Elève (6ème5)'!GH11:GJ11,"D"))*1))/(COUNTA(GH11:GJ11)),"")</f>
        <v/>
      </c>
      <c r="GL11" s="113" t="str">
        <f t="shared" si="44"/>
        <v/>
      </c>
      <c r="GM11" s="84"/>
      <c r="GN11" s="85"/>
      <c r="GO11" s="86"/>
      <c r="GP11" s="112" t="str">
        <f>IFERROR((((COUNTIF('Elève (6ème5)'!GM11:GO11,"A"))*4)+((COUNTIF('Elève (6ème5)'!GM11:GO11,"B"))*3)+((COUNTIF('Elève (6ème5)'!GM11:GO11,"C"))*2)+((COUNTIF('Elève (6ème5)'!GM11:GO11,"D"))*1))/(COUNTA(GM11:GO11)),"")</f>
        <v/>
      </c>
      <c r="GQ11" s="113" t="str">
        <f t="shared" si="45"/>
        <v/>
      </c>
      <c r="GR11" s="84"/>
      <c r="GS11" s="85"/>
      <c r="GT11" s="86"/>
      <c r="GU11" s="112" t="str">
        <f>IFERROR((((COUNTIF('Elève (6ème5)'!GR11:GT11,"A"))*4)+((COUNTIF('Elève (6ème5)'!GR11:GT11,"B"))*3)+((COUNTIF('Elève (6ème5)'!GR11:GT11,"C"))*2)+((COUNTIF('Elève (6ème5)'!GR11:GT11,"D"))*1))/(COUNTA(GR11:GT11)),"")</f>
        <v/>
      </c>
      <c r="GV11" s="113" t="str">
        <f t="shared" si="46"/>
        <v/>
      </c>
      <c r="GW11" s="180" t="str">
        <f>IF(COUNT(GK11,GP11,GU11)=0,"",SUM(GK11,GP11,GU11)/COUNT(GK11,GP11,GU11))</f>
        <v/>
      </c>
      <c r="GX11" s="133" t="str">
        <f t="shared" si="47"/>
        <v/>
      </c>
      <c r="GY11" s="159"/>
      <c r="GZ11" s="160"/>
      <c r="HA11" s="161"/>
      <c r="HB11" s="112" t="str">
        <f>IFERROR((((COUNTIF('Elève (6ème5)'!GY11:HA11,"A"))*4)+((COUNTIF('Elève (6ème5)'!GY11:HA11,"B"))*3)+((COUNTIF('Elève (6ème5)'!GY11:HA11,"C"))*2)+((COUNTIF('Elève (6ème5)'!GY11:HA11,"D"))*1))/(COUNTA(GY11:HA11)),"")</f>
        <v/>
      </c>
      <c r="HC11" s="113" t="str">
        <f t="shared" si="48"/>
        <v/>
      </c>
      <c r="HD11" s="84"/>
      <c r="HE11" s="85"/>
      <c r="HF11" s="86"/>
      <c r="HG11" s="112" t="str">
        <f>IFERROR((((COUNTIF('Elève (6ème5)'!HD11:HF11,"A"))*4)+((COUNTIF('Elève (6ème5)'!HD11:HF11,"B"))*3)+((COUNTIF('Elève (6ème5)'!HD11:HF11,"C"))*2)+((COUNTIF('Elève (6ème5)'!HD11:HF11,"D"))*1))/(COUNTA(HD11:HF11)),"")</f>
        <v/>
      </c>
      <c r="HH11" s="113" t="str">
        <f t="shared" si="49"/>
        <v/>
      </c>
      <c r="HI11" s="84"/>
      <c r="HJ11" s="85"/>
      <c r="HK11" s="86"/>
      <c r="HL11" s="112" t="str">
        <f>IFERROR((((COUNTIF('Elève (6ème5)'!HI11:HK11,"A"))*4)+((COUNTIF('Elève (6ème5)'!HI11:HK11,"B"))*3)+((COUNTIF('Elève (6ème5)'!HI11:HK11,"C"))*2)+((COUNTIF('Elève (6ème5)'!HI11:HK11,"D"))*1))/(COUNTA(HI11:HK11)),"")</f>
        <v/>
      </c>
      <c r="HM11" s="113" t="str">
        <f t="shared" si="50"/>
        <v/>
      </c>
      <c r="HN11" s="180" t="str">
        <f>IF(COUNT(HB11,HG11,HL11)=0,"",SUM(HB11,HG11,HL11)/COUNT(HB11,HG11,HL11))</f>
        <v/>
      </c>
      <c r="HO11" s="133" t="str">
        <f t="shared" si="51"/>
        <v/>
      </c>
      <c r="HP11" s="159"/>
      <c r="HQ11" s="160"/>
      <c r="HR11" s="161"/>
      <c r="HS11" s="112" t="str">
        <f>IFERROR((((COUNTIF('Elève (6ème5)'!HP11:HR11,"A"))*4)+((COUNTIF('Elève (6ème5)'!HP11:HR11,"B"))*3)+((COUNTIF('Elève (6ème5)'!HP11:HR11,"C"))*2)+((COUNTIF('Elève (6ème5)'!HP11:HR11,"D"))*1))/(COUNTA(HP11:HR11)),"")</f>
        <v/>
      </c>
      <c r="HT11" s="113" t="str">
        <f t="shared" si="52"/>
        <v/>
      </c>
      <c r="HU11" s="84"/>
      <c r="HV11" s="85"/>
      <c r="HW11" s="86"/>
      <c r="HX11" s="112" t="str">
        <f>IFERROR((((COUNTIF('Elève (6ème5)'!HU11:HW11,"A"))*4)+((COUNTIF('Elève (6ème5)'!HU11:HW11,"B"))*3)+((COUNTIF('Elève (6ème5)'!HU11:HW11,"C"))*2)+((COUNTIF('Elève (6ème5)'!HU11:HW11,"D"))*1))/(COUNTA(HU11:HW11)),"")</f>
        <v/>
      </c>
      <c r="HY11" s="113" t="str">
        <f t="shared" si="53"/>
        <v/>
      </c>
      <c r="HZ11" s="84"/>
      <c r="IA11" s="85"/>
      <c r="IB11" s="86"/>
      <c r="IC11" s="112" t="str">
        <f>IFERROR((((COUNTIF('Elève (6ème5)'!HZ11:IB11,"A"))*4)+((COUNTIF('Elève (6ème5)'!HZ11:IB11,"B"))*3)+((COUNTIF('Elève (6ème5)'!HZ11:IB11,"C"))*2)+((COUNTIF('Elève (6ème5)'!HZ11:IB11,"D"))*1))/(COUNTA(HZ11:IB11)),"")</f>
        <v/>
      </c>
      <c r="ID11" s="113" t="str">
        <f t="shared" si="54"/>
        <v/>
      </c>
      <c r="IE11" s="180" t="str">
        <f>IF(COUNT(HS11,HX11,IC11)=0,"",SUM(HS11,HX11,IC11)/COUNT(HS11,HX11,IC11))</f>
        <v/>
      </c>
      <c r="IF11" s="133" t="str">
        <f t="shared" si="55"/>
        <v/>
      </c>
      <c r="IG11" s="159"/>
      <c r="IH11" s="160"/>
      <c r="II11" s="161"/>
      <c r="IJ11" s="112" t="str">
        <f>IFERROR((((COUNTIF('Elève (6ème5)'!IG11:II11,"A"))*4)+((COUNTIF('Elève (6ème5)'!IG11:II11,"B"))*3)+((COUNTIF('Elève (6ème5)'!IG11:II11,"C"))*2)+((COUNTIF('Elève (6ème5)'!IG11:II11,"D"))*1))/(COUNTA(IG11:II11)),"")</f>
        <v/>
      </c>
      <c r="IK11" s="113" t="str">
        <f t="shared" si="56"/>
        <v/>
      </c>
      <c r="IL11" s="84"/>
      <c r="IM11" s="85"/>
      <c r="IN11" s="86"/>
      <c r="IO11" s="112" t="str">
        <f>IFERROR((((COUNTIF('Elève (6ème5)'!IL11:IN11,"A"))*4)+((COUNTIF('Elève (6ème5)'!IL11:IN11,"B"))*3)+((COUNTIF('Elève (6ème5)'!IL11:IN11,"C"))*2)+((COUNTIF('Elève (6ème5)'!IL11:IN11,"D"))*1))/(COUNTA(IL11:IN11)),"")</f>
        <v/>
      </c>
      <c r="IP11" s="113" t="str">
        <f t="shared" si="57"/>
        <v/>
      </c>
      <c r="IQ11" s="84"/>
      <c r="IR11" s="85"/>
      <c r="IS11" s="86"/>
      <c r="IT11" s="112" t="str">
        <f>IFERROR((((COUNTIF('Elève (6ème5)'!IQ11:IS11,"A"))*4)+((COUNTIF('Elève (6ème5)'!IQ11:IS11,"B"))*3)+((COUNTIF('Elève (6ème5)'!IQ11:IS11,"C"))*2)+((COUNTIF('Elève (6ème5)'!IQ11:IS11,"D"))*1))/(COUNTA(IQ11:IS11)),"")</f>
        <v/>
      </c>
      <c r="IU11" s="113" t="str">
        <f t="shared" si="58"/>
        <v/>
      </c>
      <c r="IV11" s="180" t="str">
        <f>IF(COUNT(IJ11,IO11,IT11)=0,"",SUM(IJ11,IO11,IT11)/COUNT(IJ11,IO11,IT11))</f>
        <v/>
      </c>
      <c r="IW11" s="133" t="str">
        <f t="shared" si="59"/>
        <v/>
      </c>
      <c r="IX11" s="159"/>
      <c r="IY11" s="160"/>
      <c r="IZ11" s="161"/>
      <c r="JA11" s="112" t="str">
        <f>IFERROR((((COUNTIF('Elève (6ème5)'!IX11:IZ11,"A"))*4)+((COUNTIF('Elève (6ème5)'!IX11:IZ11,"B"))*3)+((COUNTIF('Elève (6ème5)'!IX11:IZ11,"C"))*2)+((COUNTIF('Elève (6ème5)'!IX11:IZ11,"D"))*1))/(COUNTA(IX11:IZ11)),"")</f>
        <v/>
      </c>
      <c r="JB11" s="113" t="str">
        <f t="shared" si="60"/>
        <v/>
      </c>
      <c r="JC11" s="84"/>
      <c r="JD11" s="85"/>
      <c r="JE11" s="86"/>
      <c r="JF11" s="112" t="str">
        <f>IFERROR((((COUNTIF('Elève (6ème5)'!JC11:JE11,"A"))*4)+((COUNTIF('Elève (6ème5)'!JC11:JE11,"B"))*3)+((COUNTIF('Elève (6ème5)'!JC11:JE11,"C"))*2)+((COUNTIF('Elève (6ème5)'!JC11:JE11,"D"))*1))/(COUNTA(JC11:JE11)),"")</f>
        <v/>
      </c>
      <c r="JG11" s="113" t="str">
        <f t="shared" si="61"/>
        <v/>
      </c>
      <c r="JH11" s="84"/>
      <c r="JI11" s="85"/>
      <c r="JJ11" s="86"/>
      <c r="JK11" s="112" t="str">
        <f>IFERROR((((COUNTIF('Elève (6ème5)'!JH11:JJ11,"A"))*4)+((COUNTIF('Elève (6ème5)'!JH11:JJ11,"B"))*3)+((COUNTIF('Elève (6ème5)'!JH11:JJ11,"C"))*2)+((COUNTIF('Elève (6ème5)'!JH11:JJ11,"D"))*1))/(COUNTA(JH11:JJ11)),"")</f>
        <v/>
      </c>
      <c r="JL11" s="113" t="str">
        <f t="shared" si="62"/>
        <v/>
      </c>
      <c r="JM11" s="180" t="str">
        <f>IF(COUNT(JA11,JF11,JK11)=0,"",SUM(JA11,JF11,JK11)/COUNT(JA11,JF11,JK11))</f>
        <v/>
      </c>
      <c r="JN11" s="133" t="str">
        <f t="shared" si="63"/>
        <v/>
      </c>
      <c r="JO11" s="159"/>
      <c r="JP11" s="160"/>
      <c r="JQ11" s="161"/>
      <c r="JR11" s="112" t="str">
        <f>IFERROR((((COUNTIF('Elève (6ème5)'!JO11:JQ11,"A"))*4)+((COUNTIF('Elève (6ème5)'!JO11:JQ11,"B"))*3)+((COUNTIF('Elève (6ème5)'!JO11:JQ11,"C"))*2)+((COUNTIF('Elève (6ème5)'!JO11:JQ11,"D"))*1))/(COUNTA(JO11:JQ11)),"")</f>
        <v/>
      </c>
      <c r="JS11" s="113" t="str">
        <f t="shared" si="64"/>
        <v/>
      </c>
      <c r="JT11" s="84"/>
      <c r="JU11" s="85"/>
      <c r="JV11" s="86"/>
      <c r="JW11" s="112" t="str">
        <f>IFERROR((((COUNTIF('Elève (6ème5)'!JT11:JV11,"A"))*4)+((COUNTIF('Elève (6ème5)'!JT11:JV11,"B"))*3)+((COUNTIF('Elève (6ème5)'!JT11:JV11,"C"))*2)+((COUNTIF('Elève (6ème5)'!JT11:JV11,"D"))*1))/(COUNTA(JT11:JV11)),"")</f>
        <v/>
      </c>
      <c r="JX11" s="113" t="str">
        <f t="shared" si="65"/>
        <v/>
      </c>
      <c r="JY11" s="84"/>
      <c r="JZ11" s="85"/>
      <c r="KA11" s="86"/>
      <c r="KB11" s="112" t="str">
        <f>IFERROR((((COUNTIF('Elève (6ème5)'!JY11:KA11,"A"))*4)+((COUNTIF('Elève (6ème5)'!JY11:KA11,"B"))*3)+((COUNTIF('Elève (6ème5)'!JY11:KA11,"C"))*2)+((COUNTIF('Elève (6ème5)'!JY11:KA11,"D"))*1))/(COUNTA(JY11:KA11)),"")</f>
        <v/>
      </c>
      <c r="KC11" s="113" t="str">
        <f t="shared" si="66"/>
        <v/>
      </c>
      <c r="KD11" s="180" t="str">
        <f>IF(COUNT(JR11,JW11,KB11)=0,"",SUM(JR11,JW11,KB11)/COUNT(JR11,JW11,KB11))</f>
        <v/>
      </c>
      <c r="KE11" s="133" t="str">
        <f t="shared" si="67"/>
        <v/>
      </c>
      <c r="KF11" s="159"/>
      <c r="KG11" s="160"/>
      <c r="KH11" s="161"/>
      <c r="KI11" s="112" t="str">
        <f>IFERROR((((COUNTIF('Elève (6ème5)'!KF11:KH11,"A"))*4)+((COUNTIF('Elève (6ème5)'!KF11:KH11,"B"))*3)+((COUNTIF('Elève (6ème5)'!KF11:KH11,"C"))*2)+((COUNTIF('Elève (6ème5)'!KF11:KH11,"D"))*1))/(COUNTA(KF11:KH11)),"")</f>
        <v/>
      </c>
      <c r="KJ11" s="113" t="str">
        <f t="shared" si="68"/>
        <v/>
      </c>
      <c r="KK11" s="84"/>
      <c r="KL11" s="85"/>
      <c r="KM11" s="86"/>
      <c r="KN11" s="112" t="str">
        <f>IFERROR((((COUNTIF('Elève (6ème5)'!KK11:KM11,"A"))*4)+((COUNTIF('Elève (6ème5)'!KK11:KM11,"B"))*3)+((COUNTIF('Elève (6ème5)'!KK11:KM11,"C"))*2)+((COUNTIF('Elève (6ème5)'!KK11:KM11,"D"))*1))/(COUNTA(KK11:KM11)),"")</f>
        <v/>
      </c>
      <c r="KO11" s="113" t="str">
        <f t="shared" si="69"/>
        <v/>
      </c>
      <c r="KP11" s="84"/>
      <c r="KQ11" s="85"/>
      <c r="KR11" s="86"/>
      <c r="KS11" s="112" t="str">
        <f>IFERROR((((COUNTIF('Elève (6ème5)'!KP11:KR11,"A"))*4)+((COUNTIF('Elève (6ème5)'!KP11:KR11,"B"))*3)+((COUNTIF('Elève (6ème5)'!KP11:KR11,"C"))*2)+((COUNTIF('Elève (6ème5)'!KP11:KR11,"D"))*1))/(COUNTA(KP11:KR11)),"")</f>
        <v/>
      </c>
      <c r="KT11" s="113" t="str">
        <f t="shared" si="70"/>
        <v/>
      </c>
      <c r="KU11" s="180" t="str">
        <f>IF(COUNT(KI11,KN11,KS11)=0,"",SUM(KI11,KN11,KS11)/COUNT(KI11,KN11,KS11))</f>
        <v/>
      </c>
      <c r="KV11" s="133" t="str">
        <f t="shared" si="71"/>
        <v/>
      </c>
      <c r="KW11" s="159"/>
      <c r="KX11" s="160"/>
      <c r="KY11" s="161"/>
      <c r="KZ11" s="112" t="str">
        <f>IFERROR((((COUNTIF('Elève (6ème5)'!KW11:KY11,"A"))*4)+((COUNTIF('Elève (6ème5)'!KW11:KY11,"B"))*3)+((COUNTIF('Elève (6ème5)'!KW11:KY11,"C"))*2)+((COUNTIF('Elève (6ème5)'!KW11:KY11,"D"))*1))/(COUNTA(KW11:KY11)),"")</f>
        <v/>
      </c>
      <c r="LA11" s="113" t="str">
        <f t="shared" si="72"/>
        <v/>
      </c>
      <c r="LB11" s="84"/>
      <c r="LC11" s="85"/>
      <c r="LD11" s="86"/>
      <c r="LE11" s="112" t="str">
        <f>IFERROR((((COUNTIF('Elève (6ème5)'!LB11:LD11,"A"))*4)+((COUNTIF('Elève (6ème5)'!LB11:LD11,"B"))*3)+((COUNTIF('Elève (6ème5)'!LB11:LD11,"C"))*2)+((COUNTIF('Elève (6ème5)'!LB11:LD11,"D"))*1))/(COUNTA(LB11:LD11)),"")</f>
        <v/>
      </c>
      <c r="LF11" s="113" t="str">
        <f t="shared" si="73"/>
        <v/>
      </c>
      <c r="LG11" s="84"/>
      <c r="LH11" s="85"/>
      <c r="LI11" s="86"/>
      <c r="LJ11" s="112" t="str">
        <f>IFERROR((((COUNTIF('Elève (6ème5)'!LG11:LI11,"A"))*4)+((COUNTIF('Elève (6ème5)'!LG11:LI11,"B"))*3)+((COUNTIF('Elève (6ème5)'!LG11:LI11,"C"))*2)+((COUNTIF('Elève (6ème5)'!LG11:LI11,"D"))*1))/(COUNTA(LG11:LI11)),"")</f>
        <v/>
      </c>
      <c r="LK11" s="113" t="str">
        <f t="shared" si="74"/>
        <v/>
      </c>
      <c r="LL11" s="180" t="str">
        <f>IF(COUNT(KZ11,LE11,LJ11)=0,"",SUM(KZ11,LE11,LJ11)/COUNT(KZ11,LE11,LJ11))</f>
        <v/>
      </c>
      <c r="LM11" s="133" t="str">
        <f t="shared" si="75"/>
        <v/>
      </c>
      <c r="LN11" s="159"/>
      <c r="LO11" s="160"/>
      <c r="LP11" s="161"/>
      <c r="LQ11" s="112" t="str">
        <f>IFERROR((((COUNTIF('Elève (6ème5)'!LN11:LP11,"A"))*4)+((COUNTIF('Elève (6ème5)'!LN11:LP11,"B"))*3)+((COUNTIF('Elève (6ème5)'!LN11:LP11,"C"))*2)+((COUNTIF('Elève (6ème5)'!LN11:LP11,"D"))*1))/(COUNTA(LN11:LP11)),"")</f>
        <v/>
      </c>
      <c r="LR11" s="113" t="str">
        <f t="shared" si="76"/>
        <v/>
      </c>
      <c r="LS11" s="84"/>
      <c r="LT11" s="85"/>
      <c r="LU11" s="86"/>
      <c r="LV11" s="112" t="str">
        <f>IFERROR((((COUNTIF('Elève (6ème5)'!LS11:LU11,"A"))*4)+((COUNTIF('Elève (6ème5)'!LS11:LU11,"B"))*3)+((COUNTIF('Elève (6ème5)'!LS11:LU11,"C"))*2)+((COUNTIF('Elève (6ème5)'!LS11:LU11,"D"))*1))/(COUNTA(LS11:LU11)),"")</f>
        <v/>
      </c>
      <c r="LW11" s="113" t="str">
        <f t="shared" si="77"/>
        <v/>
      </c>
      <c r="LX11" s="84"/>
      <c r="LY11" s="85"/>
      <c r="LZ11" s="86"/>
      <c r="MA11" s="112" t="str">
        <f>IFERROR((((COUNTIF('Elève (6ème5)'!LX11:LZ11,"A"))*4)+((COUNTIF('Elève (6ème5)'!LX11:LZ11,"B"))*3)+((COUNTIF('Elève (6ème5)'!LX11:LZ11,"C"))*2)+((COUNTIF('Elève (6ème5)'!LX11:LZ11,"D"))*1))/(COUNTA(LX11:LZ11)),"")</f>
        <v/>
      </c>
      <c r="MB11" s="113" t="str">
        <f t="shared" si="78"/>
        <v/>
      </c>
      <c r="MC11" s="180" t="str">
        <f>IF(COUNT(LQ11,LV11,MA11)=0,"",SUM(LQ11,LV11,MA11)/COUNT(LQ11,LV11,MA11))</f>
        <v/>
      </c>
      <c r="MD11" s="133" t="str">
        <f t="shared" si="79"/>
        <v/>
      </c>
      <c r="ME11" s="159"/>
      <c r="MF11" s="160"/>
      <c r="MG11" s="161"/>
      <c r="MH11" s="112" t="str">
        <f>IFERROR((((COUNTIF('Elève (6ème5)'!ME11:MG11,"A"))*4)+((COUNTIF('Elève (6ème5)'!ME11:MG11,"B"))*3)+((COUNTIF('Elève (6ème5)'!ME11:MG11,"C"))*2)+((COUNTIF('Elève (6ème5)'!ME11:MG11,"D"))*1))/(COUNTA(ME11:MG11)),"")</f>
        <v/>
      </c>
      <c r="MI11" s="113" t="str">
        <f t="shared" si="80"/>
        <v/>
      </c>
      <c r="MJ11" s="84"/>
      <c r="MK11" s="85"/>
      <c r="ML11" s="86"/>
      <c r="MM11" s="112" t="str">
        <f>IFERROR((((COUNTIF('Elève (6ème5)'!MJ11:ML11,"A"))*4)+((COUNTIF('Elève (6ème5)'!MJ11:ML11,"B"))*3)+((COUNTIF('Elève (6ème5)'!MJ11:ML11,"C"))*2)+((COUNTIF('Elève (6ème5)'!MJ11:ML11,"D"))*1))/(COUNTA(MJ11:ML11)),"")</f>
        <v/>
      </c>
      <c r="MN11" s="113" t="str">
        <f t="shared" si="81"/>
        <v/>
      </c>
      <c r="MO11" s="84"/>
      <c r="MP11" s="85"/>
      <c r="MQ11" s="86"/>
      <c r="MR11" s="112" t="str">
        <f>IFERROR((((COUNTIF('Elève (6ème5)'!MO11:MQ11,"A"))*4)+((COUNTIF('Elève (6ème5)'!MO11:MQ11,"B"))*3)+((COUNTIF('Elève (6ème5)'!MO11:MQ11,"C"))*2)+((COUNTIF('Elève (6ème5)'!MO11:MQ11,"D"))*1))/(COUNTA(MO11:MQ11)),"")</f>
        <v/>
      </c>
      <c r="MS11" s="113" t="str">
        <f t="shared" si="82"/>
        <v/>
      </c>
      <c r="MT11" s="180" t="str">
        <f>IF(COUNT(MH11,MM11,MR11)=0,"",SUM(MH11,MM11,MR11)/COUNT(MH11,MM11,MR11))</f>
        <v/>
      </c>
      <c r="MU11" s="133" t="str">
        <f t="shared" si="83"/>
        <v/>
      </c>
      <c r="MV11" s="159"/>
      <c r="MW11" s="160"/>
      <c r="MX11" s="161"/>
      <c r="MY11" s="112" t="str">
        <f>IFERROR((((COUNTIF('Elève (6ème5)'!MV11:MX11,"A"))*4)+((COUNTIF('Elève (6ème5)'!MV11:MX11,"B"))*3)+((COUNTIF('Elève (6ème5)'!MV11:MX11,"C"))*2)+((COUNTIF('Elève (6ème5)'!MV11:MX11,"D"))*1))/(COUNTA(MV11:MX11)),"")</f>
        <v/>
      </c>
      <c r="MZ11" s="113" t="str">
        <f t="shared" si="84"/>
        <v/>
      </c>
      <c r="NA11" s="84"/>
      <c r="NB11" s="85"/>
      <c r="NC11" s="86"/>
      <c r="ND11" s="112" t="str">
        <f>IFERROR((((COUNTIF('Elève (6ème5)'!NA11:NC11,"A"))*4)+((COUNTIF('Elève (6ème5)'!NA11:NC11,"B"))*3)+((COUNTIF('Elève (6ème5)'!NA11:NC11,"C"))*2)+((COUNTIF('Elève (6ème5)'!NA11:NC11,"D"))*1))/(COUNTA(NA11:NC11)),"")</f>
        <v/>
      </c>
      <c r="NE11" s="113" t="str">
        <f t="shared" si="85"/>
        <v/>
      </c>
      <c r="NF11" s="84"/>
      <c r="NG11" s="85"/>
      <c r="NH11" s="86"/>
      <c r="NI11" s="112" t="str">
        <f>IFERROR((((COUNTIF('Elève (6ème5)'!NF11:NH11,"A"))*4)+((COUNTIF('Elève (6ème5)'!NF11:NH11,"B"))*3)+((COUNTIF('Elève (6ème5)'!NF11:NH11,"C"))*2)+((COUNTIF('Elève (6ème5)'!NF11:NH11,"D"))*1))/(COUNTA(NF11:NH11)),"")</f>
        <v/>
      </c>
      <c r="NJ11" s="113" t="str">
        <f t="shared" si="86"/>
        <v/>
      </c>
      <c r="NK11" s="180" t="str">
        <f>IF(COUNT(MY11,ND11,NI11)=0,"",SUM(MY11,ND11,NI11)/COUNT(MY11,ND11,NI11))</f>
        <v/>
      </c>
      <c r="NL11" s="133" t="str">
        <f t="shared" si="87"/>
        <v/>
      </c>
      <c r="NM11" s="159"/>
      <c r="NN11" s="160"/>
      <c r="NO11" s="161"/>
      <c r="NP11" s="112" t="str">
        <f>IFERROR((((COUNTIF('Elève (6ème5)'!NM11:NO11,"A"))*4)+((COUNTIF('Elève (6ème5)'!NM11:NO11,"B"))*3)+((COUNTIF('Elève (6ème5)'!NM11:NO11,"C"))*2)+((COUNTIF('Elève (6ème5)'!NM11:NO11,"D"))*1))/(COUNTA(NM11:NO11)),"")</f>
        <v/>
      </c>
      <c r="NQ11" s="113" t="str">
        <f t="shared" si="88"/>
        <v/>
      </c>
      <c r="NR11" s="84"/>
      <c r="NS11" s="85"/>
      <c r="NT11" s="86"/>
      <c r="NU11" s="112" t="str">
        <f>IFERROR((((COUNTIF('Elève (6ème5)'!NR11:NT11,"A"))*4)+((COUNTIF('Elève (6ème5)'!NR11:NT11,"B"))*3)+((COUNTIF('Elève (6ème5)'!NR11:NT11,"C"))*2)+((COUNTIF('Elève (6ème5)'!NR11:NT11,"D"))*1))/(COUNTA(NR11:NT11)),"")</f>
        <v/>
      </c>
      <c r="NV11" s="113" t="str">
        <f t="shared" si="89"/>
        <v/>
      </c>
      <c r="NW11" s="84"/>
      <c r="NX11" s="85"/>
      <c r="NY11" s="86"/>
      <c r="NZ11" s="112" t="str">
        <f>IFERROR((((COUNTIF('Elève (6ème5)'!NW11:NY11,"A"))*4)+((COUNTIF('Elève (6ème5)'!NW11:NY11,"B"))*3)+((COUNTIF('Elève (6ème5)'!NW11:NY11,"C"))*2)+((COUNTIF('Elève (6ème5)'!NW11:NY11,"D"))*1))/(COUNTA(NW11:NY11)),"")</f>
        <v/>
      </c>
      <c r="OA11" s="113" t="str">
        <f t="shared" si="90"/>
        <v/>
      </c>
      <c r="OB11" s="180" t="str">
        <f>IF(COUNT(NP11,NU11,NZ11)=0,"",SUM(NP11,NU11,NZ11)/COUNT(NP11,NU11,NZ11))</f>
        <v/>
      </c>
      <c r="OC11" s="133" t="str">
        <f t="shared" si="91"/>
        <v/>
      </c>
      <c r="OD11" s="159"/>
      <c r="OE11" s="160"/>
      <c r="OF11" s="161"/>
      <c r="OG11" s="112" t="str">
        <f>IFERROR((((COUNTIF('Elève (6ème5)'!OD11:OF11,"A"))*4)+((COUNTIF('Elève (6ème5)'!OD11:OF11,"B"))*3)+((COUNTIF('Elève (6ème5)'!OD11:OF11,"C"))*2)+((COUNTIF('Elève (6ème5)'!OD11:OF11,"D"))*1))/(COUNTA(OD11:OF11)),"")</f>
        <v/>
      </c>
      <c r="OH11" s="113" t="str">
        <f t="shared" si="92"/>
        <v/>
      </c>
      <c r="OI11" s="84"/>
      <c r="OJ11" s="85"/>
      <c r="OK11" s="86"/>
      <c r="OL11" s="112" t="str">
        <f>IFERROR((((COUNTIF('Elève (6ème5)'!OI11:OK11,"A"))*4)+((COUNTIF('Elève (6ème5)'!OI11:OK11,"B"))*3)+((COUNTIF('Elève (6ème5)'!OI11:OK11,"C"))*2)+((COUNTIF('Elève (6ème5)'!OI11:OK11,"D"))*1))/(COUNTA(OI11:OK11)),"")</f>
        <v/>
      </c>
      <c r="OM11" s="113" t="str">
        <f t="shared" si="93"/>
        <v/>
      </c>
      <c r="ON11" s="84"/>
      <c r="OO11" s="85"/>
      <c r="OP11" s="86"/>
      <c r="OQ11" s="112" t="str">
        <f>IFERROR((((COUNTIF('Elève (6ème5)'!ON11:OP11,"A"))*4)+((COUNTIF('Elève (6ème5)'!ON11:OP11,"B"))*3)+((COUNTIF('Elève (6ème5)'!ON11:OP11,"C"))*2)+((COUNTIF('Elève (6ème5)'!ON11:OP11,"D"))*1))/(COUNTA(ON11:OP11)),"")</f>
        <v/>
      </c>
      <c r="OR11" s="113" t="str">
        <f t="shared" si="94"/>
        <v/>
      </c>
      <c r="OS11" s="180" t="str">
        <f>IF(COUNT(OG11,OL11,OQ11)=0,"",SUM(OG11,OL11,OQ11)/COUNT(OG11,OL11,OQ11))</f>
        <v/>
      </c>
      <c r="OT11" s="133" t="str">
        <f t="shared" si="95"/>
        <v/>
      </c>
      <c r="OU11" s="159"/>
      <c r="OV11" s="160"/>
      <c r="OW11" s="161"/>
      <c r="OX11" s="112" t="str">
        <f>IFERROR((((COUNTIF('Elève (6ème5)'!OU11:OW11,"A"))*4)+((COUNTIF('Elève (6ème5)'!OU11:OW11,"B"))*3)+((COUNTIF('Elève (6ème5)'!OU11:OW11,"C"))*2)+((COUNTIF('Elève (6ème5)'!OU11:OW11,"D"))*1))/(COUNTA(OU11:OW11)),"")</f>
        <v/>
      </c>
      <c r="OY11" s="113" t="str">
        <f t="shared" si="96"/>
        <v/>
      </c>
      <c r="OZ11" s="84"/>
      <c r="PA11" s="85"/>
      <c r="PB11" s="86"/>
      <c r="PC11" s="112" t="str">
        <f>IFERROR((((COUNTIF('Elève (6ème5)'!OZ11:PB11,"A"))*4)+((COUNTIF('Elève (6ème5)'!OZ11:PB11,"B"))*3)+((COUNTIF('Elève (6ème5)'!OZ11:PB11,"C"))*2)+((COUNTIF('Elève (6ème5)'!OZ11:PB11,"D"))*1))/(COUNTA(OZ11:PB11)),"")</f>
        <v/>
      </c>
      <c r="PD11" s="113" t="str">
        <f t="shared" si="97"/>
        <v/>
      </c>
      <c r="PE11" s="84"/>
      <c r="PF11" s="85"/>
      <c r="PG11" s="86"/>
      <c r="PH11" s="112" t="str">
        <f>IFERROR((((COUNTIF('Elève (6ème5)'!PE11:PG11,"A"))*4)+((COUNTIF('Elève (6ème5)'!PE11:PG11,"B"))*3)+((COUNTIF('Elève (6ème5)'!PE11:PG11,"C"))*2)+((COUNTIF('Elève (6ème5)'!PE11:PG11,"D"))*1))/(COUNTA(PE11:PG11)),"")</f>
        <v/>
      </c>
      <c r="PI11" s="113" t="str">
        <f t="shared" si="98"/>
        <v/>
      </c>
      <c r="PJ11" s="180" t="str">
        <f>IF(COUNT(OX11,PC11,PH11)=0,"",SUM(OX11,PC11,PH11)/COUNT(OX11,PC11,PH11))</f>
        <v/>
      </c>
      <c r="PK11" s="133" t="str">
        <f t="shared" si="99"/>
        <v/>
      </c>
      <c r="PL11" s="159"/>
      <c r="PM11" s="160"/>
      <c r="PN11" s="161"/>
      <c r="PO11" s="112" t="str">
        <f>IFERROR((((COUNTIF('Elève (6ème5)'!PL11:PN11,"A"))*4)+((COUNTIF('Elève (6ème5)'!PL11:PN11,"B"))*3)+((COUNTIF('Elève (6ème5)'!PL11:PN11,"C"))*2)+((COUNTIF('Elève (6ème5)'!PL11:PN11,"D"))*1))/(COUNTA(PL11:PN11)),"")</f>
        <v/>
      </c>
      <c r="PP11" s="113" t="str">
        <f t="shared" si="100"/>
        <v/>
      </c>
      <c r="PQ11" s="84"/>
      <c r="PR11" s="85"/>
      <c r="PS11" s="86"/>
      <c r="PT11" s="112" t="str">
        <f>IFERROR((((COUNTIF('Elève (6ème5)'!PQ11:PS11,"A"))*4)+((COUNTIF('Elève (6ème5)'!PQ11:PS11,"B"))*3)+((COUNTIF('Elève (6ème5)'!PQ11:PS11,"C"))*2)+((COUNTIF('Elève (6ème5)'!PQ11:PS11,"D"))*1))/(COUNTA(PQ11:PS11)),"")</f>
        <v/>
      </c>
      <c r="PU11" s="113" t="str">
        <f t="shared" si="101"/>
        <v/>
      </c>
      <c r="PV11" s="84"/>
      <c r="PW11" s="85"/>
      <c r="PX11" s="86"/>
      <c r="PY11" s="112" t="str">
        <f>IFERROR((((COUNTIF('Elève (6ème5)'!PV11:PX11,"A"))*4)+((COUNTIF('Elève (6ème5)'!PV11:PX11,"B"))*3)+((COUNTIF('Elève (6ème5)'!PV11:PX11,"C"))*2)+((COUNTIF('Elève (6ème5)'!PV11:PX11,"D"))*1))/(COUNTA(PV11:PX11)),"")</f>
        <v/>
      </c>
      <c r="PZ11" s="113" t="str">
        <f t="shared" si="102"/>
        <v/>
      </c>
      <c r="QA11" s="180" t="str">
        <f>IF(COUNT(PO11,PT11,PY11)=0,"",SUM(PO11,PT11,PY11)/COUNT(PO11,PT11,PY11))</f>
        <v/>
      </c>
      <c r="QB11" s="133" t="str">
        <f t="shared" si="103"/>
        <v/>
      </c>
      <c r="QC11" s="159"/>
      <c r="QD11" s="160"/>
      <c r="QE11" s="161"/>
      <c r="QF11" s="112" t="str">
        <f>IFERROR((((COUNTIF('Elève (6ème5)'!QC11:QE11,"A"))*4)+((COUNTIF('Elève (6ème5)'!QC11:QE11,"B"))*3)+((COUNTIF('Elève (6ème5)'!QC11:QE11,"C"))*2)+((COUNTIF('Elève (6ème5)'!QC11:QE11,"D"))*1))/(COUNTA(QC11:QE11)),"")</f>
        <v/>
      </c>
      <c r="QG11" s="113" t="str">
        <f t="shared" si="104"/>
        <v/>
      </c>
      <c r="QH11" s="84"/>
      <c r="QI11" s="85"/>
      <c r="QJ11" s="86"/>
      <c r="QK11" s="112" t="str">
        <f>IFERROR((((COUNTIF('Elève (6ème5)'!QH11:QJ11,"A"))*4)+((COUNTIF('Elève (6ème5)'!QH11:QJ11,"B"))*3)+((COUNTIF('Elève (6ème5)'!QH11:QJ11,"C"))*2)+((COUNTIF('Elève (6ème5)'!QH11:QJ11,"D"))*1))/(COUNTA(QH11:QJ11)),"")</f>
        <v/>
      </c>
      <c r="QL11" s="113" t="str">
        <f t="shared" si="105"/>
        <v/>
      </c>
      <c r="QM11" s="84"/>
      <c r="QN11" s="85"/>
      <c r="QO11" s="86"/>
      <c r="QP11" s="112" t="str">
        <f>IFERROR((((COUNTIF('Elève (6ème5)'!QM11:QO11,"A"))*4)+((COUNTIF('Elève (6ème5)'!QM11:QO11,"B"))*3)+((COUNTIF('Elève (6ème5)'!QM11:QO11,"C"))*2)+((COUNTIF('Elève (6ème5)'!QM11:QO11,"D"))*1))/(COUNTA(QM11:QO11)),"")</f>
        <v/>
      </c>
      <c r="QQ11" s="113" t="str">
        <f t="shared" si="106"/>
        <v/>
      </c>
      <c r="QR11" s="180" t="str">
        <f>IF(COUNT(QF11,QK11,QP11)=0,"",SUM(QF11,QK11,QP11)/COUNT(QF11,QK11,QP11))</f>
        <v/>
      </c>
      <c r="QS11" s="133" t="str">
        <f t="shared" si="107"/>
        <v/>
      </c>
      <c r="QT11" s="159"/>
      <c r="QU11" s="160"/>
      <c r="QV11" s="161"/>
      <c r="QW11" s="112" t="str">
        <f>IFERROR((((COUNTIF('Elève (6ème5)'!QT11:QV11,"A"))*4)+((COUNTIF('Elève (6ème5)'!QT11:QV11,"B"))*3)+((COUNTIF('Elève (6ème5)'!QT11:QV11,"C"))*2)+((COUNTIF('Elève (6ème5)'!QT11:QV11,"D"))*1))/(COUNTA(QT11:QV11)),"")</f>
        <v/>
      </c>
      <c r="QX11" s="113" t="str">
        <f t="shared" si="108"/>
        <v/>
      </c>
      <c r="QY11" s="84"/>
      <c r="QZ11" s="85"/>
      <c r="RA11" s="86"/>
      <c r="RB11" s="112" t="str">
        <f>IFERROR((((COUNTIF('Elève (6ème5)'!QY11:RA11,"A"))*4)+((COUNTIF('Elève (6ème5)'!QY11:RA11,"B"))*3)+((COUNTIF('Elève (6ème5)'!QY11:RA11,"C"))*2)+((COUNTIF('Elève (6ème5)'!QY11:RA11,"D"))*1))/(COUNTA(QY11:RA11)),"")</f>
        <v/>
      </c>
      <c r="RC11" s="113" t="str">
        <f t="shared" si="109"/>
        <v/>
      </c>
      <c r="RD11" s="84"/>
      <c r="RE11" s="85"/>
      <c r="RF11" s="86"/>
      <c r="RG11" s="112" t="str">
        <f>IFERROR((((COUNTIF('Elève (6ème5)'!RD11:RF11,"A"))*4)+((COUNTIF('Elève (6ème5)'!RD11:RF11,"B"))*3)+((COUNTIF('Elève (6ème5)'!RD11:RF11,"C"))*2)+((COUNTIF('Elève (6ème5)'!RD11:RF11,"D"))*1))/(COUNTA(RD11:RF11)),"")</f>
        <v/>
      </c>
      <c r="RH11" s="113" t="str">
        <f t="shared" si="110"/>
        <v/>
      </c>
      <c r="RI11" s="180" t="str">
        <f>IF(COUNT(QW11,RB11,RG11)=0,"",SUM(QW11,RB11,RG11)/COUNT(QW11,RB11,RG11))</f>
        <v/>
      </c>
      <c r="RJ11" s="133" t="str">
        <f t="shared" si="111"/>
        <v/>
      </c>
      <c r="RK11" s="159"/>
      <c r="RL11" s="160"/>
      <c r="RM11" s="161"/>
      <c r="RN11" s="112" t="str">
        <f>IFERROR((((COUNTIF('Elève (6ème5)'!RK11:RM11,"A"))*4)+((COUNTIF('Elève (6ème5)'!RK11:RM11,"B"))*3)+((COUNTIF('Elève (6ème5)'!RK11:RM11,"C"))*2)+((COUNTIF('Elève (6ème5)'!RK11:RM11,"D"))*1))/(COUNTA(RK11:RM11)),"")</f>
        <v/>
      </c>
      <c r="RO11" s="113" t="str">
        <f t="shared" si="112"/>
        <v/>
      </c>
      <c r="RP11" s="84"/>
      <c r="RQ11" s="85"/>
      <c r="RR11" s="86"/>
      <c r="RS11" s="112" t="str">
        <f>IFERROR((((COUNTIF('Elève (6ème5)'!RP11:RR11,"A"))*4)+((COUNTIF('Elève (6ème5)'!RP11:RR11,"B"))*3)+((COUNTIF('Elève (6ème5)'!RP11:RR11,"C"))*2)+((COUNTIF('Elève (6ème5)'!RP11:RR11,"D"))*1))/(COUNTA(RP11:RR11)),"")</f>
        <v/>
      </c>
      <c r="RT11" s="113" t="str">
        <f t="shared" si="113"/>
        <v/>
      </c>
      <c r="RU11" s="84"/>
      <c r="RV11" s="85"/>
      <c r="RW11" s="86"/>
      <c r="RX11" s="112" t="str">
        <f>IFERROR((((COUNTIF('Elève (6ème5)'!RU11:RW11,"A"))*4)+((COUNTIF('Elève (6ème5)'!RU11:RW11,"B"))*3)+((COUNTIF('Elève (6ème5)'!RU11:RW11,"C"))*2)+((COUNTIF('Elève (6ème5)'!RU11:RW11,"D"))*1))/(COUNTA(RU11:RW11)),"")</f>
        <v/>
      </c>
      <c r="RY11" s="113" t="str">
        <f t="shared" si="114"/>
        <v/>
      </c>
      <c r="RZ11" s="180" t="str">
        <f>IF(COUNT(RN11,RS11,RX11)=0,"",SUM(RN11,RS11,RX11)/COUNT(RN11,RS11,RX11))</f>
        <v/>
      </c>
      <c r="SA11" s="133" t="str">
        <f t="shared" si="115"/>
        <v/>
      </c>
      <c r="SB11" s="159"/>
      <c r="SC11" s="160"/>
      <c r="SD11" s="161"/>
      <c r="SE11" s="112" t="str">
        <f>IFERROR((((COUNTIF('Elève (6ème5)'!SB11:SD11,"A"))*4)+((COUNTIF('Elève (6ème5)'!SB11:SD11,"B"))*3)+((COUNTIF('Elève (6ème5)'!SB11:SD11,"C"))*2)+((COUNTIF('Elève (6ème5)'!SB11:SD11,"D"))*1))/(COUNTA(SB11:SD11)),"")</f>
        <v/>
      </c>
      <c r="SF11" s="113" t="str">
        <f t="shared" si="116"/>
        <v/>
      </c>
      <c r="SG11" s="84"/>
      <c r="SH11" s="85"/>
      <c r="SI11" s="86"/>
      <c r="SJ11" s="112" t="str">
        <f>IFERROR((((COUNTIF('Elève (6ème5)'!SG11:SI11,"A"))*4)+((COUNTIF('Elève (6ème5)'!SG11:SI11,"B"))*3)+((COUNTIF('Elève (6ème5)'!SG11:SI11,"C"))*2)+((COUNTIF('Elève (6ème5)'!SG11:SI11,"D"))*1))/(COUNTA(SG11:SI11)),"")</f>
        <v/>
      </c>
      <c r="SK11" s="113" t="str">
        <f t="shared" si="117"/>
        <v/>
      </c>
      <c r="SL11" s="84"/>
      <c r="SM11" s="85"/>
      <c r="SN11" s="86"/>
      <c r="SO11" s="112" t="str">
        <f>IFERROR((((COUNTIF('Elève (6ème5)'!SL11:SN11,"A"))*4)+((COUNTIF('Elève (6ème5)'!SL11:SN11,"B"))*3)+((COUNTIF('Elève (6ème5)'!SL11:SN11,"C"))*2)+((COUNTIF('Elève (6ème5)'!SL11:SN11,"D"))*1))/(COUNTA(SL11:SN11)),"")</f>
        <v/>
      </c>
      <c r="SP11" s="113" t="str">
        <f t="shared" si="118"/>
        <v/>
      </c>
      <c r="SQ11" s="180" t="str">
        <f>IF(COUNT(SE11,SJ11,SO11)=0,"",SUM(SE11,SJ11,SO11)/COUNT(SE11,SJ11,SO11))</f>
        <v/>
      </c>
      <c r="SR11" s="133" t="str">
        <f t="shared" si="119"/>
        <v/>
      </c>
    </row>
    <row r="12" spans="1:512" s="77" customFormat="1" ht="16.5" customHeight="1" thickBot="1" x14ac:dyDescent="0.3">
      <c r="A12" s="96" t="s">
        <v>15</v>
      </c>
      <c r="B12" s="88">
        <v>1</v>
      </c>
      <c r="C12" s="152"/>
      <c r="D12" s="185"/>
      <c r="E12" s="185"/>
      <c r="F12" s="106">
        <f>IFERROR((((COUNTIF('Elève (6ème5)'!C13:E13,"A"))*4)+((COUNTIF('Elève (6ème5)'!C13:E13,"B"))*3)+((COUNTIF('Elève (6ème5)'!C13:E13,"C"))*2)+((COUNTIF('Elève (6ème5)'!C13:E13,"D"))*1))/(COUNTA(C13:E13)),"")</f>
        <v>4</v>
      </c>
      <c r="G12" s="107" t="str">
        <f t="shared" si="0"/>
        <v>A</v>
      </c>
      <c r="H12" s="204"/>
      <c r="I12" s="186"/>
      <c r="J12" s="205"/>
      <c r="K12" s="106" t="str">
        <f>IFERROR((((COUNTIF('Elève (6ème5)'!H13:J13,"A"))*4)+((COUNTIF('Elève (6ème5)'!H13:J13,"B"))*3)+((COUNTIF('Elève (6ème5)'!H13:J13,"C"))*2)+((COUNTIF('Elève (6ème5)'!H13:J13,"D"))*1))/(COUNTA(H13:J13)),"")</f>
        <v/>
      </c>
      <c r="L12" s="121" t="str">
        <f t="shared" si="1"/>
        <v/>
      </c>
      <c r="M12" s="100"/>
      <c r="N12" s="187"/>
      <c r="O12" s="188"/>
      <c r="P12" s="106" t="str">
        <f>IFERROR((((COUNTIF('Elève (6ème5)'!M13:O13,"A"))*4)+((COUNTIF('Elève (6ème5)'!M13:O13,"B"))*3)+((COUNTIF('Elève (6ème5)'!M13:O13,"C"))*2)+((COUNTIF('Elève (6ème5)'!M13:O13,"D"))*1))/(COUNTA(M13:O13)),"")</f>
        <v/>
      </c>
      <c r="Q12" s="128" t="str">
        <f t="shared" si="2"/>
        <v/>
      </c>
      <c r="R12" s="177">
        <f>IFERROR((((COUNTIF(C13:E13,"A")+COUNTIF(H13:J13,"A")+COUNTIF(M13:O13,"A"))*4)+((COUNTIF(C13:E13,"B")+COUNTIF(H13:J13,"B")+COUNTIF(M13:O13,"B"))*3)+((COUNTIF(C13:E13,"C")+COUNTIF(H13:J13,"C")+COUNTIF(M13:O13,"C"))*2)+((COUNTIF(C13:E13,"D")+COUNTIF(H13:J13,"D")+COUNTIF(M13:O13,"D"))*1))/(COUNTA(C13:E13)+COUNTA(H13:J13)+COUNTA(M13:O13)),"")</f>
        <v>4</v>
      </c>
      <c r="S12" s="130" t="str">
        <f t="shared" si="3"/>
        <v>A</v>
      </c>
      <c r="T12" s="152"/>
      <c r="U12" s="185"/>
      <c r="V12" s="185"/>
      <c r="W12" s="106">
        <f>IFERROR((((COUNTIF('Elève (6ème5)'!T13:V13,"A"))*4)+((COUNTIF('Elève (6ème5)'!T13:V13,"B"))*3)+((COUNTIF('Elève (6ème5)'!T13:V13,"C"))*2)+((COUNTIF('Elève (6ème5)'!T13:V13,"D"))*1))/(COUNTA(T13:V13)),"")</f>
        <v>4</v>
      </c>
      <c r="X12" s="107" t="str">
        <f t="shared" si="4"/>
        <v>A</v>
      </c>
      <c r="Y12" s="204"/>
      <c r="Z12" s="186"/>
      <c r="AA12" s="205"/>
      <c r="AB12" s="106" t="str">
        <f>IFERROR((((COUNTIF('Elève (6ème5)'!Y13:AA13,"A"))*4)+((COUNTIF('Elève (6ème5)'!Y13:AA13,"B"))*3)+((COUNTIF('Elève (6ème5)'!Y13:AA13,"C"))*2)+((COUNTIF('Elève (6ème5)'!Y13:AA13,"D"))*1))/(COUNTA(Y13:AA13)),"")</f>
        <v/>
      </c>
      <c r="AC12" s="121" t="str">
        <f t="shared" si="5"/>
        <v/>
      </c>
      <c r="AD12" s="100"/>
      <c r="AE12" s="187"/>
      <c r="AF12" s="188"/>
      <c r="AG12" s="106" t="str">
        <f>IFERROR((((COUNTIF('Elève (6ème5)'!AD13:AF13,"A"))*4)+((COUNTIF('Elève (6ème5)'!AD13:AF13,"B"))*3)+((COUNTIF('Elève (6ème5)'!AD13:AF13,"C"))*2)+((COUNTIF('Elève (6ème5)'!AD13:AF13,"D"))*1))/(COUNTA(AD13:AF13)),"")</f>
        <v/>
      </c>
      <c r="AH12" s="128" t="str">
        <f t="shared" si="6"/>
        <v/>
      </c>
      <c r="AI12" s="177">
        <f>IFERROR((((COUNTIF(T13:V13,"A")+COUNTIF(Y13:AA13,"A")+COUNTIF(AD13:AF13,"A"))*4)+((COUNTIF(T13:V13,"B")+COUNTIF(Y13:AA13,"B")+COUNTIF(AD13:AF13,"B"))*3)+((COUNTIF(T13:V13,"C")+COUNTIF(Y13:AA13,"C")+COUNTIF(AD13:AF13,"C"))*2)+((COUNTIF(T13:V13,"D")+COUNTIF(Y13:AA13,"D")+COUNTIF(AD13:AF13,"D"))*1))/(COUNTA(T13:V13)+COUNTA(Y13:AA13)+COUNTA(AD13:AF13)),"")</f>
        <v>4</v>
      </c>
      <c r="AJ12" s="130" t="str">
        <f t="shared" si="7"/>
        <v>A</v>
      </c>
      <c r="AK12" s="152"/>
      <c r="AL12" s="185"/>
      <c r="AM12" s="185"/>
      <c r="AN12" s="106">
        <f>IFERROR((((COUNTIF('Elève (6ème5)'!AK13:AM13,"A"))*4)+((COUNTIF('Elève (6ème5)'!AK13:AM13,"B"))*3)+((COUNTIF('Elève (6ème5)'!AK13:AM13,"C"))*2)+((COUNTIF('Elève (6ème5)'!AK13:AM13,"D"))*1))/(COUNTA(AK13:AM13)),"")</f>
        <v>4</v>
      </c>
      <c r="AO12" s="107" t="str">
        <f t="shared" si="8"/>
        <v>A</v>
      </c>
      <c r="AP12" s="204"/>
      <c r="AQ12" s="186"/>
      <c r="AR12" s="205"/>
      <c r="AS12" s="106" t="str">
        <f>IFERROR((((COUNTIF('Elève (6ème5)'!AP13:AR13,"A"))*4)+((COUNTIF('Elève (6ème5)'!AP13:AR13,"B"))*3)+((COUNTIF('Elève (6ème5)'!AP13:AR13,"C"))*2)+((COUNTIF('Elève (6ème5)'!AP13:AR13,"D"))*1))/(COUNTA(AP13:AR13)),"")</f>
        <v/>
      </c>
      <c r="AT12" s="121" t="str">
        <f t="shared" si="9"/>
        <v/>
      </c>
      <c r="AU12" s="100"/>
      <c r="AV12" s="187"/>
      <c r="AW12" s="188"/>
      <c r="AX12" s="106" t="str">
        <f>IFERROR((((COUNTIF('Elève (6ème5)'!AU13:AW13,"A"))*4)+((COUNTIF('Elève (6ème5)'!AU13:AW13,"B"))*3)+((COUNTIF('Elève (6ème5)'!AU13:AW13,"C"))*2)+((COUNTIF('Elève (6ème5)'!AU13:AW13,"D"))*1))/(COUNTA(AU13:AW13)),"")</f>
        <v/>
      </c>
      <c r="AY12" s="128" t="str">
        <f t="shared" si="10"/>
        <v/>
      </c>
      <c r="AZ12" s="177">
        <f>IFERROR((((COUNTIF(AK13:AM13,"A")+COUNTIF(AP13:AR13,"A")+COUNTIF(AU13:AW13,"A"))*4)+((COUNTIF(AK13:AM13,"B")+COUNTIF(AP13:AR13,"B")+COUNTIF(AU13:AW13,"B"))*3)+((COUNTIF(AK13:AM13,"C")+COUNTIF(AP13:AR13,"C")+COUNTIF(AU13:AW13,"C"))*2)+((COUNTIF(AK13:AM13,"D")+COUNTIF(AP13:AR13,"D")+COUNTIF(AU13:AW13,"D"))*1))/(COUNTA(AK13:AM13)+COUNTA(AP13:AR13)+COUNTA(AU13:AW13)),"")</f>
        <v>4</v>
      </c>
      <c r="BA12" s="130" t="str">
        <f t="shared" si="11"/>
        <v>A</v>
      </c>
      <c r="BB12" s="152"/>
      <c r="BC12" s="185"/>
      <c r="BD12" s="185"/>
      <c r="BE12" s="106">
        <f>IFERROR((((COUNTIF('Elève (6ème5)'!BB13:BD13,"A"))*4)+((COUNTIF('Elève (6ème5)'!BB13:BD13,"B"))*3)+((COUNTIF('Elève (6ème5)'!BB13:BD13,"C"))*2)+((COUNTIF('Elève (6ème5)'!BB13:BD13,"D"))*1))/(COUNTA(BB13:BD13)),"")</f>
        <v>4</v>
      </c>
      <c r="BF12" s="107" t="str">
        <f t="shared" si="12"/>
        <v>A</v>
      </c>
      <c r="BG12" s="204"/>
      <c r="BH12" s="186"/>
      <c r="BI12" s="205"/>
      <c r="BJ12" s="106" t="str">
        <f>IFERROR((((COUNTIF('Elève (6ème5)'!BG13:BI13,"A"))*4)+((COUNTIF('Elève (6ème5)'!BG13:BI13,"B"))*3)+((COUNTIF('Elève (6ème5)'!BG13:BI13,"C"))*2)+((COUNTIF('Elève (6ème5)'!BG13:BI13,"D"))*1))/(COUNTA(BG13:BI13)),"")</f>
        <v/>
      </c>
      <c r="BK12" s="121" t="str">
        <f t="shared" si="13"/>
        <v/>
      </c>
      <c r="BL12" s="100"/>
      <c r="BM12" s="187"/>
      <c r="BN12" s="188"/>
      <c r="BO12" s="106" t="str">
        <f>IFERROR((((COUNTIF('Elève (6ème5)'!BL13:BN13,"A"))*4)+((COUNTIF('Elève (6ème5)'!BL13:BN13,"B"))*3)+((COUNTIF('Elève (6ème5)'!BL13:BN13,"C"))*2)+((COUNTIF('Elève (6ème5)'!BL13:BN13,"D"))*1))/(COUNTA(BL13:BN13)),"")</f>
        <v/>
      </c>
      <c r="BP12" s="128" t="str">
        <f t="shared" si="14"/>
        <v/>
      </c>
      <c r="BQ12" s="177">
        <f>IFERROR((((COUNTIF(BB13:BD13,"A")+COUNTIF(BG13:BI13,"A")+COUNTIF(BL13:BN13,"A"))*4)+((COUNTIF(BB13:BD13,"B")+COUNTIF(BG13:BI13,"B")+COUNTIF(BL13:BN13,"B"))*3)+((COUNTIF(BB13:BD13,"C")+COUNTIF(BG13:BI13,"C")+COUNTIF(BL13:BN13,"C"))*2)+((COUNTIF(BB13:BD13,"D")+COUNTIF(BG13:BI13,"D")+COUNTIF(BL13:BN13,"D"))*1))/(COUNTA(BB13:BD13)+COUNTA(BG13:BI13)+COUNTA(BL13:BN13)),"")</f>
        <v>4</v>
      </c>
      <c r="BR12" s="130" t="str">
        <f t="shared" si="15"/>
        <v>A</v>
      </c>
      <c r="BS12" s="152"/>
      <c r="BT12" s="185"/>
      <c r="BU12" s="185"/>
      <c r="BV12" s="106">
        <f>IFERROR((((COUNTIF('Elève (6ème5)'!BS13:BU13,"A"))*4)+((COUNTIF('Elève (6ème5)'!BS13:BU13,"B"))*3)+((COUNTIF('Elève (6ème5)'!BS13:BU13,"C"))*2)+((COUNTIF('Elève (6ème5)'!BS13:BU13,"D"))*1))/(COUNTA(BS13:BU13)),"")</f>
        <v>4</v>
      </c>
      <c r="BW12" s="107" t="str">
        <f t="shared" si="16"/>
        <v>A</v>
      </c>
      <c r="BX12" s="204"/>
      <c r="BY12" s="186"/>
      <c r="BZ12" s="205"/>
      <c r="CA12" s="106" t="str">
        <f>IFERROR((((COUNTIF('Elève (6ème5)'!BX13:BZ13,"A"))*4)+((COUNTIF('Elève (6ème5)'!BX13:BZ13,"B"))*3)+((COUNTIF('Elève (6ème5)'!BX13:BZ13,"C"))*2)+((COUNTIF('Elève (6ème5)'!BX13:BZ13,"D"))*1))/(COUNTA(BX13:BZ13)),"")</f>
        <v/>
      </c>
      <c r="CB12" s="121" t="str">
        <f t="shared" si="17"/>
        <v/>
      </c>
      <c r="CC12" s="100"/>
      <c r="CD12" s="187"/>
      <c r="CE12" s="188"/>
      <c r="CF12" s="106" t="str">
        <f>IFERROR((((COUNTIF('Elève (6ème5)'!CC13:CE13,"A"))*4)+((COUNTIF('Elève (6ème5)'!CC13:CE13,"B"))*3)+((COUNTIF('Elève (6ème5)'!CC13:CE13,"C"))*2)+((COUNTIF('Elève (6ème5)'!CC13:CE13,"D"))*1))/(COUNTA(CC13:CE13)),"")</f>
        <v/>
      </c>
      <c r="CG12" s="128" t="str">
        <f t="shared" si="18"/>
        <v/>
      </c>
      <c r="CH12" s="177">
        <f>IFERROR((((COUNTIF(BS13:BU13,"A")+COUNTIF(BX13:BZ13,"A")+COUNTIF(CC13:CE13,"A"))*4)+((COUNTIF(BS13:BU13,"B")+COUNTIF(BX13:BZ13,"B")+COUNTIF(CC13:CE13,"B"))*3)+((COUNTIF(BS13:BU13,"C")+COUNTIF(BX13:BZ13,"C")+COUNTIF(CC13:CE13,"C"))*2)+((COUNTIF(BS13:BU13,"D")+COUNTIF(BX13:BZ13,"D")+COUNTIF(CC13:CE13,"D"))*1))/(COUNTA(BS13:BU13)+COUNTA(BX13:BZ13)+COUNTA(CC13:CE13)),"")</f>
        <v>4</v>
      </c>
      <c r="CI12" s="130" t="str">
        <f t="shared" si="19"/>
        <v>A</v>
      </c>
      <c r="CJ12" s="152"/>
      <c r="CK12" s="185"/>
      <c r="CL12" s="185"/>
      <c r="CM12" s="106">
        <f>IFERROR((((COUNTIF('Elève (6ème5)'!CJ13:CL13,"A"))*4)+((COUNTIF('Elève (6ème5)'!CJ13:CL13,"B"))*3)+((COUNTIF('Elève (6ème5)'!CJ13:CL13,"C"))*2)+((COUNTIF('Elève (6ème5)'!CJ13:CL13,"D"))*1))/(COUNTA(CJ13:CL13)),"")</f>
        <v>4</v>
      </c>
      <c r="CN12" s="107" t="str">
        <f t="shared" si="20"/>
        <v>A</v>
      </c>
      <c r="CO12" s="204"/>
      <c r="CP12" s="186"/>
      <c r="CQ12" s="205"/>
      <c r="CR12" s="106" t="str">
        <f>IFERROR((((COUNTIF('Elève (6ème5)'!CO13:CQ13,"A"))*4)+((COUNTIF('Elève (6ème5)'!CO13:CQ13,"B"))*3)+((COUNTIF('Elève (6ème5)'!CO13:CQ13,"C"))*2)+((COUNTIF('Elève (6ème5)'!CO13:CQ13,"D"))*1))/(COUNTA(CO13:CQ13)),"")</f>
        <v/>
      </c>
      <c r="CS12" s="121" t="str">
        <f t="shared" si="21"/>
        <v/>
      </c>
      <c r="CT12" s="100"/>
      <c r="CU12" s="187"/>
      <c r="CV12" s="188"/>
      <c r="CW12" s="106" t="str">
        <f>IFERROR((((COUNTIF('Elève (6ème5)'!CT13:CV13,"A"))*4)+((COUNTIF('Elève (6ème5)'!CT13:CV13,"B"))*3)+((COUNTIF('Elève (6ème5)'!CT13:CV13,"C"))*2)+((COUNTIF('Elève (6ème5)'!CT13:CV13,"D"))*1))/(COUNTA(CT13:CV13)),"")</f>
        <v/>
      </c>
      <c r="CX12" s="128" t="str">
        <f t="shared" si="22"/>
        <v/>
      </c>
      <c r="CY12" s="177">
        <f>IFERROR((((COUNTIF(CJ13:CL13,"A")+COUNTIF(CO13:CQ13,"A")+COUNTIF(CT13:CV13,"A"))*4)+((COUNTIF(CJ13:CL13,"B")+COUNTIF(CO13:CQ13,"B")+COUNTIF(CT13:CV13,"B"))*3)+((COUNTIF(CJ13:CL13,"C")+COUNTIF(CO13:CQ13,"C")+COUNTIF(CT13:CV13,"C"))*2)+((COUNTIF(CJ13:CL13,"D")+COUNTIF(CO13:CQ13,"D")+COUNTIF(CT13:CV13,"D"))*1))/(COUNTA(CJ13:CL13)+COUNTA(CO13:CQ13)+COUNTA(CT13:CV13)),"")</f>
        <v>4</v>
      </c>
      <c r="CZ12" s="130" t="str">
        <f t="shared" si="23"/>
        <v>A</v>
      </c>
      <c r="DA12" s="152"/>
      <c r="DB12" s="185"/>
      <c r="DC12" s="185"/>
      <c r="DD12" s="106">
        <f>IFERROR((((COUNTIF('Elève (6ème5)'!DA13:DC13,"A"))*4)+((COUNTIF('Elève (6ème5)'!DA13:DC13,"B"))*3)+((COUNTIF('Elève (6ème5)'!DA13:DC13,"C"))*2)+((COUNTIF('Elève (6ème5)'!DA13:DC13,"D"))*1))/(COUNTA(DA13:DC13)),"")</f>
        <v>4</v>
      </c>
      <c r="DE12" s="107" t="str">
        <f t="shared" si="24"/>
        <v>A</v>
      </c>
      <c r="DF12" s="204"/>
      <c r="DG12" s="186"/>
      <c r="DH12" s="205"/>
      <c r="DI12" s="106" t="str">
        <f>IFERROR((((COUNTIF('Elève (6ème5)'!DF13:DH13,"A"))*4)+((COUNTIF('Elève (6ème5)'!DF13:DH13,"B"))*3)+((COUNTIF('Elève (6ème5)'!DF13:DH13,"C"))*2)+((COUNTIF('Elève (6ème5)'!DF13:DH13,"D"))*1))/(COUNTA(DF13:DH13)),"")</f>
        <v/>
      </c>
      <c r="DJ12" s="121" t="str">
        <f t="shared" si="25"/>
        <v/>
      </c>
      <c r="DK12" s="100"/>
      <c r="DL12" s="187"/>
      <c r="DM12" s="188"/>
      <c r="DN12" s="106" t="str">
        <f>IFERROR((((COUNTIF('Elève (6ème5)'!DK13:DM13,"A"))*4)+((COUNTIF('Elève (6ème5)'!DK13:DM13,"B"))*3)+((COUNTIF('Elève (6ème5)'!DK13:DM13,"C"))*2)+((COUNTIF('Elève (6ème5)'!DK13:DM13,"D"))*1))/(COUNTA(DK13:DM13)),"")</f>
        <v/>
      </c>
      <c r="DO12" s="128" t="str">
        <f t="shared" si="26"/>
        <v/>
      </c>
      <c r="DP12" s="177">
        <f>IFERROR((((COUNTIF(DA13:DC13,"A")+COUNTIF(DF13:DH13,"A")+COUNTIF(DK13:DM13,"A"))*4)+((COUNTIF(DA13:DC13,"B")+COUNTIF(DF13:DH13,"B")+COUNTIF(DK13:DM13,"B"))*3)+((COUNTIF(DA13:DC13,"C")+COUNTIF(DF13:DH13,"C")+COUNTIF(DK13:DM13,"C"))*2)+((COUNTIF(DA13:DC13,"D")+COUNTIF(DF13:DH13,"D")+COUNTIF(DK13:DM13,"D"))*1))/(COUNTA(DA13:DC13)+COUNTA(DF13:DH13)+COUNTA(DK13:DM13)),"")</f>
        <v>4</v>
      </c>
      <c r="DQ12" s="130" t="str">
        <f t="shared" si="27"/>
        <v>A</v>
      </c>
      <c r="DR12" s="152"/>
      <c r="DS12" s="185"/>
      <c r="DT12" s="185"/>
      <c r="DU12" s="106">
        <f>IFERROR((((COUNTIF('Elève (6ème5)'!DR13:DT13,"A"))*4)+((COUNTIF('Elève (6ème5)'!DR13:DT13,"B"))*3)+((COUNTIF('Elève (6ème5)'!DR13:DT13,"C"))*2)+((COUNTIF('Elève (6ème5)'!DR13:DT13,"D"))*1))/(COUNTA(DR13:DT13)),"")</f>
        <v>4</v>
      </c>
      <c r="DV12" s="107" t="str">
        <f t="shared" si="28"/>
        <v>A</v>
      </c>
      <c r="DW12" s="204"/>
      <c r="DX12" s="186"/>
      <c r="DY12" s="205"/>
      <c r="DZ12" s="106" t="str">
        <f>IFERROR((((COUNTIF('Elève (6ème5)'!DW13:DY13,"A"))*4)+((COUNTIF('Elève (6ème5)'!DW13:DY13,"B"))*3)+((COUNTIF('Elève (6ème5)'!DW13:DY13,"C"))*2)+((COUNTIF('Elève (6ème5)'!DW13:DY13,"D"))*1))/(COUNTA(DW13:DY13)),"")</f>
        <v/>
      </c>
      <c r="EA12" s="121" t="str">
        <f t="shared" si="29"/>
        <v/>
      </c>
      <c r="EB12" s="100"/>
      <c r="EC12" s="187"/>
      <c r="ED12" s="188"/>
      <c r="EE12" s="106" t="str">
        <f>IFERROR((((COUNTIF('Elève (6ème5)'!EB13:ED13,"A"))*4)+((COUNTIF('Elève (6ème5)'!EB13:ED13,"B"))*3)+((COUNTIF('Elève (6ème5)'!EB13:ED13,"C"))*2)+((COUNTIF('Elève (6ème5)'!EB13:ED13,"D"))*1))/(COUNTA(EB13:ED13)),"")</f>
        <v/>
      </c>
      <c r="EF12" s="128" t="str">
        <f t="shared" si="30"/>
        <v/>
      </c>
      <c r="EG12" s="177">
        <f>IFERROR((((COUNTIF(DR13:DT13,"A")+COUNTIF(DW13:DY13,"A")+COUNTIF(EB13:ED13,"A"))*4)+((COUNTIF(DR13:DT13,"B")+COUNTIF(DW13:DY13,"B")+COUNTIF(EB13:ED13,"B"))*3)+((COUNTIF(DR13:DT13,"C")+COUNTIF(DW13:DY13,"C")+COUNTIF(EB13:ED13,"C"))*2)+((COUNTIF(DR13:DT13,"D")+COUNTIF(DW13:DY13,"D")+COUNTIF(EB13:ED13,"D"))*1))/(COUNTA(DR13:DT13)+COUNTA(DW13:DY13)+COUNTA(EB13:ED13)),"")</f>
        <v>4</v>
      </c>
      <c r="EH12" s="130" t="str">
        <f t="shared" si="31"/>
        <v>A</v>
      </c>
      <c r="EI12" s="152"/>
      <c r="EJ12" s="185"/>
      <c r="EK12" s="185"/>
      <c r="EL12" s="106">
        <f>IFERROR((((COUNTIF('Elève (6ème5)'!EI13:EK13,"A"))*4)+((COUNTIF('Elève (6ème5)'!EI13:EK13,"B"))*3)+((COUNTIF('Elève (6ème5)'!EI13:EK13,"C"))*2)+((COUNTIF('Elève (6ème5)'!EI13:EK13,"D"))*1))/(COUNTA(EI13:EK13)),"")</f>
        <v>4</v>
      </c>
      <c r="EM12" s="107" t="str">
        <f t="shared" si="32"/>
        <v>A</v>
      </c>
      <c r="EN12" s="204"/>
      <c r="EO12" s="186"/>
      <c r="EP12" s="205"/>
      <c r="EQ12" s="106" t="str">
        <f>IFERROR((((COUNTIF('Elève (6ème5)'!EN13:EP13,"A"))*4)+((COUNTIF('Elève (6ème5)'!EN13:EP13,"B"))*3)+((COUNTIF('Elève (6ème5)'!EN13:EP13,"C"))*2)+((COUNTIF('Elève (6ème5)'!EN13:EP13,"D"))*1))/(COUNTA(EN13:EP13)),"")</f>
        <v/>
      </c>
      <c r="ER12" s="121" t="str">
        <f t="shared" si="33"/>
        <v/>
      </c>
      <c r="ES12" s="100"/>
      <c r="ET12" s="187"/>
      <c r="EU12" s="188"/>
      <c r="EV12" s="106" t="str">
        <f>IFERROR((((COUNTIF('Elève (6ème5)'!ES13:EU13,"A"))*4)+((COUNTIF('Elève (6ème5)'!ES13:EU13,"B"))*3)+((COUNTIF('Elève (6ème5)'!ES13:EU13,"C"))*2)+((COUNTIF('Elève (6ème5)'!ES13:EU13,"D"))*1))/(COUNTA(ES13:EU13)),"")</f>
        <v/>
      </c>
      <c r="EW12" s="128" t="str">
        <f t="shared" si="34"/>
        <v/>
      </c>
      <c r="EX12" s="177">
        <f>IFERROR((((COUNTIF(EI13:EK13,"A")+COUNTIF(EN13:EP13,"A")+COUNTIF(ES13:EU13,"A"))*4)+((COUNTIF(EI13:EK13,"B")+COUNTIF(EN13:EP13,"B")+COUNTIF(ES13:EU13,"B"))*3)+((COUNTIF(EI13:EK13,"C")+COUNTIF(EN13:EP13,"C")+COUNTIF(ES13:EU13,"C"))*2)+((COUNTIF(EI13:EK13,"D")+COUNTIF(EN13:EP13,"D")+COUNTIF(ES13:EU13,"D"))*1))/(COUNTA(EI13:EK13)+COUNTA(EN13:EP13)+COUNTA(ES13:EU13)),"")</f>
        <v>4</v>
      </c>
      <c r="EY12" s="130" t="str">
        <f t="shared" si="35"/>
        <v>A</v>
      </c>
      <c r="EZ12" s="152"/>
      <c r="FA12" s="185"/>
      <c r="FB12" s="185"/>
      <c r="FC12" s="106">
        <f>IFERROR((((COUNTIF('Elève (6ème5)'!EZ13:FB13,"A"))*4)+((COUNTIF('Elève (6ème5)'!EZ13:FB13,"B"))*3)+((COUNTIF('Elève (6ème5)'!EZ13:FB13,"C"))*2)+((COUNTIF('Elève (6ème5)'!EZ13:FB13,"D"))*1))/(COUNTA(EZ13:FB13)),"")</f>
        <v>4</v>
      </c>
      <c r="FD12" s="107" t="str">
        <f t="shared" si="36"/>
        <v>A</v>
      </c>
      <c r="FE12" s="204"/>
      <c r="FF12" s="186"/>
      <c r="FG12" s="205"/>
      <c r="FH12" s="106" t="str">
        <f>IFERROR((((COUNTIF('Elève (6ème5)'!FE13:FG13,"A"))*4)+((COUNTIF('Elève (6ème5)'!FE13:FG13,"B"))*3)+((COUNTIF('Elève (6ème5)'!FE13:FG13,"C"))*2)+((COUNTIF('Elève (6ème5)'!FE13:FG13,"D"))*1))/(COUNTA(FE13:FG13)),"")</f>
        <v/>
      </c>
      <c r="FI12" s="121" t="str">
        <f t="shared" si="37"/>
        <v/>
      </c>
      <c r="FJ12" s="100"/>
      <c r="FK12" s="187"/>
      <c r="FL12" s="188"/>
      <c r="FM12" s="106" t="str">
        <f>IFERROR((((COUNTIF('Elève (6ème5)'!FJ13:FL13,"A"))*4)+((COUNTIF('Elève (6ème5)'!FJ13:FL13,"B"))*3)+((COUNTIF('Elève (6ème5)'!FJ13:FL13,"C"))*2)+((COUNTIF('Elève (6ème5)'!FJ13:FL13,"D"))*1))/(COUNTA(FJ13:FL13)),"")</f>
        <v/>
      </c>
      <c r="FN12" s="128" t="str">
        <f t="shared" si="38"/>
        <v/>
      </c>
      <c r="FO12" s="177">
        <f>IFERROR((((COUNTIF(EZ13:FB13,"A")+COUNTIF(FE13:FG13,"A")+COUNTIF(FJ13:FL13,"A"))*4)+((COUNTIF(EZ13:FB13,"B")+COUNTIF(FE13:FG13,"B")+COUNTIF(FJ13:FL13,"B"))*3)+((COUNTIF(EZ13:FB13,"C")+COUNTIF(FE13:FG13,"C")+COUNTIF(FJ13:FL13,"C"))*2)+((COUNTIF(EZ13:FB13,"D")+COUNTIF(FE13:FG13,"D")+COUNTIF(FJ13:FL13,"D"))*1))/(COUNTA(EZ13:FB13)+COUNTA(FE13:FG13)+COUNTA(FJ13:FL13)),"")</f>
        <v>4</v>
      </c>
      <c r="FP12" s="130" t="str">
        <f t="shared" si="39"/>
        <v>A</v>
      </c>
      <c r="FQ12" s="152"/>
      <c r="FR12" s="185"/>
      <c r="FS12" s="185"/>
      <c r="FT12" s="106">
        <f>IFERROR((((COUNTIF('Elève (6ème5)'!FQ13:FS13,"A"))*4)+((COUNTIF('Elève (6ème5)'!FQ13:FS13,"B"))*3)+((COUNTIF('Elève (6ème5)'!FQ13:FS13,"C"))*2)+((COUNTIF('Elève (6ème5)'!FQ13:FS13,"D"))*1))/(COUNTA(FQ13:FS13)),"")</f>
        <v>4</v>
      </c>
      <c r="FU12" s="107" t="str">
        <f t="shared" si="40"/>
        <v>A</v>
      </c>
      <c r="FV12" s="204"/>
      <c r="FW12" s="186"/>
      <c r="FX12" s="205"/>
      <c r="FY12" s="106" t="str">
        <f>IFERROR((((COUNTIF('Elève (6ème5)'!FV13:FX13,"A"))*4)+((COUNTIF('Elève (6ème5)'!FV13:FX13,"B"))*3)+((COUNTIF('Elève (6ème5)'!FV13:FX13,"C"))*2)+((COUNTIF('Elève (6ème5)'!FV13:FX13,"D"))*1))/(COUNTA(FV13:FX13)),"")</f>
        <v/>
      </c>
      <c r="FZ12" s="121" t="str">
        <f t="shared" si="41"/>
        <v/>
      </c>
      <c r="GA12" s="100"/>
      <c r="GB12" s="187"/>
      <c r="GC12" s="188"/>
      <c r="GD12" s="106" t="str">
        <f>IFERROR((((COUNTIF('Elève (6ème5)'!GA13:GC13,"A"))*4)+((COUNTIF('Elève (6ème5)'!GA13:GC13,"B"))*3)+((COUNTIF('Elève (6ème5)'!GA13:GC13,"C"))*2)+((COUNTIF('Elève (6ème5)'!GA13:GC13,"D"))*1))/(COUNTA(GA13:GC13)),"")</f>
        <v/>
      </c>
      <c r="GE12" s="128" t="str">
        <f t="shared" si="42"/>
        <v/>
      </c>
      <c r="GF12" s="177">
        <f>IFERROR((((COUNTIF(FQ13:FS13,"A")+COUNTIF(FV13:FX13,"A")+COUNTIF(GA13:GC13,"A"))*4)+((COUNTIF(FQ13:FS13,"B")+COUNTIF(FV13:FX13,"B")+COUNTIF(GA13:GC13,"B"))*3)+((COUNTIF(FQ13:FS13,"C")+COUNTIF(FV13:FX13,"C")+COUNTIF(GA13:GC13,"C"))*2)+((COUNTIF(FQ13:FS13,"D")+COUNTIF(FV13:FX13,"D")+COUNTIF(GA13:GC13,"D"))*1))/(COUNTA(FQ13:FS13)+COUNTA(FV13:FX13)+COUNTA(GA13:GC13)),"")</f>
        <v>4</v>
      </c>
      <c r="GG12" s="130" t="str">
        <f t="shared" si="43"/>
        <v>A</v>
      </c>
      <c r="GH12" s="152"/>
      <c r="GI12" s="185"/>
      <c r="GJ12" s="185"/>
      <c r="GK12" s="106">
        <f>IFERROR((((COUNTIF('Elève (6ème5)'!GH13:GJ13,"A"))*4)+((COUNTIF('Elève (6ème5)'!GH13:GJ13,"B"))*3)+((COUNTIF('Elève (6ème5)'!GH13:GJ13,"C"))*2)+((COUNTIF('Elève (6ème5)'!GH13:GJ13,"D"))*1))/(COUNTA(GH13:GJ13)),"")</f>
        <v>4</v>
      </c>
      <c r="GL12" s="107" t="str">
        <f t="shared" si="44"/>
        <v>A</v>
      </c>
      <c r="GM12" s="204"/>
      <c r="GN12" s="186"/>
      <c r="GO12" s="205"/>
      <c r="GP12" s="106" t="str">
        <f>IFERROR((((COUNTIF('Elève (6ème5)'!GM13:GO13,"A"))*4)+((COUNTIF('Elève (6ème5)'!GM13:GO13,"B"))*3)+((COUNTIF('Elève (6ème5)'!GM13:GO13,"C"))*2)+((COUNTIF('Elève (6ème5)'!GM13:GO13,"D"))*1))/(COUNTA(GM13:GO13)),"")</f>
        <v/>
      </c>
      <c r="GQ12" s="121" t="str">
        <f t="shared" si="45"/>
        <v/>
      </c>
      <c r="GR12" s="100"/>
      <c r="GS12" s="187"/>
      <c r="GT12" s="188"/>
      <c r="GU12" s="106" t="str">
        <f>IFERROR((((COUNTIF('Elève (6ème5)'!GR13:GT13,"A"))*4)+((COUNTIF('Elève (6ème5)'!GR13:GT13,"B"))*3)+((COUNTIF('Elève (6ème5)'!GR13:GT13,"C"))*2)+((COUNTIF('Elève (6ème5)'!GR13:GT13,"D"))*1))/(COUNTA(GR13:GT13)),"")</f>
        <v/>
      </c>
      <c r="GV12" s="128" t="str">
        <f t="shared" si="46"/>
        <v/>
      </c>
      <c r="GW12" s="177">
        <f>IFERROR((((COUNTIF(GH13:GJ13,"A")+COUNTIF(GM13:GO13,"A")+COUNTIF(GR13:GT13,"A"))*4)+((COUNTIF(GH13:GJ13,"B")+COUNTIF(GM13:GO13,"B")+COUNTIF(GR13:GT13,"B"))*3)+((COUNTIF(GH13:GJ13,"C")+COUNTIF(GM13:GO13,"C")+COUNTIF(GR13:GT13,"C"))*2)+((COUNTIF(GH13:GJ13,"D")+COUNTIF(GM13:GO13,"D")+COUNTIF(GR13:GT13,"D"))*1))/(COUNTA(GH13:GJ13)+COUNTA(GM13:GO13)+COUNTA(GR13:GT13)),"")</f>
        <v>4</v>
      </c>
      <c r="GX12" s="130" t="str">
        <f t="shared" si="47"/>
        <v>A</v>
      </c>
      <c r="GY12" s="152"/>
      <c r="GZ12" s="185"/>
      <c r="HA12" s="185"/>
      <c r="HB12" s="106">
        <f>IFERROR((((COUNTIF('Elève (6ème5)'!GY13:HA13,"A"))*4)+((COUNTIF('Elève (6ème5)'!GY13:HA13,"B"))*3)+((COUNTIF('Elève (6ème5)'!GY13:HA13,"C"))*2)+((COUNTIF('Elève (6ème5)'!GY13:HA13,"D"))*1))/(COUNTA(GY13:HA13)),"")</f>
        <v>4</v>
      </c>
      <c r="HC12" s="107" t="str">
        <f t="shared" si="48"/>
        <v>A</v>
      </c>
      <c r="HD12" s="204"/>
      <c r="HE12" s="186"/>
      <c r="HF12" s="205"/>
      <c r="HG12" s="106" t="str">
        <f>IFERROR((((COUNTIF('Elève (6ème5)'!HD13:HF13,"A"))*4)+((COUNTIF('Elève (6ème5)'!HD13:HF13,"B"))*3)+((COUNTIF('Elève (6ème5)'!HD13:HF13,"C"))*2)+((COUNTIF('Elève (6ème5)'!HD13:HF13,"D"))*1))/(COUNTA(HD13:HF13)),"")</f>
        <v/>
      </c>
      <c r="HH12" s="121" t="str">
        <f t="shared" si="49"/>
        <v/>
      </c>
      <c r="HI12" s="100"/>
      <c r="HJ12" s="187"/>
      <c r="HK12" s="188"/>
      <c r="HL12" s="106" t="str">
        <f>IFERROR((((COUNTIF('Elève (6ème5)'!HI13:HK13,"A"))*4)+((COUNTIF('Elève (6ème5)'!HI13:HK13,"B"))*3)+((COUNTIF('Elève (6ème5)'!HI13:HK13,"C"))*2)+((COUNTIF('Elève (6ème5)'!HI13:HK13,"D"))*1))/(COUNTA(HI13:HK13)),"")</f>
        <v/>
      </c>
      <c r="HM12" s="128" t="str">
        <f t="shared" si="50"/>
        <v/>
      </c>
      <c r="HN12" s="177">
        <f>IFERROR((((COUNTIF(GY13:HA13,"A")+COUNTIF(HD13:HF13,"A")+COUNTIF(HI13:HK13,"A"))*4)+((COUNTIF(GY13:HA13,"B")+COUNTIF(HD13:HF13,"B")+COUNTIF(HI13:HK13,"B"))*3)+((COUNTIF(GY13:HA13,"C")+COUNTIF(HD13:HF13,"C")+COUNTIF(HI13:HK13,"C"))*2)+((COUNTIF(GY13:HA13,"D")+COUNTIF(HD13:HF13,"D")+COUNTIF(HI13:HK13,"D"))*1))/(COUNTA(GY13:HA13)+COUNTA(HD13:HF13)+COUNTA(HI13:HK13)),"")</f>
        <v>4</v>
      </c>
      <c r="HO12" s="130" t="str">
        <f t="shared" si="51"/>
        <v>A</v>
      </c>
      <c r="HP12" s="152"/>
      <c r="HQ12" s="185"/>
      <c r="HR12" s="185"/>
      <c r="HS12" s="106">
        <f>IFERROR((((COUNTIF('Elève (6ème5)'!HP13:HR13,"A"))*4)+((COUNTIF('Elève (6ème5)'!HP13:HR13,"B"))*3)+((COUNTIF('Elève (6ème5)'!HP13:HR13,"C"))*2)+((COUNTIF('Elève (6ème5)'!HP13:HR13,"D"))*1))/(COUNTA(HP13:HR13)),"")</f>
        <v>4</v>
      </c>
      <c r="HT12" s="107" t="str">
        <f t="shared" si="52"/>
        <v>A</v>
      </c>
      <c r="HU12" s="204"/>
      <c r="HV12" s="186"/>
      <c r="HW12" s="205"/>
      <c r="HX12" s="106" t="str">
        <f>IFERROR((((COUNTIF('Elève (6ème5)'!HU13:HW13,"A"))*4)+((COUNTIF('Elève (6ème5)'!HU13:HW13,"B"))*3)+((COUNTIF('Elève (6ème5)'!HU13:HW13,"C"))*2)+((COUNTIF('Elève (6ème5)'!HU13:HW13,"D"))*1))/(COUNTA(HU13:HW13)),"")</f>
        <v/>
      </c>
      <c r="HY12" s="121" t="str">
        <f t="shared" si="53"/>
        <v/>
      </c>
      <c r="HZ12" s="100"/>
      <c r="IA12" s="187"/>
      <c r="IB12" s="188"/>
      <c r="IC12" s="106" t="str">
        <f>IFERROR((((COUNTIF('Elève (6ème5)'!HZ13:IB13,"A"))*4)+((COUNTIF('Elève (6ème5)'!HZ13:IB13,"B"))*3)+((COUNTIF('Elève (6ème5)'!HZ13:IB13,"C"))*2)+((COUNTIF('Elève (6ème5)'!HZ13:IB13,"D"))*1))/(COUNTA(HZ13:IB13)),"")</f>
        <v/>
      </c>
      <c r="ID12" s="128" t="str">
        <f t="shared" si="54"/>
        <v/>
      </c>
      <c r="IE12" s="177">
        <f>IFERROR((((COUNTIF(HP13:HR13,"A")+COUNTIF(HU13:HW13,"A")+COUNTIF(HZ13:IB13,"A"))*4)+((COUNTIF(HP13:HR13,"B")+COUNTIF(HU13:HW13,"B")+COUNTIF(HZ13:IB13,"B"))*3)+((COUNTIF(HP13:HR13,"C")+COUNTIF(HU13:HW13,"C")+COUNTIF(HZ13:IB13,"C"))*2)+((COUNTIF(HP13:HR13,"D")+COUNTIF(HU13:HW13,"D")+COUNTIF(HZ13:IB13,"D"))*1))/(COUNTA(HP13:HR13)+COUNTA(HU13:HW13)+COUNTA(HZ13:IB13)),"")</f>
        <v>4</v>
      </c>
      <c r="IF12" s="130" t="str">
        <f t="shared" si="55"/>
        <v>A</v>
      </c>
      <c r="IG12" s="152"/>
      <c r="IH12" s="185"/>
      <c r="II12" s="185"/>
      <c r="IJ12" s="106">
        <f>IFERROR((((COUNTIF('Elève (6ème5)'!IG13:II13,"A"))*4)+((COUNTIF('Elève (6ème5)'!IG13:II13,"B"))*3)+((COUNTIF('Elève (6ème5)'!IG13:II13,"C"))*2)+((COUNTIF('Elève (6ème5)'!IG13:II13,"D"))*1))/(COUNTA(IG13:II13)),"")</f>
        <v>4</v>
      </c>
      <c r="IK12" s="107" t="str">
        <f t="shared" si="56"/>
        <v>A</v>
      </c>
      <c r="IL12" s="204"/>
      <c r="IM12" s="186"/>
      <c r="IN12" s="205"/>
      <c r="IO12" s="106" t="str">
        <f>IFERROR((((COUNTIF('Elève (6ème5)'!IL13:IN13,"A"))*4)+((COUNTIF('Elève (6ème5)'!IL13:IN13,"B"))*3)+((COUNTIF('Elève (6ème5)'!IL13:IN13,"C"))*2)+((COUNTIF('Elève (6ème5)'!IL13:IN13,"D"))*1))/(COUNTA(IL13:IN13)),"")</f>
        <v/>
      </c>
      <c r="IP12" s="121" t="str">
        <f t="shared" si="57"/>
        <v/>
      </c>
      <c r="IQ12" s="100"/>
      <c r="IR12" s="187"/>
      <c r="IS12" s="188"/>
      <c r="IT12" s="106" t="str">
        <f>IFERROR((((COUNTIF('Elève (6ème5)'!IQ13:IS13,"A"))*4)+((COUNTIF('Elève (6ème5)'!IQ13:IS13,"B"))*3)+((COUNTIF('Elève (6ème5)'!IQ13:IS13,"C"))*2)+((COUNTIF('Elève (6ème5)'!IQ13:IS13,"D"))*1))/(COUNTA(IQ13:IS13)),"")</f>
        <v/>
      </c>
      <c r="IU12" s="128" t="str">
        <f t="shared" si="58"/>
        <v/>
      </c>
      <c r="IV12" s="177">
        <f>IFERROR((((COUNTIF(IG13:II13,"A")+COUNTIF(IL13:IN13,"A")+COUNTIF(IQ13:IS13,"A"))*4)+((COUNTIF(IG13:II13,"B")+COUNTIF(IL13:IN13,"B")+COUNTIF(IQ13:IS13,"B"))*3)+((COUNTIF(IG13:II13,"C")+COUNTIF(IL13:IN13,"C")+COUNTIF(IQ13:IS13,"C"))*2)+((COUNTIF(IG13:II13,"D")+COUNTIF(IL13:IN13,"D")+COUNTIF(IQ13:IS13,"D"))*1))/(COUNTA(IG13:II13)+COUNTA(IL13:IN13)+COUNTA(IQ13:IS13)),"")</f>
        <v>4</v>
      </c>
      <c r="IW12" s="130" t="str">
        <f t="shared" si="59"/>
        <v>A</v>
      </c>
      <c r="IX12" s="152"/>
      <c r="IY12" s="185"/>
      <c r="IZ12" s="185"/>
      <c r="JA12" s="106">
        <f>IFERROR((((COUNTIF('Elève (6ème5)'!IX13:IZ13,"A"))*4)+((COUNTIF('Elève (6ème5)'!IX13:IZ13,"B"))*3)+((COUNTIF('Elève (6ème5)'!IX13:IZ13,"C"))*2)+((COUNTIF('Elève (6ème5)'!IX13:IZ13,"D"))*1))/(COUNTA(IX13:IZ13)),"")</f>
        <v>4</v>
      </c>
      <c r="JB12" s="107" t="str">
        <f t="shared" si="60"/>
        <v>A</v>
      </c>
      <c r="JC12" s="204"/>
      <c r="JD12" s="186"/>
      <c r="JE12" s="205"/>
      <c r="JF12" s="106" t="str">
        <f>IFERROR((((COUNTIF('Elève (6ème5)'!JC13:JE13,"A"))*4)+((COUNTIF('Elève (6ème5)'!JC13:JE13,"B"))*3)+((COUNTIF('Elève (6ème5)'!JC13:JE13,"C"))*2)+((COUNTIF('Elève (6ème5)'!JC13:JE13,"D"))*1))/(COUNTA(JC13:JE13)),"")</f>
        <v/>
      </c>
      <c r="JG12" s="121" t="str">
        <f t="shared" si="61"/>
        <v/>
      </c>
      <c r="JH12" s="100"/>
      <c r="JI12" s="187"/>
      <c r="JJ12" s="188"/>
      <c r="JK12" s="106" t="str">
        <f>IFERROR((((COUNTIF('Elève (6ème5)'!JH13:JJ13,"A"))*4)+((COUNTIF('Elève (6ème5)'!JH13:JJ13,"B"))*3)+((COUNTIF('Elève (6ème5)'!JH13:JJ13,"C"))*2)+((COUNTIF('Elève (6ème5)'!JH13:JJ13,"D"))*1))/(COUNTA(JH13:JJ13)),"")</f>
        <v/>
      </c>
      <c r="JL12" s="128" t="str">
        <f t="shared" si="62"/>
        <v/>
      </c>
      <c r="JM12" s="177">
        <f>IFERROR((((COUNTIF(IX13:IZ13,"A")+COUNTIF(JC13:JE13,"A")+COUNTIF(JH13:JJ13,"A"))*4)+((COUNTIF(IX13:IZ13,"B")+COUNTIF(JC13:JE13,"B")+COUNTIF(JH13:JJ13,"B"))*3)+((COUNTIF(IX13:IZ13,"C")+COUNTIF(JC13:JE13,"C")+COUNTIF(JH13:JJ13,"C"))*2)+((COUNTIF(IX13:IZ13,"D")+COUNTIF(JC13:JE13,"D")+COUNTIF(JH13:JJ13,"D"))*1))/(COUNTA(IX13:IZ13)+COUNTA(JC13:JE13)+COUNTA(JH13:JJ13)),"")</f>
        <v>4</v>
      </c>
      <c r="JN12" s="130" t="str">
        <f t="shared" si="63"/>
        <v>A</v>
      </c>
      <c r="JO12" s="152"/>
      <c r="JP12" s="185"/>
      <c r="JQ12" s="185"/>
      <c r="JR12" s="106">
        <f>IFERROR((((COUNTIF('Elève (6ème5)'!JO13:JQ13,"A"))*4)+((COUNTIF('Elève (6ème5)'!JO13:JQ13,"B"))*3)+((COUNTIF('Elève (6ème5)'!JO13:JQ13,"C"))*2)+((COUNTIF('Elève (6ème5)'!JO13:JQ13,"D"))*1))/(COUNTA(JO13:JQ13)),"")</f>
        <v>3</v>
      </c>
      <c r="JS12" s="107" t="str">
        <f t="shared" si="64"/>
        <v>B</v>
      </c>
      <c r="JT12" s="204"/>
      <c r="JU12" s="186"/>
      <c r="JV12" s="205"/>
      <c r="JW12" s="106" t="str">
        <f>IFERROR((((COUNTIF('Elève (6ème5)'!JT13:JV13,"A"))*4)+((COUNTIF('Elève (6ème5)'!JT13:JV13,"B"))*3)+((COUNTIF('Elève (6ème5)'!JT13:JV13,"C"))*2)+((COUNTIF('Elève (6ème5)'!JT13:JV13,"D"))*1))/(COUNTA(JT13:JV13)),"")</f>
        <v/>
      </c>
      <c r="JX12" s="121" t="str">
        <f t="shared" si="65"/>
        <v/>
      </c>
      <c r="JY12" s="100"/>
      <c r="JZ12" s="187"/>
      <c r="KA12" s="188"/>
      <c r="KB12" s="106" t="str">
        <f>IFERROR((((COUNTIF('Elève (6ème5)'!JY13:KA13,"A"))*4)+((COUNTIF('Elève (6ème5)'!JY13:KA13,"B"))*3)+((COUNTIF('Elève (6ème5)'!JY13:KA13,"C"))*2)+((COUNTIF('Elève (6ème5)'!JY13:KA13,"D"))*1))/(COUNTA(JY13:KA13)),"")</f>
        <v/>
      </c>
      <c r="KC12" s="128" t="str">
        <f t="shared" si="66"/>
        <v/>
      </c>
      <c r="KD12" s="177">
        <f>IFERROR((((COUNTIF(JO13:JQ13,"A")+COUNTIF(JT13:JV13,"A")+COUNTIF(JY13:KA13,"A"))*4)+((COUNTIF(JO13:JQ13,"B")+COUNTIF(JT13:JV13,"B")+COUNTIF(JY13:KA13,"B"))*3)+((COUNTIF(JO13:JQ13,"C")+COUNTIF(JT13:JV13,"C")+COUNTIF(JY13:KA13,"C"))*2)+((COUNTIF(JO13:JQ13,"D")+COUNTIF(JT13:JV13,"D")+COUNTIF(JY13:KA13,"D"))*1))/(COUNTA(JO13:JQ13)+COUNTA(JT13:JV13)+COUNTA(JY13:KA13)),"")</f>
        <v>3</v>
      </c>
      <c r="KE12" s="130" t="str">
        <f t="shared" si="67"/>
        <v>B</v>
      </c>
      <c r="KF12" s="152"/>
      <c r="KG12" s="185"/>
      <c r="KH12" s="185"/>
      <c r="KI12" s="106">
        <f>IFERROR((((COUNTIF('Elève (6ème5)'!KF13:KH13,"A"))*4)+((COUNTIF('Elève (6ème5)'!KF13:KH13,"B"))*3)+((COUNTIF('Elève (6ème5)'!KF13:KH13,"C"))*2)+((COUNTIF('Elève (6ème5)'!KF13:KH13,"D"))*1))/(COUNTA(KF13:KH13)),"")</f>
        <v>4</v>
      </c>
      <c r="KJ12" s="107" t="str">
        <f t="shared" si="68"/>
        <v>A</v>
      </c>
      <c r="KK12" s="204"/>
      <c r="KL12" s="186"/>
      <c r="KM12" s="205"/>
      <c r="KN12" s="106" t="str">
        <f>IFERROR((((COUNTIF('Elève (6ème5)'!KK13:KM13,"A"))*4)+((COUNTIF('Elève (6ème5)'!KK13:KM13,"B"))*3)+((COUNTIF('Elève (6ème5)'!KK13:KM13,"C"))*2)+((COUNTIF('Elève (6ème5)'!KK13:KM13,"D"))*1))/(COUNTA(KK13:KM13)),"")</f>
        <v/>
      </c>
      <c r="KO12" s="121" t="str">
        <f t="shared" si="69"/>
        <v/>
      </c>
      <c r="KP12" s="100"/>
      <c r="KQ12" s="187"/>
      <c r="KR12" s="188"/>
      <c r="KS12" s="106" t="str">
        <f>IFERROR((((COUNTIF('Elève (6ème5)'!KP13:KR13,"A"))*4)+((COUNTIF('Elève (6ème5)'!KP13:KR13,"B"))*3)+((COUNTIF('Elève (6ème5)'!KP13:KR13,"C"))*2)+((COUNTIF('Elève (6ème5)'!KP13:KR13,"D"))*1))/(COUNTA(KP13:KR13)),"")</f>
        <v/>
      </c>
      <c r="KT12" s="128" t="str">
        <f t="shared" si="70"/>
        <v/>
      </c>
      <c r="KU12" s="177">
        <f>IFERROR((((COUNTIF(KF13:KH13,"A")+COUNTIF(KK13:KM13,"A")+COUNTIF(KP13:KR13,"A"))*4)+((COUNTIF(KF13:KH13,"B")+COUNTIF(KK13:KM13,"B")+COUNTIF(KP13:KR13,"B"))*3)+((COUNTIF(KF13:KH13,"C")+COUNTIF(KK13:KM13,"C")+COUNTIF(KP13:KR13,"C"))*2)+((COUNTIF(KF13:KH13,"D")+COUNTIF(KK13:KM13,"D")+COUNTIF(KP13:KR13,"D"))*1))/(COUNTA(KF13:KH13)+COUNTA(KK13:KM13)+COUNTA(KP13:KR13)),"")</f>
        <v>4</v>
      </c>
      <c r="KV12" s="130" t="str">
        <f t="shared" si="71"/>
        <v>A</v>
      </c>
      <c r="KW12" s="152"/>
      <c r="KX12" s="185"/>
      <c r="KY12" s="185"/>
      <c r="KZ12" s="106">
        <f>IFERROR((((COUNTIF('Elève (6ème5)'!KW13:KY13,"A"))*4)+((COUNTIF('Elève (6ème5)'!KW13:KY13,"B"))*3)+((COUNTIF('Elève (6ème5)'!KW13:KY13,"C"))*2)+((COUNTIF('Elève (6ème5)'!KW13:KY13,"D"))*1))/(COUNTA(KW13:KY13)),"")</f>
        <v>3</v>
      </c>
      <c r="LA12" s="107" t="str">
        <f t="shared" si="72"/>
        <v>B</v>
      </c>
      <c r="LB12" s="204"/>
      <c r="LC12" s="186"/>
      <c r="LD12" s="205"/>
      <c r="LE12" s="106" t="str">
        <f>IFERROR((((COUNTIF('Elève (6ème5)'!LB13:LD13,"A"))*4)+((COUNTIF('Elève (6ème5)'!LB13:LD13,"B"))*3)+((COUNTIF('Elève (6ème5)'!LB13:LD13,"C"))*2)+((COUNTIF('Elève (6ème5)'!LB13:LD13,"D"))*1))/(COUNTA(LB13:LD13)),"")</f>
        <v/>
      </c>
      <c r="LF12" s="121" t="str">
        <f t="shared" si="73"/>
        <v/>
      </c>
      <c r="LG12" s="100"/>
      <c r="LH12" s="187"/>
      <c r="LI12" s="188"/>
      <c r="LJ12" s="106" t="str">
        <f>IFERROR((((COUNTIF('Elève (6ème5)'!LG13:LI13,"A"))*4)+((COUNTIF('Elève (6ème5)'!LG13:LI13,"B"))*3)+((COUNTIF('Elève (6ème5)'!LG13:LI13,"C"))*2)+((COUNTIF('Elève (6ème5)'!LG13:LI13,"D"))*1))/(COUNTA(LG13:LI13)),"")</f>
        <v/>
      </c>
      <c r="LK12" s="128" t="str">
        <f t="shared" si="74"/>
        <v/>
      </c>
      <c r="LL12" s="177">
        <f>IFERROR((((COUNTIF(KW13:KY13,"A")+COUNTIF(LB13:LD13,"A")+COUNTIF(LG13:LI13,"A"))*4)+((COUNTIF(KW13:KY13,"B")+COUNTIF(LB13:LD13,"B")+COUNTIF(LG13:LI13,"B"))*3)+((COUNTIF(KW13:KY13,"C")+COUNTIF(LB13:LD13,"C")+COUNTIF(LG13:LI13,"C"))*2)+((COUNTIF(KW13:KY13,"D")+COUNTIF(LB13:LD13,"D")+COUNTIF(LG13:LI13,"D"))*1))/(COUNTA(KW13:KY13)+COUNTA(LB13:LD13)+COUNTA(LG13:LI13)),"")</f>
        <v>3</v>
      </c>
      <c r="LM12" s="130" t="str">
        <f t="shared" si="75"/>
        <v>B</v>
      </c>
      <c r="LN12" s="152"/>
      <c r="LO12" s="185"/>
      <c r="LP12" s="185"/>
      <c r="LQ12" s="106">
        <f>IFERROR((((COUNTIF('Elève (6ème5)'!LN13:LP13,"A"))*4)+((COUNTIF('Elève (6ème5)'!LN13:LP13,"B"))*3)+((COUNTIF('Elève (6ème5)'!LN13:LP13,"C"))*2)+((COUNTIF('Elève (6ème5)'!LN13:LP13,"D"))*1))/(COUNTA(LN13:LP13)),"")</f>
        <v>4</v>
      </c>
      <c r="LR12" s="107" t="str">
        <f t="shared" si="76"/>
        <v>A</v>
      </c>
      <c r="LS12" s="204"/>
      <c r="LT12" s="186"/>
      <c r="LU12" s="205"/>
      <c r="LV12" s="106" t="str">
        <f>IFERROR((((COUNTIF('Elève (6ème5)'!LS13:LU13,"A"))*4)+((COUNTIF('Elève (6ème5)'!LS13:LU13,"B"))*3)+((COUNTIF('Elève (6ème5)'!LS13:LU13,"C"))*2)+((COUNTIF('Elève (6ème5)'!LS13:LU13,"D"))*1))/(COUNTA(LS13:LU13)),"")</f>
        <v/>
      </c>
      <c r="LW12" s="121" t="str">
        <f t="shared" si="77"/>
        <v/>
      </c>
      <c r="LX12" s="100"/>
      <c r="LY12" s="187"/>
      <c r="LZ12" s="188"/>
      <c r="MA12" s="106" t="str">
        <f>IFERROR((((COUNTIF('Elève (6ème5)'!LX13:LZ13,"A"))*4)+((COUNTIF('Elève (6ème5)'!LX13:LZ13,"B"))*3)+((COUNTIF('Elève (6ème5)'!LX13:LZ13,"C"))*2)+((COUNTIF('Elève (6ème5)'!LX13:LZ13,"D"))*1))/(COUNTA(LX13:LZ13)),"")</f>
        <v/>
      </c>
      <c r="MB12" s="128" t="str">
        <f t="shared" si="78"/>
        <v/>
      </c>
      <c r="MC12" s="177">
        <f>IFERROR((((COUNTIF(LN13:LP13,"A")+COUNTIF(LS13:LU13,"A")+COUNTIF(LX13:LZ13,"A"))*4)+((COUNTIF(LN13:LP13,"B")+COUNTIF(LS13:LU13,"B")+COUNTIF(LX13:LZ13,"B"))*3)+((COUNTIF(LN13:LP13,"C")+COUNTIF(LS13:LU13,"C")+COUNTIF(LX13:LZ13,"C"))*2)+((COUNTIF(LN13:LP13,"D")+COUNTIF(LS13:LU13,"D")+COUNTIF(LX13:LZ13,"D"))*1))/(COUNTA(LN13:LP13)+COUNTA(LS13:LU13)+COUNTA(LX13:LZ13)),"")</f>
        <v>4</v>
      </c>
      <c r="MD12" s="130" t="str">
        <f t="shared" si="79"/>
        <v>A</v>
      </c>
      <c r="ME12" s="152"/>
      <c r="MF12" s="185"/>
      <c r="MG12" s="185"/>
      <c r="MH12" s="106">
        <f>IFERROR((((COUNTIF('Elève (6ème5)'!ME13:MG13,"A"))*4)+((COUNTIF('Elève (6ème5)'!ME13:MG13,"B"))*3)+((COUNTIF('Elève (6ème5)'!ME13:MG13,"C"))*2)+((COUNTIF('Elève (6ème5)'!ME13:MG13,"D"))*1))/(COUNTA(ME13:MG13)),"")</f>
        <v>4</v>
      </c>
      <c r="MI12" s="107" t="str">
        <f t="shared" si="80"/>
        <v>A</v>
      </c>
      <c r="MJ12" s="204"/>
      <c r="MK12" s="186"/>
      <c r="ML12" s="205"/>
      <c r="MM12" s="106" t="str">
        <f>IFERROR((((COUNTIF('Elève (6ème5)'!MJ13:ML13,"A"))*4)+((COUNTIF('Elève (6ème5)'!MJ13:ML13,"B"))*3)+((COUNTIF('Elève (6ème5)'!MJ13:ML13,"C"))*2)+((COUNTIF('Elève (6ème5)'!MJ13:ML13,"D"))*1))/(COUNTA(MJ13:ML13)),"")</f>
        <v/>
      </c>
      <c r="MN12" s="121" t="str">
        <f t="shared" si="81"/>
        <v/>
      </c>
      <c r="MO12" s="100"/>
      <c r="MP12" s="187"/>
      <c r="MQ12" s="188"/>
      <c r="MR12" s="106" t="str">
        <f>IFERROR((((COUNTIF('Elève (6ème5)'!MO13:MQ13,"A"))*4)+((COUNTIF('Elève (6ème5)'!MO13:MQ13,"B"))*3)+((COUNTIF('Elève (6ème5)'!MO13:MQ13,"C"))*2)+((COUNTIF('Elève (6ème5)'!MO13:MQ13,"D"))*1))/(COUNTA(MO13:MQ13)),"")</f>
        <v/>
      </c>
      <c r="MS12" s="128" t="str">
        <f t="shared" si="82"/>
        <v/>
      </c>
      <c r="MT12" s="177">
        <f>IFERROR((((COUNTIF(ME13:MG13,"A")+COUNTIF(MJ13:ML13,"A")+COUNTIF(MO13:MQ13,"A"))*4)+((COUNTIF(ME13:MG13,"B")+COUNTIF(MJ13:ML13,"B")+COUNTIF(MO13:MQ13,"B"))*3)+((COUNTIF(ME13:MG13,"C")+COUNTIF(MJ13:ML13,"C")+COUNTIF(MO13:MQ13,"C"))*2)+((COUNTIF(ME13:MG13,"D")+COUNTIF(MJ13:ML13,"D")+COUNTIF(MO13:MQ13,"D"))*1))/(COUNTA(ME13:MG13)+COUNTA(MJ13:ML13)+COUNTA(MO13:MQ13)),"")</f>
        <v>4</v>
      </c>
      <c r="MU12" s="130" t="str">
        <f t="shared" si="83"/>
        <v>A</v>
      </c>
      <c r="MV12" s="152"/>
      <c r="MW12" s="185"/>
      <c r="MX12" s="185"/>
      <c r="MY12" s="106">
        <f>IFERROR((((COUNTIF('Elève (6ème5)'!MV13:MX13,"A"))*4)+((COUNTIF('Elève (6ème5)'!MV13:MX13,"B"))*3)+((COUNTIF('Elève (6ème5)'!MV13:MX13,"C"))*2)+((COUNTIF('Elève (6ème5)'!MV13:MX13,"D"))*1))/(COUNTA(MV13:MX13)),"")</f>
        <v>4</v>
      </c>
      <c r="MZ12" s="107" t="str">
        <f t="shared" si="84"/>
        <v>A</v>
      </c>
      <c r="NA12" s="204"/>
      <c r="NB12" s="186"/>
      <c r="NC12" s="205"/>
      <c r="ND12" s="106" t="str">
        <f>IFERROR((((COUNTIF('Elève (6ème5)'!NA13:NC13,"A"))*4)+((COUNTIF('Elève (6ème5)'!NA13:NC13,"B"))*3)+((COUNTIF('Elève (6ème5)'!NA13:NC13,"C"))*2)+((COUNTIF('Elève (6ème5)'!NA13:NC13,"D"))*1))/(COUNTA(NA13:NC13)),"")</f>
        <v/>
      </c>
      <c r="NE12" s="121" t="str">
        <f t="shared" si="85"/>
        <v/>
      </c>
      <c r="NF12" s="100"/>
      <c r="NG12" s="187"/>
      <c r="NH12" s="188"/>
      <c r="NI12" s="106" t="str">
        <f>IFERROR((((COUNTIF('Elève (6ème5)'!NF13:NH13,"A"))*4)+((COUNTIF('Elève (6ème5)'!NF13:NH13,"B"))*3)+((COUNTIF('Elève (6ème5)'!NF13:NH13,"C"))*2)+((COUNTIF('Elève (6ème5)'!NF13:NH13,"D"))*1))/(COUNTA(NF13:NH13)),"")</f>
        <v/>
      </c>
      <c r="NJ12" s="128" t="str">
        <f t="shared" si="86"/>
        <v/>
      </c>
      <c r="NK12" s="177">
        <f>IFERROR((((COUNTIF(MV13:MX13,"A")+COUNTIF(NA13:NC13,"A")+COUNTIF(NF13:NH13,"A"))*4)+((COUNTIF(MV13:MX13,"B")+COUNTIF(NA13:NC13,"B")+COUNTIF(NF13:NH13,"B"))*3)+((COUNTIF(MV13:MX13,"C")+COUNTIF(NA13:NC13,"C")+COUNTIF(NF13:NH13,"C"))*2)+((COUNTIF(MV13:MX13,"D")+COUNTIF(NA13:NC13,"D")+COUNTIF(NF13:NH13,"D"))*1))/(COUNTA(MV13:MX13)+COUNTA(NA13:NC13)+COUNTA(NF13:NH13)),"")</f>
        <v>4</v>
      </c>
      <c r="NL12" s="130" t="str">
        <f t="shared" si="87"/>
        <v>A</v>
      </c>
      <c r="NM12" s="152"/>
      <c r="NN12" s="185"/>
      <c r="NO12" s="185"/>
      <c r="NP12" s="106">
        <f>IFERROR((((COUNTIF('Elève (6ème5)'!NM13:NO13,"A"))*4)+((COUNTIF('Elève (6ème5)'!NM13:NO13,"B"))*3)+((COUNTIF('Elève (6ème5)'!NM13:NO13,"C"))*2)+((COUNTIF('Elève (6ème5)'!NM13:NO13,"D"))*1))/(COUNTA(NM13:NO13)),"")</f>
        <v>4</v>
      </c>
      <c r="NQ12" s="107" t="str">
        <f t="shared" si="88"/>
        <v>A</v>
      </c>
      <c r="NR12" s="204"/>
      <c r="NS12" s="186"/>
      <c r="NT12" s="205"/>
      <c r="NU12" s="106" t="str">
        <f>IFERROR((((COUNTIF('Elève (6ème5)'!NR13:NT13,"A"))*4)+((COUNTIF('Elève (6ème5)'!NR13:NT13,"B"))*3)+((COUNTIF('Elève (6ème5)'!NR13:NT13,"C"))*2)+((COUNTIF('Elève (6ème5)'!NR13:NT13,"D"))*1))/(COUNTA(NR13:NT13)),"")</f>
        <v/>
      </c>
      <c r="NV12" s="121" t="str">
        <f t="shared" si="89"/>
        <v/>
      </c>
      <c r="NW12" s="100"/>
      <c r="NX12" s="187"/>
      <c r="NY12" s="188"/>
      <c r="NZ12" s="106" t="str">
        <f>IFERROR((((COUNTIF('Elève (6ème5)'!NW13:NY13,"A"))*4)+((COUNTIF('Elève (6ème5)'!NW13:NY13,"B"))*3)+((COUNTIF('Elève (6ème5)'!NW13:NY13,"C"))*2)+((COUNTIF('Elève (6ème5)'!NW13:NY13,"D"))*1))/(COUNTA(NW13:NY13)),"")</f>
        <v/>
      </c>
      <c r="OA12" s="128" t="str">
        <f t="shared" si="90"/>
        <v/>
      </c>
      <c r="OB12" s="177">
        <f>IFERROR((((COUNTIF(NM13:NO13,"A")+COUNTIF(NR13:NT13,"A")+COUNTIF(NW13:NY13,"A"))*4)+((COUNTIF(NM13:NO13,"B")+COUNTIF(NR13:NT13,"B")+COUNTIF(NW13:NY13,"B"))*3)+((COUNTIF(NM13:NO13,"C")+COUNTIF(NR13:NT13,"C")+COUNTIF(NW13:NY13,"C"))*2)+((COUNTIF(NM13:NO13,"D")+COUNTIF(NR13:NT13,"D")+COUNTIF(NW13:NY13,"D"))*1))/(COUNTA(NM13:NO13)+COUNTA(NR13:NT13)+COUNTA(NW13:NY13)),"")</f>
        <v>4</v>
      </c>
      <c r="OC12" s="130" t="str">
        <f t="shared" si="91"/>
        <v>A</v>
      </c>
      <c r="OD12" s="152"/>
      <c r="OE12" s="185"/>
      <c r="OF12" s="185"/>
      <c r="OG12" s="106" t="str">
        <f>IFERROR((((COUNTIF('Elève (6ème5)'!OD13:OF13,"A"))*4)+((COUNTIF('Elève (6ème5)'!OD13:OF13,"B"))*3)+((COUNTIF('Elève (6ème5)'!OD13:OF13,"C"))*2)+((COUNTIF('Elève (6ème5)'!OD13:OF13,"D"))*1))/(COUNTA(OD13:OF13)),"")</f>
        <v/>
      </c>
      <c r="OH12" s="107" t="str">
        <f t="shared" si="92"/>
        <v/>
      </c>
      <c r="OI12" s="204"/>
      <c r="OJ12" s="186"/>
      <c r="OK12" s="205"/>
      <c r="OL12" s="106" t="str">
        <f>IFERROR((((COUNTIF('Elève (6ème5)'!OI13:OK13,"A"))*4)+((COUNTIF('Elève (6ème5)'!OI13:OK13,"B"))*3)+((COUNTIF('Elève (6ème5)'!OI13:OK13,"C"))*2)+((COUNTIF('Elève (6ème5)'!OI13:OK13,"D"))*1))/(COUNTA(OI13:OK13)),"")</f>
        <v/>
      </c>
      <c r="OM12" s="121" t="str">
        <f t="shared" si="93"/>
        <v/>
      </c>
      <c r="ON12" s="100"/>
      <c r="OO12" s="187"/>
      <c r="OP12" s="188"/>
      <c r="OQ12" s="106" t="str">
        <f>IFERROR((((COUNTIF('Elève (6ème5)'!ON13:OP13,"A"))*4)+((COUNTIF('Elève (6ème5)'!ON13:OP13,"B"))*3)+((COUNTIF('Elève (6ème5)'!ON13:OP13,"C"))*2)+((COUNTIF('Elève (6ème5)'!ON13:OP13,"D"))*1))/(COUNTA(ON13:OP13)),"")</f>
        <v/>
      </c>
      <c r="OR12" s="128" t="str">
        <f t="shared" si="94"/>
        <v/>
      </c>
      <c r="OS12" s="177" t="str">
        <f>IFERROR((((COUNTIF(OD13:OF13,"A")+COUNTIF(OI13:OK13,"A")+COUNTIF(ON13:OP13,"A"))*4)+((COUNTIF(OD13:OF13,"B")+COUNTIF(OI13:OK13,"B")+COUNTIF(ON13:OP13,"B"))*3)+((COUNTIF(OD13:OF13,"C")+COUNTIF(OI13:OK13,"C")+COUNTIF(ON13:OP13,"C"))*2)+((COUNTIF(OD13:OF13,"D")+COUNTIF(OI13:OK13,"D")+COUNTIF(ON13:OP13,"D"))*1))/(COUNTA(OD13:OF13)+COUNTA(OI13:OK13)+COUNTA(ON13:OP13)),"")</f>
        <v/>
      </c>
      <c r="OT12" s="130" t="str">
        <f t="shared" si="95"/>
        <v/>
      </c>
      <c r="OU12" s="152"/>
      <c r="OV12" s="185"/>
      <c r="OW12" s="185"/>
      <c r="OX12" s="106">
        <f>IFERROR((((COUNTIF('Elève (6ème5)'!OU13:OW13,"A"))*4)+((COUNTIF('Elève (6ème5)'!OU13:OW13,"B"))*3)+((COUNTIF('Elève (6ème5)'!OU13:OW13,"C"))*2)+((COUNTIF('Elève (6ème5)'!OU13:OW13,"D"))*1))/(COUNTA(OU13:OW13)),"")</f>
        <v>4</v>
      </c>
      <c r="OY12" s="107" t="str">
        <f t="shared" si="96"/>
        <v>A</v>
      </c>
      <c r="OZ12" s="204"/>
      <c r="PA12" s="186"/>
      <c r="PB12" s="205"/>
      <c r="PC12" s="106" t="str">
        <f>IFERROR((((COUNTIF('Elève (6ème5)'!OZ13:PB13,"A"))*4)+((COUNTIF('Elève (6ème5)'!OZ13:PB13,"B"))*3)+((COUNTIF('Elève (6ème5)'!OZ13:PB13,"C"))*2)+((COUNTIF('Elève (6ème5)'!OZ13:PB13,"D"))*1))/(COUNTA(OZ13:PB13)),"")</f>
        <v/>
      </c>
      <c r="PD12" s="121" t="str">
        <f t="shared" si="97"/>
        <v/>
      </c>
      <c r="PE12" s="100"/>
      <c r="PF12" s="187"/>
      <c r="PG12" s="188"/>
      <c r="PH12" s="106" t="str">
        <f>IFERROR((((COUNTIF('Elève (6ème5)'!PE13:PG13,"A"))*4)+((COUNTIF('Elève (6ème5)'!PE13:PG13,"B"))*3)+((COUNTIF('Elève (6ème5)'!PE13:PG13,"C"))*2)+((COUNTIF('Elève (6ème5)'!PE13:PG13,"D"))*1))/(COUNTA(PE13:PG13)),"")</f>
        <v/>
      </c>
      <c r="PI12" s="128" t="str">
        <f t="shared" si="98"/>
        <v/>
      </c>
      <c r="PJ12" s="177">
        <f>IFERROR((((COUNTIF(OU13:OW13,"A")+COUNTIF(OZ13:PB13,"A")+COUNTIF(PE13:PG13,"A"))*4)+((COUNTIF(OU13:OW13,"B")+COUNTIF(OZ13:PB13,"B")+COUNTIF(PE13:PG13,"B"))*3)+((COUNTIF(OU13:OW13,"C")+COUNTIF(OZ13:PB13,"C")+COUNTIF(PE13:PG13,"C"))*2)+((COUNTIF(OU13:OW13,"D")+COUNTIF(OZ13:PB13,"D")+COUNTIF(PE13:PG13,"D"))*1))/(COUNTA(OU13:OW13)+COUNTA(OZ13:PB13)+COUNTA(PE13:PG13)),"")</f>
        <v>4</v>
      </c>
      <c r="PK12" s="130" t="str">
        <f t="shared" si="99"/>
        <v>A</v>
      </c>
      <c r="PL12" s="152"/>
      <c r="PM12" s="185"/>
      <c r="PN12" s="185"/>
      <c r="PO12" s="106">
        <f>IFERROR((((COUNTIF('Elève (6ème5)'!PL13:PN13,"A"))*4)+((COUNTIF('Elève (6ème5)'!PL13:PN13,"B"))*3)+((COUNTIF('Elève (6ème5)'!PL13:PN13,"C"))*2)+((COUNTIF('Elève (6ème5)'!PL13:PN13,"D"))*1))/(COUNTA(PL13:PN13)),"")</f>
        <v>3</v>
      </c>
      <c r="PP12" s="107" t="str">
        <f t="shared" si="100"/>
        <v>B</v>
      </c>
      <c r="PQ12" s="204"/>
      <c r="PR12" s="186"/>
      <c r="PS12" s="205"/>
      <c r="PT12" s="106" t="str">
        <f>IFERROR((((COUNTIF('Elève (6ème5)'!PQ13:PS13,"A"))*4)+((COUNTIF('Elève (6ème5)'!PQ13:PS13,"B"))*3)+((COUNTIF('Elève (6ème5)'!PQ13:PS13,"C"))*2)+((COUNTIF('Elève (6ème5)'!PQ13:PS13,"D"))*1))/(COUNTA(PQ13:PS13)),"")</f>
        <v/>
      </c>
      <c r="PU12" s="121" t="str">
        <f t="shared" si="101"/>
        <v/>
      </c>
      <c r="PV12" s="100"/>
      <c r="PW12" s="187"/>
      <c r="PX12" s="188"/>
      <c r="PY12" s="106" t="str">
        <f>IFERROR((((COUNTIF('Elève (6ème5)'!PV13:PX13,"A"))*4)+((COUNTIF('Elève (6ème5)'!PV13:PX13,"B"))*3)+((COUNTIF('Elève (6ème5)'!PV13:PX13,"C"))*2)+((COUNTIF('Elève (6ème5)'!PV13:PX13,"D"))*1))/(COUNTA(PV13:PX13)),"")</f>
        <v/>
      </c>
      <c r="PZ12" s="128" t="str">
        <f t="shared" si="102"/>
        <v/>
      </c>
      <c r="QA12" s="177">
        <f>IFERROR((((COUNTIF(PL13:PN13,"A")+COUNTIF(PQ13:PS13,"A")+COUNTIF(PV13:PX13,"A"))*4)+((COUNTIF(PL13:PN13,"B")+COUNTIF(PQ13:PS13,"B")+COUNTIF(PV13:PX13,"B"))*3)+((COUNTIF(PL13:PN13,"C")+COUNTIF(PQ13:PS13,"C")+COUNTIF(PV13:PX13,"C"))*2)+((COUNTIF(PL13:PN13,"D")+COUNTIF(PQ13:PS13,"D")+COUNTIF(PV13:PX13,"D"))*1))/(COUNTA(PL13:PN13)+COUNTA(PQ13:PS13)+COUNTA(PV13:PX13)),"")</f>
        <v>3</v>
      </c>
      <c r="QB12" s="130" t="str">
        <f t="shared" si="103"/>
        <v>B</v>
      </c>
      <c r="QC12" s="152"/>
      <c r="QD12" s="185"/>
      <c r="QE12" s="185"/>
      <c r="QF12" s="106">
        <f>IFERROR((((COUNTIF('Elève (6ème5)'!QC13:QE13,"A"))*4)+((COUNTIF('Elève (6ème5)'!QC13:QE13,"B"))*3)+((COUNTIF('Elève (6ème5)'!QC13:QE13,"C"))*2)+((COUNTIF('Elève (6ème5)'!QC13:QE13,"D"))*1))/(COUNTA(QC13:QE13)),"")</f>
        <v>4</v>
      </c>
      <c r="QG12" s="107" t="str">
        <f t="shared" si="104"/>
        <v>A</v>
      </c>
      <c r="QH12" s="204"/>
      <c r="QI12" s="186"/>
      <c r="QJ12" s="205"/>
      <c r="QK12" s="106" t="str">
        <f>IFERROR((((COUNTIF('Elève (6ème5)'!QH13:QJ13,"A"))*4)+((COUNTIF('Elève (6ème5)'!QH13:QJ13,"B"))*3)+((COUNTIF('Elève (6ème5)'!QH13:QJ13,"C"))*2)+((COUNTIF('Elève (6ème5)'!QH13:QJ13,"D"))*1))/(COUNTA(QH13:QJ13)),"")</f>
        <v/>
      </c>
      <c r="QL12" s="121" t="str">
        <f t="shared" si="105"/>
        <v/>
      </c>
      <c r="QM12" s="100"/>
      <c r="QN12" s="187"/>
      <c r="QO12" s="188"/>
      <c r="QP12" s="106" t="str">
        <f>IFERROR((((COUNTIF('Elève (6ème5)'!QM13:QO13,"A"))*4)+((COUNTIF('Elève (6ème5)'!QM13:QO13,"B"))*3)+((COUNTIF('Elève (6ème5)'!QM13:QO13,"C"))*2)+((COUNTIF('Elève (6ème5)'!QM13:QO13,"D"))*1))/(COUNTA(QM13:QO13)),"")</f>
        <v/>
      </c>
      <c r="QQ12" s="128" t="str">
        <f t="shared" si="106"/>
        <v/>
      </c>
      <c r="QR12" s="177">
        <f>IFERROR((((COUNTIF(QC13:QE13,"A")+COUNTIF(QH13:QJ13,"A")+COUNTIF(QM13:QO13,"A"))*4)+((COUNTIF(QC13:QE13,"B")+COUNTIF(QH13:QJ13,"B")+COUNTIF(QM13:QO13,"B"))*3)+((COUNTIF(QC13:QE13,"C")+COUNTIF(QH13:QJ13,"C")+COUNTIF(QM13:QO13,"C"))*2)+((COUNTIF(QC13:QE13,"D")+COUNTIF(QH13:QJ13,"D")+COUNTIF(QM13:QO13,"D"))*1))/(COUNTA(QC13:QE13)+COUNTA(QH13:QJ13)+COUNTA(QM13:QO13)),"")</f>
        <v>4</v>
      </c>
      <c r="QS12" s="130" t="str">
        <f t="shared" si="107"/>
        <v>A</v>
      </c>
      <c r="QT12" s="152"/>
      <c r="QU12" s="185"/>
      <c r="QV12" s="185"/>
      <c r="QW12" s="106">
        <f>IFERROR((((COUNTIF('Elève (6ème5)'!QT13:QV13,"A"))*4)+((COUNTIF('Elève (6ème5)'!QT13:QV13,"B"))*3)+((COUNTIF('Elève (6ème5)'!QT13:QV13,"C"))*2)+((COUNTIF('Elève (6ème5)'!QT13:QV13,"D"))*1))/(COUNTA(QT13:QV13)),"")</f>
        <v>4</v>
      </c>
      <c r="QX12" s="107" t="str">
        <f t="shared" si="108"/>
        <v>A</v>
      </c>
      <c r="QY12" s="204"/>
      <c r="QZ12" s="186"/>
      <c r="RA12" s="205"/>
      <c r="RB12" s="106" t="str">
        <f>IFERROR((((COUNTIF('Elève (6ème5)'!QY13:RA13,"A"))*4)+((COUNTIF('Elève (6ème5)'!QY13:RA13,"B"))*3)+((COUNTIF('Elève (6ème5)'!QY13:RA13,"C"))*2)+((COUNTIF('Elève (6ème5)'!QY13:RA13,"D"))*1))/(COUNTA(QY13:RA13)),"")</f>
        <v/>
      </c>
      <c r="RC12" s="121" t="str">
        <f t="shared" si="109"/>
        <v/>
      </c>
      <c r="RD12" s="100"/>
      <c r="RE12" s="187"/>
      <c r="RF12" s="188"/>
      <c r="RG12" s="106" t="str">
        <f>IFERROR((((COUNTIF('Elève (6ème5)'!RD13:RF13,"A"))*4)+((COUNTIF('Elève (6ème5)'!RD13:RF13,"B"))*3)+((COUNTIF('Elève (6ème5)'!RD13:RF13,"C"))*2)+((COUNTIF('Elève (6ème5)'!RD13:RF13,"D"))*1))/(COUNTA(RD13:RF13)),"")</f>
        <v/>
      </c>
      <c r="RH12" s="128" t="str">
        <f t="shared" si="110"/>
        <v/>
      </c>
      <c r="RI12" s="177">
        <f>IFERROR((((COUNTIF(QT13:QV13,"A")+COUNTIF(QY13:RA13,"A")+COUNTIF(RD13:RF13,"A"))*4)+((COUNTIF(QT13:QV13,"B")+COUNTIF(QY13:RA13,"B")+COUNTIF(RD13:RF13,"B"))*3)+((COUNTIF(QT13:QV13,"C")+COUNTIF(QY13:RA13,"C")+COUNTIF(RD13:RF13,"C"))*2)+((COUNTIF(QT13:QV13,"D")+COUNTIF(QY13:RA13,"D")+COUNTIF(RD13:RF13,"D"))*1))/(COUNTA(QT13:QV13)+COUNTA(QY13:RA13)+COUNTA(RD13:RF13)),"")</f>
        <v>4</v>
      </c>
      <c r="RJ12" s="130" t="str">
        <f t="shared" si="111"/>
        <v>A</v>
      </c>
      <c r="RK12" s="152"/>
      <c r="RL12" s="185"/>
      <c r="RM12" s="185"/>
      <c r="RN12" s="106" t="str">
        <f>IFERROR((((COUNTIF('Elève (6ème5)'!RK13:RM13,"A"))*4)+((COUNTIF('Elève (6ème5)'!RK13:RM13,"B"))*3)+((COUNTIF('Elève (6ème5)'!RK13:RM13,"C"))*2)+((COUNTIF('Elève (6ème5)'!RK13:RM13,"D"))*1))/(COUNTA(RK13:RM13)),"")</f>
        <v/>
      </c>
      <c r="RO12" s="107" t="str">
        <f t="shared" si="112"/>
        <v/>
      </c>
      <c r="RP12" s="204"/>
      <c r="RQ12" s="186"/>
      <c r="RR12" s="205"/>
      <c r="RS12" s="106" t="str">
        <f>IFERROR((((COUNTIF('Elève (6ème5)'!RP13:RR13,"A"))*4)+((COUNTIF('Elève (6ème5)'!RP13:RR13,"B"))*3)+((COUNTIF('Elève (6ème5)'!RP13:RR13,"C"))*2)+((COUNTIF('Elève (6ème5)'!RP13:RR13,"D"))*1))/(COUNTA(RP13:RR13)),"")</f>
        <v/>
      </c>
      <c r="RT12" s="121" t="str">
        <f t="shared" si="113"/>
        <v/>
      </c>
      <c r="RU12" s="100"/>
      <c r="RV12" s="187"/>
      <c r="RW12" s="188"/>
      <c r="RX12" s="106" t="str">
        <f>IFERROR((((COUNTIF('Elève (6ème5)'!RU13:RW13,"A"))*4)+((COUNTIF('Elève (6ème5)'!RU13:RW13,"B"))*3)+((COUNTIF('Elève (6ème5)'!RU13:RW13,"C"))*2)+((COUNTIF('Elève (6ème5)'!RU13:RW13,"D"))*1))/(COUNTA(RU13:RW13)),"")</f>
        <v/>
      </c>
      <c r="RY12" s="128" t="str">
        <f t="shared" si="114"/>
        <v/>
      </c>
      <c r="RZ12" s="177" t="str">
        <f>IFERROR((((COUNTIF(RK13:RM13,"A")+COUNTIF(RP13:RR13,"A")+COUNTIF(RU13:RW13,"A"))*4)+((COUNTIF(RK13:RM13,"B")+COUNTIF(RP13:RR13,"B")+COUNTIF(RU13:RW13,"B"))*3)+((COUNTIF(RK13:RM13,"C")+COUNTIF(RP13:RR13,"C")+COUNTIF(RU13:RW13,"C"))*2)+((COUNTIF(RK13:RM13,"D")+COUNTIF(RP13:RR13,"D")+COUNTIF(RU13:RW13,"D"))*1))/(COUNTA(RK13:RM13)+COUNTA(RP13:RR13)+COUNTA(RU13:RW13)),"")</f>
        <v/>
      </c>
      <c r="SA12" s="130" t="str">
        <f t="shared" si="115"/>
        <v/>
      </c>
      <c r="SB12" s="152"/>
      <c r="SC12" s="185"/>
      <c r="SD12" s="185"/>
      <c r="SE12" s="106" t="str">
        <f>IFERROR((((COUNTIF('Elève (6ème5)'!SB13:SD13,"A"))*4)+((COUNTIF('Elève (6ème5)'!SB13:SD13,"B"))*3)+((COUNTIF('Elève (6ème5)'!SB13:SD13,"C"))*2)+((COUNTIF('Elève (6ème5)'!SB13:SD13,"D"))*1))/(COUNTA(SB13:SD13)),"")</f>
        <v/>
      </c>
      <c r="SF12" s="107" t="str">
        <f t="shared" si="116"/>
        <v/>
      </c>
      <c r="SG12" s="204"/>
      <c r="SH12" s="186"/>
      <c r="SI12" s="205"/>
      <c r="SJ12" s="106" t="str">
        <f>IFERROR((((COUNTIF('Elève (6ème5)'!SG13:SI13,"A"))*4)+((COUNTIF('Elève (6ème5)'!SG13:SI13,"B"))*3)+((COUNTIF('Elève (6ème5)'!SG13:SI13,"C"))*2)+((COUNTIF('Elève (6ème5)'!SG13:SI13,"D"))*1))/(COUNTA(SG13:SI13)),"")</f>
        <v/>
      </c>
      <c r="SK12" s="121" t="str">
        <f t="shared" si="117"/>
        <v/>
      </c>
      <c r="SL12" s="100"/>
      <c r="SM12" s="187"/>
      <c r="SN12" s="188"/>
      <c r="SO12" s="106" t="str">
        <f>IFERROR((((COUNTIF('Elève (6ème5)'!SL13:SN13,"A"))*4)+((COUNTIF('Elève (6ème5)'!SL13:SN13,"B"))*3)+((COUNTIF('Elève (6ème5)'!SL13:SN13,"C"))*2)+((COUNTIF('Elève (6ème5)'!SL13:SN13,"D"))*1))/(COUNTA(SL13:SN13)),"")</f>
        <v/>
      </c>
      <c r="SP12" s="128" t="str">
        <f t="shared" si="118"/>
        <v/>
      </c>
      <c r="SQ12" s="177" t="str">
        <f>IFERROR((((COUNTIF(SB13:SD13,"A")+COUNTIF(SG13:SI13,"A")+COUNTIF(SL13:SN13,"A"))*4)+((COUNTIF(SB13:SD13,"B")+COUNTIF(SG13:SI13,"B")+COUNTIF(SL13:SN13,"B"))*3)+((COUNTIF(SB13:SD13,"C")+COUNTIF(SG13:SI13,"C")+COUNTIF(SL13:SN13,"C"))*2)+((COUNTIF(SB13:SD13,"D")+COUNTIF(SG13:SI13,"D")+COUNTIF(SL13:SN13,"D"))*1))/(COUNTA(SB13:SD13)+COUNTA(SG13:SI13)+COUNTA(SL13:SN13)),"")</f>
        <v/>
      </c>
      <c r="SR12" s="130" t="str">
        <f t="shared" si="119"/>
        <v/>
      </c>
    </row>
    <row r="13" spans="1:512" s="72" customFormat="1" ht="18" customHeight="1" thickBot="1" x14ac:dyDescent="0.3">
      <c r="A13" s="240" t="s">
        <v>16</v>
      </c>
      <c r="B13" s="241"/>
      <c r="C13" s="156"/>
      <c r="D13" s="157" t="s">
        <v>24</v>
      </c>
      <c r="E13" s="158"/>
      <c r="F13" s="108">
        <f>IFERROR((((COUNTIF('Elève (6ème5)'!C13:E13,"A"))*4)+((COUNTIF('Elève (6ème5)'!C13:E13,"B"))*3)+((COUNTIF('Elève (6ème5)'!C13:E13,"C"))*2)+((COUNTIF('Elève (6ème5)'!C13:E13,"D"))*1))/(COUNTA(C13:E13)),"")</f>
        <v>4</v>
      </c>
      <c r="G13" s="109" t="str">
        <f t="shared" si="0"/>
        <v>A</v>
      </c>
      <c r="H13" s="81"/>
      <c r="I13" s="82"/>
      <c r="J13" s="83"/>
      <c r="K13" s="108" t="str">
        <f>IFERROR((((COUNTIF('Elève (6ème5)'!H13:J13,"A"))*4)+((COUNTIF('Elève (6ème5)'!H13:J13,"B"))*3)+((COUNTIF('Elève (6ème5)'!H13:J13,"C"))*2)+((COUNTIF('Elève (6ème5)'!H13:J13,"D"))*1))/(COUNTA(H13:J13)),"")</f>
        <v/>
      </c>
      <c r="L13" s="109" t="str">
        <f t="shared" si="1"/>
        <v/>
      </c>
      <c r="M13" s="81"/>
      <c r="N13" s="82"/>
      <c r="O13" s="83"/>
      <c r="P13" s="108" t="str">
        <f>IFERROR((((COUNTIF('Elève (6ème5)'!M13:O13,"A"))*4)+((COUNTIF('Elève (6ème5)'!M13:O13,"B"))*3)+((COUNTIF('Elève (6ème5)'!M13:O13,"C"))*2)+((COUNTIF('Elève (6ème5)'!M13:O13,"D"))*1))/(COUNTA(M13:O13)),"")</f>
        <v/>
      </c>
      <c r="Q13" s="139" t="str">
        <f t="shared" si="2"/>
        <v/>
      </c>
      <c r="R13" s="178">
        <f>IF(COUNT(F13,K13,P13)=0,"",SUM(F13,K13,P13)/COUNT(F13,K13,P13))</f>
        <v>4</v>
      </c>
      <c r="S13" s="131" t="str">
        <f t="shared" si="3"/>
        <v>A</v>
      </c>
      <c r="T13" s="156"/>
      <c r="U13" s="157" t="s">
        <v>24</v>
      </c>
      <c r="V13" s="158"/>
      <c r="W13" s="108">
        <f>IFERROR((((COUNTIF('Elève (6ème5)'!T13:V13,"A"))*4)+((COUNTIF('Elève (6ème5)'!T13:V13,"B"))*3)+((COUNTIF('Elève (6ème5)'!T13:V13,"C"))*2)+((COUNTIF('Elève (6ème5)'!T13:V13,"D"))*1))/(COUNTA(T13:V13)),"")</f>
        <v>4</v>
      </c>
      <c r="X13" s="109" t="str">
        <f t="shared" si="4"/>
        <v>A</v>
      </c>
      <c r="Y13" s="81"/>
      <c r="Z13" s="82"/>
      <c r="AA13" s="83"/>
      <c r="AB13" s="108" t="str">
        <f>IFERROR((((COUNTIF('Elève (6ème5)'!Y13:AA13,"A"))*4)+((COUNTIF('Elève (6ème5)'!Y13:AA13,"B"))*3)+((COUNTIF('Elève (6ème5)'!Y13:AA13,"C"))*2)+((COUNTIF('Elève (6ème5)'!Y13:AA13,"D"))*1))/(COUNTA(Y13:AA13)),"")</f>
        <v/>
      </c>
      <c r="AC13" s="109" t="str">
        <f t="shared" si="5"/>
        <v/>
      </c>
      <c r="AD13" s="81"/>
      <c r="AE13" s="82"/>
      <c r="AF13" s="83"/>
      <c r="AG13" s="108" t="str">
        <f>IFERROR((((COUNTIF('Elève (6ème5)'!AD13:AF13,"A"))*4)+((COUNTIF('Elève (6ème5)'!AD13:AF13,"B"))*3)+((COUNTIF('Elève (6ème5)'!AD13:AF13,"C"))*2)+((COUNTIF('Elève (6ème5)'!AD13:AF13,"D"))*1))/(COUNTA(AD13:AF13)),"")</f>
        <v/>
      </c>
      <c r="AH13" s="139" t="str">
        <f t="shared" si="6"/>
        <v/>
      </c>
      <c r="AI13" s="178">
        <f>IF(COUNT(W13,AB13,AG13)=0,"",SUM(W13,AB13,AG13)/COUNT(W13,AB13,AG13))</f>
        <v>4</v>
      </c>
      <c r="AJ13" s="131" t="str">
        <f t="shared" si="7"/>
        <v>A</v>
      </c>
      <c r="AK13" s="156"/>
      <c r="AL13" s="157" t="s">
        <v>24</v>
      </c>
      <c r="AM13" s="158"/>
      <c r="AN13" s="108">
        <f>IFERROR((((COUNTIF('Elève (6ème5)'!AK13:AM13,"A"))*4)+((COUNTIF('Elève (6ème5)'!AK13:AM13,"B"))*3)+((COUNTIF('Elève (6ème5)'!AK13:AM13,"C"))*2)+((COUNTIF('Elève (6ème5)'!AK13:AM13,"D"))*1))/(COUNTA(AK13:AM13)),"")</f>
        <v>4</v>
      </c>
      <c r="AO13" s="109" t="str">
        <f t="shared" si="8"/>
        <v>A</v>
      </c>
      <c r="AP13" s="81"/>
      <c r="AQ13" s="82"/>
      <c r="AR13" s="83"/>
      <c r="AS13" s="108" t="str">
        <f>IFERROR((((COUNTIF('Elève (6ème5)'!AP13:AR13,"A"))*4)+((COUNTIF('Elève (6ème5)'!AP13:AR13,"B"))*3)+((COUNTIF('Elève (6ème5)'!AP13:AR13,"C"))*2)+((COUNTIF('Elève (6ème5)'!AP13:AR13,"D"))*1))/(COUNTA(AP13:AR13)),"")</f>
        <v/>
      </c>
      <c r="AT13" s="109" t="str">
        <f t="shared" si="9"/>
        <v/>
      </c>
      <c r="AU13" s="81"/>
      <c r="AV13" s="82"/>
      <c r="AW13" s="83"/>
      <c r="AX13" s="108" t="str">
        <f>IFERROR((((COUNTIF('Elève (6ème5)'!AU13:AW13,"A"))*4)+((COUNTIF('Elève (6ème5)'!AU13:AW13,"B"))*3)+((COUNTIF('Elève (6ème5)'!AU13:AW13,"C"))*2)+((COUNTIF('Elève (6ème5)'!AU13:AW13,"D"))*1))/(COUNTA(AU13:AW13)),"")</f>
        <v/>
      </c>
      <c r="AY13" s="139" t="str">
        <f t="shared" si="10"/>
        <v/>
      </c>
      <c r="AZ13" s="178">
        <f>IF(COUNT(AN13,AS13,AX13)=0,"",SUM(AN13,AS13,AX13)/COUNT(AN13,AS13,AX13))</f>
        <v>4</v>
      </c>
      <c r="BA13" s="131" t="str">
        <f t="shared" si="11"/>
        <v>A</v>
      </c>
      <c r="BB13" s="156"/>
      <c r="BC13" s="157" t="s">
        <v>24</v>
      </c>
      <c r="BD13" s="158"/>
      <c r="BE13" s="108">
        <f>IFERROR((((COUNTIF('Elève (6ème5)'!BB13:BD13,"A"))*4)+((COUNTIF('Elève (6ème5)'!BB13:BD13,"B"))*3)+((COUNTIF('Elève (6ème5)'!BB13:BD13,"C"))*2)+((COUNTIF('Elève (6ème5)'!BB13:BD13,"D"))*1))/(COUNTA(BB13:BD13)),"")</f>
        <v>4</v>
      </c>
      <c r="BF13" s="109" t="str">
        <f t="shared" si="12"/>
        <v>A</v>
      </c>
      <c r="BG13" s="81"/>
      <c r="BH13" s="82"/>
      <c r="BI13" s="83"/>
      <c r="BJ13" s="108" t="str">
        <f>IFERROR((((COUNTIF('Elève (6ème5)'!BG13:BI13,"A"))*4)+((COUNTIF('Elève (6ème5)'!BG13:BI13,"B"))*3)+((COUNTIF('Elève (6ème5)'!BG13:BI13,"C"))*2)+((COUNTIF('Elève (6ème5)'!BG13:BI13,"D"))*1))/(COUNTA(BG13:BI13)),"")</f>
        <v/>
      </c>
      <c r="BK13" s="109" t="str">
        <f t="shared" si="13"/>
        <v/>
      </c>
      <c r="BL13" s="81"/>
      <c r="BM13" s="82"/>
      <c r="BN13" s="83"/>
      <c r="BO13" s="108" t="str">
        <f>IFERROR((((COUNTIF('Elève (6ème5)'!BL13:BN13,"A"))*4)+((COUNTIF('Elève (6ème5)'!BL13:BN13,"B"))*3)+((COUNTIF('Elève (6ème5)'!BL13:BN13,"C"))*2)+((COUNTIF('Elève (6ème5)'!BL13:BN13,"D"))*1))/(COUNTA(BL13:BN13)),"")</f>
        <v/>
      </c>
      <c r="BP13" s="139" t="str">
        <f t="shared" si="14"/>
        <v/>
      </c>
      <c r="BQ13" s="178">
        <f>IF(COUNT(BE13,BJ13,BO13)=0,"",SUM(BE13,BJ13,BO13)/COUNT(BE13,BJ13,BO13))</f>
        <v>4</v>
      </c>
      <c r="BR13" s="131" t="str">
        <f t="shared" si="15"/>
        <v>A</v>
      </c>
      <c r="BS13" s="156"/>
      <c r="BT13" s="157" t="s">
        <v>24</v>
      </c>
      <c r="BU13" s="158"/>
      <c r="BV13" s="108">
        <f>IFERROR((((COUNTIF('Elève (6ème5)'!BS13:BU13,"A"))*4)+((COUNTIF('Elève (6ème5)'!BS13:BU13,"B"))*3)+((COUNTIF('Elève (6ème5)'!BS13:BU13,"C"))*2)+((COUNTIF('Elève (6ème5)'!BS13:BU13,"D"))*1))/(COUNTA(BS13:BU13)),"")</f>
        <v>4</v>
      </c>
      <c r="BW13" s="109" t="str">
        <f t="shared" si="16"/>
        <v>A</v>
      </c>
      <c r="BX13" s="81"/>
      <c r="BY13" s="82"/>
      <c r="BZ13" s="83"/>
      <c r="CA13" s="108" t="str">
        <f>IFERROR((((COUNTIF('Elève (6ème5)'!BX13:BZ13,"A"))*4)+((COUNTIF('Elève (6ème5)'!BX13:BZ13,"B"))*3)+((COUNTIF('Elève (6ème5)'!BX13:BZ13,"C"))*2)+((COUNTIF('Elève (6ème5)'!BX13:BZ13,"D"))*1))/(COUNTA(BX13:BZ13)),"")</f>
        <v/>
      </c>
      <c r="CB13" s="109" t="str">
        <f t="shared" si="17"/>
        <v/>
      </c>
      <c r="CC13" s="81"/>
      <c r="CD13" s="82"/>
      <c r="CE13" s="83"/>
      <c r="CF13" s="108" t="str">
        <f>IFERROR((((COUNTIF('Elève (6ème5)'!CC13:CE13,"A"))*4)+((COUNTIF('Elève (6ème5)'!CC13:CE13,"B"))*3)+((COUNTIF('Elève (6ème5)'!CC13:CE13,"C"))*2)+((COUNTIF('Elève (6ème5)'!CC13:CE13,"D"))*1))/(COUNTA(CC13:CE13)),"")</f>
        <v/>
      </c>
      <c r="CG13" s="139" t="str">
        <f t="shared" si="18"/>
        <v/>
      </c>
      <c r="CH13" s="178">
        <f>IF(COUNT(BV13,CA13,CF13)=0,"",SUM(BV13,CA13,CF13)/COUNT(BV13,CA13,CF13))</f>
        <v>4</v>
      </c>
      <c r="CI13" s="131" t="str">
        <f t="shared" si="19"/>
        <v>A</v>
      </c>
      <c r="CJ13" s="156"/>
      <c r="CK13" s="157" t="s">
        <v>24</v>
      </c>
      <c r="CL13" s="158"/>
      <c r="CM13" s="108">
        <f>IFERROR((((COUNTIF('Elève (6ème5)'!CJ13:CL13,"A"))*4)+((COUNTIF('Elève (6ème5)'!CJ13:CL13,"B"))*3)+((COUNTIF('Elève (6ème5)'!CJ13:CL13,"C"))*2)+((COUNTIF('Elève (6ème5)'!CJ13:CL13,"D"))*1))/(COUNTA(CJ13:CL13)),"")</f>
        <v>4</v>
      </c>
      <c r="CN13" s="109" t="str">
        <f t="shared" si="20"/>
        <v>A</v>
      </c>
      <c r="CO13" s="81"/>
      <c r="CP13" s="82"/>
      <c r="CQ13" s="83"/>
      <c r="CR13" s="108" t="str">
        <f>IFERROR((((COUNTIF('Elève (6ème5)'!CO13:CQ13,"A"))*4)+((COUNTIF('Elève (6ème5)'!CO13:CQ13,"B"))*3)+((COUNTIF('Elève (6ème5)'!CO13:CQ13,"C"))*2)+((COUNTIF('Elève (6ème5)'!CO13:CQ13,"D"))*1))/(COUNTA(CO13:CQ13)),"")</f>
        <v/>
      </c>
      <c r="CS13" s="109" t="str">
        <f t="shared" si="21"/>
        <v/>
      </c>
      <c r="CT13" s="81"/>
      <c r="CU13" s="82"/>
      <c r="CV13" s="83"/>
      <c r="CW13" s="108" t="str">
        <f>IFERROR((((COUNTIF('Elève (6ème5)'!CT13:CV13,"A"))*4)+((COUNTIF('Elève (6ème5)'!CT13:CV13,"B"))*3)+((COUNTIF('Elève (6ème5)'!CT13:CV13,"C"))*2)+((COUNTIF('Elève (6ème5)'!CT13:CV13,"D"))*1))/(COUNTA(CT13:CV13)),"")</f>
        <v/>
      </c>
      <c r="CX13" s="139" t="str">
        <f t="shared" si="22"/>
        <v/>
      </c>
      <c r="CY13" s="178">
        <f>IF(COUNT(CM13,CR13,CW13)=0,"",SUM(CM13,CR13,CW13)/COUNT(CM13,CR13,CW13))</f>
        <v>4</v>
      </c>
      <c r="CZ13" s="131" t="str">
        <f t="shared" si="23"/>
        <v>A</v>
      </c>
      <c r="DA13" s="156"/>
      <c r="DB13" s="157" t="s">
        <v>24</v>
      </c>
      <c r="DC13" s="158"/>
      <c r="DD13" s="108">
        <f>IFERROR((((COUNTIF('Elève (6ème5)'!DA13:DC13,"A"))*4)+((COUNTIF('Elève (6ème5)'!DA13:DC13,"B"))*3)+((COUNTIF('Elève (6ème5)'!DA13:DC13,"C"))*2)+((COUNTIF('Elève (6ème5)'!DA13:DC13,"D"))*1))/(COUNTA(DA13:DC13)),"")</f>
        <v>4</v>
      </c>
      <c r="DE13" s="109" t="str">
        <f t="shared" si="24"/>
        <v>A</v>
      </c>
      <c r="DF13" s="81"/>
      <c r="DG13" s="82"/>
      <c r="DH13" s="83"/>
      <c r="DI13" s="108" t="str">
        <f>IFERROR((((COUNTIF('Elève (6ème5)'!DF13:DH13,"A"))*4)+((COUNTIF('Elève (6ème5)'!DF13:DH13,"B"))*3)+((COUNTIF('Elève (6ème5)'!DF13:DH13,"C"))*2)+((COUNTIF('Elève (6ème5)'!DF13:DH13,"D"))*1))/(COUNTA(DF13:DH13)),"")</f>
        <v/>
      </c>
      <c r="DJ13" s="109" t="str">
        <f t="shared" si="25"/>
        <v/>
      </c>
      <c r="DK13" s="81"/>
      <c r="DL13" s="82"/>
      <c r="DM13" s="83"/>
      <c r="DN13" s="108" t="str">
        <f>IFERROR((((COUNTIF('Elève (6ème5)'!DK13:DM13,"A"))*4)+((COUNTIF('Elève (6ème5)'!DK13:DM13,"B"))*3)+((COUNTIF('Elève (6ème5)'!DK13:DM13,"C"))*2)+((COUNTIF('Elève (6ème5)'!DK13:DM13,"D"))*1))/(COUNTA(DK13:DM13)),"")</f>
        <v/>
      </c>
      <c r="DO13" s="139" t="str">
        <f t="shared" si="26"/>
        <v/>
      </c>
      <c r="DP13" s="178">
        <f>IF(COUNT(DD13,DI13,DN13)=0,"",SUM(DD13,DI13,DN13)/COUNT(DD13,DI13,DN13))</f>
        <v>4</v>
      </c>
      <c r="DQ13" s="131" t="str">
        <f t="shared" si="27"/>
        <v>A</v>
      </c>
      <c r="DR13" s="156"/>
      <c r="DS13" s="157" t="s">
        <v>24</v>
      </c>
      <c r="DT13" s="158"/>
      <c r="DU13" s="108">
        <f>IFERROR((((COUNTIF('Elève (6ème5)'!DR13:DT13,"A"))*4)+((COUNTIF('Elève (6ème5)'!DR13:DT13,"B"))*3)+((COUNTIF('Elève (6ème5)'!DR13:DT13,"C"))*2)+((COUNTIF('Elève (6ème5)'!DR13:DT13,"D"))*1))/(COUNTA(DR13:DT13)),"")</f>
        <v>4</v>
      </c>
      <c r="DV13" s="109" t="str">
        <f t="shared" si="28"/>
        <v>A</v>
      </c>
      <c r="DW13" s="81"/>
      <c r="DX13" s="82"/>
      <c r="DY13" s="83"/>
      <c r="DZ13" s="108" t="str">
        <f>IFERROR((((COUNTIF('Elève (6ème5)'!DW13:DY13,"A"))*4)+((COUNTIF('Elève (6ème5)'!DW13:DY13,"B"))*3)+((COUNTIF('Elève (6ème5)'!DW13:DY13,"C"))*2)+((COUNTIF('Elève (6ème5)'!DW13:DY13,"D"))*1))/(COUNTA(DW13:DY13)),"")</f>
        <v/>
      </c>
      <c r="EA13" s="109" t="str">
        <f t="shared" si="29"/>
        <v/>
      </c>
      <c r="EB13" s="81"/>
      <c r="EC13" s="82"/>
      <c r="ED13" s="83"/>
      <c r="EE13" s="108" t="str">
        <f>IFERROR((((COUNTIF('Elève (6ème5)'!EB13:ED13,"A"))*4)+((COUNTIF('Elève (6ème5)'!EB13:ED13,"B"))*3)+((COUNTIF('Elève (6ème5)'!EB13:ED13,"C"))*2)+((COUNTIF('Elève (6ème5)'!EB13:ED13,"D"))*1))/(COUNTA(EB13:ED13)),"")</f>
        <v/>
      </c>
      <c r="EF13" s="139" t="str">
        <f t="shared" si="30"/>
        <v/>
      </c>
      <c r="EG13" s="178">
        <f>IF(COUNT(DU13,DZ13,EE13)=0,"",SUM(DU13,DZ13,EE13)/COUNT(DU13,DZ13,EE13))</f>
        <v>4</v>
      </c>
      <c r="EH13" s="131" t="str">
        <f t="shared" si="31"/>
        <v>A</v>
      </c>
      <c r="EI13" s="156"/>
      <c r="EJ13" s="157" t="s">
        <v>24</v>
      </c>
      <c r="EK13" s="158"/>
      <c r="EL13" s="108">
        <f>IFERROR((((COUNTIF('Elève (6ème5)'!EI13:EK13,"A"))*4)+((COUNTIF('Elève (6ème5)'!EI13:EK13,"B"))*3)+((COUNTIF('Elève (6ème5)'!EI13:EK13,"C"))*2)+((COUNTIF('Elève (6ème5)'!EI13:EK13,"D"))*1))/(COUNTA(EI13:EK13)),"")</f>
        <v>4</v>
      </c>
      <c r="EM13" s="109" t="str">
        <f t="shared" si="32"/>
        <v>A</v>
      </c>
      <c r="EN13" s="81"/>
      <c r="EO13" s="82"/>
      <c r="EP13" s="83"/>
      <c r="EQ13" s="108" t="str">
        <f>IFERROR((((COUNTIF('Elève (6ème5)'!EN13:EP13,"A"))*4)+((COUNTIF('Elève (6ème5)'!EN13:EP13,"B"))*3)+((COUNTIF('Elève (6ème5)'!EN13:EP13,"C"))*2)+((COUNTIF('Elève (6ème5)'!EN13:EP13,"D"))*1))/(COUNTA(EN13:EP13)),"")</f>
        <v/>
      </c>
      <c r="ER13" s="109" t="str">
        <f t="shared" si="33"/>
        <v/>
      </c>
      <c r="ES13" s="81"/>
      <c r="ET13" s="82"/>
      <c r="EU13" s="83"/>
      <c r="EV13" s="108" t="str">
        <f>IFERROR((((COUNTIF('Elève (6ème5)'!ES13:EU13,"A"))*4)+((COUNTIF('Elève (6ème5)'!ES13:EU13,"B"))*3)+((COUNTIF('Elève (6ème5)'!ES13:EU13,"C"))*2)+((COUNTIF('Elève (6ème5)'!ES13:EU13,"D"))*1))/(COUNTA(ES13:EU13)),"")</f>
        <v/>
      </c>
      <c r="EW13" s="139" t="str">
        <f t="shared" si="34"/>
        <v/>
      </c>
      <c r="EX13" s="178">
        <f>IF(COUNT(EL13,EQ13,EV13)=0,"",SUM(EL13,EQ13,EV13)/COUNT(EL13,EQ13,EV13))</f>
        <v>4</v>
      </c>
      <c r="EY13" s="131" t="str">
        <f t="shared" si="35"/>
        <v>A</v>
      </c>
      <c r="EZ13" s="156"/>
      <c r="FA13" s="157" t="s">
        <v>24</v>
      </c>
      <c r="FB13" s="158"/>
      <c r="FC13" s="108">
        <f>IFERROR((((COUNTIF('Elève (6ème5)'!EZ13:FB13,"A"))*4)+((COUNTIF('Elève (6ème5)'!EZ13:FB13,"B"))*3)+((COUNTIF('Elève (6ème5)'!EZ13:FB13,"C"))*2)+((COUNTIF('Elève (6ème5)'!EZ13:FB13,"D"))*1))/(COUNTA(EZ13:FB13)),"")</f>
        <v>4</v>
      </c>
      <c r="FD13" s="109" t="str">
        <f t="shared" si="36"/>
        <v>A</v>
      </c>
      <c r="FE13" s="81"/>
      <c r="FF13" s="82"/>
      <c r="FG13" s="83"/>
      <c r="FH13" s="108" t="str">
        <f>IFERROR((((COUNTIF('Elève (6ème5)'!FE13:FG13,"A"))*4)+((COUNTIF('Elève (6ème5)'!FE13:FG13,"B"))*3)+((COUNTIF('Elève (6ème5)'!FE13:FG13,"C"))*2)+((COUNTIF('Elève (6ème5)'!FE13:FG13,"D"))*1))/(COUNTA(FE13:FG13)),"")</f>
        <v/>
      </c>
      <c r="FI13" s="109" t="str">
        <f t="shared" si="37"/>
        <v/>
      </c>
      <c r="FJ13" s="81"/>
      <c r="FK13" s="82"/>
      <c r="FL13" s="83"/>
      <c r="FM13" s="108" t="str">
        <f>IFERROR((((COUNTIF('Elève (6ème5)'!FJ13:FL13,"A"))*4)+((COUNTIF('Elève (6ème5)'!FJ13:FL13,"B"))*3)+((COUNTIF('Elève (6ème5)'!FJ13:FL13,"C"))*2)+((COUNTIF('Elève (6ème5)'!FJ13:FL13,"D"))*1))/(COUNTA(FJ13:FL13)),"")</f>
        <v/>
      </c>
      <c r="FN13" s="139" t="str">
        <f t="shared" si="38"/>
        <v/>
      </c>
      <c r="FO13" s="178">
        <f>IF(COUNT(FC13,FH13,FM13)=0,"",SUM(FC13,FH13,FM13)/COUNT(FC13,FH13,FM13))</f>
        <v>4</v>
      </c>
      <c r="FP13" s="131" t="str">
        <f t="shared" si="39"/>
        <v>A</v>
      </c>
      <c r="FQ13" s="156"/>
      <c r="FR13" s="157" t="s">
        <v>24</v>
      </c>
      <c r="FS13" s="158"/>
      <c r="FT13" s="108">
        <f>IFERROR((((COUNTIF('Elève (6ème5)'!FQ13:FS13,"A"))*4)+((COUNTIF('Elève (6ème5)'!FQ13:FS13,"B"))*3)+((COUNTIF('Elève (6ème5)'!FQ13:FS13,"C"))*2)+((COUNTIF('Elève (6ème5)'!FQ13:FS13,"D"))*1))/(COUNTA(FQ13:FS13)),"")</f>
        <v>4</v>
      </c>
      <c r="FU13" s="109" t="str">
        <f t="shared" si="40"/>
        <v>A</v>
      </c>
      <c r="FV13" s="81"/>
      <c r="FW13" s="82"/>
      <c r="FX13" s="83"/>
      <c r="FY13" s="108" t="str">
        <f>IFERROR((((COUNTIF('Elève (6ème5)'!FV13:FX13,"A"))*4)+((COUNTIF('Elève (6ème5)'!FV13:FX13,"B"))*3)+((COUNTIF('Elève (6ème5)'!FV13:FX13,"C"))*2)+((COUNTIF('Elève (6ème5)'!FV13:FX13,"D"))*1))/(COUNTA(FV13:FX13)),"")</f>
        <v/>
      </c>
      <c r="FZ13" s="109" t="str">
        <f t="shared" si="41"/>
        <v/>
      </c>
      <c r="GA13" s="81"/>
      <c r="GB13" s="82"/>
      <c r="GC13" s="83"/>
      <c r="GD13" s="108" t="str">
        <f>IFERROR((((COUNTIF('Elève (6ème5)'!GA13:GC13,"A"))*4)+((COUNTIF('Elève (6ème5)'!GA13:GC13,"B"))*3)+((COUNTIF('Elève (6ème5)'!GA13:GC13,"C"))*2)+((COUNTIF('Elève (6ème5)'!GA13:GC13,"D"))*1))/(COUNTA(GA13:GC13)),"")</f>
        <v/>
      </c>
      <c r="GE13" s="139" t="str">
        <f t="shared" si="42"/>
        <v/>
      </c>
      <c r="GF13" s="178">
        <f>IF(COUNT(FT13,FY13,GD13)=0,"",SUM(FT13,FY13,GD13)/COUNT(FT13,FY13,GD13))</f>
        <v>4</v>
      </c>
      <c r="GG13" s="131" t="str">
        <f t="shared" si="43"/>
        <v>A</v>
      </c>
      <c r="GH13" s="156"/>
      <c r="GI13" s="157" t="s">
        <v>24</v>
      </c>
      <c r="GJ13" s="158"/>
      <c r="GK13" s="108">
        <f>IFERROR((((COUNTIF('Elève (6ème5)'!GH13:GJ13,"A"))*4)+((COUNTIF('Elève (6ème5)'!GH13:GJ13,"B"))*3)+((COUNTIF('Elève (6ème5)'!GH13:GJ13,"C"))*2)+((COUNTIF('Elève (6ème5)'!GH13:GJ13,"D"))*1))/(COUNTA(GH13:GJ13)),"")</f>
        <v>4</v>
      </c>
      <c r="GL13" s="109" t="str">
        <f t="shared" si="44"/>
        <v>A</v>
      </c>
      <c r="GM13" s="81"/>
      <c r="GN13" s="82"/>
      <c r="GO13" s="83"/>
      <c r="GP13" s="108" t="str">
        <f>IFERROR((((COUNTIF('Elève (6ème5)'!GM13:GO13,"A"))*4)+((COUNTIF('Elève (6ème5)'!GM13:GO13,"B"))*3)+((COUNTIF('Elève (6ème5)'!GM13:GO13,"C"))*2)+((COUNTIF('Elève (6ème5)'!GM13:GO13,"D"))*1))/(COUNTA(GM13:GO13)),"")</f>
        <v/>
      </c>
      <c r="GQ13" s="109" t="str">
        <f t="shared" si="45"/>
        <v/>
      </c>
      <c r="GR13" s="81"/>
      <c r="GS13" s="82"/>
      <c r="GT13" s="83"/>
      <c r="GU13" s="108" t="str">
        <f>IFERROR((((COUNTIF('Elève (6ème5)'!GR13:GT13,"A"))*4)+((COUNTIF('Elève (6ème5)'!GR13:GT13,"B"))*3)+((COUNTIF('Elève (6ème5)'!GR13:GT13,"C"))*2)+((COUNTIF('Elève (6ème5)'!GR13:GT13,"D"))*1))/(COUNTA(GR13:GT13)),"")</f>
        <v/>
      </c>
      <c r="GV13" s="139" t="str">
        <f t="shared" si="46"/>
        <v/>
      </c>
      <c r="GW13" s="178">
        <f>IF(COUNT(GK13,GP13,GU13)=0,"",SUM(GK13,GP13,GU13)/COUNT(GK13,GP13,GU13))</f>
        <v>4</v>
      </c>
      <c r="GX13" s="131" t="str">
        <f t="shared" si="47"/>
        <v>A</v>
      </c>
      <c r="GY13" s="156"/>
      <c r="GZ13" s="157" t="s">
        <v>24</v>
      </c>
      <c r="HA13" s="158"/>
      <c r="HB13" s="108">
        <f>IFERROR((((COUNTIF('Elève (6ème5)'!GY13:HA13,"A"))*4)+((COUNTIF('Elève (6ème5)'!GY13:HA13,"B"))*3)+((COUNTIF('Elève (6ème5)'!GY13:HA13,"C"))*2)+((COUNTIF('Elève (6ème5)'!GY13:HA13,"D"))*1))/(COUNTA(GY13:HA13)),"")</f>
        <v>4</v>
      </c>
      <c r="HC13" s="109" t="str">
        <f t="shared" si="48"/>
        <v>A</v>
      </c>
      <c r="HD13" s="81"/>
      <c r="HE13" s="82"/>
      <c r="HF13" s="83"/>
      <c r="HG13" s="108" t="str">
        <f>IFERROR((((COUNTIF('Elève (6ème5)'!HD13:HF13,"A"))*4)+((COUNTIF('Elève (6ème5)'!HD13:HF13,"B"))*3)+((COUNTIF('Elève (6ème5)'!HD13:HF13,"C"))*2)+((COUNTIF('Elève (6ème5)'!HD13:HF13,"D"))*1))/(COUNTA(HD13:HF13)),"")</f>
        <v/>
      </c>
      <c r="HH13" s="109" t="str">
        <f t="shared" si="49"/>
        <v/>
      </c>
      <c r="HI13" s="81"/>
      <c r="HJ13" s="82"/>
      <c r="HK13" s="83"/>
      <c r="HL13" s="108" t="str">
        <f>IFERROR((((COUNTIF('Elève (6ème5)'!HI13:HK13,"A"))*4)+((COUNTIF('Elève (6ème5)'!HI13:HK13,"B"))*3)+((COUNTIF('Elève (6ème5)'!HI13:HK13,"C"))*2)+((COUNTIF('Elève (6ème5)'!HI13:HK13,"D"))*1))/(COUNTA(HI13:HK13)),"")</f>
        <v/>
      </c>
      <c r="HM13" s="139" t="str">
        <f t="shared" si="50"/>
        <v/>
      </c>
      <c r="HN13" s="178">
        <f>IF(COUNT(HB13,HG13,HL13)=0,"",SUM(HB13,HG13,HL13)/COUNT(HB13,HG13,HL13))</f>
        <v>4</v>
      </c>
      <c r="HO13" s="131" t="str">
        <f t="shared" si="51"/>
        <v>A</v>
      </c>
      <c r="HP13" s="156"/>
      <c r="HQ13" s="157" t="s">
        <v>24</v>
      </c>
      <c r="HR13" s="158"/>
      <c r="HS13" s="108">
        <f>IFERROR((((COUNTIF('Elève (6ème5)'!HP13:HR13,"A"))*4)+((COUNTIF('Elève (6ème5)'!HP13:HR13,"B"))*3)+((COUNTIF('Elève (6ème5)'!HP13:HR13,"C"))*2)+((COUNTIF('Elève (6ème5)'!HP13:HR13,"D"))*1))/(COUNTA(HP13:HR13)),"")</f>
        <v>4</v>
      </c>
      <c r="HT13" s="109" t="str">
        <f t="shared" si="52"/>
        <v>A</v>
      </c>
      <c r="HU13" s="81"/>
      <c r="HV13" s="82"/>
      <c r="HW13" s="83"/>
      <c r="HX13" s="108" t="str">
        <f>IFERROR((((COUNTIF('Elève (6ème5)'!HU13:HW13,"A"))*4)+((COUNTIF('Elève (6ème5)'!HU13:HW13,"B"))*3)+((COUNTIF('Elève (6ème5)'!HU13:HW13,"C"))*2)+((COUNTIF('Elève (6ème5)'!HU13:HW13,"D"))*1))/(COUNTA(HU13:HW13)),"")</f>
        <v/>
      </c>
      <c r="HY13" s="109" t="str">
        <f t="shared" si="53"/>
        <v/>
      </c>
      <c r="HZ13" s="81"/>
      <c r="IA13" s="82"/>
      <c r="IB13" s="83"/>
      <c r="IC13" s="108" t="str">
        <f>IFERROR((((COUNTIF('Elève (6ème5)'!HZ13:IB13,"A"))*4)+((COUNTIF('Elève (6ème5)'!HZ13:IB13,"B"))*3)+((COUNTIF('Elève (6ème5)'!HZ13:IB13,"C"))*2)+((COUNTIF('Elève (6ème5)'!HZ13:IB13,"D"))*1))/(COUNTA(HZ13:IB13)),"")</f>
        <v/>
      </c>
      <c r="ID13" s="139" t="str">
        <f t="shared" si="54"/>
        <v/>
      </c>
      <c r="IE13" s="178">
        <f>IF(COUNT(HS13,HX13,IC13)=0,"",SUM(HS13,HX13,IC13)/COUNT(HS13,HX13,IC13))</f>
        <v>4</v>
      </c>
      <c r="IF13" s="131" t="str">
        <f t="shared" si="55"/>
        <v>A</v>
      </c>
      <c r="IG13" s="156"/>
      <c r="IH13" s="157" t="s">
        <v>24</v>
      </c>
      <c r="II13" s="158"/>
      <c r="IJ13" s="108">
        <f>IFERROR((((COUNTIF('Elève (6ème5)'!IG13:II13,"A"))*4)+((COUNTIF('Elève (6ème5)'!IG13:II13,"B"))*3)+((COUNTIF('Elève (6ème5)'!IG13:II13,"C"))*2)+((COUNTIF('Elève (6ème5)'!IG13:II13,"D"))*1))/(COUNTA(IG13:II13)),"")</f>
        <v>4</v>
      </c>
      <c r="IK13" s="109" t="str">
        <f t="shared" si="56"/>
        <v>A</v>
      </c>
      <c r="IL13" s="81"/>
      <c r="IM13" s="82"/>
      <c r="IN13" s="83"/>
      <c r="IO13" s="108" t="str">
        <f>IFERROR((((COUNTIF('Elève (6ème5)'!IL13:IN13,"A"))*4)+((COUNTIF('Elève (6ème5)'!IL13:IN13,"B"))*3)+((COUNTIF('Elève (6ème5)'!IL13:IN13,"C"))*2)+((COUNTIF('Elève (6ème5)'!IL13:IN13,"D"))*1))/(COUNTA(IL13:IN13)),"")</f>
        <v/>
      </c>
      <c r="IP13" s="109" t="str">
        <f t="shared" si="57"/>
        <v/>
      </c>
      <c r="IQ13" s="81"/>
      <c r="IR13" s="82"/>
      <c r="IS13" s="83"/>
      <c r="IT13" s="108" t="str">
        <f>IFERROR((((COUNTIF('Elève (6ème5)'!IQ13:IS13,"A"))*4)+((COUNTIF('Elève (6ème5)'!IQ13:IS13,"B"))*3)+((COUNTIF('Elève (6ème5)'!IQ13:IS13,"C"))*2)+((COUNTIF('Elève (6ème5)'!IQ13:IS13,"D"))*1))/(COUNTA(IQ13:IS13)),"")</f>
        <v/>
      </c>
      <c r="IU13" s="139" t="str">
        <f t="shared" si="58"/>
        <v/>
      </c>
      <c r="IV13" s="178">
        <f>IF(COUNT(IJ13,IO13,IT13)=0,"",SUM(IJ13,IO13,IT13)/COUNT(IJ13,IO13,IT13))</f>
        <v>4</v>
      </c>
      <c r="IW13" s="131" t="str">
        <f t="shared" si="59"/>
        <v>A</v>
      </c>
      <c r="IX13" s="156"/>
      <c r="IY13" s="157" t="s">
        <v>24</v>
      </c>
      <c r="IZ13" s="158"/>
      <c r="JA13" s="108">
        <f>IFERROR((((COUNTIF('Elève (6ème5)'!IX13:IZ13,"A"))*4)+((COUNTIF('Elève (6ème5)'!IX13:IZ13,"B"))*3)+((COUNTIF('Elève (6ème5)'!IX13:IZ13,"C"))*2)+((COUNTIF('Elève (6ème5)'!IX13:IZ13,"D"))*1))/(COUNTA(IX13:IZ13)),"")</f>
        <v>4</v>
      </c>
      <c r="JB13" s="109" t="str">
        <f t="shared" si="60"/>
        <v>A</v>
      </c>
      <c r="JC13" s="81"/>
      <c r="JD13" s="82"/>
      <c r="JE13" s="83"/>
      <c r="JF13" s="108" t="str">
        <f>IFERROR((((COUNTIF('Elève (6ème5)'!JC13:JE13,"A"))*4)+((COUNTIF('Elève (6ème5)'!JC13:JE13,"B"))*3)+((COUNTIF('Elève (6ème5)'!JC13:JE13,"C"))*2)+((COUNTIF('Elève (6ème5)'!JC13:JE13,"D"))*1))/(COUNTA(JC13:JE13)),"")</f>
        <v/>
      </c>
      <c r="JG13" s="109" t="str">
        <f t="shared" si="61"/>
        <v/>
      </c>
      <c r="JH13" s="81"/>
      <c r="JI13" s="82"/>
      <c r="JJ13" s="83"/>
      <c r="JK13" s="108" t="str">
        <f>IFERROR((((COUNTIF('Elève (6ème5)'!JH13:JJ13,"A"))*4)+((COUNTIF('Elève (6ème5)'!JH13:JJ13,"B"))*3)+((COUNTIF('Elève (6ème5)'!JH13:JJ13,"C"))*2)+((COUNTIF('Elève (6ème5)'!JH13:JJ13,"D"))*1))/(COUNTA(JH13:JJ13)),"")</f>
        <v/>
      </c>
      <c r="JL13" s="139" t="str">
        <f t="shared" si="62"/>
        <v/>
      </c>
      <c r="JM13" s="178">
        <f>IF(COUNT(JA13,JF13,JK13)=0,"",SUM(JA13,JF13,JK13)/COUNT(JA13,JF13,JK13))</f>
        <v>4</v>
      </c>
      <c r="JN13" s="131" t="str">
        <f t="shared" si="63"/>
        <v>A</v>
      </c>
      <c r="JO13" s="156"/>
      <c r="JP13" s="157" t="s">
        <v>25</v>
      </c>
      <c r="JQ13" s="158"/>
      <c r="JR13" s="108">
        <f>IFERROR((((COUNTIF('Elève (6ème5)'!JO13:JQ13,"A"))*4)+((COUNTIF('Elève (6ème5)'!JO13:JQ13,"B"))*3)+((COUNTIF('Elève (6ème5)'!JO13:JQ13,"C"))*2)+((COUNTIF('Elève (6ème5)'!JO13:JQ13,"D"))*1))/(COUNTA(JO13:JQ13)),"")</f>
        <v>3</v>
      </c>
      <c r="JS13" s="109" t="str">
        <f t="shared" si="64"/>
        <v>B</v>
      </c>
      <c r="JT13" s="81"/>
      <c r="JU13" s="82"/>
      <c r="JV13" s="83"/>
      <c r="JW13" s="108" t="str">
        <f>IFERROR((((COUNTIF('Elève (6ème5)'!JT13:JV13,"A"))*4)+((COUNTIF('Elève (6ème5)'!JT13:JV13,"B"))*3)+((COUNTIF('Elève (6ème5)'!JT13:JV13,"C"))*2)+((COUNTIF('Elève (6ème5)'!JT13:JV13,"D"))*1))/(COUNTA(JT13:JV13)),"")</f>
        <v/>
      </c>
      <c r="JX13" s="109" t="str">
        <f t="shared" si="65"/>
        <v/>
      </c>
      <c r="JY13" s="81"/>
      <c r="JZ13" s="82"/>
      <c r="KA13" s="83"/>
      <c r="KB13" s="108" t="str">
        <f>IFERROR((((COUNTIF('Elève (6ème5)'!JY13:KA13,"A"))*4)+((COUNTIF('Elève (6ème5)'!JY13:KA13,"B"))*3)+((COUNTIF('Elève (6ème5)'!JY13:KA13,"C"))*2)+((COUNTIF('Elève (6ème5)'!JY13:KA13,"D"))*1))/(COUNTA(JY13:KA13)),"")</f>
        <v/>
      </c>
      <c r="KC13" s="139" t="str">
        <f t="shared" si="66"/>
        <v/>
      </c>
      <c r="KD13" s="178">
        <f>IF(COUNT(JR13,JW13,KB13)=0,"",SUM(JR13,JW13,KB13)/COUNT(JR13,JW13,KB13))</f>
        <v>3</v>
      </c>
      <c r="KE13" s="131" t="str">
        <f t="shared" si="67"/>
        <v>B</v>
      </c>
      <c r="KF13" s="156"/>
      <c r="KG13" s="157" t="s">
        <v>24</v>
      </c>
      <c r="KH13" s="158"/>
      <c r="KI13" s="108">
        <f>IFERROR((((COUNTIF('Elève (6ème5)'!KF13:KH13,"A"))*4)+((COUNTIF('Elève (6ème5)'!KF13:KH13,"B"))*3)+((COUNTIF('Elève (6ème5)'!KF13:KH13,"C"))*2)+((COUNTIF('Elève (6ème5)'!KF13:KH13,"D"))*1))/(COUNTA(KF13:KH13)),"")</f>
        <v>4</v>
      </c>
      <c r="KJ13" s="109" t="str">
        <f t="shared" si="68"/>
        <v>A</v>
      </c>
      <c r="KK13" s="81"/>
      <c r="KL13" s="82"/>
      <c r="KM13" s="83"/>
      <c r="KN13" s="108" t="str">
        <f>IFERROR((((COUNTIF('Elève (6ème5)'!KK13:KM13,"A"))*4)+((COUNTIF('Elève (6ème5)'!KK13:KM13,"B"))*3)+((COUNTIF('Elève (6ème5)'!KK13:KM13,"C"))*2)+((COUNTIF('Elève (6ème5)'!KK13:KM13,"D"))*1))/(COUNTA(KK13:KM13)),"")</f>
        <v/>
      </c>
      <c r="KO13" s="109" t="str">
        <f t="shared" si="69"/>
        <v/>
      </c>
      <c r="KP13" s="81"/>
      <c r="KQ13" s="82"/>
      <c r="KR13" s="83"/>
      <c r="KS13" s="108" t="str">
        <f>IFERROR((((COUNTIF('Elève (6ème5)'!KP13:KR13,"A"))*4)+((COUNTIF('Elève (6ème5)'!KP13:KR13,"B"))*3)+((COUNTIF('Elève (6ème5)'!KP13:KR13,"C"))*2)+((COUNTIF('Elève (6ème5)'!KP13:KR13,"D"))*1))/(COUNTA(KP13:KR13)),"")</f>
        <v/>
      </c>
      <c r="KT13" s="139" t="str">
        <f t="shared" si="70"/>
        <v/>
      </c>
      <c r="KU13" s="178">
        <f>IF(COUNT(KI13,KN13,KS13)=0,"",SUM(KI13,KN13,KS13)/COUNT(KI13,KN13,KS13))</f>
        <v>4</v>
      </c>
      <c r="KV13" s="131" t="str">
        <f t="shared" si="71"/>
        <v>A</v>
      </c>
      <c r="KW13" s="156"/>
      <c r="KX13" s="157" t="s">
        <v>25</v>
      </c>
      <c r="KY13" s="158"/>
      <c r="KZ13" s="108">
        <f>IFERROR((((COUNTIF('Elève (6ème5)'!KW13:KY13,"A"))*4)+((COUNTIF('Elève (6ème5)'!KW13:KY13,"B"))*3)+((COUNTIF('Elève (6ème5)'!KW13:KY13,"C"))*2)+((COUNTIF('Elève (6ème5)'!KW13:KY13,"D"))*1))/(COUNTA(KW13:KY13)),"")</f>
        <v>3</v>
      </c>
      <c r="LA13" s="109" t="str">
        <f t="shared" si="72"/>
        <v>B</v>
      </c>
      <c r="LB13" s="81"/>
      <c r="LC13" s="82"/>
      <c r="LD13" s="83"/>
      <c r="LE13" s="108" t="str">
        <f>IFERROR((((COUNTIF('Elève (6ème5)'!LB13:LD13,"A"))*4)+((COUNTIF('Elève (6ème5)'!LB13:LD13,"B"))*3)+((COUNTIF('Elève (6ème5)'!LB13:LD13,"C"))*2)+((COUNTIF('Elève (6ème5)'!LB13:LD13,"D"))*1))/(COUNTA(LB13:LD13)),"")</f>
        <v/>
      </c>
      <c r="LF13" s="109" t="str">
        <f t="shared" si="73"/>
        <v/>
      </c>
      <c r="LG13" s="81"/>
      <c r="LH13" s="82"/>
      <c r="LI13" s="83"/>
      <c r="LJ13" s="108" t="str">
        <f>IFERROR((((COUNTIF('Elève (6ème5)'!LG13:LI13,"A"))*4)+((COUNTIF('Elève (6ème5)'!LG13:LI13,"B"))*3)+((COUNTIF('Elève (6ème5)'!LG13:LI13,"C"))*2)+((COUNTIF('Elève (6ème5)'!LG13:LI13,"D"))*1))/(COUNTA(LG13:LI13)),"")</f>
        <v/>
      </c>
      <c r="LK13" s="139" t="str">
        <f t="shared" si="74"/>
        <v/>
      </c>
      <c r="LL13" s="178">
        <f>IF(COUNT(KZ13,LE13,LJ13)=0,"",SUM(KZ13,LE13,LJ13)/COUNT(KZ13,LE13,LJ13))</f>
        <v>3</v>
      </c>
      <c r="LM13" s="131" t="str">
        <f t="shared" si="75"/>
        <v>B</v>
      </c>
      <c r="LN13" s="156"/>
      <c r="LO13" s="157" t="s">
        <v>24</v>
      </c>
      <c r="LP13" s="158"/>
      <c r="LQ13" s="108">
        <f>IFERROR((((COUNTIF('Elève (6ème5)'!LN13:LP13,"A"))*4)+((COUNTIF('Elève (6ème5)'!LN13:LP13,"B"))*3)+((COUNTIF('Elève (6ème5)'!LN13:LP13,"C"))*2)+((COUNTIF('Elève (6ème5)'!LN13:LP13,"D"))*1))/(COUNTA(LN13:LP13)),"")</f>
        <v>4</v>
      </c>
      <c r="LR13" s="109" t="str">
        <f t="shared" si="76"/>
        <v>A</v>
      </c>
      <c r="LS13" s="81"/>
      <c r="LT13" s="82"/>
      <c r="LU13" s="83"/>
      <c r="LV13" s="108" t="str">
        <f>IFERROR((((COUNTIF('Elève (6ème5)'!LS13:LU13,"A"))*4)+((COUNTIF('Elève (6ème5)'!LS13:LU13,"B"))*3)+((COUNTIF('Elève (6ème5)'!LS13:LU13,"C"))*2)+((COUNTIF('Elève (6ème5)'!LS13:LU13,"D"))*1))/(COUNTA(LS13:LU13)),"")</f>
        <v/>
      </c>
      <c r="LW13" s="109" t="str">
        <f t="shared" si="77"/>
        <v/>
      </c>
      <c r="LX13" s="81"/>
      <c r="LY13" s="82"/>
      <c r="LZ13" s="83"/>
      <c r="MA13" s="108" t="str">
        <f>IFERROR((((COUNTIF('Elève (6ème5)'!LX13:LZ13,"A"))*4)+((COUNTIF('Elève (6ème5)'!LX13:LZ13,"B"))*3)+((COUNTIF('Elève (6ème5)'!LX13:LZ13,"C"))*2)+((COUNTIF('Elève (6ème5)'!LX13:LZ13,"D"))*1))/(COUNTA(LX13:LZ13)),"")</f>
        <v/>
      </c>
      <c r="MB13" s="139" t="str">
        <f t="shared" si="78"/>
        <v/>
      </c>
      <c r="MC13" s="178">
        <f>IF(COUNT(LQ13,LV13,MA13)=0,"",SUM(LQ13,LV13,MA13)/COUNT(LQ13,LV13,MA13))</f>
        <v>4</v>
      </c>
      <c r="MD13" s="131" t="str">
        <f t="shared" si="79"/>
        <v>A</v>
      </c>
      <c r="ME13" s="156"/>
      <c r="MF13" s="157" t="s">
        <v>24</v>
      </c>
      <c r="MG13" s="158"/>
      <c r="MH13" s="108">
        <f>IFERROR((((COUNTIF('Elève (6ème5)'!ME13:MG13,"A"))*4)+((COUNTIF('Elève (6ème5)'!ME13:MG13,"B"))*3)+((COUNTIF('Elève (6ème5)'!ME13:MG13,"C"))*2)+((COUNTIF('Elève (6ème5)'!ME13:MG13,"D"))*1))/(COUNTA(ME13:MG13)),"")</f>
        <v>4</v>
      </c>
      <c r="MI13" s="109" t="str">
        <f t="shared" si="80"/>
        <v>A</v>
      </c>
      <c r="MJ13" s="81"/>
      <c r="MK13" s="82"/>
      <c r="ML13" s="83"/>
      <c r="MM13" s="108" t="str">
        <f>IFERROR((((COUNTIF('Elève (6ème5)'!MJ13:ML13,"A"))*4)+((COUNTIF('Elève (6ème5)'!MJ13:ML13,"B"))*3)+((COUNTIF('Elève (6ème5)'!MJ13:ML13,"C"))*2)+((COUNTIF('Elève (6ème5)'!MJ13:ML13,"D"))*1))/(COUNTA(MJ13:ML13)),"")</f>
        <v/>
      </c>
      <c r="MN13" s="109" t="str">
        <f t="shared" si="81"/>
        <v/>
      </c>
      <c r="MO13" s="81"/>
      <c r="MP13" s="82"/>
      <c r="MQ13" s="83"/>
      <c r="MR13" s="108" t="str">
        <f>IFERROR((((COUNTIF('Elève (6ème5)'!MO13:MQ13,"A"))*4)+((COUNTIF('Elève (6ème5)'!MO13:MQ13,"B"))*3)+((COUNTIF('Elève (6ème5)'!MO13:MQ13,"C"))*2)+((COUNTIF('Elève (6ème5)'!MO13:MQ13,"D"))*1))/(COUNTA(MO13:MQ13)),"")</f>
        <v/>
      </c>
      <c r="MS13" s="139" t="str">
        <f t="shared" si="82"/>
        <v/>
      </c>
      <c r="MT13" s="178">
        <f>IF(COUNT(MH13,MM13,MR13)=0,"",SUM(MH13,MM13,MR13)/COUNT(MH13,MM13,MR13))</f>
        <v>4</v>
      </c>
      <c r="MU13" s="131" t="str">
        <f t="shared" si="83"/>
        <v>A</v>
      </c>
      <c r="MV13" s="156"/>
      <c r="MW13" s="157" t="s">
        <v>24</v>
      </c>
      <c r="MX13" s="158"/>
      <c r="MY13" s="108">
        <f>IFERROR((((COUNTIF('Elève (6ème5)'!MV13:MX13,"A"))*4)+((COUNTIF('Elève (6ème5)'!MV13:MX13,"B"))*3)+((COUNTIF('Elève (6ème5)'!MV13:MX13,"C"))*2)+((COUNTIF('Elève (6ème5)'!MV13:MX13,"D"))*1))/(COUNTA(MV13:MX13)),"")</f>
        <v>4</v>
      </c>
      <c r="MZ13" s="109" t="str">
        <f t="shared" si="84"/>
        <v>A</v>
      </c>
      <c r="NA13" s="81"/>
      <c r="NB13" s="82"/>
      <c r="NC13" s="83"/>
      <c r="ND13" s="108" t="str">
        <f>IFERROR((((COUNTIF('Elève (6ème5)'!NA13:NC13,"A"))*4)+((COUNTIF('Elève (6ème5)'!NA13:NC13,"B"))*3)+((COUNTIF('Elève (6ème5)'!NA13:NC13,"C"))*2)+((COUNTIF('Elève (6ème5)'!NA13:NC13,"D"))*1))/(COUNTA(NA13:NC13)),"")</f>
        <v/>
      </c>
      <c r="NE13" s="109" t="str">
        <f t="shared" si="85"/>
        <v/>
      </c>
      <c r="NF13" s="81"/>
      <c r="NG13" s="82"/>
      <c r="NH13" s="83"/>
      <c r="NI13" s="108" t="str">
        <f>IFERROR((((COUNTIF('Elève (6ème5)'!NF13:NH13,"A"))*4)+((COUNTIF('Elève (6ème5)'!NF13:NH13,"B"))*3)+((COUNTIF('Elève (6ème5)'!NF13:NH13,"C"))*2)+((COUNTIF('Elève (6ème5)'!NF13:NH13,"D"))*1))/(COUNTA(NF13:NH13)),"")</f>
        <v/>
      </c>
      <c r="NJ13" s="139" t="str">
        <f t="shared" si="86"/>
        <v/>
      </c>
      <c r="NK13" s="178">
        <f>IF(COUNT(MY13,ND13,NI13)=0,"",SUM(MY13,ND13,NI13)/COUNT(MY13,ND13,NI13))</f>
        <v>4</v>
      </c>
      <c r="NL13" s="131" t="str">
        <f t="shared" si="87"/>
        <v>A</v>
      </c>
      <c r="NM13" s="156"/>
      <c r="NN13" s="157" t="s">
        <v>24</v>
      </c>
      <c r="NO13" s="158"/>
      <c r="NP13" s="108">
        <f>IFERROR((((COUNTIF('Elève (6ème5)'!NM13:NO13,"A"))*4)+((COUNTIF('Elève (6ème5)'!NM13:NO13,"B"))*3)+((COUNTIF('Elève (6ème5)'!NM13:NO13,"C"))*2)+((COUNTIF('Elève (6ème5)'!NM13:NO13,"D"))*1))/(COUNTA(NM13:NO13)),"")</f>
        <v>4</v>
      </c>
      <c r="NQ13" s="109" t="str">
        <f t="shared" si="88"/>
        <v>A</v>
      </c>
      <c r="NR13" s="81"/>
      <c r="NS13" s="82"/>
      <c r="NT13" s="83"/>
      <c r="NU13" s="108" t="str">
        <f>IFERROR((((COUNTIF('Elève (6ème5)'!NR13:NT13,"A"))*4)+((COUNTIF('Elève (6ème5)'!NR13:NT13,"B"))*3)+((COUNTIF('Elève (6ème5)'!NR13:NT13,"C"))*2)+((COUNTIF('Elève (6ème5)'!NR13:NT13,"D"))*1))/(COUNTA(NR13:NT13)),"")</f>
        <v/>
      </c>
      <c r="NV13" s="109" t="str">
        <f t="shared" si="89"/>
        <v/>
      </c>
      <c r="NW13" s="81"/>
      <c r="NX13" s="82"/>
      <c r="NY13" s="83"/>
      <c r="NZ13" s="108" t="str">
        <f>IFERROR((((COUNTIF('Elève (6ème5)'!NW13:NY13,"A"))*4)+((COUNTIF('Elève (6ème5)'!NW13:NY13,"B"))*3)+((COUNTIF('Elève (6ème5)'!NW13:NY13,"C"))*2)+((COUNTIF('Elève (6ème5)'!NW13:NY13,"D"))*1))/(COUNTA(NW13:NY13)),"")</f>
        <v/>
      </c>
      <c r="OA13" s="139" t="str">
        <f t="shared" si="90"/>
        <v/>
      </c>
      <c r="OB13" s="178">
        <f>IF(COUNT(NP13,NU13,NZ13)=0,"",SUM(NP13,NU13,NZ13)/COUNT(NP13,NU13,NZ13))</f>
        <v>4</v>
      </c>
      <c r="OC13" s="131" t="str">
        <f t="shared" si="91"/>
        <v>A</v>
      </c>
      <c r="OD13" s="156"/>
      <c r="OE13" s="157"/>
      <c r="OF13" s="158"/>
      <c r="OG13" s="108" t="str">
        <f>IFERROR((((COUNTIF('Elève (6ème5)'!OD13:OF13,"A"))*4)+((COUNTIF('Elève (6ème5)'!OD13:OF13,"B"))*3)+((COUNTIF('Elève (6ème5)'!OD13:OF13,"C"))*2)+((COUNTIF('Elève (6ème5)'!OD13:OF13,"D"))*1))/(COUNTA(OD13:OF13)),"")</f>
        <v/>
      </c>
      <c r="OH13" s="109" t="str">
        <f t="shared" si="92"/>
        <v/>
      </c>
      <c r="OI13" s="81"/>
      <c r="OJ13" s="82"/>
      <c r="OK13" s="83"/>
      <c r="OL13" s="108" t="str">
        <f>IFERROR((((COUNTIF('Elève (6ème5)'!OI13:OK13,"A"))*4)+((COUNTIF('Elève (6ème5)'!OI13:OK13,"B"))*3)+((COUNTIF('Elève (6ème5)'!OI13:OK13,"C"))*2)+((COUNTIF('Elève (6ème5)'!OI13:OK13,"D"))*1))/(COUNTA(OI13:OK13)),"")</f>
        <v/>
      </c>
      <c r="OM13" s="109" t="str">
        <f t="shared" si="93"/>
        <v/>
      </c>
      <c r="ON13" s="81"/>
      <c r="OO13" s="82"/>
      <c r="OP13" s="83"/>
      <c r="OQ13" s="108" t="str">
        <f>IFERROR((((COUNTIF('Elève (6ème5)'!ON13:OP13,"A"))*4)+((COUNTIF('Elève (6ème5)'!ON13:OP13,"B"))*3)+((COUNTIF('Elève (6ème5)'!ON13:OP13,"C"))*2)+((COUNTIF('Elève (6ème5)'!ON13:OP13,"D"))*1))/(COUNTA(ON13:OP13)),"")</f>
        <v/>
      </c>
      <c r="OR13" s="139" t="str">
        <f t="shared" si="94"/>
        <v/>
      </c>
      <c r="OS13" s="178" t="str">
        <f>IF(COUNT(OG13,OL13,OQ13)=0,"",SUM(OG13,OL13,OQ13)/COUNT(OG13,OL13,OQ13))</f>
        <v/>
      </c>
      <c r="OT13" s="131" t="str">
        <f t="shared" si="95"/>
        <v/>
      </c>
      <c r="OU13" s="156"/>
      <c r="OV13" s="157" t="s">
        <v>24</v>
      </c>
      <c r="OW13" s="158"/>
      <c r="OX13" s="108">
        <f>IFERROR((((COUNTIF('Elève (6ème5)'!OU13:OW13,"A"))*4)+((COUNTIF('Elève (6ème5)'!OU13:OW13,"B"))*3)+((COUNTIF('Elève (6ème5)'!OU13:OW13,"C"))*2)+((COUNTIF('Elève (6ème5)'!OU13:OW13,"D"))*1))/(COUNTA(OU13:OW13)),"")</f>
        <v>4</v>
      </c>
      <c r="OY13" s="109" t="str">
        <f t="shared" si="96"/>
        <v>A</v>
      </c>
      <c r="OZ13" s="81"/>
      <c r="PA13" s="82"/>
      <c r="PB13" s="83"/>
      <c r="PC13" s="108" t="str">
        <f>IFERROR((((COUNTIF('Elève (6ème5)'!OZ13:PB13,"A"))*4)+((COUNTIF('Elève (6ème5)'!OZ13:PB13,"B"))*3)+((COUNTIF('Elève (6ème5)'!OZ13:PB13,"C"))*2)+((COUNTIF('Elève (6ème5)'!OZ13:PB13,"D"))*1))/(COUNTA(OZ13:PB13)),"")</f>
        <v/>
      </c>
      <c r="PD13" s="109" t="str">
        <f t="shared" si="97"/>
        <v/>
      </c>
      <c r="PE13" s="81"/>
      <c r="PF13" s="82"/>
      <c r="PG13" s="83"/>
      <c r="PH13" s="108" t="str">
        <f>IFERROR((((COUNTIF('Elève (6ème5)'!PE13:PG13,"A"))*4)+((COUNTIF('Elève (6ème5)'!PE13:PG13,"B"))*3)+((COUNTIF('Elève (6ème5)'!PE13:PG13,"C"))*2)+((COUNTIF('Elève (6ème5)'!PE13:PG13,"D"))*1))/(COUNTA(PE13:PG13)),"")</f>
        <v/>
      </c>
      <c r="PI13" s="139" t="str">
        <f t="shared" si="98"/>
        <v/>
      </c>
      <c r="PJ13" s="178">
        <f>IF(COUNT(OX13,PC13,PH13)=0,"",SUM(OX13,PC13,PH13)/COUNT(OX13,PC13,PH13))</f>
        <v>4</v>
      </c>
      <c r="PK13" s="131" t="str">
        <f t="shared" si="99"/>
        <v>A</v>
      </c>
      <c r="PL13" s="156"/>
      <c r="PM13" s="157" t="s">
        <v>25</v>
      </c>
      <c r="PN13" s="158"/>
      <c r="PO13" s="108">
        <f>IFERROR((((COUNTIF('Elève (6ème5)'!PL13:PN13,"A"))*4)+((COUNTIF('Elève (6ème5)'!PL13:PN13,"B"))*3)+((COUNTIF('Elève (6ème5)'!PL13:PN13,"C"))*2)+((COUNTIF('Elève (6ème5)'!PL13:PN13,"D"))*1))/(COUNTA(PL13:PN13)),"")</f>
        <v>3</v>
      </c>
      <c r="PP13" s="109" t="str">
        <f t="shared" si="100"/>
        <v>B</v>
      </c>
      <c r="PQ13" s="81"/>
      <c r="PR13" s="82"/>
      <c r="PS13" s="83"/>
      <c r="PT13" s="108" t="str">
        <f>IFERROR((((COUNTIF('Elève (6ème5)'!PQ13:PS13,"A"))*4)+((COUNTIF('Elève (6ème5)'!PQ13:PS13,"B"))*3)+((COUNTIF('Elève (6ème5)'!PQ13:PS13,"C"))*2)+((COUNTIF('Elève (6ème5)'!PQ13:PS13,"D"))*1))/(COUNTA(PQ13:PS13)),"")</f>
        <v/>
      </c>
      <c r="PU13" s="109" t="str">
        <f t="shared" si="101"/>
        <v/>
      </c>
      <c r="PV13" s="81"/>
      <c r="PW13" s="82"/>
      <c r="PX13" s="83"/>
      <c r="PY13" s="108" t="str">
        <f>IFERROR((((COUNTIF('Elève (6ème5)'!PV13:PX13,"A"))*4)+((COUNTIF('Elève (6ème5)'!PV13:PX13,"B"))*3)+((COUNTIF('Elève (6ème5)'!PV13:PX13,"C"))*2)+((COUNTIF('Elève (6ème5)'!PV13:PX13,"D"))*1))/(COUNTA(PV13:PX13)),"")</f>
        <v/>
      </c>
      <c r="PZ13" s="139" t="str">
        <f t="shared" si="102"/>
        <v/>
      </c>
      <c r="QA13" s="178">
        <f>IF(COUNT(PO13,PT13,PY13)=0,"",SUM(PO13,PT13,PY13)/COUNT(PO13,PT13,PY13))</f>
        <v>3</v>
      </c>
      <c r="QB13" s="131" t="str">
        <f t="shared" si="103"/>
        <v>B</v>
      </c>
      <c r="QC13" s="156"/>
      <c r="QD13" s="157" t="s">
        <v>24</v>
      </c>
      <c r="QE13" s="158"/>
      <c r="QF13" s="108">
        <f>IFERROR((((COUNTIF('Elève (6ème5)'!QC13:QE13,"A"))*4)+((COUNTIF('Elève (6ème5)'!QC13:QE13,"B"))*3)+((COUNTIF('Elève (6ème5)'!QC13:QE13,"C"))*2)+((COUNTIF('Elève (6ème5)'!QC13:QE13,"D"))*1))/(COUNTA(QC13:QE13)),"")</f>
        <v>4</v>
      </c>
      <c r="QG13" s="109" t="str">
        <f t="shared" si="104"/>
        <v>A</v>
      </c>
      <c r="QH13" s="81"/>
      <c r="QI13" s="82"/>
      <c r="QJ13" s="83"/>
      <c r="QK13" s="108" t="str">
        <f>IFERROR((((COUNTIF('Elève (6ème5)'!QH13:QJ13,"A"))*4)+((COUNTIF('Elève (6ème5)'!QH13:QJ13,"B"))*3)+((COUNTIF('Elève (6ème5)'!QH13:QJ13,"C"))*2)+((COUNTIF('Elève (6ème5)'!QH13:QJ13,"D"))*1))/(COUNTA(QH13:QJ13)),"")</f>
        <v/>
      </c>
      <c r="QL13" s="109" t="str">
        <f t="shared" si="105"/>
        <v/>
      </c>
      <c r="QM13" s="81"/>
      <c r="QN13" s="82"/>
      <c r="QO13" s="83"/>
      <c r="QP13" s="108" t="str">
        <f>IFERROR((((COUNTIF('Elève (6ème5)'!QM13:QO13,"A"))*4)+((COUNTIF('Elève (6ème5)'!QM13:QO13,"B"))*3)+((COUNTIF('Elève (6ème5)'!QM13:QO13,"C"))*2)+((COUNTIF('Elève (6ème5)'!QM13:QO13,"D"))*1))/(COUNTA(QM13:QO13)),"")</f>
        <v/>
      </c>
      <c r="QQ13" s="139" t="str">
        <f t="shared" si="106"/>
        <v/>
      </c>
      <c r="QR13" s="178">
        <f>IF(COUNT(QF13,QK13,QP13)=0,"",SUM(QF13,QK13,QP13)/COUNT(QF13,QK13,QP13))</f>
        <v>4</v>
      </c>
      <c r="QS13" s="131" t="str">
        <f t="shared" si="107"/>
        <v>A</v>
      </c>
      <c r="QT13" s="156"/>
      <c r="QU13" s="157" t="s">
        <v>24</v>
      </c>
      <c r="QV13" s="158"/>
      <c r="QW13" s="108">
        <f>IFERROR((((COUNTIF('Elève (6ème5)'!QT13:QV13,"A"))*4)+((COUNTIF('Elève (6ème5)'!QT13:QV13,"B"))*3)+((COUNTIF('Elève (6ème5)'!QT13:QV13,"C"))*2)+((COUNTIF('Elève (6ème5)'!QT13:QV13,"D"))*1))/(COUNTA(QT13:QV13)),"")</f>
        <v>4</v>
      </c>
      <c r="QX13" s="109" t="str">
        <f t="shared" si="108"/>
        <v>A</v>
      </c>
      <c r="QY13" s="81"/>
      <c r="QZ13" s="82"/>
      <c r="RA13" s="83"/>
      <c r="RB13" s="108" t="str">
        <f>IFERROR((((COUNTIF('Elève (6ème5)'!QY13:RA13,"A"))*4)+((COUNTIF('Elève (6ème5)'!QY13:RA13,"B"))*3)+((COUNTIF('Elève (6ème5)'!QY13:RA13,"C"))*2)+((COUNTIF('Elève (6ème5)'!QY13:RA13,"D"))*1))/(COUNTA(QY13:RA13)),"")</f>
        <v/>
      </c>
      <c r="RC13" s="109" t="str">
        <f t="shared" si="109"/>
        <v/>
      </c>
      <c r="RD13" s="81"/>
      <c r="RE13" s="82"/>
      <c r="RF13" s="83"/>
      <c r="RG13" s="108" t="str">
        <f>IFERROR((((COUNTIF('Elève (6ème5)'!RD13:RF13,"A"))*4)+((COUNTIF('Elève (6ème5)'!RD13:RF13,"B"))*3)+((COUNTIF('Elève (6ème5)'!RD13:RF13,"C"))*2)+((COUNTIF('Elève (6ème5)'!RD13:RF13,"D"))*1))/(COUNTA(RD13:RF13)),"")</f>
        <v/>
      </c>
      <c r="RH13" s="139" t="str">
        <f t="shared" si="110"/>
        <v/>
      </c>
      <c r="RI13" s="178">
        <f>IF(COUNT(QW13,RB13,RG13)=0,"",SUM(QW13,RB13,RG13)/COUNT(QW13,RB13,RG13))</f>
        <v>4</v>
      </c>
      <c r="RJ13" s="131" t="str">
        <f t="shared" si="111"/>
        <v>A</v>
      </c>
      <c r="RK13" s="156"/>
      <c r="RL13" s="157"/>
      <c r="RM13" s="158"/>
      <c r="RN13" s="108" t="str">
        <f>IFERROR((((COUNTIF('Elève (6ème5)'!RK13:RM13,"A"))*4)+((COUNTIF('Elève (6ème5)'!RK13:RM13,"B"))*3)+((COUNTIF('Elève (6ème5)'!RK13:RM13,"C"))*2)+((COUNTIF('Elève (6ème5)'!RK13:RM13,"D"))*1))/(COUNTA(RK13:RM13)),"")</f>
        <v/>
      </c>
      <c r="RO13" s="109" t="str">
        <f t="shared" si="112"/>
        <v/>
      </c>
      <c r="RP13" s="81"/>
      <c r="RQ13" s="82"/>
      <c r="RR13" s="83"/>
      <c r="RS13" s="108" t="str">
        <f>IFERROR((((COUNTIF('Elève (6ème5)'!RP13:RR13,"A"))*4)+((COUNTIF('Elève (6ème5)'!RP13:RR13,"B"))*3)+((COUNTIF('Elève (6ème5)'!RP13:RR13,"C"))*2)+((COUNTIF('Elève (6ème5)'!RP13:RR13,"D"))*1))/(COUNTA(RP13:RR13)),"")</f>
        <v/>
      </c>
      <c r="RT13" s="109" t="str">
        <f t="shared" si="113"/>
        <v/>
      </c>
      <c r="RU13" s="81"/>
      <c r="RV13" s="82"/>
      <c r="RW13" s="83"/>
      <c r="RX13" s="108" t="str">
        <f>IFERROR((((COUNTIF('Elève (6ème5)'!RU13:RW13,"A"))*4)+((COUNTIF('Elève (6ème5)'!RU13:RW13,"B"))*3)+((COUNTIF('Elève (6ème5)'!RU13:RW13,"C"))*2)+((COUNTIF('Elève (6ème5)'!RU13:RW13,"D"))*1))/(COUNTA(RU13:RW13)),"")</f>
        <v/>
      </c>
      <c r="RY13" s="139" t="str">
        <f t="shared" si="114"/>
        <v/>
      </c>
      <c r="RZ13" s="178" t="str">
        <f>IF(COUNT(RN13,RS13,RX13)=0,"",SUM(RN13,RS13,RX13)/COUNT(RN13,RS13,RX13))</f>
        <v/>
      </c>
      <c r="SA13" s="131" t="str">
        <f t="shared" si="115"/>
        <v/>
      </c>
      <c r="SB13" s="156"/>
      <c r="SC13" s="157"/>
      <c r="SD13" s="158"/>
      <c r="SE13" s="108" t="str">
        <f>IFERROR((((COUNTIF('Elève (6ème5)'!SB13:SD13,"A"))*4)+((COUNTIF('Elève (6ème5)'!SB13:SD13,"B"))*3)+((COUNTIF('Elève (6ème5)'!SB13:SD13,"C"))*2)+((COUNTIF('Elève (6ème5)'!SB13:SD13,"D"))*1))/(COUNTA(SB13:SD13)),"")</f>
        <v/>
      </c>
      <c r="SF13" s="109" t="str">
        <f t="shared" si="116"/>
        <v/>
      </c>
      <c r="SG13" s="81"/>
      <c r="SH13" s="82"/>
      <c r="SI13" s="83"/>
      <c r="SJ13" s="108" t="str">
        <f>IFERROR((((COUNTIF('Elève (6ème5)'!SG13:SI13,"A"))*4)+((COUNTIF('Elève (6ème5)'!SG13:SI13,"B"))*3)+((COUNTIF('Elève (6ème5)'!SG13:SI13,"C"))*2)+((COUNTIF('Elève (6ème5)'!SG13:SI13,"D"))*1))/(COUNTA(SG13:SI13)),"")</f>
        <v/>
      </c>
      <c r="SK13" s="109" t="str">
        <f t="shared" si="117"/>
        <v/>
      </c>
      <c r="SL13" s="81"/>
      <c r="SM13" s="82"/>
      <c r="SN13" s="83"/>
      <c r="SO13" s="108" t="str">
        <f>IFERROR((((COUNTIF('Elève (6ème5)'!SL13:SN13,"A"))*4)+((COUNTIF('Elève (6ème5)'!SL13:SN13,"B"))*3)+((COUNTIF('Elève (6ème5)'!SL13:SN13,"C"))*2)+((COUNTIF('Elève (6ème5)'!SL13:SN13,"D"))*1))/(COUNTA(SL13:SN13)),"")</f>
        <v/>
      </c>
      <c r="SP13" s="139" t="str">
        <f t="shared" si="118"/>
        <v/>
      </c>
      <c r="SQ13" s="178" t="str">
        <f>IF(COUNT(SE13,SJ13,SO13)=0,"",SUM(SE13,SJ13,SO13)/COUNT(SE13,SJ13,SO13))</f>
        <v/>
      </c>
      <c r="SR13" s="131" t="str">
        <f t="shared" si="119"/>
        <v/>
      </c>
    </row>
    <row r="14" spans="1:512" s="77" customFormat="1" ht="16.5" customHeight="1" thickBot="1" x14ac:dyDescent="0.3">
      <c r="A14" s="96" t="s">
        <v>17</v>
      </c>
      <c r="B14" s="88">
        <v>2</v>
      </c>
      <c r="C14" s="152"/>
      <c r="D14" s="185"/>
      <c r="E14" s="185"/>
      <c r="F14" s="106">
        <f>IFERROR((((COUNTIF('Elève (6ème5)'!C15:E17,"A"))*4)+((COUNTIF('Elève (6ème5)'!C15:E17,"B"))*3)+((COUNTIF('Elève (6ème5)'!C15:E17,"C"))*2)+((COUNTIF('Elève (6ème5)'!C15:E17,"D"))*1))/(COUNTA(C15:E17)),"")</f>
        <v>3</v>
      </c>
      <c r="G14" s="107" t="str">
        <f t="shared" si="0"/>
        <v>B</v>
      </c>
      <c r="H14" s="204"/>
      <c r="I14" s="186"/>
      <c r="J14" s="205"/>
      <c r="K14" s="106" t="str">
        <f>IFERROR((((COUNTIF('Elève (6ème5)'!H15:J17,"A"))*4)+((COUNTIF('Elève (6ème5)'!H15:J17,"B"))*3)+((COUNTIF('Elève (6ème5)'!H15:J17,"C"))*2)+((COUNTIF('Elève (6ème5)'!H15:J17,"D"))*1))/(COUNTA(H15:J17)),"")</f>
        <v/>
      </c>
      <c r="L14" s="121" t="str">
        <f t="shared" si="1"/>
        <v/>
      </c>
      <c r="M14" s="100"/>
      <c r="N14" s="187"/>
      <c r="O14" s="188"/>
      <c r="P14" s="106" t="str">
        <f>IFERROR((((COUNTIF('Elève (6ème5)'!M15:O17,"A"))*4)+((COUNTIF('Elève (6ème5)'!M15:O17,"B"))*3)+((COUNTIF('Elève (6ème5)'!M15:O17,"C"))*2)+((COUNTIF('Elève (6ème5)'!M15:O17,"D"))*1))/(COUNTA(M15:O17)),"")</f>
        <v/>
      </c>
      <c r="Q14" s="128" t="str">
        <f t="shared" si="2"/>
        <v/>
      </c>
      <c r="R14" s="177">
        <f>IFERROR((((COUNTIF(C15:E17,"A")+COUNTIF(H15:J17,"A")+COUNTIF(M15:O17,"A"))*4)+((COUNTIF(C15:E17,"B")+COUNTIF(H15:J17,"B")+COUNTIF(M15:O17,"B"))*3)+((COUNTIF(C15:E17,"C")+COUNTIF(H15:J17,"C")+COUNTIF(M15:O17,"C"))*2)+((COUNTIF(C15:E17,"D")+COUNTIF(H15:J17,"D")+COUNTIF(M15:O17,"D"))*1))/(COUNTA(C15:E17)+COUNTA(H15:J17)+COUNTA(M15:O17)),"")</f>
        <v>3</v>
      </c>
      <c r="S14" s="130" t="str">
        <f t="shared" si="3"/>
        <v>B</v>
      </c>
      <c r="T14" s="152"/>
      <c r="U14" s="185"/>
      <c r="V14" s="185"/>
      <c r="W14" s="106">
        <f>IFERROR((((COUNTIF('Elève (6ème5)'!T15:V17,"A"))*4)+((COUNTIF('Elève (6ème5)'!T15:V17,"B"))*3)+((COUNTIF('Elève (6ème5)'!T15:V17,"C"))*2)+((COUNTIF('Elève (6ème5)'!T15:V17,"D"))*1))/(COUNTA(T15:V17)),"")</f>
        <v>2</v>
      </c>
      <c r="X14" s="107" t="str">
        <f t="shared" si="4"/>
        <v>C</v>
      </c>
      <c r="Y14" s="204"/>
      <c r="Z14" s="186"/>
      <c r="AA14" s="205"/>
      <c r="AB14" s="106" t="str">
        <f>IFERROR((((COUNTIF('Elève (6ème5)'!Y15:AA17,"A"))*4)+((COUNTIF('Elève (6ème5)'!Y15:AA17,"B"))*3)+((COUNTIF('Elève (6ème5)'!Y15:AA17,"C"))*2)+((COUNTIF('Elève (6ème5)'!Y15:AA17,"D"))*1))/(COUNTA(Y15:AA17)),"")</f>
        <v/>
      </c>
      <c r="AC14" s="121" t="str">
        <f t="shared" si="5"/>
        <v/>
      </c>
      <c r="AD14" s="100"/>
      <c r="AE14" s="187"/>
      <c r="AF14" s="188"/>
      <c r="AG14" s="106" t="str">
        <f>IFERROR((((COUNTIF('Elève (6ème5)'!AD15:AF17,"A"))*4)+((COUNTIF('Elève (6ème5)'!AD15:AF17,"B"))*3)+((COUNTIF('Elève (6ème5)'!AD15:AF17,"C"))*2)+((COUNTIF('Elève (6ème5)'!AD15:AF17,"D"))*1))/(COUNTA(AD15:AF17)),"")</f>
        <v/>
      </c>
      <c r="AH14" s="128" t="str">
        <f t="shared" si="6"/>
        <v/>
      </c>
      <c r="AI14" s="177">
        <f>IFERROR((((COUNTIF(T15:V17,"A")+COUNTIF(Y15:AA17,"A")+COUNTIF(AD15:AF17,"A"))*4)+((COUNTIF(T15:V17,"B")+COUNTIF(Y15:AA17,"B")+COUNTIF(AD15:AF17,"B"))*3)+((COUNTIF(T15:V17,"C")+COUNTIF(Y15:AA17,"C")+COUNTIF(AD15:AF17,"C"))*2)+((COUNTIF(T15:V17,"D")+COUNTIF(Y15:AA17,"D")+COUNTIF(AD15:AF17,"D"))*1))/(COUNTA(T15:V17)+COUNTA(Y15:AA17)+COUNTA(AD15:AF17)),"")</f>
        <v>2</v>
      </c>
      <c r="AJ14" s="130" t="str">
        <f t="shared" si="7"/>
        <v>C</v>
      </c>
      <c r="AK14" s="152"/>
      <c r="AL14" s="185"/>
      <c r="AM14" s="185"/>
      <c r="AN14" s="106">
        <f>IFERROR((((COUNTIF('Elève (6ème5)'!AK15:AM17,"A"))*4)+((COUNTIF('Elève (6ème5)'!AK15:AM17,"B"))*3)+((COUNTIF('Elève (6ème5)'!AK15:AM17,"C"))*2)+((COUNTIF('Elève (6ème5)'!AK15:AM17,"D"))*1))/(COUNTA(AK15:AM17)),"")</f>
        <v>4</v>
      </c>
      <c r="AO14" s="107" t="str">
        <f t="shared" si="8"/>
        <v>A</v>
      </c>
      <c r="AP14" s="204"/>
      <c r="AQ14" s="186"/>
      <c r="AR14" s="205"/>
      <c r="AS14" s="106" t="str">
        <f>IFERROR((((COUNTIF('Elève (6ème5)'!AP15:AR17,"A"))*4)+((COUNTIF('Elève (6ème5)'!AP15:AR17,"B"))*3)+((COUNTIF('Elève (6ème5)'!AP15:AR17,"C"))*2)+((COUNTIF('Elève (6ème5)'!AP15:AR17,"D"))*1))/(COUNTA(AP15:AR17)),"")</f>
        <v/>
      </c>
      <c r="AT14" s="121" t="str">
        <f t="shared" si="9"/>
        <v/>
      </c>
      <c r="AU14" s="100"/>
      <c r="AV14" s="187"/>
      <c r="AW14" s="188"/>
      <c r="AX14" s="106" t="str">
        <f>IFERROR((((COUNTIF('Elève (6ème5)'!AU15:AW17,"A"))*4)+((COUNTIF('Elève (6ème5)'!AU15:AW17,"B"))*3)+((COUNTIF('Elève (6ème5)'!AU15:AW17,"C"))*2)+((COUNTIF('Elève (6ème5)'!AU15:AW17,"D"))*1))/(COUNTA(AU15:AW17)),"")</f>
        <v/>
      </c>
      <c r="AY14" s="128" t="str">
        <f t="shared" si="10"/>
        <v/>
      </c>
      <c r="AZ14" s="177">
        <f>IFERROR((((COUNTIF(AK15:AM17,"A")+COUNTIF(AP15:AR17,"A")+COUNTIF(AU15:AW17,"A"))*4)+((COUNTIF(AK15:AM17,"B")+COUNTIF(AP15:AR17,"B")+COUNTIF(AU15:AW17,"B"))*3)+((COUNTIF(AK15:AM17,"C")+COUNTIF(AP15:AR17,"C")+COUNTIF(AU15:AW17,"C"))*2)+((COUNTIF(AK15:AM17,"D")+COUNTIF(AP15:AR17,"D")+COUNTIF(AU15:AW17,"D"))*1))/(COUNTA(AK15:AM17)+COUNTA(AP15:AR17)+COUNTA(AU15:AW17)),"")</f>
        <v>4</v>
      </c>
      <c r="BA14" s="130" t="str">
        <f t="shared" si="11"/>
        <v>A</v>
      </c>
      <c r="BB14" s="152"/>
      <c r="BC14" s="185"/>
      <c r="BD14" s="185"/>
      <c r="BE14" s="106">
        <f>IFERROR((((COUNTIF('Elève (6ème5)'!BB15:BD17,"A"))*4)+((COUNTIF('Elève (6ème5)'!BB15:BD17,"B"))*3)+((COUNTIF('Elève (6ème5)'!BB15:BD17,"C"))*2)+((COUNTIF('Elève (6ème5)'!BB15:BD17,"D"))*1))/(COUNTA(BB15:BD17)),"")</f>
        <v>2</v>
      </c>
      <c r="BF14" s="107" t="str">
        <f t="shared" si="12"/>
        <v>C</v>
      </c>
      <c r="BG14" s="204"/>
      <c r="BH14" s="186"/>
      <c r="BI14" s="205"/>
      <c r="BJ14" s="106" t="str">
        <f>IFERROR((((COUNTIF('Elève (6ème5)'!BG15:BI17,"A"))*4)+((COUNTIF('Elève (6ème5)'!BG15:BI17,"B"))*3)+((COUNTIF('Elève (6ème5)'!BG15:BI17,"C"))*2)+((COUNTIF('Elève (6ème5)'!BG15:BI17,"D"))*1))/(COUNTA(BG15:BI17)),"")</f>
        <v/>
      </c>
      <c r="BK14" s="121" t="str">
        <f t="shared" si="13"/>
        <v/>
      </c>
      <c r="BL14" s="100"/>
      <c r="BM14" s="187"/>
      <c r="BN14" s="188"/>
      <c r="BO14" s="106" t="str">
        <f>IFERROR((((COUNTIF('Elève (6ème5)'!BL15:BN17,"A"))*4)+((COUNTIF('Elève (6ème5)'!BL15:BN17,"B"))*3)+((COUNTIF('Elève (6ème5)'!BL15:BN17,"C"))*2)+((COUNTIF('Elève (6ème5)'!BL15:BN17,"D"))*1))/(COUNTA(BL15:BN17)),"")</f>
        <v/>
      </c>
      <c r="BP14" s="128" t="str">
        <f t="shared" si="14"/>
        <v/>
      </c>
      <c r="BQ14" s="177">
        <f>IFERROR((((COUNTIF(BB15:BD17,"A")+COUNTIF(BG15:BI17,"A")+COUNTIF(BL15:BN17,"A"))*4)+((COUNTIF(BB15:BD17,"B")+COUNTIF(BG15:BI17,"B")+COUNTIF(BL15:BN17,"B"))*3)+((COUNTIF(BB15:BD17,"C")+COUNTIF(BG15:BI17,"C")+COUNTIF(BL15:BN17,"C"))*2)+((COUNTIF(BB15:BD17,"D")+COUNTIF(BG15:BI17,"D")+COUNTIF(BL15:BN17,"D"))*1))/(COUNTA(BB15:BD17)+COUNTA(BG15:BI17)+COUNTA(BL15:BN17)),"")</f>
        <v>2</v>
      </c>
      <c r="BR14" s="130" t="str">
        <f t="shared" si="15"/>
        <v>C</v>
      </c>
      <c r="BS14" s="152"/>
      <c r="BT14" s="185"/>
      <c r="BU14" s="185"/>
      <c r="BV14" s="106">
        <f>IFERROR((((COUNTIF('Elève (6ème5)'!BS15:BU17,"A"))*4)+((COUNTIF('Elève (6ème5)'!BS15:BU17,"B"))*3)+((COUNTIF('Elève (6ème5)'!BS15:BU17,"C"))*2)+((COUNTIF('Elève (6ème5)'!BS15:BU17,"D"))*1))/(COUNTA(BS15:BU17)),"")</f>
        <v>3</v>
      </c>
      <c r="BW14" s="107" t="str">
        <f t="shared" si="16"/>
        <v>B</v>
      </c>
      <c r="BX14" s="204"/>
      <c r="BY14" s="186"/>
      <c r="BZ14" s="205"/>
      <c r="CA14" s="106" t="str">
        <f>IFERROR((((COUNTIF('Elève (6ème5)'!BX15:BZ17,"A"))*4)+((COUNTIF('Elève (6ème5)'!BX15:BZ17,"B"))*3)+((COUNTIF('Elève (6ème5)'!BX15:BZ17,"C"))*2)+((COUNTIF('Elève (6ème5)'!BX15:BZ17,"D"))*1))/(COUNTA(BX15:BZ17)),"")</f>
        <v/>
      </c>
      <c r="CB14" s="121" t="str">
        <f t="shared" si="17"/>
        <v/>
      </c>
      <c r="CC14" s="100"/>
      <c r="CD14" s="187"/>
      <c r="CE14" s="188"/>
      <c r="CF14" s="106" t="str">
        <f>IFERROR((((COUNTIF('Elève (6ème5)'!CC15:CE17,"A"))*4)+((COUNTIF('Elève (6ème5)'!CC15:CE17,"B"))*3)+((COUNTIF('Elève (6ème5)'!CC15:CE17,"C"))*2)+((COUNTIF('Elève (6ème5)'!CC15:CE17,"D"))*1))/(COUNTA(CC15:CE17)),"")</f>
        <v/>
      </c>
      <c r="CG14" s="128" t="str">
        <f t="shared" si="18"/>
        <v/>
      </c>
      <c r="CH14" s="177">
        <f>IFERROR((((COUNTIF(BS15:BU17,"A")+COUNTIF(BX15:BZ17,"A")+COUNTIF(CC15:CE17,"A"))*4)+((COUNTIF(BS15:BU17,"B")+COUNTIF(BX15:BZ17,"B")+COUNTIF(CC15:CE17,"B"))*3)+((COUNTIF(BS15:BU17,"C")+COUNTIF(BX15:BZ17,"C")+COUNTIF(CC15:CE17,"C"))*2)+((COUNTIF(BS15:BU17,"D")+COUNTIF(BX15:BZ17,"D")+COUNTIF(CC15:CE17,"D"))*1))/(COUNTA(BS15:BU17)+COUNTA(BX15:BZ17)+COUNTA(CC15:CE17)),"")</f>
        <v>3</v>
      </c>
      <c r="CI14" s="130" t="str">
        <f t="shared" si="19"/>
        <v>B</v>
      </c>
      <c r="CJ14" s="152"/>
      <c r="CK14" s="185"/>
      <c r="CL14" s="185"/>
      <c r="CM14" s="106">
        <f>IFERROR((((COUNTIF('Elève (6ème5)'!CJ15:CL17,"A"))*4)+((COUNTIF('Elève (6ème5)'!CJ15:CL17,"B"))*3)+((COUNTIF('Elève (6ème5)'!CJ15:CL17,"C"))*2)+((COUNTIF('Elève (6ème5)'!CJ15:CL17,"D"))*1))/(COUNTA(CJ15:CL17)),"")</f>
        <v>1</v>
      </c>
      <c r="CN14" s="107" t="str">
        <f t="shared" si="20"/>
        <v>D</v>
      </c>
      <c r="CO14" s="204"/>
      <c r="CP14" s="186"/>
      <c r="CQ14" s="205"/>
      <c r="CR14" s="106" t="str">
        <f>IFERROR((((COUNTIF('Elève (6ème5)'!CO15:CQ17,"A"))*4)+((COUNTIF('Elève (6ème5)'!CO15:CQ17,"B"))*3)+((COUNTIF('Elève (6ème5)'!CO15:CQ17,"C"))*2)+((COUNTIF('Elève (6ème5)'!CO15:CQ17,"D"))*1))/(COUNTA(CO15:CQ17)),"")</f>
        <v/>
      </c>
      <c r="CS14" s="121" t="str">
        <f t="shared" si="21"/>
        <v/>
      </c>
      <c r="CT14" s="100"/>
      <c r="CU14" s="187"/>
      <c r="CV14" s="188"/>
      <c r="CW14" s="106" t="str">
        <f>IFERROR((((COUNTIF('Elève (6ème5)'!CT15:CV17,"A"))*4)+((COUNTIF('Elève (6ème5)'!CT15:CV17,"B"))*3)+((COUNTIF('Elève (6ème5)'!CT15:CV17,"C"))*2)+((COUNTIF('Elève (6ème5)'!CT15:CV17,"D"))*1))/(COUNTA(CT15:CV17)),"")</f>
        <v/>
      </c>
      <c r="CX14" s="128" t="str">
        <f t="shared" si="22"/>
        <v/>
      </c>
      <c r="CY14" s="177">
        <f>IFERROR((((COUNTIF(CJ15:CL17,"A")+COUNTIF(CO15:CQ17,"A")+COUNTIF(CT15:CV17,"A"))*4)+((COUNTIF(CJ15:CL17,"B")+COUNTIF(CO15:CQ17,"B")+COUNTIF(CT15:CV17,"B"))*3)+((COUNTIF(CJ15:CL17,"C")+COUNTIF(CO15:CQ17,"C")+COUNTIF(CT15:CV17,"C"))*2)+((COUNTIF(CJ15:CL17,"D")+COUNTIF(CO15:CQ17,"D")+COUNTIF(CT15:CV17,"D"))*1))/(COUNTA(CJ15:CL17)+COUNTA(CO15:CQ17)+COUNTA(CT15:CV17)),"")</f>
        <v>1</v>
      </c>
      <c r="CZ14" s="130" t="str">
        <f t="shared" si="23"/>
        <v>D</v>
      </c>
      <c r="DA14" s="152"/>
      <c r="DB14" s="185"/>
      <c r="DC14" s="185"/>
      <c r="DD14" s="106">
        <f>IFERROR((((COUNTIF('Elève (6ème5)'!DA15:DC17,"A"))*4)+((COUNTIF('Elève (6ème5)'!DA15:DC17,"B"))*3)+((COUNTIF('Elève (6ème5)'!DA15:DC17,"C"))*2)+((COUNTIF('Elève (6ème5)'!DA15:DC17,"D"))*1))/(COUNTA(DA15:DC17)),"")</f>
        <v>2</v>
      </c>
      <c r="DE14" s="107" t="str">
        <f t="shared" si="24"/>
        <v>C</v>
      </c>
      <c r="DF14" s="204"/>
      <c r="DG14" s="186"/>
      <c r="DH14" s="205"/>
      <c r="DI14" s="106" t="str">
        <f>IFERROR((((COUNTIF('Elève (6ème5)'!DF15:DH17,"A"))*4)+((COUNTIF('Elève (6ème5)'!DF15:DH17,"B"))*3)+((COUNTIF('Elève (6ème5)'!DF15:DH17,"C"))*2)+((COUNTIF('Elève (6ème5)'!DF15:DH17,"D"))*1))/(COUNTA(DF15:DH17)),"")</f>
        <v/>
      </c>
      <c r="DJ14" s="121" t="str">
        <f t="shared" si="25"/>
        <v/>
      </c>
      <c r="DK14" s="100"/>
      <c r="DL14" s="187"/>
      <c r="DM14" s="188"/>
      <c r="DN14" s="106" t="str">
        <f>IFERROR((((COUNTIF('Elève (6ème5)'!DK15:DM17,"A"))*4)+((COUNTIF('Elève (6ème5)'!DK15:DM17,"B"))*3)+((COUNTIF('Elève (6ème5)'!DK15:DM17,"C"))*2)+((COUNTIF('Elève (6ème5)'!DK15:DM17,"D"))*1))/(COUNTA(DK15:DM17)),"")</f>
        <v/>
      </c>
      <c r="DO14" s="128" t="str">
        <f t="shared" si="26"/>
        <v/>
      </c>
      <c r="DP14" s="177">
        <f>IFERROR((((COUNTIF(DA15:DC17,"A")+COUNTIF(DF15:DH17,"A")+COUNTIF(DK15:DM17,"A"))*4)+((COUNTIF(DA15:DC17,"B")+COUNTIF(DF15:DH17,"B")+COUNTIF(DK15:DM17,"B"))*3)+((COUNTIF(DA15:DC17,"C")+COUNTIF(DF15:DH17,"C")+COUNTIF(DK15:DM17,"C"))*2)+((COUNTIF(DA15:DC17,"D")+COUNTIF(DF15:DH17,"D")+COUNTIF(DK15:DM17,"D"))*1))/(COUNTA(DA15:DC17)+COUNTA(DF15:DH17)+COUNTA(DK15:DM17)),"")</f>
        <v>2</v>
      </c>
      <c r="DQ14" s="130" t="str">
        <f t="shared" si="27"/>
        <v>C</v>
      </c>
      <c r="DR14" s="152"/>
      <c r="DS14" s="185"/>
      <c r="DT14" s="185"/>
      <c r="DU14" s="106">
        <f>IFERROR((((COUNTIF('Elève (6ème5)'!DR15:DT17,"A"))*4)+((COUNTIF('Elève (6ème5)'!DR15:DT17,"B"))*3)+((COUNTIF('Elève (6ème5)'!DR15:DT17,"C"))*2)+((COUNTIF('Elève (6ème5)'!DR15:DT17,"D"))*1))/(COUNTA(DR15:DT17)),"")</f>
        <v>2</v>
      </c>
      <c r="DV14" s="107" t="str">
        <f t="shared" si="28"/>
        <v>C</v>
      </c>
      <c r="DW14" s="204"/>
      <c r="DX14" s="186"/>
      <c r="DY14" s="205"/>
      <c r="DZ14" s="106" t="str">
        <f>IFERROR((((COUNTIF('Elève (6ème5)'!DW15:DY17,"A"))*4)+((COUNTIF('Elève (6ème5)'!DW15:DY17,"B"))*3)+((COUNTIF('Elève (6ème5)'!DW15:DY17,"C"))*2)+((COUNTIF('Elève (6ème5)'!DW15:DY17,"D"))*1))/(COUNTA(DW15:DY17)),"")</f>
        <v/>
      </c>
      <c r="EA14" s="121" t="str">
        <f t="shared" si="29"/>
        <v/>
      </c>
      <c r="EB14" s="100"/>
      <c r="EC14" s="187"/>
      <c r="ED14" s="188"/>
      <c r="EE14" s="106" t="str">
        <f>IFERROR((((COUNTIF('Elève (6ème5)'!EB15:ED17,"A"))*4)+((COUNTIF('Elève (6ème5)'!EB15:ED17,"B"))*3)+((COUNTIF('Elève (6ème5)'!EB15:ED17,"C"))*2)+((COUNTIF('Elève (6ème5)'!EB15:ED17,"D"))*1))/(COUNTA(EB15:ED17)),"")</f>
        <v/>
      </c>
      <c r="EF14" s="128" t="str">
        <f t="shared" si="30"/>
        <v/>
      </c>
      <c r="EG14" s="177">
        <f>IFERROR((((COUNTIF(DR15:DT17,"A")+COUNTIF(DW15:DY17,"A")+COUNTIF(EB15:ED17,"A"))*4)+((COUNTIF(DR15:DT17,"B")+COUNTIF(DW15:DY17,"B")+COUNTIF(EB15:ED17,"B"))*3)+((COUNTIF(DR15:DT17,"C")+COUNTIF(DW15:DY17,"C")+COUNTIF(EB15:ED17,"C"))*2)+((COUNTIF(DR15:DT17,"D")+COUNTIF(DW15:DY17,"D")+COUNTIF(EB15:ED17,"D"))*1))/(COUNTA(DR15:DT17)+COUNTA(DW15:DY17)+COUNTA(EB15:ED17)),"")</f>
        <v>2</v>
      </c>
      <c r="EH14" s="130" t="str">
        <f t="shared" si="31"/>
        <v>C</v>
      </c>
      <c r="EI14" s="152"/>
      <c r="EJ14" s="185"/>
      <c r="EK14" s="185"/>
      <c r="EL14" s="106">
        <f>IFERROR((((COUNTIF('Elève (6ème5)'!EI15:EK17,"A"))*4)+((COUNTIF('Elève (6ème5)'!EI15:EK17,"B"))*3)+((COUNTIF('Elève (6ème5)'!EI15:EK17,"C"))*2)+((COUNTIF('Elève (6ème5)'!EI15:EK17,"D"))*1))/(COUNTA(EI15:EK17)),"")</f>
        <v>3</v>
      </c>
      <c r="EM14" s="107" t="str">
        <f t="shared" si="32"/>
        <v>B</v>
      </c>
      <c r="EN14" s="204"/>
      <c r="EO14" s="186"/>
      <c r="EP14" s="205"/>
      <c r="EQ14" s="106" t="str">
        <f>IFERROR((((COUNTIF('Elève (6ème5)'!EN15:EP17,"A"))*4)+((COUNTIF('Elève (6ème5)'!EN15:EP17,"B"))*3)+((COUNTIF('Elève (6ème5)'!EN15:EP17,"C"))*2)+((COUNTIF('Elève (6ème5)'!EN15:EP17,"D"))*1))/(COUNTA(EN15:EP17)),"")</f>
        <v/>
      </c>
      <c r="ER14" s="121" t="str">
        <f t="shared" si="33"/>
        <v/>
      </c>
      <c r="ES14" s="100"/>
      <c r="ET14" s="187"/>
      <c r="EU14" s="188"/>
      <c r="EV14" s="106" t="str">
        <f>IFERROR((((COUNTIF('Elève (6ème5)'!ES15:EU17,"A"))*4)+((COUNTIF('Elève (6ème5)'!ES15:EU17,"B"))*3)+((COUNTIF('Elève (6ème5)'!ES15:EU17,"C"))*2)+((COUNTIF('Elève (6ème5)'!ES15:EU17,"D"))*1))/(COUNTA(ES15:EU17)),"")</f>
        <v/>
      </c>
      <c r="EW14" s="128" t="str">
        <f t="shared" si="34"/>
        <v/>
      </c>
      <c r="EX14" s="177">
        <f>IFERROR((((COUNTIF(EI15:EK17,"A")+COUNTIF(EN15:EP17,"A")+COUNTIF(ES15:EU17,"A"))*4)+((COUNTIF(EI15:EK17,"B")+COUNTIF(EN15:EP17,"B")+COUNTIF(ES15:EU17,"B"))*3)+((COUNTIF(EI15:EK17,"C")+COUNTIF(EN15:EP17,"C")+COUNTIF(ES15:EU17,"C"))*2)+((COUNTIF(EI15:EK17,"D")+COUNTIF(EN15:EP17,"D")+COUNTIF(ES15:EU17,"D"))*1))/(COUNTA(EI15:EK17)+COUNTA(EN15:EP17)+COUNTA(ES15:EU17)),"")</f>
        <v>3</v>
      </c>
      <c r="EY14" s="130" t="str">
        <f t="shared" si="35"/>
        <v>B</v>
      </c>
      <c r="EZ14" s="152"/>
      <c r="FA14" s="185"/>
      <c r="FB14" s="185"/>
      <c r="FC14" s="106">
        <f>IFERROR((((COUNTIF('Elève (6ème5)'!EZ15:FB17,"A"))*4)+((COUNTIF('Elève (6ème5)'!EZ15:FB17,"B"))*3)+((COUNTIF('Elève (6ème5)'!EZ15:FB17,"C"))*2)+((COUNTIF('Elève (6ème5)'!EZ15:FB17,"D"))*1))/(COUNTA(EZ15:FB17)),"")</f>
        <v>4</v>
      </c>
      <c r="FD14" s="107" t="str">
        <f t="shared" si="36"/>
        <v>A</v>
      </c>
      <c r="FE14" s="204"/>
      <c r="FF14" s="186"/>
      <c r="FG14" s="205"/>
      <c r="FH14" s="106" t="str">
        <f>IFERROR((((COUNTIF('Elève (6ème5)'!FE15:FG17,"A"))*4)+((COUNTIF('Elève (6ème5)'!FE15:FG17,"B"))*3)+((COUNTIF('Elève (6ème5)'!FE15:FG17,"C"))*2)+((COUNTIF('Elève (6ème5)'!FE15:FG17,"D"))*1))/(COUNTA(FE15:FG17)),"")</f>
        <v/>
      </c>
      <c r="FI14" s="121" t="str">
        <f t="shared" si="37"/>
        <v/>
      </c>
      <c r="FJ14" s="100"/>
      <c r="FK14" s="187"/>
      <c r="FL14" s="188"/>
      <c r="FM14" s="106" t="str">
        <f>IFERROR((((COUNTIF('Elève (6ème5)'!FJ15:FL17,"A"))*4)+((COUNTIF('Elève (6ème5)'!FJ15:FL17,"B"))*3)+((COUNTIF('Elève (6ème5)'!FJ15:FL17,"C"))*2)+((COUNTIF('Elève (6ème5)'!FJ15:FL17,"D"))*1))/(COUNTA(FJ15:FL17)),"")</f>
        <v/>
      </c>
      <c r="FN14" s="128" t="str">
        <f t="shared" si="38"/>
        <v/>
      </c>
      <c r="FO14" s="177">
        <f>IFERROR((((COUNTIF(EZ15:FB17,"A")+COUNTIF(FE15:FG17,"A")+COUNTIF(FJ15:FL17,"A"))*4)+((COUNTIF(EZ15:FB17,"B")+COUNTIF(FE15:FG17,"B")+COUNTIF(FJ15:FL17,"B"))*3)+((COUNTIF(EZ15:FB17,"C")+COUNTIF(FE15:FG17,"C")+COUNTIF(FJ15:FL17,"C"))*2)+((COUNTIF(EZ15:FB17,"D")+COUNTIF(FE15:FG17,"D")+COUNTIF(FJ15:FL17,"D"))*1))/(COUNTA(EZ15:FB17)+COUNTA(FE15:FG17)+COUNTA(FJ15:FL17)),"")</f>
        <v>4</v>
      </c>
      <c r="FP14" s="130" t="str">
        <f t="shared" si="39"/>
        <v>A</v>
      </c>
      <c r="FQ14" s="152"/>
      <c r="FR14" s="185"/>
      <c r="FS14" s="185"/>
      <c r="FT14" s="106">
        <f>IFERROR((((COUNTIF('Elève (6ème5)'!FQ15:FS17,"A"))*4)+((COUNTIF('Elève (6ème5)'!FQ15:FS17,"B"))*3)+((COUNTIF('Elève (6ème5)'!FQ15:FS17,"C"))*2)+((COUNTIF('Elève (6ème5)'!FQ15:FS17,"D"))*1))/(COUNTA(FQ15:FS17)),"")</f>
        <v>2</v>
      </c>
      <c r="FU14" s="107" t="str">
        <f t="shared" si="40"/>
        <v>C</v>
      </c>
      <c r="FV14" s="204"/>
      <c r="FW14" s="186"/>
      <c r="FX14" s="205"/>
      <c r="FY14" s="106" t="str">
        <f>IFERROR((((COUNTIF('Elève (6ème5)'!FV15:FX17,"A"))*4)+((COUNTIF('Elève (6ème5)'!FV15:FX17,"B"))*3)+((COUNTIF('Elève (6ème5)'!FV15:FX17,"C"))*2)+((COUNTIF('Elève (6ème5)'!FV15:FX17,"D"))*1))/(COUNTA(FV15:FX17)),"")</f>
        <v/>
      </c>
      <c r="FZ14" s="121" t="str">
        <f t="shared" si="41"/>
        <v/>
      </c>
      <c r="GA14" s="100"/>
      <c r="GB14" s="187"/>
      <c r="GC14" s="188"/>
      <c r="GD14" s="106" t="str">
        <f>IFERROR((((COUNTIF('Elève (6ème5)'!GA15:GC17,"A"))*4)+((COUNTIF('Elève (6ème5)'!GA15:GC17,"B"))*3)+((COUNTIF('Elève (6ème5)'!GA15:GC17,"C"))*2)+((COUNTIF('Elève (6ème5)'!GA15:GC17,"D"))*1))/(COUNTA(GA15:GC17)),"")</f>
        <v/>
      </c>
      <c r="GE14" s="128" t="str">
        <f t="shared" si="42"/>
        <v/>
      </c>
      <c r="GF14" s="177">
        <f>IFERROR((((COUNTIF(FQ15:FS17,"A")+COUNTIF(FV15:FX17,"A")+COUNTIF(GA15:GC17,"A"))*4)+((COUNTIF(FQ15:FS17,"B")+COUNTIF(FV15:FX17,"B")+COUNTIF(GA15:GC17,"B"))*3)+((COUNTIF(FQ15:FS17,"C")+COUNTIF(FV15:FX17,"C")+COUNTIF(GA15:GC17,"C"))*2)+((COUNTIF(FQ15:FS17,"D")+COUNTIF(FV15:FX17,"D")+COUNTIF(GA15:GC17,"D"))*1))/(COUNTA(FQ15:FS17)+COUNTA(FV15:FX17)+COUNTA(GA15:GC17)),"")</f>
        <v>2</v>
      </c>
      <c r="GG14" s="130" t="str">
        <f t="shared" si="43"/>
        <v>C</v>
      </c>
      <c r="GH14" s="152"/>
      <c r="GI14" s="185"/>
      <c r="GJ14" s="185"/>
      <c r="GK14" s="106">
        <f>IFERROR((((COUNTIF('Elève (6ème5)'!GH15:GJ17,"A"))*4)+((COUNTIF('Elève (6ème5)'!GH15:GJ17,"B"))*3)+((COUNTIF('Elève (6ème5)'!GH15:GJ17,"C"))*2)+((COUNTIF('Elève (6ème5)'!GH15:GJ17,"D"))*1))/(COUNTA(GH15:GJ17)),"")</f>
        <v>3</v>
      </c>
      <c r="GL14" s="107" t="str">
        <f t="shared" si="44"/>
        <v>B</v>
      </c>
      <c r="GM14" s="204"/>
      <c r="GN14" s="186"/>
      <c r="GO14" s="205"/>
      <c r="GP14" s="106" t="str">
        <f>IFERROR((((COUNTIF('Elève (6ème5)'!GM15:GO17,"A"))*4)+((COUNTIF('Elève (6ème5)'!GM15:GO17,"B"))*3)+((COUNTIF('Elève (6ème5)'!GM15:GO17,"C"))*2)+((COUNTIF('Elève (6ème5)'!GM15:GO17,"D"))*1))/(COUNTA(GM15:GO17)),"")</f>
        <v/>
      </c>
      <c r="GQ14" s="121" t="str">
        <f t="shared" si="45"/>
        <v/>
      </c>
      <c r="GR14" s="100"/>
      <c r="GS14" s="187"/>
      <c r="GT14" s="188"/>
      <c r="GU14" s="106" t="str">
        <f>IFERROR((((COUNTIF('Elève (6ème5)'!GR15:GT17,"A"))*4)+((COUNTIF('Elève (6ème5)'!GR15:GT17,"B"))*3)+((COUNTIF('Elève (6ème5)'!GR15:GT17,"C"))*2)+((COUNTIF('Elève (6ème5)'!GR15:GT17,"D"))*1))/(COUNTA(GR15:GT17)),"")</f>
        <v/>
      </c>
      <c r="GV14" s="128" t="str">
        <f t="shared" si="46"/>
        <v/>
      </c>
      <c r="GW14" s="177">
        <f>IFERROR((((COUNTIF(GH15:GJ17,"A")+COUNTIF(GM15:GO17,"A")+COUNTIF(GR15:GT17,"A"))*4)+((COUNTIF(GH15:GJ17,"B")+COUNTIF(GM15:GO17,"B")+COUNTIF(GR15:GT17,"B"))*3)+((COUNTIF(GH15:GJ17,"C")+COUNTIF(GM15:GO17,"C")+COUNTIF(GR15:GT17,"C"))*2)+((COUNTIF(GH15:GJ17,"D")+COUNTIF(GM15:GO17,"D")+COUNTIF(GR15:GT17,"D"))*1))/(COUNTA(GH15:GJ17)+COUNTA(GM15:GO17)+COUNTA(GR15:GT17)),"")</f>
        <v>3</v>
      </c>
      <c r="GX14" s="130" t="str">
        <f t="shared" si="47"/>
        <v>B</v>
      </c>
      <c r="GY14" s="152"/>
      <c r="GZ14" s="185"/>
      <c r="HA14" s="185"/>
      <c r="HB14" s="106">
        <f>IFERROR((((COUNTIF('Elève (6ème5)'!GY15:HA17,"A"))*4)+((COUNTIF('Elève (6ème5)'!GY15:HA17,"B"))*3)+((COUNTIF('Elève (6ème5)'!GY15:HA17,"C"))*2)+((COUNTIF('Elève (6ème5)'!GY15:HA17,"D"))*1))/(COUNTA(GY15:HA17)),"")</f>
        <v>4</v>
      </c>
      <c r="HC14" s="107" t="str">
        <f t="shared" si="48"/>
        <v>A</v>
      </c>
      <c r="HD14" s="204"/>
      <c r="HE14" s="186"/>
      <c r="HF14" s="205"/>
      <c r="HG14" s="106" t="str">
        <f>IFERROR((((COUNTIF('Elève (6ème5)'!HD15:HF17,"A"))*4)+((COUNTIF('Elève (6ème5)'!HD15:HF17,"B"))*3)+((COUNTIF('Elève (6ème5)'!HD15:HF17,"C"))*2)+((COUNTIF('Elève (6ème5)'!HD15:HF17,"D"))*1))/(COUNTA(HD15:HF17)),"")</f>
        <v/>
      </c>
      <c r="HH14" s="121" t="str">
        <f t="shared" si="49"/>
        <v/>
      </c>
      <c r="HI14" s="100"/>
      <c r="HJ14" s="187"/>
      <c r="HK14" s="188"/>
      <c r="HL14" s="106" t="str">
        <f>IFERROR((((COUNTIF('Elève (6ème5)'!HI15:HK17,"A"))*4)+((COUNTIF('Elève (6ème5)'!HI15:HK17,"B"))*3)+((COUNTIF('Elève (6ème5)'!HI15:HK17,"C"))*2)+((COUNTIF('Elève (6ème5)'!HI15:HK17,"D"))*1))/(COUNTA(HI15:HK17)),"")</f>
        <v/>
      </c>
      <c r="HM14" s="128" t="str">
        <f t="shared" si="50"/>
        <v/>
      </c>
      <c r="HN14" s="177">
        <f>IFERROR((((COUNTIF(GY15:HA17,"A")+COUNTIF(HD15:HF17,"A")+COUNTIF(HI15:HK17,"A"))*4)+((COUNTIF(GY15:HA17,"B")+COUNTIF(HD15:HF17,"B")+COUNTIF(HI15:HK17,"B"))*3)+((COUNTIF(GY15:HA17,"C")+COUNTIF(HD15:HF17,"C")+COUNTIF(HI15:HK17,"C"))*2)+((COUNTIF(GY15:HA17,"D")+COUNTIF(HD15:HF17,"D")+COUNTIF(HI15:HK17,"D"))*1))/(COUNTA(GY15:HA17)+COUNTA(HD15:HF17)+COUNTA(HI15:HK17)),"")</f>
        <v>4</v>
      </c>
      <c r="HO14" s="130" t="str">
        <f t="shared" si="51"/>
        <v>A</v>
      </c>
      <c r="HP14" s="152"/>
      <c r="HQ14" s="185"/>
      <c r="HR14" s="185"/>
      <c r="HS14" s="106">
        <f>IFERROR((((COUNTIF('Elève (6ème5)'!HP15:HR17,"A"))*4)+((COUNTIF('Elève (6ème5)'!HP15:HR17,"B"))*3)+((COUNTIF('Elève (6ème5)'!HP15:HR17,"C"))*2)+((COUNTIF('Elève (6ème5)'!HP15:HR17,"D"))*1))/(COUNTA(HP15:HR17)),"")</f>
        <v>3</v>
      </c>
      <c r="HT14" s="107" t="str">
        <f t="shared" si="52"/>
        <v>B</v>
      </c>
      <c r="HU14" s="204"/>
      <c r="HV14" s="186"/>
      <c r="HW14" s="205"/>
      <c r="HX14" s="106" t="str">
        <f>IFERROR((((COUNTIF('Elève (6ème5)'!HU15:HW17,"A"))*4)+((COUNTIF('Elève (6ème5)'!HU15:HW17,"B"))*3)+((COUNTIF('Elève (6ème5)'!HU15:HW17,"C"))*2)+((COUNTIF('Elève (6ème5)'!HU15:HW17,"D"))*1))/(COUNTA(HU15:HW17)),"")</f>
        <v/>
      </c>
      <c r="HY14" s="121" t="str">
        <f t="shared" si="53"/>
        <v/>
      </c>
      <c r="HZ14" s="100"/>
      <c r="IA14" s="187"/>
      <c r="IB14" s="188"/>
      <c r="IC14" s="106" t="str">
        <f>IFERROR((((COUNTIF('Elève (6ème5)'!HZ15:IB17,"A"))*4)+((COUNTIF('Elève (6ème5)'!HZ15:IB17,"B"))*3)+((COUNTIF('Elève (6ème5)'!HZ15:IB17,"C"))*2)+((COUNTIF('Elève (6ème5)'!HZ15:IB17,"D"))*1))/(COUNTA(HZ15:IB17)),"")</f>
        <v/>
      </c>
      <c r="ID14" s="128" t="str">
        <f t="shared" si="54"/>
        <v/>
      </c>
      <c r="IE14" s="177">
        <f>IFERROR((((COUNTIF(HP15:HR17,"A")+COUNTIF(HU15:HW17,"A")+COUNTIF(HZ15:IB17,"A"))*4)+((COUNTIF(HP15:HR17,"B")+COUNTIF(HU15:HW17,"B")+COUNTIF(HZ15:IB17,"B"))*3)+((COUNTIF(HP15:HR17,"C")+COUNTIF(HU15:HW17,"C")+COUNTIF(HZ15:IB17,"C"))*2)+((COUNTIF(HP15:HR17,"D")+COUNTIF(HU15:HW17,"D")+COUNTIF(HZ15:IB17,"D"))*1))/(COUNTA(HP15:HR17)+COUNTA(HU15:HW17)+COUNTA(HZ15:IB17)),"")</f>
        <v>3</v>
      </c>
      <c r="IF14" s="130" t="str">
        <f t="shared" si="55"/>
        <v>B</v>
      </c>
      <c r="IG14" s="152"/>
      <c r="IH14" s="185"/>
      <c r="II14" s="185"/>
      <c r="IJ14" s="106">
        <f>IFERROR((((COUNTIF('Elève (6ème5)'!IG15:II17,"A"))*4)+((COUNTIF('Elève (6ème5)'!IG15:II17,"B"))*3)+((COUNTIF('Elève (6ème5)'!IG15:II17,"C"))*2)+((COUNTIF('Elève (6ème5)'!IG15:II17,"D"))*1))/(COUNTA(IG15:II17)),"")</f>
        <v>3</v>
      </c>
      <c r="IK14" s="107" t="str">
        <f t="shared" si="56"/>
        <v>B</v>
      </c>
      <c r="IL14" s="204"/>
      <c r="IM14" s="186"/>
      <c r="IN14" s="205"/>
      <c r="IO14" s="106" t="str">
        <f>IFERROR((((COUNTIF('Elève (6ème5)'!IL15:IN17,"A"))*4)+((COUNTIF('Elève (6ème5)'!IL15:IN17,"B"))*3)+((COUNTIF('Elève (6ème5)'!IL15:IN17,"C"))*2)+((COUNTIF('Elève (6ème5)'!IL15:IN17,"D"))*1))/(COUNTA(IL15:IN17)),"")</f>
        <v/>
      </c>
      <c r="IP14" s="121" t="str">
        <f t="shared" si="57"/>
        <v/>
      </c>
      <c r="IQ14" s="100"/>
      <c r="IR14" s="187"/>
      <c r="IS14" s="188"/>
      <c r="IT14" s="106" t="str">
        <f>IFERROR((((COUNTIF('Elève (6ème5)'!IQ15:IS17,"A"))*4)+((COUNTIF('Elève (6ème5)'!IQ15:IS17,"B"))*3)+((COUNTIF('Elève (6ème5)'!IQ15:IS17,"C"))*2)+((COUNTIF('Elève (6ème5)'!IQ15:IS17,"D"))*1))/(COUNTA(IQ15:IS17)),"")</f>
        <v/>
      </c>
      <c r="IU14" s="128" t="str">
        <f t="shared" si="58"/>
        <v/>
      </c>
      <c r="IV14" s="177">
        <f>IFERROR((((COUNTIF(IG15:II17,"A")+COUNTIF(IL15:IN17,"A")+COUNTIF(IQ15:IS17,"A"))*4)+((COUNTIF(IG15:II17,"B")+COUNTIF(IL15:IN17,"B")+COUNTIF(IQ15:IS17,"B"))*3)+((COUNTIF(IG15:II17,"C")+COUNTIF(IL15:IN17,"C")+COUNTIF(IQ15:IS17,"C"))*2)+((COUNTIF(IG15:II17,"D")+COUNTIF(IL15:IN17,"D")+COUNTIF(IQ15:IS17,"D"))*1))/(COUNTA(IG15:II17)+COUNTA(IL15:IN17)+COUNTA(IQ15:IS17)),"")</f>
        <v>3</v>
      </c>
      <c r="IW14" s="130" t="str">
        <f t="shared" si="59"/>
        <v>B</v>
      </c>
      <c r="IX14" s="152"/>
      <c r="IY14" s="185"/>
      <c r="IZ14" s="185"/>
      <c r="JA14" s="106">
        <f>IFERROR((((COUNTIF('Elève (6ème5)'!IX15:IZ17,"A"))*4)+((COUNTIF('Elève (6ème5)'!IX15:IZ17,"B"))*3)+((COUNTIF('Elève (6ème5)'!IX15:IZ17,"C"))*2)+((COUNTIF('Elève (6ème5)'!IX15:IZ17,"D"))*1))/(COUNTA(IX15:IZ17)),"")</f>
        <v>4</v>
      </c>
      <c r="JB14" s="107" t="str">
        <f t="shared" si="60"/>
        <v>A</v>
      </c>
      <c r="JC14" s="204"/>
      <c r="JD14" s="186"/>
      <c r="JE14" s="205"/>
      <c r="JF14" s="106" t="str">
        <f>IFERROR((((COUNTIF('Elève (6ème5)'!JC15:JE17,"A"))*4)+((COUNTIF('Elève (6ème5)'!JC15:JE17,"B"))*3)+((COUNTIF('Elève (6ème5)'!JC15:JE17,"C"))*2)+((COUNTIF('Elève (6ème5)'!JC15:JE17,"D"))*1))/(COUNTA(JC15:JE17)),"")</f>
        <v/>
      </c>
      <c r="JG14" s="121" t="str">
        <f t="shared" si="61"/>
        <v/>
      </c>
      <c r="JH14" s="100"/>
      <c r="JI14" s="187"/>
      <c r="JJ14" s="188"/>
      <c r="JK14" s="106" t="str">
        <f>IFERROR((((COUNTIF('Elève (6ème5)'!JH15:JJ17,"A"))*4)+((COUNTIF('Elève (6ème5)'!JH15:JJ17,"B"))*3)+((COUNTIF('Elève (6ème5)'!JH15:JJ17,"C"))*2)+((COUNTIF('Elève (6ème5)'!JH15:JJ17,"D"))*1))/(COUNTA(JH15:JJ17)),"")</f>
        <v/>
      </c>
      <c r="JL14" s="128" t="str">
        <f t="shared" si="62"/>
        <v/>
      </c>
      <c r="JM14" s="177">
        <f>IFERROR((((COUNTIF(IX15:IZ17,"A")+COUNTIF(JC15:JE17,"A")+COUNTIF(JH15:JJ17,"A"))*4)+((COUNTIF(IX15:IZ17,"B")+COUNTIF(JC15:JE17,"B")+COUNTIF(JH15:JJ17,"B"))*3)+((COUNTIF(IX15:IZ17,"C")+COUNTIF(JC15:JE17,"C")+COUNTIF(JH15:JJ17,"C"))*2)+((COUNTIF(IX15:IZ17,"D")+COUNTIF(JC15:JE17,"D")+COUNTIF(JH15:JJ17,"D"))*1))/(COUNTA(IX15:IZ17)+COUNTA(JC15:JE17)+COUNTA(JH15:JJ17)),"")</f>
        <v>4</v>
      </c>
      <c r="JN14" s="130" t="str">
        <f t="shared" si="63"/>
        <v>A</v>
      </c>
      <c r="JO14" s="152"/>
      <c r="JP14" s="185"/>
      <c r="JQ14" s="185"/>
      <c r="JR14" s="106">
        <f>IFERROR((((COUNTIF('Elève (6ème5)'!JO15:JQ17,"A"))*4)+((COUNTIF('Elève (6ème5)'!JO15:JQ17,"B"))*3)+((COUNTIF('Elève (6ème5)'!JO15:JQ17,"C"))*2)+((COUNTIF('Elève (6ème5)'!JO15:JQ17,"D"))*1))/(COUNTA(JO15:JQ17)),"")</f>
        <v>2</v>
      </c>
      <c r="JS14" s="107" t="str">
        <f t="shared" si="64"/>
        <v>C</v>
      </c>
      <c r="JT14" s="204"/>
      <c r="JU14" s="186"/>
      <c r="JV14" s="205"/>
      <c r="JW14" s="106" t="str">
        <f>IFERROR((((COUNTIF('Elève (6ème5)'!JT15:JV17,"A"))*4)+((COUNTIF('Elève (6ème5)'!JT15:JV17,"B"))*3)+((COUNTIF('Elève (6ème5)'!JT15:JV17,"C"))*2)+((COUNTIF('Elève (6ème5)'!JT15:JV17,"D"))*1))/(COUNTA(JT15:JV17)),"")</f>
        <v/>
      </c>
      <c r="JX14" s="121" t="str">
        <f t="shared" si="65"/>
        <v/>
      </c>
      <c r="JY14" s="100"/>
      <c r="JZ14" s="187"/>
      <c r="KA14" s="188"/>
      <c r="KB14" s="106" t="str">
        <f>IFERROR((((COUNTIF('Elève (6ème5)'!JY15:KA17,"A"))*4)+((COUNTIF('Elève (6ème5)'!JY15:KA17,"B"))*3)+((COUNTIF('Elève (6ème5)'!JY15:KA17,"C"))*2)+((COUNTIF('Elève (6ème5)'!JY15:KA17,"D"))*1))/(COUNTA(JY15:KA17)),"")</f>
        <v/>
      </c>
      <c r="KC14" s="128" t="str">
        <f t="shared" si="66"/>
        <v/>
      </c>
      <c r="KD14" s="177">
        <f>IFERROR((((COUNTIF(JO15:JQ17,"A")+COUNTIF(JT15:JV17,"A")+COUNTIF(JY15:KA17,"A"))*4)+((COUNTIF(JO15:JQ17,"B")+COUNTIF(JT15:JV17,"B")+COUNTIF(JY15:KA17,"B"))*3)+((COUNTIF(JO15:JQ17,"C")+COUNTIF(JT15:JV17,"C")+COUNTIF(JY15:KA17,"C"))*2)+((COUNTIF(JO15:JQ17,"D")+COUNTIF(JT15:JV17,"D")+COUNTIF(JY15:KA17,"D"))*1))/(COUNTA(JO15:JQ17)+COUNTA(JT15:JV17)+COUNTA(JY15:KA17)),"")</f>
        <v>2</v>
      </c>
      <c r="KE14" s="130" t="str">
        <f t="shared" si="67"/>
        <v>C</v>
      </c>
      <c r="KF14" s="152"/>
      <c r="KG14" s="185"/>
      <c r="KH14" s="185"/>
      <c r="KI14" s="106">
        <f>IFERROR((((COUNTIF('Elève (6ème5)'!KF15:KH17,"A"))*4)+((COUNTIF('Elève (6ème5)'!KF15:KH17,"B"))*3)+((COUNTIF('Elève (6ème5)'!KF15:KH17,"C"))*2)+((COUNTIF('Elève (6ème5)'!KF15:KH17,"D"))*1))/(COUNTA(KF15:KH17)),"")</f>
        <v>2</v>
      </c>
      <c r="KJ14" s="107" t="str">
        <f t="shared" si="68"/>
        <v>C</v>
      </c>
      <c r="KK14" s="204"/>
      <c r="KL14" s="186"/>
      <c r="KM14" s="205"/>
      <c r="KN14" s="106" t="str">
        <f>IFERROR((((COUNTIF('Elève (6ème5)'!KK15:KM17,"A"))*4)+((COUNTIF('Elève (6ème5)'!KK15:KM17,"B"))*3)+((COUNTIF('Elève (6ème5)'!KK15:KM17,"C"))*2)+((COUNTIF('Elève (6ème5)'!KK15:KM17,"D"))*1))/(COUNTA(KK15:KM17)),"")</f>
        <v/>
      </c>
      <c r="KO14" s="121" t="str">
        <f t="shared" si="69"/>
        <v/>
      </c>
      <c r="KP14" s="100"/>
      <c r="KQ14" s="187"/>
      <c r="KR14" s="188"/>
      <c r="KS14" s="106" t="str">
        <f>IFERROR((((COUNTIF('Elève (6ème5)'!KP15:KR17,"A"))*4)+((COUNTIF('Elève (6ème5)'!KP15:KR17,"B"))*3)+((COUNTIF('Elève (6ème5)'!KP15:KR17,"C"))*2)+((COUNTIF('Elève (6ème5)'!KP15:KR17,"D"))*1))/(COUNTA(KP15:KR17)),"")</f>
        <v/>
      </c>
      <c r="KT14" s="128" t="str">
        <f t="shared" si="70"/>
        <v/>
      </c>
      <c r="KU14" s="177">
        <f>IFERROR((((COUNTIF(KF15:KH17,"A")+COUNTIF(KK15:KM17,"A")+COUNTIF(KP15:KR17,"A"))*4)+((COUNTIF(KF15:KH17,"B")+COUNTIF(KK15:KM17,"B")+COUNTIF(KP15:KR17,"B"))*3)+((COUNTIF(KF15:KH17,"C")+COUNTIF(KK15:KM17,"C")+COUNTIF(KP15:KR17,"C"))*2)+((COUNTIF(KF15:KH17,"D")+COUNTIF(KK15:KM17,"D")+COUNTIF(KP15:KR17,"D"))*1))/(COUNTA(KF15:KH17)+COUNTA(KK15:KM17)+COUNTA(KP15:KR17)),"")</f>
        <v>2</v>
      </c>
      <c r="KV14" s="130" t="str">
        <f t="shared" si="71"/>
        <v>C</v>
      </c>
      <c r="KW14" s="152"/>
      <c r="KX14" s="185"/>
      <c r="KY14" s="185"/>
      <c r="KZ14" s="106">
        <f>IFERROR((((COUNTIF('Elève (6ème5)'!KW15:KY17,"A"))*4)+((COUNTIF('Elève (6ème5)'!KW15:KY17,"B"))*3)+((COUNTIF('Elève (6ème5)'!KW15:KY17,"C"))*2)+((COUNTIF('Elève (6ème5)'!KW15:KY17,"D"))*1))/(COUNTA(KW15:KY17)),"")</f>
        <v>2</v>
      </c>
      <c r="LA14" s="107" t="str">
        <f t="shared" si="72"/>
        <v>C</v>
      </c>
      <c r="LB14" s="204"/>
      <c r="LC14" s="186"/>
      <c r="LD14" s="205"/>
      <c r="LE14" s="106" t="str">
        <f>IFERROR((((COUNTIF('Elève (6ème5)'!LB15:LD17,"A"))*4)+((COUNTIF('Elève (6ème5)'!LB15:LD17,"B"))*3)+((COUNTIF('Elève (6ème5)'!LB15:LD17,"C"))*2)+((COUNTIF('Elève (6ème5)'!LB15:LD17,"D"))*1))/(COUNTA(LB15:LD17)),"")</f>
        <v/>
      </c>
      <c r="LF14" s="121" t="str">
        <f t="shared" si="73"/>
        <v/>
      </c>
      <c r="LG14" s="100"/>
      <c r="LH14" s="187"/>
      <c r="LI14" s="188"/>
      <c r="LJ14" s="106" t="str">
        <f>IFERROR((((COUNTIF('Elève (6ème5)'!LG15:LI17,"A"))*4)+((COUNTIF('Elève (6ème5)'!LG15:LI17,"B"))*3)+((COUNTIF('Elève (6ème5)'!LG15:LI17,"C"))*2)+((COUNTIF('Elève (6ème5)'!LG15:LI17,"D"))*1))/(COUNTA(LG15:LI17)),"")</f>
        <v/>
      </c>
      <c r="LK14" s="128" t="str">
        <f t="shared" si="74"/>
        <v/>
      </c>
      <c r="LL14" s="177">
        <f>IFERROR((((COUNTIF(KW15:KY17,"A")+COUNTIF(LB15:LD17,"A")+COUNTIF(LG15:LI17,"A"))*4)+((COUNTIF(KW15:KY17,"B")+COUNTIF(LB15:LD17,"B")+COUNTIF(LG15:LI17,"B"))*3)+((COUNTIF(KW15:KY17,"C")+COUNTIF(LB15:LD17,"C")+COUNTIF(LG15:LI17,"C"))*2)+((COUNTIF(KW15:KY17,"D")+COUNTIF(LB15:LD17,"D")+COUNTIF(LG15:LI17,"D"))*1))/(COUNTA(KW15:KY17)+COUNTA(LB15:LD17)+COUNTA(LG15:LI17)),"")</f>
        <v>2</v>
      </c>
      <c r="LM14" s="130" t="str">
        <f t="shared" si="75"/>
        <v>C</v>
      </c>
      <c r="LN14" s="152"/>
      <c r="LO14" s="185"/>
      <c r="LP14" s="185"/>
      <c r="LQ14" s="106">
        <f>IFERROR((((COUNTIF('Elève (6ème5)'!LN15:LP17,"A"))*4)+((COUNTIF('Elève (6ème5)'!LN15:LP17,"B"))*3)+((COUNTIF('Elève (6ème5)'!LN15:LP17,"C"))*2)+((COUNTIF('Elève (6ème5)'!LN15:LP17,"D"))*1))/(COUNTA(LN15:LP17)),"")</f>
        <v>3</v>
      </c>
      <c r="LR14" s="107" t="str">
        <f t="shared" si="76"/>
        <v>B</v>
      </c>
      <c r="LS14" s="204"/>
      <c r="LT14" s="186"/>
      <c r="LU14" s="205"/>
      <c r="LV14" s="106" t="str">
        <f>IFERROR((((COUNTIF('Elève (6ème5)'!LS15:LU17,"A"))*4)+((COUNTIF('Elève (6ème5)'!LS15:LU17,"B"))*3)+((COUNTIF('Elève (6ème5)'!LS15:LU17,"C"))*2)+((COUNTIF('Elève (6ème5)'!LS15:LU17,"D"))*1))/(COUNTA(LS15:LU17)),"")</f>
        <v/>
      </c>
      <c r="LW14" s="121" t="str">
        <f t="shared" si="77"/>
        <v/>
      </c>
      <c r="LX14" s="100"/>
      <c r="LY14" s="187"/>
      <c r="LZ14" s="188"/>
      <c r="MA14" s="106" t="str">
        <f>IFERROR((((COUNTIF('Elève (6ème5)'!LX15:LZ17,"A"))*4)+((COUNTIF('Elève (6ème5)'!LX15:LZ17,"B"))*3)+((COUNTIF('Elève (6ème5)'!LX15:LZ17,"C"))*2)+((COUNTIF('Elève (6ème5)'!LX15:LZ17,"D"))*1))/(COUNTA(LX15:LZ17)),"")</f>
        <v/>
      </c>
      <c r="MB14" s="128" t="str">
        <f t="shared" si="78"/>
        <v/>
      </c>
      <c r="MC14" s="177">
        <f>IFERROR((((COUNTIF(LN15:LP17,"A")+COUNTIF(LS15:LU17,"A")+COUNTIF(LX15:LZ17,"A"))*4)+((COUNTIF(LN15:LP17,"B")+COUNTIF(LS15:LU17,"B")+COUNTIF(LX15:LZ17,"B"))*3)+((COUNTIF(LN15:LP17,"C")+COUNTIF(LS15:LU17,"C")+COUNTIF(LX15:LZ17,"C"))*2)+((COUNTIF(LN15:LP17,"D")+COUNTIF(LS15:LU17,"D")+COUNTIF(LX15:LZ17,"D"))*1))/(COUNTA(LN15:LP17)+COUNTA(LS15:LU17)+COUNTA(LX15:LZ17)),"")</f>
        <v>3</v>
      </c>
      <c r="MD14" s="130" t="str">
        <f t="shared" si="79"/>
        <v>B</v>
      </c>
      <c r="ME14" s="152"/>
      <c r="MF14" s="185"/>
      <c r="MG14" s="185"/>
      <c r="MH14" s="106">
        <f>IFERROR((((COUNTIF('Elève (6ème5)'!ME15:MG17,"A"))*4)+((COUNTIF('Elève (6ème5)'!ME15:MG17,"B"))*3)+((COUNTIF('Elève (6ème5)'!ME15:MG17,"C"))*2)+((COUNTIF('Elève (6ème5)'!ME15:MG17,"D"))*1))/(COUNTA(ME15:MG17)),"")</f>
        <v>4</v>
      </c>
      <c r="MI14" s="107" t="str">
        <f t="shared" si="80"/>
        <v>A</v>
      </c>
      <c r="MJ14" s="204"/>
      <c r="MK14" s="186"/>
      <c r="ML14" s="205"/>
      <c r="MM14" s="106" t="str">
        <f>IFERROR((((COUNTIF('Elève (6ème5)'!MJ15:ML17,"A"))*4)+((COUNTIF('Elève (6ème5)'!MJ15:ML17,"B"))*3)+((COUNTIF('Elève (6ème5)'!MJ15:ML17,"C"))*2)+((COUNTIF('Elève (6ème5)'!MJ15:ML17,"D"))*1))/(COUNTA(MJ15:ML17)),"")</f>
        <v/>
      </c>
      <c r="MN14" s="121" t="str">
        <f t="shared" si="81"/>
        <v/>
      </c>
      <c r="MO14" s="100"/>
      <c r="MP14" s="187"/>
      <c r="MQ14" s="188"/>
      <c r="MR14" s="106" t="str">
        <f>IFERROR((((COUNTIF('Elève (6ème5)'!MO15:MQ17,"A"))*4)+((COUNTIF('Elève (6ème5)'!MO15:MQ17,"B"))*3)+((COUNTIF('Elève (6ème5)'!MO15:MQ17,"C"))*2)+((COUNTIF('Elève (6ème5)'!MO15:MQ17,"D"))*1))/(COUNTA(MO15:MQ17)),"")</f>
        <v/>
      </c>
      <c r="MS14" s="128" t="str">
        <f t="shared" si="82"/>
        <v/>
      </c>
      <c r="MT14" s="177">
        <f>IFERROR((((COUNTIF(ME15:MG17,"A")+COUNTIF(MJ15:ML17,"A")+COUNTIF(MO15:MQ17,"A"))*4)+((COUNTIF(ME15:MG17,"B")+COUNTIF(MJ15:ML17,"B")+COUNTIF(MO15:MQ17,"B"))*3)+((COUNTIF(ME15:MG17,"C")+COUNTIF(MJ15:ML17,"C")+COUNTIF(MO15:MQ17,"C"))*2)+((COUNTIF(ME15:MG17,"D")+COUNTIF(MJ15:ML17,"D")+COUNTIF(MO15:MQ17,"D"))*1))/(COUNTA(ME15:MG17)+COUNTA(MJ15:ML17)+COUNTA(MO15:MQ17)),"")</f>
        <v>4</v>
      </c>
      <c r="MU14" s="130" t="str">
        <f t="shared" si="83"/>
        <v>A</v>
      </c>
      <c r="MV14" s="152"/>
      <c r="MW14" s="185"/>
      <c r="MX14" s="185"/>
      <c r="MY14" s="106">
        <f>IFERROR((((COUNTIF('Elève (6ème5)'!MV15:MX17,"A"))*4)+((COUNTIF('Elève (6ème5)'!MV15:MX17,"B"))*3)+((COUNTIF('Elève (6ème5)'!MV15:MX17,"C"))*2)+((COUNTIF('Elève (6ème5)'!MV15:MX17,"D"))*1))/(COUNTA(MV15:MX17)),"")</f>
        <v>2</v>
      </c>
      <c r="MZ14" s="107" t="str">
        <f t="shared" si="84"/>
        <v>C</v>
      </c>
      <c r="NA14" s="204"/>
      <c r="NB14" s="186"/>
      <c r="NC14" s="205"/>
      <c r="ND14" s="106" t="str">
        <f>IFERROR((((COUNTIF('Elève (6ème5)'!NA15:NC17,"A"))*4)+((COUNTIF('Elève (6ème5)'!NA15:NC17,"B"))*3)+((COUNTIF('Elève (6ème5)'!NA15:NC17,"C"))*2)+((COUNTIF('Elève (6ème5)'!NA15:NC17,"D"))*1))/(COUNTA(NA15:NC17)),"")</f>
        <v/>
      </c>
      <c r="NE14" s="121" t="str">
        <f t="shared" si="85"/>
        <v/>
      </c>
      <c r="NF14" s="100"/>
      <c r="NG14" s="187"/>
      <c r="NH14" s="188"/>
      <c r="NI14" s="106" t="str">
        <f>IFERROR((((COUNTIF('Elève (6ème5)'!NF15:NH17,"A"))*4)+((COUNTIF('Elève (6ème5)'!NF15:NH17,"B"))*3)+((COUNTIF('Elève (6ème5)'!NF15:NH17,"C"))*2)+((COUNTIF('Elève (6ème5)'!NF15:NH17,"D"))*1))/(COUNTA(NF15:NH17)),"")</f>
        <v/>
      </c>
      <c r="NJ14" s="128" t="str">
        <f t="shared" si="86"/>
        <v/>
      </c>
      <c r="NK14" s="177">
        <f>IFERROR((((COUNTIF(MV15:MX17,"A")+COUNTIF(NA15:NC17,"A")+COUNTIF(NF15:NH17,"A"))*4)+((COUNTIF(MV15:MX17,"B")+COUNTIF(NA15:NC17,"B")+COUNTIF(NF15:NH17,"B"))*3)+((COUNTIF(MV15:MX17,"C")+COUNTIF(NA15:NC17,"C")+COUNTIF(NF15:NH17,"C"))*2)+((COUNTIF(MV15:MX17,"D")+COUNTIF(NA15:NC17,"D")+COUNTIF(NF15:NH17,"D"))*1))/(COUNTA(MV15:MX17)+COUNTA(NA15:NC17)+COUNTA(NF15:NH17)),"")</f>
        <v>2</v>
      </c>
      <c r="NL14" s="130" t="str">
        <f t="shared" si="87"/>
        <v>C</v>
      </c>
      <c r="NM14" s="152"/>
      <c r="NN14" s="185"/>
      <c r="NO14" s="185"/>
      <c r="NP14" s="106">
        <f>IFERROR((((COUNTIF('Elève (6ème5)'!NM15:NO17,"A"))*4)+((COUNTIF('Elève (6ème5)'!NM15:NO17,"B"))*3)+((COUNTIF('Elève (6ème5)'!NM15:NO17,"C"))*2)+((COUNTIF('Elève (6ème5)'!NM15:NO17,"D"))*1))/(COUNTA(NM15:NO17)),"")</f>
        <v>4</v>
      </c>
      <c r="NQ14" s="107" t="str">
        <f t="shared" si="88"/>
        <v>A</v>
      </c>
      <c r="NR14" s="204"/>
      <c r="NS14" s="186"/>
      <c r="NT14" s="205"/>
      <c r="NU14" s="106" t="str">
        <f>IFERROR((((COUNTIF('Elève (6ème5)'!NR15:NT17,"A"))*4)+((COUNTIF('Elève (6ème5)'!NR15:NT17,"B"))*3)+((COUNTIF('Elève (6ème5)'!NR15:NT17,"C"))*2)+((COUNTIF('Elève (6ème5)'!NR15:NT17,"D"))*1))/(COUNTA(NR15:NT17)),"")</f>
        <v/>
      </c>
      <c r="NV14" s="121" t="str">
        <f t="shared" si="89"/>
        <v/>
      </c>
      <c r="NW14" s="100"/>
      <c r="NX14" s="187"/>
      <c r="NY14" s="188"/>
      <c r="NZ14" s="106" t="str">
        <f>IFERROR((((COUNTIF('Elève (6ème5)'!NW15:NY17,"A"))*4)+((COUNTIF('Elève (6ème5)'!NW15:NY17,"B"))*3)+((COUNTIF('Elève (6ème5)'!NW15:NY17,"C"))*2)+((COUNTIF('Elève (6ème5)'!NW15:NY17,"D"))*1))/(COUNTA(NW15:NY17)),"")</f>
        <v/>
      </c>
      <c r="OA14" s="128" t="str">
        <f t="shared" si="90"/>
        <v/>
      </c>
      <c r="OB14" s="177">
        <f>IFERROR((((COUNTIF(NM15:NO17,"A")+COUNTIF(NR15:NT17,"A")+COUNTIF(NW15:NY17,"A"))*4)+((COUNTIF(NM15:NO17,"B")+COUNTIF(NR15:NT17,"B")+COUNTIF(NW15:NY17,"B"))*3)+((COUNTIF(NM15:NO17,"C")+COUNTIF(NR15:NT17,"C")+COUNTIF(NW15:NY17,"C"))*2)+((COUNTIF(NM15:NO17,"D")+COUNTIF(NR15:NT17,"D")+COUNTIF(NW15:NY17,"D"))*1))/(COUNTA(NM15:NO17)+COUNTA(NR15:NT17)+COUNTA(NW15:NY17)),"")</f>
        <v>4</v>
      </c>
      <c r="OC14" s="130" t="str">
        <f t="shared" si="91"/>
        <v>A</v>
      </c>
      <c r="OD14" s="152"/>
      <c r="OE14" s="185"/>
      <c r="OF14" s="185"/>
      <c r="OG14" s="106" t="str">
        <f>IFERROR((((COUNTIF('Elève (6ème5)'!OD15:OF17,"A"))*4)+((COUNTIF('Elève (6ème5)'!OD15:OF17,"B"))*3)+((COUNTIF('Elève (6ème5)'!OD15:OF17,"C"))*2)+((COUNTIF('Elève (6ème5)'!OD15:OF17,"D"))*1))/(COUNTA(OD15:OF17)),"")</f>
        <v/>
      </c>
      <c r="OH14" s="107" t="str">
        <f t="shared" si="92"/>
        <v/>
      </c>
      <c r="OI14" s="204"/>
      <c r="OJ14" s="186"/>
      <c r="OK14" s="205"/>
      <c r="OL14" s="106" t="str">
        <f>IFERROR((((COUNTIF('Elève (6ème5)'!OI15:OK17,"A"))*4)+((COUNTIF('Elève (6ème5)'!OI15:OK17,"B"))*3)+((COUNTIF('Elève (6ème5)'!OI15:OK17,"C"))*2)+((COUNTIF('Elève (6ème5)'!OI15:OK17,"D"))*1))/(COUNTA(OI15:OK17)),"")</f>
        <v/>
      </c>
      <c r="OM14" s="121" t="str">
        <f t="shared" si="93"/>
        <v/>
      </c>
      <c r="ON14" s="100"/>
      <c r="OO14" s="187"/>
      <c r="OP14" s="188"/>
      <c r="OQ14" s="106" t="str">
        <f>IFERROR((((COUNTIF('Elève (6ème5)'!ON15:OP17,"A"))*4)+((COUNTIF('Elève (6ème5)'!ON15:OP17,"B"))*3)+((COUNTIF('Elève (6ème5)'!ON15:OP17,"C"))*2)+((COUNTIF('Elève (6ème5)'!ON15:OP17,"D"))*1))/(COUNTA(ON15:OP17)),"")</f>
        <v/>
      </c>
      <c r="OR14" s="128" t="str">
        <f t="shared" si="94"/>
        <v/>
      </c>
      <c r="OS14" s="177" t="str">
        <f>IFERROR((((COUNTIF(OD15:OF17,"A")+COUNTIF(OI15:OK17,"A")+COUNTIF(ON15:OP17,"A"))*4)+((COUNTIF(OD15:OF17,"B")+COUNTIF(OI15:OK17,"B")+COUNTIF(ON15:OP17,"B"))*3)+((COUNTIF(OD15:OF17,"C")+COUNTIF(OI15:OK17,"C")+COUNTIF(ON15:OP17,"C"))*2)+((COUNTIF(OD15:OF17,"D")+COUNTIF(OI15:OK17,"D")+COUNTIF(ON15:OP17,"D"))*1))/(COUNTA(OD15:OF17)+COUNTA(OI15:OK17)+COUNTA(ON15:OP17)),"")</f>
        <v/>
      </c>
      <c r="OT14" s="130" t="str">
        <f t="shared" si="95"/>
        <v/>
      </c>
      <c r="OU14" s="152"/>
      <c r="OV14" s="185"/>
      <c r="OW14" s="185"/>
      <c r="OX14" s="106">
        <f>IFERROR((((COUNTIF('Elève (6ème5)'!OU15:OW17,"A"))*4)+((COUNTIF('Elève (6ème5)'!OU15:OW17,"B"))*3)+((COUNTIF('Elève (6ème5)'!OU15:OW17,"C"))*2)+((COUNTIF('Elève (6ème5)'!OU15:OW17,"D"))*1))/(COUNTA(OU15:OW17)),"")</f>
        <v>3</v>
      </c>
      <c r="OY14" s="107" t="str">
        <f t="shared" si="96"/>
        <v>B</v>
      </c>
      <c r="OZ14" s="204"/>
      <c r="PA14" s="186"/>
      <c r="PB14" s="205"/>
      <c r="PC14" s="106" t="str">
        <f>IFERROR((((COUNTIF('Elève (6ème5)'!OZ15:PB17,"A"))*4)+((COUNTIF('Elève (6ème5)'!OZ15:PB17,"B"))*3)+((COUNTIF('Elève (6ème5)'!OZ15:PB17,"C"))*2)+((COUNTIF('Elève (6ème5)'!OZ15:PB17,"D"))*1))/(COUNTA(OZ15:PB17)),"")</f>
        <v/>
      </c>
      <c r="PD14" s="121" t="str">
        <f t="shared" si="97"/>
        <v/>
      </c>
      <c r="PE14" s="100"/>
      <c r="PF14" s="187"/>
      <c r="PG14" s="188"/>
      <c r="PH14" s="106" t="str">
        <f>IFERROR((((COUNTIF('Elève (6ème5)'!PE15:PG17,"A"))*4)+((COUNTIF('Elève (6ème5)'!PE15:PG17,"B"))*3)+((COUNTIF('Elève (6ème5)'!PE15:PG17,"C"))*2)+((COUNTIF('Elève (6ème5)'!PE15:PG17,"D"))*1))/(COUNTA(PE15:PG17)),"")</f>
        <v/>
      </c>
      <c r="PI14" s="128" t="str">
        <f t="shared" si="98"/>
        <v/>
      </c>
      <c r="PJ14" s="177">
        <f>IFERROR((((COUNTIF(OU15:OW17,"A")+COUNTIF(OZ15:PB17,"A")+COUNTIF(PE15:PG17,"A"))*4)+((COUNTIF(OU15:OW17,"B")+COUNTIF(OZ15:PB17,"B")+COUNTIF(PE15:PG17,"B"))*3)+((COUNTIF(OU15:OW17,"C")+COUNTIF(OZ15:PB17,"C")+COUNTIF(PE15:PG17,"C"))*2)+((COUNTIF(OU15:OW17,"D")+COUNTIF(OZ15:PB17,"D")+COUNTIF(PE15:PG17,"D"))*1))/(COUNTA(OU15:OW17)+COUNTA(OZ15:PB17)+COUNTA(PE15:PG17)),"")</f>
        <v>3</v>
      </c>
      <c r="PK14" s="130" t="str">
        <f t="shared" si="99"/>
        <v>B</v>
      </c>
      <c r="PL14" s="152"/>
      <c r="PM14" s="185"/>
      <c r="PN14" s="185"/>
      <c r="PO14" s="106">
        <f>IFERROR((((COUNTIF('Elève (6ème5)'!PL15:PN17,"A"))*4)+((COUNTIF('Elève (6ème5)'!PL15:PN17,"B"))*3)+((COUNTIF('Elève (6ème5)'!PL15:PN17,"C"))*2)+((COUNTIF('Elève (6ème5)'!PL15:PN17,"D"))*1))/(COUNTA(PL15:PN17)),"")</f>
        <v>2</v>
      </c>
      <c r="PP14" s="107" t="str">
        <f t="shared" si="100"/>
        <v>C</v>
      </c>
      <c r="PQ14" s="204"/>
      <c r="PR14" s="186"/>
      <c r="PS14" s="205"/>
      <c r="PT14" s="106" t="str">
        <f>IFERROR((((COUNTIF('Elève (6ème5)'!PQ15:PS17,"A"))*4)+((COUNTIF('Elève (6ème5)'!PQ15:PS17,"B"))*3)+((COUNTIF('Elève (6ème5)'!PQ15:PS17,"C"))*2)+((COUNTIF('Elève (6ème5)'!PQ15:PS17,"D"))*1))/(COUNTA(PQ15:PS17)),"")</f>
        <v/>
      </c>
      <c r="PU14" s="121" t="str">
        <f t="shared" si="101"/>
        <v/>
      </c>
      <c r="PV14" s="100"/>
      <c r="PW14" s="187"/>
      <c r="PX14" s="188"/>
      <c r="PY14" s="106" t="str">
        <f>IFERROR((((COUNTIF('Elève (6ème5)'!PV15:PX17,"A"))*4)+((COUNTIF('Elève (6ème5)'!PV15:PX17,"B"))*3)+((COUNTIF('Elève (6ème5)'!PV15:PX17,"C"))*2)+((COUNTIF('Elève (6ème5)'!PV15:PX17,"D"))*1))/(COUNTA(PV15:PX17)),"")</f>
        <v/>
      </c>
      <c r="PZ14" s="128" t="str">
        <f t="shared" si="102"/>
        <v/>
      </c>
      <c r="QA14" s="177">
        <f>IFERROR((((COUNTIF(PL15:PN17,"A")+COUNTIF(PQ15:PS17,"A")+COUNTIF(PV15:PX17,"A"))*4)+((COUNTIF(PL15:PN17,"B")+COUNTIF(PQ15:PS17,"B")+COUNTIF(PV15:PX17,"B"))*3)+((COUNTIF(PL15:PN17,"C")+COUNTIF(PQ15:PS17,"C")+COUNTIF(PV15:PX17,"C"))*2)+((COUNTIF(PL15:PN17,"D")+COUNTIF(PQ15:PS17,"D")+COUNTIF(PV15:PX17,"D"))*1))/(COUNTA(PL15:PN17)+COUNTA(PQ15:PS17)+COUNTA(PV15:PX17)),"")</f>
        <v>2</v>
      </c>
      <c r="QB14" s="130" t="str">
        <f t="shared" si="103"/>
        <v>C</v>
      </c>
      <c r="QC14" s="152"/>
      <c r="QD14" s="185"/>
      <c r="QE14" s="185"/>
      <c r="QF14" s="106">
        <f>IFERROR((((COUNTIF('Elève (6ème5)'!QC15:QE17,"A"))*4)+((COUNTIF('Elève (6ème5)'!QC15:QE17,"B"))*3)+((COUNTIF('Elève (6ème5)'!QC15:QE17,"C"))*2)+((COUNTIF('Elève (6ème5)'!QC15:QE17,"D"))*1))/(COUNTA(QC15:QE17)),"")</f>
        <v>4</v>
      </c>
      <c r="QG14" s="107" t="str">
        <f t="shared" si="104"/>
        <v>A</v>
      </c>
      <c r="QH14" s="204"/>
      <c r="QI14" s="186"/>
      <c r="QJ14" s="205"/>
      <c r="QK14" s="106" t="str">
        <f>IFERROR((((COUNTIF('Elève (6ème5)'!QH15:QJ17,"A"))*4)+((COUNTIF('Elève (6ème5)'!QH15:QJ17,"B"))*3)+((COUNTIF('Elève (6ème5)'!QH15:QJ17,"C"))*2)+((COUNTIF('Elève (6ème5)'!QH15:QJ17,"D"))*1))/(COUNTA(QH15:QJ17)),"")</f>
        <v/>
      </c>
      <c r="QL14" s="121" t="str">
        <f t="shared" si="105"/>
        <v/>
      </c>
      <c r="QM14" s="100"/>
      <c r="QN14" s="187"/>
      <c r="QO14" s="188"/>
      <c r="QP14" s="106" t="str">
        <f>IFERROR((((COUNTIF('Elève (6ème5)'!QM15:QO17,"A"))*4)+((COUNTIF('Elève (6ème5)'!QM15:QO17,"B"))*3)+((COUNTIF('Elève (6ème5)'!QM15:QO17,"C"))*2)+((COUNTIF('Elève (6ème5)'!QM15:QO17,"D"))*1))/(COUNTA(QM15:QO17)),"")</f>
        <v/>
      </c>
      <c r="QQ14" s="128" t="str">
        <f t="shared" si="106"/>
        <v/>
      </c>
      <c r="QR14" s="177">
        <f>IFERROR((((COUNTIF(QC15:QE17,"A")+COUNTIF(QH15:QJ17,"A")+COUNTIF(QM15:QO17,"A"))*4)+((COUNTIF(QC15:QE17,"B")+COUNTIF(QH15:QJ17,"B")+COUNTIF(QM15:QO17,"B"))*3)+((COUNTIF(QC15:QE17,"C")+COUNTIF(QH15:QJ17,"C")+COUNTIF(QM15:QO17,"C"))*2)+((COUNTIF(QC15:QE17,"D")+COUNTIF(QH15:QJ17,"D")+COUNTIF(QM15:QO17,"D"))*1))/(COUNTA(QC15:QE17)+COUNTA(QH15:QJ17)+COUNTA(QM15:QO17)),"")</f>
        <v>4</v>
      </c>
      <c r="QS14" s="130" t="str">
        <f t="shared" si="107"/>
        <v>A</v>
      </c>
      <c r="QT14" s="152"/>
      <c r="QU14" s="185"/>
      <c r="QV14" s="185"/>
      <c r="QW14" s="106">
        <f>IFERROR((((COUNTIF('Elève (6ème5)'!QT15:QV17,"A"))*4)+((COUNTIF('Elève (6ème5)'!QT15:QV17,"B"))*3)+((COUNTIF('Elève (6ème5)'!QT15:QV17,"C"))*2)+((COUNTIF('Elève (6ème5)'!QT15:QV17,"D"))*1))/(COUNTA(QT15:QV17)),"")</f>
        <v>2</v>
      </c>
      <c r="QX14" s="107" t="str">
        <f t="shared" si="108"/>
        <v>C</v>
      </c>
      <c r="QY14" s="204"/>
      <c r="QZ14" s="186"/>
      <c r="RA14" s="205"/>
      <c r="RB14" s="106" t="str">
        <f>IFERROR((((COUNTIF('Elève (6ème5)'!QY15:RA17,"A"))*4)+((COUNTIF('Elève (6ème5)'!QY15:RA17,"B"))*3)+((COUNTIF('Elève (6ème5)'!QY15:RA17,"C"))*2)+((COUNTIF('Elève (6ème5)'!QY15:RA17,"D"))*1))/(COUNTA(QY15:RA17)),"")</f>
        <v/>
      </c>
      <c r="RC14" s="121" t="str">
        <f t="shared" si="109"/>
        <v/>
      </c>
      <c r="RD14" s="100"/>
      <c r="RE14" s="187"/>
      <c r="RF14" s="188"/>
      <c r="RG14" s="106" t="str">
        <f>IFERROR((((COUNTIF('Elève (6ème5)'!RD15:RF17,"A"))*4)+((COUNTIF('Elève (6ème5)'!RD15:RF17,"B"))*3)+((COUNTIF('Elève (6ème5)'!RD15:RF17,"C"))*2)+((COUNTIF('Elève (6ème5)'!RD15:RF17,"D"))*1))/(COUNTA(RD15:RF17)),"")</f>
        <v/>
      </c>
      <c r="RH14" s="128" t="str">
        <f t="shared" si="110"/>
        <v/>
      </c>
      <c r="RI14" s="177">
        <f>IFERROR((((COUNTIF(QT15:QV17,"A")+COUNTIF(QY15:RA17,"A")+COUNTIF(RD15:RF17,"A"))*4)+((COUNTIF(QT15:QV17,"B")+COUNTIF(QY15:RA17,"B")+COUNTIF(RD15:RF17,"B"))*3)+((COUNTIF(QT15:QV17,"C")+COUNTIF(QY15:RA17,"C")+COUNTIF(RD15:RF17,"C"))*2)+((COUNTIF(QT15:QV17,"D")+COUNTIF(QY15:RA17,"D")+COUNTIF(RD15:RF17,"D"))*1))/(COUNTA(QT15:QV17)+COUNTA(QY15:RA17)+COUNTA(RD15:RF17)),"")</f>
        <v>2</v>
      </c>
      <c r="RJ14" s="130" t="str">
        <f t="shared" si="111"/>
        <v>C</v>
      </c>
      <c r="RK14" s="152"/>
      <c r="RL14" s="185"/>
      <c r="RM14" s="185"/>
      <c r="RN14" s="106" t="str">
        <f>IFERROR((((COUNTIF('Elève (6ème5)'!RK15:RM17,"A"))*4)+((COUNTIF('Elève (6ème5)'!RK15:RM17,"B"))*3)+((COUNTIF('Elève (6ème5)'!RK15:RM17,"C"))*2)+((COUNTIF('Elève (6ème5)'!RK15:RM17,"D"))*1))/(COUNTA(RK15:RM17)),"")</f>
        <v/>
      </c>
      <c r="RO14" s="107" t="str">
        <f t="shared" si="112"/>
        <v/>
      </c>
      <c r="RP14" s="204"/>
      <c r="RQ14" s="186"/>
      <c r="RR14" s="205"/>
      <c r="RS14" s="106" t="str">
        <f>IFERROR((((COUNTIF('Elève (6ème5)'!RP15:RR17,"A"))*4)+((COUNTIF('Elève (6ème5)'!RP15:RR17,"B"))*3)+((COUNTIF('Elève (6ème5)'!RP15:RR17,"C"))*2)+((COUNTIF('Elève (6ème5)'!RP15:RR17,"D"))*1))/(COUNTA(RP15:RR17)),"")</f>
        <v/>
      </c>
      <c r="RT14" s="121" t="str">
        <f t="shared" si="113"/>
        <v/>
      </c>
      <c r="RU14" s="100"/>
      <c r="RV14" s="187"/>
      <c r="RW14" s="188"/>
      <c r="RX14" s="106" t="str">
        <f>IFERROR((((COUNTIF('Elève (6ème5)'!RU15:RW17,"A"))*4)+((COUNTIF('Elève (6ème5)'!RU15:RW17,"B"))*3)+((COUNTIF('Elève (6ème5)'!RU15:RW17,"C"))*2)+((COUNTIF('Elève (6ème5)'!RU15:RW17,"D"))*1))/(COUNTA(RU15:RW17)),"")</f>
        <v/>
      </c>
      <c r="RY14" s="128" t="str">
        <f t="shared" si="114"/>
        <v/>
      </c>
      <c r="RZ14" s="177" t="str">
        <f>IFERROR((((COUNTIF(RK15:RM17,"A")+COUNTIF(RP15:RR17,"A")+COUNTIF(RU15:RW17,"A"))*4)+((COUNTIF(RK15:RM17,"B")+COUNTIF(RP15:RR17,"B")+COUNTIF(RU15:RW17,"B"))*3)+((COUNTIF(RK15:RM17,"C")+COUNTIF(RP15:RR17,"C")+COUNTIF(RU15:RW17,"C"))*2)+((COUNTIF(RK15:RM17,"D")+COUNTIF(RP15:RR17,"D")+COUNTIF(RU15:RW17,"D"))*1))/(COUNTA(RK15:RM17)+COUNTA(RP15:RR17)+COUNTA(RU15:RW17)),"")</f>
        <v/>
      </c>
      <c r="SA14" s="130" t="str">
        <f t="shared" si="115"/>
        <v/>
      </c>
      <c r="SB14" s="152"/>
      <c r="SC14" s="185"/>
      <c r="SD14" s="185"/>
      <c r="SE14" s="106" t="str">
        <f>IFERROR((((COUNTIF('Elève (6ème5)'!SB15:SD17,"A"))*4)+((COUNTIF('Elève (6ème5)'!SB15:SD17,"B"))*3)+((COUNTIF('Elève (6ème5)'!SB15:SD17,"C"))*2)+((COUNTIF('Elève (6ème5)'!SB15:SD17,"D"))*1))/(COUNTA(SB15:SD17)),"")</f>
        <v/>
      </c>
      <c r="SF14" s="107" t="str">
        <f t="shared" si="116"/>
        <v/>
      </c>
      <c r="SG14" s="204"/>
      <c r="SH14" s="186"/>
      <c r="SI14" s="205"/>
      <c r="SJ14" s="106" t="str">
        <f>IFERROR((((COUNTIF('Elève (6ème5)'!SG15:SI17,"A"))*4)+((COUNTIF('Elève (6ème5)'!SG15:SI17,"B"))*3)+((COUNTIF('Elève (6ème5)'!SG15:SI17,"C"))*2)+((COUNTIF('Elève (6ème5)'!SG15:SI17,"D"))*1))/(COUNTA(SG15:SI17)),"")</f>
        <v/>
      </c>
      <c r="SK14" s="121" t="str">
        <f t="shared" si="117"/>
        <v/>
      </c>
      <c r="SL14" s="100"/>
      <c r="SM14" s="187"/>
      <c r="SN14" s="188"/>
      <c r="SO14" s="106" t="str">
        <f>IFERROR((((COUNTIF('Elève (6ème5)'!SL15:SN17,"A"))*4)+((COUNTIF('Elève (6ème5)'!SL15:SN17,"B"))*3)+((COUNTIF('Elève (6ème5)'!SL15:SN17,"C"))*2)+((COUNTIF('Elève (6ème5)'!SL15:SN17,"D"))*1))/(COUNTA(SL15:SN17)),"")</f>
        <v/>
      </c>
      <c r="SP14" s="128" t="str">
        <f t="shared" si="118"/>
        <v/>
      </c>
      <c r="SQ14" s="177" t="str">
        <f>IFERROR((((COUNTIF(SB15:SD17,"A")+COUNTIF(SG15:SI17,"A")+COUNTIF(SL15:SN17,"A"))*4)+((COUNTIF(SB15:SD17,"B")+COUNTIF(SG15:SI17,"B")+COUNTIF(SL15:SN17,"B"))*3)+((COUNTIF(SB15:SD17,"C")+COUNTIF(SG15:SI17,"C")+COUNTIF(SL15:SN17,"C"))*2)+((COUNTIF(SB15:SD17,"D")+COUNTIF(SG15:SI17,"D")+COUNTIF(SL15:SN17,"D"))*1))/(COUNTA(SB15:SD17)+COUNTA(SG15:SI17)+COUNTA(SL15:SN17)),"")</f>
        <v/>
      </c>
      <c r="SR14" s="130" t="str">
        <f t="shared" si="119"/>
        <v/>
      </c>
    </row>
    <row r="15" spans="1:512" s="72" customFormat="1" ht="18" customHeight="1" x14ac:dyDescent="0.25">
      <c r="A15" s="240" t="s">
        <v>18</v>
      </c>
      <c r="B15" s="241"/>
      <c r="C15" s="156"/>
      <c r="D15" s="157" t="s">
        <v>25</v>
      </c>
      <c r="E15" s="158"/>
      <c r="F15" s="108">
        <f>IFERROR((((COUNTIF('Elève (6ème5)'!C15:E15,"A"))*4)+((COUNTIF('Elève (6ème5)'!C15:E15,"B"))*3)+((COUNTIF('Elève (6ème5)'!C15:E15,"C"))*2)+((COUNTIF('Elève (6ème5)'!C15:E15,"D"))*1))/(COUNTA(C15:E15)),"")</f>
        <v>3</v>
      </c>
      <c r="G15" s="109" t="str">
        <f t="shared" si="0"/>
        <v>B</v>
      </c>
      <c r="H15" s="81"/>
      <c r="I15" s="82"/>
      <c r="J15" s="83"/>
      <c r="K15" s="108" t="str">
        <f>IFERROR((((COUNTIF('Elève (6ème5)'!H15:J15,"A"))*4)+((COUNTIF('Elève (6ème5)'!H15:J15,"B"))*3)+((COUNTIF('Elève (6ème5)'!H15:J15,"C"))*2)+((COUNTIF('Elève (6ème5)'!H15:J15,"D"))*1))/(COUNTA(H15:J15)),"")</f>
        <v/>
      </c>
      <c r="L15" s="109" t="str">
        <f t="shared" si="1"/>
        <v/>
      </c>
      <c r="M15" s="81"/>
      <c r="N15" s="82"/>
      <c r="O15" s="83"/>
      <c r="P15" s="108" t="str">
        <f>IFERROR((((COUNTIF('Elève (6ème5)'!M15:O15,"A"))*4)+((COUNTIF('Elève (6ème5)'!M15:O15,"B"))*3)+((COUNTIF('Elève (6ème5)'!M15:O15,"C"))*2)+((COUNTIF('Elève (6ème5)'!M15:O15,"D"))*1))/(COUNTA(M15:O15)),"")</f>
        <v/>
      </c>
      <c r="Q15" s="109" t="str">
        <f t="shared" si="2"/>
        <v/>
      </c>
      <c r="R15" s="178">
        <f>IF(COUNT(F15,K15,P15)=0,"",SUM(F15,K15,P15)/COUNT(F15,K15,P15))</f>
        <v>3</v>
      </c>
      <c r="S15" s="134" t="str">
        <f t="shared" si="3"/>
        <v>B</v>
      </c>
      <c r="T15" s="156"/>
      <c r="U15" s="157" t="s">
        <v>26</v>
      </c>
      <c r="V15" s="158"/>
      <c r="W15" s="108">
        <f>IFERROR((((COUNTIF('Elève (6ème5)'!T15:V15,"A"))*4)+((COUNTIF('Elève (6ème5)'!T15:V15,"B"))*3)+((COUNTIF('Elève (6ème5)'!T15:V15,"C"))*2)+((COUNTIF('Elève (6ème5)'!T15:V15,"D"))*1))/(COUNTA(T15:V15)),"")</f>
        <v>2</v>
      </c>
      <c r="X15" s="109" t="str">
        <f t="shared" si="4"/>
        <v>C</v>
      </c>
      <c r="Y15" s="81"/>
      <c r="Z15" s="82"/>
      <c r="AA15" s="83"/>
      <c r="AB15" s="108" t="str">
        <f>IFERROR((((COUNTIF('Elève (6ème5)'!Y15:AA15,"A"))*4)+((COUNTIF('Elève (6ème5)'!Y15:AA15,"B"))*3)+((COUNTIF('Elève (6ème5)'!Y15:AA15,"C"))*2)+((COUNTIF('Elève (6ème5)'!Y15:AA15,"D"))*1))/(COUNTA(Y15:AA15)),"")</f>
        <v/>
      </c>
      <c r="AC15" s="109" t="str">
        <f t="shared" si="5"/>
        <v/>
      </c>
      <c r="AD15" s="81"/>
      <c r="AE15" s="82"/>
      <c r="AF15" s="83"/>
      <c r="AG15" s="108" t="str">
        <f>IFERROR((((COUNTIF('Elève (6ème5)'!AD15:AF15,"A"))*4)+((COUNTIF('Elève (6ème5)'!AD15:AF15,"B"))*3)+((COUNTIF('Elève (6ème5)'!AD15:AF15,"C"))*2)+((COUNTIF('Elève (6ème5)'!AD15:AF15,"D"))*1))/(COUNTA(AD15:AF15)),"")</f>
        <v/>
      </c>
      <c r="AH15" s="109" t="str">
        <f t="shared" si="6"/>
        <v/>
      </c>
      <c r="AI15" s="178">
        <f>IF(COUNT(W15,AB15,AG15)=0,"",SUM(W15,AB15,AG15)/COUNT(W15,AB15,AG15))</f>
        <v>2</v>
      </c>
      <c r="AJ15" s="134" t="str">
        <f t="shared" si="7"/>
        <v>C</v>
      </c>
      <c r="AK15" s="156"/>
      <c r="AL15" s="157" t="s">
        <v>24</v>
      </c>
      <c r="AM15" s="158"/>
      <c r="AN15" s="108">
        <f>IFERROR((((COUNTIF('Elève (6ème5)'!AK15:AM15,"A"))*4)+((COUNTIF('Elève (6ème5)'!AK15:AM15,"B"))*3)+((COUNTIF('Elève (6ème5)'!AK15:AM15,"C"))*2)+((COUNTIF('Elève (6ème5)'!AK15:AM15,"D"))*1))/(COUNTA(AK15:AM15)),"")</f>
        <v>4</v>
      </c>
      <c r="AO15" s="109" t="str">
        <f t="shared" si="8"/>
        <v>A</v>
      </c>
      <c r="AP15" s="81"/>
      <c r="AQ15" s="82"/>
      <c r="AR15" s="83"/>
      <c r="AS15" s="108" t="str">
        <f>IFERROR((((COUNTIF('Elève (6ème5)'!AP15:AR15,"A"))*4)+((COUNTIF('Elève (6ème5)'!AP15:AR15,"B"))*3)+((COUNTIF('Elève (6ème5)'!AP15:AR15,"C"))*2)+((COUNTIF('Elève (6ème5)'!AP15:AR15,"D"))*1))/(COUNTA(AP15:AR15)),"")</f>
        <v/>
      </c>
      <c r="AT15" s="109" t="str">
        <f t="shared" si="9"/>
        <v/>
      </c>
      <c r="AU15" s="81"/>
      <c r="AV15" s="82"/>
      <c r="AW15" s="83"/>
      <c r="AX15" s="108" t="str">
        <f>IFERROR((((COUNTIF('Elève (6ème5)'!AU15:AW15,"A"))*4)+((COUNTIF('Elève (6ème5)'!AU15:AW15,"B"))*3)+((COUNTIF('Elève (6ème5)'!AU15:AW15,"C"))*2)+((COUNTIF('Elève (6ème5)'!AU15:AW15,"D"))*1))/(COUNTA(AU15:AW15)),"")</f>
        <v/>
      </c>
      <c r="AY15" s="109" t="str">
        <f t="shared" si="10"/>
        <v/>
      </c>
      <c r="AZ15" s="178">
        <f>IF(COUNT(AN15,AS15,AX15)=0,"",SUM(AN15,AS15,AX15)/COUNT(AN15,AS15,AX15))</f>
        <v>4</v>
      </c>
      <c r="BA15" s="134" t="str">
        <f t="shared" si="11"/>
        <v>A</v>
      </c>
      <c r="BB15" s="156"/>
      <c r="BC15" s="157" t="s">
        <v>26</v>
      </c>
      <c r="BD15" s="158"/>
      <c r="BE15" s="108">
        <f>IFERROR((((COUNTIF('Elève (6ème5)'!BB15:BD15,"A"))*4)+((COUNTIF('Elève (6ème5)'!BB15:BD15,"B"))*3)+((COUNTIF('Elève (6ème5)'!BB15:BD15,"C"))*2)+((COUNTIF('Elève (6ème5)'!BB15:BD15,"D"))*1))/(COUNTA(BB15:BD15)),"")</f>
        <v>2</v>
      </c>
      <c r="BF15" s="109" t="str">
        <f t="shared" si="12"/>
        <v>C</v>
      </c>
      <c r="BG15" s="81"/>
      <c r="BH15" s="82"/>
      <c r="BI15" s="83"/>
      <c r="BJ15" s="108" t="str">
        <f>IFERROR((((COUNTIF('Elève (6ème5)'!BG15:BI15,"A"))*4)+((COUNTIF('Elève (6ème5)'!BG15:BI15,"B"))*3)+((COUNTIF('Elève (6ème5)'!BG15:BI15,"C"))*2)+((COUNTIF('Elève (6ème5)'!BG15:BI15,"D"))*1))/(COUNTA(BG15:BI15)),"")</f>
        <v/>
      </c>
      <c r="BK15" s="109" t="str">
        <f t="shared" si="13"/>
        <v/>
      </c>
      <c r="BL15" s="81"/>
      <c r="BM15" s="82"/>
      <c r="BN15" s="83"/>
      <c r="BO15" s="108" t="str">
        <f>IFERROR((((COUNTIF('Elève (6ème5)'!BL15:BN15,"A"))*4)+((COUNTIF('Elève (6ème5)'!BL15:BN15,"B"))*3)+((COUNTIF('Elève (6ème5)'!BL15:BN15,"C"))*2)+((COUNTIF('Elève (6ème5)'!BL15:BN15,"D"))*1))/(COUNTA(BL15:BN15)),"")</f>
        <v/>
      </c>
      <c r="BP15" s="109" t="str">
        <f t="shared" si="14"/>
        <v/>
      </c>
      <c r="BQ15" s="178">
        <f>IF(COUNT(BE15,BJ15,BO15)=0,"",SUM(BE15,BJ15,BO15)/COUNT(BE15,BJ15,BO15))</f>
        <v>2</v>
      </c>
      <c r="BR15" s="134" t="str">
        <f t="shared" si="15"/>
        <v>C</v>
      </c>
      <c r="BS15" s="156"/>
      <c r="BT15" s="157" t="s">
        <v>25</v>
      </c>
      <c r="BU15" s="158"/>
      <c r="BV15" s="108">
        <f>IFERROR((((COUNTIF('Elève (6ème5)'!BS15:BU15,"A"))*4)+((COUNTIF('Elève (6ème5)'!BS15:BU15,"B"))*3)+((COUNTIF('Elève (6ème5)'!BS15:BU15,"C"))*2)+((COUNTIF('Elève (6ème5)'!BS15:BU15,"D"))*1))/(COUNTA(BS15:BU15)),"")</f>
        <v>3</v>
      </c>
      <c r="BW15" s="109" t="str">
        <f t="shared" si="16"/>
        <v>B</v>
      </c>
      <c r="BX15" s="81"/>
      <c r="BY15" s="82"/>
      <c r="BZ15" s="83"/>
      <c r="CA15" s="108" t="str">
        <f>IFERROR((((COUNTIF('Elève (6ème5)'!BX15:BZ15,"A"))*4)+((COUNTIF('Elève (6ème5)'!BX15:BZ15,"B"))*3)+((COUNTIF('Elève (6ème5)'!BX15:BZ15,"C"))*2)+((COUNTIF('Elève (6ème5)'!BX15:BZ15,"D"))*1))/(COUNTA(BX15:BZ15)),"")</f>
        <v/>
      </c>
      <c r="CB15" s="109" t="str">
        <f t="shared" si="17"/>
        <v/>
      </c>
      <c r="CC15" s="81"/>
      <c r="CD15" s="82"/>
      <c r="CE15" s="83"/>
      <c r="CF15" s="108" t="str">
        <f>IFERROR((((COUNTIF('Elève (6ème5)'!CC15:CE15,"A"))*4)+((COUNTIF('Elève (6ème5)'!CC15:CE15,"B"))*3)+((COUNTIF('Elève (6ème5)'!CC15:CE15,"C"))*2)+((COUNTIF('Elève (6ème5)'!CC15:CE15,"D"))*1))/(COUNTA(CC15:CE15)),"")</f>
        <v/>
      </c>
      <c r="CG15" s="109" t="str">
        <f t="shared" si="18"/>
        <v/>
      </c>
      <c r="CH15" s="178">
        <f>IF(COUNT(BV15,CA15,CF15)=0,"",SUM(BV15,CA15,CF15)/COUNT(BV15,CA15,CF15))</f>
        <v>3</v>
      </c>
      <c r="CI15" s="134" t="str">
        <f t="shared" si="19"/>
        <v>B</v>
      </c>
      <c r="CJ15" s="156"/>
      <c r="CK15" s="157" t="s">
        <v>27</v>
      </c>
      <c r="CL15" s="158"/>
      <c r="CM15" s="108">
        <f>IFERROR((((COUNTIF('Elève (6ème5)'!CJ15:CL15,"A"))*4)+((COUNTIF('Elève (6ème5)'!CJ15:CL15,"B"))*3)+((COUNTIF('Elève (6ème5)'!CJ15:CL15,"C"))*2)+((COUNTIF('Elève (6ème5)'!CJ15:CL15,"D"))*1))/(COUNTA(CJ15:CL15)),"")</f>
        <v>1</v>
      </c>
      <c r="CN15" s="109" t="str">
        <f t="shared" si="20"/>
        <v>D</v>
      </c>
      <c r="CO15" s="81"/>
      <c r="CP15" s="82"/>
      <c r="CQ15" s="83"/>
      <c r="CR15" s="108" t="str">
        <f>IFERROR((((COUNTIF('Elève (6ème5)'!CO15:CQ15,"A"))*4)+((COUNTIF('Elève (6ème5)'!CO15:CQ15,"B"))*3)+((COUNTIF('Elève (6ème5)'!CO15:CQ15,"C"))*2)+((COUNTIF('Elève (6ème5)'!CO15:CQ15,"D"))*1))/(COUNTA(CO15:CQ15)),"")</f>
        <v/>
      </c>
      <c r="CS15" s="109" t="str">
        <f t="shared" si="21"/>
        <v/>
      </c>
      <c r="CT15" s="81"/>
      <c r="CU15" s="82"/>
      <c r="CV15" s="83"/>
      <c r="CW15" s="108" t="str">
        <f>IFERROR((((COUNTIF('Elève (6ème5)'!CT15:CV15,"A"))*4)+((COUNTIF('Elève (6ème5)'!CT15:CV15,"B"))*3)+((COUNTIF('Elève (6ème5)'!CT15:CV15,"C"))*2)+((COUNTIF('Elève (6ème5)'!CT15:CV15,"D"))*1))/(COUNTA(CT15:CV15)),"")</f>
        <v/>
      </c>
      <c r="CX15" s="109" t="str">
        <f t="shared" si="22"/>
        <v/>
      </c>
      <c r="CY15" s="178">
        <f>IF(COUNT(CM15,CR15,CW15)=0,"",SUM(CM15,CR15,CW15)/COUNT(CM15,CR15,CW15))</f>
        <v>1</v>
      </c>
      <c r="CZ15" s="134" t="str">
        <f t="shared" si="23"/>
        <v>D</v>
      </c>
      <c r="DA15" s="156"/>
      <c r="DB15" s="157" t="s">
        <v>26</v>
      </c>
      <c r="DC15" s="158"/>
      <c r="DD15" s="108">
        <f>IFERROR((((COUNTIF('Elève (6ème5)'!DA15:DC15,"A"))*4)+((COUNTIF('Elève (6ème5)'!DA15:DC15,"B"))*3)+((COUNTIF('Elève (6ème5)'!DA15:DC15,"C"))*2)+((COUNTIF('Elève (6ème5)'!DA15:DC15,"D"))*1))/(COUNTA(DA15:DC15)),"")</f>
        <v>2</v>
      </c>
      <c r="DE15" s="109" t="str">
        <f t="shared" si="24"/>
        <v>C</v>
      </c>
      <c r="DF15" s="81"/>
      <c r="DG15" s="82"/>
      <c r="DH15" s="83"/>
      <c r="DI15" s="108" t="str">
        <f>IFERROR((((COUNTIF('Elève (6ème5)'!DF15:DH15,"A"))*4)+((COUNTIF('Elève (6ème5)'!DF15:DH15,"B"))*3)+((COUNTIF('Elève (6ème5)'!DF15:DH15,"C"))*2)+((COUNTIF('Elève (6ème5)'!DF15:DH15,"D"))*1))/(COUNTA(DF15:DH15)),"")</f>
        <v/>
      </c>
      <c r="DJ15" s="109" t="str">
        <f t="shared" si="25"/>
        <v/>
      </c>
      <c r="DK15" s="81"/>
      <c r="DL15" s="82"/>
      <c r="DM15" s="83"/>
      <c r="DN15" s="108" t="str">
        <f>IFERROR((((COUNTIF('Elève (6ème5)'!DK15:DM15,"A"))*4)+((COUNTIF('Elève (6ème5)'!DK15:DM15,"B"))*3)+((COUNTIF('Elève (6ème5)'!DK15:DM15,"C"))*2)+((COUNTIF('Elève (6ème5)'!DK15:DM15,"D"))*1))/(COUNTA(DK15:DM15)),"")</f>
        <v/>
      </c>
      <c r="DO15" s="109" t="str">
        <f t="shared" si="26"/>
        <v/>
      </c>
      <c r="DP15" s="178">
        <f>IF(COUNT(DD15,DI15,DN15)=0,"",SUM(DD15,DI15,DN15)/COUNT(DD15,DI15,DN15))</f>
        <v>2</v>
      </c>
      <c r="DQ15" s="134" t="str">
        <f t="shared" si="27"/>
        <v>C</v>
      </c>
      <c r="DR15" s="156"/>
      <c r="DS15" s="157" t="s">
        <v>26</v>
      </c>
      <c r="DT15" s="158"/>
      <c r="DU15" s="108">
        <f>IFERROR((((COUNTIF('Elève (6ème5)'!DR15:DT15,"A"))*4)+((COUNTIF('Elève (6ème5)'!DR15:DT15,"B"))*3)+((COUNTIF('Elève (6ème5)'!DR15:DT15,"C"))*2)+((COUNTIF('Elève (6ème5)'!DR15:DT15,"D"))*1))/(COUNTA(DR15:DT15)),"")</f>
        <v>2</v>
      </c>
      <c r="DV15" s="109" t="str">
        <f t="shared" si="28"/>
        <v>C</v>
      </c>
      <c r="DW15" s="81"/>
      <c r="DX15" s="82"/>
      <c r="DY15" s="83"/>
      <c r="DZ15" s="108" t="str">
        <f>IFERROR((((COUNTIF('Elève (6ème5)'!DW15:DY15,"A"))*4)+((COUNTIF('Elève (6ème5)'!DW15:DY15,"B"))*3)+((COUNTIF('Elève (6ème5)'!DW15:DY15,"C"))*2)+((COUNTIF('Elève (6ème5)'!DW15:DY15,"D"))*1))/(COUNTA(DW15:DY15)),"")</f>
        <v/>
      </c>
      <c r="EA15" s="109" t="str">
        <f t="shared" si="29"/>
        <v/>
      </c>
      <c r="EB15" s="81"/>
      <c r="EC15" s="82"/>
      <c r="ED15" s="83"/>
      <c r="EE15" s="108" t="str">
        <f>IFERROR((((COUNTIF('Elève (6ème5)'!EB15:ED15,"A"))*4)+((COUNTIF('Elève (6ème5)'!EB15:ED15,"B"))*3)+((COUNTIF('Elève (6ème5)'!EB15:ED15,"C"))*2)+((COUNTIF('Elève (6ème5)'!EB15:ED15,"D"))*1))/(COUNTA(EB15:ED15)),"")</f>
        <v/>
      </c>
      <c r="EF15" s="109" t="str">
        <f t="shared" si="30"/>
        <v/>
      </c>
      <c r="EG15" s="178">
        <f>IF(COUNT(DU15,DZ15,EE15)=0,"",SUM(DU15,DZ15,EE15)/COUNT(DU15,DZ15,EE15))</f>
        <v>2</v>
      </c>
      <c r="EH15" s="134" t="str">
        <f t="shared" si="31"/>
        <v>C</v>
      </c>
      <c r="EI15" s="156"/>
      <c r="EJ15" s="157" t="s">
        <v>25</v>
      </c>
      <c r="EK15" s="158"/>
      <c r="EL15" s="108">
        <f>IFERROR((((COUNTIF('Elève (6ème5)'!EI15:EK15,"A"))*4)+((COUNTIF('Elève (6ème5)'!EI15:EK15,"B"))*3)+((COUNTIF('Elève (6ème5)'!EI15:EK15,"C"))*2)+((COUNTIF('Elève (6ème5)'!EI15:EK15,"D"))*1))/(COUNTA(EI15:EK15)),"")</f>
        <v>3</v>
      </c>
      <c r="EM15" s="109" t="str">
        <f t="shared" si="32"/>
        <v>B</v>
      </c>
      <c r="EN15" s="81"/>
      <c r="EO15" s="82"/>
      <c r="EP15" s="83"/>
      <c r="EQ15" s="108" t="str">
        <f>IFERROR((((COUNTIF('Elève (6ème5)'!EN15:EP15,"A"))*4)+((COUNTIF('Elève (6ème5)'!EN15:EP15,"B"))*3)+((COUNTIF('Elève (6ème5)'!EN15:EP15,"C"))*2)+((COUNTIF('Elève (6ème5)'!EN15:EP15,"D"))*1))/(COUNTA(EN15:EP15)),"")</f>
        <v/>
      </c>
      <c r="ER15" s="109" t="str">
        <f t="shared" si="33"/>
        <v/>
      </c>
      <c r="ES15" s="81"/>
      <c r="ET15" s="82"/>
      <c r="EU15" s="83"/>
      <c r="EV15" s="108" t="str">
        <f>IFERROR((((COUNTIF('Elève (6ème5)'!ES15:EU15,"A"))*4)+((COUNTIF('Elève (6ème5)'!ES15:EU15,"B"))*3)+((COUNTIF('Elève (6ème5)'!ES15:EU15,"C"))*2)+((COUNTIF('Elève (6ème5)'!ES15:EU15,"D"))*1))/(COUNTA(ES15:EU15)),"")</f>
        <v/>
      </c>
      <c r="EW15" s="109" t="str">
        <f t="shared" si="34"/>
        <v/>
      </c>
      <c r="EX15" s="178">
        <f>IF(COUNT(EL15,EQ15,EV15)=0,"",SUM(EL15,EQ15,EV15)/COUNT(EL15,EQ15,EV15))</f>
        <v>3</v>
      </c>
      <c r="EY15" s="134" t="str">
        <f t="shared" si="35"/>
        <v>B</v>
      </c>
      <c r="EZ15" s="156"/>
      <c r="FA15" s="157" t="s">
        <v>24</v>
      </c>
      <c r="FB15" s="158"/>
      <c r="FC15" s="108">
        <f>IFERROR((((COUNTIF('Elève (6ème5)'!EZ15:FB15,"A"))*4)+((COUNTIF('Elève (6ème5)'!EZ15:FB15,"B"))*3)+((COUNTIF('Elève (6ème5)'!EZ15:FB15,"C"))*2)+((COUNTIF('Elève (6ème5)'!EZ15:FB15,"D"))*1))/(COUNTA(EZ15:FB15)),"")</f>
        <v>4</v>
      </c>
      <c r="FD15" s="109" t="str">
        <f t="shared" si="36"/>
        <v>A</v>
      </c>
      <c r="FE15" s="81"/>
      <c r="FF15" s="82"/>
      <c r="FG15" s="83"/>
      <c r="FH15" s="108" t="str">
        <f>IFERROR((((COUNTIF('Elève (6ème5)'!FE15:FG15,"A"))*4)+((COUNTIF('Elève (6ème5)'!FE15:FG15,"B"))*3)+((COUNTIF('Elève (6ème5)'!FE15:FG15,"C"))*2)+((COUNTIF('Elève (6ème5)'!FE15:FG15,"D"))*1))/(COUNTA(FE15:FG15)),"")</f>
        <v/>
      </c>
      <c r="FI15" s="109" t="str">
        <f t="shared" si="37"/>
        <v/>
      </c>
      <c r="FJ15" s="81"/>
      <c r="FK15" s="82"/>
      <c r="FL15" s="83"/>
      <c r="FM15" s="108" t="str">
        <f>IFERROR((((COUNTIF('Elève (6ème5)'!FJ15:FL15,"A"))*4)+((COUNTIF('Elève (6ème5)'!FJ15:FL15,"B"))*3)+((COUNTIF('Elève (6ème5)'!FJ15:FL15,"C"))*2)+((COUNTIF('Elève (6ème5)'!FJ15:FL15,"D"))*1))/(COUNTA(FJ15:FL15)),"")</f>
        <v/>
      </c>
      <c r="FN15" s="109" t="str">
        <f t="shared" si="38"/>
        <v/>
      </c>
      <c r="FO15" s="178">
        <f>IF(COUNT(FC15,FH15,FM15)=0,"",SUM(FC15,FH15,FM15)/COUNT(FC15,FH15,FM15))</f>
        <v>4</v>
      </c>
      <c r="FP15" s="134" t="str">
        <f t="shared" si="39"/>
        <v>A</v>
      </c>
      <c r="FQ15" s="156"/>
      <c r="FR15" s="157" t="s">
        <v>26</v>
      </c>
      <c r="FS15" s="158"/>
      <c r="FT15" s="108">
        <f>IFERROR((((COUNTIF('Elève (6ème5)'!FQ15:FS15,"A"))*4)+((COUNTIF('Elève (6ème5)'!FQ15:FS15,"B"))*3)+((COUNTIF('Elève (6ème5)'!FQ15:FS15,"C"))*2)+((COUNTIF('Elève (6ème5)'!FQ15:FS15,"D"))*1))/(COUNTA(FQ15:FS15)),"")</f>
        <v>2</v>
      </c>
      <c r="FU15" s="109" t="str">
        <f t="shared" si="40"/>
        <v>C</v>
      </c>
      <c r="FV15" s="81"/>
      <c r="FW15" s="82"/>
      <c r="FX15" s="83"/>
      <c r="FY15" s="108" t="str">
        <f>IFERROR((((COUNTIF('Elève (6ème5)'!FV15:FX15,"A"))*4)+((COUNTIF('Elève (6ème5)'!FV15:FX15,"B"))*3)+((COUNTIF('Elève (6ème5)'!FV15:FX15,"C"))*2)+((COUNTIF('Elève (6ème5)'!FV15:FX15,"D"))*1))/(COUNTA(FV15:FX15)),"")</f>
        <v/>
      </c>
      <c r="FZ15" s="109" t="str">
        <f t="shared" si="41"/>
        <v/>
      </c>
      <c r="GA15" s="81"/>
      <c r="GB15" s="82"/>
      <c r="GC15" s="83"/>
      <c r="GD15" s="108" t="str">
        <f>IFERROR((((COUNTIF('Elève (6ème5)'!GA15:GC15,"A"))*4)+((COUNTIF('Elève (6ème5)'!GA15:GC15,"B"))*3)+((COUNTIF('Elève (6ème5)'!GA15:GC15,"C"))*2)+((COUNTIF('Elève (6ème5)'!GA15:GC15,"D"))*1))/(COUNTA(GA15:GC15)),"")</f>
        <v/>
      </c>
      <c r="GE15" s="109" t="str">
        <f t="shared" si="42"/>
        <v/>
      </c>
      <c r="GF15" s="178">
        <f>IF(COUNT(FT15,FY15,GD15)=0,"",SUM(FT15,FY15,GD15)/COUNT(FT15,FY15,GD15))</f>
        <v>2</v>
      </c>
      <c r="GG15" s="134" t="str">
        <f t="shared" si="43"/>
        <v>C</v>
      </c>
      <c r="GH15" s="156"/>
      <c r="GI15" s="157" t="s">
        <v>25</v>
      </c>
      <c r="GJ15" s="158"/>
      <c r="GK15" s="108">
        <f>IFERROR((((COUNTIF('Elève (6ème5)'!GH15:GJ15,"A"))*4)+((COUNTIF('Elève (6ème5)'!GH15:GJ15,"B"))*3)+((COUNTIF('Elève (6ème5)'!GH15:GJ15,"C"))*2)+((COUNTIF('Elève (6ème5)'!GH15:GJ15,"D"))*1))/(COUNTA(GH15:GJ15)),"")</f>
        <v>3</v>
      </c>
      <c r="GL15" s="109" t="str">
        <f t="shared" si="44"/>
        <v>B</v>
      </c>
      <c r="GM15" s="81"/>
      <c r="GN15" s="82"/>
      <c r="GO15" s="83"/>
      <c r="GP15" s="108" t="str">
        <f>IFERROR((((COUNTIF('Elève (6ème5)'!GM15:GO15,"A"))*4)+((COUNTIF('Elève (6ème5)'!GM15:GO15,"B"))*3)+((COUNTIF('Elève (6ème5)'!GM15:GO15,"C"))*2)+((COUNTIF('Elève (6ème5)'!GM15:GO15,"D"))*1))/(COUNTA(GM15:GO15)),"")</f>
        <v/>
      </c>
      <c r="GQ15" s="109" t="str">
        <f t="shared" si="45"/>
        <v/>
      </c>
      <c r="GR15" s="81"/>
      <c r="GS15" s="82"/>
      <c r="GT15" s="83"/>
      <c r="GU15" s="108" t="str">
        <f>IFERROR((((COUNTIF('Elève (6ème5)'!GR15:GT15,"A"))*4)+((COUNTIF('Elève (6ème5)'!GR15:GT15,"B"))*3)+((COUNTIF('Elève (6ème5)'!GR15:GT15,"C"))*2)+((COUNTIF('Elève (6ème5)'!GR15:GT15,"D"))*1))/(COUNTA(GR15:GT15)),"")</f>
        <v/>
      </c>
      <c r="GV15" s="109" t="str">
        <f t="shared" si="46"/>
        <v/>
      </c>
      <c r="GW15" s="178">
        <f>IF(COUNT(GK15,GP15,GU15)=0,"",SUM(GK15,GP15,GU15)/COUNT(GK15,GP15,GU15))</f>
        <v>3</v>
      </c>
      <c r="GX15" s="134" t="str">
        <f t="shared" si="47"/>
        <v>B</v>
      </c>
      <c r="GY15" s="156"/>
      <c r="GZ15" s="157" t="s">
        <v>24</v>
      </c>
      <c r="HA15" s="158"/>
      <c r="HB15" s="108">
        <f>IFERROR((((COUNTIF('Elève (6ème5)'!GY15:HA15,"A"))*4)+((COUNTIF('Elève (6ème5)'!GY15:HA15,"B"))*3)+((COUNTIF('Elève (6ème5)'!GY15:HA15,"C"))*2)+((COUNTIF('Elève (6ème5)'!GY15:HA15,"D"))*1))/(COUNTA(GY15:HA15)),"")</f>
        <v>4</v>
      </c>
      <c r="HC15" s="109" t="str">
        <f t="shared" si="48"/>
        <v>A</v>
      </c>
      <c r="HD15" s="81"/>
      <c r="HE15" s="82"/>
      <c r="HF15" s="83"/>
      <c r="HG15" s="108" t="str">
        <f>IFERROR((((COUNTIF('Elève (6ème5)'!HD15:HF15,"A"))*4)+((COUNTIF('Elève (6ème5)'!HD15:HF15,"B"))*3)+((COUNTIF('Elève (6ème5)'!HD15:HF15,"C"))*2)+((COUNTIF('Elève (6ème5)'!HD15:HF15,"D"))*1))/(COUNTA(HD15:HF15)),"")</f>
        <v/>
      </c>
      <c r="HH15" s="109" t="str">
        <f t="shared" si="49"/>
        <v/>
      </c>
      <c r="HI15" s="81"/>
      <c r="HJ15" s="82"/>
      <c r="HK15" s="83"/>
      <c r="HL15" s="108" t="str">
        <f>IFERROR((((COUNTIF('Elève (6ème5)'!HI15:HK15,"A"))*4)+((COUNTIF('Elève (6ème5)'!HI15:HK15,"B"))*3)+((COUNTIF('Elève (6ème5)'!HI15:HK15,"C"))*2)+((COUNTIF('Elève (6ème5)'!HI15:HK15,"D"))*1))/(COUNTA(HI15:HK15)),"")</f>
        <v/>
      </c>
      <c r="HM15" s="109" t="str">
        <f t="shared" si="50"/>
        <v/>
      </c>
      <c r="HN15" s="178">
        <f>IF(COUNT(HB15,HG15,HL15)=0,"",SUM(HB15,HG15,HL15)/COUNT(HB15,HG15,HL15))</f>
        <v>4</v>
      </c>
      <c r="HO15" s="134" t="str">
        <f t="shared" si="51"/>
        <v>A</v>
      </c>
      <c r="HP15" s="156"/>
      <c r="HQ15" s="157" t="s">
        <v>25</v>
      </c>
      <c r="HR15" s="158"/>
      <c r="HS15" s="108">
        <f>IFERROR((((COUNTIF('Elève (6ème5)'!HP15:HR15,"A"))*4)+((COUNTIF('Elève (6ème5)'!HP15:HR15,"B"))*3)+((COUNTIF('Elève (6ème5)'!HP15:HR15,"C"))*2)+((COUNTIF('Elève (6ème5)'!HP15:HR15,"D"))*1))/(COUNTA(HP15:HR15)),"")</f>
        <v>3</v>
      </c>
      <c r="HT15" s="109" t="str">
        <f t="shared" si="52"/>
        <v>B</v>
      </c>
      <c r="HU15" s="81"/>
      <c r="HV15" s="82"/>
      <c r="HW15" s="83"/>
      <c r="HX15" s="108" t="str">
        <f>IFERROR((((COUNTIF('Elève (6ème5)'!HU15:HW15,"A"))*4)+((COUNTIF('Elève (6ème5)'!HU15:HW15,"B"))*3)+((COUNTIF('Elève (6ème5)'!HU15:HW15,"C"))*2)+((COUNTIF('Elève (6ème5)'!HU15:HW15,"D"))*1))/(COUNTA(HU15:HW15)),"")</f>
        <v/>
      </c>
      <c r="HY15" s="109" t="str">
        <f t="shared" si="53"/>
        <v/>
      </c>
      <c r="HZ15" s="81"/>
      <c r="IA15" s="82"/>
      <c r="IB15" s="83"/>
      <c r="IC15" s="108" t="str">
        <f>IFERROR((((COUNTIF('Elève (6ème5)'!HZ15:IB15,"A"))*4)+((COUNTIF('Elève (6ème5)'!HZ15:IB15,"B"))*3)+((COUNTIF('Elève (6ème5)'!HZ15:IB15,"C"))*2)+((COUNTIF('Elève (6ème5)'!HZ15:IB15,"D"))*1))/(COUNTA(HZ15:IB15)),"")</f>
        <v/>
      </c>
      <c r="ID15" s="109" t="str">
        <f t="shared" si="54"/>
        <v/>
      </c>
      <c r="IE15" s="178">
        <f>IF(COUNT(HS15,HX15,IC15)=0,"",SUM(HS15,HX15,IC15)/COUNT(HS15,HX15,IC15))</f>
        <v>3</v>
      </c>
      <c r="IF15" s="134" t="str">
        <f t="shared" si="55"/>
        <v>B</v>
      </c>
      <c r="IG15" s="156"/>
      <c r="IH15" s="157" t="s">
        <v>25</v>
      </c>
      <c r="II15" s="158"/>
      <c r="IJ15" s="108">
        <f>IFERROR((((COUNTIF('Elève (6ème5)'!IG15:II15,"A"))*4)+((COUNTIF('Elève (6ème5)'!IG15:II15,"B"))*3)+((COUNTIF('Elève (6ème5)'!IG15:II15,"C"))*2)+((COUNTIF('Elève (6ème5)'!IG15:II15,"D"))*1))/(COUNTA(IG15:II15)),"")</f>
        <v>3</v>
      </c>
      <c r="IK15" s="109" t="str">
        <f t="shared" si="56"/>
        <v>B</v>
      </c>
      <c r="IL15" s="81"/>
      <c r="IM15" s="82"/>
      <c r="IN15" s="83"/>
      <c r="IO15" s="108" t="str">
        <f>IFERROR((((COUNTIF('Elève (6ème5)'!IL15:IN15,"A"))*4)+((COUNTIF('Elève (6ème5)'!IL15:IN15,"B"))*3)+((COUNTIF('Elève (6ème5)'!IL15:IN15,"C"))*2)+((COUNTIF('Elève (6ème5)'!IL15:IN15,"D"))*1))/(COUNTA(IL15:IN15)),"")</f>
        <v/>
      </c>
      <c r="IP15" s="109" t="str">
        <f t="shared" si="57"/>
        <v/>
      </c>
      <c r="IQ15" s="81"/>
      <c r="IR15" s="82"/>
      <c r="IS15" s="83"/>
      <c r="IT15" s="108" t="str">
        <f>IFERROR((((COUNTIF('Elève (6ème5)'!IQ15:IS15,"A"))*4)+((COUNTIF('Elève (6ème5)'!IQ15:IS15,"B"))*3)+((COUNTIF('Elève (6ème5)'!IQ15:IS15,"C"))*2)+((COUNTIF('Elève (6ème5)'!IQ15:IS15,"D"))*1))/(COUNTA(IQ15:IS15)),"")</f>
        <v/>
      </c>
      <c r="IU15" s="109" t="str">
        <f t="shared" si="58"/>
        <v/>
      </c>
      <c r="IV15" s="178">
        <f>IF(COUNT(IJ15,IO15,IT15)=0,"",SUM(IJ15,IO15,IT15)/COUNT(IJ15,IO15,IT15))</f>
        <v>3</v>
      </c>
      <c r="IW15" s="134" t="str">
        <f t="shared" si="59"/>
        <v>B</v>
      </c>
      <c r="IX15" s="156"/>
      <c r="IY15" s="157" t="s">
        <v>24</v>
      </c>
      <c r="IZ15" s="158"/>
      <c r="JA15" s="108">
        <f>IFERROR((((COUNTIF('Elève (6ème5)'!IX15:IZ15,"A"))*4)+((COUNTIF('Elève (6ème5)'!IX15:IZ15,"B"))*3)+((COUNTIF('Elève (6ème5)'!IX15:IZ15,"C"))*2)+((COUNTIF('Elève (6ème5)'!IX15:IZ15,"D"))*1))/(COUNTA(IX15:IZ15)),"")</f>
        <v>4</v>
      </c>
      <c r="JB15" s="109" t="str">
        <f t="shared" si="60"/>
        <v>A</v>
      </c>
      <c r="JC15" s="81"/>
      <c r="JD15" s="82"/>
      <c r="JE15" s="83"/>
      <c r="JF15" s="108" t="str">
        <f>IFERROR((((COUNTIF('Elève (6ème5)'!JC15:JE15,"A"))*4)+((COUNTIF('Elève (6ème5)'!JC15:JE15,"B"))*3)+((COUNTIF('Elève (6ème5)'!JC15:JE15,"C"))*2)+((COUNTIF('Elève (6ème5)'!JC15:JE15,"D"))*1))/(COUNTA(JC15:JE15)),"")</f>
        <v/>
      </c>
      <c r="JG15" s="109" t="str">
        <f t="shared" si="61"/>
        <v/>
      </c>
      <c r="JH15" s="81"/>
      <c r="JI15" s="82"/>
      <c r="JJ15" s="83"/>
      <c r="JK15" s="108" t="str">
        <f>IFERROR((((COUNTIF('Elève (6ème5)'!JH15:JJ15,"A"))*4)+((COUNTIF('Elève (6ème5)'!JH15:JJ15,"B"))*3)+((COUNTIF('Elève (6ème5)'!JH15:JJ15,"C"))*2)+((COUNTIF('Elève (6ème5)'!JH15:JJ15,"D"))*1))/(COUNTA(JH15:JJ15)),"")</f>
        <v/>
      </c>
      <c r="JL15" s="109" t="str">
        <f t="shared" si="62"/>
        <v/>
      </c>
      <c r="JM15" s="178">
        <f>IF(COUNT(JA15,JF15,JK15)=0,"",SUM(JA15,JF15,JK15)/COUNT(JA15,JF15,JK15))</f>
        <v>4</v>
      </c>
      <c r="JN15" s="134" t="str">
        <f t="shared" si="63"/>
        <v>A</v>
      </c>
      <c r="JO15" s="156"/>
      <c r="JP15" s="157" t="s">
        <v>26</v>
      </c>
      <c r="JQ15" s="158"/>
      <c r="JR15" s="108">
        <f>IFERROR((((COUNTIF('Elève (6ème5)'!JO15:JQ15,"A"))*4)+((COUNTIF('Elève (6ème5)'!JO15:JQ15,"B"))*3)+((COUNTIF('Elève (6ème5)'!JO15:JQ15,"C"))*2)+((COUNTIF('Elève (6ème5)'!JO15:JQ15,"D"))*1))/(COUNTA(JO15:JQ15)),"")</f>
        <v>2</v>
      </c>
      <c r="JS15" s="109" t="str">
        <f t="shared" si="64"/>
        <v>C</v>
      </c>
      <c r="JT15" s="81"/>
      <c r="JU15" s="82"/>
      <c r="JV15" s="83"/>
      <c r="JW15" s="108" t="str">
        <f>IFERROR((((COUNTIF('Elève (6ème5)'!JT15:JV15,"A"))*4)+((COUNTIF('Elève (6ème5)'!JT15:JV15,"B"))*3)+((COUNTIF('Elève (6ème5)'!JT15:JV15,"C"))*2)+((COUNTIF('Elève (6ème5)'!JT15:JV15,"D"))*1))/(COUNTA(JT15:JV15)),"")</f>
        <v/>
      </c>
      <c r="JX15" s="109" t="str">
        <f t="shared" si="65"/>
        <v/>
      </c>
      <c r="JY15" s="81"/>
      <c r="JZ15" s="82"/>
      <c r="KA15" s="83"/>
      <c r="KB15" s="108" t="str">
        <f>IFERROR((((COUNTIF('Elève (6ème5)'!JY15:KA15,"A"))*4)+((COUNTIF('Elève (6ème5)'!JY15:KA15,"B"))*3)+((COUNTIF('Elève (6ème5)'!JY15:KA15,"C"))*2)+((COUNTIF('Elève (6ème5)'!JY15:KA15,"D"))*1))/(COUNTA(JY15:KA15)),"")</f>
        <v/>
      </c>
      <c r="KC15" s="109" t="str">
        <f t="shared" si="66"/>
        <v/>
      </c>
      <c r="KD15" s="178">
        <f>IF(COUNT(JR15,JW15,KB15)=0,"",SUM(JR15,JW15,KB15)/COUNT(JR15,JW15,KB15))</f>
        <v>2</v>
      </c>
      <c r="KE15" s="134" t="str">
        <f t="shared" si="67"/>
        <v>C</v>
      </c>
      <c r="KF15" s="156"/>
      <c r="KG15" s="157" t="s">
        <v>26</v>
      </c>
      <c r="KH15" s="158"/>
      <c r="KI15" s="108">
        <f>IFERROR((((COUNTIF('Elève (6ème5)'!KF15:KH15,"A"))*4)+((COUNTIF('Elève (6ème5)'!KF15:KH15,"B"))*3)+((COUNTIF('Elève (6ème5)'!KF15:KH15,"C"))*2)+((COUNTIF('Elève (6ème5)'!KF15:KH15,"D"))*1))/(COUNTA(KF15:KH15)),"")</f>
        <v>2</v>
      </c>
      <c r="KJ15" s="109" t="str">
        <f t="shared" si="68"/>
        <v>C</v>
      </c>
      <c r="KK15" s="81"/>
      <c r="KL15" s="82"/>
      <c r="KM15" s="83"/>
      <c r="KN15" s="108" t="str">
        <f>IFERROR((((COUNTIF('Elève (6ème5)'!KK15:KM15,"A"))*4)+((COUNTIF('Elève (6ème5)'!KK15:KM15,"B"))*3)+((COUNTIF('Elève (6ème5)'!KK15:KM15,"C"))*2)+((COUNTIF('Elève (6ème5)'!KK15:KM15,"D"))*1))/(COUNTA(KK15:KM15)),"")</f>
        <v/>
      </c>
      <c r="KO15" s="109" t="str">
        <f t="shared" si="69"/>
        <v/>
      </c>
      <c r="KP15" s="81"/>
      <c r="KQ15" s="82"/>
      <c r="KR15" s="83"/>
      <c r="KS15" s="108" t="str">
        <f>IFERROR((((COUNTIF('Elève (6ème5)'!KP15:KR15,"A"))*4)+((COUNTIF('Elève (6ème5)'!KP15:KR15,"B"))*3)+((COUNTIF('Elève (6ème5)'!KP15:KR15,"C"))*2)+((COUNTIF('Elève (6ème5)'!KP15:KR15,"D"))*1))/(COUNTA(KP15:KR15)),"")</f>
        <v/>
      </c>
      <c r="KT15" s="109" t="str">
        <f t="shared" si="70"/>
        <v/>
      </c>
      <c r="KU15" s="178">
        <f>IF(COUNT(KI15,KN15,KS15)=0,"",SUM(KI15,KN15,KS15)/COUNT(KI15,KN15,KS15))</f>
        <v>2</v>
      </c>
      <c r="KV15" s="134" t="str">
        <f t="shared" si="71"/>
        <v>C</v>
      </c>
      <c r="KW15" s="156"/>
      <c r="KX15" s="157" t="s">
        <v>26</v>
      </c>
      <c r="KY15" s="158"/>
      <c r="KZ15" s="108">
        <f>IFERROR((((COUNTIF('Elève (6ème5)'!KW15:KY15,"A"))*4)+((COUNTIF('Elève (6ème5)'!KW15:KY15,"B"))*3)+((COUNTIF('Elève (6ème5)'!KW15:KY15,"C"))*2)+((COUNTIF('Elève (6ème5)'!KW15:KY15,"D"))*1))/(COUNTA(KW15:KY15)),"")</f>
        <v>2</v>
      </c>
      <c r="LA15" s="109" t="str">
        <f t="shared" si="72"/>
        <v>C</v>
      </c>
      <c r="LB15" s="81"/>
      <c r="LC15" s="82"/>
      <c r="LD15" s="83"/>
      <c r="LE15" s="108" t="str">
        <f>IFERROR((((COUNTIF('Elève (6ème5)'!LB15:LD15,"A"))*4)+((COUNTIF('Elève (6ème5)'!LB15:LD15,"B"))*3)+((COUNTIF('Elève (6ème5)'!LB15:LD15,"C"))*2)+((COUNTIF('Elève (6ème5)'!LB15:LD15,"D"))*1))/(COUNTA(LB15:LD15)),"")</f>
        <v/>
      </c>
      <c r="LF15" s="109" t="str">
        <f t="shared" si="73"/>
        <v/>
      </c>
      <c r="LG15" s="81"/>
      <c r="LH15" s="82"/>
      <c r="LI15" s="83"/>
      <c r="LJ15" s="108" t="str">
        <f>IFERROR((((COUNTIF('Elève (6ème5)'!LG15:LI15,"A"))*4)+((COUNTIF('Elève (6ème5)'!LG15:LI15,"B"))*3)+((COUNTIF('Elève (6ème5)'!LG15:LI15,"C"))*2)+((COUNTIF('Elève (6ème5)'!LG15:LI15,"D"))*1))/(COUNTA(LG15:LI15)),"")</f>
        <v/>
      </c>
      <c r="LK15" s="109" t="str">
        <f t="shared" si="74"/>
        <v/>
      </c>
      <c r="LL15" s="178">
        <f>IF(COUNT(KZ15,LE15,LJ15)=0,"",SUM(KZ15,LE15,LJ15)/COUNT(KZ15,LE15,LJ15))</f>
        <v>2</v>
      </c>
      <c r="LM15" s="134" t="str">
        <f t="shared" si="75"/>
        <v>C</v>
      </c>
      <c r="LN15" s="156"/>
      <c r="LO15" s="157" t="s">
        <v>25</v>
      </c>
      <c r="LP15" s="158"/>
      <c r="LQ15" s="108">
        <f>IFERROR((((COUNTIF('Elève (6ème5)'!LN15:LP15,"A"))*4)+((COUNTIF('Elève (6ème5)'!LN15:LP15,"B"))*3)+((COUNTIF('Elève (6ème5)'!LN15:LP15,"C"))*2)+((COUNTIF('Elève (6ème5)'!LN15:LP15,"D"))*1))/(COUNTA(LN15:LP15)),"")</f>
        <v>3</v>
      </c>
      <c r="LR15" s="109" t="str">
        <f t="shared" si="76"/>
        <v>B</v>
      </c>
      <c r="LS15" s="81"/>
      <c r="LT15" s="82"/>
      <c r="LU15" s="83"/>
      <c r="LV15" s="108" t="str">
        <f>IFERROR((((COUNTIF('Elève (6ème5)'!LS15:LU15,"A"))*4)+((COUNTIF('Elève (6ème5)'!LS15:LU15,"B"))*3)+((COUNTIF('Elève (6ème5)'!LS15:LU15,"C"))*2)+((COUNTIF('Elève (6ème5)'!LS15:LU15,"D"))*1))/(COUNTA(LS15:LU15)),"")</f>
        <v/>
      </c>
      <c r="LW15" s="109" t="str">
        <f t="shared" si="77"/>
        <v/>
      </c>
      <c r="LX15" s="81"/>
      <c r="LY15" s="82"/>
      <c r="LZ15" s="83"/>
      <c r="MA15" s="108" t="str">
        <f>IFERROR((((COUNTIF('Elève (6ème5)'!LX15:LZ15,"A"))*4)+((COUNTIF('Elève (6ème5)'!LX15:LZ15,"B"))*3)+((COUNTIF('Elève (6ème5)'!LX15:LZ15,"C"))*2)+((COUNTIF('Elève (6ème5)'!LX15:LZ15,"D"))*1))/(COUNTA(LX15:LZ15)),"")</f>
        <v/>
      </c>
      <c r="MB15" s="109" t="str">
        <f t="shared" si="78"/>
        <v/>
      </c>
      <c r="MC15" s="178">
        <f>IF(COUNT(LQ15,LV15,MA15)=0,"",SUM(LQ15,LV15,MA15)/COUNT(LQ15,LV15,MA15))</f>
        <v>3</v>
      </c>
      <c r="MD15" s="134" t="str">
        <f t="shared" si="79"/>
        <v>B</v>
      </c>
      <c r="ME15" s="156"/>
      <c r="MF15" s="157" t="s">
        <v>24</v>
      </c>
      <c r="MG15" s="158"/>
      <c r="MH15" s="108">
        <f>IFERROR((((COUNTIF('Elève (6ème5)'!ME15:MG15,"A"))*4)+((COUNTIF('Elève (6ème5)'!ME15:MG15,"B"))*3)+((COUNTIF('Elève (6ème5)'!ME15:MG15,"C"))*2)+((COUNTIF('Elève (6ème5)'!ME15:MG15,"D"))*1))/(COUNTA(ME15:MG15)),"")</f>
        <v>4</v>
      </c>
      <c r="MI15" s="109" t="str">
        <f t="shared" si="80"/>
        <v>A</v>
      </c>
      <c r="MJ15" s="81"/>
      <c r="MK15" s="82"/>
      <c r="ML15" s="83"/>
      <c r="MM15" s="108" t="str">
        <f>IFERROR((((COUNTIF('Elève (6ème5)'!MJ15:ML15,"A"))*4)+((COUNTIF('Elève (6ème5)'!MJ15:ML15,"B"))*3)+((COUNTIF('Elève (6ème5)'!MJ15:ML15,"C"))*2)+((COUNTIF('Elève (6ème5)'!MJ15:ML15,"D"))*1))/(COUNTA(MJ15:ML15)),"")</f>
        <v/>
      </c>
      <c r="MN15" s="109" t="str">
        <f t="shared" si="81"/>
        <v/>
      </c>
      <c r="MO15" s="81"/>
      <c r="MP15" s="82"/>
      <c r="MQ15" s="83"/>
      <c r="MR15" s="108" t="str">
        <f>IFERROR((((COUNTIF('Elève (6ème5)'!MO15:MQ15,"A"))*4)+((COUNTIF('Elève (6ème5)'!MO15:MQ15,"B"))*3)+((COUNTIF('Elève (6ème5)'!MO15:MQ15,"C"))*2)+((COUNTIF('Elève (6ème5)'!MO15:MQ15,"D"))*1))/(COUNTA(MO15:MQ15)),"")</f>
        <v/>
      </c>
      <c r="MS15" s="109" t="str">
        <f t="shared" si="82"/>
        <v/>
      </c>
      <c r="MT15" s="178">
        <f>IF(COUNT(MH15,MM15,MR15)=0,"",SUM(MH15,MM15,MR15)/COUNT(MH15,MM15,MR15))</f>
        <v>4</v>
      </c>
      <c r="MU15" s="134" t="str">
        <f t="shared" si="83"/>
        <v>A</v>
      </c>
      <c r="MV15" s="156"/>
      <c r="MW15" s="157" t="s">
        <v>26</v>
      </c>
      <c r="MX15" s="158"/>
      <c r="MY15" s="108">
        <f>IFERROR((((COUNTIF('Elève (6ème5)'!MV15:MX15,"A"))*4)+((COUNTIF('Elève (6ème5)'!MV15:MX15,"B"))*3)+((COUNTIF('Elève (6ème5)'!MV15:MX15,"C"))*2)+((COUNTIF('Elève (6ème5)'!MV15:MX15,"D"))*1))/(COUNTA(MV15:MX15)),"")</f>
        <v>2</v>
      </c>
      <c r="MZ15" s="109" t="str">
        <f t="shared" si="84"/>
        <v>C</v>
      </c>
      <c r="NA15" s="81"/>
      <c r="NB15" s="82"/>
      <c r="NC15" s="83"/>
      <c r="ND15" s="108" t="str">
        <f>IFERROR((((COUNTIF('Elève (6ème5)'!NA15:NC15,"A"))*4)+((COUNTIF('Elève (6ème5)'!NA15:NC15,"B"))*3)+((COUNTIF('Elève (6ème5)'!NA15:NC15,"C"))*2)+((COUNTIF('Elève (6ème5)'!NA15:NC15,"D"))*1))/(COUNTA(NA15:NC15)),"")</f>
        <v/>
      </c>
      <c r="NE15" s="109" t="str">
        <f t="shared" si="85"/>
        <v/>
      </c>
      <c r="NF15" s="81"/>
      <c r="NG15" s="82"/>
      <c r="NH15" s="83"/>
      <c r="NI15" s="108" t="str">
        <f>IFERROR((((COUNTIF('Elève (6ème5)'!NF15:NH15,"A"))*4)+((COUNTIF('Elève (6ème5)'!NF15:NH15,"B"))*3)+((COUNTIF('Elève (6ème5)'!NF15:NH15,"C"))*2)+((COUNTIF('Elève (6ème5)'!NF15:NH15,"D"))*1))/(COUNTA(NF15:NH15)),"")</f>
        <v/>
      </c>
      <c r="NJ15" s="109" t="str">
        <f t="shared" si="86"/>
        <v/>
      </c>
      <c r="NK15" s="178">
        <f>IF(COUNT(MY15,ND15,NI15)=0,"",SUM(MY15,ND15,NI15)/COUNT(MY15,ND15,NI15))</f>
        <v>2</v>
      </c>
      <c r="NL15" s="134" t="str">
        <f t="shared" si="87"/>
        <v>C</v>
      </c>
      <c r="NM15" s="156"/>
      <c r="NN15" s="157" t="s">
        <v>24</v>
      </c>
      <c r="NO15" s="158"/>
      <c r="NP15" s="108">
        <f>IFERROR((((COUNTIF('Elève (6ème5)'!NM15:NO15,"A"))*4)+((COUNTIF('Elève (6ème5)'!NM15:NO15,"B"))*3)+((COUNTIF('Elève (6ème5)'!NM15:NO15,"C"))*2)+((COUNTIF('Elève (6ème5)'!NM15:NO15,"D"))*1))/(COUNTA(NM15:NO15)),"")</f>
        <v>4</v>
      </c>
      <c r="NQ15" s="109" t="str">
        <f t="shared" si="88"/>
        <v>A</v>
      </c>
      <c r="NR15" s="81"/>
      <c r="NS15" s="82"/>
      <c r="NT15" s="83"/>
      <c r="NU15" s="108" t="str">
        <f>IFERROR((((COUNTIF('Elève (6ème5)'!NR15:NT15,"A"))*4)+((COUNTIF('Elève (6ème5)'!NR15:NT15,"B"))*3)+((COUNTIF('Elève (6ème5)'!NR15:NT15,"C"))*2)+((COUNTIF('Elève (6ème5)'!NR15:NT15,"D"))*1))/(COUNTA(NR15:NT15)),"")</f>
        <v/>
      </c>
      <c r="NV15" s="109" t="str">
        <f t="shared" si="89"/>
        <v/>
      </c>
      <c r="NW15" s="81"/>
      <c r="NX15" s="82"/>
      <c r="NY15" s="83"/>
      <c r="NZ15" s="108" t="str">
        <f>IFERROR((((COUNTIF('Elève (6ème5)'!NW15:NY15,"A"))*4)+((COUNTIF('Elève (6ème5)'!NW15:NY15,"B"))*3)+((COUNTIF('Elève (6ème5)'!NW15:NY15,"C"))*2)+((COUNTIF('Elève (6ème5)'!NW15:NY15,"D"))*1))/(COUNTA(NW15:NY15)),"")</f>
        <v/>
      </c>
      <c r="OA15" s="109" t="str">
        <f t="shared" si="90"/>
        <v/>
      </c>
      <c r="OB15" s="178">
        <f>IF(COUNT(NP15,NU15,NZ15)=0,"",SUM(NP15,NU15,NZ15)/COUNT(NP15,NU15,NZ15))</f>
        <v>4</v>
      </c>
      <c r="OC15" s="134" t="str">
        <f t="shared" si="91"/>
        <v>A</v>
      </c>
      <c r="OD15" s="156"/>
      <c r="OE15" s="157"/>
      <c r="OF15" s="158"/>
      <c r="OG15" s="108" t="str">
        <f>IFERROR((((COUNTIF('Elève (6ème5)'!OD15:OF15,"A"))*4)+((COUNTIF('Elève (6ème5)'!OD15:OF15,"B"))*3)+((COUNTIF('Elève (6ème5)'!OD15:OF15,"C"))*2)+((COUNTIF('Elève (6ème5)'!OD15:OF15,"D"))*1))/(COUNTA(OD15:OF15)),"")</f>
        <v/>
      </c>
      <c r="OH15" s="109" t="str">
        <f t="shared" si="92"/>
        <v/>
      </c>
      <c r="OI15" s="81"/>
      <c r="OJ15" s="82"/>
      <c r="OK15" s="83"/>
      <c r="OL15" s="108" t="str">
        <f>IFERROR((((COUNTIF('Elève (6ème5)'!OI15:OK15,"A"))*4)+((COUNTIF('Elève (6ème5)'!OI15:OK15,"B"))*3)+((COUNTIF('Elève (6ème5)'!OI15:OK15,"C"))*2)+((COUNTIF('Elève (6ème5)'!OI15:OK15,"D"))*1))/(COUNTA(OI15:OK15)),"")</f>
        <v/>
      </c>
      <c r="OM15" s="109" t="str">
        <f t="shared" si="93"/>
        <v/>
      </c>
      <c r="ON15" s="81"/>
      <c r="OO15" s="82"/>
      <c r="OP15" s="83"/>
      <c r="OQ15" s="108" t="str">
        <f>IFERROR((((COUNTIF('Elève (6ème5)'!ON15:OP15,"A"))*4)+((COUNTIF('Elève (6ème5)'!ON15:OP15,"B"))*3)+((COUNTIF('Elève (6ème5)'!ON15:OP15,"C"))*2)+((COUNTIF('Elève (6ème5)'!ON15:OP15,"D"))*1))/(COUNTA(ON15:OP15)),"")</f>
        <v/>
      </c>
      <c r="OR15" s="109" t="str">
        <f t="shared" si="94"/>
        <v/>
      </c>
      <c r="OS15" s="178" t="str">
        <f>IF(COUNT(OG15,OL15,OQ15)=0,"",SUM(OG15,OL15,OQ15)/COUNT(OG15,OL15,OQ15))</f>
        <v/>
      </c>
      <c r="OT15" s="134" t="str">
        <f t="shared" si="95"/>
        <v/>
      </c>
      <c r="OU15" s="156"/>
      <c r="OV15" s="157" t="s">
        <v>25</v>
      </c>
      <c r="OW15" s="158"/>
      <c r="OX15" s="108">
        <f>IFERROR((((COUNTIF('Elève (6ème5)'!OU15:OW15,"A"))*4)+((COUNTIF('Elève (6ème5)'!OU15:OW15,"B"))*3)+((COUNTIF('Elève (6ème5)'!OU15:OW15,"C"))*2)+((COUNTIF('Elève (6ème5)'!OU15:OW15,"D"))*1))/(COUNTA(OU15:OW15)),"")</f>
        <v>3</v>
      </c>
      <c r="OY15" s="109" t="str">
        <f t="shared" si="96"/>
        <v>B</v>
      </c>
      <c r="OZ15" s="81"/>
      <c r="PA15" s="82"/>
      <c r="PB15" s="83"/>
      <c r="PC15" s="108" t="str">
        <f>IFERROR((((COUNTIF('Elève (6ème5)'!OZ15:PB15,"A"))*4)+((COUNTIF('Elève (6ème5)'!OZ15:PB15,"B"))*3)+((COUNTIF('Elève (6ème5)'!OZ15:PB15,"C"))*2)+((COUNTIF('Elève (6ème5)'!OZ15:PB15,"D"))*1))/(COUNTA(OZ15:PB15)),"")</f>
        <v/>
      </c>
      <c r="PD15" s="109" t="str">
        <f t="shared" si="97"/>
        <v/>
      </c>
      <c r="PE15" s="81"/>
      <c r="PF15" s="82"/>
      <c r="PG15" s="83"/>
      <c r="PH15" s="108" t="str">
        <f>IFERROR((((COUNTIF('Elève (6ème5)'!PE15:PG15,"A"))*4)+((COUNTIF('Elève (6ème5)'!PE15:PG15,"B"))*3)+((COUNTIF('Elève (6ème5)'!PE15:PG15,"C"))*2)+((COUNTIF('Elève (6ème5)'!PE15:PG15,"D"))*1))/(COUNTA(PE15:PG15)),"")</f>
        <v/>
      </c>
      <c r="PI15" s="109" t="str">
        <f t="shared" si="98"/>
        <v/>
      </c>
      <c r="PJ15" s="178">
        <f>IF(COUNT(OX15,PC15,PH15)=0,"",SUM(OX15,PC15,PH15)/COUNT(OX15,PC15,PH15))</f>
        <v>3</v>
      </c>
      <c r="PK15" s="134" t="str">
        <f t="shared" si="99"/>
        <v>B</v>
      </c>
      <c r="PL15" s="156"/>
      <c r="PM15" s="157" t="s">
        <v>26</v>
      </c>
      <c r="PN15" s="158"/>
      <c r="PO15" s="108">
        <f>IFERROR((((COUNTIF('Elève (6ème5)'!PL15:PN15,"A"))*4)+((COUNTIF('Elève (6ème5)'!PL15:PN15,"B"))*3)+((COUNTIF('Elève (6ème5)'!PL15:PN15,"C"))*2)+((COUNTIF('Elève (6ème5)'!PL15:PN15,"D"))*1))/(COUNTA(PL15:PN15)),"")</f>
        <v>2</v>
      </c>
      <c r="PP15" s="109" t="str">
        <f t="shared" si="100"/>
        <v>C</v>
      </c>
      <c r="PQ15" s="81"/>
      <c r="PR15" s="82"/>
      <c r="PS15" s="83"/>
      <c r="PT15" s="108" t="str">
        <f>IFERROR((((COUNTIF('Elève (6ème5)'!PQ15:PS15,"A"))*4)+((COUNTIF('Elève (6ème5)'!PQ15:PS15,"B"))*3)+((COUNTIF('Elève (6ème5)'!PQ15:PS15,"C"))*2)+((COUNTIF('Elève (6ème5)'!PQ15:PS15,"D"))*1))/(COUNTA(PQ15:PS15)),"")</f>
        <v/>
      </c>
      <c r="PU15" s="109" t="str">
        <f t="shared" si="101"/>
        <v/>
      </c>
      <c r="PV15" s="81"/>
      <c r="PW15" s="82"/>
      <c r="PX15" s="83"/>
      <c r="PY15" s="108" t="str">
        <f>IFERROR((((COUNTIF('Elève (6ème5)'!PV15:PX15,"A"))*4)+((COUNTIF('Elève (6ème5)'!PV15:PX15,"B"))*3)+((COUNTIF('Elève (6ème5)'!PV15:PX15,"C"))*2)+((COUNTIF('Elève (6ème5)'!PV15:PX15,"D"))*1))/(COUNTA(PV15:PX15)),"")</f>
        <v/>
      </c>
      <c r="PZ15" s="109" t="str">
        <f t="shared" si="102"/>
        <v/>
      </c>
      <c r="QA15" s="178">
        <f>IF(COUNT(PO15,PT15,PY15)=0,"",SUM(PO15,PT15,PY15)/COUNT(PO15,PT15,PY15))</f>
        <v>2</v>
      </c>
      <c r="QB15" s="134" t="str">
        <f t="shared" si="103"/>
        <v>C</v>
      </c>
      <c r="QC15" s="156"/>
      <c r="QD15" s="157" t="s">
        <v>24</v>
      </c>
      <c r="QE15" s="158"/>
      <c r="QF15" s="108">
        <f>IFERROR((((COUNTIF('Elève (6ème5)'!QC15:QE15,"A"))*4)+((COUNTIF('Elève (6ème5)'!QC15:QE15,"B"))*3)+((COUNTIF('Elève (6ème5)'!QC15:QE15,"C"))*2)+((COUNTIF('Elève (6ème5)'!QC15:QE15,"D"))*1))/(COUNTA(QC15:QE15)),"")</f>
        <v>4</v>
      </c>
      <c r="QG15" s="109" t="str">
        <f t="shared" si="104"/>
        <v>A</v>
      </c>
      <c r="QH15" s="81"/>
      <c r="QI15" s="82"/>
      <c r="QJ15" s="83"/>
      <c r="QK15" s="108" t="str">
        <f>IFERROR((((COUNTIF('Elève (6ème5)'!QH15:QJ15,"A"))*4)+((COUNTIF('Elève (6ème5)'!QH15:QJ15,"B"))*3)+((COUNTIF('Elève (6ème5)'!QH15:QJ15,"C"))*2)+((COUNTIF('Elève (6ème5)'!QH15:QJ15,"D"))*1))/(COUNTA(QH15:QJ15)),"")</f>
        <v/>
      </c>
      <c r="QL15" s="109" t="str">
        <f t="shared" si="105"/>
        <v/>
      </c>
      <c r="QM15" s="81"/>
      <c r="QN15" s="82"/>
      <c r="QO15" s="83"/>
      <c r="QP15" s="108" t="str">
        <f>IFERROR((((COUNTIF('Elève (6ème5)'!QM15:QO15,"A"))*4)+((COUNTIF('Elève (6ème5)'!QM15:QO15,"B"))*3)+((COUNTIF('Elève (6ème5)'!QM15:QO15,"C"))*2)+((COUNTIF('Elève (6ème5)'!QM15:QO15,"D"))*1))/(COUNTA(QM15:QO15)),"")</f>
        <v/>
      </c>
      <c r="QQ15" s="109" t="str">
        <f t="shared" si="106"/>
        <v/>
      </c>
      <c r="QR15" s="178">
        <f>IF(COUNT(QF15,QK15,QP15)=0,"",SUM(QF15,QK15,QP15)/COUNT(QF15,QK15,QP15))</f>
        <v>4</v>
      </c>
      <c r="QS15" s="134" t="str">
        <f t="shared" si="107"/>
        <v>A</v>
      </c>
      <c r="QT15" s="156"/>
      <c r="QU15" s="157" t="s">
        <v>26</v>
      </c>
      <c r="QV15" s="158"/>
      <c r="QW15" s="108">
        <f>IFERROR((((COUNTIF('Elève (6ème5)'!QT15:QV15,"A"))*4)+((COUNTIF('Elève (6ème5)'!QT15:QV15,"B"))*3)+((COUNTIF('Elève (6ème5)'!QT15:QV15,"C"))*2)+((COUNTIF('Elève (6ème5)'!QT15:QV15,"D"))*1))/(COUNTA(QT15:QV15)),"")</f>
        <v>2</v>
      </c>
      <c r="QX15" s="109" t="str">
        <f t="shared" si="108"/>
        <v>C</v>
      </c>
      <c r="QY15" s="81"/>
      <c r="QZ15" s="82"/>
      <c r="RA15" s="83"/>
      <c r="RB15" s="108" t="str">
        <f>IFERROR((((COUNTIF('Elève (6ème5)'!QY15:RA15,"A"))*4)+((COUNTIF('Elève (6ème5)'!QY15:RA15,"B"))*3)+((COUNTIF('Elève (6ème5)'!QY15:RA15,"C"))*2)+((COUNTIF('Elève (6ème5)'!QY15:RA15,"D"))*1))/(COUNTA(QY15:RA15)),"")</f>
        <v/>
      </c>
      <c r="RC15" s="109" t="str">
        <f t="shared" si="109"/>
        <v/>
      </c>
      <c r="RD15" s="81"/>
      <c r="RE15" s="82"/>
      <c r="RF15" s="83"/>
      <c r="RG15" s="108" t="str">
        <f>IFERROR((((COUNTIF('Elève (6ème5)'!RD15:RF15,"A"))*4)+((COUNTIF('Elève (6ème5)'!RD15:RF15,"B"))*3)+((COUNTIF('Elève (6ème5)'!RD15:RF15,"C"))*2)+((COUNTIF('Elève (6ème5)'!RD15:RF15,"D"))*1))/(COUNTA(RD15:RF15)),"")</f>
        <v/>
      </c>
      <c r="RH15" s="109" t="str">
        <f t="shared" si="110"/>
        <v/>
      </c>
      <c r="RI15" s="178">
        <f>IF(COUNT(QW15,RB15,RG15)=0,"",SUM(QW15,RB15,RG15)/COUNT(QW15,RB15,RG15))</f>
        <v>2</v>
      </c>
      <c r="RJ15" s="134" t="str">
        <f t="shared" si="111"/>
        <v>C</v>
      </c>
      <c r="RK15" s="156"/>
      <c r="RL15" s="157"/>
      <c r="RM15" s="158"/>
      <c r="RN15" s="108" t="str">
        <f>IFERROR((((COUNTIF('Elève (6ème5)'!RK15:RM15,"A"))*4)+((COUNTIF('Elève (6ème5)'!RK15:RM15,"B"))*3)+((COUNTIF('Elève (6ème5)'!RK15:RM15,"C"))*2)+((COUNTIF('Elève (6ème5)'!RK15:RM15,"D"))*1))/(COUNTA(RK15:RM15)),"")</f>
        <v/>
      </c>
      <c r="RO15" s="109" t="str">
        <f t="shared" si="112"/>
        <v/>
      </c>
      <c r="RP15" s="81"/>
      <c r="RQ15" s="82"/>
      <c r="RR15" s="83"/>
      <c r="RS15" s="108" t="str">
        <f>IFERROR((((COUNTIF('Elève (6ème5)'!RP15:RR15,"A"))*4)+((COUNTIF('Elève (6ème5)'!RP15:RR15,"B"))*3)+((COUNTIF('Elève (6ème5)'!RP15:RR15,"C"))*2)+((COUNTIF('Elève (6ème5)'!RP15:RR15,"D"))*1))/(COUNTA(RP15:RR15)),"")</f>
        <v/>
      </c>
      <c r="RT15" s="109" t="str">
        <f t="shared" si="113"/>
        <v/>
      </c>
      <c r="RU15" s="81"/>
      <c r="RV15" s="82"/>
      <c r="RW15" s="83"/>
      <c r="RX15" s="108" t="str">
        <f>IFERROR((((COUNTIF('Elève (6ème5)'!RU15:RW15,"A"))*4)+((COUNTIF('Elève (6ème5)'!RU15:RW15,"B"))*3)+((COUNTIF('Elève (6ème5)'!RU15:RW15,"C"))*2)+((COUNTIF('Elève (6ème5)'!RU15:RW15,"D"))*1))/(COUNTA(RU15:RW15)),"")</f>
        <v/>
      </c>
      <c r="RY15" s="109" t="str">
        <f t="shared" si="114"/>
        <v/>
      </c>
      <c r="RZ15" s="178" t="str">
        <f>IF(COUNT(RN15,RS15,RX15)=0,"",SUM(RN15,RS15,RX15)/COUNT(RN15,RS15,RX15))</f>
        <v/>
      </c>
      <c r="SA15" s="134" t="str">
        <f t="shared" si="115"/>
        <v/>
      </c>
      <c r="SB15" s="156"/>
      <c r="SC15" s="157"/>
      <c r="SD15" s="158"/>
      <c r="SE15" s="108" t="str">
        <f>IFERROR((((COUNTIF('Elève (6ème5)'!SB15:SD15,"A"))*4)+((COUNTIF('Elève (6ème5)'!SB15:SD15,"B"))*3)+((COUNTIF('Elève (6ème5)'!SB15:SD15,"C"))*2)+((COUNTIF('Elève (6ème5)'!SB15:SD15,"D"))*1))/(COUNTA(SB15:SD15)),"")</f>
        <v/>
      </c>
      <c r="SF15" s="109" t="str">
        <f t="shared" si="116"/>
        <v/>
      </c>
      <c r="SG15" s="81"/>
      <c r="SH15" s="82"/>
      <c r="SI15" s="83"/>
      <c r="SJ15" s="108" t="str">
        <f>IFERROR((((COUNTIF('Elève (6ème5)'!SG15:SI15,"A"))*4)+((COUNTIF('Elève (6ème5)'!SG15:SI15,"B"))*3)+((COUNTIF('Elève (6ème5)'!SG15:SI15,"C"))*2)+((COUNTIF('Elève (6ème5)'!SG15:SI15,"D"))*1))/(COUNTA(SG15:SI15)),"")</f>
        <v/>
      </c>
      <c r="SK15" s="109" t="str">
        <f t="shared" si="117"/>
        <v/>
      </c>
      <c r="SL15" s="81"/>
      <c r="SM15" s="82"/>
      <c r="SN15" s="83"/>
      <c r="SO15" s="108" t="str">
        <f>IFERROR((((COUNTIF('Elève (6ème5)'!SL15:SN15,"A"))*4)+((COUNTIF('Elève (6ème5)'!SL15:SN15,"B"))*3)+((COUNTIF('Elève (6ème5)'!SL15:SN15,"C"))*2)+((COUNTIF('Elève (6ème5)'!SL15:SN15,"D"))*1))/(COUNTA(SL15:SN15)),"")</f>
        <v/>
      </c>
      <c r="SP15" s="109" t="str">
        <f t="shared" si="118"/>
        <v/>
      </c>
      <c r="SQ15" s="178" t="str">
        <f>IF(COUNT(SE15,SJ15,SO15)=0,"",SUM(SE15,SJ15,SO15)/COUNT(SE15,SJ15,SO15))</f>
        <v/>
      </c>
      <c r="SR15" s="134" t="str">
        <f t="shared" si="119"/>
        <v/>
      </c>
    </row>
    <row r="16" spans="1:512" s="72" customFormat="1" ht="18" customHeight="1" x14ac:dyDescent="0.25">
      <c r="A16" s="242" t="s">
        <v>19</v>
      </c>
      <c r="B16" s="243"/>
      <c r="C16" s="156"/>
      <c r="D16" s="157"/>
      <c r="E16" s="158"/>
      <c r="F16" s="110" t="str">
        <f>IFERROR((((COUNTIF('Elève (6ème5)'!C16:E16,"A"))*4)+((COUNTIF('Elève (6ème5)'!C16:E16,"B"))*3)+((COUNTIF('Elève (6ème5)'!C16:E16,"C"))*2)+((COUNTIF('Elève (6ème5)'!C16:E16,"D"))*1))/(COUNTA(C16:E16)),"")</f>
        <v/>
      </c>
      <c r="G16" s="111" t="str">
        <f t="shared" si="0"/>
        <v/>
      </c>
      <c r="H16" s="81"/>
      <c r="I16" s="82"/>
      <c r="J16" s="83"/>
      <c r="K16" s="110" t="str">
        <f>IFERROR((((COUNTIF('Elève (6ème5)'!H16:J16,"A"))*4)+((COUNTIF('Elève (6ème5)'!H16:J16,"B"))*3)+((COUNTIF('Elève (6ème5)'!H16:J16,"C"))*2)+((COUNTIF('Elève (6ème5)'!H16:J16,"D"))*1))/(COUNTA(H16:J16)),"")</f>
        <v/>
      </c>
      <c r="L16" s="111" t="str">
        <f t="shared" si="1"/>
        <v/>
      </c>
      <c r="M16" s="81"/>
      <c r="N16" s="82"/>
      <c r="O16" s="83"/>
      <c r="P16" s="110" t="str">
        <f>IFERROR((((COUNTIF('Elève (6ème5)'!M16:O16,"A"))*4)+((COUNTIF('Elève (6ème5)'!M16:O16,"B"))*3)+((COUNTIF('Elève (6ème5)'!M16:O16,"C"))*2)+((COUNTIF('Elève (6ème5)'!M16:O16,"D"))*1))/(COUNTA(M16:O16)),"")</f>
        <v/>
      </c>
      <c r="Q16" s="111" t="str">
        <f t="shared" si="2"/>
        <v/>
      </c>
      <c r="R16" s="179" t="str">
        <f>IF(COUNT(F16,K16,P16)=0,"",SUM(F16,K16,P16)/COUNT(F16,K16,P16))</f>
        <v/>
      </c>
      <c r="S16" s="132" t="str">
        <f t="shared" si="3"/>
        <v/>
      </c>
      <c r="T16" s="156"/>
      <c r="U16" s="157"/>
      <c r="V16" s="158"/>
      <c r="W16" s="110" t="str">
        <f>IFERROR((((COUNTIF('Elève (6ème5)'!T16:V16,"A"))*4)+((COUNTIF('Elève (6ème5)'!T16:V16,"B"))*3)+((COUNTIF('Elève (6ème5)'!T16:V16,"C"))*2)+((COUNTIF('Elève (6ème5)'!T16:V16,"D"))*1))/(COUNTA(T16:V16)),"")</f>
        <v/>
      </c>
      <c r="X16" s="111" t="str">
        <f t="shared" si="4"/>
        <v/>
      </c>
      <c r="Y16" s="81"/>
      <c r="Z16" s="82"/>
      <c r="AA16" s="83"/>
      <c r="AB16" s="110" t="str">
        <f>IFERROR((((COUNTIF('Elève (6ème5)'!Y16:AA16,"A"))*4)+((COUNTIF('Elève (6ème5)'!Y16:AA16,"B"))*3)+((COUNTIF('Elève (6ème5)'!Y16:AA16,"C"))*2)+((COUNTIF('Elève (6ème5)'!Y16:AA16,"D"))*1))/(COUNTA(Y16:AA16)),"")</f>
        <v/>
      </c>
      <c r="AC16" s="111" t="str">
        <f t="shared" si="5"/>
        <v/>
      </c>
      <c r="AD16" s="81"/>
      <c r="AE16" s="82"/>
      <c r="AF16" s="83"/>
      <c r="AG16" s="110" t="str">
        <f>IFERROR((((COUNTIF('Elève (6ème5)'!AD16:AF16,"A"))*4)+((COUNTIF('Elève (6ème5)'!AD16:AF16,"B"))*3)+((COUNTIF('Elève (6ème5)'!AD16:AF16,"C"))*2)+((COUNTIF('Elève (6ème5)'!AD16:AF16,"D"))*1))/(COUNTA(AD16:AF16)),"")</f>
        <v/>
      </c>
      <c r="AH16" s="111" t="str">
        <f t="shared" si="6"/>
        <v/>
      </c>
      <c r="AI16" s="179" t="str">
        <f>IF(COUNT(W16,AB16,AG16)=0,"",SUM(W16,AB16,AG16)/COUNT(W16,AB16,AG16))</f>
        <v/>
      </c>
      <c r="AJ16" s="132" t="str">
        <f t="shared" si="7"/>
        <v/>
      </c>
      <c r="AK16" s="156"/>
      <c r="AL16" s="157"/>
      <c r="AM16" s="158"/>
      <c r="AN16" s="110" t="str">
        <f>IFERROR((((COUNTIF('Elève (6ème5)'!AK16:AM16,"A"))*4)+((COUNTIF('Elève (6ème5)'!AK16:AM16,"B"))*3)+((COUNTIF('Elève (6ème5)'!AK16:AM16,"C"))*2)+((COUNTIF('Elève (6ème5)'!AK16:AM16,"D"))*1))/(COUNTA(AK16:AM16)),"")</f>
        <v/>
      </c>
      <c r="AO16" s="111" t="str">
        <f t="shared" si="8"/>
        <v/>
      </c>
      <c r="AP16" s="81"/>
      <c r="AQ16" s="82"/>
      <c r="AR16" s="83"/>
      <c r="AS16" s="110" t="str">
        <f>IFERROR((((COUNTIF('Elève (6ème5)'!AP16:AR16,"A"))*4)+((COUNTIF('Elève (6ème5)'!AP16:AR16,"B"))*3)+((COUNTIF('Elève (6ème5)'!AP16:AR16,"C"))*2)+((COUNTIF('Elève (6ème5)'!AP16:AR16,"D"))*1))/(COUNTA(AP16:AR16)),"")</f>
        <v/>
      </c>
      <c r="AT16" s="111" t="str">
        <f t="shared" si="9"/>
        <v/>
      </c>
      <c r="AU16" s="81"/>
      <c r="AV16" s="82"/>
      <c r="AW16" s="83"/>
      <c r="AX16" s="110" t="str">
        <f>IFERROR((((COUNTIF('Elève (6ème5)'!AU16:AW16,"A"))*4)+((COUNTIF('Elève (6ème5)'!AU16:AW16,"B"))*3)+((COUNTIF('Elève (6ème5)'!AU16:AW16,"C"))*2)+((COUNTIF('Elève (6ème5)'!AU16:AW16,"D"))*1))/(COUNTA(AU16:AW16)),"")</f>
        <v/>
      </c>
      <c r="AY16" s="111" t="str">
        <f t="shared" si="10"/>
        <v/>
      </c>
      <c r="AZ16" s="179" t="str">
        <f>IF(COUNT(AN16,AS16,AX16)=0,"",SUM(AN16,AS16,AX16)/COUNT(AN16,AS16,AX16))</f>
        <v/>
      </c>
      <c r="BA16" s="132" t="str">
        <f t="shared" si="11"/>
        <v/>
      </c>
      <c r="BB16" s="156"/>
      <c r="BC16" s="157"/>
      <c r="BD16" s="158"/>
      <c r="BE16" s="110" t="str">
        <f>IFERROR((((COUNTIF('Elève (6ème5)'!BB16:BD16,"A"))*4)+((COUNTIF('Elève (6ème5)'!BB16:BD16,"B"))*3)+((COUNTIF('Elève (6ème5)'!BB16:BD16,"C"))*2)+((COUNTIF('Elève (6ème5)'!BB16:BD16,"D"))*1))/(COUNTA(BB16:BD16)),"")</f>
        <v/>
      </c>
      <c r="BF16" s="111" t="str">
        <f t="shared" si="12"/>
        <v/>
      </c>
      <c r="BG16" s="81"/>
      <c r="BH16" s="82"/>
      <c r="BI16" s="83"/>
      <c r="BJ16" s="110" t="str">
        <f>IFERROR((((COUNTIF('Elève (6ème5)'!BG16:BI16,"A"))*4)+((COUNTIF('Elève (6ème5)'!BG16:BI16,"B"))*3)+((COUNTIF('Elève (6ème5)'!BG16:BI16,"C"))*2)+((COUNTIF('Elève (6ème5)'!BG16:BI16,"D"))*1))/(COUNTA(BG16:BI16)),"")</f>
        <v/>
      </c>
      <c r="BK16" s="111" t="str">
        <f t="shared" si="13"/>
        <v/>
      </c>
      <c r="BL16" s="81"/>
      <c r="BM16" s="82"/>
      <c r="BN16" s="83"/>
      <c r="BO16" s="110" t="str">
        <f>IFERROR((((COUNTIF('Elève (6ème5)'!BL16:BN16,"A"))*4)+((COUNTIF('Elève (6ème5)'!BL16:BN16,"B"))*3)+((COUNTIF('Elève (6ème5)'!BL16:BN16,"C"))*2)+((COUNTIF('Elève (6ème5)'!BL16:BN16,"D"))*1))/(COUNTA(BL16:BN16)),"")</f>
        <v/>
      </c>
      <c r="BP16" s="111" t="str">
        <f t="shared" si="14"/>
        <v/>
      </c>
      <c r="BQ16" s="179" t="str">
        <f>IF(COUNT(BE16,BJ16,BO16)=0,"",SUM(BE16,BJ16,BO16)/COUNT(BE16,BJ16,BO16))</f>
        <v/>
      </c>
      <c r="BR16" s="132" t="str">
        <f t="shared" si="15"/>
        <v/>
      </c>
      <c r="BS16" s="156"/>
      <c r="BT16" s="157"/>
      <c r="BU16" s="158"/>
      <c r="BV16" s="110" t="str">
        <f>IFERROR((((COUNTIF('Elève (6ème5)'!BS16:BU16,"A"))*4)+((COUNTIF('Elève (6ème5)'!BS16:BU16,"B"))*3)+((COUNTIF('Elève (6ème5)'!BS16:BU16,"C"))*2)+((COUNTIF('Elève (6ème5)'!BS16:BU16,"D"))*1))/(COUNTA(BS16:BU16)),"")</f>
        <v/>
      </c>
      <c r="BW16" s="111" t="str">
        <f t="shared" si="16"/>
        <v/>
      </c>
      <c r="BX16" s="81"/>
      <c r="BY16" s="82"/>
      <c r="BZ16" s="83"/>
      <c r="CA16" s="110" t="str">
        <f>IFERROR((((COUNTIF('Elève (6ème5)'!BX16:BZ16,"A"))*4)+((COUNTIF('Elève (6ème5)'!BX16:BZ16,"B"))*3)+((COUNTIF('Elève (6ème5)'!BX16:BZ16,"C"))*2)+((COUNTIF('Elève (6ème5)'!BX16:BZ16,"D"))*1))/(COUNTA(BX16:BZ16)),"")</f>
        <v/>
      </c>
      <c r="CB16" s="111" t="str">
        <f t="shared" si="17"/>
        <v/>
      </c>
      <c r="CC16" s="81"/>
      <c r="CD16" s="82"/>
      <c r="CE16" s="83"/>
      <c r="CF16" s="110" t="str">
        <f>IFERROR((((COUNTIF('Elève (6ème5)'!CC16:CE16,"A"))*4)+((COUNTIF('Elève (6ème5)'!CC16:CE16,"B"))*3)+((COUNTIF('Elève (6ème5)'!CC16:CE16,"C"))*2)+((COUNTIF('Elève (6ème5)'!CC16:CE16,"D"))*1))/(COUNTA(CC16:CE16)),"")</f>
        <v/>
      </c>
      <c r="CG16" s="111" t="str">
        <f t="shared" si="18"/>
        <v/>
      </c>
      <c r="CH16" s="179" t="str">
        <f>IF(COUNT(BV16,CA16,CF16)=0,"",SUM(BV16,CA16,CF16)/COUNT(BV16,CA16,CF16))</f>
        <v/>
      </c>
      <c r="CI16" s="132" t="str">
        <f t="shared" si="19"/>
        <v/>
      </c>
      <c r="CJ16" s="156"/>
      <c r="CK16" s="157"/>
      <c r="CL16" s="158"/>
      <c r="CM16" s="110" t="str">
        <f>IFERROR((((COUNTIF('Elève (6ème5)'!CJ16:CL16,"A"))*4)+((COUNTIF('Elève (6ème5)'!CJ16:CL16,"B"))*3)+((COUNTIF('Elève (6ème5)'!CJ16:CL16,"C"))*2)+((COUNTIF('Elève (6ème5)'!CJ16:CL16,"D"))*1))/(COUNTA(CJ16:CL16)),"")</f>
        <v/>
      </c>
      <c r="CN16" s="111" t="str">
        <f t="shared" si="20"/>
        <v/>
      </c>
      <c r="CO16" s="81"/>
      <c r="CP16" s="82"/>
      <c r="CQ16" s="83"/>
      <c r="CR16" s="110" t="str">
        <f>IFERROR((((COUNTIF('Elève (6ème5)'!CO16:CQ16,"A"))*4)+((COUNTIF('Elève (6ème5)'!CO16:CQ16,"B"))*3)+((COUNTIF('Elève (6ème5)'!CO16:CQ16,"C"))*2)+((COUNTIF('Elève (6ème5)'!CO16:CQ16,"D"))*1))/(COUNTA(CO16:CQ16)),"")</f>
        <v/>
      </c>
      <c r="CS16" s="111" t="str">
        <f t="shared" si="21"/>
        <v/>
      </c>
      <c r="CT16" s="81"/>
      <c r="CU16" s="82"/>
      <c r="CV16" s="83"/>
      <c r="CW16" s="110" t="str">
        <f>IFERROR((((COUNTIF('Elève (6ème5)'!CT16:CV16,"A"))*4)+((COUNTIF('Elève (6ème5)'!CT16:CV16,"B"))*3)+((COUNTIF('Elève (6ème5)'!CT16:CV16,"C"))*2)+((COUNTIF('Elève (6ème5)'!CT16:CV16,"D"))*1))/(COUNTA(CT16:CV16)),"")</f>
        <v/>
      </c>
      <c r="CX16" s="111" t="str">
        <f t="shared" si="22"/>
        <v/>
      </c>
      <c r="CY16" s="179" t="str">
        <f>IF(COUNT(CM16,CR16,CW16)=0,"",SUM(CM16,CR16,CW16)/COUNT(CM16,CR16,CW16))</f>
        <v/>
      </c>
      <c r="CZ16" s="132" t="str">
        <f t="shared" si="23"/>
        <v/>
      </c>
      <c r="DA16" s="156"/>
      <c r="DB16" s="157"/>
      <c r="DC16" s="158"/>
      <c r="DD16" s="110" t="str">
        <f>IFERROR((((COUNTIF('Elève (6ème5)'!DA16:DC16,"A"))*4)+((COUNTIF('Elève (6ème5)'!DA16:DC16,"B"))*3)+((COUNTIF('Elève (6ème5)'!DA16:DC16,"C"))*2)+((COUNTIF('Elève (6ème5)'!DA16:DC16,"D"))*1))/(COUNTA(DA16:DC16)),"")</f>
        <v/>
      </c>
      <c r="DE16" s="111" t="str">
        <f t="shared" si="24"/>
        <v/>
      </c>
      <c r="DF16" s="81"/>
      <c r="DG16" s="82"/>
      <c r="DH16" s="83"/>
      <c r="DI16" s="110" t="str">
        <f>IFERROR((((COUNTIF('Elève (6ème5)'!DF16:DH16,"A"))*4)+((COUNTIF('Elève (6ème5)'!DF16:DH16,"B"))*3)+((COUNTIF('Elève (6ème5)'!DF16:DH16,"C"))*2)+((COUNTIF('Elève (6ème5)'!DF16:DH16,"D"))*1))/(COUNTA(DF16:DH16)),"")</f>
        <v/>
      </c>
      <c r="DJ16" s="111" t="str">
        <f t="shared" si="25"/>
        <v/>
      </c>
      <c r="DK16" s="81"/>
      <c r="DL16" s="82"/>
      <c r="DM16" s="83"/>
      <c r="DN16" s="110" t="str">
        <f>IFERROR((((COUNTIF('Elève (6ème5)'!DK16:DM16,"A"))*4)+((COUNTIF('Elève (6ème5)'!DK16:DM16,"B"))*3)+((COUNTIF('Elève (6ème5)'!DK16:DM16,"C"))*2)+((COUNTIF('Elève (6ème5)'!DK16:DM16,"D"))*1))/(COUNTA(DK16:DM16)),"")</f>
        <v/>
      </c>
      <c r="DO16" s="111" t="str">
        <f t="shared" si="26"/>
        <v/>
      </c>
      <c r="DP16" s="179" t="str">
        <f>IF(COUNT(DD16,DI16,DN16)=0,"",SUM(DD16,DI16,DN16)/COUNT(DD16,DI16,DN16))</f>
        <v/>
      </c>
      <c r="DQ16" s="132" t="str">
        <f t="shared" si="27"/>
        <v/>
      </c>
      <c r="DR16" s="156"/>
      <c r="DS16" s="157"/>
      <c r="DT16" s="158"/>
      <c r="DU16" s="110" t="str">
        <f>IFERROR((((COUNTIF('Elève (6ème5)'!DR16:DT16,"A"))*4)+((COUNTIF('Elève (6ème5)'!DR16:DT16,"B"))*3)+((COUNTIF('Elève (6ème5)'!DR16:DT16,"C"))*2)+((COUNTIF('Elève (6ème5)'!DR16:DT16,"D"))*1))/(COUNTA(DR16:DT16)),"")</f>
        <v/>
      </c>
      <c r="DV16" s="111" t="str">
        <f t="shared" si="28"/>
        <v/>
      </c>
      <c r="DW16" s="81"/>
      <c r="DX16" s="82"/>
      <c r="DY16" s="83"/>
      <c r="DZ16" s="110" t="str">
        <f>IFERROR((((COUNTIF('Elève (6ème5)'!DW16:DY16,"A"))*4)+((COUNTIF('Elève (6ème5)'!DW16:DY16,"B"))*3)+((COUNTIF('Elève (6ème5)'!DW16:DY16,"C"))*2)+((COUNTIF('Elève (6ème5)'!DW16:DY16,"D"))*1))/(COUNTA(DW16:DY16)),"")</f>
        <v/>
      </c>
      <c r="EA16" s="111" t="str">
        <f t="shared" si="29"/>
        <v/>
      </c>
      <c r="EB16" s="81"/>
      <c r="EC16" s="82"/>
      <c r="ED16" s="83"/>
      <c r="EE16" s="110" t="str">
        <f>IFERROR((((COUNTIF('Elève (6ème5)'!EB16:ED16,"A"))*4)+((COUNTIF('Elève (6ème5)'!EB16:ED16,"B"))*3)+((COUNTIF('Elève (6ème5)'!EB16:ED16,"C"))*2)+((COUNTIF('Elève (6ème5)'!EB16:ED16,"D"))*1))/(COUNTA(EB16:ED16)),"")</f>
        <v/>
      </c>
      <c r="EF16" s="111" t="str">
        <f t="shared" si="30"/>
        <v/>
      </c>
      <c r="EG16" s="179" t="str">
        <f>IF(COUNT(DU16,DZ16,EE16)=0,"",SUM(DU16,DZ16,EE16)/COUNT(DU16,DZ16,EE16))</f>
        <v/>
      </c>
      <c r="EH16" s="132" t="str">
        <f t="shared" si="31"/>
        <v/>
      </c>
      <c r="EI16" s="156"/>
      <c r="EJ16" s="157"/>
      <c r="EK16" s="158"/>
      <c r="EL16" s="110" t="str">
        <f>IFERROR((((COUNTIF('Elève (6ème5)'!EI16:EK16,"A"))*4)+((COUNTIF('Elève (6ème5)'!EI16:EK16,"B"))*3)+((COUNTIF('Elève (6ème5)'!EI16:EK16,"C"))*2)+((COUNTIF('Elève (6ème5)'!EI16:EK16,"D"))*1))/(COUNTA(EI16:EK16)),"")</f>
        <v/>
      </c>
      <c r="EM16" s="111" t="str">
        <f t="shared" si="32"/>
        <v/>
      </c>
      <c r="EN16" s="81"/>
      <c r="EO16" s="82"/>
      <c r="EP16" s="83"/>
      <c r="EQ16" s="110" t="str">
        <f>IFERROR((((COUNTIF('Elève (6ème5)'!EN16:EP16,"A"))*4)+((COUNTIF('Elève (6ème5)'!EN16:EP16,"B"))*3)+((COUNTIF('Elève (6ème5)'!EN16:EP16,"C"))*2)+((COUNTIF('Elève (6ème5)'!EN16:EP16,"D"))*1))/(COUNTA(EN16:EP16)),"")</f>
        <v/>
      </c>
      <c r="ER16" s="111" t="str">
        <f t="shared" si="33"/>
        <v/>
      </c>
      <c r="ES16" s="81"/>
      <c r="ET16" s="82"/>
      <c r="EU16" s="83"/>
      <c r="EV16" s="110" t="str">
        <f>IFERROR((((COUNTIF('Elève (6ème5)'!ES16:EU16,"A"))*4)+((COUNTIF('Elève (6ème5)'!ES16:EU16,"B"))*3)+((COUNTIF('Elève (6ème5)'!ES16:EU16,"C"))*2)+((COUNTIF('Elève (6ème5)'!ES16:EU16,"D"))*1))/(COUNTA(ES16:EU16)),"")</f>
        <v/>
      </c>
      <c r="EW16" s="111" t="str">
        <f t="shared" si="34"/>
        <v/>
      </c>
      <c r="EX16" s="179" t="str">
        <f>IF(COUNT(EL16,EQ16,EV16)=0,"",SUM(EL16,EQ16,EV16)/COUNT(EL16,EQ16,EV16))</f>
        <v/>
      </c>
      <c r="EY16" s="132" t="str">
        <f t="shared" si="35"/>
        <v/>
      </c>
      <c r="EZ16" s="156"/>
      <c r="FA16" s="157"/>
      <c r="FB16" s="158"/>
      <c r="FC16" s="110" t="str">
        <f>IFERROR((((COUNTIF('Elève (6ème5)'!EZ16:FB16,"A"))*4)+((COUNTIF('Elève (6ème5)'!EZ16:FB16,"B"))*3)+((COUNTIF('Elève (6ème5)'!EZ16:FB16,"C"))*2)+((COUNTIF('Elève (6ème5)'!EZ16:FB16,"D"))*1))/(COUNTA(EZ16:FB16)),"")</f>
        <v/>
      </c>
      <c r="FD16" s="111" t="str">
        <f t="shared" si="36"/>
        <v/>
      </c>
      <c r="FE16" s="81"/>
      <c r="FF16" s="82"/>
      <c r="FG16" s="83"/>
      <c r="FH16" s="110" t="str">
        <f>IFERROR((((COUNTIF('Elève (6ème5)'!FE16:FG16,"A"))*4)+((COUNTIF('Elève (6ème5)'!FE16:FG16,"B"))*3)+((COUNTIF('Elève (6ème5)'!FE16:FG16,"C"))*2)+((COUNTIF('Elève (6ème5)'!FE16:FG16,"D"))*1))/(COUNTA(FE16:FG16)),"")</f>
        <v/>
      </c>
      <c r="FI16" s="111" t="str">
        <f t="shared" si="37"/>
        <v/>
      </c>
      <c r="FJ16" s="81"/>
      <c r="FK16" s="82"/>
      <c r="FL16" s="83"/>
      <c r="FM16" s="110" t="str">
        <f>IFERROR((((COUNTIF('Elève (6ème5)'!FJ16:FL16,"A"))*4)+((COUNTIF('Elève (6ème5)'!FJ16:FL16,"B"))*3)+((COUNTIF('Elève (6ème5)'!FJ16:FL16,"C"))*2)+((COUNTIF('Elève (6ème5)'!FJ16:FL16,"D"))*1))/(COUNTA(FJ16:FL16)),"")</f>
        <v/>
      </c>
      <c r="FN16" s="111" t="str">
        <f t="shared" si="38"/>
        <v/>
      </c>
      <c r="FO16" s="179" t="str">
        <f>IF(COUNT(FC16,FH16,FM16)=0,"",SUM(FC16,FH16,FM16)/COUNT(FC16,FH16,FM16))</f>
        <v/>
      </c>
      <c r="FP16" s="132" t="str">
        <f t="shared" si="39"/>
        <v/>
      </c>
      <c r="FQ16" s="156"/>
      <c r="FR16" s="157"/>
      <c r="FS16" s="158"/>
      <c r="FT16" s="110" t="str">
        <f>IFERROR((((COUNTIF('Elève (6ème5)'!FQ16:FS16,"A"))*4)+((COUNTIF('Elève (6ème5)'!FQ16:FS16,"B"))*3)+((COUNTIF('Elève (6ème5)'!FQ16:FS16,"C"))*2)+((COUNTIF('Elève (6ème5)'!FQ16:FS16,"D"))*1))/(COUNTA(FQ16:FS16)),"")</f>
        <v/>
      </c>
      <c r="FU16" s="111" t="str">
        <f t="shared" si="40"/>
        <v/>
      </c>
      <c r="FV16" s="81"/>
      <c r="FW16" s="82"/>
      <c r="FX16" s="83"/>
      <c r="FY16" s="110" t="str">
        <f>IFERROR((((COUNTIF('Elève (6ème5)'!FV16:FX16,"A"))*4)+((COUNTIF('Elève (6ème5)'!FV16:FX16,"B"))*3)+((COUNTIF('Elève (6ème5)'!FV16:FX16,"C"))*2)+((COUNTIF('Elève (6ème5)'!FV16:FX16,"D"))*1))/(COUNTA(FV16:FX16)),"")</f>
        <v/>
      </c>
      <c r="FZ16" s="111" t="str">
        <f t="shared" si="41"/>
        <v/>
      </c>
      <c r="GA16" s="81"/>
      <c r="GB16" s="82"/>
      <c r="GC16" s="83"/>
      <c r="GD16" s="110" t="str">
        <f>IFERROR((((COUNTIF('Elève (6ème5)'!GA16:GC16,"A"))*4)+((COUNTIF('Elève (6ème5)'!GA16:GC16,"B"))*3)+((COUNTIF('Elève (6ème5)'!GA16:GC16,"C"))*2)+((COUNTIF('Elève (6ème5)'!GA16:GC16,"D"))*1))/(COUNTA(GA16:GC16)),"")</f>
        <v/>
      </c>
      <c r="GE16" s="111" t="str">
        <f t="shared" si="42"/>
        <v/>
      </c>
      <c r="GF16" s="179" t="str">
        <f>IF(COUNT(FT16,FY16,GD16)=0,"",SUM(FT16,FY16,GD16)/COUNT(FT16,FY16,GD16))</f>
        <v/>
      </c>
      <c r="GG16" s="132" t="str">
        <f t="shared" si="43"/>
        <v/>
      </c>
      <c r="GH16" s="156"/>
      <c r="GI16" s="157"/>
      <c r="GJ16" s="158"/>
      <c r="GK16" s="110" t="str">
        <f>IFERROR((((COUNTIF('Elève (6ème5)'!GH16:GJ16,"A"))*4)+((COUNTIF('Elève (6ème5)'!GH16:GJ16,"B"))*3)+((COUNTIF('Elève (6ème5)'!GH16:GJ16,"C"))*2)+((COUNTIF('Elève (6ème5)'!GH16:GJ16,"D"))*1))/(COUNTA(GH16:GJ16)),"")</f>
        <v/>
      </c>
      <c r="GL16" s="111" t="str">
        <f t="shared" si="44"/>
        <v/>
      </c>
      <c r="GM16" s="81"/>
      <c r="GN16" s="82"/>
      <c r="GO16" s="83"/>
      <c r="GP16" s="110" t="str">
        <f>IFERROR((((COUNTIF('Elève (6ème5)'!GM16:GO16,"A"))*4)+((COUNTIF('Elève (6ème5)'!GM16:GO16,"B"))*3)+((COUNTIF('Elève (6ème5)'!GM16:GO16,"C"))*2)+((COUNTIF('Elève (6ème5)'!GM16:GO16,"D"))*1))/(COUNTA(GM16:GO16)),"")</f>
        <v/>
      </c>
      <c r="GQ16" s="111" t="str">
        <f t="shared" si="45"/>
        <v/>
      </c>
      <c r="GR16" s="81"/>
      <c r="GS16" s="82"/>
      <c r="GT16" s="83"/>
      <c r="GU16" s="110" t="str">
        <f>IFERROR((((COUNTIF('Elève (6ème5)'!GR16:GT16,"A"))*4)+((COUNTIF('Elève (6ème5)'!GR16:GT16,"B"))*3)+((COUNTIF('Elève (6ème5)'!GR16:GT16,"C"))*2)+((COUNTIF('Elève (6ème5)'!GR16:GT16,"D"))*1))/(COUNTA(GR16:GT16)),"")</f>
        <v/>
      </c>
      <c r="GV16" s="111" t="str">
        <f t="shared" si="46"/>
        <v/>
      </c>
      <c r="GW16" s="179" t="str">
        <f>IF(COUNT(GK16,GP16,GU16)=0,"",SUM(GK16,GP16,GU16)/COUNT(GK16,GP16,GU16))</f>
        <v/>
      </c>
      <c r="GX16" s="132" t="str">
        <f t="shared" si="47"/>
        <v/>
      </c>
      <c r="GY16" s="156"/>
      <c r="GZ16" s="157"/>
      <c r="HA16" s="158"/>
      <c r="HB16" s="110" t="str">
        <f>IFERROR((((COUNTIF('Elève (6ème5)'!GY16:HA16,"A"))*4)+((COUNTIF('Elève (6ème5)'!GY16:HA16,"B"))*3)+((COUNTIF('Elève (6ème5)'!GY16:HA16,"C"))*2)+((COUNTIF('Elève (6ème5)'!GY16:HA16,"D"))*1))/(COUNTA(GY16:HA16)),"")</f>
        <v/>
      </c>
      <c r="HC16" s="111" t="str">
        <f t="shared" si="48"/>
        <v/>
      </c>
      <c r="HD16" s="81"/>
      <c r="HE16" s="82"/>
      <c r="HF16" s="83"/>
      <c r="HG16" s="110" t="str">
        <f>IFERROR((((COUNTIF('Elève (6ème5)'!HD16:HF16,"A"))*4)+((COUNTIF('Elève (6ème5)'!HD16:HF16,"B"))*3)+((COUNTIF('Elève (6ème5)'!HD16:HF16,"C"))*2)+((COUNTIF('Elève (6ème5)'!HD16:HF16,"D"))*1))/(COUNTA(HD16:HF16)),"")</f>
        <v/>
      </c>
      <c r="HH16" s="111" t="str">
        <f t="shared" si="49"/>
        <v/>
      </c>
      <c r="HI16" s="81"/>
      <c r="HJ16" s="82"/>
      <c r="HK16" s="83"/>
      <c r="HL16" s="110" t="str">
        <f>IFERROR((((COUNTIF('Elève (6ème5)'!HI16:HK16,"A"))*4)+((COUNTIF('Elève (6ème5)'!HI16:HK16,"B"))*3)+((COUNTIF('Elève (6ème5)'!HI16:HK16,"C"))*2)+((COUNTIF('Elève (6ème5)'!HI16:HK16,"D"))*1))/(COUNTA(HI16:HK16)),"")</f>
        <v/>
      </c>
      <c r="HM16" s="111" t="str">
        <f t="shared" si="50"/>
        <v/>
      </c>
      <c r="HN16" s="179" t="str">
        <f>IF(COUNT(HB16,HG16,HL16)=0,"",SUM(HB16,HG16,HL16)/COUNT(HB16,HG16,HL16))</f>
        <v/>
      </c>
      <c r="HO16" s="132" t="str">
        <f t="shared" si="51"/>
        <v/>
      </c>
      <c r="HP16" s="156"/>
      <c r="HQ16" s="157"/>
      <c r="HR16" s="158"/>
      <c r="HS16" s="110" t="str">
        <f>IFERROR((((COUNTIF('Elève (6ème5)'!HP16:HR16,"A"))*4)+((COUNTIF('Elève (6ème5)'!HP16:HR16,"B"))*3)+((COUNTIF('Elève (6ème5)'!HP16:HR16,"C"))*2)+((COUNTIF('Elève (6ème5)'!HP16:HR16,"D"))*1))/(COUNTA(HP16:HR16)),"")</f>
        <v/>
      </c>
      <c r="HT16" s="111" t="str">
        <f t="shared" si="52"/>
        <v/>
      </c>
      <c r="HU16" s="81"/>
      <c r="HV16" s="82"/>
      <c r="HW16" s="83"/>
      <c r="HX16" s="110" t="str">
        <f>IFERROR((((COUNTIF('Elève (6ème5)'!HU16:HW16,"A"))*4)+((COUNTIF('Elève (6ème5)'!HU16:HW16,"B"))*3)+((COUNTIF('Elève (6ème5)'!HU16:HW16,"C"))*2)+((COUNTIF('Elève (6ème5)'!HU16:HW16,"D"))*1))/(COUNTA(HU16:HW16)),"")</f>
        <v/>
      </c>
      <c r="HY16" s="111" t="str">
        <f t="shared" si="53"/>
        <v/>
      </c>
      <c r="HZ16" s="81"/>
      <c r="IA16" s="82"/>
      <c r="IB16" s="83"/>
      <c r="IC16" s="110" t="str">
        <f>IFERROR((((COUNTIF('Elève (6ème5)'!HZ16:IB16,"A"))*4)+((COUNTIF('Elève (6ème5)'!HZ16:IB16,"B"))*3)+((COUNTIF('Elève (6ème5)'!HZ16:IB16,"C"))*2)+((COUNTIF('Elève (6ème5)'!HZ16:IB16,"D"))*1))/(COUNTA(HZ16:IB16)),"")</f>
        <v/>
      </c>
      <c r="ID16" s="111" t="str">
        <f t="shared" si="54"/>
        <v/>
      </c>
      <c r="IE16" s="179" t="str">
        <f>IF(COUNT(HS16,HX16,IC16)=0,"",SUM(HS16,HX16,IC16)/COUNT(HS16,HX16,IC16))</f>
        <v/>
      </c>
      <c r="IF16" s="132" t="str">
        <f t="shared" si="55"/>
        <v/>
      </c>
      <c r="IG16" s="156"/>
      <c r="IH16" s="157"/>
      <c r="II16" s="158"/>
      <c r="IJ16" s="110" t="str">
        <f>IFERROR((((COUNTIF('Elève (6ème5)'!IG16:II16,"A"))*4)+((COUNTIF('Elève (6ème5)'!IG16:II16,"B"))*3)+((COUNTIF('Elève (6ème5)'!IG16:II16,"C"))*2)+((COUNTIF('Elève (6ème5)'!IG16:II16,"D"))*1))/(COUNTA(IG16:II16)),"")</f>
        <v/>
      </c>
      <c r="IK16" s="111" t="str">
        <f t="shared" si="56"/>
        <v/>
      </c>
      <c r="IL16" s="81"/>
      <c r="IM16" s="82"/>
      <c r="IN16" s="83"/>
      <c r="IO16" s="110" t="str">
        <f>IFERROR((((COUNTIF('Elève (6ème5)'!IL16:IN16,"A"))*4)+((COUNTIF('Elève (6ème5)'!IL16:IN16,"B"))*3)+((COUNTIF('Elève (6ème5)'!IL16:IN16,"C"))*2)+((COUNTIF('Elève (6ème5)'!IL16:IN16,"D"))*1))/(COUNTA(IL16:IN16)),"")</f>
        <v/>
      </c>
      <c r="IP16" s="111" t="str">
        <f t="shared" si="57"/>
        <v/>
      </c>
      <c r="IQ16" s="81"/>
      <c r="IR16" s="82"/>
      <c r="IS16" s="83"/>
      <c r="IT16" s="110" t="str">
        <f>IFERROR((((COUNTIF('Elève (6ème5)'!IQ16:IS16,"A"))*4)+((COUNTIF('Elève (6ème5)'!IQ16:IS16,"B"))*3)+((COUNTIF('Elève (6ème5)'!IQ16:IS16,"C"))*2)+((COUNTIF('Elève (6ème5)'!IQ16:IS16,"D"))*1))/(COUNTA(IQ16:IS16)),"")</f>
        <v/>
      </c>
      <c r="IU16" s="111" t="str">
        <f t="shared" si="58"/>
        <v/>
      </c>
      <c r="IV16" s="179" t="str">
        <f>IF(COUNT(IJ16,IO16,IT16)=0,"",SUM(IJ16,IO16,IT16)/COUNT(IJ16,IO16,IT16))</f>
        <v/>
      </c>
      <c r="IW16" s="132" t="str">
        <f t="shared" si="59"/>
        <v/>
      </c>
      <c r="IX16" s="156"/>
      <c r="IY16" s="157"/>
      <c r="IZ16" s="158"/>
      <c r="JA16" s="110" t="str">
        <f>IFERROR((((COUNTIF('Elève (6ème5)'!IX16:IZ16,"A"))*4)+((COUNTIF('Elève (6ème5)'!IX16:IZ16,"B"))*3)+((COUNTIF('Elève (6ème5)'!IX16:IZ16,"C"))*2)+((COUNTIF('Elève (6ème5)'!IX16:IZ16,"D"))*1))/(COUNTA(IX16:IZ16)),"")</f>
        <v/>
      </c>
      <c r="JB16" s="111" t="str">
        <f t="shared" si="60"/>
        <v/>
      </c>
      <c r="JC16" s="81"/>
      <c r="JD16" s="82"/>
      <c r="JE16" s="83"/>
      <c r="JF16" s="110" t="str">
        <f>IFERROR((((COUNTIF('Elève (6ème5)'!JC16:JE16,"A"))*4)+((COUNTIF('Elève (6ème5)'!JC16:JE16,"B"))*3)+((COUNTIF('Elève (6ème5)'!JC16:JE16,"C"))*2)+((COUNTIF('Elève (6ème5)'!JC16:JE16,"D"))*1))/(COUNTA(JC16:JE16)),"")</f>
        <v/>
      </c>
      <c r="JG16" s="111" t="str">
        <f t="shared" si="61"/>
        <v/>
      </c>
      <c r="JH16" s="81"/>
      <c r="JI16" s="82"/>
      <c r="JJ16" s="83"/>
      <c r="JK16" s="110" t="str">
        <f>IFERROR((((COUNTIF('Elève (6ème5)'!JH16:JJ16,"A"))*4)+((COUNTIF('Elève (6ème5)'!JH16:JJ16,"B"))*3)+((COUNTIF('Elève (6ème5)'!JH16:JJ16,"C"))*2)+((COUNTIF('Elève (6ème5)'!JH16:JJ16,"D"))*1))/(COUNTA(JH16:JJ16)),"")</f>
        <v/>
      </c>
      <c r="JL16" s="111" t="str">
        <f t="shared" si="62"/>
        <v/>
      </c>
      <c r="JM16" s="179" t="str">
        <f>IF(COUNT(JA16,JF16,JK16)=0,"",SUM(JA16,JF16,JK16)/COUNT(JA16,JF16,JK16))</f>
        <v/>
      </c>
      <c r="JN16" s="132" t="str">
        <f t="shared" si="63"/>
        <v/>
      </c>
      <c r="JO16" s="156"/>
      <c r="JP16" s="157"/>
      <c r="JQ16" s="158"/>
      <c r="JR16" s="110" t="str">
        <f>IFERROR((((COUNTIF('Elève (6ème5)'!JO16:JQ16,"A"))*4)+((COUNTIF('Elève (6ème5)'!JO16:JQ16,"B"))*3)+((COUNTIF('Elève (6ème5)'!JO16:JQ16,"C"))*2)+((COUNTIF('Elève (6ème5)'!JO16:JQ16,"D"))*1))/(COUNTA(JO16:JQ16)),"")</f>
        <v/>
      </c>
      <c r="JS16" s="111" t="str">
        <f t="shared" si="64"/>
        <v/>
      </c>
      <c r="JT16" s="81"/>
      <c r="JU16" s="82"/>
      <c r="JV16" s="83"/>
      <c r="JW16" s="110" t="str">
        <f>IFERROR((((COUNTIF('Elève (6ème5)'!JT16:JV16,"A"))*4)+((COUNTIF('Elève (6ème5)'!JT16:JV16,"B"))*3)+((COUNTIF('Elève (6ème5)'!JT16:JV16,"C"))*2)+((COUNTIF('Elève (6ème5)'!JT16:JV16,"D"))*1))/(COUNTA(JT16:JV16)),"")</f>
        <v/>
      </c>
      <c r="JX16" s="111" t="str">
        <f t="shared" si="65"/>
        <v/>
      </c>
      <c r="JY16" s="81"/>
      <c r="JZ16" s="82"/>
      <c r="KA16" s="83"/>
      <c r="KB16" s="110" t="str">
        <f>IFERROR((((COUNTIF('Elève (6ème5)'!JY16:KA16,"A"))*4)+((COUNTIF('Elève (6ème5)'!JY16:KA16,"B"))*3)+((COUNTIF('Elève (6ème5)'!JY16:KA16,"C"))*2)+((COUNTIF('Elève (6ème5)'!JY16:KA16,"D"))*1))/(COUNTA(JY16:KA16)),"")</f>
        <v/>
      </c>
      <c r="KC16" s="111" t="str">
        <f t="shared" si="66"/>
        <v/>
      </c>
      <c r="KD16" s="179" t="str">
        <f>IF(COUNT(JR16,JW16,KB16)=0,"",SUM(JR16,JW16,KB16)/COUNT(JR16,JW16,KB16))</f>
        <v/>
      </c>
      <c r="KE16" s="132" t="str">
        <f t="shared" si="67"/>
        <v/>
      </c>
      <c r="KF16" s="156"/>
      <c r="KG16" s="157"/>
      <c r="KH16" s="158"/>
      <c r="KI16" s="110" t="str">
        <f>IFERROR((((COUNTIF('Elève (6ème5)'!KF16:KH16,"A"))*4)+((COUNTIF('Elève (6ème5)'!KF16:KH16,"B"))*3)+((COUNTIF('Elève (6ème5)'!KF16:KH16,"C"))*2)+((COUNTIF('Elève (6ème5)'!KF16:KH16,"D"))*1))/(COUNTA(KF16:KH16)),"")</f>
        <v/>
      </c>
      <c r="KJ16" s="111" t="str">
        <f t="shared" si="68"/>
        <v/>
      </c>
      <c r="KK16" s="81"/>
      <c r="KL16" s="82"/>
      <c r="KM16" s="83"/>
      <c r="KN16" s="110" t="str">
        <f>IFERROR((((COUNTIF('Elève (6ème5)'!KK16:KM16,"A"))*4)+((COUNTIF('Elève (6ème5)'!KK16:KM16,"B"))*3)+((COUNTIF('Elève (6ème5)'!KK16:KM16,"C"))*2)+((COUNTIF('Elève (6ème5)'!KK16:KM16,"D"))*1))/(COUNTA(KK16:KM16)),"")</f>
        <v/>
      </c>
      <c r="KO16" s="111" t="str">
        <f t="shared" si="69"/>
        <v/>
      </c>
      <c r="KP16" s="81"/>
      <c r="KQ16" s="82"/>
      <c r="KR16" s="83"/>
      <c r="KS16" s="110" t="str">
        <f>IFERROR((((COUNTIF('Elève (6ème5)'!KP16:KR16,"A"))*4)+((COUNTIF('Elève (6ème5)'!KP16:KR16,"B"))*3)+((COUNTIF('Elève (6ème5)'!KP16:KR16,"C"))*2)+((COUNTIF('Elève (6ème5)'!KP16:KR16,"D"))*1))/(COUNTA(KP16:KR16)),"")</f>
        <v/>
      </c>
      <c r="KT16" s="111" t="str">
        <f t="shared" si="70"/>
        <v/>
      </c>
      <c r="KU16" s="179" t="str">
        <f>IF(COUNT(KI16,KN16,KS16)=0,"",SUM(KI16,KN16,KS16)/COUNT(KI16,KN16,KS16))</f>
        <v/>
      </c>
      <c r="KV16" s="132" t="str">
        <f t="shared" si="71"/>
        <v/>
      </c>
      <c r="KW16" s="156"/>
      <c r="KX16" s="157"/>
      <c r="KY16" s="158"/>
      <c r="KZ16" s="110" t="str">
        <f>IFERROR((((COUNTIF('Elève (6ème5)'!KW16:KY16,"A"))*4)+((COUNTIF('Elève (6ème5)'!KW16:KY16,"B"))*3)+((COUNTIF('Elève (6ème5)'!KW16:KY16,"C"))*2)+((COUNTIF('Elève (6ème5)'!KW16:KY16,"D"))*1))/(COUNTA(KW16:KY16)),"")</f>
        <v/>
      </c>
      <c r="LA16" s="111" t="str">
        <f t="shared" si="72"/>
        <v/>
      </c>
      <c r="LB16" s="81"/>
      <c r="LC16" s="82"/>
      <c r="LD16" s="83"/>
      <c r="LE16" s="110" t="str">
        <f>IFERROR((((COUNTIF('Elève (6ème5)'!LB16:LD16,"A"))*4)+((COUNTIF('Elève (6ème5)'!LB16:LD16,"B"))*3)+((COUNTIF('Elève (6ème5)'!LB16:LD16,"C"))*2)+((COUNTIF('Elève (6ème5)'!LB16:LD16,"D"))*1))/(COUNTA(LB16:LD16)),"")</f>
        <v/>
      </c>
      <c r="LF16" s="111" t="str">
        <f t="shared" si="73"/>
        <v/>
      </c>
      <c r="LG16" s="81"/>
      <c r="LH16" s="82"/>
      <c r="LI16" s="83"/>
      <c r="LJ16" s="110" t="str">
        <f>IFERROR((((COUNTIF('Elève (6ème5)'!LG16:LI16,"A"))*4)+((COUNTIF('Elève (6ème5)'!LG16:LI16,"B"))*3)+((COUNTIF('Elève (6ème5)'!LG16:LI16,"C"))*2)+((COUNTIF('Elève (6ème5)'!LG16:LI16,"D"))*1))/(COUNTA(LG16:LI16)),"")</f>
        <v/>
      </c>
      <c r="LK16" s="111" t="str">
        <f t="shared" si="74"/>
        <v/>
      </c>
      <c r="LL16" s="179" t="str">
        <f>IF(COUNT(KZ16,LE16,LJ16)=0,"",SUM(KZ16,LE16,LJ16)/COUNT(KZ16,LE16,LJ16))</f>
        <v/>
      </c>
      <c r="LM16" s="132" t="str">
        <f t="shared" si="75"/>
        <v/>
      </c>
      <c r="LN16" s="156"/>
      <c r="LO16" s="157"/>
      <c r="LP16" s="158"/>
      <c r="LQ16" s="110" t="str">
        <f>IFERROR((((COUNTIF('Elève (6ème5)'!LN16:LP16,"A"))*4)+((COUNTIF('Elève (6ème5)'!LN16:LP16,"B"))*3)+((COUNTIF('Elève (6ème5)'!LN16:LP16,"C"))*2)+((COUNTIF('Elève (6ème5)'!LN16:LP16,"D"))*1))/(COUNTA(LN16:LP16)),"")</f>
        <v/>
      </c>
      <c r="LR16" s="111" t="str">
        <f t="shared" si="76"/>
        <v/>
      </c>
      <c r="LS16" s="81"/>
      <c r="LT16" s="82"/>
      <c r="LU16" s="83"/>
      <c r="LV16" s="110" t="str">
        <f>IFERROR((((COUNTIF('Elève (6ème5)'!LS16:LU16,"A"))*4)+((COUNTIF('Elève (6ème5)'!LS16:LU16,"B"))*3)+((COUNTIF('Elève (6ème5)'!LS16:LU16,"C"))*2)+((COUNTIF('Elève (6ème5)'!LS16:LU16,"D"))*1))/(COUNTA(LS16:LU16)),"")</f>
        <v/>
      </c>
      <c r="LW16" s="111" t="str">
        <f t="shared" si="77"/>
        <v/>
      </c>
      <c r="LX16" s="81"/>
      <c r="LY16" s="82"/>
      <c r="LZ16" s="83"/>
      <c r="MA16" s="110" t="str">
        <f>IFERROR((((COUNTIF('Elève (6ème5)'!LX16:LZ16,"A"))*4)+((COUNTIF('Elève (6ème5)'!LX16:LZ16,"B"))*3)+((COUNTIF('Elève (6ème5)'!LX16:LZ16,"C"))*2)+((COUNTIF('Elève (6ème5)'!LX16:LZ16,"D"))*1))/(COUNTA(LX16:LZ16)),"")</f>
        <v/>
      </c>
      <c r="MB16" s="111" t="str">
        <f t="shared" si="78"/>
        <v/>
      </c>
      <c r="MC16" s="179" t="str">
        <f>IF(COUNT(LQ16,LV16,MA16)=0,"",SUM(LQ16,LV16,MA16)/COUNT(LQ16,LV16,MA16))</f>
        <v/>
      </c>
      <c r="MD16" s="132" t="str">
        <f t="shared" si="79"/>
        <v/>
      </c>
      <c r="ME16" s="156"/>
      <c r="MF16" s="157"/>
      <c r="MG16" s="158"/>
      <c r="MH16" s="110" t="str">
        <f>IFERROR((((COUNTIF('Elève (6ème5)'!ME16:MG16,"A"))*4)+((COUNTIF('Elève (6ème5)'!ME16:MG16,"B"))*3)+((COUNTIF('Elève (6ème5)'!ME16:MG16,"C"))*2)+((COUNTIF('Elève (6ème5)'!ME16:MG16,"D"))*1))/(COUNTA(ME16:MG16)),"")</f>
        <v/>
      </c>
      <c r="MI16" s="111" t="str">
        <f t="shared" si="80"/>
        <v/>
      </c>
      <c r="MJ16" s="81"/>
      <c r="MK16" s="82"/>
      <c r="ML16" s="83"/>
      <c r="MM16" s="110" t="str">
        <f>IFERROR((((COUNTIF('Elève (6ème5)'!MJ16:ML16,"A"))*4)+((COUNTIF('Elève (6ème5)'!MJ16:ML16,"B"))*3)+((COUNTIF('Elève (6ème5)'!MJ16:ML16,"C"))*2)+((COUNTIF('Elève (6ème5)'!MJ16:ML16,"D"))*1))/(COUNTA(MJ16:ML16)),"")</f>
        <v/>
      </c>
      <c r="MN16" s="111" t="str">
        <f t="shared" si="81"/>
        <v/>
      </c>
      <c r="MO16" s="81"/>
      <c r="MP16" s="82"/>
      <c r="MQ16" s="83"/>
      <c r="MR16" s="110" t="str">
        <f>IFERROR((((COUNTIF('Elève (6ème5)'!MO16:MQ16,"A"))*4)+((COUNTIF('Elève (6ème5)'!MO16:MQ16,"B"))*3)+((COUNTIF('Elève (6ème5)'!MO16:MQ16,"C"))*2)+((COUNTIF('Elève (6ème5)'!MO16:MQ16,"D"))*1))/(COUNTA(MO16:MQ16)),"")</f>
        <v/>
      </c>
      <c r="MS16" s="111" t="str">
        <f t="shared" si="82"/>
        <v/>
      </c>
      <c r="MT16" s="179" t="str">
        <f>IF(COUNT(MH16,MM16,MR16)=0,"",SUM(MH16,MM16,MR16)/COUNT(MH16,MM16,MR16))</f>
        <v/>
      </c>
      <c r="MU16" s="132" t="str">
        <f t="shared" si="83"/>
        <v/>
      </c>
      <c r="MV16" s="156"/>
      <c r="MW16" s="157"/>
      <c r="MX16" s="158"/>
      <c r="MY16" s="110" t="str">
        <f>IFERROR((((COUNTIF('Elève (6ème5)'!MV16:MX16,"A"))*4)+((COUNTIF('Elève (6ème5)'!MV16:MX16,"B"))*3)+((COUNTIF('Elève (6ème5)'!MV16:MX16,"C"))*2)+((COUNTIF('Elève (6ème5)'!MV16:MX16,"D"))*1))/(COUNTA(MV16:MX16)),"")</f>
        <v/>
      </c>
      <c r="MZ16" s="111" t="str">
        <f t="shared" si="84"/>
        <v/>
      </c>
      <c r="NA16" s="81"/>
      <c r="NB16" s="82"/>
      <c r="NC16" s="83"/>
      <c r="ND16" s="110" t="str">
        <f>IFERROR((((COUNTIF('Elève (6ème5)'!NA16:NC16,"A"))*4)+((COUNTIF('Elève (6ème5)'!NA16:NC16,"B"))*3)+((COUNTIF('Elève (6ème5)'!NA16:NC16,"C"))*2)+((COUNTIF('Elève (6ème5)'!NA16:NC16,"D"))*1))/(COUNTA(NA16:NC16)),"")</f>
        <v/>
      </c>
      <c r="NE16" s="111" t="str">
        <f t="shared" si="85"/>
        <v/>
      </c>
      <c r="NF16" s="81"/>
      <c r="NG16" s="82"/>
      <c r="NH16" s="83"/>
      <c r="NI16" s="110" t="str">
        <f>IFERROR((((COUNTIF('Elève (6ème5)'!NF16:NH16,"A"))*4)+((COUNTIF('Elève (6ème5)'!NF16:NH16,"B"))*3)+((COUNTIF('Elève (6ème5)'!NF16:NH16,"C"))*2)+((COUNTIF('Elève (6ème5)'!NF16:NH16,"D"))*1))/(COUNTA(NF16:NH16)),"")</f>
        <v/>
      </c>
      <c r="NJ16" s="111" t="str">
        <f t="shared" si="86"/>
        <v/>
      </c>
      <c r="NK16" s="179" t="str">
        <f>IF(COUNT(MY16,ND16,NI16)=0,"",SUM(MY16,ND16,NI16)/COUNT(MY16,ND16,NI16))</f>
        <v/>
      </c>
      <c r="NL16" s="132" t="str">
        <f t="shared" si="87"/>
        <v/>
      </c>
      <c r="NM16" s="156"/>
      <c r="NN16" s="157"/>
      <c r="NO16" s="158"/>
      <c r="NP16" s="110" t="str">
        <f>IFERROR((((COUNTIF('Elève (6ème5)'!NM16:NO16,"A"))*4)+((COUNTIF('Elève (6ème5)'!NM16:NO16,"B"))*3)+((COUNTIF('Elève (6ème5)'!NM16:NO16,"C"))*2)+((COUNTIF('Elève (6ème5)'!NM16:NO16,"D"))*1))/(COUNTA(NM16:NO16)),"")</f>
        <v/>
      </c>
      <c r="NQ16" s="111" t="str">
        <f t="shared" si="88"/>
        <v/>
      </c>
      <c r="NR16" s="81"/>
      <c r="NS16" s="82"/>
      <c r="NT16" s="83"/>
      <c r="NU16" s="110" t="str">
        <f>IFERROR((((COUNTIF('Elève (6ème5)'!NR16:NT16,"A"))*4)+((COUNTIF('Elève (6ème5)'!NR16:NT16,"B"))*3)+((COUNTIF('Elève (6ème5)'!NR16:NT16,"C"))*2)+((COUNTIF('Elève (6ème5)'!NR16:NT16,"D"))*1))/(COUNTA(NR16:NT16)),"")</f>
        <v/>
      </c>
      <c r="NV16" s="111" t="str">
        <f t="shared" si="89"/>
        <v/>
      </c>
      <c r="NW16" s="81"/>
      <c r="NX16" s="82"/>
      <c r="NY16" s="83"/>
      <c r="NZ16" s="110" t="str">
        <f>IFERROR((((COUNTIF('Elève (6ème5)'!NW16:NY16,"A"))*4)+((COUNTIF('Elève (6ème5)'!NW16:NY16,"B"))*3)+((COUNTIF('Elève (6ème5)'!NW16:NY16,"C"))*2)+((COUNTIF('Elève (6ème5)'!NW16:NY16,"D"))*1))/(COUNTA(NW16:NY16)),"")</f>
        <v/>
      </c>
      <c r="OA16" s="111" t="str">
        <f t="shared" si="90"/>
        <v/>
      </c>
      <c r="OB16" s="179" t="str">
        <f>IF(COUNT(NP16,NU16,NZ16)=0,"",SUM(NP16,NU16,NZ16)/COUNT(NP16,NU16,NZ16))</f>
        <v/>
      </c>
      <c r="OC16" s="132" t="str">
        <f t="shared" si="91"/>
        <v/>
      </c>
      <c r="OD16" s="156"/>
      <c r="OE16" s="157"/>
      <c r="OF16" s="158"/>
      <c r="OG16" s="110" t="str">
        <f>IFERROR((((COUNTIF('Elève (6ème5)'!OD16:OF16,"A"))*4)+((COUNTIF('Elève (6ème5)'!OD16:OF16,"B"))*3)+((COUNTIF('Elève (6ème5)'!OD16:OF16,"C"))*2)+((COUNTIF('Elève (6ème5)'!OD16:OF16,"D"))*1))/(COUNTA(OD16:OF16)),"")</f>
        <v/>
      </c>
      <c r="OH16" s="111" t="str">
        <f t="shared" si="92"/>
        <v/>
      </c>
      <c r="OI16" s="81"/>
      <c r="OJ16" s="82"/>
      <c r="OK16" s="83"/>
      <c r="OL16" s="110" t="str">
        <f>IFERROR((((COUNTIF('Elève (6ème5)'!OI16:OK16,"A"))*4)+((COUNTIF('Elève (6ème5)'!OI16:OK16,"B"))*3)+((COUNTIF('Elève (6ème5)'!OI16:OK16,"C"))*2)+((COUNTIF('Elève (6ème5)'!OI16:OK16,"D"))*1))/(COUNTA(OI16:OK16)),"")</f>
        <v/>
      </c>
      <c r="OM16" s="111" t="str">
        <f t="shared" si="93"/>
        <v/>
      </c>
      <c r="ON16" s="81"/>
      <c r="OO16" s="82"/>
      <c r="OP16" s="83"/>
      <c r="OQ16" s="110" t="str">
        <f>IFERROR((((COUNTIF('Elève (6ème5)'!ON16:OP16,"A"))*4)+((COUNTIF('Elève (6ème5)'!ON16:OP16,"B"))*3)+((COUNTIF('Elève (6ème5)'!ON16:OP16,"C"))*2)+((COUNTIF('Elève (6ème5)'!ON16:OP16,"D"))*1))/(COUNTA(ON16:OP16)),"")</f>
        <v/>
      </c>
      <c r="OR16" s="111" t="str">
        <f t="shared" si="94"/>
        <v/>
      </c>
      <c r="OS16" s="179" t="str">
        <f>IF(COUNT(OG16,OL16,OQ16)=0,"",SUM(OG16,OL16,OQ16)/COUNT(OG16,OL16,OQ16))</f>
        <v/>
      </c>
      <c r="OT16" s="132" t="str">
        <f t="shared" si="95"/>
        <v/>
      </c>
      <c r="OU16" s="156"/>
      <c r="OV16" s="157"/>
      <c r="OW16" s="158"/>
      <c r="OX16" s="110" t="str">
        <f>IFERROR((((COUNTIF('Elève (6ème5)'!OU16:OW16,"A"))*4)+((COUNTIF('Elève (6ème5)'!OU16:OW16,"B"))*3)+((COUNTIF('Elève (6ème5)'!OU16:OW16,"C"))*2)+((COUNTIF('Elève (6ème5)'!OU16:OW16,"D"))*1))/(COUNTA(OU16:OW16)),"")</f>
        <v/>
      </c>
      <c r="OY16" s="111" t="str">
        <f t="shared" si="96"/>
        <v/>
      </c>
      <c r="OZ16" s="81"/>
      <c r="PA16" s="82"/>
      <c r="PB16" s="83"/>
      <c r="PC16" s="110" t="str">
        <f>IFERROR((((COUNTIF('Elève (6ème5)'!OZ16:PB16,"A"))*4)+((COUNTIF('Elève (6ème5)'!OZ16:PB16,"B"))*3)+((COUNTIF('Elève (6ème5)'!OZ16:PB16,"C"))*2)+((COUNTIF('Elève (6ème5)'!OZ16:PB16,"D"))*1))/(COUNTA(OZ16:PB16)),"")</f>
        <v/>
      </c>
      <c r="PD16" s="111" t="str">
        <f t="shared" si="97"/>
        <v/>
      </c>
      <c r="PE16" s="81"/>
      <c r="PF16" s="82"/>
      <c r="PG16" s="83"/>
      <c r="PH16" s="110" t="str">
        <f>IFERROR((((COUNTIF('Elève (6ème5)'!PE16:PG16,"A"))*4)+((COUNTIF('Elève (6ème5)'!PE16:PG16,"B"))*3)+((COUNTIF('Elève (6ème5)'!PE16:PG16,"C"))*2)+((COUNTIF('Elève (6ème5)'!PE16:PG16,"D"))*1))/(COUNTA(PE16:PG16)),"")</f>
        <v/>
      </c>
      <c r="PI16" s="111" t="str">
        <f t="shared" si="98"/>
        <v/>
      </c>
      <c r="PJ16" s="179" t="str">
        <f>IF(COUNT(OX16,PC16,PH16)=0,"",SUM(OX16,PC16,PH16)/COUNT(OX16,PC16,PH16))</f>
        <v/>
      </c>
      <c r="PK16" s="132" t="str">
        <f t="shared" si="99"/>
        <v/>
      </c>
      <c r="PL16" s="156"/>
      <c r="PM16" s="157"/>
      <c r="PN16" s="158"/>
      <c r="PO16" s="110" t="str">
        <f>IFERROR((((COUNTIF('Elève (6ème5)'!PL16:PN16,"A"))*4)+((COUNTIF('Elève (6ème5)'!PL16:PN16,"B"))*3)+((COUNTIF('Elève (6ème5)'!PL16:PN16,"C"))*2)+((COUNTIF('Elève (6ème5)'!PL16:PN16,"D"))*1))/(COUNTA(PL16:PN16)),"")</f>
        <v/>
      </c>
      <c r="PP16" s="111" t="str">
        <f t="shared" si="100"/>
        <v/>
      </c>
      <c r="PQ16" s="81"/>
      <c r="PR16" s="82"/>
      <c r="PS16" s="83"/>
      <c r="PT16" s="110" t="str">
        <f>IFERROR((((COUNTIF('Elève (6ème5)'!PQ16:PS16,"A"))*4)+((COUNTIF('Elève (6ème5)'!PQ16:PS16,"B"))*3)+((COUNTIF('Elève (6ème5)'!PQ16:PS16,"C"))*2)+((COUNTIF('Elève (6ème5)'!PQ16:PS16,"D"))*1))/(COUNTA(PQ16:PS16)),"")</f>
        <v/>
      </c>
      <c r="PU16" s="111" t="str">
        <f t="shared" si="101"/>
        <v/>
      </c>
      <c r="PV16" s="81"/>
      <c r="PW16" s="82"/>
      <c r="PX16" s="83"/>
      <c r="PY16" s="110" t="str">
        <f>IFERROR((((COUNTIF('Elève (6ème5)'!PV16:PX16,"A"))*4)+((COUNTIF('Elève (6ème5)'!PV16:PX16,"B"))*3)+((COUNTIF('Elève (6ème5)'!PV16:PX16,"C"))*2)+((COUNTIF('Elève (6ème5)'!PV16:PX16,"D"))*1))/(COUNTA(PV16:PX16)),"")</f>
        <v/>
      </c>
      <c r="PZ16" s="111" t="str">
        <f t="shared" si="102"/>
        <v/>
      </c>
      <c r="QA16" s="179" t="str">
        <f>IF(COUNT(PO16,PT16,PY16)=0,"",SUM(PO16,PT16,PY16)/COUNT(PO16,PT16,PY16))</f>
        <v/>
      </c>
      <c r="QB16" s="132" t="str">
        <f t="shared" si="103"/>
        <v/>
      </c>
      <c r="QC16" s="156"/>
      <c r="QD16" s="157"/>
      <c r="QE16" s="158"/>
      <c r="QF16" s="110" t="str">
        <f>IFERROR((((COUNTIF('Elève (6ème5)'!QC16:QE16,"A"))*4)+((COUNTIF('Elève (6ème5)'!QC16:QE16,"B"))*3)+((COUNTIF('Elève (6ème5)'!QC16:QE16,"C"))*2)+((COUNTIF('Elève (6ème5)'!QC16:QE16,"D"))*1))/(COUNTA(QC16:QE16)),"")</f>
        <v/>
      </c>
      <c r="QG16" s="111" t="str">
        <f t="shared" si="104"/>
        <v/>
      </c>
      <c r="QH16" s="81"/>
      <c r="QI16" s="82"/>
      <c r="QJ16" s="83"/>
      <c r="QK16" s="110" t="str">
        <f>IFERROR((((COUNTIF('Elève (6ème5)'!QH16:QJ16,"A"))*4)+((COUNTIF('Elève (6ème5)'!QH16:QJ16,"B"))*3)+((COUNTIF('Elève (6ème5)'!QH16:QJ16,"C"))*2)+((COUNTIF('Elève (6ème5)'!QH16:QJ16,"D"))*1))/(COUNTA(QH16:QJ16)),"")</f>
        <v/>
      </c>
      <c r="QL16" s="111" t="str">
        <f t="shared" si="105"/>
        <v/>
      </c>
      <c r="QM16" s="81"/>
      <c r="QN16" s="82"/>
      <c r="QO16" s="83"/>
      <c r="QP16" s="110" t="str">
        <f>IFERROR((((COUNTIF('Elève (6ème5)'!QM16:QO16,"A"))*4)+((COUNTIF('Elève (6ème5)'!QM16:QO16,"B"))*3)+((COUNTIF('Elève (6ème5)'!QM16:QO16,"C"))*2)+((COUNTIF('Elève (6ème5)'!QM16:QO16,"D"))*1))/(COUNTA(QM16:QO16)),"")</f>
        <v/>
      </c>
      <c r="QQ16" s="111" t="str">
        <f t="shared" si="106"/>
        <v/>
      </c>
      <c r="QR16" s="179" t="str">
        <f>IF(COUNT(QF16,QK16,QP16)=0,"",SUM(QF16,QK16,QP16)/COUNT(QF16,QK16,QP16))</f>
        <v/>
      </c>
      <c r="QS16" s="132" t="str">
        <f t="shared" si="107"/>
        <v/>
      </c>
      <c r="QT16" s="156"/>
      <c r="QU16" s="157"/>
      <c r="QV16" s="158"/>
      <c r="QW16" s="110" t="str">
        <f>IFERROR((((COUNTIF('Elève (6ème5)'!QT16:QV16,"A"))*4)+((COUNTIF('Elève (6ème5)'!QT16:QV16,"B"))*3)+((COUNTIF('Elève (6ème5)'!QT16:QV16,"C"))*2)+((COUNTIF('Elève (6ème5)'!QT16:QV16,"D"))*1))/(COUNTA(QT16:QV16)),"")</f>
        <v/>
      </c>
      <c r="QX16" s="111" t="str">
        <f t="shared" si="108"/>
        <v/>
      </c>
      <c r="QY16" s="81"/>
      <c r="QZ16" s="82"/>
      <c r="RA16" s="83"/>
      <c r="RB16" s="110" t="str">
        <f>IFERROR((((COUNTIF('Elève (6ème5)'!QY16:RA16,"A"))*4)+((COUNTIF('Elève (6ème5)'!QY16:RA16,"B"))*3)+((COUNTIF('Elève (6ème5)'!QY16:RA16,"C"))*2)+((COUNTIF('Elève (6ème5)'!QY16:RA16,"D"))*1))/(COUNTA(QY16:RA16)),"")</f>
        <v/>
      </c>
      <c r="RC16" s="111" t="str">
        <f t="shared" si="109"/>
        <v/>
      </c>
      <c r="RD16" s="81"/>
      <c r="RE16" s="82"/>
      <c r="RF16" s="83"/>
      <c r="RG16" s="110" t="str">
        <f>IFERROR((((COUNTIF('Elève (6ème5)'!RD16:RF16,"A"))*4)+((COUNTIF('Elève (6ème5)'!RD16:RF16,"B"))*3)+((COUNTIF('Elève (6ème5)'!RD16:RF16,"C"))*2)+((COUNTIF('Elève (6ème5)'!RD16:RF16,"D"))*1))/(COUNTA(RD16:RF16)),"")</f>
        <v/>
      </c>
      <c r="RH16" s="111" t="str">
        <f t="shared" si="110"/>
        <v/>
      </c>
      <c r="RI16" s="179" t="str">
        <f>IF(COUNT(QW16,RB16,RG16)=0,"",SUM(QW16,RB16,RG16)/COUNT(QW16,RB16,RG16))</f>
        <v/>
      </c>
      <c r="RJ16" s="132" t="str">
        <f t="shared" si="111"/>
        <v/>
      </c>
      <c r="RK16" s="156"/>
      <c r="RL16" s="157"/>
      <c r="RM16" s="158"/>
      <c r="RN16" s="110" t="str">
        <f>IFERROR((((COUNTIF('Elève (6ème5)'!RK16:RM16,"A"))*4)+((COUNTIF('Elève (6ème5)'!RK16:RM16,"B"))*3)+((COUNTIF('Elève (6ème5)'!RK16:RM16,"C"))*2)+((COUNTIF('Elève (6ème5)'!RK16:RM16,"D"))*1))/(COUNTA(RK16:RM16)),"")</f>
        <v/>
      </c>
      <c r="RO16" s="111" t="str">
        <f t="shared" si="112"/>
        <v/>
      </c>
      <c r="RP16" s="81"/>
      <c r="RQ16" s="82"/>
      <c r="RR16" s="83"/>
      <c r="RS16" s="110" t="str">
        <f>IFERROR((((COUNTIF('Elève (6ème5)'!RP16:RR16,"A"))*4)+((COUNTIF('Elève (6ème5)'!RP16:RR16,"B"))*3)+((COUNTIF('Elève (6ème5)'!RP16:RR16,"C"))*2)+((COUNTIF('Elève (6ème5)'!RP16:RR16,"D"))*1))/(COUNTA(RP16:RR16)),"")</f>
        <v/>
      </c>
      <c r="RT16" s="111" t="str">
        <f t="shared" si="113"/>
        <v/>
      </c>
      <c r="RU16" s="81"/>
      <c r="RV16" s="82"/>
      <c r="RW16" s="83"/>
      <c r="RX16" s="110" t="str">
        <f>IFERROR((((COUNTIF('Elève (6ème5)'!RU16:RW16,"A"))*4)+((COUNTIF('Elève (6ème5)'!RU16:RW16,"B"))*3)+((COUNTIF('Elève (6ème5)'!RU16:RW16,"C"))*2)+((COUNTIF('Elève (6ème5)'!RU16:RW16,"D"))*1))/(COUNTA(RU16:RW16)),"")</f>
        <v/>
      </c>
      <c r="RY16" s="111" t="str">
        <f t="shared" si="114"/>
        <v/>
      </c>
      <c r="RZ16" s="179" t="str">
        <f>IF(COUNT(RN16,RS16,RX16)=0,"",SUM(RN16,RS16,RX16)/COUNT(RN16,RS16,RX16))</f>
        <v/>
      </c>
      <c r="SA16" s="132" t="str">
        <f t="shared" si="115"/>
        <v/>
      </c>
      <c r="SB16" s="156"/>
      <c r="SC16" s="157"/>
      <c r="SD16" s="158"/>
      <c r="SE16" s="110" t="str">
        <f>IFERROR((((COUNTIF('Elève (6ème5)'!SB16:SD16,"A"))*4)+((COUNTIF('Elève (6ème5)'!SB16:SD16,"B"))*3)+((COUNTIF('Elève (6ème5)'!SB16:SD16,"C"))*2)+((COUNTIF('Elève (6ème5)'!SB16:SD16,"D"))*1))/(COUNTA(SB16:SD16)),"")</f>
        <v/>
      </c>
      <c r="SF16" s="111" t="str">
        <f t="shared" si="116"/>
        <v/>
      </c>
      <c r="SG16" s="81"/>
      <c r="SH16" s="82"/>
      <c r="SI16" s="83"/>
      <c r="SJ16" s="110" t="str">
        <f>IFERROR((((COUNTIF('Elève (6ème5)'!SG16:SI16,"A"))*4)+((COUNTIF('Elève (6ème5)'!SG16:SI16,"B"))*3)+((COUNTIF('Elève (6ème5)'!SG16:SI16,"C"))*2)+((COUNTIF('Elève (6ème5)'!SG16:SI16,"D"))*1))/(COUNTA(SG16:SI16)),"")</f>
        <v/>
      </c>
      <c r="SK16" s="111" t="str">
        <f t="shared" si="117"/>
        <v/>
      </c>
      <c r="SL16" s="81"/>
      <c r="SM16" s="82"/>
      <c r="SN16" s="83"/>
      <c r="SO16" s="110" t="str">
        <f>IFERROR((((COUNTIF('Elève (6ème5)'!SL16:SN16,"A"))*4)+((COUNTIF('Elève (6ème5)'!SL16:SN16,"B"))*3)+((COUNTIF('Elève (6ème5)'!SL16:SN16,"C"))*2)+((COUNTIF('Elève (6ème5)'!SL16:SN16,"D"))*1))/(COUNTA(SL16:SN16)),"")</f>
        <v/>
      </c>
      <c r="SP16" s="111" t="str">
        <f t="shared" si="118"/>
        <v/>
      </c>
      <c r="SQ16" s="179" t="str">
        <f>IF(COUNT(SE16,SJ16,SO16)=0,"",SUM(SE16,SJ16,SO16)/COUNT(SE16,SJ16,SO16))</f>
        <v/>
      </c>
      <c r="SR16" s="132" t="str">
        <f t="shared" si="119"/>
        <v/>
      </c>
    </row>
    <row r="17" spans="1:512" s="72" customFormat="1" ht="18" customHeight="1" thickBot="1" x14ac:dyDescent="0.3">
      <c r="A17" s="244" t="s">
        <v>20</v>
      </c>
      <c r="B17" s="245"/>
      <c r="C17" s="159"/>
      <c r="D17" s="160"/>
      <c r="E17" s="161"/>
      <c r="F17" s="136" t="str">
        <f>IFERROR((((COUNTIF('Elève (6ème5)'!C17:E17,"A"))*4)+((COUNTIF('Elève (6ème5)'!C17:E17,"B"))*3)+((COUNTIF('Elève (6ème5)'!C17:E17,"C"))*2)+((COUNTIF('Elève (6ème5)'!C17:E17,"D"))*1))/(COUNTA(C17:E17)),"")</f>
        <v/>
      </c>
      <c r="G17" s="137" t="str">
        <f t="shared" si="0"/>
        <v/>
      </c>
      <c r="H17" s="84"/>
      <c r="I17" s="85"/>
      <c r="J17" s="86"/>
      <c r="K17" s="136" t="str">
        <f>IFERROR((((COUNTIF('Elève (6ème5)'!H17:J17,"A"))*4)+((COUNTIF('Elève (6ème5)'!H17:J17,"B"))*3)+((COUNTIF('Elève (6ème5)'!H17:J17,"C"))*2)+((COUNTIF('Elève (6ème5)'!H17:J17,"D"))*1))/(COUNTA(H17:J17)),"")</f>
        <v/>
      </c>
      <c r="L17" s="137" t="str">
        <f t="shared" si="1"/>
        <v/>
      </c>
      <c r="M17" s="84"/>
      <c r="N17" s="85"/>
      <c r="O17" s="86"/>
      <c r="P17" s="136" t="str">
        <f>IFERROR((((COUNTIF('Elève (6ème5)'!M17:O17,"A"))*4)+((COUNTIF('Elève (6ème5)'!M17:O17,"B"))*3)+((COUNTIF('Elève (6ème5)'!M17:O17,"C"))*2)+((COUNTIF('Elève (6ème5)'!M17:O17,"D"))*1))/(COUNTA(M17:O17)),"")</f>
        <v/>
      </c>
      <c r="Q17" s="137" t="str">
        <f t="shared" si="2"/>
        <v/>
      </c>
      <c r="R17" s="180" t="str">
        <f>IF(COUNT(F17,K17,P17)=0,"",SUM(F17,K17,P17)/COUNT(F17,K17,P17))</f>
        <v/>
      </c>
      <c r="S17" s="133" t="str">
        <f t="shared" si="3"/>
        <v/>
      </c>
      <c r="T17" s="159"/>
      <c r="U17" s="160"/>
      <c r="V17" s="161"/>
      <c r="W17" s="136" t="str">
        <f>IFERROR((((COUNTIF('Elève (6ème5)'!T17:V17,"A"))*4)+((COUNTIF('Elève (6ème5)'!T17:V17,"B"))*3)+((COUNTIF('Elève (6ème5)'!T17:V17,"C"))*2)+((COUNTIF('Elève (6ème5)'!T17:V17,"D"))*1))/(COUNTA(T17:V17)),"")</f>
        <v/>
      </c>
      <c r="X17" s="137" t="str">
        <f t="shared" si="4"/>
        <v/>
      </c>
      <c r="Y17" s="84"/>
      <c r="Z17" s="85"/>
      <c r="AA17" s="86"/>
      <c r="AB17" s="136" t="str">
        <f>IFERROR((((COUNTIF('Elève (6ème5)'!Y17:AA17,"A"))*4)+((COUNTIF('Elève (6ème5)'!Y17:AA17,"B"))*3)+((COUNTIF('Elève (6ème5)'!Y17:AA17,"C"))*2)+((COUNTIF('Elève (6ème5)'!Y17:AA17,"D"))*1))/(COUNTA(Y17:AA17)),"")</f>
        <v/>
      </c>
      <c r="AC17" s="137" t="str">
        <f t="shared" si="5"/>
        <v/>
      </c>
      <c r="AD17" s="84"/>
      <c r="AE17" s="85"/>
      <c r="AF17" s="86"/>
      <c r="AG17" s="136" t="str">
        <f>IFERROR((((COUNTIF('Elève (6ème5)'!AD17:AF17,"A"))*4)+((COUNTIF('Elève (6ème5)'!AD17:AF17,"B"))*3)+((COUNTIF('Elève (6ème5)'!AD17:AF17,"C"))*2)+((COUNTIF('Elève (6ème5)'!AD17:AF17,"D"))*1))/(COUNTA(AD17:AF17)),"")</f>
        <v/>
      </c>
      <c r="AH17" s="137" t="str">
        <f t="shared" si="6"/>
        <v/>
      </c>
      <c r="AI17" s="180" t="str">
        <f>IF(COUNT(W17,AB17,AG17)=0,"",SUM(W17,AB17,AG17)/COUNT(W17,AB17,AG17))</f>
        <v/>
      </c>
      <c r="AJ17" s="133" t="str">
        <f t="shared" si="7"/>
        <v/>
      </c>
      <c r="AK17" s="159"/>
      <c r="AL17" s="160"/>
      <c r="AM17" s="161"/>
      <c r="AN17" s="136" t="str">
        <f>IFERROR((((COUNTIF('Elève (6ème5)'!AK17:AM17,"A"))*4)+((COUNTIF('Elève (6ème5)'!AK17:AM17,"B"))*3)+((COUNTIF('Elève (6ème5)'!AK17:AM17,"C"))*2)+((COUNTIF('Elève (6ème5)'!AK17:AM17,"D"))*1))/(COUNTA(AK17:AM17)),"")</f>
        <v/>
      </c>
      <c r="AO17" s="137" t="str">
        <f t="shared" si="8"/>
        <v/>
      </c>
      <c r="AP17" s="84"/>
      <c r="AQ17" s="85"/>
      <c r="AR17" s="86"/>
      <c r="AS17" s="136" t="str">
        <f>IFERROR((((COUNTIF('Elève (6ème5)'!AP17:AR17,"A"))*4)+((COUNTIF('Elève (6ème5)'!AP17:AR17,"B"))*3)+((COUNTIF('Elève (6ème5)'!AP17:AR17,"C"))*2)+((COUNTIF('Elève (6ème5)'!AP17:AR17,"D"))*1))/(COUNTA(AP17:AR17)),"")</f>
        <v/>
      </c>
      <c r="AT17" s="137" t="str">
        <f t="shared" si="9"/>
        <v/>
      </c>
      <c r="AU17" s="84"/>
      <c r="AV17" s="85"/>
      <c r="AW17" s="86"/>
      <c r="AX17" s="136" t="str">
        <f>IFERROR((((COUNTIF('Elève (6ème5)'!AU17:AW17,"A"))*4)+((COUNTIF('Elève (6ème5)'!AU17:AW17,"B"))*3)+((COUNTIF('Elève (6ème5)'!AU17:AW17,"C"))*2)+((COUNTIF('Elève (6ème5)'!AU17:AW17,"D"))*1))/(COUNTA(AU17:AW17)),"")</f>
        <v/>
      </c>
      <c r="AY17" s="137" t="str">
        <f t="shared" si="10"/>
        <v/>
      </c>
      <c r="AZ17" s="180" t="str">
        <f>IF(COUNT(AN17,AS17,AX17)=0,"",SUM(AN17,AS17,AX17)/COUNT(AN17,AS17,AX17))</f>
        <v/>
      </c>
      <c r="BA17" s="133" t="str">
        <f t="shared" si="11"/>
        <v/>
      </c>
      <c r="BB17" s="159"/>
      <c r="BC17" s="160"/>
      <c r="BD17" s="161"/>
      <c r="BE17" s="136" t="str">
        <f>IFERROR((((COUNTIF('Elève (6ème5)'!BB17:BD17,"A"))*4)+((COUNTIF('Elève (6ème5)'!BB17:BD17,"B"))*3)+((COUNTIF('Elève (6ème5)'!BB17:BD17,"C"))*2)+((COUNTIF('Elève (6ème5)'!BB17:BD17,"D"))*1))/(COUNTA(BB17:BD17)),"")</f>
        <v/>
      </c>
      <c r="BF17" s="137" t="str">
        <f t="shared" si="12"/>
        <v/>
      </c>
      <c r="BG17" s="84"/>
      <c r="BH17" s="85"/>
      <c r="BI17" s="86"/>
      <c r="BJ17" s="136" t="str">
        <f>IFERROR((((COUNTIF('Elève (6ème5)'!BG17:BI17,"A"))*4)+((COUNTIF('Elève (6ème5)'!BG17:BI17,"B"))*3)+((COUNTIF('Elève (6ème5)'!BG17:BI17,"C"))*2)+((COUNTIF('Elève (6ème5)'!BG17:BI17,"D"))*1))/(COUNTA(BG17:BI17)),"")</f>
        <v/>
      </c>
      <c r="BK17" s="137" t="str">
        <f t="shared" si="13"/>
        <v/>
      </c>
      <c r="BL17" s="84"/>
      <c r="BM17" s="85"/>
      <c r="BN17" s="86"/>
      <c r="BO17" s="136" t="str">
        <f>IFERROR((((COUNTIF('Elève (6ème5)'!BL17:BN17,"A"))*4)+((COUNTIF('Elève (6ème5)'!BL17:BN17,"B"))*3)+((COUNTIF('Elève (6ème5)'!BL17:BN17,"C"))*2)+((COUNTIF('Elève (6ème5)'!BL17:BN17,"D"))*1))/(COUNTA(BL17:BN17)),"")</f>
        <v/>
      </c>
      <c r="BP17" s="137" t="str">
        <f t="shared" si="14"/>
        <v/>
      </c>
      <c r="BQ17" s="180" t="str">
        <f>IF(COUNT(BE17,BJ17,BO17)=0,"",SUM(BE17,BJ17,BO17)/COUNT(BE17,BJ17,BO17))</f>
        <v/>
      </c>
      <c r="BR17" s="133" t="str">
        <f t="shared" si="15"/>
        <v/>
      </c>
      <c r="BS17" s="159"/>
      <c r="BT17" s="160"/>
      <c r="BU17" s="161"/>
      <c r="BV17" s="136" t="str">
        <f>IFERROR((((COUNTIF('Elève (6ème5)'!BS17:BU17,"A"))*4)+((COUNTIF('Elève (6ème5)'!BS17:BU17,"B"))*3)+((COUNTIF('Elève (6ème5)'!BS17:BU17,"C"))*2)+((COUNTIF('Elève (6ème5)'!BS17:BU17,"D"))*1))/(COUNTA(BS17:BU17)),"")</f>
        <v/>
      </c>
      <c r="BW17" s="137" t="str">
        <f t="shared" si="16"/>
        <v/>
      </c>
      <c r="BX17" s="84"/>
      <c r="BY17" s="85"/>
      <c r="BZ17" s="86"/>
      <c r="CA17" s="136" t="str">
        <f>IFERROR((((COUNTIF('Elève (6ème5)'!BX17:BZ17,"A"))*4)+((COUNTIF('Elève (6ème5)'!BX17:BZ17,"B"))*3)+((COUNTIF('Elève (6ème5)'!BX17:BZ17,"C"))*2)+((COUNTIF('Elève (6ème5)'!BX17:BZ17,"D"))*1))/(COUNTA(BX17:BZ17)),"")</f>
        <v/>
      </c>
      <c r="CB17" s="137" t="str">
        <f t="shared" si="17"/>
        <v/>
      </c>
      <c r="CC17" s="84"/>
      <c r="CD17" s="85"/>
      <c r="CE17" s="86"/>
      <c r="CF17" s="136" t="str">
        <f>IFERROR((((COUNTIF('Elève (6ème5)'!CC17:CE17,"A"))*4)+((COUNTIF('Elève (6ème5)'!CC17:CE17,"B"))*3)+((COUNTIF('Elève (6ème5)'!CC17:CE17,"C"))*2)+((COUNTIF('Elève (6ème5)'!CC17:CE17,"D"))*1))/(COUNTA(CC17:CE17)),"")</f>
        <v/>
      </c>
      <c r="CG17" s="137" t="str">
        <f t="shared" si="18"/>
        <v/>
      </c>
      <c r="CH17" s="180" t="str">
        <f>IF(COUNT(BV17,CA17,CF17)=0,"",SUM(BV17,CA17,CF17)/COUNT(BV17,CA17,CF17))</f>
        <v/>
      </c>
      <c r="CI17" s="133" t="str">
        <f t="shared" si="19"/>
        <v/>
      </c>
      <c r="CJ17" s="159"/>
      <c r="CK17" s="160"/>
      <c r="CL17" s="161"/>
      <c r="CM17" s="136" t="str">
        <f>IFERROR((((COUNTIF('Elève (6ème5)'!CJ17:CL17,"A"))*4)+((COUNTIF('Elève (6ème5)'!CJ17:CL17,"B"))*3)+((COUNTIF('Elève (6ème5)'!CJ17:CL17,"C"))*2)+((COUNTIF('Elève (6ème5)'!CJ17:CL17,"D"))*1))/(COUNTA(CJ17:CL17)),"")</f>
        <v/>
      </c>
      <c r="CN17" s="137" t="str">
        <f t="shared" si="20"/>
        <v/>
      </c>
      <c r="CO17" s="84"/>
      <c r="CP17" s="85"/>
      <c r="CQ17" s="86"/>
      <c r="CR17" s="136" t="str">
        <f>IFERROR((((COUNTIF('Elève (6ème5)'!CO17:CQ17,"A"))*4)+((COUNTIF('Elève (6ème5)'!CO17:CQ17,"B"))*3)+((COUNTIF('Elève (6ème5)'!CO17:CQ17,"C"))*2)+((COUNTIF('Elève (6ème5)'!CO17:CQ17,"D"))*1))/(COUNTA(CO17:CQ17)),"")</f>
        <v/>
      </c>
      <c r="CS17" s="137" t="str">
        <f t="shared" si="21"/>
        <v/>
      </c>
      <c r="CT17" s="84"/>
      <c r="CU17" s="85"/>
      <c r="CV17" s="86"/>
      <c r="CW17" s="136" t="str">
        <f>IFERROR((((COUNTIF('Elève (6ème5)'!CT17:CV17,"A"))*4)+((COUNTIF('Elève (6ème5)'!CT17:CV17,"B"))*3)+((COUNTIF('Elève (6ème5)'!CT17:CV17,"C"))*2)+((COUNTIF('Elève (6ème5)'!CT17:CV17,"D"))*1))/(COUNTA(CT17:CV17)),"")</f>
        <v/>
      </c>
      <c r="CX17" s="137" t="str">
        <f t="shared" si="22"/>
        <v/>
      </c>
      <c r="CY17" s="180" t="str">
        <f>IF(COUNT(CM17,CR17,CW17)=0,"",SUM(CM17,CR17,CW17)/COUNT(CM17,CR17,CW17))</f>
        <v/>
      </c>
      <c r="CZ17" s="133" t="str">
        <f t="shared" si="23"/>
        <v/>
      </c>
      <c r="DA17" s="159"/>
      <c r="DB17" s="160"/>
      <c r="DC17" s="161"/>
      <c r="DD17" s="136" t="str">
        <f>IFERROR((((COUNTIF('Elève (6ème5)'!DA17:DC17,"A"))*4)+((COUNTIF('Elève (6ème5)'!DA17:DC17,"B"))*3)+((COUNTIF('Elève (6ème5)'!DA17:DC17,"C"))*2)+((COUNTIF('Elève (6ème5)'!DA17:DC17,"D"))*1))/(COUNTA(DA17:DC17)),"")</f>
        <v/>
      </c>
      <c r="DE17" s="137" t="str">
        <f t="shared" si="24"/>
        <v/>
      </c>
      <c r="DF17" s="84"/>
      <c r="DG17" s="85"/>
      <c r="DH17" s="86"/>
      <c r="DI17" s="136" t="str">
        <f>IFERROR((((COUNTIF('Elève (6ème5)'!DF17:DH17,"A"))*4)+((COUNTIF('Elève (6ème5)'!DF17:DH17,"B"))*3)+((COUNTIF('Elève (6ème5)'!DF17:DH17,"C"))*2)+((COUNTIF('Elève (6ème5)'!DF17:DH17,"D"))*1))/(COUNTA(DF17:DH17)),"")</f>
        <v/>
      </c>
      <c r="DJ17" s="137" t="str">
        <f t="shared" si="25"/>
        <v/>
      </c>
      <c r="DK17" s="84"/>
      <c r="DL17" s="85"/>
      <c r="DM17" s="86"/>
      <c r="DN17" s="136" t="str">
        <f>IFERROR((((COUNTIF('Elève (6ème5)'!DK17:DM17,"A"))*4)+((COUNTIF('Elève (6ème5)'!DK17:DM17,"B"))*3)+((COUNTIF('Elève (6ème5)'!DK17:DM17,"C"))*2)+((COUNTIF('Elève (6ème5)'!DK17:DM17,"D"))*1))/(COUNTA(DK17:DM17)),"")</f>
        <v/>
      </c>
      <c r="DO17" s="137" t="str">
        <f t="shared" si="26"/>
        <v/>
      </c>
      <c r="DP17" s="180" t="str">
        <f>IF(COUNT(DD17,DI17,DN17)=0,"",SUM(DD17,DI17,DN17)/COUNT(DD17,DI17,DN17))</f>
        <v/>
      </c>
      <c r="DQ17" s="133" t="str">
        <f t="shared" si="27"/>
        <v/>
      </c>
      <c r="DR17" s="159"/>
      <c r="DS17" s="160"/>
      <c r="DT17" s="161"/>
      <c r="DU17" s="136" t="str">
        <f>IFERROR((((COUNTIF('Elève (6ème5)'!DR17:DT17,"A"))*4)+((COUNTIF('Elève (6ème5)'!DR17:DT17,"B"))*3)+((COUNTIF('Elève (6ème5)'!DR17:DT17,"C"))*2)+((COUNTIF('Elève (6ème5)'!DR17:DT17,"D"))*1))/(COUNTA(DR17:DT17)),"")</f>
        <v/>
      </c>
      <c r="DV17" s="137" t="str">
        <f t="shared" si="28"/>
        <v/>
      </c>
      <c r="DW17" s="84"/>
      <c r="DX17" s="85"/>
      <c r="DY17" s="86"/>
      <c r="DZ17" s="136" t="str">
        <f>IFERROR((((COUNTIF('Elève (6ème5)'!DW17:DY17,"A"))*4)+((COUNTIF('Elève (6ème5)'!DW17:DY17,"B"))*3)+((COUNTIF('Elève (6ème5)'!DW17:DY17,"C"))*2)+((COUNTIF('Elève (6ème5)'!DW17:DY17,"D"))*1))/(COUNTA(DW17:DY17)),"")</f>
        <v/>
      </c>
      <c r="EA17" s="137" t="str">
        <f t="shared" si="29"/>
        <v/>
      </c>
      <c r="EB17" s="84"/>
      <c r="EC17" s="85"/>
      <c r="ED17" s="86"/>
      <c r="EE17" s="136" t="str">
        <f>IFERROR((((COUNTIF('Elève (6ème5)'!EB17:ED17,"A"))*4)+((COUNTIF('Elève (6ème5)'!EB17:ED17,"B"))*3)+((COUNTIF('Elève (6ème5)'!EB17:ED17,"C"))*2)+((COUNTIF('Elève (6ème5)'!EB17:ED17,"D"))*1))/(COUNTA(EB17:ED17)),"")</f>
        <v/>
      </c>
      <c r="EF17" s="137" t="str">
        <f t="shared" si="30"/>
        <v/>
      </c>
      <c r="EG17" s="180" t="str">
        <f>IF(COUNT(DU17,DZ17,EE17)=0,"",SUM(DU17,DZ17,EE17)/COUNT(DU17,DZ17,EE17))</f>
        <v/>
      </c>
      <c r="EH17" s="133" t="str">
        <f t="shared" si="31"/>
        <v/>
      </c>
      <c r="EI17" s="159"/>
      <c r="EJ17" s="160"/>
      <c r="EK17" s="161"/>
      <c r="EL17" s="136" t="str">
        <f>IFERROR((((COUNTIF('Elève (6ème5)'!EI17:EK17,"A"))*4)+((COUNTIF('Elève (6ème5)'!EI17:EK17,"B"))*3)+((COUNTIF('Elève (6ème5)'!EI17:EK17,"C"))*2)+((COUNTIF('Elève (6ème5)'!EI17:EK17,"D"))*1))/(COUNTA(EI17:EK17)),"")</f>
        <v/>
      </c>
      <c r="EM17" s="137" t="str">
        <f t="shared" si="32"/>
        <v/>
      </c>
      <c r="EN17" s="84"/>
      <c r="EO17" s="85"/>
      <c r="EP17" s="86"/>
      <c r="EQ17" s="136" t="str">
        <f>IFERROR((((COUNTIF('Elève (6ème5)'!EN17:EP17,"A"))*4)+((COUNTIF('Elève (6ème5)'!EN17:EP17,"B"))*3)+((COUNTIF('Elève (6ème5)'!EN17:EP17,"C"))*2)+((COUNTIF('Elève (6ème5)'!EN17:EP17,"D"))*1))/(COUNTA(EN17:EP17)),"")</f>
        <v/>
      </c>
      <c r="ER17" s="137" t="str">
        <f t="shared" si="33"/>
        <v/>
      </c>
      <c r="ES17" s="84"/>
      <c r="ET17" s="85"/>
      <c r="EU17" s="86"/>
      <c r="EV17" s="136" t="str">
        <f>IFERROR((((COUNTIF('Elève (6ème5)'!ES17:EU17,"A"))*4)+((COUNTIF('Elève (6ème5)'!ES17:EU17,"B"))*3)+((COUNTIF('Elève (6ème5)'!ES17:EU17,"C"))*2)+((COUNTIF('Elève (6ème5)'!ES17:EU17,"D"))*1))/(COUNTA(ES17:EU17)),"")</f>
        <v/>
      </c>
      <c r="EW17" s="137" t="str">
        <f t="shared" si="34"/>
        <v/>
      </c>
      <c r="EX17" s="180" t="str">
        <f>IF(COUNT(EL17,EQ17,EV17)=0,"",SUM(EL17,EQ17,EV17)/COUNT(EL17,EQ17,EV17))</f>
        <v/>
      </c>
      <c r="EY17" s="133" t="str">
        <f t="shared" si="35"/>
        <v/>
      </c>
      <c r="EZ17" s="159"/>
      <c r="FA17" s="160"/>
      <c r="FB17" s="161"/>
      <c r="FC17" s="136" t="str">
        <f>IFERROR((((COUNTIF('Elève (6ème5)'!EZ17:FB17,"A"))*4)+((COUNTIF('Elève (6ème5)'!EZ17:FB17,"B"))*3)+((COUNTIF('Elève (6ème5)'!EZ17:FB17,"C"))*2)+((COUNTIF('Elève (6ème5)'!EZ17:FB17,"D"))*1))/(COUNTA(EZ17:FB17)),"")</f>
        <v/>
      </c>
      <c r="FD17" s="137" t="str">
        <f t="shared" si="36"/>
        <v/>
      </c>
      <c r="FE17" s="84"/>
      <c r="FF17" s="85"/>
      <c r="FG17" s="86"/>
      <c r="FH17" s="136" t="str">
        <f>IFERROR((((COUNTIF('Elève (6ème5)'!FE17:FG17,"A"))*4)+((COUNTIF('Elève (6ème5)'!FE17:FG17,"B"))*3)+((COUNTIF('Elève (6ème5)'!FE17:FG17,"C"))*2)+((COUNTIF('Elève (6ème5)'!FE17:FG17,"D"))*1))/(COUNTA(FE17:FG17)),"")</f>
        <v/>
      </c>
      <c r="FI17" s="137" t="str">
        <f t="shared" si="37"/>
        <v/>
      </c>
      <c r="FJ17" s="84"/>
      <c r="FK17" s="85"/>
      <c r="FL17" s="86"/>
      <c r="FM17" s="136" t="str">
        <f>IFERROR((((COUNTIF('Elève (6ème5)'!FJ17:FL17,"A"))*4)+((COUNTIF('Elève (6ème5)'!FJ17:FL17,"B"))*3)+((COUNTIF('Elève (6ème5)'!FJ17:FL17,"C"))*2)+((COUNTIF('Elève (6ème5)'!FJ17:FL17,"D"))*1))/(COUNTA(FJ17:FL17)),"")</f>
        <v/>
      </c>
      <c r="FN17" s="137" t="str">
        <f t="shared" si="38"/>
        <v/>
      </c>
      <c r="FO17" s="180" t="str">
        <f>IF(COUNT(FC17,FH17,FM17)=0,"",SUM(FC17,FH17,FM17)/COUNT(FC17,FH17,FM17))</f>
        <v/>
      </c>
      <c r="FP17" s="133" t="str">
        <f t="shared" si="39"/>
        <v/>
      </c>
      <c r="FQ17" s="159"/>
      <c r="FR17" s="160"/>
      <c r="FS17" s="161"/>
      <c r="FT17" s="136" t="str">
        <f>IFERROR((((COUNTIF('Elève (6ème5)'!FQ17:FS17,"A"))*4)+((COUNTIF('Elève (6ème5)'!FQ17:FS17,"B"))*3)+((COUNTIF('Elève (6ème5)'!FQ17:FS17,"C"))*2)+((COUNTIF('Elève (6ème5)'!FQ17:FS17,"D"))*1))/(COUNTA(FQ17:FS17)),"")</f>
        <v/>
      </c>
      <c r="FU17" s="137" t="str">
        <f t="shared" si="40"/>
        <v/>
      </c>
      <c r="FV17" s="84"/>
      <c r="FW17" s="85"/>
      <c r="FX17" s="86"/>
      <c r="FY17" s="136" t="str">
        <f>IFERROR((((COUNTIF('Elève (6ème5)'!FV17:FX17,"A"))*4)+((COUNTIF('Elève (6ème5)'!FV17:FX17,"B"))*3)+((COUNTIF('Elève (6ème5)'!FV17:FX17,"C"))*2)+((COUNTIF('Elève (6ème5)'!FV17:FX17,"D"))*1))/(COUNTA(FV17:FX17)),"")</f>
        <v/>
      </c>
      <c r="FZ17" s="137" t="str">
        <f t="shared" si="41"/>
        <v/>
      </c>
      <c r="GA17" s="84"/>
      <c r="GB17" s="85"/>
      <c r="GC17" s="86"/>
      <c r="GD17" s="136" t="str">
        <f>IFERROR((((COUNTIF('Elève (6ème5)'!GA17:GC17,"A"))*4)+((COUNTIF('Elève (6ème5)'!GA17:GC17,"B"))*3)+((COUNTIF('Elève (6ème5)'!GA17:GC17,"C"))*2)+((COUNTIF('Elève (6ème5)'!GA17:GC17,"D"))*1))/(COUNTA(GA17:GC17)),"")</f>
        <v/>
      </c>
      <c r="GE17" s="137" t="str">
        <f t="shared" si="42"/>
        <v/>
      </c>
      <c r="GF17" s="180" t="str">
        <f>IF(COUNT(FT17,FY17,GD17)=0,"",SUM(FT17,FY17,GD17)/COUNT(FT17,FY17,GD17))</f>
        <v/>
      </c>
      <c r="GG17" s="133" t="str">
        <f t="shared" si="43"/>
        <v/>
      </c>
      <c r="GH17" s="159"/>
      <c r="GI17" s="160"/>
      <c r="GJ17" s="161"/>
      <c r="GK17" s="136" t="str">
        <f>IFERROR((((COUNTIF('Elève (6ème5)'!GH17:GJ17,"A"))*4)+((COUNTIF('Elève (6ème5)'!GH17:GJ17,"B"))*3)+((COUNTIF('Elève (6ème5)'!GH17:GJ17,"C"))*2)+((COUNTIF('Elève (6ème5)'!GH17:GJ17,"D"))*1))/(COUNTA(GH17:GJ17)),"")</f>
        <v/>
      </c>
      <c r="GL17" s="137" t="str">
        <f t="shared" si="44"/>
        <v/>
      </c>
      <c r="GM17" s="84"/>
      <c r="GN17" s="85"/>
      <c r="GO17" s="86"/>
      <c r="GP17" s="136" t="str">
        <f>IFERROR((((COUNTIF('Elève (6ème5)'!GM17:GO17,"A"))*4)+((COUNTIF('Elève (6ème5)'!GM17:GO17,"B"))*3)+((COUNTIF('Elève (6ème5)'!GM17:GO17,"C"))*2)+((COUNTIF('Elève (6ème5)'!GM17:GO17,"D"))*1))/(COUNTA(GM17:GO17)),"")</f>
        <v/>
      </c>
      <c r="GQ17" s="137" t="str">
        <f t="shared" si="45"/>
        <v/>
      </c>
      <c r="GR17" s="84"/>
      <c r="GS17" s="85"/>
      <c r="GT17" s="86"/>
      <c r="GU17" s="136" t="str">
        <f>IFERROR((((COUNTIF('Elève (6ème5)'!GR17:GT17,"A"))*4)+((COUNTIF('Elève (6ème5)'!GR17:GT17,"B"))*3)+((COUNTIF('Elève (6ème5)'!GR17:GT17,"C"))*2)+((COUNTIF('Elève (6ème5)'!GR17:GT17,"D"))*1))/(COUNTA(GR17:GT17)),"")</f>
        <v/>
      </c>
      <c r="GV17" s="137" t="str">
        <f t="shared" si="46"/>
        <v/>
      </c>
      <c r="GW17" s="180" t="str">
        <f>IF(COUNT(GK17,GP17,GU17)=0,"",SUM(GK17,GP17,GU17)/COUNT(GK17,GP17,GU17))</f>
        <v/>
      </c>
      <c r="GX17" s="133" t="str">
        <f t="shared" si="47"/>
        <v/>
      </c>
      <c r="GY17" s="159"/>
      <c r="GZ17" s="160"/>
      <c r="HA17" s="161"/>
      <c r="HB17" s="136" t="str">
        <f>IFERROR((((COUNTIF('Elève (6ème5)'!GY17:HA17,"A"))*4)+((COUNTIF('Elève (6ème5)'!GY17:HA17,"B"))*3)+((COUNTIF('Elève (6ème5)'!GY17:HA17,"C"))*2)+((COUNTIF('Elève (6ème5)'!GY17:HA17,"D"))*1))/(COUNTA(GY17:HA17)),"")</f>
        <v/>
      </c>
      <c r="HC17" s="137" t="str">
        <f t="shared" si="48"/>
        <v/>
      </c>
      <c r="HD17" s="84"/>
      <c r="HE17" s="85"/>
      <c r="HF17" s="86"/>
      <c r="HG17" s="136" t="str">
        <f>IFERROR((((COUNTIF('Elève (6ème5)'!HD17:HF17,"A"))*4)+((COUNTIF('Elève (6ème5)'!HD17:HF17,"B"))*3)+((COUNTIF('Elève (6ème5)'!HD17:HF17,"C"))*2)+((COUNTIF('Elève (6ème5)'!HD17:HF17,"D"))*1))/(COUNTA(HD17:HF17)),"")</f>
        <v/>
      </c>
      <c r="HH17" s="137" t="str">
        <f t="shared" si="49"/>
        <v/>
      </c>
      <c r="HI17" s="84"/>
      <c r="HJ17" s="85"/>
      <c r="HK17" s="86"/>
      <c r="HL17" s="136" t="str">
        <f>IFERROR((((COUNTIF('Elève (6ème5)'!HI17:HK17,"A"))*4)+((COUNTIF('Elève (6ème5)'!HI17:HK17,"B"))*3)+((COUNTIF('Elève (6ème5)'!HI17:HK17,"C"))*2)+((COUNTIF('Elève (6ème5)'!HI17:HK17,"D"))*1))/(COUNTA(HI17:HK17)),"")</f>
        <v/>
      </c>
      <c r="HM17" s="137" t="str">
        <f t="shared" si="50"/>
        <v/>
      </c>
      <c r="HN17" s="180" t="str">
        <f>IF(COUNT(HB17,HG17,HL17)=0,"",SUM(HB17,HG17,HL17)/COUNT(HB17,HG17,HL17))</f>
        <v/>
      </c>
      <c r="HO17" s="133" t="str">
        <f t="shared" si="51"/>
        <v/>
      </c>
      <c r="HP17" s="159"/>
      <c r="HQ17" s="160"/>
      <c r="HR17" s="161"/>
      <c r="HS17" s="136" t="str">
        <f>IFERROR((((COUNTIF('Elève (6ème5)'!HP17:HR17,"A"))*4)+((COUNTIF('Elève (6ème5)'!HP17:HR17,"B"))*3)+((COUNTIF('Elève (6ème5)'!HP17:HR17,"C"))*2)+((COUNTIF('Elève (6ème5)'!HP17:HR17,"D"))*1))/(COUNTA(HP17:HR17)),"")</f>
        <v/>
      </c>
      <c r="HT17" s="137" t="str">
        <f t="shared" si="52"/>
        <v/>
      </c>
      <c r="HU17" s="84"/>
      <c r="HV17" s="85"/>
      <c r="HW17" s="86"/>
      <c r="HX17" s="136" t="str">
        <f>IFERROR((((COUNTIF('Elève (6ème5)'!HU17:HW17,"A"))*4)+((COUNTIF('Elève (6ème5)'!HU17:HW17,"B"))*3)+((COUNTIF('Elève (6ème5)'!HU17:HW17,"C"))*2)+((COUNTIF('Elève (6ème5)'!HU17:HW17,"D"))*1))/(COUNTA(HU17:HW17)),"")</f>
        <v/>
      </c>
      <c r="HY17" s="137" t="str">
        <f t="shared" si="53"/>
        <v/>
      </c>
      <c r="HZ17" s="84"/>
      <c r="IA17" s="85"/>
      <c r="IB17" s="86"/>
      <c r="IC17" s="136" t="str">
        <f>IFERROR((((COUNTIF('Elève (6ème5)'!HZ17:IB17,"A"))*4)+((COUNTIF('Elève (6ème5)'!HZ17:IB17,"B"))*3)+((COUNTIF('Elève (6ème5)'!HZ17:IB17,"C"))*2)+((COUNTIF('Elève (6ème5)'!HZ17:IB17,"D"))*1))/(COUNTA(HZ17:IB17)),"")</f>
        <v/>
      </c>
      <c r="ID17" s="137" t="str">
        <f t="shared" si="54"/>
        <v/>
      </c>
      <c r="IE17" s="180" t="str">
        <f>IF(COUNT(HS17,HX17,IC17)=0,"",SUM(HS17,HX17,IC17)/COUNT(HS17,HX17,IC17))</f>
        <v/>
      </c>
      <c r="IF17" s="133" t="str">
        <f t="shared" si="55"/>
        <v/>
      </c>
      <c r="IG17" s="159"/>
      <c r="IH17" s="160"/>
      <c r="II17" s="161"/>
      <c r="IJ17" s="136" t="str">
        <f>IFERROR((((COUNTIF('Elève (6ème5)'!IG17:II17,"A"))*4)+((COUNTIF('Elève (6ème5)'!IG17:II17,"B"))*3)+((COUNTIF('Elève (6ème5)'!IG17:II17,"C"))*2)+((COUNTIF('Elève (6ème5)'!IG17:II17,"D"))*1))/(COUNTA(IG17:II17)),"")</f>
        <v/>
      </c>
      <c r="IK17" s="137" t="str">
        <f t="shared" si="56"/>
        <v/>
      </c>
      <c r="IL17" s="84"/>
      <c r="IM17" s="85"/>
      <c r="IN17" s="86"/>
      <c r="IO17" s="136" t="str">
        <f>IFERROR((((COUNTIF('Elève (6ème5)'!IL17:IN17,"A"))*4)+((COUNTIF('Elève (6ème5)'!IL17:IN17,"B"))*3)+((COUNTIF('Elève (6ème5)'!IL17:IN17,"C"))*2)+((COUNTIF('Elève (6ème5)'!IL17:IN17,"D"))*1))/(COUNTA(IL17:IN17)),"")</f>
        <v/>
      </c>
      <c r="IP17" s="137" t="str">
        <f t="shared" si="57"/>
        <v/>
      </c>
      <c r="IQ17" s="84"/>
      <c r="IR17" s="85"/>
      <c r="IS17" s="86"/>
      <c r="IT17" s="136" t="str">
        <f>IFERROR((((COUNTIF('Elève (6ème5)'!IQ17:IS17,"A"))*4)+((COUNTIF('Elève (6ème5)'!IQ17:IS17,"B"))*3)+((COUNTIF('Elève (6ème5)'!IQ17:IS17,"C"))*2)+((COUNTIF('Elève (6ème5)'!IQ17:IS17,"D"))*1))/(COUNTA(IQ17:IS17)),"")</f>
        <v/>
      </c>
      <c r="IU17" s="137" t="str">
        <f t="shared" si="58"/>
        <v/>
      </c>
      <c r="IV17" s="180" t="str">
        <f>IF(COUNT(IJ17,IO17,IT17)=0,"",SUM(IJ17,IO17,IT17)/COUNT(IJ17,IO17,IT17))</f>
        <v/>
      </c>
      <c r="IW17" s="133" t="str">
        <f t="shared" si="59"/>
        <v/>
      </c>
      <c r="IX17" s="159"/>
      <c r="IY17" s="160"/>
      <c r="IZ17" s="161"/>
      <c r="JA17" s="136" t="str">
        <f>IFERROR((((COUNTIF('Elève (6ème5)'!IX17:IZ17,"A"))*4)+((COUNTIF('Elève (6ème5)'!IX17:IZ17,"B"))*3)+((COUNTIF('Elève (6ème5)'!IX17:IZ17,"C"))*2)+((COUNTIF('Elève (6ème5)'!IX17:IZ17,"D"))*1))/(COUNTA(IX17:IZ17)),"")</f>
        <v/>
      </c>
      <c r="JB17" s="137" t="str">
        <f t="shared" si="60"/>
        <v/>
      </c>
      <c r="JC17" s="84"/>
      <c r="JD17" s="85"/>
      <c r="JE17" s="86"/>
      <c r="JF17" s="136" t="str">
        <f>IFERROR((((COUNTIF('Elève (6ème5)'!JC17:JE17,"A"))*4)+((COUNTIF('Elève (6ème5)'!JC17:JE17,"B"))*3)+((COUNTIF('Elève (6ème5)'!JC17:JE17,"C"))*2)+((COUNTIF('Elève (6ème5)'!JC17:JE17,"D"))*1))/(COUNTA(JC17:JE17)),"")</f>
        <v/>
      </c>
      <c r="JG17" s="137" t="str">
        <f t="shared" si="61"/>
        <v/>
      </c>
      <c r="JH17" s="84"/>
      <c r="JI17" s="85"/>
      <c r="JJ17" s="86"/>
      <c r="JK17" s="136" t="str">
        <f>IFERROR((((COUNTIF('Elève (6ème5)'!JH17:JJ17,"A"))*4)+((COUNTIF('Elève (6ème5)'!JH17:JJ17,"B"))*3)+((COUNTIF('Elève (6ème5)'!JH17:JJ17,"C"))*2)+((COUNTIF('Elève (6ème5)'!JH17:JJ17,"D"))*1))/(COUNTA(JH17:JJ17)),"")</f>
        <v/>
      </c>
      <c r="JL17" s="137" t="str">
        <f t="shared" si="62"/>
        <v/>
      </c>
      <c r="JM17" s="180" t="str">
        <f>IF(COUNT(JA17,JF17,JK17)=0,"",SUM(JA17,JF17,JK17)/COUNT(JA17,JF17,JK17))</f>
        <v/>
      </c>
      <c r="JN17" s="133" t="str">
        <f t="shared" si="63"/>
        <v/>
      </c>
      <c r="JO17" s="159"/>
      <c r="JP17" s="160"/>
      <c r="JQ17" s="161"/>
      <c r="JR17" s="136" t="str">
        <f>IFERROR((((COUNTIF('Elève (6ème5)'!JO17:JQ17,"A"))*4)+((COUNTIF('Elève (6ème5)'!JO17:JQ17,"B"))*3)+((COUNTIF('Elève (6ème5)'!JO17:JQ17,"C"))*2)+((COUNTIF('Elève (6ème5)'!JO17:JQ17,"D"))*1))/(COUNTA(JO17:JQ17)),"")</f>
        <v/>
      </c>
      <c r="JS17" s="137" t="str">
        <f t="shared" si="64"/>
        <v/>
      </c>
      <c r="JT17" s="84"/>
      <c r="JU17" s="85"/>
      <c r="JV17" s="86"/>
      <c r="JW17" s="136" t="str">
        <f>IFERROR((((COUNTIF('Elève (6ème5)'!JT17:JV17,"A"))*4)+((COUNTIF('Elève (6ème5)'!JT17:JV17,"B"))*3)+((COUNTIF('Elève (6ème5)'!JT17:JV17,"C"))*2)+((COUNTIF('Elève (6ème5)'!JT17:JV17,"D"))*1))/(COUNTA(JT17:JV17)),"")</f>
        <v/>
      </c>
      <c r="JX17" s="137" t="str">
        <f t="shared" si="65"/>
        <v/>
      </c>
      <c r="JY17" s="84"/>
      <c r="JZ17" s="85"/>
      <c r="KA17" s="86"/>
      <c r="KB17" s="136" t="str">
        <f>IFERROR((((COUNTIF('Elève (6ème5)'!JY17:KA17,"A"))*4)+((COUNTIF('Elève (6ème5)'!JY17:KA17,"B"))*3)+((COUNTIF('Elève (6ème5)'!JY17:KA17,"C"))*2)+((COUNTIF('Elève (6ème5)'!JY17:KA17,"D"))*1))/(COUNTA(JY17:KA17)),"")</f>
        <v/>
      </c>
      <c r="KC17" s="137" t="str">
        <f t="shared" si="66"/>
        <v/>
      </c>
      <c r="KD17" s="180" t="str">
        <f>IF(COUNT(JR17,JW17,KB17)=0,"",SUM(JR17,JW17,KB17)/COUNT(JR17,JW17,KB17))</f>
        <v/>
      </c>
      <c r="KE17" s="133" t="str">
        <f t="shared" si="67"/>
        <v/>
      </c>
      <c r="KF17" s="159"/>
      <c r="KG17" s="160"/>
      <c r="KH17" s="161"/>
      <c r="KI17" s="136" t="str">
        <f>IFERROR((((COUNTIF('Elève (6ème5)'!KF17:KH17,"A"))*4)+((COUNTIF('Elève (6ème5)'!KF17:KH17,"B"))*3)+((COUNTIF('Elève (6ème5)'!KF17:KH17,"C"))*2)+((COUNTIF('Elève (6ème5)'!KF17:KH17,"D"))*1))/(COUNTA(KF17:KH17)),"")</f>
        <v/>
      </c>
      <c r="KJ17" s="137" t="str">
        <f t="shared" si="68"/>
        <v/>
      </c>
      <c r="KK17" s="84"/>
      <c r="KL17" s="85"/>
      <c r="KM17" s="86"/>
      <c r="KN17" s="136" t="str">
        <f>IFERROR((((COUNTIF('Elève (6ème5)'!KK17:KM17,"A"))*4)+((COUNTIF('Elève (6ème5)'!KK17:KM17,"B"))*3)+((COUNTIF('Elève (6ème5)'!KK17:KM17,"C"))*2)+((COUNTIF('Elève (6ème5)'!KK17:KM17,"D"))*1))/(COUNTA(KK17:KM17)),"")</f>
        <v/>
      </c>
      <c r="KO17" s="137" t="str">
        <f t="shared" si="69"/>
        <v/>
      </c>
      <c r="KP17" s="84"/>
      <c r="KQ17" s="85"/>
      <c r="KR17" s="86"/>
      <c r="KS17" s="136" t="str">
        <f>IFERROR((((COUNTIF('Elève (6ème5)'!KP17:KR17,"A"))*4)+((COUNTIF('Elève (6ème5)'!KP17:KR17,"B"))*3)+((COUNTIF('Elève (6ème5)'!KP17:KR17,"C"))*2)+((COUNTIF('Elève (6ème5)'!KP17:KR17,"D"))*1))/(COUNTA(KP17:KR17)),"")</f>
        <v/>
      </c>
      <c r="KT17" s="137" t="str">
        <f t="shared" si="70"/>
        <v/>
      </c>
      <c r="KU17" s="180" t="str">
        <f>IF(COUNT(KI17,KN17,KS17)=0,"",SUM(KI17,KN17,KS17)/COUNT(KI17,KN17,KS17))</f>
        <v/>
      </c>
      <c r="KV17" s="133" t="str">
        <f t="shared" si="71"/>
        <v/>
      </c>
      <c r="KW17" s="159"/>
      <c r="KX17" s="160"/>
      <c r="KY17" s="161"/>
      <c r="KZ17" s="136" t="str">
        <f>IFERROR((((COUNTIF('Elève (6ème5)'!KW17:KY17,"A"))*4)+((COUNTIF('Elève (6ème5)'!KW17:KY17,"B"))*3)+((COUNTIF('Elève (6ème5)'!KW17:KY17,"C"))*2)+((COUNTIF('Elève (6ème5)'!KW17:KY17,"D"))*1))/(COUNTA(KW17:KY17)),"")</f>
        <v/>
      </c>
      <c r="LA17" s="137" t="str">
        <f t="shared" si="72"/>
        <v/>
      </c>
      <c r="LB17" s="84"/>
      <c r="LC17" s="85"/>
      <c r="LD17" s="86"/>
      <c r="LE17" s="136" t="str">
        <f>IFERROR((((COUNTIF('Elève (6ème5)'!LB17:LD17,"A"))*4)+((COUNTIF('Elève (6ème5)'!LB17:LD17,"B"))*3)+((COUNTIF('Elève (6ème5)'!LB17:LD17,"C"))*2)+((COUNTIF('Elève (6ème5)'!LB17:LD17,"D"))*1))/(COUNTA(LB17:LD17)),"")</f>
        <v/>
      </c>
      <c r="LF17" s="137" t="str">
        <f t="shared" si="73"/>
        <v/>
      </c>
      <c r="LG17" s="84"/>
      <c r="LH17" s="85"/>
      <c r="LI17" s="86"/>
      <c r="LJ17" s="136" t="str">
        <f>IFERROR((((COUNTIF('Elève (6ème5)'!LG17:LI17,"A"))*4)+((COUNTIF('Elève (6ème5)'!LG17:LI17,"B"))*3)+((COUNTIF('Elève (6ème5)'!LG17:LI17,"C"))*2)+((COUNTIF('Elève (6ème5)'!LG17:LI17,"D"))*1))/(COUNTA(LG17:LI17)),"")</f>
        <v/>
      </c>
      <c r="LK17" s="137" t="str">
        <f t="shared" si="74"/>
        <v/>
      </c>
      <c r="LL17" s="180" t="str">
        <f>IF(COUNT(KZ17,LE17,LJ17)=0,"",SUM(KZ17,LE17,LJ17)/COUNT(KZ17,LE17,LJ17))</f>
        <v/>
      </c>
      <c r="LM17" s="133" t="str">
        <f t="shared" si="75"/>
        <v/>
      </c>
      <c r="LN17" s="159"/>
      <c r="LO17" s="160"/>
      <c r="LP17" s="161"/>
      <c r="LQ17" s="136" t="str">
        <f>IFERROR((((COUNTIF('Elève (6ème5)'!LN17:LP17,"A"))*4)+((COUNTIF('Elève (6ème5)'!LN17:LP17,"B"))*3)+((COUNTIF('Elève (6ème5)'!LN17:LP17,"C"))*2)+((COUNTIF('Elève (6ème5)'!LN17:LP17,"D"))*1))/(COUNTA(LN17:LP17)),"")</f>
        <v/>
      </c>
      <c r="LR17" s="137" t="str">
        <f t="shared" si="76"/>
        <v/>
      </c>
      <c r="LS17" s="84"/>
      <c r="LT17" s="85"/>
      <c r="LU17" s="86"/>
      <c r="LV17" s="136" t="str">
        <f>IFERROR((((COUNTIF('Elève (6ème5)'!LS17:LU17,"A"))*4)+((COUNTIF('Elève (6ème5)'!LS17:LU17,"B"))*3)+((COUNTIF('Elève (6ème5)'!LS17:LU17,"C"))*2)+((COUNTIF('Elève (6ème5)'!LS17:LU17,"D"))*1))/(COUNTA(LS17:LU17)),"")</f>
        <v/>
      </c>
      <c r="LW17" s="137" t="str">
        <f t="shared" si="77"/>
        <v/>
      </c>
      <c r="LX17" s="84"/>
      <c r="LY17" s="85"/>
      <c r="LZ17" s="86"/>
      <c r="MA17" s="136" t="str">
        <f>IFERROR((((COUNTIF('Elève (6ème5)'!LX17:LZ17,"A"))*4)+((COUNTIF('Elève (6ème5)'!LX17:LZ17,"B"))*3)+((COUNTIF('Elève (6ème5)'!LX17:LZ17,"C"))*2)+((COUNTIF('Elève (6ème5)'!LX17:LZ17,"D"))*1))/(COUNTA(LX17:LZ17)),"")</f>
        <v/>
      </c>
      <c r="MB17" s="137" t="str">
        <f t="shared" si="78"/>
        <v/>
      </c>
      <c r="MC17" s="180" t="str">
        <f>IF(COUNT(LQ17,LV17,MA17)=0,"",SUM(LQ17,LV17,MA17)/COUNT(LQ17,LV17,MA17))</f>
        <v/>
      </c>
      <c r="MD17" s="133" t="str">
        <f t="shared" si="79"/>
        <v/>
      </c>
      <c r="ME17" s="159"/>
      <c r="MF17" s="160"/>
      <c r="MG17" s="161"/>
      <c r="MH17" s="136" t="str">
        <f>IFERROR((((COUNTIF('Elève (6ème5)'!ME17:MG17,"A"))*4)+((COUNTIF('Elève (6ème5)'!ME17:MG17,"B"))*3)+((COUNTIF('Elève (6ème5)'!ME17:MG17,"C"))*2)+((COUNTIF('Elève (6ème5)'!ME17:MG17,"D"))*1))/(COUNTA(ME17:MG17)),"")</f>
        <v/>
      </c>
      <c r="MI17" s="137" t="str">
        <f t="shared" si="80"/>
        <v/>
      </c>
      <c r="MJ17" s="84"/>
      <c r="MK17" s="85"/>
      <c r="ML17" s="86"/>
      <c r="MM17" s="136" t="str">
        <f>IFERROR((((COUNTIF('Elève (6ème5)'!MJ17:ML17,"A"))*4)+((COUNTIF('Elève (6ème5)'!MJ17:ML17,"B"))*3)+((COUNTIF('Elève (6ème5)'!MJ17:ML17,"C"))*2)+((COUNTIF('Elève (6ème5)'!MJ17:ML17,"D"))*1))/(COUNTA(MJ17:ML17)),"")</f>
        <v/>
      </c>
      <c r="MN17" s="137" t="str">
        <f t="shared" si="81"/>
        <v/>
      </c>
      <c r="MO17" s="84"/>
      <c r="MP17" s="85"/>
      <c r="MQ17" s="86"/>
      <c r="MR17" s="136" t="str">
        <f>IFERROR((((COUNTIF('Elève (6ème5)'!MO17:MQ17,"A"))*4)+((COUNTIF('Elève (6ème5)'!MO17:MQ17,"B"))*3)+((COUNTIF('Elève (6ème5)'!MO17:MQ17,"C"))*2)+((COUNTIF('Elève (6ème5)'!MO17:MQ17,"D"))*1))/(COUNTA(MO17:MQ17)),"")</f>
        <v/>
      </c>
      <c r="MS17" s="137" t="str">
        <f t="shared" si="82"/>
        <v/>
      </c>
      <c r="MT17" s="180" t="str">
        <f>IF(COUNT(MH17,MM17,MR17)=0,"",SUM(MH17,MM17,MR17)/COUNT(MH17,MM17,MR17))</f>
        <v/>
      </c>
      <c r="MU17" s="133" t="str">
        <f t="shared" si="83"/>
        <v/>
      </c>
      <c r="MV17" s="159"/>
      <c r="MW17" s="160"/>
      <c r="MX17" s="161"/>
      <c r="MY17" s="136" t="str">
        <f>IFERROR((((COUNTIF('Elève (6ème5)'!MV17:MX17,"A"))*4)+((COUNTIF('Elève (6ème5)'!MV17:MX17,"B"))*3)+((COUNTIF('Elève (6ème5)'!MV17:MX17,"C"))*2)+((COUNTIF('Elève (6ème5)'!MV17:MX17,"D"))*1))/(COUNTA(MV17:MX17)),"")</f>
        <v/>
      </c>
      <c r="MZ17" s="137" t="str">
        <f t="shared" si="84"/>
        <v/>
      </c>
      <c r="NA17" s="84"/>
      <c r="NB17" s="85"/>
      <c r="NC17" s="86"/>
      <c r="ND17" s="136" t="str">
        <f>IFERROR((((COUNTIF('Elève (6ème5)'!NA17:NC17,"A"))*4)+((COUNTIF('Elève (6ème5)'!NA17:NC17,"B"))*3)+((COUNTIF('Elève (6ème5)'!NA17:NC17,"C"))*2)+((COUNTIF('Elève (6ème5)'!NA17:NC17,"D"))*1))/(COUNTA(NA17:NC17)),"")</f>
        <v/>
      </c>
      <c r="NE17" s="137" t="str">
        <f t="shared" si="85"/>
        <v/>
      </c>
      <c r="NF17" s="84"/>
      <c r="NG17" s="85"/>
      <c r="NH17" s="86"/>
      <c r="NI17" s="136" t="str">
        <f>IFERROR((((COUNTIF('Elève (6ème5)'!NF17:NH17,"A"))*4)+((COUNTIF('Elève (6ème5)'!NF17:NH17,"B"))*3)+((COUNTIF('Elève (6ème5)'!NF17:NH17,"C"))*2)+((COUNTIF('Elève (6ème5)'!NF17:NH17,"D"))*1))/(COUNTA(NF17:NH17)),"")</f>
        <v/>
      </c>
      <c r="NJ17" s="137" t="str">
        <f t="shared" si="86"/>
        <v/>
      </c>
      <c r="NK17" s="180" t="str">
        <f>IF(COUNT(MY17,ND17,NI17)=0,"",SUM(MY17,ND17,NI17)/COUNT(MY17,ND17,NI17))</f>
        <v/>
      </c>
      <c r="NL17" s="133" t="str">
        <f t="shared" si="87"/>
        <v/>
      </c>
      <c r="NM17" s="159"/>
      <c r="NN17" s="160"/>
      <c r="NO17" s="161"/>
      <c r="NP17" s="136" t="str">
        <f>IFERROR((((COUNTIF('Elève (6ème5)'!NM17:NO17,"A"))*4)+((COUNTIF('Elève (6ème5)'!NM17:NO17,"B"))*3)+((COUNTIF('Elève (6ème5)'!NM17:NO17,"C"))*2)+((COUNTIF('Elève (6ème5)'!NM17:NO17,"D"))*1))/(COUNTA(NM17:NO17)),"")</f>
        <v/>
      </c>
      <c r="NQ17" s="137" t="str">
        <f t="shared" si="88"/>
        <v/>
      </c>
      <c r="NR17" s="84"/>
      <c r="NS17" s="85"/>
      <c r="NT17" s="86"/>
      <c r="NU17" s="136" t="str">
        <f>IFERROR((((COUNTIF('Elève (6ème5)'!NR17:NT17,"A"))*4)+((COUNTIF('Elève (6ème5)'!NR17:NT17,"B"))*3)+((COUNTIF('Elève (6ème5)'!NR17:NT17,"C"))*2)+((COUNTIF('Elève (6ème5)'!NR17:NT17,"D"))*1))/(COUNTA(NR17:NT17)),"")</f>
        <v/>
      </c>
      <c r="NV17" s="137" t="str">
        <f t="shared" si="89"/>
        <v/>
      </c>
      <c r="NW17" s="84"/>
      <c r="NX17" s="85"/>
      <c r="NY17" s="86"/>
      <c r="NZ17" s="136" t="str">
        <f>IFERROR((((COUNTIF('Elève (6ème5)'!NW17:NY17,"A"))*4)+((COUNTIF('Elève (6ème5)'!NW17:NY17,"B"))*3)+((COUNTIF('Elève (6ème5)'!NW17:NY17,"C"))*2)+((COUNTIF('Elève (6ème5)'!NW17:NY17,"D"))*1))/(COUNTA(NW17:NY17)),"")</f>
        <v/>
      </c>
      <c r="OA17" s="137" t="str">
        <f t="shared" si="90"/>
        <v/>
      </c>
      <c r="OB17" s="180" t="str">
        <f>IF(COUNT(NP17,NU17,NZ17)=0,"",SUM(NP17,NU17,NZ17)/COUNT(NP17,NU17,NZ17))</f>
        <v/>
      </c>
      <c r="OC17" s="133" t="str">
        <f t="shared" si="91"/>
        <v/>
      </c>
      <c r="OD17" s="159"/>
      <c r="OE17" s="160"/>
      <c r="OF17" s="161"/>
      <c r="OG17" s="136" t="str">
        <f>IFERROR((((COUNTIF('Elève (6ème5)'!OD17:OF17,"A"))*4)+((COUNTIF('Elève (6ème5)'!OD17:OF17,"B"))*3)+((COUNTIF('Elève (6ème5)'!OD17:OF17,"C"))*2)+((COUNTIF('Elève (6ème5)'!OD17:OF17,"D"))*1))/(COUNTA(OD17:OF17)),"")</f>
        <v/>
      </c>
      <c r="OH17" s="137" t="str">
        <f t="shared" si="92"/>
        <v/>
      </c>
      <c r="OI17" s="84"/>
      <c r="OJ17" s="85"/>
      <c r="OK17" s="86"/>
      <c r="OL17" s="136" t="str">
        <f>IFERROR((((COUNTIF('Elève (6ème5)'!OI17:OK17,"A"))*4)+((COUNTIF('Elève (6ème5)'!OI17:OK17,"B"))*3)+((COUNTIF('Elève (6ème5)'!OI17:OK17,"C"))*2)+((COUNTIF('Elève (6ème5)'!OI17:OK17,"D"))*1))/(COUNTA(OI17:OK17)),"")</f>
        <v/>
      </c>
      <c r="OM17" s="137" t="str">
        <f t="shared" si="93"/>
        <v/>
      </c>
      <c r="ON17" s="84"/>
      <c r="OO17" s="85"/>
      <c r="OP17" s="86"/>
      <c r="OQ17" s="136" t="str">
        <f>IFERROR((((COUNTIF('Elève (6ème5)'!ON17:OP17,"A"))*4)+((COUNTIF('Elève (6ème5)'!ON17:OP17,"B"))*3)+((COUNTIF('Elève (6ème5)'!ON17:OP17,"C"))*2)+((COUNTIF('Elève (6ème5)'!ON17:OP17,"D"))*1))/(COUNTA(ON17:OP17)),"")</f>
        <v/>
      </c>
      <c r="OR17" s="137" t="str">
        <f t="shared" si="94"/>
        <v/>
      </c>
      <c r="OS17" s="180" t="str">
        <f>IF(COUNT(OG17,OL17,OQ17)=0,"",SUM(OG17,OL17,OQ17)/COUNT(OG17,OL17,OQ17))</f>
        <v/>
      </c>
      <c r="OT17" s="133" t="str">
        <f t="shared" si="95"/>
        <v/>
      </c>
      <c r="OU17" s="159"/>
      <c r="OV17" s="160"/>
      <c r="OW17" s="161"/>
      <c r="OX17" s="136" t="str">
        <f>IFERROR((((COUNTIF('Elève (6ème5)'!OU17:OW17,"A"))*4)+((COUNTIF('Elève (6ème5)'!OU17:OW17,"B"))*3)+((COUNTIF('Elève (6ème5)'!OU17:OW17,"C"))*2)+((COUNTIF('Elève (6ème5)'!OU17:OW17,"D"))*1))/(COUNTA(OU17:OW17)),"")</f>
        <v/>
      </c>
      <c r="OY17" s="137" t="str">
        <f t="shared" si="96"/>
        <v/>
      </c>
      <c r="OZ17" s="84"/>
      <c r="PA17" s="85"/>
      <c r="PB17" s="86"/>
      <c r="PC17" s="136" t="str">
        <f>IFERROR((((COUNTIF('Elève (6ème5)'!OZ17:PB17,"A"))*4)+((COUNTIF('Elève (6ème5)'!OZ17:PB17,"B"))*3)+((COUNTIF('Elève (6ème5)'!OZ17:PB17,"C"))*2)+((COUNTIF('Elève (6ème5)'!OZ17:PB17,"D"))*1))/(COUNTA(OZ17:PB17)),"")</f>
        <v/>
      </c>
      <c r="PD17" s="137" t="str">
        <f t="shared" si="97"/>
        <v/>
      </c>
      <c r="PE17" s="84"/>
      <c r="PF17" s="85"/>
      <c r="PG17" s="86"/>
      <c r="PH17" s="136" t="str">
        <f>IFERROR((((COUNTIF('Elève (6ème5)'!PE17:PG17,"A"))*4)+((COUNTIF('Elève (6ème5)'!PE17:PG17,"B"))*3)+((COUNTIF('Elève (6ème5)'!PE17:PG17,"C"))*2)+((COUNTIF('Elève (6ème5)'!PE17:PG17,"D"))*1))/(COUNTA(PE17:PG17)),"")</f>
        <v/>
      </c>
      <c r="PI17" s="137" t="str">
        <f t="shared" si="98"/>
        <v/>
      </c>
      <c r="PJ17" s="180" t="str">
        <f>IF(COUNT(OX17,PC17,PH17)=0,"",SUM(OX17,PC17,PH17)/COUNT(OX17,PC17,PH17))</f>
        <v/>
      </c>
      <c r="PK17" s="133" t="str">
        <f t="shared" si="99"/>
        <v/>
      </c>
      <c r="PL17" s="159"/>
      <c r="PM17" s="160"/>
      <c r="PN17" s="161"/>
      <c r="PO17" s="136" t="str">
        <f>IFERROR((((COUNTIF('Elève (6ème5)'!PL17:PN17,"A"))*4)+((COUNTIF('Elève (6ème5)'!PL17:PN17,"B"))*3)+((COUNTIF('Elève (6ème5)'!PL17:PN17,"C"))*2)+((COUNTIF('Elève (6ème5)'!PL17:PN17,"D"))*1))/(COUNTA(PL17:PN17)),"")</f>
        <v/>
      </c>
      <c r="PP17" s="137" t="str">
        <f t="shared" si="100"/>
        <v/>
      </c>
      <c r="PQ17" s="84"/>
      <c r="PR17" s="85"/>
      <c r="PS17" s="86"/>
      <c r="PT17" s="136" t="str">
        <f>IFERROR((((COUNTIF('Elève (6ème5)'!PQ17:PS17,"A"))*4)+((COUNTIF('Elève (6ème5)'!PQ17:PS17,"B"))*3)+((COUNTIF('Elève (6ème5)'!PQ17:PS17,"C"))*2)+((COUNTIF('Elève (6ème5)'!PQ17:PS17,"D"))*1))/(COUNTA(PQ17:PS17)),"")</f>
        <v/>
      </c>
      <c r="PU17" s="137" t="str">
        <f t="shared" si="101"/>
        <v/>
      </c>
      <c r="PV17" s="84"/>
      <c r="PW17" s="85"/>
      <c r="PX17" s="86"/>
      <c r="PY17" s="136" t="str">
        <f>IFERROR((((COUNTIF('Elève (6ème5)'!PV17:PX17,"A"))*4)+((COUNTIF('Elève (6ème5)'!PV17:PX17,"B"))*3)+((COUNTIF('Elève (6ème5)'!PV17:PX17,"C"))*2)+((COUNTIF('Elève (6ème5)'!PV17:PX17,"D"))*1))/(COUNTA(PV17:PX17)),"")</f>
        <v/>
      </c>
      <c r="PZ17" s="137" t="str">
        <f t="shared" si="102"/>
        <v/>
      </c>
      <c r="QA17" s="180" t="str">
        <f>IF(COUNT(PO17,PT17,PY17)=0,"",SUM(PO17,PT17,PY17)/COUNT(PO17,PT17,PY17))</f>
        <v/>
      </c>
      <c r="QB17" s="133" t="str">
        <f t="shared" si="103"/>
        <v/>
      </c>
      <c r="QC17" s="159"/>
      <c r="QD17" s="160"/>
      <c r="QE17" s="161"/>
      <c r="QF17" s="136" t="str">
        <f>IFERROR((((COUNTIF('Elève (6ème5)'!QC17:QE17,"A"))*4)+((COUNTIF('Elève (6ème5)'!QC17:QE17,"B"))*3)+((COUNTIF('Elève (6ème5)'!QC17:QE17,"C"))*2)+((COUNTIF('Elève (6ème5)'!QC17:QE17,"D"))*1))/(COUNTA(QC17:QE17)),"")</f>
        <v/>
      </c>
      <c r="QG17" s="137" t="str">
        <f t="shared" si="104"/>
        <v/>
      </c>
      <c r="QH17" s="84"/>
      <c r="QI17" s="85"/>
      <c r="QJ17" s="86"/>
      <c r="QK17" s="136" t="str">
        <f>IFERROR((((COUNTIF('Elève (6ème5)'!QH17:QJ17,"A"))*4)+((COUNTIF('Elève (6ème5)'!QH17:QJ17,"B"))*3)+((COUNTIF('Elève (6ème5)'!QH17:QJ17,"C"))*2)+((COUNTIF('Elève (6ème5)'!QH17:QJ17,"D"))*1))/(COUNTA(QH17:QJ17)),"")</f>
        <v/>
      </c>
      <c r="QL17" s="137" t="str">
        <f t="shared" si="105"/>
        <v/>
      </c>
      <c r="QM17" s="84"/>
      <c r="QN17" s="85"/>
      <c r="QO17" s="86"/>
      <c r="QP17" s="136" t="str">
        <f>IFERROR((((COUNTIF('Elève (6ème5)'!QM17:QO17,"A"))*4)+((COUNTIF('Elève (6ème5)'!QM17:QO17,"B"))*3)+((COUNTIF('Elève (6ème5)'!QM17:QO17,"C"))*2)+((COUNTIF('Elève (6ème5)'!QM17:QO17,"D"))*1))/(COUNTA(QM17:QO17)),"")</f>
        <v/>
      </c>
      <c r="QQ17" s="137" t="str">
        <f t="shared" si="106"/>
        <v/>
      </c>
      <c r="QR17" s="180" t="str">
        <f>IF(COUNT(QF17,QK17,QP17)=0,"",SUM(QF17,QK17,QP17)/COUNT(QF17,QK17,QP17))</f>
        <v/>
      </c>
      <c r="QS17" s="133" t="str">
        <f t="shared" si="107"/>
        <v/>
      </c>
      <c r="QT17" s="159"/>
      <c r="QU17" s="160"/>
      <c r="QV17" s="161"/>
      <c r="QW17" s="136" t="str">
        <f>IFERROR((((COUNTIF('Elève (6ème5)'!QT17:QV17,"A"))*4)+((COUNTIF('Elève (6ème5)'!QT17:QV17,"B"))*3)+((COUNTIF('Elève (6ème5)'!QT17:QV17,"C"))*2)+((COUNTIF('Elève (6ème5)'!QT17:QV17,"D"))*1))/(COUNTA(QT17:QV17)),"")</f>
        <v/>
      </c>
      <c r="QX17" s="137" t="str">
        <f t="shared" si="108"/>
        <v/>
      </c>
      <c r="QY17" s="84"/>
      <c r="QZ17" s="85"/>
      <c r="RA17" s="86"/>
      <c r="RB17" s="136" t="str">
        <f>IFERROR((((COUNTIF('Elève (6ème5)'!QY17:RA17,"A"))*4)+((COUNTIF('Elève (6ème5)'!QY17:RA17,"B"))*3)+((COUNTIF('Elève (6ème5)'!QY17:RA17,"C"))*2)+((COUNTIF('Elève (6ème5)'!QY17:RA17,"D"))*1))/(COUNTA(QY17:RA17)),"")</f>
        <v/>
      </c>
      <c r="RC17" s="137" t="str">
        <f t="shared" si="109"/>
        <v/>
      </c>
      <c r="RD17" s="84"/>
      <c r="RE17" s="85"/>
      <c r="RF17" s="86"/>
      <c r="RG17" s="136" t="str">
        <f>IFERROR((((COUNTIF('Elève (6ème5)'!RD17:RF17,"A"))*4)+((COUNTIF('Elève (6ème5)'!RD17:RF17,"B"))*3)+((COUNTIF('Elève (6ème5)'!RD17:RF17,"C"))*2)+((COUNTIF('Elève (6ème5)'!RD17:RF17,"D"))*1))/(COUNTA(RD17:RF17)),"")</f>
        <v/>
      </c>
      <c r="RH17" s="137" t="str">
        <f t="shared" si="110"/>
        <v/>
      </c>
      <c r="RI17" s="180" t="str">
        <f>IF(COUNT(QW17,RB17,RG17)=0,"",SUM(QW17,RB17,RG17)/COUNT(QW17,RB17,RG17))</f>
        <v/>
      </c>
      <c r="RJ17" s="133" t="str">
        <f t="shared" si="111"/>
        <v/>
      </c>
      <c r="RK17" s="159"/>
      <c r="RL17" s="160"/>
      <c r="RM17" s="161"/>
      <c r="RN17" s="136" t="str">
        <f>IFERROR((((COUNTIF('Elève (6ème5)'!RK17:RM17,"A"))*4)+((COUNTIF('Elève (6ème5)'!RK17:RM17,"B"))*3)+((COUNTIF('Elève (6ème5)'!RK17:RM17,"C"))*2)+((COUNTIF('Elève (6ème5)'!RK17:RM17,"D"))*1))/(COUNTA(RK17:RM17)),"")</f>
        <v/>
      </c>
      <c r="RO17" s="137" t="str">
        <f t="shared" si="112"/>
        <v/>
      </c>
      <c r="RP17" s="84"/>
      <c r="RQ17" s="85"/>
      <c r="RR17" s="86"/>
      <c r="RS17" s="136" t="str">
        <f>IFERROR((((COUNTIF('Elève (6ème5)'!RP17:RR17,"A"))*4)+((COUNTIF('Elève (6ème5)'!RP17:RR17,"B"))*3)+((COUNTIF('Elève (6ème5)'!RP17:RR17,"C"))*2)+((COUNTIF('Elève (6ème5)'!RP17:RR17,"D"))*1))/(COUNTA(RP17:RR17)),"")</f>
        <v/>
      </c>
      <c r="RT17" s="137" t="str">
        <f t="shared" si="113"/>
        <v/>
      </c>
      <c r="RU17" s="84"/>
      <c r="RV17" s="85"/>
      <c r="RW17" s="86"/>
      <c r="RX17" s="136" t="str">
        <f>IFERROR((((COUNTIF('Elève (6ème5)'!RU17:RW17,"A"))*4)+((COUNTIF('Elève (6ème5)'!RU17:RW17,"B"))*3)+((COUNTIF('Elève (6ème5)'!RU17:RW17,"C"))*2)+((COUNTIF('Elève (6ème5)'!RU17:RW17,"D"))*1))/(COUNTA(RU17:RW17)),"")</f>
        <v/>
      </c>
      <c r="RY17" s="137" t="str">
        <f t="shared" si="114"/>
        <v/>
      </c>
      <c r="RZ17" s="180" t="str">
        <f>IF(COUNT(RN17,RS17,RX17)=0,"",SUM(RN17,RS17,RX17)/COUNT(RN17,RS17,RX17))</f>
        <v/>
      </c>
      <c r="SA17" s="133" t="str">
        <f t="shared" si="115"/>
        <v/>
      </c>
      <c r="SB17" s="159"/>
      <c r="SC17" s="160"/>
      <c r="SD17" s="161"/>
      <c r="SE17" s="136" t="str">
        <f>IFERROR((((COUNTIF('Elève (6ème5)'!SB17:SD17,"A"))*4)+((COUNTIF('Elève (6ème5)'!SB17:SD17,"B"))*3)+((COUNTIF('Elève (6ème5)'!SB17:SD17,"C"))*2)+((COUNTIF('Elève (6ème5)'!SB17:SD17,"D"))*1))/(COUNTA(SB17:SD17)),"")</f>
        <v/>
      </c>
      <c r="SF17" s="137" t="str">
        <f t="shared" si="116"/>
        <v/>
      </c>
      <c r="SG17" s="84"/>
      <c r="SH17" s="85"/>
      <c r="SI17" s="86"/>
      <c r="SJ17" s="136" t="str">
        <f>IFERROR((((COUNTIF('Elève (6ème5)'!SG17:SI17,"A"))*4)+((COUNTIF('Elève (6ème5)'!SG17:SI17,"B"))*3)+((COUNTIF('Elève (6ème5)'!SG17:SI17,"C"))*2)+((COUNTIF('Elève (6ème5)'!SG17:SI17,"D"))*1))/(COUNTA(SG17:SI17)),"")</f>
        <v/>
      </c>
      <c r="SK17" s="137" t="str">
        <f t="shared" si="117"/>
        <v/>
      </c>
      <c r="SL17" s="84"/>
      <c r="SM17" s="85"/>
      <c r="SN17" s="86"/>
      <c r="SO17" s="136" t="str">
        <f>IFERROR((((COUNTIF('Elève (6ème5)'!SL17:SN17,"A"))*4)+((COUNTIF('Elève (6ème5)'!SL17:SN17,"B"))*3)+((COUNTIF('Elève (6ème5)'!SL17:SN17,"C"))*2)+((COUNTIF('Elève (6ème5)'!SL17:SN17,"D"))*1))/(COUNTA(SL17:SN17)),"")</f>
        <v/>
      </c>
      <c r="SP17" s="137" t="str">
        <f t="shared" si="118"/>
        <v/>
      </c>
      <c r="SQ17" s="180" t="str">
        <f>IF(COUNT(SE17,SJ17,SO17)=0,"",SUM(SE17,SJ17,SO17)/COUNT(SE17,SJ17,SO17))</f>
        <v/>
      </c>
      <c r="SR17" s="133" t="str">
        <f t="shared" si="119"/>
        <v/>
      </c>
    </row>
    <row r="18" spans="1:512" s="77" customFormat="1" ht="16.5" customHeight="1" thickBot="1" x14ac:dyDescent="0.3">
      <c r="A18" s="96" t="s">
        <v>21</v>
      </c>
      <c r="B18" s="88">
        <v>1</v>
      </c>
      <c r="C18" s="152"/>
      <c r="D18" s="190"/>
      <c r="E18" s="185"/>
      <c r="F18" s="129">
        <f>IFERROR((((COUNTIF('Elève (6ème5)'!C19:E19,"A"))*4)+((COUNTIF('Elève (6ème5)'!C19:E19,"B"))*3)+((COUNTIF('Elève (6ème5)'!C19:E19,"C"))*2)+((COUNTIF('Elève (6ème5)'!C19:E19,"D"))*1))/(COUNTA(C19:E19)),"")</f>
        <v>4</v>
      </c>
      <c r="G18" s="107" t="str">
        <f t="shared" si="0"/>
        <v>A</v>
      </c>
      <c r="H18" s="204"/>
      <c r="I18" s="186"/>
      <c r="J18" s="205"/>
      <c r="K18" s="129" t="str">
        <f>IFERROR((((COUNTIF('Elève (6ème5)'!H19:J19,"A"))*4)+((COUNTIF('Elève (6ème5)'!H19:J19,"B"))*3)+((COUNTIF('Elève (6ème5)'!H19:J19,"C"))*2)+((COUNTIF('Elève (6ème5)'!H19:J19,"D"))*1))/(COUNTA(H19:J19)),"")</f>
        <v/>
      </c>
      <c r="L18" s="121" t="str">
        <f t="shared" si="1"/>
        <v/>
      </c>
      <c r="M18" s="100"/>
      <c r="N18" s="187"/>
      <c r="O18" s="188"/>
      <c r="P18" s="129" t="str">
        <f>IFERROR((((COUNTIF('Elève (6ème5)'!M19:O19,"A"))*4)+((COUNTIF('Elève (6ème5)'!M19:O19,"B"))*3)+((COUNTIF('Elève (6ème5)'!M19:O19,"C"))*2)+((COUNTIF('Elève (6ème5)'!M19:O19,"D"))*1))/(COUNTA(M19:O19)),"")</f>
        <v/>
      </c>
      <c r="Q18" s="128" t="str">
        <f t="shared" si="2"/>
        <v/>
      </c>
      <c r="R18" s="177">
        <f>IFERROR((((COUNTIF(C19:E19,"A")+COUNTIF(H19:J19,"A")+COUNTIF(M19:O19,"A"))*4)+((COUNTIF(C19:E19,"B")+COUNTIF(H19:J19,"B")+COUNTIF(M19:O19,"B"))*3)+((COUNTIF(C19:E19,"C")+COUNTIF(H19:J19,"C")+COUNTIF(M19:O19,"C"))*2)+((COUNTIF(C19:E19,"D")+COUNTIF(H19:J19,"D")+COUNTIF(M19:O19,"D"))*1))/(COUNTA(C19:E19)+COUNTA(H19:J19)+COUNTA(M19:O19)),"")</f>
        <v>4</v>
      </c>
      <c r="S18" s="130" t="str">
        <f t="shared" si="3"/>
        <v>A</v>
      </c>
      <c r="T18" s="152"/>
      <c r="U18" s="190"/>
      <c r="V18" s="185"/>
      <c r="W18" s="129">
        <f>IFERROR((((COUNTIF('Elève (6ème5)'!T19:V19,"A"))*4)+((COUNTIF('Elève (6ème5)'!T19:V19,"B"))*3)+((COUNTIF('Elève (6ème5)'!T19:V19,"C"))*2)+((COUNTIF('Elève (6ème5)'!T19:V19,"D"))*1))/(COUNTA(T19:V19)),"")</f>
        <v>4</v>
      </c>
      <c r="X18" s="107" t="str">
        <f t="shared" si="4"/>
        <v>A</v>
      </c>
      <c r="Y18" s="204"/>
      <c r="Z18" s="186"/>
      <c r="AA18" s="205"/>
      <c r="AB18" s="129" t="str">
        <f>IFERROR((((COUNTIF('Elève (6ème5)'!Y19:AA19,"A"))*4)+((COUNTIF('Elève (6ème5)'!Y19:AA19,"B"))*3)+((COUNTIF('Elève (6ème5)'!Y19:AA19,"C"))*2)+((COUNTIF('Elève (6ème5)'!Y19:AA19,"D"))*1))/(COUNTA(Y19:AA19)),"")</f>
        <v/>
      </c>
      <c r="AC18" s="121" t="str">
        <f t="shared" si="5"/>
        <v/>
      </c>
      <c r="AD18" s="100"/>
      <c r="AE18" s="187"/>
      <c r="AF18" s="188"/>
      <c r="AG18" s="129" t="str">
        <f>IFERROR((((COUNTIF('Elève (6ème5)'!AD19:AF19,"A"))*4)+((COUNTIF('Elève (6ème5)'!AD19:AF19,"B"))*3)+((COUNTIF('Elève (6ème5)'!AD19:AF19,"C"))*2)+((COUNTIF('Elève (6ème5)'!AD19:AF19,"D"))*1))/(COUNTA(AD19:AF19)),"")</f>
        <v/>
      </c>
      <c r="AH18" s="128" t="str">
        <f t="shared" si="6"/>
        <v/>
      </c>
      <c r="AI18" s="177">
        <f>IFERROR((((COUNTIF(T19:V19,"A")+COUNTIF(Y19:AA19,"A")+COUNTIF(AD19:AF19,"A"))*4)+((COUNTIF(T19:V19,"B")+COUNTIF(Y19:AA19,"B")+COUNTIF(AD19:AF19,"B"))*3)+((COUNTIF(T19:V19,"C")+COUNTIF(Y19:AA19,"C")+COUNTIF(AD19:AF19,"C"))*2)+((COUNTIF(T19:V19,"D")+COUNTIF(Y19:AA19,"D")+COUNTIF(AD19:AF19,"D"))*1))/(COUNTA(T19:V19)+COUNTA(Y19:AA19)+COUNTA(AD19:AF19)),"")</f>
        <v>4</v>
      </c>
      <c r="AJ18" s="130" t="str">
        <f t="shared" si="7"/>
        <v>A</v>
      </c>
      <c r="AK18" s="152"/>
      <c r="AL18" s="190"/>
      <c r="AM18" s="185"/>
      <c r="AN18" s="129">
        <f>IFERROR((((COUNTIF('Elève (6ème5)'!AK19:AM19,"A"))*4)+((COUNTIF('Elève (6ème5)'!AK19:AM19,"B"))*3)+((COUNTIF('Elève (6ème5)'!AK19:AM19,"C"))*2)+((COUNTIF('Elève (6ème5)'!AK19:AM19,"D"))*1))/(COUNTA(AK19:AM19)),"")</f>
        <v>4</v>
      </c>
      <c r="AO18" s="107" t="str">
        <f t="shared" si="8"/>
        <v>A</v>
      </c>
      <c r="AP18" s="204"/>
      <c r="AQ18" s="186"/>
      <c r="AR18" s="205"/>
      <c r="AS18" s="129" t="str">
        <f>IFERROR((((COUNTIF('Elève (6ème5)'!AP19:AR19,"A"))*4)+((COUNTIF('Elève (6ème5)'!AP19:AR19,"B"))*3)+((COUNTIF('Elève (6ème5)'!AP19:AR19,"C"))*2)+((COUNTIF('Elève (6ème5)'!AP19:AR19,"D"))*1))/(COUNTA(AP19:AR19)),"")</f>
        <v/>
      </c>
      <c r="AT18" s="121" t="str">
        <f t="shared" si="9"/>
        <v/>
      </c>
      <c r="AU18" s="100"/>
      <c r="AV18" s="187"/>
      <c r="AW18" s="188"/>
      <c r="AX18" s="129" t="str">
        <f>IFERROR((((COUNTIF('Elève (6ème5)'!AU19:AW19,"A"))*4)+((COUNTIF('Elève (6ème5)'!AU19:AW19,"B"))*3)+((COUNTIF('Elève (6ème5)'!AU19:AW19,"C"))*2)+((COUNTIF('Elève (6ème5)'!AU19:AW19,"D"))*1))/(COUNTA(AU19:AW19)),"")</f>
        <v/>
      </c>
      <c r="AY18" s="128" t="str">
        <f t="shared" si="10"/>
        <v/>
      </c>
      <c r="AZ18" s="177">
        <f>IFERROR((((COUNTIF(AK19:AM19,"A")+COUNTIF(AP19:AR19,"A")+COUNTIF(AU19:AW19,"A"))*4)+((COUNTIF(AK19:AM19,"B")+COUNTIF(AP19:AR19,"B")+COUNTIF(AU19:AW19,"B"))*3)+((COUNTIF(AK19:AM19,"C")+COUNTIF(AP19:AR19,"C")+COUNTIF(AU19:AW19,"C"))*2)+((COUNTIF(AK19:AM19,"D")+COUNTIF(AP19:AR19,"D")+COUNTIF(AU19:AW19,"D"))*1))/(COUNTA(AK19:AM19)+COUNTA(AP19:AR19)+COUNTA(AU19:AW19)),"")</f>
        <v>4</v>
      </c>
      <c r="BA18" s="130" t="str">
        <f t="shared" si="11"/>
        <v>A</v>
      </c>
      <c r="BB18" s="152"/>
      <c r="BC18" s="190"/>
      <c r="BD18" s="185"/>
      <c r="BE18" s="129">
        <f>IFERROR((((COUNTIF('Elève (6ème5)'!BB19:BD19,"A"))*4)+((COUNTIF('Elève (6ème5)'!BB19:BD19,"B"))*3)+((COUNTIF('Elève (6ème5)'!BB19:BD19,"C"))*2)+((COUNTIF('Elève (6ème5)'!BB19:BD19,"D"))*1))/(COUNTA(BB19:BD19)),"")</f>
        <v>4</v>
      </c>
      <c r="BF18" s="107" t="str">
        <f t="shared" si="12"/>
        <v>A</v>
      </c>
      <c r="BG18" s="204"/>
      <c r="BH18" s="186"/>
      <c r="BI18" s="205"/>
      <c r="BJ18" s="129" t="str">
        <f>IFERROR((((COUNTIF('Elève (6ème5)'!BG19:BI19,"A"))*4)+((COUNTIF('Elève (6ème5)'!BG19:BI19,"B"))*3)+((COUNTIF('Elève (6ème5)'!BG19:BI19,"C"))*2)+((COUNTIF('Elève (6ème5)'!BG19:BI19,"D"))*1))/(COUNTA(BG19:BI19)),"")</f>
        <v/>
      </c>
      <c r="BK18" s="121" t="str">
        <f t="shared" si="13"/>
        <v/>
      </c>
      <c r="BL18" s="100"/>
      <c r="BM18" s="187"/>
      <c r="BN18" s="188"/>
      <c r="BO18" s="129" t="str">
        <f>IFERROR((((COUNTIF('Elève (6ème5)'!BL19:BN19,"A"))*4)+((COUNTIF('Elève (6ème5)'!BL19:BN19,"B"))*3)+((COUNTIF('Elève (6ème5)'!BL19:BN19,"C"))*2)+((COUNTIF('Elève (6ème5)'!BL19:BN19,"D"))*1))/(COUNTA(BL19:BN19)),"")</f>
        <v/>
      </c>
      <c r="BP18" s="128" t="str">
        <f t="shared" si="14"/>
        <v/>
      </c>
      <c r="BQ18" s="177">
        <f>IFERROR((((COUNTIF(BB19:BD19,"A")+COUNTIF(BG19:BI19,"A")+COUNTIF(BL19:BN19,"A"))*4)+((COUNTIF(BB19:BD19,"B")+COUNTIF(BG19:BI19,"B")+COUNTIF(BL19:BN19,"B"))*3)+((COUNTIF(BB19:BD19,"C")+COUNTIF(BG19:BI19,"C")+COUNTIF(BL19:BN19,"C"))*2)+((COUNTIF(BB19:BD19,"D")+COUNTIF(BG19:BI19,"D")+COUNTIF(BL19:BN19,"D"))*1))/(COUNTA(BB19:BD19)+COUNTA(BG19:BI19)+COUNTA(BL19:BN19)),"")</f>
        <v>4</v>
      </c>
      <c r="BR18" s="130" t="str">
        <f t="shared" si="15"/>
        <v>A</v>
      </c>
      <c r="BS18" s="152"/>
      <c r="BT18" s="190"/>
      <c r="BU18" s="185"/>
      <c r="BV18" s="129">
        <f>IFERROR((((COUNTIF('Elève (6ème5)'!BS19:BU19,"A"))*4)+((COUNTIF('Elève (6ème5)'!BS19:BU19,"B"))*3)+((COUNTIF('Elève (6ème5)'!BS19:BU19,"C"))*2)+((COUNTIF('Elève (6ème5)'!BS19:BU19,"D"))*1))/(COUNTA(BS19:BU19)),"")</f>
        <v>4</v>
      </c>
      <c r="BW18" s="107" t="str">
        <f t="shared" si="16"/>
        <v>A</v>
      </c>
      <c r="BX18" s="204"/>
      <c r="BY18" s="186"/>
      <c r="BZ18" s="205"/>
      <c r="CA18" s="129" t="str">
        <f>IFERROR((((COUNTIF('Elève (6ème5)'!BX19:BZ19,"A"))*4)+((COUNTIF('Elève (6ème5)'!BX19:BZ19,"B"))*3)+((COUNTIF('Elève (6ème5)'!BX19:BZ19,"C"))*2)+((COUNTIF('Elève (6ème5)'!BX19:BZ19,"D"))*1))/(COUNTA(BX19:BZ19)),"")</f>
        <v/>
      </c>
      <c r="CB18" s="121" t="str">
        <f t="shared" si="17"/>
        <v/>
      </c>
      <c r="CC18" s="100"/>
      <c r="CD18" s="187"/>
      <c r="CE18" s="188"/>
      <c r="CF18" s="129" t="str">
        <f>IFERROR((((COUNTIF('Elève (6ème5)'!CC19:CE19,"A"))*4)+((COUNTIF('Elève (6ème5)'!CC19:CE19,"B"))*3)+((COUNTIF('Elève (6ème5)'!CC19:CE19,"C"))*2)+((COUNTIF('Elève (6ème5)'!CC19:CE19,"D"))*1))/(COUNTA(CC19:CE19)),"")</f>
        <v/>
      </c>
      <c r="CG18" s="128" t="str">
        <f t="shared" si="18"/>
        <v/>
      </c>
      <c r="CH18" s="177">
        <f>IFERROR((((COUNTIF(BS19:BU19,"A")+COUNTIF(BX19:BZ19,"A")+COUNTIF(CC19:CE19,"A"))*4)+((COUNTIF(BS19:BU19,"B")+COUNTIF(BX19:BZ19,"B")+COUNTIF(CC19:CE19,"B"))*3)+((COUNTIF(BS19:BU19,"C")+COUNTIF(BX19:BZ19,"C")+COUNTIF(CC19:CE19,"C"))*2)+((COUNTIF(BS19:BU19,"D")+COUNTIF(BX19:BZ19,"D")+COUNTIF(CC19:CE19,"D"))*1))/(COUNTA(BS19:BU19)+COUNTA(BX19:BZ19)+COUNTA(CC19:CE19)),"")</f>
        <v>4</v>
      </c>
      <c r="CI18" s="130" t="str">
        <f t="shared" si="19"/>
        <v>A</v>
      </c>
      <c r="CJ18" s="152"/>
      <c r="CK18" s="190"/>
      <c r="CL18" s="185"/>
      <c r="CM18" s="129">
        <f>IFERROR((((COUNTIF('Elève (6ème5)'!CJ19:CL19,"A"))*4)+((COUNTIF('Elève (6ème5)'!CJ19:CL19,"B"))*3)+((COUNTIF('Elève (6ème5)'!CJ19:CL19,"C"))*2)+((COUNTIF('Elève (6ème5)'!CJ19:CL19,"D"))*1))/(COUNTA(CJ19:CL19)),"")</f>
        <v>4</v>
      </c>
      <c r="CN18" s="107" t="str">
        <f t="shared" si="20"/>
        <v>A</v>
      </c>
      <c r="CO18" s="204"/>
      <c r="CP18" s="186"/>
      <c r="CQ18" s="205"/>
      <c r="CR18" s="129" t="str">
        <f>IFERROR((((COUNTIF('Elève (6ème5)'!CO19:CQ19,"A"))*4)+((COUNTIF('Elève (6ème5)'!CO19:CQ19,"B"))*3)+((COUNTIF('Elève (6ème5)'!CO19:CQ19,"C"))*2)+((COUNTIF('Elève (6ème5)'!CO19:CQ19,"D"))*1))/(COUNTA(CO19:CQ19)),"")</f>
        <v/>
      </c>
      <c r="CS18" s="121" t="str">
        <f t="shared" si="21"/>
        <v/>
      </c>
      <c r="CT18" s="100"/>
      <c r="CU18" s="187"/>
      <c r="CV18" s="188"/>
      <c r="CW18" s="129" t="str">
        <f>IFERROR((((COUNTIF('Elève (6ème5)'!CT19:CV19,"A"))*4)+((COUNTIF('Elève (6ème5)'!CT19:CV19,"B"))*3)+((COUNTIF('Elève (6ème5)'!CT19:CV19,"C"))*2)+((COUNTIF('Elève (6ème5)'!CT19:CV19,"D"))*1))/(COUNTA(CT19:CV19)),"")</f>
        <v/>
      </c>
      <c r="CX18" s="128" t="str">
        <f t="shared" si="22"/>
        <v/>
      </c>
      <c r="CY18" s="177">
        <f>IFERROR((((COUNTIF(CJ19:CL19,"A")+COUNTIF(CO19:CQ19,"A")+COUNTIF(CT19:CV19,"A"))*4)+((COUNTIF(CJ19:CL19,"B")+COUNTIF(CO19:CQ19,"B")+COUNTIF(CT19:CV19,"B"))*3)+((COUNTIF(CJ19:CL19,"C")+COUNTIF(CO19:CQ19,"C")+COUNTIF(CT19:CV19,"C"))*2)+((COUNTIF(CJ19:CL19,"D")+COUNTIF(CO19:CQ19,"D")+COUNTIF(CT19:CV19,"D"))*1))/(COUNTA(CJ19:CL19)+COUNTA(CO19:CQ19)+COUNTA(CT19:CV19)),"")</f>
        <v>4</v>
      </c>
      <c r="CZ18" s="130" t="str">
        <f t="shared" si="23"/>
        <v>A</v>
      </c>
      <c r="DA18" s="152"/>
      <c r="DB18" s="190"/>
      <c r="DC18" s="185"/>
      <c r="DD18" s="129">
        <f>IFERROR((((COUNTIF('Elève (6ème5)'!DA19:DC19,"A"))*4)+((COUNTIF('Elève (6ème5)'!DA19:DC19,"B"))*3)+((COUNTIF('Elève (6ème5)'!DA19:DC19,"C"))*2)+((COUNTIF('Elève (6ème5)'!DA19:DC19,"D"))*1))/(COUNTA(DA19:DC19)),"")</f>
        <v>4</v>
      </c>
      <c r="DE18" s="107" t="str">
        <f t="shared" si="24"/>
        <v>A</v>
      </c>
      <c r="DF18" s="204"/>
      <c r="DG18" s="186"/>
      <c r="DH18" s="205"/>
      <c r="DI18" s="129" t="str">
        <f>IFERROR((((COUNTIF('Elève (6ème5)'!DF19:DH19,"A"))*4)+((COUNTIF('Elève (6ème5)'!DF19:DH19,"B"))*3)+((COUNTIF('Elève (6ème5)'!DF19:DH19,"C"))*2)+((COUNTIF('Elève (6ème5)'!DF19:DH19,"D"))*1))/(COUNTA(DF19:DH19)),"")</f>
        <v/>
      </c>
      <c r="DJ18" s="121" t="str">
        <f t="shared" si="25"/>
        <v/>
      </c>
      <c r="DK18" s="100"/>
      <c r="DL18" s="187"/>
      <c r="DM18" s="188"/>
      <c r="DN18" s="129" t="str">
        <f>IFERROR((((COUNTIF('Elève (6ème5)'!DK19:DM19,"A"))*4)+((COUNTIF('Elève (6ème5)'!DK19:DM19,"B"))*3)+((COUNTIF('Elève (6ème5)'!DK19:DM19,"C"))*2)+((COUNTIF('Elève (6ème5)'!DK19:DM19,"D"))*1))/(COUNTA(DK19:DM19)),"")</f>
        <v/>
      </c>
      <c r="DO18" s="128" t="str">
        <f t="shared" si="26"/>
        <v/>
      </c>
      <c r="DP18" s="177">
        <f>IFERROR((((COUNTIF(DA19:DC19,"A")+COUNTIF(DF19:DH19,"A")+COUNTIF(DK19:DM19,"A"))*4)+((COUNTIF(DA19:DC19,"B")+COUNTIF(DF19:DH19,"B")+COUNTIF(DK19:DM19,"B"))*3)+((COUNTIF(DA19:DC19,"C")+COUNTIF(DF19:DH19,"C")+COUNTIF(DK19:DM19,"C"))*2)+((COUNTIF(DA19:DC19,"D")+COUNTIF(DF19:DH19,"D")+COUNTIF(DK19:DM19,"D"))*1))/(COUNTA(DA19:DC19)+COUNTA(DF19:DH19)+COUNTA(DK19:DM19)),"")</f>
        <v>4</v>
      </c>
      <c r="DQ18" s="130" t="str">
        <f t="shared" si="27"/>
        <v>A</v>
      </c>
      <c r="DR18" s="152"/>
      <c r="DS18" s="190"/>
      <c r="DT18" s="185"/>
      <c r="DU18" s="129">
        <f>IFERROR((((COUNTIF('Elève (6ème5)'!DR19:DT19,"A"))*4)+((COUNTIF('Elève (6ème5)'!DR19:DT19,"B"))*3)+((COUNTIF('Elève (6ème5)'!DR19:DT19,"C"))*2)+((COUNTIF('Elève (6ème5)'!DR19:DT19,"D"))*1))/(COUNTA(DR19:DT19)),"")</f>
        <v>4</v>
      </c>
      <c r="DV18" s="107" t="str">
        <f t="shared" si="28"/>
        <v>A</v>
      </c>
      <c r="DW18" s="204"/>
      <c r="DX18" s="186"/>
      <c r="DY18" s="205"/>
      <c r="DZ18" s="129" t="str">
        <f>IFERROR((((COUNTIF('Elève (6ème5)'!DW19:DY19,"A"))*4)+((COUNTIF('Elève (6ème5)'!DW19:DY19,"B"))*3)+((COUNTIF('Elève (6ème5)'!DW19:DY19,"C"))*2)+((COUNTIF('Elève (6ème5)'!DW19:DY19,"D"))*1))/(COUNTA(DW19:DY19)),"")</f>
        <v/>
      </c>
      <c r="EA18" s="121" t="str">
        <f t="shared" si="29"/>
        <v/>
      </c>
      <c r="EB18" s="100"/>
      <c r="EC18" s="187"/>
      <c r="ED18" s="188"/>
      <c r="EE18" s="129" t="str">
        <f>IFERROR((((COUNTIF('Elève (6ème5)'!EB19:ED19,"A"))*4)+((COUNTIF('Elève (6ème5)'!EB19:ED19,"B"))*3)+((COUNTIF('Elève (6ème5)'!EB19:ED19,"C"))*2)+((COUNTIF('Elève (6ème5)'!EB19:ED19,"D"))*1))/(COUNTA(EB19:ED19)),"")</f>
        <v/>
      </c>
      <c r="EF18" s="128" t="str">
        <f t="shared" si="30"/>
        <v/>
      </c>
      <c r="EG18" s="177">
        <f>IFERROR((((COUNTIF(DR19:DT19,"A")+COUNTIF(DW19:DY19,"A")+COUNTIF(EB19:ED19,"A"))*4)+((COUNTIF(DR19:DT19,"B")+COUNTIF(DW19:DY19,"B")+COUNTIF(EB19:ED19,"B"))*3)+((COUNTIF(DR19:DT19,"C")+COUNTIF(DW19:DY19,"C")+COUNTIF(EB19:ED19,"C"))*2)+((COUNTIF(DR19:DT19,"D")+COUNTIF(DW19:DY19,"D")+COUNTIF(EB19:ED19,"D"))*1))/(COUNTA(DR19:DT19)+COUNTA(DW19:DY19)+COUNTA(EB19:ED19)),"")</f>
        <v>4</v>
      </c>
      <c r="EH18" s="130" t="str">
        <f t="shared" si="31"/>
        <v>A</v>
      </c>
      <c r="EI18" s="152"/>
      <c r="EJ18" s="190"/>
      <c r="EK18" s="185"/>
      <c r="EL18" s="129">
        <f>IFERROR((((COUNTIF('Elève (6ème5)'!EI19:EK19,"A"))*4)+((COUNTIF('Elève (6ème5)'!EI19:EK19,"B"))*3)+((COUNTIF('Elève (6ème5)'!EI19:EK19,"C"))*2)+((COUNTIF('Elève (6ème5)'!EI19:EK19,"D"))*1))/(COUNTA(EI19:EK19)),"")</f>
        <v>4</v>
      </c>
      <c r="EM18" s="107" t="str">
        <f t="shared" si="32"/>
        <v>A</v>
      </c>
      <c r="EN18" s="204"/>
      <c r="EO18" s="186"/>
      <c r="EP18" s="205"/>
      <c r="EQ18" s="129" t="str">
        <f>IFERROR((((COUNTIF('Elève (6ème5)'!EN19:EP19,"A"))*4)+((COUNTIF('Elève (6ème5)'!EN19:EP19,"B"))*3)+((COUNTIF('Elève (6ème5)'!EN19:EP19,"C"))*2)+((COUNTIF('Elève (6ème5)'!EN19:EP19,"D"))*1))/(COUNTA(EN19:EP19)),"")</f>
        <v/>
      </c>
      <c r="ER18" s="121" t="str">
        <f t="shared" si="33"/>
        <v/>
      </c>
      <c r="ES18" s="100"/>
      <c r="ET18" s="187"/>
      <c r="EU18" s="188"/>
      <c r="EV18" s="129" t="str">
        <f>IFERROR((((COUNTIF('Elève (6ème5)'!ES19:EU19,"A"))*4)+((COUNTIF('Elève (6ème5)'!ES19:EU19,"B"))*3)+((COUNTIF('Elève (6ème5)'!ES19:EU19,"C"))*2)+((COUNTIF('Elève (6ème5)'!ES19:EU19,"D"))*1))/(COUNTA(ES19:EU19)),"")</f>
        <v/>
      </c>
      <c r="EW18" s="128" t="str">
        <f t="shared" si="34"/>
        <v/>
      </c>
      <c r="EX18" s="177">
        <f>IFERROR((((COUNTIF(EI19:EK19,"A")+COUNTIF(EN19:EP19,"A")+COUNTIF(ES19:EU19,"A"))*4)+((COUNTIF(EI19:EK19,"B")+COUNTIF(EN19:EP19,"B")+COUNTIF(ES19:EU19,"B"))*3)+((COUNTIF(EI19:EK19,"C")+COUNTIF(EN19:EP19,"C")+COUNTIF(ES19:EU19,"C"))*2)+((COUNTIF(EI19:EK19,"D")+COUNTIF(EN19:EP19,"D")+COUNTIF(ES19:EU19,"D"))*1))/(COUNTA(EI19:EK19)+COUNTA(EN19:EP19)+COUNTA(ES19:EU19)),"")</f>
        <v>4</v>
      </c>
      <c r="EY18" s="130" t="str">
        <f t="shared" si="35"/>
        <v>A</v>
      </c>
      <c r="EZ18" s="152"/>
      <c r="FA18" s="190"/>
      <c r="FB18" s="185"/>
      <c r="FC18" s="129">
        <f>IFERROR((((COUNTIF('Elève (6ème5)'!EZ19:FB19,"A"))*4)+((COUNTIF('Elève (6ème5)'!EZ19:FB19,"B"))*3)+((COUNTIF('Elève (6ème5)'!EZ19:FB19,"C"))*2)+((COUNTIF('Elève (6ème5)'!EZ19:FB19,"D"))*1))/(COUNTA(EZ19:FB19)),"")</f>
        <v>4</v>
      </c>
      <c r="FD18" s="107" t="str">
        <f t="shared" si="36"/>
        <v>A</v>
      </c>
      <c r="FE18" s="204"/>
      <c r="FF18" s="186"/>
      <c r="FG18" s="205"/>
      <c r="FH18" s="129" t="str">
        <f>IFERROR((((COUNTIF('Elève (6ème5)'!FE19:FG19,"A"))*4)+((COUNTIF('Elève (6ème5)'!FE19:FG19,"B"))*3)+((COUNTIF('Elève (6ème5)'!FE19:FG19,"C"))*2)+((COUNTIF('Elève (6ème5)'!FE19:FG19,"D"))*1))/(COUNTA(FE19:FG19)),"")</f>
        <v/>
      </c>
      <c r="FI18" s="121" t="str">
        <f t="shared" si="37"/>
        <v/>
      </c>
      <c r="FJ18" s="100"/>
      <c r="FK18" s="187"/>
      <c r="FL18" s="188"/>
      <c r="FM18" s="129" t="str">
        <f>IFERROR((((COUNTIF('Elève (6ème5)'!FJ19:FL19,"A"))*4)+((COUNTIF('Elève (6ème5)'!FJ19:FL19,"B"))*3)+((COUNTIF('Elève (6ème5)'!FJ19:FL19,"C"))*2)+((COUNTIF('Elève (6ème5)'!FJ19:FL19,"D"))*1))/(COUNTA(FJ19:FL19)),"")</f>
        <v/>
      </c>
      <c r="FN18" s="128" t="str">
        <f t="shared" si="38"/>
        <v/>
      </c>
      <c r="FO18" s="177">
        <f>IFERROR((((COUNTIF(EZ19:FB19,"A")+COUNTIF(FE19:FG19,"A")+COUNTIF(FJ19:FL19,"A"))*4)+((COUNTIF(EZ19:FB19,"B")+COUNTIF(FE19:FG19,"B")+COUNTIF(FJ19:FL19,"B"))*3)+((COUNTIF(EZ19:FB19,"C")+COUNTIF(FE19:FG19,"C")+COUNTIF(FJ19:FL19,"C"))*2)+((COUNTIF(EZ19:FB19,"D")+COUNTIF(FE19:FG19,"D")+COUNTIF(FJ19:FL19,"D"))*1))/(COUNTA(EZ19:FB19)+COUNTA(FE19:FG19)+COUNTA(FJ19:FL19)),"")</f>
        <v>4</v>
      </c>
      <c r="FP18" s="130" t="str">
        <f t="shared" si="39"/>
        <v>A</v>
      </c>
      <c r="FQ18" s="152"/>
      <c r="FR18" s="190"/>
      <c r="FS18" s="185"/>
      <c r="FT18" s="129">
        <f>IFERROR((((COUNTIF('Elève (6ème5)'!FQ19:FS19,"A"))*4)+((COUNTIF('Elève (6ème5)'!FQ19:FS19,"B"))*3)+((COUNTIF('Elève (6ème5)'!FQ19:FS19,"C"))*2)+((COUNTIF('Elève (6ème5)'!FQ19:FS19,"D"))*1))/(COUNTA(FQ19:FS19)),"")</f>
        <v>4</v>
      </c>
      <c r="FU18" s="107" t="str">
        <f t="shared" si="40"/>
        <v>A</v>
      </c>
      <c r="FV18" s="204"/>
      <c r="FW18" s="186"/>
      <c r="FX18" s="205"/>
      <c r="FY18" s="129" t="str">
        <f>IFERROR((((COUNTIF('Elève (6ème5)'!FV19:FX19,"A"))*4)+((COUNTIF('Elève (6ème5)'!FV19:FX19,"B"))*3)+((COUNTIF('Elève (6ème5)'!FV19:FX19,"C"))*2)+((COUNTIF('Elève (6ème5)'!FV19:FX19,"D"))*1))/(COUNTA(FV19:FX19)),"")</f>
        <v/>
      </c>
      <c r="FZ18" s="121" t="str">
        <f t="shared" si="41"/>
        <v/>
      </c>
      <c r="GA18" s="100"/>
      <c r="GB18" s="187"/>
      <c r="GC18" s="188"/>
      <c r="GD18" s="129" t="str">
        <f>IFERROR((((COUNTIF('Elève (6ème5)'!GA19:GC19,"A"))*4)+((COUNTIF('Elève (6ème5)'!GA19:GC19,"B"))*3)+((COUNTIF('Elève (6ème5)'!GA19:GC19,"C"))*2)+((COUNTIF('Elève (6ème5)'!GA19:GC19,"D"))*1))/(COUNTA(GA19:GC19)),"")</f>
        <v/>
      </c>
      <c r="GE18" s="128" t="str">
        <f t="shared" si="42"/>
        <v/>
      </c>
      <c r="GF18" s="177">
        <f>IFERROR((((COUNTIF(FQ19:FS19,"A")+COUNTIF(FV19:FX19,"A")+COUNTIF(GA19:GC19,"A"))*4)+((COUNTIF(FQ19:FS19,"B")+COUNTIF(FV19:FX19,"B")+COUNTIF(GA19:GC19,"B"))*3)+((COUNTIF(FQ19:FS19,"C")+COUNTIF(FV19:FX19,"C")+COUNTIF(GA19:GC19,"C"))*2)+((COUNTIF(FQ19:FS19,"D")+COUNTIF(FV19:FX19,"D")+COUNTIF(GA19:GC19,"D"))*1))/(COUNTA(FQ19:FS19)+COUNTA(FV19:FX19)+COUNTA(GA19:GC19)),"")</f>
        <v>4</v>
      </c>
      <c r="GG18" s="130" t="str">
        <f t="shared" si="43"/>
        <v>A</v>
      </c>
      <c r="GH18" s="152"/>
      <c r="GI18" s="190"/>
      <c r="GJ18" s="185"/>
      <c r="GK18" s="129">
        <f>IFERROR((((COUNTIF('Elève (6ème5)'!GH19:GJ19,"A"))*4)+((COUNTIF('Elève (6ème5)'!GH19:GJ19,"B"))*3)+((COUNTIF('Elève (6ème5)'!GH19:GJ19,"C"))*2)+((COUNTIF('Elève (6ème5)'!GH19:GJ19,"D"))*1))/(COUNTA(GH19:GJ19)),"")</f>
        <v>4</v>
      </c>
      <c r="GL18" s="107" t="str">
        <f t="shared" si="44"/>
        <v>A</v>
      </c>
      <c r="GM18" s="204"/>
      <c r="GN18" s="186"/>
      <c r="GO18" s="205"/>
      <c r="GP18" s="129" t="str">
        <f>IFERROR((((COUNTIF('Elève (6ème5)'!GM19:GO19,"A"))*4)+((COUNTIF('Elève (6ème5)'!GM19:GO19,"B"))*3)+((COUNTIF('Elève (6ème5)'!GM19:GO19,"C"))*2)+((COUNTIF('Elève (6ème5)'!GM19:GO19,"D"))*1))/(COUNTA(GM19:GO19)),"")</f>
        <v/>
      </c>
      <c r="GQ18" s="121" t="str">
        <f t="shared" si="45"/>
        <v/>
      </c>
      <c r="GR18" s="100"/>
      <c r="GS18" s="187"/>
      <c r="GT18" s="188"/>
      <c r="GU18" s="129" t="str">
        <f>IFERROR((((COUNTIF('Elève (6ème5)'!GR19:GT19,"A"))*4)+((COUNTIF('Elève (6ème5)'!GR19:GT19,"B"))*3)+((COUNTIF('Elève (6ème5)'!GR19:GT19,"C"))*2)+((COUNTIF('Elève (6ème5)'!GR19:GT19,"D"))*1))/(COUNTA(GR19:GT19)),"")</f>
        <v/>
      </c>
      <c r="GV18" s="128" t="str">
        <f t="shared" si="46"/>
        <v/>
      </c>
      <c r="GW18" s="177">
        <f>IFERROR((((COUNTIF(GH19:GJ19,"A")+COUNTIF(GM19:GO19,"A")+COUNTIF(GR19:GT19,"A"))*4)+((COUNTIF(GH19:GJ19,"B")+COUNTIF(GM19:GO19,"B")+COUNTIF(GR19:GT19,"B"))*3)+((COUNTIF(GH19:GJ19,"C")+COUNTIF(GM19:GO19,"C")+COUNTIF(GR19:GT19,"C"))*2)+((COUNTIF(GH19:GJ19,"D")+COUNTIF(GM19:GO19,"D")+COUNTIF(GR19:GT19,"D"))*1))/(COUNTA(GH19:GJ19)+COUNTA(GM19:GO19)+COUNTA(GR19:GT19)),"")</f>
        <v>4</v>
      </c>
      <c r="GX18" s="130" t="str">
        <f t="shared" si="47"/>
        <v>A</v>
      </c>
      <c r="GY18" s="152"/>
      <c r="GZ18" s="190"/>
      <c r="HA18" s="185"/>
      <c r="HB18" s="129">
        <f>IFERROR((((COUNTIF('Elève (6ème5)'!GY19:HA19,"A"))*4)+((COUNTIF('Elève (6ème5)'!GY19:HA19,"B"))*3)+((COUNTIF('Elève (6ème5)'!GY19:HA19,"C"))*2)+((COUNTIF('Elève (6ème5)'!GY19:HA19,"D"))*1))/(COUNTA(GY19:HA19)),"")</f>
        <v>4</v>
      </c>
      <c r="HC18" s="107" t="str">
        <f t="shared" si="48"/>
        <v>A</v>
      </c>
      <c r="HD18" s="204"/>
      <c r="HE18" s="186"/>
      <c r="HF18" s="205"/>
      <c r="HG18" s="129" t="str">
        <f>IFERROR((((COUNTIF('Elève (6ème5)'!HD19:HF19,"A"))*4)+((COUNTIF('Elève (6ème5)'!HD19:HF19,"B"))*3)+((COUNTIF('Elève (6ème5)'!HD19:HF19,"C"))*2)+((COUNTIF('Elève (6ème5)'!HD19:HF19,"D"))*1))/(COUNTA(HD19:HF19)),"")</f>
        <v/>
      </c>
      <c r="HH18" s="121" t="str">
        <f t="shared" si="49"/>
        <v/>
      </c>
      <c r="HI18" s="100"/>
      <c r="HJ18" s="187"/>
      <c r="HK18" s="188"/>
      <c r="HL18" s="129" t="str">
        <f>IFERROR((((COUNTIF('Elève (6ème5)'!HI19:HK19,"A"))*4)+((COUNTIF('Elève (6ème5)'!HI19:HK19,"B"))*3)+((COUNTIF('Elève (6ème5)'!HI19:HK19,"C"))*2)+((COUNTIF('Elève (6ème5)'!HI19:HK19,"D"))*1))/(COUNTA(HI19:HK19)),"")</f>
        <v/>
      </c>
      <c r="HM18" s="128" t="str">
        <f t="shared" si="50"/>
        <v/>
      </c>
      <c r="HN18" s="177">
        <f>IFERROR((((COUNTIF(GY19:HA19,"A")+COUNTIF(HD19:HF19,"A")+COUNTIF(HI19:HK19,"A"))*4)+((COUNTIF(GY19:HA19,"B")+COUNTIF(HD19:HF19,"B")+COUNTIF(HI19:HK19,"B"))*3)+((COUNTIF(GY19:HA19,"C")+COUNTIF(HD19:HF19,"C")+COUNTIF(HI19:HK19,"C"))*2)+((COUNTIF(GY19:HA19,"D")+COUNTIF(HD19:HF19,"D")+COUNTIF(HI19:HK19,"D"))*1))/(COUNTA(GY19:HA19)+COUNTA(HD19:HF19)+COUNTA(HI19:HK19)),"")</f>
        <v>4</v>
      </c>
      <c r="HO18" s="130" t="str">
        <f t="shared" si="51"/>
        <v>A</v>
      </c>
      <c r="HP18" s="152"/>
      <c r="HQ18" s="190"/>
      <c r="HR18" s="185"/>
      <c r="HS18" s="129" t="str">
        <f>IFERROR((((COUNTIF('Elève (6ème5)'!HP19:HR19,"A"))*4)+((COUNTIF('Elève (6ème5)'!HP19:HR19,"B"))*3)+((COUNTIF('Elève (6ème5)'!HP19:HR19,"C"))*2)+((COUNTIF('Elève (6ème5)'!HP19:HR19,"D"))*1))/(COUNTA(HP19:HR19)),"")</f>
        <v/>
      </c>
      <c r="HT18" s="107" t="str">
        <f t="shared" si="52"/>
        <v/>
      </c>
      <c r="HU18" s="204"/>
      <c r="HV18" s="186"/>
      <c r="HW18" s="205"/>
      <c r="HX18" s="129" t="str">
        <f>IFERROR((((COUNTIF('Elève (6ème5)'!HU19:HW19,"A"))*4)+((COUNTIF('Elève (6ème5)'!HU19:HW19,"B"))*3)+((COUNTIF('Elève (6ème5)'!HU19:HW19,"C"))*2)+((COUNTIF('Elève (6ème5)'!HU19:HW19,"D"))*1))/(COUNTA(HU19:HW19)),"")</f>
        <v/>
      </c>
      <c r="HY18" s="121" t="str">
        <f t="shared" si="53"/>
        <v/>
      </c>
      <c r="HZ18" s="100"/>
      <c r="IA18" s="187"/>
      <c r="IB18" s="188"/>
      <c r="IC18" s="129" t="str">
        <f>IFERROR((((COUNTIF('Elève (6ème5)'!HZ19:IB19,"A"))*4)+((COUNTIF('Elève (6ème5)'!HZ19:IB19,"B"))*3)+((COUNTIF('Elève (6ème5)'!HZ19:IB19,"C"))*2)+((COUNTIF('Elève (6ème5)'!HZ19:IB19,"D"))*1))/(COUNTA(HZ19:IB19)),"")</f>
        <v/>
      </c>
      <c r="ID18" s="128" t="str">
        <f t="shared" si="54"/>
        <v/>
      </c>
      <c r="IE18" s="177" t="str">
        <f>IFERROR((((COUNTIF(HP19:HR19,"A")+COUNTIF(HU19:HW19,"A")+COUNTIF(HZ19:IB19,"A"))*4)+((COUNTIF(HP19:HR19,"B")+COUNTIF(HU19:HW19,"B")+COUNTIF(HZ19:IB19,"B"))*3)+((COUNTIF(HP19:HR19,"C")+COUNTIF(HU19:HW19,"C")+COUNTIF(HZ19:IB19,"C"))*2)+((COUNTIF(HP19:HR19,"D")+COUNTIF(HU19:HW19,"D")+COUNTIF(HZ19:IB19,"D"))*1))/(COUNTA(HP19:HR19)+COUNTA(HU19:HW19)+COUNTA(HZ19:IB19)),"")</f>
        <v/>
      </c>
      <c r="IF18" s="130" t="str">
        <f t="shared" si="55"/>
        <v/>
      </c>
      <c r="IG18" s="152"/>
      <c r="IH18" s="190"/>
      <c r="II18" s="185"/>
      <c r="IJ18" s="129">
        <f>IFERROR((((COUNTIF('Elève (6ème5)'!IG19:II19,"A"))*4)+((COUNTIF('Elève (6ème5)'!IG19:II19,"B"))*3)+((COUNTIF('Elève (6ème5)'!IG19:II19,"C"))*2)+((COUNTIF('Elève (6ème5)'!IG19:II19,"D"))*1))/(COUNTA(IG19:II19)),"")</f>
        <v>4</v>
      </c>
      <c r="IK18" s="107" t="str">
        <f t="shared" si="56"/>
        <v>A</v>
      </c>
      <c r="IL18" s="204"/>
      <c r="IM18" s="186"/>
      <c r="IN18" s="205"/>
      <c r="IO18" s="129" t="str">
        <f>IFERROR((((COUNTIF('Elève (6ème5)'!IL19:IN19,"A"))*4)+((COUNTIF('Elève (6ème5)'!IL19:IN19,"B"))*3)+((COUNTIF('Elève (6ème5)'!IL19:IN19,"C"))*2)+((COUNTIF('Elève (6ème5)'!IL19:IN19,"D"))*1))/(COUNTA(IL19:IN19)),"")</f>
        <v/>
      </c>
      <c r="IP18" s="121" t="str">
        <f t="shared" si="57"/>
        <v/>
      </c>
      <c r="IQ18" s="100"/>
      <c r="IR18" s="187"/>
      <c r="IS18" s="188"/>
      <c r="IT18" s="129" t="str">
        <f>IFERROR((((COUNTIF('Elève (6ème5)'!IQ19:IS19,"A"))*4)+((COUNTIF('Elève (6ème5)'!IQ19:IS19,"B"))*3)+((COUNTIF('Elève (6ème5)'!IQ19:IS19,"C"))*2)+((COUNTIF('Elève (6ème5)'!IQ19:IS19,"D"))*1))/(COUNTA(IQ19:IS19)),"")</f>
        <v/>
      </c>
      <c r="IU18" s="128" t="str">
        <f t="shared" si="58"/>
        <v/>
      </c>
      <c r="IV18" s="177">
        <f>IFERROR((((COUNTIF(IG19:II19,"A")+COUNTIF(IL19:IN19,"A")+COUNTIF(IQ19:IS19,"A"))*4)+((COUNTIF(IG19:II19,"B")+COUNTIF(IL19:IN19,"B")+COUNTIF(IQ19:IS19,"B"))*3)+((COUNTIF(IG19:II19,"C")+COUNTIF(IL19:IN19,"C")+COUNTIF(IQ19:IS19,"C"))*2)+((COUNTIF(IG19:II19,"D")+COUNTIF(IL19:IN19,"D")+COUNTIF(IQ19:IS19,"D"))*1))/(COUNTA(IG19:II19)+COUNTA(IL19:IN19)+COUNTA(IQ19:IS19)),"")</f>
        <v>4</v>
      </c>
      <c r="IW18" s="130" t="str">
        <f t="shared" si="59"/>
        <v>A</v>
      </c>
      <c r="IX18" s="152"/>
      <c r="IY18" s="190"/>
      <c r="IZ18" s="185"/>
      <c r="JA18" s="129">
        <f>IFERROR((((COUNTIF('Elève (6ème5)'!IX19:IZ19,"A"))*4)+((COUNTIF('Elève (6ème5)'!IX19:IZ19,"B"))*3)+((COUNTIF('Elève (6ème5)'!IX19:IZ19,"C"))*2)+((COUNTIF('Elève (6ème5)'!IX19:IZ19,"D"))*1))/(COUNTA(IX19:IZ19)),"")</f>
        <v>4</v>
      </c>
      <c r="JB18" s="107" t="str">
        <f t="shared" si="60"/>
        <v>A</v>
      </c>
      <c r="JC18" s="204"/>
      <c r="JD18" s="186"/>
      <c r="JE18" s="205"/>
      <c r="JF18" s="129" t="str">
        <f>IFERROR((((COUNTIF('Elève (6ème5)'!JC19:JE19,"A"))*4)+((COUNTIF('Elève (6ème5)'!JC19:JE19,"B"))*3)+((COUNTIF('Elève (6ème5)'!JC19:JE19,"C"))*2)+((COUNTIF('Elève (6ème5)'!JC19:JE19,"D"))*1))/(COUNTA(JC19:JE19)),"")</f>
        <v/>
      </c>
      <c r="JG18" s="121" t="str">
        <f t="shared" si="61"/>
        <v/>
      </c>
      <c r="JH18" s="100"/>
      <c r="JI18" s="187"/>
      <c r="JJ18" s="188"/>
      <c r="JK18" s="129" t="str">
        <f>IFERROR((((COUNTIF('Elève (6ème5)'!JH19:JJ19,"A"))*4)+((COUNTIF('Elève (6ème5)'!JH19:JJ19,"B"))*3)+((COUNTIF('Elève (6ème5)'!JH19:JJ19,"C"))*2)+((COUNTIF('Elève (6ème5)'!JH19:JJ19,"D"))*1))/(COUNTA(JH19:JJ19)),"")</f>
        <v/>
      </c>
      <c r="JL18" s="128" t="str">
        <f t="shared" si="62"/>
        <v/>
      </c>
      <c r="JM18" s="177">
        <f>IFERROR((((COUNTIF(IX19:IZ19,"A")+COUNTIF(JC19:JE19,"A")+COUNTIF(JH19:JJ19,"A"))*4)+((COUNTIF(IX19:IZ19,"B")+COUNTIF(JC19:JE19,"B")+COUNTIF(JH19:JJ19,"B"))*3)+((COUNTIF(IX19:IZ19,"C")+COUNTIF(JC19:JE19,"C")+COUNTIF(JH19:JJ19,"C"))*2)+((COUNTIF(IX19:IZ19,"D")+COUNTIF(JC19:JE19,"D")+COUNTIF(JH19:JJ19,"D"))*1))/(COUNTA(IX19:IZ19)+COUNTA(JC19:JE19)+COUNTA(JH19:JJ19)),"")</f>
        <v>4</v>
      </c>
      <c r="JN18" s="130" t="str">
        <f t="shared" si="63"/>
        <v>A</v>
      </c>
      <c r="JO18" s="152"/>
      <c r="JP18" s="190"/>
      <c r="JQ18" s="185"/>
      <c r="JR18" s="129" t="str">
        <f>IFERROR((((COUNTIF('Elève (6ème5)'!JO19:JQ19,"A"))*4)+((COUNTIF('Elève (6ème5)'!JO19:JQ19,"B"))*3)+((COUNTIF('Elève (6ème5)'!JO19:JQ19,"C"))*2)+((COUNTIF('Elève (6ème5)'!JO19:JQ19,"D"))*1))/(COUNTA(JO19:JQ19)),"")</f>
        <v/>
      </c>
      <c r="JS18" s="107" t="str">
        <f t="shared" si="64"/>
        <v/>
      </c>
      <c r="JT18" s="204"/>
      <c r="JU18" s="186"/>
      <c r="JV18" s="205"/>
      <c r="JW18" s="129" t="str">
        <f>IFERROR((((COUNTIF('Elève (6ème5)'!JT19:JV19,"A"))*4)+((COUNTIF('Elève (6ème5)'!JT19:JV19,"B"))*3)+((COUNTIF('Elève (6ème5)'!JT19:JV19,"C"))*2)+((COUNTIF('Elève (6ème5)'!JT19:JV19,"D"))*1))/(COUNTA(JT19:JV19)),"")</f>
        <v/>
      </c>
      <c r="JX18" s="121" t="str">
        <f t="shared" si="65"/>
        <v/>
      </c>
      <c r="JY18" s="100"/>
      <c r="JZ18" s="187"/>
      <c r="KA18" s="188"/>
      <c r="KB18" s="129" t="str">
        <f>IFERROR((((COUNTIF('Elève (6ème5)'!JY19:KA19,"A"))*4)+((COUNTIF('Elève (6ème5)'!JY19:KA19,"B"))*3)+((COUNTIF('Elève (6ème5)'!JY19:KA19,"C"))*2)+((COUNTIF('Elève (6ème5)'!JY19:KA19,"D"))*1))/(COUNTA(JY19:KA19)),"")</f>
        <v/>
      </c>
      <c r="KC18" s="128" t="str">
        <f t="shared" si="66"/>
        <v/>
      </c>
      <c r="KD18" s="177" t="str">
        <f>IFERROR((((COUNTIF(JO19:JQ19,"A")+COUNTIF(JT19:JV19,"A")+COUNTIF(JY19:KA19,"A"))*4)+((COUNTIF(JO19:JQ19,"B")+COUNTIF(JT19:JV19,"B")+COUNTIF(JY19:KA19,"B"))*3)+((COUNTIF(JO19:JQ19,"C")+COUNTIF(JT19:JV19,"C")+COUNTIF(JY19:KA19,"C"))*2)+((COUNTIF(JO19:JQ19,"D")+COUNTIF(JT19:JV19,"D")+COUNTIF(JY19:KA19,"D"))*1))/(COUNTA(JO19:JQ19)+COUNTA(JT19:JV19)+COUNTA(JY19:KA19)),"")</f>
        <v/>
      </c>
      <c r="KE18" s="130" t="str">
        <f t="shared" si="67"/>
        <v/>
      </c>
      <c r="KF18" s="152"/>
      <c r="KG18" s="190"/>
      <c r="KH18" s="185"/>
      <c r="KI18" s="129" t="str">
        <f>IFERROR((((COUNTIF('Elève (6ème5)'!KF19:KH19,"A"))*4)+((COUNTIF('Elève (6ème5)'!KF19:KH19,"B"))*3)+((COUNTIF('Elève (6ème5)'!KF19:KH19,"C"))*2)+((COUNTIF('Elève (6ème5)'!KF19:KH19,"D"))*1))/(COUNTA(KF19:KH19)),"")</f>
        <v/>
      </c>
      <c r="KJ18" s="107" t="str">
        <f t="shared" si="68"/>
        <v/>
      </c>
      <c r="KK18" s="204"/>
      <c r="KL18" s="186"/>
      <c r="KM18" s="205"/>
      <c r="KN18" s="129" t="str">
        <f>IFERROR((((COUNTIF('Elève (6ème5)'!KK19:KM19,"A"))*4)+((COUNTIF('Elève (6ème5)'!KK19:KM19,"B"))*3)+((COUNTIF('Elève (6ème5)'!KK19:KM19,"C"))*2)+((COUNTIF('Elève (6ème5)'!KK19:KM19,"D"))*1))/(COUNTA(KK19:KM19)),"")</f>
        <v/>
      </c>
      <c r="KO18" s="121" t="str">
        <f t="shared" si="69"/>
        <v/>
      </c>
      <c r="KP18" s="100"/>
      <c r="KQ18" s="187"/>
      <c r="KR18" s="188"/>
      <c r="KS18" s="129" t="str">
        <f>IFERROR((((COUNTIF('Elève (6ème5)'!KP19:KR19,"A"))*4)+((COUNTIF('Elève (6ème5)'!KP19:KR19,"B"))*3)+((COUNTIF('Elève (6ème5)'!KP19:KR19,"C"))*2)+((COUNTIF('Elève (6ème5)'!KP19:KR19,"D"))*1))/(COUNTA(KP19:KR19)),"")</f>
        <v/>
      </c>
      <c r="KT18" s="128" t="str">
        <f t="shared" si="70"/>
        <v/>
      </c>
      <c r="KU18" s="177" t="str">
        <f>IFERROR((((COUNTIF(KF19:KH19,"A")+COUNTIF(KK19:KM19,"A")+COUNTIF(KP19:KR19,"A"))*4)+((COUNTIF(KF19:KH19,"B")+COUNTIF(KK19:KM19,"B")+COUNTIF(KP19:KR19,"B"))*3)+((COUNTIF(KF19:KH19,"C")+COUNTIF(KK19:KM19,"C")+COUNTIF(KP19:KR19,"C"))*2)+((COUNTIF(KF19:KH19,"D")+COUNTIF(KK19:KM19,"D")+COUNTIF(KP19:KR19,"D"))*1))/(COUNTA(KF19:KH19)+COUNTA(KK19:KM19)+COUNTA(KP19:KR19)),"")</f>
        <v/>
      </c>
      <c r="KV18" s="130" t="str">
        <f t="shared" si="71"/>
        <v/>
      </c>
      <c r="KW18" s="152"/>
      <c r="KX18" s="190"/>
      <c r="KY18" s="185"/>
      <c r="KZ18" s="129">
        <f>IFERROR((((COUNTIF('Elève (6ème5)'!KW19:KY19,"A"))*4)+((COUNTIF('Elève (6ème5)'!KW19:KY19,"B"))*3)+((COUNTIF('Elève (6ème5)'!KW19:KY19,"C"))*2)+((COUNTIF('Elève (6ème5)'!KW19:KY19,"D"))*1))/(COUNTA(KW19:KY19)),"")</f>
        <v>4</v>
      </c>
      <c r="LA18" s="107" t="str">
        <f t="shared" si="72"/>
        <v>A</v>
      </c>
      <c r="LB18" s="204"/>
      <c r="LC18" s="186"/>
      <c r="LD18" s="205"/>
      <c r="LE18" s="129" t="str">
        <f>IFERROR((((COUNTIF('Elève (6ème5)'!LB19:LD19,"A"))*4)+((COUNTIF('Elève (6ème5)'!LB19:LD19,"B"))*3)+((COUNTIF('Elève (6ème5)'!LB19:LD19,"C"))*2)+((COUNTIF('Elève (6ème5)'!LB19:LD19,"D"))*1))/(COUNTA(LB19:LD19)),"")</f>
        <v/>
      </c>
      <c r="LF18" s="121" t="str">
        <f t="shared" si="73"/>
        <v/>
      </c>
      <c r="LG18" s="100"/>
      <c r="LH18" s="187"/>
      <c r="LI18" s="188"/>
      <c r="LJ18" s="129" t="str">
        <f>IFERROR((((COUNTIF('Elève (6ème5)'!LG19:LI19,"A"))*4)+((COUNTIF('Elève (6ème5)'!LG19:LI19,"B"))*3)+((COUNTIF('Elève (6ème5)'!LG19:LI19,"C"))*2)+((COUNTIF('Elève (6ème5)'!LG19:LI19,"D"))*1))/(COUNTA(LG19:LI19)),"")</f>
        <v/>
      </c>
      <c r="LK18" s="128" t="str">
        <f t="shared" si="74"/>
        <v/>
      </c>
      <c r="LL18" s="177">
        <f>IFERROR((((COUNTIF(KW19:KY19,"A")+COUNTIF(LB19:LD19,"A")+COUNTIF(LG19:LI19,"A"))*4)+((COUNTIF(KW19:KY19,"B")+COUNTIF(LB19:LD19,"B")+COUNTIF(LG19:LI19,"B"))*3)+((COUNTIF(KW19:KY19,"C")+COUNTIF(LB19:LD19,"C")+COUNTIF(LG19:LI19,"C"))*2)+((COUNTIF(KW19:KY19,"D")+COUNTIF(LB19:LD19,"D")+COUNTIF(LG19:LI19,"D"))*1))/(COUNTA(KW19:KY19)+COUNTA(LB19:LD19)+COUNTA(LG19:LI19)),"")</f>
        <v>4</v>
      </c>
      <c r="LM18" s="130" t="str">
        <f t="shared" si="75"/>
        <v>A</v>
      </c>
      <c r="LN18" s="152"/>
      <c r="LO18" s="190"/>
      <c r="LP18" s="185"/>
      <c r="LQ18" s="129">
        <f>IFERROR((((COUNTIF('Elève (6ème5)'!LN19:LP19,"A"))*4)+((COUNTIF('Elève (6ème5)'!LN19:LP19,"B"))*3)+((COUNTIF('Elève (6ème5)'!LN19:LP19,"C"))*2)+((COUNTIF('Elève (6ème5)'!LN19:LP19,"D"))*1))/(COUNTA(LN19:LP19)),"")</f>
        <v>4</v>
      </c>
      <c r="LR18" s="107" t="str">
        <f t="shared" si="76"/>
        <v>A</v>
      </c>
      <c r="LS18" s="204"/>
      <c r="LT18" s="186"/>
      <c r="LU18" s="205"/>
      <c r="LV18" s="129" t="str">
        <f>IFERROR((((COUNTIF('Elève (6ème5)'!LS19:LU19,"A"))*4)+((COUNTIF('Elève (6ème5)'!LS19:LU19,"B"))*3)+((COUNTIF('Elève (6ème5)'!LS19:LU19,"C"))*2)+((COUNTIF('Elève (6ème5)'!LS19:LU19,"D"))*1))/(COUNTA(LS19:LU19)),"")</f>
        <v/>
      </c>
      <c r="LW18" s="121" t="str">
        <f t="shared" si="77"/>
        <v/>
      </c>
      <c r="LX18" s="100"/>
      <c r="LY18" s="187"/>
      <c r="LZ18" s="188"/>
      <c r="MA18" s="129" t="str">
        <f>IFERROR((((COUNTIF('Elève (6ème5)'!LX19:LZ19,"A"))*4)+((COUNTIF('Elève (6ème5)'!LX19:LZ19,"B"))*3)+((COUNTIF('Elève (6ème5)'!LX19:LZ19,"C"))*2)+((COUNTIF('Elève (6ème5)'!LX19:LZ19,"D"))*1))/(COUNTA(LX19:LZ19)),"")</f>
        <v/>
      </c>
      <c r="MB18" s="128" t="str">
        <f t="shared" si="78"/>
        <v/>
      </c>
      <c r="MC18" s="177">
        <f>IFERROR((((COUNTIF(LN19:LP19,"A")+COUNTIF(LS19:LU19,"A")+COUNTIF(LX19:LZ19,"A"))*4)+((COUNTIF(LN19:LP19,"B")+COUNTIF(LS19:LU19,"B")+COUNTIF(LX19:LZ19,"B"))*3)+((COUNTIF(LN19:LP19,"C")+COUNTIF(LS19:LU19,"C")+COUNTIF(LX19:LZ19,"C"))*2)+((COUNTIF(LN19:LP19,"D")+COUNTIF(LS19:LU19,"D")+COUNTIF(LX19:LZ19,"D"))*1))/(COUNTA(LN19:LP19)+COUNTA(LS19:LU19)+COUNTA(LX19:LZ19)),"")</f>
        <v>4</v>
      </c>
      <c r="MD18" s="130" t="str">
        <f t="shared" si="79"/>
        <v>A</v>
      </c>
      <c r="ME18" s="152"/>
      <c r="MF18" s="190"/>
      <c r="MG18" s="185"/>
      <c r="MH18" s="129">
        <f>IFERROR((((COUNTIF('Elève (6ème5)'!ME19:MG19,"A"))*4)+((COUNTIF('Elève (6ème5)'!ME19:MG19,"B"))*3)+((COUNTIF('Elève (6ème5)'!ME19:MG19,"C"))*2)+((COUNTIF('Elève (6ème5)'!ME19:MG19,"D"))*1))/(COUNTA(ME19:MG19)),"")</f>
        <v>4</v>
      </c>
      <c r="MI18" s="107" t="str">
        <f t="shared" si="80"/>
        <v>A</v>
      </c>
      <c r="MJ18" s="204"/>
      <c r="MK18" s="186"/>
      <c r="ML18" s="205"/>
      <c r="MM18" s="129" t="str">
        <f>IFERROR((((COUNTIF('Elève (6ème5)'!MJ19:ML19,"A"))*4)+((COUNTIF('Elève (6ème5)'!MJ19:ML19,"B"))*3)+((COUNTIF('Elève (6ème5)'!MJ19:ML19,"C"))*2)+((COUNTIF('Elève (6ème5)'!MJ19:ML19,"D"))*1))/(COUNTA(MJ19:ML19)),"")</f>
        <v/>
      </c>
      <c r="MN18" s="121" t="str">
        <f t="shared" si="81"/>
        <v/>
      </c>
      <c r="MO18" s="100"/>
      <c r="MP18" s="187"/>
      <c r="MQ18" s="188"/>
      <c r="MR18" s="129" t="str">
        <f>IFERROR((((COUNTIF('Elève (6ème5)'!MO19:MQ19,"A"))*4)+((COUNTIF('Elève (6ème5)'!MO19:MQ19,"B"))*3)+((COUNTIF('Elève (6ème5)'!MO19:MQ19,"C"))*2)+((COUNTIF('Elève (6ème5)'!MO19:MQ19,"D"))*1))/(COUNTA(MO19:MQ19)),"")</f>
        <v/>
      </c>
      <c r="MS18" s="128" t="str">
        <f t="shared" si="82"/>
        <v/>
      </c>
      <c r="MT18" s="177">
        <f>IFERROR((((COUNTIF(ME19:MG19,"A")+COUNTIF(MJ19:ML19,"A")+COUNTIF(MO19:MQ19,"A"))*4)+((COUNTIF(ME19:MG19,"B")+COUNTIF(MJ19:ML19,"B")+COUNTIF(MO19:MQ19,"B"))*3)+((COUNTIF(ME19:MG19,"C")+COUNTIF(MJ19:ML19,"C")+COUNTIF(MO19:MQ19,"C"))*2)+((COUNTIF(ME19:MG19,"D")+COUNTIF(MJ19:ML19,"D")+COUNTIF(MO19:MQ19,"D"))*1))/(COUNTA(ME19:MG19)+COUNTA(MJ19:ML19)+COUNTA(MO19:MQ19)),"")</f>
        <v>4</v>
      </c>
      <c r="MU18" s="130" t="str">
        <f t="shared" si="83"/>
        <v>A</v>
      </c>
      <c r="MV18" s="152"/>
      <c r="MW18" s="190"/>
      <c r="MX18" s="185"/>
      <c r="MY18" s="129">
        <f>IFERROR((((COUNTIF('Elève (6ème5)'!MV19:MX19,"A"))*4)+((COUNTIF('Elève (6ème5)'!MV19:MX19,"B"))*3)+((COUNTIF('Elève (6ème5)'!MV19:MX19,"C"))*2)+((COUNTIF('Elève (6ème5)'!MV19:MX19,"D"))*1))/(COUNTA(MV19:MX19)),"")</f>
        <v>4</v>
      </c>
      <c r="MZ18" s="107" t="str">
        <f t="shared" si="84"/>
        <v>A</v>
      </c>
      <c r="NA18" s="204"/>
      <c r="NB18" s="186"/>
      <c r="NC18" s="205"/>
      <c r="ND18" s="129" t="str">
        <f>IFERROR((((COUNTIF('Elève (6ème5)'!NA19:NC19,"A"))*4)+((COUNTIF('Elève (6ème5)'!NA19:NC19,"B"))*3)+((COUNTIF('Elève (6ème5)'!NA19:NC19,"C"))*2)+((COUNTIF('Elève (6ème5)'!NA19:NC19,"D"))*1))/(COUNTA(NA19:NC19)),"")</f>
        <v/>
      </c>
      <c r="NE18" s="121" t="str">
        <f t="shared" si="85"/>
        <v/>
      </c>
      <c r="NF18" s="100"/>
      <c r="NG18" s="187"/>
      <c r="NH18" s="188"/>
      <c r="NI18" s="129" t="str">
        <f>IFERROR((((COUNTIF('Elève (6ème5)'!NF19:NH19,"A"))*4)+((COUNTIF('Elève (6ème5)'!NF19:NH19,"B"))*3)+((COUNTIF('Elève (6ème5)'!NF19:NH19,"C"))*2)+((COUNTIF('Elève (6ème5)'!NF19:NH19,"D"))*1))/(COUNTA(NF19:NH19)),"")</f>
        <v/>
      </c>
      <c r="NJ18" s="128" t="str">
        <f t="shared" si="86"/>
        <v/>
      </c>
      <c r="NK18" s="177">
        <f>IFERROR((((COUNTIF(MV19:MX19,"A")+COUNTIF(NA19:NC19,"A")+COUNTIF(NF19:NH19,"A"))*4)+((COUNTIF(MV19:MX19,"B")+COUNTIF(NA19:NC19,"B")+COUNTIF(NF19:NH19,"B"))*3)+((COUNTIF(MV19:MX19,"C")+COUNTIF(NA19:NC19,"C")+COUNTIF(NF19:NH19,"C"))*2)+((COUNTIF(MV19:MX19,"D")+COUNTIF(NA19:NC19,"D")+COUNTIF(NF19:NH19,"D"))*1))/(COUNTA(MV19:MX19)+COUNTA(NA19:NC19)+COUNTA(NF19:NH19)),"")</f>
        <v>4</v>
      </c>
      <c r="NL18" s="130" t="str">
        <f t="shared" si="87"/>
        <v>A</v>
      </c>
      <c r="NM18" s="152"/>
      <c r="NN18" s="190"/>
      <c r="NO18" s="185"/>
      <c r="NP18" s="129" t="str">
        <f>IFERROR((((COUNTIF('Elève (6ème5)'!NM19:NO19,"A"))*4)+((COUNTIF('Elève (6ème5)'!NM19:NO19,"B"))*3)+((COUNTIF('Elève (6ème5)'!NM19:NO19,"C"))*2)+((COUNTIF('Elève (6ème5)'!NM19:NO19,"D"))*1))/(COUNTA(NM19:NO19)),"")</f>
        <v/>
      </c>
      <c r="NQ18" s="107" t="str">
        <f t="shared" si="88"/>
        <v/>
      </c>
      <c r="NR18" s="204"/>
      <c r="NS18" s="186"/>
      <c r="NT18" s="205"/>
      <c r="NU18" s="129" t="str">
        <f>IFERROR((((COUNTIF('Elève (6ème5)'!NR19:NT19,"A"))*4)+((COUNTIF('Elève (6ème5)'!NR19:NT19,"B"))*3)+((COUNTIF('Elève (6ème5)'!NR19:NT19,"C"))*2)+((COUNTIF('Elève (6ème5)'!NR19:NT19,"D"))*1))/(COUNTA(NR19:NT19)),"")</f>
        <v/>
      </c>
      <c r="NV18" s="121" t="str">
        <f t="shared" si="89"/>
        <v/>
      </c>
      <c r="NW18" s="100"/>
      <c r="NX18" s="187"/>
      <c r="NY18" s="188"/>
      <c r="NZ18" s="129" t="str">
        <f>IFERROR((((COUNTIF('Elève (6ème5)'!NW19:NY19,"A"))*4)+((COUNTIF('Elève (6ème5)'!NW19:NY19,"B"))*3)+((COUNTIF('Elève (6ème5)'!NW19:NY19,"C"))*2)+((COUNTIF('Elève (6ème5)'!NW19:NY19,"D"))*1))/(COUNTA(NW19:NY19)),"")</f>
        <v/>
      </c>
      <c r="OA18" s="128" t="str">
        <f t="shared" si="90"/>
        <v/>
      </c>
      <c r="OB18" s="177" t="str">
        <f>IFERROR((((COUNTIF(NM19:NO19,"A")+COUNTIF(NR19:NT19,"A")+COUNTIF(NW19:NY19,"A"))*4)+((COUNTIF(NM19:NO19,"B")+COUNTIF(NR19:NT19,"B")+COUNTIF(NW19:NY19,"B"))*3)+((COUNTIF(NM19:NO19,"C")+COUNTIF(NR19:NT19,"C")+COUNTIF(NW19:NY19,"C"))*2)+((COUNTIF(NM19:NO19,"D")+COUNTIF(NR19:NT19,"D")+COUNTIF(NW19:NY19,"D"))*1))/(COUNTA(NM19:NO19)+COUNTA(NR19:NT19)+COUNTA(NW19:NY19)),"")</f>
        <v/>
      </c>
      <c r="OC18" s="130" t="str">
        <f t="shared" si="91"/>
        <v/>
      </c>
      <c r="OD18" s="152"/>
      <c r="OE18" s="190"/>
      <c r="OF18" s="185"/>
      <c r="OG18" s="129" t="str">
        <f>IFERROR((((COUNTIF('Elève (6ème5)'!OD19:OF19,"A"))*4)+((COUNTIF('Elève (6ème5)'!OD19:OF19,"B"))*3)+((COUNTIF('Elève (6ème5)'!OD19:OF19,"C"))*2)+((COUNTIF('Elève (6ème5)'!OD19:OF19,"D"))*1))/(COUNTA(OD19:OF19)),"")</f>
        <v/>
      </c>
      <c r="OH18" s="107" t="str">
        <f t="shared" si="92"/>
        <v/>
      </c>
      <c r="OI18" s="204"/>
      <c r="OJ18" s="186"/>
      <c r="OK18" s="205"/>
      <c r="OL18" s="129" t="str">
        <f>IFERROR((((COUNTIF('Elève (6ème5)'!OI19:OK19,"A"))*4)+((COUNTIF('Elève (6ème5)'!OI19:OK19,"B"))*3)+((COUNTIF('Elève (6ème5)'!OI19:OK19,"C"))*2)+((COUNTIF('Elève (6ème5)'!OI19:OK19,"D"))*1))/(COUNTA(OI19:OK19)),"")</f>
        <v/>
      </c>
      <c r="OM18" s="121" t="str">
        <f t="shared" si="93"/>
        <v/>
      </c>
      <c r="ON18" s="100"/>
      <c r="OO18" s="187"/>
      <c r="OP18" s="188"/>
      <c r="OQ18" s="129" t="str">
        <f>IFERROR((((COUNTIF('Elève (6ème5)'!ON19:OP19,"A"))*4)+((COUNTIF('Elève (6ème5)'!ON19:OP19,"B"))*3)+((COUNTIF('Elève (6ème5)'!ON19:OP19,"C"))*2)+((COUNTIF('Elève (6ème5)'!ON19:OP19,"D"))*1))/(COUNTA(ON19:OP19)),"")</f>
        <v/>
      </c>
      <c r="OR18" s="128" t="str">
        <f t="shared" si="94"/>
        <v/>
      </c>
      <c r="OS18" s="177" t="str">
        <f>IFERROR((((COUNTIF(OD19:OF19,"A")+COUNTIF(OI19:OK19,"A")+COUNTIF(ON19:OP19,"A"))*4)+((COUNTIF(OD19:OF19,"B")+COUNTIF(OI19:OK19,"B")+COUNTIF(ON19:OP19,"B"))*3)+((COUNTIF(OD19:OF19,"C")+COUNTIF(OI19:OK19,"C")+COUNTIF(ON19:OP19,"C"))*2)+((COUNTIF(OD19:OF19,"D")+COUNTIF(OI19:OK19,"D")+COUNTIF(ON19:OP19,"D"))*1))/(COUNTA(OD19:OF19)+COUNTA(OI19:OK19)+COUNTA(ON19:OP19)),"")</f>
        <v/>
      </c>
      <c r="OT18" s="130" t="str">
        <f t="shared" si="95"/>
        <v/>
      </c>
      <c r="OU18" s="152"/>
      <c r="OV18" s="190"/>
      <c r="OW18" s="185"/>
      <c r="OX18" s="129">
        <f>IFERROR((((COUNTIF('Elève (6ème5)'!OU19:OW19,"A"))*4)+((COUNTIF('Elève (6ème5)'!OU19:OW19,"B"))*3)+((COUNTIF('Elève (6ème5)'!OU19:OW19,"C"))*2)+((COUNTIF('Elève (6ème5)'!OU19:OW19,"D"))*1))/(COUNTA(OU19:OW19)),"")</f>
        <v>4</v>
      </c>
      <c r="OY18" s="107" t="str">
        <f t="shared" si="96"/>
        <v>A</v>
      </c>
      <c r="OZ18" s="204"/>
      <c r="PA18" s="186"/>
      <c r="PB18" s="205"/>
      <c r="PC18" s="129" t="str">
        <f>IFERROR((((COUNTIF('Elève (6ème5)'!OZ19:PB19,"A"))*4)+((COUNTIF('Elève (6ème5)'!OZ19:PB19,"B"))*3)+((COUNTIF('Elève (6ème5)'!OZ19:PB19,"C"))*2)+((COUNTIF('Elève (6ème5)'!OZ19:PB19,"D"))*1))/(COUNTA(OZ19:PB19)),"")</f>
        <v/>
      </c>
      <c r="PD18" s="121" t="str">
        <f t="shared" si="97"/>
        <v/>
      </c>
      <c r="PE18" s="100"/>
      <c r="PF18" s="187"/>
      <c r="PG18" s="188"/>
      <c r="PH18" s="129" t="str">
        <f>IFERROR((((COUNTIF('Elève (6ème5)'!PE19:PG19,"A"))*4)+((COUNTIF('Elève (6ème5)'!PE19:PG19,"B"))*3)+((COUNTIF('Elève (6ème5)'!PE19:PG19,"C"))*2)+((COUNTIF('Elève (6ème5)'!PE19:PG19,"D"))*1))/(COUNTA(PE19:PG19)),"")</f>
        <v/>
      </c>
      <c r="PI18" s="128" t="str">
        <f t="shared" si="98"/>
        <v/>
      </c>
      <c r="PJ18" s="177">
        <f>IFERROR((((COUNTIF(OU19:OW19,"A")+COUNTIF(OZ19:PB19,"A")+COUNTIF(PE19:PG19,"A"))*4)+((COUNTIF(OU19:OW19,"B")+COUNTIF(OZ19:PB19,"B")+COUNTIF(PE19:PG19,"B"))*3)+((COUNTIF(OU19:OW19,"C")+COUNTIF(OZ19:PB19,"C")+COUNTIF(PE19:PG19,"C"))*2)+((COUNTIF(OU19:OW19,"D")+COUNTIF(OZ19:PB19,"D")+COUNTIF(PE19:PG19,"D"))*1))/(COUNTA(OU19:OW19)+COUNTA(OZ19:PB19)+COUNTA(PE19:PG19)),"")</f>
        <v>4</v>
      </c>
      <c r="PK18" s="130" t="str">
        <f t="shared" si="99"/>
        <v>A</v>
      </c>
      <c r="PL18" s="152"/>
      <c r="PM18" s="190"/>
      <c r="PN18" s="185"/>
      <c r="PO18" s="129" t="str">
        <f>IFERROR((((COUNTIF('Elève (6ème5)'!PL19:PN19,"A"))*4)+((COUNTIF('Elève (6ème5)'!PL19:PN19,"B"))*3)+((COUNTIF('Elève (6ème5)'!PL19:PN19,"C"))*2)+((COUNTIF('Elève (6ème5)'!PL19:PN19,"D"))*1))/(COUNTA(PL19:PN19)),"")</f>
        <v/>
      </c>
      <c r="PP18" s="107" t="str">
        <f t="shared" si="100"/>
        <v/>
      </c>
      <c r="PQ18" s="204"/>
      <c r="PR18" s="186"/>
      <c r="PS18" s="205"/>
      <c r="PT18" s="129" t="str">
        <f>IFERROR((((COUNTIF('Elève (6ème5)'!PQ19:PS19,"A"))*4)+((COUNTIF('Elève (6ème5)'!PQ19:PS19,"B"))*3)+((COUNTIF('Elève (6ème5)'!PQ19:PS19,"C"))*2)+((COUNTIF('Elève (6ème5)'!PQ19:PS19,"D"))*1))/(COUNTA(PQ19:PS19)),"")</f>
        <v/>
      </c>
      <c r="PU18" s="121" t="str">
        <f t="shared" si="101"/>
        <v/>
      </c>
      <c r="PV18" s="100"/>
      <c r="PW18" s="187"/>
      <c r="PX18" s="188"/>
      <c r="PY18" s="129" t="str">
        <f>IFERROR((((COUNTIF('Elève (6ème5)'!PV19:PX19,"A"))*4)+((COUNTIF('Elève (6ème5)'!PV19:PX19,"B"))*3)+((COUNTIF('Elève (6ème5)'!PV19:PX19,"C"))*2)+((COUNTIF('Elève (6ème5)'!PV19:PX19,"D"))*1))/(COUNTA(PV19:PX19)),"")</f>
        <v/>
      </c>
      <c r="PZ18" s="128" t="str">
        <f t="shared" si="102"/>
        <v/>
      </c>
      <c r="QA18" s="177" t="str">
        <f>IFERROR((((COUNTIF(PL19:PN19,"A")+COUNTIF(PQ19:PS19,"A")+COUNTIF(PV19:PX19,"A"))*4)+((COUNTIF(PL19:PN19,"B")+COUNTIF(PQ19:PS19,"B")+COUNTIF(PV19:PX19,"B"))*3)+((COUNTIF(PL19:PN19,"C")+COUNTIF(PQ19:PS19,"C")+COUNTIF(PV19:PX19,"C"))*2)+((COUNTIF(PL19:PN19,"D")+COUNTIF(PQ19:PS19,"D")+COUNTIF(PV19:PX19,"D"))*1))/(COUNTA(PL19:PN19)+COUNTA(PQ19:PS19)+COUNTA(PV19:PX19)),"")</f>
        <v/>
      </c>
      <c r="QB18" s="130" t="str">
        <f t="shared" si="103"/>
        <v/>
      </c>
      <c r="QC18" s="152"/>
      <c r="QD18" s="190"/>
      <c r="QE18" s="185"/>
      <c r="QF18" s="129">
        <f>IFERROR((((COUNTIF('Elève (6ème5)'!QC19:QE19,"A"))*4)+((COUNTIF('Elève (6ème5)'!QC19:QE19,"B"))*3)+((COUNTIF('Elève (6ème5)'!QC19:QE19,"C"))*2)+((COUNTIF('Elève (6ème5)'!QC19:QE19,"D"))*1))/(COUNTA(QC19:QE19)),"")</f>
        <v>4</v>
      </c>
      <c r="QG18" s="107" t="str">
        <f t="shared" si="104"/>
        <v>A</v>
      </c>
      <c r="QH18" s="204"/>
      <c r="QI18" s="186"/>
      <c r="QJ18" s="205"/>
      <c r="QK18" s="129" t="str">
        <f>IFERROR((((COUNTIF('Elève (6ème5)'!QH19:QJ19,"A"))*4)+((COUNTIF('Elève (6ème5)'!QH19:QJ19,"B"))*3)+((COUNTIF('Elève (6ème5)'!QH19:QJ19,"C"))*2)+((COUNTIF('Elève (6ème5)'!QH19:QJ19,"D"))*1))/(COUNTA(QH19:QJ19)),"")</f>
        <v/>
      </c>
      <c r="QL18" s="121" t="str">
        <f t="shared" si="105"/>
        <v/>
      </c>
      <c r="QM18" s="100"/>
      <c r="QN18" s="187"/>
      <c r="QO18" s="188"/>
      <c r="QP18" s="129" t="str">
        <f>IFERROR((((COUNTIF('Elève (6ème5)'!QM19:QO19,"A"))*4)+((COUNTIF('Elève (6ème5)'!QM19:QO19,"B"))*3)+((COUNTIF('Elève (6ème5)'!QM19:QO19,"C"))*2)+((COUNTIF('Elève (6ème5)'!QM19:QO19,"D"))*1))/(COUNTA(QM19:QO19)),"")</f>
        <v/>
      </c>
      <c r="QQ18" s="128" t="str">
        <f t="shared" si="106"/>
        <v/>
      </c>
      <c r="QR18" s="177">
        <f>IFERROR((((COUNTIF(QC19:QE19,"A")+COUNTIF(QH19:QJ19,"A")+COUNTIF(QM19:QO19,"A"))*4)+((COUNTIF(QC19:QE19,"B")+COUNTIF(QH19:QJ19,"B")+COUNTIF(QM19:QO19,"B"))*3)+((COUNTIF(QC19:QE19,"C")+COUNTIF(QH19:QJ19,"C")+COUNTIF(QM19:QO19,"C"))*2)+((COUNTIF(QC19:QE19,"D")+COUNTIF(QH19:QJ19,"D")+COUNTIF(QM19:QO19,"D"))*1))/(COUNTA(QC19:QE19)+COUNTA(QH19:QJ19)+COUNTA(QM19:QO19)),"")</f>
        <v>4</v>
      </c>
      <c r="QS18" s="130" t="str">
        <f t="shared" si="107"/>
        <v>A</v>
      </c>
      <c r="QT18" s="152"/>
      <c r="QU18" s="190"/>
      <c r="QV18" s="185"/>
      <c r="QW18" s="129" t="str">
        <f>IFERROR((((COUNTIF('Elève (6ème5)'!QT19:QV19,"A"))*4)+((COUNTIF('Elève (6ème5)'!QT19:QV19,"B"))*3)+((COUNTIF('Elève (6ème5)'!QT19:QV19,"C"))*2)+((COUNTIF('Elève (6ème5)'!QT19:QV19,"D"))*1))/(COUNTA(QT19:QV19)),"")</f>
        <v/>
      </c>
      <c r="QX18" s="107" t="str">
        <f t="shared" si="108"/>
        <v/>
      </c>
      <c r="QY18" s="204"/>
      <c r="QZ18" s="186"/>
      <c r="RA18" s="205"/>
      <c r="RB18" s="129" t="str">
        <f>IFERROR((((COUNTIF('Elève (6ème5)'!QY19:RA19,"A"))*4)+((COUNTIF('Elève (6ème5)'!QY19:RA19,"B"))*3)+((COUNTIF('Elève (6ème5)'!QY19:RA19,"C"))*2)+((COUNTIF('Elève (6ème5)'!QY19:RA19,"D"))*1))/(COUNTA(QY19:RA19)),"")</f>
        <v/>
      </c>
      <c r="RC18" s="121" t="str">
        <f t="shared" si="109"/>
        <v/>
      </c>
      <c r="RD18" s="100"/>
      <c r="RE18" s="187"/>
      <c r="RF18" s="188"/>
      <c r="RG18" s="129" t="str">
        <f>IFERROR((((COUNTIF('Elève (6ème5)'!RD19:RF19,"A"))*4)+((COUNTIF('Elève (6ème5)'!RD19:RF19,"B"))*3)+((COUNTIF('Elève (6ème5)'!RD19:RF19,"C"))*2)+((COUNTIF('Elève (6ème5)'!RD19:RF19,"D"))*1))/(COUNTA(RD19:RF19)),"")</f>
        <v/>
      </c>
      <c r="RH18" s="128" t="str">
        <f t="shared" si="110"/>
        <v/>
      </c>
      <c r="RI18" s="177" t="str">
        <f>IFERROR((((COUNTIF(QT19:QV19,"A")+COUNTIF(QY19:RA19,"A")+COUNTIF(RD19:RF19,"A"))*4)+((COUNTIF(QT19:QV19,"B")+COUNTIF(QY19:RA19,"B")+COUNTIF(RD19:RF19,"B"))*3)+((COUNTIF(QT19:QV19,"C")+COUNTIF(QY19:RA19,"C")+COUNTIF(RD19:RF19,"C"))*2)+((COUNTIF(QT19:QV19,"D")+COUNTIF(QY19:RA19,"D")+COUNTIF(RD19:RF19,"D"))*1))/(COUNTA(QT19:QV19)+COUNTA(QY19:RA19)+COUNTA(RD19:RF19)),"")</f>
        <v/>
      </c>
      <c r="RJ18" s="130" t="str">
        <f t="shared" si="111"/>
        <v/>
      </c>
      <c r="RK18" s="152"/>
      <c r="RL18" s="190"/>
      <c r="RM18" s="185"/>
      <c r="RN18" s="129" t="str">
        <f>IFERROR((((COUNTIF('Elève (6ème5)'!RK19:RM19,"A"))*4)+((COUNTIF('Elève (6ème5)'!RK19:RM19,"B"))*3)+((COUNTIF('Elève (6ème5)'!RK19:RM19,"C"))*2)+((COUNTIF('Elève (6ème5)'!RK19:RM19,"D"))*1))/(COUNTA(RK19:RM19)),"")</f>
        <v/>
      </c>
      <c r="RO18" s="107" t="str">
        <f t="shared" si="112"/>
        <v/>
      </c>
      <c r="RP18" s="204"/>
      <c r="RQ18" s="186"/>
      <c r="RR18" s="205"/>
      <c r="RS18" s="129" t="str">
        <f>IFERROR((((COUNTIF('Elève (6ème5)'!RP19:RR19,"A"))*4)+((COUNTIF('Elève (6ème5)'!RP19:RR19,"B"))*3)+((COUNTIF('Elève (6ème5)'!RP19:RR19,"C"))*2)+((COUNTIF('Elève (6ème5)'!RP19:RR19,"D"))*1))/(COUNTA(RP19:RR19)),"")</f>
        <v/>
      </c>
      <c r="RT18" s="121" t="str">
        <f t="shared" si="113"/>
        <v/>
      </c>
      <c r="RU18" s="100"/>
      <c r="RV18" s="187"/>
      <c r="RW18" s="188"/>
      <c r="RX18" s="129" t="str">
        <f>IFERROR((((COUNTIF('Elève (6ème5)'!RU19:RW19,"A"))*4)+((COUNTIF('Elève (6ème5)'!RU19:RW19,"B"))*3)+((COUNTIF('Elève (6ème5)'!RU19:RW19,"C"))*2)+((COUNTIF('Elève (6ème5)'!RU19:RW19,"D"))*1))/(COUNTA(RU19:RW19)),"")</f>
        <v/>
      </c>
      <c r="RY18" s="128" t="str">
        <f t="shared" si="114"/>
        <v/>
      </c>
      <c r="RZ18" s="177" t="str">
        <f>IFERROR((((COUNTIF(RK19:RM19,"A")+COUNTIF(RP19:RR19,"A")+COUNTIF(RU19:RW19,"A"))*4)+((COUNTIF(RK19:RM19,"B")+COUNTIF(RP19:RR19,"B")+COUNTIF(RU19:RW19,"B"))*3)+((COUNTIF(RK19:RM19,"C")+COUNTIF(RP19:RR19,"C")+COUNTIF(RU19:RW19,"C"))*2)+((COUNTIF(RK19:RM19,"D")+COUNTIF(RP19:RR19,"D")+COUNTIF(RU19:RW19,"D"))*1))/(COUNTA(RK19:RM19)+COUNTA(RP19:RR19)+COUNTA(RU19:RW19)),"")</f>
        <v/>
      </c>
      <c r="SA18" s="130" t="str">
        <f t="shared" si="115"/>
        <v/>
      </c>
      <c r="SB18" s="152"/>
      <c r="SC18" s="190"/>
      <c r="SD18" s="185"/>
      <c r="SE18" s="129" t="str">
        <f>IFERROR((((COUNTIF('Elève (6ème5)'!SB19:SD19,"A"))*4)+((COUNTIF('Elève (6ème5)'!SB19:SD19,"B"))*3)+((COUNTIF('Elève (6ème5)'!SB19:SD19,"C"))*2)+((COUNTIF('Elève (6ème5)'!SB19:SD19,"D"))*1))/(COUNTA(SB19:SD19)),"")</f>
        <v/>
      </c>
      <c r="SF18" s="107" t="str">
        <f t="shared" si="116"/>
        <v/>
      </c>
      <c r="SG18" s="204"/>
      <c r="SH18" s="186"/>
      <c r="SI18" s="205"/>
      <c r="SJ18" s="129" t="str">
        <f>IFERROR((((COUNTIF('Elève (6ème5)'!SG19:SI19,"A"))*4)+((COUNTIF('Elève (6ème5)'!SG19:SI19,"B"))*3)+((COUNTIF('Elève (6ème5)'!SG19:SI19,"C"))*2)+((COUNTIF('Elève (6ème5)'!SG19:SI19,"D"))*1))/(COUNTA(SG19:SI19)),"")</f>
        <v/>
      </c>
      <c r="SK18" s="121" t="str">
        <f t="shared" si="117"/>
        <v/>
      </c>
      <c r="SL18" s="100"/>
      <c r="SM18" s="187"/>
      <c r="SN18" s="188"/>
      <c r="SO18" s="129" t="str">
        <f>IFERROR((((COUNTIF('Elève (6ème5)'!SL19:SN19,"A"))*4)+((COUNTIF('Elève (6ème5)'!SL19:SN19,"B"))*3)+((COUNTIF('Elève (6ème5)'!SL19:SN19,"C"))*2)+((COUNTIF('Elève (6ème5)'!SL19:SN19,"D"))*1))/(COUNTA(SL19:SN19)),"")</f>
        <v/>
      </c>
      <c r="SP18" s="128" t="str">
        <f t="shared" si="118"/>
        <v/>
      </c>
      <c r="SQ18" s="177" t="str">
        <f>IFERROR((((COUNTIF(SB19:SD19,"A")+COUNTIF(SG19:SI19,"A")+COUNTIF(SL19:SN19,"A"))*4)+((COUNTIF(SB19:SD19,"B")+COUNTIF(SG19:SI19,"B")+COUNTIF(SL19:SN19,"B"))*3)+((COUNTIF(SB19:SD19,"C")+COUNTIF(SG19:SI19,"C")+COUNTIF(SL19:SN19,"C"))*2)+((COUNTIF(SB19:SD19,"D")+COUNTIF(SG19:SI19,"D")+COUNTIF(SL19:SN19,"D"))*1))/(COUNTA(SB19:SD19)+COUNTA(SG19:SI19)+COUNTA(SL19:SN19)),"")</f>
        <v/>
      </c>
      <c r="SR18" s="130" t="str">
        <f t="shared" si="119"/>
        <v/>
      </c>
    </row>
    <row r="19" spans="1:512" s="72" customFormat="1" ht="18" customHeight="1" thickBot="1" x14ac:dyDescent="0.3">
      <c r="A19" s="236" t="s">
        <v>22</v>
      </c>
      <c r="B19" s="237"/>
      <c r="C19" s="164" t="s">
        <v>24</v>
      </c>
      <c r="D19" s="165"/>
      <c r="E19" s="163"/>
      <c r="F19" s="114">
        <f>IFERROR((((COUNTIF('Elève (6ème5)'!C19:E19,"A"))*4)+((COUNTIF('Elève (6ème5)'!C19:E19,"B"))*3)+((COUNTIF('Elève (6ème5)'!C19:E19,"C"))*2)+((COUNTIF('Elève (6ème5)'!C19:E19,"D"))*1))/(COUNTA(C19:E19)),"")</f>
        <v>4</v>
      </c>
      <c r="G19" s="115" t="str">
        <f t="shared" si="0"/>
        <v>A</v>
      </c>
      <c r="H19" s="166"/>
      <c r="I19" s="90"/>
      <c r="J19" s="138"/>
      <c r="K19" s="114" t="str">
        <f>IFERROR((((COUNTIF('Elève (6ème5)'!H19:J19,"A"))*4)+((COUNTIF('Elève (6ème5)'!H19:J19,"B"))*3)+((COUNTIF('Elève (6ème5)'!H19:J19,"C"))*2)+((COUNTIF('Elève (6ème5)'!H19:J19,"D"))*1))/(COUNTA(H19:J19)),"")</f>
        <v/>
      </c>
      <c r="L19" s="115" t="str">
        <f t="shared" si="1"/>
        <v/>
      </c>
      <c r="M19" s="89"/>
      <c r="N19" s="90"/>
      <c r="O19" s="138"/>
      <c r="P19" s="114" t="str">
        <f>IFERROR((((COUNTIF('Elève (6ème5)'!M19:O19,"A"))*4)+((COUNTIF('Elève (6ème5)'!M19:O19,"B"))*3)+((COUNTIF('Elève (6ème5)'!M19:O19,"C"))*2)+((COUNTIF('Elève (6ème5)'!M19:O19,"D"))*1))/(COUNTA(M19:O19)),"")</f>
        <v/>
      </c>
      <c r="Q19" s="115" t="str">
        <f t="shared" si="2"/>
        <v/>
      </c>
      <c r="R19" s="181">
        <f>IF(COUNT(F19,K19,P19)=0,"",SUM(F19,K19,P19)/COUNT(F19,K19,P19))</f>
        <v>4</v>
      </c>
      <c r="S19" s="140" t="str">
        <f t="shared" si="3"/>
        <v>A</v>
      </c>
      <c r="T19" s="164" t="s">
        <v>24</v>
      </c>
      <c r="U19" s="165"/>
      <c r="V19" s="163"/>
      <c r="W19" s="114">
        <f>IFERROR((((COUNTIF('Elève (6ème5)'!T19:V19,"A"))*4)+((COUNTIF('Elève (6ème5)'!T19:V19,"B"))*3)+((COUNTIF('Elève (6ème5)'!T19:V19,"C"))*2)+((COUNTIF('Elève (6ème5)'!T19:V19,"D"))*1))/(COUNTA(T19:V19)),"")</f>
        <v>4</v>
      </c>
      <c r="X19" s="115" t="str">
        <f t="shared" si="4"/>
        <v>A</v>
      </c>
      <c r="Y19" s="166"/>
      <c r="Z19" s="90"/>
      <c r="AA19" s="138"/>
      <c r="AB19" s="114" t="str">
        <f>IFERROR((((COUNTIF('Elève (6ème5)'!Y19:AA19,"A"))*4)+((COUNTIF('Elève (6ème5)'!Y19:AA19,"B"))*3)+((COUNTIF('Elève (6ème5)'!Y19:AA19,"C"))*2)+((COUNTIF('Elève (6ème5)'!Y19:AA19,"D"))*1))/(COUNTA(Y19:AA19)),"")</f>
        <v/>
      </c>
      <c r="AC19" s="115" t="str">
        <f t="shared" si="5"/>
        <v/>
      </c>
      <c r="AD19" s="89"/>
      <c r="AE19" s="90"/>
      <c r="AF19" s="138"/>
      <c r="AG19" s="114" t="str">
        <f>IFERROR((((COUNTIF('Elève (6ème5)'!AD19:AF19,"A"))*4)+((COUNTIF('Elève (6ème5)'!AD19:AF19,"B"))*3)+((COUNTIF('Elève (6ème5)'!AD19:AF19,"C"))*2)+((COUNTIF('Elève (6ème5)'!AD19:AF19,"D"))*1))/(COUNTA(AD19:AF19)),"")</f>
        <v/>
      </c>
      <c r="AH19" s="115" t="str">
        <f t="shared" si="6"/>
        <v/>
      </c>
      <c r="AI19" s="181">
        <f>IF(COUNT(W19,AB19,AG19)=0,"",SUM(W19,AB19,AG19)/COUNT(W19,AB19,AG19))</f>
        <v>4</v>
      </c>
      <c r="AJ19" s="140" t="str">
        <f t="shared" si="7"/>
        <v>A</v>
      </c>
      <c r="AK19" s="164" t="s">
        <v>24</v>
      </c>
      <c r="AL19" s="165"/>
      <c r="AM19" s="163"/>
      <c r="AN19" s="114">
        <f>IFERROR((((COUNTIF('Elève (6ème5)'!AK19:AM19,"A"))*4)+((COUNTIF('Elève (6ème5)'!AK19:AM19,"B"))*3)+((COUNTIF('Elève (6ème5)'!AK19:AM19,"C"))*2)+((COUNTIF('Elève (6ème5)'!AK19:AM19,"D"))*1))/(COUNTA(AK19:AM19)),"")</f>
        <v>4</v>
      </c>
      <c r="AO19" s="115" t="str">
        <f t="shared" si="8"/>
        <v>A</v>
      </c>
      <c r="AP19" s="166"/>
      <c r="AQ19" s="90"/>
      <c r="AR19" s="138"/>
      <c r="AS19" s="114" t="str">
        <f>IFERROR((((COUNTIF('Elève (6ème5)'!AP19:AR19,"A"))*4)+((COUNTIF('Elève (6ème5)'!AP19:AR19,"B"))*3)+((COUNTIF('Elève (6ème5)'!AP19:AR19,"C"))*2)+((COUNTIF('Elève (6ème5)'!AP19:AR19,"D"))*1))/(COUNTA(AP19:AR19)),"")</f>
        <v/>
      </c>
      <c r="AT19" s="115" t="str">
        <f t="shared" si="9"/>
        <v/>
      </c>
      <c r="AU19" s="89"/>
      <c r="AV19" s="90"/>
      <c r="AW19" s="138"/>
      <c r="AX19" s="114" t="str">
        <f>IFERROR((((COUNTIF('Elève (6ème5)'!AU19:AW19,"A"))*4)+((COUNTIF('Elève (6ème5)'!AU19:AW19,"B"))*3)+((COUNTIF('Elève (6ème5)'!AU19:AW19,"C"))*2)+((COUNTIF('Elève (6ème5)'!AU19:AW19,"D"))*1))/(COUNTA(AU19:AW19)),"")</f>
        <v/>
      </c>
      <c r="AY19" s="115" t="str">
        <f t="shared" si="10"/>
        <v/>
      </c>
      <c r="AZ19" s="181">
        <f>IF(COUNT(AN19,AS19,AX19)=0,"",SUM(AN19,AS19,AX19)/COUNT(AN19,AS19,AX19))</f>
        <v>4</v>
      </c>
      <c r="BA19" s="140" t="str">
        <f t="shared" si="11"/>
        <v>A</v>
      </c>
      <c r="BB19" s="164" t="s">
        <v>24</v>
      </c>
      <c r="BC19" s="165"/>
      <c r="BD19" s="163"/>
      <c r="BE19" s="114">
        <f>IFERROR((((COUNTIF('Elève (6ème5)'!BB19:BD19,"A"))*4)+((COUNTIF('Elève (6ème5)'!BB19:BD19,"B"))*3)+((COUNTIF('Elève (6ème5)'!BB19:BD19,"C"))*2)+((COUNTIF('Elève (6ème5)'!BB19:BD19,"D"))*1))/(COUNTA(BB19:BD19)),"")</f>
        <v>4</v>
      </c>
      <c r="BF19" s="115" t="str">
        <f t="shared" si="12"/>
        <v>A</v>
      </c>
      <c r="BG19" s="166"/>
      <c r="BH19" s="90"/>
      <c r="BI19" s="138"/>
      <c r="BJ19" s="114" t="str">
        <f>IFERROR((((COUNTIF('Elève (6ème5)'!BG19:BI19,"A"))*4)+((COUNTIF('Elève (6ème5)'!BG19:BI19,"B"))*3)+((COUNTIF('Elève (6ème5)'!BG19:BI19,"C"))*2)+((COUNTIF('Elève (6ème5)'!BG19:BI19,"D"))*1))/(COUNTA(BG19:BI19)),"")</f>
        <v/>
      </c>
      <c r="BK19" s="115" t="str">
        <f t="shared" si="13"/>
        <v/>
      </c>
      <c r="BL19" s="89"/>
      <c r="BM19" s="90"/>
      <c r="BN19" s="138"/>
      <c r="BO19" s="114" t="str">
        <f>IFERROR((((COUNTIF('Elève (6ème5)'!BL19:BN19,"A"))*4)+((COUNTIF('Elève (6ème5)'!BL19:BN19,"B"))*3)+((COUNTIF('Elève (6ème5)'!BL19:BN19,"C"))*2)+((COUNTIF('Elève (6ème5)'!BL19:BN19,"D"))*1))/(COUNTA(BL19:BN19)),"")</f>
        <v/>
      </c>
      <c r="BP19" s="115" t="str">
        <f t="shared" si="14"/>
        <v/>
      </c>
      <c r="BQ19" s="181">
        <f>IF(COUNT(BE19,BJ19,BO19)=0,"",SUM(BE19,BJ19,BO19)/COUNT(BE19,BJ19,BO19))</f>
        <v>4</v>
      </c>
      <c r="BR19" s="140" t="str">
        <f t="shared" si="15"/>
        <v>A</v>
      </c>
      <c r="BS19" s="164" t="s">
        <v>24</v>
      </c>
      <c r="BT19" s="165"/>
      <c r="BU19" s="163"/>
      <c r="BV19" s="114">
        <f>IFERROR((((COUNTIF('Elève (6ème5)'!BS19:BU19,"A"))*4)+((COUNTIF('Elève (6ème5)'!BS19:BU19,"B"))*3)+((COUNTIF('Elève (6ème5)'!BS19:BU19,"C"))*2)+((COUNTIF('Elève (6ème5)'!BS19:BU19,"D"))*1))/(COUNTA(BS19:BU19)),"")</f>
        <v>4</v>
      </c>
      <c r="BW19" s="115" t="str">
        <f t="shared" si="16"/>
        <v>A</v>
      </c>
      <c r="BX19" s="166"/>
      <c r="BY19" s="90"/>
      <c r="BZ19" s="138"/>
      <c r="CA19" s="114" t="str">
        <f>IFERROR((((COUNTIF('Elève (6ème5)'!BX19:BZ19,"A"))*4)+((COUNTIF('Elève (6ème5)'!BX19:BZ19,"B"))*3)+((COUNTIF('Elève (6ème5)'!BX19:BZ19,"C"))*2)+((COUNTIF('Elève (6ème5)'!BX19:BZ19,"D"))*1))/(COUNTA(BX19:BZ19)),"")</f>
        <v/>
      </c>
      <c r="CB19" s="115" t="str">
        <f t="shared" si="17"/>
        <v/>
      </c>
      <c r="CC19" s="89"/>
      <c r="CD19" s="90"/>
      <c r="CE19" s="138"/>
      <c r="CF19" s="114" t="str">
        <f>IFERROR((((COUNTIF('Elève (6ème5)'!CC19:CE19,"A"))*4)+((COUNTIF('Elève (6ème5)'!CC19:CE19,"B"))*3)+((COUNTIF('Elève (6ème5)'!CC19:CE19,"C"))*2)+((COUNTIF('Elève (6ème5)'!CC19:CE19,"D"))*1))/(COUNTA(CC19:CE19)),"")</f>
        <v/>
      </c>
      <c r="CG19" s="115" t="str">
        <f t="shared" si="18"/>
        <v/>
      </c>
      <c r="CH19" s="181">
        <f>IF(COUNT(BV19,CA19,CF19)=0,"",SUM(BV19,CA19,CF19)/COUNT(BV19,CA19,CF19))</f>
        <v>4</v>
      </c>
      <c r="CI19" s="140" t="str">
        <f t="shared" si="19"/>
        <v>A</v>
      </c>
      <c r="CJ19" s="164" t="s">
        <v>24</v>
      </c>
      <c r="CK19" s="165"/>
      <c r="CL19" s="163"/>
      <c r="CM19" s="114">
        <f>IFERROR((((COUNTIF('Elève (6ème5)'!CJ19:CL19,"A"))*4)+((COUNTIF('Elève (6ème5)'!CJ19:CL19,"B"))*3)+((COUNTIF('Elève (6ème5)'!CJ19:CL19,"C"))*2)+((COUNTIF('Elève (6ème5)'!CJ19:CL19,"D"))*1))/(COUNTA(CJ19:CL19)),"")</f>
        <v>4</v>
      </c>
      <c r="CN19" s="115" t="str">
        <f t="shared" si="20"/>
        <v>A</v>
      </c>
      <c r="CO19" s="166"/>
      <c r="CP19" s="90"/>
      <c r="CQ19" s="138"/>
      <c r="CR19" s="114" t="str">
        <f>IFERROR((((COUNTIF('Elève (6ème5)'!CO19:CQ19,"A"))*4)+((COUNTIF('Elève (6ème5)'!CO19:CQ19,"B"))*3)+((COUNTIF('Elève (6ème5)'!CO19:CQ19,"C"))*2)+((COUNTIF('Elève (6ème5)'!CO19:CQ19,"D"))*1))/(COUNTA(CO19:CQ19)),"")</f>
        <v/>
      </c>
      <c r="CS19" s="115" t="str">
        <f t="shared" si="21"/>
        <v/>
      </c>
      <c r="CT19" s="89"/>
      <c r="CU19" s="90"/>
      <c r="CV19" s="138"/>
      <c r="CW19" s="114" t="str">
        <f>IFERROR((((COUNTIF('Elève (6ème5)'!CT19:CV19,"A"))*4)+((COUNTIF('Elève (6ème5)'!CT19:CV19,"B"))*3)+((COUNTIF('Elève (6ème5)'!CT19:CV19,"C"))*2)+((COUNTIF('Elève (6ème5)'!CT19:CV19,"D"))*1))/(COUNTA(CT19:CV19)),"")</f>
        <v/>
      </c>
      <c r="CX19" s="115" t="str">
        <f t="shared" si="22"/>
        <v/>
      </c>
      <c r="CY19" s="181">
        <f>IF(COUNT(CM19,CR19,CW19)=0,"",SUM(CM19,CR19,CW19)/COUNT(CM19,CR19,CW19))</f>
        <v>4</v>
      </c>
      <c r="CZ19" s="140" t="str">
        <f t="shared" si="23"/>
        <v>A</v>
      </c>
      <c r="DA19" s="164" t="s">
        <v>24</v>
      </c>
      <c r="DB19" s="165"/>
      <c r="DC19" s="163"/>
      <c r="DD19" s="114">
        <f>IFERROR((((COUNTIF('Elève (6ème5)'!DA19:DC19,"A"))*4)+((COUNTIF('Elève (6ème5)'!DA19:DC19,"B"))*3)+((COUNTIF('Elève (6ème5)'!DA19:DC19,"C"))*2)+((COUNTIF('Elève (6ème5)'!DA19:DC19,"D"))*1))/(COUNTA(DA19:DC19)),"")</f>
        <v>4</v>
      </c>
      <c r="DE19" s="115" t="str">
        <f t="shared" si="24"/>
        <v>A</v>
      </c>
      <c r="DF19" s="166"/>
      <c r="DG19" s="90"/>
      <c r="DH19" s="138"/>
      <c r="DI19" s="114" t="str">
        <f>IFERROR((((COUNTIF('Elève (6ème5)'!DF19:DH19,"A"))*4)+((COUNTIF('Elève (6ème5)'!DF19:DH19,"B"))*3)+((COUNTIF('Elève (6ème5)'!DF19:DH19,"C"))*2)+((COUNTIF('Elève (6ème5)'!DF19:DH19,"D"))*1))/(COUNTA(DF19:DH19)),"")</f>
        <v/>
      </c>
      <c r="DJ19" s="115" t="str">
        <f t="shared" si="25"/>
        <v/>
      </c>
      <c r="DK19" s="89"/>
      <c r="DL19" s="90"/>
      <c r="DM19" s="138"/>
      <c r="DN19" s="114" t="str">
        <f>IFERROR((((COUNTIF('Elève (6ème5)'!DK19:DM19,"A"))*4)+((COUNTIF('Elève (6ème5)'!DK19:DM19,"B"))*3)+((COUNTIF('Elève (6ème5)'!DK19:DM19,"C"))*2)+((COUNTIF('Elève (6ème5)'!DK19:DM19,"D"))*1))/(COUNTA(DK19:DM19)),"")</f>
        <v/>
      </c>
      <c r="DO19" s="115" t="str">
        <f t="shared" si="26"/>
        <v/>
      </c>
      <c r="DP19" s="181">
        <f>IF(COUNT(DD19,DI19,DN19)=0,"",SUM(DD19,DI19,DN19)/COUNT(DD19,DI19,DN19))</f>
        <v>4</v>
      </c>
      <c r="DQ19" s="140" t="str">
        <f t="shared" si="27"/>
        <v>A</v>
      </c>
      <c r="DR19" s="164" t="s">
        <v>24</v>
      </c>
      <c r="DS19" s="165"/>
      <c r="DT19" s="163"/>
      <c r="DU19" s="114">
        <f>IFERROR((((COUNTIF('Elève (6ème5)'!DR19:DT19,"A"))*4)+((COUNTIF('Elève (6ème5)'!DR19:DT19,"B"))*3)+((COUNTIF('Elève (6ème5)'!DR19:DT19,"C"))*2)+((COUNTIF('Elève (6ème5)'!DR19:DT19,"D"))*1))/(COUNTA(DR19:DT19)),"")</f>
        <v>4</v>
      </c>
      <c r="DV19" s="115" t="str">
        <f t="shared" si="28"/>
        <v>A</v>
      </c>
      <c r="DW19" s="166"/>
      <c r="DX19" s="90"/>
      <c r="DY19" s="138"/>
      <c r="DZ19" s="114" t="str">
        <f>IFERROR((((COUNTIF('Elève (6ème5)'!DW19:DY19,"A"))*4)+((COUNTIF('Elève (6ème5)'!DW19:DY19,"B"))*3)+((COUNTIF('Elève (6ème5)'!DW19:DY19,"C"))*2)+((COUNTIF('Elève (6ème5)'!DW19:DY19,"D"))*1))/(COUNTA(DW19:DY19)),"")</f>
        <v/>
      </c>
      <c r="EA19" s="115" t="str">
        <f t="shared" si="29"/>
        <v/>
      </c>
      <c r="EB19" s="89"/>
      <c r="EC19" s="90"/>
      <c r="ED19" s="138"/>
      <c r="EE19" s="114" t="str">
        <f>IFERROR((((COUNTIF('Elève (6ème5)'!EB19:ED19,"A"))*4)+((COUNTIF('Elève (6ème5)'!EB19:ED19,"B"))*3)+((COUNTIF('Elève (6ème5)'!EB19:ED19,"C"))*2)+((COUNTIF('Elève (6ème5)'!EB19:ED19,"D"))*1))/(COUNTA(EB19:ED19)),"")</f>
        <v/>
      </c>
      <c r="EF19" s="115" t="str">
        <f t="shared" si="30"/>
        <v/>
      </c>
      <c r="EG19" s="181">
        <f>IF(COUNT(DU19,DZ19,EE19)=0,"",SUM(DU19,DZ19,EE19)/COUNT(DU19,DZ19,EE19))</f>
        <v>4</v>
      </c>
      <c r="EH19" s="140" t="str">
        <f t="shared" si="31"/>
        <v>A</v>
      </c>
      <c r="EI19" s="164" t="s">
        <v>24</v>
      </c>
      <c r="EJ19" s="165"/>
      <c r="EK19" s="163"/>
      <c r="EL19" s="114">
        <f>IFERROR((((COUNTIF('Elève (6ème5)'!EI19:EK19,"A"))*4)+((COUNTIF('Elève (6ème5)'!EI19:EK19,"B"))*3)+((COUNTIF('Elève (6ème5)'!EI19:EK19,"C"))*2)+((COUNTIF('Elève (6ème5)'!EI19:EK19,"D"))*1))/(COUNTA(EI19:EK19)),"")</f>
        <v>4</v>
      </c>
      <c r="EM19" s="115" t="str">
        <f t="shared" si="32"/>
        <v>A</v>
      </c>
      <c r="EN19" s="166"/>
      <c r="EO19" s="90"/>
      <c r="EP19" s="138"/>
      <c r="EQ19" s="114" t="str">
        <f>IFERROR((((COUNTIF('Elève (6ème5)'!EN19:EP19,"A"))*4)+((COUNTIF('Elève (6ème5)'!EN19:EP19,"B"))*3)+((COUNTIF('Elève (6ème5)'!EN19:EP19,"C"))*2)+((COUNTIF('Elève (6ème5)'!EN19:EP19,"D"))*1))/(COUNTA(EN19:EP19)),"")</f>
        <v/>
      </c>
      <c r="ER19" s="115" t="str">
        <f t="shared" si="33"/>
        <v/>
      </c>
      <c r="ES19" s="89"/>
      <c r="ET19" s="90"/>
      <c r="EU19" s="138"/>
      <c r="EV19" s="114" t="str">
        <f>IFERROR((((COUNTIF('Elève (6ème5)'!ES19:EU19,"A"))*4)+((COUNTIF('Elève (6ème5)'!ES19:EU19,"B"))*3)+((COUNTIF('Elève (6ème5)'!ES19:EU19,"C"))*2)+((COUNTIF('Elève (6ème5)'!ES19:EU19,"D"))*1))/(COUNTA(ES19:EU19)),"")</f>
        <v/>
      </c>
      <c r="EW19" s="115" t="str">
        <f t="shared" si="34"/>
        <v/>
      </c>
      <c r="EX19" s="181">
        <f>IF(COUNT(EL19,EQ19,EV19)=0,"",SUM(EL19,EQ19,EV19)/COUNT(EL19,EQ19,EV19))</f>
        <v>4</v>
      </c>
      <c r="EY19" s="140" t="str">
        <f t="shared" si="35"/>
        <v>A</v>
      </c>
      <c r="EZ19" s="164" t="s">
        <v>24</v>
      </c>
      <c r="FA19" s="165"/>
      <c r="FB19" s="163"/>
      <c r="FC19" s="114">
        <f>IFERROR((((COUNTIF('Elève (6ème5)'!EZ19:FB19,"A"))*4)+((COUNTIF('Elève (6ème5)'!EZ19:FB19,"B"))*3)+((COUNTIF('Elève (6ème5)'!EZ19:FB19,"C"))*2)+((COUNTIF('Elève (6ème5)'!EZ19:FB19,"D"))*1))/(COUNTA(EZ19:FB19)),"")</f>
        <v>4</v>
      </c>
      <c r="FD19" s="115" t="str">
        <f t="shared" si="36"/>
        <v>A</v>
      </c>
      <c r="FE19" s="166"/>
      <c r="FF19" s="90"/>
      <c r="FG19" s="138"/>
      <c r="FH19" s="114" t="str">
        <f>IFERROR((((COUNTIF('Elève (6ème5)'!FE19:FG19,"A"))*4)+((COUNTIF('Elève (6ème5)'!FE19:FG19,"B"))*3)+((COUNTIF('Elève (6ème5)'!FE19:FG19,"C"))*2)+((COUNTIF('Elève (6ème5)'!FE19:FG19,"D"))*1))/(COUNTA(FE19:FG19)),"")</f>
        <v/>
      </c>
      <c r="FI19" s="115" t="str">
        <f t="shared" si="37"/>
        <v/>
      </c>
      <c r="FJ19" s="89"/>
      <c r="FK19" s="90"/>
      <c r="FL19" s="138"/>
      <c r="FM19" s="114" t="str">
        <f>IFERROR((((COUNTIF('Elève (6ème5)'!FJ19:FL19,"A"))*4)+((COUNTIF('Elève (6ème5)'!FJ19:FL19,"B"))*3)+((COUNTIF('Elève (6ème5)'!FJ19:FL19,"C"))*2)+((COUNTIF('Elève (6ème5)'!FJ19:FL19,"D"))*1))/(COUNTA(FJ19:FL19)),"")</f>
        <v/>
      </c>
      <c r="FN19" s="115" t="str">
        <f t="shared" si="38"/>
        <v/>
      </c>
      <c r="FO19" s="181">
        <f>IF(COUNT(FC19,FH19,FM19)=0,"",SUM(FC19,FH19,FM19)/COUNT(FC19,FH19,FM19))</f>
        <v>4</v>
      </c>
      <c r="FP19" s="140" t="str">
        <f t="shared" si="39"/>
        <v>A</v>
      </c>
      <c r="FQ19" s="164" t="s">
        <v>24</v>
      </c>
      <c r="FR19" s="165"/>
      <c r="FS19" s="163"/>
      <c r="FT19" s="114">
        <f>IFERROR((((COUNTIF('Elève (6ème5)'!FQ19:FS19,"A"))*4)+((COUNTIF('Elève (6ème5)'!FQ19:FS19,"B"))*3)+((COUNTIF('Elève (6ème5)'!FQ19:FS19,"C"))*2)+((COUNTIF('Elève (6ème5)'!FQ19:FS19,"D"))*1))/(COUNTA(FQ19:FS19)),"")</f>
        <v>4</v>
      </c>
      <c r="FU19" s="115" t="str">
        <f t="shared" si="40"/>
        <v>A</v>
      </c>
      <c r="FV19" s="166"/>
      <c r="FW19" s="90"/>
      <c r="FX19" s="138"/>
      <c r="FY19" s="114" t="str">
        <f>IFERROR((((COUNTIF('Elève (6ème5)'!FV19:FX19,"A"))*4)+((COUNTIF('Elève (6ème5)'!FV19:FX19,"B"))*3)+((COUNTIF('Elève (6ème5)'!FV19:FX19,"C"))*2)+((COUNTIF('Elève (6ème5)'!FV19:FX19,"D"))*1))/(COUNTA(FV19:FX19)),"")</f>
        <v/>
      </c>
      <c r="FZ19" s="115" t="str">
        <f t="shared" si="41"/>
        <v/>
      </c>
      <c r="GA19" s="89"/>
      <c r="GB19" s="90"/>
      <c r="GC19" s="138"/>
      <c r="GD19" s="114" t="str">
        <f>IFERROR((((COUNTIF('Elève (6ème5)'!GA19:GC19,"A"))*4)+((COUNTIF('Elève (6ème5)'!GA19:GC19,"B"))*3)+((COUNTIF('Elève (6ème5)'!GA19:GC19,"C"))*2)+((COUNTIF('Elève (6ème5)'!GA19:GC19,"D"))*1))/(COUNTA(GA19:GC19)),"")</f>
        <v/>
      </c>
      <c r="GE19" s="115" t="str">
        <f t="shared" si="42"/>
        <v/>
      </c>
      <c r="GF19" s="181">
        <f>IF(COUNT(FT19,FY19,GD19)=0,"",SUM(FT19,FY19,GD19)/COUNT(FT19,FY19,GD19))</f>
        <v>4</v>
      </c>
      <c r="GG19" s="140" t="str">
        <f t="shared" si="43"/>
        <v>A</v>
      </c>
      <c r="GH19" s="164" t="s">
        <v>24</v>
      </c>
      <c r="GI19" s="165"/>
      <c r="GJ19" s="163"/>
      <c r="GK19" s="114">
        <f>IFERROR((((COUNTIF('Elève (6ème5)'!GH19:GJ19,"A"))*4)+((COUNTIF('Elève (6ème5)'!GH19:GJ19,"B"))*3)+((COUNTIF('Elève (6ème5)'!GH19:GJ19,"C"))*2)+((COUNTIF('Elève (6ème5)'!GH19:GJ19,"D"))*1))/(COUNTA(GH19:GJ19)),"")</f>
        <v>4</v>
      </c>
      <c r="GL19" s="115" t="str">
        <f t="shared" si="44"/>
        <v>A</v>
      </c>
      <c r="GM19" s="166"/>
      <c r="GN19" s="90"/>
      <c r="GO19" s="138"/>
      <c r="GP19" s="114" t="str">
        <f>IFERROR((((COUNTIF('Elève (6ème5)'!GM19:GO19,"A"))*4)+((COUNTIF('Elève (6ème5)'!GM19:GO19,"B"))*3)+((COUNTIF('Elève (6ème5)'!GM19:GO19,"C"))*2)+((COUNTIF('Elève (6ème5)'!GM19:GO19,"D"))*1))/(COUNTA(GM19:GO19)),"")</f>
        <v/>
      </c>
      <c r="GQ19" s="115" t="str">
        <f t="shared" si="45"/>
        <v/>
      </c>
      <c r="GR19" s="89"/>
      <c r="GS19" s="90"/>
      <c r="GT19" s="138"/>
      <c r="GU19" s="114" t="str">
        <f>IFERROR((((COUNTIF('Elève (6ème5)'!GR19:GT19,"A"))*4)+((COUNTIF('Elève (6ème5)'!GR19:GT19,"B"))*3)+((COUNTIF('Elève (6ème5)'!GR19:GT19,"C"))*2)+((COUNTIF('Elève (6ème5)'!GR19:GT19,"D"))*1))/(COUNTA(GR19:GT19)),"")</f>
        <v/>
      </c>
      <c r="GV19" s="115" t="str">
        <f t="shared" si="46"/>
        <v/>
      </c>
      <c r="GW19" s="181">
        <f>IF(COUNT(GK19,GP19,GU19)=0,"",SUM(GK19,GP19,GU19)/COUNT(GK19,GP19,GU19))</f>
        <v>4</v>
      </c>
      <c r="GX19" s="140" t="str">
        <f t="shared" si="47"/>
        <v>A</v>
      </c>
      <c r="GY19" s="164" t="s">
        <v>24</v>
      </c>
      <c r="GZ19" s="165"/>
      <c r="HA19" s="163"/>
      <c r="HB19" s="114">
        <f>IFERROR((((COUNTIF('Elève (6ème5)'!GY19:HA19,"A"))*4)+((COUNTIF('Elève (6ème5)'!GY19:HA19,"B"))*3)+((COUNTIF('Elève (6ème5)'!GY19:HA19,"C"))*2)+((COUNTIF('Elève (6ème5)'!GY19:HA19,"D"))*1))/(COUNTA(GY19:HA19)),"")</f>
        <v>4</v>
      </c>
      <c r="HC19" s="115" t="str">
        <f t="shared" si="48"/>
        <v>A</v>
      </c>
      <c r="HD19" s="166"/>
      <c r="HE19" s="90"/>
      <c r="HF19" s="138"/>
      <c r="HG19" s="114" t="str">
        <f>IFERROR((((COUNTIF('Elève (6ème5)'!HD19:HF19,"A"))*4)+((COUNTIF('Elève (6ème5)'!HD19:HF19,"B"))*3)+((COUNTIF('Elève (6ème5)'!HD19:HF19,"C"))*2)+((COUNTIF('Elève (6ème5)'!HD19:HF19,"D"))*1))/(COUNTA(HD19:HF19)),"")</f>
        <v/>
      </c>
      <c r="HH19" s="115" t="str">
        <f t="shared" si="49"/>
        <v/>
      </c>
      <c r="HI19" s="89"/>
      <c r="HJ19" s="90"/>
      <c r="HK19" s="138"/>
      <c r="HL19" s="114" t="str">
        <f>IFERROR((((COUNTIF('Elève (6ème5)'!HI19:HK19,"A"))*4)+((COUNTIF('Elève (6ème5)'!HI19:HK19,"B"))*3)+((COUNTIF('Elève (6ème5)'!HI19:HK19,"C"))*2)+((COUNTIF('Elève (6ème5)'!HI19:HK19,"D"))*1))/(COUNTA(HI19:HK19)),"")</f>
        <v/>
      </c>
      <c r="HM19" s="115" t="str">
        <f t="shared" si="50"/>
        <v/>
      </c>
      <c r="HN19" s="181">
        <f>IF(COUNT(HB19,HG19,HL19)=0,"",SUM(HB19,HG19,HL19)/COUNT(HB19,HG19,HL19))</f>
        <v>4</v>
      </c>
      <c r="HO19" s="140" t="str">
        <f t="shared" si="51"/>
        <v>A</v>
      </c>
      <c r="HP19" s="164"/>
      <c r="HQ19" s="165"/>
      <c r="HR19" s="163"/>
      <c r="HS19" s="114" t="str">
        <f>IFERROR((((COUNTIF('Elève (6ème5)'!HP19:HR19,"A"))*4)+((COUNTIF('Elève (6ème5)'!HP19:HR19,"B"))*3)+((COUNTIF('Elève (6ème5)'!HP19:HR19,"C"))*2)+((COUNTIF('Elève (6ème5)'!HP19:HR19,"D"))*1))/(COUNTA(HP19:HR19)),"")</f>
        <v/>
      </c>
      <c r="HT19" s="115" t="str">
        <f t="shared" si="52"/>
        <v/>
      </c>
      <c r="HU19" s="166"/>
      <c r="HV19" s="90"/>
      <c r="HW19" s="138"/>
      <c r="HX19" s="114" t="str">
        <f>IFERROR((((COUNTIF('Elève (6ème5)'!HU19:HW19,"A"))*4)+((COUNTIF('Elève (6ème5)'!HU19:HW19,"B"))*3)+((COUNTIF('Elève (6ème5)'!HU19:HW19,"C"))*2)+((COUNTIF('Elève (6ème5)'!HU19:HW19,"D"))*1))/(COUNTA(HU19:HW19)),"")</f>
        <v/>
      </c>
      <c r="HY19" s="115" t="str">
        <f t="shared" si="53"/>
        <v/>
      </c>
      <c r="HZ19" s="89"/>
      <c r="IA19" s="90"/>
      <c r="IB19" s="138"/>
      <c r="IC19" s="114" t="str">
        <f>IFERROR((((COUNTIF('Elève (6ème5)'!HZ19:IB19,"A"))*4)+((COUNTIF('Elève (6ème5)'!HZ19:IB19,"B"))*3)+((COUNTIF('Elève (6ème5)'!HZ19:IB19,"C"))*2)+((COUNTIF('Elève (6ème5)'!HZ19:IB19,"D"))*1))/(COUNTA(HZ19:IB19)),"")</f>
        <v/>
      </c>
      <c r="ID19" s="115" t="str">
        <f t="shared" si="54"/>
        <v/>
      </c>
      <c r="IE19" s="181" t="str">
        <f>IF(COUNT(HS19,HX19,IC19)=0,"",SUM(HS19,HX19,IC19)/COUNT(HS19,HX19,IC19))</f>
        <v/>
      </c>
      <c r="IF19" s="140" t="str">
        <f t="shared" si="55"/>
        <v/>
      </c>
      <c r="IG19" s="164" t="s">
        <v>24</v>
      </c>
      <c r="IH19" s="165"/>
      <c r="II19" s="163"/>
      <c r="IJ19" s="114">
        <f>IFERROR((((COUNTIF('Elève (6ème5)'!IG19:II19,"A"))*4)+((COUNTIF('Elève (6ème5)'!IG19:II19,"B"))*3)+((COUNTIF('Elève (6ème5)'!IG19:II19,"C"))*2)+((COUNTIF('Elève (6ème5)'!IG19:II19,"D"))*1))/(COUNTA(IG19:II19)),"")</f>
        <v>4</v>
      </c>
      <c r="IK19" s="115" t="str">
        <f t="shared" si="56"/>
        <v>A</v>
      </c>
      <c r="IL19" s="166"/>
      <c r="IM19" s="90"/>
      <c r="IN19" s="138"/>
      <c r="IO19" s="114" t="str">
        <f>IFERROR((((COUNTIF('Elève (6ème5)'!IL19:IN19,"A"))*4)+((COUNTIF('Elève (6ème5)'!IL19:IN19,"B"))*3)+((COUNTIF('Elève (6ème5)'!IL19:IN19,"C"))*2)+((COUNTIF('Elève (6ème5)'!IL19:IN19,"D"))*1))/(COUNTA(IL19:IN19)),"")</f>
        <v/>
      </c>
      <c r="IP19" s="115" t="str">
        <f t="shared" si="57"/>
        <v/>
      </c>
      <c r="IQ19" s="89"/>
      <c r="IR19" s="90"/>
      <c r="IS19" s="138"/>
      <c r="IT19" s="114" t="str">
        <f>IFERROR((((COUNTIF('Elève (6ème5)'!IQ19:IS19,"A"))*4)+((COUNTIF('Elève (6ème5)'!IQ19:IS19,"B"))*3)+((COUNTIF('Elève (6ème5)'!IQ19:IS19,"C"))*2)+((COUNTIF('Elève (6ème5)'!IQ19:IS19,"D"))*1))/(COUNTA(IQ19:IS19)),"")</f>
        <v/>
      </c>
      <c r="IU19" s="115" t="str">
        <f t="shared" si="58"/>
        <v/>
      </c>
      <c r="IV19" s="181">
        <f>IF(COUNT(IJ19,IO19,IT19)=0,"",SUM(IJ19,IO19,IT19)/COUNT(IJ19,IO19,IT19))</f>
        <v>4</v>
      </c>
      <c r="IW19" s="140" t="str">
        <f t="shared" si="59"/>
        <v>A</v>
      </c>
      <c r="IX19" s="164" t="s">
        <v>24</v>
      </c>
      <c r="IY19" s="165"/>
      <c r="IZ19" s="163"/>
      <c r="JA19" s="114">
        <f>IFERROR((((COUNTIF('Elève (6ème5)'!IX19:IZ19,"A"))*4)+((COUNTIF('Elève (6ème5)'!IX19:IZ19,"B"))*3)+((COUNTIF('Elève (6ème5)'!IX19:IZ19,"C"))*2)+((COUNTIF('Elève (6ème5)'!IX19:IZ19,"D"))*1))/(COUNTA(IX19:IZ19)),"")</f>
        <v>4</v>
      </c>
      <c r="JB19" s="115" t="str">
        <f t="shared" si="60"/>
        <v>A</v>
      </c>
      <c r="JC19" s="166"/>
      <c r="JD19" s="90"/>
      <c r="JE19" s="138"/>
      <c r="JF19" s="114" t="str">
        <f>IFERROR((((COUNTIF('Elève (6ème5)'!JC19:JE19,"A"))*4)+((COUNTIF('Elève (6ème5)'!JC19:JE19,"B"))*3)+((COUNTIF('Elève (6ème5)'!JC19:JE19,"C"))*2)+((COUNTIF('Elève (6ème5)'!JC19:JE19,"D"))*1))/(COUNTA(JC19:JE19)),"")</f>
        <v/>
      </c>
      <c r="JG19" s="115" t="str">
        <f t="shared" si="61"/>
        <v/>
      </c>
      <c r="JH19" s="89"/>
      <c r="JI19" s="90"/>
      <c r="JJ19" s="138"/>
      <c r="JK19" s="114" t="str">
        <f>IFERROR((((COUNTIF('Elève (6ème5)'!JH19:JJ19,"A"))*4)+((COUNTIF('Elève (6ème5)'!JH19:JJ19,"B"))*3)+((COUNTIF('Elève (6ème5)'!JH19:JJ19,"C"))*2)+((COUNTIF('Elève (6ème5)'!JH19:JJ19,"D"))*1))/(COUNTA(JH19:JJ19)),"")</f>
        <v/>
      </c>
      <c r="JL19" s="115" t="str">
        <f t="shared" si="62"/>
        <v/>
      </c>
      <c r="JM19" s="181">
        <f>IF(COUNT(JA19,JF19,JK19)=0,"",SUM(JA19,JF19,JK19)/COUNT(JA19,JF19,JK19))</f>
        <v>4</v>
      </c>
      <c r="JN19" s="140" t="str">
        <f t="shared" si="63"/>
        <v>A</v>
      </c>
      <c r="JO19" s="164"/>
      <c r="JP19" s="165"/>
      <c r="JQ19" s="163"/>
      <c r="JR19" s="114" t="str">
        <f>IFERROR((((COUNTIF('Elève (6ème5)'!JO19:JQ19,"A"))*4)+((COUNTIF('Elève (6ème5)'!JO19:JQ19,"B"))*3)+((COUNTIF('Elève (6ème5)'!JO19:JQ19,"C"))*2)+((COUNTIF('Elève (6ème5)'!JO19:JQ19,"D"))*1))/(COUNTA(JO19:JQ19)),"")</f>
        <v/>
      </c>
      <c r="JS19" s="115" t="str">
        <f t="shared" si="64"/>
        <v/>
      </c>
      <c r="JT19" s="166"/>
      <c r="JU19" s="90"/>
      <c r="JV19" s="138"/>
      <c r="JW19" s="114" t="str">
        <f>IFERROR((((COUNTIF('Elève (6ème5)'!JT19:JV19,"A"))*4)+((COUNTIF('Elève (6ème5)'!JT19:JV19,"B"))*3)+((COUNTIF('Elève (6ème5)'!JT19:JV19,"C"))*2)+((COUNTIF('Elève (6ème5)'!JT19:JV19,"D"))*1))/(COUNTA(JT19:JV19)),"")</f>
        <v/>
      </c>
      <c r="JX19" s="115" t="str">
        <f t="shared" si="65"/>
        <v/>
      </c>
      <c r="JY19" s="89"/>
      <c r="JZ19" s="90"/>
      <c r="KA19" s="138"/>
      <c r="KB19" s="114" t="str">
        <f>IFERROR((((COUNTIF('Elève (6ème5)'!JY19:KA19,"A"))*4)+((COUNTIF('Elève (6ème5)'!JY19:KA19,"B"))*3)+((COUNTIF('Elève (6ème5)'!JY19:KA19,"C"))*2)+((COUNTIF('Elève (6ème5)'!JY19:KA19,"D"))*1))/(COUNTA(JY19:KA19)),"")</f>
        <v/>
      </c>
      <c r="KC19" s="115" t="str">
        <f t="shared" si="66"/>
        <v/>
      </c>
      <c r="KD19" s="181" t="str">
        <f>IF(COUNT(JR19,JW19,KB19)=0,"",SUM(JR19,JW19,KB19)/COUNT(JR19,JW19,KB19))</f>
        <v/>
      </c>
      <c r="KE19" s="140" t="str">
        <f t="shared" si="67"/>
        <v/>
      </c>
      <c r="KF19" s="164"/>
      <c r="KG19" s="165"/>
      <c r="KH19" s="163"/>
      <c r="KI19" s="114" t="str">
        <f>IFERROR((((COUNTIF('Elève (6ème5)'!KF19:KH19,"A"))*4)+((COUNTIF('Elève (6ème5)'!KF19:KH19,"B"))*3)+((COUNTIF('Elève (6ème5)'!KF19:KH19,"C"))*2)+((COUNTIF('Elève (6ème5)'!KF19:KH19,"D"))*1))/(COUNTA(KF19:KH19)),"")</f>
        <v/>
      </c>
      <c r="KJ19" s="115" t="str">
        <f t="shared" si="68"/>
        <v/>
      </c>
      <c r="KK19" s="166"/>
      <c r="KL19" s="90"/>
      <c r="KM19" s="138"/>
      <c r="KN19" s="114" t="str">
        <f>IFERROR((((COUNTIF('Elève (6ème5)'!KK19:KM19,"A"))*4)+((COUNTIF('Elève (6ème5)'!KK19:KM19,"B"))*3)+((COUNTIF('Elève (6ème5)'!KK19:KM19,"C"))*2)+((COUNTIF('Elève (6ème5)'!KK19:KM19,"D"))*1))/(COUNTA(KK19:KM19)),"")</f>
        <v/>
      </c>
      <c r="KO19" s="115" t="str">
        <f t="shared" si="69"/>
        <v/>
      </c>
      <c r="KP19" s="89"/>
      <c r="KQ19" s="90"/>
      <c r="KR19" s="138"/>
      <c r="KS19" s="114" t="str">
        <f>IFERROR((((COUNTIF('Elève (6ème5)'!KP19:KR19,"A"))*4)+((COUNTIF('Elève (6ème5)'!KP19:KR19,"B"))*3)+((COUNTIF('Elève (6ème5)'!KP19:KR19,"C"))*2)+((COUNTIF('Elève (6ème5)'!KP19:KR19,"D"))*1))/(COUNTA(KP19:KR19)),"")</f>
        <v/>
      </c>
      <c r="KT19" s="115" t="str">
        <f t="shared" si="70"/>
        <v/>
      </c>
      <c r="KU19" s="181" t="str">
        <f>IF(COUNT(KI19,KN19,KS19)=0,"",SUM(KI19,KN19,KS19)/COUNT(KI19,KN19,KS19))</f>
        <v/>
      </c>
      <c r="KV19" s="140" t="str">
        <f t="shared" si="71"/>
        <v/>
      </c>
      <c r="KW19" s="164" t="s">
        <v>24</v>
      </c>
      <c r="KX19" s="165"/>
      <c r="KY19" s="163"/>
      <c r="KZ19" s="114">
        <f>IFERROR((((COUNTIF('Elève (6ème5)'!KW19:KY19,"A"))*4)+((COUNTIF('Elève (6ème5)'!KW19:KY19,"B"))*3)+((COUNTIF('Elève (6ème5)'!KW19:KY19,"C"))*2)+((COUNTIF('Elève (6ème5)'!KW19:KY19,"D"))*1))/(COUNTA(KW19:KY19)),"")</f>
        <v>4</v>
      </c>
      <c r="LA19" s="115" t="str">
        <f t="shared" si="72"/>
        <v>A</v>
      </c>
      <c r="LB19" s="166"/>
      <c r="LC19" s="90"/>
      <c r="LD19" s="138"/>
      <c r="LE19" s="114" t="str">
        <f>IFERROR((((COUNTIF('Elève (6ème5)'!LB19:LD19,"A"))*4)+((COUNTIF('Elève (6ème5)'!LB19:LD19,"B"))*3)+((COUNTIF('Elève (6ème5)'!LB19:LD19,"C"))*2)+((COUNTIF('Elève (6ème5)'!LB19:LD19,"D"))*1))/(COUNTA(LB19:LD19)),"")</f>
        <v/>
      </c>
      <c r="LF19" s="115" t="str">
        <f t="shared" si="73"/>
        <v/>
      </c>
      <c r="LG19" s="89"/>
      <c r="LH19" s="90"/>
      <c r="LI19" s="138"/>
      <c r="LJ19" s="114" t="str">
        <f>IFERROR((((COUNTIF('Elève (6ème5)'!LG19:LI19,"A"))*4)+((COUNTIF('Elève (6ème5)'!LG19:LI19,"B"))*3)+((COUNTIF('Elève (6ème5)'!LG19:LI19,"C"))*2)+((COUNTIF('Elève (6ème5)'!LG19:LI19,"D"))*1))/(COUNTA(LG19:LI19)),"")</f>
        <v/>
      </c>
      <c r="LK19" s="115" t="str">
        <f t="shared" si="74"/>
        <v/>
      </c>
      <c r="LL19" s="181">
        <f>IF(COUNT(KZ19,LE19,LJ19)=0,"",SUM(KZ19,LE19,LJ19)/COUNT(KZ19,LE19,LJ19))</f>
        <v>4</v>
      </c>
      <c r="LM19" s="140" t="str">
        <f t="shared" si="75"/>
        <v>A</v>
      </c>
      <c r="LN19" s="164" t="s">
        <v>24</v>
      </c>
      <c r="LO19" s="165"/>
      <c r="LP19" s="163"/>
      <c r="LQ19" s="114">
        <f>IFERROR((((COUNTIF('Elève (6ème5)'!LN19:LP19,"A"))*4)+((COUNTIF('Elève (6ème5)'!LN19:LP19,"B"))*3)+((COUNTIF('Elève (6ème5)'!LN19:LP19,"C"))*2)+((COUNTIF('Elève (6ème5)'!LN19:LP19,"D"))*1))/(COUNTA(LN19:LP19)),"")</f>
        <v>4</v>
      </c>
      <c r="LR19" s="115" t="str">
        <f t="shared" si="76"/>
        <v>A</v>
      </c>
      <c r="LS19" s="166"/>
      <c r="LT19" s="90"/>
      <c r="LU19" s="138"/>
      <c r="LV19" s="114" t="str">
        <f>IFERROR((((COUNTIF('Elève (6ème5)'!LS19:LU19,"A"))*4)+((COUNTIF('Elève (6ème5)'!LS19:LU19,"B"))*3)+((COUNTIF('Elève (6ème5)'!LS19:LU19,"C"))*2)+((COUNTIF('Elève (6ème5)'!LS19:LU19,"D"))*1))/(COUNTA(LS19:LU19)),"")</f>
        <v/>
      </c>
      <c r="LW19" s="115" t="str">
        <f t="shared" si="77"/>
        <v/>
      </c>
      <c r="LX19" s="89"/>
      <c r="LY19" s="90"/>
      <c r="LZ19" s="138"/>
      <c r="MA19" s="114" t="str">
        <f>IFERROR((((COUNTIF('Elève (6ème5)'!LX19:LZ19,"A"))*4)+((COUNTIF('Elève (6ème5)'!LX19:LZ19,"B"))*3)+((COUNTIF('Elève (6ème5)'!LX19:LZ19,"C"))*2)+((COUNTIF('Elève (6ème5)'!LX19:LZ19,"D"))*1))/(COUNTA(LX19:LZ19)),"")</f>
        <v/>
      </c>
      <c r="MB19" s="115" t="str">
        <f t="shared" si="78"/>
        <v/>
      </c>
      <c r="MC19" s="181">
        <f>IF(COUNT(LQ19,LV19,MA19)=0,"",SUM(LQ19,LV19,MA19)/COUNT(LQ19,LV19,MA19))</f>
        <v>4</v>
      </c>
      <c r="MD19" s="140" t="str">
        <f t="shared" si="79"/>
        <v>A</v>
      </c>
      <c r="ME19" s="164" t="s">
        <v>24</v>
      </c>
      <c r="MF19" s="165"/>
      <c r="MG19" s="163"/>
      <c r="MH19" s="114">
        <f>IFERROR((((COUNTIF('Elève (6ème5)'!ME19:MG19,"A"))*4)+((COUNTIF('Elève (6ème5)'!ME19:MG19,"B"))*3)+((COUNTIF('Elève (6ème5)'!ME19:MG19,"C"))*2)+((COUNTIF('Elève (6ème5)'!ME19:MG19,"D"))*1))/(COUNTA(ME19:MG19)),"")</f>
        <v>4</v>
      </c>
      <c r="MI19" s="115" t="str">
        <f t="shared" si="80"/>
        <v>A</v>
      </c>
      <c r="MJ19" s="166"/>
      <c r="MK19" s="90"/>
      <c r="ML19" s="138"/>
      <c r="MM19" s="114" t="str">
        <f>IFERROR((((COUNTIF('Elève (6ème5)'!MJ19:ML19,"A"))*4)+((COUNTIF('Elève (6ème5)'!MJ19:ML19,"B"))*3)+((COUNTIF('Elève (6ème5)'!MJ19:ML19,"C"))*2)+((COUNTIF('Elève (6ème5)'!MJ19:ML19,"D"))*1))/(COUNTA(MJ19:ML19)),"")</f>
        <v/>
      </c>
      <c r="MN19" s="115" t="str">
        <f t="shared" si="81"/>
        <v/>
      </c>
      <c r="MO19" s="89"/>
      <c r="MP19" s="90"/>
      <c r="MQ19" s="138"/>
      <c r="MR19" s="114" t="str">
        <f>IFERROR((((COUNTIF('Elève (6ème5)'!MO19:MQ19,"A"))*4)+((COUNTIF('Elève (6ème5)'!MO19:MQ19,"B"))*3)+((COUNTIF('Elève (6ème5)'!MO19:MQ19,"C"))*2)+((COUNTIF('Elève (6ème5)'!MO19:MQ19,"D"))*1))/(COUNTA(MO19:MQ19)),"")</f>
        <v/>
      </c>
      <c r="MS19" s="115" t="str">
        <f t="shared" si="82"/>
        <v/>
      </c>
      <c r="MT19" s="181">
        <f>IF(COUNT(MH19,MM19,MR19)=0,"",SUM(MH19,MM19,MR19)/COUNT(MH19,MM19,MR19))</f>
        <v>4</v>
      </c>
      <c r="MU19" s="140" t="str">
        <f t="shared" si="83"/>
        <v>A</v>
      </c>
      <c r="MV19" s="164" t="s">
        <v>24</v>
      </c>
      <c r="MW19" s="165"/>
      <c r="MX19" s="163"/>
      <c r="MY19" s="114">
        <f>IFERROR((((COUNTIF('Elève (6ème5)'!MV19:MX19,"A"))*4)+((COUNTIF('Elève (6ème5)'!MV19:MX19,"B"))*3)+((COUNTIF('Elève (6ème5)'!MV19:MX19,"C"))*2)+((COUNTIF('Elève (6ème5)'!MV19:MX19,"D"))*1))/(COUNTA(MV19:MX19)),"")</f>
        <v>4</v>
      </c>
      <c r="MZ19" s="115" t="str">
        <f t="shared" si="84"/>
        <v>A</v>
      </c>
      <c r="NA19" s="166"/>
      <c r="NB19" s="90"/>
      <c r="NC19" s="138"/>
      <c r="ND19" s="114" t="str">
        <f>IFERROR((((COUNTIF('Elève (6ème5)'!NA19:NC19,"A"))*4)+((COUNTIF('Elève (6ème5)'!NA19:NC19,"B"))*3)+((COUNTIF('Elève (6ème5)'!NA19:NC19,"C"))*2)+((COUNTIF('Elève (6ème5)'!NA19:NC19,"D"))*1))/(COUNTA(NA19:NC19)),"")</f>
        <v/>
      </c>
      <c r="NE19" s="115" t="str">
        <f t="shared" si="85"/>
        <v/>
      </c>
      <c r="NF19" s="89"/>
      <c r="NG19" s="90"/>
      <c r="NH19" s="138"/>
      <c r="NI19" s="114" t="str">
        <f>IFERROR((((COUNTIF('Elève (6ème5)'!NF19:NH19,"A"))*4)+((COUNTIF('Elève (6ème5)'!NF19:NH19,"B"))*3)+((COUNTIF('Elève (6ème5)'!NF19:NH19,"C"))*2)+((COUNTIF('Elève (6ème5)'!NF19:NH19,"D"))*1))/(COUNTA(NF19:NH19)),"")</f>
        <v/>
      </c>
      <c r="NJ19" s="115" t="str">
        <f t="shared" si="86"/>
        <v/>
      </c>
      <c r="NK19" s="181">
        <f>IF(COUNT(MY19,ND19,NI19)=0,"",SUM(MY19,ND19,NI19)/COUNT(MY19,ND19,NI19))</f>
        <v>4</v>
      </c>
      <c r="NL19" s="140" t="str">
        <f t="shared" si="87"/>
        <v>A</v>
      </c>
      <c r="NM19" s="164"/>
      <c r="NN19" s="165"/>
      <c r="NO19" s="163"/>
      <c r="NP19" s="114" t="str">
        <f>IFERROR((((COUNTIF('Elève (6ème5)'!NM19:NO19,"A"))*4)+((COUNTIF('Elève (6ème5)'!NM19:NO19,"B"))*3)+((COUNTIF('Elève (6ème5)'!NM19:NO19,"C"))*2)+((COUNTIF('Elève (6ème5)'!NM19:NO19,"D"))*1))/(COUNTA(NM19:NO19)),"")</f>
        <v/>
      </c>
      <c r="NQ19" s="115" t="str">
        <f t="shared" si="88"/>
        <v/>
      </c>
      <c r="NR19" s="166"/>
      <c r="NS19" s="90"/>
      <c r="NT19" s="138"/>
      <c r="NU19" s="114" t="str">
        <f>IFERROR((((COUNTIF('Elève (6ème5)'!NR19:NT19,"A"))*4)+((COUNTIF('Elève (6ème5)'!NR19:NT19,"B"))*3)+((COUNTIF('Elève (6ème5)'!NR19:NT19,"C"))*2)+((COUNTIF('Elève (6ème5)'!NR19:NT19,"D"))*1))/(COUNTA(NR19:NT19)),"")</f>
        <v/>
      </c>
      <c r="NV19" s="115" t="str">
        <f t="shared" si="89"/>
        <v/>
      </c>
      <c r="NW19" s="89"/>
      <c r="NX19" s="90"/>
      <c r="NY19" s="138"/>
      <c r="NZ19" s="114" t="str">
        <f>IFERROR((((COUNTIF('Elève (6ème5)'!NW19:NY19,"A"))*4)+((COUNTIF('Elève (6ème5)'!NW19:NY19,"B"))*3)+((COUNTIF('Elève (6ème5)'!NW19:NY19,"C"))*2)+((COUNTIF('Elève (6ème5)'!NW19:NY19,"D"))*1))/(COUNTA(NW19:NY19)),"")</f>
        <v/>
      </c>
      <c r="OA19" s="115" t="str">
        <f t="shared" si="90"/>
        <v/>
      </c>
      <c r="OB19" s="181" t="str">
        <f>IF(COUNT(NP19,NU19,NZ19)=0,"",SUM(NP19,NU19,NZ19)/COUNT(NP19,NU19,NZ19))</f>
        <v/>
      </c>
      <c r="OC19" s="140" t="str">
        <f t="shared" si="91"/>
        <v/>
      </c>
      <c r="OD19" s="164"/>
      <c r="OE19" s="165"/>
      <c r="OF19" s="163"/>
      <c r="OG19" s="114" t="str">
        <f>IFERROR((((COUNTIF('Elève (6ème5)'!OD19:OF19,"A"))*4)+((COUNTIF('Elève (6ème5)'!OD19:OF19,"B"))*3)+((COUNTIF('Elève (6ème5)'!OD19:OF19,"C"))*2)+((COUNTIF('Elève (6ème5)'!OD19:OF19,"D"))*1))/(COUNTA(OD19:OF19)),"")</f>
        <v/>
      </c>
      <c r="OH19" s="115" t="str">
        <f t="shared" si="92"/>
        <v/>
      </c>
      <c r="OI19" s="166"/>
      <c r="OJ19" s="90"/>
      <c r="OK19" s="138"/>
      <c r="OL19" s="114" t="str">
        <f>IFERROR((((COUNTIF('Elève (6ème5)'!OI19:OK19,"A"))*4)+((COUNTIF('Elève (6ème5)'!OI19:OK19,"B"))*3)+((COUNTIF('Elève (6ème5)'!OI19:OK19,"C"))*2)+((COUNTIF('Elève (6ème5)'!OI19:OK19,"D"))*1))/(COUNTA(OI19:OK19)),"")</f>
        <v/>
      </c>
      <c r="OM19" s="115" t="str">
        <f t="shared" si="93"/>
        <v/>
      </c>
      <c r="ON19" s="89"/>
      <c r="OO19" s="90"/>
      <c r="OP19" s="138"/>
      <c r="OQ19" s="114" t="str">
        <f>IFERROR((((COUNTIF('Elève (6ème5)'!ON19:OP19,"A"))*4)+((COUNTIF('Elève (6ème5)'!ON19:OP19,"B"))*3)+((COUNTIF('Elève (6ème5)'!ON19:OP19,"C"))*2)+((COUNTIF('Elève (6ème5)'!ON19:OP19,"D"))*1))/(COUNTA(ON19:OP19)),"")</f>
        <v/>
      </c>
      <c r="OR19" s="115" t="str">
        <f t="shared" si="94"/>
        <v/>
      </c>
      <c r="OS19" s="181" t="str">
        <f>IF(COUNT(OG19,OL19,OQ19)=0,"",SUM(OG19,OL19,OQ19)/COUNT(OG19,OL19,OQ19))</f>
        <v/>
      </c>
      <c r="OT19" s="140" t="str">
        <f t="shared" si="95"/>
        <v/>
      </c>
      <c r="OU19" s="164" t="s">
        <v>24</v>
      </c>
      <c r="OV19" s="165"/>
      <c r="OW19" s="163"/>
      <c r="OX19" s="114">
        <f>IFERROR((((COUNTIF('Elève (6ème5)'!OU19:OW19,"A"))*4)+((COUNTIF('Elève (6ème5)'!OU19:OW19,"B"))*3)+((COUNTIF('Elève (6ème5)'!OU19:OW19,"C"))*2)+((COUNTIF('Elève (6ème5)'!OU19:OW19,"D"))*1))/(COUNTA(OU19:OW19)),"")</f>
        <v>4</v>
      </c>
      <c r="OY19" s="115" t="str">
        <f t="shared" si="96"/>
        <v>A</v>
      </c>
      <c r="OZ19" s="166"/>
      <c r="PA19" s="90"/>
      <c r="PB19" s="138"/>
      <c r="PC19" s="114" t="str">
        <f>IFERROR((((COUNTIF('Elève (6ème5)'!OZ19:PB19,"A"))*4)+((COUNTIF('Elève (6ème5)'!OZ19:PB19,"B"))*3)+((COUNTIF('Elève (6ème5)'!OZ19:PB19,"C"))*2)+((COUNTIF('Elève (6ème5)'!OZ19:PB19,"D"))*1))/(COUNTA(OZ19:PB19)),"")</f>
        <v/>
      </c>
      <c r="PD19" s="115" t="str">
        <f t="shared" si="97"/>
        <v/>
      </c>
      <c r="PE19" s="89"/>
      <c r="PF19" s="90"/>
      <c r="PG19" s="138"/>
      <c r="PH19" s="114" t="str">
        <f>IFERROR((((COUNTIF('Elève (6ème5)'!PE19:PG19,"A"))*4)+((COUNTIF('Elève (6ème5)'!PE19:PG19,"B"))*3)+((COUNTIF('Elève (6ème5)'!PE19:PG19,"C"))*2)+((COUNTIF('Elève (6ème5)'!PE19:PG19,"D"))*1))/(COUNTA(PE19:PG19)),"")</f>
        <v/>
      </c>
      <c r="PI19" s="115" t="str">
        <f t="shared" si="98"/>
        <v/>
      </c>
      <c r="PJ19" s="181">
        <f>IF(COUNT(OX19,PC19,PH19)=0,"",SUM(OX19,PC19,PH19)/COUNT(OX19,PC19,PH19))</f>
        <v>4</v>
      </c>
      <c r="PK19" s="140" t="str">
        <f t="shared" si="99"/>
        <v>A</v>
      </c>
      <c r="PL19" s="164"/>
      <c r="PM19" s="165"/>
      <c r="PN19" s="163"/>
      <c r="PO19" s="114" t="str">
        <f>IFERROR((((COUNTIF('Elève (6ème5)'!PL19:PN19,"A"))*4)+((COUNTIF('Elève (6ème5)'!PL19:PN19,"B"))*3)+((COUNTIF('Elève (6ème5)'!PL19:PN19,"C"))*2)+((COUNTIF('Elève (6ème5)'!PL19:PN19,"D"))*1))/(COUNTA(PL19:PN19)),"")</f>
        <v/>
      </c>
      <c r="PP19" s="115" t="str">
        <f t="shared" si="100"/>
        <v/>
      </c>
      <c r="PQ19" s="166"/>
      <c r="PR19" s="90"/>
      <c r="PS19" s="138"/>
      <c r="PT19" s="114" t="str">
        <f>IFERROR((((COUNTIF('Elève (6ème5)'!PQ19:PS19,"A"))*4)+((COUNTIF('Elève (6ème5)'!PQ19:PS19,"B"))*3)+((COUNTIF('Elève (6ème5)'!PQ19:PS19,"C"))*2)+((COUNTIF('Elève (6ème5)'!PQ19:PS19,"D"))*1))/(COUNTA(PQ19:PS19)),"")</f>
        <v/>
      </c>
      <c r="PU19" s="115" t="str">
        <f t="shared" si="101"/>
        <v/>
      </c>
      <c r="PV19" s="89"/>
      <c r="PW19" s="90"/>
      <c r="PX19" s="138"/>
      <c r="PY19" s="114" t="str">
        <f>IFERROR((((COUNTIF('Elève (6ème5)'!PV19:PX19,"A"))*4)+((COUNTIF('Elève (6ème5)'!PV19:PX19,"B"))*3)+((COUNTIF('Elève (6ème5)'!PV19:PX19,"C"))*2)+((COUNTIF('Elève (6ème5)'!PV19:PX19,"D"))*1))/(COUNTA(PV19:PX19)),"")</f>
        <v/>
      </c>
      <c r="PZ19" s="115" t="str">
        <f t="shared" si="102"/>
        <v/>
      </c>
      <c r="QA19" s="181" t="str">
        <f>IF(COUNT(PO19,PT19,PY19)=0,"",SUM(PO19,PT19,PY19)/COUNT(PO19,PT19,PY19))</f>
        <v/>
      </c>
      <c r="QB19" s="140" t="str">
        <f t="shared" si="103"/>
        <v/>
      </c>
      <c r="QC19" s="164" t="s">
        <v>24</v>
      </c>
      <c r="QD19" s="165"/>
      <c r="QE19" s="163"/>
      <c r="QF19" s="114">
        <f>IFERROR((((COUNTIF('Elève (6ème5)'!QC19:QE19,"A"))*4)+((COUNTIF('Elève (6ème5)'!QC19:QE19,"B"))*3)+((COUNTIF('Elève (6ème5)'!QC19:QE19,"C"))*2)+((COUNTIF('Elève (6ème5)'!QC19:QE19,"D"))*1))/(COUNTA(QC19:QE19)),"")</f>
        <v>4</v>
      </c>
      <c r="QG19" s="115" t="str">
        <f t="shared" si="104"/>
        <v>A</v>
      </c>
      <c r="QH19" s="166"/>
      <c r="QI19" s="90"/>
      <c r="QJ19" s="138"/>
      <c r="QK19" s="114" t="str">
        <f>IFERROR((((COUNTIF('Elève (6ème5)'!QH19:QJ19,"A"))*4)+((COUNTIF('Elève (6ème5)'!QH19:QJ19,"B"))*3)+((COUNTIF('Elève (6ème5)'!QH19:QJ19,"C"))*2)+((COUNTIF('Elève (6ème5)'!QH19:QJ19,"D"))*1))/(COUNTA(QH19:QJ19)),"")</f>
        <v/>
      </c>
      <c r="QL19" s="115" t="str">
        <f t="shared" si="105"/>
        <v/>
      </c>
      <c r="QM19" s="89"/>
      <c r="QN19" s="90"/>
      <c r="QO19" s="138"/>
      <c r="QP19" s="114" t="str">
        <f>IFERROR((((COUNTIF('Elève (6ème5)'!QM19:QO19,"A"))*4)+((COUNTIF('Elève (6ème5)'!QM19:QO19,"B"))*3)+((COUNTIF('Elève (6ème5)'!QM19:QO19,"C"))*2)+((COUNTIF('Elève (6ème5)'!QM19:QO19,"D"))*1))/(COUNTA(QM19:QO19)),"")</f>
        <v/>
      </c>
      <c r="QQ19" s="115" t="str">
        <f t="shared" si="106"/>
        <v/>
      </c>
      <c r="QR19" s="181">
        <f>IF(COUNT(QF19,QK19,QP19)=0,"",SUM(QF19,QK19,QP19)/COUNT(QF19,QK19,QP19))</f>
        <v>4</v>
      </c>
      <c r="QS19" s="140" t="str">
        <f t="shared" si="107"/>
        <v>A</v>
      </c>
      <c r="QT19" s="164"/>
      <c r="QU19" s="165"/>
      <c r="QV19" s="163"/>
      <c r="QW19" s="114" t="str">
        <f>IFERROR((((COUNTIF('Elève (6ème5)'!QT19:QV19,"A"))*4)+((COUNTIF('Elève (6ème5)'!QT19:QV19,"B"))*3)+((COUNTIF('Elève (6ème5)'!QT19:QV19,"C"))*2)+((COUNTIF('Elève (6ème5)'!QT19:QV19,"D"))*1))/(COUNTA(QT19:QV19)),"")</f>
        <v/>
      </c>
      <c r="QX19" s="115" t="str">
        <f t="shared" si="108"/>
        <v/>
      </c>
      <c r="QY19" s="166"/>
      <c r="QZ19" s="90"/>
      <c r="RA19" s="138"/>
      <c r="RB19" s="114" t="str">
        <f>IFERROR((((COUNTIF('Elève (6ème5)'!QY19:RA19,"A"))*4)+((COUNTIF('Elève (6ème5)'!QY19:RA19,"B"))*3)+((COUNTIF('Elève (6ème5)'!QY19:RA19,"C"))*2)+((COUNTIF('Elève (6ème5)'!QY19:RA19,"D"))*1))/(COUNTA(QY19:RA19)),"")</f>
        <v/>
      </c>
      <c r="RC19" s="115" t="str">
        <f t="shared" si="109"/>
        <v/>
      </c>
      <c r="RD19" s="89"/>
      <c r="RE19" s="90"/>
      <c r="RF19" s="138"/>
      <c r="RG19" s="114" t="str">
        <f>IFERROR((((COUNTIF('Elève (6ème5)'!RD19:RF19,"A"))*4)+((COUNTIF('Elève (6ème5)'!RD19:RF19,"B"))*3)+((COUNTIF('Elève (6ème5)'!RD19:RF19,"C"))*2)+((COUNTIF('Elève (6ème5)'!RD19:RF19,"D"))*1))/(COUNTA(RD19:RF19)),"")</f>
        <v/>
      </c>
      <c r="RH19" s="115" t="str">
        <f t="shared" si="110"/>
        <v/>
      </c>
      <c r="RI19" s="181" t="str">
        <f>IF(COUNT(QW19,RB19,RG19)=0,"",SUM(QW19,RB19,RG19)/COUNT(QW19,RB19,RG19))</f>
        <v/>
      </c>
      <c r="RJ19" s="140" t="str">
        <f t="shared" si="111"/>
        <v/>
      </c>
      <c r="RK19" s="164"/>
      <c r="RL19" s="165"/>
      <c r="RM19" s="163"/>
      <c r="RN19" s="114" t="str">
        <f>IFERROR((((COUNTIF('Elève (6ème5)'!RK19:RM19,"A"))*4)+((COUNTIF('Elève (6ème5)'!RK19:RM19,"B"))*3)+((COUNTIF('Elève (6ème5)'!RK19:RM19,"C"))*2)+((COUNTIF('Elève (6ème5)'!RK19:RM19,"D"))*1))/(COUNTA(RK19:RM19)),"")</f>
        <v/>
      </c>
      <c r="RO19" s="115" t="str">
        <f t="shared" si="112"/>
        <v/>
      </c>
      <c r="RP19" s="166"/>
      <c r="RQ19" s="90"/>
      <c r="RR19" s="138"/>
      <c r="RS19" s="114" t="str">
        <f>IFERROR((((COUNTIF('Elève (6ème5)'!RP19:RR19,"A"))*4)+((COUNTIF('Elève (6ème5)'!RP19:RR19,"B"))*3)+((COUNTIF('Elève (6ème5)'!RP19:RR19,"C"))*2)+((COUNTIF('Elève (6ème5)'!RP19:RR19,"D"))*1))/(COUNTA(RP19:RR19)),"")</f>
        <v/>
      </c>
      <c r="RT19" s="115" t="str">
        <f t="shared" si="113"/>
        <v/>
      </c>
      <c r="RU19" s="89"/>
      <c r="RV19" s="90"/>
      <c r="RW19" s="138"/>
      <c r="RX19" s="114" t="str">
        <f>IFERROR((((COUNTIF('Elève (6ème5)'!RU19:RW19,"A"))*4)+((COUNTIF('Elève (6ème5)'!RU19:RW19,"B"))*3)+((COUNTIF('Elève (6ème5)'!RU19:RW19,"C"))*2)+((COUNTIF('Elève (6ème5)'!RU19:RW19,"D"))*1))/(COUNTA(RU19:RW19)),"")</f>
        <v/>
      </c>
      <c r="RY19" s="115" t="str">
        <f t="shared" si="114"/>
        <v/>
      </c>
      <c r="RZ19" s="181" t="str">
        <f>IF(COUNT(RN19,RS19,RX19)=0,"",SUM(RN19,RS19,RX19)/COUNT(RN19,RS19,RX19))</f>
        <v/>
      </c>
      <c r="SA19" s="140" t="str">
        <f t="shared" si="115"/>
        <v/>
      </c>
      <c r="SB19" s="164"/>
      <c r="SC19" s="165"/>
      <c r="SD19" s="163"/>
      <c r="SE19" s="114" t="str">
        <f>IFERROR((((COUNTIF('Elève (6ème5)'!SB19:SD19,"A"))*4)+((COUNTIF('Elève (6ème5)'!SB19:SD19,"B"))*3)+((COUNTIF('Elève (6ème5)'!SB19:SD19,"C"))*2)+((COUNTIF('Elève (6ème5)'!SB19:SD19,"D"))*1))/(COUNTA(SB19:SD19)),"")</f>
        <v/>
      </c>
      <c r="SF19" s="115" t="str">
        <f t="shared" si="116"/>
        <v/>
      </c>
      <c r="SG19" s="166"/>
      <c r="SH19" s="90"/>
      <c r="SI19" s="138"/>
      <c r="SJ19" s="114" t="str">
        <f>IFERROR((((COUNTIF('Elève (6ème5)'!SG19:SI19,"A"))*4)+((COUNTIF('Elève (6ème5)'!SG19:SI19,"B"))*3)+((COUNTIF('Elève (6ème5)'!SG19:SI19,"C"))*2)+((COUNTIF('Elève (6ème5)'!SG19:SI19,"D"))*1))/(COUNTA(SG19:SI19)),"")</f>
        <v/>
      </c>
      <c r="SK19" s="115" t="str">
        <f t="shared" si="117"/>
        <v/>
      </c>
      <c r="SL19" s="89"/>
      <c r="SM19" s="90"/>
      <c r="SN19" s="138"/>
      <c r="SO19" s="114" t="str">
        <f>IFERROR((((COUNTIF('Elève (6ème5)'!SL19:SN19,"A"))*4)+((COUNTIF('Elève (6ème5)'!SL19:SN19,"B"))*3)+((COUNTIF('Elève (6ème5)'!SL19:SN19,"C"))*2)+((COUNTIF('Elève (6ème5)'!SL19:SN19,"D"))*1))/(COUNTA(SL19:SN19)),"")</f>
        <v/>
      </c>
      <c r="SP19" s="115" t="str">
        <f t="shared" si="118"/>
        <v/>
      </c>
      <c r="SQ19" s="181" t="str">
        <f>IF(COUNT(SE19,SJ19,SO19)=0,"",SUM(SE19,SJ19,SO19)/COUNT(SE19,SJ19,SO19))</f>
        <v/>
      </c>
      <c r="SR19" s="140" t="str">
        <f t="shared" si="119"/>
        <v/>
      </c>
    </row>
    <row r="20" spans="1:512" s="72" customFormat="1" ht="17.25" thickBot="1" x14ac:dyDescent="0.3">
      <c r="A20" s="238" t="s">
        <v>23</v>
      </c>
      <c r="B20" s="239"/>
      <c r="C20" s="167">
        <f ca="1">IF(COUNTA(C5:C19)=0,"",5*SUM(IFERROR((((COUNTIF(C5:C6,"A"))*4)+((COUNTIF(C5:C6,"B"))*3)+((COUNTIF(C5:C6,"C"))*2)+((COUNTIF(C5:C6,"D"))*1))*CELL("contenu",$B$4),0),IFERROR((((COUNTIF(C8:C11,"A"))*4)+((COUNTIF(C8:C11,"B"))*3)+((COUNTIF(C8:C11,"C"))*2)+((COUNTIF(C8:C11,"D"))*1))*CELL("contenu",$B$7),0),IFERROR((((COUNTIF(C13:C13,"A"))*4)+((COUNTIF(C13:C13,"B"))*3)+((COUNTIF(C13:C13,"C"))*2)+((COUNTIF(C13:C13,"D"))*1))*CELL("contenu",$B$12),0),IFERROR((((COUNTIF(C15:C17,"A"))*4)+((COUNTIF(C15:C17,"B"))*3)+((COUNTIF(C15:C17,"C"))*2)+((COUNTIF(C15:C17,"D"))*1))*CELL("contenu",$B$14),0),IFERROR((((COUNTIF(C19:C19,"A"))*4)+((COUNTIF(C19:C19,"B"))*3)+((COUNTIF(C19:C19,"C"))*2)+((COUNTIF(C19:C19,"D"))*1))*CELL("contenu",$B$18),0))/IF(SUM(COUNTA(C5:C6)*CELL("contenu",$B$4),COUNTA(C8:C11)*CELL("contenu",$B$7),COUNTA(C13:C13)*CELL("contenu",$B$12),COUNTA(C15:C17)*CELL("contenu",$B$14),COUNTA(C19:C19)*CELL("contenu",$B$18))=0,1,SUM(COUNTA(C5:C6)*CELL("contenu",$B$4),COUNTA(C8:C11)*CELL("contenu",$B$7),COUNTA(C13:C13)*CELL("contenu",$B$12),COUNTA(C15:C17)*CELL("contenu",$B$14),COUNTA(C19:C19)*CELL("contenu",$B$18))))</f>
        <v>16.666666666666668</v>
      </c>
      <c r="D20" s="168">
        <f ca="1">IF(COUNTA(D5:D19)=0,"",5*SUM(IFERROR((((COUNTIF(D5:D6,"A"))*4)+((COUNTIF(D5:D6,"B"))*3)+((COUNTIF(D5:D6,"C"))*2)+((COUNTIF(D5:D6,"D"))*1))*CELL("contenu",$B$4),0),IFERROR((((COUNTIF(D8:D11,"A"))*4)+((COUNTIF(D8:D11,"B"))*3)+((COUNTIF(D8:D11,"C"))*2)+((COUNTIF(D8:D11,"D"))*1))*CELL("contenu",$B$7),0),IFERROR((((COUNTIF(D13:D13,"A"))*4)+((COUNTIF(D13:D13,"B"))*3)+((COUNTIF(D13:D13,"C"))*2)+((COUNTIF(D13:D13,"D"))*1))*CELL("contenu",$B$12),0),IFERROR((((COUNTIF(D15:D17,"A"))*4)+((COUNTIF(D15:D17,"B"))*3)+((COUNTIF(D15:D17,"C"))*2)+((COUNTIF(D15:D17,"D"))*1))*CELL("contenu",$B$14),0),IFERROR((((COUNTIF(D19:D19,"A"))*4)+((COUNTIF(D19:D19,"B"))*3)+((COUNTIF(D19:D19,"C"))*2)+((COUNTIF(D19:D19,"D"))*1))*CELL("contenu",$B$18),0))/IF(SUM(COUNTA(D5:D6)*CELL("contenu",$B$4),COUNTA(D8:D11)*CELL("contenu",$B$7),COUNTA(D13:D13)*CELL("contenu",$B$12),COUNTA(D15:D17)*CELL("contenu",$B$14),COUNTA(D19:D19)*CELL("contenu",$B$18))=0,1,SUM(COUNTA(D5:D6)*CELL("contenu",$B$4),COUNTA(D8:D11)*CELL("contenu",$B$7),COUNTA(D13:D13)*CELL("contenu",$B$12),COUNTA(D15:D17)*CELL("contenu",$B$14),COUNTA(D19:D19)*CELL("contenu",$B$18))))</f>
        <v>16.666666666666668</v>
      </c>
      <c r="E20" s="169" t="str">
        <f ca="1">IF(COUNTA(E5:E19)=0,"",5*SUM(IFERROR((((COUNTIF(E5:E6,"A"))*4)+((COUNTIF(E5:E6,"B"))*3)+((COUNTIF(E5:E6,"C"))*2)+((COUNTIF(E5:E6,"D"))*1))*CELL("contenu",$B$4),0),IFERROR((((COUNTIF(E8:E11,"A"))*4)+((COUNTIF(E8:E11,"B"))*3)+((COUNTIF(E8:E11,"C"))*2)+((COUNTIF(E8:E11,"D"))*1))*CELL("contenu",$B$7),0),IFERROR((((COUNTIF(E13:E13,"A"))*4)+((COUNTIF(E13:E13,"B"))*3)+((COUNTIF(E13:E13,"C"))*2)+((COUNTIF(E13:E13,"D"))*1))*CELL("contenu",$B$12),0),IFERROR((((COUNTIF(E15:E17,"A"))*4)+((COUNTIF(E15:E17,"B"))*3)+((COUNTIF(E15:E17,"C"))*2)+((COUNTIF(E15:E17,"D"))*1))*CELL("contenu",$B$14),0),IFERROR((((COUNTIF(E19:E19,"A"))*4)+((COUNTIF(E19:E19,"B"))*3)+((COUNTIF(E19:E19,"C"))*2)+((COUNTIF(E19:E19,"D"))*1))*CELL("contenu",$B$18),0))/IF(SUM(COUNTA(E5:E6)*CELL("contenu",$B$4),COUNTA(E8:E11)*CELL("contenu",$B$7),COUNTA(E13:E13)*CELL("contenu",$B$12),COUNTA(E15:E17)*CELL("contenu",$B$14),COUNTA(E19:E19)*CELL("contenu",$B$18))=0,1,SUM(COUNTA(E5:E6)*CELL("contenu",$B$4),COUNTA(E8:E11)*CELL("contenu",$B$7),COUNTA(E13:E13)*CELL("contenu",$B$12),COUNTA(E15:E17)*CELL("contenu",$B$14),COUNTA(E19:E19)*CELL("contenu",$B$18))))</f>
        <v/>
      </c>
      <c r="F20" s="116"/>
      <c r="G20" s="192">
        <f ca="1">IF(COUNTA(C20:E20)-COUNTBLANK(C20:E20)=0,"",SUM(C20:E20)/(COUNTA(C20:E20)-COUNTBLANK(C20:E20)))</f>
        <v>16.666666666666668</v>
      </c>
      <c r="H20" s="182" t="str">
        <f ca="1">IF(COUNTA(H5:H19)=0,"",5*SUM(IFERROR((((COUNTIF(H5:H6,"A"))*4)+((COUNTIF(H5:H6,"B"))*3)+((COUNTIF(H5:H6,"C"))*2)+((COUNTIF(H5:H6,"D"))*1))*CELL("contenu",$B$4),0),IFERROR((((COUNTIF(H8:H11,"A"))*4)+((COUNTIF(H8:H11,"B"))*3)+((COUNTIF(H8:H11,"C"))*2)+((COUNTIF(H8:H11,"D"))*1))*CELL("contenu",$B$7),0),IFERROR((((COUNTIF(H13:H13,"A"))*4)+((COUNTIF(H13:H13,"B"))*3)+((COUNTIF(H13:H13,"C"))*2)+((COUNTIF(H13:H13,"D"))*1))*CELL("contenu",$B$12),0),IFERROR((((COUNTIF(H15:H17,"A"))*4)+((COUNTIF(H15:H17,"B"))*3)+((COUNTIF(H15:H17,"C"))*2)+((COUNTIF(H15:H17,"D"))*1))*CELL("contenu",$B$14),0),IFERROR((((COUNTIF(H19:H19,"A"))*4)+((COUNTIF(H19:H19,"B"))*3)+((COUNTIF(H19:H19,"C"))*2)+((COUNTIF(H19:H19,"D"))*1))*CELL("contenu",$B$18),0))/IF(SUM(COUNTA(H5:H6)*CELL("contenu",$B$4),COUNTA(H8:H11)*CELL("contenu",$B$7),COUNTA(H13:H13)*CELL("contenu",$B$12),COUNTA(H15:H17)*CELL("contenu",$B$14),COUNTA(H19:H19)*CELL("contenu",$B$18))=0,1,SUM(COUNTA(H5:H6)*CELL("contenu",$B$4),COUNTA(H8:H11)*CELL("contenu",$B$7),COUNTA(H13:H13)*CELL("contenu",$B$12),COUNTA(H15:H17)*CELL("contenu",$B$14),COUNTA(H19:H19)*CELL("contenu",$B$18))))</f>
        <v/>
      </c>
      <c r="I20" s="183" t="str">
        <f ca="1">IF(COUNTA(I5:I19)=0,"",5*SUM(IFERROR((((COUNTIF(I5:I6,"A"))*4)+((COUNTIF(I5:I6,"B"))*3)+((COUNTIF(I5:I6,"C"))*2)+((COUNTIF(I5:I6,"D"))*1))*CELL("contenu",$B$4),0),IFERROR((((COUNTIF(I8:I11,"A"))*4)+((COUNTIF(I8:I11,"B"))*3)+((COUNTIF(I8:I11,"C"))*2)+((COUNTIF(I8:I11,"D"))*1))*CELL("contenu",$B$7),0),IFERROR((((COUNTIF(I13:I13,"A"))*4)+((COUNTIF(I13:I13,"B"))*3)+((COUNTIF(I13:I13,"C"))*2)+((COUNTIF(I13:I13,"D"))*1))*CELL("contenu",$B$12),0),IFERROR((((COUNTIF(I15:I17,"A"))*4)+((COUNTIF(I15:I17,"B"))*3)+((COUNTIF(I15:I17,"C"))*2)+((COUNTIF(I15:I17,"D"))*1))*CELL("contenu",$B$14),0),IFERROR((((COUNTIF(I19:I19,"A"))*4)+((COUNTIF(I19:I19,"B"))*3)+((COUNTIF(I19:I19,"C"))*2)+((COUNTIF(I19:I19,"D"))*1))*CELL("contenu",$B$18),0))/IF(SUM(COUNTA(I5:I6)*CELL("contenu",$B$4),COUNTA(I8:I11)*CELL("contenu",$B$7),COUNTA(I13:I13)*CELL("contenu",$B$12),COUNTA(I15:I17)*CELL("contenu",$B$14),COUNTA(I19:I19)*CELL("contenu",$B$18))=0,1,SUM(COUNTA(I5:I6)*CELL("contenu",$B$4),COUNTA(I8:I11)*CELL("contenu",$B$7),COUNTA(I13:I13)*CELL("contenu",$B$12),COUNTA(I15:I17)*CELL("contenu",$B$14),COUNTA(I19:I19)*CELL("contenu",$B$18))))</f>
        <v/>
      </c>
      <c r="J20" s="184" t="str">
        <f ca="1">IF(COUNTA(J5:J19)=0,"",5*SUM(IFERROR((((COUNTIF(J5:J6,"A"))*4)+((COUNTIF(J5:J6,"B"))*3)+((COUNTIF(J5:J6,"C"))*2)+((COUNTIF(J5:J6,"D"))*1))*CELL("contenu",$B$4),0),IFERROR((((COUNTIF(J8:J11,"A"))*4)+((COUNTIF(J8:J11,"B"))*3)+((COUNTIF(J8:J11,"C"))*2)+((COUNTIF(J8:J11,"D"))*1))*CELL("contenu",$B$7),0),IFERROR((((COUNTIF(J13:J13,"A"))*4)+((COUNTIF(J13:J13,"B"))*3)+((COUNTIF(J13:J13,"C"))*2)+((COUNTIF(J13:J13,"D"))*1))*CELL("contenu",$B$12),0),IFERROR((((COUNTIF(J15:J17,"A"))*4)+((COUNTIF(J15:J17,"B"))*3)+((COUNTIF(J15:J17,"C"))*2)+((COUNTIF(J15:J17,"D"))*1))*CELL("contenu",$B$14),0),IFERROR((((COUNTIF(J19:J19,"A"))*4)+((COUNTIF(J19:J19,"B"))*3)+((COUNTIF(J19:J19,"C"))*2)+((COUNTIF(J19:J19,"D"))*1))*CELL("contenu",$B$18),0))/IF(SUM(COUNTA(J5:J6)*CELL("contenu",$B$4),COUNTA(J8:J11)*CELL("contenu",$B$7),COUNTA(J13:J13)*CELL("contenu",$B$12),COUNTA(J15:J17)*CELL("contenu",$B$14),COUNTA(J19:J19)*CELL("contenu",$B$18))=0,1,SUM(COUNTA(J5:J6)*CELL("contenu",$B$4),COUNTA(J8:J11)*CELL("contenu",$B$7),COUNTA(J13:J13)*CELL("contenu",$B$12),COUNTA(J15:J17)*CELL("contenu",$B$14),COUNTA(J19:J19)*CELL("contenu",$B$18))))</f>
        <v/>
      </c>
      <c r="K20" s="176"/>
      <c r="L20" s="175" t="str">
        <f ca="1">IF(COUNTA(H20:J20)-COUNTBLANK(H20:J20)=0,"",SUM(H20:J20)/(COUNTA(H20:J20)-COUNTBLANK(H20:J20)))</f>
        <v/>
      </c>
      <c r="M20" s="182" t="str">
        <f ca="1">IF(COUNTA(M5:M19)=0,"",5*SUM(IFERROR((((COUNTIF(M5:M6,"A"))*4)+((COUNTIF(M5:M6,"B"))*3)+((COUNTIF(M5:M6,"C"))*2)+((COUNTIF(M5:M6,"D"))*1))*CELL("contenu",$B$4),0),IFERROR((((COUNTIF(M8:M11,"A"))*4)+((COUNTIF(M8:M11,"B"))*3)+((COUNTIF(M8:M11,"C"))*2)+((COUNTIF(M8:M11,"D"))*1))*CELL("contenu",$B$7),0),IFERROR((((COUNTIF(M13:M13,"A"))*4)+((COUNTIF(M13:M13,"B"))*3)+((COUNTIF(M13:M13,"C"))*2)+((COUNTIF(M13:M13,"D"))*1))*CELL("contenu",$B$12),0),IFERROR((((COUNTIF(M15:M17,"A"))*4)+((COUNTIF(M15:M17,"B"))*3)+((COUNTIF(M15:M17,"C"))*2)+((COUNTIF(M15:M17,"D"))*1))*CELL("contenu",$B$14),0),IFERROR((((COUNTIF(M19:M19,"A"))*4)+((COUNTIF(M19:M19,"B"))*3)+((COUNTIF(M19:M19,"C"))*2)+((COUNTIF(M19:M19,"D"))*1))*CELL("contenu",$B$18),0))/IF(SUM(COUNTA(M5:M6)*CELL("contenu",$B$4),COUNTA(M8:M11)*CELL("contenu",$B$7),COUNTA(M13:M13)*CELL("contenu",$B$12),COUNTA(M15:M17)*CELL("contenu",$B$14),COUNTA(M19:M19)*CELL("contenu",$B$18))=0,1,SUM(COUNTA(M5:M6)*CELL("contenu",$B$4),COUNTA(M8:M11)*CELL("contenu",$B$7),COUNTA(M13:M13)*CELL("contenu",$B$12),COUNTA(M15:M17)*CELL("contenu",$B$14),COUNTA(M19:M19)*CELL("contenu",$B$18))))</f>
        <v/>
      </c>
      <c r="N20" s="183" t="str">
        <f ca="1">IF(COUNTA(N5:N19)=0,"",5*SUM(IFERROR((((COUNTIF(N5:N6,"A"))*4)+((COUNTIF(N5:N6,"B"))*3)+((COUNTIF(N5:N6,"C"))*2)+((COUNTIF(N5:N6,"D"))*1))*CELL("contenu",$B$4),0),IFERROR((((COUNTIF(N8:N11,"A"))*4)+((COUNTIF(N8:N11,"B"))*3)+((COUNTIF(N8:N11,"C"))*2)+((COUNTIF(N8:N11,"D"))*1))*CELL("contenu",$B$7),0),IFERROR((((COUNTIF(N13:N13,"A"))*4)+((COUNTIF(N13:N13,"B"))*3)+((COUNTIF(N13:N13,"C"))*2)+((COUNTIF(N13:N13,"D"))*1))*CELL("contenu",$B$12),0),IFERROR((((COUNTIF(N15:N17,"A"))*4)+((COUNTIF(N15:N17,"B"))*3)+((COUNTIF(N15:N17,"C"))*2)+((COUNTIF(N15:N17,"D"))*1))*CELL("contenu",$B$14),0),IFERROR((((COUNTIF(N19:N19,"A"))*4)+((COUNTIF(N19:N19,"B"))*3)+((COUNTIF(N19:N19,"C"))*2)+((COUNTIF(N19:N19,"D"))*1))*CELL("contenu",$B$18),0))/IF(SUM(COUNTA(N5:N6)*CELL("contenu",$B$4),COUNTA(N8:N11)*CELL("contenu",$B$7),COUNTA(N13:N13)*CELL("contenu",$B$12),COUNTA(N15:N17)*CELL("contenu",$B$14),COUNTA(N19:N19)*CELL("contenu",$B$18))=0,1,SUM(COUNTA(N5:N6)*CELL("contenu",$B$4),COUNTA(N8:N11)*CELL("contenu",$B$7),COUNTA(N13:N13)*CELL("contenu",$B$12),COUNTA(N15:N17)*CELL("contenu",$B$14),COUNTA(N19:N19)*CELL("contenu",$B$18))))</f>
        <v/>
      </c>
      <c r="O20" s="184" t="str">
        <f ca="1">IF(COUNTA(O5:O19)=0,"",5*SUM(IFERROR((((COUNTIF(O5:O6,"A"))*4)+((COUNTIF(O5:O6,"B"))*3)+((COUNTIF(O5:O6,"C"))*2)+((COUNTIF(O5:O6,"D"))*1))*CELL("contenu",$B$4),0),IFERROR((((COUNTIF(O8:O11,"A"))*4)+((COUNTIF(O8:O11,"B"))*3)+((COUNTIF(O8:O11,"C"))*2)+((COUNTIF(O8:O11,"D"))*1))*CELL("contenu",$B$7),0),IFERROR((((COUNTIF(O13:O13,"A"))*4)+((COUNTIF(O13:O13,"B"))*3)+((COUNTIF(O13:O13,"C"))*2)+((COUNTIF(O13:O13,"D"))*1))*CELL("contenu",$B$12),0),IFERROR((((COUNTIF(O15:O17,"A"))*4)+((COUNTIF(O15:O17,"B"))*3)+((COUNTIF(O15:O17,"C"))*2)+((COUNTIF(O15:O17,"D"))*1))*CELL("contenu",$B$14),0),IFERROR((((COUNTIF(O19:O19,"A"))*4)+((COUNTIF(O19:O19,"B"))*3)+((COUNTIF(O19:O19,"C"))*2)+((COUNTIF(O19:O19,"D"))*1))*CELL("contenu",$B$18),0))/IF(SUM(COUNTA(O5:O6)*CELL("contenu",$B$4),COUNTA(O8:O11)*CELL("contenu",$B$7),COUNTA(O13:O13)*CELL("contenu",$B$12),COUNTA(O15:O17)*CELL("contenu",$B$14),COUNTA(O19:O19)*CELL("contenu",$B$18))=0,1,SUM(COUNTA(O5:O6)*CELL("contenu",$B$4),COUNTA(O8:O11)*CELL("contenu",$B$7),COUNTA(O13:O13)*CELL("contenu",$B$12),COUNTA(O15:O17)*CELL("contenu",$B$14),COUNTA(O19:O19)*CELL("contenu",$B$18))))</f>
        <v/>
      </c>
      <c r="P20" s="176"/>
      <c r="Q20" s="174" t="str">
        <f ca="1">IF(COUNTA(M20:O20)-COUNTBLANK(M20:O20)=0,"",SUM(M20:O20)/(COUNTA(M20:O20)-COUNTBLANK(M20:O20)))</f>
        <v/>
      </c>
      <c r="R20" s="103"/>
      <c r="S20" s="141"/>
      <c r="T20" s="167">
        <f ca="1">IF(COUNTA(T5:T19)=0,"",5*SUM(IFERROR((((COUNTIF(T5:T6,"A"))*4)+((COUNTIF(T5:T6,"B"))*3)+((COUNTIF(T5:T6,"C"))*2)+((COUNTIF(T5:T6,"D"))*1))*CELL("contenu",$B$4),0),IFERROR((((COUNTIF(T8:T11,"A"))*4)+((COUNTIF(T8:T11,"B"))*3)+((COUNTIF(T8:T11,"C"))*2)+((COUNTIF(T8:T11,"D"))*1))*CELL("contenu",$B$7),0),IFERROR((((COUNTIF(T13:T13,"A"))*4)+((COUNTIF(T13:T13,"B"))*3)+((COUNTIF(T13:T13,"C"))*2)+((COUNTIF(T13:T13,"D"))*1))*CELL("contenu",$B$12),0),IFERROR((((COUNTIF(T15:T17,"A"))*4)+((COUNTIF(T15:T17,"B"))*3)+((COUNTIF(T15:T17,"C"))*2)+((COUNTIF(T15:T17,"D"))*1))*CELL("contenu",$B$14),0),IFERROR((((COUNTIF(T19:T19,"A"))*4)+((COUNTIF(T19:T19,"B"))*3)+((COUNTIF(T19:T19,"C"))*2)+((COUNTIF(T19:T19,"D"))*1))*CELL("contenu",$B$18),0))/IF(SUM(COUNTA(T5:T6)*CELL("contenu",$B$4),COUNTA(T8:T11)*CELL("contenu",$B$7),COUNTA(T13:T13)*CELL("contenu",$B$12),COUNTA(T15:T17)*CELL("contenu",$B$14),COUNTA(T19:T19)*CELL("contenu",$B$18))=0,1,SUM(COUNTA(T5:T6)*CELL("contenu",$B$4),COUNTA(T8:T11)*CELL("contenu",$B$7),COUNTA(T13:T13)*CELL("contenu",$B$12),COUNTA(T15:T17)*CELL("contenu",$B$14),COUNTA(T19:T19)*CELL("contenu",$B$18))))</f>
        <v>11.666666666666666</v>
      </c>
      <c r="U20" s="168">
        <f ca="1">IF(COUNTA(U5:U19)=0,"",5*SUM(IFERROR((((COUNTIF(U5:U6,"A"))*4)+((COUNTIF(U5:U6,"B"))*3)+((COUNTIF(U5:U6,"C"))*2)+((COUNTIF(U5:U6,"D"))*1))*CELL("contenu",$B$4),0),IFERROR((((COUNTIF(U8:U11,"A"))*4)+((COUNTIF(U8:U11,"B"))*3)+((COUNTIF(U8:U11,"C"))*2)+((COUNTIF(U8:U11,"D"))*1))*CELL("contenu",$B$7),0),IFERROR((((COUNTIF(U13:U13,"A"))*4)+((COUNTIF(U13:U13,"B"))*3)+((COUNTIF(U13:U13,"C"))*2)+((COUNTIF(U13:U13,"D"))*1))*CELL("contenu",$B$12),0),IFERROR((((COUNTIF(U15:U17,"A"))*4)+((COUNTIF(U15:U17,"B"))*3)+((COUNTIF(U15:U17,"C"))*2)+((COUNTIF(U15:U17,"D"))*1))*CELL("contenu",$B$14),0),IFERROR((((COUNTIF(U19:U19,"A"))*4)+((COUNTIF(U19:U19,"B"))*3)+((COUNTIF(U19:U19,"C"))*2)+((COUNTIF(U19:U19,"D"))*1))*CELL("contenu",$B$18),0))/IF(SUM(COUNTA(U5:U6)*CELL("contenu",$B$4),COUNTA(U8:U11)*CELL("contenu",$B$7),COUNTA(U13:U13)*CELL("contenu",$B$12),COUNTA(U15:U17)*CELL("contenu",$B$14),COUNTA(U19:U19)*CELL("contenu",$B$18))=0,1,SUM(COUNTA(U5:U6)*CELL("contenu",$B$4),COUNTA(U8:U11)*CELL("contenu",$B$7),COUNTA(U13:U13)*CELL("contenu",$B$12),COUNTA(U15:U17)*CELL("contenu",$B$14),COUNTA(U19:U19)*CELL("contenu",$B$18))))</f>
        <v>13.333333333333334</v>
      </c>
      <c r="V20" s="169" t="str">
        <f ca="1">IF(COUNTA(V5:V19)=0,"",5*SUM(IFERROR((((COUNTIF(V5:V6,"A"))*4)+((COUNTIF(V5:V6,"B"))*3)+((COUNTIF(V5:V6,"C"))*2)+((COUNTIF(V5:V6,"D"))*1))*CELL("contenu",$B$4),0),IFERROR((((COUNTIF(V8:V11,"A"))*4)+((COUNTIF(V8:V11,"B"))*3)+((COUNTIF(V8:V11,"C"))*2)+((COUNTIF(V8:V11,"D"))*1))*CELL("contenu",$B$7),0),IFERROR((((COUNTIF(V13:V13,"A"))*4)+((COUNTIF(V13:V13,"B"))*3)+((COUNTIF(V13:V13,"C"))*2)+((COUNTIF(V13:V13,"D"))*1))*CELL("contenu",$B$12),0),IFERROR((((COUNTIF(V15:V17,"A"))*4)+((COUNTIF(V15:V17,"B"))*3)+((COUNTIF(V15:V17,"C"))*2)+((COUNTIF(V15:V17,"D"))*1))*CELL("contenu",$B$14),0),IFERROR((((COUNTIF(V19:V19,"A"))*4)+((COUNTIF(V19:V19,"B"))*3)+((COUNTIF(V19:V19,"C"))*2)+((COUNTIF(V19:V19,"D"))*1))*CELL("contenu",$B$18),0))/IF(SUM(COUNTA(V5:V6)*CELL("contenu",$B$4),COUNTA(V8:V11)*CELL("contenu",$B$7),COUNTA(V13:V13)*CELL("contenu",$B$12),COUNTA(V15:V17)*CELL("contenu",$B$14),COUNTA(V19:V19)*CELL("contenu",$B$18))=0,1,SUM(COUNTA(V5:V6)*CELL("contenu",$B$4),COUNTA(V8:V11)*CELL("contenu",$B$7),COUNTA(V13:V13)*CELL("contenu",$B$12),COUNTA(V15:V17)*CELL("contenu",$B$14),COUNTA(V19:V19)*CELL("contenu",$B$18))))</f>
        <v/>
      </c>
      <c r="W20" s="116"/>
      <c r="X20" s="192">
        <f ca="1">IF(COUNTA(T20:V20)-COUNTBLANK(T20:V20)=0,"",SUM(T20:V20)/(COUNTA(T20:V20)-COUNTBLANK(T20:V20)))</f>
        <v>12.5</v>
      </c>
      <c r="Y20" s="182" t="str">
        <f ca="1">IF(COUNTA(Y5:Y19)=0,"",5*SUM(IFERROR((((COUNTIF(Y5:Y6,"A"))*4)+((COUNTIF(Y5:Y6,"B"))*3)+((COUNTIF(Y5:Y6,"C"))*2)+((COUNTIF(Y5:Y6,"D"))*1))*CELL("contenu",$B$4),0),IFERROR((((COUNTIF(Y8:Y11,"A"))*4)+((COUNTIF(Y8:Y11,"B"))*3)+((COUNTIF(Y8:Y11,"C"))*2)+((COUNTIF(Y8:Y11,"D"))*1))*CELL("contenu",$B$7),0),IFERROR((((COUNTIF(Y13:Y13,"A"))*4)+((COUNTIF(Y13:Y13,"B"))*3)+((COUNTIF(Y13:Y13,"C"))*2)+((COUNTIF(Y13:Y13,"D"))*1))*CELL("contenu",$B$12),0),IFERROR((((COUNTIF(Y15:Y17,"A"))*4)+((COUNTIF(Y15:Y17,"B"))*3)+((COUNTIF(Y15:Y17,"C"))*2)+((COUNTIF(Y15:Y17,"D"))*1))*CELL("contenu",$B$14),0),IFERROR((((COUNTIF(Y19:Y19,"A"))*4)+((COUNTIF(Y19:Y19,"B"))*3)+((COUNTIF(Y19:Y19,"C"))*2)+((COUNTIF(Y19:Y19,"D"))*1))*CELL("contenu",$B$18),0))/IF(SUM(COUNTA(Y5:Y6)*CELL("contenu",$B$4),COUNTA(Y8:Y11)*CELL("contenu",$B$7),COUNTA(Y13:Y13)*CELL("contenu",$B$12),COUNTA(Y15:Y17)*CELL("contenu",$B$14),COUNTA(Y19:Y19)*CELL("contenu",$B$18))=0,1,SUM(COUNTA(Y5:Y6)*CELL("contenu",$B$4),COUNTA(Y8:Y11)*CELL("contenu",$B$7),COUNTA(Y13:Y13)*CELL("contenu",$B$12),COUNTA(Y15:Y17)*CELL("contenu",$B$14),COUNTA(Y19:Y19)*CELL("contenu",$B$18))))</f>
        <v/>
      </c>
      <c r="Z20" s="183" t="str">
        <f ca="1">IF(COUNTA(Z5:Z19)=0,"",5*SUM(IFERROR((((COUNTIF(Z5:Z6,"A"))*4)+((COUNTIF(Z5:Z6,"B"))*3)+((COUNTIF(Z5:Z6,"C"))*2)+((COUNTIF(Z5:Z6,"D"))*1))*CELL("contenu",$B$4),0),IFERROR((((COUNTIF(Z8:Z11,"A"))*4)+((COUNTIF(Z8:Z11,"B"))*3)+((COUNTIF(Z8:Z11,"C"))*2)+((COUNTIF(Z8:Z11,"D"))*1))*CELL("contenu",$B$7),0),IFERROR((((COUNTIF(Z13:Z13,"A"))*4)+((COUNTIF(Z13:Z13,"B"))*3)+((COUNTIF(Z13:Z13,"C"))*2)+((COUNTIF(Z13:Z13,"D"))*1))*CELL("contenu",$B$12),0),IFERROR((((COUNTIF(Z15:Z17,"A"))*4)+((COUNTIF(Z15:Z17,"B"))*3)+((COUNTIF(Z15:Z17,"C"))*2)+((COUNTIF(Z15:Z17,"D"))*1))*CELL("contenu",$B$14),0),IFERROR((((COUNTIF(Z19:Z19,"A"))*4)+((COUNTIF(Z19:Z19,"B"))*3)+((COUNTIF(Z19:Z19,"C"))*2)+((COUNTIF(Z19:Z19,"D"))*1))*CELL("contenu",$B$18),0))/IF(SUM(COUNTA(Z5:Z6)*CELL("contenu",$B$4),COUNTA(Z8:Z11)*CELL("contenu",$B$7),COUNTA(Z13:Z13)*CELL("contenu",$B$12),COUNTA(Z15:Z17)*CELL("contenu",$B$14),COUNTA(Z19:Z19)*CELL("contenu",$B$18))=0,1,SUM(COUNTA(Z5:Z6)*CELL("contenu",$B$4),COUNTA(Z8:Z11)*CELL("contenu",$B$7),COUNTA(Z13:Z13)*CELL("contenu",$B$12),COUNTA(Z15:Z17)*CELL("contenu",$B$14),COUNTA(Z19:Z19)*CELL("contenu",$B$18))))</f>
        <v/>
      </c>
      <c r="AA20" s="184" t="str">
        <f ca="1">IF(COUNTA(AA5:AA19)=0,"",5*SUM(IFERROR((((COUNTIF(AA5:AA6,"A"))*4)+((COUNTIF(AA5:AA6,"B"))*3)+((COUNTIF(AA5:AA6,"C"))*2)+((COUNTIF(AA5:AA6,"D"))*1))*CELL("contenu",$B$4),0),IFERROR((((COUNTIF(AA8:AA11,"A"))*4)+((COUNTIF(AA8:AA11,"B"))*3)+((COUNTIF(AA8:AA11,"C"))*2)+((COUNTIF(AA8:AA11,"D"))*1))*CELL("contenu",$B$7),0),IFERROR((((COUNTIF(AA13:AA13,"A"))*4)+((COUNTIF(AA13:AA13,"B"))*3)+((COUNTIF(AA13:AA13,"C"))*2)+((COUNTIF(AA13:AA13,"D"))*1))*CELL("contenu",$B$12),0),IFERROR((((COUNTIF(AA15:AA17,"A"))*4)+((COUNTIF(AA15:AA17,"B"))*3)+((COUNTIF(AA15:AA17,"C"))*2)+((COUNTIF(AA15:AA17,"D"))*1))*CELL("contenu",$B$14),0),IFERROR((((COUNTIF(AA19:AA19,"A"))*4)+((COUNTIF(AA19:AA19,"B"))*3)+((COUNTIF(AA19:AA19,"C"))*2)+((COUNTIF(AA19:AA19,"D"))*1))*CELL("contenu",$B$18),0))/IF(SUM(COUNTA(AA5:AA6)*CELL("contenu",$B$4),COUNTA(AA8:AA11)*CELL("contenu",$B$7),COUNTA(AA13:AA13)*CELL("contenu",$B$12),COUNTA(AA15:AA17)*CELL("contenu",$B$14),COUNTA(AA19:AA19)*CELL("contenu",$B$18))=0,1,SUM(COUNTA(AA5:AA6)*CELL("contenu",$B$4),COUNTA(AA8:AA11)*CELL("contenu",$B$7),COUNTA(AA13:AA13)*CELL("contenu",$B$12),COUNTA(AA15:AA17)*CELL("contenu",$B$14),COUNTA(AA19:AA19)*CELL("contenu",$B$18))))</f>
        <v/>
      </c>
      <c r="AB20" s="176"/>
      <c r="AC20" s="175" t="str">
        <f ca="1">IF(COUNTA(Y20:AA20)-COUNTBLANK(Y20:AA20)=0,"",SUM(Y20:AA20)/(COUNTA(Y20:AA20)-COUNTBLANK(Y20:AA20)))</f>
        <v/>
      </c>
      <c r="AD20" s="182" t="str">
        <f ca="1">IF(COUNTA(AD5:AD19)=0,"",5*SUM(IFERROR((((COUNTIF(AD5:AD6,"A"))*4)+((COUNTIF(AD5:AD6,"B"))*3)+((COUNTIF(AD5:AD6,"C"))*2)+((COUNTIF(AD5:AD6,"D"))*1))*CELL("contenu",$B$4),0),IFERROR((((COUNTIF(AD8:AD11,"A"))*4)+((COUNTIF(AD8:AD11,"B"))*3)+((COUNTIF(AD8:AD11,"C"))*2)+((COUNTIF(AD8:AD11,"D"))*1))*CELL("contenu",$B$7),0),IFERROR((((COUNTIF(AD13:AD13,"A"))*4)+((COUNTIF(AD13:AD13,"B"))*3)+((COUNTIF(AD13:AD13,"C"))*2)+((COUNTIF(AD13:AD13,"D"))*1))*CELL("contenu",$B$12),0),IFERROR((((COUNTIF(AD15:AD17,"A"))*4)+((COUNTIF(AD15:AD17,"B"))*3)+((COUNTIF(AD15:AD17,"C"))*2)+((COUNTIF(AD15:AD17,"D"))*1))*CELL("contenu",$B$14),0),IFERROR((((COUNTIF(AD19:AD19,"A"))*4)+((COUNTIF(AD19:AD19,"B"))*3)+((COUNTIF(AD19:AD19,"C"))*2)+((COUNTIF(AD19:AD19,"D"))*1))*CELL("contenu",$B$18),0))/IF(SUM(COUNTA(AD5:AD6)*CELL("contenu",$B$4),COUNTA(AD8:AD11)*CELL("contenu",$B$7),COUNTA(AD13:AD13)*CELL("contenu",$B$12),COUNTA(AD15:AD17)*CELL("contenu",$B$14),COUNTA(AD19:AD19)*CELL("contenu",$B$18))=0,1,SUM(COUNTA(AD5:AD6)*CELL("contenu",$B$4),COUNTA(AD8:AD11)*CELL("contenu",$B$7),COUNTA(AD13:AD13)*CELL("contenu",$B$12),COUNTA(AD15:AD17)*CELL("contenu",$B$14),COUNTA(AD19:AD19)*CELL("contenu",$B$18))))</f>
        <v/>
      </c>
      <c r="AE20" s="183" t="str">
        <f ca="1">IF(COUNTA(AE5:AE19)=0,"",5*SUM(IFERROR((((COUNTIF(AE5:AE6,"A"))*4)+((COUNTIF(AE5:AE6,"B"))*3)+((COUNTIF(AE5:AE6,"C"))*2)+((COUNTIF(AE5:AE6,"D"))*1))*CELL("contenu",$B$4),0),IFERROR((((COUNTIF(AE8:AE11,"A"))*4)+((COUNTIF(AE8:AE11,"B"))*3)+((COUNTIF(AE8:AE11,"C"))*2)+((COUNTIF(AE8:AE11,"D"))*1))*CELL("contenu",$B$7),0),IFERROR((((COUNTIF(AE13:AE13,"A"))*4)+((COUNTIF(AE13:AE13,"B"))*3)+((COUNTIF(AE13:AE13,"C"))*2)+((COUNTIF(AE13:AE13,"D"))*1))*CELL("contenu",$B$12),0),IFERROR((((COUNTIF(AE15:AE17,"A"))*4)+((COUNTIF(AE15:AE17,"B"))*3)+((COUNTIF(AE15:AE17,"C"))*2)+((COUNTIF(AE15:AE17,"D"))*1))*CELL("contenu",$B$14),0),IFERROR((((COUNTIF(AE19:AE19,"A"))*4)+((COUNTIF(AE19:AE19,"B"))*3)+((COUNTIF(AE19:AE19,"C"))*2)+((COUNTIF(AE19:AE19,"D"))*1))*CELL("contenu",$B$18),0))/IF(SUM(COUNTA(AE5:AE6)*CELL("contenu",$B$4),COUNTA(AE8:AE11)*CELL("contenu",$B$7),COUNTA(AE13:AE13)*CELL("contenu",$B$12),COUNTA(AE15:AE17)*CELL("contenu",$B$14),COUNTA(AE19:AE19)*CELL("contenu",$B$18))=0,1,SUM(COUNTA(AE5:AE6)*CELL("contenu",$B$4),COUNTA(AE8:AE11)*CELL("contenu",$B$7),COUNTA(AE13:AE13)*CELL("contenu",$B$12),COUNTA(AE15:AE17)*CELL("contenu",$B$14),COUNTA(AE19:AE19)*CELL("contenu",$B$18))))</f>
        <v/>
      </c>
      <c r="AF20" s="184" t="str">
        <f ca="1">IF(COUNTA(AF5:AF19)=0,"",5*SUM(IFERROR((((COUNTIF(AF5:AF6,"A"))*4)+((COUNTIF(AF5:AF6,"B"))*3)+((COUNTIF(AF5:AF6,"C"))*2)+((COUNTIF(AF5:AF6,"D"))*1))*CELL("contenu",$B$4),0),IFERROR((((COUNTIF(AF8:AF11,"A"))*4)+((COUNTIF(AF8:AF11,"B"))*3)+((COUNTIF(AF8:AF11,"C"))*2)+((COUNTIF(AF8:AF11,"D"))*1))*CELL("contenu",$B$7),0),IFERROR((((COUNTIF(AF13:AF13,"A"))*4)+((COUNTIF(AF13:AF13,"B"))*3)+((COUNTIF(AF13:AF13,"C"))*2)+((COUNTIF(AF13:AF13,"D"))*1))*CELL("contenu",$B$12),0),IFERROR((((COUNTIF(AF15:AF17,"A"))*4)+((COUNTIF(AF15:AF17,"B"))*3)+((COUNTIF(AF15:AF17,"C"))*2)+((COUNTIF(AF15:AF17,"D"))*1))*CELL("contenu",$B$14),0),IFERROR((((COUNTIF(AF19:AF19,"A"))*4)+((COUNTIF(AF19:AF19,"B"))*3)+((COUNTIF(AF19:AF19,"C"))*2)+((COUNTIF(AF19:AF19,"D"))*1))*CELL("contenu",$B$18),0))/IF(SUM(COUNTA(AF5:AF6)*CELL("contenu",$B$4),COUNTA(AF8:AF11)*CELL("contenu",$B$7),COUNTA(AF13:AF13)*CELL("contenu",$B$12),COUNTA(AF15:AF17)*CELL("contenu",$B$14),COUNTA(AF19:AF19)*CELL("contenu",$B$18))=0,1,SUM(COUNTA(AF5:AF6)*CELL("contenu",$B$4),COUNTA(AF8:AF11)*CELL("contenu",$B$7),COUNTA(AF13:AF13)*CELL("contenu",$B$12),COUNTA(AF15:AF17)*CELL("contenu",$B$14),COUNTA(AF19:AF19)*CELL("contenu",$B$18))))</f>
        <v/>
      </c>
      <c r="AG20" s="176"/>
      <c r="AH20" s="174" t="str">
        <f ca="1">IF(COUNTA(AD20:AF20)-COUNTBLANK(AD20:AF20)=0,"",SUM(AD20:AF20)/(COUNTA(AD20:AF20)-COUNTBLANK(AD20:AF20)))</f>
        <v/>
      </c>
      <c r="AI20" s="103"/>
      <c r="AJ20" s="141"/>
      <c r="AK20" s="167">
        <f ca="1">IF(COUNTA(AK5:AK19)=0,"",5*SUM(IFERROR((((COUNTIF(AK5:AK6,"A"))*4)+((COUNTIF(AK5:AK6,"B"))*3)+((COUNTIF(AK5:AK6,"C"))*2)+((COUNTIF(AK5:AK6,"D"))*1))*CELL("contenu",$B$4),0),IFERROR((((COUNTIF(AK8:AK11,"A"))*4)+((COUNTIF(AK8:AK11,"B"))*3)+((COUNTIF(AK8:AK11,"C"))*2)+((COUNTIF(AK8:AK11,"D"))*1))*CELL("contenu",$B$7),0),IFERROR((((COUNTIF(AK13:AK13,"A"))*4)+((COUNTIF(AK13:AK13,"B"))*3)+((COUNTIF(AK13:AK13,"C"))*2)+((COUNTIF(AK13:AK13,"D"))*1))*CELL("contenu",$B$12),0),IFERROR((((COUNTIF(AK15:AK17,"A"))*4)+((COUNTIF(AK15:AK17,"B"))*3)+((COUNTIF(AK15:AK17,"C"))*2)+((COUNTIF(AK15:AK17,"D"))*1))*CELL("contenu",$B$14),0),IFERROR((((COUNTIF(AK19:AK19,"A"))*4)+((COUNTIF(AK19:AK19,"B"))*3)+((COUNTIF(AK19:AK19,"C"))*2)+((COUNTIF(AK19:AK19,"D"))*1))*CELL("contenu",$B$18),0))/IF(SUM(COUNTA(AK5:AK6)*CELL("contenu",$B$4),COUNTA(AK8:AK11)*CELL("contenu",$B$7),COUNTA(AK13:AK13)*CELL("contenu",$B$12),COUNTA(AK15:AK17)*CELL("contenu",$B$14),COUNTA(AK19:AK19)*CELL("contenu",$B$18))=0,1,SUM(COUNTA(AK5:AK6)*CELL("contenu",$B$4),COUNTA(AK8:AK11)*CELL("contenu",$B$7),COUNTA(AK13:AK13)*CELL("contenu",$B$12),COUNTA(AK15:AK17)*CELL("contenu",$B$14),COUNTA(AK19:AK19)*CELL("contenu",$B$18))))</f>
        <v>18.333333333333332</v>
      </c>
      <c r="AL20" s="168">
        <f ca="1">IF(COUNTA(AL5:AL19)=0,"",5*SUM(IFERROR((((COUNTIF(AL5:AL6,"A"))*4)+((COUNTIF(AL5:AL6,"B"))*3)+((COUNTIF(AL5:AL6,"C"))*2)+((COUNTIF(AL5:AL6,"D"))*1))*CELL("contenu",$B$4),0),IFERROR((((COUNTIF(AL8:AL11,"A"))*4)+((COUNTIF(AL8:AL11,"B"))*3)+((COUNTIF(AL8:AL11,"C"))*2)+((COUNTIF(AL8:AL11,"D"))*1))*CELL("contenu",$B$7),0),IFERROR((((COUNTIF(AL13:AL13,"A"))*4)+((COUNTIF(AL13:AL13,"B"))*3)+((COUNTIF(AL13:AL13,"C"))*2)+((COUNTIF(AL13:AL13,"D"))*1))*CELL("contenu",$B$12),0),IFERROR((((COUNTIF(AL15:AL17,"A"))*4)+((COUNTIF(AL15:AL17,"B"))*3)+((COUNTIF(AL15:AL17,"C"))*2)+((COUNTIF(AL15:AL17,"D"))*1))*CELL("contenu",$B$14),0),IFERROR((((COUNTIF(AL19:AL19,"A"))*4)+((COUNTIF(AL19:AL19,"B"))*3)+((COUNTIF(AL19:AL19,"C"))*2)+((COUNTIF(AL19:AL19,"D"))*1))*CELL("contenu",$B$18),0))/IF(SUM(COUNTA(AL5:AL6)*CELL("contenu",$B$4),COUNTA(AL8:AL11)*CELL("contenu",$B$7),COUNTA(AL13:AL13)*CELL("contenu",$B$12),COUNTA(AL15:AL17)*CELL("contenu",$B$14),COUNTA(AL19:AL19)*CELL("contenu",$B$18))=0,1,SUM(COUNTA(AL5:AL6)*CELL("contenu",$B$4),COUNTA(AL8:AL11)*CELL("contenu",$B$7),COUNTA(AL13:AL13)*CELL("contenu",$B$12),COUNTA(AL15:AL17)*CELL("contenu",$B$14),COUNTA(AL19:AL19)*CELL("contenu",$B$18))))</f>
        <v>20</v>
      </c>
      <c r="AM20" s="169" t="str">
        <f ca="1">IF(COUNTA(AM5:AM19)=0,"",5*SUM(IFERROR((((COUNTIF(AM5:AM6,"A"))*4)+((COUNTIF(AM5:AM6,"B"))*3)+((COUNTIF(AM5:AM6,"C"))*2)+((COUNTIF(AM5:AM6,"D"))*1))*CELL("contenu",$B$4),0),IFERROR((((COUNTIF(AM8:AM11,"A"))*4)+((COUNTIF(AM8:AM11,"B"))*3)+((COUNTIF(AM8:AM11,"C"))*2)+((COUNTIF(AM8:AM11,"D"))*1))*CELL("contenu",$B$7),0),IFERROR((((COUNTIF(AM13:AM13,"A"))*4)+((COUNTIF(AM13:AM13,"B"))*3)+((COUNTIF(AM13:AM13,"C"))*2)+((COUNTIF(AM13:AM13,"D"))*1))*CELL("contenu",$B$12),0),IFERROR((((COUNTIF(AM15:AM17,"A"))*4)+((COUNTIF(AM15:AM17,"B"))*3)+((COUNTIF(AM15:AM17,"C"))*2)+((COUNTIF(AM15:AM17,"D"))*1))*CELL("contenu",$B$14),0),IFERROR((((COUNTIF(AM19:AM19,"A"))*4)+((COUNTIF(AM19:AM19,"B"))*3)+((COUNTIF(AM19:AM19,"C"))*2)+((COUNTIF(AM19:AM19,"D"))*1))*CELL("contenu",$B$18),0))/IF(SUM(COUNTA(AM5:AM6)*CELL("contenu",$B$4),COUNTA(AM8:AM11)*CELL("contenu",$B$7),COUNTA(AM13:AM13)*CELL("contenu",$B$12),COUNTA(AM15:AM17)*CELL("contenu",$B$14),COUNTA(AM19:AM19)*CELL("contenu",$B$18))=0,1,SUM(COUNTA(AM5:AM6)*CELL("contenu",$B$4),COUNTA(AM8:AM11)*CELL("contenu",$B$7),COUNTA(AM13:AM13)*CELL("contenu",$B$12),COUNTA(AM15:AM17)*CELL("contenu",$B$14),COUNTA(AM19:AM19)*CELL("contenu",$B$18))))</f>
        <v/>
      </c>
      <c r="AN20" s="116"/>
      <c r="AO20" s="192">
        <f ca="1">IF(COUNTA(AK20:AM20)-COUNTBLANK(AK20:AM20)=0,"",SUM(AK20:AM20)/(COUNTA(AK20:AM20)-COUNTBLANK(AK20:AM20)))</f>
        <v>19.166666666666664</v>
      </c>
      <c r="AP20" s="182" t="str">
        <f ca="1">IF(COUNTA(AP5:AP19)=0,"",5*SUM(IFERROR((((COUNTIF(AP5:AP6,"A"))*4)+((COUNTIF(AP5:AP6,"B"))*3)+((COUNTIF(AP5:AP6,"C"))*2)+((COUNTIF(AP5:AP6,"D"))*1))*CELL("contenu",$B$4),0),IFERROR((((COUNTIF(AP8:AP11,"A"))*4)+((COUNTIF(AP8:AP11,"B"))*3)+((COUNTIF(AP8:AP11,"C"))*2)+((COUNTIF(AP8:AP11,"D"))*1))*CELL("contenu",$B$7),0),IFERROR((((COUNTIF(AP13:AP13,"A"))*4)+((COUNTIF(AP13:AP13,"B"))*3)+((COUNTIF(AP13:AP13,"C"))*2)+((COUNTIF(AP13:AP13,"D"))*1))*CELL("contenu",$B$12),0),IFERROR((((COUNTIF(AP15:AP17,"A"))*4)+((COUNTIF(AP15:AP17,"B"))*3)+((COUNTIF(AP15:AP17,"C"))*2)+((COUNTIF(AP15:AP17,"D"))*1))*CELL("contenu",$B$14),0),IFERROR((((COUNTIF(AP19:AP19,"A"))*4)+((COUNTIF(AP19:AP19,"B"))*3)+((COUNTIF(AP19:AP19,"C"))*2)+((COUNTIF(AP19:AP19,"D"))*1))*CELL("contenu",$B$18),0))/IF(SUM(COUNTA(AP5:AP6)*CELL("contenu",$B$4),COUNTA(AP8:AP11)*CELL("contenu",$B$7),COUNTA(AP13:AP13)*CELL("contenu",$B$12),COUNTA(AP15:AP17)*CELL("contenu",$B$14),COUNTA(AP19:AP19)*CELL("contenu",$B$18))=0,1,SUM(COUNTA(AP5:AP6)*CELL("contenu",$B$4),COUNTA(AP8:AP11)*CELL("contenu",$B$7),COUNTA(AP13:AP13)*CELL("contenu",$B$12),COUNTA(AP15:AP17)*CELL("contenu",$B$14),COUNTA(AP19:AP19)*CELL("contenu",$B$18))))</f>
        <v/>
      </c>
      <c r="AQ20" s="183" t="str">
        <f ca="1">IF(COUNTA(AQ5:AQ19)=0,"",5*SUM(IFERROR((((COUNTIF(AQ5:AQ6,"A"))*4)+((COUNTIF(AQ5:AQ6,"B"))*3)+((COUNTIF(AQ5:AQ6,"C"))*2)+((COUNTIF(AQ5:AQ6,"D"))*1))*CELL("contenu",$B$4),0),IFERROR((((COUNTIF(AQ8:AQ11,"A"))*4)+((COUNTIF(AQ8:AQ11,"B"))*3)+((COUNTIF(AQ8:AQ11,"C"))*2)+((COUNTIF(AQ8:AQ11,"D"))*1))*CELL("contenu",$B$7),0),IFERROR((((COUNTIF(AQ13:AQ13,"A"))*4)+((COUNTIF(AQ13:AQ13,"B"))*3)+((COUNTIF(AQ13:AQ13,"C"))*2)+((COUNTIF(AQ13:AQ13,"D"))*1))*CELL("contenu",$B$12),0),IFERROR((((COUNTIF(AQ15:AQ17,"A"))*4)+((COUNTIF(AQ15:AQ17,"B"))*3)+((COUNTIF(AQ15:AQ17,"C"))*2)+((COUNTIF(AQ15:AQ17,"D"))*1))*CELL("contenu",$B$14),0),IFERROR((((COUNTIF(AQ19:AQ19,"A"))*4)+((COUNTIF(AQ19:AQ19,"B"))*3)+((COUNTIF(AQ19:AQ19,"C"))*2)+((COUNTIF(AQ19:AQ19,"D"))*1))*CELL("contenu",$B$18),0))/IF(SUM(COUNTA(AQ5:AQ6)*CELL("contenu",$B$4),COUNTA(AQ8:AQ11)*CELL("contenu",$B$7),COUNTA(AQ13:AQ13)*CELL("contenu",$B$12),COUNTA(AQ15:AQ17)*CELL("contenu",$B$14),COUNTA(AQ19:AQ19)*CELL("contenu",$B$18))=0,1,SUM(COUNTA(AQ5:AQ6)*CELL("contenu",$B$4),COUNTA(AQ8:AQ11)*CELL("contenu",$B$7),COUNTA(AQ13:AQ13)*CELL("contenu",$B$12),COUNTA(AQ15:AQ17)*CELL("contenu",$B$14),COUNTA(AQ19:AQ19)*CELL("contenu",$B$18))))</f>
        <v/>
      </c>
      <c r="AR20" s="184" t="str">
        <f ca="1">IF(COUNTA(AR5:AR19)=0,"",5*SUM(IFERROR((((COUNTIF(AR5:AR6,"A"))*4)+((COUNTIF(AR5:AR6,"B"))*3)+((COUNTIF(AR5:AR6,"C"))*2)+((COUNTIF(AR5:AR6,"D"))*1))*CELL("contenu",$B$4),0),IFERROR((((COUNTIF(AR8:AR11,"A"))*4)+((COUNTIF(AR8:AR11,"B"))*3)+((COUNTIF(AR8:AR11,"C"))*2)+((COUNTIF(AR8:AR11,"D"))*1))*CELL("contenu",$B$7),0),IFERROR((((COUNTIF(AR13:AR13,"A"))*4)+((COUNTIF(AR13:AR13,"B"))*3)+((COUNTIF(AR13:AR13,"C"))*2)+((COUNTIF(AR13:AR13,"D"))*1))*CELL("contenu",$B$12),0),IFERROR((((COUNTIF(AR15:AR17,"A"))*4)+((COUNTIF(AR15:AR17,"B"))*3)+((COUNTIF(AR15:AR17,"C"))*2)+((COUNTIF(AR15:AR17,"D"))*1))*CELL("contenu",$B$14),0),IFERROR((((COUNTIF(AR19:AR19,"A"))*4)+((COUNTIF(AR19:AR19,"B"))*3)+((COUNTIF(AR19:AR19,"C"))*2)+((COUNTIF(AR19:AR19,"D"))*1))*CELL("contenu",$B$18),0))/IF(SUM(COUNTA(AR5:AR6)*CELL("contenu",$B$4),COUNTA(AR8:AR11)*CELL("contenu",$B$7),COUNTA(AR13:AR13)*CELL("contenu",$B$12),COUNTA(AR15:AR17)*CELL("contenu",$B$14),COUNTA(AR19:AR19)*CELL("contenu",$B$18))=0,1,SUM(COUNTA(AR5:AR6)*CELL("contenu",$B$4),COUNTA(AR8:AR11)*CELL("contenu",$B$7),COUNTA(AR13:AR13)*CELL("contenu",$B$12),COUNTA(AR15:AR17)*CELL("contenu",$B$14),COUNTA(AR19:AR19)*CELL("contenu",$B$18))))</f>
        <v/>
      </c>
      <c r="AS20" s="176"/>
      <c r="AT20" s="175" t="str">
        <f ca="1">IF(COUNTA(AP20:AR20)-COUNTBLANK(AP20:AR20)=0,"",SUM(AP20:AR20)/(COUNTA(AP20:AR20)-COUNTBLANK(AP20:AR20)))</f>
        <v/>
      </c>
      <c r="AU20" s="182" t="str">
        <f ca="1">IF(COUNTA(AU5:AU19)=0,"",5*SUM(IFERROR((((COUNTIF(AU5:AU6,"A"))*4)+((COUNTIF(AU5:AU6,"B"))*3)+((COUNTIF(AU5:AU6,"C"))*2)+((COUNTIF(AU5:AU6,"D"))*1))*CELL("contenu",$B$4),0),IFERROR((((COUNTIF(AU8:AU11,"A"))*4)+((COUNTIF(AU8:AU11,"B"))*3)+((COUNTIF(AU8:AU11,"C"))*2)+((COUNTIF(AU8:AU11,"D"))*1))*CELL("contenu",$B$7),0),IFERROR((((COUNTIF(AU13:AU13,"A"))*4)+((COUNTIF(AU13:AU13,"B"))*3)+((COUNTIF(AU13:AU13,"C"))*2)+((COUNTIF(AU13:AU13,"D"))*1))*CELL("contenu",$B$12),0),IFERROR((((COUNTIF(AU15:AU17,"A"))*4)+((COUNTIF(AU15:AU17,"B"))*3)+((COUNTIF(AU15:AU17,"C"))*2)+((COUNTIF(AU15:AU17,"D"))*1))*CELL("contenu",$B$14),0),IFERROR((((COUNTIF(AU19:AU19,"A"))*4)+((COUNTIF(AU19:AU19,"B"))*3)+((COUNTIF(AU19:AU19,"C"))*2)+((COUNTIF(AU19:AU19,"D"))*1))*CELL("contenu",$B$18),0))/IF(SUM(COUNTA(AU5:AU6)*CELL("contenu",$B$4),COUNTA(AU8:AU11)*CELL("contenu",$B$7),COUNTA(AU13:AU13)*CELL("contenu",$B$12),COUNTA(AU15:AU17)*CELL("contenu",$B$14),COUNTA(AU19:AU19)*CELL("contenu",$B$18))=0,1,SUM(COUNTA(AU5:AU6)*CELL("contenu",$B$4),COUNTA(AU8:AU11)*CELL("contenu",$B$7),COUNTA(AU13:AU13)*CELL("contenu",$B$12),COUNTA(AU15:AU17)*CELL("contenu",$B$14),COUNTA(AU19:AU19)*CELL("contenu",$B$18))))</f>
        <v/>
      </c>
      <c r="AV20" s="183" t="str">
        <f ca="1">IF(COUNTA(AV5:AV19)=0,"",5*SUM(IFERROR((((COUNTIF(AV5:AV6,"A"))*4)+((COUNTIF(AV5:AV6,"B"))*3)+((COUNTIF(AV5:AV6,"C"))*2)+((COUNTIF(AV5:AV6,"D"))*1))*CELL("contenu",$B$4),0),IFERROR((((COUNTIF(AV8:AV11,"A"))*4)+((COUNTIF(AV8:AV11,"B"))*3)+((COUNTIF(AV8:AV11,"C"))*2)+((COUNTIF(AV8:AV11,"D"))*1))*CELL("contenu",$B$7),0),IFERROR((((COUNTIF(AV13:AV13,"A"))*4)+((COUNTIF(AV13:AV13,"B"))*3)+((COUNTIF(AV13:AV13,"C"))*2)+((COUNTIF(AV13:AV13,"D"))*1))*CELL("contenu",$B$12),0),IFERROR((((COUNTIF(AV15:AV17,"A"))*4)+((COUNTIF(AV15:AV17,"B"))*3)+((COUNTIF(AV15:AV17,"C"))*2)+((COUNTIF(AV15:AV17,"D"))*1))*CELL("contenu",$B$14),0),IFERROR((((COUNTIF(AV19:AV19,"A"))*4)+((COUNTIF(AV19:AV19,"B"))*3)+((COUNTIF(AV19:AV19,"C"))*2)+((COUNTIF(AV19:AV19,"D"))*1))*CELL("contenu",$B$18),0))/IF(SUM(COUNTA(AV5:AV6)*CELL("contenu",$B$4),COUNTA(AV8:AV11)*CELL("contenu",$B$7),COUNTA(AV13:AV13)*CELL("contenu",$B$12),COUNTA(AV15:AV17)*CELL("contenu",$B$14),COUNTA(AV19:AV19)*CELL("contenu",$B$18))=0,1,SUM(COUNTA(AV5:AV6)*CELL("contenu",$B$4),COUNTA(AV8:AV11)*CELL("contenu",$B$7),COUNTA(AV13:AV13)*CELL("contenu",$B$12),COUNTA(AV15:AV17)*CELL("contenu",$B$14),COUNTA(AV19:AV19)*CELL("contenu",$B$18))))</f>
        <v/>
      </c>
      <c r="AW20" s="184" t="str">
        <f ca="1">IF(COUNTA(AW5:AW19)=0,"",5*SUM(IFERROR((((COUNTIF(AW5:AW6,"A"))*4)+((COUNTIF(AW5:AW6,"B"))*3)+((COUNTIF(AW5:AW6,"C"))*2)+((COUNTIF(AW5:AW6,"D"))*1))*CELL("contenu",$B$4),0),IFERROR((((COUNTIF(AW8:AW11,"A"))*4)+((COUNTIF(AW8:AW11,"B"))*3)+((COUNTIF(AW8:AW11,"C"))*2)+((COUNTIF(AW8:AW11,"D"))*1))*CELL("contenu",$B$7),0),IFERROR((((COUNTIF(AW13:AW13,"A"))*4)+((COUNTIF(AW13:AW13,"B"))*3)+((COUNTIF(AW13:AW13,"C"))*2)+((COUNTIF(AW13:AW13,"D"))*1))*CELL("contenu",$B$12),0),IFERROR((((COUNTIF(AW15:AW17,"A"))*4)+((COUNTIF(AW15:AW17,"B"))*3)+((COUNTIF(AW15:AW17,"C"))*2)+((COUNTIF(AW15:AW17,"D"))*1))*CELL("contenu",$B$14),0),IFERROR((((COUNTIF(AW19:AW19,"A"))*4)+((COUNTIF(AW19:AW19,"B"))*3)+((COUNTIF(AW19:AW19,"C"))*2)+((COUNTIF(AW19:AW19,"D"))*1))*CELL("contenu",$B$18),0))/IF(SUM(COUNTA(AW5:AW6)*CELL("contenu",$B$4),COUNTA(AW8:AW11)*CELL("contenu",$B$7),COUNTA(AW13:AW13)*CELL("contenu",$B$12),COUNTA(AW15:AW17)*CELL("contenu",$B$14),COUNTA(AW19:AW19)*CELL("contenu",$B$18))=0,1,SUM(COUNTA(AW5:AW6)*CELL("contenu",$B$4),COUNTA(AW8:AW11)*CELL("contenu",$B$7),COUNTA(AW13:AW13)*CELL("contenu",$B$12),COUNTA(AW15:AW17)*CELL("contenu",$B$14),COUNTA(AW19:AW19)*CELL("contenu",$B$18))))</f>
        <v/>
      </c>
      <c r="AX20" s="176"/>
      <c r="AY20" s="174" t="str">
        <f ca="1">IF(COUNTA(AU20:AW20)-COUNTBLANK(AU20:AW20)=0,"",SUM(AU20:AW20)/(COUNTA(AU20:AW20)-COUNTBLANK(AU20:AW20)))</f>
        <v/>
      </c>
      <c r="AZ20" s="103"/>
      <c r="BA20" s="141"/>
      <c r="BB20" s="167">
        <f ca="1">IF(COUNTA(BB5:BB19)=0,"",5*SUM(IFERROR((((COUNTIF(BB5:BB6,"A"))*4)+((COUNTIF(BB5:BB6,"B"))*3)+((COUNTIF(BB5:BB6,"C"))*2)+((COUNTIF(BB5:BB6,"D"))*1))*CELL("contenu",$B$4),0),IFERROR((((COUNTIF(BB8:BB11,"A"))*4)+((COUNTIF(BB8:BB11,"B"))*3)+((COUNTIF(BB8:BB11,"C"))*2)+((COUNTIF(BB8:BB11,"D"))*1))*CELL("contenu",$B$7),0),IFERROR((((COUNTIF(BB13:BB13,"A"))*4)+((COUNTIF(BB13:BB13,"B"))*3)+((COUNTIF(BB13:BB13,"C"))*2)+((COUNTIF(BB13:BB13,"D"))*1))*CELL("contenu",$B$12),0),IFERROR((((COUNTIF(BB15:BB17,"A"))*4)+((COUNTIF(BB15:BB17,"B"))*3)+((COUNTIF(BB15:BB17,"C"))*2)+((COUNTIF(BB15:BB17,"D"))*1))*CELL("contenu",$B$14),0),IFERROR((((COUNTIF(BB19:BB19,"A"))*4)+((COUNTIF(BB19:BB19,"B"))*3)+((COUNTIF(BB19:BB19,"C"))*2)+((COUNTIF(BB19:BB19,"D"))*1))*CELL("contenu",$B$18),0))/IF(SUM(COUNTA(BB5:BB6)*CELL("contenu",$B$4),COUNTA(BB8:BB11)*CELL("contenu",$B$7),COUNTA(BB13:BB13)*CELL("contenu",$B$12),COUNTA(BB15:BB17)*CELL("contenu",$B$14),COUNTA(BB19:BB19)*CELL("contenu",$B$18))=0,1,SUM(COUNTA(BB5:BB6)*CELL("contenu",$B$4),COUNTA(BB8:BB11)*CELL("contenu",$B$7),COUNTA(BB13:BB13)*CELL("contenu",$B$12),COUNTA(BB15:BB17)*CELL("contenu",$B$14),COUNTA(BB19:BB19)*CELL("contenu",$B$18))))</f>
        <v>13.333333333333334</v>
      </c>
      <c r="BC20" s="168">
        <f ca="1">IF(COUNTA(BC5:BC19)=0,"",5*SUM(IFERROR((((COUNTIF(BC5:BC6,"A"))*4)+((COUNTIF(BC5:BC6,"B"))*3)+((COUNTIF(BC5:BC6,"C"))*2)+((COUNTIF(BC5:BC6,"D"))*1))*CELL("contenu",$B$4),0),IFERROR((((COUNTIF(BC8:BC11,"A"))*4)+((COUNTIF(BC8:BC11,"B"))*3)+((COUNTIF(BC8:BC11,"C"))*2)+((COUNTIF(BC8:BC11,"D"))*1))*CELL("contenu",$B$7),0),IFERROR((((COUNTIF(BC13:BC13,"A"))*4)+((COUNTIF(BC13:BC13,"B"))*3)+((COUNTIF(BC13:BC13,"C"))*2)+((COUNTIF(BC13:BC13,"D"))*1))*CELL("contenu",$B$12),0),IFERROR((((COUNTIF(BC15:BC17,"A"))*4)+((COUNTIF(BC15:BC17,"B"))*3)+((COUNTIF(BC15:BC17,"C"))*2)+((COUNTIF(BC15:BC17,"D"))*1))*CELL("contenu",$B$14),0),IFERROR((((COUNTIF(BC19:BC19,"A"))*4)+((COUNTIF(BC19:BC19,"B"))*3)+((COUNTIF(BC19:BC19,"C"))*2)+((COUNTIF(BC19:BC19,"D"))*1))*CELL("contenu",$B$18),0))/IF(SUM(COUNTA(BC5:BC6)*CELL("contenu",$B$4),COUNTA(BC8:BC11)*CELL("contenu",$B$7),COUNTA(BC13:BC13)*CELL("contenu",$B$12),COUNTA(BC15:BC17)*CELL("contenu",$B$14),COUNTA(BC19:BC19)*CELL("contenu",$B$18))=0,1,SUM(COUNTA(BC5:BC6)*CELL("contenu",$B$4),COUNTA(BC8:BC11)*CELL("contenu",$B$7),COUNTA(BC13:BC13)*CELL("contenu",$B$12),COUNTA(BC15:BC17)*CELL("contenu",$B$14),COUNTA(BC19:BC19)*CELL("contenu",$B$18))))</f>
        <v>13.333333333333334</v>
      </c>
      <c r="BD20" s="169" t="str">
        <f ca="1">IF(COUNTA(BD5:BD19)=0,"",5*SUM(IFERROR((((COUNTIF(BD5:BD6,"A"))*4)+((COUNTIF(BD5:BD6,"B"))*3)+((COUNTIF(BD5:BD6,"C"))*2)+((COUNTIF(BD5:BD6,"D"))*1))*CELL("contenu",$B$4),0),IFERROR((((COUNTIF(BD8:BD11,"A"))*4)+((COUNTIF(BD8:BD11,"B"))*3)+((COUNTIF(BD8:BD11,"C"))*2)+((COUNTIF(BD8:BD11,"D"))*1))*CELL("contenu",$B$7),0),IFERROR((((COUNTIF(BD13:BD13,"A"))*4)+((COUNTIF(BD13:BD13,"B"))*3)+((COUNTIF(BD13:BD13,"C"))*2)+((COUNTIF(BD13:BD13,"D"))*1))*CELL("contenu",$B$12),0),IFERROR((((COUNTIF(BD15:BD17,"A"))*4)+((COUNTIF(BD15:BD17,"B"))*3)+((COUNTIF(BD15:BD17,"C"))*2)+((COUNTIF(BD15:BD17,"D"))*1))*CELL("contenu",$B$14),0),IFERROR((((COUNTIF(BD19:BD19,"A"))*4)+((COUNTIF(BD19:BD19,"B"))*3)+((COUNTIF(BD19:BD19,"C"))*2)+((COUNTIF(BD19:BD19,"D"))*1))*CELL("contenu",$B$18),0))/IF(SUM(COUNTA(BD5:BD6)*CELL("contenu",$B$4),COUNTA(BD8:BD11)*CELL("contenu",$B$7),COUNTA(BD13:BD13)*CELL("contenu",$B$12),COUNTA(BD15:BD17)*CELL("contenu",$B$14),COUNTA(BD19:BD19)*CELL("contenu",$B$18))=0,1,SUM(COUNTA(BD5:BD6)*CELL("contenu",$B$4),COUNTA(BD8:BD11)*CELL("contenu",$B$7),COUNTA(BD13:BD13)*CELL("contenu",$B$12),COUNTA(BD15:BD17)*CELL("contenu",$B$14),COUNTA(BD19:BD19)*CELL("contenu",$B$18))))</f>
        <v/>
      </c>
      <c r="BE20" s="116"/>
      <c r="BF20" s="192">
        <f ca="1">IF(COUNTA(BB20:BD20)-COUNTBLANK(BB20:BD20)=0,"",SUM(BB20:BD20)/(COUNTA(BB20:BD20)-COUNTBLANK(BB20:BD20)))</f>
        <v>13.333333333333334</v>
      </c>
      <c r="BG20" s="182" t="str">
        <f ca="1">IF(COUNTA(BG5:BG19)=0,"",5*SUM(IFERROR((((COUNTIF(BG5:BG6,"A"))*4)+((COUNTIF(BG5:BG6,"B"))*3)+((COUNTIF(BG5:BG6,"C"))*2)+((COUNTIF(BG5:BG6,"D"))*1))*CELL("contenu",$B$4),0),IFERROR((((COUNTIF(BG8:BG11,"A"))*4)+((COUNTIF(BG8:BG11,"B"))*3)+((COUNTIF(BG8:BG11,"C"))*2)+((COUNTIF(BG8:BG11,"D"))*1))*CELL("contenu",$B$7),0),IFERROR((((COUNTIF(BG13:BG13,"A"))*4)+((COUNTIF(BG13:BG13,"B"))*3)+((COUNTIF(BG13:BG13,"C"))*2)+((COUNTIF(BG13:BG13,"D"))*1))*CELL("contenu",$B$12),0),IFERROR((((COUNTIF(BG15:BG17,"A"))*4)+((COUNTIF(BG15:BG17,"B"))*3)+((COUNTIF(BG15:BG17,"C"))*2)+((COUNTIF(BG15:BG17,"D"))*1))*CELL("contenu",$B$14),0),IFERROR((((COUNTIF(BG19:BG19,"A"))*4)+((COUNTIF(BG19:BG19,"B"))*3)+((COUNTIF(BG19:BG19,"C"))*2)+((COUNTIF(BG19:BG19,"D"))*1))*CELL("contenu",$B$18),0))/IF(SUM(COUNTA(BG5:BG6)*CELL("contenu",$B$4),COUNTA(BG8:BG11)*CELL("contenu",$B$7),COUNTA(BG13:BG13)*CELL("contenu",$B$12),COUNTA(BG15:BG17)*CELL("contenu",$B$14),COUNTA(BG19:BG19)*CELL("contenu",$B$18))=0,1,SUM(COUNTA(BG5:BG6)*CELL("contenu",$B$4),COUNTA(BG8:BG11)*CELL("contenu",$B$7),COUNTA(BG13:BG13)*CELL("contenu",$B$12),COUNTA(BG15:BG17)*CELL("contenu",$B$14),COUNTA(BG19:BG19)*CELL("contenu",$B$18))))</f>
        <v/>
      </c>
      <c r="BH20" s="183" t="str">
        <f ca="1">IF(COUNTA(BH5:BH19)=0,"",5*SUM(IFERROR((((COUNTIF(BH5:BH6,"A"))*4)+((COUNTIF(BH5:BH6,"B"))*3)+((COUNTIF(BH5:BH6,"C"))*2)+((COUNTIF(BH5:BH6,"D"))*1))*CELL("contenu",$B$4),0),IFERROR((((COUNTIF(BH8:BH11,"A"))*4)+((COUNTIF(BH8:BH11,"B"))*3)+((COUNTIF(BH8:BH11,"C"))*2)+((COUNTIF(BH8:BH11,"D"))*1))*CELL("contenu",$B$7),0),IFERROR((((COUNTIF(BH13:BH13,"A"))*4)+((COUNTIF(BH13:BH13,"B"))*3)+((COUNTIF(BH13:BH13,"C"))*2)+((COUNTIF(BH13:BH13,"D"))*1))*CELL("contenu",$B$12),0),IFERROR((((COUNTIF(BH15:BH17,"A"))*4)+((COUNTIF(BH15:BH17,"B"))*3)+((COUNTIF(BH15:BH17,"C"))*2)+((COUNTIF(BH15:BH17,"D"))*1))*CELL("contenu",$B$14),0),IFERROR((((COUNTIF(BH19:BH19,"A"))*4)+((COUNTIF(BH19:BH19,"B"))*3)+((COUNTIF(BH19:BH19,"C"))*2)+((COUNTIF(BH19:BH19,"D"))*1))*CELL("contenu",$B$18),0))/IF(SUM(COUNTA(BH5:BH6)*CELL("contenu",$B$4),COUNTA(BH8:BH11)*CELL("contenu",$B$7),COUNTA(BH13:BH13)*CELL("contenu",$B$12),COUNTA(BH15:BH17)*CELL("contenu",$B$14),COUNTA(BH19:BH19)*CELL("contenu",$B$18))=0,1,SUM(COUNTA(BH5:BH6)*CELL("contenu",$B$4),COUNTA(BH8:BH11)*CELL("contenu",$B$7),COUNTA(BH13:BH13)*CELL("contenu",$B$12),COUNTA(BH15:BH17)*CELL("contenu",$B$14),COUNTA(BH19:BH19)*CELL("contenu",$B$18))))</f>
        <v/>
      </c>
      <c r="BI20" s="184" t="str">
        <f ca="1">IF(COUNTA(BI5:BI19)=0,"",5*SUM(IFERROR((((COUNTIF(BI5:BI6,"A"))*4)+((COUNTIF(BI5:BI6,"B"))*3)+((COUNTIF(BI5:BI6,"C"))*2)+((COUNTIF(BI5:BI6,"D"))*1))*CELL("contenu",$B$4),0),IFERROR((((COUNTIF(BI8:BI11,"A"))*4)+((COUNTIF(BI8:BI11,"B"))*3)+((COUNTIF(BI8:BI11,"C"))*2)+((COUNTIF(BI8:BI11,"D"))*1))*CELL("contenu",$B$7),0),IFERROR((((COUNTIF(BI13:BI13,"A"))*4)+((COUNTIF(BI13:BI13,"B"))*3)+((COUNTIF(BI13:BI13,"C"))*2)+((COUNTIF(BI13:BI13,"D"))*1))*CELL("contenu",$B$12),0),IFERROR((((COUNTIF(BI15:BI17,"A"))*4)+((COUNTIF(BI15:BI17,"B"))*3)+((COUNTIF(BI15:BI17,"C"))*2)+((COUNTIF(BI15:BI17,"D"))*1))*CELL("contenu",$B$14),0),IFERROR((((COUNTIF(BI19:BI19,"A"))*4)+((COUNTIF(BI19:BI19,"B"))*3)+((COUNTIF(BI19:BI19,"C"))*2)+((COUNTIF(BI19:BI19,"D"))*1))*CELL("contenu",$B$18),0))/IF(SUM(COUNTA(BI5:BI6)*CELL("contenu",$B$4),COUNTA(BI8:BI11)*CELL("contenu",$B$7),COUNTA(BI13:BI13)*CELL("contenu",$B$12),COUNTA(BI15:BI17)*CELL("contenu",$B$14),COUNTA(BI19:BI19)*CELL("contenu",$B$18))=0,1,SUM(COUNTA(BI5:BI6)*CELL("contenu",$B$4),COUNTA(BI8:BI11)*CELL("contenu",$B$7),COUNTA(BI13:BI13)*CELL("contenu",$B$12),COUNTA(BI15:BI17)*CELL("contenu",$B$14),COUNTA(BI19:BI19)*CELL("contenu",$B$18))))</f>
        <v/>
      </c>
      <c r="BJ20" s="176"/>
      <c r="BK20" s="175" t="str">
        <f ca="1">IF(COUNTA(BG20:BI20)-COUNTBLANK(BG20:BI20)=0,"",SUM(BG20:BI20)/(COUNTA(BG20:BI20)-COUNTBLANK(BG20:BI20)))</f>
        <v/>
      </c>
      <c r="BL20" s="182" t="str">
        <f ca="1">IF(COUNTA(BL5:BL19)=0,"",5*SUM(IFERROR((((COUNTIF(BL5:BL6,"A"))*4)+((COUNTIF(BL5:BL6,"B"))*3)+((COUNTIF(BL5:BL6,"C"))*2)+((COUNTIF(BL5:BL6,"D"))*1))*CELL("contenu",$B$4),0),IFERROR((((COUNTIF(BL8:BL11,"A"))*4)+((COUNTIF(BL8:BL11,"B"))*3)+((COUNTIF(BL8:BL11,"C"))*2)+((COUNTIF(BL8:BL11,"D"))*1))*CELL("contenu",$B$7),0),IFERROR((((COUNTIF(BL13:BL13,"A"))*4)+((COUNTIF(BL13:BL13,"B"))*3)+((COUNTIF(BL13:BL13,"C"))*2)+((COUNTIF(BL13:BL13,"D"))*1))*CELL("contenu",$B$12),0),IFERROR((((COUNTIF(BL15:BL17,"A"))*4)+((COUNTIF(BL15:BL17,"B"))*3)+((COUNTIF(BL15:BL17,"C"))*2)+((COUNTIF(BL15:BL17,"D"))*1))*CELL("contenu",$B$14),0),IFERROR((((COUNTIF(BL19:BL19,"A"))*4)+((COUNTIF(BL19:BL19,"B"))*3)+((COUNTIF(BL19:BL19,"C"))*2)+((COUNTIF(BL19:BL19,"D"))*1))*CELL("contenu",$B$18),0))/IF(SUM(COUNTA(BL5:BL6)*CELL("contenu",$B$4),COUNTA(BL8:BL11)*CELL("contenu",$B$7),COUNTA(BL13:BL13)*CELL("contenu",$B$12),COUNTA(BL15:BL17)*CELL("contenu",$B$14),COUNTA(BL19:BL19)*CELL("contenu",$B$18))=0,1,SUM(COUNTA(BL5:BL6)*CELL("contenu",$B$4),COUNTA(BL8:BL11)*CELL("contenu",$B$7),COUNTA(BL13:BL13)*CELL("contenu",$B$12),COUNTA(BL15:BL17)*CELL("contenu",$B$14),COUNTA(BL19:BL19)*CELL("contenu",$B$18))))</f>
        <v/>
      </c>
      <c r="BM20" s="183" t="str">
        <f ca="1">IF(COUNTA(BM5:BM19)=0,"",5*SUM(IFERROR((((COUNTIF(BM5:BM6,"A"))*4)+((COUNTIF(BM5:BM6,"B"))*3)+((COUNTIF(BM5:BM6,"C"))*2)+((COUNTIF(BM5:BM6,"D"))*1))*CELL("contenu",$B$4),0),IFERROR((((COUNTIF(BM8:BM11,"A"))*4)+((COUNTIF(BM8:BM11,"B"))*3)+((COUNTIF(BM8:BM11,"C"))*2)+((COUNTIF(BM8:BM11,"D"))*1))*CELL("contenu",$B$7),0),IFERROR((((COUNTIF(BM13:BM13,"A"))*4)+((COUNTIF(BM13:BM13,"B"))*3)+((COUNTIF(BM13:BM13,"C"))*2)+((COUNTIF(BM13:BM13,"D"))*1))*CELL("contenu",$B$12),0),IFERROR((((COUNTIF(BM15:BM17,"A"))*4)+((COUNTIF(BM15:BM17,"B"))*3)+((COUNTIF(BM15:BM17,"C"))*2)+((COUNTIF(BM15:BM17,"D"))*1))*CELL("contenu",$B$14),0),IFERROR((((COUNTIF(BM19:BM19,"A"))*4)+((COUNTIF(BM19:BM19,"B"))*3)+((COUNTIF(BM19:BM19,"C"))*2)+((COUNTIF(BM19:BM19,"D"))*1))*CELL("contenu",$B$18),0))/IF(SUM(COUNTA(BM5:BM6)*CELL("contenu",$B$4),COUNTA(BM8:BM11)*CELL("contenu",$B$7),COUNTA(BM13:BM13)*CELL("contenu",$B$12),COUNTA(BM15:BM17)*CELL("contenu",$B$14),COUNTA(BM19:BM19)*CELL("contenu",$B$18))=0,1,SUM(COUNTA(BM5:BM6)*CELL("contenu",$B$4),COUNTA(BM8:BM11)*CELL("contenu",$B$7),COUNTA(BM13:BM13)*CELL("contenu",$B$12),COUNTA(BM15:BM17)*CELL("contenu",$B$14),COUNTA(BM19:BM19)*CELL("contenu",$B$18))))</f>
        <v/>
      </c>
      <c r="BN20" s="184" t="str">
        <f ca="1">IF(COUNTA(BN5:BN19)=0,"",5*SUM(IFERROR((((COUNTIF(BN5:BN6,"A"))*4)+((COUNTIF(BN5:BN6,"B"))*3)+((COUNTIF(BN5:BN6,"C"))*2)+((COUNTIF(BN5:BN6,"D"))*1))*CELL("contenu",$B$4),0),IFERROR((((COUNTIF(BN8:BN11,"A"))*4)+((COUNTIF(BN8:BN11,"B"))*3)+((COUNTIF(BN8:BN11,"C"))*2)+((COUNTIF(BN8:BN11,"D"))*1))*CELL("contenu",$B$7),0),IFERROR((((COUNTIF(BN13:BN13,"A"))*4)+((COUNTIF(BN13:BN13,"B"))*3)+((COUNTIF(BN13:BN13,"C"))*2)+((COUNTIF(BN13:BN13,"D"))*1))*CELL("contenu",$B$12),0),IFERROR((((COUNTIF(BN15:BN17,"A"))*4)+((COUNTIF(BN15:BN17,"B"))*3)+((COUNTIF(BN15:BN17,"C"))*2)+((COUNTIF(BN15:BN17,"D"))*1))*CELL("contenu",$B$14),0),IFERROR((((COUNTIF(BN19:BN19,"A"))*4)+((COUNTIF(BN19:BN19,"B"))*3)+((COUNTIF(BN19:BN19,"C"))*2)+((COUNTIF(BN19:BN19,"D"))*1))*CELL("contenu",$B$18),0))/IF(SUM(COUNTA(BN5:BN6)*CELL("contenu",$B$4),COUNTA(BN8:BN11)*CELL("contenu",$B$7),COUNTA(BN13:BN13)*CELL("contenu",$B$12),COUNTA(BN15:BN17)*CELL("contenu",$B$14),COUNTA(BN19:BN19)*CELL("contenu",$B$18))=0,1,SUM(COUNTA(BN5:BN6)*CELL("contenu",$B$4),COUNTA(BN8:BN11)*CELL("contenu",$B$7),COUNTA(BN13:BN13)*CELL("contenu",$B$12),COUNTA(BN15:BN17)*CELL("contenu",$B$14),COUNTA(BN19:BN19)*CELL("contenu",$B$18))))</f>
        <v/>
      </c>
      <c r="BO20" s="176"/>
      <c r="BP20" s="174" t="str">
        <f ca="1">IF(COUNTA(BL20:BN20)-COUNTBLANK(BL20:BN20)=0,"",SUM(BL20:BN20)/(COUNTA(BL20:BN20)-COUNTBLANK(BL20:BN20)))</f>
        <v/>
      </c>
      <c r="BQ20" s="103"/>
      <c r="BR20" s="141"/>
      <c r="BS20" s="167">
        <f ca="1">IF(COUNTA(BS5:BS19)=0,"",5*SUM(IFERROR((((COUNTIF(BS5:BS6,"A"))*4)+((COUNTIF(BS5:BS6,"B"))*3)+((COUNTIF(BS5:BS6,"C"))*2)+((COUNTIF(BS5:BS6,"D"))*1))*CELL("contenu",$B$4),0),IFERROR((((COUNTIF(BS8:BS11,"A"))*4)+((COUNTIF(BS8:BS11,"B"))*3)+((COUNTIF(BS8:BS11,"C"))*2)+((COUNTIF(BS8:BS11,"D"))*1))*CELL("contenu",$B$7),0),IFERROR((((COUNTIF(BS13:BS13,"A"))*4)+((COUNTIF(BS13:BS13,"B"))*3)+((COUNTIF(BS13:BS13,"C"))*2)+((COUNTIF(BS13:BS13,"D"))*1))*CELL("contenu",$B$12),0),IFERROR((((COUNTIF(BS15:BS17,"A"))*4)+((COUNTIF(BS15:BS17,"B"))*3)+((COUNTIF(BS15:BS17,"C"))*2)+((COUNTIF(BS15:BS17,"D"))*1))*CELL("contenu",$B$14),0),IFERROR((((COUNTIF(BS19:BS19,"A"))*4)+((COUNTIF(BS19:BS19,"B"))*3)+((COUNTIF(BS19:BS19,"C"))*2)+((COUNTIF(BS19:BS19,"D"))*1))*CELL("contenu",$B$18),0))/IF(SUM(COUNTA(BS5:BS6)*CELL("contenu",$B$4),COUNTA(BS8:BS11)*CELL("contenu",$B$7),COUNTA(BS13:BS13)*CELL("contenu",$B$12),COUNTA(BS15:BS17)*CELL("contenu",$B$14),COUNTA(BS19:BS19)*CELL("contenu",$B$18))=0,1,SUM(COUNTA(BS5:BS6)*CELL("contenu",$B$4),COUNTA(BS8:BS11)*CELL("contenu",$B$7),COUNTA(BS13:BS13)*CELL("contenu",$B$12),COUNTA(BS15:BS17)*CELL("contenu",$B$14),COUNTA(BS19:BS19)*CELL("contenu",$B$18))))</f>
        <v>16.666666666666668</v>
      </c>
      <c r="BT20" s="168">
        <f ca="1">IF(COUNTA(BT5:BT19)=0,"",5*SUM(IFERROR((((COUNTIF(BT5:BT6,"A"))*4)+((COUNTIF(BT5:BT6,"B"))*3)+((COUNTIF(BT5:BT6,"C"))*2)+((COUNTIF(BT5:BT6,"D"))*1))*CELL("contenu",$B$4),0),IFERROR((((COUNTIF(BT8:BT11,"A"))*4)+((COUNTIF(BT8:BT11,"B"))*3)+((COUNTIF(BT8:BT11,"C"))*2)+((COUNTIF(BT8:BT11,"D"))*1))*CELL("contenu",$B$7),0),IFERROR((((COUNTIF(BT13:BT13,"A"))*4)+((COUNTIF(BT13:BT13,"B"))*3)+((COUNTIF(BT13:BT13,"C"))*2)+((COUNTIF(BT13:BT13,"D"))*1))*CELL("contenu",$B$12),0),IFERROR((((COUNTIF(BT15:BT17,"A"))*4)+((COUNTIF(BT15:BT17,"B"))*3)+((COUNTIF(BT15:BT17,"C"))*2)+((COUNTIF(BT15:BT17,"D"))*1))*CELL("contenu",$B$14),0),IFERROR((((COUNTIF(BT19:BT19,"A"))*4)+((COUNTIF(BT19:BT19,"B"))*3)+((COUNTIF(BT19:BT19,"C"))*2)+((COUNTIF(BT19:BT19,"D"))*1))*CELL("contenu",$B$18),0))/IF(SUM(COUNTA(BT5:BT6)*CELL("contenu",$B$4),COUNTA(BT8:BT11)*CELL("contenu",$B$7),COUNTA(BT13:BT13)*CELL("contenu",$B$12),COUNTA(BT15:BT17)*CELL("contenu",$B$14),COUNTA(BT19:BT19)*CELL("contenu",$B$18))=0,1,SUM(COUNTA(BT5:BT6)*CELL("contenu",$B$4),COUNTA(BT8:BT11)*CELL("contenu",$B$7),COUNTA(BT13:BT13)*CELL("contenu",$B$12),COUNTA(BT15:BT17)*CELL("contenu",$B$14),COUNTA(BT19:BT19)*CELL("contenu",$B$18))))</f>
        <v>16.666666666666668</v>
      </c>
      <c r="BU20" s="169" t="str">
        <f ca="1">IF(COUNTA(BU5:BU19)=0,"",5*SUM(IFERROR((((COUNTIF(BU5:BU6,"A"))*4)+((COUNTIF(BU5:BU6,"B"))*3)+((COUNTIF(BU5:BU6,"C"))*2)+((COUNTIF(BU5:BU6,"D"))*1))*CELL("contenu",$B$4),0),IFERROR((((COUNTIF(BU8:BU11,"A"))*4)+((COUNTIF(BU8:BU11,"B"))*3)+((COUNTIF(BU8:BU11,"C"))*2)+((COUNTIF(BU8:BU11,"D"))*1))*CELL("contenu",$B$7),0),IFERROR((((COUNTIF(BU13:BU13,"A"))*4)+((COUNTIF(BU13:BU13,"B"))*3)+((COUNTIF(BU13:BU13,"C"))*2)+((COUNTIF(BU13:BU13,"D"))*1))*CELL("contenu",$B$12),0),IFERROR((((COUNTIF(BU15:BU17,"A"))*4)+((COUNTIF(BU15:BU17,"B"))*3)+((COUNTIF(BU15:BU17,"C"))*2)+((COUNTIF(BU15:BU17,"D"))*1))*CELL("contenu",$B$14),0),IFERROR((((COUNTIF(BU19:BU19,"A"))*4)+((COUNTIF(BU19:BU19,"B"))*3)+((COUNTIF(BU19:BU19,"C"))*2)+((COUNTIF(BU19:BU19,"D"))*1))*CELL("contenu",$B$18),0))/IF(SUM(COUNTA(BU5:BU6)*CELL("contenu",$B$4),COUNTA(BU8:BU11)*CELL("contenu",$B$7),COUNTA(BU13:BU13)*CELL("contenu",$B$12),COUNTA(BU15:BU17)*CELL("contenu",$B$14),COUNTA(BU19:BU19)*CELL("contenu",$B$18))=0,1,SUM(COUNTA(BU5:BU6)*CELL("contenu",$B$4),COUNTA(BU8:BU11)*CELL("contenu",$B$7),COUNTA(BU13:BU13)*CELL("contenu",$B$12),COUNTA(BU15:BU17)*CELL("contenu",$B$14),COUNTA(BU19:BU19)*CELL("contenu",$B$18))))</f>
        <v/>
      </c>
      <c r="BV20" s="116"/>
      <c r="BW20" s="192">
        <f ca="1">IF(COUNTA(BS20:BU20)-COUNTBLANK(BS20:BU20)=0,"",SUM(BS20:BU20)/(COUNTA(BS20:BU20)-COUNTBLANK(BS20:BU20)))</f>
        <v>16.666666666666668</v>
      </c>
      <c r="BX20" s="182" t="str">
        <f ca="1">IF(COUNTA(BX5:BX19)=0,"",5*SUM(IFERROR((((COUNTIF(BX5:BX6,"A"))*4)+((COUNTIF(BX5:BX6,"B"))*3)+((COUNTIF(BX5:BX6,"C"))*2)+((COUNTIF(BX5:BX6,"D"))*1))*CELL("contenu",$B$4),0),IFERROR((((COUNTIF(BX8:BX11,"A"))*4)+((COUNTIF(BX8:BX11,"B"))*3)+((COUNTIF(BX8:BX11,"C"))*2)+((COUNTIF(BX8:BX11,"D"))*1))*CELL("contenu",$B$7),0),IFERROR((((COUNTIF(BX13:BX13,"A"))*4)+((COUNTIF(BX13:BX13,"B"))*3)+((COUNTIF(BX13:BX13,"C"))*2)+((COUNTIF(BX13:BX13,"D"))*1))*CELL("contenu",$B$12),0),IFERROR((((COUNTIF(BX15:BX17,"A"))*4)+((COUNTIF(BX15:BX17,"B"))*3)+((COUNTIF(BX15:BX17,"C"))*2)+((COUNTIF(BX15:BX17,"D"))*1))*CELL("contenu",$B$14),0),IFERROR((((COUNTIF(BX19:BX19,"A"))*4)+((COUNTIF(BX19:BX19,"B"))*3)+((COUNTIF(BX19:BX19,"C"))*2)+((COUNTIF(BX19:BX19,"D"))*1))*CELL("contenu",$B$18),0))/IF(SUM(COUNTA(BX5:BX6)*CELL("contenu",$B$4),COUNTA(BX8:BX11)*CELL("contenu",$B$7),COUNTA(BX13:BX13)*CELL("contenu",$B$12),COUNTA(BX15:BX17)*CELL("contenu",$B$14),COUNTA(BX19:BX19)*CELL("contenu",$B$18))=0,1,SUM(COUNTA(BX5:BX6)*CELL("contenu",$B$4),COUNTA(BX8:BX11)*CELL("contenu",$B$7),COUNTA(BX13:BX13)*CELL("contenu",$B$12),COUNTA(BX15:BX17)*CELL("contenu",$B$14),COUNTA(BX19:BX19)*CELL("contenu",$B$18))))</f>
        <v/>
      </c>
      <c r="BY20" s="183" t="str">
        <f ca="1">IF(COUNTA(BY5:BY19)=0,"",5*SUM(IFERROR((((COUNTIF(BY5:BY6,"A"))*4)+((COUNTIF(BY5:BY6,"B"))*3)+((COUNTIF(BY5:BY6,"C"))*2)+((COUNTIF(BY5:BY6,"D"))*1))*CELL("contenu",$B$4),0),IFERROR((((COUNTIF(BY8:BY11,"A"))*4)+((COUNTIF(BY8:BY11,"B"))*3)+((COUNTIF(BY8:BY11,"C"))*2)+((COUNTIF(BY8:BY11,"D"))*1))*CELL("contenu",$B$7),0),IFERROR((((COUNTIF(BY13:BY13,"A"))*4)+((COUNTIF(BY13:BY13,"B"))*3)+((COUNTIF(BY13:BY13,"C"))*2)+((COUNTIF(BY13:BY13,"D"))*1))*CELL("contenu",$B$12),0),IFERROR((((COUNTIF(BY15:BY17,"A"))*4)+((COUNTIF(BY15:BY17,"B"))*3)+((COUNTIF(BY15:BY17,"C"))*2)+((COUNTIF(BY15:BY17,"D"))*1))*CELL("contenu",$B$14),0),IFERROR((((COUNTIF(BY19:BY19,"A"))*4)+((COUNTIF(BY19:BY19,"B"))*3)+((COUNTIF(BY19:BY19,"C"))*2)+((COUNTIF(BY19:BY19,"D"))*1))*CELL("contenu",$B$18),0))/IF(SUM(COUNTA(BY5:BY6)*CELL("contenu",$B$4),COUNTA(BY8:BY11)*CELL("contenu",$B$7),COUNTA(BY13:BY13)*CELL("contenu",$B$12),COUNTA(BY15:BY17)*CELL("contenu",$B$14),COUNTA(BY19:BY19)*CELL("contenu",$B$18))=0,1,SUM(COUNTA(BY5:BY6)*CELL("contenu",$B$4),COUNTA(BY8:BY11)*CELL("contenu",$B$7),COUNTA(BY13:BY13)*CELL("contenu",$B$12),COUNTA(BY15:BY17)*CELL("contenu",$B$14),COUNTA(BY19:BY19)*CELL("contenu",$B$18))))</f>
        <v/>
      </c>
      <c r="BZ20" s="184" t="str">
        <f ca="1">IF(COUNTA(BZ5:BZ19)=0,"",5*SUM(IFERROR((((COUNTIF(BZ5:BZ6,"A"))*4)+((COUNTIF(BZ5:BZ6,"B"))*3)+((COUNTIF(BZ5:BZ6,"C"))*2)+((COUNTIF(BZ5:BZ6,"D"))*1))*CELL("contenu",$B$4),0),IFERROR((((COUNTIF(BZ8:BZ11,"A"))*4)+((COUNTIF(BZ8:BZ11,"B"))*3)+((COUNTIF(BZ8:BZ11,"C"))*2)+((COUNTIF(BZ8:BZ11,"D"))*1))*CELL("contenu",$B$7),0),IFERROR((((COUNTIF(BZ13:BZ13,"A"))*4)+((COUNTIF(BZ13:BZ13,"B"))*3)+((COUNTIF(BZ13:BZ13,"C"))*2)+((COUNTIF(BZ13:BZ13,"D"))*1))*CELL("contenu",$B$12),0),IFERROR((((COUNTIF(BZ15:BZ17,"A"))*4)+((COUNTIF(BZ15:BZ17,"B"))*3)+((COUNTIF(BZ15:BZ17,"C"))*2)+((COUNTIF(BZ15:BZ17,"D"))*1))*CELL("contenu",$B$14),0),IFERROR((((COUNTIF(BZ19:BZ19,"A"))*4)+((COUNTIF(BZ19:BZ19,"B"))*3)+((COUNTIF(BZ19:BZ19,"C"))*2)+((COUNTIF(BZ19:BZ19,"D"))*1))*CELL("contenu",$B$18),0))/IF(SUM(COUNTA(BZ5:BZ6)*CELL("contenu",$B$4),COUNTA(BZ8:BZ11)*CELL("contenu",$B$7),COUNTA(BZ13:BZ13)*CELL("contenu",$B$12),COUNTA(BZ15:BZ17)*CELL("contenu",$B$14),COUNTA(BZ19:BZ19)*CELL("contenu",$B$18))=0,1,SUM(COUNTA(BZ5:BZ6)*CELL("contenu",$B$4),COUNTA(BZ8:BZ11)*CELL("contenu",$B$7),COUNTA(BZ13:BZ13)*CELL("contenu",$B$12),COUNTA(BZ15:BZ17)*CELL("contenu",$B$14),COUNTA(BZ19:BZ19)*CELL("contenu",$B$18))))</f>
        <v/>
      </c>
      <c r="CA20" s="176"/>
      <c r="CB20" s="175" t="str">
        <f ca="1">IF(COUNTA(BX20:BZ20)-COUNTBLANK(BX20:BZ20)=0,"",SUM(BX20:BZ20)/(COUNTA(BX20:BZ20)-COUNTBLANK(BX20:BZ20)))</f>
        <v/>
      </c>
      <c r="CC20" s="182" t="str">
        <f ca="1">IF(COUNTA(CC5:CC19)=0,"",5*SUM(IFERROR((((COUNTIF(CC5:CC6,"A"))*4)+((COUNTIF(CC5:CC6,"B"))*3)+((COUNTIF(CC5:CC6,"C"))*2)+((COUNTIF(CC5:CC6,"D"))*1))*CELL("contenu",$B$4),0),IFERROR((((COUNTIF(CC8:CC11,"A"))*4)+((COUNTIF(CC8:CC11,"B"))*3)+((COUNTIF(CC8:CC11,"C"))*2)+((COUNTIF(CC8:CC11,"D"))*1))*CELL("contenu",$B$7),0),IFERROR((((COUNTIF(CC13:CC13,"A"))*4)+((COUNTIF(CC13:CC13,"B"))*3)+((COUNTIF(CC13:CC13,"C"))*2)+((COUNTIF(CC13:CC13,"D"))*1))*CELL("contenu",$B$12),0),IFERROR((((COUNTIF(CC15:CC17,"A"))*4)+((COUNTIF(CC15:CC17,"B"))*3)+((COUNTIF(CC15:CC17,"C"))*2)+((COUNTIF(CC15:CC17,"D"))*1))*CELL("contenu",$B$14),0),IFERROR((((COUNTIF(CC19:CC19,"A"))*4)+((COUNTIF(CC19:CC19,"B"))*3)+((COUNTIF(CC19:CC19,"C"))*2)+((COUNTIF(CC19:CC19,"D"))*1))*CELL("contenu",$B$18),0))/IF(SUM(COUNTA(CC5:CC6)*CELL("contenu",$B$4),COUNTA(CC8:CC11)*CELL("contenu",$B$7),COUNTA(CC13:CC13)*CELL("contenu",$B$12),COUNTA(CC15:CC17)*CELL("contenu",$B$14),COUNTA(CC19:CC19)*CELL("contenu",$B$18))=0,1,SUM(COUNTA(CC5:CC6)*CELL("contenu",$B$4),COUNTA(CC8:CC11)*CELL("contenu",$B$7),COUNTA(CC13:CC13)*CELL("contenu",$B$12),COUNTA(CC15:CC17)*CELL("contenu",$B$14),COUNTA(CC19:CC19)*CELL("contenu",$B$18))))</f>
        <v/>
      </c>
      <c r="CD20" s="183" t="str">
        <f ca="1">IF(COUNTA(CD5:CD19)=0,"",5*SUM(IFERROR((((COUNTIF(CD5:CD6,"A"))*4)+((COUNTIF(CD5:CD6,"B"))*3)+((COUNTIF(CD5:CD6,"C"))*2)+((COUNTIF(CD5:CD6,"D"))*1))*CELL("contenu",$B$4),0),IFERROR((((COUNTIF(CD8:CD11,"A"))*4)+((COUNTIF(CD8:CD11,"B"))*3)+((COUNTIF(CD8:CD11,"C"))*2)+((COUNTIF(CD8:CD11,"D"))*1))*CELL("contenu",$B$7),0),IFERROR((((COUNTIF(CD13:CD13,"A"))*4)+((COUNTIF(CD13:CD13,"B"))*3)+((COUNTIF(CD13:CD13,"C"))*2)+((COUNTIF(CD13:CD13,"D"))*1))*CELL("contenu",$B$12),0),IFERROR((((COUNTIF(CD15:CD17,"A"))*4)+((COUNTIF(CD15:CD17,"B"))*3)+((COUNTIF(CD15:CD17,"C"))*2)+((COUNTIF(CD15:CD17,"D"))*1))*CELL("contenu",$B$14),0),IFERROR((((COUNTIF(CD19:CD19,"A"))*4)+((COUNTIF(CD19:CD19,"B"))*3)+((COUNTIF(CD19:CD19,"C"))*2)+((COUNTIF(CD19:CD19,"D"))*1))*CELL("contenu",$B$18),0))/IF(SUM(COUNTA(CD5:CD6)*CELL("contenu",$B$4),COUNTA(CD8:CD11)*CELL("contenu",$B$7),COUNTA(CD13:CD13)*CELL("contenu",$B$12),COUNTA(CD15:CD17)*CELL("contenu",$B$14),COUNTA(CD19:CD19)*CELL("contenu",$B$18))=0,1,SUM(COUNTA(CD5:CD6)*CELL("contenu",$B$4),COUNTA(CD8:CD11)*CELL("contenu",$B$7),COUNTA(CD13:CD13)*CELL("contenu",$B$12),COUNTA(CD15:CD17)*CELL("contenu",$B$14),COUNTA(CD19:CD19)*CELL("contenu",$B$18))))</f>
        <v/>
      </c>
      <c r="CE20" s="184" t="str">
        <f ca="1">IF(COUNTA(CE5:CE19)=0,"",5*SUM(IFERROR((((COUNTIF(CE5:CE6,"A"))*4)+((COUNTIF(CE5:CE6,"B"))*3)+((COUNTIF(CE5:CE6,"C"))*2)+((COUNTIF(CE5:CE6,"D"))*1))*CELL("contenu",$B$4),0),IFERROR((((COUNTIF(CE8:CE11,"A"))*4)+((COUNTIF(CE8:CE11,"B"))*3)+((COUNTIF(CE8:CE11,"C"))*2)+((COUNTIF(CE8:CE11,"D"))*1))*CELL("contenu",$B$7),0),IFERROR((((COUNTIF(CE13:CE13,"A"))*4)+((COUNTIF(CE13:CE13,"B"))*3)+((COUNTIF(CE13:CE13,"C"))*2)+((COUNTIF(CE13:CE13,"D"))*1))*CELL("contenu",$B$12),0),IFERROR((((COUNTIF(CE15:CE17,"A"))*4)+((COUNTIF(CE15:CE17,"B"))*3)+((COUNTIF(CE15:CE17,"C"))*2)+((COUNTIF(CE15:CE17,"D"))*1))*CELL("contenu",$B$14),0),IFERROR((((COUNTIF(CE19:CE19,"A"))*4)+((COUNTIF(CE19:CE19,"B"))*3)+((COUNTIF(CE19:CE19,"C"))*2)+((COUNTIF(CE19:CE19,"D"))*1))*CELL("contenu",$B$18),0))/IF(SUM(COUNTA(CE5:CE6)*CELL("contenu",$B$4),COUNTA(CE8:CE11)*CELL("contenu",$B$7),COUNTA(CE13:CE13)*CELL("contenu",$B$12),COUNTA(CE15:CE17)*CELL("contenu",$B$14),COUNTA(CE19:CE19)*CELL("contenu",$B$18))=0,1,SUM(COUNTA(CE5:CE6)*CELL("contenu",$B$4),COUNTA(CE8:CE11)*CELL("contenu",$B$7),COUNTA(CE13:CE13)*CELL("contenu",$B$12),COUNTA(CE15:CE17)*CELL("contenu",$B$14),COUNTA(CE19:CE19)*CELL("contenu",$B$18))))</f>
        <v/>
      </c>
      <c r="CF20" s="176"/>
      <c r="CG20" s="174" t="str">
        <f ca="1">IF(COUNTA(CC20:CE20)-COUNTBLANK(CC20:CE20)=0,"",SUM(CC20:CE20)/(COUNTA(CC20:CE20)-COUNTBLANK(CC20:CE20)))</f>
        <v/>
      </c>
      <c r="CH20" s="103"/>
      <c r="CI20" s="141"/>
      <c r="CJ20" s="167">
        <f ca="1">IF(COUNTA(CJ5:CJ19)=0,"",5*SUM(IFERROR((((COUNTIF(CJ5:CJ6,"A"))*4)+((COUNTIF(CJ5:CJ6,"B"))*3)+((COUNTIF(CJ5:CJ6,"C"))*2)+((COUNTIF(CJ5:CJ6,"D"))*1))*CELL("contenu",$B$4),0),IFERROR((((COUNTIF(CJ8:CJ11,"A"))*4)+((COUNTIF(CJ8:CJ11,"B"))*3)+((COUNTIF(CJ8:CJ11,"C"))*2)+((COUNTIF(CJ8:CJ11,"D"))*1))*CELL("contenu",$B$7),0),IFERROR((((COUNTIF(CJ13:CJ13,"A"))*4)+((COUNTIF(CJ13:CJ13,"B"))*3)+((COUNTIF(CJ13:CJ13,"C"))*2)+((COUNTIF(CJ13:CJ13,"D"))*1))*CELL("contenu",$B$12),0),IFERROR((((COUNTIF(CJ15:CJ17,"A"))*4)+((COUNTIF(CJ15:CJ17,"B"))*3)+((COUNTIF(CJ15:CJ17,"C"))*2)+((COUNTIF(CJ15:CJ17,"D"))*1))*CELL("contenu",$B$14),0),IFERROR((((COUNTIF(CJ19:CJ19,"A"))*4)+((COUNTIF(CJ19:CJ19,"B"))*3)+((COUNTIF(CJ19:CJ19,"C"))*2)+((COUNTIF(CJ19:CJ19,"D"))*1))*CELL("contenu",$B$18),0))/IF(SUM(COUNTA(CJ5:CJ6)*CELL("contenu",$B$4),COUNTA(CJ8:CJ11)*CELL("contenu",$B$7),COUNTA(CJ13:CJ13)*CELL("contenu",$B$12),COUNTA(CJ15:CJ17)*CELL("contenu",$B$14),COUNTA(CJ19:CJ19)*CELL("contenu",$B$18))=0,1,SUM(COUNTA(CJ5:CJ6)*CELL("contenu",$B$4),COUNTA(CJ8:CJ11)*CELL("contenu",$B$7),COUNTA(CJ13:CJ13)*CELL("contenu",$B$12),COUNTA(CJ15:CJ17)*CELL("contenu",$B$14),COUNTA(CJ19:CJ19)*CELL("contenu",$B$18))))</f>
        <v>13.333333333333334</v>
      </c>
      <c r="CK20" s="168">
        <f ca="1">IF(COUNTA(CK5:CK19)=0,"",5*SUM(IFERROR((((COUNTIF(CK5:CK6,"A"))*4)+((COUNTIF(CK5:CK6,"B"))*3)+((COUNTIF(CK5:CK6,"C"))*2)+((COUNTIF(CK5:CK6,"D"))*1))*CELL("contenu",$B$4),0),IFERROR((((COUNTIF(CK8:CK11,"A"))*4)+((COUNTIF(CK8:CK11,"B"))*3)+((COUNTIF(CK8:CK11,"C"))*2)+((COUNTIF(CK8:CK11,"D"))*1))*CELL("contenu",$B$7),0),IFERROR((((COUNTIF(CK13:CK13,"A"))*4)+((COUNTIF(CK13:CK13,"B"))*3)+((COUNTIF(CK13:CK13,"C"))*2)+((COUNTIF(CK13:CK13,"D"))*1))*CELL("contenu",$B$12),0),IFERROR((((COUNTIF(CK15:CK17,"A"))*4)+((COUNTIF(CK15:CK17,"B"))*3)+((COUNTIF(CK15:CK17,"C"))*2)+((COUNTIF(CK15:CK17,"D"))*1))*CELL("contenu",$B$14),0),IFERROR((((COUNTIF(CK19:CK19,"A"))*4)+((COUNTIF(CK19:CK19,"B"))*3)+((COUNTIF(CK19:CK19,"C"))*2)+((COUNTIF(CK19:CK19,"D"))*1))*CELL("contenu",$B$18),0))/IF(SUM(COUNTA(CK5:CK6)*CELL("contenu",$B$4),COUNTA(CK8:CK11)*CELL("contenu",$B$7),COUNTA(CK13:CK13)*CELL("contenu",$B$12),COUNTA(CK15:CK17)*CELL("contenu",$B$14),COUNTA(CK19:CK19)*CELL("contenu",$B$18))=0,1,SUM(COUNTA(CK5:CK6)*CELL("contenu",$B$4),COUNTA(CK8:CK11)*CELL("contenu",$B$7),COUNTA(CK13:CK13)*CELL("contenu",$B$12),COUNTA(CK15:CK17)*CELL("contenu",$B$14),COUNTA(CK19:CK19)*CELL("contenu",$B$18))))</f>
        <v>10</v>
      </c>
      <c r="CL20" s="169" t="str">
        <f ca="1">IF(COUNTA(CL5:CL19)=0,"",5*SUM(IFERROR((((COUNTIF(CL5:CL6,"A"))*4)+((COUNTIF(CL5:CL6,"B"))*3)+((COUNTIF(CL5:CL6,"C"))*2)+((COUNTIF(CL5:CL6,"D"))*1))*CELL("contenu",$B$4),0),IFERROR((((COUNTIF(CL8:CL11,"A"))*4)+((COUNTIF(CL8:CL11,"B"))*3)+((COUNTIF(CL8:CL11,"C"))*2)+((COUNTIF(CL8:CL11,"D"))*1))*CELL("contenu",$B$7),0),IFERROR((((COUNTIF(CL13:CL13,"A"))*4)+((COUNTIF(CL13:CL13,"B"))*3)+((COUNTIF(CL13:CL13,"C"))*2)+((COUNTIF(CL13:CL13,"D"))*1))*CELL("contenu",$B$12),0),IFERROR((((COUNTIF(CL15:CL17,"A"))*4)+((COUNTIF(CL15:CL17,"B"))*3)+((COUNTIF(CL15:CL17,"C"))*2)+((COUNTIF(CL15:CL17,"D"))*1))*CELL("contenu",$B$14),0),IFERROR((((COUNTIF(CL19:CL19,"A"))*4)+((COUNTIF(CL19:CL19,"B"))*3)+((COUNTIF(CL19:CL19,"C"))*2)+((COUNTIF(CL19:CL19,"D"))*1))*CELL("contenu",$B$18),0))/IF(SUM(COUNTA(CL5:CL6)*CELL("contenu",$B$4),COUNTA(CL8:CL11)*CELL("contenu",$B$7),COUNTA(CL13:CL13)*CELL("contenu",$B$12),COUNTA(CL15:CL17)*CELL("contenu",$B$14),COUNTA(CL19:CL19)*CELL("contenu",$B$18))=0,1,SUM(COUNTA(CL5:CL6)*CELL("contenu",$B$4),COUNTA(CL8:CL11)*CELL("contenu",$B$7),COUNTA(CL13:CL13)*CELL("contenu",$B$12),COUNTA(CL15:CL17)*CELL("contenu",$B$14),COUNTA(CL19:CL19)*CELL("contenu",$B$18))))</f>
        <v/>
      </c>
      <c r="CM20" s="116"/>
      <c r="CN20" s="192">
        <f ca="1">IF(COUNTA(CJ20:CL20)-COUNTBLANK(CJ20:CL20)=0,"",SUM(CJ20:CL20)/(COUNTA(CJ20:CL20)-COUNTBLANK(CJ20:CL20)))</f>
        <v>11.666666666666668</v>
      </c>
      <c r="CO20" s="182" t="str">
        <f ca="1">IF(COUNTA(CO5:CO19)=0,"",5*SUM(IFERROR((((COUNTIF(CO5:CO6,"A"))*4)+((COUNTIF(CO5:CO6,"B"))*3)+((COUNTIF(CO5:CO6,"C"))*2)+((COUNTIF(CO5:CO6,"D"))*1))*CELL("contenu",$B$4),0),IFERROR((((COUNTIF(CO8:CO11,"A"))*4)+((COUNTIF(CO8:CO11,"B"))*3)+((COUNTIF(CO8:CO11,"C"))*2)+((COUNTIF(CO8:CO11,"D"))*1))*CELL("contenu",$B$7),0),IFERROR((((COUNTIF(CO13:CO13,"A"))*4)+((COUNTIF(CO13:CO13,"B"))*3)+((COUNTIF(CO13:CO13,"C"))*2)+((COUNTIF(CO13:CO13,"D"))*1))*CELL("contenu",$B$12),0),IFERROR((((COUNTIF(CO15:CO17,"A"))*4)+((COUNTIF(CO15:CO17,"B"))*3)+((COUNTIF(CO15:CO17,"C"))*2)+((COUNTIF(CO15:CO17,"D"))*1))*CELL("contenu",$B$14),0),IFERROR((((COUNTIF(CO19:CO19,"A"))*4)+((COUNTIF(CO19:CO19,"B"))*3)+((COUNTIF(CO19:CO19,"C"))*2)+((COUNTIF(CO19:CO19,"D"))*1))*CELL("contenu",$B$18),0))/IF(SUM(COUNTA(CO5:CO6)*CELL("contenu",$B$4),COUNTA(CO8:CO11)*CELL("contenu",$B$7),COUNTA(CO13:CO13)*CELL("contenu",$B$12),COUNTA(CO15:CO17)*CELL("contenu",$B$14),COUNTA(CO19:CO19)*CELL("contenu",$B$18))=0,1,SUM(COUNTA(CO5:CO6)*CELL("contenu",$B$4),COUNTA(CO8:CO11)*CELL("contenu",$B$7),COUNTA(CO13:CO13)*CELL("contenu",$B$12),COUNTA(CO15:CO17)*CELL("contenu",$B$14),COUNTA(CO19:CO19)*CELL("contenu",$B$18))))</f>
        <v/>
      </c>
      <c r="CP20" s="183" t="str">
        <f ca="1">IF(COUNTA(CP5:CP19)=0,"",5*SUM(IFERROR((((COUNTIF(CP5:CP6,"A"))*4)+((COUNTIF(CP5:CP6,"B"))*3)+((COUNTIF(CP5:CP6,"C"))*2)+((COUNTIF(CP5:CP6,"D"))*1))*CELL("contenu",$B$4),0),IFERROR((((COUNTIF(CP8:CP11,"A"))*4)+((COUNTIF(CP8:CP11,"B"))*3)+((COUNTIF(CP8:CP11,"C"))*2)+((COUNTIF(CP8:CP11,"D"))*1))*CELL("contenu",$B$7),0),IFERROR((((COUNTIF(CP13:CP13,"A"))*4)+((COUNTIF(CP13:CP13,"B"))*3)+((COUNTIF(CP13:CP13,"C"))*2)+((COUNTIF(CP13:CP13,"D"))*1))*CELL("contenu",$B$12),0),IFERROR((((COUNTIF(CP15:CP17,"A"))*4)+((COUNTIF(CP15:CP17,"B"))*3)+((COUNTIF(CP15:CP17,"C"))*2)+((COUNTIF(CP15:CP17,"D"))*1))*CELL("contenu",$B$14),0),IFERROR((((COUNTIF(CP19:CP19,"A"))*4)+((COUNTIF(CP19:CP19,"B"))*3)+((COUNTIF(CP19:CP19,"C"))*2)+((COUNTIF(CP19:CP19,"D"))*1))*CELL("contenu",$B$18),0))/IF(SUM(COUNTA(CP5:CP6)*CELL("contenu",$B$4),COUNTA(CP8:CP11)*CELL("contenu",$B$7),COUNTA(CP13:CP13)*CELL("contenu",$B$12),COUNTA(CP15:CP17)*CELL("contenu",$B$14),COUNTA(CP19:CP19)*CELL("contenu",$B$18))=0,1,SUM(COUNTA(CP5:CP6)*CELL("contenu",$B$4),COUNTA(CP8:CP11)*CELL("contenu",$B$7),COUNTA(CP13:CP13)*CELL("contenu",$B$12),COUNTA(CP15:CP17)*CELL("contenu",$B$14),COUNTA(CP19:CP19)*CELL("contenu",$B$18))))</f>
        <v/>
      </c>
      <c r="CQ20" s="184" t="str">
        <f ca="1">IF(COUNTA(CQ5:CQ19)=0,"",5*SUM(IFERROR((((COUNTIF(CQ5:CQ6,"A"))*4)+((COUNTIF(CQ5:CQ6,"B"))*3)+((COUNTIF(CQ5:CQ6,"C"))*2)+((COUNTIF(CQ5:CQ6,"D"))*1))*CELL("contenu",$B$4),0),IFERROR((((COUNTIF(CQ8:CQ11,"A"))*4)+((COUNTIF(CQ8:CQ11,"B"))*3)+((COUNTIF(CQ8:CQ11,"C"))*2)+((COUNTIF(CQ8:CQ11,"D"))*1))*CELL("contenu",$B$7),0),IFERROR((((COUNTIF(CQ13:CQ13,"A"))*4)+((COUNTIF(CQ13:CQ13,"B"))*3)+((COUNTIF(CQ13:CQ13,"C"))*2)+((COUNTIF(CQ13:CQ13,"D"))*1))*CELL("contenu",$B$12),0),IFERROR((((COUNTIF(CQ15:CQ17,"A"))*4)+((COUNTIF(CQ15:CQ17,"B"))*3)+((COUNTIF(CQ15:CQ17,"C"))*2)+((COUNTIF(CQ15:CQ17,"D"))*1))*CELL("contenu",$B$14),0),IFERROR((((COUNTIF(CQ19:CQ19,"A"))*4)+((COUNTIF(CQ19:CQ19,"B"))*3)+((COUNTIF(CQ19:CQ19,"C"))*2)+((COUNTIF(CQ19:CQ19,"D"))*1))*CELL("contenu",$B$18),0))/IF(SUM(COUNTA(CQ5:CQ6)*CELL("contenu",$B$4),COUNTA(CQ8:CQ11)*CELL("contenu",$B$7),COUNTA(CQ13:CQ13)*CELL("contenu",$B$12),COUNTA(CQ15:CQ17)*CELL("contenu",$B$14),COUNTA(CQ19:CQ19)*CELL("contenu",$B$18))=0,1,SUM(COUNTA(CQ5:CQ6)*CELL("contenu",$B$4),COUNTA(CQ8:CQ11)*CELL("contenu",$B$7),COUNTA(CQ13:CQ13)*CELL("contenu",$B$12),COUNTA(CQ15:CQ17)*CELL("contenu",$B$14),COUNTA(CQ19:CQ19)*CELL("contenu",$B$18))))</f>
        <v/>
      </c>
      <c r="CR20" s="176"/>
      <c r="CS20" s="175" t="str">
        <f ca="1">IF(COUNTA(CO20:CQ20)-COUNTBLANK(CO20:CQ20)=0,"",SUM(CO20:CQ20)/(COUNTA(CO20:CQ20)-COUNTBLANK(CO20:CQ20)))</f>
        <v/>
      </c>
      <c r="CT20" s="182" t="str">
        <f ca="1">IF(COUNTA(CT5:CT19)=0,"",5*SUM(IFERROR((((COUNTIF(CT5:CT6,"A"))*4)+((COUNTIF(CT5:CT6,"B"))*3)+((COUNTIF(CT5:CT6,"C"))*2)+((COUNTIF(CT5:CT6,"D"))*1))*CELL("contenu",$B$4),0),IFERROR((((COUNTIF(CT8:CT11,"A"))*4)+((COUNTIF(CT8:CT11,"B"))*3)+((COUNTIF(CT8:CT11,"C"))*2)+((COUNTIF(CT8:CT11,"D"))*1))*CELL("contenu",$B$7),0),IFERROR((((COUNTIF(CT13:CT13,"A"))*4)+((COUNTIF(CT13:CT13,"B"))*3)+((COUNTIF(CT13:CT13,"C"))*2)+((COUNTIF(CT13:CT13,"D"))*1))*CELL("contenu",$B$12),0),IFERROR((((COUNTIF(CT15:CT17,"A"))*4)+((COUNTIF(CT15:CT17,"B"))*3)+((COUNTIF(CT15:CT17,"C"))*2)+((COUNTIF(CT15:CT17,"D"))*1))*CELL("contenu",$B$14),0),IFERROR((((COUNTIF(CT19:CT19,"A"))*4)+((COUNTIF(CT19:CT19,"B"))*3)+((COUNTIF(CT19:CT19,"C"))*2)+((COUNTIF(CT19:CT19,"D"))*1))*CELL("contenu",$B$18),0))/IF(SUM(COUNTA(CT5:CT6)*CELL("contenu",$B$4),COUNTA(CT8:CT11)*CELL("contenu",$B$7),COUNTA(CT13:CT13)*CELL("contenu",$B$12),COUNTA(CT15:CT17)*CELL("contenu",$B$14),COUNTA(CT19:CT19)*CELL("contenu",$B$18))=0,1,SUM(COUNTA(CT5:CT6)*CELL("contenu",$B$4),COUNTA(CT8:CT11)*CELL("contenu",$B$7),COUNTA(CT13:CT13)*CELL("contenu",$B$12),COUNTA(CT15:CT17)*CELL("contenu",$B$14),COUNTA(CT19:CT19)*CELL("contenu",$B$18))))</f>
        <v/>
      </c>
      <c r="CU20" s="183" t="str">
        <f ca="1">IF(COUNTA(CU5:CU19)=0,"",5*SUM(IFERROR((((COUNTIF(CU5:CU6,"A"))*4)+((COUNTIF(CU5:CU6,"B"))*3)+((COUNTIF(CU5:CU6,"C"))*2)+((COUNTIF(CU5:CU6,"D"))*1))*CELL("contenu",$B$4),0),IFERROR((((COUNTIF(CU8:CU11,"A"))*4)+((COUNTIF(CU8:CU11,"B"))*3)+((COUNTIF(CU8:CU11,"C"))*2)+((COUNTIF(CU8:CU11,"D"))*1))*CELL("contenu",$B$7),0),IFERROR((((COUNTIF(CU13:CU13,"A"))*4)+((COUNTIF(CU13:CU13,"B"))*3)+((COUNTIF(CU13:CU13,"C"))*2)+((COUNTIF(CU13:CU13,"D"))*1))*CELL("contenu",$B$12),0),IFERROR((((COUNTIF(CU15:CU17,"A"))*4)+((COUNTIF(CU15:CU17,"B"))*3)+((COUNTIF(CU15:CU17,"C"))*2)+((COUNTIF(CU15:CU17,"D"))*1))*CELL("contenu",$B$14),0),IFERROR((((COUNTIF(CU19:CU19,"A"))*4)+((COUNTIF(CU19:CU19,"B"))*3)+((COUNTIF(CU19:CU19,"C"))*2)+((COUNTIF(CU19:CU19,"D"))*1))*CELL("contenu",$B$18),0))/IF(SUM(COUNTA(CU5:CU6)*CELL("contenu",$B$4),COUNTA(CU8:CU11)*CELL("contenu",$B$7),COUNTA(CU13:CU13)*CELL("contenu",$B$12),COUNTA(CU15:CU17)*CELL("contenu",$B$14),COUNTA(CU19:CU19)*CELL("contenu",$B$18))=0,1,SUM(COUNTA(CU5:CU6)*CELL("contenu",$B$4),COUNTA(CU8:CU11)*CELL("contenu",$B$7),COUNTA(CU13:CU13)*CELL("contenu",$B$12),COUNTA(CU15:CU17)*CELL("contenu",$B$14),COUNTA(CU19:CU19)*CELL("contenu",$B$18))))</f>
        <v/>
      </c>
      <c r="CV20" s="184" t="str">
        <f ca="1">IF(COUNTA(CV5:CV19)=0,"",5*SUM(IFERROR((((COUNTIF(CV5:CV6,"A"))*4)+((COUNTIF(CV5:CV6,"B"))*3)+((COUNTIF(CV5:CV6,"C"))*2)+((COUNTIF(CV5:CV6,"D"))*1))*CELL("contenu",$B$4),0),IFERROR((((COUNTIF(CV8:CV11,"A"))*4)+((COUNTIF(CV8:CV11,"B"))*3)+((COUNTIF(CV8:CV11,"C"))*2)+((COUNTIF(CV8:CV11,"D"))*1))*CELL("contenu",$B$7),0),IFERROR((((COUNTIF(CV13:CV13,"A"))*4)+((COUNTIF(CV13:CV13,"B"))*3)+((COUNTIF(CV13:CV13,"C"))*2)+((COUNTIF(CV13:CV13,"D"))*1))*CELL("contenu",$B$12),0),IFERROR((((COUNTIF(CV15:CV17,"A"))*4)+((COUNTIF(CV15:CV17,"B"))*3)+((COUNTIF(CV15:CV17,"C"))*2)+((COUNTIF(CV15:CV17,"D"))*1))*CELL("contenu",$B$14),0),IFERROR((((COUNTIF(CV19:CV19,"A"))*4)+((COUNTIF(CV19:CV19,"B"))*3)+((COUNTIF(CV19:CV19,"C"))*2)+((COUNTIF(CV19:CV19,"D"))*1))*CELL("contenu",$B$18),0))/IF(SUM(COUNTA(CV5:CV6)*CELL("contenu",$B$4),COUNTA(CV8:CV11)*CELL("contenu",$B$7),COUNTA(CV13:CV13)*CELL("contenu",$B$12),COUNTA(CV15:CV17)*CELL("contenu",$B$14),COUNTA(CV19:CV19)*CELL("contenu",$B$18))=0,1,SUM(COUNTA(CV5:CV6)*CELL("contenu",$B$4),COUNTA(CV8:CV11)*CELL("contenu",$B$7),COUNTA(CV13:CV13)*CELL("contenu",$B$12),COUNTA(CV15:CV17)*CELL("contenu",$B$14),COUNTA(CV19:CV19)*CELL("contenu",$B$18))))</f>
        <v/>
      </c>
      <c r="CW20" s="176"/>
      <c r="CX20" s="174" t="str">
        <f ca="1">IF(COUNTA(CT20:CV20)-COUNTBLANK(CT20:CV20)=0,"",SUM(CT20:CV20)/(COUNTA(CT20:CV20)-COUNTBLANK(CT20:CV20)))</f>
        <v/>
      </c>
      <c r="CY20" s="103"/>
      <c r="CZ20" s="141"/>
      <c r="DA20" s="167">
        <f ca="1">IF(COUNTA(DA5:DA19)=0,"",5*SUM(IFERROR((((COUNTIF(DA5:DA6,"A"))*4)+((COUNTIF(DA5:DA6,"B"))*3)+((COUNTIF(DA5:DA6,"C"))*2)+((COUNTIF(DA5:DA6,"D"))*1))*CELL("contenu",$B$4),0),IFERROR((((COUNTIF(DA8:DA11,"A"))*4)+((COUNTIF(DA8:DA11,"B"))*3)+((COUNTIF(DA8:DA11,"C"))*2)+((COUNTIF(DA8:DA11,"D"))*1))*CELL("contenu",$B$7),0),IFERROR((((COUNTIF(DA13:DA13,"A"))*4)+((COUNTIF(DA13:DA13,"B"))*3)+((COUNTIF(DA13:DA13,"C"))*2)+((COUNTIF(DA13:DA13,"D"))*1))*CELL("contenu",$B$12),0),IFERROR((((COUNTIF(DA15:DA17,"A"))*4)+((COUNTIF(DA15:DA17,"B"))*3)+((COUNTIF(DA15:DA17,"C"))*2)+((COUNTIF(DA15:DA17,"D"))*1))*CELL("contenu",$B$14),0),IFERROR((((COUNTIF(DA19:DA19,"A"))*4)+((COUNTIF(DA19:DA19,"B"))*3)+((COUNTIF(DA19:DA19,"C"))*2)+((COUNTIF(DA19:DA19,"D"))*1))*CELL("contenu",$B$18),0))/IF(SUM(COUNTA(DA5:DA6)*CELL("contenu",$B$4),COUNTA(DA8:DA11)*CELL("contenu",$B$7),COUNTA(DA13:DA13)*CELL("contenu",$B$12),COUNTA(DA15:DA17)*CELL("contenu",$B$14),COUNTA(DA19:DA19)*CELL("contenu",$B$18))=0,1,SUM(COUNTA(DA5:DA6)*CELL("contenu",$B$4),COUNTA(DA8:DA11)*CELL("contenu",$B$7),COUNTA(DA13:DA13)*CELL("contenu",$B$12),COUNTA(DA15:DA17)*CELL("contenu",$B$14),COUNTA(DA19:DA19)*CELL("contenu",$B$18))))</f>
        <v>18.333333333333332</v>
      </c>
      <c r="DB20" s="168">
        <f ca="1">IF(COUNTA(DB5:DB19)=0,"",5*SUM(IFERROR((((COUNTIF(DB5:DB6,"A"))*4)+((COUNTIF(DB5:DB6,"B"))*3)+((COUNTIF(DB5:DB6,"C"))*2)+((COUNTIF(DB5:DB6,"D"))*1))*CELL("contenu",$B$4),0),IFERROR((((COUNTIF(DB8:DB11,"A"))*4)+((COUNTIF(DB8:DB11,"B"))*3)+((COUNTIF(DB8:DB11,"C"))*2)+((COUNTIF(DB8:DB11,"D"))*1))*CELL("contenu",$B$7),0),IFERROR((((COUNTIF(DB13:DB13,"A"))*4)+((COUNTIF(DB13:DB13,"B"))*3)+((COUNTIF(DB13:DB13,"C"))*2)+((COUNTIF(DB13:DB13,"D"))*1))*CELL("contenu",$B$12),0),IFERROR((((COUNTIF(DB15:DB17,"A"))*4)+((COUNTIF(DB15:DB17,"B"))*3)+((COUNTIF(DB15:DB17,"C"))*2)+((COUNTIF(DB15:DB17,"D"))*1))*CELL("contenu",$B$14),0),IFERROR((((COUNTIF(DB19:DB19,"A"))*4)+((COUNTIF(DB19:DB19,"B"))*3)+((COUNTIF(DB19:DB19,"C"))*2)+((COUNTIF(DB19:DB19,"D"))*1))*CELL("contenu",$B$18),0))/IF(SUM(COUNTA(DB5:DB6)*CELL("contenu",$B$4),COUNTA(DB8:DB11)*CELL("contenu",$B$7),COUNTA(DB13:DB13)*CELL("contenu",$B$12),COUNTA(DB15:DB17)*CELL("contenu",$B$14),COUNTA(DB19:DB19)*CELL("contenu",$B$18))=0,1,SUM(COUNTA(DB5:DB6)*CELL("contenu",$B$4),COUNTA(DB8:DB11)*CELL("contenu",$B$7),COUNTA(DB13:DB13)*CELL("contenu",$B$12),COUNTA(DB15:DB17)*CELL("contenu",$B$14),COUNTA(DB19:DB19)*CELL("contenu",$B$18))))</f>
        <v>13.333333333333334</v>
      </c>
      <c r="DC20" s="169" t="str">
        <f ca="1">IF(COUNTA(DC5:DC19)=0,"",5*SUM(IFERROR((((COUNTIF(DC5:DC6,"A"))*4)+((COUNTIF(DC5:DC6,"B"))*3)+((COUNTIF(DC5:DC6,"C"))*2)+((COUNTIF(DC5:DC6,"D"))*1))*CELL("contenu",$B$4),0),IFERROR((((COUNTIF(DC8:DC11,"A"))*4)+((COUNTIF(DC8:DC11,"B"))*3)+((COUNTIF(DC8:DC11,"C"))*2)+((COUNTIF(DC8:DC11,"D"))*1))*CELL("contenu",$B$7),0),IFERROR((((COUNTIF(DC13:DC13,"A"))*4)+((COUNTIF(DC13:DC13,"B"))*3)+((COUNTIF(DC13:DC13,"C"))*2)+((COUNTIF(DC13:DC13,"D"))*1))*CELL("contenu",$B$12),0),IFERROR((((COUNTIF(DC15:DC17,"A"))*4)+((COUNTIF(DC15:DC17,"B"))*3)+((COUNTIF(DC15:DC17,"C"))*2)+((COUNTIF(DC15:DC17,"D"))*1))*CELL("contenu",$B$14),0),IFERROR((((COUNTIF(DC19:DC19,"A"))*4)+((COUNTIF(DC19:DC19,"B"))*3)+((COUNTIF(DC19:DC19,"C"))*2)+((COUNTIF(DC19:DC19,"D"))*1))*CELL("contenu",$B$18),0))/IF(SUM(COUNTA(DC5:DC6)*CELL("contenu",$B$4),COUNTA(DC8:DC11)*CELL("contenu",$B$7),COUNTA(DC13:DC13)*CELL("contenu",$B$12),COUNTA(DC15:DC17)*CELL("contenu",$B$14),COUNTA(DC19:DC19)*CELL("contenu",$B$18))=0,1,SUM(COUNTA(DC5:DC6)*CELL("contenu",$B$4),COUNTA(DC8:DC11)*CELL("contenu",$B$7),COUNTA(DC13:DC13)*CELL("contenu",$B$12),COUNTA(DC15:DC17)*CELL("contenu",$B$14),COUNTA(DC19:DC19)*CELL("contenu",$B$18))))</f>
        <v/>
      </c>
      <c r="DD20" s="116"/>
      <c r="DE20" s="192">
        <f ca="1">IF(COUNTA(DA20:DC20)-COUNTBLANK(DA20:DC20)=0,"",SUM(DA20:DC20)/(COUNTA(DA20:DC20)-COUNTBLANK(DA20:DC20)))</f>
        <v>15.833333333333332</v>
      </c>
      <c r="DF20" s="182" t="str">
        <f ca="1">IF(COUNTA(DF5:DF19)=0,"",5*SUM(IFERROR((((COUNTIF(DF5:DF6,"A"))*4)+((COUNTIF(DF5:DF6,"B"))*3)+((COUNTIF(DF5:DF6,"C"))*2)+((COUNTIF(DF5:DF6,"D"))*1))*CELL("contenu",$B$4),0),IFERROR((((COUNTIF(DF8:DF11,"A"))*4)+((COUNTIF(DF8:DF11,"B"))*3)+((COUNTIF(DF8:DF11,"C"))*2)+((COUNTIF(DF8:DF11,"D"))*1))*CELL("contenu",$B$7),0),IFERROR((((COUNTIF(DF13:DF13,"A"))*4)+((COUNTIF(DF13:DF13,"B"))*3)+((COUNTIF(DF13:DF13,"C"))*2)+((COUNTIF(DF13:DF13,"D"))*1))*CELL("contenu",$B$12),0),IFERROR((((COUNTIF(DF15:DF17,"A"))*4)+((COUNTIF(DF15:DF17,"B"))*3)+((COUNTIF(DF15:DF17,"C"))*2)+((COUNTIF(DF15:DF17,"D"))*1))*CELL("contenu",$B$14),0),IFERROR((((COUNTIF(DF19:DF19,"A"))*4)+((COUNTIF(DF19:DF19,"B"))*3)+((COUNTIF(DF19:DF19,"C"))*2)+((COUNTIF(DF19:DF19,"D"))*1))*CELL("contenu",$B$18),0))/IF(SUM(COUNTA(DF5:DF6)*CELL("contenu",$B$4),COUNTA(DF8:DF11)*CELL("contenu",$B$7),COUNTA(DF13:DF13)*CELL("contenu",$B$12),COUNTA(DF15:DF17)*CELL("contenu",$B$14),COUNTA(DF19:DF19)*CELL("contenu",$B$18))=0,1,SUM(COUNTA(DF5:DF6)*CELL("contenu",$B$4),COUNTA(DF8:DF11)*CELL("contenu",$B$7),COUNTA(DF13:DF13)*CELL("contenu",$B$12),COUNTA(DF15:DF17)*CELL("contenu",$B$14),COUNTA(DF19:DF19)*CELL("contenu",$B$18))))</f>
        <v/>
      </c>
      <c r="DG20" s="183" t="str">
        <f ca="1">IF(COUNTA(DG5:DG19)=0,"",5*SUM(IFERROR((((COUNTIF(DG5:DG6,"A"))*4)+((COUNTIF(DG5:DG6,"B"))*3)+((COUNTIF(DG5:DG6,"C"))*2)+((COUNTIF(DG5:DG6,"D"))*1))*CELL("contenu",$B$4),0),IFERROR((((COUNTIF(DG8:DG11,"A"))*4)+((COUNTIF(DG8:DG11,"B"))*3)+((COUNTIF(DG8:DG11,"C"))*2)+((COUNTIF(DG8:DG11,"D"))*1))*CELL("contenu",$B$7),0),IFERROR((((COUNTIF(DG13:DG13,"A"))*4)+((COUNTIF(DG13:DG13,"B"))*3)+((COUNTIF(DG13:DG13,"C"))*2)+((COUNTIF(DG13:DG13,"D"))*1))*CELL("contenu",$B$12),0),IFERROR((((COUNTIF(DG15:DG17,"A"))*4)+((COUNTIF(DG15:DG17,"B"))*3)+((COUNTIF(DG15:DG17,"C"))*2)+((COUNTIF(DG15:DG17,"D"))*1))*CELL("contenu",$B$14),0),IFERROR((((COUNTIF(DG19:DG19,"A"))*4)+((COUNTIF(DG19:DG19,"B"))*3)+((COUNTIF(DG19:DG19,"C"))*2)+((COUNTIF(DG19:DG19,"D"))*1))*CELL("contenu",$B$18),0))/IF(SUM(COUNTA(DG5:DG6)*CELL("contenu",$B$4),COUNTA(DG8:DG11)*CELL("contenu",$B$7),COUNTA(DG13:DG13)*CELL("contenu",$B$12),COUNTA(DG15:DG17)*CELL("contenu",$B$14),COUNTA(DG19:DG19)*CELL("contenu",$B$18))=0,1,SUM(COUNTA(DG5:DG6)*CELL("contenu",$B$4),COUNTA(DG8:DG11)*CELL("contenu",$B$7),COUNTA(DG13:DG13)*CELL("contenu",$B$12),COUNTA(DG15:DG17)*CELL("contenu",$B$14),COUNTA(DG19:DG19)*CELL("contenu",$B$18))))</f>
        <v/>
      </c>
      <c r="DH20" s="184" t="str">
        <f ca="1">IF(COUNTA(DH5:DH19)=0,"",5*SUM(IFERROR((((COUNTIF(DH5:DH6,"A"))*4)+((COUNTIF(DH5:DH6,"B"))*3)+((COUNTIF(DH5:DH6,"C"))*2)+((COUNTIF(DH5:DH6,"D"))*1))*CELL("contenu",$B$4),0),IFERROR((((COUNTIF(DH8:DH11,"A"))*4)+((COUNTIF(DH8:DH11,"B"))*3)+((COUNTIF(DH8:DH11,"C"))*2)+((COUNTIF(DH8:DH11,"D"))*1))*CELL("contenu",$B$7),0),IFERROR((((COUNTIF(DH13:DH13,"A"))*4)+((COUNTIF(DH13:DH13,"B"))*3)+((COUNTIF(DH13:DH13,"C"))*2)+((COUNTIF(DH13:DH13,"D"))*1))*CELL("contenu",$B$12),0),IFERROR((((COUNTIF(DH15:DH17,"A"))*4)+((COUNTIF(DH15:DH17,"B"))*3)+((COUNTIF(DH15:DH17,"C"))*2)+((COUNTIF(DH15:DH17,"D"))*1))*CELL("contenu",$B$14),0),IFERROR((((COUNTIF(DH19:DH19,"A"))*4)+((COUNTIF(DH19:DH19,"B"))*3)+((COUNTIF(DH19:DH19,"C"))*2)+((COUNTIF(DH19:DH19,"D"))*1))*CELL("contenu",$B$18),0))/IF(SUM(COUNTA(DH5:DH6)*CELL("contenu",$B$4),COUNTA(DH8:DH11)*CELL("contenu",$B$7),COUNTA(DH13:DH13)*CELL("contenu",$B$12),COUNTA(DH15:DH17)*CELL("contenu",$B$14),COUNTA(DH19:DH19)*CELL("contenu",$B$18))=0,1,SUM(COUNTA(DH5:DH6)*CELL("contenu",$B$4),COUNTA(DH8:DH11)*CELL("contenu",$B$7),COUNTA(DH13:DH13)*CELL("contenu",$B$12),COUNTA(DH15:DH17)*CELL("contenu",$B$14),COUNTA(DH19:DH19)*CELL("contenu",$B$18))))</f>
        <v/>
      </c>
      <c r="DI20" s="176"/>
      <c r="DJ20" s="175" t="str">
        <f ca="1">IF(COUNTA(DF20:DH20)-COUNTBLANK(DF20:DH20)=0,"",SUM(DF20:DH20)/(COUNTA(DF20:DH20)-COUNTBLANK(DF20:DH20)))</f>
        <v/>
      </c>
      <c r="DK20" s="182" t="str">
        <f ca="1">IF(COUNTA(DK5:DK19)=0,"",5*SUM(IFERROR((((COUNTIF(DK5:DK6,"A"))*4)+((COUNTIF(DK5:DK6,"B"))*3)+((COUNTIF(DK5:DK6,"C"))*2)+((COUNTIF(DK5:DK6,"D"))*1))*CELL("contenu",$B$4),0),IFERROR((((COUNTIF(DK8:DK11,"A"))*4)+((COUNTIF(DK8:DK11,"B"))*3)+((COUNTIF(DK8:DK11,"C"))*2)+((COUNTIF(DK8:DK11,"D"))*1))*CELL("contenu",$B$7),0),IFERROR((((COUNTIF(DK13:DK13,"A"))*4)+((COUNTIF(DK13:DK13,"B"))*3)+((COUNTIF(DK13:DK13,"C"))*2)+((COUNTIF(DK13:DK13,"D"))*1))*CELL("contenu",$B$12),0),IFERROR((((COUNTIF(DK15:DK17,"A"))*4)+((COUNTIF(DK15:DK17,"B"))*3)+((COUNTIF(DK15:DK17,"C"))*2)+((COUNTIF(DK15:DK17,"D"))*1))*CELL("contenu",$B$14),0),IFERROR((((COUNTIF(DK19:DK19,"A"))*4)+((COUNTIF(DK19:DK19,"B"))*3)+((COUNTIF(DK19:DK19,"C"))*2)+((COUNTIF(DK19:DK19,"D"))*1))*CELL("contenu",$B$18),0))/IF(SUM(COUNTA(DK5:DK6)*CELL("contenu",$B$4),COUNTA(DK8:DK11)*CELL("contenu",$B$7),COUNTA(DK13:DK13)*CELL("contenu",$B$12),COUNTA(DK15:DK17)*CELL("contenu",$B$14),COUNTA(DK19:DK19)*CELL("contenu",$B$18))=0,1,SUM(COUNTA(DK5:DK6)*CELL("contenu",$B$4),COUNTA(DK8:DK11)*CELL("contenu",$B$7),COUNTA(DK13:DK13)*CELL("contenu",$B$12),COUNTA(DK15:DK17)*CELL("contenu",$B$14),COUNTA(DK19:DK19)*CELL("contenu",$B$18))))</f>
        <v/>
      </c>
      <c r="DL20" s="183" t="str">
        <f ca="1">IF(COUNTA(DL5:DL19)=0,"",5*SUM(IFERROR((((COUNTIF(DL5:DL6,"A"))*4)+((COUNTIF(DL5:DL6,"B"))*3)+((COUNTIF(DL5:DL6,"C"))*2)+((COUNTIF(DL5:DL6,"D"))*1))*CELL("contenu",$B$4),0),IFERROR((((COUNTIF(DL8:DL11,"A"))*4)+((COUNTIF(DL8:DL11,"B"))*3)+((COUNTIF(DL8:DL11,"C"))*2)+((COUNTIF(DL8:DL11,"D"))*1))*CELL("contenu",$B$7),0),IFERROR((((COUNTIF(DL13:DL13,"A"))*4)+((COUNTIF(DL13:DL13,"B"))*3)+((COUNTIF(DL13:DL13,"C"))*2)+((COUNTIF(DL13:DL13,"D"))*1))*CELL("contenu",$B$12),0),IFERROR((((COUNTIF(DL15:DL17,"A"))*4)+((COUNTIF(DL15:DL17,"B"))*3)+((COUNTIF(DL15:DL17,"C"))*2)+((COUNTIF(DL15:DL17,"D"))*1))*CELL("contenu",$B$14),0),IFERROR((((COUNTIF(DL19:DL19,"A"))*4)+((COUNTIF(DL19:DL19,"B"))*3)+((COUNTIF(DL19:DL19,"C"))*2)+((COUNTIF(DL19:DL19,"D"))*1))*CELL("contenu",$B$18),0))/IF(SUM(COUNTA(DL5:DL6)*CELL("contenu",$B$4),COUNTA(DL8:DL11)*CELL("contenu",$B$7),COUNTA(DL13:DL13)*CELL("contenu",$B$12),COUNTA(DL15:DL17)*CELL("contenu",$B$14),COUNTA(DL19:DL19)*CELL("contenu",$B$18))=0,1,SUM(COUNTA(DL5:DL6)*CELL("contenu",$B$4),COUNTA(DL8:DL11)*CELL("contenu",$B$7),COUNTA(DL13:DL13)*CELL("contenu",$B$12),COUNTA(DL15:DL17)*CELL("contenu",$B$14),COUNTA(DL19:DL19)*CELL("contenu",$B$18))))</f>
        <v/>
      </c>
      <c r="DM20" s="184" t="str">
        <f ca="1">IF(COUNTA(DM5:DM19)=0,"",5*SUM(IFERROR((((COUNTIF(DM5:DM6,"A"))*4)+((COUNTIF(DM5:DM6,"B"))*3)+((COUNTIF(DM5:DM6,"C"))*2)+((COUNTIF(DM5:DM6,"D"))*1))*CELL("contenu",$B$4),0),IFERROR((((COUNTIF(DM8:DM11,"A"))*4)+((COUNTIF(DM8:DM11,"B"))*3)+((COUNTIF(DM8:DM11,"C"))*2)+((COUNTIF(DM8:DM11,"D"))*1))*CELL("contenu",$B$7),0),IFERROR((((COUNTIF(DM13:DM13,"A"))*4)+((COUNTIF(DM13:DM13,"B"))*3)+((COUNTIF(DM13:DM13,"C"))*2)+((COUNTIF(DM13:DM13,"D"))*1))*CELL("contenu",$B$12),0),IFERROR((((COUNTIF(DM15:DM17,"A"))*4)+((COUNTIF(DM15:DM17,"B"))*3)+((COUNTIF(DM15:DM17,"C"))*2)+((COUNTIF(DM15:DM17,"D"))*1))*CELL("contenu",$B$14),0),IFERROR((((COUNTIF(DM19:DM19,"A"))*4)+((COUNTIF(DM19:DM19,"B"))*3)+((COUNTIF(DM19:DM19,"C"))*2)+((COUNTIF(DM19:DM19,"D"))*1))*CELL("contenu",$B$18),0))/IF(SUM(COUNTA(DM5:DM6)*CELL("contenu",$B$4),COUNTA(DM8:DM11)*CELL("contenu",$B$7),COUNTA(DM13:DM13)*CELL("contenu",$B$12),COUNTA(DM15:DM17)*CELL("contenu",$B$14),COUNTA(DM19:DM19)*CELL("contenu",$B$18))=0,1,SUM(COUNTA(DM5:DM6)*CELL("contenu",$B$4),COUNTA(DM8:DM11)*CELL("contenu",$B$7),COUNTA(DM13:DM13)*CELL("contenu",$B$12),COUNTA(DM15:DM17)*CELL("contenu",$B$14),COUNTA(DM19:DM19)*CELL("contenu",$B$18))))</f>
        <v/>
      </c>
      <c r="DN20" s="176"/>
      <c r="DO20" s="174" t="str">
        <f ca="1">IF(COUNTA(DK20:DM20)-COUNTBLANK(DK20:DM20)=0,"",SUM(DK20:DM20)/(COUNTA(DK20:DM20)-COUNTBLANK(DK20:DM20)))</f>
        <v/>
      </c>
      <c r="DP20" s="103"/>
      <c r="DQ20" s="141"/>
      <c r="DR20" s="167">
        <f ca="1">IF(COUNTA(DR5:DR19)=0,"",5*SUM(IFERROR((((COUNTIF(DR5:DR6,"A"))*4)+((COUNTIF(DR5:DR6,"B"))*3)+((COUNTIF(DR5:DR6,"C"))*2)+((COUNTIF(DR5:DR6,"D"))*1))*CELL("contenu",$B$4),0),IFERROR((((COUNTIF(DR8:DR11,"A"))*4)+((COUNTIF(DR8:DR11,"B"))*3)+((COUNTIF(DR8:DR11,"C"))*2)+((COUNTIF(DR8:DR11,"D"))*1))*CELL("contenu",$B$7),0),IFERROR((((COUNTIF(DR13:DR13,"A"))*4)+((COUNTIF(DR13:DR13,"B"))*3)+((COUNTIF(DR13:DR13,"C"))*2)+((COUNTIF(DR13:DR13,"D"))*1))*CELL("contenu",$B$12),0),IFERROR((((COUNTIF(DR15:DR17,"A"))*4)+((COUNTIF(DR15:DR17,"B"))*3)+((COUNTIF(DR15:DR17,"C"))*2)+((COUNTIF(DR15:DR17,"D"))*1))*CELL("contenu",$B$14),0),IFERROR((((COUNTIF(DR19:DR19,"A"))*4)+((COUNTIF(DR19:DR19,"B"))*3)+((COUNTIF(DR19:DR19,"C"))*2)+((COUNTIF(DR19:DR19,"D"))*1))*CELL("contenu",$B$18),0))/IF(SUM(COUNTA(DR5:DR6)*CELL("contenu",$B$4),COUNTA(DR8:DR11)*CELL("contenu",$B$7),COUNTA(DR13:DR13)*CELL("contenu",$B$12),COUNTA(DR15:DR17)*CELL("contenu",$B$14),COUNTA(DR19:DR19)*CELL("contenu",$B$18))=0,1,SUM(COUNTA(DR5:DR6)*CELL("contenu",$B$4),COUNTA(DR8:DR11)*CELL("contenu",$B$7),COUNTA(DR13:DR13)*CELL("contenu",$B$12),COUNTA(DR15:DR17)*CELL("contenu",$B$14),COUNTA(DR19:DR19)*CELL("contenu",$B$18))))</f>
        <v>20</v>
      </c>
      <c r="DS20" s="168">
        <f ca="1">IF(COUNTA(DS5:DS19)=0,"",5*SUM(IFERROR((((COUNTIF(DS5:DS6,"A"))*4)+((COUNTIF(DS5:DS6,"B"))*3)+((COUNTIF(DS5:DS6,"C"))*2)+((COUNTIF(DS5:DS6,"D"))*1))*CELL("contenu",$B$4),0),IFERROR((((COUNTIF(DS8:DS11,"A"))*4)+((COUNTIF(DS8:DS11,"B"))*3)+((COUNTIF(DS8:DS11,"C"))*2)+((COUNTIF(DS8:DS11,"D"))*1))*CELL("contenu",$B$7),0),IFERROR((((COUNTIF(DS13:DS13,"A"))*4)+((COUNTIF(DS13:DS13,"B"))*3)+((COUNTIF(DS13:DS13,"C"))*2)+((COUNTIF(DS13:DS13,"D"))*1))*CELL("contenu",$B$12),0),IFERROR((((COUNTIF(DS15:DS17,"A"))*4)+((COUNTIF(DS15:DS17,"B"))*3)+((COUNTIF(DS15:DS17,"C"))*2)+((COUNTIF(DS15:DS17,"D"))*1))*CELL("contenu",$B$14),0),IFERROR((((COUNTIF(DS19:DS19,"A"))*4)+((COUNTIF(DS19:DS19,"B"))*3)+((COUNTIF(DS19:DS19,"C"))*2)+((COUNTIF(DS19:DS19,"D"))*1))*CELL("contenu",$B$18),0))/IF(SUM(COUNTA(DS5:DS6)*CELL("contenu",$B$4),COUNTA(DS8:DS11)*CELL("contenu",$B$7),COUNTA(DS13:DS13)*CELL("contenu",$B$12),COUNTA(DS15:DS17)*CELL("contenu",$B$14),COUNTA(DS19:DS19)*CELL("contenu",$B$18))=0,1,SUM(COUNTA(DS5:DS6)*CELL("contenu",$B$4),COUNTA(DS8:DS11)*CELL("contenu",$B$7),COUNTA(DS13:DS13)*CELL("contenu",$B$12),COUNTA(DS15:DS17)*CELL("contenu",$B$14),COUNTA(DS19:DS19)*CELL("contenu",$B$18))))</f>
        <v>13.333333333333334</v>
      </c>
      <c r="DT20" s="169" t="str">
        <f ca="1">IF(COUNTA(DT5:DT19)=0,"",5*SUM(IFERROR((((COUNTIF(DT5:DT6,"A"))*4)+((COUNTIF(DT5:DT6,"B"))*3)+((COUNTIF(DT5:DT6,"C"))*2)+((COUNTIF(DT5:DT6,"D"))*1))*CELL("contenu",$B$4),0),IFERROR((((COUNTIF(DT8:DT11,"A"))*4)+((COUNTIF(DT8:DT11,"B"))*3)+((COUNTIF(DT8:DT11,"C"))*2)+((COUNTIF(DT8:DT11,"D"))*1))*CELL("contenu",$B$7),0),IFERROR((((COUNTIF(DT13:DT13,"A"))*4)+((COUNTIF(DT13:DT13,"B"))*3)+((COUNTIF(DT13:DT13,"C"))*2)+((COUNTIF(DT13:DT13,"D"))*1))*CELL("contenu",$B$12),0),IFERROR((((COUNTIF(DT15:DT17,"A"))*4)+((COUNTIF(DT15:DT17,"B"))*3)+((COUNTIF(DT15:DT17,"C"))*2)+((COUNTIF(DT15:DT17,"D"))*1))*CELL("contenu",$B$14),0),IFERROR((((COUNTIF(DT19:DT19,"A"))*4)+((COUNTIF(DT19:DT19,"B"))*3)+((COUNTIF(DT19:DT19,"C"))*2)+((COUNTIF(DT19:DT19,"D"))*1))*CELL("contenu",$B$18),0))/IF(SUM(COUNTA(DT5:DT6)*CELL("contenu",$B$4),COUNTA(DT8:DT11)*CELL("contenu",$B$7),COUNTA(DT13:DT13)*CELL("contenu",$B$12),COUNTA(DT15:DT17)*CELL("contenu",$B$14),COUNTA(DT19:DT19)*CELL("contenu",$B$18))=0,1,SUM(COUNTA(DT5:DT6)*CELL("contenu",$B$4),COUNTA(DT8:DT11)*CELL("contenu",$B$7),COUNTA(DT13:DT13)*CELL("contenu",$B$12),COUNTA(DT15:DT17)*CELL("contenu",$B$14),COUNTA(DT19:DT19)*CELL("contenu",$B$18))))</f>
        <v/>
      </c>
      <c r="DU20" s="116"/>
      <c r="DV20" s="192">
        <f ca="1">IF(COUNTA(DR20:DT20)-COUNTBLANK(DR20:DT20)=0,"",SUM(DR20:DT20)/(COUNTA(DR20:DT20)-COUNTBLANK(DR20:DT20)))</f>
        <v>16.666666666666668</v>
      </c>
      <c r="DW20" s="182" t="str">
        <f ca="1">IF(COUNTA(DW5:DW19)=0,"",5*SUM(IFERROR((((COUNTIF(DW5:DW6,"A"))*4)+((COUNTIF(DW5:DW6,"B"))*3)+((COUNTIF(DW5:DW6,"C"))*2)+((COUNTIF(DW5:DW6,"D"))*1))*CELL("contenu",$B$4),0),IFERROR((((COUNTIF(DW8:DW11,"A"))*4)+((COUNTIF(DW8:DW11,"B"))*3)+((COUNTIF(DW8:DW11,"C"))*2)+((COUNTIF(DW8:DW11,"D"))*1))*CELL("contenu",$B$7),0),IFERROR((((COUNTIF(DW13:DW13,"A"))*4)+((COUNTIF(DW13:DW13,"B"))*3)+((COUNTIF(DW13:DW13,"C"))*2)+((COUNTIF(DW13:DW13,"D"))*1))*CELL("contenu",$B$12),0),IFERROR((((COUNTIF(DW15:DW17,"A"))*4)+((COUNTIF(DW15:DW17,"B"))*3)+((COUNTIF(DW15:DW17,"C"))*2)+((COUNTIF(DW15:DW17,"D"))*1))*CELL("contenu",$B$14),0),IFERROR((((COUNTIF(DW19:DW19,"A"))*4)+((COUNTIF(DW19:DW19,"B"))*3)+((COUNTIF(DW19:DW19,"C"))*2)+((COUNTIF(DW19:DW19,"D"))*1))*CELL("contenu",$B$18),0))/IF(SUM(COUNTA(DW5:DW6)*CELL("contenu",$B$4),COUNTA(DW8:DW11)*CELL("contenu",$B$7),COUNTA(DW13:DW13)*CELL("contenu",$B$12),COUNTA(DW15:DW17)*CELL("contenu",$B$14),COUNTA(DW19:DW19)*CELL("contenu",$B$18))=0,1,SUM(COUNTA(DW5:DW6)*CELL("contenu",$B$4),COUNTA(DW8:DW11)*CELL("contenu",$B$7),COUNTA(DW13:DW13)*CELL("contenu",$B$12),COUNTA(DW15:DW17)*CELL("contenu",$B$14),COUNTA(DW19:DW19)*CELL("contenu",$B$18))))</f>
        <v/>
      </c>
      <c r="DX20" s="183" t="str">
        <f ca="1">IF(COUNTA(DX5:DX19)=0,"",5*SUM(IFERROR((((COUNTIF(DX5:DX6,"A"))*4)+((COUNTIF(DX5:DX6,"B"))*3)+((COUNTIF(DX5:DX6,"C"))*2)+((COUNTIF(DX5:DX6,"D"))*1))*CELL("contenu",$B$4),0),IFERROR((((COUNTIF(DX8:DX11,"A"))*4)+((COUNTIF(DX8:DX11,"B"))*3)+((COUNTIF(DX8:DX11,"C"))*2)+((COUNTIF(DX8:DX11,"D"))*1))*CELL("contenu",$B$7),0),IFERROR((((COUNTIF(DX13:DX13,"A"))*4)+((COUNTIF(DX13:DX13,"B"))*3)+((COUNTIF(DX13:DX13,"C"))*2)+((COUNTIF(DX13:DX13,"D"))*1))*CELL("contenu",$B$12),0),IFERROR((((COUNTIF(DX15:DX17,"A"))*4)+((COUNTIF(DX15:DX17,"B"))*3)+((COUNTIF(DX15:DX17,"C"))*2)+((COUNTIF(DX15:DX17,"D"))*1))*CELL("contenu",$B$14),0),IFERROR((((COUNTIF(DX19:DX19,"A"))*4)+((COUNTIF(DX19:DX19,"B"))*3)+((COUNTIF(DX19:DX19,"C"))*2)+((COUNTIF(DX19:DX19,"D"))*1))*CELL("contenu",$B$18),0))/IF(SUM(COUNTA(DX5:DX6)*CELL("contenu",$B$4),COUNTA(DX8:DX11)*CELL("contenu",$B$7),COUNTA(DX13:DX13)*CELL("contenu",$B$12),COUNTA(DX15:DX17)*CELL("contenu",$B$14),COUNTA(DX19:DX19)*CELL("contenu",$B$18))=0,1,SUM(COUNTA(DX5:DX6)*CELL("contenu",$B$4),COUNTA(DX8:DX11)*CELL("contenu",$B$7),COUNTA(DX13:DX13)*CELL("contenu",$B$12),COUNTA(DX15:DX17)*CELL("contenu",$B$14),COUNTA(DX19:DX19)*CELL("contenu",$B$18))))</f>
        <v/>
      </c>
      <c r="DY20" s="184" t="str">
        <f ca="1">IF(COUNTA(DY5:DY19)=0,"",5*SUM(IFERROR((((COUNTIF(DY5:DY6,"A"))*4)+((COUNTIF(DY5:DY6,"B"))*3)+((COUNTIF(DY5:DY6,"C"))*2)+((COUNTIF(DY5:DY6,"D"))*1))*CELL("contenu",$B$4),0),IFERROR((((COUNTIF(DY8:DY11,"A"))*4)+((COUNTIF(DY8:DY11,"B"))*3)+((COUNTIF(DY8:DY11,"C"))*2)+((COUNTIF(DY8:DY11,"D"))*1))*CELL("contenu",$B$7),0),IFERROR((((COUNTIF(DY13:DY13,"A"))*4)+((COUNTIF(DY13:DY13,"B"))*3)+((COUNTIF(DY13:DY13,"C"))*2)+((COUNTIF(DY13:DY13,"D"))*1))*CELL("contenu",$B$12),0),IFERROR((((COUNTIF(DY15:DY17,"A"))*4)+((COUNTIF(DY15:DY17,"B"))*3)+((COUNTIF(DY15:DY17,"C"))*2)+((COUNTIF(DY15:DY17,"D"))*1))*CELL("contenu",$B$14),0),IFERROR((((COUNTIF(DY19:DY19,"A"))*4)+((COUNTIF(DY19:DY19,"B"))*3)+((COUNTIF(DY19:DY19,"C"))*2)+((COUNTIF(DY19:DY19,"D"))*1))*CELL("contenu",$B$18),0))/IF(SUM(COUNTA(DY5:DY6)*CELL("contenu",$B$4),COUNTA(DY8:DY11)*CELL("contenu",$B$7),COUNTA(DY13:DY13)*CELL("contenu",$B$12),COUNTA(DY15:DY17)*CELL("contenu",$B$14),COUNTA(DY19:DY19)*CELL("contenu",$B$18))=0,1,SUM(COUNTA(DY5:DY6)*CELL("contenu",$B$4),COUNTA(DY8:DY11)*CELL("contenu",$B$7),COUNTA(DY13:DY13)*CELL("contenu",$B$12),COUNTA(DY15:DY17)*CELL("contenu",$B$14),COUNTA(DY19:DY19)*CELL("contenu",$B$18))))</f>
        <v/>
      </c>
      <c r="DZ20" s="176"/>
      <c r="EA20" s="175" t="str">
        <f ca="1">IF(COUNTA(DW20:DY20)-COUNTBLANK(DW20:DY20)=0,"",SUM(DW20:DY20)/(COUNTA(DW20:DY20)-COUNTBLANK(DW20:DY20)))</f>
        <v/>
      </c>
      <c r="EB20" s="182" t="str">
        <f ca="1">IF(COUNTA(EB5:EB19)=0,"",5*SUM(IFERROR((((COUNTIF(EB5:EB6,"A"))*4)+((COUNTIF(EB5:EB6,"B"))*3)+((COUNTIF(EB5:EB6,"C"))*2)+((COUNTIF(EB5:EB6,"D"))*1))*CELL("contenu",$B$4),0),IFERROR((((COUNTIF(EB8:EB11,"A"))*4)+((COUNTIF(EB8:EB11,"B"))*3)+((COUNTIF(EB8:EB11,"C"))*2)+((COUNTIF(EB8:EB11,"D"))*1))*CELL("contenu",$B$7),0),IFERROR((((COUNTIF(EB13:EB13,"A"))*4)+((COUNTIF(EB13:EB13,"B"))*3)+((COUNTIF(EB13:EB13,"C"))*2)+((COUNTIF(EB13:EB13,"D"))*1))*CELL("contenu",$B$12),0),IFERROR((((COUNTIF(EB15:EB17,"A"))*4)+((COUNTIF(EB15:EB17,"B"))*3)+((COUNTIF(EB15:EB17,"C"))*2)+((COUNTIF(EB15:EB17,"D"))*1))*CELL("contenu",$B$14),0),IFERROR((((COUNTIF(EB19:EB19,"A"))*4)+((COUNTIF(EB19:EB19,"B"))*3)+((COUNTIF(EB19:EB19,"C"))*2)+((COUNTIF(EB19:EB19,"D"))*1))*CELL("contenu",$B$18),0))/IF(SUM(COUNTA(EB5:EB6)*CELL("contenu",$B$4),COUNTA(EB8:EB11)*CELL("contenu",$B$7),COUNTA(EB13:EB13)*CELL("contenu",$B$12),COUNTA(EB15:EB17)*CELL("contenu",$B$14),COUNTA(EB19:EB19)*CELL("contenu",$B$18))=0,1,SUM(COUNTA(EB5:EB6)*CELL("contenu",$B$4),COUNTA(EB8:EB11)*CELL("contenu",$B$7),COUNTA(EB13:EB13)*CELL("contenu",$B$12),COUNTA(EB15:EB17)*CELL("contenu",$B$14),COUNTA(EB19:EB19)*CELL("contenu",$B$18))))</f>
        <v/>
      </c>
      <c r="EC20" s="183" t="str">
        <f ca="1">IF(COUNTA(EC5:EC19)=0,"",5*SUM(IFERROR((((COUNTIF(EC5:EC6,"A"))*4)+((COUNTIF(EC5:EC6,"B"))*3)+((COUNTIF(EC5:EC6,"C"))*2)+((COUNTIF(EC5:EC6,"D"))*1))*CELL("contenu",$B$4),0),IFERROR((((COUNTIF(EC8:EC11,"A"))*4)+((COUNTIF(EC8:EC11,"B"))*3)+((COUNTIF(EC8:EC11,"C"))*2)+((COUNTIF(EC8:EC11,"D"))*1))*CELL("contenu",$B$7),0),IFERROR((((COUNTIF(EC13:EC13,"A"))*4)+((COUNTIF(EC13:EC13,"B"))*3)+((COUNTIF(EC13:EC13,"C"))*2)+((COUNTIF(EC13:EC13,"D"))*1))*CELL("contenu",$B$12),0),IFERROR((((COUNTIF(EC15:EC17,"A"))*4)+((COUNTIF(EC15:EC17,"B"))*3)+((COUNTIF(EC15:EC17,"C"))*2)+((COUNTIF(EC15:EC17,"D"))*1))*CELL("contenu",$B$14),0),IFERROR((((COUNTIF(EC19:EC19,"A"))*4)+((COUNTIF(EC19:EC19,"B"))*3)+((COUNTIF(EC19:EC19,"C"))*2)+((COUNTIF(EC19:EC19,"D"))*1))*CELL("contenu",$B$18),0))/IF(SUM(COUNTA(EC5:EC6)*CELL("contenu",$B$4),COUNTA(EC8:EC11)*CELL("contenu",$B$7),COUNTA(EC13:EC13)*CELL("contenu",$B$12),COUNTA(EC15:EC17)*CELL("contenu",$B$14),COUNTA(EC19:EC19)*CELL("contenu",$B$18))=0,1,SUM(COUNTA(EC5:EC6)*CELL("contenu",$B$4),COUNTA(EC8:EC11)*CELL("contenu",$B$7),COUNTA(EC13:EC13)*CELL("contenu",$B$12),COUNTA(EC15:EC17)*CELL("contenu",$B$14),COUNTA(EC19:EC19)*CELL("contenu",$B$18))))</f>
        <v/>
      </c>
      <c r="ED20" s="184" t="str">
        <f ca="1">IF(COUNTA(ED5:ED19)=0,"",5*SUM(IFERROR((((COUNTIF(ED5:ED6,"A"))*4)+((COUNTIF(ED5:ED6,"B"))*3)+((COUNTIF(ED5:ED6,"C"))*2)+((COUNTIF(ED5:ED6,"D"))*1))*CELL("contenu",$B$4),0),IFERROR((((COUNTIF(ED8:ED11,"A"))*4)+((COUNTIF(ED8:ED11,"B"))*3)+((COUNTIF(ED8:ED11,"C"))*2)+((COUNTIF(ED8:ED11,"D"))*1))*CELL("contenu",$B$7),0),IFERROR((((COUNTIF(ED13:ED13,"A"))*4)+((COUNTIF(ED13:ED13,"B"))*3)+((COUNTIF(ED13:ED13,"C"))*2)+((COUNTIF(ED13:ED13,"D"))*1))*CELL("contenu",$B$12),0),IFERROR((((COUNTIF(ED15:ED17,"A"))*4)+((COUNTIF(ED15:ED17,"B"))*3)+((COUNTIF(ED15:ED17,"C"))*2)+((COUNTIF(ED15:ED17,"D"))*1))*CELL("contenu",$B$14),0),IFERROR((((COUNTIF(ED19:ED19,"A"))*4)+((COUNTIF(ED19:ED19,"B"))*3)+((COUNTIF(ED19:ED19,"C"))*2)+((COUNTIF(ED19:ED19,"D"))*1))*CELL("contenu",$B$18),0))/IF(SUM(COUNTA(ED5:ED6)*CELL("contenu",$B$4),COUNTA(ED8:ED11)*CELL("contenu",$B$7),COUNTA(ED13:ED13)*CELL("contenu",$B$12),COUNTA(ED15:ED17)*CELL("contenu",$B$14),COUNTA(ED19:ED19)*CELL("contenu",$B$18))=0,1,SUM(COUNTA(ED5:ED6)*CELL("contenu",$B$4),COUNTA(ED8:ED11)*CELL("contenu",$B$7),COUNTA(ED13:ED13)*CELL("contenu",$B$12),COUNTA(ED15:ED17)*CELL("contenu",$B$14),COUNTA(ED19:ED19)*CELL("contenu",$B$18))))</f>
        <v/>
      </c>
      <c r="EE20" s="176"/>
      <c r="EF20" s="174" t="str">
        <f ca="1">IF(COUNTA(EB20:ED20)-COUNTBLANK(EB20:ED20)=0,"",SUM(EB20:ED20)/(COUNTA(EB20:ED20)-COUNTBLANK(EB20:ED20)))</f>
        <v/>
      </c>
      <c r="EG20" s="103"/>
      <c r="EH20" s="141"/>
      <c r="EI20" s="167">
        <f ca="1">IF(COUNTA(EI5:EI19)=0,"",5*SUM(IFERROR((((COUNTIF(EI5:EI6,"A"))*4)+((COUNTIF(EI5:EI6,"B"))*3)+((COUNTIF(EI5:EI6,"C"))*2)+((COUNTIF(EI5:EI6,"D"))*1))*CELL("contenu",$B$4),0),IFERROR((((COUNTIF(EI8:EI11,"A"))*4)+((COUNTIF(EI8:EI11,"B"))*3)+((COUNTIF(EI8:EI11,"C"))*2)+((COUNTIF(EI8:EI11,"D"))*1))*CELL("contenu",$B$7),0),IFERROR((((COUNTIF(EI13:EI13,"A"))*4)+((COUNTIF(EI13:EI13,"B"))*3)+((COUNTIF(EI13:EI13,"C"))*2)+((COUNTIF(EI13:EI13,"D"))*1))*CELL("contenu",$B$12),0),IFERROR((((COUNTIF(EI15:EI17,"A"))*4)+((COUNTIF(EI15:EI17,"B"))*3)+((COUNTIF(EI15:EI17,"C"))*2)+((COUNTIF(EI15:EI17,"D"))*1))*CELL("contenu",$B$14),0),IFERROR((((COUNTIF(EI19:EI19,"A"))*4)+((COUNTIF(EI19:EI19,"B"))*3)+((COUNTIF(EI19:EI19,"C"))*2)+((COUNTIF(EI19:EI19,"D"))*1))*CELL("contenu",$B$18),0))/IF(SUM(COUNTA(EI5:EI6)*CELL("contenu",$B$4),COUNTA(EI8:EI11)*CELL("contenu",$B$7),COUNTA(EI13:EI13)*CELL("contenu",$B$12),COUNTA(EI15:EI17)*CELL("contenu",$B$14),COUNTA(EI19:EI19)*CELL("contenu",$B$18))=0,1,SUM(COUNTA(EI5:EI6)*CELL("contenu",$B$4),COUNTA(EI8:EI11)*CELL("contenu",$B$7),COUNTA(EI13:EI13)*CELL("contenu",$B$12),COUNTA(EI15:EI17)*CELL("contenu",$B$14),COUNTA(EI19:EI19)*CELL("contenu",$B$18))))</f>
        <v>18.333333333333332</v>
      </c>
      <c r="EJ20" s="168">
        <f ca="1">IF(COUNTA(EJ5:EJ19)=0,"",5*SUM(IFERROR((((COUNTIF(EJ5:EJ6,"A"))*4)+((COUNTIF(EJ5:EJ6,"B"))*3)+((COUNTIF(EJ5:EJ6,"C"))*2)+((COUNTIF(EJ5:EJ6,"D"))*1))*CELL("contenu",$B$4),0),IFERROR((((COUNTIF(EJ8:EJ11,"A"))*4)+((COUNTIF(EJ8:EJ11,"B"))*3)+((COUNTIF(EJ8:EJ11,"C"))*2)+((COUNTIF(EJ8:EJ11,"D"))*1))*CELL("contenu",$B$7),0),IFERROR((((COUNTIF(EJ13:EJ13,"A"))*4)+((COUNTIF(EJ13:EJ13,"B"))*3)+((COUNTIF(EJ13:EJ13,"C"))*2)+((COUNTIF(EJ13:EJ13,"D"))*1))*CELL("contenu",$B$12),0),IFERROR((((COUNTIF(EJ15:EJ17,"A"))*4)+((COUNTIF(EJ15:EJ17,"B"))*3)+((COUNTIF(EJ15:EJ17,"C"))*2)+((COUNTIF(EJ15:EJ17,"D"))*1))*CELL("contenu",$B$14),0),IFERROR((((COUNTIF(EJ19:EJ19,"A"))*4)+((COUNTIF(EJ19:EJ19,"B"))*3)+((COUNTIF(EJ19:EJ19,"C"))*2)+((COUNTIF(EJ19:EJ19,"D"))*1))*CELL("contenu",$B$18),0))/IF(SUM(COUNTA(EJ5:EJ6)*CELL("contenu",$B$4),COUNTA(EJ8:EJ11)*CELL("contenu",$B$7),COUNTA(EJ13:EJ13)*CELL("contenu",$B$12),COUNTA(EJ15:EJ17)*CELL("contenu",$B$14),COUNTA(EJ19:EJ19)*CELL("contenu",$B$18))=0,1,SUM(COUNTA(EJ5:EJ6)*CELL("contenu",$B$4),COUNTA(EJ8:EJ11)*CELL("contenu",$B$7),COUNTA(EJ13:EJ13)*CELL("contenu",$B$12),COUNTA(EJ15:EJ17)*CELL("contenu",$B$14),COUNTA(EJ19:EJ19)*CELL("contenu",$B$18))))</f>
        <v>16.666666666666668</v>
      </c>
      <c r="EK20" s="169" t="str">
        <f ca="1">IF(COUNTA(EK5:EK19)=0,"",5*SUM(IFERROR((((COUNTIF(EK5:EK6,"A"))*4)+((COUNTIF(EK5:EK6,"B"))*3)+((COUNTIF(EK5:EK6,"C"))*2)+((COUNTIF(EK5:EK6,"D"))*1))*CELL("contenu",$B$4),0),IFERROR((((COUNTIF(EK8:EK11,"A"))*4)+((COUNTIF(EK8:EK11,"B"))*3)+((COUNTIF(EK8:EK11,"C"))*2)+((COUNTIF(EK8:EK11,"D"))*1))*CELL("contenu",$B$7),0),IFERROR((((COUNTIF(EK13:EK13,"A"))*4)+((COUNTIF(EK13:EK13,"B"))*3)+((COUNTIF(EK13:EK13,"C"))*2)+((COUNTIF(EK13:EK13,"D"))*1))*CELL("contenu",$B$12),0),IFERROR((((COUNTIF(EK15:EK17,"A"))*4)+((COUNTIF(EK15:EK17,"B"))*3)+((COUNTIF(EK15:EK17,"C"))*2)+((COUNTIF(EK15:EK17,"D"))*1))*CELL("contenu",$B$14),0),IFERROR((((COUNTIF(EK19:EK19,"A"))*4)+((COUNTIF(EK19:EK19,"B"))*3)+((COUNTIF(EK19:EK19,"C"))*2)+((COUNTIF(EK19:EK19,"D"))*1))*CELL("contenu",$B$18),0))/IF(SUM(COUNTA(EK5:EK6)*CELL("contenu",$B$4),COUNTA(EK8:EK11)*CELL("contenu",$B$7),COUNTA(EK13:EK13)*CELL("contenu",$B$12),COUNTA(EK15:EK17)*CELL("contenu",$B$14),COUNTA(EK19:EK19)*CELL("contenu",$B$18))=0,1,SUM(COUNTA(EK5:EK6)*CELL("contenu",$B$4),COUNTA(EK8:EK11)*CELL("contenu",$B$7),COUNTA(EK13:EK13)*CELL("contenu",$B$12),COUNTA(EK15:EK17)*CELL("contenu",$B$14),COUNTA(EK19:EK19)*CELL("contenu",$B$18))))</f>
        <v/>
      </c>
      <c r="EL20" s="116"/>
      <c r="EM20" s="192">
        <f ca="1">IF(COUNTA(EI20:EK20)-COUNTBLANK(EI20:EK20)=0,"",SUM(EI20:EK20)/(COUNTA(EI20:EK20)-COUNTBLANK(EI20:EK20)))</f>
        <v>17.5</v>
      </c>
      <c r="EN20" s="182" t="str">
        <f ca="1">IF(COUNTA(EN5:EN19)=0,"",5*SUM(IFERROR((((COUNTIF(EN5:EN6,"A"))*4)+((COUNTIF(EN5:EN6,"B"))*3)+((COUNTIF(EN5:EN6,"C"))*2)+((COUNTIF(EN5:EN6,"D"))*1))*CELL("contenu",$B$4),0),IFERROR((((COUNTIF(EN8:EN11,"A"))*4)+((COUNTIF(EN8:EN11,"B"))*3)+((COUNTIF(EN8:EN11,"C"))*2)+((COUNTIF(EN8:EN11,"D"))*1))*CELL("contenu",$B$7),0),IFERROR((((COUNTIF(EN13:EN13,"A"))*4)+((COUNTIF(EN13:EN13,"B"))*3)+((COUNTIF(EN13:EN13,"C"))*2)+((COUNTIF(EN13:EN13,"D"))*1))*CELL("contenu",$B$12),0),IFERROR((((COUNTIF(EN15:EN17,"A"))*4)+((COUNTIF(EN15:EN17,"B"))*3)+((COUNTIF(EN15:EN17,"C"))*2)+((COUNTIF(EN15:EN17,"D"))*1))*CELL("contenu",$B$14),0),IFERROR((((COUNTIF(EN19:EN19,"A"))*4)+((COUNTIF(EN19:EN19,"B"))*3)+((COUNTIF(EN19:EN19,"C"))*2)+((COUNTIF(EN19:EN19,"D"))*1))*CELL("contenu",$B$18),0))/IF(SUM(COUNTA(EN5:EN6)*CELL("contenu",$B$4),COUNTA(EN8:EN11)*CELL("contenu",$B$7),COUNTA(EN13:EN13)*CELL("contenu",$B$12),COUNTA(EN15:EN17)*CELL("contenu",$B$14),COUNTA(EN19:EN19)*CELL("contenu",$B$18))=0,1,SUM(COUNTA(EN5:EN6)*CELL("contenu",$B$4),COUNTA(EN8:EN11)*CELL("contenu",$B$7),COUNTA(EN13:EN13)*CELL("contenu",$B$12),COUNTA(EN15:EN17)*CELL("contenu",$B$14),COUNTA(EN19:EN19)*CELL("contenu",$B$18))))</f>
        <v/>
      </c>
      <c r="EO20" s="183" t="str">
        <f ca="1">IF(COUNTA(EO5:EO19)=0,"",5*SUM(IFERROR((((COUNTIF(EO5:EO6,"A"))*4)+((COUNTIF(EO5:EO6,"B"))*3)+((COUNTIF(EO5:EO6,"C"))*2)+((COUNTIF(EO5:EO6,"D"))*1))*CELL("contenu",$B$4),0),IFERROR((((COUNTIF(EO8:EO11,"A"))*4)+((COUNTIF(EO8:EO11,"B"))*3)+((COUNTIF(EO8:EO11,"C"))*2)+((COUNTIF(EO8:EO11,"D"))*1))*CELL("contenu",$B$7),0),IFERROR((((COUNTIF(EO13:EO13,"A"))*4)+((COUNTIF(EO13:EO13,"B"))*3)+((COUNTIF(EO13:EO13,"C"))*2)+((COUNTIF(EO13:EO13,"D"))*1))*CELL("contenu",$B$12),0),IFERROR((((COUNTIF(EO15:EO17,"A"))*4)+((COUNTIF(EO15:EO17,"B"))*3)+((COUNTIF(EO15:EO17,"C"))*2)+((COUNTIF(EO15:EO17,"D"))*1))*CELL("contenu",$B$14),0),IFERROR((((COUNTIF(EO19:EO19,"A"))*4)+((COUNTIF(EO19:EO19,"B"))*3)+((COUNTIF(EO19:EO19,"C"))*2)+((COUNTIF(EO19:EO19,"D"))*1))*CELL("contenu",$B$18),0))/IF(SUM(COUNTA(EO5:EO6)*CELL("contenu",$B$4),COUNTA(EO8:EO11)*CELL("contenu",$B$7),COUNTA(EO13:EO13)*CELL("contenu",$B$12),COUNTA(EO15:EO17)*CELL("contenu",$B$14),COUNTA(EO19:EO19)*CELL("contenu",$B$18))=0,1,SUM(COUNTA(EO5:EO6)*CELL("contenu",$B$4),COUNTA(EO8:EO11)*CELL("contenu",$B$7),COUNTA(EO13:EO13)*CELL("contenu",$B$12),COUNTA(EO15:EO17)*CELL("contenu",$B$14),COUNTA(EO19:EO19)*CELL("contenu",$B$18))))</f>
        <v/>
      </c>
      <c r="EP20" s="184" t="str">
        <f ca="1">IF(COUNTA(EP5:EP19)=0,"",5*SUM(IFERROR((((COUNTIF(EP5:EP6,"A"))*4)+((COUNTIF(EP5:EP6,"B"))*3)+((COUNTIF(EP5:EP6,"C"))*2)+((COUNTIF(EP5:EP6,"D"))*1))*CELL("contenu",$B$4),0),IFERROR((((COUNTIF(EP8:EP11,"A"))*4)+((COUNTIF(EP8:EP11,"B"))*3)+((COUNTIF(EP8:EP11,"C"))*2)+((COUNTIF(EP8:EP11,"D"))*1))*CELL("contenu",$B$7),0),IFERROR((((COUNTIF(EP13:EP13,"A"))*4)+((COUNTIF(EP13:EP13,"B"))*3)+((COUNTIF(EP13:EP13,"C"))*2)+((COUNTIF(EP13:EP13,"D"))*1))*CELL("contenu",$B$12),0),IFERROR((((COUNTIF(EP15:EP17,"A"))*4)+((COUNTIF(EP15:EP17,"B"))*3)+((COUNTIF(EP15:EP17,"C"))*2)+((COUNTIF(EP15:EP17,"D"))*1))*CELL("contenu",$B$14),0),IFERROR((((COUNTIF(EP19:EP19,"A"))*4)+((COUNTIF(EP19:EP19,"B"))*3)+((COUNTIF(EP19:EP19,"C"))*2)+((COUNTIF(EP19:EP19,"D"))*1))*CELL("contenu",$B$18),0))/IF(SUM(COUNTA(EP5:EP6)*CELL("contenu",$B$4),COUNTA(EP8:EP11)*CELL("contenu",$B$7),COUNTA(EP13:EP13)*CELL("contenu",$B$12),COUNTA(EP15:EP17)*CELL("contenu",$B$14),COUNTA(EP19:EP19)*CELL("contenu",$B$18))=0,1,SUM(COUNTA(EP5:EP6)*CELL("contenu",$B$4),COUNTA(EP8:EP11)*CELL("contenu",$B$7),COUNTA(EP13:EP13)*CELL("contenu",$B$12),COUNTA(EP15:EP17)*CELL("contenu",$B$14),COUNTA(EP19:EP19)*CELL("contenu",$B$18))))</f>
        <v/>
      </c>
      <c r="EQ20" s="176"/>
      <c r="ER20" s="175" t="str">
        <f ca="1">IF(COUNTA(EN20:EP20)-COUNTBLANK(EN20:EP20)=0,"",SUM(EN20:EP20)/(COUNTA(EN20:EP20)-COUNTBLANK(EN20:EP20)))</f>
        <v/>
      </c>
      <c r="ES20" s="182" t="str">
        <f ca="1">IF(COUNTA(ES5:ES19)=0,"",5*SUM(IFERROR((((COUNTIF(ES5:ES6,"A"))*4)+((COUNTIF(ES5:ES6,"B"))*3)+((COUNTIF(ES5:ES6,"C"))*2)+((COUNTIF(ES5:ES6,"D"))*1))*CELL("contenu",$B$4),0),IFERROR((((COUNTIF(ES8:ES11,"A"))*4)+((COUNTIF(ES8:ES11,"B"))*3)+((COUNTIF(ES8:ES11,"C"))*2)+((COUNTIF(ES8:ES11,"D"))*1))*CELL("contenu",$B$7),0),IFERROR((((COUNTIF(ES13:ES13,"A"))*4)+((COUNTIF(ES13:ES13,"B"))*3)+((COUNTIF(ES13:ES13,"C"))*2)+((COUNTIF(ES13:ES13,"D"))*1))*CELL("contenu",$B$12),0),IFERROR((((COUNTIF(ES15:ES17,"A"))*4)+((COUNTIF(ES15:ES17,"B"))*3)+((COUNTIF(ES15:ES17,"C"))*2)+((COUNTIF(ES15:ES17,"D"))*1))*CELL("contenu",$B$14),0),IFERROR((((COUNTIF(ES19:ES19,"A"))*4)+((COUNTIF(ES19:ES19,"B"))*3)+((COUNTIF(ES19:ES19,"C"))*2)+((COUNTIF(ES19:ES19,"D"))*1))*CELL("contenu",$B$18),0))/IF(SUM(COUNTA(ES5:ES6)*CELL("contenu",$B$4),COUNTA(ES8:ES11)*CELL("contenu",$B$7),COUNTA(ES13:ES13)*CELL("contenu",$B$12),COUNTA(ES15:ES17)*CELL("contenu",$B$14),COUNTA(ES19:ES19)*CELL("contenu",$B$18))=0,1,SUM(COUNTA(ES5:ES6)*CELL("contenu",$B$4),COUNTA(ES8:ES11)*CELL("contenu",$B$7),COUNTA(ES13:ES13)*CELL("contenu",$B$12),COUNTA(ES15:ES17)*CELL("contenu",$B$14),COUNTA(ES19:ES19)*CELL("contenu",$B$18))))</f>
        <v/>
      </c>
      <c r="ET20" s="183" t="str">
        <f ca="1">IF(COUNTA(ET5:ET19)=0,"",5*SUM(IFERROR((((COUNTIF(ET5:ET6,"A"))*4)+((COUNTIF(ET5:ET6,"B"))*3)+((COUNTIF(ET5:ET6,"C"))*2)+((COUNTIF(ET5:ET6,"D"))*1))*CELL("contenu",$B$4),0),IFERROR((((COUNTIF(ET8:ET11,"A"))*4)+((COUNTIF(ET8:ET11,"B"))*3)+((COUNTIF(ET8:ET11,"C"))*2)+((COUNTIF(ET8:ET11,"D"))*1))*CELL("contenu",$B$7),0),IFERROR((((COUNTIF(ET13:ET13,"A"))*4)+((COUNTIF(ET13:ET13,"B"))*3)+((COUNTIF(ET13:ET13,"C"))*2)+((COUNTIF(ET13:ET13,"D"))*1))*CELL("contenu",$B$12),0),IFERROR((((COUNTIF(ET15:ET17,"A"))*4)+((COUNTIF(ET15:ET17,"B"))*3)+((COUNTIF(ET15:ET17,"C"))*2)+((COUNTIF(ET15:ET17,"D"))*1))*CELL("contenu",$B$14),0),IFERROR((((COUNTIF(ET19:ET19,"A"))*4)+((COUNTIF(ET19:ET19,"B"))*3)+((COUNTIF(ET19:ET19,"C"))*2)+((COUNTIF(ET19:ET19,"D"))*1))*CELL("contenu",$B$18),0))/IF(SUM(COUNTA(ET5:ET6)*CELL("contenu",$B$4),COUNTA(ET8:ET11)*CELL("contenu",$B$7),COUNTA(ET13:ET13)*CELL("contenu",$B$12),COUNTA(ET15:ET17)*CELL("contenu",$B$14),COUNTA(ET19:ET19)*CELL("contenu",$B$18))=0,1,SUM(COUNTA(ET5:ET6)*CELL("contenu",$B$4),COUNTA(ET8:ET11)*CELL("contenu",$B$7),COUNTA(ET13:ET13)*CELL("contenu",$B$12),COUNTA(ET15:ET17)*CELL("contenu",$B$14),COUNTA(ET19:ET19)*CELL("contenu",$B$18))))</f>
        <v/>
      </c>
      <c r="EU20" s="184" t="str">
        <f ca="1">IF(COUNTA(EU5:EU19)=0,"",5*SUM(IFERROR((((COUNTIF(EU5:EU6,"A"))*4)+((COUNTIF(EU5:EU6,"B"))*3)+((COUNTIF(EU5:EU6,"C"))*2)+((COUNTIF(EU5:EU6,"D"))*1))*CELL("contenu",$B$4),0),IFERROR((((COUNTIF(EU8:EU11,"A"))*4)+((COUNTIF(EU8:EU11,"B"))*3)+((COUNTIF(EU8:EU11,"C"))*2)+((COUNTIF(EU8:EU11,"D"))*1))*CELL("contenu",$B$7),0),IFERROR((((COUNTIF(EU13:EU13,"A"))*4)+((COUNTIF(EU13:EU13,"B"))*3)+((COUNTIF(EU13:EU13,"C"))*2)+((COUNTIF(EU13:EU13,"D"))*1))*CELL("contenu",$B$12),0),IFERROR((((COUNTIF(EU15:EU17,"A"))*4)+((COUNTIF(EU15:EU17,"B"))*3)+((COUNTIF(EU15:EU17,"C"))*2)+((COUNTIF(EU15:EU17,"D"))*1))*CELL("contenu",$B$14),0),IFERROR((((COUNTIF(EU19:EU19,"A"))*4)+((COUNTIF(EU19:EU19,"B"))*3)+((COUNTIF(EU19:EU19,"C"))*2)+((COUNTIF(EU19:EU19,"D"))*1))*CELL("contenu",$B$18),0))/IF(SUM(COUNTA(EU5:EU6)*CELL("contenu",$B$4),COUNTA(EU8:EU11)*CELL("contenu",$B$7),COUNTA(EU13:EU13)*CELL("contenu",$B$12),COUNTA(EU15:EU17)*CELL("contenu",$B$14),COUNTA(EU19:EU19)*CELL("contenu",$B$18))=0,1,SUM(COUNTA(EU5:EU6)*CELL("contenu",$B$4),COUNTA(EU8:EU11)*CELL("contenu",$B$7),COUNTA(EU13:EU13)*CELL("contenu",$B$12),COUNTA(EU15:EU17)*CELL("contenu",$B$14),COUNTA(EU19:EU19)*CELL("contenu",$B$18))))</f>
        <v/>
      </c>
      <c r="EV20" s="176"/>
      <c r="EW20" s="174" t="str">
        <f ca="1">IF(COUNTA(ES20:EU20)-COUNTBLANK(ES20:EU20)=0,"",SUM(ES20:EU20)/(COUNTA(ES20:EU20)-COUNTBLANK(ES20:EU20)))</f>
        <v/>
      </c>
      <c r="EX20" s="103"/>
      <c r="EY20" s="141"/>
      <c r="EZ20" s="167">
        <f ca="1">IF(COUNTA(EZ5:EZ19)=0,"",5*SUM(IFERROR((((COUNTIF(EZ5:EZ6,"A"))*4)+((COUNTIF(EZ5:EZ6,"B"))*3)+((COUNTIF(EZ5:EZ6,"C"))*2)+((COUNTIF(EZ5:EZ6,"D"))*1))*CELL("contenu",$B$4),0),IFERROR((((COUNTIF(EZ8:EZ11,"A"))*4)+((COUNTIF(EZ8:EZ11,"B"))*3)+((COUNTIF(EZ8:EZ11,"C"))*2)+((COUNTIF(EZ8:EZ11,"D"))*1))*CELL("contenu",$B$7),0),IFERROR((((COUNTIF(EZ13:EZ13,"A"))*4)+((COUNTIF(EZ13:EZ13,"B"))*3)+((COUNTIF(EZ13:EZ13,"C"))*2)+((COUNTIF(EZ13:EZ13,"D"))*1))*CELL("contenu",$B$12),0),IFERROR((((COUNTIF(EZ15:EZ17,"A"))*4)+((COUNTIF(EZ15:EZ17,"B"))*3)+((COUNTIF(EZ15:EZ17,"C"))*2)+((COUNTIF(EZ15:EZ17,"D"))*1))*CELL("contenu",$B$14),0),IFERROR((((COUNTIF(EZ19:EZ19,"A"))*4)+((COUNTIF(EZ19:EZ19,"B"))*3)+((COUNTIF(EZ19:EZ19,"C"))*2)+((COUNTIF(EZ19:EZ19,"D"))*1))*CELL("contenu",$B$18),0))/IF(SUM(COUNTA(EZ5:EZ6)*CELL("contenu",$B$4),COUNTA(EZ8:EZ11)*CELL("contenu",$B$7),COUNTA(EZ13:EZ13)*CELL("contenu",$B$12),COUNTA(EZ15:EZ17)*CELL("contenu",$B$14),COUNTA(EZ19:EZ19)*CELL("contenu",$B$18))=0,1,SUM(COUNTA(EZ5:EZ6)*CELL("contenu",$B$4),COUNTA(EZ8:EZ11)*CELL("contenu",$B$7),COUNTA(EZ13:EZ13)*CELL("contenu",$B$12),COUNTA(EZ15:EZ17)*CELL("contenu",$B$14),COUNTA(EZ19:EZ19)*CELL("contenu",$B$18))))</f>
        <v>18.333333333333332</v>
      </c>
      <c r="FA20" s="168">
        <f ca="1">IF(COUNTA(FA5:FA19)=0,"",5*SUM(IFERROR((((COUNTIF(FA5:FA6,"A"))*4)+((COUNTIF(FA5:FA6,"B"))*3)+((COUNTIF(FA5:FA6,"C"))*2)+((COUNTIF(FA5:FA6,"D"))*1))*CELL("contenu",$B$4),0),IFERROR((((COUNTIF(FA8:FA11,"A"))*4)+((COUNTIF(FA8:FA11,"B"))*3)+((COUNTIF(FA8:FA11,"C"))*2)+((COUNTIF(FA8:FA11,"D"))*1))*CELL("contenu",$B$7),0),IFERROR((((COUNTIF(FA13:FA13,"A"))*4)+((COUNTIF(FA13:FA13,"B"))*3)+((COUNTIF(FA13:FA13,"C"))*2)+((COUNTIF(FA13:FA13,"D"))*1))*CELL("contenu",$B$12),0),IFERROR((((COUNTIF(FA15:FA17,"A"))*4)+((COUNTIF(FA15:FA17,"B"))*3)+((COUNTIF(FA15:FA17,"C"))*2)+((COUNTIF(FA15:FA17,"D"))*1))*CELL("contenu",$B$14),0),IFERROR((((COUNTIF(FA19:FA19,"A"))*4)+((COUNTIF(FA19:FA19,"B"))*3)+((COUNTIF(FA19:FA19,"C"))*2)+((COUNTIF(FA19:FA19,"D"))*1))*CELL("contenu",$B$18),0))/IF(SUM(COUNTA(FA5:FA6)*CELL("contenu",$B$4),COUNTA(FA8:FA11)*CELL("contenu",$B$7),COUNTA(FA13:FA13)*CELL("contenu",$B$12),COUNTA(FA15:FA17)*CELL("contenu",$B$14),COUNTA(FA19:FA19)*CELL("contenu",$B$18))=0,1,SUM(COUNTA(FA5:FA6)*CELL("contenu",$B$4),COUNTA(FA8:FA11)*CELL("contenu",$B$7),COUNTA(FA13:FA13)*CELL("contenu",$B$12),COUNTA(FA15:FA17)*CELL("contenu",$B$14),COUNTA(FA19:FA19)*CELL("contenu",$B$18))))</f>
        <v>20</v>
      </c>
      <c r="FB20" s="169" t="str">
        <f ca="1">IF(COUNTA(FB5:FB19)=0,"",5*SUM(IFERROR((((COUNTIF(FB5:FB6,"A"))*4)+((COUNTIF(FB5:FB6,"B"))*3)+((COUNTIF(FB5:FB6,"C"))*2)+((COUNTIF(FB5:FB6,"D"))*1))*CELL("contenu",$B$4),0),IFERROR((((COUNTIF(FB8:FB11,"A"))*4)+((COUNTIF(FB8:FB11,"B"))*3)+((COUNTIF(FB8:FB11,"C"))*2)+((COUNTIF(FB8:FB11,"D"))*1))*CELL("contenu",$B$7),0),IFERROR((((COUNTIF(FB13:FB13,"A"))*4)+((COUNTIF(FB13:FB13,"B"))*3)+((COUNTIF(FB13:FB13,"C"))*2)+((COUNTIF(FB13:FB13,"D"))*1))*CELL("contenu",$B$12),0),IFERROR((((COUNTIF(FB15:FB17,"A"))*4)+((COUNTIF(FB15:FB17,"B"))*3)+((COUNTIF(FB15:FB17,"C"))*2)+((COUNTIF(FB15:FB17,"D"))*1))*CELL("contenu",$B$14),0),IFERROR((((COUNTIF(FB19:FB19,"A"))*4)+((COUNTIF(FB19:FB19,"B"))*3)+((COUNTIF(FB19:FB19,"C"))*2)+((COUNTIF(FB19:FB19,"D"))*1))*CELL("contenu",$B$18),0))/IF(SUM(COUNTA(FB5:FB6)*CELL("contenu",$B$4),COUNTA(FB8:FB11)*CELL("contenu",$B$7),COUNTA(FB13:FB13)*CELL("contenu",$B$12),COUNTA(FB15:FB17)*CELL("contenu",$B$14),COUNTA(FB19:FB19)*CELL("contenu",$B$18))=0,1,SUM(COUNTA(FB5:FB6)*CELL("contenu",$B$4),COUNTA(FB8:FB11)*CELL("contenu",$B$7),COUNTA(FB13:FB13)*CELL("contenu",$B$12),COUNTA(FB15:FB17)*CELL("contenu",$B$14),COUNTA(FB19:FB19)*CELL("contenu",$B$18))))</f>
        <v/>
      </c>
      <c r="FC20" s="116"/>
      <c r="FD20" s="192">
        <f ca="1">IF(COUNTA(EZ20:FB20)-COUNTBLANK(EZ20:FB20)=0,"",SUM(EZ20:FB20)/(COUNTA(EZ20:FB20)-COUNTBLANK(EZ20:FB20)))</f>
        <v>19.166666666666664</v>
      </c>
      <c r="FE20" s="182" t="str">
        <f ca="1">IF(COUNTA(FE5:FE19)=0,"",5*SUM(IFERROR((((COUNTIF(FE5:FE6,"A"))*4)+((COUNTIF(FE5:FE6,"B"))*3)+((COUNTIF(FE5:FE6,"C"))*2)+((COUNTIF(FE5:FE6,"D"))*1))*CELL("contenu",$B$4),0),IFERROR((((COUNTIF(FE8:FE11,"A"))*4)+((COUNTIF(FE8:FE11,"B"))*3)+((COUNTIF(FE8:FE11,"C"))*2)+((COUNTIF(FE8:FE11,"D"))*1))*CELL("contenu",$B$7),0),IFERROR((((COUNTIF(FE13:FE13,"A"))*4)+((COUNTIF(FE13:FE13,"B"))*3)+((COUNTIF(FE13:FE13,"C"))*2)+((COUNTIF(FE13:FE13,"D"))*1))*CELL("contenu",$B$12),0),IFERROR((((COUNTIF(FE15:FE17,"A"))*4)+((COUNTIF(FE15:FE17,"B"))*3)+((COUNTIF(FE15:FE17,"C"))*2)+((COUNTIF(FE15:FE17,"D"))*1))*CELL("contenu",$B$14),0),IFERROR((((COUNTIF(FE19:FE19,"A"))*4)+((COUNTIF(FE19:FE19,"B"))*3)+((COUNTIF(FE19:FE19,"C"))*2)+((COUNTIF(FE19:FE19,"D"))*1))*CELL("contenu",$B$18),0))/IF(SUM(COUNTA(FE5:FE6)*CELL("contenu",$B$4),COUNTA(FE8:FE11)*CELL("contenu",$B$7),COUNTA(FE13:FE13)*CELL("contenu",$B$12),COUNTA(FE15:FE17)*CELL("contenu",$B$14),COUNTA(FE19:FE19)*CELL("contenu",$B$18))=0,1,SUM(COUNTA(FE5:FE6)*CELL("contenu",$B$4),COUNTA(FE8:FE11)*CELL("contenu",$B$7),COUNTA(FE13:FE13)*CELL("contenu",$B$12),COUNTA(FE15:FE17)*CELL("contenu",$B$14),COUNTA(FE19:FE19)*CELL("contenu",$B$18))))</f>
        <v/>
      </c>
      <c r="FF20" s="183" t="str">
        <f ca="1">IF(COUNTA(FF5:FF19)=0,"",5*SUM(IFERROR((((COUNTIF(FF5:FF6,"A"))*4)+((COUNTIF(FF5:FF6,"B"))*3)+((COUNTIF(FF5:FF6,"C"))*2)+((COUNTIF(FF5:FF6,"D"))*1))*CELL("contenu",$B$4),0),IFERROR((((COUNTIF(FF8:FF11,"A"))*4)+((COUNTIF(FF8:FF11,"B"))*3)+((COUNTIF(FF8:FF11,"C"))*2)+((COUNTIF(FF8:FF11,"D"))*1))*CELL("contenu",$B$7),0),IFERROR((((COUNTIF(FF13:FF13,"A"))*4)+((COUNTIF(FF13:FF13,"B"))*3)+((COUNTIF(FF13:FF13,"C"))*2)+((COUNTIF(FF13:FF13,"D"))*1))*CELL("contenu",$B$12),0),IFERROR((((COUNTIF(FF15:FF17,"A"))*4)+((COUNTIF(FF15:FF17,"B"))*3)+((COUNTIF(FF15:FF17,"C"))*2)+((COUNTIF(FF15:FF17,"D"))*1))*CELL("contenu",$B$14),0),IFERROR((((COUNTIF(FF19:FF19,"A"))*4)+((COUNTIF(FF19:FF19,"B"))*3)+((COUNTIF(FF19:FF19,"C"))*2)+((COUNTIF(FF19:FF19,"D"))*1))*CELL("contenu",$B$18),0))/IF(SUM(COUNTA(FF5:FF6)*CELL("contenu",$B$4),COUNTA(FF8:FF11)*CELL("contenu",$B$7),COUNTA(FF13:FF13)*CELL("contenu",$B$12),COUNTA(FF15:FF17)*CELL("contenu",$B$14),COUNTA(FF19:FF19)*CELL("contenu",$B$18))=0,1,SUM(COUNTA(FF5:FF6)*CELL("contenu",$B$4),COUNTA(FF8:FF11)*CELL("contenu",$B$7),COUNTA(FF13:FF13)*CELL("contenu",$B$12),COUNTA(FF15:FF17)*CELL("contenu",$B$14),COUNTA(FF19:FF19)*CELL("contenu",$B$18))))</f>
        <v/>
      </c>
      <c r="FG20" s="184" t="str">
        <f ca="1">IF(COUNTA(FG5:FG19)=0,"",5*SUM(IFERROR((((COUNTIF(FG5:FG6,"A"))*4)+((COUNTIF(FG5:FG6,"B"))*3)+((COUNTIF(FG5:FG6,"C"))*2)+((COUNTIF(FG5:FG6,"D"))*1))*CELL("contenu",$B$4),0),IFERROR((((COUNTIF(FG8:FG11,"A"))*4)+((COUNTIF(FG8:FG11,"B"))*3)+((COUNTIF(FG8:FG11,"C"))*2)+((COUNTIF(FG8:FG11,"D"))*1))*CELL("contenu",$B$7),0),IFERROR((((COUNTIF(FG13:FG13,"A"))*4)+((COUNTIF(FG13:FG13,"B"))*3)+((COUNTIF(FG13:FG13,"C"))*2)+((COUNTIF(FG13:FG13,"D"))*1))*CELL("contenu",$B$12),0),IFERROR((((COUNTIF(FG15:FG17,"A"))*4)+((COUNTIF(FG15:FG17,"B"))*3)+((COUNTIF(FG15:FG17,"C"))*2)+((COUNTIF(FG15:FG17,"D"))*1))*CELL("contenu",$B$14),0),IFERROR((((COUNTIF(FG19:FG19,"A"))*4)+((COUNTIF(FG19:FG19,"B"))*3)+((COUNTIF(FG19:FG19,"C"))*2)+((COUNTIF(FG19:FG19,"D"))*1))*CELL("contenu",$B$18),0))/IF(SUM(COUNTA(FG5:FG6)*CELL("contenu",$B$4),COUNTA(FG8:FG11)*CELL("contenu",$B$7),COUNTA(FG13:FG13)*CELL("contenu",$B$12),COUNTA(FG15:FG17)*CELL("contenu",$B$14),COUNTA(FG19:FG19)*CELL("contenu",$B$18))=0,1,SUM(COUNTA(FG5:FG6)*CELL("contenu",$B$4),COUNTA(FG8:FG11)*CELL("contenu",$B$7),COUNTA(FG13:FG13)*CELL("contenu",$B$12),COUNTA(FG15:FG17)*CELL("contenu",$B$14),COUNTA(FG19:FG19)*CELL("contenu",$B$18))))</f>
        <v/>
      </c>
      <c r="FH20" s="176"/>
      <c r="FI20" s="175" t="str">
        <f ca="1">IF(COUNTA(FE20:FG20)-COUNTBLANK(FE20:FG20)=0,"",SUM(FE20:FG20)/(COUNTA(FE20:FG20)-COUNTBLANK(FE20:FG20)))</f>
        <v/>
      </c>
      <c r="FJ20" s="182" t="str">
        <f ca="1">IF(COUNTA(FJ5:FJ19)=0,"",5*SUM(IFERROR((((COUNTIF(FJ5:FJ6,"A"))*4)+((COUNTIF(FJ5:FJ6,"B"))*3)+((COUNTIF(FJ5:FJ6,"C"))*2)+((COUNTIF(FJ5:FJ6,"D"))*1))*CELL("contenu",$B$4),0),IFERROR((((COUNTIF(FJ8:FJ11,"A"))*4)+((COUNTIF(FJ8:FJ11,"B"))*3)+((COUNTIF(FJ8:FJ11,"C"))*2)+((COUNTIF(FJ8:FJ11,"D"))*1))*CELL("contenu",$B$7),0),IFERROR((((COUNTIF(FJ13:FJ13,"A"))*4)+((COUNTIF(FJ13:FJ13,"B"))*3)+((COUNTIF(FJ13:FJ13,"C"))*2)+((COUNTIF(FJ13:FJ13,"D"))*1))*CELL("contenu",$B$12),0),IFERROR((((COUNTIF(FJ15:FJ17,"A"))*4)+((COUNTIF(FJ15:FJ17,"B"))*3)+((COUNTIF(FJ15:FJ17,"C"))*2)+((COUNTIF(FJ15:FJ17,"D"))*1))*CELL("contenu",$B$14),0),IFERROR((((COUNTIF(FJ19:FJ19,"A"))*4)+((COUNTIF(FJ19:FJ19,"B"))*3)+((COUNTIF(FJ19:FJ19,"C"))*2)+((COUNTIF(FJ19:FJ19,"D"))*1))*CELL("contenu",$B$18),0))/IF(SUM(COUNTA(FJ5:FJ6)*CELL("contenu",$B$4),COUNTA(FJ8:FJ11)*CELL("contenu",$B$7),COUNTA(FJ13:FJ13)*CELL("contenu",$B$12),COUNTA(FJ15:FJ17)*CELL("contenu",$B$14),COUNTA(FJ19:FJ19)*CELL("contenu",$B$18))=0,1,SUM(COUNTA(FJ5:FJ6)*CELL("contenu",$B$4),COUNTA(FJ8:FJ11)*CELL("contenu",$B$7),COUNTA(FJ13:FJ13)*CELL("contenu",$B$12),COUNTA(FJ15:FJ17)*CELL("contenu",$B$14),COUNTA(FJ19:FJ19)*CELL("contenu",$B$18))))</f>
        <v/>
      </c>
      <c r="FK20" s="183" t="str">
        <f ca="1">IF(COUNTA(FK5:FK19)=0,"",5*SUM(IFERROR((((COUNTIF(FK5:FK6,"A"))*4)+((COUNTIF(FK5:FK6,"B"))*3)+((COUNTIF(FK5:FK6,"C"))*2)+((COUNTIF(FK5:FK6,"D"))*1))*CELL("contenu",$B$4),0),IFERROR((((COUNTIF(FK8:FK11,"A"))*4)+((COUNTIF(FK8:FK11,"B"))*3)+((COUNTIF(FK8:FK11,"C"))*2)+((COUNTIF(FK8:FK11,"D"))*1))*CELL("contenu",$B$7),0),IFERROR((((COUNTIF(FK13:FK13,"A"))*4)+((COUNTIF(FK13:FK13,"B"))*3)+((COUNTIF(FK13:FK13,"C"))*2)+((COUNTIF(FK13:FK13,"D"))*1))*CELL("contenu",$B$12),0),IFERROR((((COUNTIF(FK15:FK17,"A"))*4)+((COUNTIF(FK15:FK17,"B"))*3)+((COUNTIF(FK15:FK17,"C"))*2)+((COUNTIF(FK15:FK17,"D"))*1))*CELL("contenu",$B$14),0),IFERROR((((COUNTIF(FK19:FK19,"A"))*4)+((COUNTIF(FK19:FK19,"B"))*3)+((COUNTIF(FK19:FK19,"C"))*2)+((COUNTIF(FK19:FK19,"D"))*1))*CELL("contenu",$B$18),0))/IF(SUM(COUNTA(FK5:FK6)*CELL("contenu",$B$4),COUNTA(FK8:FK11)*CELL("contenu",$B$7),COUNTA(FK13:FK13)*CELL("contenu",$B$12),COUNTA(FK15:FK17)*CELL("contenu",$B$14),COUNTA(FK19:FK19)*CELL("contenu",$B$18))=0,1,SUM(COUNTA(FK5:FK6)*CELL("contenu",$B$4),COUNTA(FK8:FK11)*CELL("contenu",$B$7),COUNTA(FK13:FK13)*CELL("contenu",$B$12),COUNTA(FK15:FK17)*CELL("contenu",$B$14),COUNTA(FK19:FK19)*CELL("contenu",$B$18))))</f>
        <v/>
      </c>
      <c r="FL20" s="184" t="str">
        <f ca="1">IF(COUNTA(FL5:FL19)=0,"",5*SUM(IFERROR((((COUNTIF(FL5:FL6,"A"))*4)+((COUNTIF(FL5:FL6,"B"))*3)+((COUNTIF(FL5:FL6,"C"))*2)+((COUNTIF(FL5:FL6,"D"))*1))*CELL("contenu",$B$4),0),IFERROR((((COUNTIF(FL8:FL11,"A"))*4)+((COUNTIF(FL8:FL11,"B"))*3)+((COUNTIF(FL8:FL11,"C"))*2)+((COUNTIF(FL8:FL11,"D"))*1))*CELL("contenu",$B$7),0),IFERROR((((COUNTIF(FL13:FL13,"A"))*4)+((COUNTIF(FL13:FL13,"B"))*3)+((COUNTIF(FL13:FL13,"C"))*2)+((COUNTIF(FL13:FL13,"D"))*1))*CELL("contenu",$B$12),0),IFERROR((((COUNTIF(FL15:FL17,"A"))*4)+((COUNTIF(FL15:FL17,"B"))*3)+((COUNTIF(FL15:FL17,"C"))*2)+((COUNTIF(FL15:FL17,"D"))*1))*CELL("contenu",$B$14),0),IFERROR((((COUNTIF(FL19:FL19,"A"))*4)+((COUNTIF(FL19:FL19,"B"))*3)+((COUNTIF(FL19:FL19,"C"))*2)+((COUNTIF(FL19:FL19,"D"))*1))*CELL("contenu",$B$18),0))/IF(SUM(COUNTA(FL5:FL6)*CELL("contenu",$B$4),COUNTA(FL8:FL11)*CELL("contenu",$B$7),COUNTA(FL13:FL13)*CELL("contenu",$B$12),COUNTA(FL15:FL17)*CELL("contenu",$B$14),COUNTA(FL19:FL19)*CELL("contenu",$B$18))=0,1,SUM(COUNTA(FL5:FL6)*CELL("contenu",$B$4),COUNTA(FL8:FL11)*CELL("contenu",$B$7),COUNTA(FL13:FL13)*CELL("contenu",$B$12),COUNTA(FL15:FL17)*CELL("contenu",$B$14),COUNTA(FL19:FL19)*CELL("contenu",$B$18))))</f>
        <v/>
      </c>
      <c r="FM20" s="176"/>
      <c r="FN20" s="174" t="str">
        <f ca="1">IF(COUNTA(FJ20:FL20)-COUNTBLANK(FJ20:FL20)=0,"",SUM(FJ20:FL20)/(COUNTA(FJ20:FL20)-COUNTBLANK(FJ20:FL20)))</f>
        <v/>
      </c>
      <c r="FO20" s="103"/>
      <c r="FP20" s="141"/>
      <c r="FQ20" s="167">
        <f ca="1">IF(COUNTA(FQ5:FQ19)=0,"",5*SUM(IFERROR((((COUNTIF(FQ5:FQ6,"A"))*4)+((COUNTIF(FQ5:FQ6,"B"))*3)+((COUNTIF(FQ5:FQ6,"C"))*2)+((COUNTIF(FQ5:FQ6,"D"))*1))*CELL("contenu",$B$4),0),IFERROR((((COUNTIF(FQ8:FQ11,"A"))*4)+((COUNTIF(FQ8:FQ11,"B"))*3)+((COUNTIF(FQ8:FQ11,"C"))*2)+((COUNTIF(FQ8:FQ11,"D"))*1))*CELL("contenu",$B$7),0),IFERROR((((COUNTIF(FQ13:FQ13,"A"))*4)+((COUNTIF(FQ13:FQ13,"B"))*3)+((COUNTIF(FQ13:FQ13,"C"))*2)+((COUNTIF(FQ13:FQ13,"D"))*1))*CELL("contenu",$B$12),0),IFERROR((((COUNTIF(FQ15:FQ17,"A"))*4)+((COUNTIF(FQ15:FQ17,"B"))*3)+((COUNTIF(FQ15:FQ17,"C"))*2)+((COUNTIF(FQ15:FQ17,"D"))*1))*CELL("contenu",$B$14),0),IFERROR((((COUNTIF(FQ19:FQ19,"A"))*4)+((COUNTIF(FQ19:FQ19,"B"))*3)+((COUNTIF(FQ19:FQ19,"C"))*2)+((COUNTIF(FQ19:FQ19,"D"))*1))*CELL("contenu",$B$18),0))/IF(SUM(COUNTA(FQ5:FQ6)*CELL("contenu",$B$4),COUNTA(FQ8:FQ11)*CELL("contenu",$B$7),COUNTA(FQ13:FQ13)*CELL("contenu",$B$12),COUNTA(FQ15:FQ17)*CELL("contenu",$B$14),COUNTA(FQ19:FQ19)*CELL("contenu",$B$18))=0,1,SUM(COUNTA(FQ5:FQ6)*CELL("contenu",$B$4),COUNTA(FQ8:FQ11)*CELL("contenu",$B$7),COUNTA(FQ13:FQ13)*CELL("contenu",$B$12),COUNTA(FQ15:FQ17)*CELL("contenu",$B$14),COUNTA(FQ19:FQ19)*CELL("contenu",$B$18))))</f>
        <v>18.333333333333332</v>
      </c>
      <c r="FR20" s="168">
        <f ca="1">IF(COUNTA(FR5:FR19)=0,"",5*SUM(IFERROR((((COUNTIF(FR5:FR6,"A"))*4)+((COUNTIF(FR5:FR6,"B"))*3)+((COUNTIF(FR5:FR6,"C"))*2)+((COUNTIF(FR5:FR6,"D"))*1))*CELL("contenu",$B$4),0),IFERROR((((COUNTIF(FR8:FR11,"A"))*4)+((COUNTIF(FR8:FR11,"B"))*3)+((COUNTIF(FR8:FR11,"C"))*2)+((COUNTIF(FR8:FR11,"D"))*1))*CELL("contenu",$B$7),0),IFERROR((((COUNTIF(FR13:FR13,"A"))*4)+((COUNTIF(FR13:FR13,"B"))*3)+((COUNTIF(FR13:FR13,"C"))*2)+((COUNTIF(FR13:FR13,"D"))*1))*CELL("contenu",$B$12),0),IFERROR((((COUNTIF(FR15:FR17,"A"))*4)+((COUNTIF(FR15:FR17,"B"))*3)+((COUNTIF(FR15:FR17,"C"))*2)+((COUNTIF(FR15:FR17,"D"))*1))*CELL("contenu",$B$14),0),IFERROR((((COUNTIF(FR19:FR19,"A"))*4)+((COUNTIF(FR19:FR19,"B"))*3)+((COUNTIF(FR19:FR19,"C"))*2)+((COUNTIF(FR19:FR19,"D"))*1))*CELL("contenu",$B$18),0))/IF(SUM(COUNTA(FR5:FR6)*CELL("contenu",$B$4),COUNTA(FR8:FR11)*CELL("contenu",$B$7),COUNTA(FR13:FR13)*CELL("contenu",$B$12),COUNTA(FR15:FR17)*CELL("contenu",$B$14),COUNTA(FR19:FR19)*CELL("contenu",$B$18))=0,1,SUM(COUNTA(FR5:FR6)*CELL("contenu",$B$4),COUNTA(FR8:FR11)*CELL("contenu",$B$7),COUNTA(FR13:FR13)*CELL("contenu",$B$12),COUNTA(FR15:FR17)*CELL("contenu",$B$14),COUNTA(FR19:FR19)*CELL("contenu",$B$18))))</f>
        <v>13.333333333333334</v>
      </c>
      <c r="FS20" s="169" t="str">
        <f ca="1">IF(COUNTA(FS5:FS19)=0,"",5*SUM(IFERROR((((COUNTIF(FS5:FS6,"A"))*4)+((COUNTIF(FS5:FS6,"B"))*3)+((COUNTIF(FS5:FS6,"C"))*2)+((COUNTIF(FS5:FS6,"D"))*1))*CELL("contenu",$B$4),0),IFERROR((((COUNTIF(FS8:FS11,"A"))*4)+((COUNTIF(FS8:FS11,"B"))*3)+((COUNTIF(FS8:FS11,"C"))*2)+((COUNTIF(FS8:FS11,"D"))*1))*CELL("contenu",$B$7),0),IFERROR((((COUNTIF(FS13:FS13,"A"))*4)+((COUNTIF(FS13:FS13,"B"))*3)+((COUNTIF(FS13:FS13,"C"))*2)+((COUNTIF(FS13:FS13,"D"))*1))*CELL("contenu",$B$12),0),IFERROR((((COUNTIF(FS15:FS17,"A"))*4)+((COUNTIF(FS15:FS17,"B"))*3)+((COUNTIF(FS15:FS17,"C"))*2)+((COUNTIF(FS15:FS17,"D"))*1))*CELL("contenu",$B$14),0),IFERROR((((COUNTIF(FS19:FS19,"A"))*4)+((COUNTIF(FS19:FS19,"B"))*3)+((COUNTIF(FS19:FS19,"C"))*2)+((COUNTIF(FS19:FS19,"D"))*1))*CELL("contenu",$B$18),0))/IF(SUM(COUNTA(FS5:FS6)*CELL("contenu",$B$4),COUNTA(FS8:FS11)*CELL("contenu",$B$7),COUNTA(FS13:FS13)*CELL("contenu",$B$12),COUNTA(FS15:FS17)*CELL("contenu",$B$14),COUNTA(FS19:FS19)*CELL("contenu",$B$18))=0,1,SUM(COUNTA(FS5:FS6)*CELL("contenu",$B$4),COUNTA(FS8:FS11)*CELL("contenu",$B$7),COUNTA(FS13:FS13)*CELL("contenu",$B$12),COUNTA(FS15:FS17)*CELL("contenu",$B$14),COUNTA(FS19:FS19)*CELL("contenu",$B$18))))</f>
        <v/>
      </c>
      <c r="FT20" s="116"/>
      <c r="FU20" s="192">
        <f ca="1">IF(COUNTA(FQ20:FS20)-COUNTBLANK(FQ20:FS20)=0,"",SUM(FQ20:FS20)/(COUNTA(FQ20:FS20)-COUNTBLANK(FQ20:FS20)))</f>
        <v>15.833333333333332</v>
      </c>
      <c r="FV20" s="182" t="str">
        <f ca="1">IF(COUNTA(FV5:FV19)=0,"",5*SUM(IFERROR((((COUNTIF(FV5:FV6,"A"))*4)+((COUNTIF(FV5:FV6,"B"))*3)+((COUNTIF(FV5:FV6,"C"))*2)+((COUNTIF(FV5:FV6,"D"))*1))*CELL("contenu",$B$4),0),IFERROR((((COUNTIF(FV8:FV11,"A"))*4)+((COUNTIF(FV8:FV11,"B"))*3)+((COUNTIF(FV8:FV11,"C"))*2)+((COUNTIF(FV8:FV11,"D"))*1))*CELL("contenu",$B$7),0),IFERROR((((COUNTIF(FV13:FV13,"A"))*4)+((COUNTIF(FV13:FV13,"B"))*3)+((COUNTIF(FV13:FV13,"C"))*2)+((COUNTIF(FV13:FV13,"D"))*1))*CELL("contenu",$B$12),0),IFERROR((((COUNTIF(FV15:FV17,"A"))*4)+((COUNTIF(FV15:FV17,"B"))*3)+((COUNTIF(FV15:FV17,"C"))*2)+((COUNTIF(FV15:FV17,"D"))*1))*CELL("contenu",$B$14),0),IFERROR((((COUNTIF(FV19:FV19,"A"))*4)+((COUNTIF(FV19:FV19,"B"))*3)+((COUNTIF(FV19:FV19,"C"))*2)+((COUNTIF(FV19:FV19,"D"))*1))*CELL("contenu",$B$18),0))/IF(SUM(COUNTA(FV5:FV6)*CELL("contenu",$B$4),COUNTA(FV8:FV11)*CELL("contenu",$B$7),COUNTA(FV13:FV13)*CELL("contenu",$B$12),COUNTA(FV15:FV17)*CELL("contenu",$B$14),COUNTA(FV19:FV19)*CELL("contenu",$B$18))=0,1,SUM(COUNTA(FV5:FV6)*CELL("contenu",$B$4),COUNTA(FV8:FV11)*CELL("contenu",$B$7),COUNTA(FV13:FV13)*CELL("contenu",$B$12),COUNTA(FV15:FV17)*CELL("contenu",$B$14),COUNTA(FV19:FV19)*CELL("contenu",$B$18))))</f>
        <v/>
      </c>
      <c r="FW20" s="183" t="str">
        <f ca="1">IF(COUNTA(FW5:FW19)=0,"",5*SUM(IFERROR((((COUNTIF(FW5:FW6,"A"))*4)+((COUNTIF(FW5:FW6,"B"))*3)+((COUNTIF(FW5:FW6,"C"))*2)+((COUNTIF(FW5:FW6,"D"))*1))*CELL("contenu",$B$4),0),IFERROR((((COUNTIF(FW8:FW11,"A"))*4)+((COUNTIF(FW8:FW11,"B"))*3)+((COUNTIF(FW8:FW11,"C"))*2)+((COUNTIF(FW8:FW11,"D"))*1))*CELL("contenu",$B$7),0),IFERROR((((COUNTIF(FW13:FW13,"A"))*4)+((COUNTIF(FW13:FW13,"B"))*3)+((COUNTIF(FW13:FW13,"C"))*2)+((COUNTIF(FW13:FW13,"D"))*1))*CELL("contenu",$B$12),0),IFERROR((((COUNTIF(FW15:FW17,"A"))*4)+((COUNTIF(FW15:FW17,"B"))*3)+((COUNTIF(FW15:FW17,"C"))*2)+((COUNTIF(FW15:FW17,"D"))*1))*CELL("contenu",$B$14),0),IFERROR((((COUNTIF(FW19:FW19,"A"))*4)+((COUNTIF(FW19:FW19,"B"))*3)+((COUNTIF(FW19:FW19,"C"))*2)+((COUNTIF(FW19:FW19,"D"))*1))*CELL("contenu",$B$18),0))/IF(SUM(COUNTA(FW5:FW6)*CELL("contenu",$B$4),COUNTA(FW8:FW11)*CELL("contenu",$B$7),COUNTA(FW13:FW13)*CELL("contenu",$B$12),COUNTA(FW15:FW17)*CELL("contenu",$B$14),COUNTA(FW19:FW19)*CELL("contenu",$B$18))=0,1,SUM(COUNTA(FW5:FW6)*CELL("contenu",$B$4),COUNTA(FW8:FW11)*CELL("contenu",$B$7),COUNTA(FW13:FW13)*CELL("contenu",$B$12),COUNTA(FW15:FW17)*CELL("contenu",$B$14),COUNTA(FW19:FW19)*CELL("contenu",$B$18))))</f>
        <v/>
      </c>
      <c r="FX20" s="184" t="str">
        <f ca="1">IF(COUNTA(FX5:FX19)=0,"",5*SUM(IFERROR((((COUNTIF(FX5:FX6,"A"))*4)+((COUNTIF(FX5:FX6,"B"))*3)+((COUNTIF(FX5:FX6,"C"))*2)+((COUNTIF(FX5:FX6,"D"))*1))*CELL("contenu",$B$4),0),IFERROR((((COUNTIF(FX8:FX11,"A"))*4)+((COUNTIF(FX8:FX11,"B"))*3)+((COUNTIF(FX8:FX11,"C"))*2)+((COUNTIF(FX8:FX11,"D"))*1))*CELL("contenu",$B$7),0),IFERROR((((COUNTIF(FX13:FX13,"A"))*4)+((COUNTIF(FX13:FX13,"B"))*3)+((COUNTIF(FX13:FX13,"C"))*2)+((COUNTIF(FX13:FX13,"D"))*1))*CELL("contenu",$B$12),0),IFERROR((((COUNTIF(FX15:FX17,"A"))*4)+((COUNTIF(FX15:FX17,"B"))*3)+((COUNTIF(FX15:FX17,"C"))*2)+((COUNTIF(FX15:FX17,"D"))*1))*CELL("contenu",$B$14),0),IFERROR((((COUNTIF(FX19:FX19,"A"))*4)+((COUNTIF(FX19:FX19,"B"))*3)+((COUNTIF(FX19:FX19,"C"))*2)+((COUNTIF(FX19:FX19,"D"))*1))*CELL("contenu",$B$18),0))/IF(SUM(COUNTA(FX5:FX6)*CELL("contenu",$B$4),COUNTA(FX8:FX11)*CELL("contenu",$B$7),COUNTA(FX13:FX13)*CELL("contenu",$B$12),COUNTA(FX15:FX17)*CELL("contenu",$B$14),COUNTA(FX19:FX19)*CELL("contenu",$B$18))=0,1,SUM(COUNTA(FX5:FX6)*CELL("contenu",$B$4),COUNTA(FX8:FX11)*CELL("contenu",$B$7),COUNTA(FX13:FX13)*CELL("contenu",$B$12),COUNTA(FX15:FX17)*CELL("contenu",$B$14),COUNTA(FX19:FX19)*CELL("contenu",$B$18))))</f>
        <v/>
      </c>
      <c r="FY20" s="176"/>
      <c r="FZ20" s="175" t="str">
        <f ca="1">IF(COUNTA(FV20:FX20)-COUNTBLANK(FV20:FX20)=0,"",SUM(FV20:FX20)/(COUNTA(FV20:FX20)-COUNTBLANK(FV20:FX20)))</f>
        <v/>
      </c>
      <c r="GA20" s="182" t="str">
        <f ca="1">IF(COUNTA(GA5:GA19)=0,"",5*SUM(IFERROR((((COUNTIF(GA5:GA6,"A"))*4)+((COUNTIF(GA5:GA6,"B"))*3)+((COUNTIF(GA5:GA6,"C"))*2)+((COUNTIF(GA5:GA6,"D"))*1))*CELL("contenu",$B$4),0),IFERROR((((COUNTIF(GA8:GA11,"A"))*4)+((COUNTIF(GA8:GA11,"B"))*3)+((COUNTIF(GA8:GA11,"C"))*2)+((COUNTIF(GA8:GA11,"D"))*1))*CELL("contenu",$B$7),0),IFERROR((((COUNTIF(GA13:GA13,"A"))*4)+((COUNTIF(GA13:GA13,"B"))*3)+((COUNTIF(GA13:GA13,"C"))*2)+((COUNTIF(GA13:GA13,"D"))*1))*CELL("contenu",$B$12),0),IFERROR((((COUNTIF(GA15:GA17,"A"))*4)+((COUNTIF(GA15:GA17,"B"))*3)+((COUNTIF(GA15:GA17,"C"))*2)+((COUNTIF(GA15:GA17,"D"))*1))*CELL("contenu",$B$14),0),IFERROR((((COUNTIF(GA19:GA19,"A"))*4)+((COUNTIF(GA19:GA19,"B"))*3)+((COUNTIF(GA19:GA19,"C"))*2)+((COUNTIF(GA19:GA19,"D"))*1))*CELL("contenu",$B$18),0))/IF(SUM(COUNTA(GA5:GA6)*CELL("contenu",$B$4),COUNTA(GA8:GA11)*CELL("contenu",$B$7),COUNTA(GA13:GA13)*CELL("contenu",$B$12),COUNTA(GA15:GA17)*CELL("contenu",$B$14),COUNTA(GA19:GA19)*CELL("contenu",$B$18))=0,1,SUM(COUNTA(GA5:GA6)*CELL("contenu",$B$4),COUNTA(GA8:GA11)*CELL("contenu",$B$7),COUNTA(GA13:GA13)*CELL("contenu",$B$12),COUNTA(GA15:GA17)*CELL("contenu",$B$14),COUNTA(GA19:GA19)*CELL("contenu",$B$18))))</f>
        <v/>
      </c>
      <c r="GB20" s="183" t="str">
        <f ca="1">IF(COUNTA(GB5:GB19)=0,"",5*SUM(IFERROR((((COUNTIF(GB5:GB6,"A"))*4)+((COUNTIF(GB5:GB6,"B"))*3)+((COUNTIF(GB5:GB6,"C"))*2)+((COUNTIF(GB5:GB6,"D"))*1))*CELL("contenu",$B$4),0),IFERROR((((COUNTIF(GB8:GB11,"A"))*4)+((COUNTIF(GB8:GB11,"B"))*3)+((COUNTIF(GB8:GB11,"C"))*2)+((COUNTIF(GB8:GB11,"D"))*1))*CELL("contenu",$B$7),0),IFERROR((((COUNTIF(GB13:GB13,"A"))*4)+((COUNTIF(GB13:GB13,"B"))*3)+((COUNTIF(GB13:GB13,"C"))*2)+((COUNTIF(GB13:GB13,"D"))*1))*CELL("contenu",$B$12),0),IFERROR((((COUNTIF(GB15:GB17,"A"))*4)+((COUNTIF(GB15:GB17,"B"))*3)+((COUNTIF(GB15:GB17,"C"))*2)+((COUNTIF(GB15:GB17,"D"))*1))*CELL("contenu",$B$14),0),IFERROR((((COUNTIF(GB19:GB19,"A"))*4)+((COUNTIF(GB19:GB19,"B"))*3)+((COUNTIF(GB19:GB19,"C"))*2)+((COUNTIF(GB19:GB19,"D"))*1))*CELL("contenu",$B$18),0))/IF(SUM(COUNTA(GB5:GB6)*CELL("contenu",$B$4),COUNTA(GB8:GB11)*CELL("contenu",$B$7),COUNTA(GB13:GB13)*CELL("contenu",$B$12),COUNTA(GB15:GB17)*CELL("contenu",$B$14),COUNTA(GB19:GB19)*CELL("contenu",$B$18))=0,1,SUM(COUNTA(GB5:GB6)*CELL("contenu",$B$4),COUNTA(GB8:GB11)*CELL("contenu",$B$7),COUNTA(GB13:GB13)*CELL("contenu",$B$12),COUNTA(GB15:GB17)*CELL("contenu",$B$14),COUNTA(GB19:GB19)*CELL("contenu",$B$18))))</f>
        <v/>
      </c>
      <c r="GC20" s="184" t="str">
        <f ca="1">IF(COUNTA(GC5:GC19)=0,"",5*SUM(IFERROR((((COUNTIF(GC5:GC6,"A"))*4)+((COUNTIF(GC5:GC6,"B"))*3)+((COUNTIF(GC5:GC6,"C"))*2)+((COUNTIF(GC5:GC6,"D"))*1))*CELL("contenu",$B$4),0),IFERROR((((COUNTIF(GC8:GC11,"A"))*4)+((COUNTIF(GC8:GC11,"B"))*3)+((COUNTIF(GC8:GC11,"C"))*2)+((COUNTIF(GC8:GC11,"D"))*1))*CELL("contenu",$B$7),0),IFERROR((((COUNTIF(GC13:GC13,"A"))*4)+((COUNTIF(GC13:GC13,"B"))*3)+((COUNTIF(GC13:GC13,"C"))*2)+((COUNTIF(GC13:GC13,"D"))*1))*CELL("contenu",$B$12),0),IFERROR((((COUNTIF(GC15:GC17,"A"))*4)+((COUNTIF(GC15:GC17,"B"))*3)+((COUNTIF(GC15:GC17,"C"))*2)+((COUNTIF(GC15:GC17,"D"))*1))*CELL("contenu",$B$14),0),IFERROR((((COUNTIF(GC19:GC19,"A"))*4)+((COUNTIF(GC19:GC19,"B"))*3)+((COUNTIF(GC19:GC19,"C"))*2)+((COUNTIF(GC19:GC19,"D"))*1))*CELL("contenu",$B$18),0))/IF(SUM(COUNTA(GC5:GC6)*CELL("contenu",$B$4),COUNTA(GC8:GC11)*CELL("contenu",$B$7),COUNTA(GC13:GC13)*CELL("contenu",$B$12),COUNTA(GC15:GC17)*CELL("contenu",$B$14),COUNTA(GC19:GC19)*CELL("contenu",$B$18))=0,1,SUM(COUNTA(GC5:GC6)*CELL("contenu",$B$4),COUNTA(GC8:GC11)*CELL("contenu",$B$7),COUNTA(GC13:GC13)*CELL("contenu",$B$12),COUNTA(GC15:GC17)*CELL("contenu",$B$14),COUNTA(GC19:GC19)*CELL("contenu",$B$18))))</f>
        <v/>
      </c>
      <c r="GD20" s="176"/>
      <c r="GE20" s="174" t="str">
        <f ca="1">IF(COUNTA(GA20:GC20)-COUNTBLANK(GA20:GC20)=0,"",SUM(GA20:GC20)/(COUNTA(GA20:GC20)-COUNTBLANK(GA20:GC20)))</f>
        <v/>
      </c>
      <c r="GF20" s="103"/>
      <c r="GG20" s="141"/>
      <c r="GH20" s="167">
        <f ca="1">IF(COUNTA(GH5:GH19)=0,"",5*SUM(IFERROR((((COUNTIF(GH5:GH6,"A"))*4)+((COUNTIF(GH5:GH6,"B"))*3)+((COUNTIF(GH5:GH6,"C"))*2)+((COUNTIF(GH5:GH6,"D"))*1))*CELL("contenu",$B$4),0),IFERROR((((COUNTIF(GH8:GH11,"A"))*4)+((COUNTIF(GH8:GH11,"B"))*3)+((COUNTIF(GH8:GH11,"C"))*2)+((COUNTIF(GH8:GH11,"D"))*1))*CELL("contenu",$B$7),0),IFERROR((((COUNTIF(GH13:GH13,"A"))*4)+((COUNTIF(GH13:GH13,"B"))*3)+((COUNTIF(GH13:GH13,"C"))*2)+((COUNTIF(GH13:GH13,"D"))*1))*CELL("contenu",$B$12),0),IFERROR((((COUNTIF(GH15:GH17,"A"))*4)+((COUNTIF(GH15:GH17,"B"))*3)+((COUNTIF(GH15:GH17,"C"))*2)+((COUNTIF(GH15:GH17,"D"))*1))*CELL("contenu",$B$14),0),IFERROR((((COUNTIF(GH19:GH19,"A"))*4)+((COUNTIF(GH19:GH19,"B"))*3)+((COUNTIF(GH19:GH19,"C"))*2)+((COUNTIF(GH19:GH19,"D"))*1))*CELL("contenu",$B$18),0))/IF(SUM(COUNTA(GH5:GH6)*CELL("contenu",$B$4),COUNTA(GH8:GH11)*CELL("contenu",$B$7),COUNTA(GH13:GH13)*CELL("contenu",$B$12),COUNTA(GH15:GH17)*CELL("contenu",$B$14),COUNTA(GH19:GH19)*CELL("contenu",$B$18))=0,1,SUM(COUNTA(GH5:GH6)*CELL("contenu",$B$4),COUNTA(GH8:GH11)*CELL("contenu",$B$7),COUNTA(GH13:GH13)*CELL("contenu",$B$12),COUNTA(GH15:GH17)*CELL("contenu",$B$14),COUNTA(GH19:GH19)*CELL("contenu",$B$18))))</f>
        <v>13.333333333333334</v>
      </c>
      <c r="GI20" s="168">
        <f ca="1">IF(COUNTA(GI5:GI19)=0,"",5*SUM(IFERROR((((COUNTIF(GI5:GI6,"A"))*4)+((COUNTIF(GI5:GI6,"B"))*3)+((COUNTIF(GI5:GI6,"C"))*2)+((COUNTIF(GI5:GI6,"D"))*1))*CELL("contenu",$B$4),0),IFERROR((((COUNTIF(GI8:GI11,"A"))*4)+((COUNTIF(GI8:GI11,"B"))*3)+((COUNTIF(GI8:GI11,"C"))*2)+((COUNTIF(GI8:GI11,"D"))*1))*CELL("contenu",$B$7),0),IFERROR((((COUNTIF(GI13:GI13,"A"))*4)+((COUNTIF(GI13:GI13,"B"))*3)+((COUNTIF(GI13:GI13,"C"))*2)+((COUNTIF(GI13:GI13,"D"))*1))*CELL("contenu",$B$12),0),IFERROR((((COUNTIF(GI15:GI17,"A"))*4)+((COUNTIF(GI15:GI17,"B"))*3)+((COUNTIF(GI15:GI17,"C"))*2)+((COUNTIF(GI15:GI17,"D"))*1))*CELL("contenu",$B$14),0),IFERROR((((COUNTIF(GI19:GI19,"A"))*4)+((COUNTIF(GI19:GI19,"B"))*3)+((COUNTIF(GI19:GI19,"C"))*2)+((COUNTIF(GI19:GI19,"D"))*1))*CELL("contenu",$B$18),0))/IF(SUM(COUNTA(GI5:GI6)*CELL("contenu",$B$4),COUNTA(GI8:GI11)*CELL("contenu",$B$7),COUNTA(GI13:GI13)*CELL("contenu",$B$12),COUNTA(GI15:GI17)*CELL("contenu",$B$14),COUNTA(GI19:GI19)*CELL("contenu",$B$18))=0,1,SUM(COUNTA(GI5:GI6)*CELL("contenu",$B$4),COUNTA(GI8:GI11)*CELL("contenu",$B$7),COUNTA(GI13:GI13)*CELL("contenu",$B$12),COUNTA(GI15:GI17)*CELL("contenu",$B$14),COUNTA(GI19:GI19)*CELL("contenu",$B$18))))</f>
        <v>16.666666666666668</v>
      </c>
      <c r="GJ20" s="169" t="str">
        <f ca="1">IF(COUNTA(GJ5:GJ19)=0,"",5*SUM(IFERROR((((COUNTIF(GJ5:GJ6,"A"))*4)+((COUNTIF(GJ5:GJ6,"B"))*3)+((COUNTIF(GJ5:GJ6,"C"))*2)+((COUNTIF(GJ5:GJ6,"D"))*1))*CELL("contenu",$B$4),0),IFERROR((((COUNTIF(GJ8:GJ11,"A"))*4)+((COUNTIF(GJ8:GJ11,"B"))*3)+((COUNTIF(GJ8:GJ11,"C"))*2)+((COUNTIF(GJ8:GJ11,"D"))*1))*CELL("contenu",$B$7),0),IFERROR((((COUNTIF(GJ13:GJ13,"A"))*4)+((COUNTIF(GJ13:GJ13,"B"))*3)+((COUNTIF(GJ13:GJ13,"C"))*2)+((COUNTIF(GJ13:GJ13,"D"))*1))*CELL("contenu",$B$12),0),IFERROR((((COUNTIF(GJ15:GJ17,"A"))*4)+((COUNTIF(GJ15:GJ17,"B"))*3)+((COUNTIF(GJ15:GJ17,"C"))*2)+((COUNTIF(GJ15:GJ17,"D"))*1))*CELL("contenu",$B$14),0),IFERROR((((COUNTIF(GJ19:GJ19,"A"))*4)+((COUNTIF(GJ19:GJ19,"B"))*3)+((COUNTIF(GJ19:GJ19,"C"))*2)+((COUNTIF(GJ19:GJ19,"D"))*1))*CELL("contenu",$B$18),0))/IF(SUM(COUNTA(GJ5:GJ6)*CELL("contenu",$B$4),COUNTA(GJ8:GJ11)*CELL("contenu",$B$7),COUNTA(GJ13:GJ13)*CELL("contenu",$B$12),COUNTA(GJ15:GJ17)*CELL("contenu",$B$14),COUNTA(GJ19:GJ19)*CELL("contenu",$B$18))=0,1,SUM(COUNTA(GJ5:GJ6)*CELL("contenu",$B$4),COUNTA(GJ8:GJ11)*CELL("contenu",$B$7),COUNTA(GJ13:GJ13)*CELL("contenu",$B$12),COUNTA(GJ15:GJ17)*CELL("contenu",$B$14),COUNTA(GJ19:GJ19)*CELL("contenu",$B$18))))</f>
        <v/>
      </c>
      <c r="GK20" s="116"/>
      <c r="GL20" s="192">
        <f ca="1">IF(COUNTA(GH20:GJ20)-COUNTBLANK(GH20:GJ20)=0,"",SUM(GH20:GJ20)/(COUNTA(GH20:GJ20)-COUNTBLANK(GH20:GJ20)))</f>
        <v>15</v>
      </c>
      <c r="GM20" s="182" t="str">
        <f ca="1">IF(COUNTA(GM5:GM19)=0,"",5*SUM(IFERROR((((COUNTIF(GM5:GM6,"A"))*4)+((COUNTIF(GM5:GM6,"B"))*3)+((COUNTIF(GM5:GM6,"C"))*2)+((COUNTIF(GM5:GM6,"D"))*1))*CELL("contenu",$B$4),0),IFERROR((((COUNTIF(GM8:GM11,"A"))*4)+((COUNTIF(GM8:GM11,"B"))*3)+((COUNTIF(GM8:GM11,"C"))*2)+((COUNTIF(GM8:GM11,"D"))*1))*CELL("contenu",$B$7),0),IFERROR((((COUNTIF(GM13:GM13,"A"))*4)+((COUNTIF(GM13:GM13,"B"))*3)+((COUNTIF(GM13:GM13,"C"))*2)+((COUNTIF(GM13:GM13,"D"))*1))*CELL("contenu",$B$12),0),IFERROR((((COUNTIF(GM15:GM17,"A"))*4)+((COUNTIF(GM15:GM17,"B"))*3)+((COUNTIF(GM15:GM17,"C"))*2)+((COUNTIF(GM15:GM17,"D"))*1))*CELL("contenu",$B$14),0),IFERROR((((COUNTIF(GM19:GM19,"A"))*4)+((COUNTIF(GM19:GM19,"B"))*3)+((COUNTIF(GM19:GM19,"C"))*2)+((COUNTIF(GM19:GM19,"D"))*1))*CELL("contenu",$B$18),0))/IF(SUM(COUNTA(GM5:GM6)*CELL("contenu",$B$4),COUNTA(GM8:GM11)*CELL("contenu",$B$7),COUNTA(GM13:GM13)*CELL("contenu",$B$12),COUNTA(GM15:GM17)*CELL("contenu",$B$14),COUNTA(GM19:GM19)*CELL("contenu",$B$18))=0,1,SUM(COUNTA(GM5:GM6)*CELL("contenu",$B$4),COUNTA(GM8:GM11)*CELL("contenu",$B$7),COUNTA(GM13:GM13)*CELL("contenu",$B$12),COUNTA(GM15:GM17)*CELL("contenu",$B$14),COUNTA(GM19:GM19)*CELL("contenu",$B$18))))</f>
        <v/>
      </c>
      <c r="GN20" s="183" t="str">
        <f ca="1">IF(COUNTA(GN5:GN19)=0,"",5*SUM(IFERROR((((COUNTIF(GN5:GN6,"A"))*4)+((COUNTIF(GN5:GN6,"B"))*3)+((COUNTIF(GN5:GN6,"C"))*2)+((COUNTIF(GN5:GN6,"D"))*1))*CELL("contenu",$B$4),0),IFERROR((((COUNTIF(GN8:GN11,"A"))*4)+((COUNTIF(GN8:GN11,"B"))*3)+((COUNTIF(GN8:GN11,"C"))*2)+((COUNTIF(GN8:GN11,"D"))*1))*CELL("contenu",$B$7),0),IFERROR((((COUNTIF(GN13:GN13,"A"))*4)+((COUNTIF(GN13:GN13,"B"))*3)+((COUNTIF(GN13:GN13,"C"))*2)+((COUNTIF(GN13:GN13,"D"))*1))*CELL("contenu",$B$12),0),IFERROR((((COUNTIF(GN15:GN17,"A"))*4)+((COUNTIF(GN15:GN17,"B"))*3)+((COUNTIF(GN15:GN17,"C"))*2)+((COUNTIF(GN15:GN17,"D"))*1))*CELL("contenu",$B$14),0),IFERROR((((COUNTIF(GN19:GN19,"A"))*4)+((COUNTIF(GN19:GN19,"B"))*3)+((COUNTIF(GN19:GN19,"C"))*2)+((COUNTIF(GN19:GN19,"D"))*1))*CELL("contenu",$B$18),0))/IF(SUM(COUNTA(GN5:GN6)*CELL("contenu",$B$4),COUNTA(GN8:GN11)*CELL("contenu",$B$7),COUNTA(GN13:GN13)*CELL("contenu",$B$12),COUNTA(GN15:GN17)*CELL("contenu",$B$14),COUNTA(GN19:GN19)*CELL("contenu",$B$18))=0,1,SUM(COUNTA(GN5:GN6)*CELL("contenu",$B$4),COUNTA(GN8:GN11)*CELL("contenu",$B$7),COUNTA(GN13:GN13)*CELL("contenu",$B$12),COUNTA(GN15:GN17)*CELL("contenu",$B$14),COUNTA(GN19:GN19)*CELL("contenu",$B$18))))</f>
        <v/>
      </c>
      <c r="GO20" s="184" t="str">
        <f ca="1">IF(COUNTA(GO5:GO19)=0,"",5*SUM(IFERROR((((COUNTIF(GO5:GO6,"A"))*4)+((COUNTIF(GO5:GO6,"B"))*3)+((COUNTIF(GO5:GO6,"C"))*2)+((COUNTIF(GO5:GO6,"D"))*1))*CELL("contenu",$B$4),0),IFERROR((((COUNTIF(GO8:GO11,"A"))*4)+((COUNTIF(GO8:GO11,"B"))*3)+((COUNTIF(GO8:GO11,"C"))*2)+((COUNTIF(GO8:GO11,"D"))*1))*CELL("contenu",$B$7),0),IFERROR((((COUNTIF(GO13:GO13,"A"))*4)+((COUNTIF(GO13:GO13,"B"))*3)+((COUNTIF(GO13:GO13,"C"))*2)+((COUNTIF(GO13:GO13,"D"))*1))*CELL("contenu",$B$12),0),IFERROR((((COUNTIF(GO15:GO17,"A"))*4)+((COUNTIF(GO15:GO17,"B"))*3)+((COUNTIF(GO15:GO17,"C"))*2)+((COUNTIF(GO15:GO17,"D"))*1))*CELL("contenu",$B$14),0),IFERROR((((COUNTIF(GO19:GO19,"A"))*4)+((COUNTIF(GO19:GO19,"B"))*3)+((COUNTIF(GO19:GO19,"C"))*2)+((COUNTIF(GO19:GO19,"D"))*1))*CELL("contenu",$B$18),0))/IF(SUM(COUNTA(GO5:GO6)*CELL("contenu",$B$4),COUNTA(GO8:GO11)*CELL("contenu",$B$7),COUNTA(GO13:GO13)*CELL("contenu",$B$12),COUNTA(GO15:GO17)*CELL("contenu",$B$14),COUNTA(GO19:GO19)*CELL("contenu",$B$18))=0,1,SUM(COUNTA(GO5:GO6)*CELL("contenu",$B$4),COUNTA(GO8:GO11)*CELL("contenu",$B$7),COUNTA(GO13:GO13)*CELL("contenu",$B$12),COUNTA(GO15:GO17)*CELL("contenu",$B$14),COUNTA(GO19:GO19)*CELL("contenu",$B$18))))</f>
        <v/>
      </c>
      <c r="GP20" s="176"/>
      <c r="GQ20" s="175" t="str">
        <f ca="1">IF(COUNTA(GM20:GO20)-COUNTBLANK(GM20:GO20)=0,"",SUM(GM20:GO20)/(COUNTA(GM20:GO20)-COUNTBLANK(GM20:GO20)))</f>
        <v/>
      </c>
      <c r="GR20" s="182" t="str">
        <f ca="1">IF(COUNTA(GR5:GR19)=0,"",5*SUM(IFERROR((((COUNTIF(GR5:GR6,"A"))*4)+((COUNTIF(GR5:GR6,"B"))*3)+((COUNTIF(GR5:GR6,"C"))*2)+((COUNTIF(GR5:GR6,"D"))*1))*CELL("contenu",$B$4),0),IFERROR((((COUNTIF(GR8:GR11,"A"))*4)+((COUNTIF(GR8:GR11,"B"))*3)+((COUNTIF(GR8:GR11,"C"))*2)+((COUNTIF(GR8:GR11,"D"))*1))*CELL("contenu",$B$7),0),IFERROR((((COUNTIF(GR13:GR13,"A"))*4)+((COUNTIF(GR13:GR13,"B"))*3)+((COUNTIF(GR13:GR13,"C"))*2)+((COUNTIF(GR13:GR13,"D"))*1))*CELL("contenu",$B$12),0),IFERROR((((COUNTIF(GR15:GR17,"A"))*4)+((COUNTIF(GR15:GR17,"B"))*3)+((COUNTIF(GR15:GR17,"C"))*2)+((COUNTIF(GR15:GR17,"D"))*1))*CELL("contenu",$B$14),0),IFERROR((((COUNTIF(GR19:GR19,"A"))*4)+((COUNTIF(GR19:GR19,"B"))*3)+((COUNTIF(GR19:GR19,"C"))*2)+((COUNTIF(GR19:GR19,"D"))*1))*CELL("contenu",$B$18),0))/IF(SUM(COUNTA(GR5:GR6)*CELL("contenu",$B$4),COUNTA(GR8:GR11)*CELL("contenu",$B$7),COUNTA(GR13:GR13)*CELL("contenu",$B$12),COUNTA(GR15:GR17)*CELL("contenu",$B$14),COUNTA(GR19:GR19)*CELL("contenu",$B$18))=0,1,SUM(COUNTA(GR5:GR6)*CELL("contenu",$B$4),COUNTA(GR8:GR11)*CELL("contenu",$B$7),COUNTA(GR13:GR13)*CELL("contenu",$B$12),COUNTA(GR15:GR17)*CELL("contenu",$B$14),COUNTA(GR19:GR19)*CELL("contenu",$B$18))))</f>
        <v/>
      </c>
      <c r="GS20" s="183" t="str">
        <f ca="1">IF(COUNTA(GS5:GS19)=0,"",5*SUM(IFERROR((((COUNTIF(GS5:GS6,"A"))*4)+((COUNTIF(GS5:GS6,"B"))*3)+((COUNTIF(GS5:GS6,"C"))*2)+((COUNTIF(GS5:GS6,"D"))*1))*CELL("contenu",$B$4),0),IFERROR((((COUNTIF(GS8:GS11,"A"))*4)+((COUNTIF(GS8:GS11,"B"))*3)+((COUNTIF(GS8:GS11,"C"))*2)+((COUNTIF(GS8:GS11,"D"))*1))*CELL("contenu",$B$7),0),IFERROR((((COUNTIF(GS13:GS13,"A"))*4)+((COUNTIF(GS13:GS13,"B"))*3)+((COUNTIF(GS13:GS13,"C"))*2)+((COUNTIF(GS13:GS13,"D"))*1))*CELL("contenu",$B$12),0),IFERROR((((COUNTIF(GS15:GS17,"A"))*4)+((COUNTIF(GS15:GS17,"B"))*3)+((COUNTIF(GS15:GS17,"C"))*2)+((COUNTIF(GS15:GS17,"D"))*1))*CELL("contenu",$B$14),0),IFERROR((((COUNTIF(GS19:GS19,"A"))*4)+((COUNTIF(GS19:GS19,"B"))*3)+((COUNTIF(GS19:GS19,"C"))*2)+((COUNTIF(GS19:GS19,"D"))*1))*CELL("contenu",$B$18),0))/IF(SUM(COUNTA(GS5:GS6)*CELL("contenu",$B$4),COUNTA(GS8:GS11)*CELL("contenu",$B$7),COUNTA(GS13:GS13)*CELL("contenu",$B$12),COUNTA(GS15:GS17)*CELL("contenu",$B$14),COUNTA(GS19:GS19)*CELL("contenu",$B$18))=0,1,SUM(COUNTA(GS5:GS6)*CELL("contenu",$B$4),COUNTA(GS8:GS11)*CELL("contenu",$B$7),COUNTA(GS13:GS13)*CELL("contenu",$B$12),COUNTA(GS15:GS17)*CELL("contenu",$B$14),COUNTA(GS19:GS19)*CELL("contenu",$B$18))))</f>
        <v/>
      </c>
      <c r="GT20" s="184" t="str">
        <f ca="1">IF(COUNTA(GT5:GT19)=0,"",5*SUM(IFERROR((((COUNTIF(GT5:GT6,"A"))*4)+((COUNTIF(GT5:GT6,"B"))*3)+((COUNTIF(GT5:GT6,"C"))*2)+((COUNTIF(GT5:GT6,"D"))*1))*CELL("contenu",$B$4),0),IFERROR((((COUNTIF(GT8:GT11,"A"))*4)+((COUNTIF(GT8:GT11,"B"))*3)+((COUNTIF(GT8:GT11,"C"))*2)+((COUNTIF(GT8:GT11,"D"))*1))*CELL("contenu",$B$7),0),IFERROR((((COUNTIF(GT13:GT13,"A"))*4)+((COUNTIF(GT13:GT13,"B"))*3)+((COUNTIF(GT13:GT13,"C"))*2)+((COUNTIF(GT13:GT13,"D"))*1))*CELL("contenu",$B$12),0),IFERROR((((COUNTIF(GT15:GT17,"A"))*4)+((COUNTIF(GT15:GT17,"B"))*3)+((COUNTIF(GT15:GT17,"C"))*2)+((COUNTIF(GT15:GT17,"D"))*1))*CELL("contenu",$B$14),0),IFERROR((((COUNTIF(GT19:GT19,"A"))*4)+((COUNTIF(GT19:GT19,"B"))*3)+((COUNTIF(GT19:GT19,"C"))*2)+((COUNTIF(GT19:GT19,"D"))*1))*CELL("contenu",$B$18),0))/IF(SUM(COUNTA(GT5:GT6)*CELL("contenu",$B$4),COUNTA(GT8:GT11)*CELL("contenu",$B$7),COUNTA(GT13:GT13)*CELL("contenu",$B$12),COUNTA(GT15:GT17)*CELL("contenu",$B$14),COUNTA(GT19:GT19)*CELL("contenu",$B$18))=0,1,SUM(COUNTA(GT5:GT6)*CELL("contenu",$B$4),COUNTA(GT8:GT11)*CELL("contenu",$B$7),COUNTA(GT13:GT13)*CELL("contenu",$B$12),COUNTA(GT15:GT17)*CELL("contenu",$B$14),COUNTA(GT19:GT19)*CELL("contenu",$B$18))))</f>
        <v/>
      </c>
      <c r="GU20" s="176"/>
      <c r="GV20" s="174" t="str">
        <f ca="1">IF(COUNTA(GR20:GT20)-COUNTBLANK(GR20:GT20)=0,"",SUM(GR20:GT20)/(COUNTA(GR20:GT20)-COUNTBLANK(GR20:GT20)))</f>
        <v/>
      </c>
      <c r="GW20" s="103"/>
      <c r="GX20" s="141"/>
      <c r="GY20" s="167">
        <f ca="1">IF(COUNTA(GY5:GY19)=0,"",5*SUM(IFERROR((((COUNTIF(GY5:GY6,"A"))*4)+((COUNTIF(GY5:GY6,"B"))*3)+((COUNTIF(GY5:GY6,"C"))*2)+((COUNTIF(GY5:GY6,"D"))*1))*CELL("contenu",$B$4),0),IFERROR((((COUNTIF(GY8:GY11,"A"))*4)+((COUNTIF(GY8:GY11,"B"))*3)+((COUNTIF(GY8:GY11,"C"))*2)+((COUNTIF(GY8:GY11,"D"))*1))*CELL("contenu",$B$7),0),IFERROR((((COUNTIF(GY13:GY13,"A"))*4)+((COUNTIF(GY13:GY13,"B"))*3)+((COUNTIF(GY13:GY13,"C"))*2)+((COUNTIF(GY13:GY13,"D"))*1))*CELL("contenu",$B$12),0),IFERROR((((COUNTIF(GY15:GY17,"A"))*4)+((COUNTIF(GY15:GY17,"B"))*3)+((COUNTIF(GY15:GY17,"C"))*2)+((COUNTIF(GY15:GY17,"D"))*1))*CELL("contenu",$B$14),0),IFERROR((((COUNTIF(GY19:GY19,"A"))*4)+((COUNTIF(GY19:GY19,"B"))*3)+((COUNTIF(GY19:GY19,"C"))*2)+((COUNTIF(GY19:GY19,"D"))*1))*CELL("contenu",$B$18),0))/IF(SUM(COUNTA(GY5:GY6)*CELL("contenu",$B$4),COUNTA(GY8:GY11)*CELL("contenu",$B$7),COUNTA(GY13:GY13)*CELL("contenu",$B$12),COUNTA(GY15:GY17)*CELL("contenu",$B$14),COUNTA(GY19:GY19)*CELL("contenu",$B$18))=0,1,SUM(COUNTA(GY5:GY6)*CELL("contenu",$B$4),COUNTA(GY8:GY11)*CELL("contenu",$B$7),COUNTA(GY13:GY13)*CELL("contenu",$B$12),COUNTA(GY15:GY17)*CELL("contenu",$B$14),COUNTA(GY19:GY19)*CELL("contenu",$B$18))))</f>
        <v>18.333333333333332</v>
      </c>
      <c r="GZ20" s="168">
        <f ca="1">IF(COUNTA(GZ5:GZ19)=0,"",5*SUM(IFERROR((((COUNTIF(GZ5:GZ6,"A"))*4)+((COUNTIF(GZ5:GZ6,"B"))*3)+((COUNTIF(GZ5:GZ6,"C"))*2)+((COUNTIF(GZ5:GZ6,"D"))*1))*CELL("contenu",$B$4),0),IFERROR((((COUNTIF(GZ8:GZ11,"A"))*4)+((COUNTIF(GZ8:GZ11,"B"))*3)+((COUNTIF(GZ8:GZ11,"C"))*2)+((COUNTIF(GZ8:GZ11,"D"))*1))*CELL("contenu",$B$7),0),IFERROR((((COUNTIF(GZ13:GZ13,"A"))*4)+((COUNTIF(GZ13:GZ13,"B"))*3)+((COUNTIF(GZ13:GZ13,"C"))*2)+((COUNTIF(GZ13:GZ13,"D"))*1))*CELL("contenu",$B$12),0),IFERROR((((COUNTIF(GZ15:GZ17,"A"))*4)+((COUNTIF(GZ15:GZ17,"B"))*3)+((COUNTIF(GZ15:GZ17,"C"))*2)+((COUNTIF(GZ15:GZ17,"D"))*1))*CELL("contenu",$B$14),0),IFERROR((((COUNTIF(GZ19:GZ19,"A"))*4)+((COUNTIF(GZ19:GZ19,"B"))*3)+((COUNTIF(GZ19:GZ19,"C"))*2)+((COUNTIF(GZ19:GZ19,"D"))*1))*CELL("contenu",$B$18),0))/IF(SUM(COUNTA(GZ5:GZ6)*CELL("contenu",$B$4),COUNTA(GZ8:GZ11)*CELL("contenu",$B$7),COUNTA(GZ13:GZ13)*CELL("contenu",$B$12),COUNTA(GZ15:GZ17)*CELL("contenu",$B$14),COUNTA(GZ19:GZ19)*CELL("contenu",$B$18))=0,1,SUM(COUNTA(GZ5:GZ6)*CELL("contenu",$B$4),COUNTA(GZ8:GZ11)*CELL("contenu",$B$7),COUNTA(GZ13:GZ13)*CELL("contenu",$B$12),COUNTA(GZ15:GZ17)*CELL("contenu",$B$14),COUNTA(GZ19:GZ19)*CELL("contenu",$B$18))))</f>
        <v>20</v>
      </c>
      <c r="HA20" s="169" t="str">
        <f ca="1">IF(COUNTA(HA5:HA19)=0,"",5*SUM(IFERROR((((COUNTIF(HA5:HA6,"A"))*4)+((COUNTIF(HA5:HA6,"B"))*3)+((COUNTIF(HA5:HA6,"C"))*2)+((COUNTIF(HA5:HA6,"D"))*1))*CELL("contenu",$B$4),0),IFERROR((((COUNTIF(HA8:HA11,"A"))*4)+((COUNTIF(HA8:HA11,"B"))*3)+((COUNTIF(HA8:HA11,"C"))*2)+((COUNTIF(HA8:HA11,"D"))*1))*CELL("contenu",$B$7),0),IFERROR((((COUNTIF(HA13:HA13,"A"))*4)+((COUNTIF(HA13:HA13,"B"))*3)+((COUNTIF(HA13:HA13,"C"))*2)+((COUNTIF(HA13:HA13,"D"))*1))*CELL("contenu",$B$12),0),IFERROR((((COUNTIF(HA15:HA17,"A"))*4)+((COUNTIF(HA15:HA17,"B"))*3)+((COUNTIF(HA15:HA17,"C"))*2)+((COUNTIF(HA15:HA17,"D"))*1))*CELL("contenu",$B$14),0),IFERROR((((COUNTIF(HA19:HA19,"A"))*4)+((COUNTIF(HA19:HA19,"B"))*3)+((COUNTIF(HA19:HA19,"C"))*2)+((COUNTIF(HA19:HA19,"D"))*1))*CELL("contenu",$B$18),0))/IF(SUM(COUNTA(HA5:HA6)*CELL("contenu",$B$4),COUNTA(HA8:HA11)*CELL("contenu",$B$7),COUNTA(HA13:HA13)*CELL("contenu",$B$12),COUNTA(HA15:HA17)*CELL("contenu",$B$14),COUNTA(HA19:HA19)*CELL("contenu",$B$18))=0,1,SUM(COUNTA(HA5:HA6)*CELL("contenu",$B$4),COUNTA(HA8:HA11)*CELL("contenu",$B$7),COUNTA(HA13:HA13)*CELL("contenu",$B$12),COUNTA(HA15:HA17)*CELL("contenu",$B$14),COUNTA(HA19:HA19)*CELL("contenu",$B$18))))</f>
        <v/>
      </c>
      <c r="HB20" s="116"/>
      <c r="HC20" s="192">
        <f ca="1">IF(COUNTA(GY20:HA20)-COUNTBLANK(GY20:HA20)=0,"",SUM(GY20:HA20)/(COUNTA(GY20:HA20)-COUNTBLANK(GY20:HA20)))</f>
        <v>19.166666666666664</v>
      </c>
      <c r="HD20" s="182" t="str">
        <f ca="1">IF(COUNTA(HD5:HD19)=0,"",5*SUM(IFERROR((((COUNTIF(HD5:HD6,"A"))*4)+((COUNTIF(HD5:HD6,"B"))*3)+((COUNTIF(HD5:HD6,"C"))*2)+((COUNTIF(HD5:HD6,"D"))*1))*CELL("contenu",$B$4),0),IFERROR((((COUNTIF(HD8:HD11,"A"))*4)+((COUNTIF(HD8:HD11,"B"))*3)+((COUNTIF(HD8:HD11,"C"))*2)+((COUNTIF(HD8:HD11,"D"))*1))*CELL("contenu",$B$7),0),IFERROR((((COUNTIF(HD13:HD13,"A"))*4)+((COUNTIF(HD13:HD13,"B"))*3)+((COUNTIF(HD13:HD13,"C"))*2)+((COUNTIF(HD13:HD13,"D"))*1))*CELL("contenu",$B$12),0),IFERROR((((COUNTIF(HD15:HD17,"A"))*4)+((COUNTIF(HD15:HD17,"B"))*3)+((COUNTIF(HD15:HD17,"C"))*2)+((COUNTIF(HD15:HD17,"D"))*1))*CELL("contenu",$B$14),0),IFERROR((((COUNTIF(HD19:HD19,"A"))*4)+((COUNTIF(HD19:HD19,"B"))*3)+((COUNTIF(HD19:HD19,"C"))*2)+((COUNTIF(HD19:HD19,"D"))*1))*CELL("contenu",$B$18),0))/IF(SUM(COUNTA(HD5:HD6)*CELL("contenu",$B$4),COUNTA(HD8:HD11)*CELL("contenu",$B$7),COUNTA(HD13:HD13)*CELL("contenu",$B$12),COUNTA(HD15:HD17)*CELL("contenu",$B$14),COUNTA(HD19:HD19)*CELL("contenu",$B$18))=0,1,SUM(COUNTA(HD5:HD6)*CELL("contenu",$B$4),COUNTA(HD8:HD11)*CELL("contenu",$B$7),COUNTA(HD13:HD13)*CELL("contenu",$B$12),COUNTA(HD15:HD17)*CELL("contenu",$B$14),COUNTA(HD19:HD19)*CELL("contenu",$B$18))))</f>
        <v/>
      </c>
      <c r="HE20" s="183" t="str">
        <f ca="1">IF(COUNTA(HE5:HE19)=0,"",5*SUM(IFERROR((((COUNTIF(HE5:HE6,"A"))*4)+((COUNTIF(HE5:HE6,"B"))*3)+((COUNTIF(HE5:HE6,"C"))*2)+((COUNTIF(HE5:HE6,"D"))*1))*CELL("contenu",$B$4),0),IFERROR((((COUNTIF(HE8:HE11,"A"))*4)+((COUNTIF(HE8:HE11,"B"))*3)+((COUNTIF(HE8:HE11,"C"))*2)+((COUNTIF(HE8:HE11,"D"))*1))*CELL("contenu",$B$7),0),IFERROR((((COUNTIF(HE13:HE13,"A"))*4)+((COUNTIF(HE13:HE13,"B"))*3)+((COUNTIF(HE13:HE13,"C"))*2)+((COUNTIF(HE13:HE13,"D"))*1))*CELL("contenu",$B$12),0),IFERROR((((COUNTIF(HE15:HE17,"A"))*4)+((COUNTIF(HE15:HE17,"B"))*3)+((COUNTIF(HE15:HE17,"C"))*2)+((COUNTIF(HE15:HE17,"D"))*1))*CELL("contenu",$B$14),0),IFERROR((((COUNTIF(HE19:HE19,"A"))*4)+((COUNTIF(HE19:HE19,"B"))*3)+((COUNTIF(HE19:HE19,"C"))*2)+((COUNTIF(HE19:HE19,"D"))*1))*CELL("contenu",$B$18),0))/IF(SUM(COUNTA(HE5:HE6)*CELL("contenu",$B$4),COUNTA(HE8:HE11)*CELL("contenu",$B$7),COUNTA(HE13:HE13)*CELL("contenu",$B$12),COUNTA(HE15:HE17)*CELL("contenu",$B$14),COUNTA(HE19:HE19)*CELL("contenu",$B$18))=0,1,SUM(COUNTA(HE5:HE6)*CELL("contenu",$B$4),COUNTA(HE8:HE11)*CELL("contenu",$B$7),COUNTA(HE13:HE13)*CELL("contenu",$B$12),COUNTA(HE15:HE17)*CELL("contenu",$B$14),COUNTA(HE19:HE19)*CELL("contenu",$B$18))))</f>
        <v/>
      </c>
      <c r="HF20" s="184" t="str">
        <f ca="1">IF(COUNTA(HF5:HF19)=0,"",5*SUM(IFERROR((((COUNTIF(HF5:HF6,"A"))*4)+((COUNTIF(HF5:HF6,"B"))*3)+((COUNTIF(HF5:HF6,"C"))*2)+((COUNTIF(HF5:HF6,"D"))*1))*CELL("contenu",$B$4),0),IFERROR((((COUNTIF(HF8:HF11,"A"))*4)+((COUNTIF(HF8:HF11,"B"))*3)+((COUNTIF(HF8:HF11,"C"))*2)+((COUNTIF(HF8:HF11,"D"))*1))*CELL("contenu",$B$7),0),IFERROR((((COUNTIF(HF13:HF13,"A"))*4)+((COUNTIF(HF13:HF13,"B"))*3)+((COUNTIF(HF13:HF13,"C"))*2)+((COUNTIF(HF13:HF13,"D"))*1))*CELL("contenu",$B$12),0),IFERROR((((COUNTIF(HF15:HF17,"A"))*4)+((COUNTIF(HF15:HF17,"B"))*3)+((COUNTIF(HF15:HF17,"C"))*2)+((COUNTIF(HF15:HF17,"D"))*1))*CELL("contenu",$B$14),0),IFERROR((((COUNTIF(HF19:HF19,"A"))*4)+((COUNTIF(HF19:HF19,"B"))*3)+((COUNTIF(HF19:HF19,"C"))*2)+((COUNTIF(HF19:HF19,"D"))*1))*CELL("contenu",$B$18),0))/IF(SUM(COUNTA(HF5:HF6)*CELL("contenu",$B$4),COUNTA(HF8:HF11)*CELL("contenu",$B$7),COUNTA(HF13:HF13)*CELL("contenu",$B$12),COUNTA(HF15:HF17)*CELL("contenu",$B$14),COUNTA(HF19:HF19)*CELL("contenu",$B$18))=0,1,SUM(COUNTA(HF5:HF6)*CELL("contenu",$B$4),COUNTA(HF8:HF11)*CELL("contenu",$B$7),COUNTA(HF13:HF13)*CELL("contenu",$B$12),COUNTA(HF15:HF17)*CELL("contenu",$B$14),COUNTA(HF19:HF19)*CELL("contenu",$B$18))))</f>
        <v/>
      </c>
      <c r="HG20" s="176"/>
      <c r="HH20" s="175" t="str">
        <f ca="1">IF(COUNTA(HD20:HF20)-COUNTBLANK(HD20:HF20)=0,"",SUM(HD20:HF20)/(COUNTA(HD20:HF20)-COUNTBLANK(HD20:HF20)))</f>
        <v/>
      </c>
      <c r="HI20" s="182" t="str">
        <f ca="1">IF(COUNTA(HI5:HI19)=0,"",5*SUM(IFERROR((((COUNTIF(HI5:HI6,"A"))*4)+((COUNTIF(HI5:HI6,"B"))*3)+((COUNTIF(HI5:HI6,"C"))*2)+((COUNTIF(HI5:HI6,"D"))*1))*CELL("contenu",$B$4),0),IFERROR((((COUNTIF(HI8:HI11,"A"))*4)+((COUNTIF(HI8:HI11,"B"))*3)+((COUNTIF(HI8:HI11,"C"))*2)+((COUNTIF(HI8:HI11,"D"))*1))*CELL("contenu",$B$7),0),IFERROR((((COUNTIF(HI13:HI13,"A"))*4)+((COUNTIF(HI13:HI13,"B"))*3)+((COUNTIF(HI13:HI13,"C"))*2)+((COUNTIF(HI13:HI13,"D"))*1))*CELL("contenu",$B$12),0),IFERROR((((COUNTIF(HI15:HI17,"A"))*4)+((COUNTIF(HI15:HI17,"B"))*3)+((COUNTIF(HI15:HI17,"C"))*2)+((COUNTIF(HI15:HI17,"D"))*1))*CELL("contenu",$B$14),0),IFERROR((((COUNTIF(HI19:HI19,"A"))*4)+((COUNTIF(HI19:HI19,"B"))*3)+((COUNTIF(HI19:HI19,"C"))*2)+((COUNTIF(HI19:HI19,"D"))*1))*CELL("contenu",$B$18),0))/IF(SUM(COUNTA(HI5:HI6)*CELL("contenu",$B$4),COUNTA(HI8:HI11)*CELL("contenu",$B$7),COUNTA(HI13:HI13)*CELL("contenu",$B$12),COUNTA(HI15:HI17)*CELL("contenu",$B$14),COUNTA(HI19:HI19)*CELL("contenu",$B$18))=0,1,SUM(COUNTA(HI5:HI6)*CELL("contenu",$B$4),COUNTA(HI8:HI11)*CELL("contenu",$B$7),COUNTA(HI13:HI13)*CELL("contenu",$B$12),COUNTA(HI15:HI17)*CELL("contenu",$B$14),COUNTA(HI19:HI19)*CELL("contenu",$B$18))))</f>
        <v/>
      </c>
      <c r="HJ20" s="183" t="str">
        <f ca="1">IF(COUNTA(HJ5:HJ19)=0,"",5*SUM(IFERROR((((COUNTIF(HJ5:HJ6,"A"))*4)+((COUNTIF(HJ5:HJ6,"B"))*3)+((COUNTIF(HJ5:HJ6,"C"))*2)+((COUNTIF(HJ5:HJ6,"D"))*1))*CELL("contenu",$B$4),0),IFERROR((((COUNTIF(HJ8:HJ11,"A"))*4)+((COUNTIF(HJ8:HJ11,"B"))*3)+((COUNTIF(HJ8:HJ11,"C"))*2)+((COUNTIF(HJ8:HJ11,"D"))*1))*CELL("contenu",$B$7),0),IFERROR((((COUNTIF(HJ13:HJ13,"A"))*4)+((COUNTIF(HJ13:HJ13,"B"))*3)+((COUNTIF(HJ13:HJ13,"C"))*2)+((COUNTIF(HJ13:HJ13,"D"))*1))*CELL("contenu",$B$12),0),IFERROR((((COUNTIF(HJ15:HJ17,"A"))*4)+((COUNTIF(HJ15:HJ17,"B"))*3)+((COUNTIF(HJ15:HJ17,"C"))*2)+((COUNTIF(HJ15:HJ17,"D"))*1))*CELL("contenu",$B$14),0),IFERROR((((COUNTIF(HJ19:HJ19,"A"))*4)+((COUNTIF(HJ19:HJ19,"B"))*3)+((COUNTIF(HJ19:HJ19,"C"))*2)+((COUNTIF(HJ19:HJ19,"D"))*1))*CELL("contenu",$B$18),0))/IF(SUM(COUNTA(HJ5:HJ6)*CELL("contenu",$B$4),COUNTA(HJ8:HJ11)*CELL("contenu",$B$7),COUNTA(HJ13:HJ13)*CELL("contenu",$B$12),COUNTA(HJ15:HJ17)*CELL("contenu",$B$14),COUNTA(HJ19:HJ19)*CELL("contenu",$B$18))=0,1,SUM(COUNTA(HJ5:HJ6)*CELL("contenu",$B$4),COUNTA(HJ8:HJ11)*CELL("contenu",$B$7),COUNTA(HJ13:HJ13)*CELL("contenu",$B$12),COUNTA(HJ15:HJ17)*CELL("contenu",$B$14),COUNTA(HJ19:HJ19)*CELL("contenu",$B$18))))</f>
        <v/>
      </c>
      <c r="HK20" s="184" t="str">
        <f ca="1">IF(COUNTA(HK5:HK19)=0,"",5*SUM(IFERROR((((COUNTIF(HK5:HK6,"A"))*4)+((COUNTIF(HK5:HK6,"B"))*3)+((COUNTIF(HK5:HK6,"C"))*2)+((COUNTIF(HK5:HK6,"D"))*1))*CELL("contenu",$B$4),0),IFERROR((((COUNTIF(HK8:HK11,"A"))*4)+((COUNTIF(HK8:HK11,"B"))*3)+((COUNTIF(HK8:HK11,"C"))*2)+((COUNTIF(HK8:HK11,"D"))*1))*CELL("contenu",$B$7),0),IFERROR((((COUNTIF(HK13:HK13,"A"))*4)+((COUNTIF(HK13:HK13,"B"))*3)+((COUNTIF(HK13:HK13,"C"))*2)+((COUNTIF(HK13:HK13,"D"))*1))*CELL("contenu",$B$12),0),IFERROR((((COUNTIF(HK15:HK17,"A"))*4)+((COUNTIF(HK15:HK17,"B"))*3)+((COUNTIF(HK15:HK17,"C"))*2)+((COUNTIF(HK15:HK17,"D"))*1))*CELL("contenu",$B$14),0),IFERROR((((COUNTIF(HK19:HK19,"A"))*4)+((COUNTIF(HK19:HK19,"B"))*3)+((COUNTIF(HK19:HK19,"C"))*2)+((COUNTIF(HK19:HK19,"D"))*1))*CELL("contenu",$B$18),0))/IF(SUM(COUNTA(HK5:HK6)*CELL("contenu",$B$4),COUNTA(HK8:HK11)*CELL("contenu",$B$7),COUNTA(HK13:HK13)*CELL("contenu",$B$12),COUNTA(HK15:HK17)*CELL("contenu",$B$14),COUNTA(HK19:HK19)*CELL("contenu",$B$18))=0,1,SUM(COUNTA(HK5:HK6)*CELL("contenu",$B$4),COUNTA(HK8:HK11)*CELL("contenu",$B$7),COUNTA(HK13:HK13)*CELL("contenu",$B$12),COUNTA(HK15:HK17)*CELL("contenu",$B$14),COUNTA(HK19:HK19)*CELL("contenu",$B$18))))</f>
        <v/>
      </c>
      <c r="HL20" s="176"/>
      <c r="HM20" s="174" t="str">
        <f ca="1">IF(COUNTA(HI20:HK20)-COUNTBLANK(HI20:HK20)=0,"",SUM(HI20:HK20)/(COUNTA(HI20:HK20)-COUNTBLANK(HI20:HK20)))</f>
        <v/>
      </c>
      <c r="HN20" s="103"/>
      <c r="HO20" s="141"/>
      <c r="HP20" s="167" t="str">
        <f ca="1">IF(COUNTA(HP5:HP19)=0,"",5*SUM(IFERROR((((COUNTIF(HP5:HP6,"A"))*4)+((COUNTIF(HP5:HP6,"B"))*3)+((COUNTIF(HP5:HP6,"C"))*2)+((COUNTIF(HP5:HP6,"D"))*1))*CELL("contenu",$B$4),0),IFERROR((((COUNTIF(HP8:HP11,"A"))*4)+((COUNTIF(HP8:HP11,"B"))*3)+((COUNTIF(HP8:HP11,"C"))*2)+((COUNTIF(HP8:HP11,"D"))*1))*CELL("contenu",$B$7),0),IFERROR((((COUNTIF(HP13:HP13,"A"))*4)+((COUNTIF(HP13:HP13,"B"))*3)+((COUNTIF(HP13:HP13,"C"))*2)+((COUNTIF(HP13:HP13,"D"))*1))*CELL("contenu",$B$12),0),IFERROR((((COUNTIF(HP15:HP17,"A"))*4)+((COUNTIF(HP15:HP17,"B"))*3)+((COUNTIF(HP15:HP17,"C"))*2)+((COUNTIF(HP15:HP17,"D"))*1))*CELL("contenu",$B$14),0),IFERROR((((COUNTIF(HP19:HP19,"A"))*4)+((COUNTIF(HP19:HP19,"B"))*3)+((COUNTIF(HP19:HP19,"C"))*2)+((COUNTIF(HP19:HP19,"D"))*1))*CELL("contenu",$B$18),0))/IF(SUM(COUNTA(HP5:HP6)*CELL("contenu",$B$4),COUNTA(HP8:HP11)*CELL("contenu",$B$7),COUNTA(HP13:HP13)*CELL("contenu",$B$12),COUNTA(HP15:HP17)*CELL("contenu",$B$14),COUNTA(HP19:HP19)*CELL("contenu",$B$18))=0,1,SUM(COUNTA(HP5:HP6)*CELL("contenu",$B$4),COUNTA(HP8:HP11)*CELL("contenu",$B$7),COUNTA(HP13:HP13)*CELL("contenu",$B$12),COUNTA(HP15:HP17)*CELL("contenu",$B$14),COUNTA(HP19:HP19)*CELL("contenu",$B$18))))</f>
        <v/>
      </c>
      <c r="HQ20" s="168">
        <f ca="1">IF(COUNTA(HQ5:HQ19)=0,"",5*SUM(IFERROR((((COUNTIF(HQ5:HQ6,"A"))*4)+((COUNTIF(HQ5:HQ6,"B"))*3)+((COUNTIF(HQ5:HQ6,"C"))*2)+((COUNTIF(HQ5:HQ6,"D"))*1))*CELL("contenu",$B$4),0),IFERROR((((COUNTIF(HQ8:HQ11,"A"))*4)+((COUNTIF(HQ8:HQ11,"B"))*3)+((COUNTIF(HQ8:HQ11,"C"))*2)+((COUNTIF(HQ8:HQ11,"D"))*1))*CELL("contenu",$B$7),0),IFERROR((((COUNTIF(HQ13:HQ13,"A"))*4)+((COUNTIF(HQ13:HQ13,"B"))*3)+((COUNTIF(HQ13:HQ13,"C"))*2)+((COUNTIF(HQ13:HQ13,"D"))*1))*CELL("contenu",$B$12),0),IFERROR((((COUNTIF(HQ15:HQ17,"A"))*4)+((COUNTIF(HQ15:HQ17,"B"))*3)+((COUNTIF(HQ15:HQ17,"C"))*2)+((COUNTIF(HQ15:HQ17,"D"))*1))*CELL("contenu",$B$14),0),IFERROR((((COUNTIF(HQ19:HQ19,"A"))*4)+((COUNTIF(HQ19:HQ19,"B"))*3)+((COUNTIF(HQ19:HQ19,"C"))*2)+((COUNTIF(HQ19:HQ19,"D"))*1))*CELL("contenu",$B$18),0))/IF(SUM(COUNTA(HQ5:HQ6)*CELL("contenu",$B$4),COUNTA(HQ8:HQ11)*CELL("contenu",$B$7),COUNTA(HQ13:HQ13)*CELL("contenu",$B$12),COUNTA(HQ15:HQ17)*CELL("contenu",$B$14),COUNTA(HQ19:HQ19)*CELL("contenu",$B$18))=0,1,SUM(COUNTA(HQ5:HQ6)*CELL("contenu",$B$4),COUNTA(HQ8:HQ11)*CELL("contenu",$B$7),COUNTA(HQ13:HQ13)*CELL("contenu",$B$12),COUNTA(HQ15:HQ17)*CELL("contenu",$B$14),COUNTA(HQ19:HQ19)*CELL("contenu",$B$18))))</f>
        <v>16.666666666666668</v>
      </c>
      <c r="HR20" s="169" t="str">
        <f ca="1">IF(COUNTA(HR5:HR19)=0,"",5*SUM(IFERROR((((COUNTIF(HR5:HR6,"A"))*4)+((COUNTIF(HR5:HR6,"B"))*3)+((COUNTIF(HR5:HR6,"C"))*2)+((COUNTIF(HR5:HR6,"D"))*1))*CELL("contenu",$B$4),0),IFERROR((((COUNTIF(HR8:HR11,"A"))*4)+((COUNTIF(HR8:HR11,"B"))*3)+((COUNTIF(HR8:HR11,"C"))*2)+((COUNTIF(HR8:HR11,"D"))*1))*CELL("contenu",$B$7),0),IFERROR((((COUNTIF(HR13:HR13,"A"))*4)+((COUNTIF(HR13:HR13,"B"))*3)+((COUNTIF(HR13:HR13,"C"))*2)+((COUNTIF(HR13:HR13,"D"))*1))*CELL("contenu",$B$12),0),IFERROR((((COUNTIF(HR15:HR17,"A"))*4)+((COUNTIF(HR15:HR17,"B"))*3)+((COUNTIF(HR15:HR17,"C"))*2)+((COUNTIF(HR15:HR17,"D"))*1))*CELL("contenu",$B$14),0),IFERROR((((COUNTIF(HR19:HR19,"A"))*4)+((COUNTIF(HR19:HR19,"B"))*3)+((COUNTIF(HR19:HR19,"C"))*2)+((COUNTIF(HR19:HR19,"D"))*1))*CELL("contenu",$B$18),0))/IF(SUM(COUNTA(HR5:HR6)*CELL("contenu",$B$4),COUNTA(HR8:HR11)*CELL("contenu",$B$7),COUNTA(HR13:HR13)*CELL("contenu",$B$12),COUNTA(HR15:HR17)*CELL("contenu",$B$14),COUNTA(HR19:HR19)*CELL("contenu",$B$18))=0,1,SUM(COUNTA(HR5:HR6)*CELL("contenu",$B$4),COUNTA(HR8:HR11)*CELL("contenu",$B$7),COUNTA(HR13:HR13)*CELL("contenu",$B$12),COUNTA(HR15:HR17)*CELL("contenu",$B$14),COUNTA(HR19:HR19)*CELL("contenu",$B$18))))</f>
        <v/>
      </c>
      <c r="HS20" s="116"/>
      <c r="HT20" s="192">
        <f ca="1">IF(COUNTA(HP20:HR20)-COUNTBLANK(HP20:HR20)=0,"",SUM(HP20:HR20)/(COUNTA(HP20:HR20)-COUNTBLANK(HP20:HR20)))</f>
        <v>16.666666666666668</v>
      </c>
      <c r="HU20" s="182" t="str">
        <f ca="1">IF(COUNTA(HU5:HU19)=0,"",5*SUM(IFERROR((((COUNTIF(HU5:HU6,"A"))*4)+((COUNTIF(HU5:HU6,"B"))*3)+((COUNTIF(HU5:HU6,"C"))*2)+((COUNTIF(HU5:HU6,"D"))*1))*CELL("contenu",$B$4),0),IFERROR((((COUNTIF(HU8:HU11,"A"))*4)+((COUNTIF(HU8:HU11,"B"))*3)+((COUNTIF(HU8:HU11,"C"))*2)+((COUNTIF(HU8:HU11,"D"))*1))*CELL("contenu",$B$7),0),IFERROR((((COUNTIF(HU13:HU13,"A"))*4)+((COUNTIF(HU13:HU13,"B"))*3)+((COUNTIF(HU13:HU13,"C"))*2)+((COUNTIF(HU13:HU13,"D"))*1))*CELL("contenu",$B$12),0),IFERROR((((COUNTIF(HU15:HU17,"A"))*4)+((COUNTIF(HU15:HU17,"B"))*3)+((COUNTIF(HU15:HU17,"C"))*2)+((COUNTIF(HU15:HU17,"D"))*1))*CELL("contenu",$B$14),0),IFERROR((((COUNTIF(HU19:HU19,"A"))*4)+((COUNTIF(HU19:HU19,"B"))*3)+((COUNTIF(HU19:HU19,"C"))*2)+((COUNTIF(HU19:HU19,"D"))*1))*CELL("contenu",$B$18),0))/IF(SUM(COUNTA(HU5:HU6)*CELL("contenu",$B$4),COUNTA(HU8:HU11)*CELL("contenu",$B$7),COUNTA(HU13:HU13)*CELL("contenu",$B$12),COUNTA(HU15:HU17)*CELL("contenu",$B$14),COUNTA(HU19:HU19)*CELL("contenu",$B$18))=0,1,SUM(COUNTA(HU5:HU6)*CELL("contenu",$B$4),COUNTA(HU8:HU11)*CELL("contenu",$B$7),COUNTA(HU13:HU13)*CELL("contenu",$B$12),COUNTA(HU15:HU17)*CELL("contenu",$B$14),COUNTA(HU19:HU19)*CELL("contenu",$B$18))))</f>
        <v/>
      </c>
      <c r="HV20" s="183" t="str">
        <f ca="1">IF(COUNTA(HV5:HV19)=0,"",5*SUM(IFERROR((((COUNTIF(HV5:HV6,"A"))*4)+((COUNTIF(HV5:HV6,"B"))*3)+((COUNTIF(HV5:HV6,"C"))*2)+((COUNTIF(HV5:HV6,"D"))*1))*CELL("contenu",$B$4),0),IFERROR((((COUNTIF(HV8:HV11,"A"))*4)+((COUNTIF(HV8:HV11,"B"))*3)+((COUNTIF(HV8:HV11,"C"))*2)+((COUNTIF(HV8:HV11,"D"))*1))*CELL("contenu",$B$7),0),IFERROR((((COUNTIF(HV13:HV13,"A"))*4)+((COUNTIF(HV13:HV13,"B"))*3)+((COUNTIF(HV13:HV13,"C"))*2)+((COUNTIF(HV13:HV13,"D"))*1))*CELL("contenu",$B$12),0),IFERROR((((COUNTIF(HV15:HV17,"A"))*4)+((COUNTIF(HV15:HV17,"B"))*3)+((COUNTIF(HV15:HV17,"C"))*2)+((COUNTIF(HV15:HV17,"D"))*1))*CELL("contenu",$B$14),0),IFERROR((((COUNTIF(HV19:HV19,"A"))*4)+((COUNTIF(HV19:HV19,"B"))*3)+((COUNTIF(HV19:HV19,"C"))*2)+((COUNTIF(HV19:HV19,"D"))*1))*CELL("contenu",$B$18),0))/IF(SUM(COUNTA(HV5:HV6)*CELL("contenu",$B$4),COUNTA(HV8:HV11)*CELL("contenu",$B$7),COUNTA(HV13:HV13)*CELL("contenu",$B$12),COUNTA(HV15:HV17)*CELL("contenu",$B$14),COUNTA(HV19:HV19)*CELL("contenu",$B$18))=0,1,SUM(COUNTA(HV5:HV6)*CELL("contenu",$B$4),COUNTA(HV8:HV11)*CELL("contenu",$B$7),COUNTA(HV13:HV13)*CELL("contenu",$B$12),COUNTA(HV15:HV17)*CELL("contenu",$B$14),COUNTA(HV19:HV19)*CELL("contenu",$B$18))))</f>
        <v/>
      </c>
      <c r="HW20" s="184" t="str">
        <f ca="1">IF(COUNTA(HW5:HW19)=0,"",5*SUM(IFERROR((((COUNTIF(HW5:HW6,"A"))*4)+((COUNTIF(HW5:HW6,"B"))*3)+((COUNTIF(HW5:HW6,"C"))*2)+((COUNTIF(HW5:HW6,"D"))*1))*CELL("contenu",$B$4),0),IFERROR((((COUNTIF(HW8:HW11,"A"))*4)+((COUNTIF(HW8:HW11,"B"))*3)+((COUNTIF(HW8:HW11,"C"))*2)+((COUNTIF(HW8:HW11,"D"))*1))*CELL("contenu",$B$7),0),IFERROR((((COUNTIF(HW13:HW13,"A"))*4)+((COUNTIF(HW13:HW13,"B"))*3)+((COUNTIF(HW13:HW13,"C"))*2)+((COUNTIF(HW13:HW13,"D"))*1))*CELL("contenu",$B$12),0),IFERROR((((COUNTIF(HW15:HW17,"A"))*4)+((COUNTIF(HW15:HW17,"B"))*3)+((COUNTIF(HW15:HW17,"C"))*2)+((COUNTIF(HW15:HW17,"D"))*1))*CELL("contenu",$B$14),0),IFERROR((((COUNTIF(HW19:HW19,"A"))*4)+((COUNTIF(HW19:HW19,"B"))*3)+((COUNTIF(HW19:HW19,"C"))*2)+((COUNTIF(HW19:HW19,"D"))*1))*CELL("contenu",$B$18),0))/IF(SUM(COUNTA(HW5:HW6)*CELL("contenu",$B$4),COUNTA(HW8:HW11)*CELL("contenu",$B$7),COUNTA(HW13:HW13)*CELL("contenu",$B$12),COUNTA(HW15:HW17)*CELL("contenu",$B$14),COUNTA(HW19:HW19)*CELL("contenu",$B$18))=0,1,SUM(COUNTA(HW5:HW6)*CELL("contenu",$B$4),COUNTA(HW8:HW11)*CELL("contenu",$B$7),COUNTA(HW13:HW13)*CELL("contenu",$B$12),COUNTA(HW15:HW17)*CELL("contenu",$B$14),COUNTA(HW19:HW19)*CELL("contenu",$B$18))))</f>
        <v/>
      </c>
      <c r="HX20" s="176"/>
      <c r="HY20" s="175" t="str">
        <f ca="1">IF(COUNTA(HU20:HW20)-COUNTBLANK(HU20:HW20)=0,"",SUM(HU20:HW20)/(COUNTA(HU20:HW20)-COUNTBLANK(HU20:HW20)))</f>
        <v/>
      </c>
      <c r="HZ20" s="182" t="str">
        <f ca="1">IF(COUNTA(HZ5:HZ19)=0,"",5*SUM(IFERROR((((COUNTIF(HZ5:HZ6,"A"))*4)+((COUNTIF(HZ5:HZ6,"B"))*3)+((COUNTIF(HZ5:HZ6,"C"))*2)+((COUNTIF(HZ5:HZ6,"D"))*1))*CELL("contenu",$B$4),0),IFERROR((((COUNTIF(HZ8:HZ11,"A"))*4)+((COUNTIF(HZ8:HZ11,"B"))*3)+((COUNTIF(HZ8:HZ11,"C"))*2)+((COUNTIF(HZ8:HZ11,"D"))*1))*CELL("contenu",$B$7),0),IFERROR((((COUNTIF(HZ13:HZ13,"A"))*4)+((COUNTIF(HZ13:HZ13,"B"))*3)+((COUNTIF(HZ13:HZ13,"C"))*2)+((COUNTIF(HZ13:HZ13,"D"))*1))*CELL("contenu",$B$12),0),IFERROR((((COUNTIF(HZ15:HZ17,"A"))*4)+((COUNTIF(HZ15:HZ17,"B"))*3)+((COUNTIF(HZ15:HZ17,"C"))*2)+((COUNTIF(HZ15:HZ17,"D"))*1))*CELL("contenu",$B$14),0),IFERROR((((COUNTIF(HZ19:HZ19,"A"))*4)+((COUNTIF(HZ19:HZ19,"B"))*3)+((COUNTIF(HZ19:HZ19,"C"))*2)+((COUNTIF(HZ19:HZ19,"D"))*1))*CELL("contenu",$B$18),0))/IF(SUM(COUNTA(HZ5:HZ6)*CELL("contenu",$B$4),COUNTA(HZ8:HZ11)*CELL("contenu",$B$7),COUNTA(HZ13:HZ13)*CELL("contenu",$B$12),COUNTA(HZ15:HZ17)*CELL("contenu",$B$14),COUNTA(HZ19:HZ19)*CELL("contenu",$B$18))=0,1,SUM(COUNTA(HZ5:HZ6)*CELL("contenu",$B$4),COUNTA(HZ8:HZ11)*CELL("contenu",$B$7),COUNTA(HZ13:HZ13)*CELL("contenu",$B$12),COUNTA(HZ15:HZ17)*CELL("contenu",$B$14),COUNTA(HZ19:HZ19)*CELL("contenu",$B$18))))</f>
        <v/>
      </c>
      <c r="IA20" s="183" t="str">
        <f ca="1">IF(COUNTA(IA5:IA19)=0,"",5*SUM(IFERROR((((COUNTIF(IA5:IA6,"A"))*4)+((COUNTIF(IA5:IA6,"B"))*3)+((COUNTIF(IA5:IA6,"C"))*2)+((COUNTIF(IA5:IA6,"D"))*1))*CELL("contenu",$B$4),0),IFERROR((((COUNTIF(IA8:IA11,"A"))*4)+((COUNTIF(IA8:IA11,"B"))*3)+((COUNTIF(IA8:IA11,"C"))*2)+((COUNTIF(IA8:IA11,"D"))*1))*CELL("contenu",$B$7),0),IFERROR((((COUNTIF(IA13:IA13,"A"))*4)+((COUNTIF(IA13:IA13,"B"))*3)+((COUNTIF(IA13:IA13,"C"))*2)+((COUNTIF(IA13:IA13,"D"))*1))*CELL("contenu",$B$12),0),IFERROR((((COUNTIF(IA15:IA17,"A"))*4)+((COUNTIF(IA15:IA17,"B"))*3)+((COUNTIF(IA15:IA17,"C"))*2)+((COUNTIF(IA15:IA17,"D"))*1))*CELL("contenu",$B$14),0),IFERROR((((COUNTIF(IA19:IA19,"A"))*4)+((COUNTIF(IA19:IA19,"B"))*3)+((COUNTIF(IA19:IA19,"C"))*2)+((COUNTIF(IA19:IA19,"D"))*1))*CELL("contenu",$B$18),0))/IF(SUM(COUNTA(IA5:IA6)*CELL("contenu",$B$4),COUNTA(IA8:IA11)*CELL("contenu",$B$7),COUNTA(IA13:IA13)*CELL("contenu",$B$12),COUNTA(IA15:IA17)*CELL("contenu",$B$14),COUNTA(IA19:IA19)*CELL("contenu",$B$18))=0,1,SUM(COUNTA(IA5:IA6)*CELL("contenu",$B$4),COUNTA(IA8:IA11)*CELL("contenu",$B$7),COUNTA(IA13:IA13)*CELL("contenu",$B$12),COUNTA(IA15:IA17)*CELL("contenu",$B$14),COUNTA(IA19:IA19)*CELL("contenu",$B$18))))</f>
        <v/>
      </c>
      <c r="IB20" s="184" t="str">
        <f ca="1">IF(COUNTA(IB5:IB19)=0,"",5*SUM(IFERROR((((COUNTIF(IB5:IB6,"A"))*4)+((COUNTIF(IB5:IB6,"B"))*3)+((COUNTIF(IB5:IB6,"C"))*2)+((COUNTIF(IB5:IB6,"D"))*1))*CELL("contenu",$B$4),0),IFERROR((((COUNTIF(IB8:IB11,"A"))*4)+((COUNTIF(IB8:IB11,"B"))*3)+((COUNTIF(IB8:IB11,"C"))*2)+((COUNTIF(IB8:IB11,"D"))*1))*CELL("contenu",$B$7),0),IFERROR((((COUNTIF(IB13:IB13,"A"))*4)+((COUNTIF(IB13:IB13,"B"))*3)+((COUNTIF(IB13:IB13,"C"))*2)+((COUNTIF(IB13:IB13,"D"))*1))*CELL("contenu",$B$12),0),IFERROR((((COUNTIF(IB15:IB17,"A"))*4)+((COUNTIF(IB15:IB17,"B"))*3)+((COUNTIF(IB15:IB17,"C"))*2)+((COUNTIF(IB15:IB17,"D"))*1))*CELL("contenu",$B$14),0),IFERROR((((COUNTIF(IB19:IB19,"A"))*4)+((COUNTIF(IB19:IB19,"B"))*3)+((COUNTIF(IB19:IB19,"C"))*2)+((COUNTIF(IB19:IB19,"D"))*1))*CELL("contenu",$B$18),0))/IF(SUM(COUNTA(IB5:IB6)*CELL("contenu",$B$4),COUNTA(IB8:IB11)*CELL("contenu",$B$7),COUNTA(IB13:IB13)*CELL("contenu",$B$12),COUNTA(IB15:IB17)*CELL("contenu",$B$14),COUNTA(IB19:IB19)*CELL("contenu",$B$18))=0,1,SUM(COUNTA(IB5:IB6)*CELL("contenu",$B$4),COUNTA(IB8:IB11)*CELL("contenu",$B$7),COUNTA(IB13:IB13)*CELL("contenu",$B$12),COUNTA(IB15:IB17)*CELL("contenu",$B$14),COUNTA(IB19:IB19)*CELL("contenu",$B$18))))</f>
        <v/>
      </c>
      <c r="IC20" s="176"/>
      <c r="ID20" s="174" t="str">
        <f ca="1">IF(COUNTA(HZ20:IB20)-COUNTBLANK(HZ20:IB20)=0,"",SUM(HZ20:IB20)/(COUNTA(HZ20:IB20)-COUNTBLANK(HZ20:IB20)))</f>
        <v/>
      </c>
      <c r="IE20" s="103"/>
      <c r="IF20" s="141"/>
      <c r="IG20" s="167">
        <f ca="1">IF(COUNTA(IG5:IG19)=0,"",5*SUM(IFERROR((((COUNTIF(IG5:IG6,"A"))*4)+((COUNTIF(IG5:IG6,"B"))*3)+((COUNTIF(IG5:IG6,"C"))*2)+((COUNTIF(IG5:IG6,"D"))*1))*CELL("contenu",$B$4),0),IFERROR((((COUNTIF(IG8:IG11,"A"))*4)+((COUNTIF(IG8:IG11,"B"))*3)+((COUNTIF(IG8:IG11,"C"))*2)+((COUNTIF(IG8:IG11,"D"))*1))*CELL("contenu",$B$7),0),IFERROR((((COUNTIF(IG13:IG13,"A"))*4)+((COUNTIF(IG13:IG13,"B"))*3)+((COUNTIF(IG13:IG13,"C"))*2)+((COUNTIF(IG13:IG13,"D"))*1))*CELL("contenu",$B$12),0),IFERROR((((COUNTIF(IG15:IG17,"A"))*4)+((COUNTIF(IG15:IG17,"B"))*3)+((COUNTIF(IG15:IG17,"C"))*2)+((COUNTIF(IG15:IG17,"D"))*1))*CELL("contenu",$B$14),0),IFERROR((((COUNTIF(IG19:IG19,"A"))*4)+((COUNTIF(IG19:IG19,"B"))*3)+((COUNTIF(IG19:IG19,"C"))*2)+((COUNTIF(IG19:IG19,"D"))*1))*CELL("contenu",$B$18),0))/IF(SUM(COUNTA(IG5:IG6)*CELL("contenu",$B$4),COUNTA(IG8:IG11)*CELL("contenu",$B$7),COUNTA(IG13:IG13)*CELL("contenu",$B$12),COUNTA(IG15:IG17)*CELL("contenu",$B$14),COUNTA(IG19:IG19)*CELL("contenu",$B$18))=0,1,SUM(COUNTA(IG5:IG6)*CELL("contenu",$B$4),COUNTA(IG8:IG11)*CELL("contenu",$B$7),COUNTA(IG13:IG13)*CELL("contenu",$B$12),COUNTA(IG15:IG17)*CELL("contenu",$B$14),COUNTA(IG19:IG19)*CELL("contenu",$B$18))))</f>
        <v>18.333333333333332</v>
      </c>
      <c r="IH20" s="168">
        <f ca="1">IF(COUNTA(IH5:IH19)=0,"",5*SUM(IFERROR((((COUNTIF(IH5:IH6,"A"))*4)+((COUNTIF(IH5:IH6,"B"))*3)+((COUNTIF(IH5:IH6,"C"))*2)+((COUNTIF(IH5:IH6,"D"))*1))*CELL("contenu",$B$4),0),IFERROR((((COUNTIF(IH8:IH11,"A"))*4)+((COUNTIF(IH8:IH11,"B"))*3)+((COUNTIF(IH8:IH11,"C"))*2)+((COUNTIF(IH8:IH11,"D"))*1))*CELL("contenu",$B$7),0),IFERROR((((COUNTIF(IH13:IH13,"A"))*4)+((COUNTIF(IH13:IH13,"B"))*3)+((COUNTIF(IH13:IH13,"C"))*2)+((COUNTIF(IH13:IH13,"D"))*1))*CELL("contenu",$B$12),0),IFERROR((((COUNTIF(IH15:IH17,"A"))*4)+((COUNTIF(IH15:IH17,"B"))*3)+((COUNTIF(IH15:IH17,"C"))*2)+((COUNTIF(IH15:IH17,"D"))*1))*CELL("contenu",$B$14),0),IFERROR((((COUNTIF(IH19:IH19,"A"))*4)+((COUNTIF(IH19:IH19,"B"))*3)+((COUNTIF(IH19:IH19,"C"))*2)+((COUNTIF(IH19:IH19,"D"))*1))*CELL("contenu",$B$18),0))/IF(SUM(COUNTA(IH5:IH6)*CELL("contenu",$B$4),COUNTA(IH8:IH11)*CELL("contenu",$B$7),COUNTA(IH13:IH13)*CELL("contenu",$B$12),COUNTA(IH15:IH17)*CELL("contenu",$B$14),COUNTA(IH19:IH19)*CELL("contenu",$B$18))=0,1,SUM(COUNTA(IH5:IH6)*CELL("contenu",$B$4),COUNTA(IH8:IH11)*CELL("contenu",$B$7),COUNTA(IH13:IH13)*CELL("contenu",$B$12),COUNTA(IH15:IH17)*CELL("contenu",$B$14),COUNTA(IH19:IH19)*CELL("contenu",$B$18))))</f>
        <v>16.666666666666668</v>
      </c>
      <c r="II20" s="169" t="str">
        <f ca="1">IF(COUNTA(II5:II19)=0,"",5*SUM(IFERROR((((COUNTIF(II5:II6,"A"))*4)+((COUNTIF(II5:II6,"B"))*3)+((COUNTIF(II5:II6,"C"))*2)+((COUNTIF(II5:II6,"D"))*1))*CELL("contenu",$B$4),0),IFERROR((((COUNTIF(II8:II11,"A"))*4)+((COUNTIF(II8:II11,"B"))*3)+((COUNTIF(II8:II11,"C"))*2)+((COUNTIF(II8:II11,"D"))*1))*CELL("contenu",$B$7),0),IFERROR((((COUNTIF(II13:II13,"A"))*4)+((COUNTIF(II13:II13,"B"))*3)+((COUNTIF(II13:II13,"C"))*2)+((COUNTIF(II13:II13,"D"))*1))*CELL("contenu",$B$12),0),IFERROR((((COUNTIF(II15:II17,"A"))*4)+((COUNTIF(II15:II17,"B"))*3)+((COUNTIF(II15:II17,"C"))*2)+((COUNTIF(II15:II17,"D"))*1))*CELL("contenu",$B$14),0),IFERROR((((COUNTIF(II19:II19,"A"))*4)+((COUNTIF(II19:II19,"B"))*3)+((COUNTIF(II19:II19,"C"))*2)+((COUNTIF(II19:II19,"D"))*1))*CELL("contenu",$B$18),0))/IF(SUM(COUNTA(II5:II6)*CELL("contenu",$B$4),COUNTA(II8:II11)*CELL("contenu",$B$7),COUNTA(II13:II13)*CELL("contenu",$B$12),COUNTA(II15:II17)*CELL("contenu",$B$14),COUNTA(II19:II19)*CELL("contenu",$B$18))=0,1,SUM(COUNTA(II5:II6)*CELL("contenu",$B$4),COUNTA(II8:II11)*CELL("contenu",$B$7),COUNTA(II13:II13)*CELL("contenu",$B$12),COUNTA(II15:II17)*CELL("contenu",$B$14),COUNTA(II19:II19)*CELL("contenu",$B$18))))</f>
        <v/>
      </c>
      <c r="IJ20" s="116"/>
      <c r="IK20" s="192">
        <f ca="1">IF(COUNTA(IG20:II20)-COUNTBLANK(IG20:II20)=0,"",SUM(IG20:II20)/(COUNTA(IG20:II20)-COUNTBLANK(IG20:II20)))</f>
        <v>17.5</v>
      </c>
      <c r="IL20" s="182" t="str">
        <f ca="1">IF(COUNTA(IL5:IL19)=0,"",5*SUM(IFERROR((((COUNTIF(IL5:IL6,"A"))*4)+((COUNTIF(IL5:IL6,"B"))*3)+((COUNTIF(IL5:IL6,"C"))*2)+((COUNTIF(IL5:IL6,"D"))*1))*CELL("contenu",$B$4),0),IFERROR((((COUNTIF(IL8:IL11,"A"))*4)+((COUNTIF(IL8:IL11,"B"))*3)+((COUNTIF(IL8:IL11,"C"))*2)+((COUNTIF(IL8:IL11,"D"))*1))*CELL("contenu",$B$7),0),IFERROR((((COUNTIF(IL13:IL13,"A"))*4)+((COUNTIF(IL13:IL13,"B"))*3)+((COUNTIF(IL13:IL13,"C"))*2)+((COUNTIF(IL13:IL13,"D"))*1))*CELL("contenu",$B$12),0),IFERROR((((COUNTIF(IL15:IL17,"A"))*4)+((COUNTIF(IL15:IL17,"B"))*3)+((COUNTIF(IL15:IL17,"C"))*2)+((COUNTIF(IL15:IL17,"D"))*1))*CELL("contenu",$B$14),0),IFERROR((((COUNTIF(IL19:IL19,"A"))*4)+((COUNTIF(IL19:IL19,"B"))*3)+((COUNTIF(IL19:IL19,"C"))*2)+((COUNTIF(IL19:IL19,"D"))*1))*CELL("contenu",$B$18),0))/IF(SUM(COUNTA(IL5:IL6)*CELL("contenu",$B$4),COUNTA(IL8:IL11)*CELL("contenu",$B$7),COUNTA(IL13:IL13)*CELL("contenu",$B$12),COUNTA(IL15:IL17)*CELL("contenu",$B$14),COUNTA(IL19:IL19)*CELL("contenu",$B$18))=0,1,SUM(COUNTA(IL5:IL6)*CELL("contenu",$B$4),COUNTA(IL8:IL11)*CELL("contenu",$B$7),COUNTA(IL13:IL13)*CELL("contenu",$B$12),COUNTA(IL15:IL17)*CELL("contenu",$B$14),COUNTA(IL19:IL19)*CELL("contenu",$B$18))))</f>
        <v/>
      </c>
      <c r="IM20" s="183" t="str">
        <f ca="1">IF(COUNTA(IM5:IM19)=0,"",5*SUM(IFERROR((((COUNTIF(IM5:IM6,"A"))*4)+((COUNTIF(IM5:IM6,"B"))*3)+((COUNTIF(IM5:IM6,"C"))*2)+((COUNTIF(IM5:IM6,"D"))*1))*CELL("contenu",$B$4),0),IFERROR((((COUNTIF(IM8:IM11,"A"))*4)+((COUNTIF(IM8:IM11,"B"))*3)+((COUNTIF(IM8:IM11,"C"))*2)+((COUNTIF(IM8:IM11,"D"))*1))*CELL("contenu",$B$7),0),IFERROR((((COUNTIF(IM13:IM13,"A"))*4)+((COUNTIF(IM13:IM13,"B"))*3)+((COUNTIF(IM13:IM13,"C"))*2)+((COUNTIF(IM13:IM13,"D"))*1))*CELL("contenu",$B$12),0),IFERROR((((COUNTIF(IM15:IM17,"A"))*4)+((COUNTIF(IM15:IM17,"B"))*3)+((COUNTIF(IM15:IM17,"C"))*2)+((COUNTIF(IM15:IM17,"D"))*1))*CELL("contenu",$B$14),0),IFERROR((((COUNTIF(IM19:IM19,"A"))*4)+((COUNTIF(IM19:IM19,"B"))*3)+((COUNTIF(IM19:IM19,"C"))*2)+((COUNTIF(IM19:IM19,"D"))*1))*CELL("contenu",$B$18),0))/IF(SUM(COUNTA(IM5:IM6)*CELL("contenu",$B$4),COUNTA(IM8:IM11)*CELL("contenu",$B$7),COUNTA(IM13:IM13)*CELL("contenu",$B$12),COUNTA(IM15:IM17)*CELL("contenu",$B$14),COUNTA(IM19:IM19)*CELL("contenu",$B$18))=0,1,SUM(COUNTA(IM5:IM6)*CELL("contenu",$B$4),COUNTA(IM8:IM11)*CELL("contenu",$B$7),COUNTA(IM13:IM13)*CELL("contenu",$B$12),COUNTA(IM15:IM17)*CELL("contenu",$B$14),COUNTA(IM19:IM19)*CELL("contenu",$B$18))))</f>
        <v/>
      </c>
      <c r="IN20" s="184" t="str">
        <f ca="1">IF(COUNTA(IN5:IN19)=0,"",5*SUM(IFERROR((((COUNTIF(IN5:IN6,"A"))*4)+((COUNTIF(IN5:IN6,"B"))*3)+((COUNTIF(IN5:IN6,"C"))*2)+((COUNTIF(IN5:IN6,"D"))*1))*CELL("contenu",$B$4),0),IFERROR((((COUNTIF(IN8:IN11,"A"))*4)+((COUNTIF(IN8:IN11,"B"))*3)+((COUNTIF(IN8:IN11,"C"))*2)+((COUNTIF(IN8:IN11,"D"))*1))*CELL("contenu",$B$7),0),IFERROR((((COUNTIF(IN13:IN13,"A"))*4)+((COUNTIF(IN13:IN13,"B"))*3)+((COUNTIF(IN13:IN13,"C"))*2)+((COUNTIF(IN13:IN13,"D"))*1))*CELL("contenu",$B$12),0),IFERROR((((COUNTIF(IN15:IN17,"A"))*4)+((COUNTIF(IN15:IN17,"B"))*3)+((COUNTIF(IN15:IN17,"C"))*2)+((COUNTIF(IN15:IN17,"D"))*1))*CELL("contenu",$B$14),0),IFERROR((((COUNTIF(IN19:IN19,"A"))*4)+((COUNTIF(IN19:IN19,"B"))*3)+((COUNTIF(IN19:IN19,"C"))*2)+((COUNTIF(IN19:IN19,"D"))*1))*CELL("contenu",$B$18),0))/IF(SUM(COUNTA(IN5:IN6)*CELL("contenu",$B$4),COUNTA(IN8:IN11)*CELL("contenu",$B$7),COUNTA(IN13:IN13)*CELL("contenu",$B$12),COUNTA(IN15:IN17)*CELL("contenu",$B$14),COUNTA(IN19:IN19)*CELL("contenu",$B$18))=0,1,SUM(COUNTA(IN5:IN6)*CELL("contenu",$B$4),COUNTA(IN8:IN11)*CELL("contenu",$B$7),COUNTA(IN13:IN13)*CELL("contenu",$B$12),COUNTA(IN15:IN17)*CELL("contenu",$B$14),COUNTA(IN19:IN19)*CELL("contenu",$B$18))))</f>
        <v/>
      </c>
      <c r="IO20" s="176"/>
      <c r="IP20" s="175" t="str">
        <f ca="1">IF(COUNTA(IL20:IN20)-COUNTBLANK(IL20:IN20)=0,"",SUM(IL20:IN20)/(COUNTA(IL20:IN20)-COUNTBLANK(IL20:IN20)))</f>
        <v/>
      </c>
      <c r="IQ20" s="182" t="str">
        <f ca="1">IF(COUNTA(IQ5:IQ19)=0,"",5*SUM(IFERROR((((COUNTIF(IQ5:IQ6,"A"))*4)+((COUNTIF(IQ5:IQ6,"B"))*3)+((COUNTIF(IQ5:IQ6,"C"))*2)+((COUNTIF(IQ5:IQ6,"D"))*1))*CELL("contenu",$B$4),0),IFERROR((((COUNTIF(IQ8:IQ11,"A"))*4)+((COUNTIF(IQ8:IQ11,"B"))*3)+((COUNTIF(IQ8:IQ11,"C"))*2)+((COUNTIF(IQ8:IQ11,"D"))*1))*CELL("contenu",$B$7),0),IFERROR((((COUNTIF(IQ13:IQ13,"A"))*4)+((COUNTIF(IQ13:IQ13,"B"))*3)+((COUNTIF(IQ13:IQ13,"C"))*2)+((COUNTIF(IQ13:IQ13,"D"))*1))*CELL("contenu",$B$12),0),IFERROR((((COUNTIF(IQ15:IQ17,"A"))*4)+((COUNTIF(IQ15:IQ17,"B"))*3)+((COUNTIF(IQ15:IQ17,"C"))*2)+((COUNTIF(IQ15:IQ17,"D"))*1))*CELL("contenu",$B$14),0),IFERROR((((COUNTIF(IQ19:IQ19,"A"))*4)+((COUNTIF(IQ19:IQ19,"B"))*3)+((COUNTIF(IQ19:IQ19,"C"))*2)+((COUNTIF(IQ19:IQ19,"D"))*1))*CELL("contenu",$B$18),0))/IF(SUM(COUNTA(IQ5:IQ6)*CELL("contenu",$B$4),COUNTA(IQ8:IQ11)*CELL("contenu",$B$7),COUNTA(IQ13:IQ13)*CELL("contenu",$B$12),COUNTA(IQ15:IQ17)*CELL("contenu",$B$14),COUNTA(IQ19:IQ19)*CELL("contenu",$B$18))=0,1,SUM(COUNTA(IQ5:IQ6)*CELL("contenu",$B$4),COUNTA(IQ8:IQ11)*CELL("contenu",$B$7),COUNTA(IQ13:IQ13)*CELL("contenu",$B$12),COUNTA(IQ15:IQ17)*CELL("contenu",$B$14),COUNTA(IQ19:IQ19)*CELL("contenu",$B$18))))</f>
        <v/>
      </c>
      <c r="IR20" s="183" t="str">
        <f ca="1">IF(COUNTA(IR5:IR19)=0,"",5*SUM(IFERROR((((COUNTIF(IR5:IR6,"A"))*4)+((COUNTIF(IR5:IR6,"B"))*3)+((COUNTIF(IR5:IR6,"C"))*2)+((COUNTIF(IR5:IR6,"D"))*1))*CELL("contenu",$B$4),0),IFERROR((((COUNTIF(IR8:IR11,"A"))*4)+((COUNTIF(IR8:IR11,"B"))*3)+((COUNTIF(IR8:IR11,"C"))*2)+((COUNTIF(IR8:IR11,"D"))*1))*CELL("contenu",$B$7),0),IFERROR((((COUNTIF(IR13:IR13,"A"))*4)+((COUNTIF(IR13:IR13,"B"))*3)+((COUNTIF(IR13:IR13,"C"))*2)+((COUNTIF(IR13:IR13,"D"))*1))*CELL("contenu",$B$12),0),IFERROR((((COUNTIF(IR15:IR17,"A"))*4)+((COUNTIF(IR15:IR17,"B"))*3)+((COUNTIF(IR15:IR17,"C"))*2)+((COUNTIF(IR15:IR17,"D"))*1))*CELL("contenu",$B$14),0),IFERROR((((COUNTIF(IR19:IR19,"A"))*4)+((COUNTIF(IR19:IR19,"B"))*3)+((COUNTIF(IR19:IR19,"C"))*2)+((COUNTIF(IR19:IR19,"D"))*1))*CELL("contenu",$B$18),0))/IF(SUM(COUNTA(IR5:IR6)*CELL("contenu",$B$4),COUNTA(IR8:IR11)*CELL("contenu",$B$7),COUNTA(IR13:IR13)*CELL("contenu",$B$12),COUNTA(IR15:IR17)*CELL("contenu",$B$14),COUNTA(IR19:IR19)*CELL("contenu",$B$18))=0,1,SUM(COUNTA(IR5:IR6)*CELL("contenu",$B$4),COUNTA(IR8:IR11)*CELL("contenu",$B$7),COUNTA(IR13:IR13)*CELL("contenu",$B$12),COUNTA(IR15:IR17)*CELL("contenu",$B$14),COUNTA(IR19:IR19)*CELL("contenu",$B$18))))</f>
        <v/>
      </c>
      <c r="IS20" s="184" t="str">
        <f ca="1">IF(COUNTA(IS5:IS19)=0,"",5*SUM(IFERROR((((COUNTIF(IS5:IS6,"A"))*4)+((COUNTIF(IS5:IS6,"B"))*3)+((COUNTIF(IS5:IS6,"C"))*2)+((COUNTIF(IS5:IS6,"D"))*1))*CELL("contenu",$B$4),0),IFERROR((((COUNTIF(IS8:IS11,"A"))*4)+((COUNTIF(IS8:IS11,"B"))*3)+((COUNTIF(IS8:IS11,"C"))*2)+((COUNTIF(IS8:IS11,"D"))*1))*CELL("contenu",$B$7),0),IFERROR((((COUNTIF(IS13:IS13,"A"))*4)+((COUNTIF(IS13:IS13,"B"))*3)+((COUNTIF(IS13:IS13,"C"))*2)+((COUNTIF(IS13:IS13,"D"))*1))*CELL("contenu",$B$12),0),IFERROR((((COUNTIF(IS15:IS17,"A"))*4)+((COUNTIF(IS15:IS17,"B"))*3)+((COUNTIF(IS15:IS17,"C"))*2)+((COUNTIF(IS15:IS17,"D"))*1))*CELL("contenu",$B$14),0),IFERROR((((COUNTIF(IS19:IS19,"A"))*4)+((COUNTIF(IS19:IS19,"B"))*3)+((COUNTIF(IS19:IS19,"C"))*2)+((COUNTIF(IS19:IS19,"D"))*1))*CELL("contenu",$B$18),0))/IF(SUM(COUNTA(IS5:IS6)*CELL("contenu",$B$4),COUNTA(IS8:IS11)*CELL("contenu",$B$7),COUNTA(IS13:IS13)*CELL("contenu",$B$12),COUNTA(IS15:IS17)*CELL("contenu",$B$14),COUNTA(IS19:IS19)*CELL("contenu",$B$18))=0,1,SUM(COUNTA(IS5:IS6)*CELL("contenu",$B$4),COUNTA(IS8:IS11)*CELL("contenu",$B$7),COUNTA(IS13:IS13)*CELL("contenu",$B$12),COUNTA(IS15:IS17)*CELL("contenu",$B$14),COUNTA(IS19:IS19)*CELL("contenu",$B$18))))</f>
        <v/>
      </c>
      <c r="IT20" s="176"/>
      <c r="IU20" s="174" t="str">
        <f ca="1">IF(COUNTA(IQ20:IS20)-COUNTBLANK(IQ20:IS20)=0,"",SUM(IQ20:IS20)/(COUNTA(IQ20:IS20)-COUNTBLANK(IQ20:IS20)))</f>
        <v/>
      </c>
      <c r="IV20" s="103"/>
      <c r="IW20" s="141"/>
      <c r="IX20" s="167">
        <f ca="1">IF(COUNTA(IX5:IX19)=0,"",5*SUM(IFERROR((((COUNTIF(IX5:IX6,"A"))*4)+((COUNTIF(IX5:IX6,"B"))*3)+((COUNTIF(IX5:IX6,"C"))*2)+((COUNTIF(IX5:IX6,"D"))*1))*CELL("contenu",$B$4),0),IFERROR((((COUNTIF(IX8:IX11,"A"))*4)+((COUNTIF(IX8:IX11,"B"))*3)+((COUNTIF(IX8:IX11,"C"))*2)+((COUNTIF(IX8:IX11,"D"))*1))*CELL("contenu",$B$7),0),IFERROR((((COUNTIF(IX13:IX13,"A"))*4)+((COUNTIF(IX13:IX13,"B"))*3)+((COUNTIF(IX13:IX13,"C"))*2)+((COUNTIF(IX13:IX13,"D"))*1))*CELL("contenu",$B$12),0),IFERROR((((COUNTIF(IX15:IX17,"A"))*4)+((COUNTIF(IX15:IX17,"B"))*3)+((COUNTIF(IX15:IX17,"C"))*2)+((COUNTIF(IX15:IX17,"D"))*1))*CELL("contenu",$B$14),0),IFERROR((((COUNTIF(IX19:IX19,"A"))*4)+((COUNTIF(IX19:IX19,"B"))*3)+((COUNTIF(IX19:IX19,"C"))*2)+((COUNTIF(IX19:IX19,"D"))*1))*CELL("contenu",$B$18),0))/IF(SUM(COUNTA(IX5:IX6)*CELL("contenu",$B$4),COUNTA(IX8:IX11)*CELL("contenu",$B$7),COUNTA(IX13:IX13)*CELL("contenu",$B$12),COUNTA(IX15:IX17)*CELL("contenu",$B$14),COUNTA(IX19:IX19)*CELL("contenu",$B$18))=0,1,SUM(COUNTA(IX5:IX6)*CELL("contenu",$B$4),COUNTA(IX8:IX11)*CELL("contenu",$B$7),COUNTA(IX13:IX13)*CELL("contenu",$B$12),COUNTA(IX15:IX17)*CELL("contenu",$B$14),COUNTA(IX19:IX19)*CELL("contenu",$B$18))))</f>
        <v>18.333333333333332</v>
      </c>
      <c r="IY20" s="168">
        <f ca="1">IF(COUNTA(IY5:IY19)=0,"",5*SUM(IFERROR((((COUNTIF(IY5:IY6,"A"))*4)+((COUNTIF(IY5:IY6,"B"))*3)+((COUNTIF(IY5:IY6,"C"))*2)+((COUNTIF(IY5:IY6,"D"))*1))*CELL("contenu",$B$4),0),IFERROR((((COUNTIF(IY8:IY11,"A"))*4)+((COUNTIF(IY8:IY11,"B"))*3)+((COUNTIF(IY8:IY11,"C"))*2)+((COUNTIF(IY8:IY11,"D"))*1))*CELL("contenu",$B$7),0),IFERROR((((COUNTIF(IY13:IY13,"A"))*4)+((COUNTIF(IY13:IY13,"B"))*3)+((COUNTIF(IY13:IY13,"C"))*2)+((COUNTIF(IY13:IY13,"D"))*1))*CELL("contenu",$B$12),0),IFERROR((((COUNTIF(IY15:IY17,"A"))*4)+((COUNTIF(IY15:IY17,"B"))*3)+((COUNTIF(IY15:IY17,"C"))*2)+((COUNTIF(IY15:IY17,"D"))*1))*CELL("contenu",$B$14),0),IFERROR((((COUNTIF(IY19:IY19,"A"))*4)+((COUNTIF(IY19:IY19,"B"))*3)+((COUNTIF(IY19:IY19,"C"))*2)+((COUNTIF(IY19:IY19,"D"))*1))*CELL("contenu",$B$18),0))/IF(SUM(COUNTA(IY5:IY6)*CELL("contenu",$B$4),COUNTA(IY8:IY11)*CELL("contenu",$B$7),COUNTA(IY13:IY13)*CELL("contenu",$B$12),COUNTA(IY15:IY17)*CELL("contenu",$B$14),COUNTA(IY19:IY19)*CELL("contenu",$B$18))=0,1,SUM(COUNTA(IY5:IY6)*CELL("contenu",$B$4),COUNTA(IY8:IY11)*CELL("contenu",$B$7),COUNTA(IY13:IY13)*CELL("contenu",$B$12),COUNTA(IY15:IY17)*CELL("contenu",$B$14),COUNTA(IY19:IY19)*CELL("contenu",$B$18))))</f>
        <v>20</v>
      </c>
      <c r="IZ20" s="169" t="str">
        <f ca="1">IF(COUNTA(IZ5:IZ19)=0,"",5*SUM(IFERROR((((COUNTIF(IZ5:IZ6,"A"))*4)+((COUNTIF(IZ5:IZ6,"B"))*3)+((COUNTIF(IZ5:IZ6,"C"))*2)+((COUNTIF(IZ5:IZ6,"D"))*1))*CELL("contenu",$B$4),0),IFERROR((((COUNTIF(IZ8:IZ11,"A"))*4)+((COUNTIF(IZ8:IZ11,"B"))*3)+((COUNTIF(IZ8:IZ11,"C"))*2)+((COUNTIF(IZ8:IZ11,"D"))*1))*CELL("contenu",$B$7),0),IFERROR((((COUNTIF(IZ13:IZ13,"A"))*4)+((COUNTIF(IZ13:IZ13,"B"))*3)+((COUNTIF(IZ13:IZ13,"C"))*2)+((COUNTIF(IZ13:IZ13,"D"))*1))*CELL("contenu",$B$12),0),IFERROR((((COUNTIF(IZ15:IZ17,"A"))*4)+((COUNTIF(IZ15:IZ17,"B"))*3)+((COUNTIF(IZ15:IZ17,"C"))*2)+((COUNTIF(IZ15:IZ17,"D"))*1))*CELL("contenu",$B$14),0),IFERROR((((COUNTIF(IZ19:IZ19,"A"))*4)+((COUNTIF(IZ19:IZ19,"B"))*3)+((COUNTIF(IZ19:IZ19,"C"))*2)+((COUNTIF(IZ19:IZ19,"D"))*1))*CELL("contenu",$B$18),0))/IF(SUM(COUNTA(IZ5:IZ6)*CELL("contenu",$B$4),COUNTA(IZ8:IZ11)*CELL("contenu",$B$7),COUNTA(IZ13:IZ13)*CELL("contenu",$B$12),COUNTA(IZ15:IZ17)*CELL("contenu",$B$14),COUNTA(IZ19:IZ19)*CELL("contenu",$B$18))=0,1,SUM(COUNTA(IZ5:IZ6)*CELL("contenu",$B$4),COUNTA(IZ8:IZ11)*CELL("contenu",$B$7),COUNTA(IZ13:IZ13)*CELL("contenu",$B$12),COUNTA(IZ15:IZ17)*CELL("contenu",$B$14),COUNTA(IZ19:IZ19)*CELL("contenu",$B$18))))</f>
        <v/>
      </c>
      <c r="JA20" s="116"/>
      <c r="JB20" s="192">
        <f ca="1">IF(COUNTA(IX20:IZ20)-COUNTBLANK(IX20:IZ20)=0,"",SUM(IX20:IZ20)/(COUNTA(IX20:IZ20)-COUNTBLANK(IX20:IZ20)))</f>
        <v>19.166666666666664</v>
      </c>
      <c r="JC20" s="182" t="str">
        <f ca="1">IF(COUNTA(JC5:JC19)=0,"",5*SUM(IFERROR((((COUNTIF(JC5:JC6,"A"))*4)+((COUNTIF(JC5:JC6,"B"))*3)+((COUNTIF(JC5:JC6,"C"))*2)+((COUNTIF(JC5:JC6,"D"))*1))*CELL("contenu",$B$4),0),IFERROR((((COUNTIF(JC8:JC11,"A"))*4)+((COUNTIF(JC8:JC11,"B"))*3)+((COUNTIF(JC8:JC11,"C"))*2)+((COUNTIF(JC8:JC11,"D"))*1))*CELL("contenu",$B$7),0),IFERROR((((COUNTIF(JC13:JC13,"A"))*4)+((COUNTIF(JC13:JC13,"B"))*3)+((COUNTIF(JC13:JC13,"C"))*2)+((COUNTIF(JC13:JC13,"D"))*1))*CELL("contenu",$B$12),0),IFERROR((((COUNTIF(JC15:JC17,"A"))*4)+((COUNTIF(JC15:JC17,"B"))*3)+((COUNTIF(JC15:JC17,"C"))*2)+((COUNTIF(JC15:JC17,"D"))*1))*CELL("contenu",$B$14),0),IFERROR((((COUNTIF(JC19:JC19,"A"))*4)+((COUNTIF(JC19:JC19,"B"))*3)+((COUNTIF(JC19:JC19,"C"))*2)+((COUNTIF(JC19:JC19,"D"))*1))*CELL("contenu",$B$18),0))/IF(SUM(COUNTA(JC5:JC6)*CELL("contenu",$B$4),COUNTA(JC8:JC11)*CELL("contenu",$B$7),COUNTA(JC13:JC13)*CELL("contenu",$B$12),COUNTA(JC15:JC17)*CELL("contenu",$B$14),COUNTA(JC19:JC19)*CELL("contenu",$B$18))=0,1,SUM(COUNTA(JC5:JC6)*CELL("contenu",$B$4),COUNTA(JC8:JC11)*CELL("contenu",$B$7),COUNTA(JC13:JC13)*CELL("contenu",$B$12),COUNTA(JC15:JC17)*CELL("contenu",$B$14),COUNTA(JC19:JC19)*CELL("contenu",$B$18))))</f>
        <v/>
      </c>
      <c r="JD20" s="183" t="str">
        <f ca="1">IF(COUNTA(JD5:JD19)=0,"",5*SUM(IFERROR((((COUNTIF(JD5:JD6,"A"))*4)+((COUNTIF(JD5:JD6,"B"))*3)+((COUNTIF(JD5:JD6,"C"))*2)+((COUNTIF(JD5:JD6,"D"))*1))*CELL("contenu",$B$4),0),IFERROR((((COUNTIF(JD8:JD11,"A"))*4)+((COUNTIF(JD8:JD11,"B"))*3)+((COUNTIF(JD8:JD11,"C"))*2)+((COUNTIF(JD8:JD11,"D"))*1))*CELL("contenu",$B$7),0),IFERROR((((COUNTIF(JD13:JD13,"A"))*4)+((COUNTIF(JD13:JD13,"B"))*3)+((COUNTIF(JD13:JD13,"C"))*2)+((COUNTIF(JD13:JD13,"D"))*1))*CELL("contenu",$B$12),0),IFERROR((((COUNTIF(JD15:JD17,"A"))*4)+((COUNTIF(JD15:JD17,"B"))*3)+((COUNTIF(JD15:JD17,"C"))*2)+((COUNTIF(JD15:JD17,"D"))*1))*CELL("contenu",$B$14),0),IFERROR((((COUNTIF(JD19:JD19,"A"))*4)+((COUNTIF(JD19:JD19,"B"))*3)+((COUNTIF(JD19:JD19,"C"))*2)+((COUNTIF(JD19:JD19,"D"))*1))*CELL("contenu",$B$18),0))/IF(SUM(COUNTA(JD5:JD6)*CELL("contenu",$B$4),COUNTA(JD8:JD11)*CELL("contenu",$B$7),COUNTA(JD13:JD13)*CELL("contenu",$B$12),COUNTA(JD15:JD17)*CELL("contenu",$B$14),COUNTA(JD19:JD19)*CELL("contenu",$B$18))=0,1,SUM(COUNTA(JD5:JD6)*CELL("contenu",$B$4),COUNTA(JD8:JD11)*CELL("contenu",$B$7),COUNTA(JD13:JD13)*CELL("contenu",$B$12),COUNTA(JD15:JD17)*CELL("contenu",$B$14),COUNTA(JD19:JD19)*CELL("contenu",$B$18))))</f>
        <v/>
      </c>
      <c r="JE20" s="184" t="str">
        <f ca="1">IF(COUNTA(JE5:JE19)=0,"",5*SUM(IFERROR((((COUNTIF(JE5:JE6,"A"))*4)+((COUNTIF(JE5:JE6,"B"))*3)+((COUNTIF(JE5:JE6,"C"))*2)+((COUNTIF(JE5:JE6,"D"))*1))*CELL("contenu",$B$4),0),IFERROR((((COUNTIF(JE8:JE11,"A"))*4)+((COUNTIF(JE8:JE11,"B"))*3)+((COUNTIF(JE8:JE11,"C"))*2)+((COUNTIF(JE8:JE11,"D"))*1))*CELL("contenu",$B$7),0),IFERROR((((COUNTIF(JE13:JE13,"A"))*4)+((COUNTIF(JE13:JE13,"B"))*3)+((COUNTIF(JE13:JE13,"C"))*2)+((COUNTIF(JE13:JE13,"D"))*1))*CELL("contenu",$B$12),0),IFERROR((((COUNTIF(JE15:JE17,"A"))*4)+((COUNTIF(JE15:JE17,"B"))*3)+((COUNTIF(JE15:JE17,"C"))*2)+((COUNTIF(JE15:JE17,"D"))*1))*CELL("contenu",$B$14),0),IFERROR((((COUNTIF(JE19:JE19,"A"))*4)+((COUNTIF(JE19:JE19,"B"))*3)+((COUNTIF(JE19:JE19,"C"))*2)+((COUNTIF(JE19:JE19,"D"))*1))*CELL("contenu",$B$18),0))/IF(SUM(COUNTA(JE5:JE6)*CELL("contenu",$B$4),COUNTA(JE8:JE11)*CELL("contenu",$B$7),COUNTA(JE13:JE13)*CELL("contenu",$B$12),COUNTA(JE15:JE17)*CELL("contenu",$B$14),COUNTA(JE19:JE19)*CELL("contenu",$B$18))=0,1,SUM(COUNTA(JE5:JE6)*CELL("contenu",$B$4),COUNTA(JE8:JE11)*CELL("contenu",$B$7),COUNTA(JE13:JE13)*CELL("contenu",$B$12),COUNTA(JE15:JE17)*CELL("contenu",$B$14),COUNTA(JE19:JE19)*CELL("contenu",$B$18))))</f>
        <v/>
      </c>
      <c r="JF20" s="176"/>
      <c r="JG20" s="175" t="str">
        <f ca="1">IF(COUNTA(JC20:JE20)-COUNTBLANK(JC20:JE20)=0,"",SUM(JC20:JE20)/(COUNTA(JC20:JE20)-COUNTBLANK(JC20:JE20)))</f>
        <v/>
      </c>
      <c r="JH20" s="182" t="str">
        <f ca="1">IF(COUNTA(JH5:JH19)=0,"",5*SUM(IFERROR((((COUNTIF(JH5:JH6,"A"))*4)+((COUNTIF(JH5:JH6,"B"))*3)+((COUNTIF(JH5:JH6,"C"))*2)+((COUNTIF(JH5:JH6,"D"))*1))*CELL("contenu",$B$4),0),IFERROR((((COUNTIF(JH8:JH11,"A"))*4)+((COUNTIF(JH8:JH11,"B"))*3)+((COUNTIF(JH8:JH11,"C"))*2)+((COUNTIF(JH8:JH11,"D"))*1))*CELL("contenu",$B$7),0),IFERROR((((COUNTIF(JH13:JH13,"A"))*4)+((COUNTIF(JH13:JH13,"B"))*3)+((COUNTIF(JH13:JH13,"C"))*2)+((COUNTIF(JH13:JH13,"D"))*1))*CELL("contenu",$B$12),0),IFERROR((((COUNTIF(JH15:JH17,"A"))*4)+((COUNTIF(JH15:JH17,"B"))*3)+((COUNTIF(JH15:JH17,"C"))*2)+((COUNTIF(JH15:JH17,"D"))*1))*CELL("contenu",$B$14),0),IFERROR((((COUNTIF(JH19:JH19,"A"))*4)+((COUNTIF(JH19:JH19,"B"))*3)+((COUNTIF(JH19:JH19,"C"))*2)+((COUNTIF(JH19:JH19,"D"))*1))*CELL("contenu",$B$18),0))/IF(SUM(COUNTA(JH5:JH6)*CELL("contenu",$B$4),COUNTA(JH8:JH11)*CELL("contenu",$B$7),COUNTA(JH13:JH13)*CELL("contenu",$B$12),COUNTA(JH15:JH17)*CELL("contenu",$B$14),COUNTA(JH19:JH19)*CELL("contenu",$B$18))=0,1,SUM(COUNTA(JH5:JH6)*CELL("contenu",$B$4),COUNTA(JH8:JH11)*CELL("contenu",$B$7),COUNTA(JH13:JH13)*CELL("contenu",$B$12),COUNTA(JH15:JH17)*CELL("contenu",$B$14),COUNTA(JH19:JH19)*CELL("contenu",$B$18))))</f>
        <v/>
      </c>
      <c r="JI20" s="183" t="str">
        <f ca="1">IF(COUNTA(JI5:JI19)=0,"",5*SUM(IFERROR((((COUNTIF(JI5:JI6,"A"))*4)+((COUNTIF(JI5:JI6,"B"))*3)+((COUNTIF(JI5:JI6,"C"))*2)+((COUNTIF(JI5:JI6,"D"))*1))*CELL("contenu",$B$4),0),IFERROR((((COUNTIF(JI8:JI11,"A"))*4)+((COUNTIF(JI8:JI11,"B"))*3)+((COUNTIF(JI8:JI11,"C"))*2)+((COUNTIF(JI8:JI11,"D"))*1))*CELL("contenu",$B$7),0),IFERROR((((COUNTIF(JI13:JI13,"A"))*4)+((COUNTIF(JI13:JI13,"B"))*3)+((COUNTIF(JI13:JI13,"C"))*2)+((COUNTIF(JI13:JI13,"D"))*1))*CELL("contenu",$B$12),0),IFERROR((((COUNTIF(JI15:JI17,"A"))*4)+((COUNTIF(JI15:JI17,"B"))*3)+((COUNTIF(JI15:JI17,"C"))*2)+((COUNTIF(JI15:JI17,"D"))*1))*CELL("contenu",$B$14),0),IFERROR((((COUNTIF(JI19:JI19,"A"))*4)+((COUNTIF(JI19:JI19,"B"))*3)+((COUNTIF(JI19:JI19,"C"))*2)+((COUNTIF(JI19:JI19,"D"))*1))*CELL("contenu",$B$18),0))/IF(SUM(COUNTA(JI5:JI6)*CELL("contenu",$B$4),COUNTA(JI8:JI11)*CELL("contenu",$B$7),COUNTA(JI13:JI13)*CELL("contenu",$B$12),COUNTA(JI15:JI17)*CELL("contenu",$B$14),COUNTA(JI19:JI19)*CELL("contenu",$B$18))=0,1,SUM(COUNTA(JI5:JI6)*CELL("contenu",$B$4),COUNTA(JI8:JI11)*CELL("contenu",$B$7),COUNTA(JI13:JI13)*CELL("contenu",$B$12),COUNTA(JI15:JI17)*CELL("contenu",$B$14),COUNTA(JI19:JI19)*CELL("contenu",$B$18))))</f>
        <v/>
      </c>
      <c r="JJ20" s="184" t="str">
        <f ca="1">IF(COUNTA(JJ5:JJ19)=0,"",5*SUM(IFERROR((((COUNTIF(JJ5:JJ6,"A"))*4)+((COUNTIF(JJ5:JJ6,"B"))*3)+((COUNTIF(JJ5:JJ6,"C"))*2)+((COUNTIF(JJ5:JJ6,"D"))*1))*CELL("contenu",$B$4),0),IFERROR((((COUNTIF(JJ8:JJ11,"A"))*4)+((COUNTIF(JJ8:JJ11,"B"))*3)+((COUNTIF(JJ8:JJ11,"C"))*2)+((COUNTIF(JJ8:JJ11,"D"))*1))*CELL("contenu",$B$7),0),IFERROR((((COUNTIF(JJ13:JJ13,"A"))*4)+((COUNTIF(JJ13:JJ13,"B"))*3)+((COUNTIF(JJ13:JJ13,"C"))*2)+((COUNTIF(JJ13:JJ13,"D"))*1))*CELL("contenu",$B$12),0),IFERROR((((COUNTIF(JJ15:JJ17,"A"))*4)+((COUNTIF(JJ15:JJ17,"B"))*3)+((COUNTIF(JJ15:JJ17,"C"))*2)+((COUNTIF(JJ15:JJ17,"D"))*1))*CELL("contenu",$B$14),0),IFERROR((((COUNTIF(JJ19:JJ19,"A"))*4)+((COUNTIF(JJ19:JJ19,"B"))*3)+((COUNTIF(JJ19:JJ19,"C"))*2)+((COUNTIF(JJ19:JJ19,"D"))*1))*CELL("contenu",$B$18),0))/IF(SUM(COUNTA(JJ5:JJ6)*CELL("contenu",$B$4),COUNTA(JJ8:JJ11)*CELL("contenu",$B$7),COUNTA(JJ13:JJ13)*CELL("contenu",$B$12),COUNTA(JJ15:JJ17)*CELL("contenu",$B$14),COUNTA(JJ19:JJ19)*CELL("contenu",$B$18))=0,1,SUM(COUNTA(JJ5:JJ6)*CELL("contenu",$B$4),COUNTA(JJ8:JJ11)*CELL("contenu",$B$7),COUNTA(JJ13:JJ13)*CELL("contenu",$B$12),COUNTA(JJ15:JJ17)*CELL("contenu",$B$14),COUNTA(JJ19:JJ19)*CELL("contenu",$B$18))))</f>
        <v/>
      </c>
      <c r="JK20" s="176"/>
      <c r="JL20" s="174" t="str">
        <f ca="1">IF(COUNTA(JH20:JJ20)-COUNTBLANK(JH20:JJ20)=0,"",SUM(JH20:JJ20)/(COUNTA(JH20:JJ20)-COUNTBLANK(JH20:JJ20)))</f>
        <v/>
      </c>
      <c r="JM20" s="103"/>
      <c r="JN20" s="141"/>
      <c r="JO20" s="167" t="str">
        <f ca="1">IF(COUNTA(JO5:JO19)=0,"",5*SUM(IFERROR((((COUNTIF(JO5:JO6,"A"))*4)+((COUNTIF(JO5:JO6,"B"))*3)+((COUNTIF(JO5:JO6,"C"))*2)+((COUNTIF(JO5:JO6,"D"))*1))*CELL("contenu",$B$4),0),IFERROR((((COUNTIF(JO8:JO11,"A"))*4)+((COUNTIF(JO8:JO11,"B"))*3)+((COUNTIF(JO8:JO11,"C"))*2)+((COUNTIF(JO8:JO11,"D"))*1))*CELL("contenu",$B$7),0),IFERROR((((COUNTIF(JO13:JO13,"A"))*4)+((COUNTIF(JO13:JO13,"B"))*3)+((COUNTIF(JO13:JO13,"C"))*2)+((COUNTIF(JO13:JO13,"D"))*1))*CELL("contenu",$B$12),0),IFERROR((((COUNTIF(JO15:JO17,"A"))*4)+((COUNTIF(JO15:JO17,"B"))*3)+((COUNTIF(JO15:JO17,"C"))*2)+((COUNTIF(JO15:JO17,"D"))*1))*CELL("contenu",$B$14),0),IFERROR((((COUNTIF(JO19:JO19,"A"))*4)+((COUNTIF(JO19:JO19,"B"))*3)+((COUNTIF(JO19:JO19,"C"))*2)+((COUNTIF(JO19:JO19,"D"))*1))*CELL("contenu",$B$18),0))/IF(SUM(COUNTA(JO5:JO6)*CELL("contenu",$B$4),COUNTA(JO8:JO11)*CELL("contenu",$B$7),COUNTA(JO13:JO13)*CELL("contenu",$B$12),COUNTA(JO15:JO17)*CELL("contenu",$B$14),COUNTA(JO19:JO19)*CELL("contenu",$B$18))=0,1,SUM(COUNTA(JO5:JO6)*CELL("contenu",$B$4),COUNTA(JO8:JO11)*CELL("contenu",$B$7),COUNTA(JO13:JO13)*CELL("contenu",$B$12),COUNTA(JO15:JO17)*CELL("contenu",$B$14),COUNTA(JO19:JO19)*CELL("contenu",$B$18))))</f>
        <v/>
      </c>
      <c r="JP20" s="168">
        <f ca="1">IF(COUNTA(JP5:JP19)=0,"",5*SUM(IFERROR((((COUNTIF(JP5:JP6,"A"))*4)+((COUNTIF(JP5:JP6,"B"))*3)+((COUNTIF(JP5:JP6,"C"))*2)+((COUNTIF(JP5:JP6,"D"))*1))*CELL("contenu",$B$4),0),IFERROR((((COUNTIF(JP8:JP11,"A"))*4)+((COUNTIF(JP8:JP11,"B"))*3)+((COUNTIF(JP8:JP11,"C"))*2)+((COUNTIF(JP8:JP11,"D"))*1))*CELL("contenu",$B$7),0),IFERROR((((COUNTIF(JP13:JP13,"A"))*4)+((COUNTIF(JP13:JP13,"B"))*3)+((COUNTIF(JP13:JP13,"C"))*2)+((COUNTIF(JP13:JP13,"D"))*1))*CELL("contenu",$B$12),0),IFERROR((((COUNTIF(JP15:JP17,"A"))*4)+((COUNTIF(JP15:JP17,"B"))*3)+((COUNTIF(JP15:JP17,"C"))*2)+((COUNTIF(JP15:JP17,"D"))*1))*CELL("contenu",$B$14),0),IFERROR((((COUNTIF(JP19:JP19,"A"))*4)+((COUNTIF(JP19:JP19,"B"))*3)+((COUNTIF(JP19:JP19,"C"))*2)+((COUNTIF(JP19:JP19,"D"))*1))*CELL("contenu",$B$18),0))/IF(SUM(COUNTA(JP5:JP6)*CELL("contenu",$B$4),COUNTA(JP8:JP11)*CELL("contenu",$B$7),COUNTA(JP13:JP13)*CELL("contenu",$B$12),COUNTA(JP15:JP17)*CELL("contenu",$B$14),COUNTA(JP19:JP19)*CELL("contenu",$B$18))=0,1,SUM(COUNTA(JP5:JP6)*CELL("contenu",$B$4),COUNTA(JP8:JP11)*CELL("contenu",$B$7),COUNTA(JP13:JP13)*CELL("contenu",$B$12),COUNTA(JP15:JP17)*CELL("contenu",$B$14),COUNTA(JP19:JP19)*CELL("contenu",$B$18))))</f>
        <v>11.666666666666666</v>
      </c>
      <c r="JQ20" s="169" t="str">
        <f ca="1">IF(COUNTA(JQ5:JQ19)=0,"",5*SUM(IFERROR((((COUNTIF(JQ5:JQ6,"A"))*4)+((COUNTIF(JQ5:JQ6,"B"))*3)+((COUNTIF(JQ5:JQ6,"C"))*2)+((COUNTIF(JQ5:JQ6,"D"))*1))*CELL("contenu",$B$4),0),IFERROR((((COUNTIF(JQ8:JQ11,"A"))*4)+((COUNTIF(JQ8:JQ11,"B"))*3)+((COUNTIF(JQ8:JQ11,"C"))*2)+((COUNTIF(JQ8:JQ11,"D"))*1))*CELL("contenu",$B$7),0),IFERROR((((COUNTIF(JQ13:JQ13,"A"))*4)+((COUNTIF(JQ13:JQ13,"B"))*3)+((COUNTIF(JQ13:JQ13,"C"))*2)+((COUNTIF(JQ13:JQ13,"D"))*1))*CELL("contenu",$B$12),0),IFERROR((((COUNTIF(JQ15:JQ17,"A"))*4)+((COUNTIF(JQ15:JQ17,"B"))*3)+((COUNTIF(JQ15:JQ17,"C"))*2)+((COUNTIF(JQ15:JQ17,"D"))*1))*CELL("contenu",$B$14),0),IFERROR((((COUNTIF(JQ19:JQ19,"A"))*4)+((COUNTIF(JQ19:JQ19,"B"))*3)+((COUNTIF(JQ19:JQ19,"C"))*2)+((COUNTIF(JQ19:JQ19,"D"))*1))*CELL("contenu",$B$18),0))/IF(SUM(COUNTA(JQ5:JQ6)*CELL("contenu",$B$4),COUNTA(JQ8:JQ11)*CELL("contenu",$B$7),COUNTA(JQ13:JQ13)*CELL("contenu",$B$12),COUNTA(JQ15:JQ17)*CELL("contenu",$B$14),COUNTA(JQ19:JQ19)*CELL("contenu",$B$18))=0,1,SUM(COUNTA(JQ5:JQ6)*CELL("contenu",$B$4),COUNTA(JQ8:JQ11)*CELL("contenu",$B$7),COUNTA(JQ13:JQ13)*CELL("contenu",$B$12),COUNTA(JQ15:JQ17)*CELL("contenu",$B$14),COUNTA(JQ19:JQ19)*CELL("contenu",$B$18))))</f>
        <v/>
      </c>
      <c r="JR20" s="116"/>
      <c r="JS20" s="192">
        <f ca="1">IF(COUNTA(JO20:JQ20)-COUNTBLANK(JO20:JQ20)=0,"",SUM(JO20:JQ20)/(COUNTA(JO20:JQ20)-COUNTBLANK(JO20:JQ20)))</f>
        <v>11.666666666666666</v>
      </c>
      <c r="JT20" s="182" t="str">
        <f ca="1">IF(COUNTA(JT5:JT19)=0,"",5*SUM(IFERROR((((COUNTIF(JT5:JT6,"A"))*4)+((COUNTIF(JT5:JT6,"B"))*3)+((COUNTIF(JT5:JT6,"C"))*2)+((COUNTIF(JT5:JT6,"D"))*1))*CELL("contenu",$B$4),0),IFERROR((((COUNTIF(JT8:JT11,"A"))*4)+((COUNTIF(JT8:JT11,"B"))*3)+((COUNTIF(JT8:JT11,"C"))*2)+((COUNTIF(JT8:JT11,"D"))*1))*CELL("contenu",$B$7),0),IFERROR((((COUNTIF(JT13:JT13,"A"))*4)+((COUNTIF(JT13:JT13,"B"))*3)+((COUNTIF(JT13:JT13,"C"))*2)+((COUNTIF(JT13:JT13,"D"))*1))*CELL("contenu",$B$12),0),IFERROR((((COUNTIF(JT15:JT17,"A"))*4)+((COUNTIF(JT15:JT17,"B"))*3)+((COUNTIF(JT15:JT17,"C"))*2)+((COUNTIF(JT15:JT17,"D"))*1))*CELL("contenu",$B$14),0),IFERROR((((COUNTIF(JT19:JT19,"A"))*4)+((COUNTIF(JT19:JT19,"B"))*3)+((COUNTIF(JT19:JT19,"C"))*2)+((COUNTIF(JT19:JT19,"D"))*1))*CELL("contenu",$B$18),0))/IF(SUM(COUNTA(JT5:JT6)*CELL("contenu",$B$4),COUNTA(JT8:JT11)*CELL("contenu",$B$7),COUNTA(JT13:JT13)*CELL("contenu",$B$12),COUNTA(JT15:JT17)*CELL("contenu",$B$14),COUNTA(JT19:JT19)*CELL("contenu",$B$18))=0,1,SUM(COUNTA(JT5:JT6)*CELL("contenu",$B$4),COUNTA(JT8:JT11)*CELL("contenu",$B$7),COUNTA(JT13:JT13)*CELL("contenu",$B$12),COUNTA(JT15:JT17)*CELL("contenu",$B$14),COUNTA(JT19:JT19)*CELL("contenu",$B$18))))</f>
        <v/>
      </c>
      <c r="JU20" s="183" t="str">
        <f ca="1">IF(COUNTA(JU5:JU19)=0,"",5*SUM(IFERROR((((COUNTIF(JU5:JU6,"A"))*4)+((COUNTIF(JU5:JU6,"B"))*3)+((COUNTIF(JU5:JU6,"C"))*2)+((COUNTIF(JU5:JU6,"D"))*1))*CELL("contenu",$B$4),0),IFERROR((((COUNTIF(JU8:JU11,"A"))*4)+((COUNTIF(JU8:JU11,"B"))*3)+((COUNTIF(JU8:JU11,"C"))*2)+((COUNTIF(JU8:JU11,"D"))*1))*CELL("contenu",$B$7),0),IFERROR((((COUNTIF(JU13:JU13,"A"))*4)+((COUNTIF(JU13:JU13,"B"))*3)+((COUNTIF(JU13:JU13,"C"))*2)+((COUNTIF(JU13:JU13,"D"))*1))*CELL("contenu",$B$12),0),IFERROR((((COUNTIF(JU15:JU17,"A"))*4)+((COUNTIF(JU15:JU17,"B"))*3)+((COUNTIF(JU15:JU17,"C"))*2)+((COUNTIF(JU15:JU17,"D"))*1))*CELL("contenu",$B$14),0),IFERROR((((COUNTIF(JU19:JU19,"A"))*4)+((COUNTIF(JU19:JU19,"B"))*3)+((COUNTIF(JU19:JU19,"C"))*2)+((COUNTIF(JU19:JU19,"D"))*1))*CELL("contenu",$B$18),0))/IF(SUM(COUNTA(JU5:JU6)*CELL("contenu",$B$4),COUNTA(JU8:JU11)*CELL("contenu",$B$7),COUNTA(JU13:JU13)*CELL("contenu",$B$12),COUNTA(JU15:JU17)*CELL("contenu",$B$14),COUNTA(JU19:JU19)*CELL("contenu",$B$18))=0,1,SUM(COUNTA(JU5:JU6)*CELL("contenu",$B$4),COUNTA(JU8:JU11)*CELL("contenu",$B$7),COUNTA(JU13:JU13)*CELL("contenu",$B$12),COUNTA(JU15:JU17)*CELL("contenu",$B$14),COUNTA(JU19:JU19)*CELL("contenu",$B$18))))</f>
        <v/>
      </c>
      <c r="JV20" s="184" t="str">
        <f ca="1">IF(COUNTA(JV5:JV19)=0,"",5*SUM(IFERROR((((COUNTIF(JV5:JV6,"A"))*4)+((COUNTIF(JV5:JV6,"B"))*3)+((COUNTIF(JV5:JV6,"C"))*2)+((COUNTIF(JV5:JV6,"D"))*1))*CELL("contenu",$B$4),0),IFERROR((((COUNTIF(JV8:JV11,"A"))*4)+((COUNTIF(JV8:JV11,"B"))*3)+((COUNTIF(JV8:JV11,"C"))*2)+((COUNTIF(JV8:JV11,"D"))*1))*CELL("contenu",$B$7),0),IFERROR((((COUNTIF(JV13:JV13,"A"))*4)+((COUNTIF(JV13:JV13,"B"))*3)+((COUNTIF(JV13:JV13,"C"))*2)+((COUNTIF(JV13:JV13,"D"))*1))*CELL("contenu",$B$12),0),IFERROR((((COUNTIF(JV15:JV17,"A"))*4)+((COUNTIF(JV15:JV17,"B"))*3)+((COUNTIF(JV15:JV17,"C"))*2)+((COUNTIF(JV15:JV17,"D"))*1))*CELL("contenu",$B$14),0),IFERROR((((COUNTIF(JV19:JV19,"A"))*4)+((COUNTIF(JV19:JV19,"B"))*3)+((COUNTIF(JV19:JV19,"C"))*2)+((COUNTIF(JV19:JV19,"D"))*1))*CELL("contenu",$B$18),0))/IF(SUM(COUNTA(JV5:JV6)*CELL("contenu",$B$4),COUNTA(JV8:JV11)*CELL("contenu",$B$7),COUNTA(JV13:JV13)*CELL("contenu",$B$12),COUNTA(JV15:JV17)*CELL("contenu",$B$14),COUNTA(JV19:JV19)*CELL("contenu",$B$18))=0,1,SUM(COUNTA(JV5:JV6)*CELL("contenu",$B$4),COUNTA(JV8:JV11)*CELL("contenu",$B$7),COUNTA(JV13:JV13)*CELL("contenu",$B$12),COUNTA(JV15:JV17)*CELL("contenu",$B$14),COUNTA(JV19:JV19)*CELL("contenu",$B$18))))</f>
        <v/>
      </c>
      <c r="JW20" s="176"/>
      <c r="JX20" s="175" t="str">
        <f ca="1">IF(COUNTA(JT20:JV20)-COUNTBLANK(JT20:JV20)=0,"",SUM(JT20:JV20)/(COUNTA(JT20:JV20)-COUNTBLANK(JT20:JV20)))</f>
        <v/>
      </c>
      <c r="JY20" s="182" t="str">
        <f ca="1">IF(COUNTA(JY5:JY19)=0,"",5*SUM(IFERROR((((COUNTIF(JY5:JY6,"A"))*4)+((COUNTIF(JY5:JY6,"B"))*3)+((COUNTIF(JY5:JY6,"C"))*2)+((COUNTIF(JY5:JY6,"D"))*1))*CELL("contenu",$B$4),0),IFERROR((((COUNTIF(JY8:JY11,"A"))*4)+((COUNTIF(JY8:JY11,"B"))*3)+((COUNTIF(JY8:JY11,"C"))*2)+((COUNTIF(JY8:JY11,"D"))*1))*CELL("contenu",$B$7),0),IFERROR((((COUNTIF(JY13:JY13,"A"))*4)+((COUNTIF(JY13:JY13,"B"))*3)+((COUNTIF(JY13:JY13,"C"))*2)+((COUNTIF(JY13:JY13,"D"))*1))*CELL("contenu",$B$12),0),IFERROR((((COUNTIF(JY15:JY17,"A"))*4)+((COUNTIF(JY15:JY17,"B"))*3)+((COUNTIF(JY15:JY17,"C"))*2)+((COUNTIF(JY15:JY17,"D"))*1))*CELL("contenu",$B$14),0),IFERROR((((COUNTIF(JY19:JY19,"A"))*4)+((COUNTIF(JY19:JY19,"B"))*3)+((COUNTIF(JY19:JY19,"C"))*2)+((COUNTIF(JY19:JY19,"D"))*1))*CELL("contenu",$B$18),0))/IF(SUM(COUNTA(JY5:JY6)*CELL("contenu",$B$4),COUNTA(JY8:JY11)*CELL("contenu",$B$7),COUNTA(JY13:JY13)*CELL("contenu",$B$12),COUNTA(JY15:JY17)*CELL("contenu",$B$14),COUNTA(JY19:JY19)*CELL("contenu",$B$18))=0,1,SUM(COUNTA(JY5:JY6)*CELL("contenu",$B$4),COUNTA(JY8:JY11)*CELL("contenu",$B$7),COUNTA(JY13:JY13)*CELL("contenu",$B$12),COUNTA(JY15:JY17)*CELL("contenu",$B$14),COUNTA(JY19:JY19)*CELL("contenu",$B$18))))</f>
        <v/>
      </c>
      <c r="JZ20" s="183" t="str">
        <f ca="1">IF(COUNTA(JZ5:JZ19)=0,"",5*SUM(IFERROR((((COUNTIF(JZ5:JZ6,"A"))*4)+((COUNTIF(JZ5:JZ6,"B"))*3)+((COUNTIF(JZ5:JZ6,"C"))*2)+((COUNTIF(JZ5:JZ6,"D"))*1))*CELL("contenu",$B$4),0),IFERROR((((COUNTIF(JZ8:JZ11,"A"))*4)+((COUNTIF(JZ8:JZ11,"B"))*3)+((COUNTIF(JZ8:JZ11,"C"))*2)+((COUNTIF(JZ8:JZ11,"D"))*1))*CELL("contenu",$B$7),0),IFERROR((((COUNTIF(JZ13:JZ13,"A"))*4)+((COUNTIF(JZ13:JZ13,"B"))*3)+((COUNTIF(JZ13:JZ13,"C"))*2)+((COUNTIF(JZ13:JZ13,"D"))*1))*CELL("contenu",$B$12),0),IFERROR((((COUNTIF(JZ15:JZ17,"A"))*4)+((COUNTIF(JZ15:JZ17,"B"))*3)+((COUNTIF(JZ15:JZ17,"C"))*2)+((COUNTIF(JZ15:JZ17,"D"))*1))*CELL("contenu",$B$14),0),IFERROR((((COUNTIF(JZ19:JZ19,"A"))*4)+((COUNTIF(JZ19:JZ19,"B"))*3)+((COUNTIF(JZ19:JZ19,"C"))*2)+((COUNTIF(JZ19:JZ19,"D"))*1))*CELL("contenu",$B$18),0))/IF(SUM(COUNTA(JZ5:JZ6)*CELL("contenu",$B$4),COUNTA(JZ8:JZ11)*CELL("contenu",$B$7),COUNTA(JZ13:JZ13)*CELL("contenu",$B$12),COUNTA(JZ15:JZ17)*CELL("contenu",$B$14),COUNTA(JZ19:JZ19)*CELL("contenu",$B$18))=0,1,SUM(COUNTA(JZ5:JZ6)*CELL("contenu",$B$4),COUNTA(JZ8:JZ11)*CELL("contenu",$B$7),COUNTA(JZ13:JZ13)*CELL("contenu",$B$12),COUNTA(JZ15:JZ17)*CELL("contenu",$B$14),COUNTA(JZ19:JZ19)*CELL("contenu",$B$18))))</f>
        <v/>
      </c>
      <c r="KA20" s="184" t="str">
        <f ca="1">IF(COUNTA(KA5:KA19)=0,"",5*SUM(IFERROR((((COUNTIF(KA5:KA6,"A"))*4)+((COUNTIF(KA5:KA6,"B"))*3)+((COUNTIF(KA5:KA6,"C"))*2)+((COUNTIF(KA5:KA6,"D"))*1))*CELL("contenu",$B$4),0),IFERROR((((COUNTIF(KA8:KA11,"A"))*4)+((COUNTIF(KA8:KA11,"B"))*3)+((COUNTIF(KA8:KA11,"C"))*2)+((COUNTIF(KA8:KA11,"D"))*1))*CELL("contenu",$B$7),0),IFERROR((((COUNTIF(KA13:KA13,"A"))*4)+((COUNTIF(KA13:KA13,"B"))*3)+((COUNTIF(KA13:KA13,"C"))*2)+((COUNTIF(KA13:KA13,"D"))*1))*CELL("contenu",$B$12),0),IFERROR((((COUNTIF(KA15:KA17,"A"))*4)+((COUNTIF(KA15:KA17,"B"))*3)+((COUNTIF(KA15:KA17,"C"))*2)+((COUNTIF(KA15:KA17,"D"))*1))*CELL("contenu",$B$14),0),IFERROR((((COUNTIF(KA19:KA19,"A"))*4)+((COUNTIF(KA19:KA19,"B"))*3)+((COUNTIF(KA19:KA19,"C"))*2)+((COUNTIF(KA19:KA19,"D"))*1))*CELL("contenu",$B$18),0))/IF(SUM(COUNTA(KA5:KA6)*CELL("contenu",$B$4),COUNTA(KA8:KA11)*CELL("contenu",$B$7),COUNTA(KA13:KA13)*CELL("contenu",$B$12),COUNTA(KA15:KA17)*CELL("contenu",$B$14),COUNTA(KA19:KA19)*CELL("contenu",$B$18))=0,1,SUM(COUNTA(KA5:KA6)*CELL("contenu",$B$4),COUNTA(KA8:KA11)*CELL("contenu",$B$7),COUNTA(KA13:KA13)*CELL("contenu",$B$12),COUNTA(KA15:KA17)*CELL("contenu",$B$14),COUNTA(KA19:KA19)*CELL("contenu",$B$18))))</f>
        <v/>
      </c>
      <c r="KB20" s="176"/>
      <c r="KC20" s="174" t="str">
        <f ca="1">IF(COUNTA(JY20:KA20)-COUNTBLANK(JY20:KA20)=0,"",SUM(JY20:KA20)/(COUNTA(JY20:KA20)-COUNTBLANK(JY20:KA20)))</f>
        <v/>
      </c>
      <c r="KD20" s="103"/>
      <c r="KE20" s="141"/>
      <c r="KF20" s="167" t="str">
        <f ca="1">IF(COUNTA(KF5:KF19)=0,"",5*SUM(IFERROR((((COUNTIF(KF5:KF6,"A"))*4)+((COUNTIF(KF5:KF6,"B"))*3)+((COUNTIF(KF5:KF6,"C"))*2)+((COUNTIF(KF5:KF6,"D"))*1))*CELL("contenu",$B$4),0),IFERROR((((COUNTIF(KF8:KF11,"A"))*4)+((COUNTIF(KF8:KF11,"B"))*3)+((COUNTIF(KF8:KF11,"C"))*2)+((COUNTIF(KF8:KF11,"D"))*1))*CELL("contenu",$B$7),0),IFERROR((((COUNTIF(KF13:KF13,"A"))*4)+((COUNTIF(KF13:KF13,"B"))*3)+((COUNTIF(KF13:KF13,"C"))*2)+((COUNTIF(KF13:KF13,"D"))*1))*CELL("contenu",$B$12),0),IFERROR((((COUNTIF(KF15:KF17,"A"))*4)+((COUNTIF(KF15:KF17,"B"))*3)+((COUNTIF(KF15:KF17,"C"))*2)+((COUNTIF(KF15:KF17,"D"))*1))*CELL("contenu",$B$14),0),IFERROR((((COUNTIF(KF19:KF19,"A"))*4)+((COUNTIF(KF19:KF19,"B"))*3)+((COUNTIF(KF19:KF19,"C"))*2)+((COUNTIF(KF19:KF19,"D"))*1))*CELL("contenu",$B$18),0))/IF(SUM(COUNTA(KF5:KF6)*CELL("contenu",$B$4),COUNTA(KF8:KF11)*CELL("contenu",$B$7),COUNTA(KF13:KF13)*CELL("contenu",$B$12),COUNTA(KF15:KF17)*CELL("contenu",$B$14),COUNTA(KF19:KF19)*CELL("contenu",$B$18))=0,1,SUM(COUNTA(KF5:KF6)*CELL("contenu",$B$4),COUNTA(KF8:KF11)*CELL("contenu",$B$7),COUNTA(KF13:KF13)*CELL("contenu",$B$12),COUNTA(KF15:KF17)*CELL("contenu",$B$14),COUNTA(KF19:KF19)*CELL("contenu",$B$18))))</f>
        <v/>
      </c>
      <c r="KG20" s="168">
        <f ca="1">IF(COUNTA(KG5:KG19)=0,"",5*SUM(IFERROR((((COUNTIF(KG5:KG6,"A"))*4)+((COUNTIF(KG5:KG6,"B"))*3)+((COUNTIF(KG5:KG6,"C"))*2)+((COUNTIF(KG5:KG6,"D"))*1))*CELL("contenu",$B$4),0),IFERROR((((COUNTIF(KG8:KG11,"A"))*4)+((COUNTIF(KG8:KG11,"B"))*3)+((COUNTIF(KG8:KG11,"C"))*2)+((COUNTIF(KG8:KG11,"D"))*1))*CELL("contenu",$B$7),0),IFERROR((((COUNTIF(KG13:KG13,"A"))*4)+((COUNTIF(KG13:KG13,"B"))*3)+((COUNTIF(KG13:KG13,"C"))*2)+((COUNTIF(KG13:KG13,"D"))*1))*CELL("contenu",$B$12),0),IFERROR((((COUNTIF(KG15:KG17,"A"))*4)+((COUNTIF(KG15:KG17,"B"))*3)+((COUNTIF(KG15:KG17,"C"))*2)+((COUNTIF(KG15:KG17,"D"))*1))*CELL("contenu",$B$14),0),IFERROR((((COUNTIF(KG19:KG19,"A"))*4)+((COUNTIF(KG19:KG19,"B"))*3)+((COUNTIF(KG19:KG19,"C"))*2)+((COUNTIF(KG19:KG19,"D"))*1))*CELL("contenu",$B$18),0))/IF(SUM(COUNTA(KG5:KG6)*CELL("contenu",$B$4),COUNTA(KG8:KG11)*CELL("contenu",$B$7),COUNTA(KG13:KG13)*CELL("contenu",$B$12),COUNTA(KG15:KG17)*CELL("contenu",$B$14),COUNTA(KG19:KG19)*CELL("contenu",$B$18))=0,1,SUM(COUNTA(KG5:KG6)*CELL("contenu",$B$4),COUNTA(KG8:KG11)*CELL("contenu",$B$7),COUNTA(KG13:KG13)*CELL("contenu",$B$12),COUNTA(KG15:KG17)*CELL("contenu",$B$14),COUNTA(KG19:KG19)*CELL("contenu",$B$18))))</f>
        <v>13.333333333333334</v>
      </c>
      <c r="KH20" s="169" t="str">
        <f ca="1">IF(COUNTA(KH5:KH19)=0,"",5*SUM(IFERROR((((COUNTIF(KH5:KH6,"A"))*4)+((COUNTIF(KH5:KH6,"B"))*3)+((COUNTIF(KH5:KH6,"C"))*2)+((COUNTIF(KH5:KH6,"D"))*1))*CELL("contenu",$B$4),0),IFERROR((((COUNTIF(KH8:KH11,"A"))*4)+((COUNTIF(KH8:KH11,"B"))*3)+((COUNTIF(KH8:KH11,"C"))*2)+((COUNTIF(KH8:KH11,"D"))*1))*CELL("contenu",$B$7),0),IFERROR((((COUNTIF(KH13:KH13,"A"))*4)+((COUNTIF(KH13:KH13,"B"))*3)+((COUNTIF(KH13:KH13,"C"))*2)+((COUNTIF(KH13:KH13,"D"))*1))*CELL("contenu",$B$12),0),IFERROR((((COUNTIF(KH15:KH17,"A"))*4)+((COUNTIF(KH15:KH17,"B"))*3)+((COUNTIF(KH15:KH17,"C"))*2)+((COUNTIF(KH15:KH17,"D"))*1))*CELL("contenu",$B$14),0),IFERROR((((COUNTIF(KH19:KH19,"A"))*4)+((COUNTIF(KH19:KH19,"B"))*3)+((COUNTIF(KH19:KH19,"C"))*2)+((COUNTIF(KH19:KH19,"D"))*1))*CELL("contenu",$B$18),0))/IF(SUM(COUNTA(KH5:KH6)*CELL("contenu",$B$4),COUNTA(KH8:KH11)*CELL("contenu",$B$7),COUNTA(KH13:KH13)*CELL("contenu",$B$12),COUNTA(KH15:KH17)*CELL("contenu",$B$14),COUNTA(KH19:KH19)*CELL("contenu",$B$18))=0,1,SUM(COUNTA(KH5:KH6)*CELL("contenu",$B$4),COUNTA(KH8:KH11)*CELL("contenu",$B$7),COUNTA(KH13:KH13)*CELL("contenu",$B$12),COUNTA(KH15:KH17)*CELL("contenu",$B$14),COUNTA(KH19:KH19)*CELL("contenu",$B$18))))</f>
        <v/>
      </c>
      <c r="KI20" s="116"/>
      <c r="KJ20" s="192">
        <f ca="1">IF(COUNTA(KF20:KH20)-COUNTBLANK(KF20:KH20)=0,"",SUM(KF20:KH20)/(COUNTA(KF20:KH20)-COUNTBLANK(KF20:KH20)))</f>
        <v>13.333333333333334</v>
      </c>
      <c r="KK20" s="182" t="str">
        <f ca="1">IF(COUNTA(KK5:KK19)=0,"",5*SUM(IFERROR((((COUNTIF(KK5:KK6,"A"))*4)+((COUNTIF(KK5:KK6,"B"))*3)+((COUNTIF(KK5:KK6,"C"))*2)+((COUNTIF(KK5:KK6,"D"))*1))*CELL("contenu",$B$4),0),IFERROR((((COUNTIF(KK8:KK11,"A"))*4)+((COUNTIF(KK8:KK11,"B"))*3)+((COUNTIF(KK8:KK11,"C"))*2)+((COUNTIF(KK8:KK11,"D"))*1))*CELL("contenu",$B$7),0),IFERROR((((COUNTIF(KK13:KK13,"A"))*4)+((COUNTIF(KK13:KK13,"B"))*3)+((COUNTIF(KK13:KK13,"C"))*2)+((COUNTIF(KK13:KK13,"D"))*1))*CELL("contenu",$B$12),0),IFERROR((((COUNTIF(KK15:KK17,"A"))*4)+((COUNTIF(KK15:KK17,"B"))*3)+((COUNTIF(KK15:KK17,"C"))*2)+((COUNTIF(KK15:KK17,"D"))*1))*CELL("contenu",$B$14),0),IFERROR((((COUNTIF(KK19:KK19,"A"))*4)+((COUNTIF(KK19:KK19,"B"))*3)+((COUNTIF(KK19:KK19,"C"))*2)+((COUNTIF(KK19:KK19,"D"))*1))*CELL("contenu",$B$18),0))/IF(SUM(COUNTA(KK5:KK6)*CELL("contenu",$B$4),COUNTA(KK8:KK11)*CELL("contenu",$B$7),COUNTA(KK13:KK13)*CELL("contenu",$B$12),COUNTA(KK15:KK17)*CELL("contenu",$B$14),COUNTA(KK19:KK19)*CELL("contenu",$B$18))=0,1,SUM(COUNTA(KK5:KK6)*CELL("contenu",$B$4),COUNTA(KK8:KK11)*CELL("contenu",$B$7),COUNTA(KK13:KK13)*CELL("contenu",$B$12),COUNTA(KK15:KK17)*CELL("contenu",$B$14),COUNTA(KK19:KK19)*CELL("contenu",$B$18))))</f>
        <v/>
      </c>
      <c r="KL20" s="183" t="str">
        <f ca="1">IF(COUNTA(KL5:KL19)=0,"",5*SUM(IFERROR((((COUNTIF(KL5:KL6,"A"))*4)+((COUNTIF(KL5:KL6,"B"))*3)+((COUNTIF(KL5:KL6,"C"))*2)+((COUNTIF(KL5:KL6,"D"))*1))*CELL("contenu",$B$4),0),IFERROR((((COUNTIF(KL8:KL11,"A"))*4)+((COUNTIF(KL8:KL11,"B"))*3)+((COUNTIF(KL8:KL11,"C"))*2)+((COUNTIF(KL8:KL11,"D"))*1))*CELL("contenu",$B$7),0),IFERROR((((COUNTIF(KL13:KL13,"A"))*4)+((COUNTIF(KL13:KL13,"B"))*3)+((COUNTIF(KL13:KL13,"C"))*2)+((COUNTIF(KL13:KL13,"D"))*1))*CELL("contenu",$B$12),0),IFERROR((((COUNTIF(KL15:KL17,"A"))*4)+((COUNTIF(KL15:KL17,"B"))*3)+((COUNTIF(KL15:KL17,"C"))*2)+((COUNTIF(KL15:KL17,"D"))*1))*CELL("contenu",$B$14),0),IFERROR((((COUNTIF(KL19:KL19,"A"))*4)+((COUNTIF(KL19:KL19,"B"))*3)+((COUNTIF(KL19:KL19,"C"))*2)+((COUNTIF(KL19:KL19,"D"))*1))*CELL("contenu",$B$18),0))/IF(SUM(COUNTA(KL5:KL6)*CELL("contenu",$B$4),COUNTA(KL8:KL11)*CELL("contenu",$B$7),COUNTA(KL13:KL13)*CELL("contenu",$B$12),COUNTA(KL15:KL17)*CELL("contenu",$B$14),COUNTA(KL19:KL19)*CELL("contenu",$B$18))=0,1,SUM(COUNTA(KL5:KL6)*CELL("contenu",$B$4),COUNTA(KL8:KL11)*CELL("contenu",$B$7),COUNTA(KL13:KL13)*CELL("contenu",$B$12),COUNTA(KL15:KL17)*CELL("contenu",$B$14),COUNTA(KL19:KL19)*CELL("contenu",$B$18))))</f>
        <v/>
      </c>
      <c r="KM20" s="184" t="str">
        <f ca="1">IF(COUNTA(KM5:KM19)=0,"",5*SUM(IFERROR((((COUNTIF(KM5:KM6,"A"))*4)+((COUNTIF(KM5:KM6,"B"))*3)+((COUNTIF(KM5:KM6,"C"))*2)+((COUNTIF(KM5:KM6,"D"))*1))*CELL("contenu",$B$4),0),IFERROR((((COUNTIF(KM8:KM11,"A"))*4)+((COUNTIF(KM8:KM11,"B"))*3)+((COUNTIF(KM8:KM11,"C"))*2)+((COUNTIF(KM8:KM11,"D"))*1))*CELL("contenu",$B$7),0),IFERROR((((COUNTIF(KM13:KM13,"A"))*4)+((COUNTIF(KM13:KM13,"B"))*3)+((COUNTIF(KM13:KM13,"C"))*2)+((COUNTIF(KM13:KM13,"D"))*1))*CELL("contenu",$B$12),0),IFERROR((((COUNTIF(KM15:KM17,"A"))*4)+((COUNTIF(KM15:KM17,"B"))*3)+((COUNTIF(KM15:KM17,"C"))*2)+((COUNTIF(KM15:KM17,"D"))*1))*CELL("contenu",$B$14),0),IFERROR((((COUNTIF(KM19:KM19,"A"))*4)+((COUNTIF(KM19:KM19,"B"))*3)+((COUNTIF(KM19:KM19,"C"))*2)+((COUNTIF(KM19:KM19,"D"))*1))*CELL("contenu",$B$18),0))/IF(SUM(COUNTA(KM5:KM6)*CELL("contenu",$B$4),COUNTA(KM8:KM11)*CELL("contenu",$B$7),COUNTA(KM13:KM13)*CELL("contenu",$B$12),COUNTA(KM15:KM17)*CELL("contenu",$B$14),COUNTA(KM19:KM19)*CELL("contenu",$B$18))=0,1,SUM(COUNTA(KM5:KM6)*CELL("contenu",$B$4),COUNTA(KM8:KM11)*CELL("contenu",$B$7),COUNTA(KM13:KM13)*CELL("contenu",$B$12),COUNTA(KM15:KM17)*CELL("contenu",$B$14),COUNTA(KM19:KM19)*CELL("contenu",$B$18))))</f>
        <v/>
      </c>
      <c r="KN20" s="176"/>
      <c r="KO20" s="175" t="str">
        <f ca="1">IF(COUNTA(KK20:KM20)-COUNTBLANK(KK20:KM20)=0,"",SUM(KK20:KM20)/(COUNTA(KK20:KM20)-COUNTBLANK(KK20:KM20)))</f>
        <v/>
      </c>
      <c r="KP20" s="182" t="str">
        <f ca="1">IF(COUNTA(KP5:KP19)=0,"",5*SUM(IFERROR((((COUNTIF(KP5:KP6,"A"))*4)+((COUNTIF(KP5:KP6,"B"))*3)+((COUNTIF(KP5:KP6,"C"))*2)+((COUNTIF(KP5:KP6,"D"))*1))*CELL("contenu",$B$4),0),IFERROR((((COUNTIF(KP8:KP11,"A"))*4)+((COUNTIF(KP8:KP11,"B"))*3)+((COUNTIF(KP8:KP11,"C"))*2)+((COUNTIF(KP8:KP11,"D"))*1))*CELL("contenu",$B$7),0),IFERROR((((COUNTIF(KP13:KP13,"A"))*4)+((COUNTIF(KP13:KP13,"B"))*3)+((COUNTIF(KP13:KP13,"C"))*2)+((COUNTIF(KP13:KP13,"D"))*1))*CELL("contenu",$B$12),0),IFERROR((((COUNTIF(KP15:KP17,"A"))*4)+((COUNTIF(KP15:KP17,"B"))*3)+((COUNTIF(KP15:KP17,"C"))*2)+((COUNTIF(KP15:KP17,"D"))*1))*CELL("contenu",$B$14),0),IFERROR((((COUNTIF(KP19:KP19,"A"))*4)+((COUNTIF(KP19:KP19,"B"))*3)+((COUNTIF(KP19:KP19,"C"))*2)+((COUNTIF(KP19:KP19,"D"))*1))*CELL("contenu",$B$18),0))/IF(SUM(COUNTA(KP5:KP6)*CELL("contenu",$B$4),COUNTA(KP8:KP11)*CELL("contenu",$B$7),COUNTA(KP13:KP13)*CELL("contenu",$B$12),COUNTA(KP15:KP17)*CELL("contenu",$B$14),COUNTA(KP19:KP19)*CELL("contenu",$B$18))=0,1,SUM(COUNTA(KP5:KP6)*CELL("contenu",$B$4),COUNTA(KP8:KP11)*CELL("contenu",$B$7),COUNTA(KP13:KP13)*CELL("contenu",$B$12),COUNTA(KP15:KP17)*CELL("contenu",$B$14),COUNTA(KP19:KP19)*CELL("contenu",$B$18))))</f>
        <v/>
      </c>
      <c r="KQ20" s="183" t="str">
        <f ca="1">IF(COUNTA(KQ5:KQ19)=0,"",5*SUM(IFERROR((((COUNTIF(KQ5:KQ6,"A"))*4)+((COUNTIF(KQ5:KQ6,"B"))*3)+((COUNTIF(KQ5:KQ6,"C"))*2)+((COUNTIF(KQ5:KQ6,"D"))*1))*CELL("contenu",$B$4),0),IFERROR((((COUNTIF(KQ8:KQ11,"A"))*4)+((COUNTIF(KQ8:KQ11,"B"))*3)+((COUNTIF(KQ8:KQ11,"C"))*2)+((COUNTIF(KQ8:KQ11,"D"))*1))*CELL("contenu",$B$7),0),IFERROR((((COUNTIF(KQ13:KQ13,"A"))*4)+((COUNTIF(KQ13:KQ13,"B"))*3)+((COUNTIF(KQ13:KQ13,"C"))*2)+((COUNTIF(KQ13:KQ13,"D"))*1))*CELL("contenu",$B$12),0),IFERROR((((COUNTIF(KQ15:KQ17,"A"))*4)+((COUNTIF(KQ15:KQ17,"B"))*3)+((COUNTIF(KQ15:KQ17,"C"))*2)+((COUNTIF(KQ15:KQ17,"D"))*1))*CELL("contenu",$B$14),0),IFERROR((((COUNTIF(KQ19:KQ19,"A"))*4)+((COUNTIF(KQ19:KQ19,"B"))*3)+((COUNTIF(KQ19:KQ19,"C"))*2)+((COUNTIF(KQ19:KQ19,"D"))*1))*CELL("contenu",$B$18),0))/IF(SUM(COUNTA(KQ5:KQ6)*CELL("contenu",$B$4),COUNTA(KQ8:KQ11)*CELL("contenu",$B$7),COUNTA(KQ13:KQ13)*CELL("contenu",$B$12),COUNTA(KQ15:KQ17)*CELL("contenu",$B$14),COUNTA(KQ19:KQ19)*CELL("contenu",$B$18))=0,1,SUM(COUNTA(KQ5:KQ6)*CELL("contenu",$B$4),COUNTA(KQ8:KQ11)*CELL("contenu",$B$7),COUNTA(KQ13:KQ13)*CELL("contenu",$B$12),COUNTA(KQ15:KQ17)*CELL("contenu",$B$14),COUNTA(KQ19:KQ19)*CELL("contenu",$B$18))))</f>
        <v/>
      </c>
      <c r="KR20" s="184" t="str">
        <f ca="1">IF(COUNTA(KR5:KR19)=0,"",5*SUM(IFERROR((((COUNTIF(KR5:KR6,"A"))*4)+((COUNTIF(KR5:KR6,"B"))*3)+((COUNTIF(KR5:KR6,"C"))*2)+((COUNTIF(KR5:KR6,"D"))*1))*CELL("contenu",$B$4),0),IFERROR((((COUNTIF(KR8:KR11,"A"))*4)+((COUNTIF(KR8:KR11,"B"))*3)+((COUNTIF(KR8:KR11,"C"))*2)+((COUNTIF(KR8:KR11,"D"))*1))*CELL("contenu",$B$7),0),IFERROR((((COUNTIF(KR13:KR13,"A"))*4)+((COUNTIF(KR13:KR13,"B"))*3)+((COUNTIF(KR13:KR13,"C"))*2)+((COUNTIF(KR13:KR13,"D"))*1))*CELL("contenu",$B$12),0),IFERROR((((COUNTIF(KR15:KR17,"A"))*4)+((COUNTIF(KR15:KR17,"B"))*3)+((COUNTIF(KR15:KR17,"C"))*2)+((COUNTIF(KR15:KR17,"D"))*1))*CELL("contenu",$B$14),0),IFERROR((((COUNTIF(KR19:KR19,"A"))*4)+((COUNTIF(KR19:KR19,"B"))*3)+((COUNTIF(KR19:KR19,"C"))*2)+((COUNTIF(KR19:KR19,"D"))*1))*CELL("contenu",$B$18),0))/IF(SUM(COUNTA(KR5:KR6)*CELL("contenu",$B$4),COUNTA(KR8:KR11)*CELL("contenu",$B$7),COUNTA(KR13:KR13)*CELL("contenu",$B$12),COUNTA(KR15:KR17)*CELL("contenu",$B$14),COUNTA(KR19:KR19)*CELL("contenu",$B$18))=0,1,SUM(COUNTA(KR5:KR6)*CELL("contenu",$B$4),COUNTA(KR8:KR11)*CELL("contenu",$B$7),COUNTA(KR13:KR13)*CELL("contenu",$B$12),COUNTA(KR15:KR17)*CELL("contenu",$B$14),COUNTA(KR19:KR19)*CELL("contenu",$B$18))))</f>
        <v/>
      </c>
      <c r="KS20" s="176"/>
      <c r="KT20" s="174" t="str">
        <f ca="1">IF(COUNTA(KP20:KR20)-COUNTBLANK(KP20:KR20)=0,"",SUM(KP20:KR20)/(COUNTA(KP20:KR20)-COUNTBLANK(KP20:KR20)))</f>
        <v/>
      </c>
      <c r="KU20" s="103"/>
      <c r="KV20" s="141"/>
      <c r="KW20" s="167">
        <f ca="1">IF(COUNTA(KW5:KW19)=0,"",5*SUM(IFERROR((((COUNTIF(KW5:KW6,"A"))*4)+((COUNTIF(KW5:KW6,"B"))*3)+((COUNTIF(KW5:KW6,"C"))*2)+((COUNTIF(KW5:KW6,"D"))*1))*CELL("contenu",$B$4),0),IFERROR((((COUNTIF(KW8:KW11,"A"))*4)+((COUNTIF(KW8:KW11,"B"))*3)+((COUNTIF(KW8:KW11,"C"))*2)+((COUNTIF(KW8:KW11,"D"))*1))*CELL("contenu",$B$7),0),IFERROR((((COUNTIF(KW13:KW13,"A"))*4)+((COUNTIF(KW13:KW13,"B"))*3)+((COUNTIF(KW13:KW13,"C"))*2)+((COUNTIF(KW13:KW13,"D"))*1))*CELL("contenu",$B$12),0),IFERROR((((COUNTIF(KW15:KW17,"A"))*4)+((COUNTIF(KW15:KW17,"B"))*3)+((COUNTIF(KW15:KW17,"C"))*2)+((COUNTIF(KW15:KW17,"D"))*1))*CELL("contenu",$B$14),0),IFERROR((((COUNTIF(KW19:KW19,"A"))*4)+((COUNTIF(KW19:KW19,"B"))*3)+((COUNTIF(KW19:KW19,"C"))*2)+((COUNTIF(KW19:KW19,"D"))*1))*CELL("contenu",$B$18),0))/IF(SUM(COUNTA(KW5:KW6)*CELL("contenu",$B$4),COUNTA(KW8:KW11)*CELL("contenu",$B$7),COUNTA(KW13:KW13)*CELL("contenu",$B$12),COUNTA(KW15:KW17)*CELL("contenu",$B$14),COUNTA(KW19:KW19)*CELL("contenu",$B$18))=0,1,SUM(COUNTA(KW5:KW6)*CELL("contenu",$B$4),COUNTA(KW8:KW11)*CELL("contenu",$B$7),COUNTA(KW13:KW13)*CELL("contenu",$B$12),COUNTA(KW15:KW17)*CELL("contenu",$B$14),COUNTA(KW19:KW19)*CELL("contenu",$B$18))))</f>
        <v>13.333333333333334</v>
      </c>
      <c r="KX20" s="168">
        <f ca="1">IF(COUNTA(KX5:KX19)=0,"",5*SUM(IFERROR((((COUNTIF(KX5:KX6,"A"))*4)+((COUNTIF(KX5:KX6,"B"))*3)+((COUNTIF(KX5:KX6,"C"))*2)+((COUNTIF(KX5:KX6,"D"))*1))*CELL("contenu",$B$4),0),IFERROR((((COUNTIF(KX8:KX11,"A"))*4)+((COUNTIF(KX8:KX11,"B"))*3)+((COUNTIF(KX8:KX11,"C"))*2)+((COUNTIF(KX8:KX11,"D"))*1))*CELL("contenu",$B$7),0),IFERROR((((COUNTIF(KX13:KX13,"A"))*4)+((COUNTIF(KX13:KX13,"B"))*3)+((COUNTIF(KX13:KX13,"C"))*2)+((COUNTIF(KX13:KX13,"D"))*1))*CELL("contenu",$B$12),0),IFERROR((((COUNTIF(KX15:KX17,"A"))*4)+((COUNTIF(KX15:KX17,"B"))*3)+((COUNTIF(KX15:KX17,"C"))*2)+((COUNTIF(KX15:KX17,"D"))*1))*CELL("contenu",$B$14),0),IFERROR((((COUNTIF(KX19:KX19,"A"))*4)+((COUNTIF(KX19:KX19,"B"))*3)+((COUNTIF(KX19:KX19,"C"))*2)+((COUNTIF(KX19:KX19,"D"))*1))*CELL("contenu",$B$18),0))/IF(SUM(COUNTA(KX5:KX6)*CELL("contenu",$B$4),COUNTA(KX8:KX11)*CELL("contenu",$B$7),COUNTA(KX13:KX13)*CELL("contenu",$B$12),COUNTA(KX15:KX17)*CELL("contenu",$B$14),COUNTA(KX19:KX19)*CELL("contenu",$B$18))=0,1,SUM(COUNTA(KX5:KX6)*CELL("contenu",$B$4),COUNTA(KX8:KX11)*CELL("contenu",$B$7),COUNTA(KX13:KX13)*CELL("contenu",$B$12),COUNTA(KX15:KX17)*CELL("contenu",$B$14),COUNTA(KX19:KX19)*CELL("contenu",$B$18))))</f>
        <v>11.666666666666666</v>
      </c>
      <c r="KY20" s="169" t="str">
        <f ca="1">IF(COUNTA(KY5:KY19)=0,"",5*SUM(IFERROR((((COUNTIF(KY5:KY6,"A"))*4)+((COUNTIF(KY5:KY6,"B"))*3)+((COUNTIF(KY5:KY6,"C"))*2)+((COUNTIF(KY5:KY6,"D"))*1))*CELL("contenu",$B$4),0),IFERROR((((COUNTIF(KY8:KY11,"A"))*4)+((COUNTIF(KY8:KY11,"B"))*3)+((COUNTIF(KY8:KY11,"C"))*2)+((COUNTIF(KY8:KY11,"D"))*1))*CELL("contenu",$B$7),0),IFERROR((((COUNTIF(KY13:KY13,"A"))*4)+((COUNTIF(KY13:KY13,"B"))*3)+((COUNTIF(KY13:KY13,"C"))*2)+((COUNTIF(KY13:KY13,"D"))*1))*CELL("contenu",$B$12),0),IFERROR((((COUNTIF(KY15:KY17,"A"))*4)+((COUNTIF(KY15:KY17,"B"))*3)+((COUNTIF(KY15:KY17,"C"))*2)+((COUNTIF(KY15:KY17,"D"))*1))*CELL("contenu",$B$14),0),IFERROR((((COUNTIF(KY19:KY19,"A"))*4)+((COUNTIF(KY19:KY19,"B"))*3)+((COUNTIF(KY19:KY19,"C"))*2)+((COUNTIF(KY19:KY19,"D"))*1))*CELL("contenu",$B$18),0))/IF(SUM(COUNTA(KY5:KY6)*CELL("contenu",$B$4),COUNTA(KY8:KY11)*CELL("contenu",$B$7),COUNTA(KY13:KY13)*CELL("contenu",$B$12),COUNTA(KY15:KY17)*CELL("contenu",$B$14),COUNTA(KY19:KY19)*CELL("contenu",$B$18))=0,1,SUM(COUNTA(KY5:KY6)*CELL("contenu",$B$4),COUNTA(KY8:KY11)*CELL("contenu",$B$7),COUNTA(KY13:KY13)*CELL("contenu",$B$12),COUNTA(KY15:KY17)*CELL("contenu",$B$14),COUNTA(KY19:KY19)*CELL("contenu",$B$18))))</f>
        <v/>
      </c>
      <c r="KZ20" s="116"/>
      <c r="LA20" s="192">
        <f ca="1">IF(COUNTA(KW20:KY20)-COUNTBLANK(KW20:KY20)=0,"",SUM(KW20:KY20)/(COUNTA(KW20:KY20)-COUNTBLANK(KW20:KY20)))</f>
        <v>12.5</v>
      </c>
      <c r="LB20" s="182" t="str">
        <f ca="1">IF(COUNTA(LB5:LB19)=0,"",5*SUM(IFERROR((((COUNTIF(LB5:LB6,"A"))*4)+((COUNTIF(LB5:LB6,"B"))*3)+((COUNTIF(LB5:LB6,"C"))*2)+((COUNTIF(LB5:LB6,"D"))*1))*CELL("contenu",$B$4),0),IFERROR((((COUNTIF(LB8:LB11,"A"))*4)+((COUNTIF(LB8:LB11,"B"))*3)+((COUNTIF(LB8:LB11,"C"))*2)+((COUNTIF(LB8:LB11,"D"))*1))*CELL("contenu",$B$7),0),IFERROR((((COUNTIF(LB13:LB13,"A"))*4)+((COUNTIF(LB13:LB13,"B"))*3)+((COUNTIF(LB13:LB13,"C"))*2)+((COUNTIF(LB13:LB13,"D"))*1))*CELL("contenu",$B$12),0),IFERROR((((COUNTIF(LB15:LB17,"A"))*4)+((COUNTIF(LB15:LB17,"B"))*3)+((COUNTIF(LB15:LB17,"C"))*2)+((COUNTIF(LB15:LB17,"D"))*1))*CELL("contenu",$B$14),0),IFERROR((((COUNTIF(LB19:LB19,"A"))*4)+((COUNTIF(LB19:LB19,"B"))*3)+((COUNTIF(LB19:LB19,"C"))*2)+((COUNTIF(LB19:LB19,"D"))*1))*CELL("contenu",$B$18),0))/IF(SUM(COUNTA(LB5:LB6)*CELL("contenu",$B$4),COUNTA(LB8:LB11)*CELL("contenu",$B$7),COUNTA(LB13:LB13)*CELL("contenu",$B$12),COUNTA(LB15:LB17)*CELL("contenu",$B$14),COUNTA(LB19:LB19)*CELL("contenu",$B$18))=0,1,SUM(COUNTA(LB5:LB6)*CELL("contenu",$B$4),COUNTA(LB8:LB11)*CELL("contenu",$B$7),COUNTA(LB13:LB13)*CELL("contenu",$B$12),COUNTA(LB15:LB17)*CELL("contenu",$B$14),COUNTA(LB19:LB19)*CELL("contenu",$B$18))))</f>
        <v/>
      </c>
      <c r="LC20" s="183" t="str">
        <f ca="1">IF(COUNTA(LC5:LC19)=0,"",5*SUM(IFERROR((((COUNTIF(LC5:LC6,"A"))*4)+((COUNTIF(LC5:LC6,"B"))*3)+((COUNTIF(LC5:LC6,"C"))*2)+((COUNTIF(LC5:LC6,"D"))*1))*CELL("contenu",$B$4),0),IFERROR((((COUNTIF(LC8:LC11,"A"))*4)+((COUNTIF(LC8:LC11,"B"))*3)+((COUNTIF(LC8:LC11,"C"))*2)+((COUNTIF(LC8:LC11,"D"))*1))*CELL("contenu",$B$7),0),IFERROR((((COUNTIF(LC13:LC13,"A"))*4)+((COUNTIF(LC13:LC13,"B"))*3)+((COUNTIF(LC13:LC13,"C"))*2)+((COUNTIF(LC13:LC13,"D"))*1))*CELL("contenu",$B$12),0),IFERROR((((COUNTIF(LC15:LC17,"A"))*4)+((COUNTIF(LC15:LC17,"B"))*3)+((COUNTIF(LC15:LC17,"C"))*2)+((COUNTIF(LC15:LC17,"D"))*1))*CELL("contenu",$B$14),0),IFERROR((((COUNTIF(LC19:LC19,"A"))*4)+((COUNTIF(LC19:LC19,"B"))*3)+((COUNTIF(LC19:LC19,"C"))*2)+((COUNTIF(LC19:LC19,"D"))*1))*CELL("contenu",$B$18),0))/IF(SUM(COUNTA(LC5:LC6)*CELL("contenu",$B$4),COUNTA(LC8:LC11)*CELL("contenu",$B$7),COUNTA(LC13:LC13)*CELL("contenu",$B$12),COUNTA(LC15:LC17)*CELL("contenu",$B$14),COUNTA(LC19:LC19)*CELL("contenu",$B$18))=0,1,SUM(COUNTA(LC5:LC6)*CELL("contenu",$B$4),COUNTA(LC8:LC11)*CELL("contenu",$B$7),COUNTA(LC13:LC13)*CELL("contenu",$B$12),COUNTA(LC15:LC17)*CELL("contenu",$B$14),COUNTA(LC19:LC19)*CELL("contenu",$B$18))))</f>
        <v/>
      </c>
      <c r="LD20" s="184" t="str">
        <f ca="1">IF(COUNTA(LD5:LD19)=0,"",5*SUM(IFERROR((((COUNTIF(LD5:LD6,"A"))*4)+((COUNTIF(LD5:LD6,"B"))*3)+((COUNTIF(LD5:LD6,"C"))*2)+((COUNTIF(LD5:LD6,"D"))*1))*CELL("contenu",$B$4),0),IFERROR((((COUNTIF(LD8:LD11,"A"))*4)+((COUNTIF(LD8:LD11,"B"))*3)+((COUNTIF(LD8:LD11,"C"))*2)+((COUNTIF(LD8:LD11,"D"))*1))*CELL("contenu",$B$7),0),IFERROR((((COUNTIF(LD13:LD13,"A"))*4)+((COUNTIF(LD13:LD13,"B"))*3)+((COUNTIF(LD13:LD13,"C"))*2)+((COUNTIF(LD13:LD13,"D"))*1))*CELL("contenu",$B$12),0),IFERROR((((COUNTIF(LD15:LD17,"A"))*4)+((COUNTIF(LD15:LD17,"B"))*3)+((COUNTIF(LD15:LD17,"C"))*2)+((COUNTIF(LD15:LD17,"D"))*1))*CELL("contenu",$B$14),0),IFERROR((((COUNTIF(LD19:LD19,"A"))*4)+((COUNTIF(LD19:LD19,"B"))*3)+((COUNTIF(LD19:LD19,"C"))*2)+((COUNTIF(LD19:LD19,"D"))*1))*CELL("contenu",$B$18),0))/IF(SUM(COUNTA(LD5:LD6)*CELL("contenu",$B$4),COUNTA(LD8:LD11)*CELL("contenu",$B$7),COUNTA(LD13:LD13)*CELL("contenu",$B$12),COUNTA(LD15:LD17)*CELL("contenu",$B$14),COUNTA(LD19:LD19)*CELL("contenu",$B$18))=0,1,SUM(COUNTA(LD5:LD6)*CELL("contenu",$B$4),COUNTA(LD8:LD11)*CELL("contenu",$B$7),COUNTA(LD13:LD13)*CELL("contenu",$B$12),COUNTA(LD15:LD17)*CELL("contenu",$B$14),COUNTA(LD19:LD19)*CELL("contenu",$B$18))))</f>
        <v/>
      </c>
      <c r="LE20" s="176"/>
      <c r="LF20" s="175" t="str">
        <f ca="1">IF(COUNTA(LB20:LD20)-COUNTBLANK(LB20:LD20)=0,"",SUM(LB20:LD20)/(COUNTA(LB20:LD20)-COUNTBLANK(LB20:LD20)))</f>
        <v/>
      </c>
      <c r="LG20" s="182" t="str">
        <f ca="1">IF(COUNTA(LG5:LG19)=0,"",5*SUM(IFERROR((((COUNTIF(LG5:LG6,"A"))*4)+((COUNTIF(LG5:LG6,"B"))*3)+((COUNTIF(LG5:LG6,"C"))*2)+((COUNTIF(LG5:LG6,"D"))*1))*CELL("contenu",$B$4),0),IFERROR((((COUNTIF(LG8:LG11,"A"))*4)+((COUNTIF(LG8:LG11,"B"))*3)+((COUNTIF(LG8:LG11,"C"))*2)+((COUNTIF(LG8:LG11,"D"))*1))*CELL("contenu",$B$7),0),IFERROR((((COUNTIF(LG13:LG13,"A"))*4)+((COUNTIF(LG13:LG13,"B"))*3)+((COUNTIF(LG13:LG13,"C"))*2)+((COUNTIF(LG13:LG13,"D"))*1))*CELL("contenu",$B$12),0),IFERROR((((COUNTIF(LG15:LG17,"A"))*4)+((COUNTIF(LG15:LG17,"B"))*3)+((COUNTIF(LG15:LG17,"C"))*2)+((COUNTIF(LG15:LG17,"D"))*1))*CELL("contenu",$B$14),0),IFERROR((((COUNTIF(LG19:LG19,"A"))*4)+((COUNTIF(LG19:LG19,"B"))*3)+((COUNTIF(LG19:LG19,"C"))*2)+((COUNTIF(LG19:LG19,"D"))*1))*CELL("contenu",$B$18),0))/IF(SUM(COUNTA(LG5:LG6)*CELL("contenu",$B$4),COUNTA(LG8:LG11)*CELL("contenu",$B$7),COUNTA(LG13:LG13)*CELL("contenu",$B$12),COUNTA(LG15:LG17)*CELL("contenu",$B$14),COUNTA(LG19:LG19)*CELL("contenu",$B$18))=0,1,SUM(COUNTA(LG5:LG6)*CELL("contenu",$B$4),COUNTA(LG8:LG11)*CELL("contenu",$B$7),COUNTA(LG13:LG13)*CELL("contenu",$B$12),COUNTA(LG15:LG17)*CELL("contenu",$B$14),COUNTA(LG19:LG19)*CELL("contenu",$B$18))))</f>
        <v/>
      </c>
      <c r="LH20" s="183" t="str">
        <f ca="1">IF(COUNTA(LH5:LH19)=0,"",5*SUM(IFERROR((((COUNTIF(LH5:LH6,"A"))*4)+((COUNTIF(LH5:LH6,"B"))*3)+((COUNTIF(LH5:LH6,"C"))*2)+((COUNTIF(LH5:LH6,"D"))*1))*CELL("contenu",$B$4),0),IFERROR((((COUNTIF(LH8:LH11,"A"))*4)+((COUNTIF(LH8:LH11,"B"))*3)+((COUNTIF(LH8:LH11,"C"))*2)+((COUNTIF(LH8:LH11,"D"))*1))*CELL("contenu",$B$7),0),IFERROR((((COUNTIF(LH13:LH13,"A"))*4)+((COUNTIF(LH13:LH13,"B"))*3)+((COUNTIF(LH13:LH13,"C"))*2)+((COUNTIF(LH13:LH13,"D"))*1))*CELL("contenu",$B$12),0),IFERROR((((COUNTIF(LH15:LH17,"A"))*4)+((COUNTIF(LH15:LH17,"B"))*3)+((COUNTIF(LH15:LH17,"C"))*2)+((COUNTIF(LH15:LH17,"D"))*1))*CELL("contenu",$B$14),0),IFERROR((((COUNTIF(LH19:LH19,"A"))*4)+((COUNTIF(LH19:LH19,"B"))*3)+((COUNTIF(LH19:LH19,"C"))*2)+((COUNTIF(LH19:LH19,"D"))*1))*CELL("contenu",$B$18),0))/IF(SUM(COUNTA(LH5:LH6)*CELL("contenu",$B$4),COUNTA(LH8:LH11)*CELL("contenu",$B$7),COUNTA(LH13:LH13)*CELL("contenu",$B$12),COUNTA(LH15:LH17)*CELL("contenu",$B$14),COUNTA(LH19:LH19)*CELL("contenu",$B$18))=0,1,SUM(COUNTA(LH5:LH6)*CELL("contenu",$B$4),COUNTA(LH8:LH11)*CELL("contenu",$B$7),COUNTA(LH13:LH13)*CELL("contenu",$B$12),COUNTA(LH15:LH17)*CELL("contenu",$B$14),COUNTA(LH19:LH19)*CELL("contenu",$B$18))))</f>
        <v/>
      </c>
      <c r="LI20" s="184" t="str">
        <f ca="1">IF(COUNTA(LI5:LI19)=0,"",5*SUM(IFERROR((((COUNTIF(LI5:LI6,"A"))*4)+((COUNTIF(LI5:LI6,"B"))*3)+((COUNTIF(LI5:LI6,"C"))*2)+((COUNTIF(LI5:LI6,"D"))*1))*CELL("contenu",$B$4),0),IFERROR((((COUNTIF(LI8:LI11,"A"))*4)+((COUNTIF(LI8:LI11,"B"))*3)+((COUNTIF(LI8:LI11,"C"))*2)+((COUNTIF(LI8:LI11,"D"))*1))*CELL("contenu",$B$7),0),IFERROR((((COUNTIF(LI13:LI13,"A"))*4)+((COUNTIF(LI13:LI13,"B"))*3)+((COUNTIF(LI13:LI13,"C"))*2)+((COUNTIF(LI13:LI13,"D"))*1))*CELL("contenu",$B$12),0),IFERROR((((COUNTIF(LI15:LI17,"A"))*4)+((COUNTIF(LI15:LI17,"B"))*3)+((COUNTIF(LI15:LI17,"C"))*2)+((COUNTIF(LI15:LI17,"D"))*1))*CELL("contenu",$B$14),0),IFERROR((((COUNTIF(LI19:LI19,"A"))*4)+((COUNTIF(LI19:LI19,"B"))*3)+((COUNTIF(LI19:LI19,"C"))*2)+((COUNTIF(LI19:LI19,"D"))*1))*CELL("contenu",$B$18),0))/IF(SUM(COUNTA(LI5:LI6)*CELL("contenu",$B$4),COUNTA(LI8:LI11)*CELL("contenu",$B$7),COUNTA(LI13:LI13)*CELL("contenu",$B$12),COUNTA(LI15:LI17)*CELL("contenu",$B$14),COUNTA(LI19:LI19)*CELL("contenu",$B$18))=0,1,SUM(COUNTA(LI5:LI6)*CELL("contenu",$B$4),COUNTA(LI8:LI11)*CELL("contenu",$B$7),COUNTA(LI13:LI13)*CELL("contenu",$B$12),COUNTA(LI15:LI17)*CELL("contenu",$B$14),COUNTA(LI19:LI19)*CELL("contenu",$B$18))))</f>
        <v/>
      </c>
      <c r="LJ20" s="176"/>
      <c r="LK20" s="174" t="str">
        <f ca="1">IF(COUNTA(LG20:LI20)-COUNTBLANK(LG20:LI20)=0,"",SUM(LG20:LI20)/(COUNTA(LG20:LI20)-COUNTBLANK(LG20:LI20)))</f>
        <v/>
      </c>
      <c r="LL20" s="103"/>
      <c r="LM20" s="141"/>
      <c r="LN20" s="167">
        <f ca="1">IF(COUNTA(LN5:LN19)=0,"",5*SUM(IFERROR((((COUNTIF(LN5:LN6,"A"))*4)+((COUNTIF(LN5:LN6,"B"))*3)+((COUNTIF(LN5:LN6,"C"))*2)+((COUNTIF(LN5:LN6,"D"))*1))*CELL("contenu",$B$4),0),IFERROR((((COUNTIF(LN8:LN11,"A"))*4)+((COUNTIF(LN8:LN11,"B"))*3)+((COUNTIF(LN8:LN11,"C"))*2)+((COUNTIF(LN8:LN11,"D"))*1))*CELL("contenu",$B$7),0),IFERROR((((COUNTIF(LN13:LN13,"A"))*4)+((COUNTIF(LN13:LN13,"B"))*3)+((COUNTIF(LN13:LN13,"C"))*2)+((COUNTIF(LN13:LN13,"D"))*1))*CELL("contenu",$B$12),0),IFERROR((((COUNTIF(LN15:LN17,"A"))*4)+((COUNTIF(LN15:LN17,"B"))*3)+((COUNTIF(LN15:LN17,"C"))*2)+((COUNTIF(LN15:LN17,"D"))*1))*CELL("contenu",$B$14),0),IFERROR((((COUNTIF(LN19:LN19,"A"))*4)+((COUNTIF(LN19:LN19,"B"))*3)+((COUNTIF(LN19:LN19,"C"))*2)+((COUNTIF(LN19:LN19,"D"))*1))*CELL("contenu",$B$18),0))/IF(SUM(COUNTA(LN5:LN6)*CELL("contenu",$B$4),COUNTA(LN8:LN11)*CELL("contenu",$B$7),COUNTA(LN13:LN13)*CELL("contenu",$B$12),COUNTA(LN15:LN17)*CELL("contenu",$B$14),COUNTA(LN19:LN19)*CELL("contenu",$B$18))=0,1,SUM(COUNTA(LN5:LN6)*CELL("contenu",$B$4),COUNTA(LN8:LN11)*CELL("contenu",$B$7),COUNTA(LN13:LN13)*CELL("contenu",$B$12),COUNTA(LN15:LN17)*CELL("contenu",$B$14),COUNTA(LN19:LN19)*CELL("contenu",$B$18))))</f>
        <v>18.333333333333332</v>
      </c>
      <c r="LO20" s="168">
        <f ca="1">IF(COUNTA(LO5:LO19)=0,"",5*SUM(IFERROR((((COUNTIF(LO5:LO6,"A"))*4)+((COUNTIF(LO5:LO6,"B"))*3)+((COUNTIF(LO5:LO6,"C"))*2)+((COUNTIF(LO5:LO6,"D"))*1))*CELL("contenu",$B$4),0),IFERROR((((COUNTIF(LO8:LO11,"A"))*4)+((COUNTIF(LO8:LO11,"B"))*3)+((COUNTIF(LO8:LO11,"C"))*2)+((COUNTIF(LO8:LO11,"D"))*1))*CELL("contenu",$B$7),0),IFERROR((((COUNTIF(LO13:LO13,"A"))*4)+((COUNTIF(LO13:LO13,"B"))*3)+((COUNTIF(LO13:LO13,"C"))*2)+((COUNTIF(LO13:LO13,"D"))*1))*CELL("contenu",$B$12),0),IFERROR((((COUNTIF(LO15:LO17,"A"))*4)+((COUNTIF(LO15:LO17,"B"))*3)+((COUNTIF(LO15:LO17,"C"))*2)+((COUNTIF(LO15:LO17,"D"))*1))*CELL("contenu",$B$14),0),IFERROR((((COUNTIF(LO19:LO19,"A"))*4)+((COUNTIF(LO19:LO19,"B"))*3)+((COUNTIF(LO19:LO19,"C"))*2)+((COUNTIF(LO19:LO19,"D"))*1))*CELL("contenu",$B$18),0))/IF(SUM(COUNTA(LO5:LO6)*CELL("contenu",$B$4),COUNTA(LO8:LO11)*CELL("contenu",$B$7),COUNTA(LO13:LO13)*CELL("contenu",$B$12),COUNTA(LO15:LO17)*CELL("contenu",$B$14),COUNTA(LO19:LO19)*CELL("contenu",$B$18))=0,1,SUM(COUNTA(LO5:LO6)*CELL("contenu",$B$4),COUNTA(LO8:LO11)*CELL("contenu",$B$7),COUNTA(LO13:LO13)*CELL("contenu",$B$12),COUNTA(LO15:LO17)*CELL("contenu",$B$14),COUNTA(LO19:LO19)*CELL("contenu",$B$18))))</f>
        <v>16.666666666666668</v>
      </c>
      <c r="LP20" s="169" t="str">
        <f ca="1">IF(COUNTA(LP5:LP19)=0,"",5*SUM(IFERROR((((COUNTIF(LP5:LP6,"A"))*4)+((COUNTIF(LP5:LP6,"B"))*3)+((COUNTIF(LP5:LP6,"C"))*2)+((COUNTIF(LP5:LP6,"D"))*1))*CELL("contenu",$B$4),0),IFERROR((((COUNTIF(LP8:LP11,"A"))*4)+((COUNTIF(LP8:LP11,"B"))*3)+((COUNTIF(LP8:LP11,"C"))*2)+((COUNTIF(LP8:LP11,"D"))*1))*CELL("contenu",$B$7),0),IFERROR((((COUNTIF(LP13:LP13,"A"))*4)+((COUNTIF(LP13:LP13,"B"))*3)+((COUNTIF(LP13:LP13,"C"))*2)+((COUNTIF(LP13:LP13,"D"))*1))*CELL("contenu",$B$12),0),IFERROR((((COUNTIF(LP15:LP17,"A"))*4)+((COUNTIF(LP15:LP17,"B"))*3)+((COUNTIF(LP15:LP17,"C"))*2)+((COUNTIF(LP15:LP17,"D"))*1))*CELL("contenu",$B$14),0),IFERROR((((COUNTIF(LP19:LP19,"A"))*4)+((COUNTIF(LP19:LP19,"B"))*3)+((COUNTIF(LP19:LP19,"C"))*2)+((COUNTIF(LP19:LP19,"D"))*1))*CELL("contenu",$B$18),0))/IF(SUM(COUNTA(LP5:LP6)*CELL("contenu",$B$4),COUNTA(LP8:LP11)*CELL("contenu",$B$7),COUNTA(LP13:LP13)*CELL("contenu",$B$12),COUNTA(LP15:LP17)*CELL("contenu",$B$14),COUNTA(LP19:LP19)*CELL("contenu",$B$18))=0,1,SUM(COUNTA(LP5:LP6)*CELL("contenu",$B$4),COUNTA(LP8:LP11)*CELL("contenu",$B$7),COUNTA(LP13:LP13)*CELL("contenu",$B$12),COUNTA(LP15:LP17)*CELL("contenu",$B$14),COUNTA(LP19:LP19)*CELL("contenu",$B$18))))</f>
        <v/>
      </c>
      <c r="LQ20" s="116"/>
      <c r="LR20" s="192">
        <f ca="1">IF(COUNTA(LN20:LP20)-COUNTBLANK(LN20:LP20)=0,"",SUM(LN20:LP20)/(COUNTA(LN20:LP20)-COUNTBLANK(LN20:LP20)))</f>
        <v>17.5</v>
      </c>
      <c r="LS20" s="182" t="str">
        <f ca="1">IF(COUNTA(LS5:LS19)=0,"",5*SUM(IFERROR((((COUNTIF(LS5:LS6,"A"))*4)+((COUNTIF(LS5:LS6,"B"))*3)+((COUNTIF(LS5:LS6,"C"))*2)+((COUNTIF(LS5:LS6,"D"))*1))*CELL("contenu",$B$4),0),IFERROR((((COUNTIF(LS8:LS11,"A"))*4)+((COUNTIF(LS8:LS11,"B"))*3)+((COUNTIF(LS8:LS11,"C"))*2)+((COUNTIF(LS8:LS11,"D"))*1))*CELL("contenu",$B$7),0),IFERROR((((COUNTIF(LS13:LS13,"A"))*4)+((COUNTIF(LS13:LS13,"B"))*3)+((COUNTIF(LS13:LS13,"C"))*2)+((COUNTIF(LS13:LS13,"D"))*1))*CELL("contenu",$B$12),0),IFERROR((((COUNTIF(LS15:LS17,"A"))*4)+((COUNTIF(LS15:LS17,"B"))*3)+((COUNTIF(LS15:LS17,"C"))*2)+((COUNTIF(LS15:LS17,"D"))*1))*CELL("contenu",$B$14),0),IFERROR((((COUNTIF(LS19:LS19,"A"))*4)+((COUNTIF(LS19:LS19,"B"))*3)+((COUNTIF(LS19:LS19,"C"))*2)+((COUNTIF(LS19:LS19,"D"))*1))*CELL("contenu",$B$18),0))/IF(SUM(COUNTA(LS5:LS6)*CELL("contenu",$B$4),COUNTA(LS8:LS11)*CELL("contenu",$B$7),COUNTA(LS13:LS13)*CELL("contenu",$B$12),COUNTA(LS15:LS17)*CELL("contenu",$B$14),COUNTA(LS19:LS19)*CELL("contenu",$B$18))=0,1,SUM(COUNTA(LS5:LS6)*CELL("contenu",$B$4),COUNTA(LS8:LS11)*CELL("contenu",$B$7),COUNTA(LS13:LS13)*CELL("contenu",$B$12),COUNTA(LS15:LS17)*CELL("contenu",$B$14),COUNTA(LS19:LS19)*CELL("contenu",$B$18))))</f>
        <v/>
      </c>
      <c r="LT20" s="183" t="str">
        <f ca="1">IF(COUNTA(LT5:LT19)=0,"",5*SUM(IFERROR((((COUNTIF(LT5:LT6,"A"))*4)+((COUNTIF(LT5:LT6,"B"))*3)+((COUNTIF(LT5:LT6,"C"))*2)+((COUNTIF(LT5:LT6,"D"))*1))*CELL("contenu",$B$4),0),IFERROR((((COUNTIF(LT8:LT11,"A"))*4)+((COUNTIF(LT8:LT11,"B"))*3)+((COUNTIF(LT8:LT11,"C"))*2)+((COUNTIF(LT8:LT11,"D"))*1))*CELL("contenu",$B$7),0),IFERROR((((COUNTIF(LT13:LT13,"A"))*4)+((COUNTIF(LT13:LT13,"B"))*3)+((COUNTIF(LT13:LT13,"C"))*2)+((COUNTIF(LT13:LT13,"D"))*1))*CELL("contenu",$B$12),0),IFERROR((((COUNTIF(LT15:LT17,"A"))*4)+((COUNTIF(LT15:LT17,"B"))*3)+((COUNTIF(LT15:LT17,"C"))*2)+((COUNTIF(LT15:LT17,"D"))*1))*CELL("contenu",$B$14),0),IFERROR((((COUNTIF(LT19:LT19,"A"))*4)+((COUNTIF(LT19:LT19,"B"))*3)+((COUNTIF(LT19:LT19,"C"))*2)+((COUNTIF(LT19:LT19,"D"))*1))*CELL("contenu",$B$18),0))/IF(SUM(COUNTA(LT5:LT6)*CELL("contenu",$B$4),COUNTA(LT8:LT11)*CELL("contenu",$B$7),COUNTA(LT13:LT13)*CELL("contenu",$B$12),COUNTA(LT15:LT17)*CELL("contenu",$B$14),COUNTA(LT19:LT19)*CELL("contenu",$B$18))=0,1,SUM(COUNTA(LT5:LT6)*CELL("contenu",$B$4),COUNTA(LT8:LT11)*CELL("contenu",$B$7),COUNTA(LT13:LT13)*CELL("contenu",$B$12),COUNTA(LT15:LT17)*CELL("contenu",$B$14),COUNTA(LT19:LT19)*CELL("contenu",$B$18))))</f>
        <v/>
      </c>
      <c r="LU20" s="184" t="str">
        <f ca="1">IF(COUNTA(LU5:LU19)=0,"",5*SUM(IFERROR((((COUNTIF(LU5:LU6,"A"))*4)+((COUNTIF(LU5:LU6,"B"))*3)+((COUNTIF(LU5:LU6,"C"))*2)+((COUNTIF(LU5:LU6,"D"))*1))*CELL("contenu",$B$4),0),IFERROR((((COUNTIF(LU8:LU11,"A"))*4)+((COUNTIF(LU8:LU11,"B"))*3)+((COUNTIF(LU8:LU11,"C"))*2)+((COUNTIF(LU8:LU11,"D"))*1))*CELL("contenu",$B$7),0),IFERROR((((COUNTIF(LU13:LU13,"A"))*4)+((COUNTIF(LU13:LU13,"B"))*3)+((COUNTIF(LU13:LU13,"C"))*2)+((COUNTIF(LU13:LU13,"D"))*1))*CELL("contenu",$B$12),0),IFERROR((((COUNTIF(LU15:LU17,"A"))*4)+((COUNTIF(LU15:LU17,"B"))*3)+((COUNTIF(LU15:LU17,"C"))*2)+((COUNTIF(LU15:LU17,"D"))*1))*CELL("contenu",$B$14),0),IFERROR((((COUNTIF(LU19:LU19,"A"))*4)+((COUNTIF(LU19:LU19,"B"))*3)+((COUNTIF(LU19:LU19,"C"))*2)+((COUNTIF(LU19:LU19,"D"))*1))*CELL("contenu",$B$18),0))/IF(SUM(COUNTA(LU5:LU6)*CELL("contenu",$B$4),COUNTA(LU8:LU11)*CELL("contenu",$B$7),COUNTA(LU13:LU13)*CELL("contenu",$B$12),COUNTA(LU15:LU17)*CELL("contenu",$B$14),COUNTA(LU19:LU19)*CELL("contenu",$B$18))=0,1,SUM(COUNTA(LU5:LU6)*CELL("contenu",$B$4),COUNTA(LU8:LU11)*CELL("contenu",$B$7),COUNTA(LU13:LU13)*CELL("contenu",$B$12),COUNTA(LU15:LU17)*CELL("contenu",$B$14),COUNTA(LU19:LU19)*CELL("contenu",$B$18))))</f>
        <v/>
      </c>
      <c r="LV20" s="176"/>
      <c r="LW20" s="175" t="str">
        <f ca="1">IF(COUNTA(LS20:LU20)-COUNTBLANK(LS20:LU20)=0,"",SUM(LS20:LU20)/(COUNTA(LS20:LU20)-COUNTBLANK(LS20:LU20)))</f>
        <v/>
      </c>
      <c r="LX20" s="182" t="str">
        <f ca="1">IF(COUNTA(LX5:LX19)=0,"",5*SUM(IFERROR((((COUNTIF(LX5:LX6,"A"))*4)+((COUNTIF(LX5:LX6,"B"))*3)+((COUNTIF(LX5:LX6,"C"))*2)+((COUNTIF(LX5:LX6,"D"))*1))*CELL("contenu",$B$4),0),IFERROR((((COUNTIF(LX8:LX11,"A"))*4)+((COUNTIF(LX8:LX11,"B"))*3)+((COUNTIF(LX8:LX11,"C"))*2)+((COUNTIF(LX8:LX11,"D"))*1))*CELL("contenu",$B$7),0),IFERROR((((COUNTIF(LX13:LX13,"A"))*4)+((COUNTIF(LX13:LX13,"B"))*3)+((COUNTIF(LX13:LX13,"C"))*2)+((COUNTIF(LX13:LX13,"D"))*1))*CELL("contenu",$B$12),0),IFERROR((((COUNTIF(LX15:LX17,"A"))*4)+((COUNTIF(LX15:LX17,"B"))*3)+((COUNTIF(LX15:LX17,"C"))*2)+((COUNTIF(LX15:LX17,"D"))*1))*CELL("contenu",$B$14),0),IFERROR((((COUNTIF(LX19:LX19,"A"))*4)+((COUNTIF(LX19:LX19,"B"))*3)+((COUNTIF(LX19:LX19,"C"))*2)+((COUNTIF(LX19:LX19,"D"))*1))*CELL("contenu",$B$18),0))/IF(SUM(COUNTA(LX5:LX6)*CELL("contenu",$B$4),COUNTA(LX8:LX11)*CELL("contenu",$B$7),COUNTA(LX13:LX13)*CELL("contenu",$B$12),COUNTA(LX15:LX17)*CELL("contenu",$B$14),COUNTA(LX19:LX19)*CELL("contenu",$B$18))=0,1,SUM(COUNTA(LX5:LX6)*CELL("contenu",$B$4),COUNTA(LX8:LX11)*CELL("contenu",$B$7),COUNTA(LX13:LX13)*CELL("contenu",$B$12),COUNTA(LX15:LX17)*CELL("contenu",$B$14),COUNTA(LX19:LX19)*CELL("contenu",$B$18))))</f>
        <v/>
      </c>
      <c r="LY20" s="183" t="str">
        <f ca="1">IF(COUNTA(LY5:LY19)=0,"",5*SUM(IFERROR((((COUNTIF(LY5:LY6,"A"))*4)+((COUNTIF(LY5:LY6,"B"))*3)+((COUNTIF(LY5:LY6,"C"))*2)+((COUNTIF(LY5:LY6,"D"))*1))*CELL("contenu",$B$4),0),IFERROR((((COUNTIF(LY8:LY11,"A"))*4)+((COUNTIF(LY8:LY11,"B"))*3)+((COUNTIF(LY8:LY11,"C"))*2)+((COUNTIF(LY8:LY11,"D"))*1))*CELL("contenu",$B$7),0),IFERROR((((COUNTIF(LY13:LY13,"A"))*4)+((COUNTIF(LY13:LY13,"B"))*3)+((COUNTIF(LY13:LY13,"C"))*2)+((COUNTIF(LY13:LY13,"D"))*1))*CELL("contenu",$B$12),0),IFERROR((((COUNTIF(LY15:LY17,"A"))*4)+((COUNTIF(LY15:LY17,"B"))*3)+((COUNTIF(LY15:LY17,"C"))*2)+((COUNTIF(LY15:LY17,"D"))*1))*CELL("contenu",$B$14),0),IFERROR((((COUNTIF(LY19:LY19,"A"))*4)+((COUNTIF(LY19:LY19,"B"))*3)+((COUNTIF(LY19:LY19,"C"))*2)+((COUNTIF(LY19:LY19,"D"))*1))*CELL("contenu",$B$18),0))/IF(SUM(COUNTA(LY5:LY6)*CELL("contenu",$B$4),COUNTA(LY8:LY11)*CELL("contenu",$B$7),COUNTA(LY13:LY13)*CELL("contenu",$B$12),COUNTA(LY15:LY17)*CELL("contenu",$B$14),COUNTA(LY19:LY19)*CELL("contenu",$B$18))=0,1,SUM(COUNTA(LY5:LY6)*CELL("contenu",$B$4),COUNTA(LY8:LY11)*CELL("contenu",$B$7),COUNTA(LY13:LY13)*CELL("contenu",$B$12),COUNTA(LY15:LY17)*CELL("contenu",$B$14),COUNTA(LY19:LY19)*CELL("contenu",$B$18))))</f>
        <v/>
      </c>
      <c r="LZ20" s="184" t="str">
        <f ca="1">IF(COUNTA(LZ5:LZ19)=0,"",5*SUM(IFERROR((((COUNTIF(LZ5:LZ6,"A"))*4)+((COUNTIF(LZ5:LZ6,"B"))*3)+((COUNTIF(LZ5:LZ6,"C"))*2)+((COUNTIF(LZ5:LZ6,"D"))*1))*CELL("contenu",$B$4),0),IFERROR((((COUNTIF(LZ8:LZ11,"A"))*4)+((COUNTIF(LZ8:LZ11,"B"))*3)+((COUNTIF(LZ8:LZ11,"C"))*2)+((COUNTIF(LZ8:LZ11,"D"))*1))*CELL("contenu",$B$7),0),IFERROR((((COUNTIF(LZ13:LZ13,"A"))*4)+((COUNTIF(LZ13:LZ13,"B"))*3)+((COUNTIF(LZ13:LZ13,"C"))*2)+((COUNTIF(LZ13:LZ13,"D"))*1))*CELL("contenu",$B$12),0),IFERROR((((COUNTIF(LZ15:LZ17,"A"))*4)+((COUNTIF(LZ15:LZ17,"B"))*3)+((COUNTIF(LZ15:LZ17,"C"))*2)+((COUNTIF(LZ15:LZ17,"D"))*1))*CELL("contenu",$B$14),0),IFERROR((((COUNTIF(LZ19:LZ19,"A"))*4)+((COUNTIF(LZ19:LZ19,"B"))*3)+((COUNTIF(LZ19:LZ19,"C"))*2)+((COUNTIF(LZ19:LZ19,"D"))*1))*CELL("contenu",$B$18),0))/IF(SUM(COUNTA(LZ5:LZ6)*CELL("contenu",$B$4),COUNTA(LZ8:LZ11)*CELL("contenu",$B$7),COUNTA(LZ13:LZ13)*CELL("contenu",$B$12),COUNTA(LZ15:LZ17)*CELL("contenu",$B$14),COUNTA(LZ19:LZ19)*CELL("contenu",$B$18))=0,1,SUM(COUNTA(LZ5:LZ6)*CELL("contenu",$B$4),COUNTA(LZ8:LZ11)*CELL("contenu",$B$7),COUNTA(LZ13:LZ13)*CELL("contenu",$B$12),COUNTA(LZ15:LZ17)*CELL("contenu",$B$14),COUNTA(LZ19:LZ19)*CELL("contenu",$B$18))))</f>
        <v/>
      </c>
      <c r="MA20" s="176"/>
      <c r="MB20" s="174" t="str">
        <f ca="1">IF(COUNTA(LX20:LZ20)-COUNTBLANK(LX20:LZ20)=0,"",SUM(LX20:LZ20)/(COUNTA(LX20:LZ20)-COUNTBLANK(LX20:LZ20)))</f>
        <v/>
      </c>
      <c r="MC20" s="103"/>
      <c r="MD20" s="141"/>
      <c r="ME20" s="167">
        <f ca="1">IF(COUNTA(ME5:ME19)=0,"",5*SUM(IFERROR((((COUNTIF(ME5:ME6,"A"))*4)+((COUNTIF(ME5:ME6,"B"))*3)+((COUNTIF(ME5:ME6,"C"))*2)+((COUNTIF(ME5:ME6,"D"))*1))*CELL("contenu",$B$4),0),IFERROR((((COUNTIF(ME8:ME11,"A"))*4)+((COUNTIF(ME8:ME11,"B"))*3)+((COUNTIF(ME8:ME11,"C"))*2)+((COUNTIF(ME8:ME11,"D"))*1))*CELL("contenu",$B$7),0),IFERROR((((COUNTIF(ME13:ME13,"A"))*4)+((COUNTIF(ME13:ME13,"B"))*3)+((COUNTIF(ME13:ME13,"C"))*2)+((COUNTIF(ME13:ME13,"D"))*1))*CELL("contenu",$B$12),0),IFERROR((((COUNTIF(ME15:ME17,"A"))*4)+((COUNTIF(ME15:ME17,"B"))*3)+((COUNTIF(ME15:ME17,"C"))*2)+((COUNTIF(ME15:ME17,"D"))*1))*CELL("contenu",$B$14),0),IFERROR((((COUNTIF(ME19:ME19,"A"))*4)+((COUNTIF(ME19:ME19,"B"))*3)+((COUNTIF(ME19:ME19,"C"))*2)+((COUNTIF(ME19:ME19,"D"))*1))*CELL("contenu",$B$18),0))/IF(SUM(COUNTA(ME5:ME6)*CELL("contenu",$B$4),COUNTA(ME8:ME11)*CELL("contenu",$B$7),COUNTA(ME13:ME13)*CELL("contenu",$B$12),COUNTA(ME15:ME17)*CELL("contenu",$B$14),COUNTA(ME19:ME19)*CELL("contenu",$B$18))=0,1,SUM(COUNTA(ME5:ME6)*CELL("contenu",$B$4),COUNTA(ME8:ME11)*CELL("contenu",$B$7),COUNTA(ME13:ME13)*CELL("contenu",$B$12),COUNTA(ME15:ME17)*CELL("contenu",$B$14),COUNTA(ME19:ME19)*CELL("contenu",$B$18))))</f>
        <v>18.333333333333332</v>
      </c>
      <c r="MF20" s="168">
        <f ca="1">IF(COUNTA(MF5:MF19)=0,"",5*SUM(IFERROR((((COUNTIF(MF5:MF6,"A"))*4)+((COUNTIF(MF5:MF6,"B"))*3)+((COUNTIF(MF5:MF6,"C"))*2)+((COUNTIF(MF5:MF6,"D"))*1))*CELL("contenu",$B$4),0),IFERROR((((COUNTIF(MF8:MF11,"A"))*4)+((COUNTIF(MF8:MF11,"B"))*3)+((COUNTIF(MF8:MF11,"C"))*2)+((COUNTIF(MF8:MF11,"D"))*1))*CELL("contenu",$B$7),0),IFERROR((((COUNTIF(MF13:MF13,"A"))*4)+((COUNTIF(MF13:MF13,"B"))*3)+((COUNTIF(MF13:MF13,"C"))*2)+((COUNTIF(MF13:MF13,"D"))*1))*CELL("contenu",$B$12),0),IFERROR((((COUNTIF(MF15:MF17,"A"))*4)+((COUNTIF(MF15:MF17,"B"))*3)+((COUNTIF(MF15:MF17,"C"))*2)+((COUNTIF(MF15:MF17,"D"))*1))*CELL("contenu",$B$14),0),IFERROR((((COUNTIF(MF19:MF19,"A"))*4)+((COUNTIF(MF19:MF19,"B"))*3)+((COUNTIF(MF19:MF19,"C"))*2)+((COUNTIF(MF19:MF19,"D"))*1))*CELL("contenu",$B$18),0))/IF(SUM(COUNTA(MF5:MF6)*CELL("contenu",$B$4),COUNTA(MF8:MF11)*CELL("contenu",$B$7),COUNTA(MF13:MF13)*CELL("contenu",$B$12),COUNTA(MF15:MF17)*CELL("contenu",$B$14),COUNTA(MF19:MF19)*CELL("contenu",$B$18))=0,1,SUM(COUNTA(MF5:MF6)*CELL("contenu",$B$4),COUNTA(MF8:MF11)*CELL("contenu",$B$7),COUNTA(MF13:MF13)*CELL("contenu",$B$12),COUNTA(MF15:MF17)*CELL("contenu",$B$14),COUNTA(MF19:MF19)*CELL("contenu",$B$18))))</f>
        <v>20</v>
      </c>
      <c r="MG20" s="169" t="str">
        <f ca="1">IF(COUNTA(MG5:MG19)=0,"",5*SUM(IFERROR((((COUNTIF(MG5:MG6,"A"))*4)+((COUNTIF(MG5:MG6,"B"))*3)+((COUNTIF(MG5:MG6,"C"))*2)+((COUNTIF(MG5:MG6,"D"))*1))*CELL("contenu",$B$4),0),IFERROR((((COUNTIF(MG8:MG11,"A"))*4)+((COUNTIF(MG8:MG11,"B"))*3)+((COUNTIF(MG8:MG11,"C"))*2)+((COUNTIF(MG8:MG11,"D"))*1))*CELL("contenu",$B$7),0),IFERROR((((COUNTIF(MG13:MG13,"A"))*4)+((COUNTIF(MG13:MG13,"B"))*3)+((COUNTIF(MG13:MG13,"C"))*2)+((COUNTIF(MG13:MG13,"D"))*1))*CELL("contenu",$B$12),0),IFERROR((((COUNTIF(MG15:MG17,"A"))*4)+((COUNTIF(MG15:MG17,"B"))*3)+((COUNTIF(MG15:MG17,"C"))*2)+((COUNTIF(MG15:MG17,"D"))*1))*CELL("contenu",$B$14),0),IFERROR((((COUNTIF(MG19:MG19,"A"))*4)+((COUNTIF(MG19:MG19,"B"))*3)+((COUNTIF(MG19:MG19,"C"))*2)+((COUNTIF(MG19:MG19,"D"))*1))*CELL("contenu",$B$18),0))/IF(SUM(COUNTA(MG5:MG6)*CELL("contenu",$B$4),COUNTA(MG8:MG11)*CELL("contenu",$B$7),COUNTA(MG13:MG13)*CELL("contenu",$B$12),COUNTA(MG15:MG17)*CELL("contenu",$B$14),COUNTA(MG19:MG19)*CELL("contenu",$B$18))=0,1,SUM(COUNTA(MG5:MG6)*CELL("contenu",$B$4),COUNTA(MG8:MG11)*CELL("contenu",$B$7),COUNTA(MG13:MG13)*CELL("contenu",$B$12),COUNTA(MG15:MG17)*CELL("contenu",$B$14),COUNTA(MG19:MG19)*CELL("contenu",$B$18))))</f>
        <v/>
      </c>
      <c r="MH20" s="116"/>
      <c r="MI20" s="192">
        <f ca="1">IF(COUNTA(ME20:MG20)-COUNTBLANK(ME20:MG20)=0,"",SUM(ME20:MG20)/(COUNTA(ME20:MG20)-COUNTBLANK(ME20:MG20)))</f>
        <v>19.166666666666664</v>
      </c>
      <c r="MJ20" s="182" t="str">
        <f ca="1">IF(COUNTA(MJ5:MJ19)=0,"",5*SUM(IFERROR((((COUNTIF(MJ5:MJ6,"A"))*4)+((COUNTIF(MJ5:MJ6,"B"))*3)+((COUNTIF(MJ5:MJ6,"C"))*2)+((COUNTIF(MJ5:MJ6,"D"))*1))*CELL("contenu",$B$4),0),IFERROR((((COUNTIF(MJ8:MJ11,"A"))*4)+((COUNTIF(MJ8:MJ11,"B"))*3)+((COUNTIF(MJ8:MJ11,"C"))*2)+((COUNTIF(MJ8:MJ11,"D"))*1))*CELL("contenu",$B$7),0),IFERROR((((COUNTIF(MJ13:MJ13,"A"))*4)+((COUNTIF(MJ13:MJ13,"B"))*3)+((COUNTIF(MJ13:MJ13,"C"))*2)+((COUNTIF(MJ13:MJ13,"D"))*1))*CELL("contenu",$B$12),0),IFERROR((((COUNTIF(MJ15:MJ17,"A"))*4)+((COUNTIF(MJ15:MJ17,"B"))*3)+((COUNTIF(MJ15:MJ17,"C"))*2)+((COUNTIF(MJ15:MJ17,"D"))*1))*CELL("contenu",$B$14),0),IFERROR((((COUNTIF(MJ19:MJ19,"A"))*4)+((COUNTIF(MJ19:MJ19,"B"))*3)+((COUNTIF(MJ19:MJ19,"C"))*2)+((COUNTIF(MJ19:MJ19,"D"))*1))*CELL("contenu",$B$18),0))/IF(SUM(COUNTA(MJ5:MJ6)*CELL("contenu",$B$4),COUNTA(MJ8:MJ11)*CELL("contenu",$B$7),COUNTA(MJ13:MJ13)*CELL("contenu",$B$12),COUNTA(MJ15:MJ17)*CELL("contenu",$B$14),COUNTA(MJ19:MJ19)*CELL("contenu",$B$18))=0,1,SUM(COUNTA(MJ5:MJ6)*CELL("contenu",$B$4),COUNTA(MJ8:MJ11)*CELL("contenu",$B$7),COUNTA(MJ13:MJ13)*CELL("contenu",$B$12),COUNTA(MJ15:MJ17)*CELL("contenu",$B$14),COUNTA(MJ19:MJ19)*CELL("contenu",$B$18))))</f>
        <v/>
      </c>
      <c r="MK20" s="183" t="str">
        <f ca="1">IF(COUNTA(MK5:MK19)=0,"",5*SUM(IFERROR((((COUNTIF(MK5:MK6,"A"))*4)+((COUNTIF(MK5:MK6,"B"))*3)+((COUNTIF(MK5:MK6,"C"))*2)+((COUNTIF(MK5:MK6,"D"))*1))*CELL("contenu",$B$4),0),IFERROR((((COUNTIF(MK8:MK11,"A"))*4)+((COUNTIF(MK8:MK11,"B"))*3)+((COUNTIF(MK8:MK11,"C"))*2)+((COUNTIF(MK8:MK11,"D"))*1))*CELL("contenu",$B$7),0),IFERROR((((COUNTIF(MK13:MK13,"A"))*4)+((COUNTIF(MK13:MK13,"B"))*3)+((COUNTIF(MK13:MK13,"C"))*2)+((COUNTIF(MK13:MK13,"D"))*1))*CELL("contenu",$B$12),0),IFERROR((((COUNTIF(MK15:MK17,"A"))*4)+((COUNTIF(MK15:MK17,"B"))*3)+((COUNTIF(MK15:MK17,"C"))*2)+((COUNTIF(MK15:MK17,"D"))*1))*CELL("contenu",$B$14),0),IFERROR((((COUNTIF(MK19:MK19,"A"))*4)+((COUNTIF(MK19:MK19,"B"))*3)+((COUNTIF(MK19:MK19,"C"))*2)+((COUNTIF(MK19:MK19,"D"))*1))*CELL("contenu",$B$18),0))/IF(SUM(COUNTA(MK5:MK6)*CELL("contenu",$B$4),COUNTA(MK8:MK11)*CELL("contenu",$B$7),COUNTA(MK13:MK13)*CELL("contenu",$B$12),COUNTA(MK15:MK17)*CELL("contenu",$B$14),COUNTA(MK19:MK19)*CELL("contenu",$B$18))=0,1,SUM(COUNTA(MK5:MK6)*CELL("contenu",$B$4),COUNTA(MK8:MK11)*CELL("contenu",$B$7),COUNTA(MK13:MK13)*CELL("contenu",$B$12),COUNTA(MK15:MK17)*CELL("contenu",$B$14),COUNTA(MK19:MK19)*CELL("contenu",$B$18))))</f>
        <v/>
      </c>
      <c r="ML20" s="184" t="str">
        <f ca="1">IF(COUNTA(ML5:ML19)=0,"",5*SUM(IFERROR((((COUNTIF(ML5:ML6,"A"))*4)+((COUNTIF(ML5:ML6,"B"))*3)+((COUNTIF(ML5:ML6,"C"))*2)+((COUNTIF(ML5:ML6,"D"))*1))*CELL("contenu",$B$4),0),IFERROR((((COUNTIF(ML8:ML11,"A"))*4)+((COUNTIF(ML8:ML11,"B"))*3)+((COUNTIF(ML8:ML11,"C"))*2)+((COUNTIF(ML8:ML11,"D"))*1))*CELL("contenu",$B$7),0),IFERROR((((COUNTIF(ML13:ML13,"A"))*4)+((COUNTIF(ML13:ML13,"B"))*3)+((COUNTIF(ML13:ML13,"C"))*2)+((COUNTIF(ML13:ML13,"D"))*1))*CELL("contenu",$B$12),0),IFERROR((((COUNTIF(ML15:ML17,"A"))*4)+((COUNTIF(ML15:ML17,"B"))*3)+((COUNTIF(ML15:ML17,"C"))*2)+((COUNTIF(ML15:ML17,"D"))*1))*CELL("contenu",$B$14),0),IFERROR((((COUNTIF(ML19:ML19,"A"))*4)+((COUNTIF(ML19:ML19,"B"))*3)+((COUNTIF(ML19:ML19,"C"))*2)+((COUNTIF(ML19:ML19,"D"))*1))*CELL("contenu",$B$18),0))/IF(SUM(COUNTA(ML5:ML6)*CELL("contenu",$B$4),COUNTA(ML8:ML11)*CELL("contenu",$B$7),COUNTA(ML13:ML13)*CELL("contenu",$B$12),COUNTA(ML15:ML17)*CELL("contenu",$B$14),COUNTA(ML19:ML19)*CELL("contenu",$B$18))=0,1,SUM(COUNTA(ML5:ML6)*CELL("contenu",$B$4),COUNTA(ML8:ML11)*CELL("contenu",$B$7),COUNTA(ML13:ML13)*CELL("contenu",$B$12),COUNTA(ML15:ML17)*CELL("contenu",$B$14),COUNTA(ML19:ML19)*CELL("contenu",$B$18))))</f>
        <v/>
      </c>
      <c r="MM20" s="176"/>
      <c r="MN20" s="175" t="str">
        <f ca="1">IF(COUNTA(MJ20:ML20)-COUNTBLANK(MJ20:ML20)=0,"",SUM(MJ20:ML20)/(COUNTA(MJ20:ML20)-COUNTBLANK(MJ20:ML20)))</f>
        <v/>
      </c>
      <c r="MO20" s="182" t="str">
        <f ca="1">IF(COUNTA(MO5:MO19)=0,"",5*SUM(IFERROR((((COUNTIF(MO5:MO6,"A"))*4)+((COUNTIF(MO5:MO6,"B"))*3)+((COUNTIF(MO5:MO6,"C"))*2)+((COUNTIF(MO5:MO6,"D"))*1))*CELL("contenu",$B$4),0),IFERROR((((COUNTIF(MO8:MO11,"A"))*4)+((COUNTIF(MO8:MO11,"B"))*3)+((COUNTIF(MO8:MO11,"C"))*2)+((COUNTIF(MO8:MO11,"D"))*1))*CELL("contenu",$B$7),0),IFERROR((((COUNTIF(MO13:MO13,"A"))*4)+((COUNTIF(MO13:MO13,"B"))*3)+((COUNTIF(MO13:MO13,"C"))*2)+((COUNTIF(MO13:MO13,"D"))*1))*CELL("contenu",$B$12),0),IFERROR((((COUNTIF(MO15:MO17,"A"))*4)+((COUNTIF(MO15:MO17,"B"))*3)+((COUNTIF(MO15:MO17,"C"))*2)+((COUNTIF(MO15:MO17,"D"))*1))*CELL("contenu",$B$14),0),IFERROR((((COUNTIF(MO19:MO19,"A"))*4)+((COUNTIF(MO19:MO19,"B"))*3)+((COUNTIF(MO19:MO19,"C"))*2)+((COUNTIF(MO19:MO19,"D"))*1))*CELL("contenu",$B$18),0))/IF(SUM(COUNTA(MO5:MO6)*CELL("contenu",$B$4),COUNTA(MO8:MO11)*CELL("contenu",$B$7),COUNTA(MO13:MO13)*CELL("contenu",$B$12),COUNTA(MO15:MO17)*CELL("contenu",$B$14),COUNTA(MO19:MO19)*CELL("contenu",$B$18))=0,1,SUM(COUNTA(MO5:MO6)*CELL("contenu",$B$4),COUNTA(MO8:MO11)*CELL("contenu",$B$7),COUNTA(MO13:MO13)*CELL("contenu",$B$12),COUNTA(MO15:MO17)*CELL("contenu",$B$14),COUNTA(MO19:MO19)*CELL("contenu",$B$18))))</f>
        <v/>
      </c>
      <c r="MP20" s="183" t="str">
        <f ca="1">IF(COUNTA(MP5:MP19)=0,"",5*SUM(IFERROR((((COUNTIF(MP5:MP6,"A"))*4)+((COUNTIF(MP5:MP6,"B"))*3)+((COUNTIF(MP5:MP6,"C"))*2)+((COUNTIF(MP5:MP6,"D"))*1))*CELL("contenu",$B$4),0),IFERROR((((COUNTIF(MP8:MP11,"A"))*4)+((COUNTIF(MP8:MP11,"B"))*3)+((COUNTIF(MP8:MP11,"C"))*2)+((COUNTIF(MP8:MP11,"D"))*1))*CELL("contenu",$B$7),0),IFERROR((((COUNTIF(MP13:MP13,"A"))*4)+((COUNTIF(MP13:MP13,"B"))*3)+((COUNTIF(MP13:MP13,"C"))*2)+((COUNTIF(MP13:MP13,"D"))*1))*CELL("contenu",$B$12),0),IFERROR((((COUNTIF(MP15:MP17,"A"))*4)+((COUNTIF(MP15:MP17,"B"))*3)+((COUNTIF(MP15:MP17,"C"))*2)+((COUNTIF(MP15:MP17,"D"))*1))*CELL("contenu",$B$14),0),IFERROR((((COUNTIF(MP19:MP19,"A"))*4)+((COUNTIF(MP19:MP19,"B"))*3)+((COUNTIF(MP19:MP19,"C"))*2)+((COUNTIF(MP19:MP19,"D"))*1))*CELL("contenu",$B$18),0))/IF(SUM(COUNTA(MP5:MP6)*CELL("contenu",$B$4),COUNTA(MP8:MP11)*CELL("contenu",$B$7),COUNTA(MP13:MP13)*CELL("contenu",$B$12),COUNTA(MP15:MP17)*CELL("contenu",$B$14),COUNTA(MP19:MP19)*CELL("contenu",$B$18))=0,1,SUM(COUNTA(MP5:MP6)*CELL("contenu",$B$4),COUNTA(MP8:MP11)*CELL("contenu",$B$7),COUNTA(MP13:MP13)*CELL("contenu",$B$12),COUNTA(MP15:MP17)*CELL("contenu",$B$14),COUNTA(MP19:MP19)*CELL("contenu",$B$18))))</f>
        <v/>
      </c>
      <c r="MQ20" s="184" t="str">
        <f ca="1">IF(COUNTA(MQ5:MQ19)=0,"",5*SUM(IFERROR((((COUNTIF(MQ5:MQ6,"A"))*4)+((COUNTIF(MQ5:MQ6,"B"))*3)+((COUNTIF(MQ5:MQ6,"C"))*2)+((COUNTIF(MQ5:MQ6,"D"))*1))*CELL("contenu",$B$4),0),IFERROR((((COUNTIF(MQ8:MQ11,"A"))*4)+((COUNTIF(MQ8:MQ11,"B"))*3)+((COUNTIF(MQ8:MQ11,"C"))*2)+((COUNTIF(MQ8:MQ11,"D"))*1))*CELL("contenu",$B$7),0),IFERROR((((COUNTIF(MQ13:MQ13,"A"))*4)+((COUNTIF(MQ13:MQ13,"B"))*3)+((COUNTIF(MQ13:MQ13,"C"))*2)+((COUNTIF(MQ13:MQ13,"D"))*1))*CELL("contenu",$B$12),0),IFERROR((((COUNTIF(MQ15:MQ17,"A"))*4)+((COUNTIF(MQ15:MQ17,"B"))*3)+((COUNTIF(MQ15:MQ17,"C"))*2)+((COUNTIF(MQ15:MQ17,"D"))*1))*CELL("contenu",$B$14),0),IFERROR((((COUNTIF(MQ19:MQ19,"A"))*4)+((COUNTIF(MQ19:MQ19,"B"))*3)+((COUNTIF(MQ19:MQ19,"C"))*2)+((COUNTIF(MQ19:MQ19,"D"))*1))*CELL("contenu",$B$18),0))/IF(SUM(COUNTA(MQ5:MQ6)*CELL("contenu",$B$4),COUNTA(MQ8:MQ11)*CELL("contenu",$B$7),COUNTA(MQ13:MQ13)*CELL("contenu",$B$12),COUNTA(MQ15:MQ17)*CELL("contenu",$B$14),COUNTA(MQ19:MQ19)*CELL("contenu",$B$18))=0,1,SUM(COUNTA(MQ5:MQ6)*CELL("contenu",$B$4),COUNTA(MQ8:MQ11)*CELL("contenu",$B$7),COUNTA(MQ13:MQ13)*CELL("contenu",$B$12),COUNTA(MQ15:MQ17)*CELL("contenu",$B$14),COUNTA(MQ19:MQ19)*CELL("contenu",$B$18))))</f>
        <v/>
      </c>
      <c r="MR20" s="176"/>
      <c r="MS20" s="174" t="str">
        <f ca="1">IF(COUNTA(MO20:MQ20)-COUNTBLANK(MO20:MQ20)=0,"",SUM(MO20:MQ20)/(COUNTA(MO20:MQ20)-COUNTBLANK(MO20:MQ20)))</f>
        <v/>
      </c>
      <c r="MT20" s="103"/>
      <c r="MU20" s="141"/>
      <c r="MV20" s="167">
        <f ca="1">IF(COUNTA(MV5:MV19)=0,"",5*SUM(IFERROR((((COUNTIF(MV5:MV6,"A"))*4)+((COUNTIF(MV5:MV6,"B"))*3)+((COUNTIF(MV5:MV6,"C"))*2)+((COUNTIF(MV5:MV6,"D"))*1))*CELL("contenu",$B$4),0),IFERROR((((COUNTIF(MV8:MV11,"A"))*4)+((COUNTIF(MV8:MV11,"B"))*3)+((COUNTIF(MV8:MV11,"C"))*2)+((COUNTIF(MV8:MV11,"D"))*1))*CELL("contenu",$B$7),0),IFERROR((((COUNTIF(MV13:MV13,"A"))*4)+((COUNTIF(MV13:MV13,"B"))*3)+((COUNTIF(MV13:MV13,"C"))*2)+((COUNTIF(MV13:MV13,"D"))*1))*CELL("contenu",$B$12),0),IFERROR((((COUNTIF(MV15:MV17,"A"))*4)+((COUNTIF(MV15:MV17,"B"))*3)+((COUNTIF(MV15:MV17,"C"))*2)+((COUNTIF(MV15:MV17,"D"))*1))*CELL("contenu",$B$14),0),IFERROR((((COUNTIF(MV19:MV19,"A"))*4)+((COUNTIF(MV19:MV19,"B"))*3)+((COUNTIF(MV19:MV19,"C"))*2)+((COUNTIF(MV19:MV19,"D"))*1))*CELL("contenu",$B$18),0))/IF(SUM(COUNTA(MV5:MV6)*CELL("contenu",$B$4),COUNTA(MV8:MV11)*CELL("contenu",$B$7),COUNTA(MV13:MV13)*CELL("contenu",$B$12),COUNTA(MV15:MV17)*CELL("contenu",$B$14),COUNTA(MV19:MV19)*CELL("contenu",$B$18))=0,1,SUM(COUNTA(MV5:MV6)*CELL("contenu",$B$4),COUNTA(MV8:MV11)*CELL("contenu",$B$7),COUNTA(MV13:MV13)*CELL("contenu",$B$12),COUNTA(MV15:MV17)*CELL("contenu",$B$14),COUNTA(MV19:MV19)*CELL("contenu",$B$18))))</f>
        <v>18.333333333333332</v>
      </c>
      <c r="MW20" s="168">
        <f ca="1">IF(COUNTA(MW5:MW19)=0,"",5*SUM(IFERROR((((COUNTIF(MW5:MW6,"A"))*4)+((COUNTIF(MW5:MW6,"B"))*3)+((COUNTIF(MW5:MW6,"C"))*2)+((COUNTIF(MW5:MW6,"D"))*1))*CELL("contenu",$B$4),0),IFERROR((((COUNTIF(MW8:MW11,"A"))*4)+((COUNTIF(MW8:MW11,"B"))*3)+((COUNTIF(MW8:MW11,"C"))*2)+((COUNTIF(MW8:MW11,"D"))*1))*CELL("contenu",$B$7),0),IFERROR((((COUNTIF(MW13:MW13,"A"))*4)+((COUNTIF(MW13:MW13,"B"))*3)+((COUNTIF(MW13:MW13,"C"))*2)+((COUNTIF(MW13:MW13,"D"))*1))*CELL("contenu",$B$12),0),IFERROR((((COUNTIF(MW15:MW17,"A"))*4)+((COUNTIF(MW15:MW17,"B"))*3)+((COUNTIF(MW15:MW17,"C"))*2)+((COUNTIF(MW15:MW17,"D"))*1))*CELL("contenu",$B$14),0),IFERROR((((COUNTIF(MW19:MW19,"A"))*4)+((COUNTIF(MW19:MW19,"B"))*3)+((COUNTIF(MW19:MW19,"C"))*2)+((COUNTIF(MW19:MW19,"D"))*1))*CELL("contenu",$B$18),0))/IF(SUM(COUNTA(MW5:MW6)*CELL("contenu",$B$4),COUNTA(MW8:MW11)*CELL("contenu",$B$7),COUNTA(MW13:MW13)*CELL("contenu",$B$12),COUNTA(MW15:MW17)*CELL("contenu",$B$14),COUNTA(MW19:MW19)*CELL("contenu",$B$18))=0,1,SUM(COUNTA(MW5:MW6)*CELL("contenu",$B$4),COUNTA(MW8:MW11)*CELL("contenu",$B$7),COUNTA(MW13:MW13)*CELL("contenu",$B$12),COUNTA(MW15:MW17)*CELL("contenu",$B$14),COUNTA(MW19:MW19)*CELL("contenu",$B$18))))</f>
        <v>13.333333333333334</v>
      </c>
      <c r="MX20" s="169" t="str">
        <f ca="1">IF(COUNTA(MX5:MX19)=0,"",5*SUM(IFERROR((((COUNTIF(MX5:MX6,"A"))*4)+((COUNTIF(MX5:MX6,"B"))*3)+((COUNTIF(MX5:MX6,"C"))*2)+((COUNTIF(MX5:MX6,"D"))*1))*CELL("contenu",$B$4),0),IFERROR((((COUNTIF(MX8:MX11,"A"))*4)+((COUNTIF(MX8:MX11,"B"))*3)+((COUNTIF(MX8:MX11,"C"))*2)+((COUNTIF(MX8:MX11,"D"))*1))*CELL("contenu",$B$7),0),IFERROR((((COUNTIF(MX13:MX13,"A"))*4)+((COUNTIF(MX13:MX13,"B"))*3)+((COUNTIF(MX13:MX13,"C"))*2)+((COUNTIF(MX13:MX13,"D"))*1))*CELL("contenu",$B$12),0),IFERROR((((COUNTIF(MX15:MX17,"A"))*4)+((COUNTIF(MX15:MX17,"B"))*3)+((COUNTIF(MX15:MX17,"C"))*2)+((COUNTIF(MX15:MX17,"D"))*1))*CELL("contenu",$B$14),0),IFERROR((((COUNTIF(MX19:MX19,"A"))*4)+((COUNTIF(MX19:MX19,"B"))*3)+((COUNTIF(MX19:MX19,"C"))*2)+((COUNTIF(MX19:MX19,"D"))*1))*CELL("contenu",$B$18),0))/IF(SUM(COUNTA(MX5:MX6)*CELL("contenu",$B$4),COUNTA(MX8:MX11)*CELL("contenu",$B$7),COUNTA(MX13:MX13)*CELL("contenu",$B$12),COUNTA(MX15:MX17)*CELL("contenu",$B$14),COUNTA(MX19:MX19)*CELL("contenu",$B$18))=0,1,SUM(COUNTA(MX5:MX6)*CELL("contenu",$B$4),COUNTA(MX8:MX11)*CELL("contenu",$B$7),COUNTA(MX13:MX13)*CELL("contenu",$B$12),COUNTA(MX15:MX17)*CELL("contenu",$B$14),COUNTA(MX19:MX19)*CELL("contenu",$B$18))))</f>
        <v/>
      </c>
      <c r="MY20" s="116"/>
      <c r="MZ20" s="192">
        <f ca="1">IF(COUNTA(MV20:MX20)-COUNTBLANK(MV20:MX20)=0,"",SUM(MV20:MX20)/(COUNTA(MV20:MX20)-COUNTBLANK(MV20:MX20)))</f>
        <v>15.833333333333332</v>
      </c>
      <c r="NA20" s="182" t="str">
        <f ca="1">IF(COUNTA(NA5:NA19)=0,"",5*SUM(IFERROR((((COUNTIF(NA5:NA6,"A"))*4)+((COUNTIF(NA5:NA6,"B"))*3)+((COUNTIF(NA5:NA6,"C"))*2)+((COUNTIF(NA5:NA6,"D"))*1))*CELL("contenu",$B$4),0),IFERROR((((COUNTIF(NA8:NA11,"A"))*4)+((COUNTIF(NA8:NA11,"B"))*3)+((COUNTIF(NA8:NA11,"C"))*2)+((COUNTIF(NA8:NA11,"D"))*1))*CELL("contenu",$B$7),0),IFERROR((((COUNTIF(NA13:NA13,"A"))*4)+((COUNTIF(NA13:NA13,"B"))*3)+((COUNTIF(NA13:NA13,"C"))*2)+((COUNTIF(NA13:NA13,"D"))*1))*CELL("contenu",$B$12),0),IFERROR((((COUNTIF(NA15:NA17,"A"))*4)+((COUNTIF(NA15:NA17,"B"))*3)+((COUNTIF(NA15:NA17,"C"))*2)+((COUNTIF(NA15:NA17,"D"))*1))*CELL("contenu",$B$14),0),IFERROR((((COUNTIF(NA19:NA19,"A"))*4)+((COUNTIF(NA19:NA19,"B"))*3)+((COUNTIF(NA19:NA19,"C"))*2)+((COUNTIF(NA19:NA19,"D"))*1))*CELL("contenu",$B$18),0))/IF(SUM(COUNTA(NA5:NA6)*CELL("contenu",$B$4),COUNTA(NA8:NA11)*CELL("contenu",$B$7),COUNTA(NA13:NA13)*CELL("contenu",$B$12),COUNTA(NA15:NA17)*CELL("contenu",$B$14),COUNTA(NA19:NA19)*CELL("contenu",$B$18))=0,1,SUM(COUNTA(NA5:NA6)*CELL("contenu",$B$4),COUNTA(NA8:NA11)*CELL("contenu",$B$7),COUNTA(NA13:NA13)*CELL("contenu",$B$12),COUNTA(NA15:NA17)*CELL("contenu",$B$14),COUNTA(NA19:NA19)*CELL("contenu",$B$18))))</f>
        <v/>
      </c>
      <c r="NB20" s="183" t="str">
        <f ca="1">IF(COUNTA(NB5:NB19)=0,"",5*SUM(IFERROR((((COUNTIF(NB5:NB6,"A"))*4)+((COUNTIF(NB5:NB6,"B"))*3)+((COUNTIF(NB5:NB6,"C"))*2)+((COUNTIF(NB5:NB6,"D"))*1))*CELL("contenu",$B$4),0),IFERROR((((COUNTIF(NB8:NB11,"A"))*4)+((COUNTIF(NB8:NB11,"B"))*3)+((COUNTIF(NB8:NB11,"C"))*2)+((COUNTIF(NB8:NB11,"D"))*1))*CELL("contenu",$B$7),0),IFERROR((((COUNTIF(NB13:NB13,"A"))*4)+((COUNTIF(NB13:NB13,"B"))*3)+((COUNTIF(NB13:NB13,"C"))*2)+((COUNTIF(NB13:NB13,"D"))*1))*CELL("contenu",$B$12),0),IFERROR((((COUNTIF(NB15:NB17,"A"))*4)+((COUNTIF(NB15:NB17,"B"))*3)+((COUNTIF(NB15:NB17,"C"))*2)+((COUNTIF(NB15:NB17,"D"))*1))*CELL("contenu",$B$14),0),IFERROR((((COUNTIF(NB19:NB19,"A"))*4)+((COUNTIF(NB19:NB19,"B"))*3)+((COUNTIF(NB19:NB19,"C"))*2)+((COUNTIF(NB19:NB19,"D"))*1))*CELL("contenu",$B$18),0))/IF(SUM(COUNTA(NB5:NB6)*CELL("contenu",$B$4),COUNTA(NB8:NB11)*CELL("contenu",$B$7),COUNTA(NB13:NB13)*CELL("contenu",$B$12),COUNTA(NB15:NB17)*CELL("contenu",$B$14),COUNTA(NB19:NB19)*CELL("contenu",$B$18))=0,1,SUM(COUNTA(NB5:NB6)*CELL("contenu",$B$4),COUNTA(NB8:NB11)*CELL("contenu",$B$7),COUNTA(NB13:NB13)*CELL("contenu",$B$12),COUNTA(NB15:NB17)*CELL("contenu",$B$14),COUNTA(NB19:NB19)*CELL("contenu",$B$18))))</f>
        <v/>
      </c>
      <c r="NC20" s="184" t="str">
        <f ca="1">IF(COUNTA(NC5:NC19)=0,"",5*SUM(IFERROR((((COUNTIF(NC5:NC6,"A"))*4)+((COUNTIF(NC5:NC6,"B"))*3)+((COUNTIF(NC5:NC6,"C"))*2)+((COUNTIF(NC5:NC6,"D"))*1))*CELL("contenu",$B$4),0),IFERROR((((COUNTIF(NC8:NC11,"A"))*4)+((COUNTIF(NC8:NC11,"B"))*3)+((COUNTIF(NC8:NC11,"C"))*2)+((COUNTIF(NC8:NC11,"D"))*1))*CELL("contenu",$B$7),0),IFERROR((((COUNTIF(NC13:NC13,"A"))*4)+((COUNTIF(NC13:NC13,"B"))*3)+((COUNTIF(NC13:NC13,"C"))*2)+((COUNTIF(NC13:NC13,"D"))*1))*CELL("contenu",$B$12),0),IFERROR((((COUNTIF(NC15:NC17,"A"))*4)+((COUNTIF(NC15:NC17,"B"))*3)+((COUNTIF(NC15:NC17,"C"))*2)+((COUNTIF(NC15:NC17,"D"))*1))*CELL("contenu",$B$14),0),IFERROR((((COUNTIF(NC19:NC19,"A"))*4)+((COUNTIF(NC19:NC19,"B"))*3)+((COUNTIF(NC19:NC19,"C"))*2)+((COUNTIF(NC19:NC19,"D"))*1))*CELL("contenu",$B$18),0))/IF(SUM(COUNTA(NC5:NC6)*CELL("contenu",$B$4),COUNTA(NC8:NC11)*CELL("contenu",$B$7),COUNTA(NC13:NC13)*CELL("contenu",$B$12),COUNTA(NC15:NC17)*CELL("contenu",$B$14),COUNTA(NC19:NC19)*CELL("contenu",$B$18))=0,1,SUM(COUNTA(NC5:NC6)*CELL("contenu",$B$4),COUNTA(NC8:NC11)*CELL("contenu",$B$7),COUNTA(NC13:NC13)*CELL("contenu",$B$12),COUNTA(NC15:NC17)*CELL("contenu",$B$14),COUNTA(NC19:NC19)*CELL("contenu",$B$18))))</f>
        <v/>
      </c>
      <c r="ND20" s="176"/>
      <c r="NE20" s="175" t="str">
        <f ca="1">IF(COUNTA(NA20:NC20)-COUNTBLANK(NA20:NC20)=0,"",SUM(NA20:NC20)/(COUNTA(NA20:NC20)-COUNTBLANK(NA20:NC20)))</f>
        <v/>
      </c>
      <c r="NF20" s="182" t="str">
        <f ca="1">IF(COUNTA(NF5:NF19)=0,"",5*SUM(IFERROR((((COUNTIF(NF5:NF6,"A"))*4)+((COUNTIF(NF5:NF6,"B"))*3)+((COUNTIF(NF5:NF6,"C"))*2)+((COUNTIF(NF5:NF6,"D"))*1))*CELL("contenu",$B$4),0),IFERROR((((COUNTIF(NF8:NF11,"A"))*4)+((COUNTIF(NF8:NF11,"B"))*3)+((COUNTIF(NF8:NF11,"C"))*2)+((COUNTIF(NF8:NF11,"D"))*1))*CELL("contenu",$B$7),0),IFERROR((((COUNTIF(NF13:NF13,"A"))*4)+((COUNTIF(NF13:NF13,"B"))*3)+((COUNTIF(NF13:NF13,"C"))*2)+((COUNTIF(NF13:NF13,"D"))*1))*CELL("contenu",$B$12),0),IFERROR((((COUNTIF(NF15:NF17,"A"))*4)+((COUNTIF(NF15:NF17,"B"))*3)+((COUNTIF(NF15:NF17,"C"))*2)+((COUNTIF(NF15:NF17,"D"))*1))*CELL("contenu",$B$14),0),IFERROR((((COUNTIF(NF19:NF19,"A"))*4)+((COUNTIF(NF19:NF19,"B"))*3)+((COUNTIF(NF19:NF19,"C"))*2)+((COUNTIF(NF19:NF19,"D"))*1))*CELL("contenu",$B$18),0))/IF(SUM(COUNTA(NF5:NF6)*CELL("contenu",$B$4),COUNTA(NF8:NF11)*CELL("contenu",$B$7),COUNTA(NF13:NF13)*CELL("contenu",$B$12),COUNTA(NF15:NF17)*CELL("contenu",$B$14),COUNTA(NF19:NF19)*CELL("contenu",$B$18))=0,1,SUM(COUNTA(NF5:NF6)*CELL("contenu",$B$4),COUNTA(NF8:NF11)*CELL("contenu",$B$7),COUNTA(NF13:NF13)*CELL("contenu",$B$12),COUNTA(NF15:NF17)*CELL("contenu",$B$14),COUNTA(NF19:NF19)*CELL("contenu",$B$18))))</f>
        <v/>
      </c>
      <c r="NG20" s="183" t="str">
        <f ca="1">IF(COUNTA(NG5:NG19)=0,"",5*SUM(IFERROR((((COUNTIF(NG5:NG6,"A"))*4)+((COUNTIF(NG5:NG6,"B"))*3)+((COUNTIF(NG5:NG6,"C"))*2)+((COUNTIF(NG5:NG6,"D"))*1))*CELL("contenu",$B$4),0),IFERROR((((COUNTIF(NG8:NG11,"A"))*4)+((COUNTIF(NG8:NG11,"B"))*3)+((COUNTIF(NG8:NG11,"C"))*2)+((COUNTIF(NG8:NG11,"D"))*1))*CELL("contenu",$B$7),0),IFERROR((((COUNTIF(NG13:NG13,"A"))*4)+((COUNTIF(NG13:NG13,"B"))*3)+((COUNTIF(NG13:NG13,"C"))*2)+((COUNTIF(NG13:NG13,"D"))*1))*CELL("contenu",$B$12),0),IFERROR((((COUNTIF(NG15:NG17,"A"))*4)+((COUNTIF(NG15:NG17,"B"))*3)+((COUNTIF(NG15:NG17,"C"))*2)+((COUNTIF(NG15:NG17,"D"))*1))*CELL("contenu",$B$14),0),IFERROR((((COUNTIF(NG19:NG19,"A"))*4)+((COUNTIF(NG19:NG19,"B"))*3)+((COUNTIF(NG19:NG19,"C"))*2)+((COUNTIF(NG19:NG19,"D"))*1))*CELL("contenu",$B$18),0))/IF(SUM(COUNTA(NG5:NG6)*CELL("contenu",$B$4),COUNTA(NG8:NG11)*CELL("contenu",$B$7),COUNTA(NG13:NG13)*CELL("contenu",$B$12),COUNTA(NG15:NG17)*CELL("contenu",$B$14),COUNTA(NG19:NG19)*CELL("contenu",$B$18))=0,1,SUM(COUNTA(NG5:NG6)*CELL("contenu",$B$4),COUNTA(NG8:NG11)*CELL("contenu",$B$7),COUNTA(NG13:NG13)*CELL("contenu",$B$12),COUNTA(NG15:NG17)*CELL("contenu",$B$14),COUNTA(NG19:NG19)*CELL("contenu",$B$18))))</f>
        <v/>
      </c>
      <c r="NH20" s="184" t="str">
        <f ca="1">IF(COUNTA(NH5:NH19)=0,"",5*SUM(IFERROR((((COUNTIF(NH5:NH6,"A"))*4)+((COUNTIF(NH5:NH6,"B"))*3)+((COUNTIF(NH5:NH6,"C"))*2)+((COUNTIF(NH5:NH6,"D"))*1))*CELL("contenu",$B$4),0),IFERROR((((COUNTIF(NH8:NH11,"A"))*4)+((COUNTIF(NH8:NH11,"B"))*3)+((COUNTIF(NH8:NH11,"C"))*2)+((COUNTIF(NH8:NH11,"D"))*1))*CELL("contenu",$B$7),0),IFERROR((((COUNTIF(NH13:NH13,"A"))*4)+((COUNTIF(NH13:NH13,"B"))*3)+((COUNTIF(NH13:NH13,"C"))*2)+((COUNTIF(NH13:NH13,"D"))*1))*CELL("contenu",$B$12),0),IFERROR((((COUNTIF(NH15:NH17,"A"))*4)+((COUNTIF(NH15:NH17,"B"))*3)+((COUNTIF(NH15:NH17,"C"))*2)+((COUNTIF(NH15:NH17,"D"))*1))*CELL("contenu",$B$14),0),IFERROR((((COUNTIF(NH19:NH19,"A"))*4)+((COUNTIF(NH19:NH19,"B"))*3)+((COUNTIF(NH19:NH19,"C"))*2)+((COUNTIF(NH19:NH19,"D"))*1))*CELL("contenu",$B$18),0))/IF(SUM(COUNTA(NH5:NH6)*CELL("contenu",$B$4),COUNTA(NH8:NH11)*CELL("contenu",$B$7),COUNTA(NH13:NH13)*CELL("contenu",$B$12),COUNTA(NH15:NH17)*CELL("contenu",$B$14),COUNTA(NH19:NH19)*CELL("contenu",$B$18))=0,1,SUM(COUNTA(NH5:NH6)*CELL("contenu",$B$4),COUNTA(NH8:NH11)*CELL("contenu",$B$7),COUNTA(NH13:NH13)*CELL("contenu",$B$12),COUNTA(NH15:NH17)*CELL("contenu",$B$14),COUNTA(NH19:NH19)*CELL("contenu",$B$18))))</f>
        <v/>
      </c>
      <c r="NI20" s="176"/>
      <c r="NJ20" s="174" t="str">
        <f ca="1">IF(COUNTA(NF20:NH20)-COUNTBLANK(NF20:NH20)=0,"",SUM(NF20:NH20)/(COUNTA(NF20:NH20)-COUNTBLANK(NF20:NH20)))</f>
        <v/>
      </c>
      <c r="NK20" s="103"/>
      <c r="NL20" s="141"/>
      <c r="NM20" s="167" t="str">
        <f ca="1">IF(COUNTA(NM5:NM19)=0,"",5*SUM(IFERROR((((COUNTIF(NM5:NM6,"A"))*4)+((COUNTIF(NM5:NM6,"B"))*3)+((COUNTIF(NM5:NM6,"C"))*2)+((COUNTIF(NM5:NM6,"D"))*1))*CELL("contenu",$B$4),0),IFERROR((((COUNTIF(NM8:NM11,"A"))*4)+((COUNTIF(NM8:NM11,"B"))*3)+((COUNTIF(NM8:NM11,"C"))*2)+((COUNTIF(NM8:NM11,"D"))*1))*CELL("contenu",$B$7),0),IFERROR((((COUNTIF(NM13:NM13,"A"))*4)+((COUNTIF(NM13:NM13,"B"))*3)+((COUNTIF(NM13:NM13,"C"))*2)+((COUNTIF(NM13:NM13,"D"))*1))*CELL("contenu",$B$12),0),IFERROR((((COUNTIF(NM15:NM17,"A"))*4)+((COUNTIF(NM15:NM17,"B"))*3)+((COUNTIF(NM15:NM17,"C"))*2)+((COUNTIF(NM15:NM17,"D"))*1))*CELL("contenu",$B$14),0),IFERROR((((COUNTIF(NM19:NM19,"A"))*4)+((COUNTIF(NM19:NM19,"B"))*3)+((COUNTIF(NM19:NM19,"C"))*2)+((COUNTIF(NM19:NM19,"D"))*1))*CELL("contenu",$B$18),0))/IF(SUM(COUNTA(NM5:NM6)*CELL("contenu",$B$4),COUNTA(NM8:NM11)*CELL("contenu",$B$7),COUNTA(NM13:NM13)*CELL("contenu",$B$12),COUNTA(NM15:NM17)*CELL("contenu",$B$14),COUNTA(NM19:NM19)*CELL("contenu",$B$18))=0,1,SUM(COUNTA(NM5:NM6)*CELL("contenu",$B$4),COUNTA(NM8:NM11)*CELL("contenu",$B$7),COUNTA(NM13:NM13)*CELL("contenu",$B$12),COUNTA(NM15:NM17)*CELL("contenu",$B$14),COUNTA(NM19:NM19)*CELL("contenu",$B$18))))</f>
        <v/>
      </c>
      <c r="NN20" s="168">
        <f ca="1">IF(COUNTA(NN5:NN19)=0,"",5*SUM(IFERROR((((COUNTIF(NN5:NN6,"A"))*4)+((COUNTIF(NN5:NN6,"B"))*3)+((COUNTIF(NN5:NN6,"C"))*2)+((COUNTIF(NN5:NN6,"D"))*1))*CELL("contenu",$B$4),0),IFERROR((((COUNTIF(NN8:NN11,"A"))*4)+((COUNTIF(NN8:NN11,"B"))*3)+((COUNTIF(NN8:NN11,"C"))*2)+((COUNTIF(NN8:NN11,"D"))*1))*CELL("contenu",$B$7),0),IFERROR((((COUNTIF(NN13:NN13,"A"))*4)+((COUNTIF(NN13:NN13,"B"))*3)+((COUNTIF(NN13:NN13,"C"))*2)+((COUNTIF(NN13:NN13,"D"))*1))*CELL("contenu",$B$12),0),IFERROR((((COUNTIF(NN15:NN17,"A"))*4)+((COUNTIF(NN15:NN17,"B"))*3)+((COUNTIF(NN15:NN17,"C"))*2)+((COUNTIF(NN15:NN17,"D"))*1))*CELL("contenu",$B$14),0),IFERROR((((COUNTIF(NN19:NN19,"A"))*4)+((COUNTIF(NN19:NN19,"B"))*3)+((COUNTIF(NN19:NN19,"C"))*2)+((COUNTIF(NN19:NN19,"D"))*1))*CELL("contenu",$B$18),0))/IF(SUM(COUNTA(NN5:NN6)*CELL("contenu",$B$4),COUNTA(NN8:NN11)*CELL("contenu",$B$7),COUNTA(NN13:NN13)*CELL("contenu",$B$12),COUNTA(NN15:NN17)*CELL("contenu",$B$14),COUNTA(NN19:NN19)*CELL("contenu",$B$18))=0,1,SUM(COUNTA(NN5:NN6)*CELL("contenu",$B$4),COUNTA(NN8:NN11)*CELL("contenu",$B$7),COUNTA(NN13:NN13)*CELL("contenu",$B$12),COUNTA(NN15:NN17)*CELL("contenu",$B$14),COUNTA(NN19:NN19)*CELL("contenu",$B$18))))</f>
        <v>20</v>
      </c>
      <c r="NO20" s="169" t="str">
        <f ca="1">IF(COUNTA(NO5:NO19)=0,"",5*SUM(IFERROR((((COUNTIF(NO5:NO6,"A"))*4)+((COUNTIF(NO5:NO6,"B"))*3)+((COUNTIF(NO5:NO6,"C"))*2)+((COUNTIF(NO5:NO6,"D"))*1))*CELL("contenu",$B$4),0),IFERROR((((COUNTIF(NO8:NO11,"A"))*4)+((COUNTIF(NO8:NO11,"B"))*3)+((COUNTIF(NO8:NO11,"C"))*2)+((COUNTIF(NO8:NO11,"D"))*1))*CELL("contenu",$B$7),0),IFERROR((((COUNTIF(NO13:NO13,"A"))*4)+((COUNTIF(NO13:NO13,"B"))*3)+((COUNTIF(NO13:NO13,"C"))*2)+((COUNTIF(NO13:NO13,"D"))*1))*CELL("contenu",$B$12),0),IFERROR((((COUNTIF(NO15:NO17,"A"))*4)+((COUNTIF(NO15:NO17,"B"))*3)+((COUNTIF(NO15:NO17,"C"))*2)+((COUNTIF(NO15:NO17,"D"))*1))*CELL("contenu",$B$14),0),IFERROR((((COUNTIF(NO19:NO19,"A"))*4)+((COUNTIF(NO19:NO19,"B"))*3)+((COUNTIF(NO19:NO19,"C"))*2)+((COUNTIF(NO19:NO19,"D"))*1))*CELL("contenu",$B$18),0))/IF(SUM(COUNTA(NO5:NO6)*CELL("contenu",$B$4),COUNTA(NO8:NO11)*CELL("contenu",$B$7),COUNTA(NO13:NO13)*CELL("contenu",$B$12),COUNTA(NO15:NO17)*CELL("contenu",$B$14),COUNTA(NO19:NO19)*CELL("contenu",$B$18))=0,1,SUM(COUNTA(NO5:NO6)*CELL("contenu",$B$4),COUNTA(NO8:NO11)*CELL("contenu",$B$7),COUNTA(NO13:NO13)*CELL("contenu",$B$12),COUNTA(NO15:NO17)*CELL("contenu",$B$14),COUNTA(NO19:NO19)*CELL("contenu",$B$18))))</f>
        <v/>
      </c>
      <c r="NP20" s="116"/>
      <c r="NQ20" s="192">
        <f ca="1">IF(COUNTA(NM20:NO20)-COUNTBLANK(NM20:NO20)=0,"",SUM(NM20:NO20)/(COUNTA(NM20:NO20)-COUNTBLANK(NM20:NO20)))</f>
        <v>20</v>
      </c>
      <c r="NR20" s="182" t="str">
        <f ca="1">IF(COUNTA(NR5:NR19)=0,"",5*SUM(IFERROR((((COUNTIF(NR5:NR6,"A"))*4)+((COUNTIF(NR5:NR6,"B"))*3)+((COUNTIF(NR5:NR6,"C"))*2)+((COUNTIF(NR5:NR6,"D"))*1))*CELL("contenu",$B$4),0),IFERROR((((COUNTIF(NR8:NR11,"A"))*4)+((COUNTIF(NR8:NR11,"B"))*3)+((COUNTIF(NR8:NR11,"C"))*2)+((COUNTIF(NR8:NR11,"D"))*1))*CELL("contenu",$B$7),0),IFERROR((((COUNTIF(NR13:NR13,"A"))*4)+((COUNTIF(NR13:NR13,"B"))*3)+((COUNTIF(NR13:NR13,"C"))*2)+((COUNTIF(NR13:NR13,"D"))*1))*CELL("contenu",$B$12),0),IFERROR((((COUNTIF(NR15:NR17,"A"))*4)+((COUNTIF(NR15:NR17,"B"))*3)+((COUNTIF(NR15:NR17,"C"))*2)+((COUNTIF(NR15:NR17,"D"))*1))*CELL("contenu",$B$14),0),IFERROR((((COUNTIF(NR19:NR19,"A"))*4)+((COUNTIF(NR19:NR19,"B"))*3)+((COUNTIF(NR19:NR19,"C"))*2)+((COUNTIF(NR19:NR19,"D"))*1))*CELL("contenu",$B$18),0))/IF(SUM(COUNTA(NR5:NR6)*CELL("contenu",$B$4),COUNTA(NR8:NR11)*CELL("contenu",$B$7),COUNTA(NR13:NR13)*CELL("contenu",$B$12),COUNTA(NR15:NR17)*CELL("contenu",$B$14),COUNTA(NR19:NR19)*CELL("contenu",$B$18))=0,1,SUM(COUNTA(NR5:NR6)*CELL("contenu",$B$4),COUNTA(NR8:NR11)*CELL("contenu",$B$7),COUNTA(NR13:NR13)*CELL("contenu",$B$12),COUNTA(NR15:NR17)*CELL("contenu",$B$14),COUNTA(NR19:NR19)*CELL("contenu",$B$18))))</f>
        <v/>
      </c>
      <c r="NS20" s="183" t="str">
        <f ca="1">IF(COUNTA(NS5:NS19)=0,"",5*SUM(IFERROR((((COUNTIF(NS5:NS6,"A"))*4)+((COUNTIF(NS5:NS6,"B"))*3)+((COUNTIF(NS5:NS6,"C"))*2)+((COUNTIF(NS5:NS6,"D"))*1))*CELL("contenu",$B$4),0),IFERROR((((COUNTIF(NS8:NS11,"A"))*4)+((COUNTIF(NS8:NS11,"B"))*3)+((COUNTIF(NS8:NS11,"C"))*2)+((COUNTIF(NS8:NS11,"D"))*1))*CELL("contenu",$B$7),0),IFERROR((((COUNTIF(NS13:NS13,"A"))*4)+((COUNTIF(NS13:NS13,"B"))*3)+((COUNTIF(NS13:NS13,"C"))*2)+((COUNTIF(NS13:NS13,"D"))*1))*CELL("contenu",$B$12),0),IFERROR((((COUNTIF(NS15:NS17,"A"))*4)+((COUNTIF(NS15:NS17,"B"))*3)+((COUNTIF(NS15:NS17,"C"))*2)+((COUNTIF(NS15:NS17,"D"))*1))*CELL("contenu",$B$14),0),IFERROR((((COUNTIF(NS19:NS19,"A"))*4)+((COUNTIF(NS19:NS19,"B"))*3)+((COUNTIF(NS19:NS19,"C"))*2)+((COUNTIF(NS19:NS19,"D"))*1))*CELL("contenu",$B$18),0))/IF(SUM(COUNTA(NS5:NS6)*CELL("contenu",$B$4),COUNTA(NS8:NS11)*CELL("contenu",$B$7),COUNTA(NS13:NS13)*CELL("contenu",$B$12),COUNTA(NS15:NS17)*CELL("contenu",$B$14),COUNTA(NS19:NS19)*CELL("contenu",$B$18))=0,1,SUM(COUNTA(NS5:NS6)*CELL("contenu",$B$4),COUNTA(NS8:NS11)*CELL("contenu",$B$7),COUNTA(NS13:NS13)*CELL("contenu",$B$12),COUNTA(NS15:NS17)*CELL("contenu",$B$14),COUNTA(NS19:NS19)*CELL("contenu",$B$18))))</f>
        <v/>
      </c>
      <c r="NT20" s="184" t="str">
        <f ca="1">IF(COUNTA(NT5:NT19)=0,"",5*SUM(IFERROR((((COUNTIF(NT5:NT6,"A"))*4)+((COUNTIF(NT5:NT6,"B"))*3)+((COUNTIF(NT5:NT6,"C"))*2)+((COUNTIF(NT5:NT6,"D"))*1))*CELL("contenu",$B$4),0),IFERROR((((COUNTIF(NT8:NT11,"A"))*4)+((COUNTIF(NT8:NT11,"B"))*3)+((COUNTIF(NT8:NT11,"C"))*2)+((COUNTIF(NT8:NT11,"D"))*1))*CELL("contenu",$B$7),0),IFERROR((((COUNTIF(NT13:NT13,"A"))*4)+((COUNTIF(NT13:NT13,"B"))*3)+((COUNTIF(NT13:NT13,"C"))*2)+((COUNTIF(NT13:NT13,"D"))*1))*CELL("contenu",$B$12),0),IFERROR((((COUNTIF(NT15:NT17,"A"))*4)+((COUNTIF(NT15:NT17,"B"))*3)+((COUNTIF(NT15:NT17,"C"))*2)+((COUNTIF(NT15:NT17,"D"))*1))*CELL("contenu",$B$14),0),IFERROR((((COUNTIF(NT19:NT19,"A"))*4)+((COUNTIF(NT19:NT19,"B"))*3)+((COUNTIF(NT19:NT19,"C"))*2)+((COUNTIF(NT19:NT19,"D"))*1))*CELL("contenu",$B$18),0))/IF(SUM(COUNTA(NT5:NT6)*CELL("contenu",$B$4),COUNTA(NT8:NT11)*CELL("contenu",$B$7),COUNTA(NT13:NT13)*CELL("contenu",$B$12),COUNTA(NT15:NT17)*CELL("contenu",$B$14),COUNTA(NT19:NT19)*CELL("contenu",$B$18))=0,1,SUM(COUNTA(NT5:NT6)*CELL("contenu",$B$4),COUNTA(NT8:NT11)*CELL("contenu",$B$7),COUNTA(NT13:NT13)*CELL("contenu",$B$12),COUNTA(NT15:NT17)*CELL("contenu",$B$14),COUNTA(NT19:NT19)*CELL("contenu",$B$18))))</f>
        <v/>
      </c>
      <c r="NU20" s="176"/>
      <c r="NV20" s="175" t="str">
        <f ca="1">IF(COUNTA(NR20:NT20)-COUNTBLANK(NR20:NT20)=0,"",SUM(NR20:NT20)/(COUNTA(NR20:NT20)-COUNTBLANK(NR20:NT20)))</f>
        <v/>
      </c>
      <c r="NW20" s="182" t="str">
        <f ca="1">IF(COUNTA(NW5:NW19)=0,"",5*SUM(IFERROR((((COUNTIF(NW5:NW6,"A"))*4)+((COUNTIF(NW5:NW6,"B"))*3)+((COUNTIF(NW5:NW6,"C"))*2)+((COUNTIF(NW5:NW6,"D"))*1))*CELL("contenu",$B$4),0),IFERROR((((COUNTIF(NW8:NW11,"A"))*4)+((COUNTIF(NW8:NW11,"B"))*3)+((COUNTIF(NW8:NW11,"C"))*2)+((COUNTIF(NW8:NW11,"D"))*1))*CELL("contenu",$B$7),0),IFERROR((((COUNTIF(NW13:NW13,"A"))*4)+((COUNTIF(NW13:NW13,"B"))*3)+((COUNTIF(NW13:NW13,"C"))*2)+((COUNTIF(NW13:NW13,"D"))*1))*CELL("contenu",$B$12),0),IFERROR((((COUNTIF(NW15:NW17,"A"))*4)+((COUNTIF(NW15:NW17,"B"))*3)+((COUNTIF(NW15:NW17,"C"))*2)+((COUNTIF(NW15:NW17,"D"))*1))*CELL("contenu",$B$14),0),IFERROR((((COUNTIF(NW19:NW19,"A"))*4)+((COUNTIF(NW19:NW19,"B"))*3)+((COUNTIF(NW19:NW19,"C"))*2)+((COUNTIF(NW19:NW19,"D"))*1))*CELL("contenu",$B$18),0))/IF(SUM(COUNTA(NW5:NW6)*CELL("contenu",$B$4),COUNTA(NW8:NW11)*CELL("contenu",$B$7),COUNTA(NW13:NW13)*CELL("contenu",$B$12),COUNTA(NW15:NW17)*CELL("contenu",$B$14),COUNTA(NW19:NW19)*CELL("contenu",$B$18))=0,1,SUM(COUNTA(NW5:NW6)*CELL("contenu",$B$4),COUNTA(NW8:NW11)*CELL("contenu",$B$7),COUNTA(NW13:NW13)*CELL("contenu",$B$12),COUNTA(NW15:NW17)*CELL("contenu",$B$14),COUNTA(NW19:NW19)*CELL("contenu",$B$18))))</f>
        <v/>
      </c>
      <c r="NX20" s="183" t="str">
        <f ca="1">IF(COUNTA(NX5:NX19)=0,"",5*SUM(IFERROR((((COUNTIF(NX5:NX6,"A"))*4)+((COUNTIF(NX5:NX6,"B"))*3)+((COUNTIF(NX5:NX6,"C"))*2)+((COUNTIF(NX5:NX6,"D"))*1))*CELL("contenu",$B$4),0),IFERROR((((COUNTIF(NX8:NX11,"A"))*4)+((COUNTIF(NX8:NX11,"B"))*3)+((COUNTIF(NX8:NX11,"C"))*2)+((COUNTIF(NX8:NX11,"D"))*1))*CELL("contenu",$B$7),0),IFERROR((((COUNTIF(NX13:NX13,"A"))*4)+((COUNTIF(NX13:NX13,"B"))*3)+((COUNTIF(NX13:NX13,"C"))*2)+((COUNTIF(NX13:NX13,"D"))*1))*CELL("contenu",$B$12),0),IFERROR((((COUNTIF(NX15:NX17,"A"))*4)+((COUNTIF(NX15:NX17,"B"))*3)+((COUNTIF(NX15:NX17,"C"))*2)+((COUNTIF(NX15:NX17,"D"))*1))*CELL("contenu",$B$14),0),IFERROR((((COUNTIF(NX19:NX19,"A"))*4)+((COUNTIF(NX19:NX19,"B"))*3)+((COUNTIF(NX19:NX19,"C"))*2)+((COUNTIF(NX19:NX19,"D"))*1))*CELL("contenu",$B$18),0))/IF(SUM(COUNTA(NX5:NX6)*CELL("contenu",$B$4),COUNTA(NX8:NX11)*CELL("contenu",$B$7),COUNTA(NX13:NX13)*CELL("contenu",$B$12),COUNTA(NX15:NX17)*CELL("contenu",$B$14),COUNTA(NX19:NX19)*CELL("contenu",$B$18))=0,1,SUM(COUNTA(NX5:NX6)*CELL("contenu",$B$4),COUNTA(NX8:NX11)*CELL("contenu",$B$7),COUNTA(NX13:NX13)*CELL("contenu",$B$12),COUNTA(NX15:NX17)*CELL("contenu",$B$14),COUNTA(NX19:NX19)*CELL("contenu",$B$18))))</f>
        <v/>
      </c>
      <c r="NY20" s="184" t="str">
        <f ca="1">IF(COUNTA(NY5:NY19)=0,"",5*SUM(IFERROR((((COUNTIF(NY5:NY6,"A"))*4)+((COUNTIF(NY5:NY6,"B"))*3)+((COUNTIF(NY5:NY6,"C"))*2)+((COUNTIF(NY5:NY6,"D"))*1))*CELL("contenu",$B$4),0),IFERROR((((COUNTIF(NY8:NY11,"A"))*4)+((COUNTIF(NY8:NY11,"B"))*3)+((COUNTIF(NY8:NY11,"C"))*2)+((COUNTIF(NY8:NY11,"D"))*1))*CELL("contenu",$B$7),0),IFERROR((((COUNTIF(NY13:NY13,"A"))*4)+((COUNTIF(NY13:NY13,"B"))*3)+((COUNTIF(NY13:NY13,"C"))*2)+((COUNTIF(NY13:NY13,"D"))*1))*CELL("contenu",$B$12),0),IFERROR((((COUNTIF(NY15:NY17,"A"))*4)+((COUNTIF(NY15:NY17,"B"))*3)+((COUNTIF(NY15:NY17,"C"))*2)+((COUNTIF(NY15:NY17,"D"))*1))*CELL("contenu",$B$14),0),IFERROR((((COUNTIF(NY19:NY19,"A"))*4)+((COUNTIF(NY19:NY19,"B"))*3)+((COUNTIF(NY19:NY19,"C"))*2)+((COUNTIF(NY19:NY19,"D"))*1))*CELL("contenu",$B$18),0))/IF(SUM(COUNTA(NY5:NY6)*CELL("contenu",$B$4),COUNTA(NY8:NY11)*CELL("contenu",$B$7),COUNTA(NY13:NY13)*CELL("contenu",$B$12),COUNTA(NY15:NY17)*CELL("contenu",$B$14),COUNTA(NY19:NY19)*CELL("contenu",$B$18))=0,1,SUM(COUNTA(NY5:NY6)*CELL("contenu",$B$4),COUNTA(NY8:NY11)*CELL("contenu",$B$7),COUNTA(NY13:NY13)*CELL("contenu",$B$12),COUNTA(NY15:NY17)*CELL("contenu",$B$14),COUNTA(NY19:NY19)*CELL("contenu",$B$18))))</f>
        <v/>
      </c>
      <c r="NZ20" s="176"/>
      <c r="OA20" s="174" t="str">
        <f ca="1">IF(COUNTA(NW20:NY20)-COUNTBLANK(NW20:NY20)=0,"",SUM(NW20:NY20)/(COUNTA(NW20:NY20)-COUNTBLANK(NW20:NY20)))</f>
        <v/>
      </c>
      <c r="OB20" s="103"/>
      <c r="OC20" s="141"/>
      <c r="OD20" s="167" t="str">
        <f ca="1">IF(COUNTA(OD5:OD19)=0,"",5*SUM(IFERROR((((COUNTIF(OD5:OD6,"A"))*4)+((COUNTIF(OD5:OD6,"B"))*3)+((COUNTIF(OD5:OD6,"C"))*2)+((COUNTIF(OD5:OD6,"D"))*1))*CELL("contenu",$B$4),0),IFERROR((((COUNTIF(OD8:OD11,"A"))*4)+((COUNTIF(OD8:OD11,"B"))*3)+((COUNTIF(OD8:OD11,"C"))*2)+((COUNTIF(OD8:OD11,"D"))*1))*CELL("contenu",$B$7),0),IFERROR((((COUNTIF(OD13:OD13,"A"))*4)+((COUNTIF(OD13:OD13,"B"))*3)+((COUNTIF(OD13:OD13,"C"))*2)+((COUNTIF(OD13:OD13,"D"))*1))*CELL("contenu",$B$12),0),IFERROR((((COUNTIF(OD15:OD17,"A"))*4)+((COUNTIF(OD15:OD17,"B"))*3)+((COUNTIF(OD15:OD17,"C"))*2)+((COUNTIF(OD15:OD17,"D"))*1))*CELL("contenu",$B$14),0),IFERROR((((COUNTIF(OD19:OD19,"A"))*4)+((COUNTIF(OD19:OD19,"B"))*3)+((COUNTIF(OD19:OD19,"C"))*2)+((COUNTIF(OD19:OD19,"D"))*1))*CELL("contenu",$B$18),0))/IF(SUM(COUNTA(OD5:OD6)*CELL("contenu",$B$4),COUNTA(OD8:OD11)*CELL("contenu",$B$7),COUNTA(OD13:OD13)*CELL("contenu",$B$12),COUNTA(OD15:OD17)*CELL("contenu",$B$14),COUNTA(OD19:OD19)*CELL("contenu",$B$18))=0,1,SUM(COUNTA(OD5:OD6)*CELL("contenu",$B$4),COUNTA(OD8:OD11)*CELL("contenu",$B$7),COUNTA(OD13:OD13)*CELL("contenu",$B$12),COUNTA(OD15:OD17)*CELL("contenu",$B$14),COUNTA(OD19:OD19)*CELL("contenu",$B$18))))</f>
        <v/>
      </c>
      <c r="OE20" s="168" t="str">
        <f ca="1">IF(COUNTA(OE5:OE19)=0,"",5*SUM(IFERROR((((COUNTIF(OE5:OE6,"A"))*4)+((COUNTIF(OE5:OE6,"B"))*3)+((COUNTIF(OE5:OE6,"C"))*2)+((COUNTIF(OE5:OE6,"D"))*1))*CELL("contenu",$B$4),0),IFERROR((((COUNTIF(OE8:OE11,"A"))*4)+((COUNTIF(OE8:OE11,"B"))*3)+((COUNTIF(OE8:OE11,"C"))*2)+((COUNTIF(OE8:OE11,"D"))*1))*CELL("contenu",$B$7),0),IFERROR((((COUNTIF(OE13:OE13,"A"))*4)+((COUNTIF(OE13:OE13,"B"))*3)+((COUNTIF(OE13:OE13,"C"))*2)+((COUNTIF(OE13:OE13,"D"))*1))*CELL("contenu",$B$12),0),IFERROR((((COUNTIF(OE15:OE17,"A"))*4)+((COUNTIF(OE15:OE17,"B"))*3)+((COUNTIF(OE15:OE17,"C"))*2)+((COUNTIF(OE15:OE17,"D"))*1))*CELL("contenu",$B$14),0),IFERROR((((COUNTIF(OE19:OE19,"A"))*4)+((COUNTIF(OE19:OE19,"B"))*3)+((COUNTIF(OE19:OE19,"C"))*2)+((COUNTIF(OE19:OE19,"D"))*1))*CELL("contenu",$B$18),0))/IF(SUM(COUNTA(OE5:OE6)*CELL("contenu",$B$4),COUNTA(OE8:OE11)*CELL("contenu",$B$7),COUNTA(OE13:OE13)*CELL("contenu",$B$12),COUNTA(OE15:OE17)*CELL("contenu",$B$14),COUNTA(OE19:OE19)*CELL("contenu",$B$18))=0,1,SUM(COUNTA(OE5:OE6)*CELL("contenu",$B$4),COUNTA(OE8:OE11)*CELL("contenu",$B$7),COUNTA(OE13:OE13)*CELL("contenu",$B$12),COUNTA(OE15:OE17)*CELL("contenu",$B$14),COUNTA(OE19:OE19)*CELL("contenu",$B$18))))</f>
        <v/>
      </c>
      <c r="OF20" s="169" t="str">
        <f ca="1">IF(COUNTA(OF5:OF19)=0,"",5*SUM(IFERROR((((COUNTIF(OF5:OF6,"A"))*4)+((COUNTIF(OF5:OF6,"B"))*3)+((COUNTIF(OF5:OF6,"C"))*2)+((COUNTIF(OF5:OF6,"D"))*1))*CELL("contenu",$B$4),0),IFERROR((((COUNTIF(OF8:OF11,"A"))*4)+((COUNTIF(OF8:OF11,"B"))*3)+((COUNTIF(OF8:OF11,"C"))*2)+((COUNTIF(OF8:OF11,"D"))*1))*CELL("contenu",$B$7),0),IFERROR((((COUNTIF(OF13:OF13,"A"))*4)+((COUNTIF(OF13:OF13,"B"))*3)+((COUNTIF(OF13:OF13,"C"))*2)+((COUNTIF(OF13:OF13,"D"))*1))*CELL("contenu",$B$12),0),IFERROR((((COUNTIF(OF15:OF17,"A"))*4)+((COUNTIF(OF15:OF17,"B"))*3)+((COUNTIF(OF15:OF17,"C"))*2)+((COUNTIF(OF15:OF17,"D"))*1))*CELL("contenu",$B$14),0),IFERROR((((COUNTIF(OF19:OF19,"A"))*4)+((COUNTIF(OF19:OF19,"B"))*3)+((COUNTIF(OF19:OF19,"C"))*2)+((COUNTIF(OF19:OF19,"D"))*1))*CELL("contenu",$B$18),0))/IF(SUM(COUNTA(OF5:OF6)*CELL("contenu",$B$4),COUNTA(OF8:OF11)*CELL("contenu",$B$7),COUNTA(OF13:OF13)*CELL("contenu",$B$12),COUNTA(OF15:OF17)*CELL("contenu",$B$14),COUNTA(OF19:OF19)*CELL("contenu",$B$18))=0,1,SUM(COUNTA(OF5:OF6)*CELL("contenu",$B$4),COUNTA(OF8:OF11)*CELL("contenu",$B$7),COUNTA(OF13:OF13)*CELL("contenu",$B$12),COUNTA(OF15:OF17)*CELL("contenu",$B$14),COUNTA(OF19:OF19)*CELL("contenu",$B$18))))</f>
        <v/>
      </c>
      <c r="OG20" s="116"/>
      <c r="OH20" s="192" t="str">
        <f ca="1">IF(COUNTA(OD20:OF20)-COUNTBLANK(OD20:OF20)=0,"",SUM(OD20:OF20)/(COUNTA(OD20:OF20)-COUNTBLANK(OD20:OF20)))</f>
        <v/>
      </c>
      <c r="OI20" s="182" t="str">
        <f ca="1">IF(COUNTA(OI5:OI19)=0,"",5*SUM(IFERROR((((COUNTIF(OI5:OI6,"A"))*4)+((COUNTIF(OI5:OI6,"B"))*3)+((COUNTIF(OI5:OI6,"C"))*2)+((COUNTIF(OI5:OI6,"D"))*1))*CELL("contenu",$B$4),0),IFERROR((((COUNTIF(OI8:OI11,"A"))*4)+((COUNTIF(OI8:OI11,"B"))*3)+((COUNTIF(OI8:OI11,"C"))*2)+((COUNTIF(OI8:OI11,"D"))*1))*CELL("contenu",$B$7),0),IFERROR((((COUNTIF(OI13:OI13,"A"))*4)+((COUNTIF(OI13:OI13,"B"))*3)+((COUNTIF(OI13:OI13,"C"))*2)+((COUNTIF(OI13:OI13,"D"))*1))*CELL("contenu",$B$12),0),IFERROR((((COUNTIF(OI15:OI17,"A"))*4)+((COUNTIF(OI15:OI17,"B"))*3)+((COUNTIF(OI15:OI17,"C"))*2)+((COUNTIF(OI15:OI17,"D"))*1))*CELL("contenu",$B$14),0),IFERROR((((COUNTIF(OI19:OI19,"A"))*4)+((COUNTIF(OI19:OI19,"B"))*3)+((COUNTIF(OI19:OI19,"C"))*2)+((COUNTIF(OI19:OI19,"D"))*1))*CELL("contenu",$B$18),0))/IF(SUM(COUNTA(OI5:OI6)*CELL("contenu",$B$4),COUNTA(OI8:OI11)*CELL("contenu",$B$7),COUNTA(OI13:OI13)*CELL("contenu",$B$12),COUNTA(OI15:OI17)*CELL("contenu",$B$14),COUNTA(OI19:OI19)*CELL("contenu",$B$18))=0,1,SUM(COUNTA(OI5:OI6)*CELL("contenu",$B$4),COUNTA(OI8:OI11)*CELL("contenu",$B$7),COUNTA(OI13:OI13)*CELL("contenu",$B$12),COUNTA(OI15:OI17)*CELL("contenu",$B$14),COUNTA(OI19:OI19)*CELL("contenu",$B$18))))</f>
        <v/>
      </c>
      <c r="OJ20" s="183" t="str">
        <f ca="1">IF(COUNTA(OJ5:OJ19)=0,"",5*SUM(IFERROR((((COUNTIF(OJ5:OJ6,"A"))*4)+((COUNTIF(OJ5:OJ6,"B"))*3)+((COUNTIF(OJ5:OJ6,"C"))*2)+((COUNTIF(OJ5:OJ6,"D"))*1))*CELL("contenu",$B$4),0),IFERROR((((COUNTIF(OJ8:OJ11,"A"))*4)+((COUNTIF(OJ8:OJ11,"B"))*3)+((COUNTIF(OJ8:OJ11,"C"))*2)+((COUNTIF(OJ8:OJ11,"D"))*1))*CELL("contenu",$B$7),0),IFERROR((((COUNTIF(OJ13:OJ13,"A"))*4)+((COUNTIF(OJ13:OJ13,"B"))*3)+((COUNTIF(OJ13:OJ13,"C"))*2)+((COUNTIF(OJ13:OJ13,"D"))*1))*CELL("contenu",$B$12),0),IFERROR((((COUNTIF(OJ15:OJ17,"A"))*4)+((COUNTIF(OJ15:OJ17,"B"))*3)+((COUNTIF(OJ15:OJ17,"C"))*2)+((COUNTIF(OJ15:OJ17,"D"))*1))*CELL("contenu",$B$14),0),IFERROR((((COUNTIF(OJ19:OJ19,"A"))*4)+((COUNTIF(OJ19:OJ19,"B"))*3)+((COUNTIF(OJ19:OJ19,"C"))*2)+((COUNTIF(OJ19:OJ19,"D"))*1))*CELL("contenu",$B$18),0))/IF(SUM(COUNTA(OJ5:OJ6)*CELL("contenu",$B$4),COUNTA(OJ8:OJ11)*CELL("contenu",$B$7),COUNTA(OJ13:OJ13)*CELL("contenu",$B$12),COUNTA(OJ15:OJ17)*CELL("contenu",$B$14),COUNTA(OJ19:OJ19)*CELL("contenu",$B$18))=0,1,SUM(COUNTA(OJ5:OJ6)*CELL("contenu",$B$4),COUNTA(OJ8:OJ11)*CELL("contenu",$B$7),COUNTA(OJ13:OJ13)*CELL("contenu",$B$12),COUNTA(OJ15:OJ17)*CELL("contenu",$B$14),COUNTA(OJ19:OJ19)*CELL("contenu",$B$18))))</f>
        <v/>
      </c>
      <c r="OK20" s="184" t="str">
        <f ca="1">IF(COUNTA(OK5:OK19)=0,"",5*SUM(IFERROR((((COUNTIF(OK5:OK6,"A"))*4)+((COUNTIF(OK5:OK6,"B"))*3)+((COUNTIF(OK5:OK6,"C"))*2)+((COUNTIF(OK5:OK6,"D"))*1))*CELL("contenu",$B$4),0),IFERROR((((COUNTIF(OK8:OK11,"A"))*4)+((COUNTIF(OK8:OK11,"B"))*3)+((COUNTIF(OK8:OK11,"C"))*2)+((COUNTIF(OK8:OK11,"D"))*1))*CELL("contenu",$B$7),0),IFERROR((((COUNTIF(OK13:OK13,"A"))*4)+((COUNTIF(OK13:OK13,"B"))*3)+((COUNTIF(OK13:OK13,"C"))*2)+((COUNTIF(OK13:OK13,"D"))*1))*CELL("contenu",$B$12),0),IFERROR((((COUNTIF(OK15:OK17,"A"))*4)+((COUNTIF(OK15:OK17,"B"))*3)+((COUNTIF(OK15:OK17,"C"))*2)+((COUNTIF(OK15:OK17,"D"))*1))*CELL("contenu",$B$14),0),IFERROR((((COUNTIF(OK19:OK19,"A"))*4)+((COUNTIF(OK19:OK19,"B"))*3)+((COUNTIF(OK19:OK19,"C"))*2)+((COUNTIF(OK19:OK19,"D"))*1))*CELL("contenu",$B$18),0))/IF(SUM(COUNTA(OK5:OK6)*CELL("contenu",$B$4),COUNTA(OK8:OK11)*CELL("contenu",$B$7),COUNTA(OK13:OK13)*CELL("contenu",$B$12),COUNTA(OK15:OK17)*CELL("contenu",$B$14),COUNTA(OK19:OK19)*CELL("contenu",$B$18))=0,1,SUM(COUNTA(OK5:OK6)*CELL("contenu",$B$4),COUNTA(OK8:OK11)*CELL("contenu",$B$7),COUNTA(OK13:OK13)*CELL("contenu",$B$12),COUNTA(OK15:OK17)*CELL("contenu",$B$14),COUNTA(OK19:OK19)*CELL("contenu",$B$18))))</f>
        <v/>
      </c>
      <c r="OL20" s="176"/>
      <c r="OM20" s="175" t="str">
        <f ca="1">IF(COUNTA(OI20:OK20)-COUNTBLANK(OI20:OK20)=0,"",SUM(OI20:OK20)/(COUNTA(OI20:OK20)-COUNTBLANK(OI20:OK20)))</f>
        <v/>
      </c>
      <c r="ON20" s="182" t="str">
        <f ca="1">IF(COUNTA(ON5:ON19)=0,"",5*SUM(IFERROR((((COUNTIF(ON5:ON6,"A"))*4)+((COUNTIF(ON5:ON6,"B"))*3)+((COUNTIF(ON5:ON6,"C"))*2)+((COUNTIF(ON5:ON6,"D"))*1))*CELL("contenu",$B$4),0),IFERROR((((COUNTIF(ON8:ON11,"A"))*4)+((COUNTIF(ON8:ON11,"B"))*3)+((COUNTIF(ON8:ON11,"C"))*2)+((COUNTIF(ON8:ON11,"D"))*1))*CELL("contenu",$B$7),0),IFERROR((((COUNTIF(ON13:ON13,"A"))*4)+((COUNTIF(ON13:ON13,"B"))*3)+((COUNTIF(ON13:ON13,"C"))*2)+((COUNTIF(ON13:ON13,"D"))*1))*CELL("contenu",$B$12),0),IFERROR((((COUNTIF(ON15:ON17,"A"))*4)+((COUNTIF(ON15:ON17,"B"))*3)+((COUNTIF(ON15:ON17,"C"))*2)+((COUNTIF(ON15:ON17,"D"))*1))*CELL("contenu",$B$14),0),IFERROR((((COUNTIF(ON19:ON19,"A"))*4)+((COUNTIF(ON19:ON19,"B"))*3)+((COUNTIF(ON19:ON19,"C"))*2)+((COUNTIF(ON19:ON19,"D"))*1))*CELL("contenu",$B$18),0))/IF(SUM(COUNTA(ON5:ON6)*CELL("contenu",$B$4),COUNTA(ON8:ON11)*CELL("contenu",$B$7),COUNTA(ON13:ON13)*CELL("contenu",$B$12),COUNTA(ON15:ON17)*CELL("contenu",$B$14),COUNTA(ON19:ON19)*CELL("contenu",$B$18))=0,1,SUM(COUNTA(ON5:ON6)*CELL("contenu",$B$4),COUNTA(ON8:ON11)*CELL("contenu",$B$7),COUNTA(ON13:ON13)*CELL("contenu",$B$12),COUNTA(ON15:ON17)*CELL("contenu",$B$14),COUNTA(ON19:ON19)*CELL("contenu",$B$18))))</f>
        <v/>
      </c>
      <c r="OO20" s="183" t="str">
        <f ca="1">IF(COUNTA(OO5:OO19)=0,"",5*SUM(IFERROR((((COUNTIF(OO5:OO6,"A"))*4)+((COUNTIF(OO5:OO6,"B"))*3)+((COUNTIF(OO5:OO6,"C"))*2)+((COUNTIF(OO5:OO6,"D"))*1))*CELL("contenu",$B$4),0),IFERROR((((COUNTIF(OO8:OO11,"A"))*4)+((COUNTIF(OO8:OO11,"B"))*3)+((COUNTIF(OO8:OO11,"C"))*2)+((COUNTIF(OO8:OO11,"D"))*1))*CELL("contenu",$B$7),0),IFERROR((((COUNTIF(OO13:OO13,"A"))*4)+((COUNTIF(OO13:OO13,"B"))*3)+((COUNTIF(OO13:OO13,"C"))*2)+((COUNTIF(OO13:OO13,"D"))*1))*CELL("contenu",$B$12),0),IFERROR((((COUNTIF(OO15:OO17,"A"))*4)+((COUNTIF(OO15:OO17,"B"))*3)+((COUNTIF(OO15:OO17,"C"))*2)+((COUNTIF(OO15:OO17,"D"))*1))*CELL("contenu",$B$14),0),IFERROR((((COUNTIF(OO19:OO19,"A"))*4)+((COUNTIF(OO19:OO19,"B"))*3)+((COUNTIF(OO19:OO19,"C"))*2)+((COUNTIF(OO19:OO19,"D"))*1))*CELL("contenu",$B$18),0))/IF(SUM(COUNTA(OO5:OO6)*CELL("contenu",$B$4),COUNTA(OO8:OO11)*CELL("contenu",$B$7),COUNTA(OO13:OO13)*CELL("contenu",$B$12),COUNTA(OO15:OO17)*CELL("contenu",$B$14),COUNTA(OO19:OO19)*CELL("contenu",$B$18))=0,1,SUM(COUNTA(OO5:OO6)*CELL("contenu",$B$4),COUNTA(OO8:OO11)*CELL("contenu",$B$7),COUNTA(OO13:OO13)*CELL("contenu",$B$12),COUNTA(OO15:OO17)*CELL("contenu",$B$14),COUNTA(OO19:OO19)*CELL("contenu",$B$18))))</f>
        <v/>
      </c>
      <c r="OP20" s="184" t="str">
        <f ca="1">IF(COUNTA(OP5:OP19)=0,"",5*SUM(IFERROR((((COUNTIF(OP5:OP6,"A"))*4)+((COUNTIF(OP5:OP6,"B"))*3)+((COUNTIF(OP5:OP6,"C"))*2)+((COUNTIF(OP5:OP6,"D"))*1))*CELL("contenu",$B$4),0),IFERROR((((COUNTIF(OP8:OP11,"A"))*4)+((COUNTIF(OP8:OP11,"B"))*3)+((COUNTIF(OP8:OP11,"C"))*2)+((COUNTIF(OP8:OP11,"D"))*1))*CELL("contenu",$B$7),0),IFERROR((((COUNTIF(OP13:OP13,"A"))*4)+((COUNTIF(OP13:OP13,"B"))*3)+((COUNTIF(OP13:OP13,"C"))*2)+((COUNTIF(OP13:OP13,"D"))*1))*CELL("contenu",$B$12),0),IFERROR((((COUNTIF(OP15:OP17,"A"))*4)+((COUNTIF(OP15:OP17,"B"))*3)+((COUNTIF(OP15:OP17,"C"))*2)+((COUNTIF(OP15:OP17,"D"))*1))*CELL("contenu",$B$14),0),IFERROR((((COUNTIF(OP19:OP19,"A"))*4)+((COUNTIF(OP19:OP19,"B"))*3)+((COUNTIF(OP19:OP19,"C"))*2)+((COUNTIF(OP19:OP19,"D"))*1))*CELL("contenu",$B$18),0))/IF(SUM(COUNTA(OP5:OP6)*CELL("contenu",$B$4),COUNTA(OP8:OP11)*CELL("contenu",$B$7),COUNTA(OP13:OP13)*CELL("contenu",$B$12),COUNTA(OP15:OP17)*CELL("contenu",$B$14),COUNTA(OP19:OP19)*CELL("contenu",$B$18))=0,1,SUM(COUNTA(OP5:OP6)*CELL("contenu",$B$4),COUNTA(OP8:OP11)*CELL("contenu",$B$7),COUNTA(OP13:OP13)*CELL("contenu",$B$12),COUNTA(OP15:OP17)*CELL("contenu",$B$14),COUNTA(OP19:OP19)*CELL("contenu",$B$18))))</f>
        <v/>
      </c>
      <c r="OQ20" s="176"/>
      <c r="OR20" s="174" t="str">
        <f ca="1">IF(COUNTA(ON20:OP20)-COUNTBLANK(ON20:OP20)=0,"",SUM(ON20:OP20)/(COUNTA(ON20:OP20)-COUNTBLANK(ON20:OP20)))</f>
        <v/>
      </c>
      <c r="OS20" s="103"/>
      <c r="OT20" s="141"/>
      <c r="OU20" s="167">
        <f ca="1">IF(COUNTA(OU5:OU19)=0,"",5*SUM(IFERROR((((COUNTIF(OU5:OU6,"A"))*4)+((COUNTIF(OU5:OU6,"B"))*3)+((COUNTIF(OU5:OU6,"C"))*2)+((COUNTIF(OU5:OU6,"D"))*1))*CELL("contenu",$B$4),0),IFERROR((((COUNTIF(OU8:OU11,"A"))*4)+((COUNTIF(OU8:OU11,"B"))*3)+((COUNTIF(OU8:OU11,"C"))*2)+((COUNTIF(OU8:OU11,"D"))*1))*CELL("contenu",$B$7),0),IFERROR((((COUNTIF(OU13:OU13,"A"))*4)+((COUNTIF(OU13:OU13,"B"))*3)+((COUNTIF(OU13:OU13,"C"))*2)+((COUNTIF(OU13:OU13,"D"))*1))*CELL("contenu",$B$12),0),IFERROR((((COUNTIF(OU15:OU17,"A"))*4)+((COUNTIF(OU15:OU17,"B"))*3)+((COUNTIF(OU15:OU17,"C"))*2)+((COUNTIF(OU15:OU17,"D"))*1))*CELL("contenu",$B$14),0),IFERROR((((COUNTIF(OU19:OU19,"A"))*4)+((COUNTIF(OU19:OU19,"B"))*3)+((COUNTIF(OU19:OU19,"C"))*2)+((COUNTIF(OU19:OU19,"D"))*1))*CELL("contenu",$B$18),0))/IF(SUM(COUNTA(OU5:OU6)*CELL("contenu",$B$4),COUNTA(OU8:OU11)*CELL("contenu",$B$7),COUNTA(OU13:OU13)*CELL("contenu",$B$12),COUNTA(OU15:OU17)*CELL("contenu",$B$14),COUNTA(OU19:OU19)*CELL("contenu",$B$18))=0,1,SUM(COUNTA(OU5:OU6)*CELL("contenu",$B$4),COUNTA(OU8:OU11)*CELL("contenu",$B$7),COUNTA(OU13:OU13)*CELL("contenu",$B$12),COUNTA(OU15:OU17)*CELL("contenu",$B$14),COUNTA(OU19:OU19)*CELL("contenu",$B$18))))</f>
        <v>18.333333333333332</v>
      </c>
      <c r="OV20" s="168">
        <f ca="1">IF(COUNTA(OV5:OV19)=0,"",5*SUM(IFERROR((((COUNTIF(OV5:OV6,"A"))*4)+((COUNTIF(OV5:OV6,"B"))*3)+((COUNTIF(OV5:OV6,"C"))*2)+((COUNTIF(OV5:OV6,"D"))*1))*CELL("contenu",$B$4),0),IFERROR((((COUNTIF(OV8:OV11,"A"))*4)+((COUNTIF(OV8:OV11,"B"))*3)+((COUNTIF(OV8:OV11,"C"))*2)+((COUNTIF(OV8:OV11,"D"))*1))*CELL("contenu",$B$7),0),IFERROR((((COUNTIF(OV13:OV13,"A"))*4)+((COUNTIF(OV13:OV13,"B"))*3)+((COUNTIF(OV13:OV13,"C"))*2)+((COUNTIF(OV13:OV13,"D"))*1))*CELL("contenu",$B$12),0),IFERROR((((COUNTIF(OV15:OV17,"A"))*4)+((COUNTIF(OV15:OV17,"B"))*3)+((COUNTIF(OV15:OV17,"C"))*2)+((COUNTIF(OV15:OV17,"D"))*1))*CELL("contenu",$B$14),0),IFERROR((((COUNTIF(OV19:OV19,"A"))*4)+((COUNTIF(OV19:OV19,"B"))*3)+((COUNTIF(OV19:OV19,"C"))*2)+((COUNTIF(OV19:OV19,"D"))*1))*CELL("contenu",$B$18),0))/IF(SUM(COUNTA(OV5:OV6)*CELL("contenu",$B$4),COUNTA(OV8:OV11)*CELL("contenu",$B$7),COUNTA(OV13:OV13)*CELL("contenu",$B$12),COUNTA(OV15:OV17)*CELL("contenu",$B$14),COUNTA(OV19:OV19)*CELL("contenu",$B$18))=0,1,SUM(COUNTA(OV5:OV6)*CELL("contenu",$B$4),COUNTA(OV8:OV11)*CELL("contenu",$B$7),COUNTA(OV13:OV13)*CELL("contenu",$B$12),COUNTA(OV15:OV17)*CELL("contenu",$B$14),COUNTA(OV19:OV19)*CELL("contenu",$B$18))))</f>
        <v>16.666666666666668</v>
      </c>
      <c r="OW20" s="169" t="str">
        <f ca="1">IF(COUNTA(OW5:OW19)=0,"",5*SUM(IFERROR((((COUNTIF(OW5:OW6,"A"))*4)+((COUNTIF(OW5:OW6,"B"))*3)+((COUNTIF(OW5:OW6,"C"))*2)+((COUNTIF(OW5:OW6,"D"))*1))*CELL("contenu",$B$4),0),IFERROR((((COUNTIF(OW8:OW11,"A"))*4)+((COUNTIF(OW8:OW11,"B"))*3)+((COUNTIF(OW8:OW11,"C"))*2)+((COUNTIF(OW8:OW11,"D"))*1))*CELL("contenu",$B$7),0),IFERROR((((COUNTIF(OW13:OW13,"A"))*4)+((COUNTIF(OW13:OW13,"B"))*3)+((COUNTIF(OW13:OW13,"C"))*2)+((COUNTIF(OW13:OW13,"D"))*1))*CELL("contenu",$B$12),0),IFERROR((((COUNTIF(OW15:OW17,"A"))*4)+((COUNTIF(OW15:OW17,"B"))*3)+((COUNTIF(OW15:OW17,"C"))*2)+((COUNTIF(OW15:OW17,"D"))*1))*CELL("contenu",$B$14),0),IFERROR((((COUNTIF(OW19:OW19,"A"))*4)+((COUNTIF(OW19:OW19,"B"))*3)+((COUNTIF(OW19:OW19,"C"))*2)+((COUNTIF(OW19:OW19,"D"))*1))*CELL("contenu",$B$18),0))/IF(SUM(COUNTA(OW5:OW6)*CELL("contenu",$B$4),COUNTA(OW8:OW11)*CELL("contenu",$B$7),COUNTA(OW13:OW13)*CELL("contenu",$B$12),COUNTA(OW15:OW17)*CELL("contenu",$B$14),COUNTA(OW19:OW19)*CELL("contenu",$B$18))=0,1,SUM(COUNTA(OW5:OW6)*CELL("contenu",$B$4),COUNTA(OW8:OW11)*CELL("contenu",$B$7),COUNTA(OW13:OW13)*CELL("contenu",$B$12),COUNTA(OW15:OW17)*CELL("contenu",$B$14),COUNTA(OW19:OW19)*CELL("contenu",$B$18))))</f>
        <v/>
      </c>
      <c r="OX20" s="116"/>
      <c r="OY20" s="192">
        <f ca="1">IF(COUNTA(OU20:OW20)-COUNTBLANK(OU20:OW20)=0,"",SUM(OU20:OW20)/(COUNTA(OU20:OW20)-COUNTBLANK(OU20:OW20)))</f>
        <v>17.5</v>
      </c>
      <c r="OZ20" s="182" t="str">
        <f ca="1">IF(COUNTA(OZ5:OZ19)=0,"",5*SUM(IFERROR((((COUNTIF(OZ5:OZ6,"A"))*4)+((COUNTIF(OZ5:OZ6,"B"))*3)+((COUNTIF(OZ5:OZ6,"C"))*2)+((COUNTIF(OZ5:OZ6,"D"))*1))*CELL("contenu",$B$4),0),IFERROR((((COUNTIF(OZ8:OZ11,"A"))*4)+((COUNTIF(OZ8:OZ11,"B"))*3)+((COUNTIF(OZ8:OZ11,"C"))*2)+((COUNTIF(OZ8:OZ11,"D"))*1))*CELL("contenu",$B$7),0),IFERROR((((COUNTIF(OZ13:OZ13,"A"))*4)+((COUNTIF(OZ13:OZ13,"B"))*3)+((COUNTIF(OZ13:OZ13,"C"))*2)+((COUNTIF(OZ13:OZ13,"D"))*1))*CELL("contenu",$B$12),0),IFERROR((((COUNTIF(OZ15:OZ17,"A"))*4)+((COUNTIF(OZ15:OZ17,"B"))*3)+((COUNTIF(OZ15:OZ17,"C"))*2)+((COUNTIF(OZ15:OZ17,"D"))*1))*CELL("contenu",$B$14),0),IFERROR((((COUNTIF(OZ19:OZ19,"A"))*4)+((COUNTIF(OZ19:OZ19,"B"))*3)+((COUNTIF(OZ19:OZ19,"C"))*2)+((COUNTIF(OZ19:OZ19,"D"))*1))*CELL("contenu",$B$18),0))/IF(SUM(COUNTA(OZ5:OZ6)*CELL("contenu",$B$4),COUNTA(OZ8:OZ11)*CELL("contenu",$B$7),COUNTA(OZ13:OZ13)*CELL("contenu",$B$12),COUNTA(OZ15:OZ17)*CELL("contenu",$B$14),COUNTA(OZ19:OZ19)*CELL("contenu",$B$18))=0,1,SUM(COUNTA(OZ5:OZ6)*CELL("contenu",$B$4),COUNTA(OZ8:OZ11)*CELL("contenu",$B$7),COUNTA(OZ13:OZ13)*CELL("contenu",$B$12),COUNTA(OZ15:OZ17)*CELL("contenu",$B$14),COUNTA(OZ19:OZ19)*CELL("contenu",$B$18))))</f>
        <v/>
      </c>
      <c r="PA20" s="183" t="str">
        <f ca="1">IF(COUNTA(PA5:PA19)=0,"",5*SUM(IFERROR((((COUNTIF(PA5:PA6,"A"))*4)+((COUNTIF(PA5:PA6,"B"))*3)+((COUNTIF(PA5:PA6,"C"))*2)+((COUNTIF(PA5:PA6,"D"))*1))*CELL("contenu",$B$4),0),IFERROR((((COUNTIF(PA8:PA11,"A"))*4)+((COUNTIF(PA8:PA11,"B"))*3)+((COUNTIF(PA8:PA11,"C"))*2)+((COUNTIF(PA8:PA11,"D"))*1))*CELL("contenu",$B$7),0),IFERROR((((COUNTIF(PA13:PA13,"A"))*4)+((COUNTIF(PA13:PA13,"B"))*3)+((COUNTIF(PA13:PA13,"C"))*2)+((COUNTIF(PA13:PA13,"D"))*1))*CELL("contenu",$B$12),0),IFERROR((((COUNTIF(PA15:PA17,"A"))*4)+((COUNTIF(PA15:PA17,"B"))*3)+((COUNTIF(PA15:PA17,"C"))*2)+((COUNTIF(PA15:PA17,"D"))*1))*CELL("contenu",$B$14),0),IFERROR((((COUNTIF(PA19:PA19,"A"))*4)+((COUNTIF(PA19:PA19,"B"))*3)+((COUNTIF(PA19:PA19,"C"))*2)+((COUNTIF(PA19:PA19,"D"))*1))*CELL("contenu",$B$18),0))/IF(SUM(COUNTA(PA5:PA6)*CELL("contenu",$B$4),COUNTA(PA8:PA11)*CELL("contenu",$B$7),COUNTA(PA13:PA13)*CELL("contenu",$B$12),COUNTA(PA15:PA17)*CELL("contenu",$B$14),COUNTA(PA19:PA19)*CELL("contenu",$B$18))=0,1,SUM(COUNTA(PA5:PA6)*CELL("contenu",$B$4),COUNTA(PA8:PA11)*CELL("contenu",$B$7),COUNTA(PA13:PA13)*CELL("contenu",$B$12),COUNTA(PA15:PA17)*CELL("contenu",$B$14),COUNTA(PA19:PA19)*CELL("contenu",$B$18))))</f>
        <v/>
      </c>
      <c r="PB20" s="184" t="str">
        <f ca="1">IF(COUNTA(PB5:PB19)=0,"",5*SUM(IFERROR((((COUNTIF(PB5:PB6,"A"))*4)+((COUNTIF(PB5:PB6,"B"))*3)+((COUNTIF(PB5:PB6,"C"))*2)+((COUNTIF(PB5:PB6,"D"))*1))*CELL("contenu",$B$4),0),IFERROR((((COUNTIF(PB8:PB11,"A"))*4)+((COUNTIF(PB8:PB11,"B"))*3)+((COUNTIF(PB8:PB11,"C"))*2)+((COUNTIF(PB8:PB11,"D"))*1))*CELL("contenu",$B$7),0),IFERROR((((COUNTIF(PB13:PB13,"A"))*4)+((COUNTIF(PB13:PB13,"B"))*3)+((COUNTIF(PB13:PB13,"C"))*2)+((COUNTIF(PB13:PB13,"D"))*1))*CELL("contenu",$B$12),0),IFERROR((((COUNTIF(PB15:PB17,"A"))*4)+((COUNTIF(PB15:PB17,"B"))*3)+((COUNTIF(PB15:PB17,"C"))*2)+((COUNTIF(PB15:PB17,"D"))*1))*CELL("contenu",$B$14),0),IFERROR((((COUNTIF(PB19:PB19,"A"))*4)+((COUNTIF(PB19:PB19,"B"))*3)+((COUNTIF(PB19:PB19,"C"))*2)+((COUNTIF(PB19:PB19,"D"))*1))*CELL("contenu",$B$18),0))/IF(SUM(COUNTA(PB5:PB6)*CELL("contenu",$B$4),COUNTA(PB8:PB11)*CELL("contenu",$B$7),COUNTA(PB13:PB13)*CELL("contenu",$B$12),COUNTA(PB15:PB17)*CELL("contenu",$B$14),COUNTA(PB19:PB19)*CELL("contenu",$B$18))=0,1,SUM(COUNTA(PB5:PB6)*CELL("contenu",$B$4),COUNTA(PB8:PB11)*CELL("contenu",$B$7),COUNTA(PB13:PB13)*CELL("contenu",$B$12),COUNTA(PB15:PB17)*CELL("contenu",$B$14),COUNTA(PB19:PB19)*CELL("contenu",$B$18))))</f>
        <v/>
      </c>
      <c r="PC20" s="176"/>
      <c r="PD20" s="175" t="str">
        <f ca="1">IF(COUNTA(OZ20:PB20)-COUNTBLANK(OZ20:PB20)=0,"",SUM(OZ20:PB20)/(COUNTA(OZ20:PB20)-COUNTBLANK(OZ20:PB20)))</f>
        <v/>
      </c>
      <c r="PE20" s="182" t="str">
        <f ca="1">IF(COUNTA(PE5:PE19)=0,"",5*SUM(IFERROR((((COUNTIF(PE5:PE6,"A"))*4)+((COUNTIF(PE5:PE6,"B"))*3)+((COUNTIF(PE5:PE6,"C"))*2)+((COUNTIF(PE5:PE6,"D"))*1))*CELL("contenu",$B$4),0),IFERROR((((COUNTIF(PE8:PE11,"A"))*4)+((COUNTIF(PE8:PE11,"B"))*3)+((COUNTIF(PE8:PE11,"C"))*2)+((COUNTIF(PE8:PE11,"D"))*1))*CELL("contenu",$B$7),0),IFERROR((((COUNTIF(PE13:PE13,"A"))*4)+((COUNTIF(PE13:PE13,"B"))*3)+((COUNTIF(PE13:PE13,"C"))*2)+((COUNTIF(PE13:PE13,"D"))*1))*CELL("contenu",$B$12),0),IFERROR((((COUNTIF(PE15:PE17,"A"))*4)+((COUNTIF(PE15:PE17,"B"))*3)+((COUNTIF(PE15:PE17,"C"))*2)+((COUNTIF(PE15:PE17,"D"))*1))*CELL("contenu",$B$14),0),IFERROR((((COUNTIF(PE19:PE19,"A"))*4)+((COUNTIF(PE19:PE19,"B"))*3)+((COUNTIF(PE19:PE19,"C"))*2)+((COUNTIF(PE19:PE19,"D"))*1))*CELL("contenu",$B$18),0))/IF(SUM(COUNTA(PE5:PE6)*CELL("contenu",$B$4),COUNTA(PE8:PE11)*CELL("contenu",$B$7),COUNTA(PE13:PE13)*CELL("contenu",$B$12),COUNTA(PE15:PE17)*CELL("contenu",$B$14),COUNTA(PE19:PE19)*CELL("contenu",$B$18))=0,1,SUM(COUNTA(PE5:PE6)*CELL("contenu",$B$4),COUNTA(PE8:PE11)*CELL("contenu",$B$7),COUNTA(PE13:PE13)*CELL("contenu",$B$12),COUNTA(PE15:PE17)*CELL("contenu",$B$14),COUNTA(PE19:PE19)*CELL("contenu",$B$18))))</f>
        <v/>
      </c>
      <c r="PF20" s="183" t="str">
        <f ca="1">IF(COUNTA(PF5:PF19)=0,"",5*SUM(IFERROR((((COUNTIF(PF5:PF6,"A"))*4)+((COUNTIF(PF5:PF6,"B"))*3)+((COUNTIF(PF5:PF6,"C"))*2)+((COUNTIF(PF5:PF6,"D"))*1))*CELL("contenu",$B$4),0),IFERROR((((COUNTIF(PF8:PF11,"A"))*4)+((COUNTIF(PF8:PF11,"B"))*3)+((COUNTIF(PF8:PF11,"C"))*2)+((COUNTIF(PF8:PF11,"D"))*1))*CELL("contenu",$B$7),0),IFERROR((((COUNTIF(PF13:PF13,"A"))*4)+((COUNTIF(PF13:PF13,"B"))*3)+((COUNTIF(PF13:PF13,"C"))*2)+((COUNTIF(PF13:PF13,"D"))*1))*CELL("contenu",$B$12),0),IFERROR((((COUNTIF(PF15:PF17,"A"))*4)+((COUNTIF(PF15:PF17,"B"))*3)+((COUNTIF(PF15:PF17,"C"))*2)+((COUNTIF(PF15:PF17,"D"))*1))*CELL("contenu",$B$14),0),IFERROR((((COUNTIF(PF19:PF19,"A"))*4)+((COUNTIF(PF19:PF19,"B"))*3)+((COUNTIF(PF19:PF19,"C"))*2)+((COUNTIF(PF19:PF19,"D"))*1))*CELL("contenu",$B$18),0))/IF(SUM(COUNTA(PF5:PF6)*CELL("contenu",$B$4),COUNTA(PF8:PF11)*CELL("contenu",$B$7),COUNTA(PF13:PF13)*CELL("contenu",$B$12),COUNTA(PF15:PF17)*CELL("contenu",$B$14),COUNTA(PF19:PF19)*CELL("contenu",$B$18))=0,1,SUM(COUNTA(PF5:PF6)*CELL("contenu",$B$4),COUNTA(PF8:PF11)*CELL("contenu",$B$7),COUNTA(PF13:PF13)*CELL("contenu",$B$12),COUNTA(PF15:PF17)*CELL("contenu",$B$14),COUNTA(PF19:PF19)*CELL("contenu",$B$18))))</f>
        <v/>
      </c>
      <c r="PG20" s="184" t="str">
        <f ca="1">IF(COUNTA(PG5:PG19)=0,"",5*SUM(IFERROR((((COUNTIF(PG5:PG6,"A"))*4)+((COUNTIF(PG5:PG6,"B"))*3)+((COUNTIF(PG5:PG6,"C"))*2)+((COUNTIF(PG5:PG6,"D"))*1))*CELL("contenu",$B$4),0),IFERROR((((COUNTIF(PG8:PG11,"A"))*4)+((COUNTIF(PG8:PG11,"B"))*3)+((COUNTIF(PG8:PG11,"C"))*2)+((COUNTIF(PG8:PG11,"D"))*1))*CELL("contenu",$B$7),0),IFERROR((((COUNTIF(PG13:PG13,"A"))*4)+((COUNTIF(PG13:PG13,"B"))*3)+((COUNTIF(PG13:PG13,"C"))*2)+((COUNTIF(PG13:PG13,"D"))*1))*CELL("contenu",$B$12),0),IFERROR((((COUNTIF(PG15:PG17,"A"))*4)+((COUNTIF(PG15:PG17,"B"))*3)+((COUNTIF(PG15:PG17,"C"))*2)+((COUNTIF(PG15:PG17,"D"))*1))*CELL("contenu",$B$14),0),IFERROR((((COUNTIF(PG19:PG19,"A"))*4)+((COUNTIF(PG19:PG19,"B"))*3)+((COUNTIF(PG19:PG19,"C"))*2)+((COUNTIF(PG19:PG19,"D"))*1))*CELL("contenu",$B$18),0))/IF(SUM(COUNTA(PG5:PG6)*CELL("contenu",$B$4),COUNTA(PG8:PG11)*CELL("contenu",$B$7),COUNTA(PG13:PG13)*CELL("contenu",$B$12),COUNTA(PG15:PG17)*CELL("contenu",$B$14),COUNTA(PG19:PG19)*CELL("contenu",$B$18))=0,1,SUM(COUNTA(PG5:PG6)*CELL("contenu",$B$4),COUNTA(PG8:PG11)*CELL("contenu",$B$7),COUNTA(PG13:PG13)*CELL("contenu",$B$12),COUNTA(PG15:PG17)*CELL("contenu",$B$14),COUNTA(PG19:PG19)*CELL("contenu",$B$18))))</f>
        <v/>
      </c>
      <c r="PH20" s="176"/>
      <c r="PI20" s="174" t="str">
        <f ca="1">IF(COUNTA(PE20:PG20)-COUNTBLANK(PE20:PG20)=0,"",SUM(PE20:PG20)/(COUNTA(PE20:PG20)-COUNTBLANK(PE20:PG20)))</f>
        <v/>
      </c>
      <c r="PJ20" s="103"/>
      <c r="PK20" s="141"/>
      <c r="PL20" s="167" t="str">
        <f ca="1">IF(COUNTA(PL5:PL19)=0,"",5*SUM(IFERROR((((COUNTIF(PL5:PL6,"A"))*4)+((COUNTIF(PL5:PL6,"B"))*3)+((COUNTIF(PL5:PL6,"C"))*2)+((COUNTIF(PL5:PL6,"D"))*1))*CELL("contenu",$B$4),0),IFERROR((((COUNTIF(PL8:PL11,"A"))*4)+((COUNTIF(PL8:PL11,"B"))*3)+((COUNTIF(PL8:PL11,"C"))*2)+((COUNTIF(PL8:PL11,"D"))*1))*CELL("contenu",$B$7),0),IFERROR((((COUNTIF(PL13:PL13,"A"))*4)+((COUNTIF(PL13:PL13,"B"))*3)+((COUNTIF(PL13:PL13,"C"))*2)+((COUNTIF(PL13:PL13,"D"))*1))*CELL("contenu",$B$12),0),IFERROR((((COUNTIF(PL15:PL17,"A"))*4)+((COUNTIF(PL15:PL17,"B"))*3)+((COUNTIF(PL15:PL17,"C"))*2)+((COUNTIF(PL15:PL17,"D"))*1))*CELL("contenu",$B$14),0),IFERROR((((COUNTIF(PL19:PL19,"A"))*4)+((COUNTIF(PL19:PL19,"B"))*3)+((COUNTIF(PL19:PL19,"C"))*2)+((COUNTIF(PL19:PL19,"D"))*1))*CELL("contenu",$B$18),0))/IF(SUM(COUNTA(PL5:PL6)*CELL("contenu",$B$4),COUNTA(PL8:PL11)*CELL("contenu",$B$7),COUNTA(PL13:PL13)*CELL("contenu",$B$12),COUNTA(PL15:PL17)*CELL("contenu",$B$14),COUNTA(PL19:PL19)*CELL("contenu",$B$18))=0,1,SUM(COUNTA(PL5:PL6)*CELL("contenu",$B$4),COUNTA(PL8:PL11)*CELL("contenu",$B$7),COUNTA(PL13:PL13)*CELL("contenu",$B$12),COUNTA(PL15:PL17)*CELL("contenu",$B$14),COUNTA(PL19:PL19)*CELL("contenu",$B$18))))</f>
        <v/>
      </c>
      <c r="PM20" s="168">
        <f ca="1">IF(COUNTA(PM5:PM19)=0,"",5*SUM(IFERROR((((COUNTIF(PM5:PM6,"A"))*4)+((COUNTIF(PM5:PM6,"B"))*3)+((COUNTIF(PM5:PM6,"C"))*2)+((COUNTIF(PM5:PM6,"D"))*1))*CELL("contenu",$B$4),0),IFERROR((((COUNTIF(PM8:PM11,"A"))*4)+((COUNTIF(PM8:PM11,"B"))*3)+((COUNTIF(PM8:PM11,"C"))*2)+((COUNTIF(PM8:PM11,"D"))*1))*CELL("contenu",$B$7),0),IFERROR((((COUNTIF(PM13:PM13,"A"))*4)+((COUNTIF(PM13:PM13,"B"))*3)+((COUNTIF(PM13:PM13,"C"))*2)+((COUNTIF(PM13:PM13,"D"))*1))*CELL("contenu",$B$12),0),IFERROR((((COUNTIF(PM15:PM17,"A"))*4)+((COUNTIF(PM15:PM17,"B"))*3)+((COUNTIF(PM15:PM17,"C"))*2)+((COUNTIF(PM15:PM17,"D"))*1))*CELL("contenu",$B$14),0),IFERROR((((COUNTIF(PM19:PM19,"A"))*4)+((COUNTIF(PM19:PM19,"B"))*3)+((COUNTIF(PM19:PM19,"C"))*2)+((COUNTIF(PM19:PM19,"D"))*1))*CELL("contenu",$B$18),0))/IF(SUM(COUNTA(PM5:PM6)*CELL("contenu",$B$4),COUNTA(PM8:PM11)*CELL("contenu",$B$7),COUNTA(PM13:PM13)*CELL("contenu",$B$12),COUNTA(PM15:PM17)*CELL("contenu",$B$14),COUNTA(PM19:PM19)*CELL("contenu",$B$18))=0,1,SUM(COUNTA(PM5:PM6)*CELL("contenu",$B$4),COUNTA(PM8:PM11)*CELL("contenu",$B$7),COUNTA(PM13:PM13)*CELL("contenu",$B$12),COUNTA(PM15:PM17)*CELL("contenu",$B$14),COUNTA(PM19:PM19)*CELL("contenu",$B$18))))</f>
        <v>11.666666666666666</v>
      </c>
      <c r="PN20" s="169" t="str">
        <f ca="1">IF(COUNTA(PN5:PN19)=0,"",5*SUM(IFERROR((((COUNTIF(PN5:PN6,"A"))*4)+((COUNTIF(PN5:PN6,"B"))*3)+((COUNTIF(PN5:PN6,"C"))*2)+((COUNTIF(PN5:PN6,"D"))*1))*CELL("contenu",$B$4),0),IFERROR((((COUNTIF(PN8:PN11,"A"))*4)+((COUNTIF(PN8:PN11,"B"))*3)+((COUNTIF(PN8:PN11,"C"))*2)+((COUNTIF(PN8:PN11,"D"))*1))*CELL("contenu",$B$7),0),IFERROR((((COUNTIF(PN13:PN13,"A"))*4)+((COUNTIF(PN13:PN13,"B"))*3)+((COUNTIF(PN13:PN13,"C"))*2)+((COUNTIF(PN13:PN13,"D"))*1))*CELL("contenu",$B$12),0),IFERROR((((COUNTIF(PN15:PN17,"A"))*4)+((COUNTIF(PN15:PN17,"B"))*3)+((COUNTIF(PN15:PN17,"C"))*2)+((COUNTIF(PN15:PN17,"D"))*1))*CELL("contenu",$B$14),0),IFERROR((((COUNTIF(PN19:PN19,"A"))*4)+((COUNTIF(PN19:PN19,"B"))*3)+((COUNTIF(PN19:PN19,"C"))*2)+((COUNTIF(PN19:PN19,"D"))*1))*CELL("contenu",$B$18),0))/IF(SUM(COUNTA(PN5:PN6)*CELL("contenu",$B$4),COUNTA(PN8:PN11)*CELL("contenu",$B$7),COUNTA(PN13:PN13)*CELL("contenu",$B$12),COUNTA(PN15:PN17)*CELL("contenu",$B$14),COUNTA(PN19:PN19)*CELL("contenu",$B$18))=0,1,SUM(COUNTA(PN5:PN6)*CELL("contenu",$B$4),COUNTA(PN8:PN11)*CELL("contenu",$B$7),COUNTA(PN13:PN13)*CELL("contenu",$B$12),COUNTA(PN15:PN17)*CELL("contenu",$B$14),COUNTA(PN19:PN19)*CELL("contenu",$B$18))))</f>
        <v/>
      </c>
      <c r="PO20" s="116"/>
      <c r="PP20" s="192">
        <f ca="1">IF(COUNTA(PL20:PN20)-COUNTBLANK(PL20:PN20)=0,"",SUM(PL20:PN20)/(COUNTA(PL20:PN20)-COUNTBLANK(PL20:PN20)))</f>
        <v>11.666666666666666</v>
      </c>
      <c r="PQ20" s="182" t="str">
        <f ca="1">IF(COUNTA(PQ5:PQ19)=0,"",5*SUM(IFERROR((((COUNTIF(PQ5:PQ6,"A"))*4)+((COUNTIF(PQ5:PQ6,"B"))*3)+((COUNTIF(PQ5:PQ6,"C"))*2)+((COUNTIF(PQ5:PQ6,"D"))*1))*CELL("contenu",$B$4),0),IFERROR((((COUNTIF(PQ8:PQ11,"A"))*4)+((COUNTIF(PQ8:PQ11,"B"))*3)+((COUNTIF(PQ8:PQ11,"C"))*2)+((COUNTIF(PQ8:PQ11,"D"))*1))*CELL("contenu",$B$7),0),IFERROR((((COUNTIF(PQ13:PQ13,"A"))*4)+((COUNTIF(PQ13:PQ13,"B"))*3)+((COUNTIF(PQ13:PQ13,"C"))*2)+((COUNTIF(PQ13:PQ13,"D"))*1))*CELL("contenu",$B$12),0),IFERROR((((COUNTIF(PQ15:PQ17,"A"))*4)+((COUNTIF(PQ15:PQ17,"B"))*3)+((COUNTIF(PQ15:PQ17,"C"))*2)+((COUNTIF(PQ15:PQ17,"D"))*1))*CELL("contenu",$B$14),0),IFERROR((((COUNTIF(PQ19:PQ19,"A"))*4)+((COUNTIF(PQ19:PQ19,"B"))*3)+((COUNTIF(PQ19:PQ19,"C"))*2)+((COUNTIF(PQ19:PQ19,"D"))*1))*CELL("contenu",$B$18),0))/IF(SUM(COUNTA(PQ5:PQ6)*CELL("contenu",$B$4),COUNTA(PQ8:PQ11)*CELL("contenu",$B$7),COUNTA(PQ13:PQ13)*CELL("contenu",$B$12),COUNTA(PQ15:PQ17)*CELL("contenu",$B$14),COUNTA(PQ19:PQ19)*CELL("contenu",$B$18))=0,1,SUM(COUNTA(PQ5:PQ6)*CELL("contenu",$B$4),COUNTA(PQ8:PQ11)*CELL("contenu",$B$7),COUNTA(PQ13:PQ13)*CELL("contenu",$B$12),COUNTA(PQ15:PQ17)*CELL("contenu",$B$14),COUNTA(PQ19:PQ19)*CELL("contenu",$B$18))))</f>
        <v/>
      </c>
      <c r="PR20" s="183" t="str">
        <f ca="1">IF(COUNTA(PR5:PR19)=0,"",5*SUM(IFERROR((((COUNTIF(PR5:PR6,"A"))*4)+((COUNTIF(PR5:PR6,"B"))*3)+((COUNTIF(PR5:PR6,"C"))*2)+((COUNTIF(PR5:PR6,"D"))*1))*CELL("contenu",$B$4),0),IFERROR((((COUNTIF(PR8:PR11,"A"))*4)+((COUNTIF(PR8:PR11,"B"))*3)+((COUNTIF(PR8:PR11,"C"))*2)+((COUNTIF(PR8:PR11,"D"))*1))*CELL("contenu",$B$7),0),IFERROR((((COUNTIF(PR13:PR13,"A"))*4)+((COUNTIF(PR13:PR13,"B"))*3)+((COUNTIF(PR13:PR13,"C"))*2)+((COUNTIF(PR13:PR13,"D"))*1))*CELL("contenu",$B$12),0),IFERROR((((COUNTIF(PR15:PR17,"A"))*4)+((COUNTIF(PR15:PR17,"B"))*3)+((COUNTIF(PR15:PR17,"C"))*2)+((COUNTIF(PR15:PR17,"D"))*1))*CELL("contenu",$B$14),0),IFERROR((((COUNTIF(PR19:PR19,"A"))*4)+((COUNTIF(PR19:PR19,"B"))*3)+((COUNTIF(PR19:PR19,"C"))*2)+((COUNTIF(PR19:PR19,"D"))*1))*CELL("contenu",$B$18),0))/IF(SUM(COUNTA(PR5:PR6)*CELL("contenu",$B$4),COUNTA(PR8:PR11)*CELL("contenu",$B$7),COUNTA(PR13:PR13)*CELL("contenu",$B$12),COUNTA(PR15:PR17)*CELL("contenu",$B$14),COUNTA(PR19:PR19)*CELL("contenu",$B$18))=0,1,SUM(COUNTA(PR5:PR6)*CELL("contenu",$B$4),COUNTA(PR8:PR11)*CELL("contenu",$B$7),COUNTA(PR13:PR13)*CELL("contenu",$B$12),COUNTA(PR15:PR17)*CELL("contenu",$B$14),COUNTA(PR19:PR19)*CELL("contenu",$B$18))))</f>
        <v/>
      </c>
      <c r="PS20" s="184" t="str">
        <f ca="1">IF(COUNTA(PS5:PS19)=0,"",5*SUM(IFERROR((((COUNTIF(PS5:PS6,"A"))*4)+((COUNTIF(PS5:PS6,"B"))*3)+((COUNTIF(PS5:PS6,"C"))*2)+((COUNTIF(PS5:PS6,"D"))*1))*CELL("contenu",$B$4),0),IFERROR((((COUNTIF(PS8:PS11,"A"))*4)+((COUNTIF(PS8:PS11,"B"))*3)+((COUNTIF(PS8:PS11,"C"))*2)+((COUNTIF(PS8:PS11,"D"))*1))*CELL("contenu",$B$7),0),IFERROR((((COUNTIF(PS13:PS13,"A"))*4)+((COUNTIF(PS13:PS13,"B"))*3)+((COUNTIF(PS13:PS13,"C"))*2)+((COUNTIF(PS13:PS13,"D"))*1))*CELL("contenu",$B$12),0),IFERROR((((COUNTIF(PS15:PS17,"A"))*4)+((COUNTIF(PS15:PS17,"B"))*3)+((COUNTIF(PS15:PS17,"C"))*2)+((COUNTIF(PS15:PS17,"D"))*1))*CELL("contenu",$B$14),0),IFERROR((((COUNTIF(PS19:PS19,"A"))*4)+((COUNTIF(PS19:PS19,"B"))*3)+((COUNTIF(PS19:PS19,"C"))*2)+((COUNTIF(PS19:PS19,"D"))*1))*CELL("contenu",$B$18),0))/IF(SUM(COUNTA(PS5:PS6)*CELL("contenu",$B$4),COUNTA(PS8:PS11)*CELL("contenu",$B$7),COUNTA(PS13:PS13)*CELL("contenu",$B$12),COUNTA(PS15:PS17)*CELL("contenu",$B$14),COUNTA(PS19:PS19)*CELL("contenu",$B$18))=0,1,SUM(COUNTA(PS5:PS6)*CELL("contenu",$B$4),COUNTA(PS8:PS11)*CELL("contenu",$B$7),COUNTA(PS13:PS13)*CELL("contenu",$B$12),COUNTA(PS15:PS17)*CELL("contenu",$B$14),COUNTA(PS19:PS19)*CELL("contenu",$B$18))))</f>
        <v/>
      </c>
      <c r="PT20" s="176"/>
      <c r="PU20" s="175" t="str">
        <f ca="1">IF(COUNTA(PQ20:PS20)-COUNTBLANK(PQ20:PS20)=0,"",SUM(PQ20:PS20)/(COUNTA(PQ20:PS20)-COUNTBLANK(PQ20:PS20)))</f>
        <v/>
      </c>
      <c r="PV20" s="182" t="str">
        <f ca="1">IF(COUNTA(PV5:PV19)=0,"",5*SUM(IFERROR((((COUNTIF(PV5:PV6,"A"))*4)+((COUNTIF(PV5:PV6,"B"))*3)+((COUNTIF(PV5:PV6,"C"))*2)+((COUNTIF(PV5:PV6,"D"))*1))*CELL("contenu",$B$4),0),IFERROR((((COUNTIF(PV8:PV11,"A"))*4)+((COUNTIF(PV8:PV11,"B"))*3)+((COUNTIF(PV8:PV11,"C"))*2)+((COUNTIF(PV8:PV11,"D"))*1))*CELL("contenu",$B$7),0),IFERROR((((COUNTIF(PV13:PV13,"A"))*4)+((COUNTIF(PV13:PV13,"B"))*3)+((COUNTIF(PV13:PV13,"C"))*2)+((COUNTIF(PV13:PV13,"D"))*1))*CELL("contenu",$B$12),0),IFERROR((((COUNTIF(PV15:PV17,"A"))*4)+((COUNTIF(PV15:PV17,"B"))*3)+((COUNTIF(PV15:PV17,"C"))*2)+((COUNTIF(PV15:PV17,"D"))*1))*CELL("contenu",$B$14),0),IFERROR((((COUNTIF(PV19:PV19,"A"))*4)+((COUNTIF(PV19:PV19,"B"))*3)+((COUNTIF(PV19:PV19,"C"))*2)+((COUNTIF(PV19:PV19,"D"))*1))*CELL("contenu",$B$18),0))/IF(SUM(COUNTA(PV5:PV6)*CELL("contenu",$B$4),COUNTA(PV8:PV11)*CELL("contenu",$B$7),COUNTA(PV13:PV13)*CELL("contenu",$B$12),COUNTA(PV15:PV17)*CELL("contenu",$B$14),COUNTA(PV19:PV19)*CELL("contenu",$B$18))=0,1,SUM(COUNTA(PV5:PV6)*CELL("contenu",$B$4),COUNTA(PV8:PV11)*CELL("contenu",$B$7),COUNTA(PV13:PV13)*CELL("contenu",$B$12),COUNTA(PV15:PV17)*CELL("contenu",$B$14),COUNTA(PV19:PV19)*CELL("contenu",$B$18))))</f>
        <v/>
      </c>
      <c r="PW20" s="183" t="str">
        <f ca="1">IF(COUNTA(PW5:PW19)=0,"",5*SUM(IFERROR((((COUNTIF(PW5:PW6,"A"))*4)+((COUNTIF(PW5:PW6,"B"))*3)+((COUNTIF(PW5:PW6,"C"))*2)+((COUNTIF(PW5:PW6,"D"))*1))*CELL("contenu",$B$4),0),IFERROR((((COUNTIF(PW8:PW11,"A"))*4)+((COUNTIF(PW8:PW11,"B"))*3)+((COUNTIF(PW8:PW11,"C"))*2)+((COUNTIF(PW8:PW11,"D"))*1))*CELL("contenu",$B$7),0),IFERROR((((COUNTIF(PW13:PW13,"A"))*4)+((COUNTIF(PW13:PW13,"B"))*3)+((COUNTIF(PW13:PW13,"C"))*2)+((COUNTIF(PW13:PW13,"D"))*1))*CELL("contenu",$B$12),0),IFERROR((((COUNTIF(PW15:PW17,"A"))*4)+((COUNTIF(PW15:PW17,"B"))*3)+((COUNTIF(PW15:PW17,"C"))*2)+((COUNTIF(PW15:PW17,"D"))*1))*CELL("contenu",$B$14),0),IFERROR((((COUNTIF(PW19:PW19,"A"))*4)+((COUNTIF(PW19:PW19,"B"))*3)+((COUNTIF(PW19:PW19,"C"))*2)+((COUNTIF(PW19:PW19,"D"))*1))*CELL("contenu",$B$18),0))/IF(SUM(COUNTA(PW5:PW6)*CELL("contenu",$B$4),COUNTA(PW8:PW11)*CELL("contenu",$B$7),COUNTA(PW13:PW13)*CELL("contenu",$B$12),COUNTA(PW15:PW17)*CELL("contenu",$B$14),COUNTA(PW19:PW19)*CELL("contenu",$B$18))=0,1,SUM(COUNTA(PW5:PW6)*CELL("contenu",$B$4),COUNTA(PW8:PW11)*CELL("contenu",$B$7),COUNTA(PW13:PW13)*CELL("contenu",$B$12),COUNTA(PW15:PW17)*CELL("contenu",$B$14),COUNTA(PW19:PW19)*CELL("contenu",$B$18))))</f>
        <v/>
      </c>
      <c r="PX20" s="184" t="str">
        <f ca="1">IF(COUNTA(PX5:PX19)=0,"",5*SUM(IFERROR((((COUNTIF(PX5:PX6,"A"))*4)+((COUNTIF(PX5:PX6,"B"))*3)+((COUNTIF(PX5:PX6,"C"))*2)+((COUNTIF(PX5:PX6,"D"))*1))*CELL("contenu",$B$4),0),IFERROR((((COUNTIF(PX8:PX11,"A"))*4)+((COUNTIF(PX8:PX11,"B"))*3)+((COUNTIF(PX8:PX11,"C"))*2)+((COUNTIF(PX8:PX11,"D"))*1))*CELL("contenu",$B$7),0),IFERROR((((COUNTIF(PX13:PX13,"A"))*4)+((COUNTIF(PX13:PX13,"B"))*3)+((COUNTIF(PX13:PX13,"C"))*2)+((COUNTIF(PX13:PX13,"D"))*1))*CELL("contenu",$B$12),0),IFERROR((((COUNTIF(PX15:PX17,"A"))*4)+((COUNTIF(PX15:PX17,"B"))*3)+((COUNTIF(PX15:PX17,"C"))*2)+((COUNTIF(PX15:PX17,"D"))*1))*CELL("contenu",$B$14),0),IFERROR((((COUNTIF(PX19:PX19,"A"))*4)+((COUNTIF(PX19:PX19,"B"))*3)+((COUNTIF(PX19:PX19,"C"))*2)+((COUNTIF(PX19:PX19,"D"))*1))*CELL("contenu",$B$18),0))/IF(SUM(COUNTA(PX5:PX6)*CELL("contenu",$B$4),COUNTA(PX8:PX11)*CELL("contenu",$B$7),COUNTA(PX13:PX13)*CELL("contenu",$B$12),COUNTA(PX15:PX17)*CELL("contenu",$B$14),COUNTA(PX19:PX19)*CELL("contenu",$B$18))=0,1,SUM(COUNTA(PX5:PX6)*CELL("contenu",$B$4),COUNTA(PX8:PX11)*CELL("contenu",$B$7),COUNTA(PX13:PX13)*CELL("contenu",$B$12),COUNTA(PX15:PX17)*CELL("contenu",$B$14),COUNTA(PX19:PX19)*CELL("contenu",$B$18))))</f>
        <v/>
      </c>
      <c r="PY20" s="176"/>
      <c r="PZ20" s="174" t="str">
        <f ca="1">IF(COUNTA(PV20:PX20)-COUNTBLANK(PV20:PX20)=0,"",SUM(PV20:PX20)/(COUNTA(PV20:PX20)-COUNTBLANK(PV20:PX20)))</f>
        <v/>
      </c>
      <c r="QA20" s="103"/>
      <c r="QB20" s="141"/>
      <c r="QC20" s="167">
        <f ca="1">IF(COUNTA(QC5:QC19)=0,"",5*SUM(IFERROR((((COUNTIF(QC5:QC6,"A"))*4)+((COUNTIF(QC5:QC6,"B"))*3)+((COUNTIF(QC5:QC6,"C"))*2)+((COUNTIF(QC5:QC6,"D"))*1))*CELL("contenu",$B$4),0),IFERROR((((COUNTIF(QC8:QC11,"A"))*4)+((COUNTIF(QC8:QC11,"B"))*3)+((COUNTIF(QC8:QC11,"C"))*2)+((COUNTIF(QC8:QC11,"D"))*1))*CELL("contenu",$B$7),0),IFERROR((((COUNTIF(QC13:QC13,"A"))*4)+((COUNTIF(QC13:QC13,"B"))*3)+((COUNTIF(QC13:QC13,"C"))*2)+((COUNTIF(QC13:QC13,"D"))*1))*CELL("contenu",$B$12),0),IFERROR((((COUNTIF(QC15:QC17,"A"))*4)+((COUNTIF(QC15:QC17,"B"))*3)+((COUNTIF(QC15:QC17,"C"))*2)+((COUNTIF(QC15:QC17,"D"))*1))*CELL("contenu",$B$14),0),IFERROR((((COUNTIF(QC19:QC19,"A"))*4)+((COUNTIF(QC19:QC19,"B"))*3)+((COUNTIF(QC19:QC19,"C"))*2)+((COUNTIF(QC19:QC19,"D"))*1))*CELL("contenu",$B$18),0))/IF(SUM(COUNTA(QC5:QC6)*CELL("contenu",$B$4),COUNTA(QC8:QC11)*CELL("contenu",$B$7),COUNTA(QC13:QC13)*CELL("contenu",$B$12),COUNTA(QC15:QC17)*CELL("contenu",$B$14),COUNTA(QC19:QC19)*CELL("contenu",$B$18))=0,1,SUM(COUNTA(QC5:QC6)*CELL("contenu",$B$4),COUNTA(QC8:QC11)*CELL("contenu",$B$7),COUNTA(QC13:QC13)*CELL("contenu",$B$12),COUNTA(QC15:QC17)*CELL("contenu",$B$14),COUNTA(QC19:QC19)*CELL("contenu",$B$18))))</f>
        <v>20</v>
      </c>
      <c r="QD20" s="168">
        <f ca="1">IF(COUNTA(QD5:QD19)=0,"",5*SUM(IFERROR((((COUNTIF(QD5:QD6,"A"))*4)+((COUNTIF(QD5:QD6,"B"))*3)+((COUNTIF(QD5:QD6,"C"))*2)+((COUNTIF(QD5:QD6,"D"))*1))*CELL("contenu",$B$4),0),IFERROR((((COUNTIF(QD8:QD11,"A"))*4)+((COUNTIF(QD8:QD11,"B"))*3)+((COUNTIF(QD8:QD11,"C"))*2)+((COUNTIF(QD8:QD11,"D"))*1))*CELL("contenu",$B$7),0),IFERROR((((COUNTIF(QD13:QD13,"A"))*4)+((COUNTIF(QD13:QD13,"B"))*3)+((COUNTIF(QD13:QD13,"C"))*2)+((COUNTIF(QD13:QD13,"D"))*1))*CELL("contenu",$B$12),0),IFERROR((((COUNTIF(QD15:QD17,"A"))*4)+((COUNTIF(QD15:QD17,"B"))*3)+((COUNTIF(QD15:QD17,"C"))*2)+((COUNTIF(QD15:QD17,"D"))*1))*CELL("contenu",$B$14),0),IFERROR((((COUNTIF(QD19:QD19,"A"))*4)+((COUNTIF(QD19:QD19,"B"))*3)+((COUNTIF(QD19:QD19,"C"))*2)+((COUNTIF(QD19:QD19,"D"))*1))*CELL("contenu",$B$18),0))/IF(SUM(COUNTA(QD5:QD6)*CELL("contenu",$B$4),COUNTA(QD8:QD11)*CELL("contenu",$B$7),COUNTA(QD13:QD13)*CELL("contenu",$B$12),COUNTA(QD15:QD17)*CELL("contenu",$B$14),COUNTA(QD19:QD19)*CELL("contenu",$B$18))=0,1,SUM(COUNTA(QD5:QD6)*CELL("contenu",$B$4),COUNTA(QD8:QD11)*CELL("contenu",$B$7),COUNTA(QD13:QD13)*CELL("contenu",$B$12),COUNTA(QD15:QD17)*CELL("contenu",$B$14),COUNTA(QD19:QD19)*CELL("contenu",$B$18))))</f>
        <v>20</v>
      </c>
      <c r="QE20" s="169" t="str">
        <f ca="1">IF(COUNTA(QE5:QE19)=0,"",5*SUM(IFERROR((((COUNTIF(QE5:QE6,"A"))*4)+((COUNTIF(QE5:QE6,"B"))*3)+((COUNTIF(QE5:QE6,"C"))*2)+((COUNTIF(QE5:QE6,"D"))*1))*CELL("contenu",$B$4),0),IFERROR((((COUNTIF(QE8:QE11,"A"))*4)+((COUNTIF(QE8:QE11,"B"))*3)+((COUNTIF(QE8:QE11,"C"))*2)+((COUNTIF(QE8:QE11,"D"))*1))*CELL("contenu",$B$7),0),IFERROR((((COUNTIF(QE13:QE13,"A"))*4)+((COUNTIF(QE13:QE13,"B"))*3)+((COUNTIF(QE13:QE13,"C"))*2)+((COUNTIF(QE13:QE13,"D"))*1))*CELL("contenu",$B$12),0),IFERROR((((COUNTIF(QE15:QE17,"A"))*4)+((COUNTIF(QE15:QE17,"B"))*3)+((COUNTIF(QE15:QE17,"C"))*2)+((COUNTIF(QE15:QE17,"D"))*1))*CELL("contenu",$B$14),0),IFERROR((((COUNTIF(QE19:QE19,"A"))*4)+((COUNTIF(QE19:QE19,"B"))*3)+((COUNTIF(QE19:QE19,"C"))*2)+((COUNTIF(QE19:QE19,"D"))*1))*CELL("contenu",$B$18),0))/IF(SUM(COUNTA(QE5:QE6)*CELL("contenu",$B$4),COUNTA(QE8:QE11)*CELL("contenu",$B$7),COUNTA(QE13:QE13)*CELL("contenu",$B$12),COUNTA(QE15:QE17)*CELL("contenu",$B$14),COUNTA(QE19:QE19)*CELL("contenu",$B$18))=0,1,SUM(COUNTA(QE5:QE6)*CELL("contenu",$B$4),COUNTA(QE8:QE11)*CELL("contenu",$B$7),COUNTA(QE13:QE13)*CELL("contenu",$B$12),COUNTA(QE15:QE17)*CELL("contenu",$B$14),COUNTA(QE19:QE19)*CELL("contenu",$B$18))))</f>
        <v/>
      </c>
      <c r="QF20" s="116"/>
      <c r="QG20" s="192">
        <f ca="1">IF(COUNTA(QC20:QE20)-COUNTBLANK(QC20:QE20)=0,"",SUM(QC20:QE20)/(COUNTA(QC20:QE20)-COUNTBLANK(QC20:QE20)))</f>
        <v>20</v>
      </c>
      <c r="QH20" s="182" t="str">
        <f ca="1">IF(COUNTA(QH5:QH19)=0,"",5*SUM(IFERROR((((COUNTIF(QH5:QH6,"A"))*4)+((COUNTIF(QH5:QH6,"B"))*3)+((COUNTIF(QH5:QH6,"C"))*2)+((COUNTIF(QH5:QH6,"D"))*1))*CELL("contenu",$B$4),0),IFERROR((((COUNTIF(QH8:QH11,"A"))*4)+((COUNTIF(QH8:QH11,"B"))*3)+((COUNTIF(QH8:QH11,"C"))*2)+((COUNTIF(QH8:QH11,"D"))*1))*CELL("contenu",$B$7),0),IFERROR((((COUNTIF(QH13:QH13,"A"))*4)+((COUNTIF(QH13:QH13,"B"))*3)+((COUNTIF(QH13:QH13,"C"))*2)+((COUNTIF(QH13:QH13,"D"))*1))*CELL("contenu",$B$12),0),IFERROR((((COUNTIF(QH15:QH17,"A"))*4)+((COUNTIF(QH15:QH17,"B"))*3)+((COUNTIF(QH15:QH17,"C"))*2)+((COUNTIF(QH15:QH17,"D"))*1))*CELL("contenu",$B$14),0),IFERROR((((COUNTIF(QH19:QH19,"A"))*4)+((COUNTIF(QH19:QH19,"B"))*3)+((COUNTIF(QH19:QH19,"C"))*2)+((COUNTIF(QH19:QH19,"D"))*1))*CELL("contenu",$B$18),0))/IF(SUM(COUNTA(QH5:QH6)*CELL("contenu",$B$4),COUNTA(QH8:QH11)*CELL("contenu",$B$7),COUNTA(QH13:QH13)*CELL("contenu",$B$12),COUNTA(QH15:QH17)*CELL("contenu",$B$14),COUNTA(QH19:QH19)*CELL("contenu",$B$18))=0,1,SUM(COUNTA(QH5:QH6)*CELL("contenu",$B$4),COUNTA(QH8:QH11)*CELL("contenu",$B$7),COUNTA(QH13:QH13)*CELL("contenu",$B$12),COUNTA(QH15:QH17)*CELL("contenu",$B$14),COUNTA(QH19:QH19)*CELL("contenu",$B$18))))</f>
        <v/>
      </c>
      <c r="QI20" s="183" t="str">
        <f ca="1">IF(COUNTA(QI5:QI19)=0,"",5*SUM(IFERROR((((COUNTIF(QI5:QI6,"A"))*4)+((COUNTIF(QI5:QI6,"B"))*3)+((COUNTIF(QI5:QI6,"C"))*2)+((COUNTIF(QI5:QI6,"D"))*1))*CELL("contenu",$B$4),0),IFERROR((((COUNTIF(QI8:QI11,"A"))*4)+((COUNTIF(QI8:QI11,"B"))*3)+((COUNTIF(QI8:QI11,"C"))*2)+((COUNTIF(QI8:QI11,"D"))*1))*CELL("contenu",$B$7),0),IFERROR((((COUNTIF(QI13:QI13,"A"))*4)+((COUNTIF(QI13:QI13,"B"))*3)+((COUNTIF(QI13:QI13,"C"))*2)+((COUNTIF(QI13:QI13,"D"))*1))*CELL("contenu",$B$12),0),IFERROR((((COUNTIF(QI15:QI17,"A"))*4)+((COUNTIF(QI15:QI17,"B"))*3)+((COUNTIF(QI15:QI17,"C"))*2)+((COUNTIF(QI15:QI17,"D"))*1))*CELL("contenu",$B$14),0),IFERROR((((COUNTIF(QI19:QI19,"A"))*4)+((COUNTIF(QI19:QI19,"B"))*3)+((COUNTIF(QI19:QI19,"C"))*2)+((COUNTIF(QI19:QI19,"D"))*1))*CELL("contenu",$B$18),0))/IF(SUM(COUNTA(QI5:QI6)*CELL("contenu",$B$4),COUNTA(QI8:QI11)*CELL("contenu",$B$7),COUNTA(QI13:QI13)*CELL("contenu",$B$12),COUNTA(QI15:QI17)*CELL("contenu",$B$14),COUNTA(QI19:QI19)*CELL("contenu",$B$18))=0,1,SUM(COUNTA(QI5:QI6)*CELL("contenu",$B$4),COUNTA(QI8:QI11)*CELL("contenu",$B$7),COUNTA(QI13:QI13)*CELL("contenu",$B$12),COUNTA(QI15:QI17)*CELL("contenu",$B$14),COUNTA(QI19:QI19)*CELL("contenu",$B$18))))</f>
        <v/>
      </c>
      <c r="QJ20" s="184" t="str">
        <f ca="1">IF(COUNTA(QJ5:QJ19)=0,"",5*SUM(IFERROR((((COUNTIF(QJ5:QJ6,"A"))*4)+((COUNTIF(QJ5:QJ6,"B"))*3)+((COUNTIF(QJ5:QJ6,"C"))*2)+((COUNTIF(QJ5:QJ6,"D"))*1))*CELL("contenu",$B$4),0),IFERROR((((COUNTIF(QJ8:QJ11,"A"))*4)+((COUNTIF(QJ8:QJ11,"B"))*3)+((COUNTIF(QJ8:QJ11,"C"))*2)+((COUNTIF(QJ8:QJ11,"D"))*1))*CELL("contenu",$B$7),0),IFERROR((((COUNTIF(QJ13:QJ13,"A"))*4)+((COUNTIF(QJ13:QJ13,"B"))*3)+((COUNTIF(QJ13:QJ13,"C"))*2)+((COUNTIF(QJ13:QJ13,"D"))*1))*CELL("contenu",$B$12),0),IFERROR((((COUNTIF(QJ15:QJ17,"A"))*4)+((COUNTIF(QJ15:QJ17,"B"))*3)+((COUNTIF(QJ15:QJ17,"C"))*2)+((COUNTIF(QJ15:QJ17,"D"))*1))*CELL("contenu",$B$14),0),IFERROR((((COUNTIF(QJ19:QJ19,"A"))*4)+((COUNTIF(QJ19:QJ19,"B"))*3)+((COUNTIF(QJ19:QJ19,"C"))*2)+((COUNTIF(QJ19:QJ19,"D"))*1))*CELL("contenu",$B$18),0))/IF(SUM(COUNTA(QJ5:QJ6)*CELL("contenu",$B$4),COUNTA(QJ8:QJ11)*CELL("contenu",$B$7),COUNTA(QJ13:QJ13)*CELL("contenu",$B$12),COUNTA(QJ15:QJ17)*CELL("contenu",$B$14),COUNTA(QJ19:QJ19)*CELL("contenu",$B$18))=0,1,SUM(COUNTA(QJ5:QJ6)*CELL("contenu",$B$4),COUNTA(QJ8:QJ11)*CELL("contenu",$B$7),COUNTA(QJ13:QJ13)*CELL("contenu",$B$12),COUNTA(QJ15:QJ17)*CELL("contenu",$B$14),COUNTA(QJ19:QJ19)*CELL("contenu",$B$18))))</f>
        <v/>
      </c>
      <c r="QK20" s="176"/>
      <c r="QL20" s="175" t="str">
        <f ca="1">IF(COUNTA(QH20:QJ20)-COUNTBLANK(QH20:QJ20)=0,"",SUM(QH20:QJ20)/(COUNTA(QH20:QJ20)-COUNTBLANK(QH20:QJ20)))</f>
        <v/>
      </c>
      <c r="QM20" s="182" t="str">
        <f ca="1">IF(COUNTA(QM5:QM19)=0,"",5*SUM(IFERROR((((COUNTIF(QM5:QM6,"A"))*4)+((COUNTIF(QM5:QM6,"B"))*3)+((COUNTIF(QM5:QM6,"C"))*2)+((COUNTIF(QM5:QM6,"D"))*1))*CELL("contenu",$B$4),0),IFERROR((((COUNTIF(QM8:QM11,"A"))*4)+((COUNTIF(QM8:QM11,"B"))*3)+((COUNTIF(QM8:QM11,"C"))*2)+((COUNTIF(QM8:QM11,"D"))*1))*CELL("contenu",$B$7),0),IFERROR((((COUNTIF(QM13:QM13,"A"))*4)+((COUNTIF(QM13:QM13,"B"))*3)+((COUNTIF(QM13:QM13,"C"))*2)+((COUNTIF(QM13:QM13,"D"))*1))*CELL("contenu",$B$12),0),IFERROR((((COUNTIF(QM15:QM17,"A"))*4)+((COUNTIF(QM15:QM17,"B"))*3)+((COUNTIF(QM15:QM17,"C"))*2)+((COUNTIF(QM15:QM17,"D"))*1))*CELL("contenu",$B$14),0),IFERROR((((COUNTIF(QM19:QM19,"A"))*4)+((COUNTIF(QM19:QM19,"B"))*3)+((COUNTIF(QM19:QM19,"C"))*2)+((COUNTIF(QM19:QM19,"D"))*1))*CELL("contenu",$B$18),0))/IF(SUM(COUNTA(QM5:QM6)*CELL("contenu",$B$4),COUNTA(QM8:QM11)*CELL("contenu",$B$7),COUNTA(QM13:QM13)*CELL("contenu",$B$12),COUNTA(QM15:QM17)*CELL("contenu",$B$14),COUNTA(QM19:QM19)*CELL("contenu",$B$18))=0,1,SUM(COUNTA(QM5:QM6)*CELL("contenu",$B$4),COUNTA(QM8:QM11)*CELL("contenu",$B$7),COUNTA(QM13:QM13)*CELL("contenu",$B$12),COUNTA(QM15:QM17)*CELL("contenu",$B$14),COUNTA(QM19:QM19)*CELL("contenu",$B$18))))</f>
        <v/>
      </c>
      <c r="QN20" s="183" t="str">
        <f ca="1">IF(COUNTA(QN5:QN19)=0,"",5*SUM(IFERROR((((COUNTIF(QN5:QN6,"A"))*4)+((COUNTIF(QN5:QN6,"B"))*3)+((COUNTIF(QN5:QN6,"C"))*2)+((COUNTIF(QN5:QN6,"D"))*1))*CELL("contenu",$B$4),0),IFERROR((((COUNTIF(QN8:QN11,"A"))*4)+((COUNTIF(QN8:QN11,"B"))*3)+((COUNTIF(QN8:QN11,"C"))*2)+((COUNTIF(QN8:QN11,"D"))*1))*CELL("contenu",$B$7),0),IFERROR((((COUNTIF(QN13:QN13,"A"))*4)+((COUNTIF(QN13:QN13,"B"))*3)+((COUNTIF(QN13:QN13,"C"))*2)+((COUNTIF(QN13:QN13,"D"))*1))*CELL("contenu",$B$12),0),IFERROR((((COUNTIF(QN15:QN17,"A"))*4)+((COUNTIF(QN15:QN17,"B"))*3)+((COUNTIF(QN15:QN17,"C"))*2)+((COUNTIF(QN15:QN17,"D"))*1))*CELL("contenu",$B$14),0),IFERROR((((COUNTIF(QN19:QN19,"A"))*4)+((COUNTIF(QN19:QN19,"B"))*3)+((COUNTIF(QN19:QN19,"C"))*2)+((COUNTIF(QN19:QN19,"D"))*1))*CELL("contenu",$B$18),0))/IF(SUM(COUNTA(QN5:QN6)*CELL("contenu",$B$4),COUNTA(QN8:QN11)*CELL("contenu",$B$7),COUNTA(QN13:QN13)*CELL("contenu",$B$12),COUNTA(QN15:QN17)*CELL("contenu",$B$14),COUNTA(QN19:QN19)*CELL("contenu",$B$18))=0,1,SUM(COUNTA(QN5:QN6)*CELL("contenu",$B$4),COUNTA(QN8:QN11)*CELL("contenu",$B$7),COUNTA(QN13:QN13)*CELL("contenu",$B$12),COUNTA(QN15:QN17)*CELL("contenu",$B$14),COUNTA(QN19:QN19)*CELL("contenu",$B$18))))</f>
        <v/>
      </c>
      <c r="QO20" s="184" t="str">
        <f ca="1">IF(COUNTA(QO5:QO19)=0,"",5*SUM(IFERROR((((COUNTIF(QO5:QO6,"A"))*4)+((COUNTIF(QO5:QO6,"B"))*3)+((COUNTIF(QO5:QO6,"C"))*2)+((COUNTIF(QO5:QO6,"D"))*1))*CELL("contenu",$B$4),0),IFERROR((((COUNTIF(QO8:QO11,"A"))*4)+((COUNTIF(QO8:QO11,"B"))*3)+((COUNTIF(QO8:QO11,"C"))*2)+((COUNTIF(QO8:QO11,"D"))*1))*CELL("contenu",$B$7),0),IFERROR((((COUNTIF(QO13:QO13,"A"))*4)+((COUNTIF(QO13:QO13,"B"))*3)+((COUNTIF(QO13:QO13,"C"))*2)+((COUNTIF(QO13:QO13,"D"))*1))*CELL("contenu",$B$12),0),IFERROR((((COUNTIF(QO15:QO17,"A"))*4)+((COUNTIF(QO15:QO17,"B"))*3)+((COUNTIF(QO15:QO17,"C"))*2)+((COUNTIF(QO15:QO17,"D"))*1))*CELL("contenu",$B$14),0),IFERROR((((COUNTIF(QO19:QO19,"A"))*4)+((COUNTIF(QO19:QO19,"B"))*3)+((COUNTIF(QO19:QO19,"C"))*2)+((COUNTIF(QO19:QO19,"D"))*1))*CELL("contenu",$B$18),0))/IF(SUM(COUNTA(QO5:QO6)*CELL("contenu",$B$4),COUNTA(QO8:QO11)*CELL("contenu",$B$7),COUNTA(QO13:QO13)*CELL("contenu",$B$12),COUNTA(QO15:QO17)*CELL("contenu",$B$14),COUNTA(QO19:QO19)*CELL("contenu",$B$18))=0,1,SUM(COUNTA(QO5:QO6)*CELL("contenu",$B$4),COUNTA(QO8:QO11)*CELL("contenu",$B$7),COUNTA(QO13:QO13)*CELL("contenu",$B$12),COUNTA(QO15:QO17)*CELL("contenu",$B$14),COUNTA(QO19:QO19)*CELL("contenu",$B$18))))</f>
        <v/>
      </c>
      <c r="QP20" s="176"/>
      <c r="QQ20" s="174" t="str">
        <f ca="1">IF(COUNTA(QM20:QO20)-COUNTBLANK(QM20:QO20)=0,"",SUM(QM20:QO20)/(COUNTA(QM20:QO20)-COUNTBLANK(QM20:QO20)))</f>
        <v/>
      </c>
      <c r="QR20" s="103"/>
      <c r="QS20" s="141"/>
      <c r="QT20" s="167" t="str">
        <f ca="1">IF(COUNTA(QT5:QT19)=0,"",5*SUM(IFERROR((((COUNTIF(QT5:QT6,"A"))*4)+((COUNTIF(QT5:QT6,"B"))*3)+((COUNTIF(QT5:QT6,"C"))*2)+((COUNTIF(QT5:QT6,"D"))*1))*CELL("contenu",$B$4),0),IFERROR((((COUNTIF(QT8:QT11,"A"))*4)+((COUNTIF(QT8:QT11,"B"))*3)+((COUNTIF(QT8:QT11,"C"))*2)+((COUNTIF(QT8:QT11,"D"))*1))*CELL("contenu",$B$7),0),IFERROR((((COUNTIF(QT13:QT13,"A"))*4)+((COUNTIF(QT13:QT13,"B"))*3)+((COUNTIF(QT13:QT13,"C"))*2)+((COUNTIF(QT13:QT13,"D"))*1))*CELL("contenu",$B$12),0),IFERROR((((COUNTIF(QT15:QT17,"A"))*4)+((COUNTIF(QT15:QT17,"B"))*3)+((COUNTIF(QT15:QT17,"C"))*2)+((COUNTIF(QT15:QT17,"D"))*1))*CELL("contenu",$B$14),0),IFERROR((((COUNTIF(QT19:QT19,"A"))*4)+((COUNTIF(QT19:QT19,"B"))*3)+((COUNTIF(QT19:QT19,"C"))*2)+((COUNTIF(QT19:QT19,"D"))*1))*CELL("contenu",$B$18),0))/IF(SUM(COUNTA(QT5:QT6)*CELL("contenu",$B$4),COUNTA(QT8:QT11)*CELL("contenu",$B$7),COUNTA(QT13:QT13)*CELL("contenu",$B$12),COUNTA(QT15:QT17)*CELL("contenu",$B$14),COUNTA(QT19:QT19)*CELL("contenu",$B$18))=0,1,SUM(COUNTA(QT5:QT6)*CELL("contenu",$B$4),COUNTA(QT8:QT11)*CELL("contenu",$B$7),COUNTA(QT13:QT13)*CELL("contenu",$B$12),COUNTA(QT15:QT17)*CELL("contenu",$B$14),COUNTA(QT19:QT19)*CELL("contenu",$B$18))))</f>
        <v/>
      </c>
      <c r="QU20" s="168">
        <f ca="1">IF(COUNTA(QU5:QU19)=0,"",5*SUM(IFERROR((((COUNTIF(QU5:QU6,"A"))*4)+((COUNTIF(QU5:QU6,"B"))*3)+((COUNTIF(QU5:QU6,"C"))*2)+((COUNTIF(QU5:QU6,"D"))*1))*CELL("contenu",$B$4),0),IFERROR((((COUNTIF(QU8:QU11,"A"))*4)+((COUNTIF(QU8:QU11,"B"))*3)+((COUNTIF(QU8:QU11,"C"))*2)+((COUNTIF(QU8:QU11,"D"))*1))*CELL("contenu",$B$7),0),IFERROR((((COUNTIF(QU13:QU13,"A"))*4)+((COUNTIF(QU13:QU13,"B"))*3)+((COUNTIF(QU13:QU13,"C"))*2)+((COUNTIF(QU13:QU13,"D"))*1))*CELL("contenu",$B$12),0),IFERROR((((COUNTIF(QU15:QU17,"A"))*4)+((COUNTIF(QU15:QU17,"B"))*3)+((COUNTIF(QU15:QU17,"C"))*2)+((COUNTIF(QU15:QU17,"D"))*1))*CELL("contenu",$B$14),0),IFERROR((((COUNTIF(QU19:QU19,"A"))*4)+((COUNTIF(QU19:QU19,"B"))*3)+((COUNTIF(QU19:QU19,"C"))*2)+((COUNTIF(QU19:QU19,"D"))*1))*CELL("contenu",$B$18),0))/IF(SUM(COUNTA(QU5:QU6)*CELL("contenu",$B$4),COUNTA(QU8:QU11)*CELL("contenu",$B$7),COUNTA(QU13:QU13)*CELL("contenu",$B$12),COUNTA(QU15:QU17)*CELL("contenu",$B$14),COUNTA(QU19:QU19)*CELL("contenu",$B$18))=0,1,SUM(COUNTA(QU5:QU6)*CELL("contenu",$B$4),COUNTA(QU8:QU11)*CELL("contenu",$B$7),COUNTA(QU13:QU13)*CELL("contenu",$B$12),COUNTA(QU15:QU17)*CELL("contenu",$B$14),COUNTA(QU19:QU19)*CELL("contenu",$B$18))))</f>
        <v>13.333333333333334</v>
      </c>
      <c r="QV20" s="169" t="str">
        <f ca="1">IF(COUNTA(QV5:QV19)=0,"",5*SUM(IFERROR((((COUNTIF(QV5:QV6,"A"))*4)+((COUNTIF(QV5:QV6,"B"))*3)+((COUNTIF(QV5:QV6,"C"))*2)+((COUNTIF(QV5:QV6,"D"))*1))*CELL("contenu",$B$4),0),IFERROR((((COUNTIF(QV8:QV11,"A"))*4)+((COUNTIF(QV8:QV11,"B"))*3)+((COUNTIF(QV8:QV11,"C"))*2)+((COUNTIF(QV8:QV11,"D"))*1))*CELL("contenu",$B$7),0),IFERROR((((COUNTIF(QV13:QV13,"A"))*4)+((COUNTIF(QV13:QV13,"B"))*3)+((COUNTIF(QV13:QV13,"C"))*2)+((COUNTIF(QV13:QV13,"D"))*1))*CELL("contenu",$B$12),0),IFERROR((((COUNTIF(QV15:QV17,"A"))*4)+((COUNTIF(QV15:QV17,"B"))*3)+((COUNTIF(QV15:QV17,"C"))*2)+((COUNTIF(QV15:QV17,"D"))*1))*CELL("contenu",$B$14),0),IFERROR((((COUNTIF(QV19:QV19,"A"))*4)+((COUNTIF(QV19:QV19,"B"))*3)+((COUNTIF(QV19:QV19,"C"))*2)+((COUNTIF(QV19:QV19,"D"))*1))*CELL("contenu",$B$18),0))/IF(SUM(COUNTA(QV5:QV6)*CELL("contenu",$B$4),COUNTA(QV8:QV11)*CELL("contenu",$B$7),COUNTA(QV13:QV13)*CELL("contenu",$B$12),COUNTA(QV15:QV17)*CELL("contenu",$B$14),COUNTA(QV19:QV19)*CELL("contenu",$B$18))=0,1,SUM(COUNTA(QV5:QV6)*CELL("contenu",$B$4),COUNTA(QV8:QV11)*CELL("contenu",$B$7),COUNTA(QV13:QV13)*CELL("contenu",$B$12),COUNTA(QV15:QV17)*CELL("contenu",$B$14),COUNTA(QV19:QV19)*CELL("contenu",$B$18))))</f>
        <v/>
      </c>
      <c r="QW20" s="116"/>
      <c r="QX20" s="192">
        <f ca="1">IF(COUNTA(QT20:QV20)-COUNTBLANK(QT20:QV20)=0,"",SUM(QT20:QV20)/(COUNTA(QT20:QV20)-COUNTBLANK(QT20:QV20)))</f>
        <v>13.333333333333334</v>
      </c>
      <c r="QY20" s="182" t="str">
        <f ca="1">IF(COUNTA(QY5:QY19)=0,"",5*SUM(IFERROR((((COUNTIF(QY5:QY6,"A"))*4)+((COUNTIF(QY5:QY6,"B"))*3)+((COUNTIF(QY5:QY6,"C"))*2)+((COUNTIF(QY5:QY6,"D"))*1))*CELL("contenu",$B$4),0),IFERROR((((COUNTIF(QY8:QY11,"A"))*4)+((COUNTIF(QY8:QY11,"B"))*3)+((COUNTIF(QY8:QY11,"C"))*2)+((COUNTIF(QY8:QY11,"D"))*1))*CELL("contenu",$B$7),0),IFERROR((((COUNTIF(QY13:QY13,"A"))*4)+((COUNTIF(QY13:QY13,"B"))*3)+((COUNTIF(QY13:QY13,"C"))*2)+((COUNTIF(QY13:QY13,"D"))*1))*CELL("contenu",$B$12),0),IFERROR((((COUNTIF(QY15:QY17,"A"))*4)+((COUNTIF(QY15:QY17,"B"))*3)+((COUNTIF(QY15:QY17,"C"))*2)+((COUNTIF(QY15:QY17,"D"))*1))*CELL("contenu",$B$14),0),IFERROR((((COUNTIF(QY19:QY19,"A"))*4)+((COUNTIF(QY19:QY19,"B"))*3)+((COUNTIF(QY19:QY19,"C"))*2)+((COUNTIF(QY19:QY19,"D"))*1))*CELL("contenu",$B$18),0))/IF(SUM(COUNTA(QY5:QY6)*CELL("contenu",$B$4),COUNTA(QY8:QY11)*CELL("contenu",$B$7),COUNTA(QY13:QY13)*CELL("contenu",$B$12),COUNTA(QY15:QY17)*CELL("contenu",$B$14),COUNTA(QY19:QY19)*CELL("contenu",$B$18))=0,1,SUM(COUNTA(QY5:QY6)*CELL("contenu",$B$4),COUNTA(QY8:QY11)*CELL("contenu",$B$7),COUNTA(QY13:QY13)*CELL("contenu",$B$12),COUNTA(QY15:QY17)*CELL("contenu",$B$14),COUNTA(QY19:QY19)*CELL("contenu",$B$18))))</f>
        <v/>
      </c>
      <c r="QZ20" s="183" t="str">
        <f ca="1">IF(COUNTA(QZ5:QZ19)=0,"",5*SUM(IFERROR((((COUNTIF(QZ5:QZ6,"A"))*4)+((COUNTIF(QZ5:QZ6,"B"))*3)+((COUNTIF(QZ5:QZ6,"C"))*2)+((COUNTIF(QZ5:QZ6,"D"))*1))*CELL("contenu",$B$4),0),IFERROR((((COUNTIF(QZ8:QZ11,"A"))*4)+((COUNTIF(QZ8:QZ11,"B"))*3)+((COUNTIF(QZ8:QZ11,"C"))*2)+((COUNTIF(QZ8:QZ11,"D"))*1))*CELL("contenu",$B$7),0),IFERROR((((COUNTIF(QZ13:QZ13,"A"))*4)+((COUNTIF(QZ13:QZ13,"B"))*3)+((COUNTIF(QZ13:QZ13,"C"))*2)+((COUNTIF(QZ13:QZ13,"D"))*1))*CELL("contenu",$B$12),0),IFERROR((((COUNTIF(QZ15:QZ17,"A"))*4)+((COUNTIF(QZ15:QZ17,"B"))*3)+((COUNTIF(QZ15:QZ17,"C"))*2)+((COUNTIF(QZ15:QZ17,"D"))*1))*CELL("contenu",$B$14),0),IFERROR((((COUNTIF(QZ19:QZ19,"A"))*4)+((COUNTIF(QZ19:QZ19,"B"))*3)+((COUNTIF(QZ19:QZ19,"C"))*2)+((COUNTIF(QZ19:QZ19,"D"))*1))*CELL("contenu",$B$18),0))/IF(SUM(COUNTA(QZ5:QZ6)*CELL("contenu",$B$4),COUNTA(QZ8:QZ11)*CELL("contenu",$B$7),COUNTA(QZ13:QZ13)*CELL("contenu",$B$12),COUNTA(QZ15:QZ17)*CELL("contenu",$B$14),COUNTA(QZ19:QZ19)*CELL("contenu",$B$18))=0,1,SUM(COUNTA(QZ5:QZ6)*CELL("contenu",$B$4),COUNTA(QZ8:QZ11)*CELL("contenu",$B$7),COUNTA(QZ13:QZ13)*CELL("contenu",$B$12),COUNTA(QZ15:QZ17)*CELL("contenu",$B$14),COUNTA(QZ19:QZ19)*CELL("contenu",$B$18))))</f>
        <v/>
      </c>
      <c r="RA20" s="184" t="str">
        <f ca="1">IF(COUNTA(RA5:RA19)=0,"",5*SUM(IFERROR((((COUNTIF(RA5:RA6,"A"))*4)+((COUNTIF(RA5:RA6,"B"))*3)+((COUNTIF(RA5:RA6,"C"))*2)+((COUNTIF(RA5:RA6,"D"))*1))*CELL("contenu",$B$4),0),IFERROR((((COUNTIF(RA8:RA11,"A"))*4)+((COUNTIF(RA8:RA11,"B"))*3)+((COUNTIF(RA8:RA11,"C"))*2)+((COUNTIF(RA8:RA11,"D"))*1))*CELL("contenu",$B$7),0),IFERROR((((COUNTIF(RA13:RA13,"A"))*4)+((COUNTIF(RA13:RA13,"B"))*3)+((COUNTIF(RA13:RA13,"C"))*2)+((COUNTIF(RA13:RA13,"D"))*1))*CELL("contenu",$B$12),0),IFERROR((((COUNTIF(RA15:RA17,"A"))*4)+((COUNTIF(RA15:RA17,"B"))*3)+((COUNTIF(RA15:RA17,"C"))*2)+((COUNTIF(RA15:RA17,"D"))*1))*CELL("contenu",$B$14),0),IFERROR((((COUNTIF(RA19:RA19,"A"))*4)+((COUNTIF(RA19:RA19,"B"))*3)+((COUNTIF(RA19:RA19,"C"))*2)+((COUNTIF(RA19:RA19,"D"))*1))*CELL("contenu",$B$18),0))/IF(SUM(COUNTA(RA5:RA6)*CELL("contenu",$B$4),COUNTA(RA8:RA11)*CELL("contenu",$B$7),COUNTA(RA13:RA13)*CELL("contenu",$B$12),COUNTA(RA15:RA17)*CELL("contenu",$B$14),COUNTA(RA19:RA19)*CELL("contenu",$B$18))=0,1,SUM(COUNTA(RA5:RA6)*CELL("contenu",$B$4),COUNTA(RA8:RA11)*CELL("contenu",$B$7),COUNTA(RA13:RA13)*CELL("contenu",$B$12),COUNTA(RA15:RA17)*CELL("contenu",$B$14),COUNTA(RA19:RA19)*CELL("contenu",$B$18))))</f>
        <v/>
      </c>
      <c r="RB20" s="176"/>
      <c r="RC20" s="175" t="str">
        <f ca="1">IF(COUNTA(QY20:RA20)-COUNTBLANK(QY20:RA20)=0,"",SUM(QY20:RA20)/(COUNTA(QY20:RA20)-COUNTBLANK(QY20:RA20)))</f>
        <v/>
      </c>
      <c r="RD20" s="182" t="str">
        <f ca="1">IF(COUNTA(RD5:RD19)=0,"",5*SUM(IFERROR((((COUNTIF(RD5:RD6,"A"))*4)+((COUNTIF(RD5:RD6,"B"))*3)+((COUNTIF(RD5:RD6,"C"))*2)+((COUNTIF(RD5:RD6,"D"))*1))*CELL("contenu",$B$4),0),IFERROR((((COUNTIF(RD8:RD11,"A"))*4)+((COUNTIF(RD8:RD11,"B"))*3)+((COUNTIF(RD8:RD11,"C"))*2)+((COUNTIF(RD8:RD11,"D"))*1))*CELL("contenu",$B$7),0),IFERROR((((COUNTIF(RD13:RD13,"A"))*4)+((COUNTIF(RD13:RD13,"B"))*3)+((COUNTIF(RD13:RD13,"C"))*2)+((COUNTIF(RD13:RD13,"D"))*1))*CELL("contenu",$B$12),0),IFERROR((((COUNTIF(RD15:RD17,"A"))*4)+((COUNTIF(RD15:RD17,"B"))*3)+((COUNTIF(RD15:RD17,"C"))*2)+((COUNTIF(RD15:RD17,"D"))*1))*CELL("contenu",$B$14),0),IFERROR((((COUNTIF(RD19:RD19,"A"))*4)+((COUNTIF(RD19:RD19,"B"))*3)+((COUNTIF(RD19:RD19,"C"))*2)+((COUNTIF(RD19:RD19,"D"))*1))*CELL("contenu",$B$18),0))/IF(SUM(COUNTA(RD5:RD6)*CELL("contenu",$B$4),COUNTA(RD8:RD11)*CELL("contenu",$B$7),COUNTA(RD13:RD13)*CELL("contenu",$B$12),COUNTA(RD15:RD17)*CELL("contenu",$B$14),COUNTA(RD19:RD19)*CELL("contenu",$B$18))=0,1,SUM(COUNTA(RD5:RD6)*CELL("contenu",$B$4),COUNTA(RD8:RD11)*CELL("contenu",$B$7),COUNTA(RD13:RD13)*CELL("contenu",$B$12),COUNTA(RD15:RD17)*CELL("contenu",$B$14),COUNTA(RD19:RD19)*CELL("contenu",$B$18))))</f>
        <v/>
      </c>
      <c r="RE20" s="183" t="str">
        <f ca="1">IF(COUNTA(RE5:RE19)=0,"",5*SUM(IFERROR((((COUNTIF(RE5:RE6,"A"))*4)+((COUNTIF(RE5:RE6,"B"))*3)+((COUNTIF(RE5:RE6,"C"))*2)+((COUNTIF(RE5:RE6,"D"))*1))*CELL("contenu",$B$4),0),IFERROR((((COUNTIF(RE8:RE11,"A"))*4)+((COUNTIF(RE8:RE11,"B"))*3)+((COUNTIF(RE8:RE11,"C"))*2)+((COUNTIF(RE8:RE11,"D"))*1))*CELL("contenu",$B$7),0),IFERROR((((COUNTIF(RE13:RE13,"A"))*4)+((COUNTIF(RE13:RE13,"B"))*3)+((COUNTIF(RE13:RE13,"C"))*2)+((COUNTIF(RE13:RE13,"D"))*1))*CELL("contenu",$B$12),0),IFERROR((((COUNTIF(RE15:RE17,"A"))*4)+((COUNTIF(RE15:RE17,"B"))*3)+((COUNTIF(RE15:RE17,"C"))*2)+((COUNTIF(RE15:RE17,"D"))*1))*CELL("contenu",$B$14),0),IFERROR((((COUNTIF(RE19:RE19,"A"))*4)+((COUNTIF(RE19:RE19,"B"))*3)+((COUNTIF(RE19:RE19,"C"))*2)+((COUNTIF(RE19:RE19,"D"))*1))*CELL("contenu",$B$18),0))/IF(SUM(COUNTA(RE5:RE6)*CELL("contenu",$B$4),COUNTA(RE8:RE11)*CELL("contenu",$B$7),COUNTA(RE13:RE13)*CELL("contenu",$B$12),COUNTA(RE15:RE17)*CELL("contenu",$B$14),COUNTA(RE19:RE19)*CELL("contenu",$B$18))=0,1,SUM(COUNTA(RE5:RE6)*CELL("contenu",$B$4),COUNTA(RE8:RE11)*CELL("contenu",$B$7),COUNTA(RE13:RE13)*CELL("contenu",$B$12),COUNTA(RE15:RE17)*CELL("contenu",$B$14),COUNTA(RE19:RE19)*CELL("contenu",$B$18))))</f>
        <v/>
      </c>
      <c r="RF20" s="184" t="str">
        <f ca="1">IF(COUNTA(RF5:RF19)=0,"",5*SUM(IFERROR((((COUNTIF(RF5:RF6,"A"))*4)+((COUNTIF(RF5:RF6,"B"))*3)+((COUNTIF(RF5:RF6,"C"))*2)+((COUNTIF(RF5:RF6,"D"))*1))*CELL("contenu",$B$4),0),IFERROR((((COUNTIF(RF8:RF11,"A"))*4)+((COUNTIF(RF8:RF11,"B"))*3)+((COUNTIF(RF8:RF11,"C"))*2)+((COUNTIF(RF8:RF11,"D"))*1))*CELL("contenu",$B$7),0),IFERROR((((COUNTIF(RF13:RF13,"A"))*4)+((COUNTIF(RF13:RF13,"B"))*3)+((COUNTIF(RF13:RF13,"C"))*2)+((COUNTIF(RF13:RF13,"D"))*1))*CELL("contenu",$B$12),0),IFERROR((((COUNTIF(RF15:RF17,"A"))*4)+((COUNTIF(RF15:RF17,"B"))*3)+((COUNTIF(RF15:RF17,"C"))*2)+((COUNTIF(RF15:RF17,"D"))*1))*CELL("contenu",$B$14),0),IFERROR((((COUNTIF(RF19:RF19,"A"))*4)+((COUNTIF(RF19:RF19,"B"))*3)+((COUNTIF(RF19:RF19,"C"))*2)+((COUNTIF(RF19:RF19,"D"))*1))*CELL("contenu",$B$18),0))/IF(SUM(COUNTA(RF5:RF6)*CELL("contenu",$B$4),COUNTA(RF8:RF11)*CELL("contenu",$B$7),COUNTA(RF13:RF13)*CELL("contenu",$B$12),COUNTA(RF15:RF17)*CELL("contenu",$B$14),COUNTA(RF19:RF19)*CELL("contenu",$B$18))=0,1,SUM(COUNTA(RF5:RF6)*CELL("contenu",$B$4),COUNTA(RF8:RF11)*CELL("contenu",$B$7),COUNTA(RF13:RF13)*CELL("contenu",$B$12),COUNTA(RF15:RF17)*CELL("contenu",$B$14),COUNTA(RF19:RF19)*CELL("contenu",$B$18))))</f>
        <v/>
      </c>
      <c r="RG20" s="176"/>
      <c r="RH20" s="174" t="str">
        <f ca="1">IF(COUNTA(RD20:RF20)-COUNTBLANK(RD20:RF20)=0,"",SUM(RD20:RF20)/(COUNTA(RD20:RF20)-COUNTBLANK(RD20:RF20)))</f>
        <v/>
      </c>
      <c r="RI20" s="103"/>
      <c r="RJ20" s="141"/>
      <c r="RK20" s="167" t="str">
        <f ca="1">IF(COUNTA(RK5:RK19)=0,"",5*SUM(IFERROR((((COUNTIF(RK5:RK6,"A"))*4)+((COUNTIF(RK5:RK6,"B"))*3)+((COUNTIF(RK5:RK6,"C"))*2)+((COUNTIF(RK5:RK6,"D"))*1))*CELL("contenu",$B$4),0),IFERROR((((COUNTIF(RK8:RK11,"A"))*4)+((COUNTIF(RK8:RK11,"B"))*3)+((COUNTIF(RK8:RK11,"C"))*2)+((COUNTIF(RK8:RK11,"D"))*1))*CELL("contenu",$B$7),0),IFERROR((((COUNTIF(RK13:RK13,"A"))*4)+((COUNTIF(RK13:RK13,"B"))*3)+((COUNTIF(RK13:RK13,"C"))*2)+((COUNTIF(RK13:RK13,"D"))*1))*CELL("contenu",$B$12),0),IFERROR((((COUNTIF(RK15:RK17,"A"))*4)+((COUNTIF(RK15:RK17,"B"))*3)+((COUNTIF(RK15:RK17,"C"))*2)+((COUNTIF(RK15:RK17,"D"))*1))*CELL("contenu",$B$14),0),IFERROR((((COUNTIF(RK19:RK19,"A"))*4)+((COUNTIF(RK19:RK19,"B"))*3)+((COUNTIF(RK19:RK19,"C"))*2)+((COUNTIF(RK19:RK19,"D"))*1))*CELL("contenu",$B$18),0))/IF(SUM(COUNTA(RK5:RK6)*CELL("contenu",$B$4),COUNTA(RK8:RK11)*CELL("contenu",$B$7),COUNTA(RK13:RK13)*CELL("contenu",$B$12),COUNTA(RK15:RK17)*CELL("contenu",$B$14),COUNTA(RK19:RK19)*CELL("contenu",$B$18))=0,1,SUM(COUNTA(RK5:RK6)*CELL("contenu",$B$4),COUNTA(RK8:RK11)*CELL("contenu",$B$7),COUNTA(RK13:RK13)*CELL("contenu",$B$12),COUNTA(RK15:RK17)*CELL("contenu",$B$14),COUNTA(RK19:RK19)*CELL("contenu",$B$18))))</f>
        <v/>
      </c>
      <c r="RL20" s="168" t="str">
        <f ca="1">IF(COUNTA(RL5:RL19)=0,"",5*SUM(IFERROR((((COUNTIF(RL5:RL6,"A"))*4)+((COUNTIF(RL5:RL6,"B"))*3)+((COUNTIF(RL5:RL6,"C"))*2)+((COUNTIF(RL5:RL6,"D"))*1))*CELL("contenu",$B$4),0),IFERROR((((COUNTIF(RL8:RL11,"A"))*4)+((COUNTIF(RL8:RL11,"B"))*3)+((COUNTIF(RL8:RL11,"C"))*2)+((COUNTIF(RL8:RL11,"D"))*1))*CELL("contenu",$B$7),0),IFERROR((((COUNTIF(RL13:RL13,"A"))*4)+((COUNTIF(RL13:RL13,"B"))*3)+((COUNTIF(RL13:RL13,"C"))*2)+((COUNTIF(RL13:RL13,"D"))*1))*CELL("contenu",$B$12),0),IFERROR((((COUNTIF(RL15:RL17,"A"))*4)+((COUNTIF(RL15:RL17,"B"))*3)+((COUNTIF(RL15:RL17,"C"))*2)+((COUNTIF(RL15:RL17,"D"))*1))*CELL("contenu",$B$14),0),IFERROR((((COUNTIF(RL19:RL19,"A"))*4)+((COUNTIF(RL19:RL19,"B"))*3)+((COUNTIF(RL19:RL19,"C"))*2)+((COUNTIF(RL19:RL19,"D"))*1))*CELL("contenu",$B$18),0))/IF(SUM(COUNTA(RL5:RL6)*CELL("contenu",$B$4),COUNTA(RL8:RL11)*CELL("contenu",$B$7),COUNTA(RL13:RL13)*CELL("contenu",$B$12),COUNTA(RL15:RL17)*CELL("contenu",$B$14),COUNTA(RL19:RL19)*CELL("contenu",$B$18))=0,1,SUM(COUNTA(RL5:RL6)*CELL("contenu",$B$4),COUNTA(RL8:RL11)*CELL("contenu",$B$7),COUNTA(RL13:RL13)*CELL("contenu",$B$12),COUNTA(RL15:RL17)*CELL("contenu",$B$14),COUNTA(RL19:RL19)*CELL("contenu",$B$18))))</f>
        <v/>
      </c>
      <c r="RM20" s="169" t="str">
        <f ca="1">IF(COUNTA(RM5:RM19)=0,"",5*SUM(IFERROR((((COUNTIF(RM5:RM6,"A"))*4)+((COUNTIF(RM5:RM6,"B"))*3)+((COUNTIF(RM5:RM6,"C"))*2)+((COUNTIF(RM5:RM6,"D"))*1))*CELL("contenu",$B$4),0),IFERROR((((COUNTIF(RM8:RM11,"A"))*4)+((COUNTIF(RM8:RM11,"B"))*3)+((COUNTIF(RM8:RM11,"C"))*2)+((COUNTIF(RM8:RM11,"D"))*1))*CELL("contenu",$B$7),0),IFERROR((((COUNTIF(RM13:RM13,"A"))*4)+((COUNTIF(RM13:RM13,"B"))*3)+((COUNTIF(RM13:RM13,"C"))*2)+((COUNTIF(RM13:RM13,"D"))*1))*CELL("contenu",$B$12),0),IFERROR((((COUNTIF(RM15:RM17,"A"))*4)+((COUNTIF(RM15:RM17,"B"))*3)+((COUNTIF(RM15:RM17,"C"))*2)+((COUNTIF(RM15:RM17,"D"))*1))*CELL("contenu",$B$14),0),IFERROR((((COUNTIF(RM19:RM19,"A"))*4)+((COUNTIF(RM19:RM19,"B"))*3)+((COUNTIF(RM19:RM19,"C"))*2)+((COUNTIF(RM19:RM19,"D"))*1))*CELL("contenu",$B$18),0))/IF(SUM(COUNTA(RM5:RM6)*CELL("contenu",$B$4),COUNTA(RM8:RM11)*CELL("contenu",$B$7),COUNTA(RM13:RM13)*CELL("contenu",$B$12),COUNTA(RM15:RM17)*CELL("contenu",$B$14),COUNTA(RM19:RM19)*CELL("contenu",$B$18))=0,1,SUM(COUNTA(RM5:RM6)*CELL("contenu",$B$4),COUNTA(RM8:RM11)*CELL("contenu",$B$7),COUNTA(RM13:RM13)*CELL("contenu",$B$12),COUNTA(RM15:RM17)*CELL("contenu",$B$14),COUNTA(RM19:RM19)*CELL("contenu",$B$18))))</f>
        <v/>
      </c>
      <c r="RN20" s="116"/>
      <c r="RO20" s="192" t="str">
        <f ca="1">IF(COUNTA(RK20:RM20)-COUNTBLANK(RK20:RM20)=0,"",SUM(RK20:RM20)/(COUNTA(RK20:RM20)-COUNTBLANK(RK20:RM20)))</f>
        <v/>
      </c>
      <c r="RP20" s="182" t="str">
        <f ca="1">IF(COUNTA(RP5:RP19)=0,"",5*SUM(IFERROR((((COUNTIF(RP5:RP6,"A"))*4)+((COUNTIF(RP5:RP6,"B"))*3)+((COUNTIF(RP5:RP6,"C"))*2)+((COUNTIF(RP5:RP6,"D"))*1))*CELL("contenu",$B$4),0),IFERROR((((COUNTIF(RP8:RP11,"A"))*4)+((COUNTIF(RP8:RP11,"B"))*3)+((COUNTIF(RP8:RP11,"C"))*2)+((COUNTIF(RP8:RP11,"D"))*1))*CELL("contenu",$B$7),0),IFERROR((((COUNTIF(RP13:RP13,"A"))*4)+((COUNTIF(RP13:RP13,"B"))*3)+((COUNTIF(RP13:RP13,"C"))*2)+((COUNTIF(RP13:RP13,"D"))*1))*CELL("contenu",$B$12),0),IFERROR((((COUNTIF(RP15:RP17,"A"))*4)+((COUNTIF(RP15:RP17,"B"))*3)+((COUNTIF(RP15:RP17,"C"))*2)+((COUNTIF(RP15:RP17,"D"))*1))*CELL("contenu",$B$14),0),IFERROR((((COUNTIF(RP19:RP19,"A"))*4)+((COUNTIF(RP19:RP19,"B"))*3)+((COUNTIF(RP19:RP19,"C"))*2)+((COUNTIF(RP19:RP19,"D"))*1))*CELL("contenu",$B$18),0))/IF(SUM(COUNTA(RP5:RP6)*CELL("contenu",$B$4),COUNTA(RP8:RP11)*CELL("contenu",$B$7),COUNTA(RP13:RP13)*CELL("contenu",$B$12),COUNTA(RP15:RP17)*CELL("contenu",$B$14),COUNTA(RP19:RP19)*CELL("contenu",$B$18))=0,1,SUM(COUNTA(RP5:RP6)*CELL("contenu",$B$4),COUNTA(RP8:RP11)*CELL("contenu",$B$7),COUNTA(RP13:RP13)*CELL("contenu",$B$12),COUNTA(RP15:RP17)*CELL("contenu",$B$14),COUNTA(RP19:RP19)*CELL("contenu",$B$18))))</f>
        <v/>
      </c>
      <c r="RQ20" s="183" t="str">
        <f ca="1">IF(COUNTA(RQ5:RQ19)=0,"",5*SUM(IFERROR((((COUNTIF(RQ5:RQ6,"A"))*4)+((COUNTIF(RQ5:RQ6,"B"))*3)+((COUNTIF(RQ5:RQ6,"C"))*2)+((COUNTIF(RQ5:RQ6,"D"))*1))*CELL("contenu",$B$4),0),IFERROR((((COUNTIF(RQ8:RQ11,"A"))*4)+((COUNTIF(RQ8:RQ11,"B"))*3)+((COUNTIF(RQ8:RQ11,"C"))*2)+((COUNTIF(RQ8:RQ11,"D"))*1))*CELL("contenu",$B$7),0),IFERROR((((COUNTIF(RQ13:RQ13,"A"))*4)+((COUNTIF(RQ13:RQ13,"B"))*3)+((COUNTIF(RQ13:RQ13,"C"))*2)+((COUNTIF(RQ13:RQ13,"D"))*1))*CELL("contenu",$B$12),0),IFERROR((((COUNTIF(RQ15:RQ17,"A"))*4)+((COUNTIF(RQ15:RQ17,"B"))*3)+((COUNTIF(RQ15:RQ17,"C"))*2)+((COUNTIF(RQ15:RQ17,"D"))*1))*CELL("contenu",$B$14),0),IFERROR((((COUNTIF(RQ19:RQ19,"A"))*4)+((COUNTIF(RQ19:RQ19,"B"))*3)+((COUNTIF(RQ19:RQ19,"C"))*2)+((COUNTIF(RQ19:RQ19,"D"))*1))*CELL("contenu",$B$18),0))/IF(SUM(COUNTA(RQ5:RQ6)*CELL("contenu",$B$4),COUNTA(RQ8:RQ11)*CELL("contenu",$B$7),COUNTA(RQ13:RQ13)*CELL("contenu",$B$12),COUNTA(RQ15:RQ17)*CELL("contenu",$B$14),COUNTA(RQ19:RQ19)*CELL("contenu",$B$18))=0,1,SUM(COUNTA(RQ5:RQ6)*CELL("contenu",$B$4),COUNTA(RQ8:RQ11)*CELL("contenu",$B$7),COUNTA(RQ13:RQ13)*CELL("contenu",$B$12),COUNTA(RQ15:RQ17)*CELL("contenu",$B$14),COUNTA(RQ19:RQ19)*CELL("contenu",$B$18))))</f>
        <v/>
      </c>
      <c r="RR20" s="184" t="str">
        <f ca="1">IF(COUNTA(RR5:RR19)=0,"",5*SUM(IFERROR((((COUNTIF(RR5:RR6,"A"))*4)+((COUNTIF(RR5:RR6,"B"))*3)+((COUNTIF(RR5:RR6,"C"))*2)+((COUNTIF(RR5:RR6,"D"))*1))*CELL("contenu",$B$4),0),IFERROR((((COUNTIF(RR8:RR11,"A"))*4)+((COUNTIF(RR8:RR11,"B"))*3)+((COUNTIF(RR8:RR11,"C"))*2)+((COUNTIF(RR8:RR11,"D"))*1))*CELL("contenu",$B$7),0),IFERROR((((COUNTIF(RR13:RR13,"A"))*4)+((COUNTIF(RR13:RR13,"B"))*3)+((COUNTIF(RR13:RR13,"C"))*2)+((COUNTIF(RR13:RR13,"D"))*1))*CELL("contenu",$B$12),0),IFERROR((((COUNTIF(RR15:RR17,"A"))*4)+((COUNTIF(RR15:RR17,"B"))*3)+((COUNTIF(RR15:RR17,"C"))*2)+((COUNTIF(RR15:RR17,"D"))*1))*CELL("contenu",$B$14),0),IFERROR((((COUNTIF(RR19:RR19,"A"))*4)+((COUNTIF(RR19:RR19,"B"))*3)+((COUNTIF(RR19:RR19,"C"))*2)+((COUNTIF(RR19:RR19,"D"))*1))*CELL("contenu",$B$18),0))/IF(SUM(COUNTA(RR5:RR6)*CELL("contenu",$B$4),COUNTA(RR8:RR11)*CELL("contenu",$B$7),COUNTA(RR13:RR13)*CELL("contenu",$B$12),COUNTA(RR15:RR17)*CELL("contenu",$B$14),COUNTA(RR19:RR19)*CELL("contenu",$B$18))=0,1,SUM(COUNTA(RR5:RR6)*CELL("contenu",$B$4),COUNTA(RR8:RR11)*CELL("contenu",$B$7),COUNTA(RR13:RR13)*CELL("contenu",$B$12),COUNTA(RR15:RR17)*CELL("contenu",$B$14),COUNTA(RR19:RR19)*CELL("contenu",$B$18))))</f>
        <v/>
      </c>
      <c r="RS20" s="176"/>
      <c r="RT20" s="175" t="str">
        <f ca="1">IF(COUNTA(RP20:RR20)-COUNTBLANK(RP20:RR20)=0,"",SUM(RP20:RR20)/(COUNTA(RP20:RR20)-COUNTBLANK(RP20:RR20)))</f>
        <v/>
      </c>
      <c r="RU20" s="182" t="str">
        <f ca="1">IF(COUNTA(RU5:RU19)=0,"",5*SUM(IFERROR((((COUNTIF(RU5:RU6,"A"))*4)+((COUNTIF(RU5:RU6,"B"))*3)+((COUNTIF(RU5:RU6,"C"))*2)+((COUNTIF(RU5:RU6,"D"))*1))*CELL("contenu",$B$4),0),IFERROR((((COUNTIF(RU8:RU11,"A"))*4)+((COUNTIF(RU8:RU11,"B"))*3)+((COUNTIF(RU8:RU11,"C"))*2)+((COUNTIF(RU8:RU11,"D"))*1))*CELL("contenu",$B$7),0),IFERROR((((COUNTIF(RU13:RU13,"A"))*4)+((COUNTIF(RU13:RU13,"B"))*3)+((COUNTIF(RU13:RU13,"C"))*2)+((COUNTIF(RU13:RU13,"D"))*1))*CELL("contenu",$B$12),0),IFERROR((((COUNTIF(RU15:RU17,"A"))*4)+((COUNTIF(RU15:RU17,"B"))*3)+((COUNTIF(RU15:RU17,"C"))*2)+((COUNTIF(RU15:RU17,"D"))*1))*CELL("contenu",$B$14),0),IFERROR((((COUNTIF(RU19:RU19,"A"))*4)+((COUNTIF(RU19:RU19,"B"))*3)+((COUNTIF(RU19:RU19,"C"))*2)+((COUNTIF(RU19:RU19,"D"))*1))*CELL("contenu",$B$18),0))/IF(SUM(COUNTA(RU5:RU6)*CELL("contenu",$B$4),COUNTA(RU8:RU11)*CELL("contenu",$B$7),COUNTA(RU13:RU13)*CELL("contenu",$B$12),COUNTA(RU15:RU17)*CELL("contenu",$B$14),COUNTA(RU19:RU19)*CELL("contenu",$B$18))=0,1,SUM(COUNTA(RU5:RU6)*CELL("contenu",$B$4),COUNTA(RU8:RU11)*CELL("contenu",$B$7),COUNTA(RU13:RU13)*CELL("contenu",$B$12),COUNTA(RU15:RU17)*CELL("contenu",$B$14),COUNTA(RU19:RU19)*CELL("contenu",$B$18))))</f>
        <v/>
      </c>
      <c r="RV20" s="183" t="str">
        <f ca="1">IF(COUNTA(RV5:RV19)=0,"",5*SUM(IFERROR((((COUNTIF(RV5:RV6,"A"))*4)+((COUNTIF(RV5:RV6,"B"))*3)+((COUNTIF(RV5:RV6,"C"))*2)+((COUNTIF(RV5:RV6,"D"))*1))*CELL("contenu",$B$4),0),IFERROR((((COUNTIF(RV8:RV11,"A"))*4)+((COUNTIF(RV8:RV11,"B"))*3)+((COUNTIF(RV8:RV11,"C"))*2)+((COUNTIF(RV8:RV11,"D"))*1))*CELL("contenu",$B$7),0),IFERROR((((COUNTIF(RV13:RV13,"A"))*4)+((COUNTIF(RV13:RV13,"B"))*3)+((COUNTIF(RV13:RV13,"C"))*2)+((COUNTIF(RV13:RV13,"D"))*1))*CELL("contenu",$B$12),0),IFERROR((((COUNTIF(RV15:RV17,"A"))*4)+((COUNTIF(RV15:RV17,"B"))*3)+((COUNTIF(RV15:RV17,"C"))*2)+((COUNTIF(RV15:RV17,"D"))*1))*CELL("contenu",$B$14),0),IFERROR((((COUNTIF(RV19:RV19,"A"))*4)+((COUNTIF(RV19:RV19,"B"))*3)+((COUNTIF(RV19:RV19,"C"))*2)+((COUNTIF(RV19:RV19,"D"))*1))*CELL("contenu",$B$18),0))/IF(SUM(COUNTA(RV5:RV6)*CELL("contenu",$B$4),COUNTA(RV8:RV11)*CELL("contenu",$B$7),COUNTA(RV13:RV13)*CELL("contenu",$B$12),COUNTA(RV15:RV17)*CELL("contenu",$B$14),COUNTA(RV19:RV19)*CELL("contenu",$B$18))=0,1,SUM(COUNTA(RV5:RV6)*CELL("contenu",$B$4),COUNTA(RV8:RV11)*CELL("contenu",$B$7),COUNTA(RV13:RV13)*CELL("contenu",$B$12),COUNTA(RV15:RV17)*CELL("contenu",$B$14),COUNTA(RV19:RV19)*CELL("contenu",$B$18))))</f>
        <v/>
      </c>
      <c r="RW20" s="184" t="str">
        <f ca="1">IF(COUNTA(RW5:RW19)=0,"",5*SUM(IFERROR((((COUNTIF(RW5:RW6,"A"))*4)+((COUNTIF(RW5:RW6,"B"))*3)+((COUNTIF(RW5:RW6,"C"))*2)+((COUNTIF(RW5:RW6,"D"))*1))*CELL("contenu",$B$4),0),IFERROR((((COUNTIF(RW8:RW11,"A"))*4)+((COUNTIF(RW8:RW11,"B"))*3)+((COUNTIF(RW8:RW11,"C"))*2)+((COUNTIF(RW8:RW11,"D"))*1))*CELL("contenu",$B$7),0),IFERROR((((COUNTIF(RW13:RW13,"A"))*4)+((COUNTIF(RW13:RW13,"B"))*3)+((COUNTIF(RW13:RW13,"C"))*2)+((COUNTIF(RW13:RW13,"D"))*1))*CELL("contenu",$B$12),0),IFERROR((((COUNTIF(RW15:RW17,"A"))*4)+((COUNTIF(RW15:RW17,"B"))*3)+((COUNTIF(RW15:RW17,"C"))*2)+((COUNTIF(RW15:RW17,"D"))*1))*CELL("contenu",$B$14),0),IFERROR((((COUNTIF(RW19:RW19,"A"))*4)+((COUNTIF(RW19:RW19,"B"))*3)+((COUNTIF(RW19:RW19,"C"))*2)+((COUNTIF(RW19:RW19,"D"))*1))*CELL("contenu",$B$18),0))/IF(SUM(COUNTA(RW5:RW6)*CELL("contenu",$B$4),COUNTA(RW8:RW11)*CELL("contenu",$B$7),COUNTA(RW13:RW13)*CELL("contenu",$B$12),COUNTA(RW15:RW17)*CELL("contenu",$B$14),COUNTA(RW19:RW19)*CELL("contenu",$B$18))=0,1,SUM(COUNTA(RW5:RW6)*CELL("contenu",$B$4),COUNTA(RW8:RW11)*CELL("contenu",$B$7),COUNTA(RW13:RW13)*CELL("contenu",$B$12),COUNTA(RW15:RW17)*CELL("contenu",$B$14),COUNTA(RW19:RW19)*CELL("contenu",$B$18))))</f>
        <v/>
      </c>
      <c r="RX20" s="176"/>
      <c r="RY20" s="174" t="str">
        <f ca="1">IF(COUNTA(RU20:RW20)-COUNTBLANK(RU20:RW20)=0,"",SUM(RU20:RW20)/(COUNTA(RU20:RW20)-COUNTBLANK(RU20:RW20)))</f>
        <v/>
      </c>
      <c r="RZ20" s="103"/>
      <c r="SA20" s="141"/>
      <c r="SB20" s="167" t="str">
        <f ca="1">IF(COUNTA(SB5:SB19)=0,"",5*SUM(IFERROR((((COUNTIF(SB5:SB6,"A"))*4)+((COUNTIF(SB5:SB6,"B"))*3)+((COUNTIF(SB5:SB6,"C"))*2)+((COUNTIF(SB5:SB6,"D"))*1))*CELL("contenu",$B$4),0),IFERROR((((COUNTIF(SB8:SB11,"A"))*4)+((COUNTIF(SB8:SB11,"B"))*3)+((COUNTIF(SB8:SB11,"C"))*2)+((COUNTIF(SB8:SB11,"D"))*1))*CELL("contenu",$B$7),0),IFERROR((((COUNTIF(SB13:SB13,"A"))*4)+((COUNTIF(SB13:SB13,"B"))*3)+((COUNTIF(SB13:SB13,"C"))*2)+((COUNTIF(SB13:SB13,"D"))*1))*CELL("contenu",$B$12),0),IFERROR((((COUNTIF(SB15:SB17,"A"))*4)+((COUNTIF(SB15:SB17,"B"))*3)+((COUNTIF(SB15:SB17,"C"))*2)+((COUNTIF(SB15:SB17,"D"))*1))*CELL("contenu",$B$14),0),IFERROR((((COUNTIF(SB19:SB19,"A"))*4)+((COUNTIF(SB19:SB19,"B"))*3)+((COUNTIF(SB19:SB19,"C"))*2)+((COUNTIF(SB19:SB19,"D"))*1))*CELL("contenu",$B$18),0))/IF(SUM(COUNTA(SB5:SB6)*CELL("contenu",$B$4),COUNTA(SB8:SB11)*CELL("contenu",$B$7),COUNTA(SB13:SB13)*CELL("contenu",$B$12),COUNTA(SB15:SB17)*CELL("contenu",$B$14),COUNTA(SB19:SB19)*CELL("contenu",$B$18))=0,1,SUM(COUNTA(SB5:SB6)*CELL("contenu",$B$4),COUNTA(SB8:SB11)*CELL("contenu",$B$7),COUNTA(SB13:SB13)*CELL("contenu",$B$12),COUNTA(SB15:SB17)*CELL("contenu",$B$14),COUNTA(SB19:SB19)*CELL("contenu",$B$18))))</f>
        <v/>
      </c>
      <c r="SC20" s="168" t="str">
        <f ca="1">IF(COUNTA(SC5:SC19)=0,"",5*SUM(IFERROR((((COUNTIF(SC5:SC6,"A"))*4)+((COUNTIF(SC5:SC6,"B"))*3)+((COUNTIF(SC5:SC6,"C"))*2)+((COUNTIF(SC5:SC6,"D"))*1))*CELL("contenu",$B$4),0),IFERROR((((COUNTIF(SC8:SC11,"A"))*4)+((COUNTIF(SC8:SC11,"B"))*3)+((COUNTIF(SC8:SC11,"C"))*2)+((COUNTIF(SC8:SC11,"D"))*1))*CELL("contenu",$B$7),0),IFERROR((((COUNTIF(SC13:SC13,"A"))*4)+((COUNTIF(SC13:SC13,"B"))*3)+((COUNTIF(SC13:SC13,"C"))*2)+((COUNTIF(SC13:SC13,"D"))*1))*CELL("contenu",$B$12),0),IFERROR((((COUNTIF(SC15:SC17,"A"))*4)+((COUNTIF(SC15:SC17,"B"))*3)+((COUNTIF(SC15:SC17,"C"))*2)+((COUNTIF(SC15:SC17,"D"))*1))*CELL("contenu",$B$14),0),IFERROR((((COUNTIF(SC19:SC19,"A"))*4)+((COUNTIF(SC19:SC19,"B"))*3)+((COUNTIF(SC19:SC19,"C"))*2)+((COUNTIF(SC19:SC19,"D"))*1))*CELL("contenu",$B$18),0))/IF(SUM(COUNTA(SC5:SC6)*CELL("contenu",$B$4),COUNTA(SC8:SC11)*CELL("contenu",$B$7),COUNTA(SC13:SC13)*CELL("contenu",$B$12),COUNTA(SC15:SC17)*CELL("contenu",$B$14),COUNTA(SC19:SC19)*CELL("contenu",$B$18))=0,1,SUM(COUNTA(SC5:SC6)*CELL("contenu",$B$4),COUNTA(SC8:SC11)*CELL("contenu",$B$7),COUNTA(SC13:SC13)*CELL("contenu",$B$12),COUNTA(SC15:SC17)*CELL("contenu",$B$14),COUNTA(SC19:SC19)*CELL("contenu",$B$18))))</f>
        <v/>
      </c>
      <c r="SD20" s="169" t="str">
        <f ca="1">IF(COUNTA(SD5:SD19)=0,"",5*SUM(IFERROR((((COUNTIF(SD5:SD6,"A"))*4)+((COUNTIF(SD5:SD6,"B"))*3)+((COUNTIF(SD5:SD6,"C"))*2)+((COUNTIF(SD5:SD6,"D"))*1))*CELL("contenu",$B$4),0),IFERROR((((COUNTIF(SD8:SD11,"A"))*4)+((COUNTIF(SD8:SD11,"B"))*3)+((COUNTIF(SD8:SD11,"C"))*2)+((COUNTIF(SD8:SD11,"D"))*1))*CELL("contenu",$B$7),0),IFERROR((((COUNTIF(SD13:SD13,"A"))*4)+((COUNTIF(SD13:SD13,"B"))*3)+((COUNTIF(SD13:SD13,"C"))*2)+((COUNTIF(SD13:SD13,"D"))*1))*CELL("contenu",$B$12),0),IFERROR((((COUNTIF(SD15:SD17,"A"))*4)+((COUNTIF(SD15:SD17,"B"))*3)+((COUNTIF(SD15:SD17,"C"))*2)+((COUNTIF(SD15:SD17,"D"))*1))*CELL("contenu",$B$14),0),IFERROR((((COUNTIF(SD19:SD19,"A"))*4)+((COUNTIF(SD19:SD19,"B"))*3)+((COUNTIF(SD19:SD19,"C"))*2)+((COUNTIF(SD19:SD19,"D"))*1))*CELL("contenu",$B$18),0))/IF(SUM(COUNTA(SD5:SD6)*CELL("contenu",$B$4),COUNTA(SD8:SD11)*CELL("contenu",$B$7),COUNTA(SD13:SD13)*CELL("contenu",$B$12),COUNTA(SD15:SD17)*CELL("contenu",$B$14),COUNTA(SD19:SD19)*CELL("contenu",$B$18))=0,1,SUM(COUNTA(SD5:SD6)*CELL("contenu",$B$4),COUNTA(SD8:SD11)*CELL("contenu",$B$7),COUNTA(SD13:SD13)*CELL("contenu",$B$12),COUNTA(SD15:SD17)*CELL("contenu",$B$14),COUNTA(SD19:SD19)*CELL("contenu",$B$18))))</f>
        <v/>
      </c>
      <c r="SE20" s="116"/>
      <c r="SF20" s="192" t="str">
        <f ca="1">IF(COUNTA(SB20:SD20)-COUNTBLANK(SB20:SD20)=0,"",SUM(SB20:SD20)/(COUNTA(SB20:SD20)-COUNTBLANK(SB20:SD20)))</f>
        <v/>
      </c>
      <c r="SG20" s="182" t="str">
        <f ca="1">IF(COUNTA(SG5:SG19)=0,"",5*SUM(IFERROR((((COUNTIF(SG5:SG6,"A"))*4)+((COUNTIF(SG5:SG6,"B"))*3)+((COUNTIF(SG5:SG6,"C"))*2)+((COUNTIF(SG5:SG6,"D"))*1))*CELL("contenu",$B$4),0),IFERROR((((COUNTIF(SG8:SG11,"A"))*4)+((COUNTIF(SG8:SG11,"B"))*3)+((COUNTIF(SG8:SG11,"C"))*2)+((COUNTIF(SG8:SG11,"D"))*1))*CELL("contenu",$B$7),0),IFERROR((((COUNTIF(SG13:SG13,"A"))*4)+((COUNTIF(SG13:SG13,"B"))*3)+((COUNTIF(SG13:SG13,"C"))*2)+((COUNTIF(SG13:SG13,"D"))*1))*CELL("contenu",$B$12),0),IFERROR((((COUNTIF(SG15:SG17,"A"))*4)+((COUNTIF(SG15:SG17,"B"))*3)+((COUNTIF(SG15:SG17,"C"))*2)+((COUNTIF(SG15:SG17,"D"))*1))*CELL("contenu",$B$14),0),IFERROR((((COUNTIF(SG19:SG19,"A"))*4)+((COUNTIF(SG19:SG19,"B"))*3)+((COUNTIF(SG19:SG19,"C"))*2)+((COUNTIF(SG19:SG19,"D"))*1))*CELL("contenu",$B$18),0))/IF(SUM(COUNTA(SG5:SG6)*CELL("contenu",$B$4),COUNTA(SG8:SG11)*CELL("contenu",$B$7),COUNTA(SG13:SG13)*CELL("contenu",$B$12),COUNTA(SG15:SG17)*CELL("contenu",$B$14),COUNTA(SG19:SG19)*CELL("contenu",$B$18))=0,1,SUM(COUNTA(SG5:SG6)*CELL("contenu",$B$4),COUNTA(SG8:SG11)*CELL("contenu",$B$7),COUNTA(SG13:SG13)*CELL("contenu",$B$12),COUNTA(SG15:SG17)*CELL("contenu",$B$14),COUNTA(SG19:SG19)*CELL("contenu",$B$18))))</f>
        <v/>
      </c>
      <c r="SH20" s="183" t="str">
        <f ca="1">IF(COUNTA(SH5:SH19)=0,"",5*SUM(IFERROR((((COUNTIF(SH5:SH6,"A"))*4)+((COUNTIF(SH5:SH6,"B"))*3)+((COUNTIF(SH5:SH6,"C"))*2)+((COUNTIF(SH5:SH6,"D"))*1))*CELL("contenu",$B$4),0),IFERROR((((COUNTIF(SH8:SH11,"A"))*4)+((COUNTIF(SH8:SH11,"B"))*3)+((COUNTIF(SH8:SH11,"C"))*2)+((COUNTIF(SH8:SH11,"D"))*1))*CELL("contenu",$B$7),0),IFERROR((((COUNTIF(SH13:SH13,"A"))*4)+((COUNTIF(SH13:SH13,"B"))*3)+((COUNTIF(SH13:SH13,"C"))*2)+((COUNTIF(SH13:SH13,"D"))*1))*CELL("contenu",$B$12),0),IFERROR((((COUNTIF(SH15:SH17,"A"))*4)+((COUNTIF(SH15:SH17,"B"))*3)+((COUNTIF(SH15:SH17,"C"))*2)+((COUNTIF(SH15:SH17,"D"))*1))*CELL("contenu",$B$14),0),IFERROR((((COUNTIF(SH19:SH19,"A"))*4)+((COUNTIF(SH19:SH19,"B"))*3)+((COUNTIF(SH19:SH19,"C"))*2)+((COUNTIF(SH19:SH19,"D"))*1))*CELL("contenu",$B$18),0))/IF(SUM(COUNTA(SH5:SH6)*CELL("contenu",$B$4),COUNTA(SH8:SH11)*CELL("contenu",$B$7),COUNTA(SH13:SH13)*CELL("contenu",$B$12),COUNTA(SH15:SH17)*CELL("contenu",$B$14),COUNTA(SH19:SH19)*CELL("contenu",$B$18))=0,1,SUM(COUNTA(SH5:SH6)*CELL("contenu",$B$4),COUNTA(SH8:SH11)*CELL("contenu",$B$7),COUNTA(SH13:SH13)*CELL("contenu",$B$12),COUNTA(SH15:SH17)*CELL("contenu",$B$14),COUNTA(SH19:SH19)*CELL("contenu",$B$18))))</f>
        <v/>
      </c>
      <c r="SI20" s="184" t="str">
        <f ca="1">IF(COUNTA(SI5:SI19)=0,"",5*SUM(IFERROR((((COUNTIF(SI5:SI6,"A"))*4)+((COUNTIF(SI5:SI6,"B"))*3)+((COUNTIF(SI5:SI6,"C"))*2)+((COUNTIF(SI5:SI6,"D"))*1))*CELL("contenu",$B$4),0),IFERROR((((COUNTIF(SI8:SI11,"A"))*4)+((COUNTIF(SI8:SI11,"B"))*3)+((COUNTIF(SI8:SI11,"C"))*2)+((COUNTIF(SI8:SI11,"D"))*1))*CELL("contenu",$B$7),0),IFERROR((((COUNTIF(SI13:SI13,"A"))*4)+((COUNTIF(SI13:SI13,"B"))*3)+((COUNTIF(SI13:SI13,"C"))*2)+((COUNTIF(SI13:SI13,"D"))*1))*CELL("contenu",$B$12),0),IFERROR((((COUNTIF(SI15:SI17,"A"))*4)+((COUNTIF(SI15:SI17,"B"))*3)+((COUNTIF(SI15:SI17,"C"))*2)+((COUNTIF(SI15:SI17,"D"))*1))*CELL("contenu",$B$14),0),IFERROR((((COUNTIF(SI19:SI19,"A"))*4)+((COUNTIF(SI19:SI19,"B"))*3)+((COUNTIF(SI19:SI19,"C"))*2)+((COUNTIF(SI19:SI19,"D"))*1))*CELL("contenu",$B$18),0))/IF(SUM(COUNTA(SI5:SI6)*CELL("contenu",$B$4),COUNTA(SI8:SI11)*CELL("contenu",$B$7),COUNTA(SI13:SI13)*CELL("contenu",$B$12),COUNTA(SI15:SI17)*CELL("contenu",$B$14),COUNTA(SI19:SI19)*CELL("contenu",$B$18))=0,1,SUM(COUNTA(SI5:SI6)*CELL("contenu",$B$4),COUNTA(SI8:SI11)*CELL("contenu",$B$7),COUNTA(SI13:SI13)*CELL("contenu",$B$12),COUNTA(SI15:SI17)*CELL("contenu",$B$14),COUNTA(SI19:SI19)*CELL("contenu",$B$18))))</f>
        <v/>
      </c>
      <c r="SJ20" s="176"/>
      <c r="SK20" s="175" t="str">
        <f ca="1">IF(COUNTA(SG20:SI20)-COUNTBLANK(SG20:SI20)=0,"",SUM(SG20:SI20)/(COUNTA(SG20:SI20)-COUNTBLANK(SG20:SI20)))</f>
        <v/>
      </c>
      <c r="SL20" s="182" t="str">
        <f ca="1">IF(COUNTA(SL5:SL19)=0,"",5*SUM(IFERROR((((COUNTIF(SL5:SL6,"A"))*4)+((COUNTIF(SL5:SL6,"B"))*3)+((COUNTIF(SL5:SL6,"C"))*2)+((COUNTIF(SL5:SL6,"D"))*1))*CELL("contenu",$B$4),0),IFERROR((((COUNTIF(SL8:SL11,"A"))*4)+((COUNTIF(SL8:SL11,"B"))*3)+((COUNTIF(SL8:SL11,"C"))*2)+((COUNTIF(SL8:SL11,"D"))*1))*CELL("contenu",$B$7),0),IFERROR((((COUNTIF(SL13:SL13,"A"))*4)+((COUNTIF(SL13:SL13,"B"))*3)+((COUNTIF(SL13:SL13,"C"))*2)+((COUNTIF(SL13:SL13,"D"))*1))*CELL("contenu",$B$12),0),IFERROR((((COUNTIF(SL15:SL17,"A"))*4)+((COUNTIF(SL15:SL17,"B"))*3)+((COUNTIF(SL15:SL17,"C"))*2)+((COUNTIF(SL15:SL17,"D"))*1))*CELL("contenu",$B$14),0),IFERROR((((COUNTIF(SL19:SL19,"A"))*4)+((COUNTIF(SL19:SL19,"B"))*3)+((COUNTIF(SL19:SL19,"C"))*2)+((COUNTIF(SL19:SL19,"D"))*1))*CELL("contenu",$B$18),0))/IF(SUM(COUNTA(SL5:SL6)*CELL("contenu",$B$4),COUNTA(SL8:SL11)*CELL("contenu",$B$7),COUNTA(SL13:SL13)*CELL("contenu",$B$12),COUNTA(SL15:SL17)*CELL("contenu",$B$14),COUNTA(SL19:SL19)*CELL("contenu",$B$18))=0,1,SUM(COUNTA(SL5:SL6)*CELL("contenu",$B$4),COUNTA(SL8:SL11)*CELL("contenu",$B$7),COUNTA(SL13:SL13)*CELL("contenu",$B$12),COUNTA(SL15:SL17)*CELL("contenu",$B$14),COUNTA(SL19:SL19)*CELL("contenu",$B$18))))</f>
        <v/>
      </c>
      <c r="SM20" s="183" t="str">
        <f ca="1">IF(COUNTA(SM5:SM19)=0,"",5*SUM(IFERROR((((COUNTIF(SM5:SM6,"A"))*4)+((COUNTIF(SM5:SM6,"B"))*3)+((COUNTIF(SM5:SM6,"C"))*2)+((COUNTIF(SM5:SM6,"D"))*1))*CELL("contenu",$B$4),0),IFERROR((((COUNTIF(SM8:SM11,"A"))*4)+((COUNTIF(SM8:SM11,"B"))*3)+((COUNTIF(SM8:SM11,"C"))*2)+((COUNTIF(SM8:SM11,"D"))*1))*CELL("contenu",$B$7),0),IFERROR((((COUNTIF(SM13:SM13,"A"))*4)+((COUNTIF(SM13:SM13,"B"))*3)+((COUNTIF(SM13:SM13,"C"))*2)+((COUNTIF(SM13:SM13,"D"))*1))*CELL("contenu",$B$12),0),IFERROR((((COUNTIF(SM15:SM17,"A"))*4)+((COUNTIF(SM15:SM17,"B"))*3)+((COUNTIF(SM15:SM17,"C"))*2)+((COUNTIF(SM15:SM17,"D"))*1))*CELL("contenu",$B$14),0),IFERROR((((COUNTIF(SM19:SM19,"A"))*4)+((COUNTIF(SM19:SM19,"B"))*3)+((COUNTIF(SM19:SM19,"C"))*2)+((COUNTIF(SM19:SM19,"D"))*1))*CELL("contenu",$B$18),0))/IF(SUM(COUNTA(SM5:SM6)*CELL("contenu",$B$4),COUNTA(SM8:SM11)*CELL("contenu",$B$7),COUNTA(SM13:SM13)*CELL("contenu",$B$12),COUNTA(SM15:SM17)*CELL("contenu",$B$14),COUNTA(SM19:SM19)*CELL("contenu",$B$18))=0,1,SUM(COUNTA(SM5:SM6)*CELL("contenu",$B$4),COUNTA(SM8:SM11)*CELL("contenu",$B$7),COUNTA(SM13:SM13)*CELL("contenu",$B$12),COUNTA(SM15:SM17)*CELL("contenu",$B$14),COUNTA(SM19:SM19)*CELL("contenu",$B$18))))</f>
        <v/>
      </c>
      <c r="SN20" s="184" t="str">
        <f ca="1">IF(COUNTA(SN5:SN19)=0,"",5*SUM(IFERROR((((COUNTIF(SN5:SN6,"A"))*4)+((COUNTIF(SN5:SN6,"B"))*3)+((COUNTIF(SN5:SN6,"C"))*2)+((COUNTIF(SN5:SN6,"D"))*1))*CELL("contenu",$B$4),0),IFERROR((((COUNTIF(SN8:SN11,"A"))*4)+((COUNTIF(SN8:SN11,"B"))*3)+((COUNTIF(SN8:SN11,"C"))*2)+((COUNTIF(SN8:SN11,"D"))*1))*CELL("contenu",$B$7),0),IFERROR((((COUNTIF(SN13:SN13,"A"))*4)+((COUNTIF(SN13:SN13,"B"))*3)+((COUNTIF(SN13:SN13,"C"))*2)+((COUNTIF(SN13:SN13,"D"))*1))*CELL("contenu",$B$12),0),IFERROR((((COUNTIF(SN15:SN17,"A"))*4)+((COUNTIF(SN15:SN17,"B"))*3)+((COUNTIF(SN15:SN17,"C"))*2)+((COUNTIF(SN15:SN17,"D"))*1))*CELL("contenu",$B$14),0),IFERROR((((COUNTIF(SN19:SN19,"A"))*4)+((COUNTIF(SN19:SN19,"B"))*3)+((COUNTIF(SN19:SN19,"C"))*2)+((COUNTIF(SN19:SN19,"D"))*1))*CELL("contenu",$B$18),0))/IF(SUM(COUNTA(SN5:SN6)*CELL("contenu",$B$4),COUNTA(SN8:SN11)*CELL("contenu",$B$7),COUNTA(SN13:SN13)*CELL("contenu",$B$12),COUNTA(SN15:SN17)*CELL("contenu",$B$14),COUNTA(SN19:SN19)*CELL("contenu",$B$18))=0,1,SUM(COUNTA(SN5:SN6)*CELL("contenu",$B$4),COUNTA(SN8:SN11)*CELL("contenu",$B$7),COUNTA(SN13:SN13)*CELL("contenu",$B$12),COUNTA(SN15:SN17)*CELL("contenu",$B$14),COUNTA(SN19:SN19)*CELL("contenu",$B$18))))</f>
        <v/>
      </c>
      <c r="SO20" s="176"/>
      <c r="SP20" s="174" t="str">
        <f ca="1">IF(COUNTA(SL20:SN20)-COUNTBLANK(SL20:SN20)=0,"",SUM(SL20:SN20)/(COUNTA(SL20:SN20)-COUNTBLANK(SL20:SN20)))</f>
        <v/>
      </c>
      <c r="SQ20" s="103"/>
      <c r="SR20" s="141"/>
    </row>
    <row r="21" spans="1:512" s="142" customFormat="1" ht="16.5" x14ac:dyDescent="0.3">
      <c r="A21" s="170"/>
      <c r="B21" s="170"/>
      <c r="C21" s="199"/>
      <c r="D21" s="199"/>
      <c r="E21" s="199"/>
      <c r="F21" s="170"/>
      <c r="G21" s="170"/>
      <c r="R21" s="143"/>
      <c r="S21" s="143"/>
      <c r="AI21" s="143"/>
      <c r="AJ21" s="143"/>
      <c r="AZ21" s="143"/>
      <c r="BA21" s="143"/>
      <c r="BQ21" s="143"/>
      <c r="BR21" s="143"/>
      <c r="CH21" s="143"/>
      <c r="CI21" s="143"/>
      <c r="CY21" s="143"/>
      <c r="CZ21" s="143"/>
      <c r="DP21" s="143"/>
      <c r="DQ21" s="143"/>
      <c r="EG21" s="143"/>
      <c r="EH21" s="143"/>
      <c r="EX21" s="143"/>
      <c r="EY21" s="143"/>
      <c r="FO21" s="143"/>
      <c r="FP21" s="143"/>
      <c r="GF21" s="143"/>
      <c r="GG21" s="143"/>
      <c r="GW21" s="143"/>
      <c r="GX21" s="143"/>
      <c r="HN21" s="143"/>
      <c r="HO21" s="143"/>
      <c r="IE21" s="143"/>
      <c r="IF21" s="143"/>
      <c r="IV21" s="143"/>
      <c r="IW21" s="143"/>
      <c r="JM21" s="143"/>
      <c r="JN21" s="143"/>
      <c r="KD21" s="143"/>
      <c r="KE21" s="143"/>
      <c r="KU21" s="143"/>
      <c r="KV21" s="143"/>
      <c r="LL21" s="143"/>
      <c r="LM21" s="143"/>
      <c r="MC21" s="143"/>
      <c r="MD21" s="143"/>
      <c r="MT21" s="143"/>
      <c r="MU21" s="143"/>
      <c r="NK21" s="143"/>
      <c r="NL21" s="143"/>
      <c r="OB21" s="143"/>
      <c r="OC21" s="143"/>
      <c r="OS21" s="143"/>
      <c r="OT21" s="143"/>
      <c r="PJ21" s="143"/>
      <c r="PK21" s="143"/>
      <c r="QA21" s="143"/>
      <c r="QB21" s="143"/>
      <c r="QR21" s="143"/>
      <c r="QS21" s="143"/>
      <c r="RI21" s="143"/>
      <c r="RJ21" s="143"/>
      <c r="RZ21" s="143"/>
      <c r="SA21" s="143"/>
      <c r="SQ21" s="143"/>
      <c r="SR21" s="143"/>
    </row>
    <row r="22" spans="1:512" s="144" customFormat="1" ht="16.5" x14ac:dyDescent="0.25">
      <c r="A22" s="171"/>
      <c r="B22" s="171"/>
      <c r="C22" s="200"/>
      <c r="D22" s="200"/>
      <c r="E22" s="200"/>
      <c r="F22" s="172"/>
      <c r="G22" s="173"/>
      <c r="H22" s="201"/>
      <c r="I22" s="201"/>
      <c r="J22" s="201"/>
      <c r="K22" s="143"/>
      <c r="L22" s="143"/>
      <c r="M22" s="201"/>
      <c r="N22" s="201"/>
      <c r="O22" s="201"/>
      <c r="P22" s="143"/>
      <c r="Q22" s="143"/>
      <c r="R22" s="143" t="str">
        <f>IFERROR((((COUNTIF(C5:E6,"A")+COUNTIF(H5:J6,"A")+COUNTIF(M5:O6,"A"))*4)+((COUNTIF(C5:E6,"B")+COUNTIF(H5:J6,"B")+COUNTIF(M5:O6,"B"))*3)+((COUNTIF(C5:E6,"C")+COUNTIF(H5:J6,"C")+COUNTIF(M5:O6,"C"))*2)+((COUNTIF(C5:E6,"D")+COUNTIF(H5:J6,"D")+COUNTIF(M5:O6,"D"))*1))/(COUNTA(C5:E6)+COUNTA(H5:J6)+COUNTA(M5:O6)),"")</f>
        <v/>
      </c>
      <c r="S22" s="143"/>
      <c r="T22" s="102"/>
      <c r="U22" s="102"/>
      <c r="V22" s="102"/>
      <c r="W22" s="102"/>
      <c r="X22" s="143"/>
      <c r="Y22" s="201"/>
      <c r="Z22" s="201"/>
      <c r="AA22" s="201"/>
      <c r="AB22" s="143"/>
      <c r="AC22" s="143"/>
      <c r="AD22" s="201"/>
      <c r="AE22" s="201"/>
      <c r="AF22" s="201"/>
      <c r="AG22" s="143"/>
      <c r="AH22" s="143"/>
      <c r="AI22" s="143"/>
      <c r="AJ22" s="143"/>
      <c r="AK22" s="102"/>
      <c r="AL22" s="102"/>
      <c r="AM22" s="102"/>
      <c r="AN22" s="102"/>
      <c r="AO22" s="143"/>
      <c r="AP22" s="201"/>
      <c r="AQ22" s="201"/>
      <c r="AR22" s="201"/>
      <c r="AS22" s="143"/>
      <c r="AT22" s="143"/>
      <c r="AU22" s="201"/>
      <c r="AV22" s="201"/>
      <c r="AW22" s="201"/>
      <c r="AX22" s="143"/>
      <c r="AY22" s="143"/>
      <c r="AZ22" s="143"/>
      <c r="BA22" s="143"/>
      <c r="BB22" s="102"/>
      <c r="BC22" s="102"/>
      <c r="BD22" s="102"/>
      <c r="BE22" s="102"/>
      <c r="BF22" s="143"/>
      <c r="BG22" s="201"/>
      <c r="BH22" s="201"/>
      <c r="BI22" s="201"/>
      <c r="BJ22" s="143"/>
      <c r="BK22" s="143"/>
      <c r="BL22" s="201"/>
      <c r="BM22" s="201"/>
      <c r="BN22" s="201"/>
      <c r="BO22" s="143"/>
      <c r="BP22" s="143"/>
      <c r="BQ22" s="143"/>
      <c r="BR22" s="143"/>
      <c r="BS22" s="102"/>
      <c r="BT22" s="102"/>
      <c r="BU22" s="102"/>
      <c r="BV22" s="102"/>
      <c r="BW22" s="143"/>
      <c r="BX22" s="201"/>
      <c r="BY22" s="201"/>
      <c r="BZ22" s="201"/>
      <c r="CA22" s="143"/>
      <c r="CB22" s="143"/>
      <c r="CC22" s="201"/>
      <c r="CD22" s="201"/>
      <c r="CE22" s="201"/>
      <c r="CF22" s="143"/>
      <c r="CG22" s="143"/>
      <c r="CH22" s="143"/>
      <c r="CI22" s="143"/>
      <c r="CJ22" s="102"/>
      <c r="CK22" s="102"/>
      <c r="CL22" s="102"/>
      <c r="CM22" s="102"/>
      <c r="CN22" s="143"/>
      <c r="CO22" s="201"/>
      <c r="CP22" s="201"/>
      <c r="CQ22" s="201"/>
      <c r="CR22" s="143"/>
      <c r="CS22" s="143"/>
      <c r="CT22" s="201"/>
      <c r="CU22" s="201"/>
      <c r="CV22" s="201"/>
      <c r="CW22" s="143"/>
      <c r="CX22" s="143"/>
      <c r="CY22" s="143"/>
      <c r="CZ22" s="143"/>
      <c r="DA22" s="102"/>
      <c r="DB22" s="102"/>
      <c r="DC22" s="102"/>
      <c r="DD22" s="102"/>
      <c r="DE22" s="143"/>
      <c r="DF22" s="201"/>
      <c r="DG22" s="201"/>
      <c r="DH22" s="201"/>
      <c r="DI22" s="143"/>
      <c r="DJ22" s="143"/>
      <c r="DK22" s="201"/>
      <c r="DL22" s="201"/>
      <c r="DM22" s="201"/>
      <c r="DN22" s="143"/>
      <c r="DO22" s="143"/>
      <c r="DP22" s="143"/>
      <c r="DQ22" s="143"/>
      <c r="DR22" s="102"/>
      <c r="DS22" s="102"/>
      <c r="DT22" s="102"/>
      <c r="DU22" s="102"/>
      <c r="DV22" s="143"/>
      <c r="DW22" s="201"/>
      <c r="DX22" s="201"/>
      <c r="DY22" s="201"/>
      <c r="DZ22" s="143"/>
      <c r="EA22" s="143"/>
      <c r="EB22" s="201"/>
      <c r="EC22" s="201"/>
      <c r="ED22" s="201"/>
      <c r="EE22" s="143"/>
      <c r="EF22" s="143"/>
      <c r="EG22" s="143"/>
      <c r="EH22" s="143"/>
      <c r="EI22" s="102"/>
      <c r="EJ22" s="102"/>
      <c r="EK22" s="102"/>
      <c r="EL22" s="102"/>
      <c r="EM22" s="143"/>
      <c r="EN22" s="201"/>
      <c r="EO22" s="201"/>
      <c r="EP22" s="201"/>
      <c r="EQ22" s="143"/>
      <c r="ER22" s="143"/>
      <c r="ES22" s="201"/>
      <c r="ET22" s="201"/>
      <c r="EU22" s="201"/>
      <c r="EV22" s="143"/>
      <c r="EW22" s="143"/>
      <c r="EX22" s="143"/>
      <c r="EY22" s="143"/>
      <c r="EZ22" s="102"/>
      <c r="FA22" s="102"/>
      <c r="FB22" s="102"/>
      <c r="FC22" s="102"/>
      <c r="FD22" s="143"/>
      <c r="FE22" s="201"/>
      <c r="FF22" s="201"/>
      <c r="FG22" s="201"/>
      <c r="FH22" s="143"/>
      <c r="FI22" s="143"/>
      <c r="FJ22" s="201"/>
      <c r="FK22" s="201"/>
      <c r="FL22" s="201"/>
      <c r="FM22" s="143"/>
      <c r="FN22" s="143"/>
      <c r="FO22" s="143"/>
      <c r="FP22" s="143"/>
      <c r="FQ22" s="102"/>
      <c r="FR22" s="102"/>
      <c r="FS22" s="102"/>
      <c r="FT22" s="102"/>
      <c r="FU22" s="143"/>
      <c r="FV22" s="201"/>
      <c r="FW22" s="201"/>
      <c r="FX22" s="201"/>
      <c r="FY22" s="143"/>
      <c r="FZ22" s="143"/>
      <c r="GA22" s="201"/>
      <c r="GB22" s="201"/>
      <c r="GC22" s="201"/>
      <c r="GD22" s="143"/>
      <c r="GE22" s="143"/>
      <c r="GF22" s="143"/>
      <c r="GG22" s="143"/>
      <c r="GH22" s="102"/>
      <c r="GI22" s="102"/>
      <c r="GJ22" s="102"/>
      <c r="GK22" s="102"/>
      <c r="GL22" s="143"/>
      <c r="GM22" s="201"/>
      <c r="GN22" s="201"/>
      <c r="GO22" s="201"/>
      <c r="GP22" s="143"/>
      <c r="GQ22" s="143"/>
      <c r="GR22" s="201"/>
      <c r="GS22" s="201"/>
      <c r="GT22" s="201"/>
      <c r="GU22" s="143"/>
      <c r="GV22" s="143"/>
      <c r="GW22" s="143"/>
      <c r="GX22" s="143"/>
      <c r="GY22" s="102"/>
      <c r="GZ22" s="102"/>
      <c r="HA22" s="102"/>
      <c r="HB22" s="102"/>
      <c r="HC22" s="143"/>
      <c r="HD22" s="201"/>
      <c r="HE22" s="201"/>
      <c r="HF22" s="201"/>
      <c r="HG22" s="143"/>
      <c r="HH22" s="143"/>
      <c r="HI22" s="201"/>
      <c r="HJ22" s="201"/>
      <c r="HK22" s="201"/>
      <c r="HL22" s="143"/>
      <c r="HM22" s="143"/>
      <c r="HN22" s="143"/>
      <c r="HO22" s="143"/>
      <c r="HP22" s="102"/>
      <c r="HQ22" s="102"/>
      <c r="HR22" s="102"/>
      <c r="HS22" s="102"/>
      <c r="HT22" s="143"/>
      <c r="HU22" s="201"/>
      <c r="HV22" s="201"/>
      <c r="HW22" s="201"/>
      <c r="HX22" s="143"/>
      <c r="HY22" s="143"/>
      <c r="HZ22" s="201"/>
      <c r="IA22" s="201"/>
      <c r="IB22" s="201"/>
      <c r="IC22" s="143"/>
      <c r="ID22" s="143"/>
      <c r="IE22" s="143"/>
      <c r="IF22" s="143"/>
      <c r="IG22" s="102"/>
      <c r="IH22" s="102"/>
      <c r="II22" s="102"/>
      <c r="IJ22" s="102"/>
      <c r="IK22" s="143"/>
      <c r="IL22" s="201"/>
      <c r="IM22" s="201"/>
      <c r="IN22" s="201"/>
      <c r="IO22" s="143"/>
      <c r="IP22" s="143"/>
      <c r="IQ22" s="201"/>
      <c r="IR22" s="201"/>
      <c r="IS22" s="201"/>
      <c r="IT22" s="143"/>
      <c r="IU22" s="143"/>
      <c r="IV22" s="143"/>
      <c r="IW22" s="143"/>
      <c r="IX22" s="102"/>
      <c r="IY22" s="102"/>
      <c r="IZ22" s="102"/>
      <c r="JA22" s="102"/>
      <c r="JB22" s="143"/>
      <c r="JC22" s="201"/>
      <c r="JD22" s="201"/>
      <c r="JE22" s="201"/>
      <c r="JF22" s="143"/>
      <c r="JG22" s="143"/>
      <c r="JH22" s="201"/>
      <c r="JI22" s="201"/>
      <c r="JJ22" s="201"/>
      <c r="JK22" s="143"/>
      <c r="JL22" s="143"/>
      <c r="JM22" s="143"/>
      <c r="JN22" s="143"/>
      <c r="JO22" s="102"/>
      <c r="JP22" s="102"/>
      <c r="JQ22" s="102"/>
      <c r="JR22" s="102"/>
      <c r="JS22" s="143"/>
      <c r="JT22" s="201"/>
      <c r="JU22" s="201"/>
      <c r="JV22" s="201"/>
      <c r="JW22" s="143"/>
      <c r="JX22" s="143"/>
      <c r="JY22" s="201"/>
      <c r="JZ22" s="201"/>
      <c r="KA22" s="201"/>
      <c r="KB22" s="143"/>
      <c r="KC22" s="143"/>
      <c r="KD22" s="143"/>
      <c r="KE22" s="143"/>
      <c r="KF22" s="102"/>
      <c r="KG22" s="102"/>
      <c r="KH22" s="102"/>
      <c r="KI22" s="102"/>
      <c r="KJ22" s="143"/>
      <c r="KK22" s="201"/>
      <c r="KL22" s="201"/>
      <c r="KM22" s="201"/>
      <c r="KN22" s="143"/>
      <c r="KO22" s="143"/>
      <c r="KP22" s="201"/>
      <c r="KQ22" s="201"/>
      <c r="KR22" s="201"/>
      <c r="KS22" s="143"/>
      <c r="KT22" s="143"/>
      <c r="KU22" s="143"/>
      <c r="KV22" s="143"/>
      <c r="KW22" s="102"/>
      <c r="KX22" s="102"/>
      <c r="KY22" s="102"/>
      <c r="KZ22" s="102"/>
      <c r="LA22" s="143"/>
      <c r="LB22" s="201"/>
      <c r="LC22" s="201"/>
      <c r="LD22" s="201"/>
      <c r="LE22" s="143"/>
      <c r="LF22" s="143"/>
      <c r="LG22" s="201"/>
      <c r="LH22" s="201"/>
      <c r="LI22" s="201"/>
      <c r="LJ22" s="143"/>
      <c r="LK22" s="143"/>
      <c r="LL22" s="143"/>
      <c r="LM22" s="143"/>
      <c r="LN22" s="102"/>
      <c r="LO22" s="102"/>
      <c r="LP22" s="102"/>
      <c r="LQ22" s="102"/>
      <c r="LR22" s="143"/>
      <c r="LS22" s="201"/>
      <c r="LT22" s="201"/>
      <c r="LU22" s="201"/>
      <c r="LV22" s="143"/>
      <c r="LW22" s="143"/>
      <c r="LX22" s="201"/>
      <c r="LY22" s="201"/>
      <c r="LZ22" s="201"/>
      <c r="MA22" s="143"/>
      <c r="MB22" s="143"/>
      <c r="MC22" s="143"/>
      <c r="MD22" s="143"/>
      <c r="ME22" s="102"/>
      <c r="MF22" s="102"/>
      <c r="MG22" s="102"/>
      <c r="MH22" s="102"/>
      <c r="MI22" s="143"/>
      <c r="MJ22" s="201"/>
      <c r="MK22" s="201"/>
      <c r="ML22" s="201"/>
      <c r="MM22" s="143"/>
      <c r="MN22" s="143"/>
      <c r="MO22" s="201"/>
      <c r="MP22" s="201"/>
      <c r="MQ22" s="201"/>
      <c r="MR22" s="143"/>
      <c r="MS22" s="143"/>
      <c r="MT22" s="143"/>
      <c r="MU22" s="143"/>
      <c r="MV22" s="102"/>
      <c r="MW22" s="102"/>
      <c r="MX22" s="102"/>
      <c r="MY22" s="102"/>
      <c r="MZ22" s="143"/>
      <c r="NA22" s="201"/>
      <c r="NB22" s="201"/>
      <c r="NC22" s="201"/>
      <c r="ND22" s="143"/>
      <c r="NE22" s="143"/>
      <c r="NF22" s="201"/>
      <c r="NG22" s="201"/>
      <c r="NH22" s="201"/>
      <c r="NI22" s="143"/>
      <c r="NJ22" s="143"/>
      <c r="NK22" s="143"/>
      <c r="NL22" s="143"/>
      <c r="NM22" s="102"/>
      <c r="NN22" s="102"/>
      <c r="NO22" s="102"/>
      <c r="NP22" s="102"/>
      <c r="NQ22" s="143"/>
      <c r="NR22" s="201"/>
      <c r="NS22" s="201"/>
      <c r="NT22" s="201"/>
      <c r="NU22" s="143"/>
      <c r="NV22" s="143"/>
      <c r="NW22" s="201"/>
      <c r="NX22" s="201"/>
      <c r="NY22" s="201"/>
      <c r="NZ22" s="143"/>
      <c r="OA22" s="143"/>
      <c r="OB22" s="143"/>
      <c r="OC22" s="143"/>
      <c r="OD22" s="102"/>
      <c r="OE22" s="102"/>
      <c r="OF22" s="102"/>
      <c r="OG22" s="102"/>
      <c r="OH22" s="143"/>
      <c r="OI22" s="201"/>
      <c r="OJ22" s="201"/>
      <c r="OK22" s="201"/>
      <c r="OL22" s="143"/>
      <c r="OM22" s="143"/>
      <c r="ON22" s="201"/>
      <c r="OO22" s="201"/>
      <c r="OP22" s="201"/>
      <c r="OQ22" s="143"/>
      <c r="OR22" s="143"/>
      <c r="OS22" s="143"/>
      <c r="OT22" s="143"/>
      <c r="OU22" s="102"/>
      <c r="OV22" s="102"/>
      <c r="OW22" s="102"/>
      <c r="OX22" s="102"/>
      <c r="OY22" s="143"/>
      <c r="OZ22" s="201"/>
      <c r="PA22" s="201"/>
      <c r="PB22" s="201"/>
      <c r="PC22" s="143"/>
      <c r="PD22" s="143"/>
      <c r="PE22" s="201"/>
      <c r="PF22" s="201"/>
      <c r="PG22" s="201"/>
      <c r="PH22" s="143"/>
      <c r="PI22" s="143"/>
      <c r="PJ22" s="143"/>
      <c r="PK22" s="143"/>
      <c r="PL22" s="102"/>
      <c r="PM22" s="102"/>
      <c r="PN22" s="102"/>
      <c r="PO22" s="102"/>
      <c r="PP22" s="143"/>
      <c r="PQ22" s="201"/>
      <c r="PR22" s="201"/>
      <c r="PS22" s="201"/>
      <c r="PT22" s="143"/>
      <c r="PU22" s="143"/>
      <c r="PV22" s="201"/>
      <c r="PW22" s="201"/>
      <c r="PX22" s="201"/>
      <c r="PY22" s="143"/>
      <c r="PZ22" s="143"/>
      <c r="QA22" s="143"/>
      <c r="QB22" s="143"/>
      <c r="QC22" s="102"/>
      <c r="QD22" s="102"/>
      <c r="QE22" s="102"/>
      <c r="QF22" s="102"/>
      <c r="QG22" s="143"/>
      <c r="QH22" s="201"/>
      <c r="QI22" s="201"/>
      <c r="QJ22" s="201"/>
      <c r="QK22" s="143"/>
      <c r="QL22" s="143"/>
      <c r="QM22" s="201"/>
      <c r="QN22" s="201"/>
      <c r="QO22" s="201"/>
      <c r="QP22" s="143"/>
      <c r="QQ22" s="143"/>
      <c r="QR22" s="143"/>
      <c r="QS22" s="143"/>
      <c r="QT22" s="102"/>
      <c r="QU22" s="102"/>
      <c r="QV22" s="102"/>
      <c r="QW22" s="102"/>
      <c r="QX22" s="143"/>
      <c r="QY22" s="201"/>
      <c r="QZ22" s="201"/>
      <c r="RA22" s="201"/>
      <c r="RB22" s="143"/>
      <c r="RC22" s="143"/>
      <c r="RD22" s="201"/>
      <c r="RE22" s="201"/>
      <c r="RF22" s="201"/>
      <c r="RG22" s="143"/>
      <c r="RH22" s="143"/>
      <c r="RI22" s="143"/>
      <c r="RJ22" s="143"/>
      <c r="RK22" s="102"/>
      <c r="RL22" s="102"/>
      <c r="RM22" s="102"/>
      <c r="RN22" s="102"/>
      <c r="RO22" s="143"/>
      <c r="RP22" s="201"/>
      <c r="RQ22" s="201"/>
      <c r="RR22" s="201"/>
      <c r="RS22" s="143"/>
      <c r="RT22" s="143"/>
      <c r="RU22" s="201"/>
      <c r="RV22" s="201"/>
      <c r="RW22" s="201"/>
      <c r="RX22" s="143"/>
      <c r="RY22" s="143"/>
      <c r="RZ22" s="143"/>
      <c r="SA22" s="143"/>
      <c r="SB22" s="102"/>
      <c r="SC22" s="102"/>
      <c r="SD22" s="102"/>
      <c r="SE22" s="102"/>
      <c r="SF22" s="143"/>
      <c r="SG22" s="201"/>
      <c r="SH22" s="201"/>
      <c r="SI22" s="201"/>
      <c r="SJ22" s="143"/>
      <c r="SK22" s="143"/>
      <c r="SL22" s="201"/>
      <c r="SM22" s="201"/>
      <c r="SN22" s="201"/>
      <c r="SO22" s="143"/>
      <c r="SP22" s="143"/>
      <c r="SQ22" s="143"/>
      <c r="SR22" s="143"/>
    </row>
    <row r="23" spans="1:512" s="144" customFormat="1" ht="16.5" x14ac:dyDescent="0.25">
      <c r="A23" s="171"/>
      <c r="B23" s="171"/>
      <c r="C23" s="200"/>
      <c r="D23" s="200"/>
      <c r="E23" s="200"/>
      <c r="F23" s="172"/>
      <c r="G23" s="173"/>
      <c r="H23" s="201"/>
      <c r="I23" s="201"/>
      <c r="J23" s="201"/>
      <c r="K23" s="143"/>
      <c r="L23" s="143"/>
      <c r="M23" s="201"/>
      <c r="N23" s="201"/>
      <c r="O23" s="201"/>
      <c r="P23" s="143"/>
      <c r="Q23" s="143"/>
      <c r="R23" s="143"/>
      <c r="S23" s="143"/>
      <c r="T23" s="102"/>
      <c r="U23" s="102"/>
      <c r="V23" s="102"/>
      <c r="W23" s="102"/>
      <c r="X23" s="143"/>
      <c r="Y23" s="201"/>
      <c r="Z23" s="201"/>
      <c r="AA23" s="201"/>
      <c r="AB23" s="143"/>
      <c r="AC23" s="143"/>
      <c r="AD23" s="201"/>
      <c r="AE23" s="201"/>
      <c r="AF23" s="201"/>
      <c r="AG23" s="143"/>
      <c r="AH23" s="143"/>
      <c r="AI23" s="143"/>
      <c r="AJ23" s="143"/>
      <c r="AK23" s="102"/>
      <c r="AL23" s="102"/>
      <c r="AM23" s="102"/>
      <c r="AN23" s="102"/>
      <c r="AO23" s="143"/>
      <c r="AP23" s="201"/>
      <c r="AQ23" s="201"/>
      <c r="AR23" s="201"/>
      <c r="AS23" s="143"/>
      <c r="AT23" s="143"/>
      <c r="AU23" s="201"/>
      <c r="AV23" s="201"/>
      <c r="AW23" s="201"/>
      <c r="AX23" s="143"/>
      <c r="AY23" s="143"/>
      <c r="AZ23" s="143"/>
      <c r="BA23" s="143"/>
      <c r="BB23" s="102"/>
      <c r="BC23" s="102"/>
      <c r="BD23" s="102"/>
      <c r="BE23" s="102"/>
      <c r="BF23" s="143"/>
      <c r="BG23" s="201"/>
      <c r="BH23" s="201"/>
      <c r="BI23" s="201"/>
      <c r="BJ23" s="143"/>
      <c r="BK23" s="143"/>
      <c r="BL23" s="201"/>
      <c r="BM23" s="201"/>
      <c r="BN23" s="201"/>
      <c r="BO23" s="143"/>
      <c r="BP23" s="143"/>
      <c r="BQ23" s="143"/>
      <c r="BR23" s="143"/>
      <c r="BS23" s="102"/>
      <c r="BT23" s="102"/>
      <c r="BU23" s="102"/>
      <c r="BV23" s="102"/>
      <c r="BW23" s="143"/>
      <c r="BX23" s="201"/>
      <c r="BY23" s="201"/>
      <c r="BZ23" s="201"/>
      <c r="CA23" s="143"/>
      <c r="CB23" s="143"/>
      <c r="CC23" s="201"/>
      <c r="CD23" s="201"/>
      <c r="CE23" s="201"/>
      <c r="CF23" s="143"/>
      <c r="CG23" s="143"/>
      <c r="CH23" s="143"/>
      <c r="CI23" s="143"/>
      <c r="CJ23" s="102"/>
      <c r="CK23" s="102"/>
      <c r="CL23" s="102"/>
      <c r="CM23" s="102"/>
      <c r="CN23" s="143"/>
      <c r="CO23" s="201"/>
      <c r="CP23" s="201"/>
      <c r="CQ23" s="201"/>
      <c r="CR23" s="143"/>
      <c r="CS23" s="143"/>
      <c r="CT23" s="201"/>
      <c r="CU23" s="201"/>
      <c r="CV23" s="201"/>
      <c r="CW23" s="143"/>
      <c r="CX23" s="143"/>
      <c r="CY23" s="143"/>
      <c r="CZ23" s="143"/>
      <c r="DA23" s="102"/>
      <c r="DB23" s="102"/>
      <c r="DC23" s="102"/>
      <c r="DD23" s="102"/>
      <c r="DE23" s="143"/>
      <c r="DF23" s="201"/>
      <c r="DG23" s="201"/>
      <c r="DH23" s="201"/>
      <c r="DI23" s="143"/>
      <c r="DJ23" s="143"/>
      <c r="DK23" s="201"/>
      <c r="DL23" s="201"/>
      <c r="DM23" s="201"/>
      <c r="DN23" s="143"/>
      <c r="DO23" s="143"/>
      <c r="DP23" s="143"/>
      <c r="DQ23" s="143"/>
      <c r="DR23" s="102"/>
      <c r="DS23" s="102"/>
      <c r="DT23" s="102"/>
      <c r="DU23" s="102"/>
      <c r="DV23" s="143"/>
      <c r="DW23" s="201"/>
      <c r="DX23" s="201"/>
      <c r="DY23" s="201"/>
      <c r="DZ23" s="143"/>
      <c r="EA23" s="143"/>
      <c r="EB23" s="201"/>
      <c r="EC23" s="201"/>
      <c r="ED23" s="201"/>
      <c r="EE23" s="143"/>
      <c r="EF23" s="143"/>
      <c r="EG23" s="143"/>
      <c r="EH23" s="143"/>
      <c r="EI23" s="102"/>
      <c r="EJ23" s="102"/>
      <c r="EK23" s="102"/>
      <c r="EL23" s="102"/>
      <c r="EM23" s="143"/>
      <c r="EN23" s="201"/>
      <c r="EO23" s="201"/>
      <c r="EP23" s="201"/>
      <c r="EQ23" s="143"/>
      <c r="ER23" s="143"/>
      <c r="ES23" s="201"/>
      <c r="ET23" s="201"/>
      <c r="EU23" s="201"/>
      <c r="EV23" s="143"/>
      <c r="EW23" s="143"/>
      <c r="EX23" s="143"/>
      <c r="EY23" s="143"/>
      <c r="EZ23" s="102"/>
      <c r="FA23" s="102"/>
      <c r="FB23" s="102"/>
      <c r="FC23" s="102"/>
      <c r="FD23" s="143"/>
      <c r="FE23" s="201"/>
      <c r="FF23" s="201"/>
      <c r="FG23" s="201"/>
      <c r="FH23" s="143"/>
      <c r="FI23" s="143"/>
      <c r="FJ23" s="201"/>
      <c r="FK23" s="201"/>
      <c r="FL23" s="201"/>
      <c r="FM23" s="143"/>
      <c r="FN23" s="143"/>
      <c r="FO23" s="143"/>
      <c r="FP23" s="143"/>
      <c r="FQ23" s="102"/>
      <c r="FR23" s="102"/>
      <c r="FS23" s="102"/>
      <c r="FT23" s="102"/>
      <c r="FU23" s="143"/>
      <c r="FV23" s="201"/>
      <c r="FW23" s="201"/>
      <c r="FX23" s="201"/>
      <c r="FY23" s="143"/>
      <c r="FZ23" s="143"/>
      <c r="GA23" s="201"/>
      <c r="GB23" s="201"/>
      <c r="GC23" s="201"/>
      <c r="GD23" s="143"/>
      <c r="GE23" s="143"/>
      <c r="GF23" s="143"/>
      <c r="GG23" s="143"/>
      <c r="GH23" s="102"/>
      <c r="GI23" s="102"/>
      <c r="GJ23" s="102"/>
      <c r="GK23" s="102"/>
      <c r="GL23" s="143"/>
      <c r="GM23" s="201"/>
      <c r="GN23" s="201"/>
      <c r="GO23" s="201"/>
      <c r="GP23" s="143"/>
      <c r="GQ23" s="143"/>
      <c r="GR23" s="201"/>
      <c r="GS23" s="201"/>
      <c r="GT23" s="201"/>
      <c r="GU23" s="143"/>
      <c r="GV23" s="143"/>
      <c r="GW23" s="143"/>
      <c r="GX23" s="143"/>
      <c r="GY23" s="102"/>
      <c r="GZ23" s="102"/>
      <c r="HA23" s="102"/>
      <c r="HB23" s="102"/>
      <c r="HC23" s="143"/>
      <c r="HD23" s="201"/>
      <c r="HE23" s="201"/>
      <c r="HF23" s="201"/>
      <c r="HG23" s="143"/>
      <c r="HH23" s="143"/>
      <c r="HI23" s="201"/>
      <c r="HJ23" s="201"/>
      <c r="HK23" s="201"/>
      <c r="HL23" s="143"/>
      <c r="HM23" s="143"/>
      <c r="HN23" s="143"/>
      <c r="HO23" s="143"/>
      <c r="HP23" s="102"/>
      <c r="HQ23" s="102"/>
      <c r="HR23" s="102"/>
      <c r="HS23" s="102"/>
      <c r="HT23" s="143"/>
      <c r="HU23" s="201"/>
      <c r="HV23" s="201"/>
      <c r="HW23" s="201"/>
      <c r="HX23" s="143"/>
      <c r="HY23" s="143"/>
      <c r="HZ23" s="201"/>
      <c r="IA23" s="201"/>
      <c r="IB23" s="201"/>
      <c r="IC23" s="143"/>
      <c r="ID23" s="143"/>
      <c r="IE23" s="143"/>
      <c r="IF23" s="143"/>
      <c r="IG23" s="102"/>
      <c r="IH23" s="102"/>
      <c r="II23" s="102"/>
      <c r="IJ23" s="102"/>
      <c r="IK23" s="143"/>
      <c r="IL23" s="201"/>
      <c r="IM23" s="201"/>
      <c r="IN23" s="201"/>
      <c r="IO23" s="143"/>
      <c r="IP23" s="143"/>
      <c r="IQ23" s="201"/>
      <c r="IR23" s="201"/>
      <c r="IS23" s="201"/>
      <c r="IT23" s="143"/>
      <c r="IU23" s="143"/>
      <c r="IV23" s="143"/>
      <c r="IW23" s="143"/>
      <c r="IX23" s="102"/>
      <c r="IY23" s="102"/>
      <c r="IZ23" s="102"/>
      <c r="JA23" s="102"/>
      <c r="JB23" s="143"/>
      <c r="JC23" s="201"/>
      <c r="JD23" s="201"/>
      <c r="JE23" s="201"/>
      <c r="JF23" s="143"/>
      <c r="JG23" s="143"/>
      <c r="JH23" s="201"/>
      <c r="JI23" s="201"/>
      <c r="JJ23" s="201"/>
      <c r="JK23" s="143"/>
      <c r="JL23" s="143"/>
      <c r="JM23" s="143"/>
      <c r="JN23" s="143"/>
      <c r="JO23" s="102"/>
      <c r="JP23" s="102"/>
      <c r="JQ23" s="102"/>
      <c r="JR23" s="102"/>
      <c r="JS23" s="143"/>
      <c r="JT23" s="201"/>
      <c r="JU23" s="201"/>
      <c r="JV23" s="201"/>
      <c r="JW23" s="143"/>
      <c r="JX23" s="143"/>
      <c r="JY23" s="201"/>
      <c r="JZ23" s="201"/>
      <c r="KA23" s="201"/>
      <c r="KB23" s="143"/>
      <c r="KC23" s="143"/>
      <c r="KD23" s="143"/>
      <c r="KE23" s="143"/>
      <c r="KF23" s="102"/>
      <c r="KG23" s="102"/>
      <c r="KH23" s="102"/>
      <c r="KI23" s="102"/>
      <c r="KJ23" s="143"/>
      <c r="KK23" s="201"/>
      <c r="KL23" s="201"/>
      <c r="KM23" s="201"/>
      <c r="KN23" s="143"/>
      <c r="KO23" s="143"/>
      <c r="KP23" s="201"/>
      <c r="KQ23" s="201"/>
      <c r="KR23" s="201"/>
      <c r="KS23" s="143"/>
      <c r="KT23" s="143"/>
      <c r="KU23" s="143"/>
      <c r="KV23" s="143"/>
      <c r="KW23" s="102"/>
      <c r="KX23" s="102"/>
      <c r="KY23" s="102"/>
      <c r="KZ23" s="102"/>
      <c r="LA23" s="143"/>
      <c r="LB23" s="201"/>
      <c r="LC23" s="201"/>
      <c r="LD23" s="201"/>
      <c r="LE23" s="143"/>
      <c r="LF23" s="143"/>
      <c r="LG23" s="201"/>
      <c r="LH23" s="201"/>
      <c r="LI23" s="201"/>
      <c r="LJ23" s="143"/>
      <c r="LK23" s="143"/>
      <c r="LL23" s="143"/>
      <c r="LM23" s="143"/>
      <c r="LN23" s="102"/>
      <c r="LO23" s="102"/>
      <c r="LP23" s="102"/>
      <c r="LQ23" s="102"/>
      <c r="LR23" s="143"/>
      <c r="LS23" s="201"/>
      <c r="LT23" s="201"/>
      <c r="LU23" s="201"/>
      <c r="LV23" s="143"/>
      <c r="LW23" s="143"/>
      <c r="LX23" s="201"/>
      <c r="LY23" s="201"/>
      <c r="LZ23" s="201"/>
      <c r="MA23" s="143"/>
      <c r="MB23" s="143"/>
      <c r="MC23" s="143"/>
      <c r="MD23" s="143"/>
      <c r="ME23" s="102"/>
      <c r="MF23" s="102"/>
      <c r="MG23" s="102"/>
      <c r="MH23" s="102"/>
      <c r="MI23" s="143"/>
      <c r="MJ23" s="201"/>
      <c r="MK23" s="201"/>
      <c r="ML23" s="201"/>
      <c r="MM23" s="143"/>
      <c r="MN23" s="143"/>
      <c r="MO23" s="201"/>
      <c r="MP23" s="201"/>
      <c r="MQ23" s="201"/>
      <c r="MR23" s="143"/>
      <c r="MS23" s="143"/>
      <c r="MT23" s="143"/>
      <c r="MU23" s="143"/>
      <c r="MV23" s="102"/>
      <c r="MW23" s="102"/>
      <c r="MX23" s="102"/>
      <c r="MY23" s="102"/>
      <c r="MZ23" s="143"/>
      <c r="NA23" s="201"/>
      <c r="NB23" s="201"/>
      <c r="NC23" s="201"/>
      <c r="ND23" s="143"/>
      <c r="NE23" s="143"/>
      <c r="NF23" s="201"/>
      <c r="NG23" s="201"/>
      <c r="NH23" s="201"/>
      <c r="NI23" s="143"/>
      <c r="NJ23" s="143"/>
      <c r="NK23" s="143"/>
      <c r="NL23" s="143"/>
      <c r="NM23" s="102"/>
      <c r="NN23" s="102"/>
      <c r="NO23" s="102"/>
      <c r="NP23" s="102"/>
      <c r="NQ23" s="143"/>
      <c r="NR23" s="201"/>
      <c r="NS23" s="201"/>
      <c r="NT23" s="201"/>
      <c r="NU23" s="143"/>
      <c r="NV23" s="143"/>
      <c r="NW23" s="201"/>
      <c r="NX23" s="201"/>
      <c r="NY23" s="201"/>
      <c r="NZ23" s="143"/>
      <c r="OA23" s="143"/>
      <c r="OB23" s="143"/>
      <c r="OC23" s="143"/>
      <c r="OD23" s="102"/>
      <c r="OE23" s="102"/>
      <c r="OF23" s="102"/>
      <c r="OG23" s="102"/>
      <c r="OH23" s="143"/>
      <c r="OI23" s="201"/>
      <c r="OJ23" s="201"/>
      <c r="OK23" s="201"/>
      <c r="OL23" s="143"/>
      <c r="OM23" s="143"/>
      <c r="ON23" s="201"/>
      <c r="OO23" s="201"/>
      <c r="OP23" s="201"/>
      <c r="OQ23" s="143"/>
      <c r="OR23" s="143"/>
      <c r="OS23" s="143"/>
      <c r="OT23" s="143"/>
      <c r="OU23" s="102"/>
      <c r="OV23" s="102"/>
      <c r="OW23" s="102"/>
      <c r="OX23" s="102"/>
      <c r="OY23" s="143"/>
      <c r="OZ23" s="201"/>
      <c r="PA23" s="201"/>
      <c r="PB23" s="201"/>
      <c r="PC23" s="143"/>
      <c r="PD23" s="143"/>
      <c r="PE23" s="201"/>
      <c r="PF23" s="201"/>
      <c r="PG23" s="201"/>
      <c r="PH23" s="143"/>
      <c r="PI23" s="143"/>
      <c r="PJ23" s="143"/>
      <c r="PK23" s="143"/>
      <c r="PL23" s="102"/>
      <c r="PM23" s="102"/>
      <c r="PN23" s="102"/>
      <c r="PO23" s="102"/>
      <c r="PP23" s="143"/>
      <c r="PQ23" s="201"/>
      <c r="PR23" s="201"/>
      <c r="PS23" s="201"/>
      <c r="PT23" s="143"/>
      <c r="PU23" s="143"/>
      <c r="PV23" s="201"/>
      <c r="PW23" s="201"/>
      <c r="PX23" s="201"/>
      <c r="PY23" s="143"/>
      <c r="PZ23" s="143"/>
      <c r="QA23" s="143"/>
      <c r="QB23" s="143"/>
      <c r="QC23" s="102"/>
      <c r="QD23" s="102"/>
      <c r="QE23" s="102"/>
      <c r="QF23" s="102"/>
      <c r="QG23" s="143"/>
      <c r="QH23" s="201"/>
      <c r="QI23" s="201"/>
      <c r="QJ23" s="201"/>
      <c r="QK23" s="143"/>
      <c r="QL23" s="143"/>
      <c r="QM23" s="201"/>
      <c r="QN23" s="201"/>
      <c r="QO23" s="201"/>
      <c r="QP23" s="143"/>
      <c r="QQ23" s="143"/>
      <c r="QR23" s="143"/>
      <c r="QS23" s="143"/>
      <c r="QT23" s="102"/>
      <c r="QU23" s="102"/>
      <c r="QV23" s="102"/>
      <c r="QW23" s="102"/>
      <c r="QX23" s="143"/>
      <c r="QY23" s="201"/>
      <c r="QZ23" s="201"/>
      <c r="RA23" s="201"/>
      <c r="RB23" s="143"/>
      <c r="RC23" s="143"/>
      <c r="RD23" s="201"/>
      <c r="RE23" s="201"/>
      <c r="RF23" s="201"/>
      <c r="RG23" s="143"/>
      <c r="RH23" s="143"/>
      <c r="RI23" s="143"/>
      <c r="RJ23" s="143"/>
      <c r="RK23" s="102"/>
      <c r="RL23" s="102"/>
      <c r="RM23" s="102"/>
      <c r="RN23" s="102"/>
      <c r="RO23" s="143"/>
      <c r="RP23" s="201"/>
      <c r="RQ23" s="201"/>
      <c r="RR23" s="201"/>
      <c r="RS23" s="143"/>
      <c r="RT23" s="143"/>
      <c r="RU23" s="201"/>
      <c r="RV23" s="201"/>
      <c r="RW23" s="201"/>
      <c r="RX23" s="143"/>
      <c r="RY23" s="143"/>
      <c r="RZ23" s="143"/>
      <c r="SA23" s="143"/>
      <c r="SB23" s="102"/>
      <c r="SC23" s="102"/>
      <c r="SD23" s="102"/>
      <c r="SE23" s="102"/>
      <c r="SF23" s="143"/>
      <c r="SG23" s="201"/>
      <c r="SH23" s="201"/>
      <c r="SI23" s="201"/>
      <c r="SJ23" s="143"/>
      <c r="SK23" s="143"/>
      <c r="SL23" s="201"/>
      <c r="SM23" s="201"/>
      <c r="SN23" s="201"/>
      <c r="SO23" s="143"/>
      <c r="SP23" s="143"/>
      <c r="SQ23" s="143"/>
      <c r="SR23" s="143"/>
    </row>
    <row r="24" spans="1:512" s="144" customFormat="1" ht="16.5" x14ac:dyDescent="0.25">
      <c r="C24" s="191"/>
      <c r="D24" s="191"/>
      <c r="E24" s="191"/>
      <c r="F24" s="102"/>
      <c r="G24" s="143"/>
      <c r="H24" s="201"/>
      <c r="I24" s="201"/>
      <c r="J24" s="201"/>
      <c r="K24" s="143"/>
      <c r="L24" s="143"/>
      <c r="M24" s="201"/>
      <c r="N24" s="201"/>
      <c r="O24" s="201"/>
      <c r="P24" s="143"/>
      <c r="Q24" s="143"/>
      <c r="R24" s="143"/>
      <c r="S24" s="143"/>
      <c r="T24" s="102"/>
      <c r="U24" s="102"/>
      <c r="V24" s="102"/>
      <c r="W24" s="102"/>
      <c r="X24" s="143"/>
      <c r="Y24" s="201"/>
      <c r="Z24" s="201"/>
      <c r="AA24" s="201"/>
      <c r="AB24" s="143"/>
      <c r="AC24" s="143"/>
      <c r="AD24" s="201"/>
      <c r="AE24" s="201"/>
      <c r="AF24" s="201"/>
      <c r="AG24" s="143"/>
      <c r="AH24" s="143"/>
      <c r="AI24" s="143"/>
      <c r="AJ24" s="143"/>
      <c r="AK24" s="102"/>
      <c r="AL24" s="102"/>
      <c r="AM24" s="102"/>
      <c r="AN24" s="102"/>
      <c r="AO24" s="143"/>
      <c r="AP24" s="201"/>
      <c r="AQ24" s="201"/>
      <c r="AR24" s="201"/>
      <c r="AS24" s="143"/>
      <c r="AT24" s="143"/>
      <c r="AU24" s="201"/>
      <c r="AV24" s="201"/>
      <c r="AW24" s="201"/>
      <c r="AX24" s="143"/>
      <c r="AY24" s="143"/>
      <c r="AZ24" s="143"/>
      <c r="BA24" s="143"/>
      <c r="BB24" s="102"/>
      <c r="BC24" s="102"/>
      <c r="BD24" s="102"/>
      <c r="BE24" s="102"/>
      <c r="BF24" s="143"/>
      <c r="BG24" s="201"/>
      <c r="BH24" s="201"/>
      <c r="BI24" s="201"/>
      <c r="BJ24" s="143"/>
      <c r="BK24" s="143"/>
      <c r="BL24" s="201"/>
      <c r="BM24" s="201"/>
      <c r="BN24" s="201"/>
      <c r="BO24" s="143"/>
      <c r="BP24" s="143"/>
      <c r="BQ24" s="143"/>
      <c r="BR24" s="143"/>
      <c r="BS24" s="102"/>
      <c r="BT24" s="102"/>
      <c r="BU24" s="102"/>
      <c r="BV24" s="102"/>
      <c r="BW24" s="143"/>
      <c r="BX24" s="201"/>
      <c r="BY24" s="201"/>
      <c r="BZ24" s="201"/>
      <c r="CA24" s="143"/>
      <c r="CB24" s="143"/>
      <c r="CC24" s="201"/>
      <c r="CD24" s="201"/>
      <c r="CE24" s="201"/>
      <c r="CF24" s="143"/>
      <c r="CG24" s="143"/>
      <c r="CH24" s="143"/>
      <c r="CI24" s="143"/>
      <c r="CJ24" s="102"/>
      <c r="CK24" s="102"/>
      <c r="CL24" s="102"/>
      <c r="CM24" s="102"/>
      <c r="CN24" s="143"/>
      <c r="CO24" s="201"/>
      <c r="CP24" s="201"/>
      <c r="CQ24" s="201"/>
      <c r="CR24" s="143"/>
      <c r="CS24" s="143"/>
      <c r="CT24" s="201"/>
      <c r="CU24" s="201"/>
      <c r="CV24" s="201"/>
      <c r="CW24" s="143"/>
      <c r="CX24" s="143"/>
      <c r="CY24" s="143"/>
      <c r="CZ24" s="143"/>
      <c r="DA24" s="102"/>
      <c r="DB24" s="102"/>
      <c r="DC24" s="102"/>
      <c r="DD24" s="102"/>
      <c r="DE24" s="143"/>
      <c r="DF24" s="201"/>
      <c r="DG24" s="201"/>
      <c r="DH24" s="201"/>
      <c r="DI24" s="143"/>
      <c r="DJ24" s="143"/>
      <c r="DK24" s="201"/>
      <c r="DL24" s="201"/>
      <c r="DM24" s="201"/>
      <c r="DN24" s="143"/>
      <c r="DO24" s="143"/>
      <c r="DP24" s="143"/>
      <c r="DQ24" s="143"/>
      <c r="DR24" s="102"/>
      <c r="DS24" s="102"/>
      <c r="DT24" s="102"/>
      <c r="DU24" s="102"/>
      <c r="DV24" s="143"/>
      <c r="DW24" s="201"/>
      <c r="DX24" s="201"/>
      <c r="DY24" s="201"/>
      <c r="DZ24" s="143"/>
      <c r="EA24" s="143"/>
      <c r="EB24" s="201"/>
      <c r="EC24" s="201"/>
      <c r="ED24" s="201"/>
      <c r="EE24" s="143"/>
      <c r="EF24" s="143"/>
      <c r="EG24" s="143"/>
      <c r="EH24" s="143"/>
      <c r="EI24" s="102"/>
      <c r="EJ24" s="102"/>
      <c r="EK24" s="102"/>
      <c r="EL24" s="102"/>
      <c r="EM24" s="143"/>
      <c r="EN24" s="201"/>
      <c r="EO24" s="201"/>
      <c r="EP24" s="201"/>
      <c r="EQ24" s="143"/>
      <c r="ER24" s="143"/>
      <c r="ES24" s="201"/>
      <c r="ET24" s="201"/>
      <c r="EU24" s="201"/>
      <c r="EV24" s="143"/>
      <c r="EW24" s="143"/>
      <c r="EX24" s="143"/>
      <c r="EY24" s="143"/>
      <c r="EZ24" s="102"/>
      <c r="FA24" s="102"/>
      <c r="FB24" s="102"/>
      <c r="FC24" s="102"/>
      <c r="FD24" s="143"/>
      <c r="FE24" s="201"/>
      <c r="FF24" s="201"/>
      <c r="FG24" s="201"/>
      <c r="FH24" s="143"/>
      <c r="FI24" s="143"/>
      <c r="FJ24" s="201"/>
      <c r="FK24" s="201"/>
      <c r="FL24" s="201"/>
      <c r="FM24" s="143"/>
      <c r="FN24" s="143"/>
      <c r="FO24" s="143"/>
      <c r="FP24" s="143"/>
      <c r="FQ24" s="102"/>
      <c r="FR24" s="102"/>
      <c r="FS24" s="102"/>
      <c r="FT24" s="102"/>
      <c r="FU24" s="143"/>
      <c r="FV24" s="201"/>
      <c r="FW24" s="201"/>
      <c r="FX24" s="201"/>
      <c r="FY24" s="143"/>
      <c r="FZ24" s="143"/>
      <c r="GA24" s="201"/>
      <c r="GB24" s="201"/>
      <c r="GC24" s="201"/>
      <c r="GD24" s="143"/>
      <c r="GE24" s="143"/>
      <c r="GF24" s="143"/>
      <c r="GG24" s="143"/>
      <c r="GH24" s="102"/>
      <c r="GI24" s="102"/>
      <c r="GJ24" s="102"/>
      <c r="GK24" s="102"/>
      <c r="GL24" s="143"/>
      <c r="GM24" s="201"/>
      <c r="GN24" s="201"/>
      <c r="GO24" s="201"/>
      <c r="GP24" s="143"/>
      <c r="GQ24" s="143"/>
      <c r="GR24" s="201"/>
      <c r="GS24" s="201"/>
      <c r="GT24" s="201"/>
      <c r="GU24" s="143"/>
      <c r="GV24" s="143"/>
      <c r="GW24" s="143"/>
      <c r="GX24" s="143"/>
      <c r="GY24" s="102"/>
      <c r="GZ24" s="102"/>
      <c r="HA24" s="102"/>
      <c r="HB24" s="102"/>
      <c r="HC24" s="143"/>
      <c r="HD24" s="201"/>
      <c r="HE24" s="201"/>
      <c r="HF24" s="201"/>
      <c r="HG24" s="143"/>
      <c r="HH24" s="143"/>
      <c r="HI24" s="201"/>
      <c r="HJ24" s="201"/>
      <c r="HK24" s="201"/>
      <c r="HL24" s="143"/>
      <c r="HM24" s="143"/>
      <c r="HN24" s="143"/>
      <c r="HO24" s="143"/>
      <c r="HP24" s="102"/>
      <c r="HQ24" s="102"/>
      <c r="HR24" s="102"/>
      <c r="HS24" s="102"/>
      <c r="HT24" s="143"/>
      <c r="HU24" s="201"/>
      <c r="HV24" s="201"/>
      <c r="HW24" s="201"/>
      <c r="HX24" s="143"/>
      <c r="HY24" s="143"/>
      <c r="HZ24" s="201"/>
      <c r="IA24" s="201"/>
      <c r="IB24" s="201"/>
      <c r="IC24" s="143"/>
      <c r="ID24" s="143"/>
      <c r="IE24" s="143"/>
      <c r="IF24" s="143"/>
      <c r="IG24" s="102"/>
      <c r="IH24" s="102"/>
      <c r="II24" s="102"/>
      <c r="IJ24" s="102"/>
      <c r="IK24" s="143"/>
      <c r="IL24" s="201"/>
      <c r="IM24" s="201"/>
      <c r="IN24" s="201"/>
      <c r="IO24" s="143"/>
      <c r="IP24" s="143"/>
      <c r="IQ24" s="201"/>
      <c r="IR24" s="201"/>
      <c r="IS24" s="201"/>
      <c r="IT24" s="143"/>
      <c r="IU24" s="143"/>
      <c r="IV24" s="143"/>
      <c r="IW24" s="143"/>
      <c r="IX24" s="102"/>
      <c r="IY24" s="102"/>
      <c r="IZ24" s="102"/>
      <c r="JA24" s="102"/>
      <c r="JB24" s="143"/>
      <c r="JC24" s="201"/>
      <c r="JD24" s="201"/>
      <c r="JE24" s="201"/>
      <c r="JF24" s="143"/>
      <c r="JG24" s="143"/>
      <c r="JH24" s="201"/>
      <c r="JI24" s="201"/>
      <c r="JJ24" s="201"/>
      <c r="JK24" s="143"/>
      <c r="JL24" s="143"/>
      <c r="JM24" s="143"/>
      <c r="JN24" s="143"/>
      <c r="JO24" s="102"/>
      <c r="JP24" s="102"/>
      <c r="JQ24" s="102"/>
      <c r="JR24" s="102"/>
      <c r="JS24" s="143"/>
      <c r="JT24" s="201"/>
      <c r="JU24" s="201"/>
      <c r="JV24" s="201"/>
      <c r="JW24" s="143"/>
      <c r="JX24" s="143"/>
      <c r="JY24" s="201"/>
      <c r="JZ24" s="201"/>
      <c r="KA24" s="201"/>
      <c r="KB24" s="143"/>
      <c r="KC24" s="143"/>
      <c r="KD24" s="143"/>
      <c r="KE24" s="143"/>
      <c r="KF24" s="102"/>
      <c r="KG24" s="102"/>
      <c r="KH24" s="102"/>
      <c r="KI24" s="102"/>
      <c r="KJ24" s="143"/>
      <c r="KK24" s="201"/>
      <c r="KL24" s="201"/>
      <c r="KM24" s="201"/>
      <c r="KN24" s="143"/>
      <c r="KO24" s="143"/>
      <c r="KP24" s="201"/>
      <c r="KQ24" s="201"/>
      <c r="KR24" s="201"/>
      <c r="KS24" s="143"/>
      <c r="KT24" s="143"/>
      <c r="KU24" s="143"/>
      <c r="KV24" s="143"/>
      <c r="KW24" s="102"/>
      <c r="KX24" s="102"/>
      <c r="KY24" s="102"/>
      <c r="KZ24" s="102"/>
      <c r="LA24" s="143"/>
      <c r="LB24" s="201"/>
      <c r="LC24" s="201"/>
      <c r="LD24" s="201"/>
      <c r="LE24" s="143"/>
      <c r="LF24" s="143"/>
      <c r="LG24" s="201"/>
      <c r="LH24" s="201"/>
      <c r="LI24" s="201"/>
      <c r="LJ24" s="143"/>
      <c r="LK24" s="143"/>
      <c r="LL24" s="143"/>
      <c r="LM24" s="143"/>
      <c r="LN24" s="102"/>
      <c r="LO24" s="102"/>
      <c r="LP24" s="102"/>
      <c r="LQ24" s="102"/>
      <c r="LR24" s="143"/>
      <c r="LS24" s="201"/>
      <c r="LT24" s="201"/>
      <c r="LU24" s="201"/>
      <c r="LV24" s="143"/>
      <c r="LW24" s="143"/>
      <c r="LX24" s="201"/>
      <c r="LY24" s="201"/>
      <c r="LZ24" s="201"/>
      <c r="MA24" s="143"/>
      <c r="MB24" s="143"/>
      <c r="MC24" s="143"/>
      <c r="MD24" s="143"/>
      <c r="ME24" s="102"/>
      <c r="MF24" s="102"/>
      <c r="MG24" s="102"/>
      <c r="MH24" s="102"/>
      <c r="MI24" s="143"/>
      <c r="MJ24" s="201"/>
      <c r="MK24" s="201"/>
      <c r="ML24" s="201"/>
      <c r="MM24" s="143"/>
      <c r="MN24" s="143"/>
      <c r="MO24" s="201"/>
      <c r="MP24" s="201"/>
      <c r="MQ24" s="201"/>
      <c r="MR24" s="143"/>
      <c r="MS24" s="143"/>
      <c r="MT24" s="143"/>
      <c r="MU24" s="143"/>
      <c r="MV24" s="102"/>
      <c r="MW24" s="102"/>
      <c r="MX24" s="102"/>
      <c r="MY24" s="102"/>
      <c r="MZ24" s="143"/>
      <c r="NA24" s="201"/>
      <c r="NB24" s="201"/>
      <c r="NC24" s="201"/>
      <c r="ND24" s="143"/>
      <c r="NE24" s="143"/>
      <c r="NF24" s="201"/>
      <c r="NG24" s="201"/>
      <c r="NH24" s="201"/>
      <c r="NI24" s="143"/>
      <c r="NJ24" s="143"/>
      <c r="NK24" s="143"/>
      <c r="NL24" s="143"/>
      <c r="NM24" s="102"/>
      <c r="NN24" s="102"/>
      <c r="NO24" s="102"/>
      <c r="NP24" s="102"/>
      <c r="NQ24" s="143"/>
      <c r="NR24" s="201"/>
      <c r="NS24" s="201"/>
      <c r="NT24" s="201"/>
      <c r="NU24" s="143"/>
      <c r="NV24" s="143"/>
      <c r="NW24" s="201"/>
      <c r="NX24" s="201"/>
      <c r="NY24" s="201"/>
      <c r="NZ24" s="143"/>
      <c r="OA24" s="143"/>
      <c r="OB24" s="143"/>
      <c r="OC24" s="143"/>
      <c r="OD24" s="102"/>
      <c r="OE24" s="102"/>
      <c r="OF24" s="102"/>
      <c r="OG24" s="102"/>
      <c r="OH24" s="143"/>
      <c r="OI24" s="201"/>
      <c r="OJ24" s="201"/>
      <c r="OK24" s="201"/>
      <c r="OL24" s="143"/>
      <c r="OM24" s="143"/>
      <c r="ON24" s="201"/>
      <c r="OO24" s="201"/>
      <c r="OP24" s="201"/>
      <c r="OQ24" s="143"/>
      <c r="OR24" s="143"/>
      <c r="OS24" s="143"/>
      <c r="OT24" s="143"/>
      <c r="OU24" s="102"/>
      <c r="OV24" s="102"/>
      <c r="OW24" s="102"/>
      <c r="OX24" s="102"/>
      <c r="OY24" s="143"/>
      <c r="OZ24" s="201"/>
      <c r="PA24" s="201"/>
      <c r="PB24" s="201"/>
      <c r="PC24" s="143"/>
      <c r="PD24" s="143"/>
      <c r="PE24" s="201"/>
      <c r="PF24" s="201"/>
      <c r="PG24" s="201"/>
      <c r="PH24" s="143"/>
      <c r="PI24" s="143"/>
      <c r="PJ24" s="143"/>
      <c r="PK24" s="143"/>
      <c r="PL24" s="102"/>
      <c r="PM24" s="102"/>
      <c r="PN24" s="102"/>
      <c r="PO24" s="102"/>
      <c r="PP24" s="143"/>
      <c r="PQ24" s="201"/>
      <c r="PR24" s="201"/>
      <c r="PS24" s="201"/>
      <c r="PT24" s="143"/>
      <c r="PU24" s="143"/>
      <c r="PV24" s="201"/>
      <c r="PW24" s="201"/>
      <c r="PX24" s="201"/>
      <c r="PY24" s="143"/>
      <c r="PZ24" s="143"/>
      <c r="QA24" s="143"/>
      <c r="QB24" s="143"/>
      <c r="QC24" s="102"/>
      <c r="QD24" s="102"/>
      <c r="QE24" s="102"/>
      <c r="QF24" s="102"/>
      <c r="QG24" s="143"/>
      <c r="QH24" s="201"/>
      <c r="QI24" s="201"/>
      <c r="QJ24" s="201"/>
      <c r="QK24" s="143"/>
      <c r="QL24" s="143"/>
      <c r="QM24" s="201"/>
      <c r="QN24" s="201"/>
      <c r="QO24" s="201"/>
      <c r="QP24" s="143"/>
      <c r="QQ24" s="143"/>
      <c r="QR24" s="143"/>
      <c r="QS24" s="143"/>
      <c r="QT24" s="102"/>
      <c r="QU24" s="102"/>
      <c r="QV24" s="102"/>
      <c r="QW24" s="102"/>
      <c r="QX24" s="143"/>
      <c r="QY24" s="201"/>
      <c r="QZ24" s="201"/>
      <c r="RA24" s="201"/>
      <c r="RB24" s="143"/>
      <c r="RC24" s="143"/>
      <c r="RD24" s="201"/>
      <c r="RE24" s="201"/>
      <c r="RF24" s="201"/>
      <c r="RG24" s="143"/>
      <c r="RH24" s="143"/>
      <c r="RI24" s="143"/>
      <c r="RJ24" s="143"/>
      <c r="RK24" s="102"/>
      <c r="RL24" s="102"/>
      <c r="RM24" s="102"/>
      <c r="RN24" s="102"/>
      <c r="RO24" s="143"/>
      <c r="RP24" s="201"/>
      <c r="RQ24" s="201"/>
      <c r="RR24" s="201"/>
      <c r="RS24" s="143"/>
      <c r="RT24" s="143"/>
      <c r="RU24" s="201"/>
      <c r="RV24" s="201"/>
      <c r="RW24" s="201"/>
      <c r="RX24" s="143"/>
      <c r="RY24" s="143"/>
      <c r="RZ24" s="143"/>
      <c r="SA24" s="143"/>
      <c r="SB24" s="102"/>
      <c r="SC24" s="102"/>
      <c r="SD24" s="102"/>
      <c r="SE24" s="102"/>
      <c r="SF24" s="143"/>
      <c r="SG24" s="201"/>
      <c r="SH24" s="201"/>
      <c r="SI24" s="201"/>
      <c r="SJ24" s="143"/>
      <c r="SK24" s="143"/>
      <c r="SL24" s="201"/>
      <c r="SM24" s="201"/>
      <c r="SN24" s="201"/>
      <c r="SO24" s="143"/>
      <c r="SP24" s="143"/>
      <c r="SQ24" s="143"/>
      <c r="SR24" s="143"/>
    </row>
    <row r="25" spans="1:512" s="144" customFormat="1" ht="16.5" x14ac:dyDescent="0.25">
      <c r="C25" s="191"/>
      <c r="D25" s="191"/>
      <c r="E25" s="191"/>
      <c r="F25" s="102"/>
      <c r="G25" s="143"/>
      <c r="H25" s="201"/>
      <c r="I25" s="201"/>
      <c r="J25" s="201"/>
      <c r="K25" s="143"/>
      <c r="L25" s="143"/>
      <c r="M25" s="201"/>
      <c r="N25" s="201"/>
      <c r="O25" s="201"/>
      <c r="P25" s="143"/>
      <c r="Q25" s="143"/>
      <c r="R25" s="143"/>
      <c r="S25" s="143"/>
      <c r="T25" s="102"/>
      <c r="U25" s="102"/>
      <c r="V25" s="102"/>
      <c r="W25" s="102"/>
      <c r="X25" s="143"/>
      <c r="Y25" s="201"/>
      <c r="Z25" s="201"/>
      <c r="AA25" s="201"/>
      <c r="AB25" s="143"/>
      <c r="AC25" s="143"/>
      <c r="AD25" s="201"/>
      <c r="AE25" s="201"/>
      <c r="AF25" s="201"/>
      <c r="AG25" s="143"/>
      <c r="AH25" s="143"/>
      <c r="AI25" s="143"/>
      <c r="AJ25" s="143"/>
      <c r="AK25" s="102"/>
      <c r="AL25" s="102"/>
      <c r="AM25" s="102"/>
      <c r="AN25" s="102"/>
      <c r="AO25" s="143"/>
      <c r="AP25" s="201"/>
      <c r="AQ25" s="201"/>
      <c r="AR25" s="201"/>
      <c r="AS25" s="143"/>
      <c r="AT25" s="143"/>
      <c r="AU25" s="201"/>
      <c r="AV25" s="201"/>
      <c r="AW25" s="201"/>
      <c r="AX25" s="143"/>
      <c r="AY25" s="143"/>
      <c r="AZ25" s="143"/>
      <c r="BA25" s="143"/>
      <c r="BB25" s="102"/>
      <c r="BC25" s="102"/>
      <c r="BD25" s="102"/>
      <c r="BE25" s="102"/>
      <c r="BF25" s="143"/>
      <c r="BG25" s="201"/>
      <c r="BH25" s="201"/>
      <c r="BI25" s="201"/>
      <c r="BJ25" s="143"/>
      <c r="BK25" s="143"/>
      <c r="BL25" s="201"/>
      <c r="BM25" s="201"/>
      <c r="BN25" s="201"/>
      <c r="BO25" s="143"/>
      <c r="BP25" s="143"/>
      <c r="BQ25" s="143"/>
      <c r="BR25" s="143"/>
      <c r="BS25" s="102"/>
      <c r="BT25" s="102"/>
      <c r="BU25" s="102"/>
      <c r="BV25" s="102"/>
      <c r="BW25" s="143"/>
      <c r="BX25" s="201"/>
      <c r="BY25" s="201"/>
      <c r="BZ25" s="201"/>
      <c r="CA25" s="143"/>
      <c r="CB25" s="143"/>
      <c r="CC25" s="201"/>
      <c r="CD25" s="201"/>
      <c r="CE25" s="201"/>
      <c r="CF25" s="143"/>
      <c r="CG25" s="143"/>
      <c r="CH25" s="143"/>
      <c r="CI25" s="143"/>
      <c r="CJ25" s="102"/>
      <c r="CK25" s="102"/>
      <c r="CL25" s="102"/>
      <c r="CM25" s="102"/>
      <c r="CN25" s="143"/>
      <c r="CO25" s="201"/>
      <c r="CP25" s="201"/>
      <c r="CQ25" s="201"/>
      <c r="CR25" s="143"/>
      <c r="CS25" s="143"/>
      <c r="CT25" s="201"/>
      <c r="CU25" s="201"/>
      <c r="CV25" s="201"/>
      <c r="CW25" s="143"/>
      <c r="CX25" s="143"/>
      <c r="CY25" s="143"/>
      <c r="CZ25" s="143"/>
      <c r="DA25" s="102"/>
      <c r="DB25" s="102"/>
      <c r="DC25" s="102"/>
      <c r="DD25" s="102"/>
      <c r="DE25" s="143"/>
      <c r="DF25" s="201"/>
      <c r="DG25" s="201"/>
      <c r="DH25" s="201"/>
      <c r="DI25" s="143"/>
      <c r="DJ25" s="143"/>
      <c r="DK25" s="201"/>
      <c r="DL25" s="201"/>
      <c r="DM25" s="201"/>
      <c r="DN25" s="143"/>
      <c r="DO25" s="143"/>
      <c r="DP25" s="143"/>
      <c r="DQ25" s="143"/>
      <c r="DR25" s="102"/>
      <c r="DS25" s="102"/>
      <c r="DT25" s="102"/>
      <c r="DU25" s="102"/>
      <c r="DV25" s="143"/>
      <c r="DW25" s="201"/>
      <c r="DX25" s="201"/>
      <c r="DY25" s="201"/>
      <c r="DZ25" s="143"/>
      <c r="EA25" s="143"/>
      <c r="EB25" s="201"/>
      <c r="EC25" s="201"/>
      <c r="ED25" s="201"/>
      <c r="EE25" s="143"/>
      <c r="EF25" s="143"/>
      <c r="EG25" s="143"/>
      <c r="EH25" s="143"/>
      <c r="EI25" s="102"/>
      <c r="EJ25" s="102"/>
      <c r="EK25" s="102"/>
      <c r="EL25" s="102"/>
      <c r="EM25" s="143"/>
      <c r="EN25" s="201"/>
      <c r="EO25" s="201"/>
      <c r="EP25" s="201"/>
      <c r="EQ25" s="143"/>
      <c r="ER25" s="143"/>
      <c r="ES25" s="201"/>
      <c r="ET25" s="201"/>
      <c r="EU25" s="201"/>
      <c r="EV25" s="143"/>
      <c r="EW25" s="143"/>
      <c r="EX25" s="143"/>
      <c r="EY25" s="143"/>
      <c r="EZ25" s="102"/>
      <c r="FA25" s="102"/>
      <c r="FB25" s="102"/>
      <c r="FC25" s="102"/>
      <c r="FD25" s="143"/>
      <c r="FE25" s="201"/>
      <c r="FF25" s="201"/>
      <c r="FG25" s="201"/>
      <c r="FH25" s="143"/>
      <c r="FI25" s="143"/>
      <c r="FJ25" s="201"/>
      <c r="FK25" s="201"/>
      <c r="FL25" s="201"/>
      <c r="FM25" s="143"/>
      <c r="FN25" s="143"/>
      <c r="FO25" s="143"/>
      <c r="FP25" s="143"/>
      <c r="FQ25" s="102"/>
      <c r="FR25" s="102"/>
      <c r="FS25" s="102"/>
      <c r="FT25" s="102"/>
      <c r="FU25" s="143"/>
      <c r="FV25" s="201"/>
      <c r="FW25" s="201"/>
      <c r="FX25" s="201"/>
      <c r="FY25" s="143"/>
      <c r="FZ25" s="143"/>
      <c r="GA25" s="201"/>
      <c r="GB25" s="201"/>
      <c r="GC25" s="201"/>
      <c r="GD25" s="143"/>
      <c r="GE25" s="143"/>
      <c r="GF25" s="143"/>
      <c r="GG25" s="143"/>
      <c r="GH25" s="102"/>
      <c r="GI25" s="102"/>
      <c r="GJ25" s="102"/>
      <c r="GK25" s="102"/>
      <c r="GL25" s="143"/>
      <c r="GM25" s="201"/>
      <c r="GN25" s="201"/>
      <c r="GO25" s="201"/>
      <c r="GP25" s="143"/>
      <c r="GQ25" s="143"/>
      <c r="GR25" s="201"/>
      <c r="GS25" s="201"/>
      <c r="GT25" s="201"/>
      <c r="GU25" s="143"/>
      <c r="GV25" s="143"/>
      <c r="GW25" s="143"/>
      <c r="GX25" s="143"/>
      <c r="GY25" s="102"/>
      <c r="GZ25" s="102"/>
      <c r="HA25" s="102"/>
      <c r="HB25" s="102"/>
      <c r="HC25" s="143"/>
      <c r="HD25" s="201"/>
      <c r="HE25" s="201"/>
      <c r="HF25" s="201"/>
      <c r="HG25" s="143"/>
      <c r="HH25" s="143"/>
      <c r="HI25" s="201"/>
      <c r="HJ25" s="201"/>
      <c r="HK25" s="201"/>
      <c r="HL25" s="143"/>
      <c r="HM25" s="143"/>
      <c r="HN25" s="143"/>
      <c r="HO25" s="143"/>
      <c r="HP25" s="102"/>
      <c r="HQ25" s="102"/>
      <c r="HR25" s="102"/>
      <c r="HS25" s="102"/>
      <c r="HT25" s="143"/>
      <c r="HU25" s="201"/>
      <c r="HV25" s="201"/>
      <c r="HW25" s="201"/>
      <c r="HX25" s="143"/>
      <c r="HY25" s="143"/>
      <c r="HZ25" s="201"/>
      <c r="IA25" s="201"/>
      <c r="IB25" s="201"/>
      <c r="IC25" s="143"/>
      <c r="ID25" s="143"/>
      <c r="IE25" s="143"/>
      <c r="IF25" s="143"/>
      <c r="IG25" s="102"/>
      <c r="IH25" s="102"/>
      <c r="II25" s="102"/>
      <c r="IJ25" s="102"/>
      <c r="IK25" s="143"/>
      <c r="IL25" s="201"/>
      <c r="IM25" s="201"/>
      <c r="IN25" s="201"/>
      <c r="IO25" s="143"/>
      <c r="IP25" s="143"/>
      <c r="IQ25" s="201"/>
      <c r="IR25" s="201"/>
      <c r="IS25" s="201"/>
      <c r="IT25" s="143"/>
      <c r="IU25" s="143"/>
      <c r="IV25" s="143"/>
      <c r="IW25" s="143"/>
      <c r="IX25" s="102"/>
      <c r="IY25" s="102"/>
      <c r="IZ25" s="102"/>
      <c r="JA25" s="102"/>
      <c r="JB25" s="143"/>
      <c r="JC25" s="201"/>
      <c r="JD25" s="201"/>
      <c r="JE25" s="201"/>
      <c r="JF25" s="143"/>
      <c r="JG25" s="143"/>
      <c r="JH25" s="201"/>
      <c r="JI25" s="201"/>
      <c r="JJ25" s="201"/>
      <c r="JK25" s="143"/>
      <c r="JL25" s="143"/>
      <c r="JM25" s="143"/>
      <c r="JN25" s="143"/>
      <c r="JO25" s="102"/>
      <c r="JP25" s="102"/>
      <c r="JQ25" s="102"/>
      <c r="JR25" s="102"/>
      <c r="JS25" s="143"/>
      <c r="JT25" s="201"/>
      <c r="JU25" s="201"/>
      <c r="JV25" s="201"/>
      <c r="JW25" s="143"/>
      <c r="JX25" s="143"/>
      <c r="JY25" s="201"/>
      <c r="JZ25" s="201"/>
      <c r="KA25" s="201"/>
      <c r="KB25" s="143"/>
      <c r="KC25" s="143"/>
      <c r="KD25" s="143"/>
      <c r="KE25" s="143"/>
      <c r="KF25" s="102"/>
      <c r="KG25" s="102"/>
      <c r="KH25" s="102"/>
      <c r="KI25" s="102"/>
      <c r="KJ25" s="143"/>
      <c r="KK25" s="201"/>
      <c r="KL25" s="201"/>
      <c r="KM25" s="201"/>
      <c r="KN25" s="143"/>
      <c r="KO25" s="143"/>
      <c r="KP25" s="201"/>
      <c r="KQ25" s="201"/>
      <c r="KR25" s="201"/>
      <c r="KS25" s="143"/>
      <c r="KT25" s="143"/>
      <c r="KU25" s="143"/>
      <c r="KV25" s="143"/>
      <c r="KW25" s="102"/>
      <c r="KX25" s="102"/>
      <c r="KY25" s="102"/>
      <c r="KZ25" s="102"/>
      <c r="LA25" s="143"/>
      <c r="LB25" s="201"/>
      <c r="LC25" s="201"/>
      <c r="LD25" s="201"/>
      <c r="LE25" s="143"/>
      <c r="LF25" s="143"/>
      <c r="LG25" s="201"/>
      <c r="LH25" s="201"/>
      <c r="LI25" s="201"/>
      <c r="LJ25" s="143"/>
      <c r="LK25" s="143"/>
      <c r="LL25" s="143"/>
      <c r="LM25" s="143"/>
      <c r="LN25" s="102"/>
      <c r="LO25" s="102"/>
      <c r="LP25" s="102"/>
      <c r="LQ25" s="102"/>
      <c r="LR25" s="143"/>
      <c r="LS25" s="201"/>
      <c r="LT25" s="201"/>
      <c r="LU25" s="201"/>
      <c r="LV25" s="143"/>
      <c r="LW25" s="143"/>
      <c r="LX25" s="201"/>
      <c r="LY25" s="201"/>
      <c r="LZ25" s="201"/>
      <c r="MA25" s="143"/>
      <c r="MB25" s="143"/>
      <c r="MC25" s="143"/>
      <c r="MD25" s="143"/>
      <c r="ME25" s="102"/>
      <c r="MF25" s="102"/>
      <c r="MG25" s="102"/>
      <c r="MH25" s="102"/>
      <c r="MI25" s="143"/>
      <c r="MJ25" s="201"/>
      <c r="MK25" s="201"/>
      <c r="ML25" s="201"/>
      <c r="MM25" s="143"/>
      <c r="MN25" s="143"/>
      <c r="MO25" s="201"/>
      <c r="MP25" s="201"/>
      <c r="MQ25" s="201"/>
      <c r="MR25" s="143"/>
      <c r="MS25" s="143"/>
      <c r="MT25" s="143"/>
      <c r="MU25" s="143"/>
      <c r="MV25" s="102"/>
      <c r="MW25" s="102"/>
      <c r="MX25" s="102"/>
      <c r="MY25" s="102"/>
      <c r="MZ25" s="143"/>
      <c r="NA25" s="201"/>
      <c r="NB25" s="201"/>
      <c r="NC25" s="201"/>
      <c r="ND25" s="143"/>
      <c r="NE25" s="143"/>
      <c r="NF25" s="201"/>
      <c r="NG25" s="201"/>
      <c r="NH25" s="201"/>
      <c r="NI25" s="143"/>
      <c r="NJ25" s="143"/>
      <c r="NK25" s="143"/>
      <c r="NL25" s="143"/>
      <c r="NM25" s="102"/>
      <c r="NN25" s="102"/>
      <c r="NO25" s="102"/>
      <c r="NP25" s="102"/>
      <c r="NQ25" s="143"/>
      <c r="NR25" s="201"/>
      <c r="NS25" s="201"/>
      <c r="NT25" s="201"/>
      <c r="NU25" s="143"/>
      <c r="NV25" s="143"/>
      <c r="NW25" s="201"/>
      <c r="NX25" s="201"/>
      <c r="NY25" s="201"/>
      <c r="NZ25" s="143"/>
      <c r="OA25" s="143"/>
      <c r="OB25" s="143"/>
      <c r="OC25" s="143"/>
      <c r="OD25" s="102"/>
      <c r="OE25" s="102"/>
      <c r="OF25" s="102"/>
      <c r="OG25" s="102"/>
      <c r="OH25" s="143"/>
      <c r="OI25" s="201"/>
      <c r="OJ25" s="201"/>
      <c r="OK25" s="201"/>
      <c r="OL25" s="143"/>
      <c r="OM25" s="143"/>
      <c r="ON25" s="201"/>
      <c r="OO25" s="201"/>
      <c r="OP25" s="201"/>
      <c r="OQ25" s="143"/>
      <c r="OR25" s="143"/>
      <c r="OS25" s="143"/>
      <c r="OT25" s="143"/>
      <c r="OU25" s="102"/>
      <c r="OV25" s="102"/>
      <c r="OW25" s="102"/>
      <c r="OX25" s="102"/>
      <c r="OY25" s="143"/>
      <c r="OZ25" s="201"/>
      <c r="PA25" s="201"/>
      <c r="PB25" s="201"/>
      <c r="PC25" s="143"/>
      <c r="PD25" s="143"/>
      <c r="PE25" s="201"/>
      <c r="PF25" s="201"/>
      <c r="PG25" s="201"/>
      <c r="PH25" s="143"/>
      <c r="PI25" s="143"/>
      <c r="PJ25" s="143"/>
      <c r="PK25" s="143"/>
      <c r="PL25" s="102"/>
      <c r="PM25" s="102"/>
      <c r="PN25" s="102"/>
      <c r="PO25" s="102"/>
      <c r="PP25" s="143"/>
      <c r="PQ25" s="201"/>
      <c r="PR25" s="201"/>
      <c r="PS25" s="201"/>
      <c r="PT25" s="143"/>
      <c r="PU25" s="143"/>
      <c r="PV25" s="201"/>
      <c r="PW25" s="201"/>
      <c r="PX25" s="201"/>
      <c r="PY25" s="143"/>
      <c r="PZ25" s="143"/>
      <c r="QA25" s="143"/>
      <c r="QB25" s="143"/>
      <c r="QC25" s="102"/>
      <c r="QD25" s="102"/>
      <c r="QE25" s="102"/>
      <c r="QF25" s="102"/>
      <c r="QG25" s="143"/>
      <c r="QH25" s="201"/>
      <c r="QI25" s="201"/>
      <c r="QJ25" s="201"/>
      <c r="QK25" s="143"/>
      <c r="QL25" s="143"/>
      <c r="QM25" s="201"/>
      <c r="QN25" s="201"/>
      <c r="QO25" s="201"/>
      <c r="QP25" s="143"/>
      <c r="QQ25" s="143"/>
      <c r="QR25" s="143"/>
      <c r="QS25" s="143"/>
      <c r="QT25" s="102"/>
      <c r="QU25" s="102"/>
      <c r="QV25" s="102"/>
      <c r="QW25" s="102"/>
      <c r="QX25" s="143"/>
      <c r="QY25" s="201"/>
      <c r="QZ25" s="201"/>
      <c r="RA25" s="201"/>
      <c r="RB25" s="143"/>
      <c r="RC25" s="143"/>
      <c r="RD25" s="201"/>
      <c r="RE25" s="201"/>
      <c r="RF25" s="201"/>
      <c r="RG25" s="143"/>
      <c r="RH25" s="143"/>
      <c r="RI25" s="143"/>
      <c r="RJ25" s="143"/>
      <c r="RK25" s="102"/>
      <c r="RL25" s="102"/>
      <c r="RM25" s="102"/>
      <c r="RN25" s="102"/>
      <c r="RO25" s="143"/>
      <c r="RP25" s="201"/>
      <c r="RQ25" s="201"/>
      <c r="RR25" s="201"/>
      <c r="RS25" s="143"/>
      <c r="RT25" s="143"/>
      <c r="RU25" s="201"/>
      <c r="RV25" s="201"/>
      <c r="RW25" s="201"/>
      <c r="RX25" s="143"/>
      <c r="RY25" s="143"/>
      <c r="RZ25" s="143"/>
      <c r="SA25" s="143"/>
      <c r="SB25" s="102"/>
      <c r="SC25" s="102"/>
      <c r="SD25" s="102"/>
      <c r="SE25" s="102"/>
      <c r="SF25" s="143"/>
      <c r="SG25" s="201"/>
      <c r="SH25" s="201"/>
      <c r="SI25" s="201"/>
      <c r="SJ25" s="143"/>
      <c r="SK25" s="143"/>
      <c r="SL25" s="201"/>
      <c r="SM25" s="201"/>
      <c r="SN25" s="201"/>
      <c r="SO25" s="143"/>
      <c r="SP25" s="143"/>
      <c r="SQ25" s="143"/>
      <c r="SR25" s="143"/>
    </row>
  </sheetData>
  <sheetProtection algorithmName="SHA-512" hashValue="Ou3ar1XsH1E660od9i3NcI5HhM6RYSkXuolTkX+F/A49ota35AmxFF47vYeNA+CgHUNdta7AyYjYdW14Sy9uKQ==" saltValue="yDjwYsRTyWeJtZzRJt4nsQ==" spinCount="100000" sheet="1" insertColumns="0" deleteColumns="0" selectLockedCells="1"/>
  <dataConsolidate/>
  <mergeCells count="13">
    <mergeCell ref="A20:B20"/>
    <mergeCell ref="A11:B11"/>
    <mergeCell ref="A13:B13"/>
    <mergeCell ref="A15:B15"/>
    <mergeCell ref="A16:B16"/>
    <mergeCell ref="A17:B17"/>
    <mergeCell ref="A19:B19"/>
    <mergeCell ref="A10:B10"/>
    <mergeCell ref="A1:B1"/>
    <mergeCell ref="A5:B5"/>
    <mergeCell ref="A6:B6"/>
    <mergeCell ref="A8:B8"/>
    <mergeCell ref="A9:B9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ref!$B$3:$B$6</xm:f>
          </x14:formula1>
          <xm:sqref>H5:J6 C5:E6 M5:O6 QM8:QO11 QH8:QJ11 QC8:QE11 C13:E13 H13:J13 M13:O13 PE8:PG11 OZ8:PB11 OU8:OW11 C15:E17 H15:J17 M15:O17 ON8:OP11 OI8:OK11 OD8:OF11 C19:E19 H19:J19 M19:O19 M8:O11 H8:J11 C8:E11 OD5:OF6 OI5:OK6 ON5:OP6 OD13:OF13 OI13:OK13 ON13:OP13 OD15:OF17 OI15:OK17 ON15:OP17 OD19:OF19 OI19:OK19 ON19:OP19 OU5:OW6 OZ5:PB6 PE5:PG6 OU13:OW13 OZ13:PB13 PE13:PG13 OU15:OW17 OZ15:PB17 PE15:PG17 OU19:OW19 OZ19:PB19 PE19:PG19 QC5:QE6 QH5:QJ6 QM5:QO6 QC13:QE13 QH13:QJ13 QM13:QO13 QC15:QE17 QH15:QJ17 QM15:QO17 QC19:QE19 QH19:QJ19 QM19:QO19 PL5:PN6 PQ5:PS6 PV5:PX6 PL13:PN13 PQ13:PS13 PV13:PX13 PL15:PN17 PQ15:PS17 PV15:PX17 PL19:PN19 PQ19:PS19 PV19:PX19 QT5:QV6 QY5:RA6 RD5:RF6 QT13:QV13 QY13:RA13 RD13:RF13 QT15:QV17 QY15:RA17 RD15:RF17 QT19:QV19 QY19:RA19 RD19:RF19 RK5:RM6 RP5:RR6 RU5:RW6 RK13:RM13 RP13:RR13 RU13:RW13 RK15:RM17 RP15:RR17 RU15:RW17 RK19:RM19 RP19:RR19 RU19:RW19 Y5:AA6 T5:V6 AD5:AF6 T13:V13 Y13:AA13 AD13:AF13 T15:V17 Y15:AA17 AD15:AF17 T19:V19 Y19:AA19 AD19:AF19 BB5:BD6 BG5:BI6 BL5:BN6 BB13:BD13 BG13:BI13 BL13:BN13 BB15:BD17 BG15:BI17 BL15:BN17 BB19:BD19 BG19:BI19 BL19:BN19 BS5:BU6 BX5:BZ6 CC5:CE6 BS13:BU13 BX13:BZ13 CC13:CE13 BS15:BU17 BX15:BZ17 CC15:CE17 BS19:BU19 BX19:BZ19 CC19:CE19 CJ5:CL6 CO5:CQ6 CT5:CV6 CJ13:CL13 CO13:CQ13 CT13:CV13 CJ15:CL17 CO15:CQ17 CT15:CV17 CJ19:CL19 CO19:CQ19 CT19:CV19 DA5:DC6 DF5:DH6 DK5:DM6 DA13:DC13 DF13:DH13 DK13:DM13 DA15:DC17 DF15:DH17 DK15:DM17 DA19:DC19 DF19:DH19 DK19:DM19 DR5:DT6 DW5:DY6 EB5:ED6 DR13:DT13 DW13:DY13 EB13:ED13 DR15:DT17 DW15:DY17 EB15:ED17 DR19:DT19 DW19:DY19 EB19:ED19 EI5:EK6 EN5:EP6 ES5:EU6 EI13:EK13 EN13:EP13 ES13:EU13 EI15:EK17 EN15:EP17 ES15:EU17 EI19:EK19 EN19:EP19 ES19:EU19 EZ5:FB6 FE5:FG6 FJ5:FL6 EZ13:FB13 FE13:FG13 FJ13:FL13 EZ15:FB17 FE15:FG17 FJ15:FL17 EZ19:FB19 FE19:FG19 FJ19:FL19 FQ5:FS6 FV5:FX6 GA5:GC6 FQ13:FS13 FV13:FX13 GA13:GC13 FQ15:FS17 FV15:FX17 GA15:GC17 FQ19:FS19 FV19:FX19 GA19:GC19 GH5:GJ6 GM5:GO6 GR5:GT6 GH13:GJ13 GM13:GO13 GR13:GT13 GH15:GJ17 GM15:GO17 GR15:GT17 GH19:GJ19 GM19:GO19 GR19:GT19 GY5:HA6 HD5:HF6 HI5:HK6 GY13:HA13 HD13:HF13 HI13:HK13 GY15:HA17 HD15:HF17 HI15:HK17 GY19:HA19 HD19:HF19 HI19:HK19 HP5:HR6 HU5:HW6 HZ5:IB6 HP13:HR13 HU13:HW13 HZ13:IB13 HP15:HR17 HU15:HW17 HZ15:IB17 HP19:HR19 HU19:HW19 HZ19:IB19 IG5:II6 IL5:IN6 IQ5:IS6 IG13:II13 IL13:IN13 IQ13:IS13 IG15:II17 IL15:IN17 IQ15:IS17 IG19:II19 IL19:IN19 IQ19:IS19 IX5:IZ6 JC5:JE6 JH5:JJ6 IX13:IZ13 JC13:JE13 JH13:JJ13 IX15:IZ17 JC15:JE17 JH15:JJ17 IX19:IZ19 JC19:JE19 JH19:JJ19 JO5:JQ6 JT5:JV6 JY5:KA6 JO13:JQ13 JT13:JV13 JY13:KA13 JO15:JQ17 JT15:JV17 JY15:KA17 JO19:JQ19 JT19:JV19 JY19:KA19 KF5:KH6 KK5:KM6 KP5:KR6 KF13:KH13 KK13:KM13 KP13:KR13 KF15:KH17 KK15:KM17 KP15:KR17 KF19:KH19 KK19:KM19 KP19:KR19 KW5:KY6 LB5:LD6 LG5:LI6 KW13:KY13 LB13:LD13 LG13:LI13 KW15:KY17 LB15:LD17 LG15:LI17 KW19:KY19 LB19:LD19 LG19:LI19 LN5:LP6 LS5:LU6 LX5:LZ6 LN13:LP13 LS13:LU13 LX13:LZ13 LN15:LP17 LS15:LU17 LX15:LZ17 LN19:LP19 LS19:LU19 LX19:LZ19 ME5:MG6 MJ5:ML6 MO5:MQ6 ME13:MG13 MJ13:ML13 MO13:MQ13 ME15:MG17 MJ15:ML17 MO15:MQ17 ME19:MG19 MJ19:ML19 MO19:MQ19 MV5:MX6 NA5:NC6 NF5:NH6 MV13:MX13 NA13:NC13 NF13:NH13 MV15:MX17 NA15:NC17 NF15:NH17 MV19:MX19 NA19:NC19 NF19:NH19 NM5:NO6 NR5:NT6 NW5:NY6 NM13:NO13 NR13:NT13 NW13:NY13 NM15:NO17 NR15:NT17 NW15:NY17 NM19:NO19 NR19:NT19 NW19:NY19 SB5:SD6 SG5:SI6 SL5:SN6 SB13:SD13 SG13:SI13 SL13:SN13 SB15:SD17 SG15:SI17 SL15:SN17 SB19:SD19 SG19:SI19 SL19:SN19 SL8:SN11 SG8:SI11 SB8:SD11 NW8:NY11 NR8:NT11 NM8:NO11 NF8:NH11 NA8:NC11 MV8:MX11 MO8:MQ11 MJ8:ML11 ME8:MG11 LX8:LZ11 LS8:LU11 LN8:LP11 LG8:LI11 LB8:LD11 KW8:KY11 KP8:KR11 KK8:KM11 KF8:KH11 JY8:KA11 JT8:JV11 JO8:JQ11 JH8:JJ11 JC8:JE11 IX8:IZ11 IQ8:IS11 IL8:IN11 IG8:II11 HZ8:IB11 HU8:HW11 HP8:HR11 HI8:HK11 HD8:HF11 GY8:HA11 GR8:GT11 GM8:GO11 GH8:GJ11 GA8:GC11 FV8:FX11 FQ8:FS11 FJ8:FL11 FE8:FG11 EZ8:FB11 ES8:EU11 EN8:EP11 EI8:EK11 EB8:ED11 DW8:DY11 DR8:DT11 DK8:DM11 DF8:DH11 DA8:DC11 CT8:CV11 CO8:CQ11 CJ8:CL11 CC8:CE11 BX8:BZ11 BS8:BU11 BL8:BN11 BG8:BI11 BB8:BD11 AD8:AF11 Y8:AA11 T8:V11 RU8:RW11 RP8:RR11 RK8:RM11 RD8:RF11 QY8:RA11 QT8:QV11 PV8:PX11 PQ8:PS11 PL8:PN11 AP5:AR6 AK5:AM6 AU5:AW6 AK13:AM13 AP13:AR13 AU13:AW13 AK15:AM17 AP15:AR17 AU15:AW17 AK19:AM19 AP19:AR19 AU19:AW19 AU8:AW11 AP8:AR11 AK8:AM11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1"/>
  <dimension ref="A1:I29"/>
  <sheetViews>
    <sheetView topLeftCell="C12" workbookViewId="0">
      <selection activeCell="A31" sqref="A31:XFD31"/>
    </sheetView>
  </sheetViews>
  <sheetFormatPr baseColWidth="10" defaultRowHeight="15" x14ac:dyDescent="0.25"/>
  <cols>
    <col min="1" max="1" width="33.7109375" customWidth="1"/>
    <col min="2" max="2" width="4.7109375" customWidth="1"/>
    <col min="3" max="3" width="33.7109375" customWidth="1"/>
    <col min="4" max="4" width="4.7109375" customWidth="1"/>
    <col min="5" max="5" width="33.7109375" customWidth="1"/>
    <col min="6" max="6" width="4.7109375" customWidth="1"/>
    <col min="7" max="7" width="33.7109375" customWidth="1"/>
    <col min="8" max="8" width="4.7109375" customWidth="1"/>
    <col min="9" max="9" width="33.7109375" customWidth="1"/>
    <col min="10" max="10" width="11" customWidth="1"/>
  </cols>
  <sheetData>
    <row r="1" spans="1:9" s="34" customFormat="1" ht="15.75" thickBot="1" x14ac:dyDescent="0.3">
      <c r="A1" s="36" t="s">
        <v>49</v>
      </c>
      <c r="C1" s="36" t="s">
        <v>50</v>
      </c>
      <c r="E1" s="36" t="s">
        <v>51</v>
      </c>
      <c r="G1" s="36" t="s">
        <v>52</v>
      </c>
      <c r="I1" s="36" t="s">
        <v>53</v>
      </c>
    </row>
    <row r="2" spans="1:9" x14ac:dyDescent="0.25">
      <c r="A2" s="35" t="s">
        <v>54</v>
      </c>
      <c r="B2" s="203"/>
      <c r="C2" s="210" t="s">
        <v>55</v>
      </c>
      <c r="D2" s="211"/>
      <c r="E2" s="212" t="s">
        <v>56</v>
      </c>
      <c r="F2" s="203"/>
      <c r="G2" s="213" t="s">
        <v>57</v>
      </c>
      <c r="H2" s="214"/>
      <c r="I2" s="35" t="s">
        <v>58</v>
      </c>
    </row>
    <row r="3" spans="1:9" x14ac:dyDescent="0.25">
      <c r="A3" s="35" t="s">
        <v>59</v>
      </c>
      <c r="B3" s="203"/>
      <c r="C3" s="210" t="s">
        <v>60</v>
      </c>
      <c r="D3" s="211"/>
      <c r="E3" s="212" t="s">
        <v>61</v>
      </c>
      <c r="F3" s="203"/>
      <c r="G3" s="213" t="s">
        <v>62</v>
      </c>
      <c r="H3" s="214"/>
      <c r="I3" s="35" t="s">
        <v>63</v>
      </c>
    </row>
    <row r="4" spans="1:9" x14ac:dyDescent="0.25">
      <c r="A4" s="35" t="s">
        <v>64</v>
      </c>
      <c r="B4" s="203"/>
      <c r="C4" s="210" t="s">
        <v>65</v>
      </c>
      <c r="D4" s="211"/>
      <c r="E4" s="212" t="s">
        <v>66</v>
      </c>
      <c r="F4" s="203"/>
      <c r="G4" s="213" t="s">
        <v>67</v>
      </c>
      <c r="H4" s="214"/>
      <c r="I4" s="35" t="s">
        <v>68</v>
      </c>
    </row>
    <row r="5" spans="1:9" x14ac:dyDescent="0.25">
      <c r="A5" s="35" t="s">
        <v>69</v>
      </c>
      <c r="B5" s="203"/>
      <c r="C5" s="210" t="s">
        <v>70</v>
      </c>
      <c r="D5" s="211"/>
      <c r="E5" s="212" t="s">
        <v>71</v>
      </c>
      <c r="F5" s="203"/>
      <c r="G5" s="213" t="s">
        <v>72</v>
      </c>
      <c r="H5" s="214"/>
      <c r="I5" s="35" t="s">
        <v>73</v>
      </c>
    </row>
    <row r="6" spans="1:9" x14ac:dyDescent="0.25">
      <c r="A6" s="35" t="s">
        <v>74</v>
      </c>
      <c r="B6" s="203"/>
      <c r="C6" s="210" t="s">
        <v>75</v>
      </c>
      <c r="D6" s="211"/>
      <c r="E6" s="212" t="s">
        <v>76</v>
      </c>
      <c r="F6" s="203"/>
      <c r="G6" s="213" t="s">
        <v>77</v>
      </c>
      <c r="H6" s="214"/>
      <c r="I6" s="35" t="s">
        <v>78</v>
      </c>
    </row>
    <row r="7" spans="1:9" x14ac:dyDescent="0.25">
      <c r="A7" s="35" t="s">
        <v>79</v>
      </c>
      <c r="B7" s="203"/>
      <c r="C7" s="210" t="s">
        <v>80</v>
      </c>
      <c r="D7" s="211"/>
      <c r="E7" s="212" t="s">
        <v>81</v>
      </c>
      <c r="F7" s="203"/>
      <c r="G7" s="213" t="s">
        <v>82</v>
      </c>
      <c r="H7" s="214"/>
      <c r="I7" s="35" t="s">
        <v>83</v>
      </c>
    </row>
    <row r="8" spans="1:9" x14ac:dyDescent="0.25">
      <c r="A8" s="35" t="s">
        <v>84</v>
      </c>
      <c r="B8" s="203"/>
      <c r="C8" s="210" t="s">
        <v>85</v>
      </c>
      <c r="D8" s="211"/>
      <c r="E8" s="212" t="s">
        <v>86</v>
      </c>
      <c r="F8" s="203"/>
      <c r="G8" s="213" t="s">
        <v>87</v>
      </c>
      <c r="H8" s="214"/>
      <c r="I8" s="35" t="s">
        <v>88</v>
      </c>
    </row>
    <row r="9" spans="1:9" x14ac:dyDescent="0.25">
      <c r="A9" s="35" t="s">
        <v>89</v>
      </c>
      <c r="B9" s="203"/>
      <c r="C9" s="210" t="s">
        <v>90</v>
      </c>
      <c r="D9" s="211"/>
      <c r="E9" s="212" t="s">
        <v>91</v>
      </c>
      <c r="F9" s="203"/>
      <c r="G9" s="213" t="s">
        <v>92</v>
      </c>
      <c r="H9" s="214"/>
      <c r="I9" s="35" t="s">
        <v>93</v>
      </c>
    </row>
    <row r="10" spans="1:9" x14ac:dyDescent="0.25">
      <c r="A10" s="35" t="s">
        <v>94</v>
      </c>
      <c r="B10" s="203"/>
      <c r="C10" s="210" t="s">
        <v>95</v>
      </c>
      <c r="D10" s="211"/>
      <c r="E10" s="212" t="s">
        <v>96</v>
      </c>
      <c r="F10" s="203"/>
      <c r="G10" s="213" t="s">
        <v>97</v>
      </c>
      <c r="H10" s="214"/>
      <c r="I10" s="35" t="s">
        <v>98</v>
      </c>
    </row>
    <row r="11" spans="1:9" x14ac:dyDescent="0.25">
      <c r="A11" s="35" t="s">
        <v>99</v>
      </c>
      <c r="B11" s="203"/>
      <c r="C11" s="210" t="s">
        <v>100</v>
      </c>
      <c r="D11" s="211"/>
      <c r="E11" s="212" t="s">
        <v>101</v>
      </c>
      <c r="F11" s="203"/>
      <c r="G11" s="213" t="s">
        <v>102</v>
      </c>
      <c r="H11" s="214"/>
      <c r="I11" s="35" t="s">
        <v>103</v>
      </c>
    </row>
    <row r="12" spans="1:9" x14ac:dyDescent="0.25">
      <c r="A12" s="35" t="s">
        <v>104</v>
      </c>
      <c r="B12" s="203"/>
      <c r="C12" s="210" t="s">
        <v>105</v>
      </c>
      <c r="D12" s="211"/>
      <c r="E12" s="212" t="s">
        <v>106</v>
      </c>
      <c r="F12" s="203"/>
      <c r="G12" s="213" t="s">
        <v>107</v>
      </c>
      <c r="H12" s="214"/>
      <c r="I12" s="35" t="s">
        <v>108</v>
      </c>
    </row>
    <row r="13" spans="1:9" x14ac:dyDescent="0.25">
      <c r="A13" s="35" t="s">
        <v>109</v>
      </c>
      <c r="B13" s="203"/>
      <c r="C13" s="210" t="s">
        <v>110</v>
      </c>
      <c r="D13" s="211"/>
      <c r="E13" s="212" t="s">
        <v>111</v>
      </c>
      <c r="F13" s="203"/>
      <c r="G13" s="213" t="s">
        <v>112</v>
      </c>
      <c r="H13" s="214"/>
      <c r="I13" s="35" t="s">
        <v>113</v>
      </c>
    </row>
    <row r="14" spans="1:9" x14ac:dyDescent="0.25">
      <c r="A14" s="35" t="s">
        <v>114</v>
      </c>
      <c r="B14" s="203"/>
      <c r="C14" s="210" t="s">
        <v>115</v>
      </c>
      <c r="D14" s="211"/>
      <c r="E14" s="212" t="s">
        <v>116</v>
      </c>
      <c r="F14" s="203"/>
      <c r="G14" s="213" t="s">
        <v>117</v>
      </c>
      <c r="H14" s="214"/>
      <c r="I14" s="35" t="s">
        <v>118</v>
      </c>
    </row>
    <row r="15" spans="1:9" x14ac:dyDescent="0.25">
      <c r="A15" s="35" t="s">
        <v>119</v>
      </c>
      <c r="B15" s="203"/>
      <c r="C15" s="210" t="s">
        <v>120</v>
      </c>
      <c r="D15" s="211"/>
      <c r="E15" s="212" t="s">
        <v>121</v>
      </c>
      <c r="F15" s="203"/>
      <c r="G15" s="213" t="s">
        <v>122</v>
      </c>
      <c r="H15" s="214"/>
      <c r="I15" s="35" t="s">
        <v>123</v>
      </c>
    </row>
    <row r="16" spans="1:9" x14ac:dyDescent="0.25">
      <c r="A16" s="35" t="s">
        <v>124</v>
      </c>
      <c r="B16" s="203"/>
      <c r="C16" s="210" t="s">
        <v>125</v>
      </c>
      <c r="D16" s="211"/>
      <c r="E16" s="212" t="s">
        <v>126</v>
      </c>
      <c r="F16" s="203"/>
      <c r="G16" s="213" t="s">
        <v>127</v>
      </c>
      <c r="H16" s="214"/>
      <c r="I16" s="35" t="s">
        <v>128</v>
      </c>
    </row>
    <row r="17" spans="1:9" x14ac:dyDescent="0.25">
      <c r="A17" s="35" t="s">
        <v>129</v>
      </c>
      <c r="B17" s="203"/>
      <c r="C17" s="210" t="s">
        <v>130</v>
      </c>
      <c r="D17" s="211"/>
      <c r="E17" s="212" t="s">
        <v>131</v>
      </c>
      <c r="F17" s="203"/>
      <c r="G17" s="213" t="s">
        <v>132</v>
      </c>
      <c r="H17" s="214"/>
      <c r="I17" s="35" t="s">
        <v>133</v>
      </c>
    </row>
    <row r="18" spans="1:9" x14ac:dyDescent="0.25">
      <c r="A18" s="35" t="s">
        <v>134</v>
      </c>
      <c r="B18" s="203"/>
      <c r="C18" s="210" t="s">
        <v>135</v>
      </c>
      <c r="D18" s="211"/>
      <c r="E18" s="212" t="s">
        <v>136</v>
      </c>
      <c r="F18" s="203"/>
      <c r="G18" s="213" t="s">
        <v>137</v>
      </c>
      <c r="H18" s="214"/>
      <c r="I18" s="35" t="s">
        <v>138</v>
      </c>
    </row>
    <row r="19" spans="1:9" x14ac:dyDescent="0.25">
      <c r="A19" s="35" t="s">
        <v>139</v>
      </c>
      <c r="B19" s="203"/>
      <c r="C19" s="210" t="s">
        <v>140</v>
      </c>
      <c r="D19" s="211"/>
      <c r="E19" s="212" t="s">
        <v>141</v>
      </c>
      <c r="F19" s="203"/>
      <c r="G19" s="213" t="s">
        <v>142</v>
      </c>
      <c r="H19" s="214"/>
      <c r="I19" s="35" t="s">
        <v>143</v>
      </c>
    </row>
    <row r="20" spans="1:9" x14ac:dyDescent="0.25">
      <c r="A20" s="35" t="s">
        <v>144</v>
      </c>
      <c r="B20" s="203"/>
      <c r="C20" s="210" t="s">
        <v>145</v>
      </c>
      <c r="D20" s="211"/>
      <c r="E20" s="212" t="s">
        <v>146</v>
      </c>
      <c r="F20" s="203"/>
      <c r="G20" s="213" t="s">
        <v>147</v>
      </c>
      <c r="H20" s="214"/>
      <c r="I20" s="35" t="s">
        <v>148</v>
      </c>
    </row>
    <row r="21" spans="1:9" x14ac:dyDescent="0.25">
      <c r="A21" s="35" t="s">
        <v>149</v>
      </c>
      <c r="B21" s="203"/>
      <c r="C21" s="210" t="s">
        <v>150</v>
      </c>
      <c r="D21" s="211"/>
      <c r="E21" s="212" t="s">
        <v>151</v>
      </c>
      <c r="F21" s="203"/>
      <c r="G21" s="213" t="s">
        <v>152</v>
      </c>
      <c r="H21" s="214"/>
      <c r="I21" s="35" t="s">
        <v>153</v>
      </c>
    </row>
    <row r="22" spans="1:9" x14ac:dyDescent="0.25">
      <c r="A22" s="35" t="s">
        <v>154</v>
      </c>
      <c r="B22" s="203"/>
      <c r="C22" s="210" t="s">
        <v>155</v>
      </c>
      <c r="D22" s="211"/>
      <c r="E22" s="212" t="s">
        <v>156</v>
      </c>
      <c r="F22" s="203"/>
      <c r="G22" s="213" t="s">
        <v>157</v>
      </c>
      <c r="H22" s="214"/>
      <c r="I22" s="35" t="s">
        <v>158</v>
      </c>
    </row>
    <row r="23" spans="1:9" x14ac:dyDescent="0.25">
      <c r="A23" s="35" t="s">
        <v>159</v>
      </c>
      <c r="B23" s="203"/>
      <c r="C23" s="210" t="s">
        <v>160</v>
      </c>
      <c r="D23" s="211"/>
      <c r="E23" s="212" t="s">
        <v>161</v>
      </c>
      <c r="F23" s="203"/>
      <c r="G23" s="213" t="s">
        <v>162</v>
      </c>
      <c r="H23" s="214"/>
      <c r="I23" s="35" t="s">
        <v>163</v>
      </c>
    </row>
    <row r="24" spans="1:9" x14ac:dyDescent="0.25">
      <c r="A24" s="35" t="s">
        <v>164</v>
      </c>
      <c r="B24" s="203"/>
      <c r="C24" s="210" t="s">
        <v>165</v>
      </c>
      <c r="D24" s="211"/>
      <c r="E24" s="212" t="s">
        <v>166</v>
      </c>
      <c r="F24" s="203"/>
      <c r="G24" s="213" t="s">
        <v>167</v>
      </c>
      <c r="H24" s="214"/>
      <c r="I24" s="35" t="s">
        <v>168</v>
      </c>
    </row>
    <row r="25" spans="1:9" x14ac:dyDescent="0.25">
      <c r="A25" s="35" t="s">
        <v>169</v>
      </c>
      <c r="B25" s="203"/>
      <c r="C25" s="210" t="s">
        <v>170</v>
      </c>
      <c r="D25" s="211"/>
      <c r="E25" s="212" t="s">
        <v>171</v>
      </c>
      <c r="F25" s="203"/>
      <c r="G25" s="213" t="s">
        <v>172</v>
      </c>
      <c r="H25" s="214"/>
      <c r="I25" s="35" t="s">
        <v>173</v>
      </c>
    </row>
    <row r="26" spans="1:9" x14ac:dyDescent="0.25">
      <c r="A26" s="35" t="s">
        <v>174</v>
      </c>
      <c r="B26" s="203"/>
      <c r="C26" s="210" t="s">
        <v>175</v>
      </c>
      <c r="D26" s="211"/>
      <c r="E26" s="212" t="s">
        <v>176</v>
      </c>
      <c r="F26" s="203"/>
      <c r="G26" s="213" t="s">
        <v>177</v>
      </c>
      <c r="H26" s="214"/>
      <c r="I26" s="35" t="s">
        <v>178</v>
      </c>
    </row>
    <row r="27" spans="1:9" x14ac:dyDescent="0.25">
      <c r="A27" s="35" t="s">
        <v>179</v>
      </c>
      <c r="B27" s="203"/>
      <c r="C27" s="210" t="s">
        <v>180</v>
      </c>
      <c r="D27" s="211"/>
      <c r="E27" s="212" t="s">
        <v>181</v>
      </c>
      <c r="F27" s="203"/>
      <c r="G27" s="213" t="s">
        <v>182</v>
      </c>
      <c r="H27" s="214"/>
      <c r="I27" s="35" t="s">
        <v>183</v>
      </c>
    </row>
    <row r="28" spans="1:9" x14ac:dyDescent="0.25">
      <c r="A28" s="35" t="s">
        <v>184</v>
      </c>
      <c r="B28" s="203"/>
      <c r="C28" s="210" t="s">
        <v>185</v>
      </c>
      <c r="D28" s="211"/>
      <c r="E28" s="212" t="s">
        <v>186</v>
      </c>
      <c r="F28" s="203"/>
      <c r="G28" s="213" t="s">
        <v>187</v>
      </c>
      <c r="H28" s="214"/>
      <c r="I28" s="35" t="s">
        <v>188</v>
      </c>
    </row>
    <row r="29" spans="1:9" x14ac:dyDescent="0.25">
      <c r="E29" s="212" t="s">
        <v>189</v>
      </c>
      <c r="F29" s="203"/>
      <c r="G29" s="213" t="s">
        <v>190</v>
      </c>
      <c r="H29" s="214"/>
      <c r="I29" s="35" t="s">
        <v>191</v>
      </c>
    </row>
  </sheetData>
  <sheetProtection algorithmName="SHA-512" hashValue="fGjsR4Av6sJzkT0KmMcllUZs/ogvQeXaKYhfJKgJWkPv/eZqIzfyZ8+90wjJzlJ7pA2GRcp3kcnLnjeg53iH3w==" saltValue="2u1Gb1BrKE9uV4WgsbPYrQ==" spinCount="100000" sheet="1" selectLockedCells="1" selectUnlockedCell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2"/>
  <dimension ref="A1:Q35"/>
  <sheetViews>
    <sheetView topLeftCell="E1" zoomScale="90" zoomScaleNormal="90" workbookViewId="0">
      <selection activeCell="N3" sqref="N3"/>
    </sheetView>
  </sheetViews>
  <sheetFormatPr baseColWidth="10" defaultRowHeight="15" x14ac:dyDescent="0.25"/>
  <cols>
    <col min="1" max="1" width="4.7109375" customWidth="1"/>
    <col min="2" max="2" width="12.7109375" customWidth="1"/>
    <col min="3" max="3" width="4.7109375" customWidth="1"/>
    <col min="4" max="8" width="12.7109375" customWidth="1"/>
    <col min="9" max="9" width="4.7109375" customWidth="1"/>
    <col min="10" max="11" width="12.7109375" customWidth="1"/>
    <col min="12" max="12" width="4.7109375" customWidth="1"/>
    <col min="13" max="14" width="12.7109375" customWidth="1"/>
    <col min="15" max="15" width="4.7109375" customWidth="1"/>
    <col min="16" max="16" width="12.7109375" customWidth="1"/>
  </cols>
  <sheetData>
    <row r="1" spans="1:17" ht="15" customHeight="1" thickBot="1" x14ac:dyDescent="0.3">
      <c r="A1" s="54"/>
      <c r="B1" s="54"/>
      <c r="C1" s="54"/>
      <c r="D1" s="54"/>
      <c r="E1" s="54"/>
      <c r="F1" s="54"/>
      <c r="G1" s="54"/>
      <c r="H1" s="54"/>
      <c r="I1" s="54"/>
      <c r="J1" s="54"/>
      <c r="K1" s="54"/>
      <c r="L1" s="48"/>
      <c r="M1" s="48"/>
      <c r="N1" s="48"/>
      <c r="O1" s="48"/>
      <c r="P1" s="48"/>
      <c r="Q1" s="48"/>
    </row>
    <row r="2" spans="1:17" ht="24.95" customHeight="1" thickBot="1" x14ac:dyDescent="0.3">
      <c r="A2" s="54"/>
      <c r="B2" s="57" t="s">
        <v>35</v>
      </c>
      <c r="C2" s="54"/>
      <c r="D2" s="58" t="s">
        <v>32</v>
      </c>
      <c r="E2" s="59" t="s">
        <v>28</v>
      </c>
      <c r="F2" s="59" t="s">
        <v>29</v>
      </c>
      <c r="G2" s="59" t="s">
        <v>30</v>
      </c>
      <c r="H2" s="60" t="s">
        <v>10</v>
      </c>
      <c r="I2" s="54"/>
      <c r="J2" s="252" t="s">
        <v>38</v>
      </c>
      <c r="K2" s="253"/>
      <c r="L2" s="48"/>
      <c r="M2" s="254" t="s">
        <v>41</v>
      </c>
      <c r="N2" s="255"/>
      <c r="O2" s="48"/>
      <c r="P2" s="62" t="s">
        <v>39</v>
      </c>
      <c r="Q2" s="48"/>
    </row>
    <row r="3" spans="1:17" ht="15" customHeight="1" thickBot="1" x14ac:dyDescent="0.3">
      <c r="A3" s="54"/>
      <c r="B3" s="55" t="s">
        <v>24</v>
      </c>
      <c r="C3" s="54"/>
      <c r="D3" s="49">
        <v>1</v>
      </c>
      <c r="E3" s="64">
        <f>N3+4</f>
        <v>7</v>
      </c>
      <c r="F3" s="64">
        <f>E3+N4+2</f>
        <v>12</v>
      </c>
      <c r="G3" s="64">
        <f>F3+N5+2</f>
        <v>17</v>
      </c>
      <c r="H3" s="65">
        <f>G3+2</f>
        <v>19</v>
      </c>
      <c r="I3" s="54"/>
      <c r="J3" s="49" t="s">
        <v>2</v>
      </c>
      <c r="K3" s="71">
        <v>4</v>
      </c>
      <c r="L3" s="48"/>
      <c r="M3" s="49" t="s">
        <v>42</v>
      </c>
      <c r="N3" s="66">
        <v>3</v>
      </c>
      <c r="O3" s="67"/>
      <c r="P3" s="68">
        <f>N3+N4+N5+8</f>
        <v>17</v>
      </c>
      <c r="Q3" s="48"/>
    </row>
    <row r="4" spans="1:17" ht="15" customHeight="1" x14ac:dyDescent="0.25">
      <c r="A4" s="54"/>
      <c r="B4" s="55" t="s">
        <v>25</v>
      </c>
      <c r="C4" s="54"/>
      <c r="D4" s="50">
        <v>2</v>
      </c>
      <c r="E4" s="51">
        <f t="shared" ref="E4:E34" si="0">E3+$P$3</f>
        <v>24</v>
      </c>
      <c r="F4" s="51">
        <f t="shared" ref="F4:F34" si="1">F3+$P$3</f>
        <v>29</v>
      </c>
      <c r="G4" s="51">
        <f t="shared" ref="G4:G34" si="2">G3+$P$3</f>
        <v>34</v>
      </c>
      <c r="H4" s="52">
        <f t="shared" ref="H4:H34" si="3">H3+$P$3</f>
        <v>36</v>
      </c>
      <c r="I4" s="54"/>
      <c r="J4" s="50" t="s">
        <v>3</v>
      </c>
      <c r="K4" s="52">
        <v>7</v>
      </c>
      <c r="L4" s="48"/>
      <c r="M4" s="50" t="s">
        <v>29</v>
      </c>
      <c r="N4" s="69">
        <v>3</v>
      </c>
      <c r="O4" s="67"/>
      <c r="P4" s="67"/>
      <c r="Q4" s="48"/>
    </row>
    <row r="5" spans="1:17" ht="15" customHeight="1" thickBot="1" x14ac:dyDescent="0.3">
      <c r="A5" s="54"/>
      <c r="B5" s="55" t="s">
        <v>26</v>
      </c>
      <c r="C5" s="54"/>
      <c r="D5" s="50">
        <v>3</v>
      </c>
      <c r="E5" s="51">
        <f t="shared" si="0"/>
        <v>41</v>
      </c>
      <c r="F5" s="51">
        <f t="shared" si="1"/>
        <v>46</v>
      </c>
      <c r="G5" s="51">
        <f t="shared" si="2"/>
        <v>51</v>
      </c>
      <c r="H5" s="52">
        <f t="shared" si="3"/>
        <v>53</v>
      </c>
      <c r="I5" s="54"/>
      <c r="J5" s="50" t="s">
        <v>4</v>
      </c>
      <c r="K5" s="52">
        <v>12</v>
      </c>
      <c r="L5" s="48"/>
      <c r="M5" s="53" t="s">
        <v>30</v>
      </c>
      <c r="N5" s="70">
        <v>3</v>
      </c>
      <c r="O5" s="67"/>
      <c r="P5" s="67"/>
      <c r="Q5" s="48"/>
    </row>
    <row r="6" spans="1:17" ht="15" customHeight="1" thickBot="1" x14ac:dyDescent="0.3">
      <c r="A6" s="54"/>
      <c r="B6" s="56" t="s">
        <v>27</v>
      </c>
      <c r="C6" s="54"/>
      <c r="D6" s="50">
        <v>4</v>
      </c>
      <c r="E6" s="51">
        <f t="shared" si="0"/>
        <v>58</v>
      </c>
      <c r="F6" s="51">
        <f t="shared" si="1"/>
        <v>63</v>
      </c>
      <c r="G6" s="51">
        <f t="shared" si="2"/>
        <v>68</v>
      </c>
      <c r="H6" s="52">
        <f t="shared" si="3"/>
        <v>70</v>
      </c>
      <c r="I6" s="54"/>
      <c r="J6" s="50" t="s">
        <v>5</v>
      </c>
      <c r="K6" s="52">
        <v>14</v>
      </c>
      <c r="L6" s="48"/>
      <c r="M6" s="48"/>
      <c r="N6" s="48"/>
      <c r="O6" s="48"/>
      <c r="P6" s="48"/>
      <c r="Q6" s="48"/>
    </row>
    <row r="7" spans="1:17" ht="15" customHeight="1" x14ac:dyDescent="0.25">
      <c r="A7" s="54"/>
      <c r="B7" s="54"/>
      <c r="C7" s="54"/>
      <c r="D7" s="50">
        <v>5</v>
      </c>
      <c r="E7" s="51">
        <f t="shared" si="0"/>
        <v>75</v>
      </c>
      <c r="F7" s="51">
        <f t="shared" si="1"/>
        <v>80</v>
      </c>
      <c r="G7" s="51">
        <f t="shared" si="2"/>
        <v>85</v>
      </c>
      <c r="H7" s="52">
        <f t="shared" si="3"/>
        <v>87</v>
      </c>
      <c r="I7" s="54"/>
      <c r="J7" s="50" t="s">
        <v>6</v>
      </c>
      <c r="K7" s="52">
        <v>18</v>
      </c>
      <c r="L7" s="48"/>
      <c r="M7" s="48"/>
      <c r="N7" s="48"/>
      <c r="O7" s="48"/>
      <c r="P7" s="48"/>
      <c r="Q7" s="48"/>
    </row>
    <row r="8" spans="1:17" ht="15" customHeight="1" x14ac:dyDescent="0.25">
      <c r="A8" s="54"/>
      <c r="B8" s="54"/>
      <c r="C8" s="54"/>
      <c r="D8" s="50">
        <v>6</v>
      </c>
      <c r="E8" s="51">
        <f t="shared" si="0"/>
        <v>92</v>
      </c>
      <c r="F8" s="51">
        <f t="shared" si="1"/>
        <v>97</v>
      </c>
      <c r="G8" s="51">
        <f t="shared" si="2"/>
        <v>102</v>
      </c>
      <c r="H8" s="52">
        <f t="shared" si="3"/>
        <v>104</v>
      </c>
      <c r="I8" s="54"/>
      <c r="J8" s="50" t="s">
        <v>34</v>
      </c>
      <c r="K8" s="52">
        <v>20</v>
      </c>
      <c r="L8" s="48"/>
      <c r="M8" s="48"/>
      <c r="N8" s="48"/>
      <c r="O8" s="48"/>
      <c r="P8" s="48"/>
      <c r="Q8" s="48"/>
    </row>
    <row r="9" spans="1:17" ht="15" customHeight="1" x14ac:dyDescent="0.25">
      <c r="A9" s="54"/>
      <c r="B9" s="54"/>
      <c r="C9" s="54"/>
      <c r="D9" s="50">
        <v>7</v>
      </c>
      <c r="E9" s="51">
        <f t="shared" si="0"/>
        <v>109</v>
      </c>
      <c r="F9" s="51">
        <f t="shared" si="1"/>
        <v>114</v>
      </c>
      <c r="G9" s="51">
        <f t="shared" si="2"/>
        <v>119</v>
      </c>
      <c r="H9" s="52">
        <f t="shared" si="3"/>
        <v>121</v>
      </c>
      <c r="I9" s="54"/>
      <c r="J9" s="50" t="s">
        <v>43</v>
      </c>
      <c r="K9" s="52">
        <v>11</v>
      </c>
      <c r="L9" s="48"/>
      <c r="M9" s="48"/>
      <c r="N9" s="48"/>
      <c r="O9" s="48"/>
      <c r="P9" s="48"/>
      <c r="Q9" s="48"/>
    </row>
    <row r="10" spans="1:17" ht="15" customHeight="1" x14ac:dyDescent="0.25">
      <c r="A10" s="54"/>
      <c r="B10" s="54"/>
      <c r="C10" s="54"/>
      <c r="D10" s="50">
        <v>8</v>
      </c>
      <c r="E10" s="51">
        <f t="shared" si="0"/>
        <v>126</v>
      </c>
      <c r="F10" s="51">
        <f t="shared" si="1"/>
        <v>131</v>
      </c>
      <c r="G10" s="51">
        <f t="shared" si="2"/>
        <v>136</v>
      </c>
      <c r="H10" s="52">
        <f t="shared" si="3"/>
        <v>138</v>
      </c>
      <c r="I10" s="54"/>
      <c r="J10" s="50" t="s">
        <v>45</v>
      </c>
      <c r="K10" s="52">
        <v>12</v>
      </c>
      <c r="L10" s="48"/>
      <c r="M10" s="48"/>
      <c r="N10" s="48"/>
      <c r="O10" s="48"/>
      <c r="P10" s="48"/>
      <c r="Q10" s="48"/>
    </row>
    <row r="11" spans="1:17" ht="15" customHeight="1" thickBot="1" x14ac:dyDescent="0.3">
      <c r="A11" s="54"/>
      <c r="B11" s="54"/>
      <c r="C11" s="54"/>
      <c r="D11" s="50">
        <v>9</v>
      </c>
      <c r="E11" s="51">
        <f t="shared" si="0"/>
        <v>143</v>
      </c>
      <c r="F11" s="51">
        <f t="shared" si="1"/>
        <v>148</v>
      </c>
      <c r="G11" s="51">
        <f t="shared" si="2"/>
        <v>153</v>
      </c>
      <c r="H11" s="52">
        <f t="shared" si="3"/>
        <v>155</v>
      </c>
      <c r="I11" s="54"/>
      <c r="J11" s="53" t="s">
        <v>44</v>
      </c>
      <c r="K11" s="61">
        <v>15</v>
      </c>
      <c r="L11" s="48"/>
      <c r="M11" s="48"/>
      <c r="N11" s="48"/>
      <c r="O11" s="48"/>
      <c r="P11" s="48"/>
      <c r="Q11" s="48"/>
    </row>
    <row r="12" spans="1:17" ht="15" customHeight="1" x14ac:dyDescent="0.25">
      <c r="A12" s="54"/>
      <c r="B12" s="54"/>
      <c r="C12" s="54"/>
      <c r="D12" s="50">
        <v>10</v>
      </c>
      <c r="E12" s="51">
        <f t="shared" si="0"/>
        <v>160</v>
      </c>
      <c r="F12" s="51">
        <f t="shared" si="1"/>
        <v>165</v>
      </c>
      <c r="G12" s="51">
        <f t="shared" si="2"/>
        <v>170</v>
      </c>
      <c r="H12" s="52">
        <f t="shared" si="3"/>
        <v>172</v>
      </c>
      <c r="I12" s="54"/>
      <c r="J12" s="54"/>
      <c r="K12" s="54"/>
      <c r="L12" s="48"/>
      <c r="M12" s="48"/>
      <c r="N12" s="48"/>
      <c r="O12" s="48"/>
      <c r="P12" s="48"/>
      <c r="Q12" s="48"/>
    </row>
    <row r="13" spans="1:17" ht="15" customHeight="1" x14ac:dyDescent="0.25">
      <c r="A13" s="54"/>
      <c r="B13" s="54"/>
      <c r="C13" s="54"/>
      <c r="D13" s="50">
        <v>11</v>
      </c>
      <c r="E13" s="51">
        <f t="shared" si="0"/>
        <v>177</v>
      </c>
      <c r="F13" s="51">
        <f t="shared" si="1"/>
        <v>182</v>
      </c>
      <c r="G13" s="51">
        <f t="shared" si="2"/>
        <v>187</v>
      </c>
      <c r="H13" s="52">
        <f t="shared" si="3"/>
        <v>189</v>
      </c>
      <c r="I13" s="54"/>
      <c r="J13" s="63"/>
      <c r="L13" s="48"/>
      <c r="M13" s="48"/>
      <c r="N13" s="48"/>
      <c r="O13" s="48"/>
      <c r="P13" s="48"/>
      <c r="Q13" s="48"/>
    </row>
    <row r="14" spans="1:17" ht="15" customHeight="1" x14ac:dyDescent="0.25">
      <c r="A14" s="54"/>
      <c r="B14" s="54"/>
      <c r="C14" s="54"/>
      <c r="D14" s="50">
        <v>12</v>
      </c>
      <c r="E14" s="51">
        <f t="shared" si="0"/>
        <v>194</v>
      </c>
      <c r="F14" s="51">
        <f t="shared" si="1"/>
        <v>199</v>
      </c>
      <c r="G14" s="51">
        <f t="shared" si="2"/>
        <v>204</v>
      </c>
      <c r="H14" s="52">
        <f t="shared" si="3"/>
        <v>206</v>
      </c>
      <c r="I14" s="54"/>
      <c r="J14" s="63"/>
      <c r="K14" s="54"/>
      <c r="L14" s="48"/>
      <c r="M14" s="48"/>
      <c r="N14" s="48"/>
      <c r="O14" s="48"/>
      <c r="P14" s="48"/>
      <c r="Q14" s="48"/>
    </row>
    <row r="15" spans="1:17" ht="15" customHeight="1" x14ac:dyDescent="0.25">
      <c r="A15" s="54"/>
      <c r="B15" s="54"/>
      <c r="C15" s="54"/>
      <c r="D15" s="50">
        <v>13</v>
      </c>
      <c r="E15" s="51">
        <f t="shared" si="0"/>
        <v>211</v>
      </c>
      <c r="F15" s="51">
        <f t="shared" si="1"/>
        <v>216</v>
      </c>
      <c r="G15" s="51">
        <f t="shared" si="2"/>
        <v>221</v>
      </c>
      <c r="H15" s="52">
        <f t="shared" si="3"/>
        <v>223</v>
      </c>
      <c r="I15" s="54"/>
      <c r="J15" s="48"/>
      <c r="K15" s="54"/>
      <c r="L15" s="48"/>
      <c r="M15" s="48"/>
      <c r="N15" s="48"/>
      <c r="O15" s="48"/>
      <c r="P15" s="48"/>
      <c r="Q15" s="48"/>
    </row>
    <row r="16" spans="1:17" ht="15" customHeight="1" x14ac:dyDescent="0.25">
      <c r="A16" s="54"/>
      <c r="B16" s="54"/>
      <c r="C16" s="54"/>
      <c r="D16" s="50">
        <v>14</v>
      </c>
      <c r="E16" s="51">
        <f t="shared" si="0"/>
        <v>228</v>
      </c>
      <c r="F16" s="51">
        <f t="shared" si="1"/>
        <v>233</v>
      </c>
      <c r="G16" s="51">
        <f t="shared" si="2"/>
        <v>238</v>
      </c>
      <c r="H16" s="52">
        <f t="shared" si="3"/>
        <v>240</v>
      </c>
      <c r="I16" s="54"/>
      <c r="J16" s="54"/>
      <c r="K16" s="54"/>
      <c r="L16" s="48"/>
      <c r="M16" s="48"/>
      <c r="N16" s="48"/>
      <c r="O16" s="48"/>
      <c r="P16" s="48"/>
      <c r="Q16" s="48"/>
    </row>
    <row r="17" spans="1:17" ht="15" customHeight="1" x14ac:dyDescent="0.25">
      <c r="A17" s="54"/>
      <c r="B17" s="54"/>
      <c r="C17" s="54"/>
      <c r="D17" s="50">
        <v>15</v>
      </c>
      <c r="E17" s="51">
        <f t="shared" si="0"/>
        <v>245</v>
      </c>
      <c r="F17" s="51">
        <f t="shared" si="1"/>
        <v>250</v>
      </c>
      <c r="G17" s="51">
        <f t="shared" si="2"/>
        <v>255</v>
      </c>
      <c r="H17" s="52">
        <f t="shared" si="3"/>
        <v>257</v>
      </c>
      <c r="I17" s="54"/>
      <c r="J17" s="54"/>
      <c r="K17" s="54"/>
      <c r="L17" s="48"/>
      <c r="M17" s="48"/>
      <c r="N17" s="48"/>
      <c r="O17" s="48"/>
      <c r="P17" s="48"/>
      <c r="Q17" s="48"/>
    </row>
    <row r="18" spans="1:17" ht="15" customHeight="1" x14ac:dyDescent="0.25">
      <c r="A18" s="54"/>
      <c r="B18" s="54"/>
      <c r="C18" s="54"/>
      <c r="D18" s="50">
        <v>16</v>
      </c>
      <c r="E18" s="51">
        <f t="shared" si="0"/>
        <v>262</v>
      </c>
      <c r="F18" s="51">
        <f t="shared" si="1"/>
        <v>267</v>
      </c>
      <c r="G18" s="51">
        <f t="shared" si="2"/>
        <v>272</v>
      </c>
      <c r="H18" s="52">
        <f t="shared" si="3"/>
        <v>274</v>
      </c>
      <c r="I18" s="54"/>
      <c r="J18" s="54"/>
      <c r="K18" s="54"/>
      <c r="L18" s="48"/>
      <c r="M18" s="48"/>
      <c r="N18" s="48"/>
      <c r="O18" s="48"/>
      <c r="P18" s="48"/>
      <c r="Q18" s="48"/>
    </row>
    <row r="19" spans="1:17" ht="15" customHeight="1" x14ac:dyDescent="0.25">
      <c r="A19" s="54"/>
      <c r="B19" s="54"/>
      <c r="C19" s="54"/>
      <c r="D19" s="50">
        <v>17</v>
      </c>
      <c r="E19" s="51">
        <f t="shared" si="0"/>
        <v>279</v>
      </c>
      <c r="F19" s="51">
        <f t="shared" si="1"/>
        <v>284</v>
      </c>
      <c r="G19" s="51">
        <f t="shared" si="2"/>
        <v>289</v>
      </c>
      <c r="H19" s="52">
        <f t="shared" si="3"/>
        <v>291</v>
      </c>
      <c r="I19" s="54"/>
      <c r="J19" s="54"/>
      <c r="K19" s="54"/>
      <c r="L19" s="48"/>
      <c r="M19" s="48"/>
      <c r="N19" s="48"/>
      <c r="O19" s="48"/>
      <c r="P19" s="48"/>
      <c r="Q19" s="48"/>
    </row>
    <row r="20" spans="1:17" ht="15" customHeight="1" x14ac:dyDescent="0.25">
      <c r="A20" s="54"/>
      <c r="B20" s="54"/>
      <c r="C20" s="54"/>
      <c r="D20" s="50">
        <v>18</v>
      </c>
      <c r="E20" s="51">
        <f t="shared" si="0"/>
        <v>296</v>
      </c>
      <c r="F20" s="51">
        <f t="shared" si="1"/>
        <v>301</v>
      </c>
      <c r="G20" s="51">
        <f t="shared" si="2"/>
        <v>306</v>
      </c>
      <c r="H20" s="52">
        <f t="shared" si="3"/>
        <v>308</v>
      </c>
      <c r="I20" s="54"/>
      <c r="J20" s="54"/>
      <c r="K20" s="54"/>
      <c r="L20" s="48"/>
      <c r="M20" s="48"/>
      <c r="N20" s="48"/>
      <c r="O20" s="48"/>
      <c r="P20" s="48"/>
      <c r="Q20" s="48"/>
    </row>
    <row r="21" spans="1:17" ht="15" customHeight="1" x14ac:dyDescent="0.25">
      <c r="A21" s="54"/>
      <c r="B21" s="54"/>
      <c r="C21" s="54"/>
      <c r="D21" s="50">
        <v>19</v>
      </c>
      <c r="E21" s="51">
        <f t="shared" si="0"/>
        <v>313</v>
      </c>
      <c r="F21" s="51">
        <f t="shared" si="1"/>
        <v>318</v>
      </c>
      <c r="G21" s="51">
        <f t="shared" si="2"/>
        <v>323</v>
      </c>
      <c r="H21" s="52">
        <f t="shared" si="3"/>
        <v>325</v>
      </c>
      <c r="I21" s="54"/>
      <c r="J21" s="54"/>
      <c r="K21" s="54"/>
      <c r="L21" s="48"/>
      <c r="M21" s="48"/>
      <c r="N21" s="48"/>
      <c r="O21" s="48"/>
      <c r="P21" s="48"/>
      <c r="Q21" s="48"/>
    </row>
    <row r="22" spans="1:17" ht="15" customHeight="1" x14ac:dyDescent="0.25">
      <c r="A22" s="54"/>
      <c r="B22" s="54"/>
      <c r="C22" s="54"/>
      <c r="D22" s="50">
        <v>20</v>
      </c>
      <c r="E22" s="51">
        <f t="shared" si="0"/>
        <v>330</v>
      </c>
      <c r="F22" s="51">
        <f t="shared" si="1"/>
        <v>335</v>
      </c>
      <c r="G22" s="51">
        <f t="shared" si="2"/>
        <v>340</v>
      </c>
      <c r="H22" s="52">
        <f t="shared" si="3"/>
        <v>342</v>
      </c>
      <c r="I22" s="54"/>
      <c r="J22" s="54"/>
      <c r="K22" s="54"/>
      <c r="L22" s="48"/>
      <c r="M22" s="48"/>
      <c r="N22" s="48"/>
      <c r="O22" s="48"/>
      <c r="P22" s="48"/>
      <c r="Q22" s="48"/>
    </row>
    <row r="23" spans="1:17" ht="15" customHeight="1" x14ac:dyDescent="0.25">
      <c r="A23" s="54"/>
      <c r="B23" s="54"/>
      <c r="C23" s="54"/>
      <c r="D23" s="50">
        <v>21</v>
      </c>
      <c r="E23" s="51">
        <f t="shared" si="0"/>
        <v>347</v>
      </c>
      <c r="F23" s="51">
        <f t="shared" si="1"/>
        <v>352</v>
      </c>
      <c r="G23" s="51">
        <f t="shared" si="2"/>
        <v>357</v>
      </c>
      <c r="H23" s="52">
        <f t="shared" si="3"/>
        <v>359</v>
      </c>
      <c r="I23" s="54"/>
      <c r="J23" s="54"/>
      <c r="K23" s="54"/>
      <c r="L23" s="48"/>
      <c r="M23" s="48"/>
      <c r="N23" s="48"/>
      <c r="O23" s="48"/>
      <c r="P23" s="48"/>
      <c r="Q23" s="48"/>
    </row>
    <row r="24" spans="1:17" ht="15" customHeight="1" x14ac:dyDescent="0.25">
      <c r="A24" s="54"/>
      <c r="B24" s="54"/>
      <c r="C24" s="54"/>
      <c r="D24" s="50">
        <v>22</v>
      </c>
      <c r="E24" s="51">
        <f t="shared" si="0"/>
        <v>364</v>
      </c>
      <c r="F24" s="51">
        <f t="shared" si="1"/>
        <v>369</v>
      </c>
      <c r="G24" s="51">
        <f t="shared" si="2"/>
        <v>374</v>
      </c>
      <c r="H24" s="52">
        <f t="shared" si="3"/>
        <v>376</v>
      </c>
      <c r="I24" s="54"/>
      <c r="J24" s="54"/>
      <c r="K24" s="54"/>
      <c r="L24" s="48"/>
      <c r="M24" s="48"/>
      <c r="N24" s="48"/>
      <c r="O24" s="48"/>
      <c r="P24" s="48"/>
      <c r="Q24" s="48"/>
    </row>
    <row r="25" spans="1:17" ht="15" customHeight="1" x14ac:dyDescent="0.25">
      <c r="A25" s="54"/>
      <c r="B25" s="54"/>
      <c r="C25" s="54"/>
      <c r="D25" s="50">
        <v>23</v>
      </c>
      <c r="E25" s="51">
        <f t="shared" si="0"/>
        <v>381</v>
      </c>
      <c r="F25" s="51">
        <f t="shared" si="1"/>
        <v>386</v>
      </c>
      <c r="G25" s="51">
        <f t="shared" si="2"/>
        <v>391</v>
      </c>
      <c r="H25" s="52">
        <f t="shared" si="3"/>
        <v>393</v>
      </c>
      <c r="I25" s="54"/>
      <c r="J25" s="54"/>
      <c r="K25" s="54"/>
      <c r="L25" s="48"/>
      <c r="M25" s="48"/>
      <c r="N25" s="48"/>
      <c r="O25" s="48"/>
      <c r="P25" s="48"/>
      <c r="Q25" s="48"/>
    </row>
    <row r="26" spans="1:17" ht="15" customHeight="1" x14ac:dyDescent="0.25">
      <c r="A26" s="54"/>
      <c r="B26" s="54"/>
      <c r="C26" s="54"/>
      <c r="D26" s="50">
        <v>24</v>
      </c>
      <c r="E26" s="51">
        <f t="shared" si="0"/>
        <v>398</v>
      </c>
      <c r="F26" s="51">
        <f t="shared" si="1"/>
        <v>403</v>
      </c>
      <c r="G26" s="51">
        <f t="shared" si="2"/>
        <v>408</v>
      </c>
      <c r="H26" s="52">
        <f t="shared" si="3"/>
        <v>410</v>
      </c>
      <c r="I26" s="54"/>
      <c r="J26" s="54"/>
      <c r="K26" s="54"/>
      <c r="L26" s="48"/>
      <c r="M26" s="48"/>
      <c r="N26" s="48"/>
      <c r="O26" s="48"/>
      <c r="P26" s="48"/>
      <c r="Q26" s="48"/>
    </row>
    <row r="27" spans="1:17" ht="15" customHeight="1" x14ac:dyDescent="0.25">
      <c r="A27" s="54"/>
      <c r="B27" s="54"/>
      <c r="C27" s="54"/>
      <c r="D27" s="50">
        <v>25</v>
      </c>
      <c r="E27" s="51">
        <f t="shared" si="0"/>
        <v>415</v>
      </c>
      <c r="F27" s="51">
        <f t="shared" si="1"/>
        <v>420</v>
      </c>
      <c r="G27" s="51">
        <f t="shared" si="2"/>
        <v>425</v>
      </c>
      <c r="H27" s="52">
        <f t="shared" si="3"/>
        <v>427</v>
      </c>
      <c r="I27" s="54"/>
      <c r="J27" s="54"/>
      <c r="K27" s="54"/>
      <c r="L27" s="48"/>
      <c r="M27" s="48"/>
      <c r="N27" s="48"/>
      <c r="O27" s="48"/>
      <c r="P27" s="48"/>
      <c r="Q27" s="48"/>
    </row>
    <row r="28" spans="1:17" ht="15" customHeight="1" x14ac:dyDescent="0.25">
      <c r="A28" s="54"/>
      <c r="B28" s="54"/>
      <c r="C28" s="54"/>
      <c r="D28" s="50">
        <v>26</v>
      </c>
      <c r="E28" s="51">
        <f t="shared" si="0"/>
        <v>432</v>
      </c>
      <c r="F28" s="51">
        <f t="shared" si="1"/>
        <v>437</v>
      </c>
      <c r="G28" s="51">
        <f t="shared" si="2"/>
        <v>442</v>
      </c>
      <c r="H28" s="52">
        <f t="shared" si="3"/>
        <v>444</v>
      </c>
      <c r="I28" s="54"/>
      <c r="J28" s="54"/>
      <c r="K28" s="54"/>
      <c r="L28" s="48"/>
      <c r="M28" s="48"/>
      <c r="N28" s="48"/>
      <c r="O28" s="48"/>
      <c r="P28" s="48"/>
      <c r="Q28" s="48"/>
    </row>
    <row r="29" spans="1:17" ht="15" customHeight="1" x14ac:dyDescent="0.25">
      <c r="A29" s="54"/>
      <c r="B29" s="54"/>
      <c r="C29" s="54"/>
      <c r="D29" s="50">
        <v>27</v>
      </c>
      <c r="E29" s="51">
        <f t="shared" si="0"/>
        <v>449</v>
      </c>
      <c r="F29" s="51">
        <f t="shared" si="1"/>
        <v>454</v>
      </c>
      <c r="G29" s="51">
        <f t="shared" si="2"/>
        <v>459</v>
      </c>
      <c r="H29" s="52">
        <f t="shared" si="3"/>
        <v>461</v>
      </c>
      <c r="I29" s="54"/>
      <c r="J29" s="54"/>
      <c r="K29" s="54"/>
      <c r="L29" s="48"/>
      <c r="M29" s="48"/>
      <c r="N29" s="48"/>
      <c r="O29" s="48"/>
      <c r="P29" s="48"/>
      <c r="Q29" s="48"/>
    </row>
    <row r="30" spans="1:17" ht="15" customHeight="1" x14ac:dyDescent="0.25">
      <c r="A30" s="54"/>
      <c r="B30" s="54"/>
      <c r="C30" s="54"/>
      <c r="D30" s="50">
        <v>28</v>
      </c>
      <c r="E30" s="51">
        <f t="shared" si="0"/>
        <v>466</v>
      </c>
      <c r="F30" s="51">
        <f t="shared" si="1"/>
        <v>471</v>
      </c>
      <c r="G30" s="51">
        <f t="shared" si="2"/>
        <v>476</v>
      </c>
      <c r="H30" s="52">
        <f t="shared" si="3"/>
        <v>478</v>
      </c>
      <c r="I30" s="54"/>
      <c r="J30" s="54"/>
      <c r="K30" s="54"/>
      <c r="L30" s="48"/>
      <c r="M30" s="48"/>
      <c r="N30" s="48"/>
      <c r="O30" s="48"/>
      <c r="P30" s="48"/>
      <c r="Q30" s="48"/>
    </row>
    <row r="31" spans="1:17" ht="15" customHeight="1" x14ac:dyDescent="0.25">
      <c r="A31" s="54"/>
      <c r="B31" s="54"/>
      <c r="C31" s="54"/>
      <c r="D31" s="50">
        <v>29</v>
      </c>
      <c r="E31" s="51">
        <f t="shared" si="0"/>
        <v>483</v>
      </c>
      <c r="F31" s="51">
        <f t="shared" si="1"/>
        <v>488</v>
      </c>
      <c r="G31" s="51">
        <f t="shared" si="2"/>
        <v>493</v>
      </c>
      <c r="H31" s="52">
        <f t="shared" si="3"/>
        <v>495</v>
      </c>
      <c r="I31" s="54"/>
      <c r="J31" s="54"/>
      <c r="K31" s="54"/>
      <c r="L31" s="48"/>
      <c r="M31" s="48"/>
      <c r="N31" s="48"/>
      <c r="O31" s="48"/>
      <c r="P31" s="48"/>
      <c r="Q31" s="48"/>
    </row>
    <row r="32" spans="1:17" ht="15" customHeight="1" x14ac:dyDescent="0.25">
      <c r="A32" s="54"/>
      <c r="B32" s="54"/>
      <c r="C32" s="54"/>
      <c r="D32" s="50">
        <v>30</v>
      </c>
      <c r="E32" s="51">
        <f t="shared" si="0"/>
        <v>500</v>
      </c>
      <c r="F32" s="51">
        <f t="shared" si="1"/>
        <v>505</v>
      </c>
      <c r="G32" s="51">
        <f t="shared" si="2"/>
        <v>510</v>
      </c>
      <c r="H32" s="52">
        <f t="shared" si="3"/>
        <v>512</v>
      </c>
      <c r="I32" s="54"/>
      <c r="J32" s="54"/>
      <c r="K32" s="54"/>
      <c r="L32" s="48"/>
      <c r="M32" s="48"/>
      <c r="N32" s="48"/>
      <c r="O32" s="48"/>
      <c r="P32" s="48"/>
      <c r="Q32" s="48"/>
    </row>
    <row r="33" spans="1:17" ht="15" customHeight="1" x14ac:dyDescent="0.25">
      <c r="A33" s="54"/>
      <c r="B33" s="54"/>
      <c r="C33" s="54"/>
      <c r="D33" s="50">
        <v>31</v>
      </c>
      <c r="E33" s="51">
        <f t="shared" si="0"/>
        <v>517</v>
      </c>
      <c r="F33" s="51">
        <f t="shared" si="1"/>
        <v>522</v>
      </c>
      <c r="G33" s="51">
        <f t="shared" si="2"/>
        <v>527</v>
      </c>
      <c r="H33" s="52">
        <f t="shared" si="3"/>
        <v>529</v>
      </c>
      <c r="I33" s="54"/>
      <c r="J33" s="54"/>
      <c r="K33" s="54"/>
      <c r="L33" s="48"/>
      <c r="M33" s="48"/>
      <c r="N33" s="48"/>
      <c r="O33" s="48"/>
      <c r="P33" s="48"/>
      <c r="Q33" s="48"/>
    </row>
    <row r="34" spans="1:17" ht="15" customHeight="1" thickBot="1" x14ac:dyDescent="0.3">
      <c r="A34" s="54"/>
      <c r="B34" s="54"/>
      <c r="C34" s="54"/>
      <c r="D34" s="53">
        <v>32</v>
      </c>
      <c r="E34" s="51">
        <f t="shared" si="0"/>
        <v>534</v>
      </c>
      <c r="F34" s="51">
        <f t="shared" si="1"/>
        <v>539</v>
      </c>
      <c r="G34" s="51">
        <f t="shared" si="2"/>
        <v>544</v>
      </c>
      <c r="H34" s="52">
        <f t="shared" si="3"/>
        <v>546</v>
      </c>
      <c r="I34" s="54"/>
      <c r="J34" s="54"/>
      <c r="K34" s="54"/>
      <c r="L34" s="48"/>
      <c r="M34" s="48"/>
      <c r="N34" s="48"/>
      <c r="O34" s="48"/>
      <c r="P34" s="48"/>
      <c r="Q34" s="48"/>
    </row>
    <row r="35" spans="1:17" x14ac:dyDescent="0.25">
      <c r="A35" s="54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48"/>
      <c r="M35" s="48"/>
      <c r="N35" s="48"/>
      <c r="O35" s="48"/>
      <c r="P35" s="48"/>
      <c r="Q35" s="48"/>
    </row>
  </sheetData>
  <sheetProtection algorithmName="SHA-512" hashValue="u9+Yg/XArgG0eUE8plHa8YPM5bPhJbyqfYSYYMHuK18sCuUjNG2Kas4VaVp1/+EKnHwEEiIROldcOOkly37K1Q==" saltValue="pMUDcq8OZaErMHCyTl0M7w==" spinCount="100000" sheet="1" selectLockedCells="1"/>
  <mergeCells count="2">
    <mergeCell ref="J2:K2"/>
    <mergeCell ref="M2:N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12</vt:i4>
      </vt:variant>
    </vt:vector>
  </HeadingPairs>
  <TitlesOfParts>
    <vt:vector size="12" baseType="lpstr">
      <vt:lpstr>Classe (6ème1)</vt:lpstr>
      <vt:lpstr>Elève (6ème1)</vt:lpstr>
      <vt:lpstr>Classe (6ème2)</vt:lpstr>
      <vt:lpstr>Elève (6ème2)</vt:lpstr>
      <vt:lpstr>Classe (6ème3)</vt:lpstr>
      <vt:lpstr>Elève (6ème3)</vt:lpstr>
      <vt:lpstr>Classe (6ème4)</vt:lpstr>
      <vt:lpstr>Elève (6ème4)</vt:lpstr>
      <vt:lpstr>Classe (6ème5)</vt:lpstr>
      <vt:lpstr>Elève (6ème5)</vt:lpstr>
      <vt:lpstr>Liste 6ème</vt:lpstr>
      <vt:lpstr>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chatelain celine</dc:creator>
  <cp:lastModifiedBy>Marie-Odile</cp:lastModifiedBy>
  <dcterms:created xsi:type="dcterms:W3CDTF">2017-10-30T16:06:34Z</dcterms:created>
  <dcterms:modified xsi:type="dcterms:W3CDTF">2018-10-31T14:16:43Z</dcterms:modified>
</cp:coreProperties>
</file>